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Charges" sheetId="3" r:id="rId6"/>
    <sheet state="visible" name="Salaires" sheetId="4" r:id="rId7"/>
    <sheet state="visible" name="Gateaux Souad" sheetId="5" r:id="rId8"/>
  </sheets>
  <definedNames/>
  <calcPr/>
</workbook>
</file>

<file path=xl/sharedStrings.xml><?xml version="1.0" encoding="utf-8"?>
<sst xmlns="http://schemas.openxmlformats.org/spreadsheetml/2006/main" count="257" uniqueCount="168">
  <si>
    <t>Date</t>
  </si>
  <si>
    <t>Recette</t>
  </si>
  <si>
    <t>Charges</t>
  </si>
  <si>
    <t>Salaire</t>
  </si>
  <si>
    <t>Loyer</t>
  </si>
  <si>
    <t>Net Profit</t>
  </si>
  <si>
    <t>Nb de jours</t>
  </si>
  <si>
    <t>samedi</t>
  </si>
  <si>
    <t>dimanche</t>
  </si>
  <si>
    <t>lundi</t>
  </si>
  <si>
    <t xml:space="preserve">Myenne </t>
  </si>
  <si>
    <t>Sofiane</t>
  </si>
  <si>
    <t>Amel</t>
  </si>
  <si>
    <t>mardi</t>
  </si>
  <si>
    <t>mercredi</t>
  </si>
  <si>
    <t>jeudi</t>
  </si>
  <si>
    <t>vendredi</t>
  </si>
  <si>
    <t xml:space="preserve">Cash restant </t>
  </si>
  <si>
    <t>Magasin</t>
  </si>
  <si>
    <t>Samedi</t>
  </si>
  <si>
    <t>Dimanche</t>
  </si>
  <si>
    <t>Lundi</t>
  </si>
  <si>
    <t>Mardi</t>
  </si>
  <si>
    <t>Mercredi</t>
  </si>
  <si>
    <t>Jeudi</t>
  </si>
  <si>
    <t>TOTAL</t>
  </si>
  <si>
    <t>TAUX</t>
  </si>
  <si>
    <t>Zehor</t>
  </si>
  <si>
    <t>Zoubida</t>
  </si>
  <si>
    <t>Karima</t>
  </si>
  <si>
    <t>Nadjet</t>
  </si>
  <si>
    <t>Louiza</t>
  </si>
  <si>
    <t>Nouara</t>
  </si>
  <si>
    <t>Zahida</t>
  </si>
  <si>
    <t>Remarque</t>
  </si>
  <si>
    <t>Total</t>
  </si>
  <si>
    <t>Salaire/jour</t>
  </si>
  <si>
    <t>Economiser</t>
  </si>
  <si>
    <t>SALAIRES</t>
  </si>
  <si>
    <t>Produit</t>
  </si>
  <si>
    <t>Quantité</t>
  </si>
  <si>
    <t>Prix</t>
  </si>
  <si>
    <t>Date d'achat</t>
  </si>
  <si>
    <t>Semoule Fine  Elbaraka</t>
  </si>
  <si>
    <t xml:space="preserve">47 sachets de 10kg  </t>
  </si>
  <si>
    <t xml:space="preserve">Huile </t>
  </si>
  <si>
    <t xml:space="preserve">10 bidons de 5 litres </t>
  </si>
  <si>
    <t>Transport</t>
  </si>
  <si>
    <t xml:space="preserve">bessel </t>
  </si>
  <si>
    <t>15kg</t>
  </si>
  <si>
    <t>Levure chimique</t>
  </si>
  <si>
    <t xml:space="preserve">1 boite </t>
  </si>
  <si>
    <t>margarine Mani</t>
  </si>
  <si>
    <t>1 carton</t>
  </si>
  <si>
    <t>Fromage spéciale pizza</t>
  </si>
  <si>
    <t>12.2kg</t>
  </si>
  <si>
    <t>Harrissa</t>
  </si>
  <si>
    <t xml:space="preserve">1 carton de 24 boites </t>
  </si>
  <si>
    <t>Maa zehar</t>
  </si>
  <si>
    <t>1 carton de 12 B</t>
  </si>
  <si>
    <t xml:space="preserve">Sucre </t>
  </si>
  <si>
    <t>1 Fardeau de 10kg</t>
  </si>
  <si>
    <t xml:space="preserve">Lait en poudre </t>
  </si>
  <si>
    <t>2kg</t>
  </si>
  <si>
    <t>Fromage Gouda</t>
  </si>
  <si>
    <t>Sel</t>
  </si>
  <si>
    <t>fardeau</t>
  </si>
  <si>
    <t xml:space="preserve">Tomate conserve </t>
  </si>
  <si>
    <t xml:space="preserve">5 boites </t>
  </si>
  <si>
    <t>Boites 48/10</t>
  </si>
  <si>
    <t>2 cartons</t>
  </si>
  <si>
    <t>Boites 36/10</t>
  </si>
  <si>
    <t>Boites 36/07</t>
  </si>
  <si>
    <t>Sachets en papier 23</t>
  </si>
  <si>
    <t>2 Fardeaux</t>
  </si>
  <si>
    <t>Les quissetes 10</t>
  </si>
  <si>
    <t>1 fardeau de 36 paquets</t>
  </si>
  <si>
    <t>Tofia</t>
  </si>
  <si>
    <t>3kg</t>
  </si>
  <si>
    <t>chocolat Widjedane</t>
  </si>
  <si>
    <t>4 boites</t>
  </si>
  <si>
    <t>f</t>
  </si>
  <si>
    <t>serviette en papier</t>
  </si>
  <si>
    <t>10 paquets</t>
  </si>
  <si>
    <t>papier roulou</t>
  </si>
  <si>
    <t>prix</t>
  </si>
  <si>
    <t>1 sachet</t>
  </si>
  <si>
    <t>papier Aluminium</t>
  </si>
  <si>
    <t xml:space="preserve">Baghrir </t>
  </si>
  <si>
    <t>44jours</t>
  </si>
  <si>
    <t>77kg</t>
  </si>
  <si>
    <t>10kg</t>
  </si>
  <si>
    <t>poulet haché</t>
  </si>
  <si>
    <t>Viande hachée</t>
  </si>
  <si>
    <t>/</t>
  </si>
  <si>
    <t>Tomate fraiche</t>
  </si>
  <si>
    <t>2.5kg</t>
  </si>
  <si>
    <t>Rechta</t>
  </si>
  <si>
    <t>insecticid ( cafards)</t>
  </si>
  <si>
    <t>Recheta</t>
  </si>
  <si>
    <t>20kg</t>
  </si>
  <si>
    <t>huile fridor  de 10 litres</t>
  </si>
  <si>
    <t>bessel</t>
  </si>
  <si>
    <t>35kg</t>
  </si>
  <si>
    <t>kossber maadenouss na3ena3</t>
  </si>
  <si>
    <t>tomate</t>
  </si>
  <si>
    <t>5 kg</t>
  </si>
  <si>
    <t xml:space="preserve">boissons </t>
  </si>
  <si>
    <t xml:space="preserve">Sofiane achats </t>
  </si>
  <si>
    <t xml:space="preserve">les gants </t>
  </si>
  <si>
    <t xml:space="preserve">tomate conserve </t>
  </si>
  <si>
    <t>sachets blanc+congilation</t>
  </si>
  <si>
    <t>Bessel</t>
  </si>
  <si>
    <t xml:space="preserve">poivre </t>
  </si>
  <si>
    <t>50kg</t>
  </si>
  <si>
    <t>40kg</t>
  </si>
  <si>
    <t>10 sachets de 10kg</t>
  </si>
  <si>
    <t>viande morceau</t>
  </si>
  <si>
    <t>170g</t>
  </si>
  <si>
    <t>poulet morceau</t>
  </si>
  <si>
    <t>légumes</t>
  </si>
  <si>
    <t>huile +oeufs</t>
  </si>
  <si>
    <t>2 bidons de 5litres+5</t>
  </si>
  <si>
    <t xml:space="preserve">Gateaux </t>
  </si>
  <si>
    <t>20 jours</t>
  </si>
  <si>
    <t>2 bidons de 5 litres</t>
  </si>
  <si>
    <t>boissons eau G et S chwepes coca mozaia Ngawess</t>
  </si>
  <si>
    <t>réparation frigo "thermosta"</t>
  </si>
  <si>
    <t>huile Afia</t>
  </si>
  <si>
    <t>05 bidons de 5 litres</t>
  </si>
  <si>
    <t>Margarine Mani</t>
  </si>
  <si>
    <t>Semen Madina</t>
  </si>
  <si>
    <t>1 boite de 1.8kg</t>
  </si>
  <si>
    <t>Miel</t>
  </si>
  <si>
    <t>1 de 5kg</t>
  </si>
  <si>
    <t>Flexy internet</t>
  </si>
  <si>
    <t>1 mois</t>
  </si>
  <si>
    <t>amandes</t>
  </si>
  <si>
    <t>1kg</t>
  </si>
  <si>
    <t>Tomate fraiche +kosseber+ail</t>
  </si>
  <si>
    <t>Transport de la cuisinère</t>
  </si>
  <si>
    <t xml:space="preserve">Rechta </t>
  </si>
  <si>
    <t xml:space="preserve">oeuf +confiture </t>
  </si>
  <si>
    <t xml:space="preserve">1 plateau+1 boite </t>
  </si>
  <si>
    <t>Gateaux Souad</t>
  </si>
  <si>
    <t xml:space="preserve">Bessel </t>
  </si>
  <si>
    <t>208kg</t>
  </si>
  <si>
    <t>Zeviti</t>
  </si>
  <si>
    <t xml:space="preserve">impôts </t>
  </si>
  <si>
    <t xml:space="preserve">6 mois </t>
  </si>
  <si>
    <t>viande+poulet hachée + optella</t>
  </si>
  <si>
    <t>TOTALE</t>
  </si>
  <si>
    <t xml:space="preserve">Somme initiale </t>
  </si>
  <si>
    <t>Rest</t>
  </si>
  <si>
    <t xml:space="preserve">Nom </t>
  </si>
  <si>
    <t>Avance</t>
  </si>
  <si>
    <t>Rest à payer</t>
  </si>
  <si>
    <t>Nowara</t>
  </si>
  <si>
    <t>Gateau</t>
  </si>
  <si>
    <t>Prix unitaire</t>
  </si>
  <si>
    <t>Totale</t>
  </si>
  <si>
    <t>7alewet taba3</t>
  </si>
  <si>
    <t>7alwet taba3</t>
  </si>
  <si>
    <t>ka3ek na9ach</t>
  </si>
  <si>
    <t xml:space="preserve">Taba3 </t>
  </si>
  <si>
    <t>Na9ack</t>
  </si>
  <si>
    <t>Versé</t>
  </si>
  <si>
    <t>Reste à payer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</si>
</sst>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4.0"/>
      <color rgb="FF0000FF"/>
      <name val="Arial"/>
      <scheme val="minor"/>
    </font>
    <font>
      <b/>
      <sz val="14.0"/>
      <color rgb="FFFF0000"/>
      <name val="Arial"/>
      <scheme val="minor"/>
    </font>
    <font>
      <sz val="12.0"/>
      <color theme="1"/>
      <name val="Arial"/>
      <scheme val="minor"/>
    </font>
    <font/>
    <font>
      <b/>
      <color theme="1"/>
      <name val="Arial"/>
    </font>
    <font>
      <b/>
      <sz val="12.0"/>
      <color rgb="FF0000FF"/>
      <name val="Arial"/>
    </font>
    <font>
      <color theme="1"/>
      <name val="Arial"/>
      <scheme val="minor"/>
    </font>
    <font>
      <sz val="12.0"/>
      <color rgb="FF000000"/>
      <name val="Arial"/>
      <scheme val="minor"/>
    </font>
    <font>
      <sz val="12.0"/>
      <color rgb="FFFF00FF"/>
      <name val="Arial"/>
      <scheme val="minor"/>
    </font>
    <font>
      <b/>
      <sz val="12.0"/>
      <color rgb="FF434343"/>
      <name val="Arial"/>
    </font>
    <font>
      <sz val="12.0"/>
      <color rgb="FF434343"/>
      <name val="Arial"/>
    </font>
    <font>
      <sz val="12.0"/>
      <color rgb="FF434343"/>
      <name val="Arial"/>
      <scheme val="minor"/>
    </font>
    <font>
      <b/>
      <sz val="14.0"/>
      <color rgb="FFFF0000"/>
      <name val="Arial"/>
    </font>
    <font>
      <b/>
      <sz val="12.0"/>
      <color rgb="FFFF0000"/>
      <name val="Arial"/>
    </font>
    <font>
      <b/>
      <sz val="14.0"/>
      <color theme="1"/>
      <name val="Arial"/>
      <scheme val="minor"/>
    </font>
    <font>
      <b/>
      <sz val="14.0"/>
      <color rgb="FF1C4587"/>
      <name val="Arial"/>
    </font>
    <font>
      <sz val="14.0"/>
      <color theme="1"/>
      <name val="Arial"/>
      <scheme val="minor"/>
    </font>
    <font>
      <b/>
      <sz val="18.0"/>
      <color theme="1"/>
      <name val="Arial"/>
    </font>
    <font>
      <sz val="14.0"/>
      <color theme="1"/>
      <name val="Arial"/>
    </font>
    <font>
      <sz val="1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3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horizontal="center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5" fontId="5" numFmtId="0" xfId="0" applyAlignment="1" applyFill="1" applyFont="1">
      <alignment horizontal="center" readingOrder="0"/>
    </xf>
    <xf borderId="0" fillId="5" fontId="6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0" fillId="6" fontId="4" numFmtId="165" xfId="0" applyAlignment="1" applyFill="1" applyFont="1" applyNumberForma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7" numFmtId="165" xfId="0" applyAlignment="1" applyFont="1" applyNumberFormat="1">
      <alignment horizontal="center" readingOrder="0"/>
    </xf>
    <xf borderId="1" fillId="5" fontId="2" numFmtId="0" xfId="0" applyAlignment="1" applyBorder="1" applyFont="1">
      <alignment horizontal="center" vertical="bottom"/>
    </xf>
    <xf borderId="1" fillId="5" fontId="3" numFmtId="164" xfId="0" applyAlignment="1" applyBorder="1" applyFont="1" applyNumberFormat="1">
      <alignment horizontal="right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7" fontId="4" numFmtId="165" xfId="0" applyAlignment="1" applyFill="1" applyFont="1" applyNumberFormat="1">
      <alignment horizontal="center" vertical="bottom"/>
    </xf>
    <xf borderId="0" fillId="0" fontId="4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1" fillId="7" fontId="2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horizontal="right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6" fontId="3" numFmtId="165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3" fillId="0" fontId="8" numFmtId="0" xfId="0" applyBorder="1" applyFont="1"/>
    <xf borderId="1" fillId="11" fontId="9" numFmtId="9" xfId="0" applyAlignment="1" applyBorder="1" applyFill="1" applyFont="1" applyNumberFormat="1">
      <alignment horizontal="center" vertical="bottom"/>
    </xf>
    <xf borderId="1" fillId="12" fontId="9" numFmtId="10" xfId="0" applyAlignment="1" applyBorder="1" applyFill="1" applyFont="1" applyNumberFormat="1">
      <alignment horizontal="center" vertical="bottom"/>
    </xf>
    <xf borderId="0" fillId="6" fontId="2" numFmtId="0" xfId="0" applyAlignment="1" applyFont="1">
      <alignment horizontal="center" vertical="bottom"/>
    </xf>
    <xf borderId="1" fillId="6" fontId="10" numFmtId="0" xfId="0" applyAlignment="1" applyBorder="1" applyFont="1">
      <alignment horizontal="center" vertical="bottom"/>
    </xf>
    <xf borderId="1" fillId="6" fontId="10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vertical="bottom"/>
    </xf>
    <xf borderId="1" fillId="3" fontId="7" numFmtId="0" xfId="0" applyAlignment="1" applyBorder="1" applyFont="1">
      <alignment readingOrder="0"/>
    </xf>
    <xf borderId="1" fillId="0" fontId="11" numFmtId="0" xfId="0" applyBorder="1" applyFont="1"/>
    <xf borderId="1" fillId="0" fontId="7" numFmtId="0" xfId="0" applyAlignment="1" applyBorder="1" applyFont="1">
      <alignment readingOrder="0"/>
    </xf>
    <xf borderId="1" fillId="5" fontId="7" numFmtId="0" xfId="0" applyAlignment="1" applyBorder="1" applyFont="1">
      <alignment readingOrder="0"/>
    </xf>
    <xf borderId="1" fillId="7" fontId="7" numFmtId="0" xfId="0" applyAlignment="1" applyBorder="1" applyFont="1">
      <alignment readingOrder="0"/>
    </xf>
    <xf borderId="1" fillId="7" fontId="1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5" fontId="12" numFmtId="0" xfId="0" applyAlignment="1" applyBorder="1" applyFont="1">
      <alignment readingOrder="0"/>
    </xf>
    <xf borderId="1" fillId="4" fontId="14" numFmtId="0" xfId="0" applyAlignment="1" applyBorder="1" applyFont="1">
      <alignment horizontal="center" readingOrder="0" vertical="bottom"/>
    </xf>
    <xf borderId="1" fillId="4" fontId="15" numFmtId="164" xfId="0" applyAlignment="1" applyBorder="1" applyFont="1" applyNumberFormat="1">
      <alignment horizontal="right" readingOrder="0" vertical="bottom"/>
    </xf>
    <xf borderId="1" fillId="0" fontId="16" numFmtId="0" xfId="0" applyAlignment="1" applyBorder="1" applyFont="1">
      <alignment readingOrder="0"/>
    </xf>
    <xf borderId="0" fillId="0" fontId="7" numFmtId="164" xfId="0" applyAlignment="1" applyFont="1" applyNumberFormat="1">
      <alignment horizontal="center" readingOrder="0"/>
    </xf>
    <xf borderId="0" fillId="4" fontId="1" numFmtId="0" xfId="0" applyAlignment="1" applyFont="1">
      <alignment vertical="bottom"/>
    </xf>
    <xf borderId="1" fillId="7" fontId="17" numFmtId="0" xfId="0" applyAlignment="1" applyBorder="1" applyFont="1">
      <alignment horizontal="center" vertical="bottom"/>
    </xf>
    <xf borderId="1" fillId="7" fontId="18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readingOrder="0"/>
    </xf>
    <xf borderId="1" fillId="7" fontId="20" numFmtId="0" xfId="0" applyAlignment="1" applyBorder="1" applyFont="1">
      <alignment horizontal="center" vertical="bottom"/>
    </xf>
    <xf borderId="1" fillId="7" fontId="20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0" fontId="21" numFmtId="165" xfId="0" applyAlignment="1" applyBorder="1" applyFont="1" applyNumberFormat="1">
      <alignment horizontal="center" readingOrder="0"/>
    </xf>
    <xf borderId="0" fillId="7" fontId="22" numFmtId="0" xfId="0" applyAlignment="1" applyFont="1">
      <alignment horizontal="center" vertical="bottom"/>
    </xf>
    <xf borderId="1" fillId="7" fontId="22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/>
    </xf>
    <xf borderId="1" fillId="0" fontId="21" numFmtId="164" xfId="0" applyAlignment="1" applyBorder="1" applyFont="1" applyNumberFormat="1">
      <alignment horizontal="center" readingOrder="0"/>
    </xf>
    <xf borderId="0" fillId="0" fontId="11" numFmtId="0" xfId="0" applyAlignment="1" applyFont="1">
      <alignment readingOrder="0"/>
    </xf>
    <xf borderId="1" fillId="0" fontId="21" numFmtId="0" xfId="0" applyAlignment="1" applyBorder="1" applyFont="1">
      <alignment horizontal="center"/>
    </xf>
    <xf borderId="0" fillId="5" fontId="17" numFmtId="0" xfId="0" applyAlignment="1" applyFont="1">
      <alignment horizontal="center" vertical="bottom"/>
    </xf>
    <xf borderId="1" fillId="5" fontId="17" numFmtId="0" xfId="0" applyAlignment="1" applyBorder="1" applyFont="1">
      <alignment horizontal="center" vertical="bottom"/>
    </xf>
    <xf borderId="1" fillId="6" fontId="23" numFmtId="165" xfId="0" applyAlignment="1" applyBorder="1" applyFont="1" applyNumberFormat="1">
      <alignment horizontal="center" vertical="bottom"/>
    </xf>
    <xf borderId="1" fillId="7" fontId="4" numFmtId="165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 vertical="bottom"/>
    </xf>
    <xf borderId="1" fillId="0" fontId="23" numFmtId="165" xfId="0" applyAlignment="1" applyBorder="1" applyFont="1" applyNumberFormat="1">
      <alignment horizontal="center" vertical="bottom"/>
    </xf>
    <xf borderId="1" fillId="0" fontId="23" numFmtId="165" xfId="0" applyAlignment="1" applyBorder="1" applyFont="1" applyNumberFormat="1">
      <alignment horizontal="center" readingOrder="0" vertical="bottom"/>
    </xf>
    <xf borderId="1" fillId="0" fontId="21" numFmtId="165" xfId="0" applyAlignment="1" applyBorder="1" applyFont="1" applyNumberFormat="1">
      <alignment horizontal="center"/>
    </xf>
    <xf borderId="1" fillId="0" fontId="23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7" fontId="24" numFmtId="0" xfId="0" applyAlignment="1" applyBorder="1" applyFont="1">
      <alignment horizontal="center" vertical="bottom"/>
    </xf>
    <xf borderId="1" fillId="7" fontId="24" numFmtId="165" xfId="0" applyAlignment="1" applyBorder="1" applyFont="1" applyNumberFormat="1">
      <alignment horizontal="center" vertical="bottom"/>
    </xf>
    <xf borderId="0" fillId="8" fontId="24" numFmtId="165" xfId="0" applyAlignment="1" applyFont="1" applyNumberForma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6" fontId="24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7" fontId="23" numFmtId="0" xfId="0" applyAlignment="1" applyFont="1">
      <alignment horizontal="center" vertical="bottom"/>
    </xf>
    <xf borderId="1" fillId="7" fontId="2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8" numFmtId="0" xfId="0" applyBorder="1" applyFont="1"/>
    <xf borderId="1" fillId="0" fontId="23" numFmtId="164" xfId="0" applyAlignment="1" applyBorder="1" applyFont="1" applyNumberFormat="1">
      <alignment horizontal="center" readingOrder="0" vertical="bottom"/>
    </xf>
    <xf borderId="1" fillId="6" fontId="23" numFmtId="0" xfId="0" applyAlignment="1" applyBorder="1" applyFont="1">
      <alignment horizontal="center" vertical="bottom"/>
    </xf>
    <xf borderId="1" fillId="8" fontId="23" numFmtId="165" xfId="0" applyAlignment="1" applyBorder="1" applyFont="1" applyNumberFormat="1">
      <alignment horizontal="center" vertical="bottom"/>
    </xf>
    <xf borderId="0" fillId="7" fontId="3" numFmtId="0" xfId="0" applyAlignment="1" applyFont="1">
      <alignment horizontal="center" vertical="bottom"/>
    </xf>
    <xf borderId="0" fillId="7" fontId="3" numFmtId="0" xfId="0" applyAlignment="1" applyFont="1">
      <alignment horizontal="right" readingOrder="0" vertical="bottom"/>
    </xf>
    <xf borderId="0" fillId="5" fontId="3" numFmtId="0" xfId="0" applyAlignment="1" applyFont="1">
      <alignment horizontal="center" vertical="bottom"/>
    </xf>
    <xf borderId="0" fillId="5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8.88"/>
    <col customWidth="1" min="13" max="13" width="16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>
      <c r="A2" s="4" t="s">
        <v>7</v>
      </c>
      <c r="B2" s="5">
        <v>44044.0</v>
      </c>
      <c r="C2" s="6">
        <v>0.0</v>
      </c>
      <c r="D2" s="7"/>
      <c r="E2" s="7"/>
      <c r="F2" s="7"/>
      <c r="G2" s="7"/>
      <c r="H2" s="8">
        <v>0.0</v>
      </c>
    </row>
    <row r="3">
      <c r="A3" s="4" t="s">
        <v>8</v>
      </c>
      <c r="B3" s="5">
        <v>44045.0</v>
      </c>
      <c r="C3" s="6">
        <v>0.0</v>
      </c>
      <c r="D3" s="7"/>
      <c r="E3" s="7"/>
      <c r="F3" s="7"/>
      <c r="G3" s="7"/>
      <c r="H3" s="8">
        <v>0.0</v>
      </c>
    </row>
    <row r="4">
      <c r="A4" s="9" t="s">
        <v>9</v>
      </c>
      <c r="B4" s="10">
        <v>44046.0</v>
      </c>
      <c r="C4" s="11">
        <v>16000.0</v>
      </c>
      <c r="D4" s="12"/>
      <c r="E4" s="12"/>
      <c r="F4" s="12"/>
      <c r="G4" s="12"/>
      <c r="H4" s="13">
        <v>1.0</v>
      </c>
      <c r="L4" s="14" t="s">
        <v>10</v>
      </c>
      <c r="Q4" s="15" t="s">
        <v>11</v>
      </c>
      <c r="R4" s="16" t="s">
        <v>12</v>
      </c>
    </row>
    <row r="5">
      <c r="A5" s="9" t="s">
        <v>13</v>
      </c>
      <c r="B5" s="10">
        <v>44047.0</v>
      </c>
      <c r="C5" s="11">
        <v>10000.0</v>
      </c>
      <c r="D5" s="12"/>
      <c r="E5" s="12"/>
      <c r="F5" s="12"/>
      <c r="G5" s="12"/>
      <c r="H5" s="17">
        <v>1.0</v>
      </c>
      <c r="L5" s="18">
        <f>C33/H33</f>
        <v>19560</v>
      </c>
      <c r="Q5" s="19">
        <v>43000.0</v>
      </c>
      <c r="R5" s="20">
        <v>24000.0</v>
      </c>
    </row>
    <row r="6">
      <c r="A6" s="9" t="s">
        <v>14</v>
      </c>
      <c r="B6" s="10">
        <v>44048.0</v>
      </c>
      <c r="C6" s="11">
        <v>15000.0</v>
      </c>
      <c r="D6" s="12"/>
      <c r="E6" s="12"/>
      <c r="F6" s="12"/>
      <c r="G6" s="12"/>
      <c r="H6" s="17">
        <v>1.0</v>
      </c>
    </row>
    <row r="7">
      <c r="A7" s="9" t="s">
        <v>15</v>
      </c>
      <c r="B7" s="10">
        <v>44049.0</v>
      </c>
      <c r="C7" s="11">
        <v>25000.0</v>
      </c>
      <c r="D7" s="12"/>
      <c r="E7" s="12"/>
      <c r="F7" s="12"/>
      <c r="G7" s="12"/>
      <c r="H7" s="17">
        <v>1.0</v>
      </c>
      <c r="Q7" s="19">
        <v>10000.0</v>
      </c>
      <c r="R7" s="20">
        <v>45200.0</v>
      </c>
    </row>
    <row r="8">
      <c r="A8" s="21" t="s">
        <v>16</v>
      </c>
      <c r="B8" s="22">
        <v>44050.0</v>
      </c>
      <c r="C8" s="23">
        <v>0.0</v>
      </c>
      <c r="D8" s="24">
        <v>0.0</v>
      </c>
      <c r="E8" s="24">
        <v>0.0</v>
      </c>
      <c r="F8" s="24">
        <v>0.0</v>
      </c>
      <c r="G8" s="24">
        <v>0.0</v>
      </c>
      <c r="H8" s="25">
        <v>0.0</v>
      </c>
    </row>
    <row r="9">
      <c r="A9" s="9" t="s">
        <v>7</v>
      </c>
      <c r="B9" s="10">
        <v>44051.0</v>
      </c>
      <c r="C9" s="11">
        <v>12000.0</v>
      </c>
      <c r="D9" s="12"/>
      <c r="E9" s="12"/>
      <c r="F9" s="12"/>
      <c r="G9" s="12"/>
      <c r="H9" s="17">
        <v>1.0</v>
      </c>
    </row>
    <row r="10">
      <c r="A10" s="9" t="s">
        <v>8</v>
      </c>
      <c r="B10" s="10">
        <v>44052.0</v>
      </c>
      <c r="C10" s="11">
        <v>13000.0</v>
      </c>
      <c r="D10" s="12"/>
      <c r="E10" s="12"/>
      <c r="F10" s="12"/>
      <c r="G10" s="12"/>
      <c r="H10" s="17">
        <v>1.0</v>
      </c>
    </row>
    <row r="11">
      <c r="A11" s="9" t="s">
        <v>9</v>
      </c>
      <c r="B11" s="10">
        <v>44053.0</v>
      </c>
      <c r="C11" s="11">
        <v>16000.0</v>
      </c>
      <c r="D11" s="12"/>
      <c r="E11" s="12"/>
      <c r="F11" s="12"/>
      <c r="G11" s="12"/>
      <c r="H11" s="17">
        <v>1.0</v>
      </c>
    </row>
    <row r="12">
      <c r="A12" s="9" t="s">
        <v>13</v>
      </c>
      <c r="B12" s="10">
        <v>44054.0</v>
      </c>
      <c r="C12" s="11">
        <v>12000.0</v>
      </c>
      <c r="D12" s="12"/>
      <c r="E12" s="12"/>
      <c r="F12" s="12"/>
      <c r="G12" s="12"/>
      <c r="H12" s="17">
        <v>1.0</v>
      </c>
    </row>
    <row r="13">
      <c r="A13" s="9" t="s">
        <v>14</v>
      </c>
      <c r="B13" s="10">
        <v>44055.0</v>
      </c>
      <c r="C13" s="11">
        <v>17000.0</v>
      </c>
      <c r="D13" s="12"/>
      <c r="E13" s="12"/>
      <c r="F13" s="12"/>
      <c r="G13" s="12"/>
      <c r="H13" s="17">
        <v>1.0</v>
      </c>
    </row>
    <row r="14">
      <c r="A14" s="9" t="s">
        <v>15</v>
      </c>
      <c r="B14" s="10">
        <v>44056.0</v>
      </c>
      <c r="C14" s="11">
        <v>31000.0</v>
      </c>
      <c r="D14" s="12"/>
      <c r="E14" s="12"/>
      <c r="F14" s="12"/>
      <c r="G14" s="12"/>
      <c r="H14" s="17">
        <v>1.0</v>
      </c>
    </row>
    <row r="15">
      <c r="A15" s="21" t="s">
        <v>16</v>
      </c>
      <c r="B15" s="22">
        <v>44057.0</v>
      </c>
      <c r="C15" s="23">
        <v>0.0</v>
      </c>
      <c r="D15" s="24">
        <v>0.0</v>
      </c>
      <c r="E15" s="24">
        <v>0.0</v>
      </c>
      <c r="F15" s="24">
        <v>0.0</v>
      </c>
      <c r="G15" s="24">
        <v>0.0</v>
      </c>
      <c r="H15" s="25">
        <v>0.0</v>
      </c>
    </row>
    <row r="16">
      <c r="A16" s="9" t="s">
        <v>7</v>
      </c>
      <c r="B16" s="10">
        <v>44058.0</v>
      </c>
      <c r="C16" s="11">
        <v>11000.0</v>
      </c>
      <c r="D16" s="12"/>
      <c r="E16" s="12"/>
      <c r="F16" s="12"/>
      <c r="G16" s="12"/>
      <c r="H16" s="17">
        <v>1.0</v>
      </c>
      <c r="L16" s="26" t="s">
        <v>17</v>
      </c>
      <c r="M16" s="27" t="s">
        <v>18</v>
      </c>
    </row>
    <row r="17">
      <c r="A17" s="9" t="s">
        <v>8</v>
      </c>
      <c r="B17" s="10">
        <v>44059.0</v>
      </c>
      <c r="C17" s="11">
        <v>8000.0</v>
      </c>
      <c r="D17" s="12"/>
      <c r="E17" s="12"/>
      <c r="F17" s="12"/>
      <c r="G17" s="12"/>
      <c r="H17" s="17">
        <v>1.0</v>
      </c>
      <c r="L17" s="28">
        <f>C33+Charges!H83-Charges!H82-Salaires!K20-M17-Q7-R7</f>
        <v>165000</v>
      </c>
      <c r="M17" s="29">
        <v>4000.0</v>
      </c>
    </row>
    <row r="18">
      <c r="A18" s="9" t="s">
        <v>9</v>
      </c>
      <c r="B18" s="10">
        <v>44060.0</v>
      </c>
      <c r="C18" s="11">
        <v>15000.0</v>
      </c>
      <c r="D18" s="12"/>
      <c r="E18" s="12"/>
      <c r="F18" s="12"/>
      <c r="G18" s="12"/>
      <c r="H18" s="17">
        <v>1.0</v>
      </c>
      <c r="L18" s="30"/>
      <c r="M18" s="31"/>
    </row>
    <row r="19">
      <c r="A19" s="9" t="s">
        <v>13</v>
      </c>
      <c r="B19" s="10">
        <v>44061.0</v>
      </c>
      <c r="C19" s="11">
        <v>15000.0</v>
      </c>
      <c r="D19" s="12"/>
      <c r="E19" s="12"/>
      <c r="F19" s="12"/>
      <c r="G19" s="12"/>
      <c r="H19" s="17">
        <v>1.0</v>
      </c>
    </row>
    <row r="20">
      <c r="A20" s="32" t="s">
        <v>14</v>
      </c>
      <c r="B20" s="33">
        <v>44062.0</v>
      </c>
      <c r="C20" s="34">
        <v>41000.0</v>
      </c>
      <c r="D20" s="35"/>
      <c r="E20" s="35"/>
      <c r="F20" s="35"/>
      <c r="G20" s="35"/>
      <c r="H20" s="36">
        <v>1.0</v>
      </c>
    </row>
    <row r="21">
      <c r="A21" s="32" t="s">
        <v>15</v>
      </c>
      <c r="B21" s="33">
        <v>44063.0</v>
      </c>
      <c r="C21" s="34">
        <v>33000.0</v>
      </c>
      <c r="D21" s="35"/>
      <c r="E21" s="35"/>
      <c r="F21" s="35"/>
      <c r="G21" s="35"/>
      <c r="H21" s="36">
        <v>1.0</v>
      </c>
    </row>
    <row r="22">
      <c r="A22" s="21" t="s">
        <v>16</v>
      </c>
      <c r="B22" s="22">
        <v>44064.0</v>
      </c>
      <c r="C22" s="23">
        <v>0.0</v>
      </c>
      <c r="D22" s="24">
        <v>0.0</v>
      </c>
      <c r="E22" s="24">
        <v>0.0</v>
      </c>
      <c r="F22" s="24">
        <v>0.0</v>
      </c>
      <c r="G22" s="24">
        <v>0.0</v>
      </c>
      <c r="H22" s="25">
        <v>0.0</v>
      </c>
    </row>
    <row r="23">
      <c r="A23" s="9" t="s">
        <v>19</v>
      </c>
      <c r="B23" s="10">
        <v>44065.0</v>
      </c>
      <c r="C23" s="11">
        <v>23000.0</v>
      </c>
      <c r="D23" s="12"/>
      <c r="E23" s="12"/>
      <c r="F23" s="12"/>
      <c r="G23" s="12"/>
      <c r="H23" s="17">
        <v>1.0</v>
      </c>
    </row>
    <row r="24">
      <c r="A24" s="9" t="s">
        <v>20</v>
      </c>
      <c r="B24" s="10">
        <v>44066.0</v>
      </c>
      <c r="C24" s="11">
        <v>14000.0</v>
      </c>
      <c r="D24" s="12"/>
      <c r="E24" s="12"/>
      <c r="F24" s="12"/>
      <c r="G24" s="12"/>
      <c r="H24" s="17">
        <v>1.0</v>
      </c>
    </row>
    <row r="25">
      <c r="A25" s="9" t="s">
        <v>21</v>
      </c>
      <c r="B25" s="10">
        <v>44067.0</v>
      </c>
      <c r="C25" s="11">
        <v>14000.0</v>
      </c>
      <c r="D25" s="12"/>
      <c r="E25" s="12"/>
      <c r="F25" s="12"/>
      <c r="G25" s="12"/>
      <c r="H25" s="17">
        <v>1.0</v>
      </c>
    </row>
    <row r="26">
      <c r="A26" s="9" t="s">
        <v>22</v>
      </c>
      <c r="B26" s="10">
        <v>44068.0</v>
      </c>
      <c r="C26" s="11">
        <v>16000.0</v>
      </c>
      <c r="D26" s="12"/>
      <c r="E26" s="12"/>
      <c r="F26" s="12"/>
      <c r="G26" s="12"/>
      <c r="H26" s="17">
        <v>1.0</v>
      </c>
    </row>
    <row r="27">
      <c r="A27" s="9" t="s">
        <v>23</v>
      </c>
      <c r="B27" s="10">
        <v>44069.0</v>
      </c>
      <c r="C27" s="11">
        <v>20000.0</v>
      </c>
      <c r="D27" s="12"/>
      <c r="E27" s="12"/>
      <c r="F27" s="12"/>
      <c r="G27" s="12"/>
      <c r="H27" s="17">
        <v>1.0</v>
      </c>
    </row>
    <row r="28">
      <c r="A28" s="32" t="s">
        <v>24</v>
      </c>
      <c r="B28" s="33">
        <v>44070.0</v>
      </c>
      <c r="C28" s="34">
        <v>43000.0</v>
      </c>
      <c r="D28" s="35"/>
      <c r="E28" s="35"/>
      <c r="F28" s="35"/>
      <c r="G28" s="35"/>
      <c r="H28" s="36">
        <v>1.0</v>
      </c>
    </row>
    <row r="29">
      <c r="A29" s="37" t="s">
        <v>16</v>
      </c>
      <c r="B29" s="22">
        <v>44071.0</v>
      </c>
      <c r="C29" s="38">
        <v>4000.0</v>
      </c>
      <c r="D29" s="24"/>
      <c r="E29" s="24"/>
      <c r="F29" s="24"/>
      <c r="G29" s="24"/>
      <c r="H29" s="39">
        <v>0.0</v>
      </c>
    </row>
    <row r="30">
      <c r="A30" s="40" t="s">
        <v>19</v>
      </c>
      <c r="B30" s="10">
        <v>44072.0</v>
      </c>
      <c r="C30" s="11">
        <v>24000.0</v>
      </c>
      <c r="D30" s="41"/>
      <c r="E30" s="41"/>
      <c r="F30" s="41"/>
      <c r="G30" s="41"/>
      <c r="H30" s="42">
        <v>1.0</v>
      </c>
    </row>
    <row r="31">
      <c r="A31" s="40" t="s">
        <v>20</v>
      </c>
      <c r="B31" s="10">
        <v>44073.0</v>
      </c>
      <c r="C31" s="11">
        <v>16000.0</v>
      </c>
      <c r="D31" s="41"/>
      <c r="E31" s="41"/>
      <c r="F31" s="41"/>
      <c r="G31" s="41"/>
      <c r="H31" s="42">
        <v>1.0</v>
      </c>
    </row>
    <row r="32">
      <c r="A32" s="40" t="s">
        <v>21</v>
      </c>
      <c r="B32" s="10">
        <v>44074.0</v>
      </c>
      <c r="C32" s="11">
        <v>25000.0</v>
      </c>
      <c r="D32" s="41"/>
      <c r="E32" s="41"/>
      <c r="F32" s="41"/>
      <c r="G32" s="41"/>
      <c r="H32" s="42">
        <v>1.0</v>
      </c>
    </row>
    <row r="33">
      <c r="A33" s="43" t="s">
        <v>25</v>
      </c>
      <c r="B33" s="10"/>
      <c r="C33" s="44">
        <f>SUM(C2:C32)</f>
        <v>489000</v>
      </c>
      <c r="D33" s="45">
        <f>Charges!H82*1</f>
        <v>198400</v>
      </c>
      <c r="E33" s="46">
        <f>Salaires!J20*1</f>
        <v>122800</v>
      </c>
      <c r="F33" s="23">
        <v>77000.0</v>
      </c>
      <c r="G33" s="47">
        <f>C33-D33-E33-F33</f>
        <v>90800</v>
      </c>
      <c r="H33" s="48">
        <f>SUM(H2:H32)</f>
        <v>25</v>
      </c>
    </row>
    <row r="34">
      <c r="A34" s="49" t="s">
        <v>26</v>
      </c>
      <c r="B34" s="50"/>
      <c r="C34" s="51">
        <v>1.0</v>
      </c>
      <c r="D34" s="52">
        <f>D33/C33</f>
        <v>0.4057259714</v>
      </c>
      <c r="E34" s="52">
        <f>E33/C33</f>
        <v>0.2511247444</v>
      </c>
      <c r="F34" s="52">
        <f>F33/C33</f>
        <v>0.1574642127</v>
      </c>
      <c r="G34" s="52">
        <f>G33/C33</f>
        <v>0.1856850716</v>
      </c>
      <c r="H34" s="31"/>
    </row>
    <row r="35">
      <c r="A35" s="31"/>
      <c r="B35" s="31"/>
      <c r="C35" s="31"/>
      <c r="D35" s="31"/>
      <c r="E35" s="31"/>
      <c r="F35" s="31"/>
      <c r="G35" s="31"/>
      <c r="H35" s="31"/>
    </row>
  </sheetData>
  <mergeCells count="1"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5"/>
    <col customWidth="1" min="14" max="14" width="18.0"/>
  </cols>
  <sheetData>
    <row r="1">
      <c r="A1" s="53"/>
      <c r="B1" s="53" t="s">
        <v>0</v>
      </c>
      <c r="C1" s="54" t="s">
        <v>27</v>
      </c>
      <c r="D1" s="54" t="s">
        <v>28</v>
      </c>
      <c r="E1" s="54" t="s">
        <v>12</v>
      </c>
      <c r="F1" s="54" t="s">
        <v>29</v>
      </c>
      <c r="G1" s="55" t="s">
        <v>30</v>
      </c>
      <c r="H1" s="55" t="s">
        <v>31</v>
      </c>
      <c r="I1" s="54" t="s">
        <v>32</v>
      </c>
      <c r="J1" s="54" t="s">
        <v>33</v>
      </c>
      <c r="K1" s="56" t="s">
        <v>34</v>
      </c>
    </row>
    <row r="2">
      <c r="A2" s="4" t="s">
        <v>7</v>
      </c>
      <c r="B2" s="5">
        <v>44044.0</v>
      </c>
      <c r="C2" s="57">
        <v>0.0</v>
      </c>
      <c r="D2" s="57">
        <v>0.0</v>
      </c>
      <c r="E2" s="57">
        <v>0.0</v>
      </c>
      <c r="F2" s="57">
        <v>0.0</v>
      </c>
      <c r="G2" s="57">
        <v>0.0</v>
      </c>
      <c r="H2" s="57">
        <v>0.0</v>
      </c>
      <c r="I2" s="57">
        <v>0.0</v>
      </c>
      <c r="J2" s="57">
        <v>0.0</v>
      </c>
      <c r="K2" s="58"/>
    </row>
    <row r="3">
      <c r="A3" s="4" t="s">
        <v>8</v>
      </c>
      <c r="B3" s="5">
        <v>44045.0</v>
      </c>
      <c r="C3" s="57">
        <v>0.0</v>
      </c>
      <c r="D3" s="57">
        <v>0.0</v>
      </c>
      <c r="E3" s="57">
        <v>0.0</v>
      </c>
      <c r="F3" s="57">
        <v>0.0</v>
      </c>
      <c r="G3" s="57">
        <v>0.0</v>
      </c>
      <c r="H3" s="57">
        <v>0.0</v>
      </c>
      <c r="I3" s="57">
        <v>0.0</v>
      </c>
      <c r="J3" s="57">
        <v>0.0</v>
      </c>
      <c r="K3" s="58"/>
    </row>
    <row r="4">
      <c r="A4" s="9" t="s">
        <v>9</v>
      </c>
      <c r="B4" s="10">
        <v>44046.0</v>
      </c>
      <c r="C4" s="59">
        <v>1.0</v>
      </c>
      <c r="D4" s="59">
        <v>0.0</v>
      </c>
      <c r="E4" s="59">
        <v>0.0</v>
      </c>
      <c r="F4" s="59">
        <v>1.0</v>
      </c>
      <c r="G4" s="59">
        <v>0.0</v>
      </c>
      <c r="H4" s="59">
        <v>0.0</v>
      </c>
      <c r="I4" s="59">
        <v>1.0</v>
      </c>
      <c r="J4" s="59">
        <v>0.0</v>
      </c>
      <c r="K4" s="58"/>
    </row>
    <row r="5">
      <c r="A5" s="9" t="s">
        <v>13</v>
      </c>
      <c r="B5" s="10">
        <v>44047.0</v>
      </c>
      <c r="C5" s="59">
        <v>1.0</v>
      </c>
      <c r="D5" s="59">
        <v>0.0</v>
      </c>
      <c r="E5" s="59">
        <v>1.0</v>
      </c>
      <c r="F5" s="59">
        <v>1.0</v>
      </c>
      <c r="G5" s="59">
        <v>0.0</v>
      </c>
      <c r="H5" s="59">
        <v>0.0</v>
      </c>
      <c r="I5" s="59">
        <v>0.0</v>
      </c>
      <c r="J5" s="59">
        <v>0.0</v>
      </c>
      <c r="K5" s="58"/>
    </row>
    <row r="6">
      <c r="A6" s="9" t="s">
        <v>14</v>
      </c>
      <c r="B6" s="10">
        <v>44048.0</v>
      </c>
      <c r="C6" s="59">
        <v>1.0</v>
      </c>
      <c r="D6" s="59">
        <v>1.0</v>
      </c>
      <c r="E6" s="59">
        <v>1.0</v>
      </c>
      <c r="F6" s="59">
        <v>1.0</v>
      </c>
      <c r="G6" s="59">
        <v>0.0</v>
      </c>
      <c r="H6" s="59">
        <v>0.0</v>
      </c>
      <c r="I6" s="59">
        <v>1.0</v>
      </c>
      <c r="J6" s="59">
        <v>0.0</v>
      </c>
      <c r="K6" s="58"/>
    </row>
    <row r="7">
      <c r="A7" s="9" t="s">
        <v>15</v>
      </c>
      <c r="B7" s="10">
        <v>44049.0</v>
      </c>
      <c r="C7" s="59">
        <v>1.0</v>
      </c>
      <c r="D7" s="59">
        <v>1.0</v>
      </c>
      <c r="E7" s="59">
        <v>1.0</v>
      </c>
      <c r="F7" s="59">
        <v>1.0</v>
      </c>
      <c r="G7" s="59">
        <v>0.0</v>
      </c>
      <c r="H7" s="59">
        <v>0.0</v>
      </c>
      <c r="I7" s="59">
        <v>1.0</v>
      </c>
      <c r="J7" s="59">
        <v>0.0</v>
      </c>
      <c r="K7" s="58"/>
    </row>
    <row r="8">
      <c r="A8" s="21" t="s">
        <v>16</v>
      </c>
      <c r="B8" s="22">
        <v>44050.0</v>
      </c>
      <c r="C8" s="60">
        <v>0.0</v>
      </c>
      <c r="D8" s="60">
        <v>0.0</v>
      </c>
      <c r="E8" s="60">
        <v>0.0</v>
      </c>
      <c r="F8" s="60">
        <v>0.0</v>
      </c>
      <c r="G8" s="60">
        <v>0.0</v>
      </c>
      <c r="H8" s="60">
        <v>0.0</v>
      </c>
      <c r="I8" s="60">
        <v>0.0</v>
      </c>
      <c r="J8" s="60">
        <v>0.0</v>
      </c>
      <c r="K8" s="58"/>
    </row>
    <row r="9">
      <c r="A9" s="9" t="s">
        <v>7</v>
      </c>
      <c r="B9" s="10">
        <v>44051.0</v>
      </c>
      <c r="C9" s="59">
        <v>1.0</v>
      </c>
      <c r="D9" s="59">
        <v>0.0</v>
      </c>
      <c r="E9" s="59">
        <v>1.0</v>
      </c>
      <c r="F9" s="59">
        <v>1.0</v>
      </c>
      <c r="G9" s="59">
        <v>0.0</v>
      </c>
      <c r="H9" s="59">
        <v>0.0</v>
      </c>
      <c r="I9" s="59">
        <v>1.0</v>
      </c>
      <c r="J9" s="59">
        <v>1.0</v>
      </c>
      <c r="K9" s="58"/>
    </row>
    <row r="10">
      <c r="A10" s="9" t="s">
        <v>8</v>
      </c>
      <c r="B10" s="10">
        <v>44052.0</v>
      </c>
      <c r="C10" s="59">
        <v>1.0</v>
      </c>
      <c r="D10" s="59">
        <v>1.0</v>
      </c>
      <c r="E10" s="59">
        <v>1.0</v>
      </c>
      <c r="F10" s="59">
        <v>1.0</v>
      </c>
      <c r="G10" s="59">
        <v>0.0</v>
      </c>
      <c r="H10" s="59">
        <v>0.0</v>
      </c>
      <c r="I10" s="59">
        <v>1.0</v>
      </c>
      <c r="J10" s="59">
        <v>1.0</v>
      </c>
      <c r="K10" s="58"/>
    </row>
    <row r="11">
      <c r="A11" s="9" t="s">
        <v>9</v>
      </c>
      <c r="B11" s="10">
        <v>44053.0</v>
      </c>
      <c r="C11" s="59">
        <v>1.0</v>
      </c>
      <c r="D11" s="59">
        <v>1.0</v>
      </c>
      <c r="E11" s="59">
        <v>1.0</v>
      </c>
      <c r="F11" s="59">
        <v>1.0</v>
      </c>
      <c r="G11" s="59">
        <v>0.0</v>
      </c>
      <c r="H11" s="59">
        <v>0.0</v>
      </c>
      <c r="I11" s="59">
        <v>1.0</v>
      </c>
      <c r="J11" s="59">
        <v>1.0</v>
      </c>
      <c r="K11" s="58"/>
    </row>
    <row r="12">
      <c r="A12" s="9" t="s">
        <v>13</v>
      </c>
      <c r="B12" s="10">
        <v>44054.0</v>
      </c>
      <c r="C12" s="61">
        <v>0.0</v>
      </c>
      <c r="D12" s="59">
        <v>1.0</v>
      </c>
      <c r="E12" s="59">
        <v>1.0</v>
      </c>
      <c r="F12" s="59">
        <v>1.0</v>
      </c>
      <c r="G12" s="59">
        <v>0.0</v>
      </c>
      <c r="H12" s="59">
        <v>0.0</v>
      </c>
      <c r="I12" s="59">
        <v>1.0</v>
      </c>
      <c r="J12" s="59">
        <v>1.0</v>
      </c>
      <c r="K12" s="58"/>
    </row>
    <row r="13">
      <c r="A13" s="9" t="s">
        <v>14</v>
      </c>
      <c r="B13" s="10">
        <v>44055.0</v>
      </c>
      <c r="C13" s="61">
        <v>0.0</v>
      </c>
      <c r="D13" s="59">
        <v>1.0</v>
      </c>
      <c r="E13" s="59">
        <v>1.0</v>
      </c>
      <c r="F13" s="59">
        <v>1.0</v>
      </c>
      <c r="G13" s="59">
        <v>0.0</v>
      </c>
      <c r="H13" s="59">
        <v>0.0</v>
      </c>
      <c r="I13" s="59">
        <v>1.0</v>
      </c>
      <c r="J13" s="59">
        <v>1.0</v>
      </c>
      <c r="K13" s="58"/>
    </row>
    <row r="14">
      <c r="A14" s="9" t="s">
        <v>15</v>
      </c>
      <c r="B14" s="10">
        <v>44056.0</v>
      </c>
      <c r="C14" s="61">
        <v>0.0</v>
      </c>
      <c r="D14" s="59">
        <v>1.0</v>
      </c>
      <c r="E14" s="59">
        <v>1.0</v>
      </c>
      <c r="F14" s="59">
        <v>1.0</v>
      </c>
      <c r="G14" s="59">
        <v>0.0</v>
      </c>
      <c r="H14" s="59">
        <v>0.0</v>
      </c>
      <c r="I14" s="59">
        <v>1.0</v>
      </c>
      <c r="J14" s="59">
        <v>1.0</v>
      </c>
      <c r="K14" s="58"/>
    </row>
    <row r="15">
      <c r="A15" s="21" t="s">
        <v>16</v>
      </c>
      <c r="B15" s="22">
        <v>44057.0</v>
      </c>
      <c r="C15" s="61">
        <v>0.0</v>
      </c>
      <c r="D15" s="60">
        <v>0.0</v>
      </c>
      <c r="E15" s="60">
        <v>0.0</v>
      </c>
      <c r="F15" s="60">
        <v>0.0</v>
      </c>
      <c r="G15" s="60">
        <v>0.0</v>
      </c>
      <c r="H15" s="60">
        <v>0.0</v>
      </c>
      <c r="I15" s="61">
        <v>0.0</v>
      </c>
      <c r="J15" s="60">
        <v>0.0</v>
      </c>
      <c r="K15" s="58"/>
    </row>
    <row r="16">
      <c r="A16" s="9" t="s">
        <v>7</v>
      </c>
      <c r="B16" s="10">
        <v>44058.0</v>
      </c>
      <c r="C16" s="61">
        <v>0.0</v>
      </c>
      <c r="D16" s="59">
        <v>1.0</v>
      </c>
      <c r="E16" s="59">
        <v>1.0</v>
      </c>
      <c r="F16" s="59">
        <v>1.0</v>
      </c>
      <c r="G16" s="59">
        <v>0.0</v>
      </c>
      <c r="H16" s="59">
        <v>0.0</v>
      </c>
      <c r="I16" s="61">
        <v>0.0</v>
      </c>
      <c r="J16" s="59">
        <v>1.0</v>
      </c>
      <c r="K16" s="58"/>
    </row>
    <row r="17">
      <c r="A17" s="9" t="s">
        <v>8</v>
      </c>
      <c r="B17" s="10">
        <v>44059.0</v>
      </c>
      <c r="C17" s="61">
        <v>0.0</v>
      </c>
      <c r="D17" s="59">
        <v>1.0</v>
      </c>
      <c r="E17" s="59">
        <v>1.0</v>
      </c>
      <c r="F17" s="59">
        <v>1.0</v>
      </c>
      <c r="G17" s="59">
        <v>0.0</v>
      </c>
      <c r="H17" s="59">
        <v>0.0</v>
      </c>
      <c r="I17" s="61">
        <v>0.0</v>
      </c>
      <c r="J17" s="59">
        <v>1.0</v>
      </c>
      <c r="K17" s="58"/>
    </row>
    <row r="18">
      <c r="A18" s="9" t="s">
        <v>9</v>
      </c>
      <c r="B18" s="10">
        <v>44060.0</v>
      </c>
      <c r="C18" s="61">
        <v>0.0</v>
      </c>
      <c r="D18" s="59">
        <v>1.0</v>
      </c>
      <c r="E18" s="59">
        <v>1.0</v>
      </c>
      <c r="F18" s="59">
        <v>1.0</v>
      </c>
      <c r="G18" s="59">
        <v>0.0</v>
      </c>
      <c r="H18" s="59">
        <v>0.0</v>
      </c>
      <c r="I18" s="61">
        <v>0.0</v>
      </c>
      <c r="J18" s="59">
        <v>1.0</v>
      </c>
      <c r="K18" s="58"/>
    </row>
    <row r="19">
      <c r="A19" s="9" t="s">
        <v>13</v>
      </c>
      <c r="B19" s="10">
        <v>44061.0</v>
      </c>
      <c r="C19" s="61">
        <v>0.0</v>
      </c>
      <c r="D19" s="59">
        <v>1.0</v>
      </c>
      <c r="E19" s="59">
        <v>1.0</v>
      </c>
      <c r="F19" s="59">
        <v>1.0</v>
      </c>
      <c r="G19" s="59">
        <v>0.0</v>
      </c>
      <c r="H19" s="59">
        <v>0.0</v>
      </c>
      <c r="I19" s="61">
        <v>0.0</v>
      </c>
      <c r="J19" s="59">
        <v>1.0</v>
      </c>
      <c r="K19" s="58"/>
    </row>
    <row r="20">
      <c r="A20" s="9" t="s">
        <v>14</v>
      </c>
      <c r="B20" s="10">
        <v>44062.0</v>
      </c>
      <c r="C20" s="61">
        <v>0.0</v>
      </c>
      <c r="D20" s="59">
        <v>1.0</v>
      </c>
      <c r="E20" s="59">
        <v>1.0</v>
      </c>
      <c r="F20" s="59">
        <v>1.0</v>
      </c>
      <c r="G20" s="59">
        <v>1.0</v>
      </c>
      <c r="H20" s="59">
        <v>0.0</v>
      </c>
      <c r="I20" s="61">
        <v>0.0</v>
      </c>
      <c r="J20" s="59">
        <v>1.0</v>
      </c>
      <c r="K20" s="58"/>
    </row>
    <row r="21">
      <c r="A21" s="9" t="s">
        <v>15</v>
      </c>
      <c r="B21" s="10">
        <v>44063.0</v>
      </c>
      <c r="C21" s="61">
        <v>0.0</v>
      </c>
      <c r="D21" s="59">
        <v>1.0</v>
      </c>
      <c r="E21" s="59">
        <v>1.0</v>
      </c>
      <c r="F21" s="59">
        <v>1.0</v>
      </c>
      <c r="G21" s="59">
        <v>0.0</v>
      </c>
      <c r="H21" s="59">
        <v>0.0</v>
      </c>
      <c r="I21" s="61">
        <v>0.0</v>
      </c>
      <c r="J21" s="59">
        <v>1.0</v>
      </c>
      <c r="K21" s="58"/>
    </row>
    <row r="22">
      <c r="A22" s="21" t="s">
        <v>16</v>
      </c>
      <c r="B22" s="22">
        <v>44064.0</v>
      </c>
      <c r="C22" s="61">
        <v>0.0</v>
      </c>
      <c r="D22" s="60">
        <v>0.0</v>
      </c>
      <c r="E22" s="60">
        <v>0.0</v>
      </c>
      <c r="F22" s="60">
        <v>0.0</v>
      </c>
      <c r="G22" s="60">
        <v>0.0</v>
      </c>
      <c r="H22" s="60">
        <v>0.0</v>
      </c>
      <c r="I22" s="61">
        <v>0.0</v>
      </c>
      <c r="J22" s="60">
        <v>0.0</v>
      </c>
      <c r="K22" s="58"/>
    </row>
    <row r="23">
      <c r="A23" s="9" t="s">
        <v>19</v>
      </c>
      <c r="B23" s="10">
        <v>44065.0</v>
      </c>
      <c r="C23" s="61">
        <v>0.0</v>
      </c>
      <c r="D23" s="59">
        <v>1.0</v>
      </c>
      <c r="E23" s="59">
        <v>1.0</v>
      </c>
      <c r="F23" s="59">
        <v>1.0</v>
      </c>
      <c r="G23" s="59">
        <v>0.0</v>
      </c>
      <c r="H23" s="59">
        <v>0.0</v>
      </c>
      <c r="I23" s="61">
        <v>0.0</v>
      </c>
      <c r="J23" s="59">
        <v>1.0</v>
      </c>
      <c r="K23" s="58"/>
    </row>
    <row r="24">
      <c r="A24" s="9" t="s">
        <v>20</v>
      </c>
      <c r="B24" s="10">
        <v>44066.0</v>
      </c>
      <c r="C24" s="62">
        <v>0.0</v>
      </c>
      <c r="D24" s="63">
        <v>1.0</v>
      </c>
      <c r="E24" s="63">
        <v>1.0</v>
      </c>
      <c r="F24" s="63">
        <v>1.0</v>
      </c>
      <c r="G24" s="63">
        <v>0.0</v>
      </c>
      <c r="H24" s="63">
        <v>0.0</v>
      </c>
      <c r="I24" s="62">
        <v>0.0</v>
      </c>
      <c r="J24" s="64">
        <v>1.0</v>
      </c>
      <c r="K24" s="58"/>
    </row>
    <row r="25">
      <c r="A25" s="9" t="s">
        <v>21</v>
      </c>
      <c r="B25" s="10">
        <v>44067.0</v>
      </c>
      <c r="C25" s="62">
        <v>0.0</v>
      </c>
      <c r="D25" s="63">
        <v>1.0</v>
      </c>
      <c r="E25" s="63">
        <v>1.0</v>
      </c>
      <c r="F25" s="63">
        <v>1.0</v>
      </c>
      <c r="G25" s="63">
        <v>0.0</v>
      </c>
      <c r="H25" s="63">
        <v>0.0</v>
      </c>
      <c r="I25" s="62">
        <v>0.0</v>
      </c>
      <c r="J25" s="63">
        <v>1.0</v>
      </c>
      <c r="K25" s="58"/>
    </row>
    <row r="26">
      <c r="A26" s="9" t="s">
        <v>22</v>
      </c>
      <c r="B26" s="10">
        <v>44068.0</v>
      </c>
      <c r="C26" s="62">
        <v>0.0</v>
      </c>
      <c r="D26" s="63">
        <v>1.0</v>
      </c>
      <c r="E26" s="63">
        <v>1.0</v>
      </c>
      <c r="F26" s="63">
        <v>1.0</v>
      </c>
      <c r="G26" s="63">
        <v>0.0</v>
      </c>
      <c r="H26" s="63">
        <v>0.0</v>
      </c>
      <c r="I26" s="62">
        <v>0.0</v>
      </c>
      <c r="J26" s="63">
        <v>1.0</v>
      </c>
      <c r="K26" s="58"/>
    </row>
    <row r="27">
      <c r="A27" s="9" t="s">
        <v>23</v>
      </c>
      <c r="B27" s="10">
        <v>44069.0</v>
      </c>
      <c r="C27" s="62">
        <v>0.0</v>
      </c>
      <c r="D27" s="63">
        <v>1.0</v>
      </c>
      <c r="E27" s="63">
        <v>1.0</v>
      </c>
      <c r="F27" s="63">
        <v>1.0</v>
      </c>
      <c r="G27" s="63">
        <v>0.0</v>
      </c>
      <c r="H27" s="63">
        <v>0.0</v>
      </c>
      <c r="I27" s="63">
        <v>1.0</v>
      </c>
      <c r="J27" s="63">
        <v>1.0</v>
      </c>
      <c r="K27" s="58"/>
    </row>
    <row r="28">
      <c r="A28" s="9" t="s">
        <v>24</v>
      </c>
      <c r="B28" s="10">
        <v>44070.0</v>
      </c>
      <c r="C28" s="63">
        <v>1.0</v>
      </c>
      <c r="D28" s="63">
        <v>1.0</v>
      </c>
      <c r="E28" s="63">
        <v>1.0</v>
      </c>
      <c r="F28" s="63">
        <v>0.0</v>
      </c>
      <c r="G28" s="63">
        <v>0.0</v>
      </c>
      <c r="H28" s="63">
        <v>1.0</v>
      </c>
      <c r="I28" s="63">
        <v>1.0</v>
      </c>
      <c r="J28" s="63">
        <v>1.0</v>
      </c>
      <c r="K28" s="58"/>
    </row>
    <row r="29">
      <c r="A29" s="37" t="s">
        <v>16</v>
      </c>
      <c r="B29" s="22">
        <v>44071.0</v>
      </c>
      <c r="C29" s="65">
        <v>0.0</v>
      </c>
      <c r="D29" s="65">
        <v>0.0</v>
      </c>
      <c r="E29" s="65">
        <v>0.0</v>
      </c>
      <c r="F29" s="65">
        <v>0.0</v>
      </c>
      <c r="G29" s="65">
        <v>0.0</v>
      </c>
      <c r="H29" s="65">
        <v>0.0</v>
      </c>
      <c r="I29" s="65">
        <v>0.0</v>
      </c>
      <c r="J29" s="65">
        <v>0.0</v>
      </c>
      <c r="K29" s="58"/>
    </row>
    <row r="30">
      <c r="A30" s="66" t="s">
        <v>19</v>
      </c>
      <c r="B30" s="67">
        <v>44072.0</v>
      </c>
      <c r="C30" s="68">
        <v>1.0</v>
      </c>
      <c r="D30" s="68">
        <v>0.0</v>
      </c>
      <c r="E30" s="68">
        <v>1.0</v>
      </c>
      <c r="F30" s="68">
        <v>0.0</v>
      </c>
      <c r="G30" s="68">
        <v>0.0</v>
      </c>
      <c r="H30" s="68">
        <v>1.0</v>
      </c>
      <c r="I30" s="68">
        <v>1.0</v>
      </c>
      <c r="J30" s="68">
        <v>1.0</v>
      </c>
      <c r="K30" s="58"/>
    </row>
    <row r="31">
      <c r="A31" s="40" t="s">
        <v>20</v>
      </c>
      <c r="B31" s="10">
        <v>44073.0</v>
      </c>
      <c r="C31" s="63">
        <v>1.0</v>
      </c>
      <c r="D31" s="63">
        <v>0.0</v>
      </c>
      <c r="E31" s="63">
        <v>1.0</v>
      </c>
      <c r="F31" s="63">
        <v>0.0</v>
      </c>
      <c r="G31" s="63">
        <v>0.0</v>
      </c>
      <c r="H31" s="63">
        <v>1.0</v>
      </c>
      <c r="I31" s="63">
        <v>1.0</v>
      </c>
      <c r="J31" s="63">
        <v>1.0</v>
      </c>
      <c r="K31" s="58"/>
      <c r="N31" s="69">
        <v>44065.0</v>
      </c>
    </row>
    <row r="32">
      <c r="A32" s="40" t="s">
        <v>21</v>
      </c>
      <c r="B32" s="10">
        <v>44074.0</v>
      </c>
      <c r="C32" s="63">
        <v>1.0</v>
      </c>
      <c r="D32" s="63">
        <v>0.0</v>
      </c>
      <c r="E32" s="63">
        <v>0.0</v>
      </c>
      <c r="F32" s="63">
        <v>0.0</v>
      </c>
      <c r="G32" s="63">
        <v>1.0</v>
      </c>
      <c r="H32" s="63">
        <v>1.0</v>
      </c>
      <c r="I32" s="63">
        <v>1.0</v>
      </c>
      <c r="J32" s="63">
        <v>0.0</v>
      </c>
      <c r="K32" s="58"/>
      <c r="N32" s="20">
        <v>42200.0</v>
      </c>
    </row>
    <row r="33">
      <c r="A33" s="70"/>
      <c r="B33" s="71" t="s">
        <v>35</v>
      </c>
      <c r="C33" s="72">
        <f t="shared" ref="C33:J33" si="1">SUM(C2:C32)</f>
        <v>11</v>
      </c>
      <c r="D33" s="72">
        <f t="shared" si="1"/>
        <v>19</v>
      </c>
      <c r="E33" s="72">
        <f t="shared" si="1"/>
        <v>23</v>
      </c>
      <c r="F33" s="72">
        <f t="shared" si="1"/>
        <v>21</v>
      </c>
      <c r="G33" s="72">
        <f t="shared" si="1"/>
        <v>2</v>
      </c>
      <c r="H33" s="72">
        <f t="shared" si="1"/>
        <v>4</v>
      </c>
      <c r="I33" s="72">
        <f t="shared" si="1"/>
        <v>14</v>
      </c>
      <c r="J33" s="72">
        <f t="shared" si="1"/>
        <v>20</v>
      </c>
      <c r="K33" s="73"/>
    </row>
    <row r="34">
      <c r="A34" s="74"/>
      <c r="B34" s="13" t="s">
        <v>36</v>
      </c>
      <c r="C34" s="75">
        <v>2000.0</v>
      </c>
      <c r="D34" s="75">
        <v>1200.0</v>
      </c>
      <c r="E34" s="75">
        <v>1000.0</v>
      </c>
      <c r="F34" s="76">
        <v>600.0</v>
      </c>
      <c r="G34" s="75">
        <v>1000.0</v>
      </c>
      <c r="H34" s="75">
        <v>600.0</v>
      </c>
      <c r="I34" s="75">
        <v>1000.0</v>
      </c>
      <c r="J34" s="75">
        <v>1200.0</v>
      </c>
      <c r="K34" s="77">
        <f t="shared" ref="K34:K35" si="3">SUM(C34:J34)</f>
        <v>8600</v>
      </c>
      <c r="N34" s="78" t="s">
        <v>37</v>
      </c>
    </row>
    <row r="35">
      <c r="A35" s="74"/>
      <c r="B35" s="79" t="s">
        <v>38</v>
      </c>
      <c r="C35" s="80">
        <f t="shared" ref="C35:I35" si="2">C34*C33</f>
        <v>22000</v>
      </c>
      <c r="D35" s="80">
        <f t="shared" si="2"/>
        <v>22800</v>
      </c>
      <c r="E35" s="80">
        <f t="shared" si="2"/>
        <v>23000</v>
      </c>
      <c r="F35" s="80">
        <f t="shared" si="2"/>
        <v>12600</v>
      </c>
      <c r="G35" s="80">
        <f t="shared" si="2"/>
        <v>2000</v>
      </c>
      <c r="H35" s="80">
        <f t="shared" si="2"/>
        <v>2400</v>
      </c>
      <c r="I35" s="80">
        <f t="shared" si="2"/>
        <v>14000</v>
      </c>
      <c r="J35" s="80">
        <f>J33*J34</f>
        <v>24000</v>
      </c>
      <c r="K35" s="81">
        <f t="shared" si="3"/>
        <v>122800</v>
      </c>
      <c r="N35" s="82">
        <v>45200.0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5.75"/>
    <col customWidth="1" min="7" max="7" width="25.38"/>
    <col customWidth="1" min="8" max="8" width="16.13"/>
    <col customWidth="1" min="9" max="9" width="37.38"/>
  </cols>
  <sheetData>
    <row r="3">
      <c r="F3" s="83" t="s">
        <v>39</v>
      </c>
      <c r="G3" s="84" t="s">
        <v>40</v>
      </c>
      <c r="H3" s="84" t="s">
        <v>41</v>
      </c>
      <c r="I3" s="84" t="s">
        <v>42</v>
      </c>
    </row>
    <row r="4">
      <c r="F4" s="85" t="s">
        <v>43</v>
      </c>
      <c r="G4" s="85" t="s">
        <v>44</v>
      </c>
      <c r="H4" s="82">
        <v>25850.0</v>
      </c>
      <c r="I4" s="86">
        <v>44046.0</v>
      </c>
    </row>
    <row r="5">
      <c r="F5" s="85" t="s">
        <v>45</v>
      </c>
      <c r="G5" s="85" t="s">
        <v>46</v>
      </c>
      <c r="H5" s="82">
        <v>5300.0</v>
      </c>
      <c r="I5" s="86">
        <v>44046.0</v>
      </c>
    </row>
    <row r="6">
      <c r="F6" s="85" t="s">
        <v>47</v>
      </c>
      <c r="G6" s="85">
        <v>1.0</v>
      </c>
      <c r="H6" s="82">
        <v>450.0</v>
      </c>
      <c r="I6" s="86">
        <v>44046.0</v>
      </c>
    </row>
    <row r="7">
      <c r="F7" s="85" t="s">
        <v>48</v>
      </c>
      <c r="G7" s="85" t="s">
        <v>49</v>
      </c>
      <c r="H7" s="82">
        <v>450.0</v>
      </c>
      <c r="I7" s="86">
        <v>44047.0</v>
      </c>
    </row>
    <row r="8">
      <c r="F8" s="85" t="s">
        <v>50</v>
      </c>
      <c r="G8" s="85" t="s">
        <v>51</v>
      </c>
      <c r="H8" s="82">
        <v>380.0</v>
      </c>
      <c r="I8" s="86">
        <v>44048.0</v>
      </c>
    </row>
    <row r="9">
      <c r="F9" s="85" t="s">
        <v>52</v>
      </c>
      <c r="G9" s="85" t="s">
        <v>53</v>
      </c>
      <c r="H9" s="82">
        <v>2760.0</v>
      </c>
      <c r="I9" s="86">
        <v>44048.0</v>
      </c>
    </row>
    <row r="10">
      <c r="F10" s="85" t="s">
        <v>54</v>
      </c>
      <c r="G10" s="85" t="s">
        <v>55</v>
      </c>
      <c r="H10" s="82">
        <v>2560.0</v>
      </c>
      <c r="I10" s="86">
        <v>44048.0</v>
      </c>
    </row>
    <row r="11">
      <c r="F11" s="85" t="s">
        <v>56</v>
      </c>
      <c r="G11" s="85" t="s">
        <v>57</v>
      </c>
      <c r="H11" s="82">
        <v>2460.0</v>
      </c>
      <c r="I11" s="86">
        <v>44048.0</v>
      </c>
    </row>
    <row r="12">
      <c r="F12" s="85" t="s">
        <v>58</v>
      </c>
      <c r="G12" s="85" t="s">
        <v>59</v>
      </c>
      <c r="H12" s="82">
        <v>660.0</v>
      </c>
      <c r="I12" s="86">
        <v>44048.0</v>
      </c>
    </row>
    <row r="13">
      <c r="F13" s="85" t="s">
        <v>60</v>
      </c>
      <c r="G13" s="85" t="s">
        <v>61</v>
      </c>
      <c r="H13" s="82">
        <v>700.0</v>
      </c>
      <c r="I13" s="86">
        <v>44048.0</v>
      </c>
    </row>
    <row r="14">
      <c r="F14" s="85" t="s">
        <v>62</v>
      </c>
      <c r="G14" s="85" t="s">
        <v>63</v>
      </c>
      <c r="H14" s="82">
        <v>1480.0</v>
      </c>
      <c r="I14" s="86">
        <v>44048.0</v>
      </c>
    </row>
    <row r="15">
      <c r="F15" s="85" t="s">
        <v>64</v>
      </c>
      <c r="G15" s="85" t="s">
        <v>63</v>
      </c>
      <c r="H15" s="82">
        <v>2600.0</v>
      </c>
      <c r="I15" s="86">
        <v>44048.0</v>
      </c>
    </row>
    <row r="16">
      <c r="F16" s="85" t="s">
        <v>65</v>
      </c>
      <c r="G16" s="85" t="s">
        <v>66</v>
      </c>
      <c r="H16" s="82">
        <v>330.0</v>
      </c>
      <c r="I16" s="86">
        <v>44048.0</v>
      </c>
    </row>
    <row r="17">
      <c r="F17" s="85" t="s">
        <v>67</v>
      </c>
      <c r="G17" s="85" t="s">
        <v>68</v>
      </c>
      <c r="H17" s="82">
        <v>500.0</v>
      </c>
      <c r="I17" s="86">
        <v>44048.0</v>
      </c>
    </row>
    <row r="18">
      <c r="F18" s="85" t="s">
        <v>69</v>
      </c>
      <c r="G18" s="85" t="s">
        <v>70</v>
      </c>
      <c r="H18" s="82">
        <v>2800.0</v>
      </c>
      <c r="I18" s="86">
        <v>44048.0</v>
      </c>
    </row>
    <row r="19">
      <c r="F19" s="85" t="s">
        <v>71</v>
      </c>
      <c r="G19" s="85" t="s">
        <v>70</v>
      </c>
      <c r="H19" s="82">
        <v>2200.0</v>
      </c>
      <c r="I19" s="86">
        <v>44048.0</v>
      </c>
    </row>
    <row r="20">
      <c r="F20" s="85" t="s">
        <v>72</v>
      </c>
      <c r="G20" s="85" t="s">
        <v>70</v>
      </c>
      <c r="H20" s="82">
        <v>1900.0</v>
      </c>
      <c r="I20" s="86">
        <v>44048.0</v>
      </c>
    </row>
    <row r="21">
      <c r="F21" s="85" t="s">
        <v>73</v>
      </c>
      <c r="G21" s="85" t="s">
        <v>74</v>
      </c>
      <c r="H21" s="82">
        <v>2400.0</v>
      </c>
      <c r="I21" s="86">
        <v>44048.0</v>
      </c>
    </row>
    <row r="22">
      <c r="F22" s="85" t="s">
        <v>75</v>
      </c>
      <c r="G22" s="85" t="s">
        <v>76</v>
      </c>
      <c r="H22" s="82">
        <v>1080.0</v>
      </c>
      <c r="I22" s="86">
        <v>44048.0</v>
      </c>
    </row>
    <row r="23">
      <c r="F23" s="85" t="s">
        <v>77</v>
      </c>
      <c r="G23" s="85" t="s">
        <v>78</v>
      </c>
      <c r="H23" s="82">
        <v>850.0</v>
      </c>
      <c r="I23" s="86">
        <v>44048.0</v>
      </c>
    </row>
    <row r="24">
      <c r="F24" s="85" t="s">
        <v>79</v>
      </c>
      <c r="G24" s="85" t="s">
        <v>80</v>
      </c>
      <c r="H24" s="82">
        <v>600.0</v>
      </c>
      <c r="I24" s="86">
        <v>44048.0</v>
      </c>
    </row>
    <row r="25">
      <c r="C25" s="87" t="s">
        <v>81</v>
      </c>
      <c r="F25" s="85" t="s">
        <v>82</v>
      </c>
      <c r="G25" s="85" t="s">
        <v>83</v>
      </c>
      <c r="H25" s="82">
        <v>550.0</v>
      </c>
      <c r="I25" s="86">
        <v>44048.0</v>
      </c>
    </row>
    <row r="26">
      <c r="F26" s="85" t="s">
        <v>84</v>
      </c>
      <c r="G26" s="85">
        <v>1.0</v>
      </c>
      <c r="H26" s="82">
        <v>650.0</v>
      </c>
      <c r="I26" s="86">
        <v>44048.0</v>
      </c>
    </row>
    <row r="27">
      <c r="F27" s="85" t="s">
        <v>85</v>
      </c>
      <c r="G27" s="85" t="s">
        <v>86</v>
      </c>
      <c r="H27" s="82">
        <v>150.0</v>
      </c>
      <c r="I27" s="86">
        <v>44048.0</v>
      </c>
    </row>
    <row r="28">
      <c r="F28" s="85" t="s">
        <v>87</v>
      </c>
      <c r="G28" s="85">
        <v>1.0</v>
      </c>
      <c r="H28" s="82">
        <v>110.0</v>
      </c>
      <c r="I28" s="86">
        <v>44048.0</v>
      </c>
    </row>
    <row r="29">
      <c r="F29" s="85" t="s">
        <v>88</v>
      </c>
      <c r="G29" s="85" t="s">
        <v>89</v>
      </c>
      <c r="H29" s="82">
        <v>20000.0</v>
      </c>
      <c r="I29" s="86">
        <v>44049.0</v>
      </c>
    </row>
    <row r="30">
      <c r="F30" s="85" t="s">
        <v>48</v>
      </c>
      <c r="G30" s="85" t="s">
        <v>90</v>
      </c>
      <c r="H30" s="82">
        <v>1700.0</v>
      </c>
      <c r="I30" s="86">
        <v>44049.0</v>
      </c>
    </row>
    <row r="31">
      <c r="F31" s="85" t="s">
        <v>48</v>
      </c>
      <c r="G31" s="85" t="s">
        <v>91</v>
      </c>
      <c r="H31" s="82">
        <v>400.0</v>
      </c>
      <c r="I31" s="86">
        <v>44049.0</v>
      </c>
    </row>
    <row r="32">
      <c r="F32" s="85" t="s">
        <v>92</v>
      </c>
      <c r="G32" s="85" t="s">
        <v>63</v>
      </c>
      <c r="H32" s="82">
        <v>1200.0</v>
      </c>
      <c r="I32" s="86">
        <v>44049.0</v>
      </c>
    </row>
    <row r="33">
      <c r="F33" s="85" t="s">
        <v>93</v>
      </c>
      <c r="G33" s="85" t="s">
        <v>94</v>
      </c>
      <c r="H33" s="82">
        <v>500.0</v>
      </c>
      <c r="I33" s="86">
        <v>44049.0</v>
      </c>
    </row>
    <row r="34">
      <c r="F34" s="85" t="s">
        <v>95</v>
      </c>
      <c r="G34" s="85" t="s">
        <v>96</v>
      </c>
      <c r="H34" s="82">
        <v>100.0</v>
      </c>
      <c r="I34" s="86">
        <v>44049.0</v>
      </c>
    </row>
    <row r="35">
      <c r="F35" s="85" t="s">
        <v>97</v>
      </c>
      <c r="G35" s="85">
        <v>20.0</v>
      </c>
      <c r="H35" s="82">
        <v>1600.0</v>
      </c>
      <c r="I35" s="86">
        <v>44049.0</v>
      </c>
    </row>
    <row r="36">
      <c r="F36" s="85" t="s">
        <v>47</v>
      </c>
      <c r="G36" s="85">
        <v>1.0</v>
      </c>
      <c r="H36" s="82">
        <v>500.0</v>
      </c>
      <c r="I36" s="86">
        <v>44049.0</v>
      </c>
    </row>
    <row r="37">
      <c r="F37" s="85" t="s">
        <v>98</v>
      </c>
      <c r="G37" s="85">
        <v>1.0</v>
      </c>
      <c r="H37" s="82">
        <v>200.0</v>
      </c>
      <c r="I37" s="86">
        <v>44049.0</v>
      </c>
    </row>
    <row r="38">
      <c r="F38" s="85" t="s">
        <v>92</v>
      </c>
      <c r="G38" s="85"/>
      <c r="H38" s="82">
        <v>500.0</v>
      </c>
      <c r="I38" s="86"/>
    </row>
    <row r="39">
      <c r="F39" s="85" t="s">
        <v>99</v>
      </c>
      <c r="G39" s="85" t="s">
        <v>100</v>
      </c>
      <c r="H39" s="82">
        <v>2000.0</v>
      </c>
      <c r="I39" s="86"/>
    </row>
    <row r="40">
      <c r="F40" s="85" t="s">
        <v>101</v>
      </c>
      <c r="G40" s="85">
        <v>10.0</v>
      </c>
      <c r="H40" s="82">
        <v>11000.0</v>
      </c>
      <c r="I40" s="86">
        <v>44057.0</v>
      </c>
    </row>
    <row r="41">
      <c r="F41" s="85" t="s">
        <v>102</v>
      </c>
      <c r="G41" s="85" t="s">
        <v>103</v>
      </c>
      <c r="H41" s="82">
        <v>750.0</v>
      </c>
      <c r="I41" s="88"/>
    </row>
    <row r="42">
      <c r="F42" s="85" t="s">
        <v>104</v>
      </c>
      <c r="G42" s="85">
        <v>8.0</v>
      </c>
      <c r="H42" s="82">
        <v>200.0</v>
      </c>
      <c r="I42" s="86">
        <v>44059.0</v>
      </c>
    </row>
    <row r="43">
      <c r="F43" s="85" t="s">
        <v>105</v>
      </c>
      <c r="G43" s="85" t="s">
        <v>106</v>
      </c>
      <c r="H43" s="82">
        <v>200.0</v>
      </c>
      <c r="I43" s="88"/>
    </row>
    <row r="44">
      <c r="F44" s="85" t="s">
        <v>107</v>
      </c>
      <c r="G44" s="88"/>
      <c r="H44" s="82">
        <v>4500.0</v>
      </c>
      <c r="I44" s="88"/>
    </row>
    <row r="45">
      <c r="F45" s="85" t="s">
        <v>108</v>
      </c>
      <c r="G45" s="88"/>
      <c r="H45" s="82">
        <v>4000.0</v>
      </c>
      <c r="I45" s="88"/>
    </row>
    <row r="46">
      <c r="F46" s="85" t="s">
        <v>109</v>
      </c>
      <c r="G46" s="85" t="s">
        <v>51</v>
      </c>
      <c r="H46" s="82">
        <v>1000.0</v>
      </c>
      <c r="I46" s="86">
        <v>44060.0</v>
      </c>
    </row>
    <row r="47">
      <c r="F47" s="85" t="s">
        <v>110</v>
      </c>
      <c r="G47" s="85" t="s">
        <v>53</v>
      </c>
      <c r="H47" s="82">
        <v>2460.0</v>
      </c>
      <c r="I47" s="86">
        <v>44060.0</v>
      </c>
    </row>
    <row r="48">
      <c r="F48" s="85" t="s">
        <v>54</v>
      </c>
      <c r="G48" s="85" t="s">
        <v>49</v>
      </c>
      <c r="H48" s="82">
        <v>3000.0</v>
      </c>
      <c r="I48" s="86">
        <v>44060.0</v>
      </c>
    </row>
    <row r="49">
      <c r="F49" s="85" t="s">
        <v>111</v>
      </c>
      <c r="G49" s="85" t="s">
        <v>66</v>
      </c>
      <c r="H49" s="82">
        <v>1200.0</v>
      </c>
      <c r="I49" s="86">
        <v>44060.0</v>
      </c>
    </row>
    <row r="50">
      <c r="F50" s="85" t="s">
        <v>47</v>
      </c>
      <c r="G50" s="85">
        <v>3.0</v>
      </c>
      <c r="H50" s="82">
        <v>1500.0</v>
      </c>
      <c r="I50" s="88"/>
    </row>
    <row r="51">
      <c r="F51" s="85" t="s">
        <v>112</v>
      </c>
      <c r="G51" s="85" t="s">
        <v>100</v>
      </c>
      <c r="H51" s="82">
        <v>600.0</v>
      </c>
      <c r="I51" s="86">
        <v>44061.0</v>
      </c>
    </row>
    <row r="52">
      <c r="F52" s="85" t="s">
        <v>113</v>
      </c>
      <c r="G52" s="85" t="s">
        <v>63</v>
      </c>
      <c r="H52" s="82">
        <v>200.0</v>
      </c>
      <c r="I52" s="86">
        <v>44061.0</v>
      </c>
    </row>
    <row r="53">
      <c r="F53" s="85" t="s">
        <v>48</v>
      </c>
      <c r="G53" s="85" t="s">
        <v>114</v>
      </c>
      <c r="H53" s="82"/>
      <c r="I53" s="88"/>
    </row>
    <row r="54">
      <c r="F54" s="85" t="s">
        <v>97</v>
      </c>
      <c r="G54" s="85" t="s">
        <v>115</v>
      </c>
      <c r="H54" s="82"/>
      <c r="I54" s="88"/>
    </row>
    <row r="55">
      <c r="F55" s="85" t="s">
        <v>43</v>
      </c>
      <c r="G55" s="85" t="s">
        <v>116</v>
      </c>
      <c r="H55" s="82">
        <v>5500.0</v>
      </c>
      <c r="I55" s="86">
        <v>44062.0</v>
      </c>
    </row>
    <row r="56">
      <c r="F56" s="85" t="s">
        <v>117</v>
      </c>
      <c r="G56" s="85" t="s">
        <v>118</v>
      </c>
      <c r="H56" s="82">
        <v>290.0</v>
      </c>
      <c r="I56" s="86">
        <v>44062.0</v>
      </c>
    </row>
    <row r="57">
      <c r="F57" s="85" t="s">
        <v>119</v>
      </c>
      <c r="G57" s="85">
        <v>1.0</v>
      </c>
      <c r="H57" s="82">
        <v>150.0</v>
      </c>
      <c r="I57" s="86">
        <v>44063.0</v>
      </c>
    </row>
    <row r="58">
      <c r="F58" s="85" t="s">
        <v>120</v>
      </c>
      <c r="G58" s="85">
        <v>4.0</v>
      </c>
      <c r="H58" s="82">
        <v>100.0</v>
      </c>
      <c r="I58" s="86">
        <v>44063.0</v>
      </c>
    </row>
    <row r="59">
      <c r="F59" s="85" t="s">
        <v>121</v>
      </c>
      <c r="G59" s="85" t="s">
        <v>122</v>
      </c>
      <c r="H59" s="82">
        <v>1200.0</v>
      </c>
      <c r="I59" s="86">
        <v>44063.0</v>
      </c>
    </row>
    <row r="60">
      <c r="F60" s="85" t="s">
        <v>123</v>
      </c>
      <c r="G60" s="85" t="s">
        <v>124</v>
      </c>
      <c r="H60" s="82">
        <v>8000.0</v>
      </c>
      <c r="I60" s="86">
        <v>44063.0</v>
      </c>
    </row>
    <row r="61">
      <c r="F61" s="85" t="s">
        <v>45</v>
      </c>
      <c r="G61" s="85" t="s">
        <v>125</v>
      </c>
      <c r="H61" s="82">
        <v>1060.0</v>
      </c>
      <c r="I61" s="86">
        <v>44065.0</v>
      </c>
    </row>
    <row r="62">
      <c r="F62" s="85" t="s">
        <v>126</v>
      </c>
      <c r="G62" s="85">
        <v>6.0</v>
      </c>
      <c r="H62" s="82">
        <v>4680.0</v>
      </c>
      <c r="I62" s="86">
        <v>44065.0</v>
      </c>
    </row>
    <row r="63">
      <c r="F63" s="85" t="s">
        <v>127</v>
      </c>
      <c r="G63" s="85">
        <v>1.0</v>
      </c>
      <c r="H63" s="82">
        <v>1500.0</v>
      </c>
      <c r="I63" s="86">
        <v>44068.0</v>
      </c>
    </row>
    <row r="64">
      <c r="F64" s="85" t="s">
        <v>47</v>
      </c>
      <c r="G64" s="85">
        <v>1.0</v>
      </c>
      <c r="H64" s="82">
        <v>500.0</v>
      </c>
      <c r="I64" s="86">
        <v>44065.0</v>
      </c>
    </row>
    <row r="65">
      <c r="F65" s="85" t="s">
        <v>128</v>
      </c>
      <c r="G65" s="85" t="s">
        <v>129</v>
      </c>
      <c r="H65" s="82">
        <v>2600.0</v>
      </c>
      <c r="I65" s="86">
        <v>44066.0</v>
      </c>
    </row>
    <row r="66">
      <c r="F66" s="85" t="s">
        <v>130</v>
      </c>
      <c r="G66" s="85" t="s">
        <v>53</v>
      </c>
      <c r="H66" s="82">
        <v>2820.0</v>
      </c>
      <c r="I66" s="86">
        <v>44068.0</v>
      </c>
    </row>
    <row r="67">
      <c r="F67" s="85" t="s">
        <v>131</v>
      </c>
      <c r="G67" s="85" t="s">
        <v>132</v>
      </c>
      <c r="H67" s="82">
        <v>420.0</v>
      </c>
      <c r="I67" s="86">
        <v>44068.0</v>
      </c>
    </row>
    <row r="68">
      <c r="F68" s="85" t="s">
        <v>133</v>
      </c>
      <c r="G68" s="85" t="s">
        <v>134</v>
      </c>
      <c r="H68" s="82">
        <v>600.0</v>
      </c>
      <c r="I68" s="86">
        <v>44068.0</v>
      </c>
    </row>
    <row r="69">
      <c r="F69" s="85" t="s">
        <v>135</v>
      </c>
      <c r="G69" s="85" t="s">
        <v>136</v>
      </c>
      <c r="H69" s="82">
        <v>1500.0</v>
      </c>
      <c r="I69" s="86">
        <v>44068.0</v>
      </c>
    </row>
    <row r="70">
      <c r="F70" s="85" t="s">
        <v>137</v>
      </c>
      <c r="G70" s="85" t="s">
        <v>138</v>
      </c>
      <c r="H70" s="82">
        <v>1650.0</v>
      </c>
      <c r="I70" s="86">
        <v>44069.0</v>
      </c>
    </row>
    <row r="71">
      <c r="F71" s="85" t="s">
        <v>139</v>
      </c>
      <c r="G71" s="85"/>
      <c r="H71" s="82">
        <v>150.0</v>
      </c>
      <c r="I71" s="86">
        <v>44069.0</v>
      </c>
    </row>
    <row r="72">
      <c r="F72" s="85" t="s">
        <v>140</v>
      </c>
      <c r="G72" s="85">
        <v>1.0</v>
      </c>
      <c r="H72" s="82">
        <v>1000.0</v>
      </c>
      <c r="I72" s="86">
        <v>44069.0</v>
      </c>
    </row>
    <row r="73">
      <c r="F73" s="85" t="s">
        <v>141</v>
      </c>
      <c r="G73" s="85" t="s">
        <v>115</v>
      </c>
      <c r="H73" s="82"/>
      <c r="I73" s="86">
        <v>44068.0</v>
      </c>
    </row>
    <row r="74">
      <c r="F74" s="85" t="s">
        <v>97</v>
      </c>
      <c r="G74" s="85" t="s">
        <v>100</v>
      </c>
      <c r="H74" s="82"/>
      <c r="I74" s="86">
        <v>44070.0</v>
      </c>
    </row>
    <row r="75">
      <c r="F75" s="85" t="s">
        <v>142</v>
      </c>
      <c r="G75" s="85" t="s">
        <v>143</v>
      </c>
      <c r="H75" s="82">
        <v>500.0</v>
      </c>
      <c r="I75" s="86">
        <v>44070.0</v>
      </c>
    </row>
    <row r="76">
      <c r="F76" s="85" t="s">
        <v>144</v>
      </c>
      <c r="G76" s="85"/>
      <c r="H76" s="82">
        <v>5000.0</v>
      </c>
      <c r="I76" s="86">
        <v>44072.0</v>
      </c>
    </row>
    <row r="77">
      <c r="F77" s="85" t="s">
        <v>145</v>
      </c>
      <c r="G77" s="85" t="s">
        <v>146</v>
      </c>
      <c r="H77" s="82">
        <v>4600.0</v>
      </c>
      <c r="I77" s="86">
        <v>44073.0</v>
      </c>
    </row>
    <row r="78">
      <c r="F78" s="85" t="s">
        <v>147</v>
      </c>
      <c r="G78" s="85" t="s">
        <v>94</v>
      </c>
      <c r="H78" s="82">
        <v>2000.0</v>
      </c>
      <c r="I78" s="86">
        <v>44073.0</v>
      </c>
    </row>
    <row r="79">
      <c r="F79" s="85"/>
      <c r="G79" s="85"/>
      <c r="H79" s="82"/>
      <c r="I79" s="88"/>
    </row>
    <row r="80">
      <c r="F80" s="85" t="s">
        <v>148</v>
      </c>
      <c r="G80" s="85" t="s">
        <v>149</v>
      </c>
      <c r="H80" s="82">
        <v>32000.0</v>
      </c>
      <c r="I80" s="86">
        <v>44059.0</v>
      </c>
    </row>
    <row r="81">
      <c r="F81" s="85" t="s">
        <v>150</v>
      </c>
      <c r="G81" s="88"/>
      <c r="H81" s="82">
        <v>1500.0</v>
      </c>
      <c r="I81" s="88"/>
    </row>
    <row r="82">
      <c r="F82" s="89" t="s">
        <v>151</v>
      </c>
      <c r="G82" s="73"/>
      <c r="H82" s="81">
        <f>SUM(H4:H81)</f>
        <v>198400</v>
      </c>
      <c r="I82" s="73"/>
    </row>
    <row r="83">
      <c r="F83" s="90" t="s">
        <v>152</v>
      </c>
      <c r="G83" s="73"/>
      <c r="H83" s="91">
        <v>40000.0</v>
      </c>
      <c r="I83" s="73"/>
    </row>
    <row r="84">
      <c r="F84" s="90" t="s">
        <v>153</v>
      </c>
      <c r="G84" s="73"/>
      <c r="H84" s="92">
        <f>H83-H82</f>
        <v>-158400</v>
      </c>
      <c r="I84" s="7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63"/>
    <col customWidth="1" min="8" max="8" width="7.0"/>
    <col customWidth="1" min="9" max="9" width="13.88"/>
    <col customWidth="1" min="10" max="10" width="21.0"/>
    <col customWidth="1" min="11" max="11" width="21.75"/>
    <col customWidth="1" min="12" max="12" width="38.5"/>
  </cols>
  <sheetData>
    <row r="10">
      <c r="H10" s="31"/>
      <c r="I10" s="73"/>
      <c r="J10" s="73"/>
      <c r="K10" s="73"/>
      <c r="L10" s="88"/>
    </row>
    <row r="11">
      <c r="H11" s="73"/>
      <c r="I11" s="93" t="s">
        <v>154</v>
      </c>
      <c r="J11" s="93" t="s">
        <v>3</v>
      </c>
      <c r="K11" s="93" t="s">
        <v>155</v>
      </c>
      <c r="L11" s="94" t="s">
        <v>156</v>
      </c>
    </row>
    <row r="12">
      <c r="H12" s="95">
        <v>1.0</v>
      </c>
      <c r="I12" s="95" t="s">
        <v>27</v>
      </c>
      <c r="J12" s="96">
        <f>Pointage!C35*1</f>
        <v>22000</v>
      </c>
      <c r="K12" s="97">
        <v>14000.0</v>
      </c>
      <c r="L12" s="98">
        <f t="shared" ref="L12:L19" si="1">J12-K12</f>
        <v>8000</v>
      </c>
    </row>
    <row r="13">
      <c r="H13" s="95">
        <v>2.0</v>
      </c>
      <c r="I13" s="95" t="s">
        <v>29</v>
      </c>
      <c r="J13" s="96">
        <f>Pointage!F35*1</f>
        <v>12600</v>
      </c>
      <c r="K13" s="97">
        <v>12600.0</v>
      </c>
      <c r="L13" s="98">
        <f t="shared" si="1"/>
        <v>0</v>
      </c>
    </row>
    <row r="14">
      <c r="H14" s="95">
        <v>3.0</v>
      </c>
      <c r="I14" s="95" t="s">
        <v>12</v>
      </c>
      <c r="J14" s="96">
        <f>Pointage!E35*1</f>
        <v>23000</v>
      </c>
      <c r="K14" s="97">
        <v>23000.0</v>
      </c>
      <c r="L14" s="98">
        <f t="shared" si="1"/>
        <v>0</v>
      </c>
    </row>
    <row r="15">
      <c r="H15" s="95">
        <v>4.0</v>
      </c>
      <c r="I15" s="95" t="s">
        <v>157</v>
      </c>
      <c r="J15" s="96">
        <f>Pointage!I35*1</f>
        <v>14000</v>
      </c>
      <c r="K15" s="97">
        <v>9000.0</v>
      </c>
      <c r="L15" s="98">
        <f t="shared" si="1"/>
        <v>5000</v>
      </c>
    </row>
    <row r="16">
      <c r="H16" s="95">
        <v>5.0</v>
      </c>
      <c r="I16" s="95" t="s">
        <v>28</v>
      </c>
      <c r="J16" s="96">
        <f>Pointage!D35*1</f>
        <v>22800</v>
      </c>
      <c r="K16" s="97">
        <v>22800.0</v>
      </c>
      <c r="L16" s="98">
        <f t="shared" si="1"/>
        <v>0</v>
      </c>
    </row>
    <row r="17">
      <c r="H17" s="99">
        <v>6.0</v>
      </c>
      <c r="I17" s="99" t="s">
        <v>30</v>
      </c>
      <c r="J17" s="96">
        <f>Pointage!G35*1</f>
        <v>2000</v>
      </c>
      <c r="K17" s="97">
        <v>1000.0</v>
      </c>
      <c r="L17" s="98">
        <f t="shared" si="1"/>
        <v>1000</v>
      </c>
    </row>
    <row r="18">
      <c r="H18" s="99">
        <v>7.0</v>
      </c>
      <c r="I18" s="99" t="s">
        <v>31</v>
      </c>
      <c r="J18" s="96">
        <f>Pointage!H35*1</f>
        <v>2400</v>
      </c>
      <c r="K18" s="97">
        <v>0.0</v>
      </c>
      <c r="L18" s="98">
        <f t="shared" si="1"/>
        <v>2400</v>
      </c>
    </row>
    <row r="19">
      <c r="H19" s="99">
        <v>8.0</v>
      </c>
      <c r="I19" s="95" t="s">
        <v>33</v>
      </c>
      <c r="J19" s="96">
        <f>Pointage!J35*1</f>
        <v>24000</v>
      </c>
      <c r="K19" s="97">
        <v>24000.0</v>
      </c>
      <c r="L19" s="98">
        <f t="shared" si="1"/>
        <v>0</v>
      </c>
    </row>
    <row r="20">
      <c r="H20" s="100"/>
      <c r="I20" s="101" t="s">
        <v>25</v>
      </c>
      <c r="J20" s="102">
        <f t="shared" ref="J20:K20" si="2">SUM(J12:J19)</f>
        <v>122800</v>
      </c>
      <c r="K20" s="103">
        <f t="shared" si="2"/>
        <v>106400</v>
      </c>
      <c r="L20" s="88"/>
    </row>
    <row r="21">
      <c r="H21" s="100"/>
      <c r="I21" s="104"/>
      <c r="J21" s="105">
        <f>J20-K20</f>
        <v>16400</v>
      </c>
      <c r="K21" s="10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38"/>
  </cols>
  <sheetData>
    <row r="5">
      <c r="H5" s="107" t="s">
        <v>0</v>
      </c>
      <c r="I5" s="108" t="s">
        <v>158</v>
      </c>
      <c r="J5" s="108" t="s">
        <v>40</v>
      </c>
      <c r="K5" s="108" t="s">
        <v>159</v>
      </c>
      <c r="L5" s="108" t="s">
        <v>160</v>
      </c>
    </row>
    <row r="6">
      <c r="H6" s="109"/>
      <c r="I6" s="95" t="s">
        <v>161</v>
      </c>
      <c r="J6" s="99">
        <v>28.0</v>
      </c>
      <c r="K6" s="95">
        <v>25.0</v>
      </c>
      <c r="L6" s="96">
        <f t="shared" ref="L6:L10" si="1">K6*J6</f>
        <v>700</v>
      </c>
    </row>
    <row r="7">
      <c r="H7" s="110"/>
      <c r="I7" s="95" t="s">
        <v>162</v>
      </c>
      <c r="J7" s="99">
        <v>29.0</v>
      </c>
      <c r="K7" s="95">
        <v>25.0</v>
      </c>
      <c r="L7" s="95">
        <f t="shared" si="1"/>
        <v>725</v>
      </c>
    </row>
    <row r="8">
      <c r="H8" s="111"/>
      <c r="I8" s="95" t="s">
        <v>163</v>
      </c>
      <c r="J8" s="99">
        <v>46.0</v>
      </c>
      <c r="K8" s="95">
        <v>50.0</v>
      </c>
      <c r="L8" s="95">
        <f t="shared" si="1"/>
        <v>2300</v>
      </c>
    </row>
    <row r="9">
      <c r="H9" s="112">
        <v>44065.0</v>
      </c>
      <c r="I9" s="99" t="s">
        <v>164</v>
      </c>
      <c r="J9" s="99">
        <v>29.0</v>
      </c>
      <c r="K9" s="99">
        <v>25.0</v>
      </c>
      <c r="L9" s="95">
        <f t="shared" si="1"/>
        <v>725</v>
      </c>
    </row>
    <row r="10">
      <c r="H10" s="112">
        <v>44066.0</v>
      </c>
      <c r="I10" s="99" t="s">
        <v>165</v>
      </c>
      <c r="J10" s="99">
        <v>46.0</v>
      </c>
      <c r="K10" s="99">
        <v>50.0</v>
      </c>
      <c r="L10" s="95">
        <f t="shared" si="1"/>
        <v>2300</v>
      </c>
    </row>
    <row r="11">
      <c r="H11" s="95"/>
      <c r="I11" s="95"/>
      <c r="J11" s="95"/>
      <c r="K11" s="95"/>
      <c r="L11" s="95"/>
    </row>
    <row r="12">
      <c r="H12" s="95"/>
      <c r="I12" s="95"/>
      <c r="J12" s="95"/>
      <c r="K12" s="95"/>
      <c r="L12" s="95"/>
    </row>
    <row r="13">
      <c r="H13" s="95"/>
      <c r="I13" s="95"/>
      <c r="J13" s="95"/>
      <c r="K13" s="95"/>
      <c r="L13" s="95"/>
    </row>
    <row r="14">
      <c r="H14" s="95"/>
      <c r="I14" s="95"/>
      <c r="J14" s="95"/>
      <c r="K14" s="95"/>
      <c r="L14" s="95"/>
    </row>
    <row r="15">
      <c r="H15" s="95"/>
      <c r="I15" s="95"/>
      <c r="J15" s="95"/>
      <c r="K15" s="95"/>
      <c r="L15" s="95"/>
    </row>
    <row r="16">
      <c r="H16" s="95"/>
      <c r="I16" s="95"/>
      <c r="J16" s="95"/>
      <c r="K16" s="95"/>
      <c r="L16" s="95"/>
    </row>
    <row r="17">
      <c r="H17" s="95"/>
      <c r="I17" s="95"/>
      <c r="J17" s="95"/>
      <c r="K17" s="95"/>
      <c r="L17" s="95"/>
    </row>
    <row r="18">
      <c r="H18" s="95"/>
      <c r="I18" s="95"/>
      <c r="J18" s="95"/>
      <c r="K18" s="95"/>
      <c r="L18" s="95"/>
    </row>
    <row r="19">
      <c r="H19" s="95"/>
      <c r="I19" s="95"/>
      <c r="J19" s="95"/>
      <c r="K19" s="95"/>
      <c r="L19" s="95"/>
    </row>
    <row r="20">
      <c r="H20" s="113" t="s">
        <v>160</v>
      </c>
      <c r="I20" s="95"/>
      <c r="J20" s="95"/>
      <c r="K20" s="95"/>
      <c r="L20" s="114">
        <f>SUM(L6:L19)</f>
        <v>6750</v>
      </c>
    </row>
    <row r="21">
      <c r="H21" s="115" t="s">
        <v>166</v>
      </c>
      <c r="I21" s="31"/>
      <c r="J21" s="31"/>
      <c r="K21" s="31"/>
      <c r="L21" s="116">
        <v>8000.0</v>
      </c>
    </row>
    <row r="22">
      <c r="H22" s="117" t="s">
        <v>167</v>
      </c>
      <c r="I22" s="31"/>
      <c r="J22" s="31"/>
      <c r="K22" s="31"/>
      <c r="L22" s="118">
        <f>L20-L21</f>
        <v>-1250</v>
      </c>
    </row>
  </sheetData>
  <mergeCells count="1">
    <mergeCell ref="H7:H8"/>
  </mergeCells>
  <drawing r:id="rId1"/>
</worksheet>
</file>