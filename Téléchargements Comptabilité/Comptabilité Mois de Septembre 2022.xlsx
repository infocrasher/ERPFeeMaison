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eges " sheetId="3" r:id="rId6"/>
    <sheet state="visible" name="Salaires" sheetId="4" r:id="rId7"/>
    <sheet state="visible" name="Feuille 6" sheetId="5" r:id="rId8"/>
  </sheets>
  <definedNames>
    <definedName hidden="1" localSheetId="2" name="_xlnm._FilterDatabase">'Les chareges '!$C$2:$G$181</definedName>
  </definedNames>
  <calcPr/>
</workbook>
</file>

<file path=xl/sharedStrings.xml><?xml version="1.0" encoding="utf-8"?>
<sst xmlns="http://schemas.openxmlformats.org/spreadsheetml/2006/main" count="494" uniqueCount="330">
  <si>
    <t>Date</t>
  </si>
  <si>
    <t>Recette d'Aout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</si>
  <si>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</si>
  <si>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</si>
  <si>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</si>
  <si>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</si>
  <si>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</si>
  <si>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</si>
  <si>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</si>
  <si>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Aout </t>
  </si>
  <si>
    <t>Bénéfice Moyen par jour</t>
  </si>
  <si>
    <t xml:space="preserve">Moyenne </t>
  </si>
  <si>
    <t>Jeudi</t>
  </si>
  <si>
    <t>Vendredi</t>
  </si>
  <si>
    <t>Samedi</t>
  </si>
  <si>
    <t xml:space="preserve">Moyenne des charges par jour </t>
  </si>
  <si>
    <t xml:space="preserve">Objectif </t>
  </si>
  <si>
    <t>Dimanche</t>
  </si>
  <si>
    <t>Lundi</t>
  </si>
  <si>
    <t>²</t>
  </si>
  <si>
    <t>Mardi</t>
  </si>
  <si>
    <t>Mercredi</t>
  </si>
  <si>
    <t xml:space="preserve">Cash restant </t>
  </si>
  <si>
    <t>Magasin</t>
  </si>
  <si>
    <t xml:space="preserve">caisse </t>
  </si>
  <si>
    <t>cash en attente pour le récupérer =Dettes éxterieurs</t>
  </si>
  <si>
    <t xml:space="preserve"> </t>
  </si>
  <si>
    <t>Sofiane : 20000Da +10000Da</t>
  </si>
  <si>
    <t>loyer</t>
  </si>
  <si>
    <t xml:space="preserve"> CCP: 18000 Da Amel 30000Da </t>
  </si>
  <si>
    <t>pétrin+ four</t>
  </si>
  <si>
    <t>Charges Octobre 447000</t>
  </si>
  <si>
    <t>75000+145000</t>
  </si>
  <si>
    <t>Mounir</t>
  </si>
  <si>
    <t>Différence mois de juin</t>
  </si>
  <si>
    <t xml:space="preserve">Différence objectif </t>
  </si>
  <si>
    <t xml:space="preserve">Les vendredis </t>
  </si>
  <si>
    <t>Cash réel</t>
  </si>
  <si>
    <t>rest à payer</t>
  </si>
  <si>
    <t xml:space="preserve">Mois d'Aout </t>
  </si>
  <si>
    <t xml:space="preserve">La différence </t>
  </si>
  <si>
    <t xml:space="preserve">Nadjet </t>
  </si>
  <si>
    <t xml:space="preserve">Hafida </t>
  </si>
  <si>
    <t>Wahiba</t>
  </si>
  <si>
    <t xml:space="preserve">Zahida </t>
  </si>
  <si>
    <t>djamila</t>
  </si>
  <si>
    <t>Farida</t>
  </si>
  <si>
    <t>Yousera</t>
  </si>
  <si>
    <t>Lynda</t>
  </si>
  <si>
    <t>Fahima</t>
  </si>
  <si>
    <t>Fouzia</t>
  </si>
  <si>
    <t xml:space="preserve">SAmira </t>
  </si>
  <si>
    <t xml:space="preserve">Yasmine </t>
  </si>
  <si>
    <t xml:space="preserve">Soumia </t>
  </si>
  <si>
    <t>Remarque</t>
  </si>
  <si>
    <t xml:space="preserve">Soumia djate à 09h et kharedjet à 15h40 me3a les autres </t>
  </si>
  <si>
    <t>Yousera et Fouzia djaw en retardx et j'ai autorisé à fouzia tekhredj à 15h</t>
  </si>
  <si>
    <t>Soumia retard 09h05</t>
  </si>
  <si>
    <t>Soumia reyard 09h</t>
  </si>
  <si>
    <t>soumia   retard 09h05 et Fouzia retard 09h</t>
  </si>
  <si>
    <t>Produit</t>
  </si>
  <si>
    <t>Quantité</t>
  </si>
  <si>
    <t xml:space="preserve">Prix unitaire </t>
  </si>
  <si>
    <t>Prix</t>
  </si>
  <si>
    <t>Date d'achat</t>
  </si>
  <si>
    <t>ka3ek Nakach</t>
  </si>
  <si>
    <t>Bessel</t>
  </si>
  <si>
    <t>bessel</t>
  </si>
  <si>
    <t>caissettes N12</t>
  </si>
  <si>
    <t>Caissettes N10</t>
  </si>
  <si>
    <t>rehta</t>
  </si>
  <si>
    <t>Gherss</t>
  </si>
  <si>
    <t>semoule Sahel 25kg</t>
  </si>
  <si>
    <t>Harrissa</t>
  </si>
  <si>
    <t xml:space="preserve">Huile 2 litres </t>
  </si>
  <si>
    <t>Eau Lala khedidja 0,5 litres</t>
  </si>
  <si>
    <t>rechta</t>
  </si>
  <si>
    <t>sac poubelle</t>
  </si>
  <si>
    <t xml:space="preserve">chocolat wedjedane </t>
  </si>
  <si>
    <t>Sucre glace 700g</t>
  </si>
  <si>
    <t>Semoule Fine sahel10kg</t>
  </si>
  <si>
    <t>01/09/2022/</t>
  </si>
  <si>
    <t>Maizina</t>
  </si>
  <si>
    <t xml:space="preserve">Levure bolangère </t>
  </si>
  <si>
    <t xml:space="preserve">Tomate conserve </t>
  </si>
  <si>
    <t>Eau Lala khedidja 1,5 litres</t>
  </si>
  <si>
    <t>Maa Zehar</t>
  </si>
  <si>
    <t>amandes</t>
  </si>
  <si>
    <t>miel</t>
  </si>
  <si>
    <t>Mais</t>
  </si>
  <si>
    <t>vinaigre</t>
  </si>
  <si>
    <t>Farine Sim 1kg</t>
  </si>
  <si>
    <t>les quissetes</t>
  </si>
  <si>
    <t>herbes</t>
  </si>
  <si>
    <t>Canette Coca , Fanta , Sprit</t>
  </si>
  <si>
    <t>deyoul</t>
  </si>
  <si>
    <t>amande</t>
  </si>
  <si>
    <t>Fromage slices Djeezy</t>
  </si>
  <si>
    <t>Jus Tchina 33cl</t>
  </si>
  <si>
    <t>Chocolat noisette</t>
  </si>
  <si>
    <t>Semoule Moyenne Sim 2kg</t>
  </si>
  <si>
    <t>fromage bidon 3.8kg</t>
  </si>
  <si>
    <t xml:space="preserve">Lait en poudre </t>
  </si>
  <si>
    <t>Semoule Moyenne SIM 10 kg</t>
  </si>
  <si>
    <t>jus Ifruit</t>
  </si>
  <si>
    <t>oeufs</t>
  </si>
  <si>
    <t>Farine Sim 5 kg</t>
  </si>
  <si>
    <t xml:space="preserve">confiture </t>
  </si>
  <si>
    <t>Boites demie plateau</t>
  </si>
  <si>
    <t>eau miniral 6.5 litres</t>
  </si>
  <si>
    <t>épinards</t>
  </si>
  <si>
    <t>Margarine Fleurial 500g 16 boites</t>
  </si>
  <si>
    <t>Semen Madina 1.8kg</t>
  </si>
  <si>
    <t xml:space="preserve">Thon </t>
  </si>
  <si>
    <t xml:space="preserve">Fromage spécial pizza </t>
  </si>
  <si>
    <t>les verrines</t>
  </si>
  <si>
    <t>Confiture 1kg</t>
  </si>
  <si>
    <t>détergents</t>
  </si>
  <si>
    <t>tomate fraiche</t>
  </si>
  <si>
    <t>Gouda Barre Matino</t>
  </si>
  <si>
    <t>Cheddar Pura</t>
  </si>
  <si>
    <t>Boites en carton 48/10</t>
  </si>
  <si>
    <t>Fromage bidon 2kg</t>
  </si>
  <si>
    <t xml:space="preserve">blanc de poulet </t>
  </si>
  <si>
    <t>pain tacos</t>
  </si>
  <si>
    <t>Tchina Pepes cannette s</t>
  </si>
  <si>
    <t>Chocolat au Lait</t>
  </si>
  <si>
    <t xml:space="preserve">crème fraiche </t>
  </si>
  <si>
    <t>dentelle</t>
  </si>
  <si>
    <t>citron</t>
  </si>
  <si>
    <t xml:space="preserve">quissetes </t>
  </si>
  <si>
    <t>Boite 48/10</t>
  </si>
  <si>
    <t>aluminium 200m</t>
  </si>
  <si>
    <t>Boites en carton 18/07</t>
  </si>
  <si>
    <t>Boite 48/07</t>
  </si>
  <si>
    <t>Boite 18/07</t>
  </si>
  <si>
    <t>Boites en carton 12/07</t>
  </si>
  <si>
    <t>Boite 36/07</t>
  </si>
  <si>
    <t>Boites en carton 24/07</t>
  </si>
  <si>
    <t>Boite 24/07</t>
  </si>
  <si>
    <t>Sachets transparent</t>
  </si>
  <si>
    <t>Sachets blanc 5kg</t>
  </si>
  <si>
    <t>3akeri</t>
  </si>
  <si>
    <t>sauce tomate ELA 3.8KG</t>
  </si>
  <si>
    <t>poichiche</t>
  </si>
  <si>
    <t>bidon</t>
  </si>
  <si>
    <t>pate à filou</t>
  </si>
  <si>
    <t>harrissa</t>
  </si>
  <si>
    <t>serpière</t>
  </si>
  <si>
    <t>pain</t>
  </si>
  <si>
    <t>couscous</t>
  </si>
  <si>
    <t xml:space="preserve">cuissses de poulet </t>
  </si>
  <si>
    <t>barquette aluminium grande taille</t>
  </si>
  <si>
    <t>poivre</t>
  </si>
  <si>
    <t>sachets de congelation</t>
  </si>
  <si>
    <t>canelle</t>
  </si>
  <si>
    <t>Cheddar</t>
  </si>
  <si>
    <t xml:space="preserve">banane </t>
  </si>
  <si>
    <t>canette et jus Tchina</t>
  </si>
  <si>
    <t>Margarine Fleurial 250g 40 boites</t>
  </si>
  <si>
    <t>avocat</t>
  </si>
  <si>
    <t>Sucre cristaliser 25kg</t>
  </si>
  <si>
    <t>Vanille Baraka</t>
  </si>
  <si>
    <t xml:space="preserve">réparation des cocottes </t>
  </si>
  <si>
    <t>Papier aluminium</t>
  </si>
  <si>
    <t xml:space="preserve">canette coca </t>
  </si>
  <si>
    <t>Boites en carton 48/07</t>
  </si>
  <si>
    <t>sumon</t>
  </si>
  <si>
    <t>Boite 750cc</t>
  </si>
  <si>
    <t>crédit internet</t>
  </si>
  <si>
    <t>chargeur</t>
  </si>
  <si>
    <t xml:space="preserve"> canette sprite </t>
  </si>
  <si>
    <t>viande morceau</t>
  </si>
  <si>
    <t>zebib</t>
  </si>
  <si>
    <t xml:space="preserve">Boite raib </t>
  </si>
  <si>
    <t>sachet farine 25kg</t>
  </si>
  <si>
    <t xml:space="preserve">légumes </t>
  </si>
  <si>
    <t xml:space="preserve">poulet haché et blanc de poulet </t>
  </si>
  <si>
    <t>crevette</t>
  </si>
  <si>
    <t>sac Num 23</t>
  </si>
  <si>
    <t>Fromage blanc</t>
  </si>
  <si>
    <t>poulet haché</t>
  </si>
  <si>
    <t>Boites en polystère petites</t>
  </si>
  <si>
    <t>raisins secs</t>
  </si>
  <si>
    <t xml:space="preserve">banane + nectarine </t>
  </si>
  <si>
    <t xml:space="preserve"> jus Rouiba</t>
  </si>
  <si>
    <t xml:space="preserve">Djeldjelane </t>
  </si>
  <si>
    <t>Levure chimique</t>
  </si>
  <si>
    <t>jus ifruit</t>
  </si>
  <si>
    <t xml:space="preserve">poulet </t>
  </si>
  <si>
    <t xml:space="preserve">Felfel+ tomate + corgette + carotte </t>
  </si>
  <si>
    <t>transport</t>
  </si>
  <si>
    <t>épice poulet</t>
  </si>
  <si>
    <t>sel</t>
  </si>
  <si>
    <t>force express</t>
  </si>
  <si>
    <t>flitox</t>
  </si>
  <si>
    <t xml:space="preserve">fromage </t>
  </si>
  <si>
    <t xml:space="preserve">boite </t>
  </si>
  <si>
    <t>mascarpon</t>
  </si>
  <si>
    <t xml:space="preserve">Bingo </t>
  </si>
  <si>
    <t>feuilltine</t>
  </si>
  <si>
    <t>tomate</t>
  </si>
  <si>
    <t>Lave sol</t>
  </si>
  <si>
    <t>cousscouss</t>
  </si>
  <si>
    <t>passoir</t>
  </si>
  <si>
    <t xml:space="preserve">chaplure </t>
  </si>
  <si>
    <t>tomate cerise</t>
  </si>
  <si>
    <t xml:space="preserve">salade </t>
  </si>
  <si>
    <t>Tomate</t>
  </si>
  <si>
    <t xml:space="preserve">tomate </t>
  </si>
  <si>
    <t>olive</t>
  </si>
  <si>
    <t>viande hachée</t>
  </si>
  <si>
    <t>noix de cajou</t>
  </si>
  <si>
    <t>pistache</t>
  </si>
  <si>
    <t xml:space="preserve">Amina baghrir </t>
  </si>
  <si>
    <t>storm</t>
  </si>
  <si>
    <t>baklawa</t>
  </si>
  <si>
    <t>décapant</t>
  </si>
  <si>
    <t>lave sol</t>
  </si>
  <si>
    <t xml:space="preserve">javel moussant </t>
  </si>
  <si>
    <t>lave glasse</t>
  </si>
  <si>
    <t>Omo</t>
  </si>
  <si>
    <t>les achats lynda et soumeya cousscous farine gherss</t>
  </si>
  <si>
    <t>plats traditionel</t>
  </si>
  <si>
    <t>Tomate et létus</t>
  </si>
  <si>
    <t>fromage djeezy</t>
  </si>
  <si>
    <t>semoule moyenne 25kg</t>
  </si>
  <si>
    <t xml:space="preserve"> bidon olive de 5kg</t>
  </si>
  <si>
    <t xml:space="preserve">coucouss SIM </t>
  </si>
  <si>
    <t>papier serviettes</t>
  </si>
  <si>
    <t>sac croissant 23</t>
  </si>
  <si>
    <t>sac croissant 14</t>
  </si>
  <si>
    <t>géricant de 30 litres</t>
  </si>
  <si>
    <t xml:space="preserve">rechta </t>
  </si>
  <si>
    <t>navet</t>
  </si>
  <si>
    <t>courgette</t>
  </si>
  <si>
    <t>carotte</t>
  </si>
  <si>
    <t>hamissa</t>
  </si>
  <si>
    <t>isis + javel moussant</t>
  </si>
  <si>
    <t xml:space="preserve">plats en plastique </t>
  </si>
  <si>
    <t>escalope de poulet</t>
  </si>
  <si>
    <t>cuisses entière</t>
  </si>
  <si>
    <t>semoule fine  25kg</t>
  </si>
  <si>
    <t>plateaux d'oeuf</t>
  </si>
  <si>
    <t xml:space="preserve">beure </t>
  </si>
  <si>
    <t>viande morceaux</t>
  </si>
  <si>
    <t>poivron</t>
  </si>
  <si>
    <t>haicot vert</t>
  </si>
  <si>
    <t>pomme de terre</t>
  </si>
  <si>
    <t>tomate dure</t>
  </si>
  <si>
    <t xml:space="preserve">bessel </t>
  </si>
  <si>
    <t>flexy internet</t>
  </si>
  <si>
    <t>courgette+ navet + pomme de terre+ poivron + carotte</t>
  </si>
  <si>
    <t xml:space="preserve">isis  </t>
  </si>
  <si>
    <t>4/19/2022</t>
  </si>
  <si>
    <t>Hamissa</t>
  </si>
  <si>
    <t>chmpignon</t>
  </si>
  <si>
    <t>farine 1kg</t>
  </si>
  <si>
    <t>viande hachéée</t>
  </si>
  <si>
    <t>semoule sahel 25kg</t>
  </si>
  <si>
    <t>semoule mama 2kg</t>
  </si>
  <si>
    <t>semoule bousmail 10kg</t>
  </si>
  <si>
    <t>farine + chaplure sans gluten</t>
  </si>
  <si>
    <t xml:space="preserve">pomme de terre </t>
  </si>
  <si>
    <t>sachets de congélatuo,</t>
  </si>
  <si>
    <t xml:space="preserve">lahssen poubelle </t>
  </si>
  <si>
    <t>brahim</t>
  </si>
  <si>
    <t>terida</t>
  </si>
  <si>
    <t>semoule</t>
  </si>
  <si>
    <t>semoule mala 2kg</t>
  </si>
  <si>
    <t>Deyoul</t>
  </si>
  <si>
    <t>transport marchandise</t>
  </si>
  <si>
    <t>semoule SIM 10kg</t>
  </si>
  <si>
    <t>chakhechoukhate defer</t>
  </si>
  <si>
    <t>isis</t>
  </si>
  <si>
    <t>sachets d congélation</t>
  </si>
  <si>
    <t>cuisses entière + 3 blanc</t>
  </si>
  <si>
    <t>viande Hachée</t>
  </si>
  <si>
    <t xml:space="preserve">poivre </t>
  </si>
  <si>
    <t xml:space="preserve">fromage + crème fraiche </t>
  </si>
  <si>
    <t>25/09/</t>
  </si>
  <si>
    <t xml:space="preserve">Facture Sonalgaz </t>
  </si>
  <si>
    <t>26/2022</t>
  </si>
  <si>
    <t>poivre et poivron</t>
  </si>
  <si>
    <t>Teliteli</t>
  </si>
  <si>
    <t>semoule moyenne 1kg</t>
  </si>
  <si>
    <t>Thon</t>
  </si>
  <si>
    <t xml:space="preserve">cuisses </t>
  </si>
  <si>
    <t xml:space="preserve">Cuisses </t>
  </si>
  <si>
    <t>Haricot vert</t>
  </si>
  <si>
    <t xml:space="preserve">carotte </t>
  </si>
  <si>
    <t>kheyar</t>
  </si>
  <si>
    <t>vingrette</t>
  </si>
  <si>
    <t>Semoul Moula 25kg</t>
  </si>
  <si>
    <t>chocolat à tartiner</t>
  </si>
  <si>
    <t>épinard</t>
  </si>
  <si>
    <t xml:space="preserve">Nom </t>
  </si>
  <si>
    <t>Avance</t>
  </si>
  <si>
    <t xml:space="preserve">Salaire à payer </t>
  </si>
  <si>
    <t>Sofiane</t>
  </si>
  <si>
    <t>Amel</t>
  </si>
  <si>
    <t>Nadjet</t>
  </si>
  <si>
    <t>1500+1500+1500+1500+3000</t>
  </si>
  <si>
    <t xml:space="preserve">Djamila </t>
  </si>
  <si>
    <t xml:space="preserve">Farida </t>
  </si>
  <si>
    <t xml:space="preserve">Yousera </t>
  </si>
  <si>
    <t>8000+2500+2000</t>
  </si>
  <si>
    <t xml:space="preserve">lynda </t>
  </si>
  <si>
    <t>Samira</t>
  </si>
  <si>
    <t xml:space="preserve">Fouzia </t>
  </si>
  <si>
    <t>1000+1000</t>
  </si>
  <si>
    <t>TOTAL</t>
  </si>
  <si>
    <t>Mois de Juillet</t>
  </si>
  <si>
    <t xml:space="preserve">Mois de Septembre </t>
  </si>
  <si>
    <t>Salaires</t>
  </si>
  <si>
    <t xml:space="preserve">Profit Net </t>
  </si>
  <si>
    <t>Mois</t>
  </si>
  <si>
    <t>CA</t>
  </si>
  <si>
    <t>Charge %</t>
  </si>
  <si>
    <t>Salaire %</t>
  </si>
  <si>
    <t>Loyer %</t>
  </si>
  <si>
    <t>Bénef %</t>
  </si>
  <si>
    <t>SEP</t>
  </si>
  <si>
    <t>1 657 000</t>
  </si>
  <si>
    <t>OCT</t>
  </si>
  <si>
    <t>1 921 000</t>
  </si>
  <si>
    <t>NOV</t>
  </si>
  <si>
    <t>1 706 000</t>
  </si>
  <si>
    <t>OBJ</t>
  </si>
  <si>
    <t>2 030 000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</si>
</sst>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4.0"/>
      <color rgb="FF4285F4"/>
      <name val="Arial"/>
    </font>
    <font>
      <sz val="14.0"/>
      <color rgb="FF434343"/>
      <name val="Arial"/>
    </font>
    <font>
      <sz val="14.0"/>
      <color rgb="FF4285F4"/>
      <name val="Arial"/>
    </font>
    <font>
      <b/>
      <sz val="18.0"/>
      <color theme="1"/>
      <name val="Arial"/>
    </font>
    <font>
      <sz val="14.0"/>
      <color rgb="FF000000"/>
      <name val="Arial"/>
    </font>
    <font>
      <b/>
      <sz val="18.0"/>
      <color rgb="FF000000"/>
      <name val="Arial"/>
    </font>
    <font>
      <b/>
      <sz val="14.0"/>
      <color rgb="FF1C4587"/>
      <name val="Arial"/>
    </font>
    <font>
      <b/>
      <sz val="24.0"/>
      <color theme="1"/>
      <name val="Arial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</font>
    <font>
      <b/>
      <sz val="16.0"/>
      <color rgb="FF000000"/>
      <name val="Calibri"/>
    </font>
    <font>
      <b/>
      <sz val="16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70AD47"/>
        <bgColor rgb="FF70AD47"/>
      </patternFill>
    </fill>
    <fill>
      <patternFill patternType="solid">
        <fgColor rgb="FFB4C6E7"/>
        <bgColor rgb="FFB4C6E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0" fillId="5" fontId="3" numFmtId="165" xfId="0" applyAlignment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3" fontId="3" numFmtId="165" xfId="0" applyAlignment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5" fontId="2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3" fontId="1" numFmtId="165" xfId="0" applyAlignment="1" applyFont="1" applyNumberFormat="1">
      <alignment vertical="bottom"/>
    </xf>
    <xf borderId="1" fillId="6" fontId="4" numFmtId="165" xfId="0" applyAlignment="1" applyBorder="1" applyFont="1" applyNumberFormat="1">
      <alignment horizontal="center" vertical="bottom"/>
    </xf>
    <xf borderId="1" fillId="9" fontId="5" numFmtId="0" xfId="0" applyAlignment="1" applyBorder="1" applyFill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10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right" vertical="bottom"/>
    </xf>
    <xf borderId="1" fillId="3" fontId="2" numFmtId="165" xfId="0" applyAlignment="1" applyBorder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10" fontId="2" numFmtId="165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0" fillId="0" fontId="1" numFmtId="2" xfId="0" applyAlignment="1" applyFont="1" applyNumberFormat="1">
      <alignment vertical="bottom"/>
    </xf>
    <xf borderId="0" fillId="2" fontId="2" numFmtId="0" xfId="0" applyAlignment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vertical="bottom"/>
    </xf>
    <xf borderId="1" fillId="7" fontId="2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8" fontId="7" numFmtId="0" xfId="0" applyAlignment="1" applyBorder="1" applyFont="1">
      <alignment horizontal="center" readingOrder="0" vertical="bottom"/>
    </xf>
    <xf borderId="1" fillId="8" fontId="4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vertical="bottom"/>
    </xf>
    <xf borderId="1" fillId="8" fontId="2" numFmtId="0" xfId="0" applyAlignment="1" applyBorder="1" applyFont="1">
      <alignment horizontal="center" readingOrder="0" vertical="bottom"/>
    </xf>
    <xf borderId="1" fillId="8" fontId="8" numFmtId="0" xfId="0" applyAlignment="1" applyBorder="1" applyFont="1">
      <alignment horizontal="center" readingOrder="0" vertical="bottom"/>
    </xf>
    <xf borderId="1" fillId="8" fontId="9" numFmtId="0" xfId="0" applyAlignment="1" applyBorder="1" applyFont="1">
      <alignment horizontal="center" readingOrder="0" vertical="bottom"/>
    </xf>
    <xf borderId="1" fillId="8" fontId="10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horizontal="center" readingOrder="0" vertical="bottom"/>
    </xf>
    <xf borderId="1" fillId="7" fontId="10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7" fontId="12" numFmtId="165" xfId="0" applyAlignment="1" applyBorder="1" applyFont="1" applyNumberFormat="1">
      <alignment horizontal="center" vertical="bottom"/>
    </xf>
    <xf borderId="0" fillId="7" fontId="9" numFmtId="0" xfId="0" applyAlignment="1" applyFont="1">
      <alignment horizontal="center" vertical="bottom"/>
    </xf>
    <xf borderId="1" fillId="7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6" fontId="10" numFmtId="0" xfId="0" applyAlignment="1" applyBorder="1" applyFont="1">
      <alignment horizontal="center" readingOrder="0" vertical="bottom"/>
    </xf>
    <xf borderId="1" fillId="6" fontId="10" numFmtId="165" xfId="0" applyAlignment="1" applyBorder="1" applyFont="1" applyNumberFormat="1">
      <alignment horizontal="center" vertical="bottom"/>
    </xf>
    <xf borderId="1" fillId="6" fontId="10" numFmtId="164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1" fillId="0" fontId="13" numFmtId="165" xfId="0" applyAlignment="1" applyBorder="1" applyFont="1" applyNumberFormat="1">
      <alignment horizontal="center" readingOrder="0" vertical="bottom"/>
    </xf>
    <xf borderId="1" fillId="0" fontId="13" numFmtId="164" xfId="0" applyAlignment="1" applyBorder="1" applyFont="1" applyNumberFormat="1">
      <alignment horizontal="center" vertical="bottom"/>
    </xf>
    <xf borderId="1" fillId="0" fontId="9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readingOrder="0"/>
    </xf>
    <xf borderId="0" fillId="0" fontId="15" numFmtId="165" xfId="0" applyFont="1" applyNumberFormat="1"/>
    <xf borderId="1" fillId="5" fontId="2" numFmtId="0" xfId="0" applyAlignment="1" applyBorder="1" applyFont="1">
      <alignment horizontal="center" vertical="bottom"/>
    </xf>
    <xf borderId="0" fillId="0" fontId="16" numFmtId="0" xfId="0" applyAlignment="1" applyFont="1">
      <alignment readingOrder="0"/>
    </xf>
    <xf borderId="1" fillId="7" fontId="17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2" fillId="7" fontId="2" numFmtId="0" xfId="0" applyAlignment="1" applyBorder="1" applyFont="1">
      <alignment horizontal="center" vertical="bottom"/>
    </xf>
    <xf borderId="2" fillId="7" fontId="2" numFmtId="0" xfId="0" applyAlignment="1" applyBorder="1" applyFont="1">
      <alignment horizontal="center" readingOrder="0" vertical="bottom"/>
    </xf>
    <xf borderId="3" fillId="6" fontId="2" numFmtId="0" xfId="0" applyAlignment="1" applyBorder="1" applyFon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readingOrder="0" vertical="bottom"/>
    </xf>
    <xf borderId="1" fillId="11" fontId="18" numFmtId="0" xfId="0" applyAlignment="1" applyBorder="1" applyFill="1" applyFont="1">
      <alignment readingOrder="0" shrinkToFit="0" vertical="bottom" wrapText="0"/>
    </xf>
    <xf borderId="2" fillId="11" fontId="18" numFmtId="0" xfId="0" applyAlignment="1" applyBorder="1" applyFont="1">
      <alignment readingOrder="0" shrinkToFit="0" vertical="bottom" wrapText="0"/>
    </xf>
    <xf borderId="3" fillId="0" fontId="19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wrapText="0"/>
    </xf>
    <xf borderId="2" fillId="0" fontId="19" numFmtId="0" xfId="0" applyAlignment="1" applyBorder="1" applyFont="1">
      <alignment horizontal="center" readingOrder="0" shrinkToFit="0" wrapText="0"/>
    </xf>
    <xf borderId="4" fillId="0" fontId="19" numFmtId="0" xfId="0" applyAlignment="1" applyBorder="1" applyFont="1">
      <alignment horizontal="center" readingOrder="0" shrinkToFit="0" wrapText="0"/>
    </xf>
    <xf borderId="3" fillId="0" fontId="19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horizontal="center" shrinkToFit="0" wrapText="0"/>
    </xf>
    <xf borderId="3" fillId="12" fontId="19" numFmtId="0" xfId="0" applyAlignment="1" applyBorder="1" applyFill="1" applyFont="1">
      <alignment readingOrder="0" shrinkToFit="0" vertical="bottom" wrapText="0"/>
    </xf>
    <xf borderId="4" fillId="12" fontId="19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4.38"/>
    <col customWidth="1" min="4" max="4" width="25.13"/>
    <col customWidth="1" min="5" max="5" width="22.13"/>
    <col customWidth="1" min="6" max="6" width="18.13"/>
    <col customWidth="1" min="7" max="7" width="19.88"/>
    <col customWidth="1" min="8" max="8" width="21.88"/>
    <col customWidth="1" min="9" max="9" width="16.63"/>
    <col customWidth="1" min="11" max="11" width="22.0"/>
    <col customWidth="1" min="12" max="12" width="22.88"/>
    <col customWidth="1" min="13" max="13" width="33.13"/>
    <col customWidth="1" min="14" max="14" width="20.13"/>
    <col customWidth="1" min="15" max="15" width="19.25"/>
    <col customWidth="1" min="16" max="16" width="53.8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1"/>
      <c r="P1" s="1"/>
      <c r="Q1" s="1"/>
    </row>
    <row r="2">
      <c r="A2" s="9" t="s">
        <v>12</v>
      </c>
      <c r="B2" s="10">
        <v>44805.0</v>
      </c>
      <c r="C2" s="11">
        <v>47000.0</v>
      </c>
      <c r="D2" s="12">
        <v>0.0</v>
      </c>
      <c r="E2" s="13"/>
      <c r="F2" s="13"/>
      <c r="G2" s="13"/>
      <c r="H2" s="13"/>
      <c r="I2" s="14">
        <v>0.0</v>
      </c>
      <c r="J2" s="15"/>
      <c r="K2" s="16">
        <v>0.0</v>
      </c>
      <c r="L2" s="17">
        <v>47000.0</v>
      </c>
      <c r="M2" s="18">
        <f>H32/I32</f>
        <v>20004.48148</v>
      </c>
      <c r="N2" s="18">
        <f>D32/I32</f>
        <v>61370.37037</v>
      </c>
      <c r="O2" s="1"/>
      <c r="P2" s="1"/>
      <c r="Q2" s="1"/>
    </row>
    <row r="3">
      <c r="A3" s="9" t="s">
        <v>13</v>
      </c>
      <c r="B3" s="10">
        <v>44806.0</v>
      </c>
      <c r="C3" s="19">
        <v>73000.0</v>
      </c>
      <c r="D3" s="12">
        <v>0.0</v>
      </c>
      <c r="E3" s="13"/>
      <c r="F3" s="13"/>
      <c r="G3" s="13"/>
      <c r="H3" s="13"/>
      <c r="I3" s="14">
        <v>0.0</v>
      </c>
      <c r="J3" s="15"/>
      <c r="K3" s="16">
        <v>0.0</v>
      </c>
      <c r="L3" s="20">
        <v>73000.0</v>
      </c>
      <c r="M3" s="21"/>
      <c r="N3" s="21"/>
      <c r="O3" s="1"/>
      <c r="P3" s="1"/>
      <c r="Q3" s="1"/>
    </row>
    <row r="4">
      <c r="A4" s="9" t="s">
        <v>14</v>
      </c>
      <c r="B4" s="10">
        <v>44807.0</v>
      </c>
      <c r="C4" s="19">
        <v>52000.0</v>
      </c>
      <c r="D4" s="12">
        <v>0.0</v>
      </c>
      <c r="E4" s="13"/>
      <c r="F4" s="13"/>
      <c r="G4" s="13"/>
      <c r="H4" s="13"/>
      <c r="I4" s="14">
        <v>0.0</v>
      </c>
      <c r="J4" s="15"/>
      <c r="K4" s="16">
        <v>0.0</v>
      </c>
      <c r="L4" s="20">
        <v>52000.0</v>
      </c>
      <c r="M4" s="22" t="s">
        <v>15</v>
      </c>
      <c r="N4" s="23" t="s">
        <v>16</v>
      </c>
      <c r="O4" s="1"/>
      <c r="P4" s="1"/>
      <c r="Q4" s="21"/>
    </row>
    <row r="5">
      <c r="A5" s="9" t="s">
        <v>17</v>
      </c>
      <c r="B5" s="10">
        <v>44808.0</v>
      </c>
      <c r="C5" s="20">
        <v>80000.0</v>
      </c>
      <c r="D5" s="24">
        <v>55000.0</v>
      </c>
      <c r="E5" s="25"/>
      <c r="F5" s="25"/>
      <c r="G5" s="25"/>
      <c r="H5" s="25"/>
      <c r="I5" s="26">
        <v>1.0</v>
      </c>
      <c r="J5" s="15"/>
      <c r="K5" s="16">
        <v>70000.0</v>
      </c>
      <c r="L5" s="20">
        <v>80000.0</v>
      </c>
      <c r="M5" s="27"/>
      <c r="N5" s="28">
        <v>70000.0</v>
      </c>
      <c r="O5" s="1"/>
      <c r="P5" s="21"/>
      <c r="Q5" s="21"/>
    </row>
    <row r="6">
      <c r="A6" s="9" t="s">
        <v>18</v>
      </c>
      <c r="B6" s="10">
        <v>44809.0</v>
      </c>
      <c r="C6" s="20">
        <v>60000.0</v>
      </c>
      <c r="D6" s="24">
        <v>80000.0</v>
      </c>
      <c r="E6" s="25"/>
      <c r="F6" s="25"/>
      <c r="G6" s="25"/>
      <c r="H6" s="25"/>
      <c r="I6" s="26">
        <v>1.0</v>
      </c>
      <c r="J6" s="15"/>
      <c r="K6" s="16">
        <v>70000.0</v>
      </c>
      <c r="L6" s="20">
        <v>60000.0</v>
      </c>
      <c r="M6" s="21" t="s">
        <v>19</v>
      </c>
      <c r="N6" s="21"/>
      <c r="O6" s="21"/>
      <c r="P6" s="21"/>
      <c r="Q6" s="21"/>
    </row>
    <row r="7">
      <c r="A7" s="9" t="s">
        <v>20</v>
      </c>
      <c r="B7" s="10">
        <v>44810.0</v>
      </c>
      <c r="C7" s="20">
        <v>82000.0</v>
      </c>
      <c r="D7" s="24">
        <v>40000.0</v>
      </c>
      <c r="E7" s="25"/>
      <c r="F7" s="25"/>
      <c r="G7" s="25"/>
      <c r="H7" s="25"/>
      <c r="I7" s="26">
        <v>1.0</v>
      </c>
      <c r="J7" s="15"/>
      <c r="K7" s="16">
        <v>70000.0</v>
      </c>
      <c r="L7" s="20">
        <v>82000.0</v>
      </c>
      <c r="M7" s="21"/>
      <c r="N7" s="21"/>
      <c r="O7" s="21"/>
      <c r="P7" s="21"/>
      <c r="Q7" s="21"/>
    </row>
    <row r="8">
      <c r="A8" s="9" t="s">
        <v>21</v>
      </c>
      <c r="B8" s="10">
        <v>44811.0</v>
      </c>
      <c r="C8" s="16">
        <v>70000.0</v>
      </c>
      <c r="D8" s="24">
        <v>95000.0</v>
      </c>
      <c r="E8" s="25"/>
      <c r="F8" s="25"/>
      <c r="G8" s="25"/>
      <c r="H8" s="25"/>
      <c r="I8" s="26">
        <v>1.0</v>
      </c>
      <c r="J8" s="15"/>
      <c r="K8" s="16">
        <v>70000.0</v>
      </c>
      <c r="L8" s="20">
        <v>70000.0</v>
      </c>
      <c r="M8" s="29" t="s">
        <v>22</v>
      </c>
      <c r="N8" s="29" t="s">
        <v>23</v>
      </c>
      <c r="O8" s="30" t="s">
        <v>24</v>
      </c>
      <c r="P8" s="31" t="s">
        <v>25</v>
      </c>
      <c r="Q8" s="21"/>
    </row>
    <row r="9">
      <c r="A9" s="9" t="s">
        <v>12</v>
      </c>
      <c r="B9" s="10">
        <v>44812.0</v>
      </c>
      <c r="C9" s="16">
        <v>80000.0</v>
      </c>
      <c r="D9" s="24">
        <v>55000.0</v>
      </c>
      <c r="E9" s="25"/>
      <c r="F9" s="25"/>
      <c r="G9" s="25"/>
      <c r="H9" s="25"/>
      <c r="I9" s="26">
        <v>1.0</v>
      </c>
      <c r="J9" s="15"/>
      <c r="K9" s="16">
        <v>70000.0</v>
      </c>
      <c r="L9" s="20">
        <v>80000.0</v>
      </c>
      <c r="M9" s="23">
        <f>N11+D32-E32-N9-N12-Salaires!I25</f>
        <v>723171</v>
      </c>
      <c r="N9" s="32">
        <f>P9+O9</f>
        <v>507000</v>
      </c>
      <c r="O9" s="33">
        <v>42000.0</v>
      </c>
      <c r="P9" s="33">
        <v>465000.0</v>
      </c>
      <c r="Q9" s="27"/>
    </row>
    <row r="10">
      <c r="A10" s="9" t="s">
        <v>13</v>
      </c>
      <c r="B10" s="10">
        <v>44813.0</v>
      </c>
      <c r="C10" s="16">
        <v>60000.0</v>
      </c>
      <c r="D10" s="24">
        <v>55000.0</v>
      </c>
      <c r="E10" s="25"/>
      <c r="F10" s="25"/>
      <c r="G10" s="25"/>
      <c r="H10" s="25"/>
      <c r="I10" s="26">
        <v>1.0</v>
      </c>
      <c r="J10" s="15"/>
      <c r="K10" s="16">
        <v>70000.0</v>
      </c>
      <c r="L10" s="20">
        <v>60000.0</v>
      </c>
      <c r="M10" s="21"/>
      <c r="N10" s="21" t="s">
        <v>26</v>
      </c>
      <c r="O10" s="34"/>
      <c r="P10" s="35" t="s">
        <v>27</v>
      </c>
      <c r="Q10" s="21"/>
    </row>
    <row r="11">
      <c r="A11" s="9" t="s">
        <v>14</v>
      </c>
      <c r="B11" s="10">
        <v>44814.0</v>
      </c>
      <c r="C11" s="16">
        <v>51000.0</v>
      </c>
      <c r="D11" s="24">
        <v>100000.0</v>
      </c>
      <c r="E11" s="25"/>
      <c r="F11" s="25"/>
      <c r="G11" s="25"/>
      <c r="H11" s="25"/>
      <c r="I11" s="26">
        <v>1.0</v>
      </c>
      <c r="J11" s="15"/>
      <c r="K11" s="16">
        <v>70000.0</v>
      </c>
      <c r="L11" s="20">
        <v>51000.0</v>
      </c>
      <c r="M11" s="36" t="s">
        <v>28</v>
      </c>
      <c r="N11" s="37">
        <v>910000.0</v>
      </c>
      <c r="O11" s="27"/>
      <c r="P11" s="35" t="s">
        <v>29</v>
      </c>
      <c r="Q11" s="21"/>
    </row>
    <row r="12">
      <c r="A12" s="9" t="s">
        <v>17</v>
      </c>
      <c r="B12" s="10">
        <v>44815.0</v>
      </c>
      <c r="C12" s="16">
        <v>40000.0</v>
      </c>
      <c r="D12" s="24">
        <v>23000.0</v>
      </c>
      <c r="E12" s="25"/>
      <c r="F12" s="25"/>
      <c r="G12" s="25"/>
      <c r="H12" s="25"/>
      <c r="I12" s="26">
        <v>1.0</v>
      </c>
      <c r="J12" s="15"/>
      <c r="K12" s="16">
        <v>70000.0</v>
      </c>
      <c r="L12" s="20">
        <v>40000.0</v>
      </c>
      <c r="M12" s="38" t="s">
        <v>30</v>
      </c>
      <c r="N12" s="39">
        <v>270000.0</v>
      </c>
      <c r="O12" s="1"/>
      <c r="P12" s="40" t="s">
        <v>31</v>
      </c>
      <c r="Q12" s="34"/>
    </row>
    <row r="13">
      <c r="A13" s="9" t="s">
        <v>18</v>
      </c>
      <c r="B13" s="10">
        <v>44816.0</v>
      </c>
      <c r="C13" s="16">
        <v>62000.0</v>
      </c>
      <c r="D13" s="24">
        <v>48000.0</v>
      </c>
      <c r="E13" s="25"/>
      <c r="F13" s="25"/>
      <c r="G13" s="25"/>
      <c r="H13" s="25"/>
      <c r="I13" s="26">
        <v>1.0</v>
      </c>
      <c r="J13" s="15"/>
      <c r="K13" s="16">
        <v>70000.0</v>
      </c>
      <c r="L13" s="20">
        <v>62000.0</v>
      </c>
      <c r="M13" s="34"/>
      <c r="N13" s="41" t="s">
        <v>32</v>
      </c>
      <c r="O13" s="1"/>
      <c r="P13" s="42"/>
      <c r="Q13" s="34"/>
    </row>
    <row r="14">
      <c r="A14" s="9" t="s">
        <v>20</v>
      </c>
      <c r="B14" s="10">
        <v>44817.0</v>
      </c>
      <c r="C14" s="16">
        <v>40000.0</v>
      </c>
      <c r="D14" s="24">
        <v>26000.0</v>
      </c>
      <c r="E14" s="25"/>
      <c r="F14" s="25"/>
      <c r="G14" s="25"/>
      <c r="H14" s="25"/>
      <c r="I14" s="26">
        <v>1.0</v>
      </c>
      <c r="J14" s="15"/>
      <c r="K14" s="16">
        <v>70000.0</v>
      </c>
      <c r="L14" s="20">
        <v>40000.0</v>
      </c>
      <c r="M14" s="43" t="s">
        <v>33</v>
      </c>
      <c r="N14" s="34">
        <v>50000.0</v>
      </c>
      <c r="O14" s="1"/>
      <c r="P14" s="1"/>
      <c r="Q14" s="1"/>
    </row>
    <row r="15">
      <c r="A15" s="9" t="s">
        <v>21</v>
      </c>
      <c r="B15" s="10">
        <v>44818.0</v>
      </c>
      <c r="C15" s="16">
        <v>85000.0</v>
      </c>
      <c r="D15" s="24">
        <v>55000.0</v>
      </c>
      <c r="E15" s="25"/>
      <c r="F15" s="25"/>
      <c r="G15" s="25"/>
      <c r="H15" s="25"/>
      <c r="I15" s="26">
        <v>1.0</v>
      </c>
      <c r="J15" s="15"/>
      <c r="K15" s="16">
        <v>70000.0</v>
      </c>
      <c r="L15" s="20">
        <v>85000.0</v>
      </c>
      <c r="M15" s="44"/>
      <c r="N15" s="1"/>
      <c r="O15" s="1"/>
      <c r="P15" s="1"/>
      <c r="Q15" s="1"/>
    </row>
    <row r="16">
      <c r="A16" s="9" t="s">
        <v>12</v>
      </c>
      <c r="B16" s="10">
        <v>44819.0</v>
      </c>
      <c r="C16" s="16">
        <v>60000.0</v>
      </c>
      <c r="D16" s="24">
        <v>60000.0</v>
      </c>
      <c r="E16" s="25"/>
      <c r="F16" s="25"/>
      <c r="G16" s="25"/>
      <c r="H16" s="25"/>
      <c r="I16" s="26">
        <v>1.0</v>
      </c>
      <c r="J16" s="15"/>
      <c r="K16" s="16">
        <v>70000.0</v>
      </c>
      <c r="L16" s="20">
        <v>60000.0</v>
      </c>
      <c r="M16" s="34"/>
      <c r="N16" s="41"/>
      <c r="O16" s="1"/>
      <c r="P16" s="1"/>
      <c r="Q16" s="1"/>
    </row>
    <row r="17">
      <c r="A17" s="9" t="s">
        <v>13</v>
      </c>
      <c r="B17" s="10">
        <v>44820.0</v>
      </c>
      <c r="C17" s="16">
        <v>60000.0</v>
      </c>
      <c r="D17" s="24">
        <v>125000.0</v>
      </c>
      <c r="E17" s="25"/>
      <c r="F17" s="25"/>
      <c r="G17" s="25"/>
      <c r="H17" s="25"/>
      <c r="I17" s="26">
        <v>1.0</v>
      </c>
      <c r="J17" s="15"/>
      <c r="K17" s="16">
        <v>70000.0</v>
      </c>
      <c r="L17" s="20">
        <v>60000.0</v>
      </c>
      <c r="M17" s="45" t="s">
        <v>34</v>
      </c>
      <c r="N17" s="41"/>
      <c r="O17" s="1"/>
      <c r="P17" s="1"/>
      <c r="Q17" s="1"/>
    </row>
    <row r="18">
      <c r="A18" s="9" t="s">
        <v>14</v>
      </c>
      <c r="B18" s="10">
        <v>44821.0</v>
      </c>
      <c r="C18" s="16">
        <v>60000.0</v>
      </c>
      <c r="D18" s="24">
        <v>50000.0</v>
      </c>
      <c r="E18" s="25"/>
      <c r="F18" s="25"/>
      <c r="G18" s="25"/>
      <c r="H18" s="25"/>
      <c r="I18" s="26">
        <v>1.0</v>
      </c>
      <c r="J18" s="15"/>
      <c r="K18" s="16">
        <v>70000.0</v>
      </c>
      <c r="L18" s="20">
        <v>60000.0</v>
      </c>
      <c r="M18" s="20">
        <f>D32-C32</f>
        <v>325000</v>
      </c>
      <c r="N18" s="41"/>
      <c r="O18" s="1"/>
      <c r="P18" s="1"/>
      <c r="Q18" s="42"/>
    </row>
    <row r="19">
      <c r="A19" s="9" t="s">
        <v>17</v>
      </c>
      <c r="B19" s="10">
        <v>44822.0</v>
      </c>
      <c r="C19" s="16">
        <v>90000.0</v>
      </c>
      <c r="D19" s="24">
        <v>46000.0</v>
      </c>
      <c r="E19" s="25"/>
      <c r="F19" s="25"/>
      <c r="G19" s="25"/>
      <c r="H19" s="25"/>
      <c r="I19" s="26">
        <v>1.0</v>
      </c>
      <c r="J19" s="15"/>
      <c r="K19" s="16">
        <v>70000.0</v>
      </c>
      <c r="L19" s="20">
        <v>90000.0</v>
      </c>
      <c r="M19" s="46" t="s">
        <v>35</v>
      </c>
      <c r="N19" s="41"/>
      <c r="O19" s="1"/>
      <c r="P19" s="1"/>
      <c r="Q19" s="1"/>
    </row>
    <row r="20">
      <c r="A20" s="9" t="s">
        <v>18</v>
      </c>
      <c r="B20" s="10">
        <v>44823.0</v>
      </c>
      <c r="C20" s="16">
        <v>80000.0</v>
      </c>
      <c r="D20" s="24">
        <v>55000.0</v>
      </c>
      <c r="E20" s="25"/>
      <c r="F20" s="25"/>
      <c r="G20" s="25"/>
      <c r="H20" s="25"/>
      <c r="I20" s="26">
        <v>1.0</v>
      </c>
      <c r="J20" s="15"/>
      <c r="K20" s="16">
        <v>70000.0</v>
      </c>
      <c r="L20" s="20">
        <v>80000.0</v>
      </c>
      <c r="M20" s="28">
        <f>D32-K32</f>
        <v>-163000</v>
      </c>
      <c r="N20" s="41"/>
      <c r="O20" s="1"/>
      <c r="P20" s="1"/>
      <c r="Q20" s="1"/>
    </row>
    <row r="21">
      <c r="A21" s="9" t="s">
        <v>20</v>
      </c>
      <c r="B21" s="10">
        <v>44824.0</v>
      </c>
      <c r="C21" s="16">
        <v>100000.0</v>
      </c>
      <c r="D21" s="24">
        <v>90000.0</v>
      </c>
      <c r="E21" s="25"/>
      <c r="F21" s="25"/>
      <c r="G21" s="25"/>
      <c r="H21" s="25"/>
      <c r="I21" s="26">
        <v>1.0</v>
      </c>
      <c r="J21" s="15"/>
      <c r="K21" s="16">
        <v>70000.0</v>
      </c>
      <c r="L21" s="20">
        <v>100000.0</v>
      </c>
      <c r="M21" s="21"/>
      <c r="N21" s="41"/>
      <c r="O21" s="1"/>
      <c r="P21" s="1"/>
      <c r="Q21" s="1"/>
    </row>
    <row r="22">
      <c r="A22" s="9" t="s">
        <v>21</v>
      </c>
      <c r="B22" s="10">
        <v>44825.0</v>
      </c>
      <c r="C22" s="19">
        <v>0.0</v>
      </c>
      <c r="D22" s="24">
        <v>45000.0</v>
      </c>
      <c r="E22" s="25"/>
      <c r="F22" s="25"/>
      <c r="G22" s="25"/>
      <c r="H22" s="25"/>
      <c r="I22" s="26">
        <v>1.0</v>
      </c>
      <c r="J22" s="15"/>
      <c r="K22" s="16">
        <v>70000.0</v>
      </c>
      <c r="L22" s="19">
        <v>0.0</v>
      </c>
      <c r="M22" s="21"/>
      <c r="N22" s="41"/>
      <c r="O22" s="1"/>
      <c r="P22" s="1"/>
      <c r="Q22" s="1"/>
    </row>
    <row r="23">
      <c r="A23" s="9" t="s">
        <v>12</v>
      </c>
      <c r="B23" s="10">
        <v>44826.0</v>
      </c>
      <c r="C23" s="19">
        <v>0.0</v>
      </c>
      <c r="D23" s="24">
        <v>45000.0</v>
      </c>
      <c r="E23" s="25"/>
      <c r="F23" s="25"/>
      <c r="G23" s="25"/>
      <c r="H23" s="25"/>
      <c r="I23" s="26">
        <v>1.0</v>
      </c>
      <c r="J23" s="15"/>
      <c r="K23" s="16">
        <v>70000.0</v>
      </c>
      <c r="L23" s="19">
        <v>0.0</v>
      </c>
      <c r="M23" s="36" t="s">
        <v>36</v>
      </c>
      <c r="N23" s="41"/>
      <c r="O23" s="1"/>
      <c r="P23" s="1"/>
      <c r="Q23" s="1"/>
    </row>
    <row r="24">
      <c r="A24" s="9" t="s">
        <v>13</v>
      </c>
      <c r="B24" s="10">
        <v>44827.0</v>
      </c>
      <c r="C24" s="19">
        <v>0.0</v>
      </c>
      <c r="D24" s="24">
        <v>47000.0</v>
      </c>
      <c r="E24" s="25"/>
      <c r="F24" s="25"/>
      <c r="G24" s="25"/>
      <c r="H24" s="25"/>
      <c r="I24" s="26">
        <v>1.0</v>
      </c>
      <c r="J24" s="15"/>
      <c r="K24" s="16">
        <v>70000.0</v>
      </c>
      <c r="L24" s="19">
        <v>0.0</v>
      </c>
      <c r="M24" s="28">
        <f>D6+D13+D20+D27</f>
        <v>226000</v>
      </c>
      <c r="N24" s="1"/>
      <c r="O24" s="1"/>
      <c r="P24" s="1"/>
      <c r="Q24" s="1"/>
    </row>
    <row r="25">
      <c r="A25" s="9" t="s">
        <v>14</v>
      </c>
      <c r="B25" s="10">
        <v>44828.0</v>
      </c>
      <c r="C25" s="19">
        <v>0.0</v>
      </c>
      <c r="D25" s="24">
        <v>37000.0</v>
      </c>
      <c r="E25" s="25"/>
      <c r="F25" s="25"/>
      <c r="G25" s="25"/>
      <c r="H25" s="25"/>
      <c r="I25" s="26">
        <v>1.0</v>
      </c>
      <c r="J25" s="15"/>
      <c r="K25" s="16">
        <v>70000.0</v>
      </c>
      <c r="L25" s="19">
        <v>0.0</v>
      </c>
      <c r="M25" s="28"/>
      <c r="N25" s="1"/>
      <c r="O25" s="1"/>
      <c r="P25" s="1"/>
      <c r="Q25" s="1"/>
    </row>
    <row r="26">
      <c r="A26" s="9" t="s">
        <v>17</v>
      </c>
      <c r="B26" s="10">
        <v>44829.0</v>
      </c>
      <c r="C26" s="19">
        <v>0.0</v>
      </c>
      <c r="D26" s="24">
        <v>56000.0</v>
      </c>
      <c r="E26" s="25"/>
      <c r="F26" s="25"/>
      <c r="G26" s="25"/>
      <c r="H26" s="25"/>
      <c r="I26" s="26">
        <v>1.0</v>
      </c>
      <c r="J26" s="15"/>
      <c r="K26" s="16">
        <v>70000.0</v>
      </c>
      <c r="L26" s="19">
        <v>0.0</v>
      </c>
      <c r="M26" s="47" t="s">
        <v>37</v>
      </c>
      <c r="N26" s="1"/>
      <c r="O26" s="1"/>
      <c r="P26" s="1"/>
      <c r="Q26" s="1"/>
    </row>
    <row r="27">
      <c r="A27" s="9" t="s">
        <v>18</v>
      </c>
      <c r="B27" s="10">
        <v>44830.0</v>
      </c>
      <c r="C27" s="19">
        <v>0.0</v>
      </c>
      <c r="D27" s="24">
        <v>43000.0</v>
      </c>
      <c r="E27" s="25"/>
      <c r="F27" s="25"/>
      <c r="G27" s="25"/>
      <c r="H27" s="25"/>
      <c r="I27" s="26">
        <v>1.0</v>
      </c>
      <c r="J27" s="15"/>
      <c r="K27" s="16">
        <v>70000.0</v>
      </c>
      <c r="L27" s="19">
        <v>0.0</v>
      </c>
      <c r="M27" s="37">
        <v>780000.0</v>
      </c>
      <c r="N27" s="34"/>
      <c r="O27" s="34"/>
      <c r="P27" s="1"/>
      <c r="Q27" s="1"/>
    </row>
    <row r="28">
      <c r="A28" s="9" t="s">
        <v>20</v>
      </c>
      <c r="B28" s="10">
        <v>44831.0</v>
      </c>
      <c r="C28" s="19">
        <v>0.0</v>
      </c>
      <c r="D28" s="24">
        <v>62000.0</v>
      </c>
      <c r="E28" s="25"/>
      <c r="F28" s="25"/>
      <c r="G28" s="25"/>
      <c r="H28" s="25"/>
      <c r="I28" s="26">
        <v>1.0</v>
      </c>
      <c r="J28" s="15"/>
      <c r="K28" s="16">
        <v>70000.0</v>
      </c>
      <c r="L28" s="19">
        <v>0.0</v>
      </c>
      <c r="M28" s="48" t="s">
        <v>38</v>
      </c>
      <c r="N28" s="1"/>
      <c r="O28" s="34"/>
      <c r="P28" s="1"/>
      <c r="Q28" s="1"/>
    </row>
    <row r="29">
      <c r="A29" s="9" t="s">
        <v>21</v>
      </c>
      <c r="B29" s="10">
        <v>44832.0</v>
      </c>
      <c r="C29" s="19">
        <v>0.0</v>
      </c>
      <c r="D29" s="24">
        <v>72000.0</v>
      </c>
      <c r="E29" s="25"/>
      <c r="F29" s="25"/>
      <c r="G29" s="25"/>
      <c r="H29" s="25"/>
      <c r="I29" s="26">
        <v>1.0</v>
      </c>
      <c r="J29" s="15"/>
      <c r="K29" s="16">
        <v>70000.0</v>
      </c>
      <c r="L29" s="19">
        <v>0.0</v>
      </c>
      <c r="M29" s="28">
        <f>M9-M27</f>
        <v>-56829</v>
      </c>
      <c r="N29" s="1"/>
      <c r="O29" s="34"/>
      <c r="P29" s="1"/>
      <c r="Q29" s="1"/>
    </row>
    <row r="30">
      <c r="A30" s="9" t="s">
        <v>12</v>
      </c>
      <c r="B30" s="10">
        <v>44833.0</v>
      </c>
      <c r="C30" s="19">
        <v>0.0</v>
      </c>
      <c r="D30" s="24">
        <v>120000.0</v>
      </c>
      <c r="E30" s="25"/>
      <c r="F30" s="25"/>
      <c r="G30" s="25"/>
      <c r="H30" s="25"/>
      <c r="I30" s="26">
        <v>1.0</v>
      </c>
      <c r="J30" s="15"/>
      <c r="K30" s="16">
        <v>70000.0</v>
      </c>
      <c r="L30" s="19">
        <v>0.0</v>
      </c>
      <c r="M30" s="1"/>
      <c r="N30" s="1"/>
      <c r="O30" s="1"/>
      <c r="P30" s="1"/>
      <c r="Q30" s="1"/>
    </row>
    <row r="31">
      <c r="A31" s="9" t="s">
        <v>13</v>
      </c>
      <c r="B31" s="10">
        <v>44834.0</v>
      </c>
      <c r="C31" s="19">
        <v>0.0</v>
      </c>
      <c r="D31" s="24">
        <v>72000.0</v>
      </c>
      <c r="E31" s="25"/>
      <c r="F31" s="25"/>
      <c r="G31" s="25"/>
      <c r="H31" s="25"/>
      <c r="I31" s="26">
        <v>1.0</v>
      </c>
      <c r="J31" s="15"/>
      <c r="K31" s="20"/>
      <c r="L31" s="19">
        <v>0.0</v>
      </c>
      <c r="M31" s="1"/>
      <c r="N31" s="1"/>
      <c r="O31" s="1"/>
      <c r="P31" s="1"/>
      <c r="Q31" s="1"/>
    </row>
    <row r="32">
      <c r="A32" s="21"/>
      <c r="B32" s="21"/>
      <c r="C32" s="18">
        <f t="shared" ref="C32:D32" si="1">SUM(C2:C31)</f>
        <v>1332000</v>
      </c>
      <c r="D32" s="23">
        <f t="shared" si="1"/>
        <v>1657000</v>
      </c>
      <c r="E32" s="49">
        <f>'Les chareges '!F346</f>
        <v>702079</v>
      </c>
      <c r="F32" s="50">
        <f>Pointage!P34*1</f>
        <v>304800</v>
      </c>
      <c r="G32" s="51">
        <v>110000.0</v>
      </c>
      <c r="H32" s="18">
        <f>D32-G32-F32-E32</f>
        <v>540121</v>
      </c>
      <c r="I32" s="6">
        <f>SUM(I2:I31)</f>
        <v>27</v>
      </c>
      <c r="J32" s="21"/>
      <c r="K32" s="52">
        <f t="shared" ref="K32:L32" si="2">SUM(K2:K31)</f>
        <v>1820000</v>
      </c>
      <c r="L32" s="53">
        <f t="shared" si="2"/>
        <v>1332000</v>
      </c>
      <c r="M32" s="1"/>
      <c r="N32" s="1"/>
      <c r="O32" s="1"/>
      <c r="P32" s="1"/>
      <c r="Q32" s="1"/>
    </row>
    <row r="33">
      <c r="A33" s="21"/>
      <c r="B33" s="21"/>
      <c r="C33" s="21"/>
      <c r="D33" s="21"/>
      <c r="E33" s="21"/>
      <c r="F33" s="21"/>
      <c r="G33" s="21"/>
      <c r="H33" s="21"/>
      <c r="I33" s="1"/>
      <c r="J33" s="1"/>
      <c r="K33" s="1"/>
      <c r="L33" s="54"/>
      <c r="M33" s="1"/>
      <c r="N33" s="1"/>
      <c r="O33" s="1"/>
      <c r="P33" s="1"/>
      <c r="Q33" s="1"/>
    </row>
    <row r="34">
      <c r="A34" s="1"/>
      <c r="B34" s="21"/>
      <c r="C34" s="55" t="s">
        <v>8</v>
      </c>
      <c r="D34" s="56">
        <v>2030000.0</v>
      </c>
      <c r="E34" s="56">
        <v>800000.0</v>
      </c>
      <c r="F34" s="56">
        <v>380000.0</v>
      </c>
      <c r="G34" s="56">
        <v>110000.0</v>
      </c>
      <c r="H34" s="56">
        <f>D34-E34-F34-G34</f>
        <v>740000</v>
      </c>
      <c r="I34" s="1"/>
      <c r="J34" s="1"/>
      <c r="K34" s="1"/>
      <c r="L34" s="1"/>
      <c r="M34" s="1"/>
      <c r="N34" s="1"/>
      <c r="O34" s="1"/>
      <c r="P34" s="1"/>
      <c r="Q34" s="1"/>
    </row>
    <row r="35">
      <c r="A35" s="21"/>
      <c r="B35" s="21"/>
      <c r="C35" s="57" t="s">
        <v>39</v>
      </c>
      <c r="D35" s="58">
        <v>1332000.0</v>
      </c>
      <c r="E35" s="59">
        <v>595000.0</v>
      </c>
      <c r="F35" s="60">
        <v>188000.0</v>
      </c>
      <c r="G35" s="51">
        <v>110000.0</v>
      </c>
      <c r="H35" s="32">
        <v>440000.0</v>
      </c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"/>
      <c r="C36" s="21"/>
      <c r="D36" s="21"/>
      <c r="E36" s="21"/>
      <c r="F36" s="21"/>
      <c r="G36" s="21"/>
      <c r="H36" s="2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21"/>
      <c r="C37" s="21"/>
      <c r="D37" s="21"/>
      <c r="E37" s="21"/>
      <c r="F37" s="21"/>
      <c r="G37" s="21"/>
      <c r="H37" s="21"/>
      <c r="I37" s="1"/>
      <c r="J37" s="1"/>
      <c r="K37" s="1"/>
      <c r="L37" s="1"/>
      <c r="M37" s="1"/>
      <c r="N37" s="1"/>
      <c r="O37" s="1"/>
      <c r="P37" s="1"/>
      <c r="Q37" s="1"/>
    </row>
    <row r="38">
      <c r="A38" s="21"/>
      <c r="B38" s="21"/>
      <c r="C38" s="61" t="s">
        <v>40</v>
      </c>
      <c r="D38" s="56">
        <f t="shared" ref="D38:H38" si="3">D32-D35</f>
        <v>325000</v>
      </c>
      <c r="E38" s="56">
        <f t="shared" si="3"/>
        <v>107079</v>
      </c>
      <c r="F38" s="56">
        <f t="shared" si="3"/>
        <v>116800</v>
      </c>
      <c r="G38" s="56">
        <f t="shared" si="3"/>
        <v>0</v>
      </c>
      <c r="H38" s="56">
        <f t="shared" si="3"/>
        <v>100121</v>
      </c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1"/>
      <c r="E40" s="62">
        <f>E32/D32*100</f>
        <v>42.37048884</v>
      </c>
      <c r="F40" s="62">
        <f>F32/D32*100</f>
        <v>18.3946892</v>
      </c>
      <c r="G40" s="62">
        <f>G32/D32*100</f>
        <v>6.638503319</v>
      </c>
      <c r="H40" s="62">
        <f>H32/D32*100</f>
        <v>32.59631865</v>
      </c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13"/>
    <col customWidth="1" min="16" max="16" width="88.25"/>
  </cols>
  <sheetData>
    <row r="1">
      <c r="A1" s="1"/>
      <c r="B1" s="2" t="s">
        <v>0</v>
      </c>
      <c r="C1" s="63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3" t="s">
        <v>51</v>
      </c>
      <c r="N1" s="2" t="s">
        <v>52</v>
      </c>
      <c r="O1" s="2" t="s">
        <v>53</v>
      </c>
      <c r="P1" s="2" t="s">
        <v>54</v>
      </c>
    </row>
    <row r="2">
      <c r="A2" s="9" t="s">
        <v>12</v>
      </c>
      <c r="B2" s="10">
        <v>44805.0</v>
      </c>
      <c r="C2" s="14">
        <v>0.0</v>
      </c>
      <c r="D2" s="14">
        <v>0.0</v>
      </c>
      <c r="E2" s="14">
        <v>0.0</v>
      </c>
      <c r="F2" s="64">
        <v>0.0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65"/>
    </row>
    <row r="3">
      <c r="A3" s="66" t="s">
        <v>13</v>
      </c>
      <c r="B3" s="67">
        <v>44806.0</v>
      </c>
      <c r="C3" s="14">
        <v>0.0</v>
      </c>
      <c r="D3" s="14">
        <v>0.0</v>
      </c>
      <c r="E3" s="7">
        <v>0.0</v>
      </c>
      <c r="F3" s="14">
        <v>0.0</v>
      </c>
      <c r="G3" s="14">
        <v>0.0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3"/>
    </row>
    <row r="4">
      <c r="A4" s="9" t="s">
        <v>14</v>
      </c>
      <c r="B4" s="10">
        <v>44807.0</v>
      </c>
      <c r="C4" s="14">
        <v>0.0</v>
      </c>
      <c r="D4" s="14">
        <v>1.5</v>
      </c>
      <c r="E4" s="14">
        <v>1.0</v>
      </c>
      <c r="F4" s="14">
        <v>0.0</v>
      </c>
      <c r="G4" s="14">
        <v>1.5</v>
      </c>
      <c r="H4" s="14">
        <v>1.5</v>
      </c>
      <c r="I4" s="14">
        <v>1.0</v>
      </c>
      <c r="J4" s="14">
        <v>1.0</v>
      </c>
      <c r="K4" s="14">
        <v>0.0</v>
      </c>
      <c r="L4" s="14">
        <v>1.0</v>
      </c>
      <c r="M4" s="14">
        <v>0.0</v>
      </c>
      <c r="N4" s="14">
        <v>1.5</v>
      </c>
      <c r="O4" s="14">
        <v>0.0</v>
      </c>
      <c r="P4" s="65"/>
    </row>
    <row r="5">
      <c r="A5" s="9" t="s">
        <v>17</v>
      </c>
      <c r="B5" s="10">
        <v>44808.0</v>
      </c>
      <c r="C5" s="26">
        <v>0.0</v>
      </c>
      <c r="D5" s="26">
        <v>1.0</v>
      </c>
      <c r="E5" s="26">
        <v>1.0</v>
      </c>
      <c r="F5" s="26">
        <v>0.0</v>
      </c>
      <c r="G5" s="26">
        <v>1.0</v>
      </c>
      <c r="H5" s="26">
        <v>1.0</v>
      </c>
      <c r="I5" s="26">
        <v>1.0</v>
      </c>
      <c r="J5" s="26">
        <v>1.0</v>
      </c>
      <c r="K5" s="26">
        <v>0.0</v>
      </c>
      <c r="L5" s="26">
        <v>1.0</v>
      </c>
      <c r="M5" s="26">
        <v>0.0</v>
      </c>
      <c r="N5" s="26">
        <v>1.0</v>
      </c>
      <c r="O5" s="26">
        <v>0.0</v>
      </c>
      <c r="P5" s="25"/>
    </row>
    <row r="6">
      <c r="A6" s="9" t="s">
        <v>18</v>
      </c>
      <c r="B6" s="10">
        <v>44809.0</v>
      </c>
      <c r="C6" s="26">
        <v>1.25</v>
      </c>
      <c r="D6" s="26">
        <v>1.0</v>
      </c>
      <c r="E6" s="26">
        <v>1.0</v>
      </c>
      <c r="F6" s="26">
        <v>0.0</v>
      </c>
      <c r="G6" s="26">
        <v>1.0</v>
      </c>
      <c r="H6" s="26">
        <v>1.5</v>
      </c>
      <c r="I6" s="26">
        <v>1.0</v>
      </c>
      <c r="J6" s="26">
        <v>1.0</v>
      </c>
      <c r="K6" s="26">
        <v>0.0</v>
      </c>
      <c r="L6" s="26">
        <v>1.0</v>
      </c>
      <c r="M6" s="26">
        <v>0.0</v>
      </c>
      <c r="N6" s="26">
        <v>1.0</v>
      </c>
      <c r="O6" s="26">
        <v>1.0</v>
      </c>
      <c r="P6" s="68" t="s">
        <v>55</v>
      </c>
    </row>
    <row r="7">
      <c r="A7" s="9" t="s">
        <v>20</v>
      </c>
      <c r="B7" s="10">
        <v>44810.0</v>
      </c>
      <c r="C7" s="26">
        <v>1.25</v>
      </c>
      <c r="D7" s="26">
        <v>1.0</v>
      </c>
      <c r="E7" s="26">
        <v>1.0</v>
      </c>
      <c r="F7" s="26">
        <v>0.0</v>
      </c>
      <c r="G7" s="26">
        <v>1.0</v>
      </c>
      <c r="H7" s="26">
        <v>1.0</v>
      </c>
      <c r="I7" s="26">
        <v>1.0</v>
      </c>
      <c r="J7" s="26">
        <v>1.0</v>
      </c>
      <c r="K7" s="26">
        <v>0.0</v>
      </c>
      <c r="L7" s="26">
        <v>1.0</v>
      </c>
      <c r="M7" s="26">
        <v>0.0</v>
      </c>
      <c r="N7" s="26">
        <v>1.0</v>
      </c>
      <c r="O7" s="26">
        <v>1.0</v>
      </c>
      <c r="P7" s="68" t="s">
        <v>56</v>
      </c>
    </row>
    <row r="8">
      <c r="A8" s="9" t="s">
        <v>21</v>
      </c>
      <c r="B8" s="10">
        <v>44811.0</v>
      </c>
      <c r="C8" s="26">
        <v>1.25</v>
      </c>
      <c r="D8" s="26">
        <v>1.0</v>
      </c>
      <c r="E8" s="26">
        <v>1.0</v>
      </c>
      <c r="F8" s="26">
        <v>0.0</v>
      </c>
      <c r="G8" s="26">
        <v>1.0</v>
      </c>
      <c r="H8" s="26">
        <v>1.0</v>
      </c>
      <c r="I8" s="26">
        <v>1.0</v>
      </c>
      <c r="J8" s="26">
        <v>1.0</v>
      </c>
      <c r="K8" s="26">
        <v>0.0</v>
      </c>
      <c r="L8" s="26">
        <v>1.0</v>
      </c>
      <c r="M8" s="26">
        <v>0.0</v>
      </c>
      <c r="N8" s="26">
        <v>1.0</v>
      </c>
      <c r="O8" s="26">
        <v>1.0</v>
      </c>
      <c r="P8" s="25"/>
    </row>
    <row r="9">
      <c r="A9" s="9" t="s">
        <v>12</v>
      </c>
      <c r="B9" s="10">
        <v>44812.0</v>
      </c>
      <c r="C9" s="26">
        <v>1.25</v>
      </c>
      <c r="D9" s="26">
        <v>1.0</v>
      </c>
      <c r="E9" s="26">
        <v>1.0</v>
      </c>
      <c r="F9" s="26">
        <v>0.0</v>
      </c>
      <c r="G9" s="26">
        <v>1.0</v>
      </c>
      <c r="H9" s="26">
        <v>1.0</v>
      </c>
      <c r="I9" s="26">
        <v>0.5</v>
      </c>
      <c r="J9" s="26">
        <v>1.0</v>
      </c>
      <c r="K9" s="26">
        <v>0.0</v>
      </c>
      <c r="L9" s="26">
        <v>0.0</v>
      </c>
      <c r="M9" s="26">
        <v>0.0</v>
      </c>
      <c r="N9" s="26">
        <v>1.0</v>
      </c>
      <c r="O9" s="26">
        <v>0.0</v>
      </c>
      <c r="P9" s="25"/>
    </row>
    <row r="10">
      <c r="A10" s="66" t="s">
        <v>13</v>
      </c>
      <c r="B10" s="67">
        <v>44813.0</v>
      </c>
      <c r="C10" s="69">
        <v>1.25</v>
      </c>
      <c r="D10" s="70">
        <v>1.0</v>
      </c>
      <c r="E10" s="69">
        <v>0.0</v>
      </c>
      <c r="F10" s="69">
        <v>0.0</v>
      </c>
      <c r="G10" s="69">
        <v>1.0</v>
      </c>
      <c r="H10" s="69">
        <v>1.0</v>
      </c>
      <c r="I10" s="69">
        <v>0.0</v>
      </c>
      <c r="J10" s="69">
        <v>1.0</v>
      </c>
      <c r="K10" s="69">
        <v>0.0</v>
      </c>
      <c r="L10" s="69">
        <v>1.0</v>
      </c>
      <c r="M10" s="70">
        <v>1.0</v>
      </c>
      <c r="N10" s="69">
        <v>1.0</v>
      </c>
      <c r="O10" s="69">
        <v>0.0</v>
      </c>
      <c r="P10" s="71"/>
    </row>
    <row r="11">
      <c r="A11" s="9" t="s">
        <v>14</v>
      </c>
      <c r="B11" s="10">
        <v>44814.0</v>
      </c>
      <c r="C11" s="72">
        <v>1.25</v>
      </c>
      <c r="D11" s="72">
        <v>1.0</v>
      </c>
      <c r="E11" s="72">
        <v>1.0</v>
      </c>
      <c r="F11" s="72">
        <v>0.0</v>
      </c>
      <c r="G11" s="72">
        <v>1.0</v>
      </c>
      <c r="H11" s="72">
        <v>1.0</v>
      </c>
      <c r="I11" s="72">
        <v>1.0</v>
      </c>
      <c r="J11" s="72">
        <v>1.0</v>
      </c>
      <c r="K11" s="72">
        <v>0.0</v>
      </c>
      <c r="L11" s="72">
        <v>1.0</v>
      </c>
      <c r="M11" s="72">
        <v>1.0</v>
      </c>
      <c r="N11" s="72">
        <v>0.0</v>
      </c>
      <c r="O11" s="72">
        <v>0.0</v>
      </c>
      <c r="P11" s="25"/>
    </row>
    <row r="12">
      <c r="A12" s="9" t="s">
        <v>17</v>
      </c>
      <c r="B12" s="10">
        <v>44815.0</v>
      </c>
      <c r="C12" s="26">
        <v>0.0</v>
      </c>
      <c r="D12" s="26">
        <v>1.0</v>
      </c>
      <c r="E12" s="26">
        <v>1.0</v>
      </c>
      <c r="F12" s="26">
        <v>1.0</v>
      </c>
      <c r="G12" s="26">
        <v>0.0</v>
      </c>
      <c r="H12" s="26">
        <v>1.0</v>
      </c>
      <c r="I12" s="26">
        <v>1.0</v>
      </c>
      <c r="J12" s="26">
        <v>1.0</v>
      </c>
      <c r="K12" s="26">
        <v>0.0</v>
      </c>
      <c r="L12" s="26">
        <v>0.0</v>
      </c>
      <c r="M12" s="26">
        <v>1.0</v>
      </c>
      <c r="N12" s="26">
        <v>1.0</v>
      </c>
      <c r="O12" s="26">
        <v>1.0</v>
      </c>
      <c r="P12" s="25"/>
    </row>
    <row r="13">
      <c r="A13" s="9" t="s">
        <v>18</v>
      </c>
      <c r="B13" s="10">
        <v>44816.0</v>
      </c>
      <c r="C13" s="26">
        <v>0.0</v>
      </c>
      <c r="D13" s="26">
        <v>1.0</v>
      </c>
      <c r="E13" s="26">
        <v>1.0</v>
      </c>
      <c r="F13" s="26">
        <v>1.0</v>
      </c>
      <c r="G13" s="26">
        <v>1.0</v>
      </c>
      <c r="H13" s="26">
        <v>1.0</v>
      </c>
      <c r="I13" s="26">
        <v>0.0</v>
      </c>
      <c r="J13" s="26">
        <v>1.0</v>
      </c>
      <c r="K13" s="26">
        <v>0.0</v>
      </c>
      <c r="L13" s="26">
        <v>0.0</v>
      </c>
      <c r="M13" s="73">
        <v>1.0</v>
      </c>
      <c r="N13" s="26">
        <v>1.0</v>
      </c>
      <c r="O13" s="26">
        <v>1.0</v>
      </c>
      <c r="P13" s="25"/>
    </row>
    <row r="14">
      <c r="A14" s="9" t="s">
        <v>20</v>
      </c>
      <c r="B14" s="10">
        <v>44817.0</v>
      </c>
      <c r="C14" s="26">
        <v>0.0</v>
      </c>
      <c r="D14" s="26">
        <v>1.0</v>
      </c>
      <c r="E14" s="26">
        <v>1.0</v>
      </c>
      <c r="F14" s="26">
        <v>1.0</v>
      </c>
      <c r="G14" s="26">
        <v>1.0</v>
      </c>
      <c r="H14" s="26">
        <v>1.0</v>
      </c>
      <c r="I14" s="26">
        <v>0.0</v>
      </c>
      <c r="J14" s="26">
        <v>1.0</v>
      </c>
      <c r="K14" s="26">
        <v>0.0</v>
      </c>
      <c r="L14" s="26">
        <v>1.0</v>
      </c>
      <c r="M14" s="26">
        <v>1.0</v>
      </c>
      <c r="N14" s="26">
        <v>0.5</v>
      </c>
      <c r="O14" s="26">
        <v>1.0</v>
      </c>
      <c r="P14" s="68" t="s">
        <v>57</v>
      </c>
    </row>
    <row r="15">
      <c r="A15" s="9" t="s">
        <v>21</v>
      </c>
      <c r="B15" s="10">
        <v>44818.0</v>
      </c>
      <c r="C15" s="26">
        <v>0.0</v>
      </c>
      <c r="D15" s="26">
        <v>1.0</v>
      </c>
      <c r="E15" s="26">
        <v>1.0</v>
      </c>
      <c r="F15" s="26">
        <v>1.0</v>
      </c>
      <c r="G15" s="26">
        <v>1.0</v>
      </c>
      <c r="H15" s="26">
        <v>1.0</v>
      </c>
      <c r="I15" s="26">
        <v>0.0</v>
      </c>
      <c r="J15" s="26">
        <v>1.0</v>
      </c>
      <c r="K15" s="26">
        <v>0.0</v>
      </c>
      <c r="L15" s="26">
        <v>0.0</v>
      </c>
      <c r="M15" s="26">
        <v>1.0</v>
      </c>
      <c r="N15" s="26">
        <v>1.0</v>
      </c>
      <c r="O15" s="26">
        <v>1.0</v>
      </c>
      <c r="P15" s="68" t="s">
        <v>58</v>
      </c>
    </row>
    <row r="16">
      <c r="A16" s="9" t="s">
        <v>12</v>
      </c>
      <c r="B16" s="10">
        <v>44819.0</v>
      </c>
      <c r="C16" s="26">
        <v>1.0</v>
      </c>
      <c r="D16" s="26">
        <v>1.5</v>
      </c>
      <c r="E16" s="26">
        <v>1.0</v>
      </c>
      <c r="F16" s="26">
        <v>0.5</v>
      </c>
      <c r="G16" s="26">
        <v>0.0</v>
      </c>
      <c r="H16" s="26">
        <v>1.5</v>
      </c>
      <c r="I16" s="26">
        <v>0.0</v>
      </c>
      <c r="J16" s="26">
        <v>1.5</v>
      </c>
      <c r="K16" s="26">
        <v>0.0</v>
      </c>
      <c r="L16" s="26">
        <v>1.0</v>
      </c>
      <c r="M16" s="26">
        <v>1.0</v>
      </c>
      <c r="N16" s="26">
        <v>1.0</v>
      </c>
      <c r="O16" s="26">
        <v>1.0</v>
      </c>
      <c r="P16" s="68" t="s">
        <v>59</v>
      </c>
    </row>
    <row r="17">
      <c r="A17" s="66" t="s">
        <v>13</v>
      </c>
      <c r="B17" s="67">
        <v>44820.0</v>
      </c>
      <c r="C17" s="66">
        <v>0.0</v>
      </c>
      <c r="D17" s="69">
        <v>0.0</v>
      </c>
      <c r="E17" s="66">
        <v>0.0</v>
      </c>
      <c r="F17" s="69">
        <v>1.0</v>
      </c>
      <c r="G17" s="66">
        <v>1.0</v>
      </c>
      <c r="H17" s="66">
        <v>1.0</v>
      </c>
      <c r="I17" s="66">
        <v>0.0</v>
      </c>
      <c r="J17" s="69">
        <v>1.5</v>
      </c>
      <c r="K17" s="69">
        <v>0.0</v>
      </c>
      <c r="L17" s="69">
        <v>1.0</v>
      </c>
      <c r="M17" s="66">
        <v>0.0</v>
      </c>
      <c r="N17" s="66">
        <v>1.0</v>
      </c>
      <c r="O17" s="66">
        <v>0.5</v>
      </c>
      <c r="P17" s="74"/>
    </row>
    <row r="18">
      <c r="A18" s="9" t="s">
        <v>14</v>
      </c>
      <c r="B18" s="10">
        <v>44821.0</v>
      </c>
      <c r="C18" s="26">
        <v>0.0</v>
      </c>
      <c r="D18" s="26">
        <v>1.0</v>
      </c>
      <c r="E18" s="26">
        <v>1.0</v>
      </c>
      <c r="F18" s="26">
        <v>0.5</v>
      </c>
      <c r="G18" s="26">
        <v>1.0</v>
      </c>
      <c r="H18" s="26">
        <v>1.0</v>
      </c>
      <c r="I18" s="26">
        <v>0.0</v>
      </c>
      <c r="J18" s="26">
        <v>1.0</v>
      </c>
      <c r="K18" s="26">
        <v>0.0</v>
      </c>
      <c r="L18" s="26">
        <v>1.0</v>
      </c>
      <c r="M18" s="26">
        <v>1.0</v>
      </c>
      <c r="N18" s="26">
        <v>1.0</v>
      </c>
      <c r="O18" s="26">
        <v>1.0</v>
      </c>
      <c r="P18" s="25"/>
    </row>
    <row r="19">
      <c r="A19" s="9" t="s">
        <v>17</v>
      </c>
      <c r="B19" s="10">
        <v>44822.0</v>
      </c>
      <c r="C19" s="75">
        <v>0.0</v>
      </c>
      <c r="D19" s="26">
        <v>1.0</v>
      </c>
      <c r="E19" s="26">
        <v>1.0</v>
      </c>
      <c r="F19" s="26">
        <v>1.0</v>
      </c>
      <c r="G19" s="26">
        <v>1.0</v>
      </c>
      <c r="H19" s="26">
        <v>1.0</v>
      </c>
      <c r="I19" s="26">
        <v>1.0</v>
      </c>
      <c r="J19" s="26">
        <v>1.0</v>
      </c>
      <c r="K19" s="26">
        <v>0.0</v>
      </c>
      <c r="L19" s="26">
        <v>1.0</v>
      </c>
      <c r="M19" s="75">
        <v>1.0</v>
      </c>
      <c r="N19" s="75">
        <v>0.5</v>
      </c>
      <c r="O19" s="75">
        <v>1.0</v>
      </c>
      <c r="P19" s="25"/>
    </row>
    <row r="20">
      <c r="A20" s="9" t="s">
        <v>18</v>
      </c>
      <c r="B20" s="10">
        <v>44823.0</v>
      </c>
      <c r="C20" s="26">
        <v>0.0</v>
      </c>
      <c r="D20" s="26">
        <v>1.0</v>
      </c>
      <c r="E20" s="26">
        <v>1.0</v>
      </c>
      <c r="F20" s="26">
        <v>1.0</v>
      </c>
      <c r="G20" s="26">
        <v>1.0</v>
      </c>
      <c r="H20" s="26">
        <v>0.0</v>
      </c>
      <c r="I20" s="26">
        <v>1.0</v>
      </c>
      <c r="J20" s="26">
        <v>1.0</v>
      </c>
      <c r="K20" s="26">
        <v>0.0</v>
      </c>
      <c r="L20" s="26">
        <v>0.5</v>
      </c>
      <c r="M20" s="26">
        <v>1.0</v>
      </c>
      <c r="N20" s="26">
        <v>0.5</v>
      </c>
      <c r="O20" s="26">
        <v>1.0</v>
      </c>
      <c r="P20" s="25"/>
    </row>
    <row r="21">
      <c r="A21" s="9" t="s">
        <v>20</v>
      </c>
      <c r="B21" s="10">
        <v>44824.0</v>
      </c>
      <c r="C21" s="26">
        <v>0.0</v>
      </c>
      <c r="D21" s="26">
        <v>1.0</v>
      </c>
      <c r="E21" s="26">
        <v>1.0</v>
      </c>
      <c r="F21" s="26">
        <v>1.0</v>
      </c>
      <c r="G21" s="26">
        <v>1.0</v>
      </c>
      <c r="H21" s="26">
        <v>1.0</v>
      </c>
      <c r="I21" s="26">
        <v>1.0</v>
      </c>
      <c r="J21" s="26">
        <v>1.0</v>
      </c>
      <c r="K21" s="26">
        <v>0.0</v>
      </c>
      <c r="L21" s="26">
        <v>0.0</v>
      </c>
      <c r="M21" s="26">
        <v>0.0</v>
      </c>
      <c r="N21" s="26">
        <v>1.0</v>
      </c>
      <c r="O21" s="26">
        <v>1.0</v>
      </c>
      <c r="P21" s="25"/>
    </row>
    <row r="22">
      <c r="A22" s="9" t="s">
        <v>21</v>
      </c>
      <c r="B22" s="10">
        <v>44825.0</v>
      </c>
      <c r="C22" s="26">
        <v>0.0</v>
      </c>
      <c r="D22" s="26">
        <v>1.0</v>
      </c>
      <c r="E22" s="26">
        <v>1.0</v>
      </c>
      <c r="F22" s="26">
        <v>1.0</v>
      </c>
      <c r="G22" s="26">
        <v>1.0</v>
      </c>
      <c r="H22" s="26">
        <v>0.0</v>
      </c>
      <c r="I22" s="26">
        <v>1.0</v>
      </c>
      <c r="J22" s="26">
        <v>1.0</v>
      </c>
      <c r="K22" s="26">
        <v>0.0</v>
      </c>
      <c r="L22" s="26">
        <v>1.0</v>
      </c>
      <c r="M22" s="26">
        <v>1.0</v>
      </c>
      <c r="N22" s="26">
        <v>1.0</v>
      </c>
      <c r="O22" s="26">
        <v>1.0</v>
      </c>
      <c r="P22" s="25"/>
    </row>
    <row r="23">
      <c r="A23" s="9" t="s">
        <v>12</v>
      </c>
      <c r="B23" s="10">
        <v>44826.0</v>
      </c>
      <c r="C23" s="26">
        <v>0.0</v>
      </c>
      <c r="D23" s="26">
        <v>1.0</v>
      </c>
      <c r="E23" s="26">
        <v>1.0</v>
      </c>
      <c r="F23" s="26">
        <v>1.0</v>
      </c>
      <c r="G23" s="26">
        <v>1.0</v>
      </c>
      <c r="H23" s="26">
        <v>1.0</v>
      </c>
      <c r="I23" s="26">
        <v>1.0</v>
      </c>
      <c r="J23" s="26">
        <v>1.0</v>
      </c>
      <c r="K23" s="26">
        <v>0.0</v>
      </c>
      <c r="L23" s="26">
        <v>1.0</v>
      </c>
      <c r="M23" s="26">
        <v>1.0</v>
      </c>
      <c r="N23" s="26">
        <v>0.5</v>
      </c>
      <c r="O23" s="26">
        <v>1.0</v>
      </c>
      <c r="P23" s="25"/>
    </row>
    <row r="24">
      <c r="A24" s="66" t="s">
        <v>13</v>
      </c>
      <c r="B24" s="67">
        <v>44827.0</v>
      </c>
      <c r="C24" s="69">
        <v>0.0</v>
      </c>
      <c r="D24" s="69">
        <v>0.0</v>
      </c>
      <c r="E24" s="69">
        <v>0.0</v>
      </c>
      <c r="F24" s="69">
        <v>1.5</v>
      </c>
      <c r="G24" s="69">
        <v>2.0</v>
      </c>
      <c r="H24" s="69">
        <v>2.0</v>
      </c>
      <c r="I24" s="69">
        <v>0.0</v>
      </c>
      <c r="J24" s="69">
        <v>2.0</v>
      </c>
      <c r="K24" s="69">
        <v>0.0</v>
      </c>
      <c r="L24" s="69">
        <v>0.0</v>
      </c>
      <c r="M24" s="69">
        <v>1.0</v>
      </c>
      <c r="N24" s="69">
        <v>2.0</v>
      </c>
      <c r="O24" s="69">
        <v>0.0</v>
      </c>
      <c r="P24" s="71"/>
    </row>
    <row r="25">
      <c r="A25" s="9" t="s">
        <v>14</v>
      </c>
      <c r="B25" s="10">
        <v>44828.0</v>
      </c>
      <c r="C25" s="26">
        <v>0.0</v>
      </c>
      <c r="D25" s="26">
        <v>1.0</v>
      </c>
      <c r="E25" s="26">
        <v>1.5</v>
      </c>
      <c r="F25" s="26">
        <v>1.0</v>
      </c>
      <c r="G25" s="26">
        <v>1.0</v>
      </c>
      <c r="H25" s="26">
        <v>1.0</v>
      </c>
      <c r="I25" s="26">
        <v>1.0</v>
      </c>
      <c r="J25" s="26">
        <v>1.0</v>
      </c>
      <c r="K25" s="26">
        <v>0.0</v>
      </c>
      <c r="L25" s="26">
        <v>1.0</v>
      </c>
      <c r="M25" s="26">
        <v>1.0</v>
      </c>
      <c r="N25" s="26">
        <v>0.0</v>
      </c>
      <c r="O25" s="26">
        <v>0.0</v>
      </c>
      <c r="P25" s="25"/>
    </row>
    <row r="26">
      <c r="A26" s="9" t="s">
        <v>17</v>
      </c>
      <c r="B26" s="10">
        <v>44829.0</v>
      </c>
      <c r="C26" s="26">
        <v>0.0</v>
      </c>
      <c r="D26" s="26">
        <v>1.0</v>
      </c>
      <c r="E26" s="26">
        <v>1.0</v>
      </c>
      <c r="F26" s="26">
        <v>0.0</v>
      </c>
      <c r="G26" s="26">
        <v>1.0</v>
      </c>
      <c r="H26" s="26">
        <v>1.0</v>
      </c>
      <c r="I26" s="26">
        <v>1.0</v>
      </c>
      <c r="J26" s="26">
        <v>1.0</v>
      </c>
      <c r="K26" s="26">
        <v>0.0</v>
      </c>
      <c r="L26" s="26">
        <v>0.0</v>
      </c>
      <c r="M26" s="26">
        <v>1.0</v>
      </c>
      <c r="N26" s="26">
        <v>0.5</v>
      </c>
      <c r="O26" s="26">
        <v>1.0</v>
      </c>
      <c r="P26" s="25"/>
    </row>
    <row r="27">
      <c r="A27" s="9" t="s">
        <v>18</v>
      </c>
      <c r="B27" s="10">
        <v>44830.0</v>
      </c>
      <c r="C27" s="26">
        <v>0.0</v>
      </c>
      <c r="D27" s="26">
        <v>1.0</v>
      </c>
      <c r="E27" s="76">
        <v>1.0</v>
      </c>
      <c r="F27" s="26">
        <v>1.0</v>
      </c>
      <c r="G27" s="26">
        <v>1.0</v>
      </c>
      <c r="H27" s="26">
        <v>1.0</v>
      </c>
      <c r="I27" s="26">
        <v>1.0</v>
      </c>
      <c r="J27" s="26">
        <v>1.0</v>
      </c>
      <c r="K27" s="26">
        <v>0.0</v>
      </c>
      <c r="L27" s="26">
        <v>1.0</v>
      </c>
      <c r="M27" s="26">
        <v>1.0</v>
      </c>
      <c r="N27" s="26">
        <v>1.0</v>
      </c>
      <c r="O27" s="26">
        <v>1.0</v>
      </c>
      <c r="P27" s="25"/>
    </row>
    <row r="28">
      <c r="A28" s="9" t="s">
        <v>20</v>
      </c>
      <c r="B28" s="10">
        <v>44831.0</v>
      </c>
      <c r="C28" s="26">
        <v>0.0</v>
      </c>
      <c r="D28" s="77">
        <v>1.0</v>
      </c>
      <c r="E28" s="77">
        <v>1.0</v>
      </c>
      <c r="F28" s="77">
        <v>1.0</v>
      </c>
      <c r="G28" s="77">
        <v>1.0</v>
      </c>
      <c r="H28" s="77">
        <v>1.0</v>
      </c>
      <c r="I28" s="77">
        <v>1.0</v>
      </c>
      <c r="J28" s="77">
        <v>1.0</v>
      </c>
      <c r="K28" s="77">
        <v>0.0</v>
      </c>
      <c r="L28" s="77">
        <v>1.0</v>
      </c>
      <c r="M28" s="77">
        <v>0.0</v>
      </c>
      <c r="N28" s="77">
        <v>1.0</v>
      </c>
      <c r="O28" s="77">
        <v>1.0</v>
      </c>
      <c r="P28" s="25"/>
    </row>
    <row r="29">
      <c r="A29" s="9" t="s">
        <v>21</v>
      </c>
      <c r="B29" s="10">
        <v>44832.0</v>
      </c>
      <c r="C29" s="78">
        <v>0.0</v>
      </c>
      <c r="D29" s="79">
        <v>1.0</v>
      </c>
      <c r="E29" s="79">
        <v>2.0</v>
      </c>
      <c r="F29" s="79">
        <v>1.0</v>
      </c>
      <c r="G29" s="79">
        <v>0.0</v>
      </c>
      <c r="H29" s="79">
        <v>1.5</v>
      </c>
      <c r="I29" s="79">
        <v>1.0</v>
      </c>
      <c r="J29" s="79">
        <v>1.0</v>
      </c>
      <c r="K29" s="79">
        <v>0.0</v>
      </c>
      <c r="L29" s="79">
        <v>1.0</v>
      </c>
      <c r="M29" s="79">
        <v>1.0</v>
      </c>
      <c r="N29" s="79">
        <v>0.5</v>
      </c>
      <c r="O29" s="79">
        <v>1.0</v>
      </c>
      <c r="P29" s="25"/>
    </row>
    <row r="30">
      <c r="A30" s="9" t="s">
        <v>12</v>
      </c>
      <c r="B30" s="10">
        <v>44833.0</v>
      </c>
      <c r="C30" s="78">
        <v>0.0</v>
      </c>
      <c r="D30" s="79">
        <v>1.0</v>
      </c>
      <c r="E30" s="79">
        <v>1.0</v>
      </c>
      <c r="F30" s="79">
        <v>1.0</v>
      </c>
      <c r="G30" s="79">
        <v>0.0</v>
      </c>
      <c r="H30" s="79">
        <v>1.5</v>
      </c>
      <c r="I30" s="79">
        <v>1.0</v>
      </c>
      <c r="J30" s="79">
        <v>1.0</v>
      </c>
      <c r="K30" s="79">
        <v>0.0</v>
      </c>
      <c r="L30" s="79">
        <v>1.0</v>
      </c>
      <c r="M30" s="79">
        <v>1.0</v>
      </c>
      <c r="N30" s="79">
        <v>1.0</v>
      </c>
      <c r="O30" s="79">
        <v>1.0</v>
      </c>
      <c r="P30" s="25"/>
    </row>
    <row r="31">
      <c r="A31" s="66" t="s">
        <v>13</v>
      </c>
      <c r="B31" s="67">
        <v>44834.0</v>
      </c>
      <c r="C31" s="80">
        <v>0.0</v>
      </c>
      <c r="D31" s="81">
        <v>0.0</v>
      </c>
      <c r="E31" s="81">
        <v>1.0</v>
      </c>
      <c r="F31" s="81">
        <v>1.0</v>
      </c>
      <c r="G31" s="81">
        <v>1.0</v>
      </c>
      <c r="H31" s="81">
        <v>1.0</v>
      </c>
      <c r="I31" s="81">
        <v>0.0</v>
      </c>
      <c r="J31" s="81">
        <v>1.0</v>
      </c>
      <c r="K31" s="81">
        <v>0.0</v>
      </c>
      <c r="L31" s="81">
        <v>1.0</v>
      </c>
      <c r="M31" s="81">
        <v>1.0</v>
      </c>
      <c r="N31" s="81">
        <v>1.0</v>
      </c>
      <c r="O31" s="81">
        <v>0.0</v>
      </c>
      <c r="P31" s="82"/>
    </row>
    <row r="32">
      <c r="C32" s="83">
        <f t="shared" ref="C32:O32" si="1">SUM(C2:C31)</f>
        <v>8.5</v>
      </c>
      <c r="D32" s="83">
        <f t="shared" si="1"/>
        <v>26</v>
      </c>
      <c r="E32" s="83">
        <f t="shared" si="1"/>
        <v>26.5</v>
      </c>
      <c r="F32" s="83">
        <f t="shared" si="1"/>
        <v>18.5</v>
      </c>
      <c r="G32" s="83">
        <f t="shared" si="1"/>
        <v>25.5</v>
      </c>
      <c r="H32" s="83">
        <f t="shared" si="1"/>
        <v>29.5</v>
      </c>
      <c r="I32" s="83">
        <f t="shared" si="1"/>
        <v>18.5</v>
      </c>
      <c r="J32" s="83">
        <f t="shared" si="1"/>
        <v>30</v>
      </c>
      <c r="K32" s="83">
        <f t="shared" si="1"/>
        <v>0</v>
      </c>
      <c r="L32" s="83">
        <f t="shared" si="1"/>
        <v>20.5</v>
      </c>
      <c r="M32" s="83">
        <f t="shared" si="1"/>
        <v>19</v>
      </c>
      <c r="N32" s="83">
        <f t="shared" si="1"/>
        <v>24.5</v>
      </c>
      <c r="O32" s="83">
        <f t="shared" si="1"/>
        <v>19.5</v>
      </c>
      <c r="P32" s="15"/>
    </row>
    <row r="33">
      <c r="C33" s="83">
        <v>1200.0</v>
      </c>
      <c r="D33" s="83">
        <v>1200.0</v>
      </c>
      <c r="E33" s="84">
        <v>1200.0</v>
      </c>
      <c r="F33" s="84">
        <v>1200.0</v>
      </c>
      <c r="G33" s="84">
        <v>1100.0</v>
      </c>
      <c r="H33" s="83">
        <v>1200.0</v>
      </c>
      <c r="I33" s="84">
        <v>1100.0</v>
      </c>
      <c r="J33" s="84">
        <v>1200.0</v>
      </c>
      <c r="K33" s="83">
        <v>1000.0</v>
      </c>
      <c r="L33" s="83">
        <v>1200.0</v>
      </c>
      <c r="M33" s="84">
        <v>900.0</v>
      </c>
      <c r="N33" s="83">
        <v>1000.0</v>
      </c>
      <c r="O33" s="83">
        <v>1200.0</v>
      </c>
      <c r="P33" s="15"/>
    </row>
    <row r="34">
      <c r="C34" s="85">
        <f t="shared" ref="C34:O34" si="2">C33*C32</f>
        <v>10200</v>
      </c>
      <c r="D34" s="85">
        <f t="shared" si="2"/>
        <v>31200</v>
      </c>
      <c r="E34" s="85">
        <f t="shared" si="2"/>
        <v>31800</v>
      </c>
      <c r="F34" s="85">
        <f t="shared" si="2"/>
        <v>22200</v>
      </c>
      <c r="G34" s="85">
        <f t="shared" si="2"/>
        <v>28050</v>
      </c>
      <c r="H34" s="85">
        <f t="shared" si="2"/>
        <v>35400</v>
      </c>
      <c r="I34" s="85">
        <f t="shared" si="2"/>
        <v>20350</v>
      </c>
      <c r="J34" s="85">
        <f t="shared" si="2"/>
        <v>36000</v>
      </c>
      <c r="K34" s="85">
        <f t="shared" si="2"/>
        <v>0</v>
      </c>
      <c r="L34" s="85">
        <f t="shared" si="2"/>
        <v>24600</v>
      </c>
      <c r="M34" s="85">
        <f t="shared" si="2"/>
        <v>17100</v>
      </c>
      <c r="N34" s="85">
        <f t="shared" si="2"/>
        <v>24500</v>
      </c>
      <c r="O34" s="85">
        <f t="shared" si="2"/>
        <v>23400</v>
      </c>
      <c r="P34" s="49">
        <f>SUM(C34:O34)</f>
        <v>304800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  <col customWidth="1" min="4" max="4" width="29.88"/>
    <col customWidth="1" min="5" max="5" width="25.63"/>
    <col customWidth="1" min="6" max="6" width="25.75"/>
    <col customWidth="1" min="7" max="7" width="25.63"/>
  </cols>
  <sheetData>
    <row r="2">
      <c r="C2" s="86" t="s">
        <v>60</v>
      </c>
      <c r="D2" s="87" t="s">
        <v>61</v>
      </c>
      <c r="E2" s="87" t="s">
        <v>62</v>
      </c>
      <c r="F2" s="87" t="s">
        <v>63</v>
      </c>
      <c r="G2" s="87" t="s">
        <v>64</v>
      </c>
    </row>
    <row r="3">
      <c r="C3" s="88" t="s">
        <v>65</v>
      </c>
      <c r="D3" s="88">
        <v>400.0</v>
      </c>
      <c r="E3" s="88">
        <v>50.0</v>
      </c>
      <c r="F3" s="28">
        <f t="shared" ref="F3:F115" si="1">E3*D3</f>
        <v>20000</v>
      </c>
      <c r="G3" s="89">
        <v>44816.0</v>
      </c>
    </row>
    <row r="4">
      <c r="C4" s="88" t="s">
        <v>66</v>
      </c>
      <c r="D4" s="88">
        <v>130.0</v>
      </c>
      <c r="E4" s="88">
        <v>60.0</v>
      </c>
      <c r="F4" s="28">
        <f t="shared" si="1"/>
        <v>7800</v>
      </c>
      <c r="G4" s="89">
        <v>44812.0</v>
      </c>
    </row>
    <row r="5">
      <c r="C5" s="88" t="s">
        <v>67</v>
      </c>
      <c r="D5" s="88">
        <v>42.0</v>
      </c>
      <c r="E5" s="88">
        <v>60.0</v>
      </c>
      <c r="F5" s="28">
        <f t="shared" si="1"/>
        <v>2520</v>
      </c>
      <c r="G5" s="89">
        <v>44810.0</v>
      </c>
    </row>
    <row r="6">
      <c r="C6" s="90" t="s">
        <v>68</v>
      </c>
      <c r="D6" s="88">
        <v>40.0</v>
      </c>
      <c r="E6" s="88">
        <v>30.0</v>
      </c>
      <c r="F6" s="28">
        <f t="shared" si="1"/>
        <v>1200</v>
      </c>
      <c r="G6" s="89">
        <v>44809.0</v>
      </c>
    </row>
    <row r="7">
      <c r="C7" s="88" t="s">
        <v>69</v>
      </c>
      <c r="D7" s="88">
        <v>40.0</v>
      </c>
      <c r="E7" s="88">
        <v>25.0</v>
      </c>
      <c r="F7" s="28">
        <f t="shared" si="1"/>
        <v>1000</v>
      </c>
      <c r="G7" s="89">
        <v>44809.0</v>
      </c>
    </row>
    <row r="8">
      <c r="C8" s="88" t="s">
        <v>70</v>
      </c>
      <c r="D8" s="88">
        <v>30.0</v>
      </c>
      <c r="E8" s="88">
        <v>120.0</v>
      </c>
      <c r="F8" s="28">
        <f t="shared" si="1"/>
        <v>3600</v>
      </c>
      <c r="G8" s="89">
        <v>44814.0</v>
      </c>
    </row>
    <row r="9">
      <c r="C9" s="88" t="s">
        <v>71</v>
      </c>
      <c r="D9" s="88">
        <v>29.0</v>
      </c>
      <c r="E9" s="88">
        <v>140.0</v>
      </c>
      <c r="F9" s="28">
        <f t="shared" si="1"/>
        <v>4060</v>
      </c>
      <c r="G9" s="89">
        <v>44811.0</v>
      </c>
    </row>
    <row r="10">
      <c r="C10" s="91" t="s">
        <v>72</v>
      </c>
      <c r="D10" s="88">
        <v>24.0</v>
      </c>
      <c r="E10" s="92">
        <v>1200.0</v>
      </c>
      <c r="F10" s="28">
        <f t="shared" si="1"/>
        <v>28800</v>
      </c>
      <c r="G10" s="89">
        <v>44805.0</v>
      </c>
    </row>
    <row r="11">
      <c r="C11" s="88" t="s">
        <v>73</v>
      </c>
      <c r="D11" s="88">
        <v>24.0</v>
      </c>
      <c r="E11" s="88">
        <v>200.0</v>
      </c>
      <c r="F11" s="28">
        <f t="shared" si="1"/>
        <v>4800</v>
      </c>
      <c r="G11" s="89">
        <v>44808.0</v>
      </c>
    </row>
    <row r="12">
      <c r="C12" s="88" t="s">
        <v>74</v>
      </c>
      <c r="D12" s="88">
        <v>20.0</v>
      </c>
      <c r="E12" s="88">
        <v>1416.0</v>
      </c>
      <c r="F12" s="28">
        <f t="shared" si="1"/>
        <v>28320</v>
      </c>
      <c r="G12" s="89">
        <v>44805.0</v>
      </c>
    </row>
    <row r="13">
      <c r="C13" s="88" t="s">
        <v>75</v>
      </c>
      <c r="D13" s="88">
        <v>20.0</v>
      </c>
      <c r="E13" s="88">
        <v>200.0</v>
      </c>
      <c r="F13" s="28">
        <f t="shared" si="1"/>
        <v>4000</v>
      </c>
      <c r="G13" s="89">
        <v>44805.0</v>
      </c>
    </row>
    <row r="14">
      <c r="C14" s="88" t="s">
        <v>76</v>
      </c>
      <c r="D14" s="88">
        <v>20.0</v>
      </c>
      <c r="E14" s="88">
        <v>120.0</v>
      </c>
      <c r="F14" s="28">
        <f t="shared" si="1"/>
        <v>2400</v>
      </c>
      <c r="G14" s="89">
        <v>44812.0</v>
      </c>
    </row>
    <row r="15">
      <c r="C15" s="88" t="s">
        <v>76</v>
      </c>
      <c r="D15" s="88">
        <v>20.0</v>
      </c>
      <c r="E15" s="88">
        <v>120.0</v>
      </c>
      <c r="F15" s="28">
        <f t="shared" si="1"/>
        <v>2400</v>
      </c>
      <c r="G15" s="89">
        <v>44083.0</v>
      </c>
    </row>
    <row r="16">
      <c r="C16" s="90" t="s">
        <v>66</v>
      </c>
      <c r="D16" s="88">
        <v>20.0</v>
      </c>
      <c r="E16" s="88">
        <v>60.0</v>
      </c>
      <c r="F16" s="28">
        <f t="shared" si="1"/>
        <v>1200</v>
      </c>
      <c r="G16" s="89">
        <v>44809.0</v>
      </c>
    </row>
    <row r="17">
      <c r="C17" s="90" t="s">
        <v>77</v>
      </c>
      <c r="D17" s="88">
        <v>20.0</v>
      </c>
      <c r="E17" s="88">
        <v>25.0</v>
      </c>
      <c r="F17" s="28">
        <f t="shared" si="1"/>
        <v>500</v>
      </c>
      <c r="G17" s="89">
        <v>44809.0</v>
      </c>
    </row>
    <row r="18">
      <c r="C18" s="93" t="s">
        <v>78</v>
      </c>
      <c r="D18" s="93">
        <v>19.0</v>
      </c>
      <c r="E18" s="93">
        <v>225.0</v>
      </c>
      <c r="F18" s="94">
        <f t="shared" si="1"/>
        <v>4275</v>
      </c>
      <c r="G18" s="95">
        <v>44807.0</v>
      </c>
    </row>
    <row r="19">
      <c r="C19" s="88" t="s">
        <v>79</v>
      </c>
      <c r="D19" s="88">
        <v>19.0</v>
      </c>
      <c r="E19" s="88">
        <v>115.0</v>
      </c>
      <c r="F19" s="28">
        <f t="shared" si="1"/>
        <v>2185</v>
      </c>
      <c r="G19" s="89">
        <v>44812.0</v>
      </c>
    </row>
    <row r="20">
      <c r="C20" s="88" t="s">
        <v>67</v>
      </c>
      <c r="D20" s="88">
        <v>16.0</v>
      </c>
      <c r="E20" s="88">
        <v>60.0</v>
      </c>
      <c r="F20" s="28">
        <f t="shared" si="1"/>
        <v>960</v>
      </c>
      <c r="G20" s="89">
        <v>44808.0</v>
      </c>
    </row>
    <row r="21">
      <c r="C21" s="93" t="s">
        <v>80</v>
      </c>
      <c r="D21" s="93">
        <v>15.0</v>
      </c>
      <c r="E21" s="93">
        <v>650.0</v>
      </c>
      <c r="F21" s="94">
        <f t="shared" si="1"/>
        <v>9750</v>
      </c>
      <c r="G21" s="93" t="s">
        <v>81</v>
      </c>
    </row>
    <row r="22">
      <c r="C22" s="88" t="s">
        <v>67</v>
      </c>
      <c r="D22" s="88">
        <v>15.0</v>
      </c>
      <c r="E22" s="88">
        <v>60.0</v>
      </c>
      <c r="F22" s="28">
        <f t="shared" si="1"/>
        <v>900</v>
      </c>
      <c r="G22" s="89">
        <v>44811.0</v>
      </c>
    </row>
    <row r="23">
      <c r="C23" s="88" t="s">
        <v>82</v>
      </c>
      <c r="D23" s="88">
        <v>15.0</v>
      </c>
      <c r="E23" s="36"/>
      <c r="F23" s="28">
        <f t="shared" si="1"/>
        <v>0</v>
      </c>
      <c r="G23" s="89">
        <v>44805.0</v>
      </c>
    </row>
    <row r="24">
      <c r="C24" s="88" t="s">
        <v>83</v>
      </c>
      <c r="D24" s="88">
        <v>14.0</v>
      </c>
      <c r="E24" s="88">
        <v>365.0</v>
      </c>
      <c r="F24" s="28">
        <f t="shared" si="1"/>
        <v>5110</v>
      </c>
      <c r="G24" s="89">
        <v>44805.0</v>
      </c>
    </row>
    <row r="25">
      <c r="C25" s="88" t="s">
        <v>84</v>
      </c>
      <c r="D25" s="88">
        <v>12.0</v>
      </c>
      <c r="E25" s="88">
        <v>210.0</v>
      </c>
      <c r="F25" s="28">
        <f t="shared" si="1"/>
        <v>2520</v>
      </c>
      <c r="G25" s="89">
        <v>44808.0</v>
      </c>
    </row>
    <row r="26">
      <c r="C26" s="88" t="s">
        <v>85</v>
      </c>
      <c r="D26" s="88">
        <v>12.0</v>
      </c>
      <c r="E26" s="88">
        <v>190.0</v>
      </c>
      <c r="F26" s="28">
        <f t="shared" si="1"/>
        <v>2280</v>
      </c>
      <c r="G26" s="89">
        <v>44805.0</v>
      </c>
    </row>
    <row r="27">
      <c r="C27" s="88" t="s">
        <v>86</v>
      </c>
      <c r="D27" s="88">
        <v>12.0</v>
      </c>
      <c r="E27" s="88">
        <v>62.0</v>
      </c>
      <c r="F27" s="28">
        <f t="shared" si="1"/>
        <v>744</v>
      </c>
      <c r="G27" s="89">
        <v>44807.0</v>
      </c>
    </row>
    <row r="28">
      <c r="C28" s="88" t="s">
        <v>87</v>
      </c>
      <c r="D28" s="88">
        <v>10.0</v>
      </c>
      <c r="E28" s="88">
        <v>1630.0</v>
      </c>
      <c r="F28" s="28">
        <f t="shared" si="1"/>
        <v>16300</v>
      </c>
      <c r="G28" s="89">
        <v>44807.0</v>
      </c>
    </row>
    <row r="29">
      <c r="C29" s="88" t="s">
        <v>88</v>
      </c>
      <c r="D29" s="88">
        <v>10.0</v>
      </c>
      <c r="E29" s="88">
        <v>770.0</v>
      </c>
      <c r="F29" s="28">
        <f t="shared" si="1"/>
        <v>7700</v>
      </c>
      <c r="G29" s="89">
        <v>44805.0</v>
      </c>
    </row>
    <row r="30">
      <c r="C30" s="96" t="s">
        <v>89</v>
      </c>
      <c r="D30" s="96">
        <v>10.0</v>
      </c>
      <c r="E30" s="96">
        <v>350.0</v>
      </c>
      <c r="F30" s="97">
        <f t="shared" si="1"/>
        <v>3500</v>
      </c>
      <c r="G30" s="98">
        <v>44805.0</v>
      </c>
    </row>
    <row r="31">
      <c r="C31" s="88" t="s">
        <v>84</v>
      </c>
      <c r="D31" s="88">
        <v>10.0</v>
      </c>
      <c r="E31" s="88">
        <v>210.0</v>
      </c>
      <c r="F31" s="28">
        <f t="shared" si="1"/>
        <v>2100</v>
      </c>
      <c r="G31" s="89">
        <v>44805.0</v>
      </c>
    </row>
    <row r="32">
      <c r="C32" s="88" t="s">
        <v>90</v>
      </c>
      <c r="D32" s="88">
        <v>10.0</v>
      </c>
      <c r="E32" s="88">
        <v>70.0</v>
      </c>
      <c r="F32" s="28">
        <f t="shared" si="1"/>
        <v>700</v>
      </c>
      <c r="G32" s="89">
        <v>44805.0</v>
      </c>
    </row>
    <row r="33">
      <c r="C33" s="88" t="s">
        <v>91</v>
      </c>
      <c r="D33" s="88">
        <v>10.0</v>
      </c>
      <c r="E33" s="88">
        <v>70.0</v>
      </c>
      <c r="F33" s="28">
        <f t="shared" si="1"/>
        <v>700</v>
      </c>
      <c r="G33" s="89">
        <v>44805.0</v>
      </c>
    </row>
    <row r="34">
      <c r="C34" s="88" t="s">
        <v>67</v>
      </c>
      <c r="D34" s="88">
        <v>10.0</v>
      </c>
      <c r="E34" s="88">
        <v>60.0</v>
      </c>
      <c r="F34" s="28">
        <f t="shared" si="1"/>
        <v>600</v>
      </c>
      <c r="G34" s="89">
        <v>44807.0</v>
      </c>
    </row>
    <row r="35">
      <c r="C35" s="36" t="s">
        <v>92</v>
      </c>
      <c r="D35" s="36">
        <v>10.0</v>
      </c>
      <c r="E35" s="36">
        <v>40.0</v>
      </c>
      <c r="F35" s="28">
        <f t="shared" si="1"/>
        <v>400</v>
      </c>
      <c r="G35" s="89">
        <v>44805.0</v>
      </c>
    </row>
    <row r="36">
      <c r="C36" s="88" t="s">
        <v>93</v>
      </c>
      <c r="D36" s="88">
        <v>10.0</v>
      </c>
      <c r="E36" s="88">
        <v>20.0</v>
      </c>
      <c r="F36" s="28">
        <f t="shared" si="1"/>
        <v>200</v>
      </c>
      <c r="G36" s="89">
        <v>44807.0</v>
      </c>
    </row>
    <row r="37">
      <c r="C37" s="88" t="s">
        <v>94</v>
      </c>
      <c r="D37" s="88">
        <v>8.0</v>
      </c>
      <c r="E37" s="88">
        <v>935.0</v>
      </c>
      <c r="F37" s="28">
        <f t="shared" si="1"/>
        <v>7480</v>
      </c>
      <c r="G37" s="89">
        <v>44810.0</v>
      </c>
    </row>
    <row r="38">
      <c r="C38" s="88" t="s">
        <v>95</v>
      </c>
      <c r="D38" s="88">
        <v>8.0</v>
      </c>
      <c r="E38" s="88">
        <v>100.0</v>
      </c>
      <c r="F38" s="28">
        <f t="shared" si="1"/>
        <v>800</v>
      </c>
      <c r="G38" s="89">
        <v>44814.0</v>
      </c>
    </row>
    <row r="39">
      <c r="C39" s="36" t="s">
        <v>96</v>
      </c>
      <c r="D39" s="88">
        <v>7.0</v>
      </c>
      <c r="E39" s="36">
        <v>1750.0</v>
      </c>
      <c r="F39" s="28">
        <f t="shared" si="1"/>
        <v>12250</v>
      </c>
      <c r="G39" s="89">
        <v>44805.0</v>
      </c>
    </row>
    <row r="40">
      <c r="C40" s="88" t="s">
        <v>97</v>
      </c>
      <c r="D40" s="88">
        <v>7.0</v>
      </c>
      <c r="E40" s="88">
        <v>190.0</v>
      </c>
      <c r="F40" s="28">
        <f t="shared" si="1"/>
        <v>1330</v>
      </c>
      <c r="G40" s="89">
        <v>44807.0</v>
      </c>
    </row>
    <row r="41">
      <c r="C41" s="88" t="s">
        <v>76</v>
      </c>
      <c r="D41" s="88">
        <v>7.0</v>
      </c>
      <c r="E41" s="88">
        <v>120.0</v>
      </c>
      <c r="F41" s="28">
        <f t="shared" si="1"/>
        <v>840</v>
      </c>
      <c r="G41" s="89">
        <v>44808.0</v>
      </c>
    </row>
    <row r="42">
      <c r="C42" s="88" t="s">
        <v>95</v>
      </c>
      <c r="D42" s="88">
        <v>7.0</v>
      </c>
      <c r="E42" s="88">
        <v>120.0</v>
      </c>
      <c r="F42" s="28">
        <f t="shared" si="1"/>
        <v>840</v>
      </c>
      <c r="G42" s="89">
        <v>44811.0</v>
      </c>
    </row>
    <row r="43">
      <c r="C43" s="88" t="s">
        <v>98</v>
      </c>
      <c r="D43" s="88">
        <v>6.0</v>
      </c>
      <c r="E43" s="88">
        <v>540.0</v>
      </c>
      <c r="F43" s="28">
        <f t="shared" si="1"/>
        <v>3240</v>
      </c>
      <c r="G43" s="89">
        <v>44805.0</v>
      </c>
    </row>
    <row r="44">
      <c r="C44" s="99" t="s">
        <v>99</v>
      </c>
      <c r="D44" s="99">
        <v>6.0</v>
      </c>
      <c r="E44" s="99">
        <v>260.0</v>
      </c>
      <c r="F44" s="100">
        <f t="shared" si="1"/>
        <v>1560</v>
      </c>
      <c r="G44" s="101">
        <v>44805.0</v>
      </c>
    </row>
    <row r="45">
      <c r="C45" s="88" t="s">
        <v>100</v>
      </c>
      <c r="D45" s="88">
        <v>5.0</v>
      </c>
      <c r="E45" s="88">
        <v>1600.0</v>
      </c>
      <c r="F45" s="28">
        <f t="shared" si="1"/>
        <v>8000</v>
      </c>
      <c r="G45" s="89">
        <v>44807.0</v>
      </c>
    </row>
    <row r="46">
      <c r="C46" s="88" t="s">
        <v>101</v>
      </c>
      <c r="D46" s="88">
        <v>5.0</v>
      </c>
      <c r="E46" s="88">
        <v>1300.0</v>
      </c>
      <c r="F46" s="28">
        <f t="shared" si="1"/>
        <v>6500</v>
      </c>
      <c r="G46" s="89">
        <v>44809.0</v>
      </c>
    </row>
    <row r="47">
      <c r="C47" s="88" t="s">
        <v>102</v>
      </c>
      <c r="D47" s="88">
        <v>5.0</v>
      </c>
      <c r="E47" s="88">
        <v>960.0</v>
      </c>
      <c r="F47" s="28">
        <f t="shared" si="1"/>
        <v>4800</v>
      </c>
      <c r="G47" s="89">
        <v>44811.0</v>
      </c>
    </row>
    <row r="48">
      <c r="C48" s="88" t="s">
        <v>103</v>
      </c>
      <c r="D48" s="88">
        <v>5.0</v>
      </c>
      <c r="E48" s="88">
        <v>600.0</v>
      </c>
      <c r="F48" s="28">
        <f t="shared" si="1"/>
        <v>3000</v>
      </c>
      <c r="G48" s="89">
        <v>44805.0</v>
      </c>
    </row>
    <row r="49">
      <c r="C49" s="88" t="s">
        <v>91</v>
      </c>
      <c r="D49" s="88">
        <v>5.0</v>
      </c>
      <c r="E49" s="88">
        <v>600.0</v>
      </c>
      <c r="F49" s="28">
        <f t="shared" si="1"/>
        <v>3000</v>
      </c>
      <c r="G49" s="89">
        <v>44807.0</v>
      </c>
    </row>
    <row r="50">
      <c r="C50" s="88" t="s">
        <v>104</v>
      </c>
      <c r="D50" s="88">
        <v>5.0</v>
      </c>
      <c r="E50" s="88">
        <v>505.0</v>
      </c>
      <c r="F50" s="28">
        <f t="shared" si="1"/>
        <v>2525</v>
      </c>
      <c r="G50" s="89">
        <v>44805.0</v>
      </c>
    </row>
    <row r="51">
      <c r="C51" s="88" t="s">
        <v>105</v>
      </c>
      <c r="D51" s="88">
        <v>5.0</v>
      </c>
      <c r="E51" s="88">
        <v>500.0</v>
      </c>
      <c r="F51" s="28">
        <f t="shared" si="1"/>
        <v>2500</v>
      </c>
      <c r="G51" s="89">
        <v>44811.0</v>
      </c>
    </row>
    <row r="52">
      <c r="C52" s="88" t="s">
        <v>106</v>
      </c>
      <c r="D52" s="88">
        <v>5.0</v>
      </c>
      <c r="E52" s="88">
        <v>330.0</v>
      </c>
      <c r="F52" s="28">
        <f t="shared" si="1"/>
        <v>1650</v>
      </c>
      <c r="G52" s="89">
        <v>44811.0</v>
      </c>
    </row>
    <row r="53">
      <c r="C53" s="88" t="s">
        <v>107</v>
      </c>
      <c r="D53" s="88">
        <v>5.0</v>
      </c>
      <c r="E53" s="88">
        <v>200.0</v>
      </c>
      <c r="F53" s="28">
        <f t="shared" si="1"/>
        <v>1000</v>
      </c>
      <c r="G53" s="89">
        <v>44805.0</v>
      </c>
    </row>
    <row r="54">
      <c r="C54" s="88" t="s">
        <v>76</v>
      </c>
      <c r="D54" s="88">
        <v>5.0</v>
      </c>
      <c r="E54" s="88">
        <v>120.0</v>
      </c>
      <c r="F54" s="28">
        <f t="shared" si="1"/>
        <v>600</v>
      </c>
      <c r="G54" s="89">
        <v>44810.0</v>
      </c>
    </row>
    <row r="55">
      <c r="C55" s="88" t="s">
        <v>108</v>
      </c>
      <c r="D55" s="88">
        <v>5.0</v>
      </c>
      <c r="E55" s="88">
        <v>120.0</v>
      </c>
      <c r="F55" s="28">
        <f t="shared" si="1"/>
        <v>600</v>
      </c>
      <c r="G55" s="89">
        <v>44814.0</v>
      </c>
    </row>
    <row r="56">
      <c r="C56" s="88" t="s">
        <v>109</v>
      </c>
      <c r="D56" s="88">
        <v>5.0</v>
      </c>
      <c r="E56" s="88">
        <v>100.0</v>
      </c>
      <c r="F56" s="28">
        <f t="shared" si="1"/>
        <v>500</v>
      </c>
      <c r="G56" s="89">
        <v>44814.0</v>
      </c>
    </row>
    <row r="57">
      <c r="C57" s="88" t="s">
        <v>110</v>
      </c>
      <c r="D57" s="88">
        <v>5.0</v>
      </c>
      <c r="E57" s="88">
        <v>20.0</v>
      </c>
      <c r="F57" s="28">
        <f t="shared" si="1"/>
        <v>100</v>
      </c>
      <c r="G57" s="89">
        <v>44810.0</v>
      </c>
    </row>
    <row r="58">
      <c r="C58" s="88" t="s">
        <v>93</v>
      </c>
      <c r="D58" s="88">
        <v>5.0</v>
      </c>
      <c r="E58" s="88">
        <v>20.0</v>
      </c>
      <c r="F58" s="28">
        <f t="shared" si="1"/>
        <v>100</v>
      </c>
      <c r="G58" s="89">
        <v>44810.0</v>
      </c>
    </row>
    <row r="59">
      <c r="C59" s="88" t="s">
        <v>110</v>
      </c>
      <c r="D59" s="88">
        <v>5.0</v>
      </c>
      <c r="E59" s="88">
        <v>20.0</v>
      </c>
      <c r="F59" s="28">
        <f t="shared" si="1"/>
        <v>100</v>
      </c>
      <c r="G59" s="89">
        <v>44814.0</v>
      </c>
    </row>
    <row r="60">
      <c r="C60" s="88" t="s">
        <v>74</v>
      </c>
      <c r="D60" s="88">
        <v>5.0</v>
      </c>
      <c r="E60" s="88">
        <v>-1416.0</v>
      </c>
      <c r="F60" s="28">
        <f t="shared" si="1"/>
        <v>-7080</v>
      </c>
      <c r="G60" s="89">
        <v>44810.0</v>
      </c>
    </row>
    <row r="61">
      <c r="C61" s="93" t="s">
        <v>111</v>
      </c>
      <c r="D61" s="93">
        <v>4.0</v>
      </c>
      <c r="E61" s="93">
        <v>3112.0</v>
      </c>
      <c r="F61" s="94">
        <f t="shared" si="1"/>
        <v>12448</v>
      </c>
      <c r="G61" s="95">
        <v>44805.0</v>
      </c>
    </row>
    <row r="62">
      <c r="C62" s="93" t="s">
        <v>112</v>
      </c>
      <c r="D62" s="93">
        <v>4.0</v>
      </c>
      <c r="E62" s="93">
        <v>2988.0</v>
      </c>
      <c r="F62" s="94">
        <f t="shared" si="1"/>
        <v>11952</v>
      </c>
      <c r="G62" s="95">
        <v>44805.0</v>
      </c>
    </row>
    <row r="63">
      <c r="C63" s="88" t="s">
        <v>113</v>
      </c>
      <c r="D63" s="88">
        <v>4.0</v>
      </c>
      <c r="E63" s="88">
        <v>1880.0</v>
      </c>
      <c r="F63" s="28">
        <f t="shared" si="1"/>
        <v>7520</v>
      </c>
      <c r="G63" s="89">
        <v>44805.0</v>
      </c>
    </row>
    <row r="64">
      <c r="C64" s="88" t="s">
        <v>114</v>
      </c>
      <c r="D64" s="88">
        <v>4.0</v>
      </c>
      <c r="E64" s="88">
        <v>340.0</v>
      </c>
      <c r="F64" s="28">
        <f t="shared" si="1"/>
        <v>1360</v>
      </c>
      <c r="G64" s="89">
        <v>44807.0</v>
      </c>
    </row>
    <row r="65">
      <c r="C65" s="88" t="s">
        <v>115</v>
      </c>
      <c r="D65" s="88">
        <v>4.0</v>
      </c>
      <c r="E65" s="88">
        <v>300.0</v>
      </c>
      <c r="F65" s="28">
        <f t="shared" si="1"/>
        <v>1200</v>
      </c>
      <c r="G65" s="89">
        <v>44814.0</v>
      </c>
    </row>
    <row r="66">
      <c r="C66" s="88" t="s">
        <v>116</v>
      </c>
      <c r="D66" s="88">
        <v>4.0</v>
      </c>
      <c r="E66" s="88">
        <v>200.0</v>
      </c>
      <c r="F66" s="28">
        <f t="shared" si="1"/>
        <v>800</v>
      </c>
      <c r="G66" s="89">
        <v>44807.0</v>
      </c>
    </row>
    <row r="67">
      <c r="C67" s="88" t="s">
        <v>117</v>
      </c>
      <c r="D67" s="88">
        <v>4.0</v>
      </c>
      <c r="E67" s="88">
        <v>150.0</v>
      </c>
      <c r="F67" s="28">
        <f t="shared" si="1"/>
        <v>600</v>
      </c>
      <c r="G67" s="89">
        <v>44811.0</v>
      </c>
    </row>
    <row r="68">
      <c r="C68" s="88" t="s">
        <v>118</v>
      </c>
      <c r="D68" s="88">
        <v>4.0</v>
      </c>
      <c r="E68" s="88">
        <v>50.0</v>
      </c>
      <c r="F68" s="28">
        <f t="shared" si="1"/>
        <v>200</v>
      </c>
      <c r="G68" s="89">
        <v>44809.0</v>
      </c>
    </row>
    <row r="69">
      <c r="C69" s="88" t="s">
        <v>119</v>
      </c>
      <c r="D69" s="88">
        <v>3.8</v>
      </c>
      <c r="E69" s="88">
        <v>2100.0</v>
      </c>
      <c r="F69" s="28">
        <f t="shared" si="1"/>
        <v>7980</v>
      </c>
      <c r="G69" s="89">
        <v>44809.0</v>
      </c>
    </row>
    <row r="70">
      <c r="C70" s="88" t="s">
        <v>120</v>
      </c>
      <c r="D70" s="88">
        <v>3.5</v>
      </c>
      <c r="E70" s="88">
        <v>2500.0</v>
      </c>
      <c r="F70" s="28">
        <f t="shared" si="1"/>
        <v>8750</v>
      </c>
      <c r="G70" s="89">
        <v>44809.0</v>
      </c>
    </row>
    <row r="71">
      <c r="C71" s="88" t="s">
        <v>121</v>
      </c>
      <c r="D71" s="88">
        <v>3.0</v>
      </c>
      <c r="E71" s="88">
        <v>2300.0</v>
      </c>
      <c r="F71" s="28">
        <f t="shared" si="1"/>
        <v>6900</v>
      </c>
      <c r="G71" s="89">
        <v>44805.0</v>
      </c>
    </row>
    <row r="72">
      <c r="C72" s="88" t="s">
        <v>122</v>
      </c>
      <c r="D72" s="88">
        <v>3.0</v>
      </c>
      <c r="E72" s="88">
        <v>840.0</v>
      </c>
      <c r="F72" s="28">
        <f t="shared" si="1"/>
        <v>2520</v>
      </c>
      <c r="G72" s="89">
        <v>44807.0</v>
      </c>
    </row>
    <row r="73">
      <c r="C73" s="88" t="s">
        <v>123</v>
      </c>
      <c r="D73" s="88">
        <v>3.0</v>
      </c>
      <c r="E73" s="88">
        <v>800.0</v>
      </c>
      <c r="F73" s="28">
        <f t="shared" si="1"/>
        <v>2400</v>
      </c>
      <c r="G73" s="89">
        <v>44814.0</v>
      </c>
    </row>
    <row r="74">
      <c r="C74" s="88" t="s">
        <v>124</v>
      </c>
      <c r="D74" s="88">
        <v>3.0</v>
      </c>
      <c r="E74" s="88">
        <v>350.0</v>
      </c>
      <c r="F74" s="28">
        <f t="shared" si="1"/>
        <v>1050</v>
      </c>
      <c r="G74" s="89">
        <v>44814.0</v>
      </c>
    </row>
    <row r="75">
      <c r="C75" s="88" t="s">
        <v>125</v>
      </c>
      <c r="D75" s="88">
        <v>3.0</v>
      </c>
      <c r="E75" s="88">
        <v>300.0</v>
      </c>
      <c r="F75" s="28">
        <f t="shared" si="1"/>
        <v>900</v>
      </c>
      <c r="G75" s="89">
        <v>44805.0</v>
      </c>
    </row>
    <row r="76">
      <c r="C76" s="99" t="s">
        <v>126</v>
      </c>
      <c r="D76" s="99">
        <v>3.0</v>
      </c>
      <c r="E76" s="99">
        <v>240.0</v>
      </c>
      <c r="F76" s="100">
        <f t="shared" si="1"/>
        <v>720</v>
      </c>
      <c r="G76" s="101">
        <v>44805.0</v>
      </c>
    </row>
    <row r="77">
      <c r="C77" s="88" t="s">
        <v>127</v>
      </c>
      <c r="D77" s="88">
        <v>3.0</v>
      </c>
      <c r="E77" s="88">
        <v>210.0</v>
      </c>
      <c r="F77" s="28">
        <f t="shared" si="1"/>
        <v>630</v>
      </c>
      <c r="G77" s="89">
        <v>44808.0</v>
      </c>
    </row>
    <row r="78">
      <c r="C78" s="88" t="s">
        <v>117</v>
      </c>
      <c r="D78" s="88">
        <v>3.0</v>
      </c>
      <c r="E78" s="88">
        <v>150.0</v>
      </c>
      <c r="F78" s="28">
        <f t="shared" si="1"/>
        <v>450</v>
      </c>
      <c r="G78" s="89">
        <v>6619172.0</v>
      </c>
    </row>
    <row r="79">
      <c r="C79" s="88" t="s">
        <v>118</v>
      </c>
      <c r="D79" s="88">
        <v>3.0</v>
      </c>
      <c r="E79" s="88">
        <v>100.0</v>
      </c>
      <c r="F79" s="28">
        <f t="shared" si="1"/>
        <v>300</v>
      </c>
      <c r="G79" s="89">
        <v>44807.0</v>
      </c>
    </row>
    <row r="80">
      <c r="C80" s="88" t="s">
        <v>128</v>
      </c>
      <c r="D80" s="88">
        <v>3.0</v>
      </c>
      <c r="E80" s="88">
        <v>100.0</v>
      </c>
      <c r="F80" s="28">
        <f t="shared" si="1"/>
        <v>300</v>
      </c>
      <c r="G80" s="89">
        <v>44807.0</v>
      </c>
    </row>
    <row r="81">
      <c r="C81" s="88" t="s">
        <v>129</v>
      </c>
      <c r="D81" s="88">
        <v>3.0</v>
      </c>
      <c r="E81" s="88">
        <v>100.0</v>
      </c>
      <c r="F81" s="28">
        <f t="shared" si="1"/>
        <v>300</v>
      </c>
      <c r="G81" s="89">
        <v>44814.0</v>
      </c>
    </row>
    <row r="82">
      <c r="C82" s="88" t="s">
        <v>118</v>
      </c>
      <c r="D82" s="88">
        <v>3.0</v>
      </c>
      <c r="E82" s="88">
        <v>65.0</v>
      </c>
      <c r="F82" s="28">
        <f t="shared" si="1"/>
        <v>195</v>
      </c>
      <c r="G82" s="89">
        <v>44814.0</v>
      </c>
    </row>
    <row r="83">
      <c r="C83" s="88" t="s">
        <v>130</v>
      </c>
      <c r="D83" s="88">
        <v>3.0</v>
      </c>
      <c r="E83" s="88">
        <v>40.0</v>
      </c>
      <c r="F83" s="28">
        <f t="shared" si="1"/>
        <v>120</v>
      </c>
      <c r="G83" s="89">
        <v>44807.0</v>
      </c>
    </row>
    <row r="84">
      <c r="C84" s="88" t="s">
        <v>131</v>
      </c>
      <c r="D84" s="88">
        <v>2.0</v>
      </c>
      <c r="E84" s="88">
        <v>2300.0</v>
      </c>
      <c r="F84" s="28">
        <f t="shared" si="1"/>
        <v>4600</v>
      </c>
      <c r="G84" s="89">
        <v>44809.0</v>
      </c>
    </row>
    <row r="85">
      <c r="C85" s="88" t="s">
        <v>132</v>
      </c>
      <c r="D85" s="88">
        <v>2.0</v>
      </c>
      <c r="E85" s="88">
        <v>1980.0</v>
      </c>
      <c r="F85" s="28">
        <f t="shared" si="1"/>
        <v>3960</v>
      </c>
      <c r="G85" s="89">
        <v>44811.0</v>
      </c>
    </row>
    <row r="86">
      <c r="C86" s="88" t="s">
        <v>133</v>
      </c>
      <c r="D86" s="88">
        <v>2.0</v>
      </c>
      <c r="E86" s="88">
        <v>1800.0</v>
      </c>
      <c r="F86" s="28">
        <f t="shared" si="1"/>
        <v>3600</v>
      </c>
      <c r="G86" s="89">
        <v>44805.0</v>
      </c>
    </row>
    <row r="87">
      <c r="C87" s="88" t="s">
        <v>134</v>
      </c>
      <c r="D87" s="88">
        <v>2.0</v>
      </c>
      <c r="E87" s="88">
        <v>1800.0</v>
      </c>
      <c r="F87" s="28">
        <f t="shared" si="1"/>
        <v>3600</v>
      </c>
      <c r="G87" s="89">
        <v>44809.0</v>
      </c>
    </row>
    <row r="88">
      <c r="C88" s="88" t="s">
        <v>135</v>
      </c>
      <c r="D88" s="88">
        <v>2.0</v>
      </c>
      <c r="E88" s="88">
        <v>1800.0</v>
      </c>
      <c r="F88" s="28">
        <f t="shared" si="1"/>
        <v>3600</v>
      </c>
      <c r="G88" s="89">
        <v>44809.0</v>
      </c>
    </row>
    <row r="89">
      <c r="C89" s="88" t="s">
        <v>136</v>
      </c>
      <c r="D89" s="88">
        <v>2.0</v>
      </c>
      <c r="E89" s="88">
        <v>1550.0</v>
      </c>
      <c r="F89" s="28">
        <f t="shared" si="1"/>
        <v>3100</v>
      </c>
      <c r="G89" s="89">
        <v>44805.0</v>
      </c>
    </row>
    <row r="90">
      <c r="C90" s="88" t="s">
        <v>137</v>
      </c>
      <c r="D90" s="88">
        <v>2.0</v>
      </c>
      <c r="E90" s="88">
        <v>1450.0</v>
      </c>
      <c r="F90" s="28">
        <f t="shared" si="1"/>
        <v>2900</v>
      </c>
      <c r="G90" s="89">
        <v>44809.0</v>
      </c>
    </row>
    <row r="91">
      <c r="C91" s="88" t="s">
        <v>138</v>
      </c>
      <c r="D91" s="88">
        <v>2.0</v>
      </c>
      <c r="E91" s="88">
        <v>1300.0</v>
      </c>
      <c r="F91" s="28">
        <f t="shared" si="1"/>
        <v>2600</v>
      </c>
      <c r="G91" s="89">
        <v>44805.0</v>
      </c>
    </row>
    <row r="92">
      <c r="C92" s="88" t="s">
        <v>139</v>
      </c>
      <c r="D92" s="88">
        <v>2.0</v>
      </c>
      <c r="E92" s="88">
        <v>1300.0</v>
      </c>
      <c r="F92" s="28">
        <f t="shared" si="1"/>
        <v>2600</v>
      </c>
      <c r="G92" s="89">
        <v>44809.0</v>
      </c>
    </row>
    <row r="93">
      <c r="C93" s="88" t="s">
        <v>140</v>
      </c>
      <c r="D93" s="88">
        <v>2.0</v>
      </c>
      <c r="E93" s="88">
        <v>1230.0</v>
      </c>
      <c r="F93" s="28">
        <f t="shared" si="1"/>
        <v>2460</v>
      </c>
      <c r="G93" s="89">
        <v>44809.0</v>
      </c>
    </row>
    <row r="94">
      <c r="C94" s="88" t="s">
        <v>141</v>
      </c>
      <c r="D94" s="88">
        <v>2.0</v>
      </c>
      <c r="E94" s="88">
        <v>1130.0</v>
      </c>
      <c r="F94" s="28">
        <f t="shared" si="1"/>
        <v>2260</v>
      </c>
      <c r="G94" s="89">
        <v>44809.0</v>
      </c>
    </row>
    <row r="95">
      <c r="C95" s="88" t="s">
        <v>102</v>
      </c>
      <c r="D95" s="88">
        <v>2.0</v>
      </c>
      <c r="E95" s="88">
        <v>1100.0</v>
      </c>
      <c r="F95" s="28">
        <f t="shared" si="1"/>
        <v>2200</v>
      </c>
      <c r="G95" s="89">
        <v>44805.0</v>
      </c>
    </row>
    <row r="96">
      <c r="C96" s="88" t="s">
        <v>142</v>
      </c>
      <c r="D96" s="88">
        <v>2.0</v>
      </c>
      <c r="E96" s="88">
        <v>850.0</v>
      </c>
      <c r="F96" s="28">
        <f t="shared" si="1"/>
        <v>1700</v>
      </c>
      <c r="G96" s="89">
        <v>44805.0</v>
      </c>
    </row>
    <row r="97">
      <c r="C97" s="88" t="s">
        <v>143</v>
      </c>
      <c r="D97" s="88">
        <v>2.0</v>
      </c>
      <c r="E97" s="88">
        <v>520.0</v>
      </c>
      <c r="F97" s="28">
        <f t="shared" si="1"/>
        <v>1040</v>
      </c>
      <c r="G97" s="89">
        <v>44809.0</v>
      </c>
    </row>
    <row r="98">
      <c r="C98" s="88" t="s">
        <v>105</v>
      </c>
      <c r="D98" s="88">
        <v>2.0</v>
      </c>
      <c r="E98" s="88">
        <v>500.0</v>
      </c>
      <c r="F98" s="28">
        <f t="shared" si="1"/>
        <v>1000</v>
      </c>
      <c r="G98" s="89">
        <v>44807.0</v>
      </c>
    </row>
    <row r="99">
      <c r="C99" s="88" t="s">
        <v>144</v>
      </c>
      <c r="D99" s="88">
        <v>2.0</v>
      </c>
      <c r="E99" s="88">
        <v>350.0</v>
      </c>
      <c r="F99" s="28">
        <f t="shared" si="1"/>
        <v>700</v>
      </c>
      <c r="G99" s="89">
        <v>44810.0</v>
      </c>
    </row>
    <row r="100">
      <c r="C100" s="88" t="s">
        <v>145</v>
      </c>
      <c r="D100" s="88">
        <v>2.0</v>
      </c>
      <c r="E100" s="88">
        <v>350.0</v>
      </c>
      <c r="F100" s="28">
        <f t="shared" si="1"/>
        <v>700</v>
      </c>
      <c r="G100" s="89">
        <v>44814.0</v>
      </c>
    </row>
    <row r="101">
      <c r="C101" s="88" t="s">
        <v>146</v>
      </c>
      <c r="D101" s="88">
        <v>2.0</v>
      </c>
      <c r="E101" s="88">
        <v>300.0</v>
      </c>
      <c r="F101" s="28">
        <f t="shared" si="1"/>
        <v>600</v>
      </c>
      <c r="G101" s="89">
        <v>44814.0</v>
      </c>
    </row>
    <row r="102">
      <c r="C102" s="88" t="s">
        <v>147</v>
      </c>
      <c r="D102" s="88">
        <v>2.0</v>
      </c>
      <c r="E102" s="88">
        <v>260.0</v>
      </c>
      <c r="F102" s="28">
        <f t="shared" si="1"/>
        <v>520</v>
      </c>
      <c r="G102" s="89">
        <v>44808.0</v>
      </c>
    </row>
    <row r="103">
      <c r="C103" s="88" t="s">
        <v>148</v>
      </c>
      <c r="D103" s="88">
        <v>2.0</v>
      </c>
      <c r="E103" s="88">
        <v>250.0</v>
      </c>
      <c r="F103" s="28">
        <f t="shared" si="1"/>
        <v>500</v>
      </c>
      <c r="G103" s="89">
        <v>44811.0</v>
      </c>
    </row>
    <row r="104">
      <c r="C104" s="88" t="s">
        <v>127</v>
      </c>
      <c r="D104" s="88">
        <v>2.0</v>
      </c>
      <c r="E104" s="88">
        <v>250.0</v>
      </c>
      <c r="F104" s="28">
        <f t="shared" si="1"/>
        <v>500</v>
      </c>
      <c r="G104" s="89">
        <v>44814.0</v>
      </c>
    </row>
    <row r="105">
      <c r="C105" s="88" t="s">
        <v>149</v>
      </c>
      <c r="D105" s="88">
        <v>2.0</v>
      </c>
      <c r="E105" s="88">
        <v>200.0</v>
      </c>
      <c r="F105" s="28">
        <f t="shared" si="1"/>
        <v>400</v>
      </c>
      <c r="G105" s="89">
        <v>44809.0</v>
      </c>
    </row>
    <row r="106">
      <c r="C106" s="88" t="s">
        <v>150</v>
      </c>
      <c r="D106" s="88">
        <v>2.0</v>
      </c>
      <c r="E106" s="88">
        <v>200.0</v>
      </c>
      <c r="F106" s="28">
        <f t="shared" si="1"/>
        <v>400</v>
      </c>
      <c r="G106" s="89">
        <v>44814.0</v>
      </c>
    </row>
    <row r="107">
      <c r="C107" s="88" t="s">
        <v>151</v>
      </c>
      <c r="D107" s="88">
        <v>2.0</v>
      </c>
      <c r="E107" s="88">
        <v>150.0</v>
      </c>
      <c r="F107" s="28">
        <f t="shared" si="1"/>
        <v>300</v>
      </c>
      <c r="G107" s="89">
        <v>44808.0</v>
      </c>
    </row>
    <row r="108">
      <c r="C108" s="88" t="s">
        <v>152</v>
      </c>
      <c r="D108" s="88">
        <v>2.0</v>
      </c>
      <c r="E108" s="88">
        <v>130.0</v>
      </c>
      <c r="F108" s="28">
        <f t="shared" si="1"/>
        <v>260</v>
      </c>
      <c r="G108" s="89">
        <v>44814.0</v>
      </c>
    </row>
    <row r="109">
      <c r="C109" s="88" t="s">
        <v>153</v>
      </c>
      <c r="D109" s="88">
        <v>2.0</v>
      </c>
      <c r="E109" s="88">
        <v>120.0</v>
      </c>
      <c r="F109" s="28">
        <f t="shared" si="1"/>
        <v>240</v>
      </c>
      <c r="G109" s="89">
        <v>44810.0</v>
      </c>
    </row>
    <row r="110">
      <c r="C110" s="88" t="s">
        <v>154</v>
      </c>
      <c r="D110" s="88">
        <v>2.0</v>
      </c>
      <c r="E110" s="88">
        <v>100.0</v>
      </c>
      <c r="F110" s="28">
        <f t="shared" si="1"/>
        <v>200</v>
      </c>
      <c r="G110" s="89">
        <v>44807.0</v>
      </c>
    </row>
    <row r="111">
      <c r="C111" s="88" t="s">
        <v>155</v>
      </c>
      <c r="D111" s="88">
        <v>2.0</v>
      </c>
      <c r="E111" s="88">
        <v>100.0</v>
      </c>
      <c r="F111" s="28">
        <f t="shared" si="1"/>
        <v>200</v>
      </c>
      <c r="G111" s="89">
        <v>44810.0</v>
      </c>
    </row>
    <row r="112">
      <c r="C112" s="88" t="s">
        <v>156</v>
      </c>
      <c r="D112" s="88">
        <v>1.9</v>
      </c>
      <c r="E112" s="88">
        <v>2450.0</v>
      </c>
      <c r="F112" s="28">
        <f t="shared" si="1"/>
        <v>4655</v>
      </c>
      <c r="G112" s="89">
        <v>44807.0</v>
      </c>
    </row>
    <row r="113">
      <c r="C113" s="88" t="s">
        <v>157</v>
      </c>
      <c r="D113" s="88">
        <v>1.2</v>
      </c>
      <c r="E113" s="88">
        <v>550.0</v>
      </c>
      <c r="F113" s="28">
        <f t="shared" si="1"/>
        <v>660</v>
      </c>
      <c r="G113" s="89">
        <v>44810.0</v>
      </c>
    </row>
    <row r="114">
      <c r="C114" s="88" t="s">
        <v>158</v>
      </c>
      <c r="D114" s="88">
        <v>1.0</v>
      </c>
      <c r="E114" s="88">
        <v>9300.0</v>
      </c>
      <c r="F114" s="28">
        <f t="shared" si="1"/>
        <v>9300</v>
      </c>
      <c r="G114" s="89">
        <v>44805.0</v>
      </c>
    </row>
    <row r="115">
      <c r="C115" s="93" t="s">
        <v>159</v>
      </c>
      <c r="D115" s="93">
        <v>1.0</v>
      </c>
      <c r="E115" s="93">
        <v>3440.0</v>
      </c>
      <c r="F115" s="94">
        <f t="shared" si="1"/>
        <v>3440</v>
      </c>
      <c r="G115" s="95">
        <v>44805.0</v>
      </c>
    </row>
    <row r="116">
      <c r="C116" s="88" t="s">
        <v>160</v>
      </c>
      <c r="D116" s="88">
        <v>1.0</v>
      </c>
      <c r="E116" s="88">
        <v>3200.0</v>
      </c>
      <c r="F116" s="37">
        <v>3200.0</v>
      </c>
      <c r="G116" s="89">
        <v>44814.0</v>
      </c>
    </row>
    <row r="117">
      <c r="C117" s="88" t="s">
        <v>161</v>
      </c>
      <c r="D117" s="88">
        <v>1.0</v>
      </c>
      <c r="E117" s="88">
        <v>2200.0</v>
      </c>
      <c r="F117" s="28">
        <f t="shared" ref="F117:F180" si="2">E117*D117</f>
        <v>2200</v>
      </c>
      <c r="G117" s="89">
        <v>44805.0</v>
      </c>
    </row>
    <row r="118">
      <c r="C118" s="88" t="s">
        <v>162</v>
      </c>
      <c r="D118" s="88">
        <v>1.0</v>
      </c>
      <c r="E118" s="88">
        <v>2200.0</v>
      </c>
      <c r="F118" s="28">
        <f t="shared" si="2"/>
        <v>2200</v>
      </c>
      <c r="G118" s="89">
        <v>44805.0</v>
      </c>
    </row>
    <row r="119">
      <c r="C119" s="88" t="s">
        <v>163</v>
      </c>
      <c r="D119" s="88">
        <v>1.0</v>
      </c>
      <c r="E119" s="88">
        <v>2000.0</v>
      </c>
      <c r="F119" s="28">
        <f t="shared" si="2"/>
        <v>2000</v>
      </c>
      <c r="G119" s="89">
        <v>44805.0</v>
      </c>
    </row>
    <row r="120">
      <c r="C120" s="88" t="s">
        <v>117</v>
      </c>
      <c r="D120" s="88">
        <v>1.0</v>
      </c>
      <c r="E120" s="88">
        <v>2000.0</v>
      </c>
      <c r="F120" s="28">
        <f t="shared" si="2"/>
        <v>2000</v>
      </c>
      <c r="G120" s="89">
        <v>44807.0</v>
      </c>
    </row>
    <row r="121">
      <c r="C121" s="88" t="s">
        <v>164</v>
      </c>
      <c r="D121" s="88">
        <v>1.0</v>
      </c>
      <c r="E121" s="88">
        <v>1930.0</v>
      </c>
      <c r="F121" s="28">
        <f t="shared" si="2"/>
        <v>1930</v>
      </c>
      <c r="G121" s="89">
        <v>44805.0</v>
      </c>
    </row>
    <row r="122">
      <c r="C122" s="36" t="s">
        <v>165</v>
      </c>
      <c r="D122" s="36">
        <v>1.0</v>
      </c>
      <c r="E122" s="88">
        <v>1800.0</v>
      </c>
      <c r="F122" s="28">
        <f t="shared" si="2"/>
        <v>1800</v>
      </c>
      <c r="G122" s="89">
        <v>44805.0</v>
      </c>
    </row>
    <row r="123">
      <c r="C123" s="88" t="s">
        <v>166</v>
      </c>
      <c r="D123" s="88">
        <v>1.0</v>
      </c>
      <c r="E123" s="88">
        <v>1800.0</v>
      </c>
      <c r="F123" s="28">
        <f t="shared" si="2"/>
        <v>1800</v>
      </c>
      <c r="G123" s="89">
        <v>44805.0</v>
      </c>
    </row>
    <row r="124">
      <c r="C124" s="88" t="s">
        <v>154</v>
      </c>
      <c r="D124" s="88">
        <v>1.0</v>
      </c>
      <c r="E124" s="88">
        <v>1800.0</v>
      </c>
      <c r="F124" s="28">
        <f t="shared" si="2"/>
        <v>1800</v>
      </c>
      <c r="G124" s="89">
        <v>44811.0</v>
      </c>
    </row>
    <row r="125">
      <c r="C125" s="88" t="s">
        <v>167</v>
      </c>
      <c r="D125" s="88">
        <v>1.0</v>
      </c>
      <c r="E125" s="88">
        <v>1800.0</v>
      </c>
      <c r="F125" s="28">
        <f t="shared" si="2"/>
        <v>1800</v>
      </c>
      <c r="G125" s="89">
        <v>44814.0</v>
      </c>
    </row>
    <row r="126">
      <c r="C126" s="88" t="s">
        <v>168</v>
      </c>
      <c r="D126" s="88">
        <v>1.0</v>
      </c>
      <c r="E126" s="88">
        <v>1550.0</v>
      </c>
      <c r="F126" s="28">
        <f t="shared" si="2"/>
        <v>1550</v>
      </c>
      <c r="G126" s="89">
        <v>44807.0</v>
      </c>
    </row>
    <row r="127">
      <c r="C127" s="88" t="s">
        <v>169</v>
      </c>
      <c r="D127" s="88">
        <v>1.0</v>
      </c>
      <c r="E127" s="88">
        <v>1500.0</v>
      </c>
      <c r="F127" s="28">
        <f t="shared" si="2"/>
        <v>1500</v>
      </c>
      <c r="G127" s="89">
        <v>44789.0</v>
      </c>
    </row>
    <row r="128">
      <c r="C128" s="88" t="s">
        <v>170</v>
      </c>
      <c r="D128" s="88">
        <v>1.0</v>
      </c>
      <c r="E128" s="88">
        <v>1500.0</v>
      </c>
      <c r="F128" s="28">
        <f t="shared" si="2"/>
        <v>1500</v>
      </c>
      <c r="G128" s="89">
        <v>44807.0</v>
      </c>
    </row>
    <row r="129">
      <c r="C129" s="88" t="s">
        <v>171</v>
      </c>
      <c r="D129" s="88">
        <v>1.0</v>
      </c>
      <c r="E129" s="88">
        <v>1250.0</v>
      </c>
      <c r="F129" s="28">
        <f t="shared" si="2"/>
        <v>1250</v>
      </c>
      <c r="G129" s="89">
        <v>44805.0</v>
      </c>
    </row>
    <row r="130">
      <c r="C130" s="88" t="s">
        <v>172</v>
      </c>
      <c r="D130" s="88">
        <v>1.0</v>
      </c>
      <c r="E130" s="88">
        <v>1200.0</v>
      </c>
      <c r="F130" s="28">
        <f t="shared" si="2"/>
        <v>1200</v>
      </c>
      <c r="G130" s="89">
        <v>44814.0</v>
      </c>
    </row>
    <row r="131">
      <c r="C131" s="88" t="s">
        <v>173</v>
      </c>
      <c r="D131" s="88">
        <v>1.0</v>
      </c>
      <c r="E131" s="88">
        <v>1200.0</v>
      </c>
      <c r="F131" s="28">
        <f t="shared" si="2"/>
        <v>1200</v>
      </c>
      <c r="G131" s="89">
        <v>44816.0</v>
      </c>
    </row>
    <row r="132">
      <c r="C132" s="88" t="s">
        <v>174</v>
      </c>
      <c r="D132" s="88">
        <v>1.0</v>
      </c>
      <c r="E132" s="88">
        <v>1050.0</v>
      </c>
      <c r="F132" s="28">
        <f t="shared" si="2"/>
        <v>1050</v>
      </c>
      <c r="G132" s="89">
        <v>44807.0</v>
      </c>
    </row>
    <row r="133">
      <c r="C133" s="88" t="s">
        <v>175</v>
      </c>
      <c r="D133" s="88">
        <v>1.0</v>
      </c>
      <c r="E133" s="88">
        <v>1050.0</v>
      </c>
      <c r="F133" s="28">
        <f t="shared" si="2"/>
        <v>1050</v>
      </c>
      <c r="G133" s="89">
        <v>44814.0</v>
      </c>
    </row>
    <row r="134">
      <c r="C134" s="88" t="s">
        <v>176</v>
      </c>
      <c r="D134" s="88">
        <v>1.0</v>
      </c>
      <c r="E134" s="88">
        <v>1000.0</v>
      </c>
      <c r="F134" s="28">
        <f t="shared" si="2"/>
        <v>1000</v>
      </c>
      <c r="G134" s="89">
        <v>44808.0</v>
      </c>
    </row>
    <row r="135">
      <c r="C135" s="88" t="s">
        <v>123</v>
      </c>
      <c r="D135" s="88">
        <v>1.0</v>
      </c>
      <c r="E135" s="88">
        <v>1000.0</v>
      </c>
      <c r="F135" s="28">
        <f t="shared" si="2"/>
        <v>1000</v>
      </c>
      <c r="G135" s="89">
        <v>44809.0</v>
      </c>
    </row>
    <row r="136">
      <c r="C136" s="88" t="s">
        <v>177</v>
      </c>
      <c r="D136" s="88">
        <v>1.0</v>
      </c>
      <c r="E136" s="88">
        <v>1000.0</v>
      </c>
      <c r="F136" s="28">
        <f t="shared" si="2"/>
        <v>1000</v>
      </c>
      <c r="G136" s="89">
        <v>44810.0</v>
      </c>
    </row>
    <row r="137">
      <c r="C137" s="88" t="s">
        <v>178</v>
      </c>
      <c r="D137" s="88">
        <v>1.0</v>
      </c>
      <c r="E137" s="88">
        <v>1000.0</v>
      </c>
      <c r="F137" s="28">
        <f t="shared" si="2"/>
        <v>1000</v>
      </c>
      <c r="G137" s="89">
        <v>44814.0</v>
      </c>
    </row>
    <row r="138">
      <c r="C138" s="88" t="s">
        <v>179</v>
      </c>
      <c r="D138" s="88">
        <v>1.0</v>
      </c>
      <c r="E138" s="88">
        <v>980.0</v>
      </c>
      <c r="F138" s="28">
        <f t="shared" si="2"/>
        <v>980</v>
      </c>
      <c r="G138" s="89">
        <v>44816.0</v>
      </c>
    </row>
    <row r="139">
      <c r="C139" s="88" t="s">
        <v>180</v>
      </c>
      <c r="D139" s="88">
        <v>1.0</v>
      </c>
      <c r="E139" s="88">
        <v>950.0</v>
      </c>
      <c r="F139" s="28">
        <f t="shared" si="2"/>
        <v>950</v>
      </c>
      <c r="G139" s="89">
        <v>44807.0</v>
      </c>
    </row>
    <row r="140">
      <c r="C140" s="88" t="s">
        <v>181</v>
      </c>
      <c r="D140" s="88">
        <v>1.0</v>
      </c>
      <c r="E140" s="88">
        <v>850.0</v>
      </c>
      <c r="F140" s="28">
        <f t="shared" si="2"/>
        <v>850</v>
      </c>
      <c r="G140" s="89">
        <v>44808.0</v>
      </c>
    </row>
    <row r="141">
      <c r="C141" s="88" t="s">
        <v>182</v>
      </c>
      <c r="D141" s="88">
        <v>1.0</v>
      </c>
      <c r="E141" s="88">
        <v>750.0</v>
      </c>
      <c r="F141" s="28">
        <f t="shared" si="2"/>
        <v>750</v>
      </c>
      <c r="G141" s="89">
        <v>44805.0</v>
      </c>
    </row>
    <row r="142">
      <c r="C142" s="88" t="s">
        <v>183</v>
      </c>
      <c r="D142" s="88">
        <v>1.0</v>
      </c>
      <c r="E142" s="88">
        <v>700.0</v>
      </c>
      <c r="F142" s="28">
        <f t="shared" si="2"/>
        <v>700</v>
      </c>
      <c r="G142" s="89">
        <v>44810.0</v>
      </c>
    </row>
    <row r="143">
      <c r="C143" s="88" t="s">
        <v>184</v>
      </c>
      <c r="D143" s="88">
        <v>1.0</v>
      </c>
      <c r="E143" s="88">
        <v>600.0</v>
      </c>
      <c r="F143" s="28">
        <f t="shared" si="2"/>
        <v>600</v>
      </c>
      <c r="G143" s="89">
        <v>44814.0</v>
      </c>
    </row>
    <row r="144">
      <c r="C144" s="88" t="s">
        <v>185</v>
      </c>
      <c r="D144" s="88">
        <v>1.0</v>
      </c>
      <c r="E144" s="88">
        <v>590.0</v>
      </c>
      <c r="F144" s="28">
        <f t="shared" si="2"/>
        <v>590</v>
      </c>
      <c r="G144" s="89">
        <v>44805.0</v>
      </c>
    </row>
    <row r="145">
      <c r="C145" s="88" t="s">
        <v>186</v>
      </c>
      <c r="D145" s="88">
        <v>1.0</v>
      </c>
      <c r="E145" s="88">
        <v>590.0</v>
      </c>
      <c r="F145" s="28">
        <f t="shared" si="2"/>
        <v>590</v>
      </c>
      <c r="G145" s="89">
        <v>44807.0</v>
      </c>
    </row>
    <row r="146">
      <c r="C146" s="88" t="s">
        <v>187</v>
      </c>
      <c r="D146" s="88">
        <v>1.0</v>
      </c>
      <c r="E146" s="88">
        <v>560.0</v>
      </c>
      <c r="F146" s="28">
        <f t="shared" si="2"/>
        <v>560</v>
      </c>
      <c r="G146" s="89">
        <v>44811.0</v>
      </c>
    </row>
    <row r="147">
      <c r="C147" s="88" t="s">
        <v>188</v>
      </c>
      <c r="D147" s="88">
        <v>1.0</v>
      </c>
      <c r="E147" s="88">
        <v>505.0</v>
      </c>
      <c r="F147" s="28">
        <f t="shared" si="2"/>
        <v>505</v>
      </c>
      <c r="G147" s="89">
        <v>44814.0</v>
      </c>
    </row>
    <row r="148">
      <c r="C148" s="88" t="s">
        <v>189</v>
      </c>
      <c r="D148" s="88">
        <v>1.0</v>
      </c>
      <c r="E148" s="88">
        <v>500.0</v>
      </c>
      <c r="F148" s="28">
        <f t="shared" si="2"/>
        <v>500</v>
      </c>
      <c r="G148" s="89">
        <v>44811.0</v>
      </c>
    </row>
    <row r="149">
      <c r="C149" s="88" t="s">
        <v>183</v>
      </c>
      <c r="D149" s="88">
        <v>1.0</v>
      </c>
      <c r="E149" s="88">
        <v>500.0</v>
      </c>
      <c r="F149" s="28">
        <f t="shared" si="2"/>
        <v>500</v>
      </c>
      <c r="G149" s="89">
        <v>44814.0</v>
      </c>
    </row>
    <row r="150">
      <c r="C150" s="88" t="s">
        <v>190</v>
      </c>
      <c r="D150" s="88">
        <v>1.0</v>
      </c>
      <c r="E150" s="88">
        <v>500.0</v>
      </c>
      <c r="F150" s="28">
        <f t="shared" si="2"/>
        <v>500</v>
      </c>
      <c r="G150" s="89">
        <v>44814.0</v>
      </c>
    </row>
    <row r="151">
      <c r="C151" s="88" t="s">
        <v>123</v>
      </c>
      <c r="D151" s="88">
        <v>1.0</v>
      </c>
      <c r="E151" s="88">
        <v>490.0</v>
      </c>
      <c r="F151" s="28">
        <f t="shared" si="2"/>
        <v>490</v>
      </c>
      <c r="G151" s="89">
        <v>44808.0</v>
      </c>
    </row>
    <row r="152">
      <c r="C152" s="88" t="s">
        <v>191</v>
      </c>
      <c r="D152" s="88">
        <v>1.0</v>
      </c>
      <c r="E152" s="88">
        <v>400.0</v>
      </c>
      <c r="F152" s="28">
        <f t="shared" si="2"/>
        <v>400</v>
      </c>
      <c r="G152" s="89">
        <v>44807.0</v>
      </c>
    </row>
    <row r="153">
      <c r="C153" s="88" t="s">
        <v>123</v>
      </c>
      <c r="D153" s="88">
        <v>1.0</v>
      </c>
      <c r="E153" s="88">
        <v>400.0</v>
      </c>
      <c r="F153" s="28">
        <f t="shared" si="2"/>
        <v>400</v>
      </c>
      <c r="G153" s="89">
        <v>44808.0</v>
      </c>
    </row>
    <row r="154">
      <c r="C154" s="88" t="s">
        <v>192</v>
      </c>
      <c r="D154" s="88">
        <v>1.0</v>
      </c>
      <c r="E154" s="88">
        <v>400.0</v>
      </c>
      <c r="F154" s="28">
        <f t="shared" si="2"/>
        <v>400</v>
      </c>
      <c r="G154" s="89">
        <v>44810.0</v>
      </c>
    </row>
    <row r="155">
      <c r="C155" s="88" t="s">
        <v>193</v>
      </c>
      <c r="D155" s="88">
        <v>1.0</v>
      </c>
      <c r="E155" s="88">
        <v>400.0</v>
      </c>
      <c r="F155" s="28">
        <f t="shared" si="2"/>
        <v>400</v>
      </c>
      <c r="G155" s="89">
        <v>44811.0</v>
      </c>
    </row>
    <row r="156">
      <c r="C156" s="88" t="s">
        <v>193</v>
      </c>
      <c r="D156" s="88">
        <v>1.0</v>
      </c>
      <c r="E156" s="88">
        <v>390.0</v>
      </c>
      <c r="F156" s="28">
        <f t="shared" si="2"/>
        <v>390</v>
      </c>
      <c r="G156" s="89">
        <v>44807.0</v>
      </c>
    </row>
    <row r="157">
      <c r="C157" s="88" t="s">
        <v>194</v>
      </c>
      <c r="D157" s="88">
        <v>1.0</v>
      </c>
      <c r="E157" s="88">
        <v>320.0</v>
      </c>
      <c r="F157" s="28">
        <f t="shared" si="2"/>
        <v>320</v>
      </c>
      <c r="G157" s="89">
        <v>44807.0</v>
      </c>
    </row>
    <row r="158">
      <c r="C158" s="88" t="s">
        <v>195</v>
      </c>
      <c r="D158" s="88">
        <v>1.0</v>
      </c>
      <c r="E158" s="88">
        <v>300.0</v>
      </c>
      <c r="F158" s="28">
        <f t="shared" si="2"/>
        <v>300</v>
      </c>
      <c r="G158" s="89">
        <v>44807.0</v>
      </c>
    </row>
    <row r="159">
      <c r="C159" s="88" t="s">
        <v>196</v>
      </c>
      <c r="D159" s="88">
        <v>1.0</v>
      </c>
      <c r="E159" s="88">
        <v>300.0</v>
      </c>
      <c r="F159" s="28">
        <f t="shared" si="2"/>
        <v>300</v>
      </c>
      <c r="G159" s="89">
        <v>44808.0</v>
      </c>
    </row>
    <row r="160">
      <c r="C160" s="88" t="s">
        <v>197</v>
      </c>
      <c r="D160" s="88">
        <v>1.0</v>
      </c>
      <c r="E160" s="88">
        <v>300.0</v>
      </c>
      <c r="F160" s="28">
        <f t="shared" si="2"/>
        <v>300</v>
      </c>
      <c r="G160" s="89">
        <v>44811.0</v>
      </c>
    </row>
    <row r="161">
      <c r="C161" s="88" t="s">
        <v>198</v>
      </c>
      <c r="D161" s="88">
        <v>1.0</v>
      </c>
      <c r="E161" s="88">
        <v>300.0</v>
      </c>
      <c r="F161" s="28">
        <f t="shared" si="2"/>
        <v>300</v>
      </c>
      <c r="G161" s="89">
        <v>44814.0</v>
      </c>
    </row>
    <row r="162">
      <c r="C162" s="88" t="s">
        <v>196</v>
      </c>
      <c r="D162" s="88">
        <v>1.0</v>
      </c>
      <c r="E162" s="88">
        <v>250.0</v>
      </c>
      <c r="F162" s="28">
        <f t="shared" si="2"/>
        <v>250</v>
      </c>
      <c r="G162" s="89">
        <v>44814.0</v>
      </c>
    </row>
    <row r="163">
      <c r="C163" s="88" t="s">
        <v>199</v>
      </c>
      <c r="D163" s="88">
        <v>1.0</v>
      </c>
      <c r="E163" s="88">
        <v>220.0</v>
      </c>
      <c r="F163" s="28">
        <f t="shared" si="2"/>
        <v>220</v>
      </c>
      <c r="G163" s="89">
        <v>44807.0</v>
      </c>
    </row>
    <row r="164">
      <c r="C164" s="88" t="s">
        <v>200</v>
      </c>
      <c r="D164" s="88">
        <v>1.0</v>
      </c>
      <c r="E164" s="88">
        <v>200.0</v>
      </c>
      <c r="F164" s="28">
        <f t="shared" si="2"/>
        <v>200</v>
      </c>
      <c r="G164" s="89">
        <v>44811.0</v>
      </c>
    </row>
    <row r="165">
      <c r="C165" s="88" t="s">
        <v>201</v>
      </c>
      <c r="D165" s="88">
        <v>1.0</v>
      </c>
      <c r="E165" s="88">
        <v>200.0</v>
      </c>
      <c r="F165" s="28">
        <f t="shared" si="2"/>
        <v>200</v>
      </c>
      <c r="G165" s="89">
        <v>44814.0</v>
      </c>
    </row>
    <row r="166">
      <c r="C166" s="88" t="s">
        <v>202</v>
      </c>
      <c r="D166" s="88">
        <v>1.0</v>
      </c>
      <c r="E166" s="88">
        <v>170.0</v>
      </c>
      <c r="F166" s="28">
        <f t="shared" si="2"/>
        <v>170</v>
      </c>
      <c r="G166" s="89">
        <v>44807.0</v>
      </c>
    </row>
    <row r="167">
      <c r="C167" s="88" t="s">
        <v>203</v>
      </c>
      <c r="D167" s="88">
        <v>1.0</v>
      </c>
      <c r="E167" s="88">
        <v>150.0</v>
      </c>
      <c r="F167" s="28">
        <f t="shared" si="2"/>
        <v>150</v>
      </c>
      <c r="G167" s="89">
        <v>44811.0</v>
      </c>
    </row>
    <row r="168">
      <c r="C168" s="88" t="s">
        <v>204</v>
      </c>
      <c r="D168" s="88">
        <v>1.0</v>
      </c>
      <c r="E168" s="88">
        <v>150.0</v>
      </c>
      <c r="F168" s="28">
        <f t="shared" si="2"/>
        <v>150</v>
      </c>
      <c r="G168" s="89">
        <v>44811.0</v>
      </c>
    </row>
    <row r="169">
      <c r="C169" s="88" t="s">
        <v>205</v>
      </c>
      <c r="D169" s="88">
        <v>1.0</v>
      </c>
      <c r="E169" s="88">
        <v>150.0</v>
      </c>
      <c r="F169" s="28">
        <f t="shared" si="2"/>
        <v>150</v>
      </c>
      <c r="G169" s="89">
        <v>44814.0</v>
      </c>
    </row>
    <row r="170">
      <c r="C170" s="88" t="s">
        <v>186</v>
      </c>
      <c r="D170" s="88">
        <v>1.0</v>
      </c>
      <c r="E170" s="88">
        <v>100.0</v>
      </c>
      <c r="F170" s="28">
        <f t="shared" si="2"/>
        <v>100</v>
      </c>
      <c r="G170" s="89">
        <v>44807.0</v>
      </c>
    </row>
    <row r="171">
      <c r="C171" s="88" t="s">
        <v>206</v>
      </c>
      <c r="D171" s="88">
        <v>1.0</v>
      </c>
      <c r="E171" s="88">
        <v>100.0</v>
      </c>
      <c r="F171" s="28">
        <f t="shared" si="2"/>
        <v>100</v>
      </c>
      <c r="G171" s="89">
        <v>44809.0</v>
      </c>
    </row>
    <row r="172">
      <c r="C172" s="88" t="s">
        <v>153</v>
      </c>
      <c r="D172" s="88">
        <v>1.0</v>
      </c>
      <c r="E172" s="88">
        <v>100.0</v>
      </c>
      <c r="F172" s="28">
        <f t="shared" si="2"/>
        <v>100</v>
      </c>
      <c r="G172" s="89">
        <v>44809.0</v>
      </c>
    </row>
    <row r="173">
      <c r="C173" s="88" t="s">
        <v>207</v>
      </c>
      <c r="D173" s="88">
        <v>1.0</v>
      </c>
      <c r="E173" s="88">
        <v>100.0</v>
      </c>
      <c r="F173" s="28">
        <f t="shared" si="2"/>
        <v>100</v>
      </c>
      <c r="G173" s="89">
        <v>44809.0</v>
      </c>
    </row>
    <row r="174">
      <c r="C174" s="88" t="s">
        <v>208</v>
      </c>
      <c r="D174" s="88">
        <v>1.0</v>
      </c>
      <c r="E174" s="88">
        <v>100.0</v>
      </c>
      <c r="F174" s="28">
        <f t="shared" si="2"/>
        <v>100</v>
      </c>
      <c r="G174" s="89">
        <v>44812.0</v>
      </c>
    </row>
    <row r="175">
      <c r="C175" s="88" t="s">
        <v>209</v>
      </c>
      <c r="D175" s="88">
        <v>1.0</v>
      </c>
      <c r="E175" s="88">
        <v>50.0</v>
      </c>
      <c r="F175" s="28">
        <f t="shared" si="2"/>
        <v>50</v>
      </c>
      <c r="G175" s="89">
        <v>44810.0</v>
      </c>
    </row>
    <row r="176">
      <c r="C176" s="88" t="s">
        <v>210</v>
      </c>
      <c r="D176" s="88">
        <v>1.0</v>
      </c>
      <c r="E176" s="88">
        <v>50.0</v>
      </c>
      <c r="F176" s="28">
        <f t="shared" si="2"/>
        <v>50</v>
      </c>
      <c r="G176" s="89">
        <v>44814.0</v>
      </c>
    </row>
    <row r="177">
      <c r="C177" s="88" t="s">
        <v>211</v>
      </c>
      <c r="D177" s="88">
        <v>0.66</v>
      </c>
      <c r="E177" s="88">
        <v>2000.0</v>
      </c>
      <c r="F177" s="28">
        <f t="shared" si="2"/>
        <v>1320</v>
      </c>
      <c r="G177" s="89">
        <v>44814.0</v>
      </c>
    </row>
    <row r="178">
      <c r="C178" s="88" t="s">
        <v>211</v>
      </c>
      <c r="D178" s="88">
        <v>0.5</v>
      </c>
      <c r="E178" s="88">
        <v>1900.0</v>
      </c>
      <c r="F178" s="28">
        <f t="shared" si="2"/>
        <v>950</v>
      </c>
      <c r="G178" s="89">
        <v>44810.0</v>
      </c>
    </row>
    <row r="179">
      <c r="C179" s="88" t="s">
        <v>212</v>
      </c>
      <c r="D179" s="88">
        <v>0.33</v>
      </c>
      <c r="E179" s="88">
        <v>3000.0</v>
      </c>
      <c r="F179" s="28">
        <f t="shared" si="2"/>
        <v>990</v>
      </c>
      <c r="G179" s="89">
        <v>44807.0</v>
      </c>
    </row>
    <row r="180">
      <c r="C180" s="88" t="s">
        <v>213</v>
      </c>
      <c r="D180" s="88">
        <v>0.25</v>
      </c>
      <c r="E180" s="88">
        <v>4000.0</v>
      </c>
      <c r="F180" s="28">
        <f t="shared" si="2"/>
        <v>1000</v>
      </c>
      <c r="G180" s="89">
        <v>44807.0</v>
      </c>
    </row>
    <row r="181">
      <c r="C181" s="88" t="s">
        <v>214</v>
      </c>
      <c r="D181" s="36"/>
      <c r="E181" s="36"/>
      <c r="F181" s="37">
        <v>39000.0</v>
      </c>
      <c r="G181" s="89">
        <v>44816.0</v>
      </c>
    </row>
    <row r="182">
      <c r="C182" s="88"/>
      <c r="D182" s="88"/>
      <c r="E182" s="88"/>
      <c r="F182" s="28"/>
      <c r="G182" s="89"/>
    </row>
    <row r="183">
      <c r="C183" s="88"/>
      <c r="D183" s="88"/>
      <c r="E183" s="88"/>
      <c r="F183" s="28"/>
      <c r="G183" s="89"/>
    </row>
    <row r="184">
      <c r="C184" s="88" t="s">
        <v>215</v>
      </c>
      <c r="D184" s="88">
        <v>1.0</v>
      </c>
      <c r="E184" s="88">
        <v>2000.0</v>
      </c>
      <c r="F184" s="28">
        <f t="shared" ref="F184:F248" si="3">E184*D184</f>
        <v>2000</v>
      </c>
      <c r="G184" s="89">
        <v>44814.0</v>
      </c>
    </row>
    <row r="185">
      <c r="C185" s="88" t="s">
        <v>216</v>
      </c>
      <c r="D185" s="88">
        <v>30.0</v>
      </c>
      <c r="E185" s="88">
        <v>140.0</v>
      </c>
      <c r="F185" s="28">
        <f t="shared" si="3"/>
        <v>4200</v>
      </c>
      <c r="G185" s="89">
        <v>44817.0</v>
      </c>
    </row>
    <row r="186">
      <c r="C186" s="88" t="s">
        <v>217</v>
      </c>
      <c r="D186" s="88">
        <v>5.0</v>
      </c>
      <c r="E186" s="88">
        <v>130.0</v>
      </c>
      <c r="F186" s="28">
        <f t="shared" si="3"/>
        <v>650</v>
      </c>
      <c r="G186" s="89">
        <v>44817.0</v>
      </c>
    </row>
    <row r="187">
      <c r="C187" s="88" t="s">
        <v>218</v>
      </c>
      <c r="D187" s="88">
        <v>1.0</v>
      </c>
      <c r="E187" s="88">
        <v>250.0</v>
      </c>
      <c r="F187" s="28">
        <f t="shared" si="3"/>
        <v>250</v>
      </c>
      <c r="G187" s="89">
        <v>44817.0</v>
      </c>
    </row>
    <row r="188">
      <c r="C188" s="88" t="s">
        <v>219</v>
      </c>
      <c r="D188" s="88">
        <v>1.0</v>
      </c>
      <c r="E188" s="88">
        <v>350.0</v>
      </c>
      <c r="F188" s="28">
        <f t="shared" si="3"/>
        <v>350</v>
      </c>
      <c r="G188" s="89">
        <v>44817.0</v>
      </c>
    </row>
    <row r="189">
      <c r="C189" s="88" t="s">
        <v>220</v>
      </c>
      <c r="D189" s="88">
        <v>1.0</v>
      </c>
      <c r="E189" s="88">
        <v>300.0</v>
      </c>
      <c r="F189" s="28">
        <f t="shared" si="3"/>
        <v>300</v>
      </c>
      <c r="G189" s="89">
        <v>44817.0</v>
      </c>
    </row>
    <row r="190">
      <c r="C190" s="88" t="s">
        <v>221</v>
      </c>
      <c r="D190" s="88">
        <v>1.0</v>
      </c>
      <c r="E190" s="88">
        <v>250.0</v>
      </c>
      <c r="F190" s="28">
        <f t="shared" si="3"/>
        <v>250</v>
      </c>
      <c r="G190" s="89">
        <v>44817.0</v>
      </c>
    </row>
    <row r="191">
      <c r="C191" s="88" t="s">
        <v>222</v>
      </c>
      <c r="D191" s="88">
        <v>1.0</v>
      </c>
      <c r="E191" s="88">
        <v>2500.0</v>
      </c>
      <c r="F191" s="28">
        <f t="shared" si="3"/>
        <v>2500</v>
      </c>
      <c r="G191" s="89">
        <v>44816.0</v>
      </c>
    </row>
    <row r="192">
      <c r="C192" s="88" t="s">
        <v>223</v>
      </c>
      <c r="D192" s="88">
        <v>5.0</v>
      </c>
      <c r="E192" s="88">
        <v>250.0</v>
      </c>
      <c r="F192" s="28">
        <f t="shared" si="3"/>
        <v>1250</v>
      </c>
      <c r="G192" s="89">
        <v>44818.0</v>
      </c>
    </row>
    <row r="193">
      <c r="C193" s="88" t="s">
        <v>76</v>
      </c>
      <c r="D193" s="88">
        <v>20.0</v>
      </c>
      <c r="E193" s="88">
        <v>120.0</v>
      </c>
      <c r="F193" s="28">
        <f t="shared" si="3"/>
        <v>2400</v>
      </c>
      <c r="G193" s="89">
        <v>44818.0</v>
      </c>
    </row>
    <row r="194">
      <c r="C194" s="88" t="s">
        <v>181</v>
      </c>
      <c r="D194" s="88">
        <v>1.0</v>
      </c>
      <c r="E194" s="88">
        <v>800.0</v>
      </c>
      <c r="F194" s="28">
        <f t="shared" si="3"/>
        <v>800</v>
      </c>
      <c r="G194" s="89">
        <v>44818.0</v>
      </c>
    </row>
    <row r="195">
      <c r="C195" s="88" t="s">
        <v>176</v>
      </c>
      <c r="D195" s="88">
        <v>1.0</v>
      </c>
      <c r="E195" s="88">
        <v>500.0</v>
      </c>
      <c r="F195" s="28">
        <f t="shared" si="3"/>
        <v>500</v>
      </c>
      <c r="G195" s="89">
        <v>44818.0</v>
      </c>
    </row>
    <row r="196">
      <c r="C196" s="88" t="s">
        <v>157</v>
      </c>
      <c r="D196" s="88">
        <v>2.0</v>
      </c>
      <c r="E196" s="88">
        <v>350.0</v>
      </c>
      <c r="F196" s="28">
        <f t="shared" si="3"/>
        <v>700</v>
      </c>
      <c r="G196" s="89">
        <v>44818.0</v>
      </c>
    </row>
    <row r="197">
      <c r="C197" s="88" t="s">
        <v>224</v>
      </c>
      <c r="D197" s="88">
        <v>4.0</v>
      </c>
      <c r="E197" s="88">
        <v>250.0</v>
      </c>
      <c r="F197" s="28">
        <f t="shared" si="3"/>
        <v>1000</v>
      </c>
      <c r="G197" s="89">
        <v>44818.0</v>
      </c>
    </row>
    <row r="198">
      <c r="C198" s="88" t="s">
        <v>225</v>
      </c>
      <c r="D198" s="88">
        <v>8.0</v>
      </c>
      <c r="E198" s="88">
        <v>210.0</v>
      </c>
      <c r="F198" s="28">
        <f t="shared" si="3"/>
        <v>1680</v>
      </c>
      <c r="G198" s="89">
        <v>44818.0</v>
      </c>
    </row>
    <row r="199">
      <c r="C199" s="88" t="s">
        <v>226</v>
      </c>
      <c r="D199" s="88">
        <v>2.0</v>
      </c>
      <c r="E199" s="88">
        <v>1400.0</v>
      </c>
      <c r="F199" s="28">
        <f t="shared" si="3"/>
        <v>2800</v>
      </c>
      <c r="G199" s="89">
        <v>44818.0</v>
      </c>
    </row>
    <row r="200">
      <c r="C200" s="88" t="s">
        <v>227</v>
      </c>
      <c r="D200" s="88">
        <v>0.0</v>
      </c>
      <c r="E200" s="88">
        <v>1750.0</v>
      </c>
      <c r="F200" s="28">
        <f t="shared" si="3"/>
        <v>0</v>
      </c>
      <c r="G200" s="89">
        <v>44818.0</v>
      </c>
    </row>
    <row r="201">
      <c r="C201" s="88" t="s">
        <v>86</v>
      </c>
      <c r="D201" s="88">
        <v>24.0</v>
      </c>
      <c r="E201" s="88">
        <v>60.0</v>
      </c>
      <c r="F201" s="28">
        <f t="shared" si="3"/>
        <v>1440</v>
      </c>
      <c r="G201" s="89">
        <v>44818.0</v>
      </c>
    </row>
    <row r="202">
      <c r="C202" s="88" t="s">
        <v>228</v>
      </c>
      <c r="D202" s="88">
        <v>15.0</v>
      </c>
      <c r="E202" s="88">
        <v>140.0</v>
      </c>
      <c r="F202" s="28">
        <f t="shared" si="3"/>
        <v>2100</v>
      </c>
      <c r="G202" s="89">
        <v>44818.0</v>
      </c>
    </row>
    <row r="203">
      <c r="C203" s="88" t="s">
        <v>229</v>
      </c>
      <c r="D203" s="88">
        <v>1.0</v>
      </c>
      <c r="E203" s="88">
        <v>1100.0</v>
      </c>
      <c r="F203" s="28">
        <f t="shared" si="3"/>
        <v>1100</v>
      </c>
      <c r="G203" s="89">
        <v>44818.0</v>
      </c>
    </row>
    <row r="204">
      <c r="C204" s="88" t="s">
        <v>230</v>
      </c>
      <c r="D204" s="88">
        <v>2.0</v>
      </c>
      <c r="E204" s="88">
        <v>200.0</v>
      </c>
      <c r="F204" s="28">
        <f t="shared" si="3"/>
        <v>400</v>
      </c>
      <c r="G204" s="89">
        <v>44818.0</v>
      </c>
    </row>
    <row r="205">
      <c r="C205" s="88" t="s">
        <v>231</v>
      </c>
      <c r="D205" s="88">
        <v>1.0</v>
      </c>
      <c r="E205" s="88">
        <v>130.0</v>
      </c>
      <c r="F205" s="28">
        <f t="shared" si="3"/>
        <v>130</v>
      </c>
      <c r="G205" s="89">
        <v>44818.0</v>
      </c>
    </row>
    <row r="206">
      <c r="C206" s="88" t="s">
        <v>232</v>
      </c>
      <c r="D206" s="88">
        <v>1.0</v>
      </c>
      <c r="E206" s="88">
        <v>1000.0</v>
      </c>
      <c r="F206" s="28">
        <f t="shared" si="3"/>
        <v>1000</v>
      </c>
      <c r="G206" s="89">
        <v>44818.0</v>
      </c>
    </row>
    <row r="207">
      <c r="C207" s="88" t="s">
        <v>233</v>
      </c>
      <c r="D207" s="88">
        <v>30.0</v>
      </c>
      <c r="E207" s="88">
        <v>120.0</v>
      </c>
      <c r="F207" s="28">
        <f t="shared" si="3"/>
        <v>3600</v>
      </c>
      <c r="G207" s="89">
        <v>44819.0</v>
      </c>
    </row>
    <row r="208">
      <c r="C208" s="88" t="s">
        <v>234</v>
      </c>
      <c r="D208" s="88">
        <v>10.0</v>
      </c>
      <c r="E208" s="88">
        <v>120.0</v>
      </c>
      <c r="F208" s="28">
        <f t="shared" si="3"/>
        <v>1200</v>
      </c>
      <c r="G208" s="89">
        <v>44820.0</v>
      </c>
    </row>
    <row r="209">
      <c r="C209" s="88" t="s">
        <v>235</v>
      </c>
      <c r="D209" s="88">
        <v>11.0</v>
      </c>
      <c r="E209" s="88">
        <v>130.0</v>
      </c>
      <c r="F209" s="28">
        <f t="shared" si="3"/>
        <v>1430</v>
      </c>
      <c r="G209" s="89">
        <v>44820.0</v>
      </c>
    </row>
    <row r="210">
      <c r="C210" s="88" t="s">
        <v>236</v>
      </c>
      <c r="D210" s="88">
        <v>10.0</v>
      </c>
      <c r="E210" s="88">
        <v>80.0</v>
      </c>
      <c r="F210" s="28">
        <f t="shared" si="3"/>
        <v>800</v>
      </c>
      <c r="G210" s="89">
        <v>44820.0</v>
      </c>
    </row>
    <row r="211">
      <c r="C211" s="88" t="s">
        <v>153</v>
      </c>
      <c r="D211" s="88">
        <v>7.0</v>
      </c>
      <c r="E211" s="88">
        <v>120.0</v>
      </c>
      <c r="F211" s="28">
        <f t="shared" si="3"/>
        <v>840</v>
      </c>
      <c r="G211" s="89">
        <v>44820.0</v>
      </c>
    </row>
    <row r="212">
      <c r="C212" s="88" t="s">
        <v>203</v>
      </c>
      <c r="D212" s="88">
        <v>7.0</v>
      </c>
      <c r="E212" s="88">
        <v>150.0</v>
      </c>
      <c r="F212" s="28">
        <f t="shared" si="3"/>
        <v>1050</v>
      </c>
      <c r="G212" s="89">
        <v>44820.0</v>
      </c>
    </row>
    <row r="213">
      <c r="C213" s="88" t="s">
        <v>237</v>
      </c>
      <c r="D213" s="88">
        <v>7.0</v>
      </c>
      <c r="E213" s="88">
        <v>160.0</v>
      </c>
      <c r="F213" s="28">
        <f t="shared" si="3"/>
        <v>1120</v>
      </c>
      <c r="G213" s="89">
        <v>44820.0</v>
      </c>
    </row>
    <row r="214">
      <c r="C214" s="88" t="s">
        <v>238</v>
      </c>
      <c r="D214" s="88">
        <v>2.0</v>
      </c>
      <c r="E214" s="88">
        <v>250.0</v>
      </c>
      <c r="F214" s="28">
        <f t="shared" si="3"/>
        <v>500</v>
      </c>
      <c r="G214" s="89">
        <v>44820.0</v>
      </c>
    </row>
    <row r="215">
      <c r="C215" s="88" t="s">
        <v>239</v>
      </c>
      <c r="D215" s="88">
        <v>3.0</v>
      </c>
      <c r="E215" s="88">
        <v>500.0</v>
      </c>
      <c r="F215" s="28">
        <f t="shared" si="3"/>
        <v>1500</v>
      </c>
      <c r="G215" s="89">
        <v>44820.0</v>
      </c>
    </row>
    <row r="216">
      <c r="C216" s="88" t="s">
        <v>74</v>
      </c>
      <c r="D216" s="88">
        <v>10.0</v>
      </c>
      <c r="E216" s="88">
        <v>1416.0</v>
      </c>
      <c r="F216" s="28">
        <f t="shared" si="3"/>
        <v>14160</v>
      </c>
      <c r="G216" s="89">
        <v>44820.0</v>
      </c>
    </row>
    <row r="217">
      <c r="C217" s="88" t="s">
        <v>161</v>
      </c>
      <c r="D217" s="88">
        <v>1.0</v>
      </c>
      <c r="E217" s="88">
        <v>2750.0</v>
      </c>
      <c r="F217" s="28">
        <f t="shared" si="3"/>
        <v>2750</v>
      </c>
      <c r="G217" s="89">
        <v>44820.0</v>
      </c>
    </row>
    <row r="218">
      <c r="C218" s="88" t="s">
        <v>123</v>
      </c>
      <c r="D218" s="88">
        <v>1.0</v>
      </c>
      <c r="E218" s="88">
        <v>350.0</v>
      </c>
      <c r="F218" s="28">
        <f t="shared" si="3"/>
        <v>350</v>
      </c>
      <c r="G218" s="89">
        <v>44821.0</v>
      </c>
    </row>
    <row r="219">
      <c r="C219" s="88" t="s">
        <v>240</v>
      </c>
      <c r="D219" s="88">
        <v>1.0</v>
      </c>
      <c r="E219" s="88">
        <v>800.0</v>
      </c>
      <c r="F219" s="28">
        <f t="shared" si="3"/>
        <v>800</v>
      </c>
      <c r="G219" s="89">
        <v>44821.0</v>
      </c>
    </row>
    <row r="220">
      <c r="C220" s="88" t="s">
        <v>76</v>
      </c>
      <c r="D220" s="88">
        <v>6.0</v>
      </c>
      <c r="E220" s="88">
        <v>100.0</v>
      </c>
      <c r="F220" s="28">
        <f t="shared" si="3"/>
        <v>600</v>
      </c>
      <c r="G220" s="89">
        <v>44821.0</v>
      </c>
    </row>
    <row r="221">
      <c r="C221" s="88" t="s">
        <v>241</v>
      </c>
      <c r="D221" s="88">
        <v>10.0</v>
      </c>
      <c r="E221" s="88">
        <v>140.0</v>
      </c>
      <c r="F221" s="28">
        <f t="shared" si="3"/>
        <v>1400</v>
      </c>
      <c r="G221" s="89">
        <v>44821.0</v>
      </c>
    </row>
    <row r="222">
      <c r="C222" s="88" t="s">
        <v>116</v>
      </c>
      <c r="D222" s="88">
        <v>12.0</v>
      </c>
      <c r="E222" s="88">
        <v>215.0</v>
      </c>
      <c r="F222" s="28">
        <f t="shared" si="3"/>
        <v>2580</v>
      </c>
      <c r="G222" s="89">
        <v>44821.0</v>
      </c>
    </row>
    <row r="223">
      <c r="C223" s="88" t="s">
        <v>77</v>
      </c>
      <c r="D223" s="88">
        <v>2.0</v>
      </c>
      <c r="E223" s="88">
        <v>250.0</v>
      </c>
      <c r="F223" s="28">
        <f t="shared" si="3"/>
        <v>500</v>
      </c>
      <c r="G223" s="89">
        <v>44821.0</v>
      </c>
    </row>
    <row r="224">
      <c r="C224" s="88" t="s">
        <v>66</v>
      </c>
      <c r="D224" s="88">
        <v>20.0</v>
      </c>
      <c r="E224" s="88">
        <v>70.0</v>
      </c>
      <c r="F224" s="28">
        <f t="shared" si="3"/>
        <v>1400</v>
      </c>
      <c r="G224" s="89">
        <v>44821.0</v>
      </c>
    </row>
    <row r="225">
      <c r="C225" s="88" t="s">
        <v>242</v>
      </c>
      <c r="D225" s="88">
        <v>2.0</v>
      </c>
      <c r="E225" s="88">
        <v>1400.0</v>
      </c>
      <c r="F225" s="28">
        <f t="shared" si="3"/>
        <v>2800</v>
      </c>
      <c r="G225" s="89">
        <v>44821.0</v>
      </c>
    </row>
    <row r="226">
      <c r="C226" s="88" t="s">
        <v>243</v>
      </c>
      <c r="D226" s="88">
        <v>5.0</v>
      </c>
      <c r="E226" s="88">
        <v>500.0</v>
      </c>
      <c r="F226" s="28">
        <f t="shared" si="3"/>
        <v>2500</v>
      </c>
      <c r="G226" s="89">
        <v>44821.0</v>
      </c>
    </row>
    <row r="227">
      <c r="C227" s="88" t="s">
        <v>244</v>
      </c>
      <c r="D227" s="88">
        <v>1.0</v>
      </c>
      <c r="E227" s="88">
        <v>450.0</v>
      </c>
      <c r="F227" s="28">
        <f t="shared" si="3"/>
        <v>450</v>
      </c>
      <c r="G227" s="89">
        <v>44821.0</v>
      </c>
    </row>
    <row r="228">
      <c r="C228" s="88" t="s">
        <v>245</v>
      </c>
      <c r="D228" s="88">
        <v>3.0</v>
      </c>
      <c r="E228" s="88">
        <v>350.0</v>
      </c>
      <c r="F228" s="28">
        <f t="shared" si="3"/>
        <v>1050</v>
      </c>
      <c r="G228" s="89">
        <v>44821.0</v>
      </c>
    </row>
    <row r="229">
      <c r="C229" s="88" t="s">
        <v>144</v>
      </c>
      <c r="D229" s="88">
        <v>2.0</v>
      </c>
      <c r="E229" s="88">
        <v>160.0</v>
      </c>
      <c r="F229" s="28">
        <f t="shared" si="3"/>
        <v>320</v>
      </c>
      <c r="G229" s="89">
        <v>44821.0</v>
      </c>
    </row>
    <row r="230">
      <c r="C230" s="88" t="s">
        <v>210</v>
      </c>
      <c r="D230" s="88">
        <v>1.0</v>
      </c>
      <c r="E230" s="88">
        <v>100.0</v>
      </c>
      <c r="F230" s="28">
        <f t="shared" si="3"/>
        <v>100</v>
      </c>
      <c r="G230" s="89">
        <v>44821.0</v>
      </c>
    </row>
    <row r="231">
      <c r="C231" s="88" t="s">
        <v>209</v>
      </c>
      <c r="D231" s="88">
        <v>3.0</v>
      </c>
      <c r="E231" s="88">
        <v>65.0</v>
      </c>
      <c r="F231" s="28">
        <f t="shared" si="3"/>
        <v>195</v>
      </c>
      <c r="G231" s="89">
        <v>44821.0</v>
      </c>
    </row>
    <row r="232">
      <c r="C232" s="88" t="s">
        <v>246</v>
      </c>
      <c r="D232" s="88">
        <v>2.0</v>
      </c>
      <c r="E232" s="88">
        <v>100.0</v>
      </c>
      <c r="F232" s="28">
        <f t="shared" si="3"/>
        <v>200</v>
      </c>
      <c r="G232" s="89">
        <v>44821.0</v>
      </c>
    </row>
    <row r="233">
      <c r="C233" s="88" t="s">
        <v>207</v>
      </c>
      <c r="D233" s="88">
        <v>1.0</v>
      </c>
      <c r="E233" s="88">
        <v>150.0</v>
      </c>
      <c r="F233" s="28">
        <f t="shared" si="3"/>
        <v>150</v>
      </c>
      <c r="G233" s="89">
        <v>44821.0</v>
      </c>
    </row>
    <row r="234">
      <c r="C234" s="88" t="s">
        <v>247</v>
      </c>
      <c r="D234" s="88">
        <v>0.5</v>
      </c>
      <c r="E234" s="88">
        <v>200.0</v>
      </c>
      <c r="F234" s="28">
        <f t="shared" si="3"/>
        <v>100</v>
      </c>
      <c r="G234" s="89">
        <v>44821.0</v>
      </c>
    </row>
    <row r="235">
      <c r="C235" s="88" t="s">
        <v>248</v>
      </c>
      <c r="D235" s="88">
        <v>2.0</v>
      </c>
      <c r="E235" s="88">
        <v>50.0</v>
      </c>
      <c r="F235" s="28">
        <f t="shared" si="3"/>
        <v>100</v>
      </c>
      <c r="G235" s="89">
        <v>44821.0</v>
      </c>
    </row>
    <row r="236">
      <c r="C236" s="88" t="s">
        <v>249</v>
      </c>
      <c r="D236" s="88">
        <v>1.0</v>
      </c>
      <c r="E236" s="88">
        <v>100.0</v>
      </c>
      <c r="F236" s="28">
        <f t="shared" si="3"/>
        <v>100</v>
      </c>
      <c r="G236" s="89">
        <v>44821.0</v>
      </c>
    </row>
    <row r="237">
      <c r="C237" s="88" t="s">
        <v>76</v>
      </c>
      <c r="D237" s="88">
        <v>2.0</v>
      </c>
      <c r="E237" s="88">
        <v>100.0</v>
      </c>
      <c r="F237" s="28">
        <f t="shared" si="3"/>
        <v>200</v>
      </c>
      <c r="G237" s="89">
        <v>44822.0</v>
      </c>
    </row>
    <row r="238">
      <c r="C238" s="88" t="s">
        <v>250</v>
      </c>
      <c r="D238" s="88">
        <v>100.0</v>
      </c>
      <c r="E238" s="88">
        <v>63.0</v>
      </c>
      <c r="F238" s="28">
        <f t="shared" si="3"/>
        <v>6300</v>
      </c>
      <c r="G238" s="89">
        <v>44822.0</v>
      </c>
    </row>
    <row r="239">
      <c r="C239" s="88" t="s">
        <v>245</v>
      </c>
      <c r="D239" s="88">
        <v>14.0</v>
      </c>
      <c r="E239" s="88">
        <v>2100.0</v>
      </c>
      <c r="F239" s="28">
        <f t="shared" si="3"/>
        <v>29400</v>
      </c>
      <c r="G239" s="89">
        <v>44822.0</v>
      </c>
    </row>
    <row r="240">
      <c r="C240" s="93" t="s">
        <v>251</v>
      </c>
      <c r="D240" s="93">
        <v>1.0</v>
      </c>
      <c r="E240" s="93">
        <v>1500.0</v>
      </c>
      <c r="F240" s="94">
        <f t="shared" si="3"/>
        <v>1500</v>
      </c>
      <c r="G240" s="95">
        <v>44822.0</v>
      </c>
    </row>
    <row r="241">
      <c r="C241" s="88" t="s">
        <v>76</v>
      </c>
      <c r="D241" s="88">
        <v>5.0</v>
      </c>
      <c r="E241" s="88">
        <v>100.0</v>
      </c>
      <c r="F241" s="28">
        <f t="shared" si="3"/>
        <v>500</v>
      </c>
      <c r="G241" s="89">
        <v>44823.0</v>
      </c>
    </row>
    <row r="242">
      <c r="C242" s="88" t="s">
        <v>241</v>
      </c>
      <c r="D242" s="88">
        <v>8.0</v>
      </c>
      <c r="E242" s="88">
        <v>160.0</v>
      </c>
      <c r="F242" s="28">
        <f t="shared" si="3"/>
        <v>1280</v>
      </c>
      <c r="G242" s="89">
        <v>44823.0</v>
      </c>
    </row>
    <row r="243">
      <c r="C243" s="88" t="s">
        <v>123</v>
      </c>
      <c r="D243" s="88">
        <v>2.0</v>
      </c>
      <c r="E243" s="88">
        <v>450.0</v>
      </c>
      <c r="F243" s="28">
        <f t="shared" si="3"/>
        <v>900</v>
      </c>
      <c r="G243" s="89">
        <v>44823.0</v>
      </c>
    </row>
    <row r="244">
      <c r="C244" s="88" t="s">
        <v>252</v>
      </c>
      <c r="D244" s="88">
        <v>1.0</v>
      </c>
      <c r="E244" s="88">
        <v>1000.0</v>
      </c>
      <c r="F244" s="28">
        <f t="shared" si="3"/>
        <v>1000</v>
      </c>
      <c r="G244" s="89">
        <v>44823.0</v>
      </c>
    </row>
    <row r="245">
      <c r="C245" s="88" t="s">
        <v>253</v>
      </c>
      <c r="D245" s="88">
        <v>1.0</v>
      </c>
      <c r="E245" s="88">
        <v>450.0</v>
      </c>
      <c r="F245" s="28">
        <f t="shared" si="3"/>
        <v>450</v>
      </c>
      <c r="G245" s="88" t="s">
        <v>254</v>
      </c>
    </row>
    <row r="246">
      <c r="C246" s="88" t="s">
        <v>95</v>
      </c>
      <c r="D246" s="88">
        <v>3.0</v>
      </c>
      <c r="E246" s="88">
        <v>100.0</v>
      </c>
      <c r="F246" s="28">
        <f t="shared" si="3"/>
        <v>300</v>
      </c>
      <c r="G246" s="89">
        <v>44823.0</v>
      </c>
    </row>
    <row r="247">
      <c r="C247" s="88" t="s">
        <v>255</v>
      </c>
      <c r="D247" s="88">
        <v>2.0</v>
      </c>
      <c r="E247" s="88">
        <v>160.0</v>
      </c>
      <c r="F247" s="28">
        <f t="shared" si="3"/>
        <v>320</v>
      </c>
      <c r="G247" s="89">
        <v>44823.0</v>
      </c>
    </row>
    <row r="248">
      <c r="C248" s="88" t="s">
        <v>256</v>
      </c>
      <c r="D248" s="88">
        <v>1.0</v>
      </c>
      <c r="E248" s="88">
        <v>350.0</v>
      </c>
      <c r="F248" s="28">
        <f t="shared" si="3"/>
        <v>350</v>
      </c>
      <c r="G248" s="89">
        <v>44823.0</v>
      </c>
    </row>
    <row r="249">
      <c r="C249" s="88" t="s">
        <v>127</v>
      </c>
      <c r="D249" s="88">
        <v>1.0</v>
      </c>
      <c r="E249" s="88">
        <v>250.0</v>
      </c>
      <c r="F249" s="37">
        <v>250.0</v>
      </c>
      <c r="G249" s="89">
        <v>44823.0</v>
      </c>
    </row>
    <row r="250">
      <c r="C250" s="88" t="s">
        <v>257</v>
      </c>
      <c r="D250" s="88">
        <v>1.0</v>
      </c>
      <c r="E250" s="88">
        <v>100.0</v>
      </c>
      <c r="F250" s="28">
        <f t="shared" ref="F250:F299" si="4">E250*D250</f>
        <v>100</v>
      </c>
      <c r="G250" s="89">
        <v>44823.0</v>
      </c>
    </row>
    <row r="251">
      <c r="C251" s="88" t="s">
        <v>258</v>
      </c>
      <c r="D251" s="88">
        <v>0.5</v>
      </c>
      <c r="E251" s="88">
        <v>2000.0</v>
      </c>
      <c r="F251" s="28">
        <f t="shared" si="4"/>
        <v>1000</v>
      </c>
      <c r="G251" s="89">
        <v>44823.0</v>
      </c>
    </row>
    <row r="252">
      <c r="C252" s="88" t="s">
        <v>245</v>
      </c>
      <c r="D252" s="88">
        <v>7.0</v>
      </c>
      <c r="E252" s="88">
        <v>350.0</v>
      </c>
      <c r="F252" s="28">
        <f t="shared" si="4"/>
        <v>2450</v>
      </c>
      <c r="G252" s="89">
        <v>44823.0</v>
      </c>
    </row>
    <row r="253">
      <c r="C253" s="88" t="s">
        <v>123</v>
      </c>
      <c r="D253" s="88">
        <v>1.0</v>
      </c>
      <c r="E253" s="88">
        <v>300.0</v>
      </c>
      <c r="F253" s="28">
        <f t="shared" si="4"/>
        <v>300</v>
      </c>
      <c r="G253" s="89">
        <v>44731.0</v>
      </c>
    </row>
    <row r="254">
      <c r="C254" s="88" t="s">
        <v>205</v>
      </c>
      <c r="D254" s="88">
        <v>1.0</v>
      </c>
      <c r="E254" s="88">
        <v>200.0</v>
      </c>
      <c r="F254" s="28">
        <f t="shared" si="4"/>
        <v>200</v>
      </c>
      <c r="G254" s="89">
        <v>44823.0</v>
      </c>
    </row>
    <row r="255">
      <c r="C255" s="88" t="s">
        <v>87</v>
      </c>
      <c r="D255" s="88">
        <v>6.0</v>
      </c>
      <c r="E255" s="88">
        <v>1650.0</v>
      </c>
      <c r="F255" s="28">
        <f t="shared" si="4"/>
        <v>9900</v>
      </c>
      <c r="G255" s="89">
        <v>44823.0</v>
      </c>
    </row>
    <row r="256">
      <c r="C256" s="88" t="s">
        <v>259</v>
      </c>
      <c r="D256" s="88">
        <v>3.0</v>
      </c>
      <c r="E256" s="88">
        <v>1350.0</v>
      </c>
      <c r="F256" s="28">
        <f t="shared" si="4"/>
        <v>4050</v>
      </c>
      <c r="G256" s="89">
        <v>44823.0</v>
      </c>
    </row>
    <row r="257">
      <c r="C257" s="88" t="s">
        <v>260</v>
      </c>
      <c r="D257" s="88">
        <v>12.0</v>
      </c>
      <c r="E257" s="88">
        <v>260.0</v>
      </c>
      <c r="F257" s="28">
        <f t="shared" si="4"/>
        <v>3120</v>
      </c>
      <c r="G257" s="89">
        <v>44825.0</v>
      </c>
    </row>
    <row r="258">
      <c r="C258" s="88" t="s">
        <v>261</v>
      </c>
      <c r="D258" s="88">
        <v>1.0</v>
      </c>
      <c r="E258" s="88">
        <v>700.0</v>
      </c>
      <c r="F258" s="28">
        <f t="shared" si="4"/>
        <v>700</v>
      </c>
      <c r="G258" s="89">
        <v>44824.0</v>
      </c>
    </row>
    <row r="259">
      <c r="C259" s="88" t="s">
        <v>262</v>
      </c>
      <c r="D259" s="88">
        <v>2.0</v>
      </c>
      <c r="E259" s="88">
        <v>300.0</v>
      </c>
      <c r="F259" s="28">
        <f t="shared" si="4"/>
        <v>600</v>
      </c>
      <c r="G259" s="89">
        <v>44825.0</v>
      </c>
    </row>
    <row r="260">
      <c r="C260" s="88" t="s">
        <v>76</v>
      </c>
      <c r="D260" s="88">
        <v>15.0</v>
      </c>
      <c r="E260" s="88">
        <v>100.0</v>
      </c>
      <c r="F260" s="28">
        <f t="shared" si="4"/>
        <v>1500</v>
      </c>
      <c r="G260" s="89">
        <v>44825.0</v>
      </c>
    </row>
    <row r="261">
      <c r="C261" s="88" t="s">
        <v>263</v>
      </c>
      <c r="D261" s="88">
        <v>2.0</v>
      </c>
      <c r="E261" s="88">
        <v>50.0</v>
      </c>
      <c r="F261" s="28">
        <f t="shared" si="4"/>
        <v>100</v>
      </c>
      <c r="G261" s="89">
        <v>44825.0</v>
      </c>
    </row>
    <row r="262">
      <c r="C262" s="88" t="s">
        <v>264</v>
      </c>
      <c r="D262" s="88">
        <v>1.0</v>
      </c>
      <c r="E262" s="88">
        <v>200.0</v>
      </c>
      <c r="F262" s="28">
        <f t="shared" si="4"/>
        <v>200</v>
      </c>
      <c r="G262" s="89">
        <v>44825.0</v>
      </c>
    </row>
    <row r="263">
      <c r="C263" s="88" t="s">
        <v>265</v>
      </c>
      <c r="D263" s="88">
        <v>10.0</v>
      </c>
      <c r="E263" s="88">
        <v>300.0</v>
      </c>
      <c r="F263" s="28">
        <f t="shared" si="4"/>
        <v>3000</v>
      </c>
      <c r="G263" s="89">
        <v>44825.0</v>
      </c>
    </row>
    <row r="264">
      <c r="C264" s="88" t="s">
        <v>215</v>
      </c>
      <c r="D264" s="88">
        <v>1.0</v>
      </c>
      <c r="E264" s="88">
        <v>1000.0</v>
      </c>
      <c r="F264" s="28">
        <f t="shared" si="4"/>
        <v>1000</v>
      </c>
      <c r="G264" s="89">
        <v>44825.0</v>
      </c>
    </row>
    <row r="265">
      <c r="C265" s="88" t="s">
        <v>245</v>
      </c>
      <c r="D265" s="88">
        <v>8.0</v>
      </c>
      <c r="E265" s="88">
        <v>350.0</v>
      </c>
      <c r="F265" s="28">
        <f t="shared" si="4"/>
        <v>2800</v>
      </c>
      <c r="G265" s="89">
        <v>44826.0</v>
      </c>
    </row>
    <row r="266">
      <c r="C266" s="88" t="s">
        <v>266</v>
      </c>
      <c r="D266" s="88">
        <v>1.0</v>
      </c>
      <c r="E266" s="88">
        <v>1100.0</v>
      </c>
      <c r="F266" s="28">
        <f t="shared" si="4"/>
        <v>1100</v>
      </c>
      <c r="G266" s="89">
        <v>44826.0</v>
      </c>
    </row>
    <row r="267">
      <c r="C267" s="88" t="s">
        <v>211</v>
      </c>
      <c r="D267" s="88">
        <v>1.0</v>
      </c>
      <c r="E267" s="88">
        <v>2000.0</v>
      </c>
      <c r="F267" s="28">
        <f t="shared" si="4"/>
        <v>2000</v>
      </c>
      <c r="G267" s="89">
        <v>44826.0</v>
      </c>
    </row>
    <row r="268">
      <c r="C268" s="88" t="s">
        <v>151</v>
      </c>
      <c r="D268" s="88">
        <v>10.0</v>
      </c>
      <c r="E268" s="88">
        <v>150.0</v>
      </c>
      <c r="F268" s="28">
        <f t="shared" si="4"/>
        <v>1500</v>
      </c>
      <c r="G268" s="89">
        <v>44826.0</v>
      </c>
    </row>
    <row r="269">
      <c r="C269" s="88" t="s">
        <v>76</v>
      </c>
      <c r="D269" s="88">
        <v>20.0</v>
      </c>
      <c r="E269" s="88">
        <v>100.0</v>
      </c>
      <c r="F269" s="28">
        <f t="shared" si="4"/>
        <v>2000</v>
      </c>
      <c r="G269" s="89">
        <v>44826.0</v>
      </c>
    </row>
    <row r="270">
      <c r="C270" s="88" t="s">
        <v>150</v>
      </c>
      <c r="D270" s="88">
        <v>2.0</v>
      </c>
      <c r="E270" s="88">
        <v>200.0</v>
      </c>
      <c r="F270" s="28">
        <f t="shared" si="4"/>
        <v>400</v>
      </c>
      <c r="G270" s="89">
        <v>44826.0</v>
      </c>
    </row>
    <row r="271">
      <c r="C271" s="88" t="s">
        <v>267</v>
      </c>
      <c r="D271" s="88">
        <v>4.0</v>
      </c>
      <c r="E271" s="88">
        <v>200.0</v>
      </c>
      <c r="F271" s="28">
        <f t="shared" si="4"/>
        <v>800</v>
      </c>
      <c r="G271" s="89">
        <v>44826.0</v>
      </c>
    </row>
    <row r="272">
      <c r="C272" s="88" t="s">
        <v>268</v>
      </c>
      <c r="D272" s="88">
        <v>3.0</v>
      </c>
      <c r="E272" s="88">
        <v>700.0</v>
      </c>
      <c r="F272" s="28">
        <f t="shared" si="4"/>
        <v>2100</v>
      </c>
      <c r="G272" s="89">
        <v>44826.0</v>
      </c>
    </row>
    <row r="273">
      <c r="C273" s="88" t="s">
        <v>268</v>
      </c>
      <c r="D273" s="88">
        <v>2.0</v>
      </c>
      <c r="E273" s="88">
        <v>1600.0</v>
      </c>
      <c r="F273" s="28">
        <f t="shared" si="4"/>
        <v>3200</v>
      </c>
      <c r="G273" s="89">
        <v>44806.0</v>
      </c>
    </row>
    <row r="274">
      <c r="C274" s="88" t="s">
        <v>260</v>
      </c>
      <c r="D274" s="88">
        <v>10.0</v>
      </c>
      <c r="E274" s="88">
        <v>260.0</v>
      </c>
      <c r="F274" s="28">
        <f t="shared" si="4"/>
        <v>2600</v>
      </c>
      <c r="G274" s="89">
        <v>44806.0</v>
      </c>
    </row>
    <row r="275">
      <c r="C275" s="88" t="s">
        <v>110</v>
      </c>
      <c r="D275" s="88">
        <v>10.0</v>
      </c>
      <c r="E275" s="88">
        <v>20.0</v>
      </c>
      <c r="F275" s="28">
        <f t="shared" si="4"/>
        <v>200</v>
      </c>
      <c r="G275" s="89">
        <v>44806.0</v>
      </c>
    </row>
    <row r="276">
      <c r="C276" s="88" t="s">
        <v>117</v>
      </c>
      <c r="D276" s="88">
        <v>1.0</v>
      </c>
      <c r="E276" s="88">
        <v>1000.0</v>
      </c>
      <c r="F276" s="28">
        <f t="shared" si="4"/>
        <v>1000</v>
      </c>
      <c r="G276" s="89">
        <v>44806.0</v>
      </c>
    </row>
    <row r="277">
      <c r="C277" s="88" t="s">
        <v>269</v>
      </c>
      <c r="D277" s="88">
        <v>10.0</v>
      </c>
      <c r="E277" s="88">
        <v>240.0</v>
      </c>
      <c r="F277" s="28">
        <f t="shared" si="4"/>
        <v>2400</v>
      </c>
      <c r="G277" s="89">
        <v>44827.0</v>
      </c>
    </row>
    <row r="278">
      <c r="C278" s="88" t="s">
        <v>270</v>
      </c>
      <c r="D278" s="88">
        <v>2.0</v>
      </c>
      <c r="E278" s="88">
        <v>120.0</v>
      </c>
      <c r="F278" s="28">
        <f t="shared" si="4"/>
        <v>240</v>
      </c>
      <c r="G278" s="89">
        <v>44827.0</v>
      </c>
    </row>
    <row r="279">
      <c r="C279" s="88" t="s">
        <v>76</v>
      </c>
      <c r="D279" s="88">
        <v>50.0</v>
      </c>
      <c r="E279" s="88">
        <v>100.0</v>
      </c>
      <c r="F279" s="28">
        <f t="shared" si="4"/>
        <v>5000</v>
      </c>
      <c r="G279" s="89">
        <v>44827.0</v>
      </c>
    </row>
    <row r="280">
      <c r="C280" s="88" t="s">
        <v>260</v>
      </c>
      <c r="D280" s="88">
        <v>10.0</v>
      </c>
      <c r="E280" s="88">
        <v>230.0</v>
      </c>
      <c r="F280" s="28">
        <f t="shared" si="4"/>
        <v>2300</v>
      </c>
      <c r="G280" s="89">
        <v>44827.0</v>
      </c>
    </row>
    <row r="281">
      <c r="C281" s="88" t="s">
        <v>271</v>
      </c>
      <c r="D281" s="88">
        <v>1.0</v>
      </c>
      <c r="E281" s="88">
        <v>500.0</v>
      </c>
      <c r="F281" s="28">
        <f t="shared" si="4"/>
        <v>500</v>
      </c>
      <c r="G281" s="89">
        <v>44827.0</v>
      </c>
    </row>
    <row r="282">
      <c r="C282" s="88" t="s">
        <v>272</v>
      </c>
      <c r="D282" s="88">
        <v>5.0</v>
      </c>
      <c r="E282" s="88">
        <v>700.0</v>
      </c>
      <c r="F282" s="28">
        <f t="shared" si="4"/>
        <v>3500</v>
      </c>
      <c r="G282" s="89">
        <v>44828.0</v>
      </c>
    </row>
    <row r="283">
      <c r="C283" s="88" t="s">
        <v>260</v>
      </c>
      <c r="D283" s="88">
        <v>18.0</v>
      </c>
      <c r="E283" s="88">
        <v>280.0</v>
      </c>
      <c r="F283" s="28">
        <f t="shared" si="4"/>
        <v>5040</v>
      </c>
      <c r="G283" s="89">
        <v>44828.0</v>
      </c>
    </row>
    <row r="284">
      <c r="C284" s="88" t="s">
        <v>267</v>
      </c>
      <c r="D284" s="88">
        <v>2.0</v>
      </c>
      <c r="E284" s="88">
        <v>180.0</v>
      </c>
      <c r="F284" s="28">
        <f t="shared" si="4"/>
        <v>360</v>
      </c>
      <c r="G284" s="89">
        <v>44828.0</v>
      </c>
    </row>
    <row r="285">
      <c r="C285" s="88" t="s">
        <v>273</v>
      </c>
      <c r="D285" s="88">
        <v>5.0</v>
      </c>
      <c r="E285" s="88">
        <v>230.0</v>
      </c>
      <c r="F285" s="28">
        <f t="shared" si="4"/>
        <v>1150</v>
      </c>
      <c r="G285" s="89">
        <v>44828.0</v>
      </c>
    </row>
    <row r="286">
      <c r="C286" s="88" t="s">
        <v>123</v>
      </c>
      <c r="D286" s="88">
        <v>1.5</v>
      </c>
      <c r="E286" s="88">
        <v>900.0</v>
      </c>
      <c r="F286" s="28">
        <f t="shared" si="4"/>
        <v>1350</v>
      </c>
      <c r="G286" s="89">
        <v>44828.0</v>
      </c>
    </row>
    <row r="287">
      <c r="C287" s="88" t="s">
        <v>76</v>
      </c>
      <c r="D287" s="88">
        <v>5.0</v>
      </c>
      <c r="E287" s="88">
        <v>100.0</v>
      </c>
      <c r="F287" s="28">
        <f t="shared" si="4"/>
        <v>500</v>
      </c>
      <c r="G287" s="89">
        <v>44828.0</v>
      </c>
    </row>
    <row r="288">
      <c r="C288" s="88" t="s">
        <v>274</v>
      </c>
      <c r="D288" s="88">
        <v>1.0</v>
      </c>
      <c r="E288" s="88">
        <v>450.0</v>
      </c>
      <c r="F288" s="28">
        <f t="shared" si="4"/>
        <v>450</v>
      </c>
      <c r="G288" s="89">
        <v>44828.0</v>
      </c>
    </row>
    <row r="289">
      <c r="C289" s="88" t="s">
        <v>219</v>
      </c>
      <c r="D289" s="88">
        <v>1.0</v>
      </c>
      <c r="E289" s="88">
        <v>150.0</v>
      </c>
      <c r="F289" s="28">
        <f t="shared" si="4"/>
        <v>150</v>
      </c>
      <c r="G289" s="89">
        <v>44828.0</v>
      </c>
    </row>
    <row r="290">
      <c r="C290" s="88" t="s">
        <v>95</v>
      </c>
      <c r="D290" s="88">
        <v>2.0</v>
      </c>
      <c r="E290" s="88">
        <v>100.0</v>
      </c>
      <c r="F290" s="28">
        <f t="shared" si="4"/>
        <v>200</v>
      </c>
      <c r="G290" s="89">
        <v>44828.0</v>
      </c>
    </row>
    <row r="291">
      <c r="C291" s="88" t="s">
        <v>118</v>
      </c>
      <c r="D291" s="88">
        <v>1.5</v>
      </c>
      <c r="E291" s="88">
        <v>80.0</v>
      </c>
      <c r="F291" s="28">
        <f t="shared" si="4"/>
        <v>120</v>
      </c>
      <c r="G291" s="89">
        <v>44828.0</v>
      </c>
    </row>
    <row r="292">
      <c r="C292" s="88" t="s">
        <v>275</v>
      </c>
      <c r="D292" s="88">
        <v>3.0</v>
      </c>
      <c r="E292" s="88">
        <v>220.0</v>
      </c>
      <c r="F292" s="28">
        <f t="shared" si="4"/>
        <v>660</v>
      </c>
      <c r="G292" s="89">
        <v>44828.0</v>
      </c>
    </row>
    <row r="293">
      <c r="C293" s="88" t="s">
        <v>129</v>
      </c>
      <c r="D293" s="88">
        <v>1.0</v>
      </c>
      <c r="E293" s="88">
        <v>100.0</v>
      </c>
      <c r="F293" s="28">
        <f t="shared" si="4"/>
        <v>100</v>
      </c>
      <c r="G293" s="89">
        <v>44828.0</v>
      </c>
    </row>
    <row r="294">
      <c r="C294" s="88" t="s">
        <v>260</v>
      </c>
      <c r="D294" s="88">
        <v>4.0</v>
      </c>
      <c r="E294" s="88">
        <v>250.0</v>
      </c>
      <c r="F294" s="28">
        <f t="shared" si="4"/>
        <v>1000</v>
      </c>
      <c r="G294" s="89">
        <v>44828.0</v>
      </c>
    </row>
    <row r="295">
      <c r="C295" s="88" t="s">
        <v>271</v>
      </c>
      <c r="D295" s="88">
        <v>1.0</v>
      </c>
      <c r="E295" s="88">
        <v>600.0</v>
      </c>
      <c r="F295" s="28">
        <f t="shared" si="4"/>
        <v>600</v>
      </c>
      <c r="G295" s="89">
        <v>44828.0</v>
      </c>
    </row>
    <row r="296">
      <c r="C296" s="88" t="s">
        <v>276</v>
      </c>
      <c r="D296" s="88">
        <v>4.0</v>
      </c>
      <c r="E296" s="88">
        <v>300.0</v>
      </c>
      <c r="F296" s="28">
        <f t="shared" si="4"/>
        <v>1200</v>
      </c>
      <c r="G296" s="89">
        <v>44829.0</v>
      </c>
    </row>
    <row r="297">
      <c r="C297" s="88" t="s">
        <v>277</v>
      </c>
      <c r="D297" s="88">
        <v>1.0</v>
      </c>
      <c r="E297" s="88">
        <v>300.0</v>
      </c>
      <c r="F297" s="28">
        <f t="shared" si="4"/>
        <v>300</v>
      </c>
      <c r="G297" s="89">
        <v>44829.0</v>
      </c>
    </row>
    <row r="298">
      <c r="C298" s="88" t="s">
        <v>278</v>
      </c>
      <c r="D298" s="88">
        <v>1.0</v>
      </c>
      <c r="E298" s="88">
        <v>200.0</v>
      </c>
      <c r="F298" s="28">
        <f t="shared" si="4"/>
        <v>200</v>
      </c>
      <c r="G298" s="89">
        <v>44829.0</v>
      </c>
    </row>
    <row r="299">
      <c r="C299" s="88" t="s">
        <v>279</v>
      </c>
      <c r="D299" s="88">
        <v>1.0</v>
      </c>
      <c r="E299" s="88">
        <v>1000.0</v>
      </c>
      <c r="F299" s="28">
        <f t="shared" si="4"/>
        <v>1000</v>
      </c>
      <c r="G299" s="88" t="s">
        <v>280</v>
      </c>
    </row>
    <row r="300">
      <c r="C300" s="88"/>
      <c r="D300" s="88"/>
      <c r="E300" s="88"/>
      <c r="F300" s="28"/>
      <c r="G300" s="89"/>
    </row>
    <row r="301">
      <c r="C301" s="88" t="s">
        <v>281</v>
      </c>
      <c r="D301" s="88">
        <v>1.0</v>
      </c>
      <c r="E301" s="88">
        <v>23500.0</v>
      </c>
      <c r="F301" s="28">
        <f t="shared" ref="F301:F344" si="5">E301*D301</f>
        <v>23500</v>
      </c>
      <c r="G301" s="89">
        <v>44829.0</v>
      </c>
    </row>
    <row r="302">
      <c r="C302" s="88" t="s">
        <v>250</v>
      </c>
      <c r="D302" s="88">
        <v>100.0</v>
      </c>
      <c r="E302" s="88">
        <v>60.0</v>
      </c>
      <c r="F302" s="28">
        <f t="shared" si="5"/>
        <v>6000</v>
      </c>
      <c r="G302" s="89">
        <v>44829.0</v>
      </c>
    </row>
    <row r="303">
      <c r="C303" s="88" t="s">
        <v>272</v>
      </c>
      <c r="D303" s="88">
        <v>1.0</v>
      </c>
      <c r="E303" s="88">
        <v>700.0</v>
      </c>
      <c r="F303" s="28">
        <f t="shared" si="5"/>
        <v>700</v>
      </c>
      <c r="G303" s="89">
        <v>44830.0</v>
      </c>
    </row>
    <row r="304">
      <c r="C304" s="88" t="s">
        <v>76</v>
      </c>
      <c r="D304" s="88">
        <v>5.0</v>
      </c>
      <c r="E304" s="88">
        <v>120.0</v>
      </c>
      <c r="F304" s="28">
        <f t="shared" si="5"/>
        <v>600</v>
      </c>
      <c r="G304" s="89">
        <v>44830.0</v>
      </c>
    </row>
    <row r="305">
      <c r="C305" s="88" t="s">
        <v>118</v>
      </c>
      <c r="D305" s="88">
        <v>3.0</v>
      </c>
      <c r="E305" s="88">
        <v>70.0</v>
      </c>
      <c r="F305" s="28">
        <f t="shared" si="5"/>
        <v>210</v>
      </c>
      <c r="G305" s="88" t="s">
        <v>282</v>
      </c>
    </row>
    <row r="306">
      <c r="C306" s="88" t="s">
        <v>283</v>
      </c>
      <c r="D306" s="88">
        <v>2.0</v>
      </c>
      <c r="E306" s="88">
        <v>140.0</v>
      </c>
      <c r="F306" s="28">
        <f t="shared" si="5"/>
        <v>280</v>
      </c>
      <c r="G306" s="89">
        <v>44830.0</v>
      </c>
    </row>
    <row r="307">
      <c r="C307" s="88" t="s">
        <v>207</v>
      </c>
      <c r="D307" s="88">
        <v>3.0</v>
      </c>
      <c r="E307" s="88">
        <v>70.0</v>
      </c>
      <c r="F307" s="28">
        <f t="shared" si="5"/>
        <v>210</v>
      </c>
      <c r="G307" s="89">
        <v>44830.0</v>
      </c>
    </row>
    <row r="308">
      <c r="C308" s="88" t="s">
        <v>284</v>
      </c>
      <c r="D308" s="88">
        <v>1.0</v>
      </c>
      <c r="E308" s="88">
        <v>100.0</v>
      </c>
      <c r="F308" s="28">
        <f t="shared" si="5"/>
        <v>100</v>
      </c>
      <c r="G308" s="89">
        <v>44830.0</v>
      </c>
    </row>
    <row r="309">
      <c r="C309" s="88" t="s">
        <v>285</v>
      </c>
      <c r="D309" s="88">
        <v>1.0</v>
      </c>
      <c r="E309" s="88">
        <v>100.0</v>
      </c>
      <c r="F309" s="28">
        <f t="shared" si="5"/>
        <v>100</v>
      </c>
      <c r="G309" s="89">
        <v>44830.0</v>
      </c>
    </row>
    <row r="310">
      <c r="C310" s="88" t="s">
        <v>286</v>
      </c>
      <c r="D310" s="88">
        <v>1.0</v>
      </c>
      <c r="E310" s="88">
        <v>1200.0</v>
      </c>
      <c r="F310" s="28">
        <f t="shared" si="5"/>
        <v>1200</v>
      </c>
      <c r="G310" s="89">
        <v>44830.0</v>
      </c>
    </row>
    <row r="311">
      <c r="C311" s="88" t="s">
        <v>211</v>
      </c>
      <c r="D311" s="88">
        <v>1.0</v>
      </c>
      <c r="E311" s="88">
        <v>500.0</v>
      </c>
      <c r="F311" s="28">
        <f t="shared" si="5"/>
        <v>500</v>
      </c>
      <c r="G311" s="89">
        <v>44830.0</v>
      </c>
    </row>
    <row r="312">
      <c r="C312" s="88" t="s">
        <v>123</v>
      </c>
      <c r="D312" s="88">
        <v>1.0</v>
      </c>
      <c r="E312" s="88">
        <v>800.0</v>
      </c>
      <c r="F312" s="28">
        <f t="shared" si="5"/>
        <v>800</v>
      </c>
      <c r="G312" s="89">
        <v>44830.0</v>
      </c>
    </row>
    <row r="313">
      <c r="C313" s="88" t="s">
        <v>287</v>
      </c>
      <c r="D313" s="88">
        <v>2.0</v>
      </c>
      <c r="E313" s="88">
        <v>150.0</v>
      </c>
      <c r="F313" s="28">
        <f t="shared" si="5"/>
        <v>300</v>
      </c>
      <c r="G313" s="89">
        <v>44830.0</v>
      </c>
    </row>
    <row r="314">
      <c r="C314" s="88" t="s">
        <v>288</v>
      </c>
      <c r="D314" s="88">
        <v>12.0</v>
      </c>
      <c r="E314" s="88">
        <v>170.0</v>
      </c>
      <c r="F314" s="28">
        <f t="shared" si="5"/>
        <v>2040</v>
      </c>
      <c r="G314" s="89">
        <v>44831.0</v>
      </c>
    </row>
    <row r="315">
      <c r="C315" s="88" t="s">
        <v>123</v>
      </c>
      <c r="D315" s="88">
        <v>3.7</v>
      </c>
      <c r="E315" s="88">
        <v>800.0</v>
      </c>
      <c r="F315" s="28">
        <f t="shared" si="5"/>
        <v>2960</v>
      </c>
      <c r="G315" s="89">
        <v>44831.0</v>
      </c>
    </row>
    <row r="316">
      <c r="C316" s="88" t="s">
        <v>76</v>
      </c>
      <c r="D316" s="88">
        <v>2.0</v>
      </c>
      <c r="E316" s="88">
        <v>100.0</v>
      </c>
      <c r="F316" s="28">
        <f t="shared" si="5"/>
        <v>200</v>
      </c>
      <c r="G316" s="89">
        <v>44831.0</v>
      </c>
    </row>
    <row r="317">
      <c r="C317" s="88" t="s">
        <v>118</v>
      </c>
      <c r="D317" s="88">
        <v>6.0</v>
      </c>
      <c r="E317" s="88">
        <v>75.0</v>
      </c>
      <c r="F317" s="28">
        <f t="shared" si="5"/>
        <v>450</v>
      </c>
      <c r="G317" s="89">
        <v>44831.0</v>
      </c>
    </row>
    <row r="318">
      <c r="C318" s="88" t="s">
        <v>283</v>
      </c>
      <c r="D318" s="88">
        <v>3.0</v>
      </c>
      <c r="E318" s="88">
        <v>150.0</v>
      </c>
      <c r="F318" s="28">
        <f t="shared" si="5"/>
        <v>450</v>
      </c>
      <c r="G318" s="89">
        <v>44831.0</v>
      </c>
    </row>
    <row r="319">
      <c r="C319" s="88" t="s">
        <v>289</v>
      </c>
      <c r="D319" s="88">
        <v>1.0</v>
      </c>
      <c r="E319" s="88">
        <v>200.0</v>
      </c>
      <c r="F319" s="28">
        <f t="shared" si="5"/>
        <v>200</v>
      </c>
      <c r="G319" s="89">
        <v>44831.0</v>
      </c>
    </row>
    <row r="320">
      <c r="C320" s="88" t="s">
        <v>248</v>
      </c>
      <c r="D320" s="88">
        <v>5.0</v>
      </c>
      <c r="E320" s="88">
        <v>80.0</v>
      </c>
      <c r="F320" s="28">
        <f t="shared" si="5"/>
        <v>400</v>
      </c>
      <c r="G320" s="89">
        <v>44831.0</v>
      </c>
    </row>
    <row r="321">
      <c r="C321" s="88" t="s">
        <v>235</v>
      </c>
      <c r="D321" s="88">
        <v>2.0</v>
      </c>
      <c r="E321" s="88">
        <v>150.0</v>
      </c>
      <c r="F321" s="28">
        <f t="shared" si="5"/>
        <v>300</v>
      </c>
      <c r="G321" s="89">
        <v>44831.0</v>
      </c>
    </row>
    <row r="322">
      <c r="C322" s="88" t="s">
        <v>290</v>
      </c>
      <c r="D322" s="88">
        <v>2.0</v>
      </c>
      <c r="E322" s="88">
        <v>100.0</v>
      </c>
      <c r="F322" s="28">
        <f t="shared" si="5"/>
        <v>200</v>
      </c>
      <c r="G322" s="89">
        <v>44831.0</v>
      </c>
    </row>
    <row r="323">
      <c r="C323" s="88" t="s">
        <v>291</v>
      </c>
      <c r="D323" s="88">
        <v>2.0</v>
      </c>
      <c r="E323" s="88">
        <v>100.0</v>
      </c>
      <c r="F323" s="28">
        <f t="shared" si="5"/>
        <v>200</v>
      </c>
      <c r="G323" s="89">
        <v>44831.0</v>
      </c>
    </row>
    <row r="324">
      <c r="C324" s="88" t="s">
        <v>210</v>
      </c>
      <c r="D324" s="88">
        <v>3.0</v>
      </c>
      <c r="E324" s="88">
        <v>100.0</v>
      </c>
      <c r="F324" s="28">
        <f t="shared" si="5"/>
        <v>300</v>
      </c>
      <c r="G324" s="89">
        <v>44831.0</v>
      </c>
    </row>
    <row r="325">
      <c r="C325" s="88" t="s">
        <v>292</v>
      </c>
      <c r="D325" s="88">
        <v>1.0</v>
      </c>
      <c r="E325" s="88">
        <v>250.0</v>
      </c>
      <c r="F325" s="28">
        <f t="shared" si="5"/>
        <v>250</v>
      </c>
      <c r="G325" s="89">
        <v>44831.0</v>
      </c>
    </row>
    <row r="326">
      <c r="C326" s="88" t="s">
        <v>255</v>
      </c>
      <c r="D326" s="88">
        <v>3.0</v>
      </c>
      <c r="E326" s="88">
        <v>150.0</v>
      </c>
      <c r="F326" s="28">
        <f t="shared" si="5"/>
        <v>450</v>
      </c>
      <c r="G326" s="89">
        <v>44831.0</v>
      </c>
    </row>
    <row r="327">
      <c r="C327" s="88" t="s">
        <v>149</v>
      </c>
      <c r="D327" s="88">
        <v>6.0</v>
      </c>
      <c r="E327" s="88">
        <v>15.0</v>
      </c>
      <c r="F327" s="28">
        <f t="shared" si="5"/>
        <v>90</v>
      </c>
      <c r="G327" s="89">
        <v>44831.0</v>
      </c>
    </row>
    <row r="328">
      <c r="C328" s="88" t="s">
        <v>260</v>
      </c>
      <c r="D328" s="88">
        <v>30.0</v>
      </c>
      <c r="E328" s="88">
        <v>280.0</v>
      </c>
      <c r="F328" s="28">
        <f t="shared" si="5"/>
        <v>8400</v>
      </c>
      <c r="G328" s="89">
        <v>44831.0</v>
      </c>
    </row>
    <row r="329">
      <c r="C329" s="88" t="s">
        <v>293</v>
      </c>
      <c r="D329" s="88">
        <v>1.0</v>
      </c>
      <c r="E329" s="88">
        <v>1500.0</v>
      </c>
      <c r="F329" s="28">
        <f t="shared" si="5"/>
        <v>1500</v>
      </c>
      <c r="G329" s="89">
        <v>44831.0</v>
      </c>
    </row>
    <row r="330">
      <c r="C330" s="88" t="s">
        <v>294</v>
      </c>
      <c r="D330" s="88">
        <v>1.0</v>
      </c>
      <c r="E330" s="88">
        <v>350.0</v>
      </c>
      <c r="F330" s="28">
        <f t="shared" si="5"/>
        <v>350</v>
      </c>
      <c r="G330" s="89">
        <v>44831.0</v>
      </c>
    </row>
    <row r="331">
      <c r="C331" s="88" t="s">
        <v>295</v>
      </c>
      <c r="D331" s="88">
        <v>15.0</v>
      </c>
      <c r="E331" s="88">
        <v>20.0</v>
      </c>
      <c r="F331" s="28">
        <f t="shared" si="5"/>
        <v>300</v>
      </c>
      <c r="G331" s="89">
        <v>44831.0</v>
      </c>
    </row>
    <row r="332">
      <c r="C332" s="88"/>
      <c r="D332" s="88"/>
      <c r="E332" s="88"/>
      <c r="F332" s="28">
        <f t="shared" si="5"/>
        <v>0</v>
      </c>
      <c r="G332" s="89"/>
    </row>
    <row r="333">
      <c r="C333" s="88"/>
      <c r="D333" s="88"/>
      <c r="E333" s="88"/>
      <c r="F333" s="28">
        <f t="shared" si="5"/>
        <v>0</v>
      </c>
      <c r="G333" s="89"/>
    </row>
    <row r="334">
      <c r="C334" s="88"/>
      <c r="D334" s="88"/>
      <c r="E334" s="88"/>
      <c r="F334" s="28">
        <f t="shared" si="5"/>
        <v>0</v>
      </c>
      <c r="G334" s="89"/>
    </row>
    <row r="335">
      <c r="C335" s="88"/>
      <c r="D335" s="88"/>
      <c r="E335" s="88"/>
      <c r="F335" s="28">
        <f t="shared" si="5"/>
        <v>0</v>
      </c>
      <c r="G335" s="89"/>
    </row>
    <row r="336">
      <c r="C336" s="88"/>
      <c r="D336" s="88"/>
      <c r="E336" s="88"/>
      <c r="F336" s="28">
        <f t="shared" si="5"/>
        <v>0</v>
      </c>
      <c r="G336" s="89"/>
    </row>
    <row r="337">
      <c r="C337" s="88"/>
      <c r="D337" s="88"/>
      <c r="E337" s="88"/>
      <c r="F337" s="28">
        <f t="shared" si="5"/>
        <v>0</v>
      </c>
      <c r="G337" s="89"/>
    </row>
    <row r="338">
      <c r="C338" s="36"/>
      <c r="D338" s="36"/>
      <c r="E338" s="36"/>
      <c r="F338" s="28">
        <f t="shared" si="5"/>
        <v>0</v>
      </c>
      <c r="G338" s="102"/>
    </row>
    <row r="339">
      <c r="C339" s="36"/>
      <c r="D339" s="36"/>
      <c r="E339" s="36"/>
      <c r="F339" s="28">
        <f t="shared" si="5"/>
        <v>0</v>
      </c>
      <c r="G339" s="102"/>
    </row>
    <row r="340">
      <c r="C340" s="36"/>
      <c r="D340" s="36"/>
      <c r="E340" s="36"/>
      <c r="F340" s="28">
        <f t="shared" si="5"/>
        <v>0</v>
      </c>
      <c r="G340" s="102"/>
    </row>
    <row r="341">
      <c r="C341" s="36"/>
      <c r="D341" s="36"/>
      <c r="E341" s="36"/>
      <c r="F341" s="28">
        <f t="shared" si="5"/>
        <v>0</v>
      </c>
      <c r="G341" s="102"/>
    </row>
    <row r="342">
      <c r="C342" s="36"/>
      <c r="D342" s="36"/>
      <c r="E342" s="36"/>
      <c r="F342" s="28">
        <f t="shared" si="5"/>
        <v>0</v>
      </c>
      <c r="G342" s="102"/>
    </row>
    <row r="343">
      <c r="C343" s="36"/>
      <c r="D343" s="36"/>
      <c r="E343" s="36"/>
      <c r="F343" s="28">
        <f t="shared" si="5"/>
        <v>0</v>
      </c>
      <c r="G343" s="102"/>
    </row>
    <row r="344">
      <c r="C344" s="36"/>
      <c r="D344" s="36"/>
      <c r="E344" s="36"/>
      <c r="F344" s="28">
        <f t="shared" si="5"/>
        <v>0</v>
      </c>
      <c r="G344" s="102"/>
    </row>
    <row r="345">
      <c r="C345" s="103"/>
      <c r="D345" s="104"/>
      <c r="E345" s="104"/>
      <c r="F345" s="105"/>
      <c r="G345" s="106"/>
    </row>
    <row r="346">
      <c r="C346" s="36"/>
      <c r="D346" s="36"/>
      <c r="E346" s="36"/>
      <c r="F346" s="107">
        <f>SUM(F3:F345)</f>
        <v>702079</v>
      </c>
      <c r="G346" s="36"/>
    </row>
    <row r="348">
      <c r="F348" s="108">
        <v>30100.0</v>
      </c>
    </row>
    <row r="351">
      <c r="F351" s="109">
        <f>F346-F348</f>
        <v>671979</v>
      </c>
    </row>
  </sheetData>
  <autoFilter ref="$C$2:$G$181">
    <sortState ref="C2:G181">
      <sortCondition descending="1" ref="D2:D181"/>
      <sortCondition descending="1" ref="F2:F18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5"/>
    <col customWidth="1" min="8" max="8" width="27.13"/>
    <col customWidth="1" min="9" max="9" width="24.13"/>
    <col customWidth="1" min="10" max="10" width="25.13"/>
    <col customWidth="1" min="11" max="11" width="71.13"/>
  </cols>
  <sheetData>
    <row r="10">
      <c r="F10" s="21"/>
      <c r="G10" s="110" t="s">
        <v>296</v>
      </c>
      <c r="H10" s="110" t="s">
        <v>4</v>
      </c>
      <c r="I10" s="110" t="s">
        <v>297</v>
      </c>
      <c r="J10" s="29" t="s">
        <v>298</v>
      </c>
    </row>
    <row r="11">
      <c r="F11" s="88">
        <v>1.0</v>
      </c>
      <c r="G11" s="88" t="s">
        <v>299</v>
      </c>
      <c r="H11" s="16">
        <v>30000.0</v>
      </c>
      <c r="I11" s="16">
        <v>30000.0</v>
      </c>
      <c r="J11" s="16">
        <v>0.0</v>
      </c>
      <c r="K11" s="111"/>
    </row>
    <row r="12">
      <c r="F12" s="88">
        <v>2.0</v>
      </c>
      <c r="G12" s="88" t="s">
        <v>300</v>
      </c>
      <c r="H12" s="16">
        <v>30000.0</v>
      </c>
      <c r="I12" s="16">
        <v>30000.0</v>
      </c>
      <c r="J12" s="16">
        <v>0.0</v>
      </c>
      <c r="K12" s="111"/>
    </row>
    <row r="13">
      <c r="F13" s="88">
        <v>3.0</v>
      </c>
      <c r="G13" s="36" t="s">
        <v>301</v>
      </c>
      <c r="H13" s="20">
        <f>Pointage!C34*1</f>
        <v>10200</v>
      </c>
      <c r="I13" s="16">
        <v>10200.0</v>
      </c>
      <c r="J13" s="20">
        <f t="shared" ref="J13:J24" si="1">H13-I13</f>
        <v>0</v>
      </c>
      <c r="K13" s="111" t="s">
        <v>302</v>
      </c>
    </row>
    <row r="14">
      <c r="F14" s="88">
        <v>4.0</v>
      </c>
      <c r="G14" s="36" t="s">
        <v>42</v>
      </c>
      <c r="H14" s="20">
        <f>Pointage!D34*1</f>
        <v>31200</v>
      </c>
      <c r="I14" s="16">
        <v>31200.0</v>
      </c>
      <c r="J14" s="20">
        <f t="shared" si="1"/>
        <v>0</v>
      </c>
    </row>
    <row r="15">
      <c r="F15" s="88">
        <v>5.0</v>
      </c>
      <c r="G15" s="36" t="s">
        <v>43</v>
      </c>
      <c r="H15" s="20">
        <f>Pointage!E34*1</f>
        <v>31800</v>
      </c>
      <c r="I15" s="16">
        <v>31800.0</v>
      </c>
      <c r="J15" s="20">
        <f t="shared" si="1"/>
        <v>0</v>
      </c>
    </row>
    <row r="16">
      <c r="F16" s="88">
        <v>6.0</v>
      </c>
      <c r="G16" s="36" t="s">
        <v>44</v>
      </c>
      <c r="H16" s="20">
        <f>Pointage!F34*1</f>
        <v>22200</v>
      </c>
      <c r="I16" s="16">
        <v>22200.0</v>
      </c>
      <c r="J16" s="20">
        <f t="shared" si="1"/>
        <v>0</v>
      </c>
    </row>
    <row r="17">
      <c r="F17" s="88">
        <v>7.0</v>
      </c>
      <c r="G17" s="36" t="s">
        <v>303</v>
      </c>
      <c r="H17" s="20">
        <f>Pointage!G34*1</f>
        <v>28050</v>
      </c>
      <c r="I17" s="16">
        <v>28000.0</v>
      </c>
      <c r="J17" s="20">
        <f t="shared" si="1"/>
        <v>50</v>
      </c>
    </row>
    <row r="18">
      <c r="F18" s="88">
        <v>8.0</v>
      </c>
      <c r="G18" s="36" t="s">
        <v>304</v>
      </c>
      <c r="H18" s="20">
        <f>Pointage!H34*1</f>
        <v>35400</v>
      </c>
      <c r="I18" s="16">
        <v>35400.0</v>
      </c>
      <c r="J18" s="20">
        <f t="shared" si="1"/>
        <v>0</v>
      </c>
    </row>
    <row r="19">
      <c r="F19" s="88">
        <v>9.0</v>
      </c>
      <c r="G19" s="36" t="s">
        <v>305</v>
      </c>
      <c r="H19" s="20">
        <f>Pointage!I34*1</f>
        <v>20350</v>
      </c>
      <c r="I19" s="16">
        <v>20350.0</v>
      </c>
      <c r="J19" s="20">
        <f t="shared" si="1"/>
        <v>0</v>
      </c>
      <c r="K19" s="111" t="s">
        <v>306</v>
      </c>
    </row>
    <row r="20">
      <c r="F20" s="88">
        <v>10.0</v>
      </c>
      <c r="G20" s="36" t="s">
        <v>307</v>
      </c>
      <c r="H20" s="20">
        <f>Pointage!J34*1</f>
        <v>36000</v>
      </c>
      <c r="I20" s="16">
        <v>36000.0</v>
      </c>
      <c r="J20" s="20">
        <f t="shared" si="1"/>
        <v>0</v>
      </c>
    </row>
    <row r="21">
      <c r="F21" s="88">
        <v>11.0</v>
      </c>
      <c r="G21" s="88" t="s">
        <v>308</v>
      </c>
      <c r="H21" s="20">
        <f>Pointage!M34*1</f>
        <v>17100</v>
      </c>
      <c r="I21" s="16">
        <v>17100.0</v>
      </c>
      <c r="J21" s="20">
        <f t="shared" si="1"/>
        <v>0</v>
      </c>
      <c r="K21" s="111">
        <v>1000.0</v>
      </c>
    </row>
    <row r="22">
      <c r="F22" s="88">
        <v>12.0</v>
      </c>
      <c r="G22" s="36" t="s">
        <v>309</v>
      </c>
      <c r="H22" s="20">
        <f>Pointage!L34*1</f>
        <v>24600</v>
      </c>
      <c r="I22" s="16">
        <v>24600.0</v>
      </c>
      <c r="J22" s="20">
        <f t="shared" si="1"/>
        <v>0</v>
      </c>
    </row>
    <row r="23">
      <c r="F23" s="88">
        <v>13.0</v>
      </c>
      <c r="G23" s="36" t="s">
        <v>52</v>
      </c>
      <c r="H23" s="20">
        <f>Pointage!N34*1</f>
        <v>24500</v>
      </c>
      <c r="I23" s="16">
        <v>24500.0</v>
      </c>
      <c r="J23" s="20">
        <f t="shared" si="1"/>
        <v>0</v>
      </c>
    </row>
    <row r="24">
      <c r="F24" s="88">
        <v>14.0</v>
      </c>
      <c r="G24" s="36" t="s">
        <v>53</v>
      </c>
      <c r="H24" s="20">
        <f>Pointage!O34*1</f>
        <v>23400</v>
      </c>
      <c r="I24" s="16">
        <v>23400.0</v>
      </c>
      <c r="J24" s="20">
        <f t="shared" si="1"/>
        <v>0</v>
      </c>
      <c r="K24" s="111" t="s">
        <v>310</v>
      </c>
    </row>
    <row r="25">
      <c r="F25" s="21"/>
      <c r="G25" s="112" t="s">
        <v>311</v>
      </c>
      <c r="H25" s="28">
        <f>SUM(H13:H24)</f>
        <v>304800</v>
      </c>
      <c r="I25" s="97">
        <f>SUM(I11:I24)</f>
        <v>364750</v>
      </c>
      <c r="J25" s="23">
        <f>SUM(J13:J24)</f>
        <v>50</v>
      </c>
    </row>
    <row r="26">
      <c r="F26" s="21"/>
      <c r="G26" s="18">
        <f>H25-I25</f>
        <v>-59950</v>
      </c>
      <c r="H26" s="21"/>
      <c r="I26" s="21"/>
      <c r="J26" s="113">
        <f>H26-I26</f>
        <v>0</v>
      </c>
    </row>
    <row r="27">
      <c r="F27" s="1"/>
      <c r="G27" s="1"/>
      <c r="H27" s="1"/>
      <c r="I27" s="1"/>
      <c r="J27" s="1"/>
    </row>
    <row r="28">
      <c r="F28" s="1"/>
      <c r="G28" s="1"/>
      <c r="H28" s="1"/>
      <c r="I28" s="1"/>
      <c r="J28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75"/>
    <col customWidth="1" min="9" max="9" width="20.63"/>
    <col customWidth="1" min="10" max="10" width="19.88"/>
    <col customWidth="1" min="11" max="11" width="25.38"/>
  </cols>
  <sheetData>
    <row r="14">
      <c r="H14" s="21"/>
      <c r="I14" s="114" t="s">
        <v>312</v>
      </c>
      <c r="J14" s="114" t="s">
        <v>39</v>
      </c>
      <c r="K14" s="115" t="s">
        <v>313</v>
      </c>
    </row>
    <row r="15">
      <c r="H15" s="116" t="s">
        <v>2</v>
      </c>
      <c r="I15" s="117">
        <v>2230000.0</v>
      </c>
      <c r="J15" s="117">
        <v>1332000.0</v>
      </c>
      <c r="K15" s="118">
        <v>1657000.0</v>
      </c>
    </row>
    <row r="16">
      <c r="H16" s="116" t="s">
        <v>3</v>
      </c>
      <c r="I16" s="117">
        <v>990000.0</v>
      </c>
      <c r="J16" s="117">
        <v>594000.0</v>
      </c>
      <c r="K16" s="118">
        <v>702000.0</v>
      </c>
    </row>
    <row r="17">
      <c r="H17" s="116" t="s">
        <v>314</v>
      </c>
      <c r="I17" s="117">
        <v>330000.0</v>
      </c>
      <c r="J17" s="117">
        <v>188000.0</v>
      </c>
      <c r="K17" s="118">
        <v>305000.0</v>
      </c>
    </row>
    <row r="18">
      <c r="H18" s="116" t="s">
        <v>5</v>
      </c>
      <c r="I18" s="117">
        <v>110000.0</v>
      </c>
      <c r="J18" s="117">
        <v>110000.0</v>
      </c>
      <c r="K18" s="117">
        <v>110000.0</v>
      </c>
    </row>
    <row r="19">
      <c r="H19" s="116" t="s">
        <v>315</v>
      </c>
      <c r="I19" s="117">
        <v>800000.0</v>
      </c>
      <c r="J19" s="117">
        <v>440000.0</v>
      </c>
      <c r="K19" s="118">
        <v>540000.0</v>
      </c>
    </row>
    <row r="24">
      <c r="G24" s="119" t="s">
        <v>316</v>
      </c>
      <c r="H24" s="120" t="s">
        <v>317</v>
      </c>
      <c r="I24" s="120" t="s">
        <v>318</v>
      </c>
      <c r="J24" s="120" t="s">
        <v>319</v>
      </c>
      <c r="K24" s="120" t="s">
        <v>320</v>
      </c>
      <c r="L24" s="120" t="s">
        <v>321</v>
      </c>
    </row>
    <row r="25">
      <c r="G25" s="121" t="s">
        <v>322</v>
      </c>
      <c r="H25" s="122" t="s">
        <v>323</v>
      </c>
      <c r="I25" s="122">
        <v>42.37</v>
      </c>
      <c r="J25" s="122">
        <v>18.39</v>
      </c>
      <c r="K25" s="122">
        <v>6.64</v>
      </c>
      <c r="L25" s="122">
        <v>32.6</v>
      </c>
    </row>
    <row r="26">
      <c r="G26" s="121" t="s">
        <v>324</v>
      </c>
      <c r="H26" s="123" t="s">
        <v>325</v>
      </c>
      <c r="I26" s="123">
        <v>46.9</v>
      </c>
      <c r="J26" s="123">
        <v>19.21</v>
      </c>
      <c r="K26" s="123">
        <v>5.73</v>
      </c>
      <c r="L26" s="123">
        <v>28.11</v>
      </c>
    </row>
    <row r="27">
      <c r="G27" s="121" t="s">
        <v>326</v>
      </c>
      <c r="H27" s="124" t="s">
        <v>327</v>
      </c>
      <c r="I27" s="124">
        <v>42.03</v>
      </c>
      <c r="J27" s="124">
        <v>19.82</v>
      </c>
      <c r="K27" s="124">
        <v>6.45</v>
      </c>
      <c r="L27" s="124">
        <v>31.69</v>
      </c>
    </row>
    <row r="28">
      <c r="G28" s="125"/>
      <c r="H28" s="126"/>
      <c r="I28" s="126"/>
      <c r="J28" s="126"/>
      <c r="K28" s="126"/>
      <c r="L28" s="126"/>
    </row>
    <row r="29">
      <c r="G29" s="127" t="s">
        <v>328</v>
      </c>
      <c r="H29" s="128" t="s">
        <v>329</v>
      </c>
      <c r="I29" s="128">
        <v>34.48</v>
      </c>
      <c r="J29" s="128">
        <v>15.27</v>
      </c>
      <c r="K29" s="128">
        <v>5.42</v>
      </c>
      <c r="L29" s="128">
        <v>44.83</v>
      </c>
    </row>
  </sheetData>
  <drawing r:id="rId1"/>
</worksheet>
</file>