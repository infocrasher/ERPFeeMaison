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9005"/>
  <workbookPr/>
  <mc:AlternateContent xmlns:mc="http://schemas.openxmlformats.org/markup-compatibility/2006">
    <mc:Choice Requires="x15">
      <x15ac:absPath xmlns:x15ac="http://schemas.microsoft.com/office/spreadsheetml/2010/11/ac" url="/Users/sofiane/Downloads/"/>
    </mc:Choice>
  </mc:AlternateContent>
  <bookViews>
    <workbookView xWindow="0" yWindow="500" windowWidth="28800" windowHeight="16260" tabRatio="500" activeTab="5"/>
  </bookViews>
  <sheets>
    <sheet name="Année2019" sheetId="1" r:id="rId1"/>
    <sheet name="Année2020" sheetId="2" r:id="rId2"/>
    <sheet name="Année 2021" sheetId="3" r:id="rId3"/>
    <sheet name="Année 2022" sheetId="4" r:id="rId4"/>
    <sheet name="Année 2023" sheetId="5" r:id="rId5"/>
    <sheet name="Année 2024" sheetId="8" r:id="rId6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21" i="8" l="1"/>
  <c r="J21" i="8"/>
  <c r="P21" i="8"/>
  <c r="M21" i="8"/>
  <c r="R21" i="8"/>
  <c r="S21" i="8"/>
  <c r="L21" i="8"/>
  <c r="Q21" i="8"/>
  <c r="N9" i="8"/>
  <c r="N10" i="8"/>
  <c r="N11" i="8"/>
  <c r="N12" i="8"/>
  <c r="N13" i="8"/>
  <c r="N14" i="8"/>
  <c r="N15" i="8"/>
  <c r="N16" i="8"/>
  <c r="N17" i="8"/>
  <c r="N18" i="8"/>
  <c r="N19" i="8"/>
  <c r="N21" i="8"/>
  <c r="O21" i="8"/>
  <c r="R20" i="8"/>
  <c r="Q20" i="8"/>
  <c r="P20" i="8"/>
  <c r="O20" i="8"/>
  <c r="R19" i="8"/>
  <c r="Q19" i="8"/>
  <c r="P19" i="8"/>
  <c r="O19" i="8"/>
  <c r="R18" i="8"/>
  <c r="Q18" i="8"/>
  <c r="P18" i="8"/>
  <c r="O18" i="8"/>
  <c r="R17" i="8"/>
  <c r="Q17" i="8"/>
  <c r="P17" i="8"/>
  <c r="O17" i="8"/>
  <c r="R16" i="8"/>
  <c r="Q16" i="8"/>
  <c r="P16" i="8"/>
  <c r="O16" i="8"/>
  <c r="R15" i="8"/>
  <c r="Q15" i="8"/>
  <c r="P15" i="8"/>
  <c r="O15" i="8"/>
  <c r="R14" i="8"/>
  <c r="Q14" i="8"/>
  <c r="P14" i="8"/>
  <c r="O14" i="8"/>
  <c r="R13" i="8"/>
  <c r="Q13" i="8"/>
  <c r="P13" i="8"/>
  <c r="O13" i="8"/>
  <c r="R12" i="8"/>
  <c r="Q12" i="8"/>
  <c r="P12" i="8"/>
  <c r="O12" i="8"/>
  <c r="R11" i="8"/>
  <c r="Q11" i="8"/>
  <c r="P11" i="8"/>
  <c r="O11" i="8"/>
  <c r="R10" i="8"/>
  <c r="Q10" i="8"/>
  <c r="P10" i="8"/>
  <c r="O10" i="8"/>
  <c r="R9" i="8"/>
  <c r="Q9" i="8"/>
  <c r="P9" i="8"/>
  <c r="O9" i="8"/>
  <c r="J16" i="5"/>
  <c r="F16" i="5"/>
  <c r="K16" i="5"/>
  <c r="I16" i="5"/>
  <c r="H16" i="5"/>
  <c r="G16" i="5"/>
  <c r="K15" i="5"/>
  <c r="K14" i="5"/>
  <c r="K13" i="5"/>
  <c r="K12" i="5"/>
  <c r="K11" i="5"/>
  <c r="K10" i="5"/>
  <c r="K9" i="5"/>
  <c r="K8" i="5"/>
  <c r="K7" i="5"/>
  <c r="K6" i="5"/>
  <c r="K5" i="5"/>
  <c r="K4" i="5"/>
  <c r="L35" i="4"/>
  <c r="N35" i="4"/>
  <c r="N36" i="4"/>
  <c r="H35" i="4"/>
  <c r="F35" i="4"/>
  <c r="D35" i="4"/>
  <c r="L17" i="4"/>
  <c r="H17" i="4"/>
  <c r="D17" i="4"/>
  <c r="I17" i="4"/>
  <c r="G17" i="4"/>
  <c r="F17" i="4"/>
  <c r="E17" i="4"/>
  <c r="I16" i="4"/>
  <c r="I15" i="4"/>
  <c r="I14" i="4"/>
  <c r="I13" i="4"/>
  <c r="I12" i="4"/>
  <c r="I11" i="4"/>
  <c r="I10" i="4"/>
  <c r="I9" i="4"/>
  <c r="I8" i="4"/>
  <c r="I7" i="4"/>
  <c r="I6" i="4"/>
  <c r="I5" i="4"/>
  <c r="K35" i="3"/>
  <c r="M35" i="3"/>
  <c r="M36" i="3"/>
  <c r="G35" i="3"/>
  <c r="E35" i="3"/>
  <c r="C35" i="3"/>
  <c r="G17" i="3"/>
  <c r="C17" i="3"/>
  <c r="H17" i="3"/>
  <c r="F17" i="3"/>
  <c r="E17" i="3"/>
  <c r="D17" i="3"/>
  <c r="H16" i="3"/>
  <c r="H15" i="3"/>
  <c r="H14" i="3"/>
  <c r="H13" i="3"/>
  <c r="H12" i="3"/>
  <c r="H11" i="3"/>
  <c r="H10" i="3"/>
  <c r="H9" i="3"/>
  <c r="H8" i="3"/>
  <c r="H7" i="3"/>
  <c r="H6" i="3"/>
  <c r="H5" i="3"/>
  <c r="J36" i="2"/>
  <c r="L36" i="2"/>
  <c r="L37" i="2"/>
  <c r="G36" i="2"/>
  <c r="E36" i="2"/>
  <c r="C36" i="2"/>
  <c r="G17" i="2"/>
  <c r="C17" i="2"/>
  <c r="H17" i="2"/>
  <c r="F17" i="2"/>
  <c r="E17" i="2"/>
  <c r="D17" i="2"/>
  <c r="H16" i="2"/>
  <c r="H15" i="2"/>
  <c r="H14" i="2"/>
  <c r="H13" i="2"/>
  <c r="H12" i="2"/>
  <c r="H11" i="2"/>
  <c r="H10" i="2"/>
  <c r="H9" i="2"/>
  <c r="H7" i="2"/>
  <c r="H6" i="2"/>
  <c r="H5" i="2"/>
  <c r="D32" i="1"/>
  <c r="F32" i="1"/>
  <c r="F33" i="1"/>
  <c r="Q14" i="1"/>
  <c r="O14" i="1"/>
  <c r="M14" i="1"/>
  <c r="H6" i="1"/>
  <c r="H7" i="1"/>
  <c r="H8" i="1"/>
  <c r="H10" i="1"/>
  <c r="H11" i="1"/>
  <c r="H14" i="1"/>
  <c r="G14" i="1"/>
  <c r="F14" i="1"/>
  <c r="E14" i="1"/>
  <c r="D14" i="1"/>
</calcChain>
</file>

<file path=xl/sharedStrings.xml><?xml version="1.0" encoding="utf-8"?>
<sst xmlns="http://schemas.openxmlformats.org/spreadsheetml/2006/main" count="268" uniqueCount="90">
  <si>
    <t>Mois</t>
  </si>
  <si>
    <t>Recette</t>
  </si>
  <si>
    <t>Charges</t>
  </si>
  <si>
    <t>Salaire</t>
  </si>
  <si>
    <t>Loyer</t>
  </si>
  <si>
    <t>Net Profit</t>
  </si>
  <si>
    <t xml:space="preserve">% Profit </t>
  </si>
  <si>
    <t>Saida</t>
  </si>
  <si>
    <t>Amel</t>
  </si>
  <si>
    <t>Sofiane</t>
  </si>
  <si>
    <t>Mai</t>
  </si>
  <si>
    <t>Date</t>
  </si>
  <si>
    <t>Somme</t>
  </si>
  <si>
    <t>juin</t>
  </si>
  <si>
    <t>juillet</t>
  </si>
  <si>
    <t>/</t>
  </si>
  <si>
    <t>août</t>
  </si>
  <si>
    <t>septembre</t>
  </si>
  <si>
    <t>octobre</t>
  </si>
  <si>
    <t>novembre</t>
  </si>
  <si>
    <t>décembre</t>
  </si>
  <si>
    <t>Totale</t>
  </si>
  <si>
    <t>Magasin</t>
  </si>
  <si>
    <t>Article</t>
  </si>
  <si>
    <t>Prix</t>
  </si>
  <si>
    <t xml:space="preserve">Balance </t>
  </si>
  <si>
    <t xml:space="preserve">Cocotte </t>
  </si>
  <si>
    <t>Flayers</t>
  </si>
  <si>
    <t>Casnos</t>
  </si>
  <si>
    <t>Hachoire</t>
  </si>
  <si>
    <t>réparation Hachoire</t>
  </si>
  <si>
    <t>Total</t>
  </si>
  <si>
    <t>Reste</t>
  </si>
  <si>
    <t>Janvier</t>
  </si>
  <si>
    <t>Février</t>
  </si>
  <si>
    <t>Mars</t>
  </si>
  <si>
    <t>Avril</t>
  </si>
  <si>
    <t>Juin</t>
  </si>
  <si>
    <t>Juillet</t>
  </si>
  <si>
    <t>Aout</t>
  </si>
  <si>
    <t>Septembre</t>
  </si>
  <si>
    <t>Octobre</t>
  </si>
  <si>
    <t>Novembre</t>
  </si>
  <si>
    <t>Decembre</t>
  </si>
  <si>
    <t xml:space="preserve">Table de travail </t>
  </si>
  <si>
    <t>frigo</t>
  </si>
  <si>
    <t>chario</t>
  </si>
  <si>
    <t>étagères</t>
  </si>
  <si>
    <t xml:space="preserve">60k complément de location 2021+40k maintenence </t>
  </si>
  <si>
    <t xml:space="preserve">mois de janvier </t>
  </si>
  <si>
    <t>éléctricien</t>
  </si>
  <si>
    <t>resort du rideau</t>
  </si>
  <si>
    <t>réparation rideau</t>
  </si>
  <si>
    <t xml:space="preserve">Janvier </t>
  </si>
  <si>
    <t>électricien , rideau, balance</t>
  </si>
  <si>
    <t>février</t>
  </si>
  <si>
    <t>mars</t>
  </si>
  <si>
    <t xml:space="preserve">SOS Cafards + frigo </t>
  </si>
  <si>
    <t>avril</t>
  </si>
  <si>
    <t>mai</t>
  </si>
  <si>
    <t>pub facebook instagram</t>
  </si>
  <si>
    <t>réparation mixeur,bras mixeur,four saada ...</t>
  </si>
  <si>
    <t xml:space="preserve">loyer pour couvrir ma dette envers le magasin </t>
  </si>
  <si>
    <t>gaz et éléctricité avec dettes+ impot</t>
  </si>
  <si>
    <t>68000+21000</t>
  </si>
  <si>
    <t xml:space="preserve">Pétrin et four </t>
  </si>
  <si>
    <t>75000+145000</t>
  </si>
  <si>
    <t>pétrin+ four</t>
  </si>
  <si>
    <t xml:space="preserve">avocat </t>
  </si>
  <si>
    <t>753 000,00</t>
  </si>
  <si>
    <t>347 000,00</t>
  </si>
  <si>
    <t>716 000,00</t>
  </si>
  <si>
    <t>331 000,00</t>
  </si>
  <si>
    <t>110 000,00</t>
  </si>
  <si>
    <t>834 000,00</t>
  </si>
  <si>
    <t>416 000,00</t>
  </si>
  <si>
    <t>492 000,00</t>
  </si>
  <si>
    <t>239 000,00</t>
  </si>
  <si>
    <t>692 000,00</t>
  </si>
  <si>
    <t>287 000,00</t>
  </si>
  <si>
    <t>580 000,00</t>
  </si>
  <si>
    <t>364 000,00</t>
  </si>
  <si>
    <t>509 000,00</t>
  </si>
  <si>
    <t>305 000,00</t>
  </si>
  <si>
    <t>727 000,00</t>
  </si>
  <si>
    <t>385 000,00</t>
  </si>
  <si>
    <t>RECAP Annuel 2024</t>
  </si>
  <si>
    <t>%Charges</t>
  </si>
  <si>
    <t>% Salaire</t>
  </si>
  <si>
    <t>% Loyer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</si>
</sst>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[$€-1]"/>
  </numFmts>
  <fonts count="21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2"/>
      <color theme="1"/>
      <name val="Arial"/>
      <scheme val="minor"/>
    </font>
    <font>
      <b/>
      <sz val="14"/>
      <color theme="1"/>
      <name val="Arial"/>
      <scheme val="minor"/>
    </font>
    <font>
      <b/>
      <sz val="14"/>
      <color theme="1"/>
      <name val="Arial"/>
    </font>
    <font>
      <sz val="10"/>
      <name val="Arial"/>
    </font>
    <font>
      <sz val="14"/>
      <color theme="1"/>
      <name val="Arial"/>
      <scheme val="minor"/>
    </font>
    <font>
      <sz val="12"/>
      <color theme="1"/>
      <name val="Arial"/>
      <scheme val="minor"/>
    </font>
    <font>
      <sz val="14"/>
      <color theme="1"/>
      <name val="Arial"/>
    </font>
    <font>
      <sz val="10"/>
      <color theme="1"/>
      <name val="Arial"/>
    </font>
    <font>
      <b/>
      <sz val="10"/>
      <color theme="1"/>
      <name val="Arial"/>
      <scheme val="minor"/>
    </font>
    <font>
      <sz val="14"/>
      <color rgb="FF000000"/>
      <name val="Arial"/>
    </font>
    <font>
      <b/>
      <sz val="18"/>
      <color theme="1"/>
      <name val="Arial"/>
      <scheme val="minor"/>
    </font>
    <font>
      <sz val="18"/>
      <color theme="1"/>
      <name val="Arial"/>
      <scheme val="minor"/>
    </font>
    <font>
      <b/>
      <sz val="18"/>
      <color theme="1"/>
      <name val="Arial"/>
    </font>
    <font>
      <sz val="18"/>
      <color rgb="FF000000"/>
      <name val="Arial"/>
    </font>
    <font>
      <sz val="18"/>
      <color theme="1"/>
      <name val="Arial"/>
    </font>
    <font>
      <b/>
      <sz val="21"/>
      <color theme="1"/>
      <name val="Arial"/>
      <scheme val="minor"/>
    </font>
    <font>
      <b/>
      <sz val="19"/>
      <color theme="1"/>
      <name val="Arial"/>
      <scheme val="minor"/>
    </font>
    <font>
      <sz val="19"/>
      <color theme="1"/>
      <name val="Arial"/>
      <scheme val="minor"/>
    </font>
    <font>
      <b/>
      <sz val="20"/>
      <color theme="1"/>
      <name val="Arial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  <fill>
      <patternFill patternType="solid">
        <fgColor theme="7"/>
        <bgColor theme="7"/>
      </patternFill>
    </fill>
    <fill>
      <patternFill patternType="solid">
        <fgColor rgb="FFFF0000"/>
        <bgColor rgb="FFFF0000"/>
      </patternFill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 applyFont="1" applyAlignment="1"/>
    <xf numFmtId="0" fontId="1" fillId="2" borderId="0" xfId="0" applyFont="1" applyFill="1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2" borderId="0" xfId="0" applyFont="1" applyFill="1" applyAlignment="1"/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14" fontId="7" fillId="0" borderId="1" xfId="0" applyNumberFormat="1" applyFont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9" fontId="6" fillId="0" borderId="1" xfId="0" applyNumberFormat="1" applyFont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5" borderId="1" xfId="0" applyFont="1" applyFill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3" fillId="6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0" fontId="9" fillId="0" borderId="0" xfId="0" applyFont="1" applyAlignment="1"/>
    <xf numFmtId="164" fontId="9" fillId="0" borderId="0" xfId="0" applyNumberFormat="1" applyFont="1" applyAlignment="1"/>
    <xf numFmtId="0" fontId="9" fillId="0" borderId="0" xfId="0" applyFont="1" applyAlignment="1"/>
    <xf numFmtId="0" fontId="7" fillId="2" borderId="0" xfId="0" applyFont="1" applyFill="1" applyAlignment="1">
      <alignment horizontal="center"/>
    </xf>
    <xf numFmtId="0" fontId="4" fillId="0" borderId="1" xfId="0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5" xfId="0" applyFont="1" applyBorder="1" applyAlignment="1">
      <alignment horizontal="center"/>
    </xf>
    <xf numFmtId="164" fontId="8" fillId="0" borderId="6" xfId="0" applyNumberFormat="1" applyFont="1" applyBorder="1" applyAlignment="1">
      <alignment horizontal="center"/>
    </xf>
    <xf numFmtId="1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5" xfId="0" applyFont="1" applyBorder="1" applyAlignment="1">
      <alignment horizontal="center"/>
    </xf>
    <xf numFmtId="164" fontId="8" fillId="0" borderId="6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164" fontId="8" fillId="2" borderId="6" xfId="0" applyNumberFormat="1" applyFont="1" applyFill="1" applyBorder="1" applyAlignment="1">
      <alignment horizontal="center"/>
    </xf>
    <xf numFmtId="164" fontId="8" fillId="2" borderId="6" xfId="0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164" fontId="8" fillId="7" borderId="1" xfId="0" applyNumberFormat="1" applyFont="1" applyFill="1" applyBorder="1" applyAlignment="1">
      <alignment horizontal="center"/>
    </xf>
    <xf numFmtId="164" fontId="8" fillId="6" borderId="1" xfId="0" applyNumberFormat="1" applyFont="1" applyFill="1" applyBorder="1" applyAlignment="1">
      <alignment horizontal="center"/>
    </xf>
    <xf numFmtId="0" fontId="3" fillId="8" borderId="0" xfId="0" applyFont="1" applyFill="1" applyAlignment="1">
      <alignment horizontal="center" vertical="center"/>
    </xf>
    <xf numFmtId="0" fontId="4" fillId="8" borderId="1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164" fontId="6" fillId="0" borderId="1" xfId="0" applyNumberFormat="1" applyFont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/>
    </xf>
    <xf numFmtId="164" fontId="8" fillId="9" borderId="6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10" fontId="10" fillId="0" borderId="1" xfId="0" applyNumberFormat="1" applyFont="1" applyBorder="1" applyAlignment="1">
      <alignment horizontal="center"/>
    </xf>
    <xf numFmtId="164" fontId="3" fillId="5" borderId="1" xfId="0" applyNumberFormat="1" applyFont="1" applyFill="1" applyBorder="1" applyAlignment="1">
      <alignment horizontal="center"/>
    </xf>
    <xf numFmtId="10" fontId="10" fillId="5" borderId="1" xfId="0" applyNumberFormat="1" applyFont="1" applyFill="1" applyBorder="1" applyAlignment="1">
      <alignment horizontal="center"/>
    </xf>
    <xf numFmtId="0" fontId="3" fillId="10" borderId="0" xfId="0" applyFont="1" applyFill="1" applyAlignment="1">
      <alignment horizontal="center" vertical="center"/>
    </xf>
    <xf numFmtId="0" fontId="4" fillId="10" borderId="1" xfId="0" applyFont="1" applyFill="1" applyBorder="1" applyAlignment="1">
      <alignment horizontal="center"/>
    </xf>
    <xf numFmtId="0" fontId="4" fillId="10" borderId="2" xfId="0" applyFont="1" applyFill="1" applyBorder="1" applyAlignment="1">
      <alignment horizontal="center"/>
    </xf>
    <xf numFmtId="0" fontId="4" fillId="10" borderId="2" xfId="0" applyFont="1" applyFill="1" applyBorder="1" applyAlignment="1">
      <alignment horizontal="center"/>
    </xf>
    <xf numFmtId="164" fontId="11" fillId="9" borderId="0" xfId="0" applyNumberFormat="1" applyFont="1" applyFill="1" applyAlignment="1">
      <alignment horizontal="left"/>
    </xf>
    <xf numFmtId="164" fontId="11" fillId="9" borderId="0" xfId="0" applyNumberFormat="1" applyFont="1" applyFill="1" applyAlignment="1">
      <alignment horizontal="right"/>
    </xf>
    <xf numFmtId="10" fontId="3" fillId="0" borderId="1" xfId="0" applyNumberFormat="1" applyFont="1" applyBorder="1" applyAlignment="1">
      <alignment horizontal="center"/>
    </xf>
    <xf numFmtId="0" fontId="1" fillId="0" borderId="3" xfId="0" applyFont="1" applyBorder="1"/>
    <xf numFmtId="0" fontId="3" fillId="0" borderId="4" xfId="0" applyFont="1" applyBorder="1" applyAlignment="1"/>
    <xf numFmtId="0" fontId="1" fillId="0" borderId="4" xfId="0" applyFont="1" applyBorder="1"/>
    <xf numFmtId="0" fontId="1" fillId="0" borderId="2" xfId="0" applyFont="1" applyBorder="1"/>
    <xf numFmtId="0" fontId="8" fillId="9" borderId="0" xfId="0" applyFont="1" applyFill="1" applyAlignment="1">
      <alignment horizontal="center"/>
    </xf>
    <xf numFmtId="0" fontId="8" fillId="9" borderId="1" xfId="0" applyFont="1" applyFill="1" applyBorder="1" applyAlignment="1">
      <alignment horizontal="center"/>
    </xf>
    <xf numFmtId="164" fontId="8" fillId="9" borderId="1" xfId="0" applyNumberFormat="1" applyFont="1" applyFill="1" applyBorder="1" applyAlignment="1">
      <alignment horizontal="center"/>
    </xf>
    <xf numFmtId="14" fontId="8" fillId="9" borderId="1" xfId="0" applyNumberFormat="1" applyFont="1" applyFill="1" applyBorder="1" applyAlignment="1">
      <alignment horizontal="center"/>
    </xf>
    <xf numFmtId="10" fontId="3" fillId="5" borderId="1" xfId="0" applyNumberFormat="1" applyFont="1" applyFill="1" applyBorder="1" applyAlignment="1">
      <alignment horizontal="center"/>
    </xf>
    <xf numFmtId="0" fontId="1" fillId="0" borderId="0" xfId="0" applyFont="1" applyAlignment="1"/>
    <xf numFmtId="164" fontId="3" fillId="11" borderId="1" xfId="0" applyNumberFormat="1" applyFont="1" applyFill="1" applyBorder="1" applyAlignment="1">
      <alignment horizontal="center"/>
    </xf>
    <xf numFmtId="164" fontId="3" fillId="12" borderId="1" xfId="0" applyNumberFormat="1" applyFont="1" applyFill="1" applyBorder="1" applyAlignment="1">
      <alignment horizontal="center"/>
    </xf>
    <xf numFmtId="164" fontId="3" fillId="10" borderId="1" xfId="0" applyNumberFormat="1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164" fontId="11" fillId="9" borderId="1" xfId="0" applyNumberFormat="1" applyFont="1" applyFill="1" applyBorder="1" applyAlignment="1">
      <alignment horizontal="center"/>
    </xf>
    <xf numFmtId="164" fontId="11" fillId="9" borderId="0" xfId="0" applyNumberFormat="1" applyFont="1" applyFill="1" applyAlignment="1">
      <alignment horizontal="center"/>
    </xf>
    <xf numFmtId="164" fontId="13" fillId="0" borderId="1" xfId="0" applyNumberFormat="1" applyFont="1" applyBorder="1" applyAlignment="1">
      <alignment horizontal="center"/>
    </xf>
    <xf numFmtId="164" fontId="8" fillId="9" borderId="1" xfId="0" applyNumberFormat="1" applyFont="1" applyFill="1" applyBorder="1" applyAlignment="1">
      <alignment horizontal="center"/>
    </xf>
    <xf numFmtId="0" fontId="3" fillId="12" borderId="1" xfId="0" applyFont="1" applyFill="1" applyBorder="1" applyAlignment="1">
      <alignment horizontal="center"/>
    </xf>
    <xf numFmtId="10" fontId="3" fillId="12" borderId="1" xfId="0" applyNumberFormat="1" applyFont="1" applyFill="1" applyBorder="1" applyAlignment="1">
      <alignment horizontal="center"/>
    </xf>
    <xf numFmtId="164" fontId="13" fillId="0" borderId="1" xfId="0" applyNumberFormat="1" applyFont="1" applyBorder="1" applyAlignment="1">
      <alignment horizontal="center"/>
    </xf>
    <xf numFmtId="0" fontId="6" fillId="0" borderId="0" xfId="0" applyFont="1"/>
    <xf numFmtId="14" fontId="6" fillId="0" borderId="1" xfId="0" applyNumberFormat="1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6" fillId="0" borderId="0" xfId="0" applyFont="1" applyAlignment="1"/>
    <xf numFmtId="0" fontId="12" fillId="13" borderId="0" xfId="0" applyFont="1" applyFill="1" applyAlignment="1">
      <alignment horizontal="center" vertical="center"/>
    </xf>
    <xf numFmtId="0" fontId="14" fillId="13" borderId="1" xfId="0" applyFont="1" applyFill="1" applyBorder="1" applyAlignment="1">
      <alignment horizontal="center"/>
    </xf>
    <xf numFmtId="0" fontId="14" fillId="13" borderId="2" xfId="0" applyFont="1" applyFill="1" applyBorder="1" applyAlignment="1">
      <alignment horizontal="center"/>
    </xf>
    <xf numFmtId="0" fontId="14" fillId="13" borderId="2" xfId="0" applyFont="1" applyFill="1" applyBorder="1" applyAlignment="1">
      <alignment horizontal="center"/>
    </xf>
    <xf numFmtId="0" fontId="12" fillId="14" borderId="1" xfId="0" applyFont="1" applyFill="1" applyBorder="1" applyAlignment="1">
      <alignment horizontal="center"/>
    </xf>
    <xf numFmtId="164" fontId="15" fillId="9" borderId="1" xfId="0" applyNumberFormat="1" applyFont="1" applyFill="1" applyBorder="1" applyAlignment="1">
      <alignment horizontal="center"/>
    </xf>
    <xf numFmtId="164" fontId="15" fillId="9" borderId="0" xfId="0" applyNumberFormat="1" applyFont="1" applyFill="1" applyAlignment="1">
      <alignment horizontal="center"/>
    </xf>
    <xf numFmtId="164" fontId="13" fillId="0" borderId="2" xfId="0" applyNumberFormat="1" applyFont="1" applyBorder="1" applyAlignment="1">
      <alignment horizontal="center" vertical="center"/>
    </xf>
    <xf numFmtId="10" fontId="12" fillId="0" borderId="1" xfId="0" applyNumberFormat="1" applyFont="1" applyBorder="1" applyAlignment="1">
      <alignment horizontal="center"/>
    </xf>
    <xf numFmtId="164" fontId="16" fillId="9" borderId="1" xfId="0" applyNumberFormat="1" applyFont="1" applyFill="1" applyBorder="1" applyAlignment="1">
      <alignment horizontal="center"/>
    </xf>
    <xf numFmtId="164" fontId="13" fillId="0" borderId="1" xfId="0" applyNumberFormat="1" applyFont="1" applyBorder="1" applyAlignment="1">
      <alignment horizontal="center" vertical="center"/>
    </xf>
    <xf numFmtId="164" fontId="15" fillId="0" borderId="6" xfId="0" applyNumberFormat="1" applyFont="1" applyBorder="1" applyAlignment="1">
      <alignment horizontal="center"/>
    </xf>
    <xf numFmtId="0" fontId="12" fillId="15" borderId="1" xfId="0" applyFont="1" applyFill="1" applyBorder="1" applyAlignment="1">
      <alignment horizontal="center"/>
    </xf>
    <xf numFmtId="164" fontId="12" fillId="15" borderId="1" xfId="0" applyNumberFormat="1" applyFont="1" applyFill="1" applyBorder="1" applyAlignment="1">
      <alignment horizontal="center"/>
    </xf>
    <xf numFmtId="10" fontId="12" fillId="15" borderId="1" xfId="0" applyNumberFormat="1" applyFont="1" applyFill="1" applyBorder="1" applyAlignment="1">
      <alignment horizontal="center"/>
    </xf>
    <xf numFmtId="10" fontId="13" fillId="0" borderId="1" xfId="0" applyNumberFormat="1" applyFont="1" applyBorder="1" applyAlignment="1">
      <alignment horizontal="center"/>
    </xf>
    <xf numFmtId="0" fontId="18" fillId="13" borderId="1" xfId="0" applyFont="1" applyFill="1" applyBorder="1" applyAlignment="1">
      <alignment horizontal="center"/>
    </xf>
    <xf numFmtId="0" fontId="12" fillId="13" borderId="1" xfId="0" applyFont="1" applyFill="1" applyBorder="1" applyAlignment="1">
      <alignment horizontal="center"/>
    </xf>
    <xf numFmtId="10" fontId="12" fillId="14" borderId="1" xfId="0" applyNumberFormat="1" applyFont="1" applyFill="1" applyBorder="1" applyAlignment="1">
      <alignment horizontal="center"/>
    </xf>
    <xf numFmtId="10" fontId="19" fillId="0" borderId="1" xfId="0" applyNumberFormat="1" applyFont="1" applyBorder="1" applyAlignment="1">
      <alignment horizontal="center"/>
    </xf>
    <xf numFmtId="10" fontId="19" fillId="0" borderId="1" xfId="0" applyNumberFormat="1" applyFont="1" applyBorder="1" applyAlignment="1">
      <alignment horizontal="center"/>
    </xf>
    <xf numFmtId="10" fontId="19" fillId="15" borderId="1" xfId="0" applyNumberFormat="1" applyFont="1" applyFill="1" applyBorder="1" applyAlignment="1">
      <alignment horizontal="center"/>
    </xf>
    <xf numFmtId="10" fontId="13" fillId="15" borderId="1" xfId="0" applyNumberFormat="1" applyFont="1" applyFill="1" applyBorder="1" applyAlignment="1">
      <alignment horizontal="center"/>
    </xf>
    <xf numFmtId="10" fontId="20" fillId="0" borderId="0" xfId="0" applyNumberFormat="1" applyFont="1"/>
    <xf numFmtId="0" fontId="2" fillId="4" borderId="3" xfId="0" applyFont="1" applyFill="1" applyBorder="1" applyAlignment="1">
      <alignment horizontal="center" vertical="center"/>
    </xf>
    <xf numFmtId="0" fontId="5" fillId="0" borderId="2" xfId="0" applyFont="1" applyBorder="1"/>
    <xf numFmtId="0" fontId="5" fillId="0" borderId="4" xfId="0" applyFont="1" applyBorder="1"/>
    <xf numFmtId="0" fontId="2" fillId="11" borderId="3" xfId="0" applyFont="1" applyFill="1" applyBorder="1" applyAlignment="1">
      <alignment horizontal="center" vertical="center"/>
    </xf>
    <xf numFmtId="0" fontId="2" fillId="12" borderId="3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Relationship Id="rId10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outlinePr summaryBelow="0" summaryRight="0"/>
  </sheetPr>
  <dimension ref="A2:U33"/>
  <sheetViews>
    <sheetView workbookViewId="0">
      <selection sqref="A1:XFD1048576"/>
    </sheetView>
  </sheetViews>
  <sheetFormatPr baseColWidth="10" defaultColWidth="12.6640625" defaultRowHeight="15.75" customHeight="1" x14ac:dyDescent="0.15"/>
  <cols>
    <col min="3" max="3" width="12.83203125" bestFit="1" customWidth="1"/>
    <col min="4" max="4" width="16.33203125" bestFit="1" customWidth="1"/>
    <col min="5" max="5" width="21.5" bestFit="1" customWidth="1"/>
    <col min="6" max="8" width="14.5" bestFit="1" customWidth="1"/>
    <col min="9" max="9" width="10.5" bestFit="1" customWidth="1"/>
    <col min="10" max="11" width="8" customWidth="1"/>
    <col min="12" max="12" width="11.1640625" bestFit="1" customWidth="1"/>
    <col min="13" max="13" width="14.5" bestFit="1" customWidth="1"/>
    <col min="14" max="14" width="11.1640625" bestFit="1" customWidth="1"/>
    <col min="15" max="15" width="14.5" bestFit="1" customWidth="1"/>
    <col min="16" max="16" width="11.1640625" bestFit="1" customWidth="1"/>
    <col min="17" max="17" width="14.5" bestFit="1" customWidth="1"/>
    <col min="19" max="19" width="14.6640625" customWidth="1"/>
    <col min="20" max="20" width="30.6640625" customWidth="1"/>
  </cols>
  <sheetData>
    <row r="2" spans="1:21" ht="15.75" customHeight="1" x14ac:dyDescent="0.15">
      <c r="A2" s="1"/>
      <c r="B2" s="1"/>
    </row>
    <row r="3" spans="1:21" ht="15.75" customHeight="1" x14ac:dyDescent="0.15">
      <c r="A3" s="1"/>
      <c r="B3" s="1"/>
    </row>
    <row r="4" spans="1:21" ht="15.75" customHeight="1" x14ac:dyDescent="0.15">
      <c r="A4" s="1"/>
      <c r="B4" s="1"/>
    </row>
    <row r="5" spans="1:21" x14ac:dyDescent="0.2">
      <c r="A5" s="2"/>
      <c r="B5" s="2"/>
      <c r="C5" s="3" t="s">
        <v>0</v>
      </c>
      <c r="D5" s="4" t="s">
        <v>1</v>
      </c>
      <c r="E5" s="5" t="s">
        <v>2</v>
      </c>
      <c r="F5" s="5" t="s">
        <v>3</v>
      </c>
      <c r="G5" s="5" t="s">
        <v>4</v>
      </c>
      <c r="H5" s="5" t="s">
        <v>5</v>
      </c>
      <c r="I5" s="6" t="s">
        <v>6</v>
      </c>
      <c r="L5" s="114" t="s">
        <v>7</v>
      </c>
      <c r="M5" s="115"/>
      <c r="N5" s="114" t="s">
        <v>8</v>
      </c>
      <c r="O5" s="115"/>
      <c r="P5" s="114" t="s">
        <v>9</v>
      </c>
      <c r="Q5" s="115"/>
    </row>
    <row r="6" spans="1:21" x14ac:dyDescent="0.2">
      <c r="A6" s="7"/>
      <c r="B6" s="7"/>
      <c r="C6" s="8" t="s">
        <v>10</v>
      </c>
      <c r="D6" s="9">
        <v>294500</v>
      </c>
      <c r="E6" s="9">
        <v>63500</v>
      </c>
      <c r="F6" s="9">
        <v>91000</v>
      </c>
      <c r="G6" s="9">
        <v>40000</v>
      </c>
      <c r="H6" s="10">
        <f t="shared" ref="H6:H8" si="0">D6-E6-F6-G6</f>
        <v>100000</v>
      </c>
      <c r="I6" s="11">
        <v>0.33960000000000001</v>
      </c>
      <c r="L6" s="12" t="s">
        <v>11</v>
      </c>
      <c r="M6" s="12" t="s">
        <v>12</v>
      </c>
      <c r="N6" s="12" t="s">
        <v>11</v>
      </c>
      <c r="O6" s="12" t="s">
        <v>12</v>
      </c>
      <c r="P6" s="12" t="s">
        <v>11</v>
      </c>
      <c r="Q6" s="12" t="s">
        <v>12</v>
      </c>
    </row>
    <row r="7" spans="1:21" x14ac:dyDescent="0.2">
      <c r="A7" s="7"/>
      <c r="B7" s="7"/>
      <c r="C7" s="8" t="s">
        <v>13</v>
      </c>
      <c r="D7" s="9">
        <v>266800</v>
      </c>
      <c r="E7" s="9">
        <v>74150</v>
      </c>
      <c r="F7" s="9">
        <v>105800</v>
      </c>
      <c r="G7" s="9">
        <v>40000</v>
      </c>
      <c r="H7" s="10">
        <f t="shared" si="0"/>
        <v>46850</v>
      </c>
      <c r="I7" s="11">
        <v>0.17560000000000001</v>
      </c>
      <c r="L7" s="13"/>
      <c r="M7" s="14"/>
      <c r="N7" s="13"/>
      <c r="O7" s="14"/>
      <c r="P7" s="13"/>
      <c r="Q7" s="14"/>
    </row>
    <row r="8" spans="1:21" x14ac:dyDescent="0.2">
      <c r="A8" s="7"/>
      <c r="B8" s="7"/>
      <c r="C8" s="8" t="s">
        <v>14</v>
      </c>
      <c r="D8" s="9">
        <v>415300</v>
      </c>
      <c r="E8" s="9">
        <v>143150</v>
      </c>
      <c r="F8" s="9">
        <v>151800</v>
      </c>
      <c r="G8" s="9">
        <v>40000</v>
      </c>
      <c r="H8" s="10">
        <f t="shared" si="0"/>
        <v>80350</v>
      </c>
      <c r="I8" s="11">
        <v>0.19350000000000001</v>
      </c>
      <c r="L8" s="15">
        <v>43678</v>
      </c>
      <c r="M8" s="16">
        <v>40000</v>
      </c>
      <c r="N8" s="12" t="s">
        <v>15</v>
      </c>
      <c r="O8" s="16">
        <v>0</v>
      </c>
      <c r="P8" s="15">
        <v>43678</v>
      </c>
      <c r="Q8" s="16">
        <v>0</v>
      </c>
    </row>
    <row r="9" spans="1:21" x14ac:dyDescent="0.2">
      <c r="A9" s="7"/>
      <c r="B9" s="7"/>
      <c r="C9" s="8" t="s">
        <v>16</v>
      </c>
      <c r="D9" s="10"/>
      <c r="E9" s="9">
        <v>0</v>
      </c>
      <c r="F9" s="9">
        <v>22800</v>
      </c>
      <c r="G9" s="9">
        <v>40000</v>
      </c>
      <c r="H9" s="10"/>
      <c r="I9" s="17">
        <v>0</v>
      </c>
      <c r="L9" s="15">
        <v>43709</v>
      </c>
      <c r="M9" s="16"/>
      <c r="N9" s="12" t="s">
        <v>15</v>
      </c>
      <c r="O9" s="16" t="s">
        <v>15</v>
      </c>
      <c r="P9" s="15">
        <v>43709</v>
      </c>
      <c r="Q9" s="16"/>
    </row>
    <row r="10" spans="1:21" x14ac:dyDescent="0.2">
      <c r="A10" s="7"/>
      <c r="B10" s="7"/>
      <c r="C10" s="8" t="s">
        <v>17</v>
      </c>
      <c r="D10" s="9">
        <v>325000</v>
      </c>
      <c r="E10" s="9">
        <v>80000</v>
      </c>
      <c r="F10" s="9">
        <v>146300</v>
      </c>
      <c r="G10" s="9">
        <v>40000</v>
      </c>
      <c r="H10" s="10">
        <f t="shared" ref="H10:H11" si="1">D10-E10-F10-G10</f>
        <v>58700</v>
      </c>
      <c r="I10" s="11">
        <v>0.18060000000000001</v>
      </c>
      <c r="L10" s="15">
        <v>43739</v>
      </c>
      <c r="M10" s="16">
        <v>30000</v>
      </c>
      <c r="N10" s="12" t="s">
        <v>15</v>
      </c>
      <c r="O10" s="16">
        <v>0</v>
      </c>
      <c r="P10" s="15">
        <v>43739</v>
      </c>
      <c r="Q10" s="16">
        <v>28700</v>
      </c>
    </row>
    <row r="11" spans="1:21" x14ac:dyDescent="0.2">
      <c r="A11" s="7"/>
      <c r="B11" s="7"/>
      <c r="C11" s="8" t="s">
        <v>18</v>
      </c>
      <c r="D11" s="9">
        <v>584500</v>
      </c>
      <c r="E11" s="9">
        <v>157460</v>
      </c>
      <c r="F11" s="9">
        <v>166994</v>
      </c>
      <c r="G11" s="9">
        <v>40000</v>
      </c>
      <c r="H11" s="9">
        <f t="shared" si="1"/>
        <v>220046</v>
      </c>
      <c r="I11" s="11">
        <v>0.37640000000000001</v>
      </c>
      <c r="L11" s="15">
        <v>43771</v>
      </c>
      <c r="M11" s="16">
        <v>55000</v>
      </c>
      <c r="N11" s="15">
        <v>43771</v>
      </c>
      <c r="O11" s="16">
        <v>55000</v>
      </c>
      <c r="P11" s="15">
        <v>43771</v>
      </c>
      <c r="Q11" s="16">
        <v>55000</v>
      </c>
    </row>
    <row r="12" spans="1:21" x14ac:dyDescent="0.2">
      <c r="A12" s="7"/>
      <c r="B12" s="7"/>
      <c r="C12" s="8" t="s">
        <v>19</v>
      </c>
      <c r="D12" s="9">
        <v>532000</v>
      </c>
      <c r="E12" s="9">
        <v>154000</v>
      </c>
      <c r="F12" s="9">
        <v>138000</v>
      </c>
      <c r="G12" s="9">
        <v>40000</v>
      </c>
      <c r="H12" s="9">
        <v>200000</v>
      </c>
      <c r="I12" s="11">
        <v>0.37590000000000001</v>
      </c>
      <c r="L12" s="15">
        <v>43800</v>
      </c>
      <c r="M12" s="16">
        <v>50000</v>
      </c>
      <c r="N12" s="15">
        <v>43800</v>
      </c>
      <c r="O12" s="16">
        <v>50000</v>
      </c>
      <c r="P12" s="15">
        <v>43800</v>
      </c>
      <c r="Q12" s="16">
        <v>50000</v>
      </c>
    </row>
    <row r="13" spans="1:21" x14ac:dyDescent="0.2">
      <c r="A13" s="7"/>
      <c r="B13" s="7"/>
      <c r="C13" s="8" t="s">
        <v>20</v>
      </c>
      <c r="D13" s="9">
        <v>573000</v>
      </c>
      <c r="E13" s="9">
        <v>187800</v>
      </c>
      <c r="F13" s="9">
        <v>145200</v>
      </c>
      <c r="G13" s="9">
        <v>40000</v>
      </c>
      <c r="H13" s="9">
        <v>200000</v>
      </c>
      <c r="I13" s="11">
        <v>0.34899999999999998</v>
      </c>
      <c r="L13" s="15">
        <v>43831</v>
      </c>
      <c r="M13" s="16">
        <v>50000</v>
      </c>
      <c r="N13" s="15">
        <v>43831</v>
      </c>
      <c r="O13" s="16">
        <v>50000</v>
      </c>
      <c r="P13" s="15">
        <v>43831</v>
      </c>
      <c r="Q13" s="16">
        <v>50000</v>
      </c>
    </row>
    <row r="14" spans="1:21" x14ac:dyDescent="0.2">
      <c r="A14" s="18"/>
      <c r="B14" s="18"/>
      <c r="C14" s="19" t="s">
        <v>21</v>
      </c>
      <c r="D14" s="20">
        <f t="shared" ref="D14:H14" si="2">SUM(D6:D13)</f>
        <v>2991100</v>
      </c>
      <c r="E14" s="20">
        <f t="shared" si="2"/>
        <v>860060</v>
      </c>
      <c r="F14" s="20">
        <f t="shared" si="2"/>
        <v>967894</v>
      </c>
      <c r="G14" s="20">
        <f t="shared" si="2"/>
        <v>320000</v>
      </c>
      <c r="H14" s="20">
        <f t="shared" si="2"/>
        <v>905946</v>
      </c>
      <c r="I14" s="11">
        <v>0.3029</v>
      </c>
      <c r="L14" s="19" t="s">
        <v>21</v>
      </c>
      <c r="M14" s="21">
        <f>SUM(M7:M13)</f>
        <v>225000</v>
      </c>
      <c r="N14" s="22"/>
      <c r="O14" s="21">
        <f>SUM(O7:O13)</f>
        <v>155000</v>
      </c>
      <c r="P14" s="22"/>
      <c r="Q14" s="21">
        <f>SUM(Q7:Q13)</f>
        <v>183700</v>
      </c>
    </row>
    <row r="15" spans="1:21" x14ac:dyDescent="0.2">
      <c r="A15" s="1"/>
      <c r="B15" s="1"/>
      <c r="C15" s="23"/>
      <c r="D15" s="23"/>
      <c r="E15" s="23"/>
      <c r="F15" s="23"/>
      <c r="G15" s="23"/>
      <c r="H15" s="23"/>
      <c r="I15" s="23"/>
    </row>
    <row r="16" spans="1:21" x14ac:dyDescent="0.2">
      <c r="A16" s="1"/>
      <c r="B16" s="1"/>
      <c r="T16" s="24"/>
      <c r="U16" s="25"/>
    </row>
    <row r="17" spans="1:21" x14ac:dyDescent="0.2">
      <c r="A17" s="1"/>
      <c r="B17" s="1"/>
      <c r="T17" s="24"/>
      <c r="U17" s="25"/>
    </row>
    <row r="18" spans="1:21" x14ac:dyDescent="0.2">
      <c r="A18" s="1"/>
      <c r="B18" s="1"/>
      <c r="T18" s="24"/>
      <c r="U18" s="25"/>
    </row>
    <row r="19" spans="1:21" ht="15.75" customHeight="1" x14ac:dyDescent="0.15">
      <c r="A19" s="1"/>
      <c r="B19" s="1"/>
      <c r="T19" s="26"/>
      <c r="U19" s="27"/>
    </row>
    <row r="20" spans="1:21" ht="15.75" customHeight="1" x14ac:dyDescent="0.15">
      <c r="A20" s="1"/>
      <c r="B20" s="1"/>
      <c r="T20" s="26"/>
      <c r="U20" s="27"/>
    </row>
    <row r="21" spans="1:21" ht="15.75" customHeight="1" x14ac:dyDescent="0.15">
      <c r="A21" s="2"/>
      <c r="B21" s="2"/>
      <c r="C21" s="114" t="s">
        <v>22</v>
      </c>
      <c r="D21" s="116"/>
      <c r="E21" s="116"/>
      <c r="F21" s="115"/>
      <c r="T21" s="28"/>
      <c r="U21" s="27"/>
    </row>
    <row r="22" spans="1:21" x14ac:dyDescent="0.2">
      <c r="A22" s="29"/>
      <c r="B22" s="29"/>
      <c r="C22" s="12" t="s">
        <v>11</v>
      </c>
      <c r="D22" s="12" t="s">
        <v>12</v>
      </c>
      <c r="E22" s="30" t="s">
        <v>23</v>
      </c>
      <c r="F22" s="31" t="s">
        <v>24</v>
      </c>
    </row>
    <row r="23" spans="1:21" x14ac:dyDescent="0.2">
      <c r="A23" s="32"/>
      <c r="B23" s="32"/>
      <c r="C23" s="13"/>
      <c r="D23" s="14"/>
      <c r="E23" s="33" t="s">
        <v>25</v>
      </c>
      <c r="F23" s="34">
        <v>2500</v>
      </c>
    </row>
    <row r="24" spans="1:21" x14ac:dyDescent="0.2">
      <c r="A24" s="35"/>
      <c r="B24" s="35"/>
      <c r="C24" s="15">
        <v>43678</v>
      </c>
      <c r="D24" s="16">
        <v>40000</v>
      </c>
      <c r="E24" s="33" t="s">
        <v>26</v>
      </c>
      <c r="F24" s="34">
        <v>5600</v>
      </c>
    </row>
    <row r="25" spans="1:21" x14ac:dyDescent="0.2">
      <c r="A25" s="35"/>
      <c r="B25" s="35"/>
      <c r="C25" s="15">
        <v>43709</v>
      </c>
      <c r="D25" s="16">
        <v>0</v>
      </c>
      <c r="E25" s="33" t="s">
        <v>27</v>
      </c>
      <c r="F25" s="34">
        <v>18000</v>
      </c>
    </row>
    <row r="26" spans="1:21" x14ac:dyDescent="0.2">
      <c r="A26" s="36"/>
      <c r="B26" s="36"/>
      <c r="C26" s="12" t="s">
        <v>15</v>
      </c>
      <c r="D26" s="16">
        <v>0</v>
      </c>
      <c r="E26" s="37" t="s">
        <v>28</v>
      </c>
      <c r="F26" s="38">
        <v>41000</v>
      </c>
    </row>
    <row r="27" spans="1:21" x14ac:dyDescent="0.2">
      <c r="A27" s="35"/>
      <c r="B27" s="35"/>
      <c r="C27" s="15">
        <v>43771</v>
      </c>
      <c r="D27" s="16">
        <v>55000</v>
      </c>
      <c r="E27" s="37" t="s">
        <v>29</v>
      </c>
      <c r="F27" s="38">
        <v>17000</v>
      </c>
    </row>
    <row r="28" spans="1:21" x14ac:dyDescent="0.2">
      <c r="A28" s="35"/>
      <c r="B28" s="35"/>
      <c r="C28" s="15">
        <v>43800</v>
      </c>
      <c r="D28" s="16">
        <v>50000</v>
      </c>
      <c r="E28" s="37" t="s">
        <v>30</v>
      </c>
      <c r="F28" s="38">
        <v>3900</v>
      </c>
    </row>
    <row r="29" spans="1:21" x14ac:dyDescent="0.2">
      <c r="A29" s="35"/>
      <c r="B29" s="35"/>
      <c r="C29" s="15">
        <v>43831</v>
      </c>
      <c r="D29" s="16">
        <v>50000</v>
      </c>
      <c r="E29" s="33"/>
      <c r="F29" s="34"/>
    </row>
    <row r="30" spans="1:21" x14ac:dyDescent="0.2">
      <c r="A30" s="39"/>
      <c r="B30" s="39"/>
      <c r="C30" s="22"/>
      <c r="D30" s="22"/>
      <c r="E30" s="37" t="s">
        <v>28</v>
      </c>
      <c r="F30" s="40">
        <v>45000</v>
      </c>
    </row>
    <row r="31" spans="1:21" x14ac:dyDescent="0.2">
      <c r="A31" s="39"/>
      <c r="B31" s="39"/>
      <c r="C31" s="22"/>
      <c r="D31" s="22"/>
      <c r="E31" s="37"/>
      <c r="F31" s="41"/>
    </row>
    <row r="32" spans="1:21" x14ac:dyDescent="0.2">
      <c r="A32" s="39"/>
      <c r="B32" s="39"/>
      <c r="C32" s="22"/>
      <c r="D32" s="20">
        <f>SUM(D24:D29)</f>
        <v>195000</v>
      </c>
      <c r="E32" s="42" t="s">
        <v>31</v>
      </c>
      <c r="F32" s="43">
        <f>SUM(F23:F29)</f>
        <v>88000</v>
      </c>
    </row>
    <row r="33" spans="5:6" x14ac:dyDescent="0.2">
      <c r="E33" s="42" t="s">
        <v>32</v>
      </c>
      <c r="F33" s="44">
        <f>D32-F32</f>
        <v>107000</v>
      </c>
    </row>
  </sheetData>
  <mergeCells count="4">
    <mergeCell ref="L5:M5"/>
    <mergeCell ref="N5:O5"/>
    <mergeCell ref="P5:Q5"/>
    <mergeCell ref="C21:F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outlinePr summaryBelow="0" summaryRight="0"/>
  </sheetPr>
  <dimension ref="B4:L37"/>
  <sheetViews>
    <sheetView workbookViewId="0"/>
  </sheetViews>
  <sheetFormatPr baseColWidth="10" defaultColWidth="12.6640625" defaultRowHeight="15.75" customHeight="1" x14ac:dyDescent="0.15"/>
  <cols>
    <col min="3" max="3" width="16.1640625" customWidth="1"/>
    <col min="4" max="4" width="17" customWidth="1"/>
    <col min="5" max="5" width="17.6640625" customWidth="1"/>
    <col min="6" max="6" width="19.33203125" customWidth="1"/>
    <col min="7" max="7" width="19.83203125" customWidth="1"/>
    <col min="10" max="10" width="23.5" customWidth="1"/>
    <col min="11" max="11" width="58" customWidth="1"/>
    <col min="12" max="12" width="18.6640625" customWidth="1"/>
  </cols>
  <sheetData>
    <row r="4" spans="2:8" x14ac:dyDescent="0.2">
      <c r="B4" s="45" t="s">
        <v>0</v>
      </c>
      <c r="C4" s="46" t="s">
        <v>1</v>
      </c>
      <c r="D4" s="47" t="s">
        <v>2</v>
      </c>
      <c r="E4" s="47" t="s">
        <v>3</v>
      </c>
      <c r="F4" s="47" t="s">
        <v>4</v>
      </c>
      <c r="G4" s="47" t="s">
        <v>5</v>
      </c>
      <c r="H4" s="48" t="s">
        <v>6</v>
      </c>
    </row>
    <row r="5" spans="2:8" x14ac:dyDescent="0.2">
      <c r="B5" s="8" t="s">
        <v>33</v>
      </c>
      <c r="C5" s="49">
        <v>604000</v>
      </c>
      <c r="D5" s="50">
        <v>205900</v>
      </c>
      <c r="E5" s="50">
        <v>155000</v>
      </c>
      <c r="F5" s="50">
        <v>45000</v>
      </c>
      <c r="G5" s="50">
        <v>192000</v>
      </c>
      <c r="H5" s="51">
        <f t="shared" ref="H5:H7" si="0">G5/C5</f>
        <v>0.31788079470198677</v>
      </c>
    </row>
    <row r="6" spans="2:8" x14ac:dyDescent="0.2">
      <c r="B6" s="8" t="s">
        <v>34</v>
      </c>
      <c r="C6" s="52">
        <v>521000</v>
      </c>
      <c r="D6" s="50">
        <v>228600</v>
      </c>
      <c r="E6" s="50">
        <v>165400</v>
      </c>
      <c r="F6" s="50">
        <v>45000</v>
      </c>
      <c r="G6" s="50">
        <v>162000</v>
      </c>
      <c r="H6" s="51">
        <f t="shared" si="0"/>
        <v>0.31094049904030713</v>
      </c>
    </row>
    <row r="7" spans="2:8" x14ac:dyDescent="0.2">
      <c r="B7" s="8" t="s">
        <v>35</v>
      </c>
      <c r="C7" s="49">
        <v>327000</v>
      </c>
      <c r="D7" s="50">
        <v>301300</v>
      </c>
      <c r="E7" s="50">
        <v>121500</v>
      </c>
      <c r="F7" s="50">
        <v>0</v>
      </c>
      <c r="G7" s="50">
        <v>-96000</v>
      </c>
      <c r="H7" s="51">
        <f t="shared" si="0"/>
        <v>-0.29357798165137616</v>
      </c>
    </row>
    <row r="8" spans="2:8" x14ac:dyDescent="0.2">
      <c r="B8" s="8" t="s">
        <v>36</v>
      </c>
      <c r="C8" s="49">
        <v>0</v>
      </c>
      <c r="D8" s="49">
        <v>0</v>
      </c>
      <c r="E8" s="49">
        <v>0</v>
      </c>
      <c r="F8" s="49">
        <v>0</v>
      </c>
      <c r="G8" s="49">
        <v>0</v>
      </c>
      <c r="H8" s="53">
        <v>0</v>
      </c>
    </row>
    <row r="9" spans="2:8" x14ac:dyDescent="0.2">
      <c r="B9" s="8" t="s">
        <v>10</v>
      </c>
      <c r="C9" s="49">
        <v>411000</v>
      </c>
      <c r="D9" s="49">
        <v>94300</v>
      </c>
      <c r="E9" s="49">
        <v>170000</v>
      </c>
      <c r="F9" s="49">
        <v>45000</v>
      </c>
      <c r="G9" s="49">
        <v>102000</v>
      </c>
      <c r="H9" s="51">
        <f t="shared" ref="H9:H17" si="1">G9/C9</f>
        <v>0.24817518248175183</v>
      </c>
    </row>
    <row r="10" spans="2:8" x14ac:dyDescent="0.2">
      <c r="B10" s="8" t="s">
        <v>37</v>
      </c>
      <c r="C10" s="49">
        <v>482000</v>
      </c>
      <c r="D10" s="49">
        <v>292000</v>
      </c>
      <c r="E10" s="49">
        <v>141000</v>
      </c>
      <c r="F10" s="49">
        <v>77000</v>
      </c>
      <c r="G10" s="49">
        <v>-28000</v>
      </c>
      <c r="H10" s="51">
        <f t="shared" si="1"/>
        <v>-5.8091286307053944E-2</v>
      </c>
    </row>
    <row r="11" spans="2:8" x14ac:dyDescent="0.2">
      <c r="B11" s="8" t="s">
        <v>38</v>
      </c>
      <c r="C11" s="49">
        <v>510000</v>
      </c>
      <c r="D11" s="49">
        <v>203000</v>
      </c>
      <c r="E11" s="49">
        <v>146700</v>
      </c>
      <c r="F11" s="49">
        <v>77000</v>
      </c>
      <c r="G11" s="49">
        <v>83440</v>
      </c>
      <c r="H11" s="51">
        <f t="shared" si="1"/>
        <v>0.1636078431372549</v>
      </c>
    </row>
    <row r="12" spans="2:8" x14ac:dyDescent="0.2">
      <c r="B12" s="8" t="s">
        <v>39</v>
      </c>
      <c r="C12" s="49">
        <v>489000</v>
      </c>
      <c r="D12" s="49">
        <v>198400</v>
      </c>
      <c r="E12" s="49">
        <v>122800</v>
      </c>
      <c r="F12" s="49">
        <v>77000</v>
      </c>
      <c r="G12" s="49">
        <v>90000</v>
      </c>
      <c r="H12" s="51">
        <f t="shared" si="1"/>
        <v>0.18404907975460122</v>
      </c>
    </row>
    <row r="13" spans="2:8" x14ac:dyDescent="0.2">
      <c r="B13" s="8" t="s">
        <v>40</v>
      </c>
      <c r="C13" s="49">
        <v>547000</v>
      </c>
      <c r="D13" s="49">
        <v>197000</v>
      </c>
      <c r="E13" s="49">
        <v>141700</v>
      </c>
      <c r="F13" s="49">
        <v>77000</v>
      </c>
      <c r="G13" s="49">
        <v>130900</v>
      </c>
      <c r="H13" s="51">
        <f t="shared" si="1"/>
        <v>0.2393053016453382</v>
      </c>
    </row>
    <row r="14" spans="2:8" x14ac:dyDescent="0.2">
      <c r="B14" s="8" t="s">
        <v>41</v>
      </c>
      <c r="C14" s="49">
        <v>1039000</v>
      </c>
      <c r="D14" s="49">
        <v>356196</v>
      </c>
      <c r="E14" s="49">
        <v>210997</v>
      </c>
      <c r="F14" s="49">
        <v>77000</v>
      </c>
      <c r="G14" s="49">
        <v>434000</v>
      </c>
      <c r="H14" s="51">
        <f t="shared" si="1"/>
        <v>0.41770933589990378</v>
      </c>
    </row>
    <row r="15" spans="2:8" x14ac:dyDescent="0.2">
      <c r="B15" s="8" t="s">
        <v>42</v>
      </c>
      <c r="C15" s="49">
        <v>738000</v>
      </c>
      <c r="D15" s="49">
        <v>271895</v>
      </c>
      <c r="E15" s="49">
        <v>189100</v>
      </c>
      <c r="F15" s="49">
        <v>77000</v>
      </c>
      <c r="G15" s="49">
        <v>240000</v>
      </c>
      <c r="H15" s="51">
        <f t="shared" si="1"/>
        <v>0.32520325203252032</v>
      </c>
    </row>
    <row r="16" spans="2:8" x14ac:dyDescent="0.2">
      <c r="B16" s="8" t="s">
        <v>43</v>
      </c>
      <c r="C16" s="9">
        <v>1154000</v>
      </c>
      <c r="D16" s="9">
        <v>397815</v>
      </c>
      <c r="E16" s="9">
        <v>206200</v>
      </c>
      <c r="F16" s="9">
        <v>77000</v>
      </c>
      <c r="G16" s="9">
        <v>513000</v>
      </c>
      <c r="H16" s="54">
        <f t="shared" si="1"/>
        <v>0.4445407279029463</v>
      </c>
    </row>
    <row r="17" spans="2:12" x14ac:dyDescent="0.2">
      <c r="B17" s="19" t="s">
        <v>21</v>
      </c>
      <c r="C17" s="55">
        <f t="shared" ref="C17:G17" si="2">SUM(C5:C16)</f>
        <v>6822000</v>
      </c>
      <c r="D17" s="55">
        <f t="shared" si="2"/>
        <v>2746406</v>
      </c>
      <c r="E17" s="55">
        <f t="shared" si="2"/>
        <v>1770397</v>
      </c>
      <c r="F17" s="55">
        <f t="shared" si="2"/>
        <v>674000</v>
      </c>
      <c r="G17" s="55">
        <f t="shared" si="2"/>
        <v>1823340</v>
      </c>
      <c r="H17" s="56">
        <f t="shared" si="1"/>
        <v>0.26727352682497801</v>
      </c>
    </row>
    <row r="22" spans="2:12" ht="15.75" customHeight="1" x14ac:dyDescent="0.15">
      <c r="B22" s="114" t="s">
        <v>7</v>
      </c>
      <c r="C22" s="115"/>
      <c r="D22" s="114" t="s">
        <v>8</v>
      </c>
      <c r="E22" s="115"/>
      <c r="F22" s="114" t="s">
        <v>9</v>
      </c>
      <c r="G22" s="115"/>
      <c r="I22" s="114" t="s">
        <v>22</v>
      </c>
      <c r="J22" s="116"/>
      <c r="K22" s="116"/>
      <c r="L22" s="115"/>
    </row>
    <row r="23" spans="2:12" x14ac:dyDescent="0.2">
      <c r="B23" s="12" t="s">
        <v>11</v>
      </c>
      <c r="C23" s="12" t="s">
        <v>12</v>
      </c>
      <c r="D23" s="12" t="s">
        <v>11</v>
      </c>
      <c r="E23" s="12" t="s">
        <v>12</v>
      </c>
      <c r="F23" s="12" t="s">
        <v>11</v>
      </c>
      <c r="G23" s="12" t="s">
        <v>12</v>
      </c>
      <c r="I23" s="12" t="s">
        <v>11</v>
      </c>
      <c r="J23" s="12" t="s">
        <v>12</v>
      </c>
      <c r="K23" s="30" t="s">
        <v>23</v>
      </c>
      <c r="L23" s="31" t="s">
        <v>24</v>
      </c>
    </row>
    <row r="24" spans="2:12" x14ac:dyDescent="0.2">
      <c r="B24" s="15">
        <v>43862</v>
      </c>
      <c r="C24" s="16">
        <v>48000</v>
      </c>
      <c r="D24" s="15">
        <v>43862</v>
      </c>
      <c r="E24" s="16">
        <v>48000</v>
      </c>
      <c r="F24" s="15">
        <v>43862</v>
      </c>
      <c r="G24" s="16">
        <v>48000</v>
      </c>
      <c r="I24" s="15">
        <v>43862</v>
      </c>
      <c r="J24" s="16">
        <v>48000</v>
      </c>
      <c r="K24" s="37" t="s">
        <v>44</v>
      </c>
      <c r="L24" s="34"/>
    </row>
    <row r="25" spans="2:12" x14ac:dyDescent="0.2">
      <c r="B25" s="15">
        <v>43891</v>
      </c>
      <c r="C25" s="16">
        <v>40000</v>
      </c>
      <c r="D25" s="15">
        <v>43891</v>
      </c>
      <c r="E25" s="16">
        <v>40000</v>
      </c>
      <c r="F25" s="15">
        <v>43891</v>
      </c>
      <c r="G25" s="16">
        <v>40000</v>
      </c>
      <c r="I25" s="15">
        <v>43891</v>
      </c>
      <c r="J25" s="16">
        <v>0</v>
      </c>
      <c r="K25" s="37" t="s">
        <v>45</v>
      </c>
      <c r="L25" s="38">
        <v>120000</v>
      </c>
    </row>
    <row r="26" spans="2:12" x14ac:dyDescent="0.2">
      <c r="B26" s="15">
        <v>43922</v>
      </c>
      <c r="C26" s="16">
        <v>0</v>
      </c>
      <c r="D26" s="15">
        <v>43922</v>
      </c>
      <c r="E26" s="16">
        <v>0</v>
      </c>
      <c r="F26" s="15">
        <v>43922</v>
      </c>
      <c r="G26" s="16">
        <v>0</v>
      </c>
      <c r="I26" s="15">
        <v>43922</v>
      </c>
      <c r="J26" s="14"/>
      <c r="K26" s="37" t="s">
        <v>46</v>
      </c>
      <c r="L26" s="38">
        <v>15000</v>
      </c>
    </row>
    <row r="27" spans="2:12" x14ac:dyDescent="0.2">
      <c r="B27" s="15">
        <v>43952</v>
      </c>
      <c r="C27" s="16">
        <v>0</v>
      </c>
      <c r="D27" s="15">
        <v>43952</v>
      </c>
      <c r="E27" s="16">
        <v>0</v>
      </c>
      <c r="F27" s="15">
        <v>43952</v>
      </c>
      <c r="G27" s="16">
        <v>0</v>
      </c>
      <c r="I27" s="15">
        <v>43952</v>
      </c>
      <c r="J27" s="16"/>
      <c r="K27" s="37" t="s">
        <v>47</v>
      </c>
      <c r="L27" s="38">
        <v>15000</v>
      </c>
    </row>
    <row r="28" spans="2:12" x14ac:dyDescent="0.2">
      <c r="B28" s="15">
        <v>43983</v>
      </c>
      <c r="C28" s="16">
        <v>20000</v>
      </c>
      <c r="D28" s="15">
        <v>43983</v>
      </c>
      <c r="E28" s="16">
        <v>20000</v>
      </c>
      <c r="F28" s="15">
        <v>43983</v>
      </c>
      <c r="G28" s="16">
        <v>20000</v>
      </c>
      <c r="I28" s="15">
        <v>43983</v>
      </c>
      <c r="J28" s="16"/>
      <c r="K28" s="33"/>
      <c r="L28" s="34"/>
    </row>
    <row r="29" spans="2:12" x14ac:dyDescent="0.2">
      <c r="B29" s="15">
        <v>44013</v>
      </c>
      <c r="C29" s="16">
        <v>0</v>
      </c>
      <c r="D29" s="15">
        <v>44013</v>
      </c>
      <c r="E29" s="16">
        <v>0</v>
      </c>
      <c r="F29" s="15">
        <v>44013</v>
      </c>
      <c r="G29" s="16">
        <v>0</v>
      </c>
      <c r="I29" s="15">
        <v>44013</v>
      </c>
      <c r="J29" s="16"/>
      <c r="K29" s="37"/>
      <c r="L29" s="38"/>
    </row>
    <row r="30" spans="2:12" x14ac:dyDescent="0.2">
      <c r="B30" s="15">
        <v>44044</v>
      </c>
      <c r="C30" s="16">
        <v>20000</v>
      </c>
      <c r="D30" s="15">
        <v>44044</v>
      </c>
      <c r="E30" s="16">
        <v>20000</v>
      </c>
      <c r="F30" s="15">
        <v>44044</v>
      </c>
      <c r="G30" s="16">
        <v>20000</v>
      </c>
      <c r="I30" s="15">
        <v>44044</v>
      </c>
      <c r="J30" s="16">
        <v>20000</v>
      </c>
      <c r="K30" s="37"/>
      <c r="L30" s="38"/>
    </row>
    <row r="31" spans="2:12" x14ac:dyDescent="0.2">
      <c r="B31" s="15">
        <v>44075</v>
      </c>
      <c r="C31" s="16">
        <v>20000</v>
      </c>
      <c r="D31" s="15">
        <v>44075</v>
      </c>
      <c r="E31" s="16">
        <v>20000</v>
      </c>
      <c r="F31" s="15">
        <v>44075</v>
      </c>
      <c r="G31" s="16">
        <v>30000</v>
      </c>
      <c r="I31" s="15">
        <v>44075</v>
      </c>
      <c r="J31" s="16">
        <v>20000</v>
      </c>
      <c r="K31" s="37"/>
      <c r="L31" s="38"/>
    </row>
    <row r="32" spans="2:12" x14ac:dyDescent="0.2">
      <c r="B32" s="15">
        <v>44105</v>
      </c>
      <c r="C32" s="16">
        <v>30000</v>
      </c>
      <c r="D32" s="15">
        <v>44105</v>
      </c>
      <c r="E32" s="16">
        <v>30000</v>
      </c>
      <c r="F32" s="15">
        <v>44105</v>
      </c>
      <c r="G32" s="16">
        <v>40000</v>
      </c>
      <c r="I32" s="15">
        <v>44105</v>
      </c>
      <c r="J32" s="16">
        <v>30000</v>
      </c>
      <c r="K32" s="33"/>
      <c r="L32" s="34"/>
    </row>
    <row r="33" spans="2:12" x14ac:dyDescent="0.2">
      <c r="B33" s="15">
        <v>44136</v>
      </c>
      <c r="C33" s="16">
        <v>0</v>
      </c>
      <c r="D33" s="15">
        <v>44136</v>
      </c>
      <c r="E33" s="16">
        <v>100000</v>
      </c>
      <c r="F33" s="15">
        <v>44136</v>
      </c>
      <c r="G33" s="16">
        <v>334000</v>
      </c>
      <c r="I33" s="15">
        <v>44136</v>
      </c>
      <c r="J33" s="16"/>
      <c r="K33" s="33"/>
      <c r="L33" s="34"/>
    </row>
    <row r="34" spans="2:12" x14ac:dyDescent="0.2">
      <c r="B34" s="15">
        <v>44166</v>
      </c>
      <c r="C34" s="16">
        <v>60000</v>
      </c>
      <c r="D34" s="15">
        <v>44166</v>
      </c>
      <c r="E34" s="16">
        <v>60000</v>
      </c>
      <c r="F34" s="15">
        <v>44166</v>
      </c>
      <c r="G34" s="16">
        <v>60000</v>
      </c>
      <c r="I34" s="15">
        <v>44166</v>
      </c>
      <c r="J34" s="16"/>
      <c r="K34" s="33"/>
      <c r="L34" s="34"/>
    </row>
    <row r="35" spans="2:12" x14ac:dyDescent="0.2">
      <c r="B35" s="15">
        <v>44197</v>
      </c>
      <c r="C35" s="16">
        <v>0</v>
      </c>
      <c r="D35" s="15">
        <v>44197</v>
      </c>
      <c r="E35" s="16">
        <v>128000</v>
      </c>
      <c r="F35" s="15">
        <v>44197</v>
      </c>
      <c r="G35" s="16">
        <v>285000</v>
      </c>
      <c r="I35" s="15">
        <v>44197</v>
      </c>
      <c r="J35" s="16">
        <v>100000</v>
      </c>
      <c r="K35" s="37" t="s">
        <v>48</v>
      </c>
      <c r="L35" s="38">
        <v>100000</v>
      </c>
    </row>
    <row r="36" spans="2:12" x14ac:dyDescent="0.2">
      <c r="B36" s="19" t="s">
        <v>21</v>
      </c>
      <c r="C36" s="21">
        <f>SUM(C24:C35)</f>
        <v>238000</v>
      </c>
      <c r="D36" s="22"/>
      <c r="E36" s="21">
        <f>SUM(E24:E35)</f>
        <v>466000</v>
      </c>
      <c r="F36" s="22"/>
      <c r="G36" s="21">
        <f>SUM(G24:G35)</f>
        <v>877000</v>
      </c>
      <c r="I36" s="22"/>
      <c r="J36" s="20">
        <f>SUM(J24:J35)</f>
        <v>218000</v>
      </c>
      <c r="K36" s="42" t="s">
        <v>31</v>
      </c>
      <c r="L36" s="43">
        <f>SUM(L24:L35)</f>
        <v>250000</v>
      </c>
    </row>
    <row r="37" spans="2:12" x14ac:dyDescent="0.2">
      <c r="K37" s="42" t="s">
        <v>32</v>
      </c>
      <c r="L37" s="44">
        <f>J36-L36</f>
        <v>-32000</v>
      </c>
    </row>
  </sheetData>
  <mergeCells count="4">
    <mergeCell ref="B22:C22"/>
    <mergeCell ref="D22:E22"/>
    <mergeCell ref="F22:G22"/>
    <mergeCell ref="I22:L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outlinePr summaryBelow="0" summaryRight="0"/>
  </sheetPr>
  <dimension ref="B4:R36"/>
  <sheetViews>
    <sheetView workbookViewId="0"/>
  </sheetViews>
  <sheetFormatPr baseColWidth="10" defaultColWidth="12.6640625" defaultRowHeight="15.75" customHeight="1" x14ac:dyDescent="0.15"/>
  <cols>
    <col min="2" max="2" width="19.1640625" customWidth="1"/>
    <col min="3" max="3" width="17.1640625" customWidth="1"/>
    <col min="4" max="4" width="16.6640625" customWidth="1"/>
    <col min="5" max="6" width="16.5" customWidth="1"/>
    <col min="7" max="7" width="17.5" customWidth="1"/>
    <col min="8" max="8" width="21.83203125" customWidth="1"/>
    <col min="10" max="10" width="16.1640625" customWidth="1"/>
    <col min="11" max="11" width="17" customWidth="1"/>
    <col min="12" max="12" width="59.83203125" customWidth="1"/>
    <col min="13" max="13" width="18.6640625" customWidth="1"/>
    <col min="15" max="15" width="18.5" customWidth="1"/>
  </cols>
  <sheetData>
    <row r="4" spans="2:18" x14ac:dyDescent="0.2">
      <c r="B4" s="57" t="s">
        <v>0</v>
      </c>
      <c r="C4" s="58" t="s">
        <v>1</v>
      </c>
      <c r="D4" s="59" t="s">
        <v>2</v>
      </c>
      <c r="E4" s="59" t="s">
        <v>3</v>
      </c>
      <c r="F4" s="59" t="s">
        <v>4</v>
      </c>
      <c r="G4" s="59" t="s">
        <v>5</v>
      </c>
      <c r="H4" s="60" t="s">
        <v>6</v>
      </c>
    </row>
    <row r="5" spans="2:18" x14ac:dyDescent="0.2">
      <c r="B5" s="8" t="s">
        <v>33</v>
      </c>
      <c r="C5" s="61">
        <v>1194000</v>
      </c>
      <c r="D5" s="62">
        <v>474000</v>
      </c>
      <c r="E5" s="50">
        <v>210000</v>
      </c>
      <c r="F5" s="50">
        <v>50000</v>
      </c>
      <c r="G5" s="50">
        <v>480000</v>
      </c>
      <c r="H5" s="63">
        <f t="shared" ref="H5:H17" si="0">G5/C5</f>
        <v>0.4020100502512563</v>
      </c>
    </row>
    <row r="6" spans="2:18" x14ac:dyDescent="0.2">
      <c r="B6" s="8" t="s">
        <v>34</v>
      </c>
      <c r="C6" s="52">
        <v>1047000</v>
      </c>
      <c r="D6" s="50">
        <v>500000</v>
      </c>
      <c r="E6" s="50">
        <v>198000</v>
      </c>
      <c r="F6" s="50">
        <v>50000</v>
      </c>
      <c r="G6" s="50">
        <v>320000</v>
      </c>
      <c r="H6" s="63">
        <f t="shared" si="0"/>
        <v>0.30563514804202485</v>
      </c>
    </row>
    <row r="7" spans="2:18" x14ac:dyDescent="0.2">
      <c r="B7" s="8" t="s">
        <v>35</v>
      </c>
      <c r="C7" s="49">
        <v>1206000</v>
      </c>
      <c r="D7" s="50">
        <v>481000</v>
      </c>
      <c r="E7" s="50">
        <v>195000</v>
      </c>
      <c r="F7" s="50">
        <v>50000</v>
      </c>
      <c r="G7" s="50">
        <v>500000</v>
      </c>
      <c r="H7" s="63">
        <f t="shared" si="0"/>
        <v>0.41459369817578773</v>
      </c>
    </row>
    <row r="8" spans="2:18" x14ac:dyDescent="0.2">
      <c r="B8" s="8" t="s">
        <v>36</v>
      </c>
      <c r="C8" s="49">
        <v>1195000</v>
      </c>
      <c r="D8" s="49">
        <v>680000</v>
      </c>
      <c r="E8" s="49">
        <v>215000</v>
      </c>
      <c r="F8" s="49">
        <v>50000</v>
      </c>
      <c r="G8" s="49">
        <v>270000</v>
      </c>
      <c r="H8" s="63">
        <f t="shared" si="0"/>
        <v>0.22594142259414227</v>
      </c>
    </row>
    <row r="9" spans="2:18" x14ac:dyDescent="0.2">
      <c r="B9" s="8" t="s">
        <v>10</v>
      </c>
      <c r="C9" s="49">
        <v>971000</v>
      </c>
      <c r="D9" s="49">
        <v>461000</v>
      </c>
      <c r="E9" s="49">
        <v>199000</v>
      </c>
      <c r="F9" s="49">
        <v>50000</v>
      </c>
      <c r="G9" s="49">
        <v>280000</v>
      </c>
      <c r="H9" s="63">
        <f t="shared" si="0"/>
        <v>0.28836251287332648</v>
      </c>
    </row>
    <row r="10" spans="2:18" x14ac:dyDescent="0.2">
      <c r="B10" s="8" t="s">
        <v>37</v>
      </c>
      <c r="C10" s="49">
        <v>960000</v>
      </c>
      <c r="D10" s="49">
        <v>485000</v>
      </c>
      <c r="E10" s="49">
        <v>305000</v>
      </c>
      <c r="F10" s="49">
        <v>50000</v>
      </c>
      <c r="G10" s="49">
        <v>140000</v>
      </c>
      <c r="H10" s="63">
        <f t="shared" si="0"/>
        <v>0.14583333333333334</v>
      </c>
    </row>
    <row r="11" spans="2:18" x14ac:dyDescent="0.2">
      <c r="B11" s="8" t="s">
        <v>38</v>
      </c>
      <c r="C11" s="49">
        <v>1297000</v>
      </c>
      <c r="D11" s="49">
        <v>504800</v>
      </c>
      <c r="E11" s="49">
        <v>221800</v>
      </c>
      <c r="F11" s="49">
        <v>50000</v>
      </c>
      <c r="G11" s="49">
        <v>540000</v>
      </c>
      <c r="H11" s="63">
        <f t="shared" si="0"/>
        <v>0.41634541249036239</v>
      </c>
    </row>
    <row r="12" spans="2:18" x14ac:dyDescent="0.2">
      <c r="B12" s="8" t="s">
        <v>39</v>
      </c>
      <c r="C12" s="49">
        <v>949000</v>
      </c>
      <c r="D12" s="49">
        <v>414200</v>
      </c>
      <c r="E12" s="49">
        <v>162700</v>
      </c>
      <c r="F12" s="49">
        <v>50000</v>
      </c>
      <c r="G12" s="49">
        <v>342000</v>
      </c>
      <c r="H12" s="63">
        <f t="shared" si="0"/>
        <v>0.36037934668071653</v>
      </c>
    </row>
    <row r="13" spans="2:18" x14ac:dyDescent="0.2">
      <c r="B13" s="8" t="s">
        <v>40</v>
      </c>
      <c r="C13" s="49">
        <v>1001000</v>
      </c>
      <c r="D13" s="49">
        <v>459500</v>
      </c>
      <c r="E13" s="49">
        <v>225300</v>
      </c>
      <c r="F13" s="49">
        <v>50000</v>
      </c>
      <c r="G13" s="49">
        <v>286000</v>
      </c>
      <c r="H13" s="63">
        <f t="shared" si="0"/>
        <v>0.2857142857142857</v>
      </c>
    </row>
    <row r="14" spans="2:18" x14ac:dyDescent="0.2">
      <c r="B14" s="8" t="s">
        <v>41</v>
      </c>
      <c r="C14" s="49">
        <v>1214000</v>
      </c>
      <c r="D14" s="49">
        <v>510000</v>
      </c>
      <c r="E14" s="49">
        <v>272500</v>
      </c>
      <c r="F14" s="49">
        <v>90000</v>
      </c>
      <c r="G14" s="49">
        <v>360000</v>
      </c>
      <c r="H14" s="63">
        <f t="shared" si="0"/>
        <v>0.29654036243822074</v>
      </c>
    </row>
    <row r="15" spans="2:18" x14ac:dyDescent="0.2">
      <c r="B15" s="8" t="s">
        <v>42</v>
      </c>
      <c r="C15" s="49">
        <v>970000</v>
      </c>
      <c r="D15" s="49">
        <v>388000</v>
      </c>
      <c r="E15" s="49">
        <v>301700</v>
      </c>
      <c r="F15" s="49">
        <v>90000</v>
      </c>
      <c r="G15" s="49">
        <v>210000</v>
      </c>
      <c r="H15" s="63">
        <f t="shared" si="0"/>
        <v>0.21649484536082475</v>
      </c>
      <c r="O15" s="64"/>
      <c r="P15" s="65" t="s">
        <v>49</v>
      </c>
      <c r="Q15" s="66"/>
      <c r="R15" s="67"/>
    </row>
    <row r="16" spans="2:18" x14ac:dyDescent="0.2">
      <c r="B16" s="8" t="s">
        <v>43</v>
      </c>
      <c r="C16" s="49">
        <v>1288000</v>
      </c>
      <c r="D16" s="49">
        <v>522000</v>
      </c>
      <c r="E16" s="49">
        <v>305800</v>
      </c>
      <c r="F16" s="49">
        <v>90000</v>
      </c>
      <c r="G16" s="49">
        <v>370000</v>
      </c>
      <c r="H16" s="63">
        <f t="shared" si="0"/>
        <v>0.28726708074534163</v>
      </c>
      <c r="O16" s="68" t="s">
        <v>50</v>
      </c>
      <c r="P16" s="69">
        <v>1</v>
      </c>
      <c r="Q16" s="70">
        <v>1000</v>
      </c>
      <c r="R16" s="71">
        <v>44248</v>
      </c>
    </row>
    <row r="17" spans="2:18" x14ac:dyDescent="0.2">
      <c r="B17" s="19" t="s">
        <v>21</v>
      </c>
      <c r="C17" s="55">
        <f t="shared" ref="C17:G17" si="1">SUM(C5:C16)</f>
        <v>13292000</v>
      </c>
      <c r="D17" s="55">
        <f t="shared" si="1"/>
        <v>5879500</v>
      </c>
      <c r="E17" s="55">
        <f t="shared" si="1"/>
        <v>2811800</v>
      </c>
      <c r="F17" s="55">
        <f t="shared" si="1"/>
        <v>720000</v>
      </c>
      <c r="G17" s="55">
        <f t="shared" si="1"/>
        <v>4098000</v>
      </c>
      <c r="H17" s="72">
        <f t="shared" si="0"/>
        <v>0.30830574781823655</v>
      </c>
      <c r="O17" s="69" t="s">
        <v>51</v>
      </c>
      <c r="P17" s="69">
        <v>2</v>
      </c>
      <c r="Q17" s="70">
        <v>15000</v>
      </c>
      <c r="R17" s="71">
        <v>44234</v>
      </c>
    </row>
    <row r="18" spans="2:18" x14ac:dyDescent="0.2">
      <c r="O18" s="69" t="s">
        <v>52</v>
      </c>
      <c r="P18" s="69">
        <v>1</v>
      </c>
      <c r="Q18" s="70">
        <v>2000</v>
      </c>
      <c r="R18" s="71">
        <v>44233</v>
      </c>
    </row>
    <row r="19" spans="2:18" x14ac:dyDescent="0.2">
      <c r="O19" s="69" t="s">
        <v>25</v>
      </c>
      <c r="P19" s="69">
        <v>1</v>
      </c>
      <c r="Q19" s="70">
        <v>2000</v>
      </c>
      <c r="R19" s="71">
        <v>44245</v>
      </c>
    </row>
    <row r="21" spans="2:18" ht="15.75" customHeight="1" x14ac:dyDescent="0.15">
      <c r="B21" s="117" t="s">
        <v>7</v>
      </c>
      <c r="C21" s="115"/>
      <c r="D21" s="118" t="s">
        <v>8</v>
      </c>
      <c r="E21" s="115"/>
      <c r="F21" s="119" t="s">
        <v>9</v>
      </c>
      <c r="G21" s="115"/>
      <c r="J21" s="114" t="s">
        <v>22</v>
      </c>
      <c r="K21" s="116"/>
      <c r="L21" s="116"/>
      <c r="M21" s="115"/>
    </row>
    <row r="22" spans="2:18" x14ac:dyDescent="0.2">
      <c r="B22" s="12" t="s">
        <v>11</v>
      </c>
      <c r="C22" s="12" t="s">
        <v>12</v>
      </c>
      <c r="D22" s="12" t="s">
        <v>11</v>
      </c>
      <c r="E22" s="12" t="s">
        <v>12</v>
      </c>
      <c r="F22" s="12" t="s">
        <v>11</v>
      </c>
      <c r="G22" s="12" t="s">
        <v>12</v>
      </c>
      <c r="J22" s="12" t="s">
        <v>11</v>
      </c>
      <c r="K22" s="12" t="s">
        <v>12</v>
      </c>
      <c r="L22" s="30" t="s">
        <v>23</v>
      </c>
      <c r="M22" s="31" t="s">
        <v>24</v>
      </c>
    </row>
    <row r="23" spans="2:18" x14ac:dyDescent="0.2">
      <c r="B23" s="15">
        <v>44228</v>
      </c>
      <c r="C23" s="16">
        <v>0</v>
      </c>
      <c r="D23" s="15">
        <v>44228</v>
      </c>
      <c r="E23" s="16">
        <v>120000</v>
      </c>
      <c r="F23" s="15">
        <v>44228</v>
      </c>
      <c r="G23" s="16">
        <v>340000</v>
      </c>
      <c r="J23" s="12" t="s">
        <v>53</v>
      </c>
      <c r="K23" s="16">
        <v>20000</v>
      </c>
      <c r="L23" s="37" t="s">
        <v>54</v>
      </c>
      <c r="M23" s="38">
        <v>20000</v>
      </c>
    </row>
    <row r="24" spans="2:18" x14ac:dyDescent="0.2">
      <c r="B24" s="15">
        <v>44256</v>
      </c>
      <c r="C24" s="16">
        <v>0</v>
      </c>
      <c r="D24" s="15">
        <v>44256</v>
      </c>
      <c r="E24" s="16">
        <v>80000</v>
      </c>
      <c r="F24" s="15">
        <v>44256</v>
      </c>
      <c r="G24" s="16">
        <v>240000</v>
      </c>
      <c r="J24" s="12" t="s">
        <v>55</v>
      </c>
      <c r="K24" s="16">
        <v>0</v>
      </c>
      <c r="L24" s="37"/>
      <c r="M24" s="38">
        <v>0</v>
      </c>
    </row>
    <row r="25" spans="2:18" x14ac:dyDescent="0.2">
      <c r="B25" s="15">
        <v>44287</v>
      </c>
      <c r="C25" s="16">
        <v>0</v>
      </c>
      <c r="D25" s="15">
        <v>44287</v>
      </c>
      <c r="E25" s="16">
        <v>125000</v>
      </c>
      <c r="F25" s="15">
        <v>44287</v>
      </c>
      <c r="G25" s="16">
        <v>315000</v>
      </c>
      <c r="J25" s="12" t="s">
        <v>56</v>
      </c>
      <c r="K25" s="16">
        <v>60000</v>
      </c>
      <c r="L25" s="37" t="s">
        <v>57</v>
      </c>
      <c r="M25" s="38">
        <v>60000</v>
      </c>
    </row>
    <row r="26" spans="2:18" x14ac:dyDescent="0.2">
      <c r="B26" s="15">
        <v>44317</v>
      </c>
      <c r="C26" s="16">
        <v>0</v>
      </c>
      <c r="D26" s="15">
        <v>44317</v>
      </c>
      <c r="E26" s="16">
        <v>65000</v>
      </c>
      <c r="F26" s="15">
        <v>44317</v>
      </c>
      <c r="G26" s="16">
        <v>205000</v>
      </c>
      <c r="J26" s="12" t="s">
        <v>58</v>
      </c>
      <c r="K26" s="16">
        <v>0</v>
      </c>
      <c r="L26" s="37"/>
      <c r="M26" s="38">
        <v>0</v>
      </c>
    </row>
    <row r="27" spans="2:18" x14ac:dyDescent="0.2">
      <c r="B27" s="15">
        <v>44348</v>
      </c>
      <c r="C27" s="16">
        <v>0</v>
      </c>
      <c r="D27" s="15">
        <v>44348</v>
      </c>
      <c r="E27" s="16">
        <v>70000</v>
      </c>
      <c r="F27" s="15">
        <v>44348</v>
      </c>
      <c r="G27" s="16">
        <v>190000</v>
      </c>
      <c r="J27" s="12" t="s">
        <v>59</v>
      </c>
      <c r="K27" s="16">
        <v>20000</v>
      </c>
      <c r="L27" s="37" t="s">
        <v>60</v>
      </c>
      <c r="M27" s="38">
        <v>20000</v>
      </c>
    </row>
    <row r="28" spans="2:18" x14ac:dyDescent="0.2">
      <c r="B28" s="15">
        <v>44378</v>
      </c>
      <c r="C28" s="16">
        <v>0</v>
      </c>
      <c r="D28" s="15">
        <v>44378</v>
      </c>
      <c r="E28" s="16">
        <v>0</v>
      </c>
      <c r="F28" s="15">
        <v>44378</v>
      </c>
      <c r="G28" s="16">
        <v>61000</v>
      </c>
      <c r="J28" s="12" t="s">
        <v>13</v>
      </c>
      <c r="K28" s="16">
        <v>79000</v>
      </c>
      <c r="L28" s="37" t="s">
        <v>61</v>
      </c>
      <c r="M28" s="38">
        <v>79000</v>
      </c>
    </row>
    <row r="29" spans="2:18" x14ac:dyDescent="0.2">
      <c r="B29" s="15">
        <v>44409</v>
      </c>
      <c r="C29" s="16">
        <v>0</v>
      </c>
      <c r="D29" s="15">
        <v>44409</v>
      </c>
      <c r="E29" s="16">
        <v>135000</v>
      </c>
      <c r="F29" s="15">
        <v>44409</v>
      </c>
      <c r="G29" s="16">
        <v>340000</v>
      </c>
      <c r="J29" s="12" t="s">
        <v>14</v>
      </c>
      <c r="K29" s="16">
        <v>65000</v>
      </c>
      <c r="L29" s="37"/>
      <c r="M29" s="38">
        <v>65000</v>
      </c>
    </row>
    <row r="30" spans="2:18" x14ac:dyDescent="0.2">
      <c r="B30" s="15">
        <v>44440</v>
      </c>
      <c r="C30" s="16">
        <v>0</v>
      </c>
      <c r="D30" s="15">
        <v>44440</v>
      </c>
      <c r="E30" s="16">
        <v>85000</v>
      </c>
      <c r="F30" s="15">
        <v>44440</v>
      </c>
      <c r="G30" s="16">
        <v>254000</v>
      </c>
      <c r="J30" s="12" t="s">
        <v>16</v>
      </c>
      <c r="K30" s="16"/>
      <c r="L30" s="37"/>
      <c r="M30" s="38">
        <v>3000</v>
      </c>
    </row>
    <row r="31" spans="2:18" x14ac:dyDescent="0.2">
      <c r="B31" s="15">
        <v>44470</v>
      </c>
      <c r="C31" s="16">
        <v>0</v>
      </c>
      <c r="D31" s="15">
        <v>44470</v>
      </c>
      <c r="E31" s="16">
        <v>70000</v>
      </c>
      <c r="F31" s="15">
        <v>44470</v>
      </c>
      <c r="G31" s="16">
        <v>98000</v>
      </c>
      <c r="J31" s="12" t="s">
        <v>17</v>
      </c>
      <c r="K31" s="16"/>
      <c r="L31" s="33"/>
      <c r="M31" s="38">
        <v>118000</v>
      </c>
    </row>
    <row r="32" spans="2:18" x14ac:dyDescent="0.2">
      <c r="B32" s="15">
        <v>44501</v>
      </c>
      <c r="C32" s="16">
        <v>0</v>
      </c>
      <c r="D32" s="15">
        <v>44501</v>
      </c>
      <c r="E32" s="16">
        <v>90000</v>
      </c>
      <c r="F32" s="15">
        <v>44501</v>
      </c>
      <c r="G32" s="16">
        <v>255000</v>
      </c>
      <c r="J32" s="12" t="s">
        <v>18</v>
      </c>
      <c r="K32" s="16"/>
      <c r="L32" s="33"/>
      <c r="M32" s="38">
        <v>15000</v>
      </c>
    </row>
    <row r="33" spans="2:14" x14ac:dyDescent="0.2">
      <c r="B33" s="15">
        <v>44531</v>
      </c>
      <c r="C33" s="16">
        <v>0</v>
      </c>
      <c r="D33" s="15">
        <v>44531</v>
      </c>
      <c r="E33" s="16">
        <v>10000</v>
      </c>
      <c r="F33" s="15">
        <v>44531</v>
      </c>
      <c r="G33" s="16">
        <v>90000</v>
      </c>
      <c r="J33" s="12" t="s">
        <v>19</v>
      </c>
      <c r="K33" s="16"/>
      <c r="L33" s="37" t="s">
        <v>62</v>
      </c>
      <c r="M33" s="38">
        <v>110000</v>
      </c>
    </row>
    <row r="34" spans="2:14" x14ac:dyDescent="0.2">
      <c r="B34" s="15">
        <v>44562</v>
      </c>
      <c r="C34" s="16">
        <v>0</v>
      </c>
      <c r="D34" s="15">
        <v>44562</v>
      </c>
      <c r="E34" s="16">
        <v>90000</v>
      </c>
      <c r="F34" s="15">
        <v>44562</v>
      </c>
      <c r="G34" s="16">
        <v>280000</v>
      </c>
      <c r="J34" s="12" t="s">
        <v>20</v>
      </c>
      <c r="K34" s="16"/>
      <c r="L34" s="37" t="s">
        <v>63</v>
      </c>
      <c r="M34" s="38">
        <v>89000</v>
      </c>
      <c r="N34" s="73" t="s">
        <v>64</v>
      </c>
    </row>
    <row r="35" spans="2:14" x14ac:dyDescent="0.2">
      <c r="B35" s="19" t="s">
        <v>21</v>
      </c>
      <c r="C35" s="74">
        <f>SUM(C23:C34)</f>
        <v>0</v>
      </c>
      <c r="D35" s="22"/>
      <c r="E35" s="75">
        <f>SUM(E23:E34)</f>
        <v>940000</v>
      </c>
      <c r="F35" s="22"/>
      <c r="G35" s="76">
        <f>SUM(G23:G34)</f>
        <v>2668000</v>
      </c>
      <c r="J35" s="22"/>
      <c r="K35" s="20">
        <f>SUM(K23:K34)</f>
        <v>244000</v>
      </c>
      <c r="L35" s="42" t="s">
        <v>31</v>
      </c>
      <c r="M35" s="43">
        <f>SUM(M23:M34)</f>
        <v>579000</v>
      </c>
    </row>
    <row r="36" spans="2:14" x14ac:dyDescent="0.2">
      <c r="L36" s="42" t="s">
        <v>32</v>
      </c>
      <c r="M36" s="44">
        <f>K35-M35</f>
        <v>-335000</v>
      </c>
    </row>
  </sheetData>
  <mergeCells count="4">
    <mergeCell ref="B21:C21"/>
    <mergeCell ref="D21:E21"/>
    <mergeCell ref="F21:G21"/>
    <mergeCell ref="J21:M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outlinePr summaryBelow="0" summaryRight="0"/>
  </sheetPr>
  <dimension ref="C4:N36"/>
  <sheetViews>
    <sheetView workbookViewId="0"/>
  </sheetViews>
  <sheetFormatPr baseColWidth="10" defaultColWidth="12.6640625" defaultRowHeight="15.75" customHeight="1" x14ac:dyDescent="0.15"/>
  <cols>
    <col min="3" max="3" width="17.6640625" customWidth="1"/>
    <col min="4" max="4" width="23.5" customWidth="1"/>
    <col min="5" max="5" width="19.1640625" customWidth="1"/>
    <col min="6" max="6" width="22.5" customWidth="1"/>
    <col min="7" max="7" width="18.6640625" customWidth="1"/>
    <col min="8" max="8" width="20.33203125" customWidth="1"/>
    <col min="9" max="9" width="20.6640625" customWidth="1"/>
    <col min="12" max="12" width="35.5" customWidth="1"/>
    <col min="13" max="13" width="30.33203125" customWidth="1"/>
    <col min="14" max="14" width="23.5" customWidth="1"/>
  </cols>
  <sheetData>
    <row r="4" spans="3:12" ht="15.75" customHeight="1" x14ac:dyDescent="0.25">
      <c r="C4" s="57" t="s">
        <v>0</v>
      </c>
      <c r="D4" s="58" t="s">
        <v>1</v>
      </c>
      <c r="E4" s="59" t="s">
        <v>2</v>
      </c>
      <c r="F4" s="59" t="s">
        <v>3</v>
      </c>
      <c r="G4" s="59" t="s">
        <v>4</v>
      </c>
      <c r="H4" s="59" t="s">
        <v>5</v>
      </c>
      <c r="I4" s="60" t="s">
        <v>6</v>
      </c>
      <c r="L4" s="77" t="s">
        <v>65</v>
      </c>
    </row>
    <row r="5" spans="3:12" ht="15.75" customHeight="1" x14ac:dyDescent="0.25">
      <c r="C5" s="78" t="s">
        <v>33</v>
      </c>
      <c r="D5" s="79">
        <v>1051000</v>
      </c>
      <c r="E5" s="80">
        <v>435000</v>
      </c>
      <c r="F5" s="50">
        <v>226000</v>
      </c>
      <c r="G5" s="50">
        <v>90000</v>
      </c>
      <c r="H5" s="50">
        <v>300000</v>
      </c>
      <c r="I5" s="63">
        <f t="shared" ref="I5:I17" si="0">H5/D5</f>
        <v>0.28544243577545197</v>
      </c>
      <c r="L5" s="81">
        <v>0</v>
      </c>
    </row>
    <row r="6" spans="3:12" ht="15.75" customHeight="1" x14ac:dyDescent="0.25">
      <c r="C6" s="78" t="s">
        <v>34</v>
      </c>
      <c r="D6" s="82">
        <v>1300000</v>
      </c>
      <c r="E6" s="50">
        <v>463000</v>
      </c>
      <c r="F6" s="50">
        <v>278000</v>
      </c>
      <c r="G6" s="50">
        <v>90000</v>
      </c>
      <c r="H6" s="50">
        <v>470000</v>
      </c>
      <c r="I6" s="63">
        <f t="shared" si="0"/>
        <v>0.36153846153846153</v>
      </c>
      <c r="L6" s="81">
        <v>0</v>
      </c>
    </row>
    <row r="7" spans="3:12" ht="15.75" customHeight="1" x14ac:dyDescent="0.25">
      <c r="C7" s="78" t="s">
        <v>35</v>
      </c>
      <c r="D7" s="49">
        <v>1581000</v>
      </c>
      <c r="E7" s="50">
        <v>590000</v>
      </c>
      <c r="F7" s="50">
        <v>300000</v>
      </c>
      <c r="G7" s="50">
        <v>90000</v>
      </c>
      <c r="H7" s="50">
        <v>600000</v>
      </c>
      <c r="I7" s="63">
        <f t="shared" si="0"/>
        <v>0.37950664136622392</v>
      </c>
      <c r="L7" s="81">
        <v>0</v>
      </c>
    </row>
    <row r="8" spans="3:12" ht="15.75" customHeight="1" x14ac:dyDescent="0.25">
      <c r="C8" s="78" t="s">
        <v>36</v>
      </c>
      <c r="D8" s="49">
        <v>2197000</v>
      </c>
      <c r="E8" s="49">
        <v>1033000</v>
      </c>
      <c r="F8" s="49">
        <v>332000</v>
      </c>
      <c r="G8" s="49">
        <v>110000</v>
      </c>
      <c r="H8" s="49">
        <v>722000</v>
      </c>
      <c r="I8" s="63">
        <f t="shared" si="0"/>
        <v>0.32862994993172506</v>
      </c>
      <c r="L8" s="81">
        <v>20000</v>
      </c>
    </row>
    <row r="9" spans="3:12" ht="15.75" customHeight="1" x14ac:dyDescent="0.25">
      <c r="C9" s="78" t="s">
        <v>10</v>
      </c>
      <c r="D9" s="49">
        <v>1186000</v>
      </c>
      <c r="E9" s="49">
        <v>639000</v>
      </c>
      <c r="F9" s="49">
        <v>257000</v>
      </c>
      <c r="G9" s="49">
        <v>110000</v>
      </c>
      <c r="H9" s="49">
        <v>180000</v>
      </c>
      <c r="I9" s="63">
        <f t="shared" si="0"/>
        <v>0.15177065767284992</v>
      </c>
      <c r="L9" s="81">
        <v>20000</v>
      </c>
    </row>
    <row r="10" spans="3:12" ht="15.75" customHeight="1" x14ac:dyDescent="0.25">
      <c r="C10" s="78" t="s">
        <v>37</v>
      </c>
      <c r="D10" s="49">
        <v>1410000</v>
      </c>
      <c r="E10" s="49">
        <v>717000</v>
      </c>
      <c r="F10" s="49">
        <v>321000</v>
      </c>
      <c r="G10" s="49">
        <v>110000</v>
      </c>
      <c r="H10" s="49">
        <v>260000</v>
      </c>
      <c r="I10" s="63">
        <f t="shared" si="0"/>
        <v>0.18439716312056736</v>
      </c>
      <c r="L10" s="81">
        <v>20000</v>
      </c>
    </row>
    <row r="11" spans="3:12" ht="15.75" customHeight="1" x14ac:dyDescent="0.25">
      <c r="C11" s="78" t="s">
        <v>38</v>
      </c>
      <c r="D11" s="49">
        <v>2230000</v>
      </c>
      <c r="E11" s="49">
        <v>990000</v>
      </c>
      <c r="F11" s="49">
        <v>330000</v>
      </c>
      <c r="G11" s="49">
        <v>110000</v>
      </c>
      <c r="H11" s="49">
        <v>800000</v>
      </c>
      <c r="I11" s="63">
        <f t="shared" si="0"/>
        <v>0.35874439461883406</v>
      </c>
      <c r="L11" s="81">
        <v>20000</v>
      </c>
    </row>
    <row r="12" spans="3:12" ht="15.75" customHeight="1" x14ac:dyDescent="0.25">
      <c r="C12" s="78" t="s">
        <v>39</v>
      </c>
      <c r="D12" s="49">
        <v>1332000</v>
      </c>
      <c r="E12" s="49">
        <v>594000</v>
      </c>
      <c r="F12" s="49">
        <v>188000</v>
      </c>
      <c r="G12" s="49">
        <v>110000</v>
      </c>
      <c r="H12" s="49">
        <v>440000</v>
      </c>
      <c r="I12" s="63">
        <f t="shared" si="0"/>
        <v>0.33033033033033032</v>
      </c>
      <c r="L12" s="81">
        <v>20000</v>
      </c>
    </row>
    <row r="13" spans="3:12" ht="15.75" customHeight="1" x14ac:dyDescent="0.25">
      <c r="C13" s="78" t="s">
        <v>40</v>
      </c>
      <c r="D13" s="49">
        <v>1657000</v>
      </c>
      <c r="E13" s="49">
        <v>702000</v>
      </c>
      <c r="F13" s="49">
        <v>305000</v>
      </c>
      <c r="G13" s="49">
        <v>110000</v>
      </c>
      <c r="H13" s="49">
        <v>540000</v>
      </c>
      <c r="I13" s="63">
        <f t="shared" si="0"/>
        <v>0.3258901629450815</v>
      </c>
      <c r="L13" s="81">
        <v>20000</v>
      </c>
    </row>
    <row r="14" spans="3:12" ht="15.75" customHeight="1" x14ac:dyDescent="0.25">
      <c r="C14" s="78" t="s">
        <v>41</v>
      </c>
      <c r="D14" s="49">
        <v>1921000</v>
      </c>
      <c r="E14" s="49">
        <v>901000</v>
      </c>
      <c r="F14" s="49">
        <v>369000</v>
      </c>
      <c r="G14" s="49">
        <v>110000</v>
      </c>
      <c r="H14" s="49">
        <v>540000</v>
      </c>
      <c r="I14" s="63">
        <f t="shared" si="0"/>
        <v>0.28110359187922956</v>
      </c>
      <c r="L14" s="81">
        <v>20000</v>
      </c>
    </row>
    <row r="15" spans="3:12" ht="15.75" customHeight="1" x14ac:dyDescent="0.25">
      <c r="C15" s="78" t="s">
        <v>42</v>
      </c>
      <c r="D15" s="49">
        <v>1706000</v>
      </c>
      <c r="E15" s="49">
        <v>717000</v>
      </c>
      <c r="F15" s="49">
        <v>338000</v>
      </c>
      <c r="G15" s="49">
        <v>110000</v>
      </c>
      <c r="H15" s="49">
        <v>540000</v>
      </c>
      <c r="I15" s="63">
        <f t="shared" si="0"/>
        <v>0.31652989449003516</v>
      </c>
      <c r="L15" s="81">
        <v>20000</v>
      </c>
    </row>
    <row r="16" spans="3:12" ht="15.75" customHeight="1" x14ac:dyDescent="0.25">
      <c r="C16" s="78" t="s">
        <v>43</v>
      </c>
      <c r="D16" s="49">
        <v>1944000</v>
      </c>
      <c r="E16" s="49">
        <v>793000</v>
      </c>
      <c r="F16" s="49">
        <v>400000</v>
      </c>
      <c r="G16" s="49">
        <v>110000</v>
      </c>
      <c r="H16" s="49">
        <v>640000</v>
      </c>
      <c r="I16" s="63">
        <f t="shared" si="0"/>
        <v>0.32921810699588477</v>
      </c>
      <c r="L16" s="81">
        <v>20000</v>
      </c>
    </row>
    <row r="17" spans="3:14" ht="15.75" customHeight="1" x14ac:dyDescent="0.25">
      <c r="C17" s="83" t="s">
        <v>21</v>
      </c>
      <c r="D17" s="75">
        <f t="shared" ref="D17:H17" si="1">SUM(D5:D16)</f>
        <v>19515000</v>
      </c>
      <c r="E17" s="75">
        <f t="shared" si="1"/>
        <v>8574000</v>
      </c>
      <c r="F17" s="75">
        <f t="shared" si="1"/>
        <v>3644000</v>
      </c>
      <c r="G17" s="75">
        <f t="shared" si="1"/>
        <v>1260000</v>
      </c>
      <c r="H17" s="75">
        <f t="shared" si="1"/>
        <v>6032000</v>
      </c>
      <c r="I17" s="84">
        <f t="shared" si="0"/>
        <v>0.3090955675121701</v>
      </c>
      <c r="L17" s="85">
        <f>SUM(L5:L16)</f>
        <v>180000</v>
      </c>
    </row>
    <row r="21" spans="3:14" x14ac:dyDescent="0.2">
      <c r="C21" s="120" t="s">
        <v>7</v>
      </c>
      <c r="D21" s="115"/>
      <c r="E21" s="121" t="s">
        <v>8</v>
      </c>
      <c r="F21" s="115"/>
      <c r="G21" s="122" t="s">
        <v>9</v>
      </c>
      <c r="H21" s="115"/>
      <c r="I21" s="86"/>
      <c r="J21" s="86"/>
      <c r="K21" s="123" t="s">
        <v>22</v>
      </c>
      <c r="L21" s="116"/>
      <c r="M21" s="116"/>
      <c r="N21" s="115"/>
    </row>
    <row r="22" spans="3:14" x14ac:dyDescent="0.2">
      <c r="C22" s="53" t="s">
        <v>11</v>
      </c>
      <c r="D22" s="53" t="s">
        <v>12</v>
      </c>
      <c r="E22" s="53" t="s">
        <v>11</v>
      </c>
      <c r="F22" s="53" t="s">
        <v>12</v>
      </c>
      <c r="G22" s="53" t="s">
        <v>11</v>
      </c>
      <c r="H22" s="53" t="s">
        <v>12</v>
      </c>
      <c r="I22" s="86"/>
      <c r="J22" s="86"/>
      <c r="K22" s="53" t="s">
        <v>11</v>
      </c>
      <c r="L22" s="53" t="s">
        <v>12</v>
      </c>
      <c r="M22" s="30" t="s">
        <v>23</v>
      </c>
      <c r="N22" s="31" t="s">
        <v>24</v>
      </c>
    </row>
    <row r="23" spans="3:14" x14ac:dyDescent="0.2">
      <c r="C23" s="87">
        <v>44228</v>
      </c>
      <c r="D23" s="88">
        <v>0</v>
      </c>
      <c r="E23" s="87">
        <v>44228</v>
      </c>
      <c r="F23" s="88">
        <v>75000</v>
      </c>
      <c r="G23" s="87">
        <v>44228</v>
      </c>
      <c r="H23" s="88">
        <v>225000</v>
      </c>
      <c r="I23" s="86"/>
      <c r="J23" s="86"/>
      <c r="K23" s="53" t="s">
        <v>53</v>
      </c>
      <c r="L23" s="88"/>
      <c r="M23" s="37"/>
      <c r="N23" s="38"/>
    </row>
    <row r="24" spans="3:14" x14ac:dyDescent="0.2">
      <c r="C24" s="87">
        <v>44256</v>
      </c>
      <c r="D24" s="88">
        <v>20000</v>
      </c>
      <c r="E24" s="87">
        <v>44256</v>
      </c>
      <c r="F24" s="88">
        <v>113000</v>
      </c>
      <c r="G24" s="87">
        <v>44256</v>
      </c>
      <c r="H24" s="88">
        <v>337000</v>
      </c>
      <c r="I24" s="86"/>
      <c r="J24" s="86"/>
      <c r="K24" s="53" t="s">
        <v>55</v>
      </c>
      <c r="L24" s="88"/>
      <c r="M24" s="37"/>
      <c r="N24" s="38"/>
    </row>
    <row r="25" spans="3:14" x14ac:dyDescent="0.2">
      <c r="C25" s="87">
        <v>44287</v>
      </c>
      <c r="D25" s="88">
        <v>0</v>
      </c>
      <c r="E25" s="87">
        <v>44287</v>
      </c>
      <c r="F25" s="88">
        <v>0</v>
      </c>
      <c r="G25" s="87">
        <v>44287</v>
      </c>
      <c r="H25" s="88">
        <v>600000</v>
      </c>
      <c r="I25" s="89"/>
      <c r="J25" s="86"/>
      <c r="K25" s="53" t="s">
        <v>56</v>
      </c>
      <c r="L25" s="88" t="s">
        <v>66</v>
      </c>
      <c r="M25" s="37" t="s">
        <v>67</v>
      </c>
      <c r="N25" s="38">
        <v>220000</v>
      </c>
    </row>
    <row r="26" spans="3:14" x14ac:dyDescent="0.2">
      <c r="C26" s="87">
        <v>44317</v>
      </c>
      <c r="D26" s="88">
        <v>0</v>
      </c>
      <c r="E26" s="87">
        <v>44317</v>
      </c>
      <c r="F26" s="88">
        <v>0</v>
      </c>
      <c r="G26" s="87">
        <v>44317</v>
      </c>
      <c r="H26" s="88">
        <v>722000</v>
      </c>
      <c r="I26" s="89"/>
      <c r="J26" s="86"/>
      <c r="K26" s="53" t="s">
        <v>58</v>
      </c>
      <c r="L26" s="88"/>
      <c r="M26" s="37"/>
      <c r="N26" s="38"/>
    </row>
    <row r="27" spans="3:14" x14ac:dyDescent="0.2">
      <c r="C27" s="87">
        <v>44348</v>
      </c>
      <c r="D27" s="88">
        <v>0</v>
      </c>
      <c r="E27" s="87">
        <v>44348</v>
      </c>
      <c r="F27" s="88">
        <v>0</v>
      </c>
      <c r="G27" s="87">
        <v>44348</v>
      </c>
      <c r="H27" s="88">
        <v>180000</v>
      </c>
      <c r="I27" s="89"/>
      <c r="J27" s="86"/>
      <c r="K27" s="53" t="s">
        <v>59</v>
      </c>
      <c r="L27" s="88"/>
      <c r="M27" s="37"/>
      <c r="N27" s="38"/>
    </row>
    <row r="28" spans="3:14" x14ac:dyDescent="0.2">
      <c r="C28" s="87">
        <v>44378</v>
      </c>
      <c r="D28" s="88">
        <v>0</v>
      </c>
      <c r="E28" s="87">
        <v>44378</v>
      </c>
      <c r="F28" s="88">
        <v>0</v>
      </c>
      <c r="G28" s="87">
        <v>44378</v>
      </c>
      <c r="H28" s="88">
        <v>260000</v>
      </c>
      <c r="I28" s="89"/>
      <c r="J28" s="86"/>
      <c r="K28" s="53" t="s">
        <v>13</v>
      </c>
      <c r="L28" s="88">
        <v>40000</v>
      </c>
      <c r="M28" s="37" t="s">
        <v>68</v>
      </c>
      <c r="N28" s="38">
        <v>40000</v>
      </c>
    </row>
    <row r="29" spans="3:14" x14ac:dyDescent="0.2">
      <c r="C29" s="87">
        <v>44409</v>
      </c>
      <c r="D29" s="88">
        <v>0</v>
      </c>
      <c r="E29" s="87">
        <v>44409</v>
      </c>
      <c r="F29" s="88">
        <v>0</v>
      </c>
      <c r="G29" s="87">
        <v>44409</v>
      </c>
      <c r="H29" s="88">
        <v>800000</v>
      </c>
      <c r="I29" s="89"/>
      <c r="J29" s="86"/>
      <c r="K29" s="53" t="s">
        <v>14</v>
      </c>
      <c r="L29" s="88"/>
      <c r="M29" s="37"/>
      <c r="N29" s="38"/>
    </row>
    <row r="30" spans="3:14" x14ac:dyDescent="0.2">
      <c r="C30" s="87">
        <v>44440</v>
      </c>
      <c r="D30" s="88">
        <v>0</v>
      </c>
      <c r="E30" s="87">
        <v>44440</v>
      </c>
      <c r="F30" s="88">
        <v>0</v>
      </c>
      <c r="G30" s="87">
        <v>44440</v>
      </c>
      <c r="H30" s="88">
        <v>440000</v>
      </c>
      <c r="I30" s="89"/>
      <c r="J30" s="86"/>
      <c r="K30" s="53" t="s">
        <v>16</v>
      </c>
      <c r="L30" s="88"/>
      <c r="M30" s="37"/>
      <c r="N30" s="38"/>
    </row>
    <row r="31" spans="3:14" x14ac:dyDescent="0.2">
      <c r="C31" s="87">
        <v>44470</v>
      </c>
      <c r="D31" s="88">
        <v>0</v>
      </c>
      <c r="E31" s="87">
        <v>44470</v>
      </c>
      <c r="F31" s="88">
        <v>0</v>
      </c>
      <c r="G31" s="87">
        <v>44470</v>
      </c>
      <c r="H31" s="88">
        <v>540000</v>
      </c>
      <c r="I31" s="86"/>
      <c r="J31" s="86"/>
      <c r="K31" s="53" t="s">
        <v>17</v>
      </c>
      <c r="L31" s="88"/>
      <c r="M31" s="33"/>
      <c r="N31" s="38"/>
    </row>
    <row r="32" spans="3:14" x14ac:dyDescent="0.2">
      <c r="C32" s="87">
        <v>44501</v>
      </c>
      <c r="D32" s="88">
        <v>0</v>
      </c>
      <c r="E32" s="87">
        <v>44501</v>
      </c>
      <c r="F32" s="88">
        <v>0</v>
      </c>
      <c r="G32" s="87">
        <v>44501</v>
      </c>
      <c r="H32" s="88">
        <v>540000</v>
      </c>
      <c r="I32" s="86"/>
      <c r="J32" s="86"/>
      <c r="K32" s="53" t="s">
        <v>18</v>
      </c>
      <c r="L32" s="88"/>
      <c r="M32" s="33"/>
      <c r="N32" s="38"/>
    </row>
    <row r="33" spans="3:14" x14ac:dyDescent="0.2">
      <c r="C33" s="87">
        <v>44531</v>
      </c>
      <c r="D33" s="88">
        <v>0</v>
      </c>
      <c r="E33" s="87">
        <v>44531</v>
      </c>
      <c r="F33" s="88"/>
      <c r="G33" s="87">
        <v>44531</v>
      </c>
      <c r="H33" s="88"/>
      <c r="I33" s="86"/>
      <c r="J33" s="86"/>
      <c r="K33" s="53" t="s">
        <v>19</v>
      </c>
      <c r="L33" s="88"/>
      <c r="M33" s="37"/>
      <c r="N33" s="38"/>
    </row>
    <row r="34" spans="3:14" x14ac:dyDescent="0.2">
      <c r="C34" s="87">
        <v>44562</v>
      </c>
      <c r="D34" s="88">
        <v>0</v>
      </c>
      <c r="E34" s="87">
        <v>44562</v>
      </c>
      <c r="F34" s="88"/>
      <c r="G34" s="87">
        <v>44562</v>
      </c>
      <c r="H34" s="88"/>
      <c r="I34" s="86"/>
      <c r="J34" s="86"/>
      <c r="K34" s="53" t="s">
        <v>20</v>
      </c>
      <c r="L34" s="88"/>
      <c r="M34" s="37"/>
      <c r="N34" s="38"/>
    </row>
    <row r="35" spans="3:14" x14ac:dyDescent="0.2">
      <c r="C35" s="19" t="s">
        <v>21</v>
      </c>
      <c r="D35" s="74">
        <f>SUM(D23:D34)</f>
        <v>20000</v>
      </c>
      <c r="E35" s="22"/>
      <c r="F35" s="75">
        <f>SUM(F23:F34)</f>
        <v>188000</v>
      </c>
      <c r="G35" s="22"/>
      <c r="H35" s="76">
        <f>SUM(H23:H34)</f>
        <v>4644000</v>
      </c>
      <c r="K35" s="22"/>
      <c r="L35" s="20">
        <f>SUM(L23:L34)</f>
        <v>40000</v>
      </c>
      <c r="M35" s="42" t="s">
        <v>31</v>
      </c>
      <c r="N35" s="43">
        <f>SUM(N23:N34)</f>
        <v>260000</v>
      </c>
    </row>
    <row r="36" spans="3:14" x14ac:dyDescent="0.2">
      <c r="M36" s="42" t="s">
        <v>32</v>
      </c>
      <c r="N36" s="44">
        <f>L35-N35</f>
        <v>-220000</v>
      </c>
    </row>
  </sheetData>
  <mergeCells count="4">
    <mergeCell ref="C21:D21"/>
    <mergeCell ref="E21:F21"/>
    <mergeCell ref="G21:H21"/>
    <mergeCell ref="K21:N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outlinePr summaryBelow="0" summaryRight="0"/>
  </sheetPr>
  <dimension ref="E3:K16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5" max="5" width="25.6640625" customWidth="1"/>
    <col min="6" max="6" width="25.33203125" customWidth="1"/>
    <col min="7" max="7" width="26.33203125" customWidth="1"/>
    <col min="8" max="8" width="25.6640625" customWidth="1"/>
    <col min="9" max="9" width="26.1640625" customWidth="1"/>
    <col min="10" max="10" width="26.33203125" customWidth="1"/>
    <col min="11" max="11" width="20.33203125" customWidth="1"/>
  </cols>
  <sheetData>
    <row r="3" spans="5:11" ht="15.75" customHeight="1" x14ac:dyDescent="0.25">
      <c r="E3" s="90" t="s">
        <v>0</v>
      </c>
      <c r="F3" s="91" t="s">
        <v>1</v>
      </c>
      <c r="G3" s="92" t="s">
        <v>2</v>
      </c>
      <c r="H3" s="92" t="s">
        <v>3</v>
      </c>
      <c r="I3" s="92" t="s">
        <v>4</v>
      </c>
      <c r="J3" s="92" t="s">
        <v>5</v>
      </c>
      <c r="K3" s="93" t="s">
        <v>6</v>
      </c>
    </row>
    <row r="4" spans="5:11" ht="15.75" customHeight="1" x14ac:dyDescent="0.25">
      <c r="E4" s="94" t="s">
        <v>33</v>
      </c>
      <c r="F4" s="95">
        <v>1441000</v>
      </c>
      <c r="G4" s="96">
        <v>749000</v>
      </c>
      <c r="H4" s="97">
        <v>332000</v>
      </c>
      <c r="I4" s="97">
        <v>110000</v>
      </c>
      <c r="J4" s="97">
        <v>250000</v>
      </c>
      <c r="K4" s="98">
        <f t="shared" ref="K4:K16" si="0">J4/F4</f>
        <v>0.17349063150589869</v>
      </c>
    </row>
    <row r="5" spans="5:11" ht="15.75" customHeight="1" x14ac:dyDescent="0.25">
      <c r="E5" s="94" t="s">
        <v>34</v>
      </c>
      <c r="F5" s="99">
        <v>1400000</v>
      </c>
      <c r="G5" s="97">
        <v>598000</v>
      </c>
      <c r="H5" s="97">
        <v>413000</v>
      </c>
      <c r="I5" s="97">
        <v>110000</v>
      </c>
      <c r="J5" s="97">
        <v>280000</v>
      </c>
      <c r="K5" s="98">
        <f t="shared" si="0"/>
        <v>0.2</v>
      </c>
    </row>
    <row r="6" spans="5:11" ht="15.75" customHeight="1" x14ac:dyDescent="0.25">
      <c r="E6" s="94" t="s">
        <v>35</v>
      </c>
      <c r="F6" s="100">
        <v>1928000</v>
      </c>
      <c r="G6" s="97">
        <v>935000</v>
      </c>
      <c r="H6" s="97">
        <v>363000</v>
      </c>
      <c r="I6" s="97">
        <v>110000</v>
      </c>
      <c r="J6" s="97">
        <v>480000</v>
      </c>
      <c r="K6" s="98">
        <f t="shared" si="0"/>
        <v>0.24896265560165975</v>
      </c>
    </row>
    <row r="7" spans="5:11" ht="15.75" customHeight="1" x14ac:dyDescent="0.25">
      <c r="E7" s="94" t="s">
        <v>36</v>
      </c>
      <c r="F7" s="100">
        <v>1488000</v>
      </c>
      <c r="G7" s="100">
        <v>670000</v>
      </c>
      <c r="H7" s="100">
        <v>338000</v>
      </c>
      <c r="I7" s="100">
        <v>110000</v>
      </c>
      <c r="J7" s="100">
        <v>330000</v>
      </c>
      <c r="K7" s="98">
        <f t="shared" si="0"/>
        <v>0.22177419354838709</v>
      </c>
    </row>
    <row r="8" spans="5:11" ht="15.75" customHeight="1" x14ac:dyDescent="0.25">
      <c r="E8" s="94" t="s">
        <v>10</v>
      </c>
      <c r="F8" s="101">
        <v>1540000</v>
      </c>
      <c r="G8" s="101" t="s">
        <v>69</v>
      </c>
      <c r="H8" s="101" t="s">
        <v>70</v>
      </c>
      <c r="I8" s="100">
        <v>110000</v>
      </c>
      <c r="J8" s="101">
        <v>330000</v>
      </c>
      <c r="K8" s="98">
        <f t="shared" si="0"/>
        <v>0.21428571428571427</v>
      </c>
    </row>
    <row r="9" spans="5:11" ht="15.75" customHeight="1" x14ac:dyDescent="0.25">
      <c r="E9" s="94" t="s">
        <v>37</v>
      </c>
      <c r="F9" s="101">
        <v>1577000</v>
      </c>
      <c r="G9" s="101" t="s">
        <v>71</v>
      </c>
      <c r="H9" s="101" t="s">
        <v>72</v>
      </c>
      <c r="I9" s="101" t="s">
        <v>73</v>
      </c>
      <c r="J9" s="101">
        <v>420000</v>
      </c>
      <c r="K9" s="98">
        <f t="shared" si="0"/>
        <v>0.26632847178186431</v>
      </c>
    </row>
    <row r="10" spans="5:11" ht="15.75" customHeight="1" x14ac:dyDescent="0.25">
      <c r="E10" s="94" t="s">
        <v>38</v>
      </c>
      <c r="F10" s="101">
        <v>1880000</v>
      </c>
      <c r="G10" s="101" t="s">
        <v>74</v>
      </c>
      <c r="H10" s="101" t="s">
        <v>75</v>
      </c>
      <c r="I10" s="101" t="s">
        <v>73</v>
      </c>
      <c r="J10" s="101">
        <v>520000</v>
      </c>
      <c r="K10" s="98">
        <f t="shared" si="0"/>
        <v>0.27659574468085107</v>
      </c>
    </row>
    <row r="11" spans="5:11" ht="15.75" customHeight="1" x14ac:dyDescent="0.25">
      <c r="E11" s="94" t="s">
        <v>39</v>
      </c>
      <c r="F11" s="101">
        <v>941000</v>
      </c>
      <c r="G11" s="101" t="s">
        <v>76</v>
      </c>
      <c r="H11" s="101" t="s">
        <v>77</v>
      </c>
      <c r="I11" s="101" t="s">
        <v>73</v>
      </c>
      <c r="J11" s="101">
        <v>100000</v>
      </c>
      <c r="K11" s="98">
        <f t="shared" si="0"/>
        <v>0.10626992561105207</v>
      </c>
    </row>
    <row r="12" spans="5:11" ht="15.75" customHeight="1" x14ac:dyDescent="0.25">
      <c r="E12" s="94" t="s">
        <v>40</v>
      </c>
      <c r="F12" s="101">
        <v>1629000</v>
      </c>
      <c r="G12" s="101" t="s">
        <v>78</v>
      </c>
      <c r="H12" s="101" t="s">
        <v>79</v>
      </c>
      <c r="I12" s="101" t="s">
        <v>73</v>
      </c>
      <c r="J12" s="101">
        <v>540000</v>
      </c>
      <c r="K12" s="98">
        <f t="shared" si="0"/>
        <v>0.33149171270718231</v>
      </c>
    </row>
    <row r="13" spans="5:11" ht="15.75" customHeight="1" x14ac:dyDescent="0.25">
      <c r="E13" s="94" t="s">
        <v>41</v>
      </c>
      <c r="F13" s="101">
        <v>1264000</v>
      </c>
      <c r="G13" s="101" t="s">
        <v>80</v>
      </c>
      <c r="H13" s="101" t="s">
        <v>81</v>
      </c>
      <c r="I13" s="101" t="s">
        <v>73</v>
      </c>
      <c r="J13" s="101">
        <v>210000</v>
      </c>
      <c r="K13" s="98">
        <f t="shared" si="0"/>
        <v>0.16613924050632911</v>
      </c>
    </row>
    <row r="14" spans="5:11" ht="15.75" customHeight="1" x14ac:dyDescent="0.25">
      <c r="E14" s="94" t="s">
        <v>42</v>
      </c>
      <c r="F14" s="101">
        <v>1254000</v>
      </c>
      <c r="G14" s="101" t="s">
        <v>82</v>
      </c>
      <c r="H14" s="101" t="s">
        <v>83</v>
      </c>
      <c r="I14" s="101" t="s">
        <v>73</v>
      </c>
      <c r="J14" s="101">
        <v>330000</v>
      </c>
      <c r="K14" s="98">
        <f t="shared" si="0"/>
        <v>0.26315789473684209</v>
      </c>
    </row>
    <row r="15" spans="5:11" ht="15.75" customHeight="1" x14ac:dyDescent="0.25">
      <c r="E15" s="94" t="s">
        <v>43</v>
      </c>
      <c r="F15" s="101">
        <v>1672000</v>
      </c>
      <c r="G15" s="101" t="s">
        <v>84</v>
      </c>
      <c r="H15" s="101" t="s">
        <v>85</v>
      </c>
      <c r="I15" s="101" t="s">
        <v>73</v>
      </c>
      <c r="J15" s="101">
        <v>450000</v>
      </c>
      <c r="K15" s="98">
        <f t="shared" si="0"/>
        <v>0.26913875598086123</v>
      </c>
    </row>
    <row r="16" spans="5:11" ht="15.75" customHeight="1" x14ac:dyDescent="0.25">
      <c r="E16" s="102" t="s">
        <v>21</v>
      </c>
      <c r="F16" s="103">
        <f t="shared" ref="F16:J16" si="1">SUM(F4:F15)</f>
        <v>18014000</v>
      </c>
      <c r="G16" s="103">
        <f t="shared" si="1"/>
        <v>2952000</v>
      </c>
      <c r="H16" s="103">
        <f t="shared" si="1"/>
        <v>1446000</v>
      </c>
      <c r="I16" s="103">
        <f t="shared" si="1"/>
        <v>550000</v>
      </c>
      <c r="J16" s="103">
        <f t="shared" si="1"/>
        <v>4240000</v>
      </c>
      <c r="K16" s="104">
        <f t="shared" si="0"/>
        <v>0.23537248806483846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outlinePr summaryBelow="0" summaryRight="0"/>
  </sheetPr>
  <dimension ref="I4:S21"/>
  <sheetViews>
    <sheetView tabSelected="1" workbookViewId="0"/>
  </sheetViews>
  <sheetFormatPr baseColWidth="10" defaultColWidth="12.6640625" defaultRowHeight="15.75" customHeight="1" x14ac:dyDescent="0.15"/>
  <cols>
    <col min="9" max="9" width="25.1640625" customWidth="1"/>
    <col min="10" max="10" width="26.1640625" customWidth="1"/>
    <col min="11" max="12" width="25.6640625" customWidth="1"/>
    <col min="13" max="13" width="25.33203125" customWidth="1"/>
    <col min="14" max="14" width="25.83203125" customWidth="1"/>
    <col min="15" max="15" width="26.1640625" customWidth="1"/>
    <col min="16" max="16" width="24.83203125" customWidth="1"/>
    <col min="17" max="17" width="20.33203125" customWidth="1"/>
    <col min="18" max="18" width="21.33203125" customWidth="1"/>
    <col min="19" max="19" width="25.6640625" customWidth="1"/>
  </cols>
  <sheetData>
    <row r="4" spans="9:18" ht="15.75" customHeight="1" x14ac:dyDescent="0.25">
      <c r="L4" s="124" t="s">
        <v>86</v>
      </c>
      <c r="M4" s="116"/>
      <c r="N4" s="115"/>
    </row>
    <row r="8" spans="9:18" ht="15.75" customHeight="1" x14ac:dyDescent="0.25">
      <c r="I8" s="90" t="s">
        <v>0</v>
      </c>
      <c r="J8" s="91" t="s">
        <v>1</v>
      </c>
      <c r="K8" s="92" t="s">
        <v>2</v>
      </c>
      <c r="L8" s="92" t="s">
        <v>3</v>
      </c>
      <c r="M8" s="92" t="s">
        <v>4</v>
      </c>
      <c r="N8" s="92" t="s">
        <v>5</v>
      </c>
      <c r="O8" s="93" t="s">
        <v>6</v>
      </c>
      <c r="P8" s="106" t="s">
        <v>87</v>
      </c>
      <c r="Q8" s="106" t="s">
        <v>88</v>
      </c>
      <c r="R8" s="107" t="s">
        <v>89</v>
      </c>
    </row>
    <row r="9" spans="9:18" ht="15.75" customHeight="1" x14ac:dyDescent="0.25">
      <c r="I9" s="94" t="s">
        <v>33</v>
      </c>
      <c r="J9" s="95">
        <v>1751000</v>
      </c>
      <c r="K9" s="96">
        <v>920000</v>
      </c>
      <c r="L9" s="97">
        <v>349000</v>
      </c>
      <c r="M9" s="97">
        <v>140000</v>
      </c>
      <c r="N9" s="97">
        <f t="shared" ref="N9:N19" si="0">J9-K9-L9-M9</f>
        <v>342000</v>
      </c>
      <c r="O9" s="108">
        <f t="shared" ref="O9:O21" si="1">N9/J9</f>
        <v>0.19531696173615076</v>
      </c>
      <c r="P9" s="109">
        <f t="shared" ref="P9:P21" si="2">K9/J9</f>
        <v>0.5254140491147915</v>
      </c>
      <c r="Q9" s="110">
        <f t="shared" ref="Q9:Q21" si="3">L9/J9</f>
        <v>0.19931467732724156</v>
      </c>
      <c r="R9" s="105">
        <f t="shared" ref="R9:R21" si="4">M9/J9</f>
        <v>7.9954311821816101E-2</v>
      </c>
    </row>
    <row r="10" spans="9:18" ht="15.75" customHeight="1" x14ac:dyDescent="0.25">
      <c r="I10" s="94" t="s">
        <v>34</v>
      </c>
      <c r="J10" s="99">
        <v>2274000</v>
      </c>
      <c r="K10" s="97">
        <v>914000</v>
      </c>
      <c r="L10" s="97">
        <v>410000</v>
      </c>
      <c r="M10" s="97">
        <v>140000</v>
      </c>
      <c r="N10" s="97">
        <f t="shared" si="0"/>
        <v>810000</v>
      </c>
      <c r="O10" s="108">
        <f t="shared" si="1"/>
        <v>0.35620052770448551</v>
      </c>
      <c r="P10" s="109">
        <f t="shared" si="2"/>
        <v>0.4019349164467898</v>
      </c>
      <c r="Q10" s="110">
        <f t="shared" si="3"/>
        <v>0.18029903254177659</v>
      </c>
      <c r="R10" s="105">
        <f t="shared" si="4"/>
        <v>6.156552330694811E-2</v>
      </c>
    </row>
    <row r="11" spans="9:18" ht="15.75" customHeight="1" x14ac:dyDescent="0.25">
      <c r="I11" s="94" t="s">
        <v>35</v>
      </c>
      <c r="J11" s="100">
        <v>1984000</v>
      </c>
      <c r="K11" s="97">
        <v>928000</v>
      </c>
      <c r="L11" s="97">
        <v>406000</v>
      </c>
      <c r="M11" s="97">
        <v>140000</v>
      </c>
      <c r="N11" s="97">
        <f t="shared" si="0"/>
        <v>510000</v>
      </c>
      <c r="O11" s="108">
        <f t="shared" si="1"/>
        <v>0.25705645161290325</v>
      </c>
      <c r="P11" s="109">
        <f t="shared" si="2"/>
        <v>0.46774193548387094</v>
      </c>
      <c r="Q11" s="110">
        <f t="shared" si="3"/>
        <v>0.20463709677419356</v>
      </c>
      <c r="R11" s="105">
        <f t="shared" si="4"/>
        <v>7.0564516129032265E-2</v>
      </c>
    </row>
    <row r="12" spans="9:18" ht="15.75" customHeight="1" x14ac:dyDescent="0.25">
      <c r="I12" s="94" t="s">
        <v>36</v>
      </c>
      <c r="J12" s="100">
        <v>1910000</v>
      </c>
      <c r="K12" s="100">
        <v>744000</v>
      </c>
      <c r="L12" s="100">
        <v>346000</v>
      </c>
      <c r="M12" s="100">
        <v>140000</v>
      </c>
      <c r="N12" s="97">
        <f t="shared" si="0"/>
        <v>680000</v>
      </c>
      <c r="O12" s="108">
        <f t="shared" si="1"/>
        <v>0.35602094240837695</v>
      </c>
      <c r="P12" s="109">
        <f t="shared" si="2"/>
        <v>0.38952879581151834</v>
      </c>
      <c r="Q12" s="110">
        <f t="shared" si="3"/>
        <v>0.18115183246073299</v>
      </c>
      <c r="R12" s="105">
        <f t="shared" si="4"/>
        <v>7.3298429319371722E-2</v>
      </c>
    </row>
    <row r="13" spans="9:18" ht="15.75" customHeight="1" x14ac:dyDescent="0.25">
      <c r="I13" s="94" t="s">
        <v>10</v>
      </c>
      <c r="J13" s="101">
        <v>1342000</v>
      </c>
      <c r="K13" s="101">
        <v>646000</v>
      </c>
      <c r="L13" s="101">
        <v>437000</v>
      </c>
      <c r="M13" s="100">
        <v>140000</v>
      </c>
      <c r="N13" s="97">
        <f t="shared" si="0"/>
        <v>119000</v>
      </c>
      <c r="O13" s="108">
        <f t="shared" si="1"/>
        <v>8.867362146050671E-2</v>
      </c>
      <c r="P13" s="109">
        <f t="shared" si="2"/>
        <v>0.481371087928465</v>
      </c>
      <c r="Q13" s="110">
        <f t="shared" si="3"/>
        <v>0.32563338301043221</v>
      </c>
      <c r="R13" s="105">
        <f t="shared" si="4"/>
        <v>0.10432190760059612</v>
      </c>
    </row>
    <row r="14" spans="9:18" ht="15.75" customHeight="1" x14ac:dyDescent="0.25">
      <c r="I14" s="94" t="s">
        <v>37</v>
      </c>
      <c r="J14" s="101">
        <v>1760000</v>
      </c>
      <c r="K14" s="101">
        <v>804000</v>
      </c>
      <c r="L14" s="101">
        <v>396000</v>
      </c>
      <c r="M14" s="101">
        <v>140000</v>
      </c>
      <c r="N14" s="97">
        <f t="shared" si="0"/>
        <v>420000</v>
      </c>
      <c r="O14" s="108">
        <f t="shared" si="1"/>
        <v>0.23863636363636365</v>
      </c>
      <c r="P14" s="109">
        <f t="shared" si="2"/>
        <v>0.45681818181818185</v>
      </c>
      <c r="Q14" s="110">
        <f t="shared" si="3"/>
        <v>0.22500000000000001</v>
      </c>
      <c r="R14" s="105">
        <f t="shared" si="4"/>
        <v>7.9545454545454544E-2</v>
      </c>
    </row>
    <row r="15" spans="9:18" ht="15.75" customHeight="1" x14ac:dyDescent="0.25">
      <c r="I15" s="94" t="s">
        <v>38</v>
      </c>
      <c r="J15" s="101">
        <v>2260000</v>
      </c>
      <c r="K15" s="101">
        <v>958000</v>
      </c>
      <c r="L15" s="101">
        <v>432000</v>
      </c>
      <c r="M15" s="101">
        <v>150000</v>
      </c>
      <c r="N15" s="97">
        <f t="shared" si="0"/>
        <v>720000</v>
      </c>
      <c r="O15" s="108">
        <f t="shared" si="1"/>
        <v>0.31858407079646017</v>
      </c>
      <c r="P15" s="109">
        <f t="shared" si="2"/>
        <v>0.42389380530973453</v>
      </c>
      <c r="Q15" s="110">
        <f t="shared" si="3"/>
        <v>0.1911504424778761</v>
      </c>
      <c r="R15" s="105">
        <f t="shared" si="4"/>
        <v>6.637168141592921E-2</v>
      </c>
    </row>
    <row r="16" spans="9:18" ht="15.75" customHeight="1" x14ac:dyDescent="0.25">
      <c r="I16" s="94" t="s">
        <v>39</v>
      </c>
      <c r="J16" s="101">
        <v>1427000</v>
      </c>
      <c r="K16" s="101">
        <v>640000</v>
      </c>
      <c r="L16" s="101">
        <v>305000</v>
      </c>
      <c r="M16" s="101">
        <v>150000</v>
      </c>
      <c r="N16" s="97">
        <f t="shared" si="0"/>
        <v>332000</v>
      </c>
      <c r="O16" s="108">
        <f t="shared" si="1"/>
        <v>0.23265592151366504</v>
      </c>
      <c r="P16" s="109">
        <f t="shared" si="2"/>
        <v>0.44849334267694463</v>
      </c>
      <c r="Q16" s="110">
        <f t="shared" si="3"/>
        <v>0.21373510861948142</v>
      </c>
      <c r="R16" s="105">
        <f t="shared" si="4"/>
        <v>0.1051156271899089</v>
      </c>
    </row>
    <row r="17" spans="9:19" ht="15.75" customHeight="1" x14ac:dyDescent="0.25">
      <c r="I17" s="94" t="s">
        <v>40</v>
      </c>
      <c r="J17" s="101">
        <v>1740000</v>
      </c>
      <c r="K17" s="101">
        <v>716000</v>
      </c>
      <c r="L17" s="101">
        <v>514000</v>
      </c>
      <c r="M17" s="101">
        <v>150000</v>
      </c>
      <c r="N17" s="97">
        <f t="shared" si="0"/>
        <v>360000</v>
      </c>
      <c r="O17" s="108">
        <f t="shared" si="1"/>
        <v>0.20689655172413793</v>
      </c>
      <c r="P17" s="109">
        <f t="shared" si="2"/>
        <v>0.41149425287356323</v>
      </c>
      <c r="Q17" s="110">
        <f t="shared" si="3"/>
        <v>0.29540229885057473</v>
      </c>
      <c r="R17" s="105">
        <f t="shared" si="4"/>
        <v>8.6206896551724144E-2</v>
      </c>
    </row>
    <row r="18" spans="9:19" ht="15.75" customHeight="1" x14ac:dyDescent="0.25">
      <c r="I18" s="94" t="s">
        <v>41</v>
      </c>
      <c r="J18" s="101">
        <v>1620000</v>
      </c>
      <c r="K18" s="101">
        <v>747000</v>
      </c>
      <c r="L18" s="101">
        <v>438000</v>
      </c>
      <c r="M18" s="101">
        <v>150000</v>
      </c>
      <c r="N18" s="97">
        <f t="shared" si="0"/>
        <v>285000</v>
      </c>
      <c r="O18" s="108">
        <f t="shared" si="1"/>
        <v>0.17592592592592593</v>
      </c>
      <c r="P18" s="109">
        <f t="shared" si="2"/>
        <v>0.46111111111111114</v>
      </c>
      <c r="Q18" s="110">
        <f t="shared" si="3"/>
        <v>0.27037037037037037</v>
      </c>
      <c r="R18" s="105">
        <f t="shared" si="4"/>
        <v>9.2592592592592587E-2</v>
      </c>
    </row>
    <row r="19" spans="9:19" ht="15.75" customHeight="1" x14ac:dyDescent="0.25">
      <c r="I19" s="94" t="s">
        <v>42</v>
      </c>
      <c r="J19" s="101">
        <v>1280000</v>
      </c>
      <c r="K19" s="101">
        <v>645000</v>
      </c>
      <c r="L19" s="101">
        <v>365000</v>
      </c>
      <c r="M19" s="101">
        <v>150000</v>
      </c>
      <c r="N19" s="97">
        <f t="shared" si="0"/>
        <v>120000</v>
      </c>
      <c r="O19" s="108">
        <f t="shared" si="1"/>
        <v>9.375E-2</v>
      </c>
      <c r="P19" s="109">
        <f t="shared" si="2"/>
        <v>0.50390625</v>
      </c>
      <c r="Q19" s="110">
        <f t="shared" si="3"/>
        <v>0.28515625</v>
      </c>
      <c r="R19" s="105">
        <f t="shared" si="4"/>
        <v>0.1171875</v>
      </c>
    </row>
    <row r="20" spans="9:19" ht="15.75" customHeight="1" x14ac:dyDescent="0.25">
      <c r="I20" s="94" t="s">
        <v>43</v>
      </c>
      <c r="J20" s="101">
        <v>2198000</v>
      </c>
      <c r="K20" s="101">
        <v>880000</v>
      </c>
      <c r="L20" s="101">
        <v>406000</v>
      </c>
      <c r="M20" s="101">
        <v>130000</v>
      </c>
      <c r="N20" s="101">
        <v>720000</v>
      </c>
      <c r="O20" s="108">
        <f t="shared" si="1"/>
        <v>0.32757051865332121</v>
      </c>
      <c r="P20" s="109">
        <f t="shared" si="2"/>
        <v>0.40036396724294815</v>
      </c>
      <c r="Q20" s="110">
        <f t="shared" si="3"/>
        <v>0.18471337579617833</v>
      </c>
      <c r="R20" s="105">
        <f t="shared" si="4"/>
        <v>5.9144676979071886E-2</v>
      </c>
    </row>
    <row r="21" spans="9:19" ht="15.75" customHeight="1" x14ac:dyDescent="0.25">
      <c r="I21" s="102" t="s">
        <v>21</v>
      </c>
      <c r="J21" s="103">
        <f t="shared" ref="J21:N21" si="5">SUM(J9:J20)</f>
        <v>21546000</v>
      </c>
      <c r="K21" s="103">
        <f t="shared" si="5"/>
        <v>9542000</v>
      </c>
      <c r="L21" s="103">
        <f t="shared" si="5"/>
        <v>4804000</v>
      </c>
      <c r="M21" s="103">
        <f t="shared" si="5"/>
        <v>1720000</v>
      </c>
      <c r="N21" s="103">
        <f t="shared" si="5"/>
        <v>5418000</v>
      </c>
      <c r="O21" s="108">
        <f t="shared" si="1"/>
        <v>0.25146198830409355</v>
      </c>
      <c r="P21" s="111">
        <f t="shared" si="2"/>
        <v>0.44286642532256565</v>
      </c>
      <c r="Q21" s="111">
        <f t="shared" si="3"/>
        <v>0.22296481945604751</v>
      </c>
      <c r="R21" s="112">
        <f t="shared" si="4"/>
        <v>7.9829202636220176E-2</v>
      </c>
      <c r="S21" s="113">
        <f>P21+R21</f>
        <v>0.52269562795878577</v>
      </c>
    </row>
  </sheetData>
  <mergeCells count="1">
    <mergeCell ref="L4:N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Année2019</vt:lpstr>
      <vt:lpstr>Année2020</vt:lpstr>
      <vt:lpstr>Année 2021</vt:lpstr>
      <vt:lpstr>Année 2022</vt:lpstr>
      <vt:lpstr>Année 2023</vt:lpstr>
      <vt:lpstr>Année 2024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Utilisateur de Microsoft Office</cp:lastModifiedBy>
  <dcterms:modified xsi:type="dcterms:W3CDTF">2025-11-18T01:57:29Z</dcterms:modified>
</cp:coreProperties>
</file>