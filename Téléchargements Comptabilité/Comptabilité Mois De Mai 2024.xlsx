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Pointage " sheetId="2" r:id="rId5"/>
    <sheet state="visible" name="Les charges " sheetId="3" r:id="rId6"/>
    <sheet state="visible" name="Salaires " sheetId="4" r:id="rId7"/>
    <sheet state="visible" name="Feuille 5" sheetId="5" r:id="rId8"/>
  </sheets>
  <definedNames/>
  <calcPr/>
</workbook>
</file>

<file path=xl/sharedStrings.xml><?xml version="1.0" encoding="utf-8"?>
<sst xmlns="http://schemas.openxmlformats.org/spreadsheetml/2006/main" count="521" uniqueCount="322">
  <si>
    <t>Date</t>
  </si>
  <si>
    <t>Recette Avril 2024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</si>
  <si>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</si>
  <si>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</si>
  <si>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</si>
  <si>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</si>
  <si>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</si>
  <si>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</si>
  <si>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</si>
  <si>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>Mercredi</t>
  </si>
  <si>
    <t>Jeudi</t>
  </si>
  <si>
    <t>Bénéfice Moyen par jour</t>
  </si>
  <si>
    <t xml:space="preserve">Moyenne </t>
  </si>
  <si>
    <t xml:space="preserve">Moyenne salaire </t>
  </si>
  <si>
    <t xml:space="preserve">pourcentage du salaire vis à vis la recettte </t>
  </si>
  <si>
    <t>Vendredi</t>
  </si>
  <si>
    <t>Samedi</t>
  </si>
  <si>
    <t>Dimanche</t>
  </si>
  <si>
    <t xml:space="preserve">Moyenne des charges par jour </t>
  </si>
  <si>
    <t xml:space="preserve">Objectif </t>
  </si>
  <si>
    <t>Lundi</t>
  </si>
  <si>
    <t>Mardi</t>
  </si>
  <si>
    <t>²</t>
  </si>
  <si>
    <t xml:space="preserve">Cash restant </t>
  </si>
  <si>
    <t>Magasin</t>
  </si>
  <si>
    <t>Cash réel</t>
  </si>
  <si>
    <t>Mes dettes pour le magasin</t>
  </si>
  <si>
    <t xml:space="preserve">Fond de Roulement </t>
  </si>
  <si>
    <t>Demain je prends de la caisse:14000Da</t>
  </si>
  <si>
    <t xml:space="preserve">Salim: 7000 Da </t>
  </si>
  <si>
    <t>Cash chez Moi</t>
  </si>
  <si>
    <t>Monnie : 8000 Da</t>
  </si>
  <si>
    <t>Khalida: 5000 Da</t>
  </si>
  <si>
    <t xml:space="preserve">Hayet: 4000Da </t>
  </si>
  <si>
    <t>Différence mois d'Avril</t>
  </si>
  <si>
    <t xml:space="preserve">la vraie caisse: 14000Da </t>
  </si>
  <si>
    <t xml:space="preserve">Différence objectif </t>
  </si>
  <si>
    <t>réparation Tabouna</t>
  </si>
  <si>
    <t>Torchons</t>
  </si>
  <si>
    <t xml:space="preserve">Différence du Totale </t>
  </si>
  <si>
    <t>poelle</t>
  </si>
  <si>
    <t xml:space="preserve">Les vendredis </t>
  </si>
  <si>
    <t xml:space="preserve">Cash chez Sofiane </t>
  </si>
  <si>
    <t>rest à payer</t>
  </si>
  <si>
    <t>-</t>
  </si>
  <si>
    <t xml:space="preserve">Lynda </t>
  </si>
  <si>
    <t xml:space="preserve">Hafida </t>
  </si>
  <si>
    <t>Yasmine Sidi Abd Allah</t>
  </si>
  <si>
    <t>Nawel</t>
  </si>
  <si>
    <t>Khadidja</t>
  </si>
  <si>
    <t>Fouzia</t>
  </si>
  <si>
    <t>Nadjet</t>
  </si>
  <si>
    <t>Fatiha</t>
  </si>
  <si>
    <t>Samira</t>
  </si>
  <si>
    <t>Zohra</t>
  </si>
  <si>
    <t>Chiraz</t>
  </si>
  <si>
    <t>Ilhem</t>
  </si>
  <si>
    <t>Sarah</t>
  </si>
  <si>
    <t>Saliha</t>
  </si>
  <si>
    <t>Romayessa</t>
  </si>
  <si>
    <t>Radia</t>
  </si>
  <si>
    <t>Yasmine dely Brahim</t>
  </si>
  <si>
    <t>Produit</t>
  </si>
  <si>
    <t>Quantité</t>
  </si>
  <si>
    <t xml:space="preserve">Prix unitaire </t>
  </si>
  <si>
    <t>Prix</t>
  </si>
  <si>
    <t>Date d'achat</t>
  </si>
  <si>
    <t>levure chimique</t>
  </si>
  <si>
    <t>sachets 5kg blanc</t>
  </si>
  <si>
    <t>sachets transparents</t>
  </si>
  <si>
    <t>sac croissant 23</t>
  </si>
  <si>
    <t>sac croissant 17</t>
  </si>
  <si>
    <t>Fromage spéciale pizza Napoli</t>
  </si>
  <si>
    <t>Thon 2kg</t>
  </si>
  <si>
    <t>Maiis</t>
  </si>
  <si>
    <t>Crème liquide Soummam 500cl</t>
  </si>
  <si>
    <t>Tomtate conserve Kingtom 1kg</t>
  </si>
  <si>
    <t xml:space="preserve">Maa zehar zahia </t>
  </si>
  <si>
    <t>semoulemoyenne  Moula 10 kg</t>
  </si>
  <si>
    <t>felefel</t>
  </si>
  <si>
    <t>sucre cristalisé</t>
  </si>
  <si>
    <t>les boites temina</t>
  </si>
  <si>
    <t>isis 4 litres</t>
  </si>
  <si>
    <t>Levure Boulongère 750g</t>
  </si>
  <si>
    <t>Eau minéral 0,5 litre</t>
  </si>
  <si>
    <t xml:space="preserve"> Jus Tchina 33 cl</t>
  </si>
  <si>
    <t>Fromage Bidon La bonne vache 4kg</t>
  </si>
  <si>
    <t xml:space="preserve">Sac Poubelle </t>
  </si>
  <si>
    <t>canette tchina Peps</t>
  </si>
  <si>
    <t xml:space="preserve">Huile Elio 5 litres </t>
  </si>
  <si>
    <t>Semen Madina 1,8kg</t>
  </si>
  <si>
    <t>Margarine Fleurial 500g</t>
  </si>
  <si>
    <t>Margarine Fleurial 250g</t>
  </si>
  <si>
    <t>Chocolate wedjedane au lait</t>
  </si>
  <si>
    <t>Chocolat wedjedane noir</t>
  </si>
  <si>
    <t>chocolat wedjedane Blanc</t>
  </si>
  <si>
    <t>chocolat wedjedane Noisette</t>
  </si>
  <si>
    <t>Gherss Ghazala sous vide</t>
  </si>
  <si>
    <t>Lait en poudre</t>
  </si>
  <si>
    <t>Semoule Moyenne Moula 10kg</t>
  </si>
  <si>
    <t>Sel</t>
  </si>
  <si>
    <t>Semoule Fine Sahel 25kg</t>
  </si>
  <si>
    <t>Farine Yara 1 kg</t>
  </si>
  <si>
    <t>Miel Madina 5 kg</t>
  </si>
  <si>
    <t>Sucre glace Fabalco</t>
  </si>
  <si>
    <t>les fleurs de décoration</t>
  </si>
  <si>
    <t>transfert 3id</t>
  </si>
  <si>
    <t>chocolat à tartiner 10kg</t>
  </si>
  <si>
    <t>Sucre cristalisé</t>
  </si>
  <si>
    <t>livraison semoule + manutention</t>
  </si>
  <si>
    <t>fromage slices</t>
  </si>
  <si>
    <t>felfel guenawa</t>
  </si>
  <si>
    <t>bessel</t>
  </si>
  <si>
    <t>blanc de poulet + poulet haché</t>
  </si>
  <si>
    <t>oeufs</t>
  </si>
  <si>
    <t>Maiizina</t>
  </si>
  <si>
    <t>Tofia caramel</t>
  </si>
  <si>
    <t>Amande éfilet</t>
  </si>
  <si>
    <t>Noix de coco</t>
  </si>
  <si>
    <t>motifs 3id</t>
  </si>
  <si>
    <t>Vanille Baraka  3kg</t>
  </si>
  <si>
    <t>Confiture 1 kg</t>
  </si>
  <si>
    <t>Amande moulu</t>
  </si>
  <si>
    <t>Amandes blanc</t>
  </si>
  <si>
    <t>Farine Sousimie 10kg</t>
  </si>
  <si>
    <t>Semoule Moyenne Moula 2kg</t>
  </si>
  <si>
    <t>Khel</t>
  </si>
  <si>
    <t xml:space="preserve">Dégressant </t>
  </si>
  <si>
    <t>javel 5 litres</t>
  </si>
  <si>
    <t>isis en poudre</t>
  </si>
  <si>
    <t>cheddar</t>
  </si>
  <si>
    <t>Fromage slices</t>
  </si>
  <si>
    <t xml:space="preserve">Amande Blanc </t>
  </si>
  <si>
    <t>Djeldjelan</t>
  </si>
  <si>
    <t>Gherss Elmaheri</t>
  </si>
  <si>
    <t>Sucre Glace Houda</t>
  </si>
  <si>
    <t>Sachey Blanc 5kg</t>
  </si>
  <si>
    <t xml:space="preserve">Sachets transparent </t>
  </si>
  <si>
    <t>Quissetes dorée num 8</t>
  </si>
  <si>
    <t>Dentelle célophane 5,5</t>
  </si>
  <si>
    <t>Aluminium 180m</t>
  </si>
  <si>
    <t>papier sandwich</t>
  </si>
  <si>
    <t xml:space="preserve">Flexy Modem  Locale et Magasin </t>
  </si>
  <si>
    <t xml:space="preserve">Ail en poudre </t>
  </si>
  <si>
    <t>Tomate Fraiche</t>
  </si>
  <si>
    <t>Olive noir</t>
  </si>
  <si>
    <t xml:space="preserve">Rechta </t>
  </si>
  <si>
    <t>Poulet Haché</t>
  </si>
  <si>
    <t>cuisses de poulet</t>
  </si>
  <si>
    <t>courgette + navet</t>
  </si>
  <si>
    <t>Bessel</t>
  </si>
  <si>
    <t>Terida</t>
  </si>
  <si>
    <t>Salade + thym + épinards</t>
  </si>
  <si>
    <t>Deyoul</t>
  </si>
  <si>
    <t>Pate Feuilleté</t>
  </si>
  <si>
    <t>poulet haché + blanc de poulet</t>
  </si>
  <si>
    <t>Boite 48/10</t>
  </si>
  <si>
    <t>Boite 48/07</t>
  </si>
  <si>
    <t>Boite 36</t>
  </si>
  <si>
    <t>Boite 24</t>
  </si>
  <si>
    <t xml:space="preserve">chakhechoukhate dhefer </t>
  </si>
  <si>
    <t>Navet+ courgette</t>
  </si>
  <si>
    <t>Carotte</t>
  </si>
  <si>
    <t xml:space="preserve">poivre </t>
  </si>
  <si>
    <t>viande morceaux</t>
  </si>
  <si>
    <t>viande hachée</t>
  </si>
  <si>
    <t>olive noir</t>
  </si>
  <si>
    <t>Hamissa</t>
  </si>
  <si>
    <t>dettes Brahim</t>
  </si>
  <si>
    <t>plateaux oeufs</t>
  </si>
  <si>
    <t>feuilles de tacos</t>
  </si>
  <si>
    <t>épinard</t>
  </si>
  <si>
    <t xml:space="preserve">salade  </t>
  </si>
  <si>
    <t>Tomate cerise</t>
  </si>
  <si>
    <t>carotte</t>
  </si>
  <si>
    <t>Djefena</t>
  </si>
  <si>
    <t>Jus Tchina 33 cl</t>
  </si>
  <si>
    <t>Gherss</t>
  </si>
  <si>
    <t>célophane</t>
  </si>
  <si>
    <t>les ataches</t>
  </si>
  <si>
    <t>olive dényauté</t>
  </si>
  <si>
    <t>olive éffilet</t>
  </si>
  <si>
    <t>épice poulet</t>
  </si>
  <si>
    <t>poivre noir</t>
  </si>
  <si>
    <t xml:space="preserve">petits pois </t>
  </si>
  <si>
    <t>crevette</t>
  </si>
  <si>
    <t xml:space="preserve">Noix  </t>
  </si>
  <si>
    <t xml:space="preserve">Amande blanc </t>
  </si>
  <si>
    <t>sac 25 kg</t>
  </si>
  <si>
    <t>dentelle Baklawa</t>
  </si>
  <si>
    <t xml:space="preserve">Farine SIM </t>
  </si>
  <si>
    <t>Les piles</t>
  </si>
  <si>
    <t xml:space="preserve">Boites Raib </t>
  </si>
  <si>
    <t>Barquette 1065</t>
  </si>
  <si>
    <t>Fourchette</t>
  </si>
  <si>
    <t>Arome</t>
  </si>
  <si>
    <t>Cannette Coca</t>
  </si>
  <si>
    <t xml:space="preserve">coca fanta </t>
  </si>
  <si>
    <t>hamoud</t>
  </si>
  <si>
    <t>canette hamoud + shwepes</t>
  </si>
  <si>
    <t>3akeri</t>
  </si>
  <si>
    <t>canelle</t>
  </si>
  <si>
    <t xml:space="preserve">herbe de provence </t>
  </si>
  <si>
    <t xml:space="preserve">registre des commandes </t>
  </si>
  <si>
    <t>crème liquide maitre culinaire 1 litre</t>
  </si>
  <si>
    <t>viande hachéé</t>
  </si>
  <si>
    <t xml:space="preserve">tomate fraiche </t>
  </si>
  <si>
    <t>caramel</t>
  </si>
  <si>
    <t>chamia</t>
  </si>
  <si>
    <t>épices</t>
  </si>
  <si>
    <t xml:space="preserve">salade </t>
  </si>
  <si>
    <t>gherss</t>
  </si>
  <si>
    <t>boites demie plateau</t>
  </si>
  <si>
    <t xml:space="preserve">pomme de terre </t>
  </si>
  <si>
    <t xml:space="preserve">blanc de poulet  </t>
  </si>
  <si>
    <t xml:space="preserve">Bessel </t>
  </si>
  <si>
    <t>salade</t>
  </si>
  <si>
    <t>cure dent</t>
  </si>
  <si>
    <t>mayonaise</t>
  </si>
  <si>
    <t>pain</t>
  </si>
  <si>
    <t>Sucre</t>
  </si>
  <si>
    <t>Levure chimique</t>
  </si>
  <si>
    <t xml:space="preserve">fromage slices </t>
  </si>
  <si>
    <t>beurre</t>
  </si>
  <si>
    <t>Lave sol</t>
  </si>
  <si>
    <t>désodoresant</t>
  </si>
  <si>
    <t>semoule moyenne 2kg</t>
  </si>
  <si>
    <t>tortilla</t>
  </si>
  <si>
    <t>sachets blanc 5 kg</t>
  </si>
  <si>
    <t>Noix de cajo</t>
  </si>
  <si>
    <t>quissettes cigare</t>
  </si>
  <si>
    <t>Arome caramel</t>
  </si>
  <si>
    <t>sachets de congelation 3kg</t>
  </si>
  <si>
    <t>GOBLET SORBET</t>
  </si>
  <si>
    <t>réparation achoir</t>
  </si>
  <si>
    <t>poulet haché</t>
  </si>
  <si>
    <t>dyoul</t>
  </si>
  <si>
    <t>Farine sosimie 5kg</t>
  </si>
  <si>
    <t>Décapant Force Express</t>
  </si>
  <si>
    <t>Décapant Nassah</t>
  </si>
  <si>
    <t>poulet haché+ blanc de poulet</t>
  </si>
  <si>
    <t>deyoul</t>
  </si>
  <si>
    <t xml:space="preserve">Fouzia Livraison </t>
  </si>
  <si>
    <t>Lahcen poubelle</t>
  </si>
  <si>
    <t>Semoule Fine Mama</t>
  </si>
  <si>
    <t>pas encore réglée</t>
  </si>
  <si>
    <t>poivre</t>
  </si>
  <si>
    <t>pilons</t>
  </si>
  <si>
    <t>crème fraiche</t>
  </si>
  <si>
    <t>Livraison Sifou</t>
  </si>
  <si>
    <t>lahcen poubelle + livrason</t>
  </si>
  <si>
    <t>citron</t>
  </si>
  <si>
    <t>oeuf</t>
  </si>
  <si>
    <t>isis liquide</t>
  </si>
  <si>
    <t>nettoyage vitre</t>
  </si>
  <si>
    <t>Tomate fraiche</t>
  </si>
  <si>
    <t>Kheyar</t>
  </si>
  <si>
    <t>vinigrette</t>
  </si>
  <si>
    <t>crème liquide</t>
  </si>
  <si>
    <t>demie cuisse</t>
  </si>
  <si>
    <t>Boite 50CC</t>
  </si>
  <si>
    <t>Baequette deux compartiments</t>
  </si>
  <si>
    <t>goblet Thé</t>
  </si>
  <si>
    <t>Nektarine</t>
  </si>
  <si>
    <t>fraise</t>
  </si>
  <si>
    <t>hamissa</t>
  </si>
  <si>
    <t>pain tacos</t>
  </si>
  <si>
    <t>Harrissa</t>
  </si>
  <si>
    <t>fromage bidon</t>
  </si>
  <si>
    <t>ail</t>
  </si>
  <si>
    <t>tomate cerise</t>
  </si>
  <si>
    <t>camembert</t>
  </si>
  <si>
    <t>Eau miniral 1,5 litres</t>
  </si>
  <si>
    <t xml:space="preserve">livraison Fouzia </t>
  </si>
  <si>
    <t>livraison Sifou</t>
  </si>
  <si>
    <t>livraison birkhadem</t>
  </si>
  <si>
    <t>blanc de poulet</t>
  </si>
  <si>
    <t>salde + arome + olive noir+ bicarbonate</t>
  </si>
  <si>
    <t xml:space="preserve">blanc de poulet </t>
  </si>
  <si>
    <t>épinards</t>
  </si>
  <si>
    <t>tomate fraiche</t>
  </si>
  <si>
    <t>9etayef</t>
  </si>
  <si>
    <t>ze3itera</t>
  </si>
  <si>
    <t xml:space="preserve">persil </t>
  </si>
  <si>
    <t>choux</t>
  </si>
  <si>
    <t xml:space="preserve">livraison </t>
  </si>
  <si>
    <t>netoyage vitre</t>
  </si>
  <si>
    <t>achats divers</t>
  </si>
  <si>
    <t>crème Fraiche</t>
  </si>
  <si>
    <t>Tortilla</t>
  </si>
  <si>
    <t>Cheddar</t>
  </si>
  <si>
    <t>Camemebert</t>
  </si>
  <si>
    <t>Ka3ek Nakkach</t>
  </si>
  <si>
    <t xml:space="preserve">Amina Baghrir </t>
  </si>
  <si>
    <t>Boites gateaux</t>
  </si>
  <si>
    <t>Assurence des employées</t>
  </si>
  <si>
    <t>Assiettes</t>
  </si>
  <si>
    <t>Boite transparent 1000ccl</t>
  </si>
  <si>
    <t>Boite transparent 2000ccl</t>
  </si>
  <si>
    <t>Boite transparent 500ccl</t>
  </si>
  <si>
    <t>Boite Raib</t>
  </si>
  <si>
    <t>Boite 08</t>
  </si>
  <si>
    <t>Boites 12</t>
  </si>
  <si>
    <t>Totale</t>
  </si>
  <si>
    <t xml:space="preserve">Nom </t>
  </si>
  <si>
    <t>Avance</t>
  </si>
  <si>
    <t xml:space="preserve">Salaire à payer </t>
  </si>
  <si>
    <t xml:space="preserve">Sofiane </t>
  </si>
  <si>
    <t>Amel</t>
  </si>
  <si>
    <t>Lynda</t>
  </si>
  <si>
    <t>khadidja</t>
  </si>
  <si>
    <t>2000+1000+3000+450+1000</t>
  </si>
  <si>
    <t>1000+1000+1000</t>
  </si>
  <si>
    <t xml:space="preserve">Saliha </t>
  </si>
  <si>
    <t>TOTAL</t>
  </si>
  <si>
    <t xml:space="preserve">Mois de Janvier </t>
  </si>
  <si>
    <t xml:space="preserve">Mois de Février </t>
  </si>
  <si>
    <t>Mois de Mars</t>
  </si>
  <si>
    <t>Mois d'Avril</t>
  </si>
  <si>
    <t>Mois de Mai</t>
  </si>
  <si>
    <t>Salaires</t>
  </si>
  <si>
    <t xml:space="preserve">Profit Net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</si>
</sst>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 yyyy"/>
    <numFmt numFmtId="165" formatCode="dd/mm/yyyy"/>
    <numFmt numFmtId="166" formatCode="#,##0.00\ [$€-1]"/>
    <numFmt numFmtId="167" formatCode="mm/dd/yyyy"/>
    <numFmt numFmtId="168" formatCode="d/m/yyyy"/>
  </numFmts>
  <fonts count="22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sz val="18.0"/>
      <color theme="1"/>
      <name val="Arial"/>
    </font>
    <font>
      <sz val="17.0"/>
      <color theme="1"/>
      <name val="Arial"/>
    </font>
    <font>
      <sz val="19.0"/>
      <color theme="1"/>
      <name val="Arial"/>
    </font>
    <font>
      <b/>
      <sz val="20.0"/>
      <color theme="1"/>
      <name val="Arial"/>
    </font>
    <font>
      <sz val="18.0"/>
      <color rgb="FFFF0000"/>
      <name val="Arial"/>
    </font>
    <font>
      <sz val="18.0"/>
      <color rgb="FFFFFF00"/>
      <name val="Arial"/>
    </font>
    <font>
      <b/>
      <sz val="25.0"/>
      <color theme="1"/>
      <name val="Arial"/>
    </font>
    <font>
      <sz val="20.0"/>
      <color theme="1"/>
      <name val="Arial"/>
    </font>
    <font>
      <sz val="18.0"/>
      <color rgb="FF434343"/>
      <name val="Arial"/>
    </font>
    <font>
      <b/>
      <sz val="20.0"/>
      <color rgb="FF434343"/>
      <name val="Arial"/>
    </font>
    <font>
      <b/>
      <sz val="20.0"/>
      <color rgb="FF1C4587"/>
      <name val="Arial"/>
    </font>
    <font>
      <b/>
      <sz val="19.0"/>
      <color theme="1"/>
      <name val="Arial"/>
    </font>
    <font>
      <sz val="23.0"/>
      <color theme="1"/>
      <name val="Arial"/>
    </font>
    <font>
      <b/>
      <sz val="24.0"/>
      <color theme="1"/>
      <name val="Arial"/>
    </font>
    <font>
      <sz val="19.0"/>
      <color theme="1"/>
      <name val="Arial"/>
      <scheme val="minor"/>
    </font>
    <font>
      <sz val="18.0"/>
      <color theme="1"/>
      <name val="Arial"/>
      <scheme val="minor"/>
    </font>
    <font>
      <sz val="17.0"/>
      <color theme="1"/>
      <name val="Arial"/>
      <scheme val="minor"/>
    </font>
    <font>
      <sz val="16.0"/>
      <color theme="1"/>
      <name val="Arial"/>
      <scheme val="minor"/>
    </font>
    <font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6D9EEB"/>
        <bgColor rgb="FF6D9EEB"/>
      </patternFill>
    </fill>
    <fill>
      <patternFill patternType="solid">
        <fgColor rgb="FFD5A6BD"/>
        <bgColor rgb="FFD5A6BD"/>
      </patternFill>
    </fill>
    <fill>
      <patternFill patternType="solid">
        <fgColor rgb="FFC9DAF8"/>
        <bgColor rgb="FFC9DAF8"/>
      </patternFill>
    </fill>
  </fills>
  <borders count="9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2" fillId="2" fontId="3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2" fillId="4" fontId="3" numFmtId="164" xfId="0" applyAlignment="1" applyBorder="1" applyFill="1" applyFont="1" applyNumberFormat="1">
      <alignment horizontal="center" readingOrder="0" vertical="bottom"/>
    </xf>
    <xf borderId="3" fillId="5" fontId="3" numFmtId="0" xfId="0" applyAlignment="1" applyBorder="1" applyFill="1" applyFont="1">
      <alignment horizontal="center" vertical="bottom"/>
    </xf>
    <xf borderId="1" fillId="5" fontId="3" numFmtId="165" xfId="0" applyAlignment="1" applyBorder="1" applyFont="1" applyNumberFormat="1">
      <alignment horizontal="center" readingOrder="0" vertical="bottom"/>
    </xf>
    <xf borderId="4" fillId="5" fontId="3" numFmtId="166" xfId="0" applyAlignment="1" applyBorder="1" applyFont="1" applyNumberFormat="1">
      <alignment horizontal="center" vertical="bottom"/>
    </xf>
    <xf borderId="1" fillId="5" fontId="3" numFmtId="166" xfId="0" applyAlignment="1" applyBorder="1" applyFont="1" applyNumberFormat="1">
      <alignment horizontal="center" readingOrder="0" vertical="bottom"/>
    </xf>
    <xf borderId="1" fillId="5" fontId="1" numFmtId="0" xfId="0" applyAlignment="1" applyBorder="1" applyFont="1">
      <alignment vertical="bottom"/>
    </xf>
    <xf borderId="1" fillId="5" fontId="4" numFmtId="0" xfId="0" applyAlignment="1" applyBorder="1" applyFont="1">
      <alignment horizontal="center" readingOrder="0" vertical="bottom"/>
    </xf>
    <xf borderId="0" fillId="5" fontId="1" numFmtId="0" xfId="0" applyAlignment="1" applyFont="1">
      <alignment vertical="bottom"/>
    </xf>
    <xf borderId="1" fillId="5" fontId="1" numFmtId="166" xfId="0" applyAlignment="1" applyBorder="1" applyFont="1" applyNumberFormat="1">
      <alignment vertical="bottom"/>
    </xf>
    <xf borderId="5" fillId="0" fontId="1" numFmtId="0" xfId="0" applyAlignment="1" applyBorder="1" applyFont="1">
      <alignment vertical="bottom"/>
    </xf>
    <xf borderId="3" fillId="5" fontId="3" numFmtId="166" xfId="0" applyAlignment="1" applyBorder="1" applyFont="1" applyNumberFormat="1">
      <alignment horizontal="center" vertical="bottom"/>
    </xf>
    <xf borderId="1" fillId="5" fontId="3" numFmtId="0" xfId="0" applyAlignment="1" applyBorder="1" applyFont="1">
      <alignment horizontal="center" readingOrder="0" vertical="bottom"/>
    </xf>
    <xf borderId="6" fillId="6" fontId="3" numFmtId="0" xfId="0" applyAlignment="1" applyBorder="1" applyFill="1" applyFont="1">
      <alignment horizontal="center" vertical="bottom"/>
    </xf>
    <xf borderId="7" fillId="6" fontId="3" numFmtId="0" xfId="0" applyAlignment="1" applyBorder="1" applyFont="1">
      <alignment horizontal="center" vertical="bottom"/>
    </xf>
    <xf borderId="0" fillId="7" fontId="3" numFmtId="0" xfId="0" applyAlignment="1" applyFill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3" fillId="8" fontId="3" numFmtId="0" xfId="0" applyAlignment="1" applyBorder="1" applyFill="1" applyFont="1">
      <alignment horizontal="center" vertical="bottom"/>
    </xf>
    <xf borderId="1" fillId="8" fontId="3" numFmtId="165" xfId="0" applyAlignment="1" applyBorder="1" applyFont="1" applyNumberFormat="1">
      <alignment horizontal="center" readingOrder="0" vertical="bottom"/>
    </xf>
    <xf borderId="3" fillId="8" fontId="3" numFmtId="166" xfId="0" applyAlignment="1" applyBorder="1" applyFont="1" applyNumberFormat="1">
      <alignment horizontal="center" vertical="bottom"/>
    </xf>
    <xf borderId="1" fillId="8" fontId="3" numFmtId="166" xfId="0" applyAlignment="1" applyBorder="1" applyFont="1" applyNumberFormat="1">
      <alignment horizontal="center" readingOrder="0" vertical="bottom"/>
    </xf>
    <xf borderId="1" fillId="8" fontId="1" numFmtId="0" xfId="0" applyAlignment="1" applyBorder="1" applyFont="1">
      <alignment vertical="bottom"/>
    </xf>
    <xf borderId="1" fillId="8" fontId="3" numFmtId="0" xfId="0" applyAlignment="1" applyBorder="1" applyFont="1">
      <alignment horizontal="center" readingOrder="0" vertical="bottom"/>
    </xf>
    <xf borderId="3" fillId="4" fontId="3" numFmtId="166" xfId="0" applyAlignment="1" applyBorder="1" applyFont="1" applyNumberFormat="1">
      <alignment horizontal="center" vertical="bottom"/>
    </xf>
    <xf borderId="1" fillId="4" fontId="3" numFmtId="166" xfId="0" applyAlignment="1" applyBorder="1" applyFont="1" applyNumberFormat="1">
      <alignment horizontal="center" vertical="bottom"/>
    </xf>
    <xf borderId="0" fillId="0" fontId="1" numFmtId="166" xfId="0" applyAlignment="1" applyFont="1" applyNumberFormat="1">
      <alignment vertical="bottom"/>
    </xf>
    <xf borderId="0" fillId="0" fontId="3" numFmtId="10" xfId="0" applyAlignment="1" applyFont="1" applyNumberFormat="1">
      <alignment horizontal="center" vertical="bottom"/>
    </xf>
    <xf borderId="3" fillId="0" fontId="1" numFmtId="0" xfId="0" applyAlignment="1" applyBorder="1" applyFont="1">
      <alignment vertical="bottom"/>
    </xf>
    <xf borderId="0" fillId="0" fontId="1" numFmtId="10" xfId="0" applyAlignment="1" applyFont="1" applyNumberFormat="1">
      <alignment vertical="bottom"/>
    </xf>
    <xf borderId="3" fillId="7" fontId="3" numFmtId="0" xfId="0" applyAlignment="1" applyBorder="1" applyFont="1">
      <alignment horizontal="center" vertical="bottom"/>
    </xf>
    <xf borderId="1" fillId="7" fontId="3" numFmtId="166" xfId="0" applyAlignment="1" applyBorder="1" applyFont="1" applyNumberFormat="1">
      <alignment horizontal="center" vertical="bottom"/>
    </xf>
    <xf borderId="3" fillId="0" fontId="3" numFmtId="166" xfId="0" applyAlignment="1" applyBorder="1" applyFont="1" applyNumberFormat="1">
      <alignment horizontal="center" vertical="bottom"/>
    </xf>
    <xf borderId="1" fillId="0" fontId="3" numFmtId="166" xfId="0" applyAlignment="1" applyBorder="1" applyFont="1" applyNumberFormat="1">
      <alignment horizontal="center" vertical="bottom"/>
    </xf>
    <xf borderId="3" fillId="6" fontId="3" numFmtId="0" xfId="0" applyAlignment="1" applyBorder="1" applyFont="1">
      <alignment horizontal="center" vertical="bottom"/>
    </xf>
    <xf borderId="1" fillId="6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vertical="bottom"/>
    </xf>
    <xf borderId="1" fillId="4" fontId="3" numFmtId="166" xfId="0" applyAlignment="1" applyBorder="1" applyFont="1" applyNumberFormat="1">
      <alignment horizontal="center" readingOrder="0" vertical="bottom"/>
    </xf>
    <xf borderId="5" fillId="0" fontId="3" numFmtId="166" xfId="0" applyAlignment="1" applyBorder="1" applyFont="1" applyNumberFormat="1">
      <alignment horizontal="center" readingOrder="0" vertical="bottom"/>
    </xf>
    <xf borderId="3" fillId="0" fontId="1" numFmtId="166" xfId="0" applyAlignment="1" applyBorder="1" applyFont="1" applyNumberFormat="1">
      <alignment vertical="bottom"/>
    </xf>
    <xf borderId="1" fillId="0" fontId="1" numFmtId="166" xfId="0" applyAlignment="1" applyBorder="1" applyFont="1" applyNumberFormat="1">
      <alignment vertical="bottom"/>
    </xf>
    <xf borderId="3" fillId="0" fontId="3" numFmtId="0" xfId="0" applyAlignment="1" applyBorder="1" applyFont="1">
      <alignment horizontal="center" vertical="bottom"/>
    </xf>
    <xf borderId="3" fillId="5" fontId="3" numFmtId="166" xfId="0" applyAlignment="1" applyBorder="1" applyFont="1" applyNumberFormat="1">
      <alignment horizontal="center" readingOrder="0" vertical="bottom"/>
    </xf>
    <xf borderId="3" fillId="0" fontId="5" numFmtId="166" xfId="0" applyAlignment="1" applyBorder="1" applyFont="1" applyNumberFormat="1">
      <alignment horizontal="center" vertical="bottom"/>
    </xf>
    <xf borderId="0" fillId="0" fontId="3" numFmtId="166" xfId="0" applyAlignment="1" applyFont="1" applyNumberFormat="1">
      <alignment readingOrder="0" vertical="bottom"/>
    </xf>
    <xf borderId="5" fillId="0" fontId="1" numFmtId="166" xfId="0" applyAlignment="1" applyBorder="1" applyFont="1" applyNumberFormat="1">
      <alignment vertical="bottom"/>
    </xf>
    <xf borderId="0" fillId="5" fontId="1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166" xfId="0" applyAlignment="1" applyFont="1" applyNumberFormat="1">
      <alignment horizontal="center" readingOrder="0" vertical="bottom"/>
    </xf>
    <xf borderId="0" fillId="5" fontId="1" numFmtId="166" xfId="0" applyAlignment="1" applyFont="1" applyNumberFormat="1">
      <alignment vertical="bottom"/>
    </xf>
    <xf borderId="0" fillId="0" fontId="5" numFmtId="166" xfId="0" applyAlignment="1" applyFont="1" applyNumberFormat="1">
      <alignment readingOrder="0" vertical="bottom"/>
    </xf>
    <xf borderId="3" fillId="8" fontId="3" numFmtId="166" xfId="0" applyAlignment="1" applyBorder="1" applyFont="1" applyNumberFormat="1">
      <alignment horizontal="center" readingOrder="0" vertical="bottom"/>
    </xf>
    <xf borderId="7" fillId="0" fontId="1" numFmtId="166" xfId="0" applyAlignment="1" applyBorder="1" applyFont="1" applyNumberFormat="1">
      <alignment vertical="bottom"/>
    </xf>
    <xf borderId="0" fillId="5" fontId="6" numFmtId="166" xfId="0" applyAlignment="1" applyFont="1" applyNumberFormat="1">
      <alignment horizontal="right" readingOrder="0" vertical="bottom"/>
    </xf>
    <xf borderId="7" fillId="6" fontId="7" numFmtId="166" xfId="0" applyAlignment="1" applyBorder="1" applyFont="1" applyNumberFormat="1">
      <alignment horizontal="center" readingOrder="0" vertical="bottom"/>
    </xf>
    <xf borderId="0" fillId="0" fontId="5" numFmtId="166" xfId="0" applyAlignment="1" applyFont="1" applyNumberFormat="1">
      <alignment horizontal="right" readingOrder="0" vertical="bottom"/>
    </xf>
    <xf borderId="1" fillId="5" fontId="3" numFmtId="166" xfId="0" applyAlignment="1" applyBorder="1" applyFont="1" applyNumberFormat="1">
      <alignment horizontal="center" vertical="bottom"/>
    </xf>
    <xf borderId="1" fillId="9" fontId="8" numFmtId="0" xfId="0" applyAlignment="1" applyBorder="1" applyFill="1" applyFont="1">
      <alignment horizontal="center" vertical="bottom"/>
    </xf>
    <xf borderId="1" fillId="4" fontId="3" numFmtId="0" xfId="0" applyAlignment="1" applyBorder="1" applyFont="1">
      <alignment horizontal="center" vertical="bottom"/>
    </xf>
    <xf borderId="1" fillId="0" fontId="5" numFmtId="166" xfId="0" applyAlignment="1" applyBorder="1" applyFont="1" applyNumberFormat="1">
      <alignment horizontal="center" vertical="bottom"/>
    </xf>
    <xf borderId="0" fillId="0" fontId="3" numFmtId="166" xfId="0" applyAlignment="1" applyFont="1" applyNumberFormat="1">
      <alignment horizontal="right" vertical="bottom"/>
    </xf>
    <xf borderId="1" fillId="0" fontId="3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readingOrder="0" vertical="bottom"/>
    </xf>
    <xf borderId="4" fillId="0" fontId="3" numFmtId="166" xfId="0" applyAlignment="1" applyBorder="1" applyFont="1" applyNumberFormat="1">
      <alignment horizontal="center" vertical="bottom"/>
    </xf>
    <xf borderId="4" fillId="0" fontId="3" numFmtId="165" xfId="0" applyAlignment="1" applyBorder="1" applyFont="1" applyNumberFormat="1">
      <alignment horizontal="center" readingOrder="0" vertical="bottom"/>
    </xf>
    <xf borderId="4" fillId="0" fontId="3" numFmtId="166" xfId="0" applyAlignment="1" applyBorder="1" applyFont="1" applyNumberFormat="1">
      <alignment horizontal="center" readingOrder="0" vertical="bottom"/>
    </xf>
    <xf borderId="1" fillId="7" fontId="3" numFmtId="0" xfId="0" applyAlignment="1" applyBorder="1" applyFont="1">
      <alignment horizontal="center" vertical="bottom"/>
    </xf>
    <xf borderId="1" fillId="9" fontId="3" numFmtId="0" xfId="0" applyAlignment="1" applyBorder="1" applyFont="1">
      <alignment horizontal="center" vertical="bottom"/>
    </xf>
    <xf borderId="4" fillId="6" fontId="3" numFmtId="165" xfId="0" applyAlignment="1" applyBorder="1" applyFont="1" applyNumberFormat="1">
      <alignment horizontal="center" readingOrder="0" vertical="bottom"/>
    </xf>
    <xf borderId="4" fillId="6" fontId="3" numFmtId="166" xfId="0" applyAlignment="1" applyBorder="1" applyFont="1" applyNumberFormat="1">
      <alignment horizontal="center" readingOrder="0" vertical="bottom"/>
    </xf>
    <xf borderId="4" fillId="5" fontId="3" numFmtId="0" xfId="0" applyAlignment="1" applyBorder="1" applyFont="1">
      <alignment horizontal="center" readingOrder="0" vertical="bottom"/>
    </xf>
    <xf borderId="4" fillId="8" fontId="3" numFmtId="0" xfId="0" applyAlignment="1" applyBorder="1" applyFont="1">
      <alignment horizontal="center" readingOrder="0" vertical="bottom"/>
    </xf>
    <xf borderId="1" fillId="8" fontId="3" numFmtId="0" xfId="0" applyAlignment="1" applyBorder="1" applyFont="1">
      <alignment horizontal="right" readingOrder="0" vertical="bottom"/>
    </xf>
    <xf borderId="1" fillId="5" fontId="1" numFmtId="165" xfId="0" applyAlignment="1" applyBorder="1" applyFont="1" applyNumberFormat="1">
      <alignment vertical="bottom"/>
    </xf>
    <xf borderId="1" fillId="5" fontId="2" numFmtId="166" xfId="0" applyAlignment="1" applyBorder="1" applyFont="1" applyNumberFormat="1">
      <alignment horizontal="right" vertical="bottom"/>
    </xf>
    <xf borderId="1" fillId="5" fontId="2" numFmtId="166" xfId="0" applyAlignment="1" applyBorder="1" applyFont="1" applyNumberFormat="1">
      <alignment horizontal="center" vertical="bottom"/>
    </xf>
    <xf borderId="1" fillId="5" fontId="2" numFmtId="0" xfId="0" applyAlignment="1" applyBorder="1" applyFont="1">
      <alignment horizontal="center" vertical="bottom"/>
    </xf>
    <xf borderId="1" fillId="10" fontId="3" numFmtId="166" xfId="0" applyAlignment="1" applyBorder="1" applyFill="1" applyFont="1" applyNumberFormat="1">
      <alignment horizontal="center" vertical="bottom"/>
    </xf>
    <xf borderId="0" fillId="0" fontId="9" numFmtId="166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3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2" fillId="11" fontId="3" numFmtId="0" xfId="0" applyAlignment="1" applyBorder="1" applyFill="1" applyFont="1">
      <alignment horizontal="center" vertical="bottom"/>
    </xf>
    <xf borderId="2" fillId="0" fontId="3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vertical="bottom"/>
    </xf>
    <xf borderId="3" fillId="5" fontId="3" numFmtId="0" xfId="0" applyAlignment="1" applyBorder="1" applyFont="1">
      <alignment horizontal="center" readingOrder="0" vertical="bottom"/>
    </xf>
    <xf borderId="1" fillId="5" fontId="3" numFmtId="0" xfId="0" applyAlignment="1" applyBorder="1" applyFont="1">
      <alignment horizontal="center" vertical="bottom"/>
    </xf>
    <xf borderId="1" fillId="5" fontId="10" numFmtId="0" xfId="0" applyAlignment="1" applyBorder="1" applyFont="1">
      <alignment readingOrder="0" vertical="bottom"/>
    </xf>
    <xf borderId="1" fillId="5" fontId="10" numFmtId="0" xfId="0" applyAlignment="1" applyBorder="1" applyFont="1">
      <alignment vertical="bottom"/>
    </xf>
    <xf borderId="3" fillId="10" fontId="3" numFmtId="0" xfId="0" applyAlignment="1" applyBorder="1" applyFont="1">
      <alignment horizontal="center" vertical="bottom"/>
    </xf>
    <xf borderId="1" fillId="10" fontId="3" numFmtId="165" xfId="0" applyAlignment="1" applyBorder="1" applyFont="1" applyNumberFormat="1">
      <alignment horizontal="center" readingOrder="0" vertical="bottom"/>
    </xf>
    <xf borderId="3" fillId="10" fontId="3" numFmtId="0" xfId="0" applyAlignment="1" applyBorder="1" applyFont="1">
      <alignment horizontal="center" readingOrder="0" vertical="bottom"/>
    </xf>
    <xf borderId="1" fillId="10" fontId="3" numFmtId="0" xfId="0" applyAlignment="1" applyBorder="1" applyFont="1">
      <alignment horizontal="center" readingOrder="0" vertical="bottom"/>
    </xf>
    <xf borderId="1" fillId="10" fontId="3" numFmtId="0" xfId="0" applyAlignment="1" applyBorder="1" applyFont="1">
      <alignment horizontal="center" vertical="bottom"/>
    </xf>
    <xf borderId="7" fillId="10" fontId="10" numFmtId="0" xfId="0" applyAlignment="1" applyBorder="1" applyFont="1">
      <alignment vertical="bottom"/>
    </xf>
    <xf borderId="1" fillId="10" fontId="1" numFmtId="0" xfId="0" applyAlignment="1" applyBorder="1" applyFont="1">
      <alignment vertical="bottom"/>
    </xf>
    <xf borderId="3" fillId="5" fontId="11" numFmtId="0" xfId="0" applyAlignment="1" applyBorder="1" applyFont="1">
      <alignment horizontal="center" readingOrder="0" vertical="bottom"/>
    </xf>
    <xf borderId="1" fillId="5" fontId="11" numFmtId="0" xfId="0" applyAlignment="1" applyBorder="1" applyFont="1">
      <alignment horizontal="center" readingOrder="0" vertical="bottom"/>
    </xf>
    <xf borderId="3" fillId="10" fontId="11" numFmtId="0" xfId="0" applyAlignment="1" applyBorder="1" applyFont="1">
      <alignment horizontal="center" readingOrder="0" vertical="bottom"/>
    </xf>
    <xf borderId="1" fillId="10" fontId="11" numFmtId="0" xfId="0" applyAlignment="1" applyBorder="1" applyFont="1">
      <alignment horizontal="center" readingOrder="0" vertical="bottom"/>
    </xf>
    <xf borderId="3" fillId="5" fontId="12" numFmtId="0" xfId="0" applyAlignment="1" applyBorder="1" applyFont="1">
      <alignment horizontal="center" readingOrder="0" vertical="bottom"/>
    </xf>
    <xf borderId="4" fillId="10" fontId="3" numFmtId="0" xfId="0" applyAlignment="1" applyBorder="1" applyFont="1">
      <alignment horizontal="center" readingOrder="0" vertical="bottom"/>
    </xf>
    <xf borderId="3" fillId="10" fontId="12" numFmtId="0" xfId="0" applyAlignment="1" applyBorder="1" applyFont="1">
      <alignment horizontal="center" readingOrder="0" vertical="bottom"/>
    </xf>
    <xf borderId="3" fillId="5" fontId="6" numFmtId="0" xfId="0" applyAlignment="1" applyBorder="1" applyFont="1">
      <alignment horizontal="center" vertical="bottom"/>
    </xf>
    <xf borderId="1" fillId="5" fontId="6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right" vertical="bottom"/>
    </xf>
    <xf borderId="8" fillId="5" fontId="12" numFmtId="166" xfId="0" applyAlignment="1" applyBorder="1" applyFont="1" applyNumberFormat="1">
      <alignment horizontal="center" vertical="bottom"/>
    </xf>
    <xf borderId="1" fillId="5" fontId="12" numFmtId="166" xfId="0" applyAlignment="1" applyBorder="1" applyFont="1" applyNumberFormat="1">
      <alignment horizontal="center" readingOrder="0" vertical="bottom"/>
    </xf>
    <xf borderId="1" fillId="5" fontId="12" numFmtId="166" xfId="0" applyAlignment="1" applyBorder="1" applyFont="1" applyNumberFormat="1">
      <alignment horizontal="center" vertical="bottom"/>
    </xf>
    <xf borderId="1" fillId="5" fontId="6" numFmtId="166" xfId="0" applyAlignment="1" applyBorder="1" applyFont="1" applyNumberFormat="1">
      <alignment horizontal="center" vertical="bottom"/>
    </xf>
    <xf borderId="1" fillId="0" fontId="5" numFmtId="166" xfId="0" applyAlignment="1" applyBorder="1" applyFont="1" applyNumberFormat="1">
      <alignment horizontal="right" readingOrder="0" vertical="bottom"/>
    </xf>
    <xf borderId="1" fillId="0" fontId="5" numFmtId="166" xfId="0" applyAlignment="1" applyBorder="1" applyFont="1" applyNumberFormat="1">
      <alignment horizontal="right" vertical="bottom"/>
    </xf>
    <xf borderId="1" fillId="10" fontId="13" numFmtId="166" xfId="0" applyAlignment="1" applyBorder="1" applyFont="1" applyNumberFormat="1">
      <alignment horizontal="center" vertical="bottom"/>
    </xf>
    <xf borderId="1" fillId="10" fontId="6" numFmtId="166" xfId="0" applyAlignment="1" applyBorder="1" applyFont="1" applyNumberFormat="1">
      <alignment horizontal="right" vertical="bottom"/>
    </xf>
    <xf borderId="1" fillId="10" fontId="5" numFmtId="166" xfId="0" applyAlignment="1" applyBorder="1" applyFont="1" applyNumberFormat="1">
      <alignment horizontal="right" vertical="bottom"/>
    </xf>
    <xf borderId="1" fillId="10" fontId="14" numFmtId="166" xfId="0" applyAlignment="1" applyBorder="1" applyFont="1" applyNumberFormat="1">
      <alignment horizontal="right" vertical="bottom"/>
    </xf>
    <xf borderId="0" fillId="0" fontId="2" numFmtId="166" xfId="0" applyAlignment="1" applyFont="1" applyNumberFormat="1">
      <alignment horizontal="right" vertical="bottom"/>
    </xf>
    <xf borderId="7" fillId="0" fontId="10" numFmtId="166" xfId="0" applyAlignment="1" applyBorder="1" applyFont="1" applyNumberFormat="1">
      <alignment horizontal="right" vertical="bottom"/>
    </xf>
    <xf borderId="7" fillId="0" fontId="10" numFmtId="166" xfId="0" applyAlignment="1" applyBorder="1" applyFont="1" applyNumberFormat="1">
      <alignment horizontal="right" readingOrder="0" vertical="bottom"/>
    </xf>
    <xf borderId="7" fillId="0" fontId="15" numFmtId="166" xfId="0" applyAlignment="1" applyBorder="1" applyFont="1" applyNumberFormat="1">
      <alignment horizontal="right" vertical="bottom"/>
    </xf>
    <xf borderId="1" fillId="0" fontId="10" numFmtId="166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right" readingOrder="0" vertical="bottom"/>
    </xf>
    <xf borderId="1" fillId="10" fontId="16" numFmtId="0" xfId="0" applyAlignment="1" applyBorder="1" applyFont="1">
      <alignment horizontal="center" vertical="bottom"/>
    </xf>
    <xf borderId="2" fillId="10" fontId="16" numFmtId="0" xfId="0" applyAlignment="1" applyBorder="1" applyFont="1">
      <alignment horizontal="center" vertical="bottom"/>
    </xf>
    <xf borderId="4" fillId="5" fontId="3" numFmtId="0" xfId="0" applyAlignment="1" applyBorder="1" applyFont="1">
      <alignment horizontal="center" vertical="bottom"/>
    </xf>
    <xf borderId="2" fillId="5" fontId="3" numFmtId="0" xfId="0" applyAlignment="1" applyBorder="1" applyFont="1">
      <alignment horizontal="center" readingOrder="0" vertical="bottom"/>
    </xf>
    <xf borderId="2" fillId="5" fontId="3" numFmtId="166" xfId="0" applyAlignment="1" applyBorder="1" applyFont="1" applyNumberFormat="1">
      <alignment horizontal="center" vertical="bottom"/>
    </xf>
    <xf borderId="2" fillId="5" fontId="3" numFmtId="165" xfId="0" applyAlignment="1" applyBorder="1" applyFont="1" applyNumberFormat="1">
      <alignment horizontal="center" vertical="bottom"/>
    </xf>
    <xf borderId="2" fillId="5" fontId="3" numFmtId="0" xfId="0" applyAlignment="1" applyBorder="1" applyFont="1">
      <alignment horizontal="center" vertical="bottom"/>
    </xf>
    <xf borderId="2" fillId="5" fontId="3" numFmtId="166" xfId="0" applyAlignment="1" applyBorder="1" applyFont="1" applyNumberFormat="1">
      <alignment horizontal="center" readingOrder="0" vertical="bottom"/>
    </xf>
    <xf borderId="4" fillId="5" fontId="3" numFmtId="0" xfId="0" applyAlignment="1" applyBorder="1" applyFont="1">
      <alignment horizontal="center" vertical="bottom"/>
    </xf>
    <xf borderId="2" fillId="5" fontId="3" numFmtId="0" xfId="0" applyAlignment="1" applyBorder="1" applyFont="1">
      <alignment horizontal="center" vertical="bottom"/>
    </xf>
    <xf borderId="3" fillId="5" fontId="3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center" vertical="bottom"/>
    </xf>
    <xf borderId="1" fillId="5" fontId="1" numFmtId="0" xfId="0" applyAlignment="1" applyBorder="1" applyFont="1">
      <alignment horizontal="center" vertical="bottom"/>
    </xf>
    <xf borderId="1" fillId="5" fontId="3" numFmtId="167" xfId="0" applyAlignment="1" applyBorder="1" applyFont="1" applyNumberFormat="1">
      <alignment horizontal="center" readingOrder="0" vertical="bottom"/>
    </xf>
    <xf borderId="1" fillId="5" fontId="3" numFmtId="167" xfId="0" applyAlignment="1" applyBorder="1" applyFont="1" applyNumberFormat="1">
      <alignment readingOrder="0" vertical="bottom"/>
    </xf>
    <xf borderId="1" fillId="5" fontId="3" numFmtId="165" xfId="0" applyAlignment="1" applyBorder="1" applyFont="1" applyNumberFormat="1">
      <alignment horizontal="center" vertical="bottom"/>
    </xf>
    <xf borderId="1" fillId="5" fontId="5" numFmtId="165" xfId="0" applyAlignment="1" applyBorder="1" applyFont="1" applyNumberFormat="1">
      <alignment readingOrder="0" vertical="bottom"/>
    </xf>
    <xf borderId="0" fillId="0" fontId="17" numFmtId="0" xfId="0" applyFont="1"/>
    <xf borderId="0" fillId="0" fontId="17" numFmtId="0" xfId="0" applyAlignment="1" applyFont="1">
      <alignment readingOrder="0"/>
    </xf>
    <xf borderId="1" fillId="5" fontId="3" numFmtId="165" xfId="0" applyAlignment="1" applyBorder="1" applyFont="1" applyNumberFormat="1">
      <alignment readingOrder="0" vertical="bottom"/>
    </xf>
    <xf borderId="1" fillId="5" fontId="3" numFmtId="0" xfId="0" applyAlignment="1" applyBorder="1" applyFont="1">
      <alignment vertical="bottom"/>
    </xf>
    <xf borderId="3" fillId="6" fontId="3" numFmtId="0" xfId="0" applyAlignment="1" applyBorder="1" applyFont="1">
      <alignment horizontal="center" readingOrder="0" vertical="bottom"/>
    </xf>
    <xf borderId="1" fillId="6" fontId="3" numFmtId="0" xfId="0" applyAlignment="1" applyBorder="1" applyFont="1">
      <alignment horizontal="center" readingOrder="0" vertical="bottom"/>
    </xf>
    <xf borderId="1" fillId="6" fontId="3" numFmtId="166" xfId="0" applyAlignment="1" applyBorder="1" applyFont="1" applyNumberFormat="1">
      <alignment horizontal="center" readingOrder="0" vertical="bottom"/>
    </xf>
    <xf borderId="2" fillId="6" fontId="3" numFmtId="166" xfId="0" applyAlignment="1" applyBorder="1" applyFont="1" applyNumberFormat="1">
      <alignment horizontal="center" vertical="bottom"/>
    </xf>
    <xf borderId="1" fillId="6" fontId="3" numFmtId="0" xfId="0" applyAlignment="1" applyBorder="1" applyFont="1">
      <alignment vertical="bottom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3" fillId="5" fontId="1" numFmtId="0" xfId="0" applyAlignment="1" applyBorder="1" applyFont="1">
      <alignment vertical="bottom"/>
    </xf>
    <xf borderId="1" fillId="5" fontId="10" numFmtId="165" xfId="0" applyAlignment="1" applyBorder="1" applyFont="1" applyNumberFormat="1">
      <alignment readingOrder="0" vertical="bottom"/>
    </xf>
    <xf borderId="4" fillId="6" fontId="3" numFmtId="0" xfId="0" applyAlignment="1" applyBorder="1" applyFont="1">
      <alignment horizontal="center" vertical="bottom"/>
    </xf>
    <xf borderId="2" fillId="6" fontId="3" numFmtId="0" xfId="0" applyAlignment="1" applyBorder="1" applyFont="1">
      <alignment horizontal="center" vertical="bottom"/>
    </xf>
    <xf borderId="4" fillId="7" fontId="3" numFmtId="0" xfId="0" applyAlignment="1" applyBorder="1" applyFont="1">
      <alignment horizontal="center" vertical="bottom"/>
    </xf>
    <xf borderId="2" fillId="7" fontId="3" numFmtId="0" xfId="0" applyAlignment="1" applyBorder="1" applyFont="1">
      <alignment horizontal="center" readingOrder="0" vertical="bottom"/>
    </xf>
    <xf borderId="2" fillId="7" fontId="3" numFmtId="166" xfId="0" applyAlignment="1" applyBorder="1" applyFont="1" applyNumberFormat="1">
      <alignment horizontal="center" vertical="bottom"/>
    </xf>
    <xf borderId="2" fillId="7" fontId="3" numFmtId="168" xfId="0" applyAlignment="1" applyBorder="1" applyFont="1" applyNumberFormat="1">
      <alignment horizontal="center" vertical="bottom"/>
    </xf>
    <xf borderId="4" fillId="12" fontId="3" numFmtId="0" xfId="0" applyAlignment="1" applyBorder="1" applyFill="1" applyFont="1">
      <alignment horizontal="center" vertical="bottom"/>
    </xf>
    <xf borderId="2" fillId="12" fontId="3" numFmtId="0" xfId="0" applyAlignment="1" applyBorder="1" applyFont="1">
      <alignment horizontal="center" vertical="bottom"/>
    </xf>
    <xf borderId="2" fillId="12" fontId="3" numFmtId="166" xfId="0" applyAlignment="1" applyBorder="1" applyFont="1" applyNumberFormat="1">
      <alignment horizontal="center" vertical="bottom"/>
    </xf>
    <xf borderId="2" fillId="12" fontId="1" numFmtId="0" xfId="0" applyAlignment="1" applyBorder="1" applyFont="1">
      <alignment vertical="bottom"/>
    </xf>
    <xf borderId="3" fillId="0" fontId="16" numFmtId="0" xfId="0" applyAlignment="1" applyBorder="1" applyFont="1">
      <alignment horizontal="center" vertical="bottom"/>
    </xf>
    <xf borderId="1" fillId="0" fontId="16" numFmtId="166" xfId="0" applyAlignment="1" applyBorder="1" applyFont="1" applyNumberFormat="1">
      <alignment horizontal="center" vertical="bottom"/>
    </xf>
    <xf borderId="1" fillId="0" fontId="1" numFmtId="165" xfId="0" applyAlignment="1" applyBorder="1" applyFont="1" applyNumberFormat="1">
      <alignment vertical="bottom"/>
    </xf>
    <xf borderId="7" fillId="0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1" fillId="4" fontId="2" numFmtId="0" xfId="0" applyAlignment="1" applyBorder="1" applyFont="1">
      <alignment horizontal="center" vertical="bottom"/>
    </xf>
    <xf borderId="7" fillId="6" fontId="2" numFmtId="0" xfId="0" applyAlignment="1" applyBorder="1" applyFont="1">
      <alignment horizontal="center" vertical="bottom"/>
    </xf>
    <xf borderId="1" fillId="5" fontId="2" numFmtId="166" xfId="0" applyAlignment="1" applyBorder="1" applyFont="1" applyNumberFormat="1">
      <alignment horizontal="center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21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1" fillId="3" fontId="3" numFmtId="166" xfId="0" applyAlignment="1" applyBorder="1" applyFont="1" applyNumberFormat="1">
      <alignment horizontal="center" vertical="bottom"/>
    </xf>
    <xf borderId="1" fillId="7" fontId="2" numFmtId="166" xfId="0" applyAlignment="1" applyBorder="1" applyFont="1" applyNumberFormat="1">
      <alignment horizontal="center" vertical="bottom"/>
    </xf>
    <xf borderId="1" fillId="4" fontId="2" numFmtId="166" xfId="0" applyAlignment="1" applyBorder="1" applyFont="1" applyNumberFormat="1">
      <alignment horizontal="center" vertical="bottom"/>
    </xf>
    <xf borderId="4" fillId="0" fontId="1" numFmtId="0" xfId="0" applyAlignment="1" applyBorder="1" applyFont="1">
      <alignment vertical="bottom"/>
    </xf>
    <xf borderId="1" fillId="10" fontId="2" numFmtId="0" xfId="0" applyAlignment="1" applyBorder="1" applyFont="1">
      <alignment horizontal="center" vertical="bottom"/>
    </xf>
    <xf borderId="1" fillId="10" fontId="2" numFmtId="0" xfId="0" applyAlignment="1" applyBorder="1" applyFont="1">
      <alignment horizontal="center" readingOrder="0" vertical="bottom"/>
    </xf>
    <xf borderId="4" fillId="13" fontId="2" numFmtId="0" xfId="0" applyAlignment="1" applyBorder="1" applyFill="1" applyFont="1">
      <alignment horizontal="center" vertical="bottom"/>
    </xf>
    <xf borderId="1" fillId="0" fontId="3" numFmtId="166" xfId="0" applyAlignment="1" applyBorder="1" applyFont="1" applyNumberFormat="1">
      <alignment horizontal="center" readingOrder="0" vertical="bottom"/>
    </xf>
    <xf borderId="1" fillId="13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20.63"/>
    <col customWidth="1" min="3" max="3" width="28.38"/>
    <col customWidth="1" min="4" max="4" width="25.88"/>
    <col customWidth="1" min="5" max="5" width="18.88"/>
    <col customWidth="1" min="6" max="6" width="19.13"/>
    <col customWidth="1" min="7" max="7" width="18.63"/>
    <col customWidth="1" min="8" max="8" width="19.13"/>
    <col customWidth="1" min="9" max="9" width="21.13"/>
    <col customWidth="1" min="11" max="11" width="23.63"/>
    <col customWidth="1" min="12" max="12" width="21.13"/>
    <col customWidth="1" min="13" max="13" width="49.63"/>
    <col customWidth="1" min="14" max="14" width="46.13"/>
    <col customWidth="1" min="15" max="15" width="53.38"/>
    <col customWidth="1" min="16" max="16" width="61.13"/>
    <col customWidth="1" min="17" max="17" width="25.13"/>
    <col customWidth="1" min="18" max="18" width="26.88"/>
    <col customWidth="1" min="19" max="19" width="30.38"/>
  </cols>
  <sheetData>
    <row r="1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5"/>
      <c r="K1" s="6" t="s">
        <v>8</v>
      </c>
      <c r="L1" s="7">
        <v>45383.0</v>
      </c>
      <c r="M1" s="5"/>
      <c r="N1" s="5"/>
      <c r="O1" s="5"/>
      <c r="P1" s="5"/>
      <c r="Q1" s="5"/>
    </row>
    <row r="2">
      <c r="A2" s="8" t="s">
        <v>9</v>
      </c>
      <c r="B2" s="9">
        <v>45413.0</v>
      </c>
      <c r="C2" s="10">
        <v>74000.0</v>
      </c>
      <c r="D2" s="11">
        <v>40000.0</v>
      </c>
      <c r="E2" s="12"/>
      <c r="F2" s="12"/>
      <c r="G2" s="12"/>
      <c r="H2" s="12"/>
      <c r="I2" s="13">
        <v>1.0</v>
      </c>
      <c r="J2" s="14"/>
      <c r="K2" s="15"/>
      <c r="L2" s="10">
        <v>74000.0</v>
      </c>
      <c r="M2" s="16"/>
      <c r="N2" s="5"/>
      <c r="O2" s="5"/>
      <c r="P2" s="5"/>
      <c r="Q2" s="5"/>
    </row>
    <row r="3">
      <c r="A3" s="8" t="s">
        <v>10</v>
      </c>
      <c r="B3" s="9">
        <v>45414.0</v>
      </c>
      <c r="C3" s="17">
        <v>37000.0</v>
      </c>
      <c r="D3" s="11">
        <v>41000.0</v>
      </c>
      <c r="E3" s="12"/>
      <c r="F3" s="12"/>
      <c r="G3" s="12"/>
      <c r="H3" s="12"/>
      <c r="I3" s="18">
        <v>1.0</v>
      </c>
      <c r="J3" s="14"/>
      <c r="K3" s="15"/>
      <c r="L3" s="17">
        <v>37000.0</v>
      </c>
      <c r="M3" s="19" t="s">
        <v>11</v>
      </c>
      <c r="N3" s="20" t="s">
        <v>12</v>
      </c>
      <c r="O3" s="21" t="s">
        <v>13</v>
      </c>
      <c r="P3" s="22" t="s">
        <v>14</v>
      </c>
      <c r="Q3" s="5"/>
    </row>
    <row r="4">
      <c r="A4" s="23" t="s">
        <v>15</v>
      </c>
      <c r="B4" s="24">
        <v>45415.0</v>
      </c>
      <c r="C4" s="25">
        <v>62000.0</v>
      </c>
      <c r="D4" s="26">
        <v>50000.0</v>
      </c>
      <c r="E4" s="27"/>
      <c r="F4" s="27"/>
      <c r="G4" s="27"/>
      <c r="H4" s="27"/>
      <c r="I4" s="28">
        <v>1.0</v>
      </c>
      <c r="J4" s="14"/>
      <c r="K4" s="15"/>
      <c r="L4" s="17">
        <v>62000.0</v>
      </c>
      <c r="M4" s="29">
        <f>H33/I33</f>
        <v>3851.467258</v>
      </c>
      <c r="N4" s="30">
        <f>D33/I33</f>
        <v>43290.32258</v>
      </c>
      <c r="O4" s="31"/>
      <c r="P4" s="32">
        <f>O4/N4</f>
        <v>0</v>
      </c>
      <c r="Q4" s="5"/>
    </row>
    <row r="5">
      <c r="A5" s="8" t="s">
        <v>16</v>
      </c>
      <c r="B5" s="9">
        <v>45416.0</v>
      </c>
      <c r="C5" s="17">
        <v>62000.0</v>
      </c>
      <c r="D5" s="11">
        <v>35000.0</v>
      </c>
      <c r="E5" s="12"/>
      <c r="F5" s="12"/>
      <c r="G5" s="12"/>
      <c r="H5" s="12"/>
      <c r="I5" s="18">
        <v>1.0</v>
      </c>
      <c r="J5" s="14"/>
      <c r="K5" s="15"/>
      <c r="L5" s="17">
        <v>62000.0</v>
      </c>
      <c r="M5" s="33"/>
      <c r="N5" s="1"/>
      <c r="O5" s="5"/>
      <c r="P5" s="34"/>
      <c r="Q5" s="5"/>
    </row>
    <row r="6">
      <c r="A6" s="8" t="s">
        <v>17</v>
      </c>
      <c r="B6" s="9">
        <v>45417.0</v>
      </c>
      <c r="C6" s="17">
        <v>21000.0</v>
      </c>
      <c r="D6" s="11">
        <v>28000.0</v>
      </c>
      <c r="E6" s="12"/>
      <c r="F6" s="12"/>
      <c r="G6" s="12"/>
      <c r="H6" s="12"/>
      <c r="I6" s="18">
        <v>1.0</v>
      </c>
      <c r="J6" s="14"/>
      <c r="K6" s="15"/>
      <c r="L6" s="17">
        <v>21000.0</v>
      </c>
      <c r="M6" s="35" t="s">
        <v>18</v>
      </c>
      <c r="N6" s="36" t="s">
        <v>19</v>
      </c>
      <c r="O6" s="5"/>
      <c r="P6" s="1"/>
      <c r="Q6" s="5"/>
    </row>
    <row r="7">
      <c r="A7" s="8" t="s">
        <v>20</v>
      </c>
      <c r="B7" s="9">
        <v>45418.0</v>
      </c>
      <c r="C7" s="17">
        <v>33000.0</v>
      </c>
      <c r="D7" s="11">
        <v>40000.0</v>
      </c>
      <c r="E7" s="12"/>
      <c r="F7" s="12"/>
      <c r="G7" s="12"/>
      <c r="H7" s="12"/>
      <c r="I7" s="18">
        <v>1.0</v>
      </c>
      <c r="J7" s="14"/>
      <c r="K7" s="15"/>
      <c r="L7" s="17">
        <v>33000.0</v>
      </c>
      <c r="M7" s="37">
        <f>E33/I33</f>
        <v>20843.22581</v>
      </c>
      <c r="N7" s="38">
        <v>100000.0</v>
      </c>
      <c r="O7" s="1"/>
      <c r="P7" s="1"/>
      <c r="Q7" s="5"/>
    </row>
    <row r="8">
      <c r="A8" s="8" t="s">
        <v>21</v>
      </c>
      <c r="B8" s="9">
        <v>45419.0</v>
      </c>
      <c r="C8" s="17">
        <v>500000.0</v>
      </c>
      <c r="D8" s="11">
        <v>52000.0</v>
      </c>
      <c r="E8" s="12"/>
      <c r="F8" s="12"/>
      <c r="G8" s="12"/>
      <c r="H8" s="12"/>
      <c r="I8" s="18">
        <v>1.0</v>
      </c>
      <c r="J8" s="14"/>
      <c r="K8" s="15"/>
      <c r="L8" s="17">
        <v>500000.0</v>
      </c>
      <c r="M8" s="33" t="s">
        <v>22</v>
      </c>
      <c r="N8" s="1"/>
      <c r="O8" s="1"/>
      <c r="P8" s="1"/>
      <c r="Q8" s="5"/>
    </row>
    <row r="9">
      <c r="A9" s="8" t="s">
        <v>9</v>
      </c>
      <c r="B9" s="9">
        <v>45420.0</v>
      </c>
      <c r="C9" s="17">
        <v>240000.0</v>
      </c>
      <c r="D9" s="11">
        <v>31000.0</v>
      </c>
      <c r="E9" s="12"/>
      <c r="F9" s="12"/>
      <c r="G9" s="12"/>
      <c r="H9" s="12"/>
      <c r="I9" s="18">
        <v>1.0</v>
      </c>
      <c r="J9" s="14"/>
      <c r="K9" s="15"/>
      <c r="L9" s="17">
        <v>240000.0</v>
      </c>
      <c r="M9" s="33"/>
      <c r="N9" s="1"/>
      <c r="O9" s="1"/>
      <c r="P9" s="1"/>
      <c r="Q9" s="5"/>
    </row>
    <row r="10">
      <c r="A10" s="8" t="s">
        <v>10</v>
      </c>
      <c r="B10" s="9">
        <v>45421.0</v>
      </c>
      <c r="C10" s="17">
        <v>0.0</v>
      </c>
      <c r="D10" s="11">
        <v>107000.0</v>
      </c>
      <c r="E10" s="12"/>
      <c r="F10" s="12"/>
      <c r="G10" s="12"/>
      <c r="H10" s="12"/>
      <c r="I10" s="18">
        <v>1.0</v>
      </c>
      <c r="J10" s="14"/>
      <c r="K10" s="15"/>
      <c r="L10" s="17">
        <v>0.0</v>
      </c>
      <c r="M10" s="39" t="s">
        <v>23</v>
      </c>
      <c r="N10" s="40" t="s">
        <v>24</v>
      </c>
      <c r="O10" s="41" t="s">
        <v>25</v>
      </c>
      <c r="P10" s="42" t="s">
        <v>26</v>
      </c>
      <c r="Q10" s="5"/>
      <c r="R10" s="5"/>
      <c r="S10" s="5"/>
    </row>
    <row r="11">
      <c r="A11" s="23" t="s">
        <v>15</v>
      </c>
      <c r="B11" s="24">
        <v>45422.0</v>
      </c>
      <c r="C11" s="25">
        <v>0.0</v>
      </c>
      <c r="D11" s="26">
        <v>85000.0</v>
      </c>
      <c r="E11" s="27"/>
      <c r="F11" s="27"/>
      <c r="G11" s="27"/>
      <c r="H11" s="27"/>
      <c r="I11" s="28">
        <v>1.0</v>
      </c>
      <c r="J11" s="14"/>
      <c r="K11" s="15"/>
      <c r="L11" s="17">
        <v>0.0</v>
      </c>
      <c r="M11" s="17">
        <f>D33+M14-E33-'Salaires '!H31-N11</f>
        <v>549360</v>
      </c>
      <c r="N11" s="43">
        <v>38000.0</v>
      </c>
      <c r="O11" s="44">
        <f>O17+P33</f>
        <v>776000</v>
      </c>
      <c r="P11" s="38">
        <f>M11-O11</f>
        <v>-226640</v>
      </c>
      <c r="Q11" s="5"/>
      <c r="R11" s="5"/>
      <c r="S11" s="5"/>
    </row>
    <row r="12">
      <c r="A12" s="8" t="s">
        <v>16</v>
      </c>
      <c r="B12" s="9">
        <v>45423.0</v>
      </c>
      <c r="C12" s="17">
        <v>0.0</v>
      </c>
      <c r="D12" s="11">
        <v>40000.0</v>
      </c>
      <c r="E12" s="12"/>
      <c r="F12" s="12"/>
      <c r="G12" s="12"/>
      <c r="H12" s="12"/>
      <c r="I12" s="18">
        <v>1.0</v>
      </c>
      <c r="J12" s="14"/>
      <c r="K12" s="15"/>
      <c r="L12" s="17">
        <v>0.0</v>
      </c>
      <c r="M12" s="33"/>
      <c r="N12" s="1"/>
      <c r="O12" s="45"/>
      <c r="P12" s="46"/>
      <c r="Q12" s="5"/>
      <c r="R12" s="5"/>
      <c r="S12" s="5"/>
    </row>
    <row r="13">
      <c r="A13" s="8" t="s">
        <v>17</v>
      </c>
      <c r="B13" s="9">
        <v>45424.0</v>
      </c>
      <c r="C13" s="17">
        <v>0.0</v>
      </c>
      <c r="D13" s="11">
        <v>60000.0</v>
      </c>
      <c r="E13" s="12"/>
      <c r="F13" s="12"/>
      <c r="G13" s="12"/>
      <c r="H13" s="12"/>
      <c r="I13" s="18">
        <v>1.0</v>
      </c>
      <c r="J13" s="14"/>
      <c r="K13" s="15"/>
      <c r="L13" s="17">
        <v>0.0</v>
      </c>
      <c r="M13" s="47" t="s">
        <v>27</v>
      </c>
      <c r="N13" s="46"/>
      <c r="O13" s="16"/>
      <c r="P13" s="46"/>
      <c r="Q13" s="5"/>
      <c r="R13" s="5"/>
      <c r="S13" s="14"/>
    </row>
    <row r="14">
      <c r="A14" s="8" t="s">
        <v>20</v>
      </c>
      <c r="B14" s="9">
        <v>45425.0</v>
      </c>
      <c r="C14" s="48">
        <v>30000.0</v>
      </c>
      <c r="D14" s="11">
        <v>50000.0</v>
      </c>
      <c r="E14" s="12"/>
      <c r="F14" s="12"/>
      <c r="G14" s="12"/>
      <c r="H14" s="12"/>
      <c r="I14" s="18">
        <v>1.0</v>
      </c>
      <c r="J14" s="14"/>
      <c r="K14" s="15"/>
      <c r="L14" s="17">
        <v>30000.0</v>
      </c>
      <c r="M14" s="49">
        <v>330000.0</v>
      </c>
      <c r="N14" s="46"/>
      <c r="O14" s="16"/>
      <c r="P14" s="50" t="s">
        <v>28</v>
      </c>
      <c r="Q14" s="5"/>
      <c r="R14" s="5"/>
      <c r="S14" s="14"/>
    </row>
    <row r="15">
      <c r="A15" s="8" t="s">
        <v>21</v>
      </c>
      <c r="B15" s="9">
        <v>45426.0</v>
      </c>
      <c r="C15" s="48">
        <v>40000.0</v>
      </c>
      <c r="D15" s="11">
        <v>50000.0</v>
      </c>
      <c r="E15" s="12"/>
      <c r="F15" s="12"/>
      <c r="G15" s="12"/>
      <c r="H15" s="12"/>
      <c r="I15" s="18">
        <v>1.0</v>
      </c>
      <c r="J15" s="14"/>
      <c r="K15" s="15"/>
      <c r="L15" s="17">
        <v>40000.0</v>
      </c>
      <c r="M15" s="51"/>
      <c r="N15" s="31"/>
      <c r="O15" s="52"/>
      <c r="P15" s="53" t="s">
        <v>29</v>
      </c>
      <c r="Q15" s="5"/>
      <c r="R15" s="5"/>
      <c r="S15" s="14"/>
    </row>
    <row r="16">
      <c r="A16" s="8" t="s">
        <v>9</v>
      </c>
      <c r="B16" s="9">
        <v>45427.0</v>
      </c>
      <c r="C16" s="48">
        <v>45000.0</v>
      </c>
      <c r="D16" s="11">
        <v>45000.0</v>
      </c>
      <c r="E16" s="12"/>
      <c r="F16" s="12"/>
      <c r="G16" s="12"/>
      <c r="H16" s="12"/>
      <c r="I16" s="18">
        <v>1.0</v>
      </c>
      <c r="J16" s="14"/>
      <c r="K16" s="15"/>
      <c r="L16" s="17">
        <v>45000.0</v>
      </c>
      <c r="M16" s="51"/>
      <c r="N16" s="31"/>
      <c r="O16" s="54" t="s">
        <v>30</v>
      </c>
      <c r="P16" s="53" t="s">
        <v>31</v>
      </c>
      <c r="Q16" s="5"/>
      <c r="R16" s="5"/>
      <c r="S16" s="14"/>
    </row>
    <row r="17">
      <c r="A17" s="8" t="s">
        <v>10</v>
      </c>
      <c r="B17" s="9">
        <v>45428.0</v>
      </c>
      <c r="C17" s="48">
        <v>45000.0</v>
      </c>
      <c r="D17" s="11">
        <v>50000.0</v>
      </c>
      <c r="E17" s="12"/>
      <c r="F17" s="12"/>
      <c r="G17" s="12"/>
      <c r="H17" s="12"/>
      <c r="I17" s="18">
        <v>1.0</v>
      </c>
      <c r="J17" s="14"/>
      <c r="K17" s="15"/>
      <c r="L17" s="17">
        <v>45000.0</v>
      </c>
      <c r="M17" s="55"/>
      <c r="N17" s="31"/>
      <c r="O17" s="56">
        <v>156000.0</v>
      </c>
      <c r="P17" s="50" t="s">
        <v>32</v>
      </c>
      <c r="Q17" s="5"/>
      <c r="R17" s="5"/>
      <c r="S17" s="14"/>
    </row>
    <row r="18">
      <c r="A18" s="23" t="s">
        <v>15</v>
      </c>
      <c r="B18" s="24">
        <v>45429.0</v>
      </c>
      <c r="C18" s="57">
        <v>49000.0</v>
      </c>
      <c r="D18" s="26">
        <v>40000.0</v>
      </c>
      <c r="E18" s="27"/>
      <c r="F18" s="27"/>
      <c r="G18" s="27"/>
      <c r="H18" s="27"/>
      <c r="I18" s="28">
        <v>1.0</v>
      </c>
      <c r="J18" s="14"/>
      <c r="K18" s="15"/>
      <c r="L18" s="17">
        <v>49000.0</v>
      </c>
      <c r="M18" s="58"/>
      <c r="N18" s="31"/>
      <c r="O18" s="59"/>
      <c r="P18" s="50" t="s">
        <v>33</v>
      </c>
      <c r="Q18" s="5"/>
      <c r="R18" s="5"/>
      <c r="S18" s="14"/>
    </row>
    <row r="19">
      <c r="A19" s="8" t="s">
        <v>16</v>
      </c>
      <c r="B19" s="9">
        <v>45430.0</v>
      </c>
      <c r="C19" s="48">
        <v>85000.0</v>
      </c>
      <c r="D19" s="11">
        <v>35000.0</v>
      </c>
      <c r="E19" s="12"/>
      <c r="F19" s="12"/>
      <c r="G19" s="12"/>
      <c r="H19" s="12"/>
      <c r="I19" s="18">
        <v>1.0</v>
      </c>
      <c r="J19" s="14"/>
      <c r="K19" s="15"/>
      <c r="L19" s="17">
        <v>85000.0</v>
      </c>
      <c r="M19" s="60" t="s">
        <v>34</v>
      </c>
      <c r="N19" s="31"/>
      <c r="O19" s="31"/>
      <c r="P19" s="61" t="s">
        <v>35</v>
      </c>
      <c r="Q19" s="5"/>
      <c r="R19" s="5"/>
      <c r="S19" s="14"/>
    </row>
    <row r="20">
      <c r="A20" s="8" t="s">
        <v>17</v>
      </c>
      <c r="B20" s="9">
        <v>45431.0</v>
      </c>
      <c r="C20" s="48">
        <v>40000.0</v>
      </c>
      <c r="D20" s="11">
        <v>30000.0</v>
      </c>
      <c r="E20" s="12"/>
      <c r="F20" s="12"/>
      <c r="G20" s="12"/>
      <c r="H20" s="12"/>
      <c r="I20" s="18">
        <v>1.0</v>
      </c>
      <c r="J20" s="14"/>
      <c r="K20" s="15"/>
      <c r="L20" s="17">
        <v>40000.0</v>
      </c>
      <c r="M20" s="62">
        <f>D33-C33</f>
        <v>-568000</v>
      </c>
      <c r="N20" s="31"/>
      <c r="O20" s="5"/>
      <c r="P20" s="55"/>
      <c r="Q20" s="5"/>
      <c r="R20" s="5"/>
      <c r="S20" s="14"/>
    </row>
    <row r="21">
      <c r="A21" s="8" t="s">
        <v>20</v>
      </c>
      <c r="B21" s="9">
        <v>45432.0</v>
      </c>
      <c r="C21" s="48">
        <v>42000.0</v>
      </c>
      <c r="D21" s="11">
        <v>37000.0</v>
      </c>
      <c r="E21" s="12"/>
      <c r="F21" s="12"/>
      <c r="G21" s="12"/>
      <c r="H21" s="12"/>
      <c r="I21" s="18">
        <v>1.0</v>
      </c>
      <c r="J21" s="14"/>
      <c r="K21" s="15"/>
      <c r="L21" s="17">
        <v>42000.0</v>
      </c>
      <c r="M21" s="63" t="s">
        <v>36</v>
      </c>
      <c r="N21" s="31"/>
      <c r="O21" s="8" t="s">
        <v>37</v>
      </c>
      <c r="P21" s="62">
        <v>1.0</v>
      </c>
      <c r="Q21" s="62">
        <v>8800.0</v>
      </c>
      <c r="R21" s="62">
        <f>P21*Q21</f>
        <v>8800</v>
      </c>
      <c r="S21" s="14"/>
    </row>
    <row r="22">
      <c r="A22" s="8" t="s">
        <v>21</v>
      </c>
      <c r="B22" s="9">
        <v>45433.0</v>
      </c>
      <c r="C22" s="48">
        <v>43000.0</v>
      </c>
      <c r="D22" s="11">
        <v>40000.0</v>
      </c>
      <c r="E22" s="12"/>
      <c r="F22" s="12"/>
      <c r="G22" s="12"/>
      <c r="H22" s="12"/>
      <c r="I22" s="18">
        <v>1.0</v>
      </c>
      <c r="J22" s="14"/>
      <c r="K22" s="15"/>
      <c r="L22" s="17">
        <v>43000.0</v>
      </c>
      <c r="M22" s="38">
        <f>K36-E36</f>
        <v>0</v>
      </c>
      <c r="N22" s="31"/>
      <c r="O22" s="8" t="s">
        <v>38</v>
      </c>
      <c r="P22" s="62">
        <v>4.0</v>
      </c>
      <c r="Q22" s="62">
        <v>400.0</v>
      </c>
      <c r="R22" s="62">
        <v>600.0</v>
      </c>
      <c r="S22" s="14"/>
    </row>
    <row r="23">
      <c r="A23" s="8" t="s">
        <v>9</v>
      </c>
      <c r="B23" s="9">
        <v>45434.0</v>
      </c>
      <c r="C23" s="48">
        <v>60000.0</v>
      </c>
      <c r="D23" s="11">
        <v>23000.0</v>
      </c>
      <c r="E23" s="12"/>
      <c r="F23" s="12"/>
      <c r="G23" s="12"/>
      <c r="H23" s="12"/>
      <c r="I23" s="18">
        <v>1.0</v>
      </c>
      <c r="J23" s="14"/>
      <c r="K23" s="15"/>
      <c r="L23" s="17">
        <v>60000.0</v>
      </c>
      <c r="M23" s="64" t="s">
        <v>39</v>
      </c>
      <c r="N23" s="31"/>
      <c r="O23" s="8" t="s">
        <v>40</v>
      </c>
      <c r="P23" s="62">
        <v>1.0</v>
      </c>
      <c r="Q23" s="62">
        <v>2800.0</v>
      </c>
      <c r="R23" s="62">
        <f>P23*Q23</f>
        <v>2800</v>
      </c>
      <c r="S23" s="14"/>
    </row>
    <row r="24">
      <c r="A24" s="8" t="s">
        <v>10</v>
      </c>
      <c r="B24" s="9">
        <v>45435.0</v>
      </c>
      <c r="C24" s="48">
        <v>54000.0</v>
      </c>
      <c r="D24" s="11">
        <v>48000.0</v>
      </c>
      <c r="E24" s="12"/>
      <c r="F24" s="12"/>
      <c r="G24" s="12"/>
      <c r="H24" s="12"/>
      <c r="I24" s="18">
        <v>1.0</v>
      </c>
      <c r="J24" s="14"/>
      <c r="K24" s="15"/>
      <c r="L24" s="17">
        <v>54000.0</v>
      </c>
      <c r="M24" s="65">
        <f>D33-C33</f>
        <v>-568000</v>
      </c>
      <c r="N24" s="31"/>
      <c r="O24" s="5"/>
      <c r="P24" s="55"/>
      <c r="Q24" s="5"/>
      <c r="R24" s="66">
        <f>SUM(R21:R23)</f>
        <v>12200</v>
      </c>
      <c r="S24" s="14"/>
    </row>
    <row r="25">
      <c r="A25" s="23" t="s">
        <v>15</v>
      </c>
      <c r="B25" s="24">
        <v>45436.0</v>
      </c>
      <c r="C25" s="57">
        <v>65000.0</v>
      </c>
      <c r="D25" s="26">
        <v>26000.0</v>
      </c>
      <c r="E25" s="27"/>
      <c r="F25" s="27"/>
      <c r="G25" s="27"/>
      <c r="H25" s="27"/>
      <c r="I25" s="28">
        <v>1.0</v>
      </c>
      <c r="J25" s="14"/>
      <c r="K25" s="15"/>
      <c r="L25" s="17">
        <v>65000.0</v>
      </c>
      <c r="M25" s="67" t="s">
        <v>41</v>
      </c>
      <c r="N25" s="31"/>
      <c r="O25" s="68" t="s">
        <v>42</v>
      </c>
      <c r="P25" s="69"/>
      <c r="Q25" s="5"/>
      <c r="R25" s="5"/>
      <c r="S25" s="14"/>
    </row>
    <row r="26">
      <c r="A26" s="8" t="s">
        <v>16</v>
      </c>
      <c r="B26" s="9">
        <v>45437.0</v>
      </c>
      <c r="C26" s="48">
        <v>92000.0</v>
      </c>
      <c r="D26" s="11">
        <v>25000.0</v>
      </c>
      <c r="E26" s="12"/>
      <c r="F26" s="12"/>
      <c r="G26" s="12"/>
      <c r="H26" s="12"/>
      <c r="I26" s="18">
        <v>1.0</v>
      </c>
      <c r="J26" s="14"/>
      <c r="K26" s="15"/>
      <c r="L26" s="17">
        <v>92000.0</v>
      </c>
      <c r="M26" s="38">
        <f>D9+D16+D23+D30</f>
        <v>141000</v>
      </c>
      <c r="N26" s="5"/>
      <c r="O26" s="70">
        <v>45422.0</v>
      </c>
      <c r="P26" s="71">
        <v>200000.0</v>
      </c>
      <c r="Q26" s="5"/>
      <c r="R26" s="5"/>
      <c r="S26" s="5"/>
    </row>
    <row r="27">
      <c r="A27" s="8" t="s">
        <v>17</v>
      </c>
      <c r="B27" s="9">
        <v>45438.0</v>
      </c>
      <c r="C27" s="48">
        <v>26000.0</v>
      </c>
      <c r="D27" s="11">
        <v>33000.0</v>
      </c>
      <c r="E27" s="12"/>
      <c r="F27" s="12"/>
      <c r="G27" s="12"/>
      <c r="H27" s="12"/>
      <c r="I27" s="18">
        <v>1.0</v>
      </c>
      <c r="J27" s="14"/>
      <c r="K27" s="15"/>
      <c r="L27" s="17">
        <v>26000.0</v>
      </c>
      <c r="M27" s="46"/>
      <c r="N27" s="5"/>
      <c r="O27" s="70">
        <v>45426.0</v>
      </c>
      <c r="P27" s="71">
        <v>200000.0</v>
      </c>
      <c r="Q27" s="5"/>
      <c r="R27" s="5"/>
      <c r="S27" s="5"/>
    </row>
    <row r="28">
      <c r="A28" s="8" t="s">
        <v>20</v>
      </c>
      <c r="B28" s="9">
        <v>45439.0</v>
      </c>
      <c r="C28" s="48">
        <v>41000.0</v>
      </c>
      <c r="D28" s="11">
        <v>23000.0</v>
      </c>
      <c r="E28" s="12"/>
      <c r="F28" s="12"/>
      <c r="G28" s="12"/>
      <c r="H28" s="12"/>
      <c r="I28" s="18">
        <v>1.0</v>
      </c>
      <c r="J28" s="14"/>
      <c r="K28" s="15"/>
      <c r="L28" s="17">
        <v>41000.0</v>
      </c>
      <c r="M28" s="72" t="s">
        <v>25</v>
      </c>
      <c r="N28" s="5"/>
      <c r="O28" s="70">
        <v>45431.0</v>
      </c>
      <c r="P28" s="71">
        <v>100000.0</v>
      </c>
      <c r="Q28" s="5"/>
    </row>
    <row r="29">
      <c r="A29" s="8" t="s">
        <v>21</v>
      </c>
      <c r="B29" s="9">
        <v>45440.0</v>
      </c>
      <c r="C29" s="48">
        <v>38000.0</v>
      </c>
      <c r="D29" s="11">
        <v>30000.0</v>
      </c>
      <c r="E29" s="12"/>
      <c r="F29" s="12"/>
      <c r="G29" s="12"/>
      <c r="H29" s="12"/>
      <c r="I29" s="18">
        <v>1.0</v>
      </c>
      <c r="J29" s="14"/>
      <c r="K29" s="15"/>
      <c r="L29" s="17">
        <v>38000.0</v>
      </c>
      <c r="M29" s="38">
        <v>51000.0</v>
      </c>
      <c r="N29" s="31"/>
      <c r="O29" s="70">
        <v>45434.0</v>
      </c>
      <c r="P29" s="71">
        <v>25000.0</v>
      </c>
      <c r="Q29" s="5"/>
    </row>
    <row r="30">
      <c r="A30" s="8" t="s">
        <v>9</v>
      </c>
      <c r="B30" s="9">
        <v>45441.0</v>
      </c>
      <c r="C30" s="48">
        <v>40000.0</v>
      </c>
      <c r="D30" s="11">
        <v>42000.0</v>
      </c>
      <c r="E30" s="12"/>
      <c r="F30" s="12"/>
      <c r="G30" s="12"/>
      <c r="H30" s="12"/>
      <c r="I30" s="18">
        <v>1.0</v>
      </c>
      <c r="J30" s="14"/>
      <c r="K30" s="15"/>
      <c r="L30" s="17">
        <v>40000.0</v>
      </c>
      <c r="M30" s="73" t="s">
        <v>43</v>
      </c>
      <c r="N30" s="5"/>
      <c r="O30" s="74">
        <v>45446.0</v>
      </c>
      <c r="P30" s="75">
        <v>95000.0</v>
      </c>
      <c r="Q30" s="5"/>
    </row>
    <row r="31">
      <c r="A31" s="76" t="s">
        <v>10</v>
      </c>
      <c r="B31" s="9">
        <v>45442.0</v>
      </c>
      <c r="C31" s="48">
        <v>46000.0</v>
      </c>
      <c r="D31" s="11">
        <v>75000.0</v>
      </c>
      <c r="E31" s="12"/>
      <c r="F31" s="12"/>
      <c r="G31" s="12"/>
      <c r="H31" s="12"/>
      <c r="I31" s="18">
        <v>1.0</v>
      </c>
      <c r="J31" s="14"/>
      <c r="K31" s="15"/>
      <c r="L31" s="17">
        <v>46000.0</v>
      </c>
      <c r="M31" s="46"/>
      <c r="N31" s="5"/>
      <c r="O31" s="69"/>
      <c r="P31" s="41"/>
      <c r="Q31" s="5"/>
    </row>
    <row r="32">
      <c r="A32" s="77" t="s">
        <v>15</v>
      </c>
      <c r="B32" s="24">
        <v>45443.0</v>
      </c>
      <c r="C32" s="26">
        <v>0.0</v>
      </c>
      <c r="D32" s="26">
        <v>31000.0</v>
      </c>
      <c r="E32" s="27"/>
      <c r="F32" s="27"/>
      <c r="G32" s="27"/>
      <c r="H32" s="27"/>
      <c r="I32" s="78">
        <v>1.0</v>
      </c>
      <c r="J32" s="14"/>
      <c r="K32" s="15"/>
      <c r="L32" s="11">
        <v>0.0</v>
      </c>
      <c r="M32" s="46"/>
      <c r="N32" s="5"/>
      <c r="O32" s="69"/>
      <c r="P32" s="41"/>
      <c r="Q32" s="5"/>
    </row>
    <row r="33">
      <c r="A33" s="5"/>
      <c r="B33" s="79"/>
      <c r="C33" s="80">
        <f t="shared" ref="C33:D33" si="1">SUM(C2:C32)</f>
        <v>1910000</v>
      </c>
      <c r="D33" s="81">
        <f t="shared" si="1"/>
        <v>1342000</v>
      </c>
      <c r="E33" s="80">
        <f>'Les charges '!G379</f>
        <v>646140</v>
      </c>
      <c r="F33" s="80">
        <f>'Salaires '!G31</f>
        <v>436464.515</v>
      </c>
      <c r="G33" s="80">
        <v>140000.0</v>
      </c>
      <c r="H33" s="80">
        <f>D33-E33-F33-G33</f>
        <v>119395.485</v>
      </c>
      <c r="I33" s="82">
        <f>SUM(I2:I32)</f>
        <v>31</v>
      </c>
      <c r="J33" s="5"/>
      <c r="K33" s="15"/>
      <c r="L33" s="83">
        <f>SUM(L2:L32)</f>
        <v>1910000</v>
      </c>
      <c r="M33" s="46"/>
      <c r="N33" s="31"/>
      <c r="O33" s="31"/>
      <c r="P33" s="84">
        <f>SUM(P26:P32)</f>
        <v>620000</v>
      </c>
      <c r="Q33" s="5"/>
    </row>
    <row r="34">
      <c r="A34" s="5"/>
      <c r="B34" s="85"/>
      <c r="C34" s="31"/>
      <c r="D34" s="31"/>
      <c r="E34" s="5"/>
      <c r="F34" s="5"/>
      <c r="G34" s="5"/>
      <c r="H34" s="5"/>
      <c r="I34" s="5"/>
      <c r="J34" s="5"/>
      <c r="K34" s="31"/>
      <c r="L34" s="31"/>
      <c r="M34" s="46"/>
      <c r="N34" s="31"/>
      <c r="O34" s="31"/>
      <c r="P34" s="5"/>
      <c r="Q34" s="5"/>
    </row>
    <row r="35">
      <c r="A35" s="5"/>
      <c r="B35" s="85"/>
      <c r="C35" s="31"/>
      <c r="D35" s="31"/>
      <c r="E35" s="31"/>
      <c r="F35" s="31"/>
      <c r="G35" s="31"/>
      <c r="H35" s="31"/>
      <c r="I35" s="5"/>
      <c r="J35" s="5"/>
      <c r="K35" s="31"/>
      <c r="L35" s="31"/>
      <c r="M35" s="38">
        <f>M11-M29-M34</f>
        <v>498360</v>
      </c>
      <c r="N35" s="5"/>
      <c r="O35" s="31"/>
      <c r="P35" s="5"/>
      <c r="Q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>
      <c r="A38" s="5"/>
      <c r="B38" s="5"/>
      <c r="C38" s="5"/>
      <c r="D38" s="5" t="s">
        <v>44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2.63"/>
    <col customWidth="1" min="3" max="4" width="19.13"/>
    <col customWidth="1" min="5" max="5" width="31.63"/>
    <col customWidth="1" min="6" max="6" width="20.13"/>
    <col customWidth="1" min="7" max="7" width="31.38"/>
    <col customWidth="1" min="8" max="8" width="20.88"/>
    <col customWidth="1" min="9" max="9" width="19.38"/>
    <col customWidth="1" min="10" max="10" width="20.88"/>
    <col customWidth="1" min="11" max="12" width="20.13"/>
    <col customWidth="1" min="13" max="13" width="21.38"/>
    <col customWidth="1" min="14" max="14" width="19.38"/>
    <col customWidth="1" min="15" max="15" width="19.13"/>
    <col customWidth="1" min="16" max="16" width="20.63"/>
    <col customWidth="1" min="17" max="17" width="19.38"/>
    <col customWidth="1" min="18" max="18" width="20.38"/>
    <col customWidth="1" min="19" max="19" width="57.38"/>
  </cols>
  <sheetData>
    <row r="1">
      <c r="A1" s="1"/>
      <c r="B1" s="2" t="s">
        <v>0</v>
      </c>
      <c r="C1" s="86" t="s">
        <v>45</v>
      </c>
      <c r="D1" s="87" t="s">
        <v>46</v>
      </c>
      <c r="E1" s="4" t="s">
        <v>47</v>
      </c>
      <c r="F1" s="3" t="s">
        <v>48</v>
      </c>
      <c r="G1" s="3" t="s">
        <v>49</v>
      </c>
      <c r="H1" s="4" t="s">
        <v>50</v>
      </c>
      <c r="I1" s="4" t="s">
        <v>51</v>
      </c>
      <c r="J1" s="4" t="s">
        <v>52</v>
      </c>
      <c r="K1" s="4" t="s">
        <v>53</v>
      </c>
      <c r="L1" s="88" t="s">
        <v>54</v>
      </c>
      <c r="M1" s="3" t="s">
        <v>55</v>
      </c>
      <c r="N1" s="89" t="s">
        <v>56</v>
      </c>
      <c r="O1" s="89" t="s">
        <v>57</v>
      </c>
      <c r="P1" s="89" t="s">
        <v>58</v>
      </c>
      <c r="Q1" s="89" t="s">
        <v>59</v>
      </c>
      <c r="R1" s="89" t="s">
        <v>60</v>
      </c>
      <c r="S1" s="90"/>
      <c r="T1" s="5"/>
      <c r="U1" s="5"/>
    </row>
    <row r="2">
      <c r="A2" s="8" t="s">
        <v>9</v>
      </c>
      <c r="B2" s="9">
        <v>45413.0</v>
      </c>
      <c r="C2" s="91">
        <v>0.0</v>
      </c>
      <c r="D2" s="18">
        <v>1.0</v>
      </c>
      <c r="E2" s="18">
        <v>0.0</v>
      </c>
      <c r="F2" s="18">
        <v>0.0</v>
      </c>
      <c r="G2" s="18">
        <v>0.0</v>
      </c>
      <c r="H2" s="18">
        <v>0.0</v>
      </c>
      <c r="I2" s="18">
        <v>0.0</v>
      </c>
      <c r="J2" s="18">
        <v>1.0</v>
      </c>
      <c r="K2" s="18">
        <v>1.0</v>
      </c>
      <c r="L2" s="18">
        <v>1.0</v>
      </c>
      <c r="M2" s="18">
        <v>1.0</v>
      </c>
      <c r="N2" s="18">
        <v>1.0</v>
      </c>
      <c r="O2" s="18">
        <v>0.0</v>
      </c>
      <c r="P2" s="18">
        <v>0.0</v>
      </c>
      <c r="Q2" s="18">
        <v>0.0</v>
      </c>
      <c r="R2" s="92"/>
      <c r="S2" s="93" t="s">
        <v>61</v>
      </c>
      <c r="T2" s="14"/>
      <c r="U2" s="5"/>
    </row>
    <row r="3">
      <c r="A3" s="8" t="s">
        <v>10</v>
      </c>
      <c r="B3" s="9">
        <v>45414.0</v>
      </c>
      <c r="C3" s="91">
        <v>0.0</v>
      </c>
      <c r="D3" s="18">
        <v>1.0</v>
      </c>
      <c r="E3" s="18">
        <v>1.0</v>
      </c>
      <c r="F3" s="18">
        <v>0.0</v>
      </c>
      <c r="G3" s="18">
        <v>0.0</v>
      </c>
      <c r="H3" s="18">
        <v>0.0</v>
      </c>
      <c r="I3" s="18">
        <v>0.5</v>
      </c>
      <c r="J3" s="18">
        <v>1.0</v>
      </c>
      <c r="K3" s="18">
        <v>1.0</v>
      </c>
      <c r="L3" s="18">
        <v>0.0</v>
      </c>
      <c r="M3" s="18">
        <v>1.0</v>
      </c>
      <c r="N3" s="18">
        <v>1.0</v>
      </c>
      <c r="O3" s="18">
        <v>0.0</v>
      </c>
      <c r="P3" s="18">
        <v>0.0</v>
      </c>
      <c r="Q3" s="18">
        <v>0.0</v>
      </c>
      <c r="R3" s="92"/>
      <c r="S3" s="94"/>
      <c r="T3" s="14"/>
      <c r="U3" s="5"/>
    </row>
    <row r="4">
      <c r="A4" s="95" t="s">
        <v>15</v>
      </c>
      <c r="B4" s="96">
        <v>45415.0</v>
      </c>
      <c r="C4" s="97">
        <v>1.0</v>
      </c>
      <c r="D4" s="98">
        <v>1.5</v>
      </c>
      <c r="E4" s="98">
        <v>1.0</v>
      </c>
      <c r="F4" s="98">
        <v>0.0</v>
      </c>
      <c r="G4" s="98">
        <v>0.0</v>
      </c>
      <c r="H4" s="98">
        <v>0.0</v>
      </c>
      <c r="I4" s="98">
        <v>1.5</v>
      </c>
      <c r="J4" s="98">
        <v>0.0</v>
      </c>
      <c r="K4" s="98">
        <v>1.0</v>
      </c>
      <c r="L4" s="98">
        <v>0.0</v>
      </c>
      <c r="M4" s="98">
        <v>1.0</v>
      </c>
      <c r="N4" s="98">
        <v>0.0</v>
      </c>
      <c r="O4" s="98">
        <v>0.0</v>
      </c>
      <c r="P4" s="98">
        <v>0.0</v>
      </c>
      <c r="Q4" s="98">
        <v>0.0</v>
      </c>
      <c r="R4" s="99"/>
      <c r="S4" s="100"/>
      <c r="T4" s="14"/>
      <c r="U4" s="5"/>
    </row>
    <row r="5">
      <c r="A5" s="8" t="s">
        <v>16</v>
      </c>
      <c r="B5" s="9">
        <v>45416.0</v>
      </c>
      <c r="C5" s="91">
        <v>1.0</v>
      </c>
      <c r="D5" s="18">
        <v>0.0</v>
      </c>
      <c r="E5" s="18">
        <v>1.0</v>
      </c>
      <c r="F5" s="18">
        <v>0.0</v>
      </c>
      <c r="G5" s="18">
        <v>0.0</v>
      </c>
      <c r="H5" s="18">
        <v>0.0</v>
      </c>
      <c r="I5" s="18">
        <v>1.0</v>
      </c>
      <c r="J5" s="18">
        <v>1.0</v>
      </c>
      <c r="K5" s="18">
        <v>1.0</v>
      </c>
      <c r="L5" s="18">
        <v>0.0</v>
      </c>
      <c r="M5" s="18">
        <v>1.0</v>
      </c>
      <c r="N5" s="18">
        <v>1.0</v>
      </c>
      <c r="O5" s="18">
        <v>1.0</v>
      </c>
      <c r="P5" s="18">
        <v>0.0</v>
      </c>
      <c r="Q5" s="18">
        <v>0.0</v>
      </c>
      <c r="R5" s="92"/>
      <c r="S5" s="12"/>
      <c r="T5" s="14"/>
      <c r="U5" s="5"/>
    </row>
    <row r="6">
      <c r="A6" s="8" t="s">
        <v>17</v>
      </c>
      <c r="B6" s="9">
        <v>45417.0</v>
      </c>
      <c r="C6" s="91">
        <v>0.0</v>
      </c>
      <c r="D6" s="18">
        <v>1.0</v>
      </c>
      <c r="E6" s="18">
        <v>1.0</v>
      </c>
      <c r="F6" s="18">
        <v>0.0</v>
      </c>
      <c r="G6" s="18">
        <v>0.0</v>
      </c>
      <c r="H6" s="18">
        <v>1.0</v>
      </c>
      <c r="I6" s="18">
        <v>0.0</v>
      </c>
      <c r="J6" s="18">
        <v>1.0</v>
      </c>
      <c r="K6" s="18">
        <v>0.0</v>
      </c>
      <c r="L6" s="18">
        <v>0.0</v>
      </c>
      <c r="M6" s="18">
        <v>0.0</v>
      </c>
      <c r="N6" s="18">
        <v>1.0</v>
      </c>
      <c r="O6" s="18">
        <v>1.0</v>
      </c>
      <c r="P6" s="18">
        <v>1.0</v>
      </c>
      <c r="Q6" s="18">
        <v>0.0</v>
      </c>
      <c r="R6" s="92"/>
      <c r="S6" s="12"/>
      <c r="T6" s="14"/>
      <c r="U6" s="5"/>
    </row>
    <row r="7">
      <c r="A7" s="8" t="s">
        <v>20</v>
      </c>
      <c r="B7" s="9">
        <v>45418.0</v>
      </c>
      <c r="C7" s="91">
        <v>0.0</v>
      </c>
      <c r="D7" s="18">
        <v>1.0</v>
      </c>
      <c r="E7" s="18">
        <v>1.0</v>
      </c>
      <c r="F7" s="18">
        <v>1.0</v>
      </c>
      <c r="G7" s="18">
        <v>0.0</v>
      </c>
      <c r="H7" s="18">
        <v>1.0</v>
      </c>
      <c r="I7" s="18">
        <v>0.0</v>
      </c>
      <c r="J7" s="18">
        <v>1.0</v>
      </c>
      <c r="K7" s="18">
        <v>1.0</v>
      </c>
      <c r="L7" s="18">
        <v>1.0</v>
      </c>
      <c r="M7" s="18">
        <v>0.5</v>
      </c>
      <c r="N7" s="18">
        <v>1.0</v>
      </c>
      <c r="O7" s="18">
        <v>1.0</v>
      </c>
      <c r="P7" s="18">
        <v>1.0</v>
      </c>
      <c r="Q7" s="18">
        <v>0.0</v>
      </c>
      <c r="R7" s="92"/>
      <c r="S7" s="12"/>
      <c r="T7" s="14"/>
      <c r="U7" s="5"/>
    </row>
    <row r="8">
      <c r="A8" s="8" t="s">
        <v>21</v>
      </c>
      <c r="B8" s="9">
        <v>45419.0</v>
      </c>
      <c r="C8" s="91">
        <v>0.5</v>
      </c>
      <c r="D8" s="18">
        <v>1.0</v>
      </c>
      <c r="E8" s="18">
        <v>0.0</v>
      </c>
      <c r="F8" s="18">
        <v>1.0</v>
      </c>
      <c r="G8" s="18">
        <v>0.0</v>
      </c>
      <c r="H8" s="18">
        <v>1.0</v>
      </c>
      <c r="I8" s="18">
        <v>1.0</v>
      </c>
      <c r="J8" s="18">
        <v>1.0</v>
      </c>
      <c r="K8" s="18">
        <v>1.0</v>
      </c>
      <c r="L8" s="18">
        <v>0.0</v>
      </c>
      <c r="M8" s="18">
        <v>0.0</v>
      </c>
      <c r="N8" s="18">
        <v>1.0</v>
      </c>
      <c r="O8" s="18">
        <v>1.0</v>
      </c>
      <c r="P8" s="18">
        <v>1.0</v>
      </c>
      <c r="Q8" s="18">
        <v>1.0</v>
      </c>
      <c r="R8" s="18">
        <v>1.0</v>
      </c>
      <c r="S8" s="12"/>
      <c r="T8" s="14"/>
      <c r="U8" s="5"/>
    </row>
    <row r="9">
      <c r="A9" s="8" t="s">
        <v>9</v>
      </c>
      <c r="B9" s="9">
        <v>45420.0</v>
      </c>
      <c r="C9" s="91">
        <v>0.5</v>
      </c>
      <c r="D9" s="18">
        <v>1.0</v>
      </c>
      <c r="E9" s="18">
        <v>1.0</v>
      </c>
      <c r="F9" s="18">
        <v>1.0</v>
      </c>
      <c r="G9" s="18">
        <v>0.0</v>
      </c>
      <c r="H9" s="18">
        <v>1.0</v>
      </c>
      <c r="I9" s="18">
        <v>1.0</v>
      </c>
      <c r="J9" s="18">
        <v>1.0</v>
      </c>
      <c r="K9" s="18">
        <v>1.0</v>
      </c>
      <c r="L9" s="18">
        <v>0.0</v>
      </c>
      <c r="M9" s="18">
        <v>1.0</v>
      </c>
      <c r="N9" s="18">
        <v>1.0</v>
      </c>
      <c r="O9" s="18">
        <v>1.0</v>
      </c>
      <c r="P9" s="18">
        <v>1.0</v>
      </c>
      <c r="Q9" s="18">
        <v>1.0</v>
      </c>
      <c r="R9" s="18">
        <v>1.0</v>
      </c>
      <c r="S9" s="12"/>
      <c r="T9" s="14"/>
      <c r="U9" s="5"/>
    </row>
    <row r="10">
      <c r="A10" s="8" t="s">
        <v>10</v>
      </c>
      <c r="B10" s="9">
        <v>45421.0</v>
      </c>
      <c r="C10" s="91">
        <v>0.0</v>
      </c>
      <c r="D10" s="18">
        <v>1.0</v>
      </c>
      <c r="E10" s="18">
        <v>1.0</v>
      </c>
      <c r="F10" s="18">
        <v>1.0</v>
      </c>
      <c r="G10" s="18">
        <v>0.0</v>
      </c>
      <c r="H10" s="18">
        <v>0.5</v>
      </c>
      <c r="I10" s="18">
        <v>1.0</v>
      </c>
      <c r="J10" s="18">
        <v>1.0</v>
      </c>
      <c r="K10" s="18">
        <v>1.0</v>
      </c>
      <c r="L10" s="18">
        <v>0.0</v>
      </c>
      <c r="M10" s="18">
        <v>1.0</v>
      </c>
      <c r="N10" s="18">
        <v>1.0</v>
      </c>
      <c r="O10" s="18">
        <v>1.0</v>
      </c>
      <c r="P10" s="18">
        <v>1.0</v>
      </c>
      <c r="Q10" s="18">
        <v>1.0</v>
      </c>
      <c r="R10" s="18">
        <v>1.0</v>
      </c>
      <c r="S10" s="12"/>
      <c r="T10" s="14"/>
      <c r="U10" s="5"/>
    </row>
    <row r="11">
      <c r="A11" s="95" t="s">
        <v>15</v>
      </c>
      <c r="B11" s="96">
        <v>45422.0</v>
      </c>
      <c r="C11" s="97">
        <v>1.0</v>
      </c>
      <c r="D11" s="98">
        <v>1.0</v>
      </c>
      <c r="E11" s="98">
        <v>1.0</v>
      </c>
      <c r="F11" s="98">
        <v>0.0</v>
      </c>
      <c r="G11" s="98">
        <v>0.0</v>
      </c>
      <c r="H11" s="98">
        <v>0.0</v>
      </c>
      <c r="I11" s="98">
        <v>0.0</v>
      </c>
      <c r="J11" s="98">
        <v>0.0</v>
      </c>
      <c r="K11" s="98">
        <v>1.0</v>
      </c>
      <c r="L11" s="98">
        <v>0.0</v>
      </c>
      <c r="M11" s="98">
        <v>1.0</v>
      </c>
      <c r="N11" s="98">
        <v>1.0</v>
      </c>
      <c r="O11" s="98">
        <v>0.0</v>
      </c>
      <c r="P11" s="98">
        <v>0.0</v>
      </c>
      <c r="Q11" s="98">
        <v>0.0</v>
      </c>
      <c r="R11" s="98">
        <v>0.0</v>
      </c>
      <c r="S11" s="101"/>
      <c r="T11" s="14"/>
      <c r="U11" s="5"/>
    </row>
    <row r="12">
      <c r="A12" s="8" t="s">
        <v>16</v>
      </c>
      <c r="B12" s="9">
        <v>45423.0</v>
      </c>
      <c r="C12" s="91">
        <v>0.0</v>
      </c>
      <c r="D12" s="18">
        <v>0.0</v>
      </c>
      <c r="E12" s="18">
        <v>1.0</v>
      </c>
      <c r="F12" s="18">
        <v>1.0</v>
      </c>
      <c r="G12" s="18">
        <v>0.0</v>
      </c>
      <c r="H12" s="18">
        <v>0.5</v>
      </c>
      <c r="I12" s="18">
        <v>0.0</v>
      </c>
      <c r="J12" s="18">
        <v>1.0</v>
      </c>
      <c r="K12" s="18">
        <v>1.0</v>
      </c>
      <c r="L12" s="18">
        <v>0.0</v>
      </c>
      <c r="M12" s="18">
        <v>0.5</v>
      </c>
      <c r="N12" s="18">
        <v>1.0</v>
      </c>
      <c r="O12" s="18">
        <v>1.0</v>
      </c>
      <c r="P12" s="18">
        <v>1.0</v>
      </c>
      <c r="Q12" s="18">
        <v>0.0</v>
      </c>
      <c r="R12" s="18">
        <v>0.0</v>
      </c>
      <c r="S12" s="12"/>
      <c r="T12" s="14"/>
      <c r="U12" s="5"/>
    </row>
    <row r="13">
      <c r="A13" s="8" t="s">
        <v>17</v>
      </c>
      <c r="B13" s="9">
        <v>45424.0</v>
      </c>
      <c r="C13" s="91">
        <v>0.0</v>
      </c>
      <c r="D13" s="18">
        <v>1.0</v>
      </c>
      <c r="E13" s="18">
        <v>1.0</v>
      </c>
      <c r="F13" s="18">
        <v>1.0</v>
      </c>
      <c r="G13" s="18">
        <v>0.0</v>
      </c>
      <c r="H13" s="18">
        <v>1.0</v>
      </c>
      <c r="I13" s="18">
        <v>0.0</v>
      </c>
      <c r="J13" s="18">
        <v>1.0</v>
      </c>
      <c r="K13" s="18">
        <v>1.0</v>
      </c>
      <c r="L13" s="18">
        <v>1.0</v>
      </c>
      <c r="M13" s="18">
        <v>1.0</v>
      </c>
      <c r="N13" s="18">
        <v>1.0</v>
      </c>
      <c r="O13" s="18">
        <v>1.0</v>
      </c>
      <c r="P13" s="18">
        <v>1.0</v>
      </c>
      <c r="Q13" s="18">
        <v>1.0</v>
      </c>
      <c r="R13" s="18">
        <v>1.0</v>
      </c>
      <c r="S13" s="12"/>
      <c r="T13" s="14"/>
      <c r="U13" s="5"/>
    </row>
    <row r="14">
      <c r="A14" s="8" t="s">
        <v>20</v>
      </c>
      <c r="B14" s="9">
        <v>45425.0</v>
      </c>
      <c r="C14" s="91">
        <v>0.0</v>
      </c>
      <c r="D14" s="18">
        <v>1.0</v>
      </c>
      <c r="E14" s="18">
        <v>1.0</v>
      </c>
      <c r="F14" s="18">
        <v>1.0</v>
      </c>
      <c r="G14" s="18">
        <v>0.0</v>
      </c>
      <c r="H14" s="18">
        <v>1.0</v>
      </c>
      <c r="I14" s="18">
        <v>0.0</v>
      </c>
      <c r="J14" s="18">
        <v>1.0</v>
      </c>
      <c r="K14" s="18">
        <v>1.0</v>
      </c>
      <c r="L14" s="18">
        <v>0.0</v>
      </c>
      <c r="M14" s="18">
        <v>1.0</v>
      </c>
      <c r="N14" s="18">
        <v>1.0</v>
      </c>
      <c r="O14" s="18">
        <v>1.0</v>
      </c>
      <c r="P14" s="18">
        <v>1.0</v>
      </c>
      <c r="Q14" s="18">
        <v>1.0</v>
      </c>
      <c r="R14" s="18">
        <v>1.0</v>
      </c>
      <c r="S14" s="12"/>
      <c r="T14" s="14"/>
      <c r="U14" s="5"/>
    </row>
    <row r="15">
      <c r="A15" s="8" t="s">
        <v>21</v>
      </c>
      <c r="B15" s="9">
        <v>45426.0</v>
      </c>
      <c r="C15" s="91">
        <v>0.0</v>
      </c>
      <c r="D15" s="18">
        <v>1.0</v>
      </c>
      <c r="E15" s="18">
        <v>0.0</v>
      </c>
      <c r="F15" s="18">
        <v>1.0</v>
      </c>
      <c r="G15" s="18">
        <v>0.0</v>
      </c>
      <c r="H15" s="18">
        <v>1.0</v>
      </c>
      <c r="I15" s="18">
        <v>0.0</v>
      </c>
      <c r="J15" s="18">
        <v>1.0</v>
      </c>
      <c r="K15" s="18">
        <v>0.0</v>
      </c>
      <c r="L15" s="18">
        <v>1.0</v>
      </c>
      <c r="M15" s="18">
        <v>0.0</v>
      </c>
      <c r="N15" s="18">
        <v>1.0</v>
      </c>
      <c r="O15" s="18">
        <v>0.0</v>
      </c>
      <c r="P15" s="18">
        <v>1.0</v>
      </c>
      <c r="Q15" s="18">
        <v>1.0</v>
      </c>
      <c r="R15" s="18">
        <v>1.0</v>
      </c>
      <c r="S15" s="12"/>
      <c r="T15" s="14"/>
      <c r="U15" s="5"/>
    </row>
    <row r="16">
      <c r="A16" s="8" t="s">
        <v>9</v>
      </c>
      <c r="B16" s="9">
        <v>45427.0</v>
      </c>
      <c r="C16" s="102">
        <v>0.0</v>
      </c>
      <c r="D16" s="103">
        <v>1.0</v>
      </c>
      <c r="E16" s="103">
        <v>1.0</v>
      </c>
      <c r="F16" s="103">
        <v>1.0</v>
      </c>
      <c r="G16" s="103">
        <v>0.0</v>
      </c>
      <c r="H16" s="103">
        <v>1.0</v>
      </c>
      <c r="I16" s="103">
        <v>0.0</v>
      </c>
      <c r="J16" s="18">
        <v>1.0</v>
      </c>
      <c r="K16" s="103">
        <v>1.0</v>
      </c>
      <c r="L16" s="18">
        <v>0.0</v>
      </c>
      <c r="M16" s="18">
        <v>1.0</v>
      </c>
      <c r="N16" s="18">
        <v>1.0</v>
      </c>
      <c r="O16" s="18">
        <v>1.0</v>
      </c>
      <c r="P16" s="18">
        <v>1.0</v>
      </c>
      <c r="Q16" s="18">
        <v>1.0</v>
      </c>
      <c r="R16" s="18">
        <v>1.0</v>
      </c>
      <c r="S16" s="12"/>
      <c r="T16" s="14"/>
      <c r="U16" s="5"/>
    </row>
    <row r="17">
      <c r="A17" s="8" t="s">
        <v>10</v>
      </c>
      <c r="B17" s="9">
        <v>45428.0</v>
      </c>
      <c r="C17" s="91">
        <v>0.0</v>
      </c>
      <c r="D17" s="18">
        <v>1.0</v>
      </c>
      <c r="E17" s="18">
        <v>1.0</v>
      </c>
      <c r="F17" s="18">
        <v>1.0</v>
      </c>
      <c r="G17" s="18">
        <v>1.0</v>
      </c>
      <c r="H17" s="18">
        <v>0.5</v>
      </c>
      <c r="I17" s="18">
        <v>0.5</v>
      </c>
      <c r="J17" s="18">
        <v>1.0</v>
      </c>
      <c r="K17" s="18">
        <v>1.0</v>
      </c>
      <c r="L17" s="18">
        <v>1.0</v>
      </c>
      <c r="M17" s="18">
        <v>0.5</v>
      </c>
      <c r="N17" s="18">
        <v>1.0</v>
      </c>
      <c r="O17" s="18">
        <v>1.0</v>
      </c>
      <c r="P17" s="18">
        <v>1.0</v>
      </c>
      <c r="Q17" s="18">
        <v>1.0</v>
      </c>
      <c r="R17" s="18">
        <v>1.0</v>
      </c>
      <c r="S17" s="12"/>
      <c r="T17" s="14"/>
      <c r="U17" s="5"/>
    </row>
    <row r="18">
      <c r="A18" s="95" t="s">
        <v>15</v>
      </c>
      <c r="B18" s="96">
        <v>45429.0</v>
      </c>
      <c r="C18" s="97">
        <v>1.0</v>
      </c>
      <c r="D18" s="98">
        <v>1.0</v>
      </c>
      <c r="E18" s="98">
        <v>1.0</v>
      </c>
      <c r="F18" s="98">
        <v>0.0</v>
      </c>
      <c r="G18" s="98">
        <v>0.0</v>
      </c>
      <c r="H18" s="98">
        <v>0.0</v>
      </c>
      <c r="I18" s="98">
        <v>0.0</v>
      </c>
      <c r="J18" s="98">
        <v>0.0</v>
      </c>
      <c r="K18" s="98">
        <v>1.0</v>
      </c>
      <c r="L18" s="98">
        <v>0.0</v>
      </c>
      <c r="M18" s="98">
        <v>1.0</v>
      </c>
      <c r="N18" s="98">
        <v>0.0</v>
      </c>
      <c r="O18" s="98">
        <v>1.0</v>
      </c>
      <c r="P18" s="98">
        <v>1.0</v>
      </c>
      <c r="Q18" s="98">
        <v>1.0</v>
      </c>
      <c r="R18" s="98">
        <v>0.0</v>
      </c>
      <c r="S18" s="101"/>
      <c r="T18" s="14"/>
      <c r="U18" s="5"/>
    </row>
    <row r="19">
      <c r="A19" s="8" t="s">
        <v>16</v>
      </c>
      <c r="B19" s="9">
        <v>45430.0</v>
      </c>
      <c r="C19" s="91">
        <v>0.5</v>
      </c>
      <c r="D19" s="18">
        <v>1.0</v>
      </c>
      <c r="E19" s="18">
        <v>1.0</v>
      </c>
      <c r="F19" s="18">
        <v>1.0</v>
      </c>
      <c r="G19" s="18">
        <v>0.0</v>
      </c>
      <c r="H19" s="18">
        <v>0.0</v>
      </c>
      <c r="I19" s="18">
        <v>0.0</v>
      </c>
      <c r="J19" s="18">
        <v>1.0</v>
      </c>
      <c r="K19" s="18">
        <v>1.0</v>
      </c>
      <c r="L19" s="18">
        <v>0.0</v>
      </c>
      <c r="M19" s="18">
        <v>0.5</v>
      </c>
      <c r="N19" s="18">
        <v>1.0</v>
      </c>
      <c r="O19" s="18">
        <v>0.5</v>
      </c>
      <c r="P19" s="18">
        <v>0.0</v>
      </c>
      <c r="Q19" s="18">
        <v>1.0</v>
      </c>
      <c r="R19" s="18">
        <v>0.5</v>
      </c>
      <c r="S19" s="12"/>
      <c r="T19" s="14"/>
      <c r="U19" s="5"/>
    </row>
    <row r="20">
      <c r="A20" s="8" t="s">
        <v>17</v>
      </c>
      <c r="B20" s="9">
        <v>45431.0</v>
      </c>
      <c r="C20" s="91">
        <v>0.0</v>
      </c>
      <c r="D20" s="18">
        <v>1.0</v>
      </c>
      <c r="E20" s="18">
        <v>1.0</v>
      </c>
      <c r="F20" s="18">
        <v>1.0</v>
      </c>
      <c r="G20" s="18">
        <v>1.0</v>
      </c>
      <c r="H20" s="18">
        <v>0.75</v>
      </c>
      <c r="I20" s="18">
        <v>0.0</v>
      </c>
      <c r="J20" s="18">
        <v>1.0</v>
      </c>
      <c r="K20" s="18">
        <v>1.0</v>
      </c>
      <c r="L20" s="18">
        <v>1.0</v>
      </c>
      <c r="M20" s="18">
        <v>1.0</v>
      </c>
      <c r="N20" s="18">
        <v>0.0</v>
      </c>
      <c r="O20" s="18">
        <v>1.0</v>
      </c>
      <c r="P20" s="18">
        <v>1.0</v>
      </c>
      <c r="Q20" s="18">
        <v>1.0</v>
      </c>
      <c r="R20" s="18">
        <v>1.0</v>
      </c>
      <c r="S20" s="12"/>
      <c r="T20" s="14"/>
      <c r="U20" s="5"/>
    </row>
    <row r="21">
      <c r="A21" s="8" t="s">
        <v>20</v>
      </c>
      <c r="B21" s="9">
        <v>45432.0</v>
      </c>
      <c r="C21" s="91">
        <v>0.0</v>
      </c>
      <c r="D21" s="18">
        <v>1.0</v>
      </c>
      <c r="E21" s="18">
        <v>1.0</v>
      </c>
      <c r="F21" s="18">
        <v>1.0</v>
      </c>
      <c r="G21" s="18">
        <v>1.0</v>
      </c>
      <c r="H21" s="18">
        <v>0.0</v>
      </c>
      <c r="I21" s="18">
        <v>0.0</v>
      </c>
      <c r="J21" s="18">
        <v>1.0</v>
      </c>
      <c r="K21" s="18">
        <v>1.0</v>
      </c>
      <c r="L21" s="18">
        <v>0.0</v>
      </c>
      <c r="M21" s="18">
        <v>1.0</v>
      </c>
      <c r="N21" s="18">
        <v>0.0</v>
      </c>
      <c r="O21" s="18">
        <v>1.0</v>
      </c>
      <c r="P21" s="18">
        <v>1.0</v>
      </c>
      <c r="Q21" s="18">
        <v>0.0</v>
      </c>
      <c r="R21" s="18">
        <v>0.0</v>
      </c>
      <c r="S21" s="12"/>
      <c r="T21" s="14"/>
      <c r="U21" s="5"/>
    </row>
    <row r="22">
      <c r="A22" s="8" t="s">
        <v>21</v>
      </c>
      <c r="B22" s="9">
        <v>45433.0</v>
      </c>
      <c r="C22" s="91">
        <v>0.0</v>
      </c>
      <c r="D22" s="18">
        <v>1.0</v>
      </c>
      <c r="E22" s="18">
        <v>1.0</v>
      </c>
      <c r="F22" s="18">
        <v>1.0</v>
      </c>
      <c r="G22" s="18">
        <v>1.0</v>
      </c>
      <c r="H22" s="18">
        <v>1.0</v>
      </c>
      <c r="I22" s="18">
        <v>0.0</v>
      </c>
      <c r="J22" s="18">
        <v>1.0</v>
      </c>
      <c r="K22" s="18">
        <v>0.0</v>
      </c>
      <c r="L22" s="18">
        <v>0.0</v>
      </c>
      <c r="M22" s="18">
        <v>0.0</v>
      </c>
      <c r="N22" s="18">
        <v>1.0</v>
      </c>
      <c r="O22" s="18">
        <v>1.0</v>
      </c>
      <c r="P22" s="18">
        <v>1.0</v>
      </c>
      <c r="Q22" s="18">
        <v>1.0</v>
      </c>
      <c r="R22" s="18">
        <v>1.0</v>
      </c>
      <c r="S22" s="12"/>
      <c r="T22" s="14"/>
      <c r="U22" s="5"/>
    </row>
    <row r="23">
      <c r="A23" s="8" t="s">
        <v>9</v>
      </c>
      <c r="B23" s="9">
        <v>45434.0</v>
      </c>
      <c r="C23" s="91">
        <v>0.0</v>
      </c>
      <c r="D23" s="18">
        <v>1.0</v>
      </c>
      <c r="E23" s="18">
        <v>1.0</v>
      </c>
      <c r="F23" s="18">
        <v>1.0</v>
      </c>
      <c r="G23" s="18">
        <v>1.0</v>
      </c>
      <c r="H23" s="18">
        <v>1.0</v>
      </c>
      <c r="I23" s="18">
        <v>1.0</v>
      </c>
      <c r="J23" s="18">
        <v>0.5</v>
      </c>
      <c r="K23" s="18">
        <v>1.0</v>
      </c>
      <c r="L23" s="18">
        <v>0.0</v>
      </c>
      <c r="M23" s="18">
        <v>0.0</v>
      </c>
      <c r="N23" s="18">
        <v>1.0</v>
      </c>
      <c r="O23" s="18">
        <v>0.0</v>
      </c>
      <c r="P23" s="18">
        <v>1.0</v>
      </c>
      <c r="Q23" s="18">
        <v>1.0</v>
      </c>
      <c r="R23" s="18">
        <v>1.0</v>
      </c>
      <c r="S23" s="12"/>
      <c r="T23" s="14"/>
      <c r="U23" s="5"/>
    </row>
    <row r="24">
      <c r="A24" s="8" t="s">
        <v>10</v>
      </c>
      <c r="B24" s="9">
        <v>45435.0</v>
      </c>
      <c r="C24" s="91">
        <v>0.0</v>
      </c>
      <c r="D24" s="18">
        <v>1.0</v>
      </c>
      <c r="E24" s="18">
        <v>1.0</v>
      </c>
      <c r="F24" s="18">
        <v>1.0</v>
      </c>
      <c r="G24" s="18">
        <v>1.0</v>
      </c>
      <c r="H24" s="18">
        <v>0.5</v>
      </c>
      <c r="I24" s="18">
        <v>1.0</v>
      </c>
      <c r="J24" s="18">
        <v>1.0</v>
      </c>
      <c r="K24" s="18">
        <v>1.0</v>
      </c>
      <c r="L24" s="18">
        <v>1.0</v>
      </c>
      <c r="M24" s="18">
        <v>0.0</v>
      </c>
      <c r="N24" s="18">
        <v>0.0</v>
      </c>
      <c r="O24" s="18">
        <v>1.0</v>
      </c>
      <c r="P24" s="18">
        <v>1.0</v>
      </c>
      <c r="Q24" s="18">
        <v>1.0</v>
      </c>
      <c r="R24" s="18">
        <v>1.0</v>
      </c>
      <c r="S24" s="12"/>
      <c r="T24" s="14"/>
      <c r="U24" s="5"/>
    </row>
    <row r="25">
      <c r="A25" s="95" t="s">
        <v>15</v>
      </c>
      <c r="B25" s="96">
        <v>45436.0</v>
      </c>
      <c r="C25" s="104">
        <v>1.0</v>
      </c>
      <c r="D25" s="105">
        <v>1.0</v>
      </c>
      <c r="E25" s="105">
        <v>1.0</v>
      </c>
      <c r="F25" s="105">
        <v>0.0</v>
      </c>
      <c r="G25" s="105">
        <v>0.0</v>
      </c>
      <c r="H25" s="105">
        <v>0.0</v>
      </c>
      <c r="I25" s="105">
        <v>0.0</v>
      </c>
      <c r="J25" s="105">
        <v>0.0</v>
      </c>
      <c r="K25" s="105">
        <v>1.0</v>
      </c>
      <c r="L25" s="105">
        <v>0.0</v>
      </c>
      <c r="M25" s="105">
        <v>0.0</v>
      </c>
      <c r="N25" s="105">
        <v>0.0</v>
      </c>
      <c r="O25" s="105">
        <v>0.0</v>
      </c>
      <c r="P25" s="105">
        <v>0.0</v>
      </c>
      <c r="Q25" s="105">
        <v>0.0</v>
      </c>
      <c r="R25" s="105">
        <v>0.0</v>
      </c>
      <c r="S25" s="101"/>
      <c r="T25" s="14"/>
      <c r="U25" s="5"/>
    </row>
    <row r="26">
      <c r="A26" s="8" t="s">
        <v>16</v>
      </c>
      <c r="B26" s="9">
        <v>45437.0</v>
      </c>
      <c r="C26" s="91">
        <v>1.0</v>
      </c>
      <c r="D26" s="18">
        <v>0.0</v>
      </c>
      <c r="E26" s="18">
        <v>1.0</v>
      </c>
      <c r="F26" s="18">
        <v>1.0</v>
      </c>
      <c r="G26" s="18">
        <v>1.0</v>
      </c>
      <c r="H26" s="18">
        <v>0.0</v>
      </c>
      <c r="I26" s="18">
        <v>0.0</v>
      </c>
      <c r="J26" s="18">
        <v>1.0</v>
      </c>
      <c r="K26" s="18">
        <v>1.0</v>
      </c>
      <c r="L26" s="18">
        <v>0.0</v>
      </c>
      <c r="M26" s="18">
        <v>0.0</v>
      </c>
      <c r="N26" s="18">
        <v>0.0</v>
      </c>
      <c r="O26" s="18">
        <v>1.0</v>
      </c>
      <c r="P26" s="18">
        <v>1.0</v>
      </c>
      <c r="Q26" s="18">
        <v>1.0</v>
      </c>
      <c r="R26" s="18">
        <v>1.0</v>
      </c>
      <c r="S26" s="12"/>
      <c r="T26" s="14"/>
      <c r="U26" s="5"/>
    </row>
    <row r="27">
      <c r="A27" s="8" t="s">
        <v>17</v>
      </c>
      <c r="B27" s="9">
        <v>45438.0</v>
      </c>
      <c r="C27" s="91">
        <v>0.0</v>
      </c>
      <c r="D27" s="18">
        <v>1.0</v>
      </c>
      <c r="E27" s="18">
        <v>0.0</v>
      </c>
      <c r="F27" s="18">
        <v>1.0</v>
      </c>
      <c r="G27" s="18">
        <v>1.0</v>
      </c>
      <c r="H27" s="18">
        <v>1.0</v>
      </c>
      <c r="I27" s="18">
        <v>0.5</v>
      </c>
      <c r="J27" s="18">
        <v>1.0</v>
      </c>
      <c r="K27" s="18">
        <v>1.0</v>
      </c>
      <c r="L27" s="18">
        <v>0.0</v>
      </c>
      <c r="M27" s="18">
        <v>0.0</v>
      </c>
      <c r="N27" s="18">
        <v>0.0</v>
      </c>
      <c r="O27" s="18">
        <v>1.0</v>
      </c>
      <c r="P27" s="18">
        <v>1.0</v>
      </c>
      <c r="Q27" s="18">
        <v>1.0</v>
      </c>
      <c r="R27" s="18">
        <v>1.0</v>
      </c>
      <c r="S27" s="12"/>
      <c r="T27" s="14"/>
      <c r="U27" s="5"/>
    </row>
    <row r="28">
      <c r="A28" s="8" t="s">
        <v>20</v>
      </c>
      <c r="B28" s="9">
        <v>45439.0</v>
      </c>
      <c r="C28" s="91">
        <v>0.0</v>
      </c>
      <c r="D28" s="18">
        <v>1.0</v>
      </c>
      <c r="E28" s="18">
        <v>1.0</v>
      </c>
      <c r="F28" s="18">
        <v>1.0</v>
      </c>
      <c r="G28" s="18">
        <v>1.0</v>
      </c>
      <c r="H28" s="18">
        <v>1.0</v>
      </c>
      <c r="I28" s="18">
        <v>0.0</v>
      </c>
      <c r="J28" s="18">
        <v>1.0</v>
      </c>
      <c r="K28" s="18">
        <v>0.0</v>
      </c>
      <c r="L28" s="18">
        <v>0.0</v>
      </c>
      <c r="M28" s="18">
        <v>0.0</v>
      </c>
      <c r="N28" s="18">
        <v>0.0</v>
      </c>
      <c r="O28" s="18">
        <v>1.0</v>
      </c>
      <c r="P28" s="18">
        <v>1.0</v>
      </c>
      <c r="Q28" s="18">
        <v>1.0</v>
      </c>
      <c r="R28" s="18">
        <v>1.0</v>
      </c>
      <c r="S28" s="12"/>
      <c r="T28" s="14"/>
      <c r="U28" s="5"/>
    </row>
    <row r="29">
      <c r="A29" s="8" t="s">
        <v>21</v>
      </c>
      <c r="B29" s="9">
        <v>45440.0</v>
      </c>
      <c r="C29" s="91">
        <v>0.0</v>
      </c>
      <c r="D29" s="18">
        <v>1.0</v>
      </c>
      <c r="E29" s="18">
        <v>1.0</v>
      </c>
      <c r="F29" s="18">
        <v>1.0</v>
      </c>
      <c r="G29" s="18">
        <v>0.0</v>
      </c>
      <c r="H29" s="18">
        <v>1.0</v>
      </c>
      <c r="I29" s="18">
        <v>1.0</v>
      </c>
      <c r="J29" s="18">
        <v>0.75</v>
      </c>
      <c r="K29" s="18">
        <v>1.0</v>
      </c>
      <c r="L29" s="18">
        <v>0.0</v>
      </c>
      <c r="M29" s="18">
        <v>0.0</v>
      </c>
      <c r="N29" s="18">
        <v>0.0</v>
      </c>
      <c r="O29" s="18">
        <v>1.0</v>
      </c>
      <c r="P29" s="18">
        <v>1.0</v>
      </c>
      <c r="Q29" s="18">
        <v>1.0</v>
      </c>
      <c r="R29" s="18">
        <v>1.0</v>
      </c>
      <c r="S29" s="12"/>
      <c r="T29" s="14"/>
      <c r="U29" s="5"/>
    </row>
    <row r="30">
      <c r="A30" s="8" t="s">
        <v>9</v>
      </c>
      <c r="B30" s="9">
        <v>45441.0</v>
      </c>
      <c r="C30" s="91">
        <v>0.0</v>
      </c>
      <c r="D30" s="18">
        <v>1.0</v>
      </c>
      <c r="E30" s="18">
        <v>0.5</v>
      </c>
      <c r="F30" s="18">
        <v>1.0</v>
      </c>
      <c r="G30" s="18">
        <v>1.0</v>
      </c>
      <c r="H30" s="18">
        <v>1.0</v>
      </c>
      <c r="I30" s="18">
        <v>0.0</v>
      </c>
      <c r="J30" s="18">
        <v>1.0</v>
      </c>
      <c r="K30" s="18">
        <v>1.0</v>
      </c>
      <c r="L30" s="18">
        <v>0.0</v>
      </c>
      <c r="M30" s="18">
        <v>0.0</v>
      </c>
      <c r="N30" s="18">
        <v>0.0</v>
      </c>
      <c r="O30" s="18">
        <v>1.0</v>
      </c>
      <c r="P30" s="18">
        <v>1.0</v>
      </c>
      <c r="Q30" s="18">
        <v>1.0</v>
      </c>
      <c r="R30" s="18">
        <v>0.5</v>
      </c>
      <c r="S30" s="12"/>
      <c r="T30" s="14"/>
      <c r="U30" s="5"/>
    </row>
    <row r="31">
      <c r="A31" s="76" t="s">
        <v>10</v>
      </c>
      <c r="B31" s="9">
        <v>45442.0</v>
      </c>
      <c r="C31" s="106">
        <v>0.0</v>
      </c>
      <c r="D31" s="103">
        <v>1.0</v>
      </c>
      <c r="E31" s="103">
        <v>1.0</v>
      </c>
      <c r="F31" s="103">
        <v>1.0</v>
      </c>
      <c r="G31" s="103">
        <v>0.0</v>
      </c>
      <c r="H31" s="103">
        <v>0.5</v>
      </c>
      <c r="I31" s="103">
        <v>1.0</v>
      </c>
      <c r="J31" s="103">
        <v>1.0</v>
      </c>
      <c r="K31" s="103">
        <v>1.0</v>
      </c>
      <c r="L31" s="103">
        <v>0.0</v>
      </c>
      <c r="M31" s="103">
        <v>0.0</v>
      </c>
      <c r="N31" s="103">
        <v>0.0</v>
      </c>
      <c r="O31" s="103">
        <v>1.0</v>
      </c>
      <c r="P31" s="103">
        <v>1.0</v>
      </c>
      <c r="Q31" s="103">
        <v>1.0</v>
      </c>
      <c r="R31" s="103">
        <v>0.0</v>
      </c>
      <c r="S31" s="12"/>
      <c r="T31" s="14"/>
      <c r="U31" s="5"/>
    </row>
    <row r="32">
      <c r="A32" s="107" t="s">
        <v>15</v>
      </c>
      <c r="B32" s="96">
        <v>45443.0</v>
      </c>
      <c r="C32" s="108">
        <v>1.0</v>
      </c>
      <c r="D32" s="105">
        <v>1.0</v>
      </c>
      <c r="E32" s="105">
        <v>1.0</v>
      </c>
      <c r="F32" s="105">
        <v>0.0</v>
      </c>
      <c r="G32" s="105">
        <v>1.0</v>
      </c>
      <c r="H32" s="105">
        <v>0.0</v>
      </c>
      <c r="I32" s="105">
        <v>0.0</v>
      </c>
      <c r="J32" s="105">
        <v>0.0</v>
      </c>
      <c r="K32" s="105">
        <v>1.0</v>
      </c>
      <c r="L32" s="105">
        <v>0.0</v>
      </c>
      <c r="M32" s="105">
        <v>0.0</v>
      </c>
      <c r="N32" s="105">
        <v>0.0</v>
      </c>
      <c r="O32" s="105">
        <v>0.0</v>
      </c>
      <c r="P32" s="105">
        <v>0.0</v>
      </c>
      <c r="Q32" s="105">
        <v>1.0</v>
      </c>
      <c r="R32" s="105">
        <v>0.0</v>
      </c>
      <c r="S32" s="101"/>
      <c r="T32" s="5"/>
      <c r="U32" s="5"/>
    </row>
    <row r="33">
      <c r="C33" s="109">
        <f t="shared" ref="C33:K33" si="1">SUM(C2:C32)</f>
        <v>8.5</v>
      </c>
      <c r="D33" s="110">
        <f t="shared" si="1"/>
        <v>28.5</v>
      </c>
      <c r="E33" s="110">
        <f t="shared" si="1"/>
        <v>26.5</v>
      </c>
      <c r="F33" s="110">
        <f t="shared" si="1"/>
        <v>22</v>
      </c>
      <c r="G33" s="110">
        <f t="shared" si="1"/>
        <v>11</v>
      </c>
      <c r="H33" s="110">
        <f t="shared" si="1"/>
        <v>17.25</v>
      </c>
      <c r="I33" s="110">
        <f t="shared" si="1"/>
        <v>11</v>
      </c>
      <c r="J33" s="110">
        <f t="shared" si="1"/>
        <v>25.25</v>
      </c>
      <c r="K33" s="110">
        <f t="shared" si="1"/>
        <v>27</v>
      </c>
      <c r="L33" s="111">
        <v>15.0</v>
      </c>
      <c r="M33" s="112">
        <f t="shared" ref="M33:R33" si="2">SUM(M2:M32)</f>
        <v>15</v>
      </c>
      <c r="N33" s="113">
        <f t="shared" si="2"/>
        <v>18</v>
      </c>
      <c r="O33" s="113">
        <f t="shared" si="2"/>
        <v>22.5</v>
      </c>
      <c r="P33" s="113">
        <f t="shared" si="2"/>
        <v>23</v>
      </c>
      <c r="Q33" s="113">
        <f t="shared" si="2"/>
        <v>21</v>
      </c>
      <c r="R33" s="113">
        <f t="shared" si="2"/>
        <v>17</v>
      </c>
      <c r="S33" s="1"/>
      <c r="T33" s="5"/>
      <c r="U33" s="5"/>
    </row>
    <row r="34">
      <c r="C34" s="114">
        <v>1384.62</v>
      </c>
      <c r="D34" s="115">
        <v>1540.0</v>
      </c>
      <c r="E34" s="116">
        <v>1153.85</v>
      </c>
      <c r="F34" s="116">
        <v>1153.85</v>
      </c>
      <c r="G34" s="116">
        <v>1153.85</v>
      </c>
      <c r="H34" s="117">
        <v>1384.62</v>
      </c>
      <c r="I34" s="117">
        <v>1500.0</v>
      </c>
      <c r="J34" s="117">
        <v>1076.93</v>
      </c>
      <c r="K34" s="117">
        <v>1153.85</v>
      </c>
      <c r="L34" s="38">
        <v>1200.0</v>
      </c>
      <c r="M34" s="118">
        <v>1153.85</v>
      </c>
      <c r="N34" s="118">
        <v>1346.0</v>
      </c>
      <c r="O34" s="118">
        <v>1100.0</v>
      </c>
      <c r="P34" s="118">
        <v>1153.85</v>
      </c>
      <c r="Q34" s="119">
        <v>1153.85</v>
      </c>
      <c r="R34" s="118">
        <v>1100.0</v>
      </c>
      <c r="S34" s="5"/>
      <c r="T34" s="5"/>
      <c r="U34" s="5"/>
    </row>
    <row r="35">
      <c r="C35" s="120">
        <f>C33*C34</f>
        <v>11769.27</v>
      </c>
      <c r="D35" s="120">
        <f t="shared" ref="D35:E35" si="3">D34*D33</f>
        <v>43890</v>
      </c>
      <c r="E35" s="120">
        <f t="shared" si="3"/>
        <v>30577.025</v>
      </c>
      <c r="F35" s="120">
        <f>F33*F34</f>
        <v>25384.7</v>
      </c>
      <c r="G35" s="120">
        <f>G34*G33</f>
        <v>12692.35</v>
      </c>
      <c r="H35" s="121">
        <f t="shared" ref="H35:J35" si="4">H33*H34</f>
        <v>23884.695</v>
      </c>
      <c r="I35" s="121">
        <f t="shared" si="4"/>
        <v>16500</v>
      </c>
      <c r="J35" s="121">
        <f t="shared" si="4"/>
        <v>27192.4825</v>
      </c>
      <c r="K35" s="121">
        <f t="shared" ref="K35:L35" si="5">K34*K33</f>
        <v>31153.95</v>
      </c>
      <c r="L35" s="83">
        <f t="shared" si="5"/>
        <v>18000</v>
      </c>
      <c r="M35" s="122">
        <f t="shared" ref="M35:N35" si="6">M33*M34</f>
        <v>17307.75</v>
      </c>
      <c r="N35" s="123">
        <f t="shared" si="6"/>
        <v>24228</v>
      </c>
      <c r="O35" s="123">
        <f>O34*O33</f>
        <v>24750</v>
      </c>
      <c r="P35" s="123">
        <f t="shared" ref="P35:R35" si="7">P33*P34</f>
        <v>26538.55</v>
      </c>
      <c r="Q35" s="123">
        <f t="shared" si="7"/>
        <v>24230.85</v>
      </c>
      <c r="R35" s="123">
        <f t="shared" si="7"/>
        <v>18700</v>
      </c>
      <c r="S35" s="124">
        <f>SUM(C32:M32)</f>
        <v>5</v>
      </c>
      <c r="T35" s="5"/>
      <c r="U35" s="5"/>
    </row>
    <row r="36">
      <c r="C36" s="125">
        <v>36000.0</v>
      </c>
      <c r="D36" s="126">
        <v>40000.0</v>
      </c>
      <c r="E36" s="125">
        <v>30000.0</v>
      </c>
      <c r="F36" s="125">
        <v>30000.0</v>
      </c>
      <c r="G36" s="125">
        <v>30000.0</v>
      </c>
      <c r="H36" s="125">
        <v>36000.0</v>
      </c>
      <c r="I36" s="58"/>
      <c r="J36" s="127">
        <v>28000.0</v>
      </c>
      <c r="K36" s="128">
        <v>30000.0</v>
      </c>
      <c r="L36" s="46"/>
      <c r="M36" s="118">
        <v>30000.0</v>
      </c>
      <c r="N36" s="129">
        <v>35000.0</v>
      </c>
      <c r="O36" s="129">
        <v>26000.0</v>
      </c>
      <c r="P36" s="130">
        <v>26000.0</v>
      </c>
      <c r="Q36" s="113">
        <v>30000.0</v>
      </c>
      <c r="R36" s="113"/>
      <c r="S36" s="5"/>
      <c r="T36" s="5"/>
      <c r="U36" s="5"/>
    </row>
    <row r="37"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5.63"/>
    <col customWidth="1" min="5" max="5" width="26.88"/>
    <col customWidth="1" min="6" max="7" width="25.38"/>
    <col customWidth="1" min="8" max="8" width="25.63"/>
    <col customWidth="1" min="9" max="9" width="81.88"/>
  </cols>
  <sheetData>
    <row r="4">
      <c r="D4" s="131" t="s">
        <v>62</v>
      </c>
      <c r="E4" s="132" t="s">
        <v>63</v>
      </c>
      <c r="F4" s="132" t="s">
        <v>64</v>
      </c>
      <c r="G4" s="132" t="s">
        <v>65</v>
      </c>
      <c r="H4" s="132" t="s">
        <v>66</v>
      </c>
    </row>
    <row r="5">
      <c r="D5" s="133" t="s">
        <v>67</v>
      </c>
      <c r="E5" s="134">
        <v>150.0</v>
      </c>
      <c r="F5" s="135">
        <v>6.5</v>
      </c>
      <c r="G5" s="135">
        <f t="shared" ref="G5:G46" si="1">E5*F5</f>
        <v>975</v>
      </c>
      <c r="H5" s="136">
        <v>45383.0</v>
      </c>
    </row>
    <row r="6">
      <c r="D6" s="8" t="s">
        <v>68</v>
      </c>
      <c r="E6" s="92">
        <v>1.0</v>
      </c>
      <c r="F6" s="62">
        <v>1200.0</v>
      </c>
      <c r="G6" s="135">
        <f t="shared" si="1"/>
        <v>1200</v>
      </c>
      <c r="H6" s="12"/>
    </row>
    <row r="7">
      <c r="D7" s="8" t="s">
        <v>69</v>
      </c>
      <c r="E7" s="92">
        <v>1.0</v>
      </c>
      <c r="F7" s="62">
        <v>850.0</v>
      </c>
      <c r="G7" s="135">
        <f t="shared" si="1"/>
        <v>850</v>
      </c>
      <c r="H7" s="12"/>
    </row>
    <row r="8">
      <c r="D8" s="8" t="s">
        <v>70</v>
      </c>
      <c r="E8" s="92">
        <v>1.0</v>
      </c>
      <c r="F8" s="62">
        <v>850.0</v>
      </c>
      <c r="G8" s="135">
        <f t="shared" si="1"/>
        <v>850</v>
      </c>
      <c r="H8" s="12"/>
    </row>
    <row r="9">
      <c r="D9" s="8" t="s">
        <v>71</v>
      </c>
      <c r="E9" s="92">
        <v>1.0</v>
      </c>
      <c r="F9" s="62">
        <v>650.0</v>
      </c>
      <c r="G9" s="135">
        <f t="shared" si="1"/>
        <v>650</v>
      </c>
      <c r="H9" s="12"/>
    </row>
    <row r="10">
      <c r="D10" s="8" t="s">
        <v>72</v>
      </c>
      <c r="E10" s="18">
        <v>3.0</v>
      </c>
      <c r="F10" s="62">
        <v>350.0</v>
      </c>
      <c r="G10" s="135">
        <f t="shared" si="1"/>
        <v>1050</v>
      </c>
      <c r="H10" s="12"/>
    </row>
    <row r="11">
      <c r="D11" s="133" t="s">
        <v>73</v>
      </c>
      <c r="E11" s="134">
        <v>3.0</v>
      </c>
      <c r="F11" s="135">
        <v>1800.0</v>
      </c>
      <c r="G11" s="135">
        <f t="shared" si="1"/>
        <v>5400</v>
      </c>
      <c r="H11" s="12"/>
    </row>
    <row r="12">
      <c r="D12" s="133" t="s">
        <v>74</v>
      </c>
      <c r="E12" s="134">
        <v>7.0</v>
      </c>
      <c r="F12" s="135">
        <v>240.0</v>
      </c>
      <c r="G12" s="135">
        <f t="shared" si="1"/>
        <v>1680</v>
      </c>
      <c r="H12" s="12"/>
    </row>
    <row r="13">
      <c r="D13" s="8" t="s">
        <v>75</v>
      </c>
      <c r="E13" s="18">
        <v>3.0</v>
      </c>
      <c r="F13" s="11">
        <v>250.0</v>
      </c>
      <c r="G13" s="135">
        <f t="shared" si="1"/>
        <v>750</v>
      </c>
      <c r="H13" s="12"/>
    </row>
    <row r="14">
      <c r="D14" s="8" t="s">
        <v>76</v>
      </c>
      <c r="E14" s="18">
        <v>20.0</v>
      </c>
      <c r="F14" s="62">
        <v>320.0</v>
      </c>
      <c r="G14" s="135">
        <f t="shared" si="1"/>
        <v>6400</v>
      </c>
      <c r="H14" s="12"/>
    </row>
    <row r="15">
      <c r="D15" s="8" t="s">
        <v>77</v>
      </c>
      <c r="E15" s="18">
        <v>8.0</v>
      </c>
      <c r="F15" s="62">
        <v>65.0</v>
      </c>
      <c r="G15" s="135">
        <f t="shared" si="1"/>
        <v>520</v>
      </c>
      <c r="H15" s="12"/>
    </row>
    <row r="16">
      <c r="D16" s="133" t="s">
        <v>78</v>
      </c>
      <c r="E16" s="137">
        <v>2.0</v>
      </c>
      <c r="F16" s="138">
        <v>1100.0</v>
      </c>
      <c r="G16" s="135">
        <f t="shared" si="1"/>
        <v>2200</v>
      </c>
      <c r="H16" s="12"/>
    </row>
    <row r="17">
      <c r="D17" s="133" t="s">
        <v>79</v>
      </c>
      <c r="E17" s="137">
        <v>2.0</v>
      </c>
      <c r="F17" s="135">
        <v>120.0</v>
      </c>
      <c r="G17" s="135">
        <f t="shared" si="1"/>
        <v>240</v>
      </c>
      <c r="H17" s="12"/>
    </row>
    <row r="18">
      <c r="D18" s="8" t="s">
        <v>80</v>
      </c>
      <c r="E18" s="18">
        <v>4.0</v>
      </c>
      <c r="F18" s="62">
        <v>95.0</v>
      </c>
      <c r="G18" s="135">
        <f t="shared" si="1"/>
        <v>380</v>
      </c>
      <c r="H18" s="12"/>
    </row>
    <row r="19">
      <c r="D19" s="133" t="s">
        <v>81</v>
      </c>
      <c r="E19" s="137">
        <v>2.0</v>
      </c>
      <c r="F19" s="135">
        <v>650.0</v>
      </c>
      <c r="G19" s="135">
        <f t="shared" si="1"/>
        <v>1300</v>
      </c>
      <c r="H19" s="12"/>
    </row>
    <row r="20">
      <c r="D20" s="133" t="s">
        <v>82</v>
      </c>
      <c r="E20" s="137">
        <v>2.0</v>
      </c>
      <c r="F20" s="135">
        <v>500.0</v>
      </c>
      <c r="G20" s="135">
        <f t="shared" si="1"/>
        <v>1000</v>
      </c>
      <c r="H20" s="12"/>
    </row>
    <row r="21">
      <c r="D21" s="133" t="s">
        <v>83</v>
      </c>
      <c r="E21" s="134">
        <v>2.0</v>
      </c>
      <c r="F21" s="135">
        <v>780.0</v>
      </c>
      <c r="G21" s="135">
        <f t="shared" si="1"/>
        <v>1560</v>
      </c>
      <c r="H21" s="12"/>
    </row>
    <row r="22">
      <c r="D22" s="139" t="s">
        <v>84</v>
      </c>
      <c r="E22" s="140">
        <v>120.0</v>
      </c>
      <c r="F22" s="135">
        <v>17.0</v>
      </c>
      <c r="G22" s="135">
        <f t="shared" si="1"/>
        <v>2040</v>
      </c>
      <c r="H22" s="12"/>
    </row>
    <row r="23">
      <c r="D23" s="141" t="s">
        <v>85</v>
      </c>
      <c r="E23" s="142">
        <v>96.0</v>
      </c>
      <c r="F23" s="62">
        <v>42.0</v>
      </c>
      <c r="G23" s="135">
        <f t="shared" si="1"/>
        <v>4032</v>
      </c>
      <c r="H23" s="12"/>
    </row>
    <row r="24">
      <c r="D24" s="141" t="s">
        <v>86</v>
      </c>
      <c r="E24" s="142">
        <v>5.0</v>
      </c>
      <c r="F24" s="62">
        <v>1300.0</v>
      </c>
      <c r="G24" s="135">
        <f t="shared" si="1"/>
        <v>6500</v>
      </c>
      <c r="H24" s="12"/>
    </row>
    <row r="25">
      <c r="D25" s="141" t="s">
        <v>87</v>
      </c>
      <c r="E25" s="142">
        <v>2.0</v>
      </c>
      <c r="F25" s="62">
        <v>300.0</v>
      </c>
      <c r="G25" s="135">
        <f t="shared" si="1"/>
        <v>600</v>
      </c>
      <c r="H25" s="12"/>
    </row>
    <row r="26">
      <c r="D26" s="139" t="s">
        <v>88</v>
      </c>
      <c r="E26" s="140">
        <v>24.0</v>
      </c>
      <c r="F26" s="135">
        <v>51.0</v>
      </c>
      <c r="G26" s="135">
        <f t="shared" si="1"/>
        <v>1224</v>
      </c>
      <c r="H26" s="12"/>
    </row>
    <row r="27">
      <c r="D27" s="139" t="s">
        <v>89</v>
      </c>
      <c r="E27" s="134">
        <v>14.0</v>
      </c>
      <c r="F27" s="135">
        <v>600.0</v>
      </c>
      <c r="G27" s="135">
        <f t="shared" si="1"/>
        <v>8400</v>
      </c>
      <c r="H27" s="12"/>
    </row>
    <row r="28">
      <c r="D28" s="139" t="s">
        <v>90</v>
      </c>
      <c r="E28" s="134">
        <v>10.0</v>
      </c>
      <c r="F28" s="135">
        <v>813.0</v>
      </c>
      <c r="G28" s="135">
        <f t="shared" si="1"/>
        <v>8130</v>
      </c>
      <c r="H28" s="12"/>
    </row>
    <row r="29">
      <c r="D29" s="141" t="s">
        <v>91</v>
      </c>
      <c r="E29" s="142">
        <v>48.0</v>
      </c>
      <c r="F29" s="62">
        <v>191.0</v>
      </c>
      <c r="G29" s="135">
        <f t="shared" si="1"/>
        <v>9168</v>
      </c>
      <c r="H29" s="12"/>
    </row>
    <row r="30">
      <c r="D30" s="139" t="s">
        <v>92</v>
      </c>
      <c r="E30" s="134">
        <v>14.0</v>
      </c>
      <c r="F30" s="135">
        <v>80.0</v>
      </c>
      <c r="G30" s="135">
        <f t="shared" si="1"/>
        <v>1120</v>
      </c>
      <c r="H30" s="12"/>
    </row>
    <row r="31">
      <c r="D31" s="139" t="s">
        <v>93</v>
      </c>
      <c r="E31" s="134">
        <v>0.0</v>
      </c>
      <c r="F31" s="135">
        <v>230.0</v>
      </c>
      <c r="G31" s="135">
        <f t="shared" si="1"/>
        <v>0</v>
      </c>
      <c r="H31" s="12"/>
    </row>
    <row r="32">
      <c r="D32" s="141" t="s">
        <v>94</v>
      </c>
      <c r="E32" s="18">
        <v>14.0</v>
      </c>
      <c r="F32" s="62">
        <v>230.0</v>
      </c>
      <c r="G32" s="135">
        <f t="shared" si="1"/>
        <v>3220</v>
      </c>
      <c r="H32" s="12"/>
    </row>
    <row r="33">
      <c r="D33" s="139" t="s">
        <v>95</v>
      </c>
      <c r="E33" s="134">
        <v>8.0</v>
      </c>
      <c r="F33" s="135">
        <v>235.0</v>
      </c>
      <c r="G33" s="135">
        <f t="shared" si="1"/>
        <v>1880</v>
      </c>
      <c r="H33" s="12"/>
    </row>
    <row r="34">
      <c r="D34" s="139" t="s">
        <v>96</v>
      </c>
      <c r="E34" s="134">
        <v>4.0</v>
      </c>
      <c r="F34" s="135">
        <v>250.0</v>
      </c>
      <c r="G34" s="135">
        <f t="shared" si="1"/>
        <v>1000</v>
      </c>
      <c r="H34" s="12"/>
    </row>
    <row r="35">
      <c r="D35" s="139" t="s">
        <v>97</v>
      </c>
      <c r="E35" s="134">
        <v>4.0</v>
      </c>
      <c r="F35" s="135">
        <v>240.0</v>
      </c>
      <c r="G35" s="135">
        <f t="shared" si="1"/>
        <v>960</v>
      </c>
      <c r="H35" s="12"/>
    </row>
    <row r="36">
      <c r="D36" s="139" t="s">
        <v>98</v>
      </c>
      <c r="E36" s="134">
        <v>4.0</v>
      </c>
      <c r="F36" s="135">
        <v>480.0</v>
      </c>
      <c r="G36" s="135">
        <f t="shared" si="1"/>
        <v>1920</v>
      </c>
      <c r="H36" s="12"/>
    </row>
    <row r="37">
      <c r="D37" s="139" t="s">
        <v>99</v>
      </c>
      <c r="E37" s="134">
        <v>4.0</v>
      </c>
      <c r="F37" s="135">
        <v>1100.0</v>
      </c>
      <c r="G37" s="135">
        <f t="shared" si="1"/>
        <v>4400</v>
      </c>
      <c r="H37" s="12"/>
    </row>
    <row r="38">
      <c r="D38" s="91" t="s">
        <v>100</v>
      </c>
      <c r="E38" s="18">
        <v>22.0</v>
      </c>
      <c r="F38" s="11">
        <v>27.0</v>
      </c>
      <c r="G38" s="135">
        <f t="shared" si="1"/>
        <v>594</v>
      </c>
      <c r="H38" s="12"/>
    </row>
    <row r="39">
      <c r="D39" s="133" t="s">
        <v>101</v>
      </c>
      <c r="E39" s="134">
        <v>7.0</v>
      </c>
      <c r="F39" s="135">
        <v>1000.0</v>
      </c>
      <c r="G39" s="135">
        <f t="shared" si="1"/>
        <v>7000</v>
      </c>
      <c r="H39" s="12"/>
    </row>
    <row r="40">
      <c r="D40" s="8" t="s">
        <v>102</v>
      </c>
      <c r="E40" s="18">
        <v>20.0</v>
      </c>
      <c r="F40" s="62">
        <v>56.0</v>
      </c>
      <c r="G40" s="135">
        <f t="shared" si="1"/>
        <v>1120</v>
      </c>
      <c r="H40" s="12"/>
    </row>
    <row r="41">
      <c r="D41" s="133" t="s">
        <v>103</v>
      </c>
      <c r="E41" s="134">
        <v>6.0</v>
      </c>
      <c r="F41" s="135">
        <v>820.0</v>
      </c>
      <c r="G41" s="135">
        <f t="shared" si="1"/>
        <v>4920</v>
      </c>
      <c r="H41" s="12"/>
    </row>
    <row r="42">
      <c r="D42" s="133" t="s">
        <v>104</v>
      </c>
      <c r="E42" s="134">
        <v>5.0</v>
      </c>
      <c r="F42" s="135">
        <v>130.0</v>
      </c>
      <c r="G42" s="135">
        <f t="shared" si="1"/>
        <v>650</v>
      </c>
      <c r="H42" s="12"/>
    </row>
    <row r="43">
      <c r="D43" s="133" t="s">
        <v>105</v>
      </c>
      <c r="E43" s="134">
        <v>17.0</v>
      </c>
      <c r="F43" s="135">
        <v>160.0</v>
      </c>
      <c r="G43" s="135">
        <f t="shared" si="1"/>
        <v>2720</v>
      </c>
      <c r="H43" s="12"/>
    </row>
    <row r="44">
      <c r="D44" s="133" t="s">
        <v>106</v>
      </c>
      <c r="E44" s="134">
        <v>20.0</v>
      </c>
      <c r="F44" s="135">
        <v>250.0</v>
      </c>
      <c r="G44" s="135">
        <f t="shared" si="1"/>
        <v>5000</v>
      </c>
      <c r="H44" s="12"/>
    </row>
    <row r="45">
      <c r="D45" s="133" t="s">
        <v>107</v>
      </c>
      <c r="E45" s="134">
        <v>0.5</v>
      </c>
      <c r="F45" s="135">
        <v>3450.0</v>
      </c>
      <c r="G45" s="135">
        <f t="shared" si="1"/>
        <v>1725</v>
      </c>
      <c r="H45" s="12"/>
    </row>
    <row r="46">
      <c r="D46" s="91" t="s">
        <v>108</v>
      </c>
      <c r="E46" s="18">
        <v>10.0</v>
      </c>
      <c r="F46" s="11">
        <v>95.0</v>
      </c>
      <c r="G46" s="135">
        <f t="shared" si="1"/>
        <v>950</v>
      </c>
      <c r="H46" s="12"/>
    </row>
    <row r="47">
      <c r="D47" s="133"/>
      <c r="E47" s="134"/>
      <c r="F47" s="135"/>
      <c r="G47" s="135"/>
      <c r="H47" s="12"/>
    </row>
    <row r="48">
      <c r="D48" s="133" t="s">
        <v>109</v>
      </c>
      <c r="E48" s="137">
        <v>1.0</v>
      </c>
      <c r="F48" s="135">
        <v>2000.0</v>
      </c>
      <c r="G48" s="135">
        <f t="shared" ref="G48:G64" si="2">E48*F48</f>
        <v>2000</v>
      </c>
      <c r="H48" s="12"/>
    </row>
    <row r="49">
      <c r="D49" s="8" t="s">
        <v>110</v>
      </c>
      <c r="E49" s="92">
        <v>5.0</v>
      </c>
      <c r="F49" s="62">
        <v>200.0</v>
      </c>
      <c r="G49" s="135">
        <f t="shared" si="2"/>
        <v>1000</v>
      </c>
      <c r="H49" s="12"/>
    </row>
    <row r="50">
      <c r="D50" s="8" t="s">
        <v>111</v>
      </c>
      <c r="E50" s="92">
        <v>1.0</v>
      </c>
      <c r="F50" s="62">
        <v>800.0</v>
      </c>
      <c r="G50" s="135">
        <f t="shared" si="2"/>
        <v>800</v>
      </c>
      <c r="H50" s="12"/>
    </row>
    <row r="51">
      <c r="D51" s="8" t="s">
        <v>112</v>
      </c>
      <c r="E51" s="92">
        <v>20.0</v>
      </c>
      <c r="F51" s="62">
        <v>150.0</v>
      </c>
      <c r="G51" s="135">
        <f t="shared" si="2"/>
        <v>3000</v>
      </c>
      <c r="H51" s="12"/>
    </row>
    <row r="52">
      <c r="D52" s="8" t="s">
        <v>112</v>
      </c>
      <c r="E52" s="18">
        <v>50.0</v>
      </c>
      <c r="F52" s="62">
        <v>50.0</v>
      </c>
      <c r="G52" s="135">
        <f t="shared" si="2"/>
        <v>2500</v>
      </c>
      <c r="H52" s="12"/>
    </row>
    <row r="53">
      <c r="D53" s="8" t="s">
        <v>113</v>
      </c>
      <c r="E53" s="92">
        <v>2.0</v>
      </c>
      <c r="F53" s="62">
        <v>1000.0</v>
      </c>
      <c r="G53" s="135">
        <f t="shared" si="2"/>
        <v>2000</v>
      </c>
      <c r="H53" s="12"/>
    </row>
    <row r="54">
      <c r="D54" s="133" t="s">
        <v>113</v>
      </c>
      <c r="E54" s="137">
        <v>3.0</v>
      </c>
      <c r="F54" s="135">
        <v>1000.0</v>
      </c>
      <c r="G54" s="135">
        <f t="shared" si="2"/>
        <v>3000</v>
      </c>
      <c r="H54" s="12"/>
    </row>
    <row r="55">
      <c r="D55" s="8" t="s">
        <v>114</v>
      </c>
      <c r="E55" s="92">
        <v>3.0</v>
      </c>
      <c r="F55" s="62">
        <v>350.0</v>
      </c>
      <c r="G55" s="135">
        <f t="shared" si="2"/>
        <v>1050</v>
      </c>
      <c r="H55" s="12"/>
    </row>
    <row r="56">
      <c r="D56" s="133" t="s">
        <v>115</v>
      </c>
      <c r="E56" s="137">
        <v>5.0</v>
      </c>
      <c r="F56" s="135">
        <v>180.0</v>
      </c>
      <c r="G56" s="135">
        <f t="shared" si="2"/>
        <v>900</v>
      </c>
      <c r="H56" s="12"/>
    </row>
    <row r="57">
      <c r="D57" s="8" t="s">
        <v>116</v>
      </c>
      <c r="E57" s="92">
        <v>1.0</v>
      </c>
      <c r="F57" s="62">
        <v>970.0</v>
      </c>
      <c r="G57" s="135">
        <f t="shared" si="2"/>
        <v>970</v>
      </c>
      <c r="H57" s="12"/>
    </row>
    <row r="58">
      <c r="D58" s="133" t="s">
        <v>117</v>
      </c>
      <c r="E58" s="137">
        <v>1.0</v>
      </c>
      <c r="F58" s="135">
        <v>2150.0</v>
      </c>
      <c r="G58" s="135">
        <f t="shared" si="2"/>
        <v>2150</v>
      </c>
      <c r="H58" s="12"/>
    </row>
    <row r="59">
      <c r="D59" s="133" t="s">
        <v>118</v>
      </c>
      <c r="E59" s="137">
        <v>2.0</v>
      </c>
      <c r="F59" s="135">
        <v>730.0</v>
      </c>
      <c r="G59" s="135">
        <f t="shared" si="2"/>
        <v>1460</v>
      </c>
      <c r="H59" s="12"/>
    </row>
    <row r="60">
      <c r="D60" s="133" t="s">
        <v>119</v>
      </c>
      <c r="E60" s="137">
        <v>50.0</v>
      </c>
      <c r="F60" s="135">
        <v>15.0</v>
      </c>
      <c r="G60" s="135">
        <f t="shared" si="2"/>
        <v>750</v>
      </c>
      <c r="H60" s="12"/>
    </row>
    <row r="61">
      <c r="D61" s="137" t="s">
        <v>120</v>
      </c>
      <c r="E61" s="137">
        <v>1.0</v>
      </c>
      <c r="F61" s="135">
        <v>2350.0</v>
      </c>
      <c r="G61" s="135">
        <f t="shared" si="2"/>
        <v>2350</v>
      </c>
      <c r="H61" s="12"/>
    </row>
    <row r="62">
      <c r="D62" s="133" t="s">
        <v>121</v>
      </c>
      <c r="E62" s="134">
        <v>2.0</v>
      </c>
      <c r="F62" s="135">
        <v>240.0</v>
      </c>
      <c r="G62" s="135">
        <f t="shared" si="2"/>
        <v>480</v>
      </c>
      <c r="H62" s="12"/>
    </row>
    <row r="63">
      <c r="D63" s="133" t="s">
        <v>122</v>
      </c>
      <c r="E63" s="134">
        <v>2.0</v>
      </c>
      <c r="F63" s="135">
        <v>1300.0</v>
      </c>
      <c r="G63" s="135">
        <f t="shared" si="2"/>
        <v>2600</v>
      </c>
      <c r="H63" s="12"/>
    </row>
    <row r="64">
      <c r="D64" s="8" t="s">
        <v>123</v>
      </c>
      <c r="E64" s="18">
        <v>1.0</v>
      </c>
      <c r="F64" s="62">
        <v>1750.0</v>
      </c>
      <c r="G64" s="135">
        <f t="shared" si="2"/>
        <v>1750</v>
      </c>
      <c r="H64" s="12"/>
    </row>
    <row r="65">
      <c r="D65" s="133"/>
      <c r="E65" s="134"/>
      <c r="F65" s="135"/>
      <c r="G65" s="135"/>
      <c r="H65" s="12"/>
    </row>
    <row r="66">
      <c r="D66" s="8" t="s">
        <v>124</v>
      </c>
      <c r="E66" s="18">
        <v>5.0</v>
      </c>
      <c r="F66" s="62">
        <v>600.0</v>
      </c>
      <c r="G66" s="135">
        <f t="shared" ref="G66:G238" si="3">E66*F66</f>
        <v>3000</v>
      </c>
      <c r="H66" s="12"/>
    </row>
    <row r="67">
      <c r="D67" s="133" t="s">
        <v>125</v>
      </c>
      <c r="E67" s="134">
        <v>3.0</v>
      </c>
      <c r="F67" s="135">
        <v>250.0</v>
      </c>
      <c r="G67" s="135">
        <f t="shared" si="3"/>
        <v>750</v>
      </c>
      <c r="H67" s="12"/>
    </row>
    <row r="68">
      <c r="D68" s="18" t="s">
        <v>126</v>
      </c>
      <c r="E68" s="18">
        <v>10.0</v>
      </c>
      <c r="F68" s="11">
        <v>85.0</v>
      </c>
      <c r="G68" s="135">
        <f t="shared" si="3"/>
        <v>850</v>
      </c>
      <c r="H68" s="12"/>
    </row>
    <row r="69">
      <c r="D69" s="18" t="s">
        <v>127</v>
      </c>
      <c r="E69" s="18">
        <v>3.0</v>
      </c>
      <c r="F69" s="11">
        <v>250.0</v>
      </c>
      <c r="G69" s="135">
        <f t="shared" si="3"/>
        <v>750</v>
      </c>
      <c r="H69" s="12"/>
    </row>
    <row r="70">
      <c r="D70" s="91" t="s">
        <v>128</v>
      </c>
      <c r="E70" s="18">
        <v>1.0</v>
      </c>
      <c r="F70" s="11">
        <v>600.0</v>
      </c>
      <c r="G70" s="135">
        <f t="shared" si="3"/>
        <v>600</v>
      </c>
      <c r="H70" s="12"/>
    </row>
    <row r="71">
      <c r="D71" s="91" t="s">
        <v>129</v>
      </c>
      <c r="E71" s="18">
        <v>1.0</v>
      </c>
      <c r="F71" s="11">
        <v>600.0</v>
      </c>
      <c r="G71" s="135">
        <f t="shared" si="3"/>
        <v>600</v>
      </c>
      <c r="H71" s="12"/>
    </row>
    <row r="72">
      <c r="D72" s="91" t="s">
        <v>130</v>
      </c>
      <c r="E72" s="18">
        <v>2.0</v>
      </c>
      <c r="F72" s="11">
        <v>500.0</v>
      </c>
      <c r="G72" s="135">
        <f t="shared" si="3"/>
        <v>1000</v>
      </c>
      <c r="H72" s="12"/>
    </row>
    <row r="73">
      <c r="D73" s="91" t="s">
        <v>131</v>
      </c>
      <c r="E73" s="18">
        <v>16.0</v>
      </c>
      <c r="F73" s="11">
        <v>195.0</v>
      </c>
      <c r="G73" s="135">
        <f t="shared" si="3"/>
        <v>3120</v>
      </c>
      <c r="H73" s="12"/>
    </row>
    <row r="74">
      <c r="D74" s="91" t="s">
        <v>121</v>
      </c>
      <c r="E74" s="18">
        <v>6.0</v>
      </c>
      <c r="F74" s="11">
        <v>240.0</v>
      </c>
      <c r="G74" s="135">
        <f t="shared" si="3"/>
        <v>1440</v>
      </c>
      <c r="H74" s="12"/>
    </row>
    <row r="75">
      <c r="D75" s="91" t="s">
        <v>132</v>
      </c>
      <c r="E75" s="18">
        <v>5.0</v>
      </c>
      <c r="F75" s="11">
        <v>1730.0</v>
      </c>
      <c r="G75" s="135">
        <f t="shared" si="3"/>
        <v>8650</v>
      </c>
      <c r="H75" s="12"/>
    </row>
    <row r="76">
      <c r="D76" s="91" t="s">
        <v>133</v>
      </c>
      <c r="E76" s="18">
        <v>1.0</v>
      </c>
      <c r="F76" s="11">
        <v>750.0</v>
      </c>
      <c r="G76" s="135">
        <f t="shared" si="3"/>
        <v>750</v>
      </c>
      <c r="H76" s="12"/>
    </row>
    <row r="77">
      <c r="D77" s="91" t="s">
        <v>134</v>
      </c>
      <c r="E77" s="18">
        <v>12.0</v>
      </c>
      <c r="F77" s="11">
        <v>175.0</v>
      </c>
      <c r="G77" s="135">
        <f t="shared" si="3"/>
        <v>2100</v>
      </c>
      <c r="H77" s="12"/>
    </row>
    <row r="78">
      <c r="D78" s="91" t="s">
        <v>135</v>
      </c>
      <c r="E78" s="18">
        <v>16.0</v>
      </c>
      <c r="F78" s="11">
        <v>115.0</v>
      </c>
      <c r="G78" s="135">
        <f t="shared" si="3"/>
        <v>1840</v>
      </c>
      <c r="H78" s="12"/>
    </row>
    <row r="79">
      <c r="D79" s="91" t="s">
        <v>136</v>
      </c>
      <c r="E79" s="18">
        <v>1.0</v>
      </c>
      <c r="F79" s="11">
        <v>1100.0</v>
      </c>
      <c r="G79" s="135">
        <f t="shared" si="3"/>
        <v>1100</v>
      </c>
      <c r="H79" s="12"/>
    </row>
    <row r="80">
      <c r="D80" s="91" t="s">
        <v>137</v>
      </c>
      <c r="E80" s="18">
        <v>1.0</v>
      </c>
      <c r="F80" s="11">
        <v>850.0</v>
      </c>
      <c r="G80" s="135">
        <f t="shared" si="3"/>
        <v>850</v>
      </c>
      <c r="H80" s="12"/>
    </row>
    <row r="81">
      <c r="D81" s="91" t="s">
        <v>138</v>
      </c>
      <c r="E81" s="18">
        <v>5.0</v>
      </c>
      <c r="F81" s="11">
        <v>45.0</v>
      </c>
      <c r="G81" s="135">
        <f t="shared" si="3"/>
        <v>225</v>
      </c>
      <c r="H81" s="12"/>
    </row>
    <row r="82">
      <c r="D82" s="91" t="s">
        <v>139</v>
      </c>
      <c r="E82" s="18">
        <v>5.0</v>
      </c>
      <c r="F82" s="11">
        <v>110.0</v>
      </c>
      <c r="G82" s="135">
        <f t="shared" si="3"/>
        <v>550</v>
      </c>
      <c r="H82" s="12"/>
    </row>
    <row r="83">
      <c r="D83" s="91" t="s">
        <v>140</v>
      </c>
      <c r="E83" s="18">
        <v>1.0</v>
      </c>
      <c r="F83" s="11">
        <v>1300.0</v>
      </c>
      <c r="G83" s="135">
        <f t="shared" si="3"/>
        <v>1300</v>
      </c>
      <c r="H83" s="12"/>
    </row>
    <row r="84">
      <c r="D84" s="91" t="s">
        <v>141</v>
      </c>
      <c r="E84" s="18">
        <v>1.0</v>
      </c>
      <c r="F84" s="11">
        <v>1000.0</v>
      </c>
      <c r="G84" s="135">
        <f t="shared" si="3"/>
        <v>1000</v>
      </c>
      <c r="H84" s="12"/>
    </row>
    <row r="85">
      <c r="D85" s="91" t="s">
        <v>142</v>
      </c>
      <c r="E85" s="18">
        <v>2.0</v>
      </c>
      <c r="F85" s="11">
        <v>1500.0</v>
      </c>
      <c r="G85" s="135">
        <f t="shared" si="3"/>
        <v>3000</v>
      </c>
      <c r="H85" s="12"/>
    </row>
    <row r="86">
      <c r="D86" s="91" t="s">
        <v>143</v>
      </c>
      <c r="E86" s="18">
        <v>1.0</v>
      </c>
      <c r="F86" s="11">
        <v>500.0</v>
      </c>
      <c r="G86" s="135">
        <f t="shared" si="3"/>
        <v>500</v>
      </c>
      <c r="H86" s="12"/>
    </row>
    <row r="87">
      <c r="D87" s="91" t="s">
        <v>144</v>
      </c>
      <c r="E87" s="18">
        <v>3.0</v>
      </c>
      <c r="F87" s="11">
        <v>70.0</v>
      </c>
      <c r="G87" s="135">
        <f t="shared" si="3"/>
        <v>210</v>
      </c>
      <c r="H87" s="12"/>
    </row>
    <row r="88">
      <c r="D88" s="91" t="s">
        <v>145</v>
      </c>
      <c r="E88" s="18">
        <v>0.5</v>
      </c>
      <c r="F88" s="11">
        <v>400.0</v>
      </c>
      <c r="G88" s="135">
        <f t="shared" si="3"/>
        <v>200</v>
      </c>
      <c r="H88" s="12"/>
    </row>
    <row r="89">
      <c r="D89" s="91" t="s">
        <v>146</v>
      </c>
      <c r="E89" s="18">
        <v>15.0</v>
      </c>
      <c r="F89" s="11">
        <v>120.0</v>
      </c>
      <c r="G89" s="135">
        <f t="shared" si="3"/>
        <v>1800</v>
      </c>
      <c r="H89" s="12"/>
    </row>
    <row r="90">
      <c r="D90" s="91" t="s">
        <v>147</v>
      </c>
      <c r="E90" s="18">
        <v>2.0</v>
      </c>
      <c r="F90" s="11">
        <v>800.0</v>
      </c>
      <c r="G90" s="135">
        <f t="shared" si="3"/>
        <v>1600</v>
      </c>
      <c r="H90" s="12"/>
    </row>
    <row r="91">
      <c r="D91" s="91" t="s">
        <v>148</v>
      </c>
      <c r="E91" s="18">
        <v>2.0</v>
      </c>
      <c r="F91" s="11">
        <v>450.0</v>
      </c>
      <c r="G91" s="135">
        <f t="shared" si="3"/>
        <v>900</v>
      </c>
      <c r="H91" s="12"/>
    </row>
    <row r="92">
      <c r="D92" s="91" t="s">
        <v>149</v>
      </c>
      <c r="E92" s="18">
        <v>2.0</v>
      </c>
      <c r="F92" s="11">
        <v>150.0</v>
      </c>
      <c r="G92" s="135">
        <f t="shared" si="3"/>
        <v>300</v>
      </c>
      <c r="H92" s="12"/>
    </row>
    <row r="93">
      <c r="D93" s="91" t="s">
        <v>150</v>
      </c>
      <c r="E93" s="18">
        <v>40.0</v>
      </c>
      <c r="F93" s="11">
        <v>50.0</v>
      </c>
      <c r="G93" s="135">
        <f t="shared" si="3"/>
        <v>2000</v>
      </c>
      <c r="H93" s="12"/>
    </row>
    <row r="94">
      <c r="D94" s="91" t="s">
        <v>151</v>
      </c>
      <c r="E94" s="18">
        <v>2.0</v>
      </c>
      <c r="F94" s="11">
        <v>200.0</v>
      </c>
      <c r="G94" s="135">
        <f t="shared" si="3"/>
        <v>400</v>
      </c>
      <c r="H94" s="12"/>
    </row>
    <row r="95">
      <c r="D95" s="91" t="s">
        <v>152</v>
      </c>
      <c r="E95" s="18">
        <v>1.0</v>
      </c>
      <c r="F95" s="11">
        <v>400.0</v>
      </c>
      <c r="G95" s="135">
        <f t="shared" si="3"/>
        <v>400</v>
      </c>
      <c r="H95" s="12"/>
    </row>
    <row r="96">
      <c r="D96" s="91" t="s">
        <v>153</v>
      </c>
      <c r="E96" s="18">
        <v>5.0</v>
      </c>
      <c r="F96" s="11">
        <v>100.0</v>
      </c>
      <c r="G96" s="135">
        <f t="shared" si="3"/>
        <v>500</v>
      </c>
      <c r="H96" s="12"/>
    </row>
    <row r="97">
      <c r="D97" s="91" t="s">
        <v>154</v>
      </c>
      <c r="E97" s="18">
        <v>2.0</v>
      </c>
      <c r="F97" s="11">
        <v>400.0</v>
      </c>
      <c r="G97" s="135">
        <f t="shared" si="3"/>
        <v>800</v>
      </c>
      <c r="H97" s="12"/>
    </row>
    <row r="98">
      <c r="D98" s="91" t="s">
        <v>146</v>
      </c>
      <c r="E98" s="18">
        <v>5.0</v>
      </c>
      <c r="F98" s="11">
        <v>100.0</v>
      </c>
      <c r="G98" s="135">
        <f t="shared" si="3"/>
        <v>500</v>
      </c>
      <c r="H98" s="9">
        <v>45416.0</v>
      </c>
    </row>
    <row r="99">
      <c r="D99" s="91" t="s">
        <v>155</v>
      </c>
      <c r="E99" s="18">
        <v>2.5</v>
      </c>
      <c r="F99" s="11">
        <v>800.0</v>
      </c>
      <c r="G99" s="135">
        <f t="shared" si="3"/>
        <v>2000</v>
      </c>
      <c r="H99" s="143"/>
    </row>
    <row r="100">
      <c r="D100" s="91" t="s">
        <v>156</v>
      </c>
      <c r="E100" s="18">
        <v>1.0</v>
      </c>
      <c r="F100" s="11">
        <v>1800.0</v>
      </c>
      <c r="G100" s="135">
        <f t="shared" si="3"/>
        <v>1800</v>
      </c>
      <c r="H100" s="143"/>
    </row>
    <row r="101">
      <c r="D101" s="91" t="s">
        <v>157</v>
      </c>
      <c r="E101" s="18">
        <v>1.0</v>
      </c>
      <c r="F101" s="11">
        <v>1450.0</v>
      </c>
      <c r="G101" s="135">
        <f t="shared" si="3"/>
        <v>1450</v>
      </c>
      <c r="H101" s="143"/>
    </row>
    <row r="102">
      <c r="D102" s="91" t="s">
        <v>158</v>
      </c>
      <c r="E102" s="18">
        <v>2.0</v>
      </c>
      <c r="F102" s="11">
        <v>1200.0</v>
      </c>
      <c r="G102" s="135">
        <f t="shared" si="3"/>
        <v>2400</v>
      </c>
      <c r="H102" s="143"/>
    </row>
    <row r="103">
      <c r="D103" s="91" t="s">
        <v>159</v>
      </c>
      <c r="E103" s="18">
        <v>1.0</v>
      </c>
      <c r="F103" s="11">
        <v>1100.0</v>
      </c>
      <c r="G103" s="135">
        <f t="shared" si="3"/>
        <v>1100</v>
      </c>
      <c r="H103" s="143"/>
    </row>
    <row r="104">
      <c r="D104" s="91" t="s">
        <v>150</v>
      </c>
      <c r="E104" s="18">
        <v>20.0</v>
      </c>
      <c r="F104" s="11">
        <v>110.0</v>
      </c>
      <c r="G104" s="135">
        <f t="shared" si="3"/>
        <v>2200</v>
      </c>
      <c r="H104" s="143"/>
    </row>
    <row r="105">
      <c r="D105" s="91" t="s">
        <v>160</v>
      </c>
      <c r="E105" s="18">
        <v>2.0</v>
      </c>
      <c r="F105" s="11">
        <v>250.0</v>
      </c>
      <c r="G105" s="135">
        <f t="shared" si="3"/>
        <v>500</v>
      </c>
      <c r="H105" s="143"/>
    </row>
    <row r="106">
      <c r="D106" s="91" t="s">
        <v>161</v>
      </c>
      <c r="E106" s="18">
        <v>5.0</v>
      </c>
      <c r="F106" s="11">
        <v>120.0</v>
      </c>
      <c r="G106" s="135">
        <f t="shared" si="3"/>
        <v>600</v>
      </c>
      <c r="H106" s="144">
        <v>45448.0</v>
      </c>
    </row>
    <row r="107">
      <c r="D107" s="91" t="s">
        <v>162</v>
      </c>
      <c r="E107" s="18">
        <v>1.0</v>
      </c>
      <c r="F107" s="11">
        <v>100.0</v>
      </c>
      <c r="G107" s="135">
        <f t="shared" si="3"/>
        <v>100</v>
      </c>
      <c r="H107" s="12"/>
    </row>
    <row r="108">
      <c r="D108" s="91" t="s">
        <v>163</v>
      </c>
      <c r="E108" s="18">
        <v>0.5</v>
      </c>
      <c r="F108" s="11">
        <v>100.0</v>
      </c>
      <c r="G108" s="135">
        <f t="shared" si="3"/>
        <v>50</v>
      </c>
      <c r="H108" s="12"/>
    </row>
    <row r="109">
      <c r="D109" s="91" t="s">
        <v>148</v>
      </c>
      <c r="E109" s="18">
        <v>8.0</v>
      </c>
      <c r="F109" s="11">
        <v>150.0</v>
      </c>
      <c r="G109" s="135">
        <f t="shared" si="3"/>
        <v>1200</v>
      </c>
      <c r="H109" s="12"/>
    </row>
    <row r="110">
      <c r="D110" s="91" t="s">
        <v>164</v>
      </c>
      <c r="E110" s="18">
        <v>1.5</v>
      </c>
      <c r="F110" s="11">
        <v>1200.0</v>
      </c>
      <c r="G110" s="135">
        <f t="shared" si="3"/>
        <v>1800</v>
      </c>
      <c r="H110" s="12"/>
    </row>
    <row r="111">
      <c r="D111" s="91" t="s">
        <v>165</v>
      </c>
      <c r="E111" s="18">
        <v>0.5</v>
      </c>
      <c r="F111" s="11">
        <v>1200.0</v>
      </c>
      <c r="G111" s="135">
        <f t="shared" si="3"/>
        <v>600</v>
      </c>
      <c r="H111" s="12"/>
    </row>
    <row r="112">
      <c r="D112" s="91" t="s">
        <v>166</v>
      </c>
      <c r="E112" s="18">
        <v>0.5</v>
      </c>
      <c r="F112" s="11">
        <v>400.0</v>
      </c>
      <c r="G112" s="135">
        <f t="shared" si="3"/>
        <v>200</v>
      </c>
      <c r="H112" s="12"/>
    </row>
    <row r="113">
      <c r="D113" s="91" t="s">
        <v>146</v>
      </c>
      <c r="E113" s="18">
        <v>5.0</v>
      </c>
      <c r="F113" s="11">
        <v>120.0</v>
      </c>
      <c r="G113" s="135">
        <f t="shared" si="3"/>
        <v>600</v>
      </c>
      <c r="H113" s="12"/>
    </row>
    <row r="114">
      <c r="D114" s="91" t="s">
        <v>150</v>
      </c>
      <c r="E114" s="18">
        <v>20.0</v>
      </c>
      <c r="F114" s="11">
        <v>110.0</v>
      </c>
      <c r="G114" s="135">
        <f t="shared" si="3"/>
        <v>2200</v>
      </c>
      <c r="H114" s="12"/>
    </row>
    <row r="115">
      <c r="D115" s="91" t="s">
        <v>167</v>
      </c>
      <c r="E115" s="18">
        <v>1.0</v>
      </c>
      <c r="F115" s="11">
        <v>220.0</v>
      </c>
      <c r="G115" s="135">
        <f t="shared" si="3"/>
        <v>220</v>
      </c>
      <c r="H115" s="12"/>
    </row>
    <row r="116">
      <c r="D116" s="91" t="s">
        <v>110</v>
      </c>
      <c r="E116" s="18">
        <v>2.0</v>
      </c>
      <c r="F116" s="11">
        <v>220.0</v>
      </c>
      <c r="G116" s="135">
        <f t="shared" si="3"/>
        <v>440</v>
      </c>
      <c r="H116" s="12"/>
    </row>
    <row r="117">
      <c r="D117" s="91" t="s">
        <v>75</v>
      </c>
      <c r="E117" s="18">
        <v>1.0</v>
      </c>
      <c r="F117" s="11">
        <v>260.0</v>
      </c>
      <c r="G117" s="135">
        <f t="shared" si="3"/>
        <v>260</v>
      </c>
      <c r="H117" s="12"/>
    </row>
    <row r="118">
      <c r="D118" s="91" t="s">
        <v>89</v>
      </c>
      <c r="E118" s="18">
        <v>2.0</v>
      </c>
      <c r="F118" s="11">
        <v>650.0</v>
      </c>
      <c r="G118" s="135">
        <f t="shared" si="3"/>
        <v>1300</v>
      </c>
      <c r="H118" s="12"/>
    </row>
    <row r="119">
      <c r="D119" s="91" t="s">
        <v>168</v>
      </c>
      <c r="E119" s="18">
        <v>1.0</v>
      </c>
      <c r="F119" s="11">
        <v>1200.0</v>
      </c>
      <c r="G119" s="135">
        <f t="shared" si="3"/>
        <v>1200</v>
      </c>
      <c r="H119" s="12"/>
    </row>
    <row r="120">
      <c r="D120" s="91" t="s">
        <v>150</v>
      </c>
      <c r="E120" s="18">
        <v>30.0</v>
      </c>
      <c r="F120" s="11">
        <v>100.0</v>
      </c>
      <c r="G120" s="135">
        <f t="shared" si="3"/>
        <v>3000</v>
      </c>
      <c r="H120" s="145">
        <v>45478.0</v>
      </c>
    </row>
    <row r="121">
      <c r="D121" s="91" t="s">
        <v>150</v>
      </c>
      <c r="E121" s="18">
        <v>30.0</v>
      </c>
      <c r="F121" s="11">
        <v>50.0</v>
      </c>
      <c r="G121" s="135">
        <f t="shared" si="3"/>
        <v>1500</v>
      </c>
      <c r="H121" s="12"/>
    </row>
    <row r="122">
      <c r="D122" s="91" t="s">
        <v>169</v>
      </c>
      <c r="E122" s="18">
        <v>4.0</v>
      </c>
      <c r="F122" s="11">
        <v>400.0</v>
      </c>
      <c r="G122" s="135">
        <f t="shared" si="3"/>
        <v>1600</v>
      </c>
      <c r="H122" s="12"/>
    </row>
    <row r="123">
      <c r="D123" s="91" t="s">
        <v>155</v>
      </c>
      <c r="E123" s="18">
        <v>2.5</v>
      </c>
      <c r="F123" s="11">
        <v>800.0</v>
      </c>
      <c r="G123" s="135">
        <f t="shared" si="3"/>
        <v>2000</v>
      </c>
      <c r="H123" s="12"/>
    </row>
    <row r="124">
      <c r="D124" s="91" t="s">
        <v>170</v>
      </c>
      <c r="E124" s="18">
        <v>1.0</v>
      </c>
      <c r="F124" s="11">
        <v>350.0</v>
      </c>
      <c r="G124" s="135">
        <f t="shared" si="3"/>
        <v>350</v>
      </c>
      <c r="H124" s="12"/>
    </row>
    <row r="125">
      <c r="D125" s="91" t="s">
        <v>164</v>
      </c>
      <c r="E125" s="18">
        <v>1.25</v>
      </c>
      <c r="F125" s="11">
        <v>1200.0</v>
      </c>
      <c r="G125" s="135">
        <f t="shared" si="3"/>
        <v>1500</v>
      </c>
      <c r="H125" s="146"/>
    </row>
    <row r="126">
      <c r="D126" s="91" t="s">
        <v>171</v>
      </c>
      <c r="E126" s="18">
        <v>3.0</v>
      </c>
      <c r="F126" s="11">
        <v>30.0</v>
      </c>
      <c r="G126" s="135">
        <f t="shared" si="3"/>
        <v>90</v>
      </c>
      <c r="H126" s="12"/>
    </row>
    <row r="127">
      <c r="D127" s="91" t="s">
        <v>153</v>
      </c>
      <c r="E127" s="18">
        <v>2.0</v>
      </c>
      <c r="F127" s="11">
        <v>100.0</v>
      </c>
      <c r="G127" s="135">
        <f t="shared" si="3"/>
        <v>200</v>
      </c>
      <c r="H127" s="12"/>
    </row>
    <row r="128">
      <c r="D128" s="91" t="s">
        <v>172</v>
      </c>
      <c r="E128" s="18">
        <v>2.0</v>
      </c>
      <c r="F128" s="11">
        <v>80.0</v>
      </c>
      <c r="G128" s="135">
        <f t="shared" si="3"/>
        <v>160</v>
      </c>
      <c r="H128" s="12"/>
    </row>
    <row r="129">
      <c r="D129" s="91" t="s">
        <v>173</v>
      </c>
      <c r="E129" s="18">
        <v>1.25</v>
      </c>
      <c r="F129" s="11">
        <v>200.0</v>
      </c>
      <c r="G129" s="135">
        <f t="shared" si="3"/>
        <v>250</v>
      </c>
      <c r="H129" s="12"/>
    </row>
    <row r="130">
      <c r="D130" s="91" t="s">
        <v>163</v>
      </c>
      <c r="E130" s="18">
        <v>0.5</v>
      </c>
      <c r="F130" s="11">
        <v>100.0</v>
      </c>
      <c r="G130" s="135">
        <f t="shared" si="3"/>
        <v>50</v>
      </c>
      <c r="H130" s="12"/>
    </row>
    <row r="131">
      <c r="D131" s="91" t="s">
        <v>161</v>
      </c>
      <c r="E131" s="18">
        <v>1.0</v>
      </c>
      <c r="F131" s="11">
        <v>150.0</v>
      </c>
      <c r="G131" s="135">
        <f t="shared" si="3"/>
        <v>150</v>
      </c>
      <c r="H131" s="12"/>
    </row>
    <row r="132">
      <c r="D132" s="91" t="s">
        <v>174</v>
      </c>
      <c r="E132" s="18">
        <v>1.0</v>
      </c>
      <c r="F132" s="11">
        <v>100.0</v>
      </c>
      <c r="G132" s="135">
        <f t="shared" si="3"/>
        <v>100</v>
      </c>
      <c r="H132" s="12"/>
    </row>
    <row r="133">
      <c r="D133" s="91" t="s">
        <v>175</v>
      </c>
      <c r="E133" s="18">
        <v>1.0</v>
      </c>
      <c r="F133" s="11">
        <v>800.0</v>
      </c>
      <c r="G133" s="135">
        <f t="shared" si="3"/>
        <v>800</v>
      </c>
      <c r="H133" s="12"/>
    </row>
    <row r="134">
      <c r="D134" s="91" t="s">
        <v>122</v>
      </c>
      <c r="E134" s="18">
        <v>5.0</v>
      </c>
      <c r="F134" s="11">
        <v>1300.0</v>
      </c>
      <c r="G134" s="135">
        <f t="shared" si="3"/>
        <v>6500</v>
      </c>
      <c r="H134" s="12"/>
    </row>
    <row r="135">
      <c r="D135" s="91" t="s">
        <v>89</v>
      </c>
      <c r="E135" s="18">
        <v>30.0</v>
      </c>
      <c r="F135" s="11">
        <v>600.0</v>
      </c>
      <c r="G135" s="135">
        <f t="shared" si="3"/>
        <v>18000</v>
      </c>
      <c r="H135" s="12"/>
    </row>
    <row r="136">
      <c r="D136" s="91" t="s">
        <v>176</v>
      </c>
      <c r="E136" s="18">
        <v>48.0</v>
      </c>
      <c r="F136" s="11">
        <v>42.0</v>
      </c>
      <c r="G136" s="135">
        <f t="shared" si="3"/>
        <v>2016</v>
      </c>
      <c r="H136" s="12"/>
    </row>
    <row r="137">
      <c r="D137" s="91" t="s">
        <v>88</v>
      </c>
      <c r="E137" s="18">
        <v>24.0</v>
      </c>
      <c r="F137" s="11">
        <v>51.0</v>
      </c>
      <c r="G137" s="135">
        <f t="shared" si="3"/>
        <v>1224</v>
      </c>
      <c r="H137" s="12"/>
    </row>
    <row r="138">
      <c r="D138" s="91" t="s">
        <v>91</v>
      </c>
      <c r="E138" s="18">
        <v>16.0</v>
      </c>
      <c r="F138" s="11">
        <v>190.0</v>
      </c>
      <c r="G138" s="135">
        <f t="shared" si="3"/>
        <v>3040</v>
      </c>
      <c r="H138" s="12"/>
    </row>
    <row r="139">
      <c r="D139" s="91" t="s">
        <v>146</v>
      </c>
      <c r="E139" s="18">
        <v>6.0</v>
      </c>
      <c r="F139" s="11">
        <v>130.0</v>
      </c>
      <c r="G139" s="135">
        <f t="shared" si="3"/>
        <v>780</v>
      </c>
      <c r="H139" s="12"/>
    </row>
    <row r="140">
      <c r="D140" s="91" t="s">
        <v>169</v>
      </c>
      <c r="E140" s="18">
        <v>2.0</v>
      </c>
      <c r="F140" s="11">
        <v>420.0</v>
      </c>
      <c r="G140" s="135">
        <f t="shared" si="3"/>
        <v>840</v>
      </c>
      <c r="H140" s="147">
        <v>45422.0</v>
      </c>
    </row>
    <row r="141">
      <c r="D141" s="91" t="s">
        <v>155</v>
      </c>
      <c r="E141" s="18">
        <v>2.5</v>
      </c>
      <c r="F141" s="11">
        <v>800.0</v>
      </c>
      <c r="G141" s="135">
        <f t="shared" si="3"/>
        <v>2000</v>
      </c>
      <c r="H141" s="12"/>
    </row>
    <row r="142">
      <c r="D142" s="91" t="s">
        <v>177</v>
      </c>
      <c r="E142" s="18">
        <v>3.0</v>
      </c>
      <c r="F142" s="11">
        <v>220.0</v>
      </c>
      <c r="G142" s="135">
        <f t="shared" si="3"/>
        <v>660</v>
      </c>
      <c r="H142" s="12"/>
    </row>
    <row r="143">
      <c r="D143" s="91" t="s">
        <v>178</v>
      </c>
      <c r="E143" s="18">
        <v>8.0</v>
      </c>
      <c r="F143" s="11">
        <v>130.0</v>
      </c>
      <c r="G143" s="135">
        <f t="shared" si="3"/>
        <v>1040</v>
      </c>
      <c r="H143" s="12"/>
    </row>
    <row r="144">
      <c r="D144" s="91" t="s">
        <v>179</v>
      </c>
      <c r="E144" s="18">
        <v>16.0</v>
      </c>
      <c r="F144" s="11">
        <v>20.0</v>
      </c>
      <c r="G144" s="135">
        <f t="shared" si="3"/>
        <v>320</v>
      </c>
      <c r="H144" s="12"/>
    </row>
    <row r="145">
      <c r="D145" s="91" t="s">
        <v>166</v>
      </c>
      <c r="E145" s="18">
        <v>0.5</v>
      </c>
      <c r="F145" s="11">
        <v>400.0</v>
      </c>
      <c r="G145" s="135">
        <f t="shared" si="3"/>
        <v>200</v>
      </c>
      <c r="H145" s="12"/>
    </row>
    <row r="146">
      <c r="D146" s="91" t="s">
        <v>180</v>
      </c>
      <c r="E146" s="18">
        <v>0.5</v>
      </c>
      <c r="F146" s="11">
        <v>600.0</v>
      </c>
      <c r="G146" s="135">
        <f t="shared" si="3"/>
        <v>300</v>
      </c>
      <c r="H146" s="12"/>
    </row>
    <row r="147">
      <c r="D147" s="91" t="s">
        <v>181</v>
      </c>
      <c r="E147" s="18">
        <v>0.5</v>
      </c>
      <c r="F147" s="11">
        <v>600.0</v>
      </c>
      <c r="G147" s="135">
        <f t="shared" si="3"/>
        <v>300</v>
      </c>
      <c r="H147" s="12"/>
    </row>
    <row r="148">
      <c r="D148" s="91" t="s">
        <v>72</v>
      </c>
      <c r="E148" s="18">
        <v>5.0</v>
      </c>
      <c r="F148" s="11">
        <v>200.0</v>
      </c>
      <c r="G148" s="135">
        <f t="shared" si="3"/>
        <v>1000</v>
      </c>
      <c r="H148" s="12"/>
    </row>
    <row r="149">
      <c r="D149" s="91" t="s">
        <v>182</v>
      </c>
      <c r="E149" s="18">
        <v>1.0</v>
      </c>
      <c r="F149" s="11">
        <v>200.0</v>
      </c>
      <c r="G149" s="135">
        <f t="shared" si="3"/>
        <v>200</v>
      </c>
      <c r="H149" s="12"/>
    </row>
    <row r="150">
      <c r="D150" s="91" t="s">
        <v>183</v>
      </c>
      <c r="E150" s="18">
        <v>1.0</v>
      </c>
      <c r="F150" s="11">
        <v>200.0</v>
      </c>
      <c r="G150" s="135">
        <f t="shared" si="3"/>
        <v>200</v>
      </c>
      <c r="H150" s="12"/>
    </row>
    <row r="151">
      <c r="D151" s="91" t="s">
        <v>112</v>
      </c>
      <c r="E151" s="18">
        <v>40.0</v>
      </c>
      <c r="F151" s="11">
        <v>50.0</v>
      </c>
      <c r="G151" s="135">
        <f t="shared" si="3"/>
        <v>2000</v>
      </c>
      <c r="H151" s="12"/>
    </row>
    <row r="152">
      <c r="D152" s="91" t="s">
        <v>146</v>
      </c>
      <c r="E152" s="18">
        <v>15.0</v>
      </c>
      <c r="F152" s="11">
        <v>100.0</v>
      </c>
      <c r="G152" s="135">
        <f t="shared" si="3"/>
        <v>1500</v>
      </c>
      <c r="H152" s="12"/>
    </row>
    <row r="153">
      <c r="D153" s="91" t="s">
        <v>148</v>
      </c>
      <c r="E153" s="18">
        <v>2.0</v>
      </c>
      <c r="F153" s="11">
        <v>200.0</v>
      </c>
      <c r="G153" s="135">
        <f t="shared" si="3"/>
        <v>400</v>
      </c>
      <c r="H153" s="12"/>
    </row>
    <row r="154">
      <c r="D154" s="91" t="s">
        <v>161</v>
      </c>
      <c r="E154" s="18">
        <v>1.0</v>
      </c>
      <c r="F154" s="11">
        <v>100.0</v>
      </c>
      <c r="G154" s="135">
        <f t="shared" si="3"/>
        <v>100</v>
      </c>
      <c r="H154" s="12"/>
    </row>
    <row r="155">
      <c r="D155" s="91" t="s">
        <v>184</v>
      </c>
      <c r="E155" s="18">
        <v>1.0</v>
      </c>
      <c r="F155" s="11">
        <v>200.0</v>
      </c>
      <c r="G155" s="135">
        <f t="shared" si="3"/>
        <v>200</v>
      </c>
      <c r="H155" s="12"/>
    </row>
    <row r="156">
      <c r="C156" s="148"/>
      <c r="D156" s="91" t="s">
        <v>185</v>
      </c>
      <c r="E156" s="18">
        <v>1.0</v>
      </c>
      <c r="F156" s="11">
        <v>1200.0</v>
      </c>
      <c r="G156" s="135">
        <f t="shared" si="3"/>
        <v>1200</v>
      </c>
      <c r="H156" s="12"/>
    </row>
    <row r="157">
      <c r="C157" s="149">
        <v>1300.0</v>
      </c>
      <c r="D157" s="91" t="s">
        <v>186</v>
      </c>
      <c r="E157" s="18">
        <v>1.0</v>
      </c>
      <c r="F157" s="11">
        <v>1300.0</v>
      </c>
      <c r="G157" s="135">
        <f t="shared" si="3"/>
        <v>1300</v>
      </c>
      <c r="H157" s="150">
        <v>45421.0</v>
      </c>
    </row>
    <row r="158">
      <c r="C158" s="148"/>
      <c r="D158" s="91" t="s">
        <v>187</v>
      </c>
      <c r="E158" s="18">
        <v>1.0</v>
      </c>
      <c r="F158" s="11">
        <v>1750.0</v>
      </c>
      <c r="G158" s="135">
        <f t="shared" si="3"/>
        <v>1750</v>
      </c>
      <c r="H158" s="12"/>
    </row>
    <row r="159">
      <c r="C159" s="148"/>
      <c r="D159" s="91" t="s">
        <v>188</v>
      </c>
      <c r="E159" s="18">
        <v>1.0</v>
      </c>
      <c r="F159" s="11">
        <v>220.0</v>
      </c>
      <c r="G159" s="135">
        <f t="shared" si="3"/>
        <v>220</v>
      </c>
      <c r="H159" s="12"/>
    </row>
    <row r="160">
      <c r="C160" s="148"/>
      <c r="D160" s="91" t="s">
        <v>189</v>
      </c>
      <c r="E160" s="18">
        <v>2.0</v>
      </c>
      <c r="F160" s="11">
        <v>350.0</v>
      </c>
      <c r="G160" s="135">
        <f t="shared" si="3"/>
        <v>700</v>
      </c>
      <c r="H160" s="12"/>
    </row>
    <row r="161">
      <c r="C161" s="149">
        <v>1720.0</v>
      </c>
      <c r="D161" s="91" t="s">
        <v>187</v>
      </c>
      <c r="E161" s="18">
        <v>5.0</v>
      </c>
      <c r="F161" s="11">
        <v>1720.0</v>
      </c>
      <c r="G161" s="135">
        <f t="shared" si="3"/>
        <v>8600</v>
      </c>
      <c r="H161" s="12"/>
    </row>
    <row r="162">
      <c r="C162" s="149">
        <v>84.0</v>
      </c>
      <c r="D162" s="91" t="s">
        <v>190</v>
      </c>
      <c r="E162" s="18">
        <v>26.0</v>
      </c>
      <c r="F162" s="11">
        <v>84.0</v>
      </c>
      <c r="G162" s="135">
        <f t="shared" si="3"/>
        <v>2184</v>
      </c>
      <c r="H162" s="12"/>
    </row>
    <row r="163">
      <c r="C163" s="149">
        <v>30.0</v>
      </c>
      <c r="D163" s="91" t="s">
        <v>191</v>
      </c>
      <c r="E163" s="18">
        <v>24.0</v>
      </c>
      <c r="F163" s="11">
        <v>30.0</v>
      </c>
      <c r="G163" s="135">
        <f t="shared" si="3"/>
        <v>720</v>
      </c>
      <c r="H163" s="151"/>
    </row>
    <row r="164">
      <c r="C164" s="148"/>
      <c r="D164" s="91" t="s">
        <v>192</v>
      </c>
      <c r="E164" s="18">
        <v>50.0</v>
      </c>
      <c r="F164" s="11">
        <v>10.5</v>
      </c>
      <c r="G164" s="135">
        <f t="shared" si="3"/>
        <v>525</v>
      </c>
      <c r="H164" s="151"/>
    </row>
    <row r="165">
      <c r="C165" s="148"/>
      <c r="D165" s="91" t="s">
        <v>193</v>
      </c>
      <c r="E165" s="18">
        <v>50.0</v>
      </c>
      <c r="F165" s="11">
        <v>16.0</v>
      </c>
      <c r="G165" s="135">
        <f t="shared" si="3"/>
        <v>800</v>
      </c>
      <c r="H165" s="151"/>
    </row>
    <row r="166">
      <c r="C166" s="148"/>
      <c r="D166" s="91" t="s">
        <v>194</v>
      </c>
      <c r="E166" s="18">
        <v>2.0</v>
      </c>
      <c r="F166" s="11">
        <v>120.0</v>
      </c>
      <c r="G166" s="135">
        <f t="shared" si="3"/>
        <v>240</v>
      </c>
      <c r="H166" s="151"/>
    </row>
    <row r="167">
      <c r="C167" s="148"/>
      <c r="D167" s="91" t="s">
        <v>195</v>
      </c>
      <c r="E167" s="18">
        <v>1.0</v>
      </c>
      <c r="F167" s="11">
        <v>100.0</v>
      </c>
      <c r="G167" s="135">
        <f t="shared" si="3"/>
        <v>100</v>
      </c>
      <c r="H167" s="151"/>
    </row>
    <row r="168">
      <c r="C168" s="148"/>
      <c r="D168" s="91" t="s">
        <v>196</v>
      </c>
      <c r="E168" s="18">
        <v>24.0</v>
      </c>
      <c r="F168" s="11">
        <v>70.0</v>
      </c>
      <c r="G168" s="135">
        <f t="shared" si="3"/>
        <v>1680</v>
      </c>
      <c r="H168" s="151"/>
    </row>
    <row r="169">
      <c r="C169" s="148"/>
      <c r="D169" s="91" t="s">
        <v>197</v>
      </c>
      <c r="E169" s="18">
        <v>36.0</v>
      </c>
      <c r="F169" s="11">
        <v>50.0</v>
      </c>
      <c r="G169" s="135">
        <f t="shared" si="3"/>
        <v>1800</v>
      </c>
      <c r="H169" s="151"/>
    </row>
    <row r="170">
      <c r="D170" s="91" t="s">
        <v>198</v>
      </c>
      <c r="E170" s="18">
        <v>24.0</v>
      </c>
      <c r="F170" s="11">
        <v>46.0</v>
      </c>
      <c r="G170" s="135">
        <f t="shared" si="3"/>
        <v>1104</v>
      </c>
      <c r="H170" s="151"/>
    </row>
    <row r="171">
      <c r="D171" s="91" t="s">
        <v>199</v>
      </c>
      <c r="E171" s="18">
        <v>18.0</v>
      </c>
      <c r="F171" s="11">
        <v>80.0</v>
      </c>
      <c r="G171" s="135">
        <f t="shared" si="3"/>
        <v>1440</v>
      </c>
      <c r="H171" s="151"/>
    </row>
    <row r="172">
      <c r="D172" s="91" t="s">
        <v>146</v>
      </c>
      <c r="E172" s="18">
        <v>10.0</v>
      </c>
      <c r="F172" s="11">
        <v>100.0</v>
      </c>
      <c r="G172" s="135">
        <f t="shared" si="3"/>
        <v>1000</v>
      </c>
      <c r="H172" s="150">
        <v>45421.0</v>
      </c>
    </row>
    <row r="173">
      <c r="D173" s="91" t="s">
        <v>112</v>
      </c>
      <c r="E173" s="18">
        <v>30.0</v>
      </c>
      <c r="F173" s="11">
        <v>100.0</v>
      </c>
      <c r="G173" s="135">
        <f t="shared" si="3"/>
        <v>3000</v>
      </c>
      <c r="H173" s="151"/>
    </row>
    <row r="174">
      <c r="D174" s="91" t="s">
        <v>112</v>
      </c>
      <c r="E174" s="18">
        <v>30.0</v>
      </c>
      <c r="F174" s="11">
        <v>50.0</v>
      </c>
      <c r="G174" s="135">
        <f t="shared" si="3"/>
        <v>1500</v>
      </c>
      <c r="H174" s="151"/>
    </row>
    <row r="175">
      <c r="D175" s="91" t="s">
        <v>144</v>
      </c>
      <c r="E175" s="18">
        <v>4.0</v>
      </c>
      <c r="F175" s="11">
        <v>50.0</v>
      </c>
      <c r="G175" s="135">
        <f t="shared" si="3"/>
        <v>200</v>
      </c>
      <c r="H175" s="151"/>
    </row>
    <row r="176">
      <c r="D176" s="91" t="s">
        <v>155</v>
      </c>
      <c r="E176" s="18">
        <v>2.5</v>
      </c>
      <c r="F176" s="11">
        <v>800.0</v>
      </c>
      <c r="G176" s="135">
        <f t="shared" si="3"/>
        <v>2000</v>
      </c>
      <c r="H176" s="151"/>
    </row>
    <row r="177">
      <c r="D177" s="91" t="s">
        <v>200</v>
      </c>
      <c r="E177" s="18">
        <v>1.0</v>
      </c>
      <c r="F177" s="11">
        <v>300.0</v>
      </c>
      <c r="G177" s="135">
        <f t="shared" si="3"/>
        <v>300</v>
      </c>
      <c r="H177" s="151"/>
    </row>
    <row r="178">
      <c r="D178" s="91" t="s">
        <v>201</v>
      </c>
      <c r="E178" s="18">
        <v>1.0</v>
      </c>
      <c r="F178" s="11">
        <v>100.0</v>
      </c>
      <c r="G178" s="135">
        <f t="shared" si="3"/>
        <v>100</v>
      </c>
      <c r="H178" s="151"/>
    </row>
    <row r="179">
      <c r="D179" s="91" t="s">
        <v>202</v>
      </c>
      <c r="E179" s="18">
        <v>1.0</v>
      </c>
      <c r="F179" s="11">
        <v>350.0</v>
      </c>
      <c r="G179" s="135">
        <f t="shared" si="3"/>
        <v>350</v>
      </c>
      <c r="H179" s="151"/>
    </row>
    <row r="180">
      <c r="D180" s="91" t="s">
        <v>75</v>
      </c>
      <c r="E180" s="18">
        <v>1.0</v>
      </c>
      <c r="F180" s="11">
        <v>270.0</v>
      </c>
      <c r="G180" s="135">
        <f t="shared" si="3"/>
        <v>270</v>
      </c>
      <c r="H180" s="151"/>
    </row>
    <row r="181">
      <c r="D181" s="91" t="s">
        <v>203</v>
      </c>
      <c r="E181" s="18">
        <v>1.0</v>
      </c>
      <c r="F181" s="11">
        <v>570.0</v>
      </c>
      <c r="G181" s="135">
        <f t="shared" si="3"/>
        <v>570</v>
      </c>
      <c r="H181" s="151"/>
    </row>
    <row r="182">
      <c r="D182" s="91" t="s">
        <v>204</v>
      </c>
      <c r="E182" s="18">
        <v>2.0</v>
      </c>
      <c r="F182" s="11">
        <v>450.0</v>
      </c>
      <c r="G182" s="135">
        <f t="shared" si="3"/>
        <v>900</v>
      </c>
      <c r="H182" s="151"/>
    </row>
    <row r="183">
      <c r="D183" s="91" t="s">
        <v>155</v>
      </c>
      <c r="E183" s="18">
        <v>2.5</v>
      </c>
      <c r="F183" s="11">
        <v>800.0</v>
      </c>
      <c r="G183" s="135">
        <f t="shared" si="3"/>
        <v>2000</v>
      </c>
      <c r="H183" s="151"/>
    </row>
    <row r="184">
      <c r="D184" s="91" t="s">
        <v>205</v>
      </c>
      <c r="E184" s="18">
        <v>0.5</v>
      </c>
      <c r="F184" s="11">
        <v>2400.0</v>
      </c>
      <c r="G184" s="135">
        <f t="shared" si="3"/>
        <v>1200</v>
      </c>
      <c r="H184" s="151"/>
    </row>
    <row r="185">
      <c r="D185" s="91" t="s">
        <v>206</v>
      </c>
      <c r="E185" s="18">
        <v>0.5</v>
      </c>
      <c r="F185" s="11">
        <v>100.0</v>
      </c>
      <c r="G185" s="135">
        <f t="shared" si="3"/>
        <v>50</v>
      </c>
      <c r="H185" s="151"/>
    </row>
    <row r="186">
      <c r="D186" s="91" t="s">
        <v>207</v>
      </c>
      <c r="E186" s="18">
        <v>1.0</v>
      </c>
      <c r="F186" s="11">
        <v>330.0</v>
      </c>
      <c r="G186" s="135">
        <f t="shared" si="3"/>
        <v>330</v>
      </c>
      <c r="H186" s="151"/>
    </row>
    <row r="187">
      <c r="D187" s="91" t="s">
        <v>208</v>
      </c>
      <c r="E187" s="18">
        <v>1.0</v>
      </c>
      <c r="F187" s="11">
        <v>280.0</v>
      </c>
      <c r="G187" s="135">
        <f t="shared" si="3"/>
        <v>280</v>
      </c>
      <c r="H187" s="151"/>
    </row>
    <row r="188">
      <c r="D188" s="91" t="s">
        <v>165</v>
      </c>
      <c r="E188" s="18">
        <v>1.0</v>
      </c>
      <c r="F188" s="11">
        <v>1100.0</v>
      </c>
      <c r="G188" s="135">
        <f t="shared" si="3"/>
        <v>1100</v>
      </c>
      <c r="H188" s="151"/>
    </row>
    <row r="189">
      <c r="D189" s="91" t="s">
        <v>209</v>
      </c>
      <c r="E189" s="18">
        <v>3.0</v>
      </c>
      <c r="F189" s="11">
        <v>500.0</v>
      </c>
      <c r="G189" s="135">
        <f t="shared" si="3"/>
        <v>1500</v>
      </c>
      <c r="H189" s="151"/>
    </row>
    <row r="190">
      <c r="D190" s="91" t="s">
        <v>210</v>
      </c>
      <c r="E190" s="18">
        <v>1.0</v>
      </c>
      <c r="F190" s="11">
        <v>100.0</v>
      </c>
      <c r="G190" s="135">
        <f t="shared" si="3"/>
        <v>100</v>
      </c>
      <c r="H190" s="151"/>
    </row>
    <row r="191">
      <c r="D191" s="91" t="s">
        <v>211</v>
      </c>
      <c r="E191" s="18">
        <v>12.0</v>
      </c>
      <c r="F191" s="11">
        <v>250.0</v>
      </c>
      <c r="G191" s="135">
        <f t="shared" si="3"/>
        <v>3000</v>
      </c>
      <c r="H191" s="151"/>
    </row>
    <row r="192">
      <c r="D192" s="91" t="s">
        <v>212</v>
      </c>
      <c r="E192" s="18">
        <v>5.0</v>
      </c>
      <c r="F192" s="11">
        <v>70.0</v>
      </c>
      <c r="G192" s="135">
        <f t="shared" si="3"/>
        <v>350</v>
      </c>
      <c r="H192" s="151"/>
    </row>
    <row r="193">
      <c r="D193" s="91" t="s">
        <v>213</v>
      </c>
      <c r="E193" s="18">
        <v>20.0</v>
      </c>
      <c r="F193" s="11">
        <v>90.0</v>
      </c>
      <c r="G193" s="135">
        <f t="shared" si="3"/>
        <v>1800</v>
      </c>
      <c r="H193" s="150">
        <v>45425.0</v>
      </c>
    </row>
    <row r="194">
      <c r="D194" s="91" t="s">
        <v>214</v>
      </c>
      <c r="E194" s="18">
        <v>9.0</v>
      </c>
      <c r="F194" s="11">
        <v>750.0</v>
      </c>
      <c r="G194" s="135">
        <f t="shared" si="3"/>
        <v>6750</v>
      </c>
      <c r="H194" s="151"/>
    </row>
    <row r="195">
      <c r="D195" s="91" t="s">
        <v>169</v>
      </c>
      <c r="E195" s="18">
        <v>7.0</v>
      </c>
      <c r="F195" s="11">
        <v>450.0</v>
      </c>
      <c r="G195" s="135">
        <f t="shared" si="3"/>
        <v>3150</v>
      </c>
      <c r="H195" s="151"/>
    </row>
    <row r="196">
      <c r="D196" s="91" t="s">
        <v>144</v>
      </c>
      <c r="E196" s="18">
        <v>15.0</v>
      </c>
      <c r="F196" s="11">
        <v>70.0</v>
      </c>
      <c r="G196" s="135">
        <f t="shared" si="3"/>
        <v>1050</v>
      </c>
      <c r="H196" s="151"/>
    </row>
    <row r="197">
      <c r="D197" s="91" t="s">
        <v>150</v>
      </c>
      <c r="E197" s="18">
        <v>30.0</v>
      </c>
      <c r="F197" s="11">
        <v>100.0</v>
      </c>
      <c r="G197" s="135">
        <f t="shared" si="3"/>
        <v>3000</v>
      </c>
      <c r="H197" s="151"/>
    </row>
    <row r="198">
      <c r="D198" s="91" t="s">
        <v>215</v>
      </c>
      <c r="E198" s="18">
        <v>30.0</v>
      </c>
      <c r="F198" s="11">
        <v>50.0</v>
      </c>
      <c r="G198" s="135">
        <f t="shared" si="3"/>
        <v>1500</v>
      </c>
      <c r="H198" s="151"/>
    </row>
    <row r="199">
      <c r="D199" s="91" t="s">
        <v>216</v>
      </c>
      <c r="E199" s="18">
        <v>3.0</v>
      </c>
      <c r="F199" s="11">
        <v>100.0</v>
      </c>
      <c r="G199" s="135">
        <f t="shared" si="3"/>
        <v>300</v>
      </c>
      <c r="H199" s="151"/>
    </row>
    <row r="200">
      <c r="D200" s="91" t="s">
        <v>171</v>
      </c>
      <c r="E200" s="18">
        <v>3.0</v>
      </c>
      <c r="F200" s="11">
        <v>30.0</v>
      </c>
      <c r="G200" s="135">
        <f t="shared" si="3"/>
        <v>90</v>
      </c>
      <c r="H200" s="151"/>
    </row>
    <row r="201">
      <c r="D201" s="91" t="s">
        <v>173</v>
      </c>
      <c r="E201" s="18">
        <v>1.0</v>
      </c>
      <c r="F201" s="11">
        <v>250.0</v>
      </c>
      <c r="G201" s="135">
        <f t="shared" si="3"/>
        <v>250</v>
      </c>
      <c r="H201" s="151"/>
    </row>
    <row r="202">
      <c r="D202" s="91" t="s">
        <v>217</v>
      </c>
      <c r="E202" s="18">
        <v>12.0</v>
      </c>
      <c r="F202" s="11">
        <v>60.0</v>
      </c>
      <c r="G202" s="135">
        <f t="shared" si="3"/>
        <v>720</v>
      </c>
      <c r="H202" s="151"/>
    </row>
    <row r="203">
      <c r="D203" s="91" t="s">
        <v>180</v>
      </c>
      <c r="E203" s="18">
        <v>1.0</v>
      </c>
      <c r="F203" s="11">
        <v>600.0</v>
      </c>
      <c r="G203" s="135">
        <f t="shared" si="3"/>
        <v>600</v>
      </c>
      <c r="H203" s="151"/>
    </row>
    <row r="204">
      <c r="D204" s="91" t="s">
        <v>166</v>
      </c>
      <c r="E204" s="18">
        <v>1.0</v>
      </c>
      <c r="F204" s="11">
        <v>450.0</v>
      </c>
      <c r="G204" s="135">
        <f t="shared" si="3"/>
        <v>450</v>
      </c>
      <c r="H204" s="151"/>
    </row>
    <row r="205">
      <c r="D205" s="91" t="s">
        <v>218</v>
      </c>
      <c r="E205" s="18">
        <v>1.0</v>
      </c>
      <c r="F205" s="11">
        <v>250.0</v>
      </c>
      <c r="G205" s="135">
        <f t="shared" si="3"/>
        <v>250</v>
      </c>
      <c r="H205" s="151"/>
    </row>
    <row r="206">
      <c r="D206" s="91" t="s">
        <v>146</v>
      </c>
      <c r="E206" s="18">
        <v>3.0</v>
      </c>
      <c r="F206" s="11">
        <v>100.0</v>
      </c>
      <c r="G206" s="135">
        <f t="shared" si="3"/>
        <v>300</v>
      </c>
      <c r="H206" s="151"/>
    </row>
    <row r="207">
      <c r="D207" s="91" t="s">
        <v>219</v>
      </c>
      <c r="E207" s="18">
        <v>30.0</v>
      </c>
      <c r="F207" s="11">
        <v>20.0</v>
      </c>
      <c r="G207" s="135">
        <f t="shared" si="3"/>
        <v>600</v>
      </c>
      <c r="H207" s="151"/>
    </row>
    <row r="208">
      <c r="D208" s="91" t="s">
        <v>220</v>
      </c>
      <c r="E208" s="18">
        <v>10.0</v>
      </c>
      <c r="F208" s="11">
        <v>90.0</v>
      </c>
      <c r="G208" s="135">
        <f t="shared" si="3"/>
        <v>900</v>
      </c>
      <c r="H208" s="151"/>
    </row>
    <row r="209">
      <c r="D209" s="91" t="s">
        <v>77</v>
      </c>
      <c r="E209" s="18">
        <v>24.0</v>
      </c>
      <c r="F209" s="11">
        <v>65.0</v>
      </c>
      <c r="G209" s="135">
        <f t="shared" si="3"/>
        <v>1560</v>
      </c>
      <c r="H209" s="151"/>
    </row>
    <row r="210">
      <c r="D210" s="91" t="s">
        <v>221</v>
      </c>
      <c r="E210" s="18">
        <v>100.0</v>
      </c>
      <c r="F210" s="11">
        <v>6.2</v>
      </c>
      <c r="G210" s="135">
        <f t="shared" si="3"/>
        <v>620</v>
      </c>
      <c r="H210" s="151"/>
    </row>
    <row r="211">
      <c r="D211" s="91" t="s">
        <v>130</v>
      </c>
      <c r="E211" s="18">
        <v>2.0</v>
      </c>
      <c r="F211" s="11">
        <v>1800.0</v>
      </c>
      <c r="G211" s="135">
        <f t="shared" si="3"/>
        <v>3600</v>
      </c>
      <c r="H211" s="151"/>
    </row>
    <row r="212">
      <c r="D212" s="91" t="s">
        <v>222</v>
      </c>
      <c r="E212" s="18">
        <v>16.0</v>
      </c>
      <c r="F212" s="11">
        <v>195.0</v>
      </c>
      <c r="G212" s="135">
        <f t="shared" si="3"/>
        <v>3120</v>
      </c>
      <c r="H212" s="151"/>
    </row>
    <row r="213">
      <c r="D213" s="91" t="s">
        <v>223</v>
      </c>
      <c r="E213" s="18">
        <v>0.5</v>
      </c>
      <c r="F213" s="11">
        <v>1800.0</v>
      </c>
      <c r="G213" s="135">
        <f t="shared" si="3"/>
        <v>900</v>
      </c>
      <c r="H213" s="151"/>
    </row>
    <row r="214">
      <c r="D214" s="91" t="s">
        <v>224</v>
      </c>
      <c r="E214" s="18">
        <v>1.0</v>
      </c>
      <c r="F214" s="11">
        <v>170.0</v>
      </c>
      <c r="G214" s="135">
        <f t="shared" si="3"/>
        <v>170</v>
      </c>
      <c r="H214" s="151"/>
    </row>
    <row r="215">
      <c r="D215" s="91" t="s">
        <v>225</v>
      </c>
      <c r="E215" s="18">
        <v>1.0</v>
      </c>
      <c r="F215" s="11">
        <v>250.0</v>
      </c>
      <c r="G215" s="135">
        <f t="shared" si="3"/>
        <v>250</v>
      </c>
      <c r="H215" s="151"/>
    </row>
    <row r="216">
      <c r="D216" s="91" t="s">
        <v>226</v>
      </c>
      <c r="E216" s="18">
        <v>6.0</v>
      </c>
      <c r="F216" s="11">
        <v>260.0</v>
      </c>
      <c r="G216" s="135">
        <f t="shared" si="3"/>
        <v>1560</v>
      </c>
      <c r="H216" s="151"/>
    </row>
    <row r="217">
      <c r="D217" s="91" t="s">
        <v>227</v>
      </c>
      <c r="E217" s="18">
        <v>2.0</v>
      </c>
      <c r="F217" s="11">
        <v>240.0</v>
      </c>
      <c r="G217" s="135">
        <f t="shared" si="3"/>
        <v>480</v>
      </c>
      <c r="H217" s="151"/>
    </row>
    <row r="218">
      <c r="D218" s="91" t="s">
        <v>228</v>
      </c>
      <c r="E218" s="18">
        <v>1.0</v>
      </c>
      <c r="F218" s="11">
        <v>1100.0</v>
      </c>
      <c r="G218" s="135">
        <f t="shared" si="3"/>
        <v>1100</v>
      </c>
      <c r="H218" s="151"/>
    </row>
    <row r="219">
      <c r="D219" s="91" t="s">
        <v>70</v>
      </c>
      <c r="E219" s="18">
        <v>1.0</v>
      </c>
      <c r="F219" s="11">
        <v>1350.0</v>
      </c>
      <c r="G219" s="135">
        <f t="shared" si="3"/>
        <v>1350</v>
      </c>
      <c r="H219" s="151"/>
    </row>
    <row r="220">
      <c r="D220" s="91" t="s">
        <v>71</v>
      </c>
      <c r="E220" s="18">
        <v>1.0</v>
      </c>
      <c r="F220" s="11">
        <v>1050.0</v>
      </c>
      <c r="G220" s="135">
        <f t="shared" si="3"/>
        <v>1050</v>
      </c>
      <c r="H220" s="151"/>
    </row>
    <row r="221">
      <c r="D221" s="91" t="s">
        <v>229</v>
      </c>
      <c r="E221" s="18">
        <v>1.0</v>
      </c>
      <c r="F221" s="11">
        <v>2100.0</v>
      </c>
      <c r="G221" s="135">
        <f t="shared" si="3"/>
        <v>2100</v>
      </c>
      <c r="H221" s="151"/>
    </row>
    <row r="222">
      <c r="D222" s="91" t="s">
        <v>230</v>
      </c>
      <c r="E222" s="18">
        <v>10.0</v>
      </c>
      <c r="F222" s="11">
        <v>35.0</v>
      </c>
      <c r="G222" s="135">
        <f t="shared" si="3"/>
        <v>350</v>
      </c>
      <c r="H222" s="151"/>
    </row>
    <row r="223">
      <c r="D223" s="91" t="s">
        <v>231</v>
      </c>
      <c r="E223" s="18">
        <v>1.0</v>
      </c>
      <c r="F223" s="11">
        <v>950.0</v>
      </c>
      <c r="G223" s="135">
        <f t="shared" si="3"/>
        <v>950</v>
      </c>
      <c r="H223" s="151"/>
    </row>
    <row r="224">
      <c r="D224" s="91" t="s">
        <v>232</v>
      </c>
      <c r="E224" s="18">
        <v>50.0</v>
      </c>
      <c r="F224" s="11">
        <v>35.0</v>
      </c>
      <c r="G224" s="135">
        <f t="shared" si="3"/>
        <v>1750</v>
      </c>
      <c r="H224" s="151"/>
    </row>
    <row r="225">
      <c r="D225" s="91" t="s">
        <v>233</v>
      </c>
      <c r="E225" s="18">
        <v>1.0</v>
      </c>
      <c r="F225" s="11">
        <v>350.0</v>
      </c>
      <c r="G225" s="135">
        <f t="shared" si="3"/>
        <v>350</v>
      </c>
      <c r="H225" s="150">
        <v>45365.0</v>
      </c>
    </row>
    <row r="226">
      <c r="D226" s="91" t="s">
        <v>234</v>
      </c>
      <c r="E226" s="18">
        <v>1.0</v>
      </c>
      <c r="F226" s="11">
        <v>1000.0</v>
      </c>
      <c r="G226" s="135">
        <f t="shared" si="3"/>
        <v>1000</v>
      </c>
      <c r="H226" s="151"/>
    </row>
    <row r="227">
      <c r="D227" s="91" t="s">
        <v>235</v>
      </c>
      <c r="E227" s="18">
        <v>1.5</v>
      </c>
      <c r="F227" s="11">
        <v>800.0</v>
      </c>
      <c r="G227" s="135">
        <f t="shared" si="3"/>
        <v>1200</v>
      </c>
      <c r="H227" s="151"/>
    </row>
    <row r="228">
      <c r="D228" s="91" t="s">
        <v>146</v>
      </c>
      <c r="E228" s="18">
        <v>10.0</v>
      </c>
      <c r="F228" s="11">
        <v>100.0</v>
      </c>
      <c r="G228" s="135">
        <f t="shared" si="3"/>
        <v>1000</v>
      </c>
      <c r="H228" s="151"/>
    </row>
    <row r="229">
      <c r="D229" s="91" t="s">
        <v>236</v>
      </c>
      <c r="E229" s="18">
        <v>4.0</v>
      </c>
      <c r="F229" s="11">
        <v>150.0</v>
      </c>
      <c r="G229" s="135">
        <f t="shared" si="3"/>
        <v>600</v>
      </c>
      <c r="H229" s="151"/>
    </row>
    <row r="230">
      <c r="D230" s="91" t="s">
        <v>89</v>
      </c>
      <c r="E230" s="18">
        <v>10.0</v>
      </c>
      <c r="F230" s="11">
        <v>600.0</v>
      </c>
      <c r="G230" s="135">
        <f t="shared" si="3"/>
        <v>6000</v>
      </c>
      <c r="H230" s="151"/>
    </row>
    <row r="231">
      <c r="D231" s="91" t="s">
        <v>237</v>
      </c>
      <c r="E231" s="18">
        <v>8.0</v>
      </c>
      <c r="F231" s="11">
        <v>300.0</v>
      </c>
      <c r="G231" s="135">
        <f t="shared" si="3"/>
        <v>2400</v>
      </c>
      <c r="H231" s="151"/>
    </row>
    <row r="232">
      <c r="D232" s="91" t="s">
        <v>91</v>
      </c>
      <c r="E232" s="18">
        <v>24.0</v>
      </c>
      <c r="F232" s="11">
        <v>190.0</v>
      </c>
      <c r="G232" s="135">
        <f t="shared" si="3"/>
        <v>4560</v>
      </c>
      <c r="H232" s="146"/>
    </row>
    <row r="233">
      <c r="D233" s="91" t="s">
        <v>238</v>
      </c>
      <c r="E233" s="18">
        <v>1.0</v>
      </c>
      <c r="F233" s="11">
        <v>350.0</v>
      </c>
      <c r="G233" s="135">
        <f t="shared" si="3"/>
        <v>350</v>
      </c>
      <c r="H233" s="151"/>
    </row>
    <row r="234">
      <c r="D234" s="91" t="s">
        <v>239</v>
      </c>
      <c r="E234" s="18">
        <v>3.0</v>
      </c>
      <c r="F234" s="11">
        <v>130.0</v>
      </c>
      <c r="G234" s="135">
        <f t="shared" si="3"/>
        <v>390</v>
      </c>
      <c r="H234" s="151"/>
    </row>
    <row r="235">
      <c r="D235" s="91" t="s">
        <v>240</v>
      </c>
      <c r="E235" s="18">
        <v>2.8</v>
      </c>
      <c r="F235" s="11">
        <v>750.0</v>
      </c>
      <c r="G235" s="135">
        <f t="shared" si="3"/>
        <v>2100</v>
      </c>
      <c r="H235" s="151"/>
    </row>
    <row r="236">
      <c r="D236" s="91" t="s">
        <v>112</v>
      </c>
      <c r="E236" s="18">
        <v>30.0</v>
      </c>
      <c r="F236" s="11">
        <v>100.0</v>
      </c>
      <c r="G236" s="135">
        <f t="shared" si="3"/>
        <v>3000</v>
      </c>
      <c r="H236" s="151"/>
    </row>
    <row r="237">
      <c r="D237" s="91" t="s">
        <v>112</v>
      </c>
      <c r="E237" s="18">
        <v>30.0</v>
      </c>
      <c r="F237" s="11">
        <v>50.0</v>
      </c>
      <c r="G237" s="135">
        <f t="shared" si="3"/>
        <v>1500</v>
      </c>
      <c r="H237" s="151"/>
    </row>
    <row r="238">
      <c r="D238" s="91" t="s">
        <v>241</v>
      </c>
      <c r="E238" s="18">
        <v>3.0</v>
      </c>
      <c r="F238" s="11">
        <v>100.0</v>
      </c>
      <c r="G238" s="135">
        <f t="shared" si="3"/>
        <v>300</v>
      </c>
      <c r="H238" s="146"/>
    </row>
    <row r="239">
      <c r="D239" s="91"/>
      <c r="E239" s="18"/>
      <c r="F239" s="11"/>
      <c r="G239" s="135"/>
      <c r="H239" s="150"/>
    </row>
    <row r="240">
      <c r="D240" s="91" t="s">
        <v>242</v>
      </c>
      <c r="E240" s="18">
        <v>6.0</v>
      </c>
      <c r="F240" s="11">
        <v>200.0</v>
      </c>
      <c r="G240" s="135">
        <f t="shared" ref="G240:G365" si="4">E240*F240</f>
        <v>1200</v>
      </c>
      <c r="H240" s="151"/>
    </row>
    <row r="241">
      <c r="D241" s="91" t="s">
        <v>243</v>
      </c>
      <c r="E241" s="18">
        <v>4.0</v>
      </c>
      <c r="F241" s="11">
        <v>300.0</v>
      </c>
      <c r="G241" s="135">
        <f t="shared" si="4"/>
        <v>1200</v>
      </c>
      <c r="H241" s="151"/>
    </row>
    <row r="242">
      <c r="D242" s="152" t="s">
        <v>244</v>
      </c>
      <c r="E242" s="153">
        <v>5.0</v>
      </c>
      <c r="F242" s="154">
        <v>1000.0</v>
      </c>
      <c r="G242" s="155">
        <f t="shared" si="4"/>
        <v>5000</v>
      </c>
      <c r="H242" s="156"/>
      <c r="I242" s="157" t="s">
        <v>245</v>
      </c>
    </row>
    <row r="243">
      <c r="D243" s="91" t="s">
        <v>146</v>
      </c>
      <c r="E243" s="18">
        <v>10.0</v>
      </c>
      <c r="F243" s="11">
        <v>120.0</v>
      </c>
      <c r="G243" s="135">
        <f t="shared" si="4"/>
        <v>1200</v>
      </c>
      <c r="H243" s="9">
        <v>45428.0</v>
      </c>
    </row>
    <row r="244">
      <c r="D244" s="91" t="s">
        <v>246</v>
      </c>
      <c r="E244" s="18">
        <v>2.0</v>
      </c>
      <c r="F244" s="11">
        <v>100.0</v>
      </c>
      <c r="G244" s="135">
        <f t="shared" si="4"/>
        <v>200</v>
      </c>
      <c r="H244" s="151"/>
    </row>
    <row r="245">
      <c r="D245" s="91" t="s">
        <v>174</v>
      </c>
      <c r="E245" s="18">
        <v>2.0</v>
      </c>
      <c r="F245" s="11">
        <v>50.0</v>
      </c>
      <c r="G245" s="135">
        <f t="shared" si="4"/>
        <v>100</v>
      </c>
      <c r="H245" s="151"/>
    </row>
    <row r="246">
      <c r="D246" s="91" t="s">
        <v>149</v>
      </c>
      <c r="E246" s="18">
        <v>4.0</v>
      </c>
      <c r="F246" s="11">
        <v>150.0</v>
      </c>
      <c r="G246" s="135">
        <f t="shared" si="4"/>
        <v>600</v>
      </c>
      <c r="H246" s="151"/>
    </row>
    <row r="247">
      <c r="D247" s="91" t="s">
        <v>167</v>
      </c>
      <c r="E247" s="18">
        <v>1.0</v>
      </c>
      <c r="F247" s="11">
        <v>220.0</v>
      </c>
      <c r="G247" s="135">
        <f t="shared" si="4"/>
        <v>220</v>
      </c>
      <c r="H247" s="151"/>
    </row>
    <row r="248">
      <c r="D248" s="91" t="s">
        <v>247</v>
      </c>
      <c r="E248" s="18">
        <v>20.0</v>
      </c>
      <c r="F248" s="11">
        <v>100.0</v>
      </c>
      <c r="G248" s="135">
        <f t="shared" si="4"/>
        <v>2000</v>
      </c>
      <c r="H248" s="151"/>
    </row>
    <row r="249">
      <c r="D249" s="91" t="s">
        <v>72</v>
      </c>
      <c r="E249" s="18">
        <v>5.0</v>
      </c>
      <c r="F249" s="11">
        <v>350.0</v>
      </c>
      <c r="G249" s="135">
        <f t="shared" si="4"/>
        <v>1750</v>
      </c>
      <c r="H249" s="151"/>
    </row>
    <row r="250">
      <c r="D250" s="91" t="s">
        <v>248</v>
      </c>
      <c r="E250" s="18">
        <v>3.0</v>
      </c>
      <c r="F250" s="11">
        <v>250.0</v>
      </c>
      <c r="G250" s="135">
        <f t="shared" si="4"/>
        <v>750</v>
      </c>
      <c r="H250" s="151"/>
    </row>
    <row r="251">
      <c r="D251" s="91" t="s">
        <v>249</v>
      </c>
      <c r="E251" s="18">
        <v>1.0</v>
      </c>
      <c r="F251" s="11">
        <v>500.0</v>
      </c>
      <c r="G251" s="135">
        <f t="shared" si="4"/>
        <v>500</v>
      </c>
      <c r="H251" s="151"/>
    </row>
    <row r="252">
      <c r="D252" s="91" t="s">
        <v>250</v>
      </c>
      <c r="E252" s="18">
        <v>28.0</v>
      </c>
      <c r="F252" s="11">
        <v>300.0</v>
      </c>
      <c r="G252" s="135">
        <f t="shared" si="4"/>
        <v>8400</v>
      </c>
      <c r="H252" s="151"/>
    </row>
    <row r="253">
      <c r="D253" s="91" t="s">
        <v>251</v>
      </c>
      <c r="E253" s="18">
        <v>1.0</v>
      </c>
      <c r="F253" s="11">
        <v>120.0</v>
      </c>
      <c r="G253" s="135">
        <f t="shared" si="4"/>
        <v>120</v>
      </c>
      <c r="H253" s="151"/>
    </row>
    <row r="254">
      <c r="D254" s="91" t="s">
        <v>252</v>
      </c>
      <c r="E254" s="18">
        <v>60.0</v>
      </c>
      <c r="F254" s="11">
        <v>20.0</v>
      </c>
      <c r="G254" s="135">
        <f t="shared" si="4"/>
        <v>1200</v>
      </c>
      <c r="H254" s="151"/>
    </row>
    <row r="255">
      <c r="D255" s="91" t="s">
        <v>253</v>
      </c>
      <c r="E255" s="18">
        <v>2.0</v>
      </c>
      <c r="F255" s="11">
        <v>190.0</v>
      </c>
      <c r="G255" s="135">
        <f t="shared" si="4"/>
        <v>380</v>
      </c>
      <c r="H255" s="151"/>
    </row>
    <row r="256">
      <c r="D256" s="91" t="s">
        <v>242</v>
      </c>
      <c r="E256" s="18">
        <v>2.0</v>
      </c>
      <c r="F256" s="11">
        <v>200.0</v>
      </c>
      <c r="G256" s="135">
        <f t="shared" si="4"/>
        <v>400</v>
      </c>
      <c r="H256" s="151"/>
    </row>
    <row r="257">
      <c r="D257" s="91" t="s">
        <v>254</v>
      </c>
      <c r="E257" s="18">
        <v>1.0</v>
      </c>
      <c r="F257" s="11">
        <v>1000.0</v>
      </c>
      <c r="G257" s="135">
        <f t="shared" si="4"/>
        <v>1000</v>
      </c>
      <c r="H257" s="151"/>
    </row>
    <row r="258">
      <c r="D258" s="91" t="s">
        <v>210</v>
      </c>
      <c r="E258" s="18">
        <v>3.0</v>
      </c>
      <c r="F258" s="11">
        <v>150.0</v>
      </c>
      <c r="G258" s="135">
        <f t="shared" si="4"/>
        <v>450</v>
      </c>
      <c r="H258" s="151"/>
    </row>
    <row r="259">
      <c r="D259" s="91" t="s">
        <v>150</v>
      </c>
      <c r="E259" s="18">
        <v>30.0</v>
      </c>
      <c r="F259" s="11">
        <v>50.0</v>
      </c>
      <c r="G259" s="135">
        <f t="shared" si="4"/>
        <v>1500</v>
      </c>
      <c r="H259" s="151"/>
    </row>
    <row r="260">
      <c r="D260" s="91" t="s">
        <v>255</v>
      </c>
      <c r="E260" s="18">
        <v>20.0</v>
      </c>
      <c r="F260" s="11">
        <v>65.0</v>
      </c>
      <c r="G260" s="135">
        <f t="shared" si="4"/>
        <v>1300</v>
      </c>
      <c r="H260" s="151"/>
    </row>
    <row r="261">
      <c r="D261" s="91" t="s">
        <v>213</v>
      </c>
      <c r="E261" s="18">
        <v>2.0</v>
      </c>
      <c r="F261" s="11">
        <v>100.0</v>
      </c>
      <c r="G261" s="135">
        <f t="shared" si="4"/>
        <v>200</v>
      </c>
      <c r="H261" s="151"/>
    </row>
    <row r="262">
      <c r="D262" s="91" t="s">
        <v>256</v>
      </c>
      <c r="E262" s="18">
        <v>1.0</v>
      </c>
      <c r="F262" s="11">
        <v>100.0</v>
      </c>
      <c r="G262" s="135">
        <f t="shared" si="4"/>
        <v>100</v>
      </c>
      <c r="H262" s="151"/>
    </row>
    <row r="263">
      <c r="D263" s="91" t="s">
        <v>155</v>
      </c>
      <c r="E263" s="18">
        <v>4.0</v>
      </c>
      <c r="F263" s="11">
        <v>750.0</v>
      </c>
      <c r="G263" s="135">
        <f t="shared" si="4"/>
        <v>3000</v>
      </c>
      <c r="H263" s="151"/>
    </row>
    <row r="264">
      <c r="D264" s="91" t="s">
        <v>166</v>
      </c>
      <c r="E264" s="18">
        <v>1.0</v>
      </c>
      <c r="F264" s="11">
        <v>400.0</v>
      </c>
      <c r="G264" s="135">
        <f t="shared" si="4"/>
        <v>400</v>
      </c>
      <c r="H264" s="151"/>
    </row>
    <row r="265">
      <c r="D265" s="91" t="s">
        <v>241</v>
      </c>
      <c r="E265" s="18">
        <v>2.0</v>
      </c>
      <c r="F265" s="11">
        <v>100.0</v>
      </c>
      <c r="G265" s="135">
        <f t="shared" si="4"/>
        <v>200</v>
      </c>
      <c r="H265" s="151"/>
    </row>
    <row r="266">
      <c r="D266" s="91" t="s">
        <v>257</v>
      </c>
      <c r="E266" s="18">
        <v>1.0</v>
      </c>
      <c r="F266" s="11">
        <v>250.0</v>
      </c>
      <c r="G266" s="135">
        <f t="shared" si="4"/>
        <v>250</v>
      </c>
      <c r="H266" s="151"/>
    </row>
    <row r="267">
      <c r="D267" s="91" t="s">
        <v>258</v>
      </c>
      <c r="E267" s="18">
        <v>6.0</v>
      </c>
      <c r="F267" s="11">
        <v>250.0</v>
      </c>
      <c r="G267" s="135">
        <f t="shared" si="4"/>
        <v>1500</v>
      </c>
      <c r="H267" s="151"/>
    </row>
    <row r="268">
      <c r="D268" s="91" t="s">
        <v>146</v>
      </c>
      <c r="E268" s="18">
        <v>10.0</v>
      </c>
      <c r="F268" s="11">
        <v>120.0</v>
      </c>
      <c r="G268" s="135">
        <f t="shared" si="4"/>
        <v>1200</v>
      </c>
      <c r="H268" s="151"/>
    </row>
    <row r="269">
      <c r="D269" s="91" t="s">
        <v>259</v>
      </c>
      <c r="E269" s="18">
        <v>20.0</v>
      </c>
      <c r="F269" s="11">
        <v>75.0</v>
      </c>
      <c r="G269" s="135">
        <f t="shared" si="4"/>
        <v>1500</v>
      </c>
      <c r="H269" s="151"/>
    </row>
    <row r="270">
      <c r="D270" s="91" t="s">
        <v>260</v>
      </c>
      <c r="E270" s="18">
        <v>15.0</v>
      </c>
      <c r="F270" s="11">
        <v>15.0</v>
      </c>
      <c r="G270" s="135">
        <f t="shared" si="4"/>
        <v>225</v>
      </c>
      <c r="H270" s="151"/>
    </row>
    <row r="271">
      <c r="D271" s="91" t="s">
        <v>261</v>
      </c>
      <c r="E271" s="18">
        <v>15.0</v>
      </c>
      <c r="F271" s="11">
        <v>40.0</v>
      </c>
      <c r="G271" s="135">
        <f t="shared" si="4"/>
        <v>600</v>
      </c>
      <c r="H271" s="151"/>
    </row>
    <row r="272">
      <c r="D272" s="91" t="s">
        <v>262</v>
      </c>
      <c r="E272" s="18">
        <v>1.0</v>
      </c>
      <c r="F272" s="11">
        <v>90.0</v>
      </c>
      <c r="G272" s="135">
        <f t="shared" si="4"/>
        <v>90</v>
      </c>
      <c r="H272" s="151"/>
    </row>
    <row r="273">
      <c r="D273" s="91" t="s">
        <v>133</v>
      </c>
      <c r="E273" s="18">
        <v>1.0</v>
      </c>
      <c r="F273" s="11">
        <v>900.0</v>
      </c>
      <c r="G273" s="135">
        <f t="shared" si="4"/>
        <v>900</v>
      </c>
      <c r="H273" s="151"/>
    </row>
    <row r="274">
      <c r="D274" s="91" t="s">
        <v>263</v>
      </c>
      <c r="E274" s="18">
        <v>2.0</v>
      </c>
      <c r="F274" s="11">
        <v>250.0</v>
      </c>
      <c r="G274" s="135">
        <f t="shared" si="4"/>
        <v>500</v>
      </c>
      <c r="H274" s="151"/>
    </row>
    <row r="275">
      <c r="D275" s="91" t="s">
        <v>148</v>
      </c>
      <c r="E275" s="18">
        <v>5.0</v>
      </c>
      <c r="F275" s="11">
        <v>140.0</v>
      </c>
      <c r="G275" s="135">
        <f t="shared" si="4"/>
        <v>700</v>
      </c>
      <c r="H275" s="151"/>
    </row>
    <row r="276">
      <c r="D276" s="91" t="s">
        <v>264</v>
      </c>
      <c r="E276" s="18">
        <v>1.0</v>
      </c>
      <c r="F276" s="11">
        <v>200.0</v>
      </c>
      <c r="G276" s="135">
        <f t="shared" si="4"/>
        <v>200</v>
      </c>
      <c r="H276" s="151"/>
    </row>
    <row r="277">
      <c r="D277" s="91" t="s">
        <v>265</v>
      </c>
      <c r="E277" s="18">
        <v>2.0</v>
      </c>
      <c r="F277" s="11">
        <v>220.0</v>
      </c>
      <c r="G277" s="135">
        <f t="shared" si="4"/>
        <v>440</v>
      </c>
      <c r="H277" s="151"/>
    </row>
    <row r="278">
      <c r="D278" s="91" t="s">
        <v>266</v>
      </c>
      <c r="E278" s="18">
        <v>2.0</v>
      </c>
      <c r="F278" s="11">
        <v>250.0</v>
      </c>
      <c r="G278" s="135">
        <f t="shared" si="4"/>
        <v>500</v>
      </c>
      <c r="H278" s="151"/>
    </row>
    <row r="279">
      <c r="D279" s="91" t="s">
        <v>150</v>
      </c>
      <c r="E279" s="18">
        <v>12.0</v>
      </c>
      <c r="F279" s="11">
        <v>80.0</v>
      </c>
      <c r="G279" s="135">
        <f t="shared" si="4"/>
        <v>960</v>
      </c>
      <c r="H279" s="150">
        <v>45431.0</v>
      </c>
    </row>
    <row r="280">
      <c r="D280" s="91" t="s">
        <v>113</v>
      </c>
      <c r="E280" s="18">
        <v>1.5</v>
      </c>
      <c r="F280" s="11">
        <v>850.0</v>
      </c>
      <c r="G280" s="135">
        <f t="shared" si="4"/>
        <v>1275</v>
      </c>
      <c r="H280" s="151"/>
    </row>
    <row r="281">
      <c r="D281" s="91" t="s">
        <v>146</v>
      </c>
      <c r="E281" s="18">
        <v>3.0</v>
      </c>
      <c r="F281" s="11">
        <v>120.0</v>
      </c>
      <c r="G281" s="135">
        <f t="shared" si="4"/>
        <v>360</v>
      </c>
      <c r="H281" s="151"/>
    </row>
    <row r="282">
      <c r="D282" s="91" t="s">
        <v>267</v>
      </c>
      <c r="E282" s="18">
        <v>1.0</v>
      </c>
      <c r="F282" s="11">
        <v>250.0</v>
      </c>
      <c r="G282" s="135">
        <f t="shared" si="4"/>
        <v>250</v>
      </c>
      <c r="H282" s="151"/>
    </row>
    <row r="283">
      <c r="C283" s="158">
        <v>50.0</v>
      </c>
      <c r="D283" s="91" t="s">
        <v>112</v>
      </c>
      <c r="E283" s="18">
        <v>40.0</v>
      </c>
      <c r="F283" s="11">
        <v>50.0</v>
      </c>
      <c r="G283" s="135">
        <f t="shared" si="4"/>
        <v>2000</v>
      </c>
      <c r="H283" s="151"/>
    </row>
    <row r="284">
      <c r="C284" s="159">
        <v>750.0</v>
      </c>
      <c r="D284" s="91" t="s">
        <v>113</v>
      </c>
      <c r="E284" s="18">
        <v>5.0</v>
      </c>
      <c r="F284" s="11">
        <v>750.0</v>
      </c>
      <c r="G284" s="135">
        <f t="shared" si="4"/>
        <v>3750</v>
      </c>
      <c r="H284" s="151"/>
    </row>
    <row r="285">
      <c r="D285" s="91" t="s">
        <v>146</v>
      </c>
      <c r="E285" s="18">
        <v>5.0</v>
      </c>
      <c r="F285" s="11">
        <v>100.0</v>
      </c>
      <c r="G285" s="135">
        <f t="shared" si="4"/>
        <v>500</v>
      </c>
      <c r="H285" s="151"/>
    </row>
    <row r="286">
      <c r="D286" s="91" t="s">
        <v>266</v>
      </c>
      <c r="E286" s="18">
        <v>2.0</v>
      </c>
      <c r="F286" s="11">
        <v>350.0</v>
      </c>
      <c r="G286" s="135">
        <f t="shared" si="4"/>
        <v>700</v>
      </c>
      <c r="H286" s="151"/>
    </row>
    <row r="287">
      <c r="D287" s="91" t="s">
        <v>268</v>
      </c>
      <c r="E287" s="18">
        <v>1.0</v>
      </c>
      <c r="F287" s="11">
        <v>1400.0</v>
      </c>
      <c r="G287" s="135">
        <f t="shared" si="4"/>
        <v>1400</v>
      </c>
      <c r="H287" s="151"/>
    </row>
    <row r="288">
      <c r="D288" s="91" t="s">
        <v>130</v>
      </c>
      <c r="E288" s="18">
        <v>0.5</v>
      </c>
      <c r="F288" s="11">
        <v>2500.0</v>
      </c>
      <c r="G288" s="135">
        <f t="shared" si="4"/>
        <v>1250</v>
      </c>
      <c r="H288" s="151"/>
    </row>
    <row r="289">
      <c r="D289" s="91" t="s">
        <v>216</v>
      </c>
      <c r="E289" s="18">
        <v>1.0</v>
      </c>
      <c r="F289" s="11">
        <v>250.0</v>
      </c>
      <c r="G289" s="135">
        <f t="shared" si="4"/>
        <v>250</v>
      </c>
      <c r="H289" s="151"/>
    </row>
    <row r="290">
      <c r="D290" s="91" t="s">
        <v>269</v>
      </c>
      <c r="E290" s="18">
        <v>1.0</v>
      </c>
      <c r="F290" s="11">
        <v>150.0</v>
      </c>
      <c r="G290" s="135">
        <f t="shared" si="4"/>
        <v>150</v>
      </c>
      <c r="H290" s="151"/>
    </row>
    <row r="291">
      <c r="D291" s="91" t="s">
        <v>270</v>
      </c>
      <c r="E291" s="18">
        <v>1.0</v>
      </c>
      <c r="F291" s="11">
        <v>350.0</v>
      </c>
      <c r="G291" s="135">
        <f t="shared" si="4"/>
        <v>350</v>
      </c>
      <c r="H291" s="151"/>
    </row>
    <row r="292">
      <c r="D292" s="91" t="s">
        <v>271</v>
      </c>
      <c r="E292" s="18">
        <v>2.0</v>
      </c>
      <c r="F292" s="11">
        <v>500.0</v>
      </c>
      <c r="G292" s="135">
        <f t="shared" si="4"/>
        <v>1000</v>
      </c>
      <c r="H292" s="151"/>
    </row>
    <row r="293">
      <c r="D293" s="91" t="s">
        <v>89</v>
      </c>
      <c r="E293" s="18">
        <v>10.0</v>
      </c>
      <c r="F293" s="11">
        <v>600.0</v>
      </c>
      <c r="G293" s="135">
        <f t="shared" si="4"/>
        <v>6000</v>
      </c>
      <c r="H293" s="150">
        <v>45433.0</v>
      </c>
    </row>
    <row r="294">
      <c r="D294" s="91" t="s">
        <v>272</v>
      </c>
      <c r="E294" s="18">
        <v>6.0</v>
      </c>
      <c r="F294" s="11">
        <v>34.0</v>
      </c>
      <c r="G294" s="135">
        <f t="shared" si="4"/>
        <v>204</v>
      </c>
      <c r="H294" s="151"/>
    </row>
    <row r="295">
      <c r="D295" s="91" t="s">
        <v>169</v>
      </c>
      <c r="E295" s="18">
        <v>5.0</v>
      </c>
      <c r="F295" s="11">
        <v>400.0</v>
      </c>
      <c r="G295" s="135">
        <f t="shared" si="4"/>
        <v>2000</v>
      </c>
      <c r="H295" s="151"/>
    </row>
    <row r="296">
      <c r="D296" s="91" t="s">
        <v>112</v>
      </c>
      <c r="E296" s="18">
        <v>15.0</v>
      </c>
      <c r="F296" s="11">
        <v>70.0</v>
      </c>
      <c r="G296" s="135">
        <f t="shared" si="4"/>
        <v>1050</v>
      </c>
      <c r="H296" s="151"/>
    </row>
    <row r="297">
      <c r="D297" s="91" t="s">
        <v>273</v>
      </c>
      <c r="E297" s="18">
        <v>3.0</v>
      </c>
      <c r="F297" s="11">
        <v>200.0</v>
      </c>
      <c r="G297" s="135">
        <f t="shared" si="4"/>
        <v>600</v>
      </c>
      <c r="H297" s="151"/>
    </row>
    <row r="298">
      <c r="D298" s="91" t="s">
        <v>274</v>
      </c>
      <c r="E298" s="18">
        <v>1.0</v>
      </c>
      <c r="F298" s="11">
        <v>600.0</v>
      </c>
      <c r="G298" s="135">
        <f t="shared" si="4"/>
        <v>600</v>
      </c>
      <c r="H298" s="151"/>
    </row>
    <row r="299">
      <c r="D299" s="91" t="s">
        <v>275</v>
      </c>
      <c r="E299" s="18">
        <v>1.0</v>
      </c>
      <c r="F299" s="11">
        <v>500.0</v>
      </c>
      <c r="G299" s="135">
        <f t="shared" si="4"/>
        <v>500</v>
      </c>
      <c r="H299" s="151"/>
    </row>
    <row r="300">
      <c r="D300" s="91" t="s">
        <v>276</v>
      </c>
      <c r="E300" s="18">
        <v>1.0</v>
      </c>
      <c r="F300" s="11">
        <v>800.0</v>
      </c>
      <c r="G300" s="135">
        <f t="shared" si="4"/>
        <v>800</v>
      </c>
      <c r="H300" s="151"/>
    </row>
    <row r="301">
      <c r="D301" s="91" t="s">
        <v>277</v>
      </c>
      <c r="E301" s="18">
        <v>1.0</v>
      </c>
      <c r="F301" s="11">
        <v>500.0</v>
      </c>
      <c r="G301" s="135">
        <f t="shared" si="4"/>
        <v>500</v>
      </c>
      <c r="H301" s="151"/>
    </row>
    <row r="302">
      <c r="D302" s="91" t="s">
        <v>254</v>
      </c>
      <c r="E302" s="18">
        <v>1.0</v>
      </c>
      <c r="F302" s="11">
        <v>1000.0</v>
      </c>
      <c r="G302" s="135">
        <f t="shared" si="4"/>
        <v>1000</v>
      </c>
      <c r="H302" s="151"/>
    </row>
    <row r="303">
      <c r="D303" s="91" t="s">
        <v>112</v>
      </c>
      <c r="E303" s="18">
        <v>120.0</v>
      </c>
      <c r="F303" s="11">
        <v>40.0</v>
      </c>
      <c r="G303" s="135">
        <f t="shared" si="4"/>
        <v>4800</v>
      </c>
      <c r="H303" s="151"/>
    </row>
    <row r="304">
      <c r="D304" s="91" t="s">
        <v>278</v>
      </c>
      <c r="E304" s="18">
        <v>4.0</v>
      </c>
      <c r="F304" s="11">
        <v>750.0</v>
      </c>
      <c r="G304" s="135">
        <f t="shared" si="4"/>
        <v>3000</v>
      </c>
      <c r="H304" s="151"/>
    </row>
    <row r="305">
      <c r="D305" s="91" t="s">
        <v>146</v>
      </c>
      <c r="E305" s="18">
        <v>20.0</v>
      </c>
      <c r="F305" s="11">
        <v>120.0</v>
      </c>
      <c r="G305" s="135">
        <f t="shared" si="4"/>
        <v>2400</v>
      </c>
      <c r="H305" s="151"/>
    </row>
    <row r="306">
      <c r="D306" s="91" t="s">
        <v>165</v>
      </c>
      <c r="E306" s="18">
        <v>1.0</v>
      </c>
      <c r="F306" s="11">
        <v>1200.0</v>
      </c>
      <c r="G306" s="135">
        <f t="shared" si="4"/>
        <v>1200</v>
      </c>
      <c r="H306" s="151"/>
    </row>
    <row r="307">
      <c r="D307" s="91" t="s">
        <v>166</v>
      </c>
      <c r="E307" s="18">
        <v>1.0</v>
      </c>
      <c r="F307" s="11">
        <v>400.0</v>
      </c>
      <c r="G307" s="135">
        <f t="shared" si="4"/>
        <v>400</v>
      </c>
      <c r="H307" s="151"/>
    </row>
    <row r="308">
      <c r="D308" s="91" t="s">
        <v>279</v>
      </c>
      <c r="E308" s="18">
        <v>3.0</v>
      </c>
      <c r="F308" s="11">
        <v>35.0</v>
      </c>
      <c r="G308" s="135">
        <f t="shared" si="4"/>
        <v>105</v>
      </c>
      <c r="H308" s="151"/>
    </row>
    <row r="309">
      <c r="D309" s="91" t="s">
        <v>216</v>
      </c>
      <c r="E309" s="18">
        <v>1.0</v>
      </c>
      <c r="F309" s="11">
        <v>100.0</v>
      </c>
      <c r="G309" s="135">
        <f t="shared" si="4"/>
        <v>100</v>
      </c>
      <c r="H309" s="151"/>
    </row>
    <row r="310">
      <c r="D310" s="91" t="s">
        <v>155</v>
      </c>
      <c r="E310" s="18">
        <v>4.0</v>
      </c>
      <c r="F310" s="11">
        <v>700.0</v>
      </c>
      <c r="G310" s="135">
        <f t="shared" si="4"/>
        <v>2800</v>
      </c>
      <c r="H310" s="151"/>
    </row>
    <row r="311">
      <c r="D311" s="91" t="s">
        <v>266</v>
      </c>
      <c r="E311" s="18">
        <v>2.0</v>
      </c>
      <c r="F311" s="11">
        <v>350.0</v>
      </c>
      <c r="G311" s="135">
        <f t="shared" si="4"/>
        <v>700</v>
      </c>
      <c r="H311" s="151"/>
    </row>
    <row r="312">
      <c r="D312" s="91" t="s">
        <v>112</v>
      </c>
      <c r="E312" s="18">
        <v>50.0</v>
      </c>
      <c r="F312" s="11">
        <v>40.0</v>
      </c>
      <c r="G312" s="135">
        <f t="shared" si="4"/>
        <v>2000</v>
      </c>
      <c r="H312" s="151"/>
    </row>
    <row r="313">
      <c r="D313" s="91" t="s">
        <v>146</v>
      </c>
      <c r="E313" s="18">
        <v>5.0</v>
      </c>
      <c r="F313" s="11">
        <v>120.0</v>
      </c>
      <c r="G313" s="135">
        <f t="shared" si="4"/>
        <v>600</v>
      </c>
      <c r="H313" s="151"/>
    </row>
    <row r="314">
      <c r="D314" s="91" t="s">
        <v>146</v>
      </c>
      <c r="E314" s="18">
        <v>2.0</v>
      </c>
      <c r="F314" s="11">
        <v>150.0</v>
      </c>
      <c r="G314" s="135">
        <f t="shared" si="4"/>
        <v>300</v>
      </c>
      <c r="H314" s="151"/>
    </row>
    <row r="315">
      <c r="D315" s="91" t="s">
        <v>255</v>
      </c>
      <c r="E315" s="18">
        <v>5.0</v>
      </c>
      <c r="F315" s="11">
        <v>70.0</v>
      </c>
      <c r="G315" s="135">
        <f t="shared" si="4"/>
        <v>350</v>
      </c>
      <c r="H315" s="151"/>
    </row>
    <row r="316">
      <c r="D316" s="91" t="s">
        <v>216</v>
      </c>
      <c r="E316" s="18">
        <v>1.0</v>
      </c>
      <c r="F316" s="11">
        <v>165.0</v>
      </c>
      <c r="G316" s="135">
        <f t="shared" si="4"/>
        <v>165</v>
      </c>
      <c r="H316" s="151"/>
    </row>
    <row r="317">
      <c r="D317" s="91" t="s">
        <v>72</v>
      </c>
      <c r="E317" s="18">
        <v>5.0</v>
      </c>
      <c r="F317" s="11">
        <v>200.0</v>
      </c>
      <c r="G317" s="135">
        <f t="shared" si="4"/>
        <v>1000</v>
      </c>
      <c r="H317" s="151"/>
    </row>
    <row r="318">
      <c r="D318" s="91" t="s">
        <v>89</v>
      </c>
      <c r="E318" s="18">
        <v>1.0</v>
      </c>
      <c r="F318" s="11">
        <v>650.0</v>
      </c>
      <c r="G318" s="135">
        <f t="shared" si="4"/>
        <v>650</v>
      </c>
      <c r="H318" s="151"/>
    </row>
    <row r="319">
      <c r="D319" s="91" t="s">
        <v>146</v>
      </c>
      <c r="E319" s="18">
        <v>20.0</v>
      </c>
      <c r="F319" s="11">
        <v>120.0</v>
      </c>
      <c r="G319" s="135">
        <f t="shared" si="4"/>
        <v>2400</v>
      </c>
      <c r="H319" s="151"/>
    </row>
    <row r="320">
      <c r="D320" s="91" t="s">
        <v>155</v>
      </c>
      <c r="E320" s="18">
        <v>5.0</v>
      </c>
      <c r="F320" s="11">
        <v>700.0</v>
      </c>
      <c r="G320" s="135">
        <f t="shared" si="4"/>
        <v>3500</v>
      </c>
      <c r="H320" s="151"/>
    </row>
    <row r="321">
      <c r="D321" s="91" t="s">
        <v>280</v>
      </c>
      <c r="E321" s="18">
        <v>1.0</v>
      </c>
      <c r="F321" s="11">
        <v>70.0</v>
      </c>
      <c r="G321" s="135">
        <f t="shared" si="4"/>
        <v>70</v>
      </c>
      <c r="H321" s="151"/>
    </row>
    <row r="322">
      <c r="D322" s="91" t="s">
        <v>161</v>
      </c>
      <c r="E322" s="18">
        <v>5.0</v>
      </c>
      <c r="F322" s="11">
        <v>100.0</v>
      </c>
      <c r="G322" s="135">
        <f t="shared" si="4"/>
        <v>500</v>
      </c>
      <c r="H322" s="151"/>
    </row>
    <row r="323">
      <c r="D323" s="91" t="s">
        <v>112</v>
      </c>
      <c r="E323" s="18">
        <v>50.0</v>
      </c>
      <c r="F323" s="11">
        <v>40.0</v>
      </c>
      <c r="G323" s="135">
        <f t="shared" si="4"/>
        <v>2000</v>
      </c>
      <c r="H323" s="151"/>
    </row>
    <row r="324">
      <c r="D324" s="91" t="s">
        <v>155</v>
      </c>
      <c r="E324" s="18">
        <v>4.0</v>
      </c>
      <c r="F324" s="11">
        <v>650.0</v>
      </c>
      <c r="G324" s="135">
        <f t="shared" si="4"/>
        <v>2600</v>
      </c>
      <c r="H324" s="151"/>
    </row>
    <row r="325">
      <c r="D325" s="91" t="s">
        <v>281</v>
      </c>
      <c r="E325" s="18">
        <v>20.0</v>
      </c>
      <c r="F325" s="11">
        <v>70.0</v>
      </c>
      <c r="G325" s="135">
        <f t="shared" si="4"/>
        <v>1400</v>
      </c>
      <c r="H325" s="151"/>
    </row>
    <row r="326">
      <c r="D326" s="91" t="s">
        <v>246</v>
      </c>
      <c r="E326" s="18">
        <v>1.0</v>
      </c>
      <c r="F326" s="11">
        <v>150.0</v>
      </c>
      <c r="G326" s="135">
        <f t="shared" si="4"/>
        <v>150</v>
      </c>
      <c r="H326" s="151"/>
    </row>
    <row r="327">
      <c r="D327" s="91" t="s">
        <v>148</v>
      </c>
      <c r="E327" s="18">
        <v>15.0</v>
      </c>
      <c r="F327" s="11">
        <v>180.0</v>
      </c>
      <c r="G327" s="135">
        <f t="shared" si="4"/>
        <v>2700</v>
      </c>
      <c r="H327" s="151"/>
    </row>
    <row r="328">
      <c r="D328" s="91" t="s">
        <v>167</v>
      </c>
      <c r="E328" s="18">
        <v>3.0</v>
      </c>
      <c r="F328" s="11">
        <v>220.0</v>
      </c>
      <c r="G328" s="135">
        <f t="shared" si="4"/>
        <v>660</v>
      </c>
      <c r="H328" s="151"/>
    </row>
    <row r="329">
      <c r="D329" s="91" t="s">
        <v>165</v>
      </c>
      <c r="E329" s="18">
        <v>1.5</v>
      </c>
      <c r="F329" s="11">
        <v>1100.0</v>
      </c>
      <c r="G329" s="135">
        <f t="shared" si="4"/>
        <v>1650</v>
      </c>
      <c r="H329" s="151"/>
    </row>
    <row r="330">
      <c r="D330" s="91" t="s">
        <v>266</v>
      </c>
      <c r="E330" s="18">
        <v>3.0</v>
      </c>
      <c r="F330" s="11">
        <v>250.0</v>
      </c>
      <c r="G330" s="135">
        <f t="shared" si="4"/>
        <v>750</v>
      </c>
      <c r="H330" s="151"/>
    </row>
    <row r="331">
      <c r="D331" s="91" t="s">
        <v>216</v>
      </c>
      <c r="E331" s="18">
        <v>1.0</v>
      </c>
      <c r="F331" s="11">
        <v>100.0</v>
      </c>
      <c r="G331" s="135">
        <f t="shared" si="4"/>
        <v>100</v>
      </c>
      <c r="H331" s="151"/>
    </row>
    <row r="332">
      <c r="D332" s="91" t="s">
        <v>282</v>
      </c>
      <c r="E332" s="18">
        <v>5.0</v>
      </c>
      <c r="F332" s="11">
        <v>40.0</v>
      </c>
      <c r="G332" s="135">
        <f t="shared" si="4"/>
        <v>200</v>
      </c>
      <c r="H332" s="151"/>
    </row>
    <row r="333">
      <c r="D333" s="91" t="s">
        <v>283</v>
      </c>
      <c r="E333" s="18">
        <v>6.0</v>
      </c>
      <c r="F333" s="11">
        <v>30.0</v>
      </c>
      <c r="G333" s="135">
        <f t="shared" si="4"/>
        <v>180</v>
      </c>
      <c r="H333" s="151"/>
    </row>
    <row r="334">
      <c r="D334" s="91" t="s">
        <v>222</v>
      </c>
      <c r="E334" s="18">
        <v>5.0</v>
      </c>
      <c r="F334" s="11">
        <v>220.0</v>
      </c>
      <c r="G334" s="135">
        <f t="shared" si="4"/>
        <v>1100</v>
      </c>
      <c r="H334" s="151"/>
    </row>
    <row r="335">
      <c r="D335" s="91" t="s">
        <v>284</v>
      </c>
      <c r="E335" s="18">
        <v>1.0</v>
      </c>
      <c r="F335" s="11">
        <v>150.0</v>
      </c>
      <c r="G335" s="135">
        <f t="shared" si="4"/>
        <v>150</v>
      </c>
      <c r="H335" s="151"/>
    </row>
    <row r="336">
      <c r="D336" s="91" t="s">
        <v>285</v>
      </c>
      <c r="E336" s="18">
        <v>2.0</v>
      </c>
      <c r="F336" s="11">
        <v>500.0</v>
      </c>
      <c r="G336" s="135">
        <f t="shared" si="4"/>
        <v>1000</v>
      </c>
      <c r="H336" s="151"/>
    </row>
    <row r="337">
      <c r="D337" s="91" t="s">
        <v>286</v>
      </c>
      <c r="E337" s="18">
        <v>1.0</v>
      </c>
      <c r="F337" s="11">
        <v>1000.0</v>
      </c>
      <c r="G337" s="135">
        <f t="shared" si="4"/>
        <v>1000</v>
      </c>
      <c r="H337" s="151"/>
    </row>
    <row r="338">
      <c r="D338" s="91" t="s">
        <v>287</v>
      </c>
      <c r="E338" s="18">
        <v>1.0</v>
      </c>
      <c r="F338" s="11">
        <v>40000.0</v>
      </c>
      <c r="G338" s="135">
        <f t="shared" si="4"/>
        <v>40000</v>
      </c>
      <c r="H338" s="151"/>
    </row>
    <row r="339">
      <c r="D339" s="91" t="s">
        <v>288</v>
      </c>
      <c r="E339" s="18">
        <v>6.0</v>
      </c>
      <c r="F339" s="11">
        <v>430.0</v>
      </c>
      <c r="G339" s="135">
        <f t="shared" si="4"/>
        <v>2580</v>
      </c>
      <c r="H339" s="151"/>
    </row>
    <row r="340">
      <c r="D340" s="91" t="s">
        <v>289</v>
      </c>
      <c r="E340" s="18">
        <v>5.0</v>
      </c>
      <c r="F340" s="11">
        <v>220.0</v>
      </c>
      <c r="G340" s="135">
        <f t="shared" si="4"/>
        <v>1100</v>
      </c>
      <c r="H340" s="151"/>
    </row>
    <row r="341">
      <c r="D341" s="91" t="s">
        <v>290</v>
      </c>
      <c r="E341" s="18">
        <v>2.0</v>
      </c>
      <c r="F341" s="11">
        <v>2100.0</v>
      </c>
      <c r="G341" s="135">
        <f t="shared" si="4"/>
        <v>4200</v>
      </c>
      <c r="H341" s="151"/>
    </row>
    <row r="342">
      <c r="D342" s="91" t="s">
        <v>177</v>
      </c>
      <c r="E342" s="18">
        <v>7.0</v>
      </c>
      <c r="F342" s="11">
        <v>225.0</v>
      </c>
      <c r="G342" s="135">
        <f t="shared" si="4"/>
        <v>1575</v>
      </c>
      <c r="H342" s="151"/>
    </row>
    <row r="343">
      <c r="D343" s="91" t="s">
        <v>221</v>
      </c>
      <c r="E343" s="18">
        <v>100.0</v>
      </c>
      <c r="F343" s="11">
        <v>6.4</v>
      </c>
      <c r="G343" s="135">
        <f t="shared" si="4"/>
        <v>640</v>
      </c>
      <c r="H343" s="151"/>
    </row>
    <row r="344">
      <c r="D344" s="91" t="s">
        <v>291</v>
      </c>
      <c r="E344" s="18">
        <v>1.0</v>
      </c>
      <c r="F344" s="11">
        <v>430.0</v>
      </c>
      <c r="G344" s="135">
        <f t="shared" si="4"/>
        <v>430</v>
      </c>
      <c r="H344" s="151"/>
    </row>
    <row r="345">
      <c r="D345" s="8"/>
      <c r="E345" s="92"/>
      <c r="F345" s="62"/>
      <c r="G345" s="135">
        <f t="shared" si="4"/>
        <v>0</v>
      </c>
      <c r="H345" s="151"/>
    </row>
    <row r="346">
      <c r="D346" s="8"/>
      <c r="E346" s="92"/>
      <c r="F346" s="62"/>
      <c r="G346" s="135">
        <f t="shared" si="4"/>
        <v>0</v>
      </c>
      <c r="H346" s="151"/>
    </row>
    <row r="347">
      <c r="D347" s="8"/>
      <c r="E347" s="92"/>
      <c r="F347" s="62"/>
      <c r="G347" s="135">
        <f t="shared" si="4"/>
        <v>0</v>
      </c>
      <c r="H347" s="151"/>
    </row>
    <row r="348">
      <c r="D348" s="8"/>
      <c r="E348" s="92"/>
      <c r="F348" s="62"/>
      <c r="G348" s="135">
        <f t="shared" si="4"/>
        <v>0</v>
      </c>
      <c r="H348" s="151"/>
    </row>
    <row r="349">
      <c r="D349" s="8"/>
      <c r="E349" s="92"/>
      <c r="F349" s="62"/>
      <c r="G349" s="135">
        <f t="shared" si="4"/>
        <v>0</v>
      </c>
      <c r="H349" s="151"/>
    </row>
    <row r="350">
      <c r="D350" s="8"/>
      <c r="E350" s="92"/>
      <c r="F350" s="62"/>
      <c r="G350" s="135">
        <f t="shared" si="4"/>
        <v>0</v>
      </c>
      <c r="H350" s="151"/>
    </row>
    <row r="351">
      <c r="D351" s="160"/>
      <c r="E351" s="12"/>
      <c r="F351" s="15"/>
      <c r="G351" s="135">
        <f t="shared" si="4"/>
        <v>0</v>
      </c>
      <c r="H351" s="151"/>
    </row>
    <row r="352">
      <c r="D352" s="160"/>
      <c r="E352" s="12"/>
      <c r="F352" s="15"/>
      <c r="G352" s="135">
        <f t="shared" si="4"/>
        <v>0</v>
      </c>
      <c r="H352" s="12"/>
    </row>
    <row r="353">
      <c r="D353" s="160"/>
      <c r="E353" s="12"/>
      <c r="F353" s="15"/>
      <c r="G353" s="135">
        <f t="shared" si="4"/>
        <v>0</v>
      </c>
      <c r="H353" s="12"/>
    </row>
    <row r="354">
      <c r="D354" s="160"/>
      <c r="E354" s="12"/>
      <c r="F354" s="15"/>
      <c r="G354" s="135">
        <f t="shared" si="4"/>
        <v>0</v>
      </c>
      <c r="H354" s="12"/>
    </row>
    <row r="355">
      <c r="D355" s="160"/>
      <c r="E355" s="12"/>
      <c r="F355" s="15"/>
      <c r="G355" s="135">
        <f t="shared" si="4"/>
        <v>0</v>
      </c>
      <c r="H355" s="12"/>
    </row>
    <row r="356">
      <c r="D356" s="160"/>
      <c r="E356" s="12"/>
      <c r="F356" s="15"/>
      <c r="G356" s="135">
        <f t="shared" si="4"/>
        <v>0</v>
      </c>
      <c r="H356" s="12"/>
    </row>
    <row r="357">
      <c r="D357" s="8"/>
      <c r="E357" s="92"/>
      <c r="F357" s="62"/>
      <c r="G357" s="135">
        <f t="shared" si="4"/>
        <v>0</v>
      </c>
      <c r="H357" s="12"/>
    </row>
    <row r="358">
      <c r="D358" s="8"/>
      <c r="E358" s="92"/>
      <c r="F358" s="62"/>
      <c r="G358" s="135">
        <f t="shared" si="4"/>
        <v>0</v>
      </c>
      <c r="H358" s="146"/>
    </row>
    <row r="359">
      <c r="D359" s="8"/>
      <c r="E359" s="92"/>
      <c r="F359" s="62"/>
      <c r="G359" s="135">
        <f t="shared" si="4"/>
        <v>0</v>
      </c>
      <c r="H359" s="12"/>
    </row>
    <row r="360">
      <c r="D360" s="8"/>
      <c r="E360" s="92"/>
      <c r="F360" s="62"/>
      <c r="G360" s="135">
        <f t="shared" si="4"/>
        <v>0</v>
      </c>
      <c r="H360" s="12"/>
    </row>
    <row r="361">
      <c r="D361" s="8"/>
      <c r="E361" s="92"/>
      <c r="F361" s="62"/>
      <c r="G361" s="135">
        <f t="shared" si="4"/>
        <v>0</v>
      </c>
      <c r="H361" s="12"/>
    </row>
    <row r="362">
      <c r="D362" s="91" t="s">
        <v>292</v>
      </c>
      <c r="E362" s="18">
        <v>134.0</v>
      </c>
      <c r="F362" s="11">
        <v>60.0</v>
      </c>
      <c r="G362" s="135">
        <f t="shared" si="4"/>
        <v>8040</v>
      </c>
      <c r="H362" s="147">
        <v>45433.0</v>
      </c>
    </row>
    <row r="363">
      <c r="D363" s="91" t="s">
        <v>293</v>
      </c>
      <c r="E363" s="18">
        <v>1.0</v>
      </c>
      <c r="F363" s="11">
        <v>36500.0</v>
      </c>
      <c r="G363" s="135">
        <f t="shared" si="4"/>
        <v>36500</v>
      </c>
      <c r="H363" s="161">
        <v>45060.0</v>
      </c>
    </row>
    <row r="364">
      <c r="D364" s="91" t="s">
        <v>292</v>
      </c>
      <c r="E364" s="18">
        <v>334.0</v>
      </c>
      <c r="F364" s="11">
        <v>60.0</v>
      </c>
      <c r="G364" s="135">
        <f t="shared" si="4"/>
        <v>20040</v>
      </c>
      <c r="H364" s="12"/>
    </row>
    <row r="365">
      <c r="D365" s="162" t="s">
        <v>294</v>
      </c>
      <c r="E365" s="163">
        <v>4.0</v>
      </c>
      <c r="F365" s="155">
        <v>1650.0</v>
      </c>
      <c r="G365" s="155">
        <f t="shared" si="4"/>
        <v>6600</v>
      </c>
      <c r="H365" s="12"/>
    </row>
    <row r="366">
      <c r="D366" s="164" t="s">
        <v>251</v>
      </c>
      <c r="E366" s="165">
        <v>10.0</v>
      </c>
      <c r="F366" s="166">
        <v>150.0</v>
      </c>
      <c r="G366" s="166">
        <f>F366*E366</f>
        <v>1500</v>
      </c>
      <c r="H366" s="167">
        <v>45282.0</v>
      </c>
    </row>
    <row r="367">
      <c r="D367" s="168" t="s">
        <v>295</v>
      </c>
      <c r="E367" s="169">
        <v>1.0</v>
      </c>
      <c r="F367" s="170">
        <v>27000.0</v>
      </c>
      <c r="G367" s="170">
        <f t="shared" ref="G367:G378" si="5">E367*F367</f>
        <v>27000</v>
      </c>
      <c r="H367" s="171"/>
    </row>
    <row r="368">
      <c r="D368" s="162" t="s">
        <v>296</v>
      </c>
      <c r="E368" s="163">
        <v>7.0</v>
      </c>
      <c r="F368" s="155">
        <v>300.0</v>
      </c>
      <c r="G368" s="155">
        <f t="shared" si="5"/>
        <v>2100</v>
      </c>
      <c r="H368" s="12"/>
    </row>
    <row r="369">
      <c r="D369" s="133" t="s">
        <v>297</v>
      </c>
      <c r="E369" s="134">
        <v>0.0</v>
      </c>
      <c r="F369" s="135">
        <v>11.8</v>
      </c>
      <c r="G369" s="135">
        <f t="shared" si="5"/>
        <v>0</v>
      </c>
      <c r="H369" s="12"/>
    </row>
    <row r="370">
      <c r="D370" s="8" t="s">
        <v>298</v>
      </c>
      <c r="E370" s="18">
        <v>0.0</v>
      </c>
      <c r="F370" s="62">
        <v>15.0</v>
      </c>
      <c r="G370" s="62">
        <f t="shared" si="5"/>
        <v>0</v>
      </c>
      <c r="H370" s="12"/>
    </row>
    <row r="371">
      <c r="D371" s="133" t="s">
        <v>299</v>
      </c>
      <c r="E371" s="134">
        <v>100.0</v>
      </c>
      <c r="F371" s="135">
        <v>11.5</v>
      </c>
      <c r="G371" s="135">
        <f t="shared" si="5"/>
        <v>1150</v>
      </c>
      <c r="H371" s="12"/>
    </row>
    <row r="372">
      <c r="D372" s="133" t="s">
        <v>300</v>
      </c>
      <c r="E372" s="134">
        <v>50.0</v>
      </c>
      <c r="F372" s="135">
        <v>10.5</v>
      </c>
      <c r="G372" s="135">
        <f t="shared" si="5"/>
        <v>525</v>
      </c>
      <c r="H372" s="12"/>
    </row>
    <row r="373">
      <c r="D373" s="133" t="s">
        <v>156</v>
      </c>
      <c r="E373" s="134">
        <v>1.0</v>
      </c>
      <c r="F373" s="135">
        <v>1750.0</v>
      </c>
      <c r="G373" s="135">
        <f t="shared" si="5"/>
        <v>1750</v>
      </c>
      <c r="H373" s="12"/>
    </row>
    <row r="374">
      <c r="D374" s="76" t="s">
        <v>157</v>
      </c>
      <c r="E374" s="134">
        <v>2.0</v>
      </c>
      <c r="F374" s="138">
        <v>1450.0</v>
      </c>
      <c r="G374" s="135">
        <f t="shared" si="5"/>
        <v>2900</v>
      </c>
      <c r="H374" s="12"/>
    </row>
    <row r="375">
      <c r="D375" s="76" t="s">
        <v>158</v>
      </c>
      <c r="E375" s="134">
        <v>3.0</v>
      </c>
      <c r="F375" s="138">
        <v>1200.0</v>
      </c>
      <c r="G375" s="135">
        <f t="shared" si="5"/>
        <v>3600</v>
      </c>
      <c r="H375" s="12"/>
    </row>
    <row r="376">
      <c r="D376" s="76" t="s">
        <v>159</v>
      </c>
      <c r="E376" s="134">
        <v>1.0</v>
      </c>
      <c r="F376" s="138">
        <v>1100.0</v>
      </c>
      <c r="G376" s="135">
        <f t="shared" si="5"/>
        <v>1100</v>
      </c>
      <c r="H376" s="12"/>
    </row>
    <row r="377">
      <c r="D377" s="133" t="s">
        <v>301</v>
      </c>
      <c r="E377" s="134">
        <v>1.0</v>
      </c>
      <c r="F377" s="135">
        <v>900.0</v>
      </c>
      <c r="G377" s="135">
        <f t="shared" si="5"/>
        <v>900</v>
      </c>
      <c r="H377" s="12"/>
    </row>
    <row r="378">
      <c r="D378" s="133" t="s">
        <v>302</v>
      </c>
      <c r="E378" s="134">
        <v>2.0</v>
      </c>
      <c r="F378" s="135">
        <v>1280.0</v>
      </c>
      <c r="G378" s="135">
        <f t="shared" si="5"/>
        <v>2560</v>
      </c>
      <c r="H378" s="12"/>
    </row>
    <row r="379">
      <c r="D379" s="172" t="s">
        <v>303</v>
      </c>
      <c r="E379" s="1"/>
      <c r="F379" s="46"/>
      <c r="G379" s="173">
        <f>SUM(G5:G378)</f>
        <v>646140</v>
      </c>
      <c r="H379" s="17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44.63"/>
    <col customWidth="1" min="7" max="7" width="23.63"/>
    <col customWidth="1" min="8" max="8" width="28.38"/>
    <col customWidth="1" min="9" max="9" width="25.63"/>
    <col customWidth="1" min="10" max="10" width="83.88"/>
  </cols>
  <sheetData>
    <row r="9">
      <c r="D9" s="5"/>
      <c r="E9" s="5"/>
      <c r="F9" s="5"/>
      <c r="G9" s="5"/>
      <c r="H9" s="5"/>
      <c r="I9" s="5"/>
      <c r="J9" s="5"/>
    </row>
    <row r="10">
      <c r="D10" s="5"/>
      <c r="E10" s="5"/>
      <c r="F10" s="5"/>
      <c r="G10" s="5"/>
      <c r="H10" s="5"/>
      <c r="I10" s="5"/>
      <c r="J10" s="5"/>
    </row>
    <row r="11">
      <c r="D11" s="5"/>
      <c r="E11" s="175"/>
      <c r="F11" s="175"/>
      <c r="G11" s="175"/>
      <c r="H11" s="175"/>
      <c r="I11" s="175"/>
      <c r="J11" s="5"/>
    </row>
    <row r="12">
      <c r="D12" s="176"/>
      <c r="E12" s="1"/>
      <c r="F12" s="177" t="s">
        <v>304</v>
      </c>
      <c r="G12" s="177" t="s">
        <v>4</v>
      </c>
      <c r="H12" s="177" t="s">
        <v>305</v>
      </c>
      <c r="I12" s="178" t="s">
        <v>306</v>
      </c>
      <c r="J12" s="5"/>
    </row>
    <row r="13">
      <c r="D13" s="176"/>
      <c r="E13" s="1"/>
      <c r="F13" s="67" t="s">
        <v>307</v>
      </c>
      <c r="G13" s="62">
        <v>30000.0</v>
      </c>
      <c r="H13" s="179">
        <v>30000.0</v>
      </c>
      <c r="I13" s="62">
        <f t="shared" ref="I13:I32" si="1">G13-H13</f>
        <v>0</v>
      </c>
      <c r="J13" s="180"/>
    </row>
    <row r="14">
      <c r="D14" s="176"/>
      <c r="E14" s="1"/>
      <c r="F14" s="67" t="s">
        <v>308</v>
      </c>
      <c r="G14" s="62">
        <v>30000.0</v>
      </c>
      <c r="H14" s="179">
        <v>30000.0</v>
      </c>
      <c r="I14" s="62">
        <f t="shared" si="1"/>
        <v>0</v>
      </c>
      <c r="J14" s="180"/>
    </row>
    <row r="15">
      <c r="D15" s="176"/>
      <c r="E15" s="67">
        <v>1.0</v>
      </c>
      <c r="F15" s="67" t="s">
        <v>309</v>
      </c>
      <c r="G15" s="62">
        <f>'Pointage '!C35</f>
        <v>11769.27</v>
      </c>
      <c r="H15" s="11">
        <v>12000.0</v>
      </c>
      <c r="I15" s="62">
        <f t="shared" si="1"/>
        <v>-230.73</v>
      </c>
      <c r="J15" s="180"/>
    </row>
    <row r="16">
      <c r="D16" s="176"/>
      <c r="E16" s="67">
        <v>2.0</v>
      </c>
      <c r="F16" s="67" t="s">
        <v>46</v>
      </c>
      <c r="G16" s="62">
        <f>'Pointage '!D35</f>
        <v>43890</v>
      </c>
      <c r="H16" s="11">
        <v>44000.0</v>
      </c>
      <c r="I16" s="62">
        <f t="shared" si="1"/>
        <v>-110</v>
      </c>
      <c r="J16" s="181"/>
    </row>
    <row r="17">
      <c r="D17" s="176"/>
      <c r="E17" s="67">
        <v>3.0</v>
      </c>
      <c r="F17" s="67" t="s">
        <v>47</v>
      </c>
      <c r="G17" s="11">
        <v>34500.0</v>
      </c>
      <c r="H17" s="11">
        <v>34500.0</v>
      </c>
      <c r="I17" s="62">
        <f t="shared" si="1"/>
        <v>0</v>
      </c>
      <c r="J17" s="180"/>
      <c r="K17" s="182">
        <v>30577.03</v>
      </c>
      <c r="L17" s="182">
        <v>5000.0</v>
      </c>
    </row>
    <row r="18">
      <c r="D18" s="176"/>
      <c r="E18" s="67">
        <v>4.0</v>
      </c>
      <c r="F18" s="111" t="s">
        <v>48</v>
      </c>
      <c r="G18" s="11">
        <v>24300.0</v>
      </c>
      <c r="H18" s="11">
        <v>24500.0</v>
      </c>
      <c r="I18" s="62">
        <f t="shared" si="1"/>
        <v>-200</v>
      </c>
      <c r="J18" s="180"/>
    </row>
    <row r="19">
      <c r="D19" s="176"/>
      <c r="E19" s="67">
        <v>5.0</v>
      </c>
      <c r="F19" s="111" t="s">
        <v>310</v>
      </c>
      <c r="G19" s="62">
        <f>'Pointage '!G35</f>
        <v>12692.35</v>
      </c>
      <c r="H19" s="11">
        <v>13000.0</v>
      </c>
      <c r="I19" s="62">
        <f t="shared" si="1"/>
        <v>-307.65</v>
      </c>
      <c r="J19" s="180"/>
    </row>
    <row r="20">
      <c r="D20" s="176"/>
      <c r="E20" s="67">
        <v>6.0</v>
      </c>
      <c r="F20" s="67" t="s">
        <v>50</v>
      </c>
      <c r="G20" s="62">
        <f>'Pointage '!H35</f>
        <v>23884.695</v>
      </c>
      <c r="H20" s="11">
        <v>24000.0</v>
      </c>
      <c r="I20" s="62">
        <f t="shared" si="1"/>
        <v>-115.305</v>
      </c>
      <c r="J20" s="180"/>
    </row>
    <row r="21">
      <c r="D21" s="176"/>
      <c r="E21" s="67">
        <v>7.0</v>
      </c>
      <c r="F21" s="67" t="s">
        <v>51</v>
      </c>
      <c r="G21" s="62">
        <f>'Pointage '!I35</f>
        <v>16500</v>
      </c>
      <c r="H21" s="11">
        <v>16500.0</v>
      </c>
      <c r="I21" s="62">
        <f t="shared" si="1"/>
        <v>0</v>
      </c>
      <c r="J21" s="183" t="s">
        <v>311</v>
      </c>
    </row>
    <row r="22">
      <c r="D22" s="176"/>
      <c r="E22" s="67">
        <v>8.0</v>
      </c>
      <c r="F22" s="67" t="s">
        <v>52</v>
      </c>
      <c r="G22" s="11">
        <v>27000.0</v>
      </c>
      <c r="H22" s="11">
        <v>27000.0</v>
      </c>
      <c r="I22" s="62">
        <f t="shared" si="1"/>
        <v>0</v>
      </c>
      <c r="J22" s="181"/>
    </row>
    <row r="23">
      <c r="D23" s="176"/>
      <c r="E23" s="67">
        <v>9.0</v>
      </c>
      <c r="F23" s="111" t="s">
        <v>53</v>
      </c>
      <c r="G23" s="11">
        <v>30000.0</v>
      </c>
      <c r="H23" s="11">
        <v>30000.0</v>
      </c>
      <c r="I23" s="62">
        <f t="shared" si="1"/>
        <v>0</v>
      </c>
      <c r="J23" s="183" t="s">
        <v>312</v>
      </c>
    </row>
    <row r="24">
      <c r="D24" s="176"/>
      <c r="E24" s="67">
        <v>10.0</v>
      </c>
      <c r="F24" s="67" t="s">
        <v>54</v>
      </c>
      <c r="G24" s="62">
        <f>'Pointage '!L35</f>
        <v>18000</v>
      </c>
      <c r="H24" s="11">
        <v>18000.0</v>
      </c>
      <c r="I24" s="62">
        <f t="shared" si="1"/>
        <v>0</v>
      </c>
      <c r="J24" s="180"/>
    </row>
    <row r="25">
      <c r="D25" s="176"/>
      <c r="E25" s="67">
        <v>11.0</v>
      </c>
      <c r="F25" s="111" t="s">
        <v>55</v>
      </c>
      <c r="G25" s="62">
        <f>'Pointage '!M35</f>
        <v>17307.75</v>
      </c>
      <c r="H25" s="11">
        <v>17500.0</v>
      </c>
      <c r="I25" s="62">
        <f t="shared" si="1"/>
        <v>-192.25</v>
      </c>
      <c r="J25" s="180"/>
    </row>
    <row r="26">
      <c r="D26" s="176"/>
      <c r="E26" s="67">
        <v>12.0</v>
      </c>
      <c r="F26" s="111" t="s">
        <v>56</v>
      </c>
      <c r="G26" s="62">
        <f>'Pointage '!N35</f>
        <v>24228</v>
      </c>
      <c r="H26" s="11">
        <v>24500.0</v>
      </c>
      <c r="I26" s="62">
        <f t="shared" si="1"/>
        <v>-272</v>
      </c>
      <c r="J26" s="180"/>
    </row>
    <row r="27">
      <c r="D27" s="176"/>
      <c r="E27" s="67">
        <v>13.0</v>
      </c>
      <c r="F27" s="111" t="s">
        <v>57</v>
      </c>
      <c r="G27" s="11">
        <v>24000.0</v>
      </c>
      <c r="H27" s="11">
        <v>24000.0</v>
      </c>
      <c r="I27" s="62">
        <f t="shared" si="1"/>
        <v>0</v>
      </c>
      <c r="J27" s="180"/>
    </row>
    <row r="28">
      <c r="D28" s="176"/>
      <c r="E28" s="67">
        <v>14.0</v>
      </c>
      <c r="F28" s="111" t="s">
        <v>313</v>
      </c>
      <c r="G28" s="11">
        <v>25461.6</v>
      </c>
      <c r="H28" s="11">
        <v>25500.0</v>
      </c>
      <c r="I28" s="62">
        <f t="shared" si="1"/>
        <v>-38.4</v>
      </c>
      <c r="J28" s="180"/>
    </row>
    <row r="29">
      <c r="D29" s="176"/>
      <c r="E29" s="67">
        <v>15.0</v>
      </c>
      <c r="F29" s="111" t="s">
        <v>59</v>
      </c>
      <c r="G29" s="62">
        <f>'Pointage '!Q35</f>
        <v>24230.85</v>
      </c>
      <c r="H29" s="11">
        <v>24500.0</v>
      </c>
      <c r="I29" s="62">
        <f t="shared" si="1"/>
        <v>-269.15</v>
      </c>
      <c r="J29" s="180"/>
    </row>
    <row r="30">
      <c r="D30" s="176"/>
      <c r="E30" s="67">
        <v>16.0</v>
      </c>
      <c r="F30" s="111" t="s">
        <v>60</v>
      </c>
      <c r="G30" s="62">
        <f>'Pointage '!R35</f>
        <v>18700</v>
      </c>
      <c r="H30" s="11">
        <v>19000.0</v>
      </c>
      <c r="I30" s="62">
        <f t="shared" si="1"/>
        <v>-300</v>
      </c>
      <c r="J30" s="181"/>
    </row>
    <row r="31">
      <c r="D31" s="176"/>
      <c r="E31" s="1"/>
      <c r="F31" s="72" t="s">
        <v>314</v>
      </c>
      <c r="G31" s="38">
        <f t="shared" ref="G31:H31" si="2">SUM(G13:G30)</f>
        <v>436464.515</v>
      </c>
      <c r="H31" s="184">
        <f t="shared" si="2"/>
        <v>438500</v>
      </c>
      <c r="I31" s="185">
        <f t="shared" si="1"/>
        <v>-2035.485</v>
      </c>
      <c r="J31" s="180"/>
    </row>
    <row r="32">
      <c r="D32" s="176"/>
      <c r="E32" s="1"/>
      <c r="F32" s="186"/>
      <c r="G32" s="1"/>
      <c r="H32" s="1"/>
      <c r="I32" s="36">
        <f t="shared" si="1"/>
        <v>0</v>
      </c>
      <c r="J32" s="180"/>
    </row>
    <row r="33">
      <c r="D33" s="5"/>
      <c r="E33" s="5"/>
      <c r="F33" s="5"/>
      <c r="G33" s="5"/>
      <c r="H33" s="5"/>
      <c r="I33" s="5"/>
      <c r="J33" s="5"/>
    </row>
    <row r="34">
      <c r="D34" s="5"/>
      <c r="E34" s="5"/>
      <c r="F34" s="5"/>
      <c r="G34" s="5"/>
      <c r="H34" s="5"/>
      <c r="I34" s="5"/>
      <c r="J34" s="5"/>
    </row>
    <row r="35">
      <c r="D35" s="5"/>
      <c r="E35" s="5"/>
      <c r="F35" s="5"/>
      <c r="G35" s="5"/>
      <c r="H35" s="5"/>
      <c r="I35" s="5"/>
      <c r="J35" s="5"/>
    </row>
    <row r="36">
      <c r="D36" s="5"/>
      <c r="E36" s="5"/>
      <c r="F36" s="5"/>
      <c r="G36" s="5"/>
      <c r="H36" s="5"/>
      <c r="I36" s="5"/>
      <c r="J36" s="5"/>
    </row>
    <row r="37">
      <c r="D37" s="5"/>
      <c r="E37" s="5"/>
      <c r="F37" s="5"/>
      <c r="G37" s="5"/>
      <c r="H37" s="5"/>
      <c r="I37" s="5"/>
      <c r="J37" s="5"/>
    </row>
    <row r="38">
      <c r="D38" s="5"/>
      <c r="E38" s="5"/>
      <c r="F38" s="5"/>
      <c r="G38" s="5"/>
      <c r="H38" s="5"/>
      <c r="I38" s="5"/>
      <c r="J38" s="5"/>
    </row>
    <row r="39">
      <c r="D39" s="5"/>
      <c r="E39" s="5"/>
      <c r="F39" s="5"/>
      <c r="G39" s="5"/>
      <c r="H39" s="5"/>
      <c r="I39" s="5"/>
      <c r="J39" s="5"/>
    </row>
    <row r="40">
      <c r="D40" s="5"/>
      <c r="E40" s="5"/>
      <c r="F40" s="5"/>
      <c r="G40" s="5"/>
      <c r="H40" s="5"/>
      <c r="I40" s="5"/>
      <c r="J40" s="5"/>
    </row>
    <row r="41">
      <c r="D41" s="5"/>
      <c r="E41" s="5"/>
      <c r="F41" s="5"/>
      <c r="G41" s="5"/>
      <c r="H41" s="5"/>
      <c r="I41" s="5"/>
      <c r="J41" s="5"/>
    </row>
    <row r="42">
      <c r="D42" s="5"/>
      <c r="E42" s="5"/>
      <c r="F42" s="5"/>
      <c r="G42" s="5"/>
      <c r="H42" s="5"/>
      <c r="I42" s="5"/>
      <c r="J42" s="5"/>
    </row>
    <row r="43">
      <c r="D43" s="5"/>
      <c r="E43" s="5"/>
      <c r="F43" s="5"/>
      <c r="G43" s="5"/>
      <c r="H43" s="5"/>
      <c r="I43" s="5"/>
      <c r="J43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38"/>
    <col customWidth="1" min="4" max="4" width="25.88"/>
    <col customWidth="1" min="5" max="5" width="25.63"/>
    <col customWidth="1" min="6" max="6" width="25.13"/>
    <col customWidth="1" min="7" max="7" width="25.63"/>
    <col customWidth="1" min="8" max="8" width="26.38"/>
    <col customWidth="1" min="9" max="9" width="36.63"/>
    <col customWidth="1" min="10" max="10" width="25.38"/>
    <col customWidth="1" min="11" max="11" width="29.13"/>
  </cols>
  <sheetData>
    <row r="21">
      <c r="C21" s="5"/>
      <c r="D21" s="5"/>
      <c r="E21" s="5"/>
      <c r="F21" s="5"/>
      <c r="G21" s="5"/>
      <c r="H21" s="5"/>
      <c r="I21" s="5"/>
      <c r="J21" s="5"/>
      <c r="K21" s="5"/>
      <c r="L21" s="5"/>
    </row>
    <row r="22">
      <c r="C22" s="175"/>
      <c r="D22" s="175"/>
      <c r="E22" s="175"/>
      <c r="F22" s="175"/>
      <c r="G22" s="175"/>
      <c r="H22" s="175"/>
      <c r="I22" s="5"/>
      <c r="J22" s="5"/>
      <c r="K22" s="175"/>
      <c r="L22" s="5"/>
    </row>
    <row r="23">
      <c r="C23" s="187"/>
      <c r="D23" s="188" t="s">
        <v>315</v>
      </c>
      <c r="E23" s="188" t="s">
        <v>316</v>
      </c>
      <c r="F23" s="188" t="s">
        <v>317</v>
      </c>
      <c r="G23" s="188" t="s">
        <v>318</v>
      </c>
      <c r="H23" s="189" t="s">
        <v>319</v>
      </c>
      <c r="I23" s="5"/>
      <c r="J23" s="1"/>
      <c r="K23" s="189" t="s">
        <v>319</v>
      </c>
      <c r="L23" s="5"/>
    </row>
    <row r="24">
      <c r="C24" s="190" t="s">
        <v>2</v>
      </c>
      <c r="D24" s="38">
        <v>1756000.0</v>
      </c>
      <c r="E24" s="38">
        <v>2274000.0</v>
      </c>
      <c r="F24" s="38">
        <v>1984000.0</v>
      </c>
      <c r="G24" s="38">
        <v>1910000.0</v>
      </c>
      <c r="H24" s="191">
        <v>1342000.0</v>
      </c>
      <c r="I24" s="176"/>
      <c r="J24" s="192" t="s">
        <v>2</v>
      </c>
      <c r="K24" s="191">
        <v>1342000.0</v>
      </c>
      <c r="L24" s="5"/>
    </row>
    <row r="25">
      <c r="C25" s="190" t="s">
        <v>3</v>
      </c>
      <c r="D25" s="38">
        <v>920000.0</v>
      </c>
      <c r="E25" s="38">
        <v>914000.0</v>
      </c>
      <c r="F25" s="38">
        <v>928000.0</v>
      </c>
      <c r="G25" s="38">
        <v>744000.0</v>
      </c>
      <c r="H25" s="191">
        <v>646000.0</v>
      </c>
      <c r="I25" s="176"/>
      <c r="J25" s="192" t="s">
        <v>3</v>
      </c>
      <c r="K25" s="191">
        <v>646000.0</v>
      </c>
      <c r="L25" s="5"/>
    </row>
    <row r="26">
      <c r="C26" s="190" t="s">
        <v>320</v>
      </c>
      <c r="D26" s="38">
        <v>349000.0</v>
      </c>
      <c r="E26" s="38">
        <v>410000.0</v>
      </c>
      <c r="F26" s="38">
        <v>406000.0</v>
      </c>
      <c r="G26" s="38">
        <v>344000.0</v>
      </c>
      <c r="H26" s="191">
        <v>436000.0</v>
      </c>
      <c r="I26" s="176"/>
      <c r="J26" s="192" t="s">
        <v>320</v>
      </c>
      <c r="K26" s="191">
        <v>436000.0</v>
      </c>
      <c r="L26" s="5"/>
    </row>
    <row r="27">
      <c r="C27" s="190" t="s">
        <v>5</v>
      </c>
      <c r="D27" s="38">
        <v>140000.0</v>
      </c>
      <c r="E27" s="38">
        <v>140000.0</v>
      </c>
      <c r="F27" s="38">
        <v>140000.0</v>
      </c>
      <c r="G27" s="38">
        <v>140000.0</v>
      </c>
      <c r="H27" s="191">
        <v>140000.0</v>
      </c>
      <c r="I27" s="176"/>
      <c r="J27" s="192" t="s">
        <v>5</v>
      </c>
      <c r="K27" s="191">
        <v>140000.0</v>
      </c>
      <c r="L27" s="5"/>
    </row>
    <row r="28">
      <c r="C28" s="190" t="s">
        <v>321</v>
      </c>
      <c r="D28" s="38">
        <f t="shared" ref="D28:F28" si="1">D24-D25-D26-D27</f>
        <v>347000</v>
      </c>
      <c r="E28" s="38">
        <f t="shared" si="1"/>
        <v>810000</v>
      </c>
      <c r="F28" s="38">
        <f t="shared" si="1"/>
        <v>510000</v>
      </c>
      <c r="G28" s="38">
        <v>680000.0</v>
      </c>
      <c r="H28" s="38">
        <f>H24-H25-H26-H27</f>
        <v>120000</v>
      </c>
      <c r="I28" s="176"/>
      <c r="J28" s="192" t="s">
        <v>321</v>
      </c>
      <c r="K28" s="38">
        <f>K24-K25-K26-K27</f>
        <v>120000</v>
      </c>
      <c r="L28" s="5"/>
    </row>
    <row r="29">
      <c r="C29" s="5"/>
      <c r="D29" s="5"/>
      <c r="E29" s="5"/>
      <c r="F29" s="5"/>
      <c r="G29" s="5"/>
      <c r="H29" s="5"/>
      <c r="I29" s="5"/>
      <c r="J29" s="5"/>
      <c r="K29" s="5"/>
      <c r="L29" s="5"/>
    </row>
    <row r="30">
      <c r="C30" s="5"/>
      <c r="D30" s="5"/>
      <c r="E30" s="5"/>
      <c r="F30" s="5"/>
      <c r="G30" s="5"/>
      <c r="H30" s="5"/>
      <c r="I30" s="5"/>
      <c r="J30" s="5"/>
      <c r="K30" s="5"/>
      <c r="L30" s="5"/>
    </row>
    <row r="31">
      <c r="D31" s="5"/>
      <c r="E31" s="5"/>
      <c r="F31" s="5"/>
      <c r="G31" s="5"/>
      <c r="H31" s="5"/>
      <c r="I31" s="5"/>
      <c r="J31" s="5"/>
      <c r="K31" s="5"/>
      <c r="L31" s="5"/>
    </row>
  </sheetData>
  <drawing r:id="rId1"/>
</worksheet>
</file>