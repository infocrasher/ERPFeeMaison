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" sheetId="3" r:id="rId6"/>
    <sheet state="visible" name="Les Salaires " sheetId="4" r:id="rId7"/>
    <sheet state="visible" name="Comparaisons entre les Mois" sheetId="5" r:id="rId8"/>
  </sheets>
  <definedNames/>
  <calcPr/>
</workbook>
</file>

<file path=xl/sharedStrings.xml><?xml version="1.0" encoding="utf-8"?>
<sst xmlns="http://schemas.openxmlformats.org/spreadsheetml/2006/main" count="456" uniqueCount="323">
  <si>
    <t>Date</t>
  </si>
  <si>
    <t>Recette Mars 2025</t>
  </si>
  <si>
    <t xml:space="preserve">Recette </t>
  </si>
  <si>
    <t>Charges</t>
  </si>
  <si>
    <t>Salaire</t>
  </si>
  <si>
    <t>Che7i7a</t>
  </si>
  <si>
    <t>Loyer</t>
  </si>
  <si>
    <t>Net Profit</t>
  </si>
  <si>
    <t>Nb de jours</t>
  </si>
  <si>
    <t>Objectif</t>
  </si>
  <si>
    <t>Mois de Mars 2025</t>
  </si>
  <si>
    <t>Mardi</t>
  </si>
  <si>
    <t>Mercredi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</si>
  <si>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</si>
  <si>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</si>
  <si>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</si>
  <si>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</si>
  <si>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Jeudi</t>
  </si>
  <si>
    <t>Vendredi</t>
  </si>
  <si>
    <t>Samedi</t>
  </si>
  <si>
    <t xml:space="preserve">Moyenne des charges par jour </t>
  </si>
  <si>
    <t xml:space="preserve">Objectif </t>
  </si>
  <si>
    <t>Dimanche</t>
  </si>
  <si>
    <t>Lundi</t>
  </si>
  <si>
    <t>²</t>
  </si>
  <si>
    <t>"</t>
  </si>
  <si>
    <t xml:space="preserve">Cash restant </t>
  </si>
  <si>
    <t>Magasin</t>
  </si>
  <si>
    <t>Cash réel</t>
  </si>
  <si>
    <t>Mes dettes pour le magasin</t>
  </si>
  <si>
    <t xml:space="preserve">Fond de Roulement </t>
  </si>
  <si>
    <t>45k+20k de Fateh</t>
  </si>
  <si>
    <t>La caisse :28000Da</t>
  </si>
  <si>
    <t xml:space="preserve">Bénéfice Mars + loyer </t>
  </si>
  <si>
    <t xml:space="preserve">CCP: 16000Da </t>
  </si>
  <si>
    <t>Différence mois de Décembre</t>
  </si>
  <si>
    <t xml:space="preserve">Différence objectif </t>
  </si>
  <si>
    <t xml:space="preserve">Bénéfice + Loyer </t>
  </si>
  <si>
    <t xml:space="preserve">Différence du Totale </t>
  </si>
  <si>
    <t xml:space="preserve">cash </t>
  </si>
  <si>
    <t xml:space="preserve">les livraisons </t>
  </si>
  <si>
    <t xml:space="preserve">Les vendredis </t>
  </si>
  <si>
    <t xml:space="preserve">Dimanche </t>
  </si>
  <si>
    <t xml:space="preserve">Lundi </t>
  </si>
  <si>
    <t>rest à payer</t>
  </si>
  <si>
    <t xml:space="preserve">Reste à donner à Sofiane </t>
  </si>
  <si>
    <t>Loyer Magasin</t>
  </si>
  <si>
    <t xml:space="preserve">Loyer Locale </t>
  </si>
  <si>
    <t xml:space="preserve">Sofiane Maison </t>
  </si>
  <si>
    <t>Dette Papa</t>
  </si>
  <si>
    <t>Papa</t>
  </si>
  <si>
    <t>-</t>
  </si>
  <si>
    <t>Produit</t>
  </si>
  <si>
    <t>Quantité</t>
  </si>
  <si>
    <t xml:space="preserve">Prix unitaire </t>
  </si>
  <si>
    <t>Prix</t>
  </si>
  <si>
    <t>Date d'achat</t>
  </si>
  <si>
    <t>Semoule Fine 25kg</t>
  </si>
  <si>
    <t>Semoule Moyenne 25kg</t>
  </si>
  <si>
    <t>semoule Moula moyenne 10kg</t>
  </si>
  <si>
    <t>Semoule Moula moyenne 2 kg</t>
  </si>
  <si>
    <t>Faine Makam 10kg</t>
  </si>
  <si>
    <t xml:space="preserve">Farine 10kg  Sousimie </t>
  </si>
  <si>
    <t>Levure boulangère</t>
  </si>
  <si>
    <t>huile 5 litre</t>
  </si>
  <si>
    <t>Chocolat wedjedane au lait</t>
  </si>
  <si>
    <t>Chocolat wedjedane noir</t>
  </si>
  <si>
    <t>chocolat wedjedane noisette</t>
  </si>
  <si>
    <t>couscous</t>
  </si>
  <si>
    <t>Semen Madina 1,8kg</t>
  </si>
  <si>
    <t xml:space="preserve">Margarine Fleurial 500g </t>
  </si>
  <si>
    <t>Margarine Fleurial 250g</t>
  </si>
  <si>
    <t>Margarine Feuilletage 500g</t>
  </si>
  <si>
    <t>vanille 4kg</t>
  </si>
  <si>
    <t>Amande blanc</t>
  </si>
  <si>
    <t>levure chimique</t>
  </si>
  <si>
    <t>lait en poudre</t>
  </si>
  <si>
    <t xml:space="preserve">Miel 5kg </t>
  </si>
  <si>
    <t>Confiture 1kg</t>
  </si>
  <si>
    <t xml:space="preserve">confiture 500g </t>
  </si>
  <si>
    <t>eau minirale 0,5</t>
  </si>
  <si>
    <t>Cannette Fanta 24cl</t>
  </si>
  <si>
    <t>Canette IZEM</t>
  </si>
  <si>
    <t>canette Pep's</t>
  </si>
  <si>
    <t>on les a jeter périmé</t>
  </si>
  <si>
    <t>Canette Coca 24</t>
  </si>
  <si>
    <t>canette Hamoud</t>
  </si>
  <si>
    <t>hamoud bouteille</t>
  </si>
  <si>
    <t>jus tchina 33cl</t>
  </si>
  <si>
    <t xml:space="preserve">Cheddar   </t>
  </si>
  <si>
    <t>Sucre cristalisé 1kg</t>
  </si>
  <si>
    <t>Sucre glace</t>
  </si>
  <si>
    <t>Harrissa</t>
  </si>
  <si>
    <t>Thon 1kg</t>
  </si>
  <si>
    <t>Maiis</t>
  </si>
  <si>
    <t>fromage bidon</t>
  </si>
  <si>
    <t>harrissa 1kg</t>
  </si>
  <si>
    <t>Tomate conserve</t>
  </si>
  <si>
    <t>Sac poubelle</t>
  </si>
  <si>
    <t>deyoul industriel</t>
  </si>
  <si>
    <t>Thon 2kg</t>
  </si>
  <si>
    <t>pain tacos</t>
  </si>
  <si>
    <t>terida</t>
  </si>
  <si>
    <t>plateaux oeufs</t>
  </si>
  <si>
    <t xml:space="preserve">Fondant </t>
  </si>
  <si>
    <t xml:space="preserve">Farine 1kg </t>
  </si>
  <si>
    <t xml:space="preserve">Amande éffilet </t>
  </si>
  <si>
    <t>amande bla,c</t>
  </si>
  <si>
    <t>demie boite</t>
  </si>
  <si>
    <t>Boites 48/10</t>
  </si>
  <si>
    <t>Boites 48/07</t>
  </si>
  <si>
    <t>Boites 36</t>
  </si>
  <si>
    <t>Boites 24</t>
  </si>
  <si>
    <t>Boites 18</t>
  </si>
  <si>
    <t>Boite Num 08</t>
  </si>
  <si>
    <t>HP 1500 CC</t>
  </si>
  <si>
    <t>HP 500CC</t>
  </si>
  <si>
    <t>quissetes blanc num 12</t>
  </si>
  <si>
    <t>boite Raib</t>
  </si>
  <si>
    <t>Serviette en papier</t>
  </si>
  <si>
    <t>sac croissant 23</t>
  </si>
  <si>
    <t>sac croissant 18</t>
  </si>
  <si>
    <t>poulet haché + blanc de poulet</t>
  </si>
  <si>
    <t>djeldjelan</t>
  </si>
  <si>
    <t xml:space="preserve">Amande marron </t>
  </si>
  <si>
    <t xml:space="preserve">Cacauètte </t>
  </si>
  <si>
    <t xml:space="preserve">fromage slices </t>
  </si>
  <si>
    <t>olive dényauté</t>
  </si>
  <si>
    <t xml:space="preserve">les virines </t>
  </si>
  <si>
    <t>tofia caramel 2kg</t>
  </si>
  <si>
    <t>chocolat à tartiné 10kg</t>
  </si>
  <si>
    <t>sucre blanc 25kg</t>
  </si>
  <si>
    <t xml:space="preserve">Chantilly </t>
  </si>
  <si>
    <t>Chocolat  Optilla 1kg1</t>
  </si>
  <si>
    <t>prunes</t>
  </si>
  <si>
    <t>Gherss</t>
  </si>
  <si>
    <t>sel</t>
  </si>
  <si>
    <t>gherss</t>
  </si>
  <si>
    <t>Transport Marchandise Mourad</t>
  </si>
  <si>
    <t>Sucre glace mordjan</t>
  </si>
  <si>
    <t>papier aluminium</t>
  </si>
  <si>
    <t>Sachets blanc 5kg</t>
  </si>
  <si>
    <t>Maa zehar</t>
  </si>
  <si>
    <t>Rayan Hospitalisation</t>
  </si>
  <si>
    <t>Bessel</t>
  </si>
  <si>
    <t>Tomate fraiche</t>
  </si>
  <si>
    <t>viande hachée</t>
  </si>
  <si>
    <t>clanc de poulet + poulet Haché</t>
  </si>
  <si>
    <t>Rechta</t>
  </si>
  <si>
    <t>Nakkache</t>
  </si>
  <si>
    <t xml:space="preserve">Fraise </t>
  </si>
  <si>
    <t xml:space="preserve">Sofiane </t>
  </si>
  <si>
    <t>Kiwi</t>
  </si>
  <si>
    <t>pLateaux oeufs</t>
  </si>
  <si>
    <t>olive noir</t>
  </si>
  <si>
    <t>épinards</t>
  </si>
  <si>
    <t>persil</t>
  </si>
  <si>
    <t xml:space="preserve">crème liquide </t>
  </si>
  <si>
    <t xml:space="preserve">extencteur </t>
  </si>
  <si>
    <t>limonade Slim 33cl</t>
  </si>
  <si>
    <t xml:space="preserve">détergents: isis bingo serpielle </t>
  </si>
  <si>
    <t>brilex</t>
  </si>
  <si>
    <t xml:space="preserve">deyoul  </t>
  </si>
  <si>
    <t xml:space="preserve">poulet haché  </t>
  </si>
  <si>
    <t>rechta</t>
  </si>
  <si>
    <t>sachets transparents</t>
  </si>
  <si>
    <t>les gants</t>
  </si>
  <si>
    <t>salade</t>
  </si>
  <si>
    <t xml:space="preserve">Pates feuilletée </t>
  </si>
  <si>
    <t>bessel</t>
  </si>
  <si>
    <t>tomate</t>
  </si>
  <si>
    <t>blanc de poulet + poulet haché</t>
  </si>
  <si>
    <t>pioulet haché</t>
  </si>
  <si>
    <t>légumes</t>
  </si>
  <si>
    <t>les supports</t>
  </si>
  <si>
    <t>Nappage</t>
  </si>
  <si>
    <t>les attaches</t>
  </si>
  <si>
    <t>orgonza</t>
  </si>
  <si>
    <t>cellophane</t>
  </si>
  <si>
    <t xml:space="preserve">Fromage </t>
  </si>
  <si>
    <t xml:space="preserve">boites demie plateau </t>
  </si>
  <si>
    <t>pain Tacos</t>
  </si>
  <si>
    <t>tomate fraiché</t>
  </si>
  <si>
    <t>poulet haché</t>
  </si>
  <si>
    <t>chakhechoukhate dhefer</t>
  </si>
  <si>
    <t>cellophane 4,5</t>
  </si>
  <si>
    <t>orgonza 4,5</t>
  </si>
  <si>
    <t>orgonza 5,5</t>
  </si>
  <si>
    <t>Farine SIM 1kg</t>
  </si>
  <si>
    <t>tomate conserve</t>
  </si>
  <si>
    <t>Amande moulu</t>
  </si>
  <si>
    <t>confiture 1kg</t>
  </si>
  <si>
    <t>Noix</t>
  </si>
  <si>
    <t>poivre noir</t>
  </si>
  <si>
    <t xml:space="preserve">Deyoul </t>
  </si>
  <si>
    <t>Citron</t>
  </si>
  <si>
    <t xml:space="preserve">Annanas </t>
  </si>
  <si>
    <t>Farise</t>
  </si>
  <si>
    <t>Moh Gateau</t>
  </si>
  <si>
    <t>10000+10000+</t>
  </si>
  <si>
    <t xml:space="preserve">poulet haché </t>
  </si>
  <si>
    <t xml:space="preserve">cuisses </t>
  </si>
  <si>
    <t>navet + courgette</t>
  </si>
  <si>
    <t>papier absorbant</t>
  </si>
  <si>
    <t>pate feuilletée</t>
  </si>
  <si>
    <t>javel moussant + lave sol</t>
  </si>
  <si>
    <t>besel</t>
  </si>
  <si>
    <t>tomate fraiche</t>
  </si>
  <si>
    <t>poulet</t>
  </si>
  <si>
    <t>Tomate</t>
  </si>
  <si>
    <t>poulet haché+ blanc de poulet</t>
  </si>
  <si>
    <t>Hamissa</t>
  </si>
  <si>
    <t>pate Feuilletée</t>
  </si>
  <si>
    <t>livraison Nakkach</t>
  </si>
  <si>
    <t>isis+ lavette+ serpiellre</t>
  </si>
  <si>
    <t>les feuilles de chakhechoukha</t>
  </si>
  <si>
    <t xml:space="preserve">salade </t>
  </si>
  <si>
    <t>tomate cerise</t>
  </si>
  <si>
    <t>3akeri</t>
  </si>
  <si>
    <t>épice</t>
  </si>
  <si>
    <t>Sel</t>
  </si>
  <si>
    <t>Sucre 1kg</t>
  </si>
  <si>
    <t>Tomate Conserve</t>
  </si>
  <si>
    <t>riz</t>
  </si>
  <si>
    <t>thym</t>
  </si>
  <si>
    <t>Tomate cerise</t>
  </si>
  <si>
    <t>patavia</t>
  </si>
  <si>
    <t>Pate Feuilletée</t>
  </si>
  <si>
    <t xml:space="preserve">blanc de poulet  </t>
  </si>
  <si>
    <t>Yassir Houda</t>
  </si>
  <si>
    <t>pain sandwich</t>
  </si>
  <si>
    <t>Huile Elio 5 litre</t>
  </si>
  <si>
    <t>Eau minérale 0,5 litre</t>
  </si>
  <si>
    <t>Sucre cristalisé 25kg</t>
  </si>
  <si>
    <t>boite plateau</t>
  </si>
  <si>
    <t>boite demi plateau</t>
  </si>
  <si>
    <t>pomme de terre + citron+ dettes légumes</t>
  </si>
  <si>
    <t>coriandre + menth</t>
  </si>
  <si>
    <t xml:space="preserve">dorade </t>
  </si>
  <si>
    <t>betrave + carrotes</t>
  </si>
  <si>
    <t>vingrette</t>
  </si>
  <si>
    <t>heech Vendeuse</t>
  </si>
  <si>
    <t>boivre en couleurs</t>
  </si>
  <si>
    <t>deyoul</t>
  </si>
  <si>
    <t>pate feuillté</t>
  </si>
  <si>
    <t>banane</t>
  </si>
  <si>
    <t>salde</t>
  </si>
  <si>
    <t>Boite 36</t>
  </si>
  <si>
    <t>Boite 24</t>
  </si>
  <si>
    <t>Boite 08</t>
  </si>
  <si>
    <t>Modem Magasin+ Locale</t>
  </si>
  <si>
    <t>Sofiane achat ; citron +Farine+ boites plateaux</t>
  </si>
  <si>
    <t>pain sandwiche</t>
  </si>
  <si>
    <t>Farid flexy</t>
  </si>
  <si>
    <t>force expresss</t>
  </si>
  <si>
    <t xml:space="preserve">essuie tout </t>
  </si>
  <si>
    <t>olive vert</t>
  </si>
  <si>
    <t>livraison locale idir</t>
  </si>
  <si>
    <t>livraison Alger centre idir</t>
  </si>
  <si>
    <t>Houda yassir</t>
  </si>
  <si>
    <t>Storm portable magasin</t>
  </si>
  <si>
    <t>légumes Reda DelyBrahim</t>
  </si>
  <si>
    <t xml:space="preserve">slimane dettes </t>
  </si>
  <si>
    <t>blanc de poulet Slimane</t>
  </si>
  <si>
    <t>Amina Baghrir</t>
  </si>
  <si>
    <t>Facture D'eau</t>
  </si>
  <si>
    <t>Cnas</t>
  </si>
  <si>
    <t>Totale</t>
  </si>
  <si>
    <t>Saida</t>
  </si>
  <si>
    <t xml:space="preserve">Fatiha </t>
  </si>
  <si>
    <t xml:space="preserve">Assia </t>
  </si>
  <si>
    <t>Samira</t>
  </si>
  <si>
    <t>Nour ElHouda</t>
  </si>
  <si>
    <t xml:space="preserve">Yasmine </t>
  </si>
  <si>
    <t xml:space="preserve">Zohra </t>
  </si>
  <si>
    <t>Rayan</t>
  </si>
  <si>
    <t xml:space="preserve">Amina </t>
  </si>
  <si>
    <t xml:space="preserve">Khalida </t>
  </si>
  <si>
    <t xml:space="preserve">Amina Ain Beniane </t>
  </si>
  <si>
    <t>Ahlem</t>
  </si>
  <si>
    <t>Houda Oueld Fayet</t>
  </si>
  <si>
    <t xml:space="preserve">Selma </t>
  </si>
  <si>
    <t xml:space="preserve">Merieioma </t>
  </si>
  <si>
    <t>Aicha</t>
  </si>
  <si>
    <t xml:space="preserve">Wafa </t>
  </si>
  <si>
    <t>Backup</t>
  </si>
  <si>
    <t xml:space="preserve">Mois e Mars </t>
  </si>
  <si>
    <t>Yasmine retard de 35 min</t>
  </si>
  <si>
    <t xml:space="preserve">Yasmine retard de 50 min </t>
  </si>
  <si>
    <t>Yasmine retard 15 min</t>
  </si>
  <si>
    <t>Houda djate à 09h30</t>
  </si>
  <si>
    <t>yasmine djate en retard 15 mi,4</t>
  </si>
  <si>
    <t>Houda djate à 09h20</t>
  </si>
  <si>
    <t xml:space="preserve">Heures suplémentaires </t>
  </si>
  <si>
    <t xml:space="preserve">Nom </t>
  </si>
  <si>
    <t>Avance</t>
  </si>
  <si>
    <t xml:space="preserve">Salaire à payer </t>
  </si>
  <si>
    <t>le 25/04/2025</t>
  </si>
  <si>
    <t>Amel</t>
  </si>
  <si>
    <t>6000+10000</t>
  </si>
  <si>
    <t>Fatiha</t>
  </si>
  <si>
    <t>3000+22000+6500</t>
  </si>
  <si>
    <t>Assia</t>
  </si>
  <si>
    <t>3000+1000+20500</t>
  </si>
  <si>
    <t>Yasmine</t>
  </si>
  <si>
    <t>3000+16000</t>
  </si>
  <si>
    <t>Amina</t>
  </si>
  <si>
    <t>Khalida</t>
  </si>
  <si>
    <t>Amina Ain Beniane</t>
  </si>
  <si>
    <t>Houda Ouled Fayet</t>
  </si>
  <si>
    <t xml:space="preserve">Merioma </t>
  </si>
  <si>
    <t>10800+10800</t>
  </si>
  <si>
    <t xml:space="preserve">wafa </t>
  </si>
  <si>
    <t>2000+1000+2000+1000</t>
  </si>
  <si>
    <t>TOTAL</t>
  </si>
  <si>
    <t>Mois de Janvier 2025</t>
  </si>
  <si>
    <t>Mois de Février  2025</t>
  </si>
  <si>
    <t>Mois de Mars  2025</t>
  </si>
  <si>
    <t>Mois d'Avril  2025</t>
  </si>
  <si>
    <t>Salaires</t>
  </si>
  <si>
    <t xml:space="preserve">Che7i7a </t>
  </si>
  <si>
    <t>Loyer+Dettes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</si>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</sst>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[$€-1]"/>
    <numFmt numFmtId="165" formatCode="dd/mm/yyyy"/>
    <numFmt numFmtId="166" formatCode="#,##0.00\ [$€-1]"/>
    <numFmt numFmtId="167" formatCode="d/m/yyyy"/>
    <numFmt numFmtId="168" formatCode="&quot;$&quot;#,##0.00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17.0"/>
      <color theme="1"/>
      <name val="Arial"/>
    </font>
    <font>
      <sz val="16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b/>
      <sz val="20.0"/>
      <color theme="1"/>
      <name val="Arial"/>
    </font>
    <font>
      <sz val="18.0"/>
      <color rgb="FF434343"/>
      <name val="Roboto"/>
    </font>
    <font>
      <sz val="15.0"/>
      <color theme="1"/>
      <name val="Arial"/>
    </font>
    <font>
      <color theme="1"/>
      <name val="Arial"/>
      <scheme val="minor"/>
    </font>
    <font/>
    <font>
      <b/>
      <sz val="24.0"/>
      <color theme="1"/>
      <name val="Arial"/>
    </font>
    <font>
      <sz val="18.0"/>
      <color rgb="FF434343"/>
      <name val="Arial"/>
    </font>
    <font>
      <sz val="17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b/>
      <sz val="17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3" fillId="8" fontId="3" numFmtId="0" xfId="0" applyAlignment="1" applyBorder="1" applyFill="1" applyFon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3" numFmtId="166" xfId="0" applyAlignment="1" applyBorder="1" applyFont="1" applyNumberFormat="1">
      <alignment horizontal="center" vertical="bottom"/>
    </xf>
    <xf borderId="1" fillId="8" fontId="3" numFmtId="166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1" numFmtId="164" xfId="0" applyAlignment="1" applyBorder="1" applyFont="1" applyNumberFormat="1">
      <alignment vertical="bottom"/>
    </xf>
    <xf borderId="1" fillId="8" fontId="3" numFmtId="0" xfId="0" applyAlignment="1" applyBorder="1" applyFont="1">
      <alignment horizontal="center" readingOrder="0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9" fontId="3" numFmtId="166" xfId="0" applyAlignment="1" applyBorder="1" applyFill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0" fillId="5" fontId="3" numFmtId="0" xfId="0" applyAlignment="1" applyFont="1">
      <alignment readingOrder="0" vertical="bottom"/>
    </xf>
    <xf borderId="1" fillId="0" fontId="4" numFmtId="166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 vertical="bottom"/>
    </xf>
    <xf borderId="0" fillId="5" fontId="1" numFmtId="0" xfId="0" applyAlignment="1" applyFont="1">
      <alignment horizontal="right" vertical="bottom"/>
    </xf>
    <xf borderId="0" fillId="5" fontId="3" numFmtId="166" xfId="0" applyAlignment="1" applyFont="1" applyNumberFormat="1">
      <alignment horizontal="center" readingOrder="0" vertical="bottom"/>
    </xf>
    <xf borderId="0" fillId="0" fontId="3" numFmtId="166" xfId="0" applyAlignment="1" applyFont="1" applyNumberFormat="1">
      <alignment vertical="bottom"/>
    </xf>
    <xf borderId="4" fillId="0" fontId="1" numFmtId="166" xfId="0" applyAlignment="1" applyBorder="1" applyFont="1" applyNumberFormat="1">
      <alignment vertical="bottom"/>
    </xf>
    <xf borderId="0" fillId="5" fontId="1" numFmtId="166" xfId="0" applyAlignment="1" applyFont="1" applyNumberFormat="1">
      <alignment vertical="bottom"/>
    </xf>
    <xf borderId="0" fillId="0" fontId="6" numFmtId="166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4" fillId="6" fontId="7" numFmtId="166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horizontal="right" readingOrder="0" vertical="bottom"/>
    </xf>
    <xf borderId="0" fillId="5" fontId="5" numFmtId="166" xfId="0" applyAlignment="1" applyFont="1" applyNumberFormat="1">
      <alignment vertical="bottom"/>
    </xf>
    <xf borderId="1" fillId="10" fontId="8" numFmtId="0" xfId="0" applyAlignment="1" applyBorder="1" applyFill="1" applyFont="1">
      <alignment horizontal="center" vertical="bottom"/>
    </xf>
    <xf borderId="0" fillId="5" fontId="3" numFmtId="166" xfId="0" applyAlignment="1" applyFont="1" applyNumberFormat="1">
      <alignment horizontal="center" vertical="bottom"/>
    </xf>
    <xf borderId="5" fillId="5" fontId="3" numFmtId="0" xfId="0" applyAlignment="1" applyBorder="1" applyFont="1">
      <alignment horizontal="center" readingOrder="0" vertical="bottom"/>
    </xf>
    <xf borderId="5" fillId="5" fontId="3" numFmtId="166" xfId="0" applyAlignment="1" applyBorder="1" applyFont="1" applyNumberForma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vertical="bottom"/>
    </xf>
    <xf borderId="5" fillId="5" fontId="3" numFmtId="166" xfId="0" applyAlignment="1" applyBorder="1" applyFont="1" applyNumberFormat="1">
      <alignment horizontal="center" vertical="bottom"/>
    </xf>
    <xf borderId="1" fillId="10" fontId="3" numFmtId="0" xfId="0" applyAlignment="1" applyBorder="1" applyFont="1">
      <alignment horizontal="center"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168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1" fillId="8" fontId="9" numFmtId="0" xfId="0" applyAlignment="1" applyBorder="1" applyFont="1">
      <alignment horizontal="center" vertical="bottom"/>
    </xf>
    <xf borderId="2" fillId="8" fontId="9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2" fillId="5" fontId="3" numFmtId="166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readingOrder="0" shrinkToFit="0" vertical="bottom" wrapText="0"/>
    </xf>
    <xf borderId="1" fillId="5" fontId="10" numFmtId="166" xfId="0" applyAlignment="1" applyBorder="1" applyFont="1" applyNumberFormat="1">
      <alignment horizontal="center" readingOrder="0" shrinkToFit="0" vertical="bottom" wrapText="0"/>
    </xf>
    <xf borderId="1" fillId="5" fontId="1" numFmtId="165" xfId="0" applyAlignment="1" applyBorder="1" applyFont="1" applyNumberFormat="1">
      <alignment vertical="bottom"/>
    </xf>
    <xf borderId="1" fillId="5" fontId="10" numFmtId="166" xfId="0" applyAlignment="1" applyBorder="1" applyFont="1" applyNumberFormat="1">
      <alignment horizontal="center" shrinkToFit="0" vertical="bottom" wrapText="0"/>
    </xf>
    <xf borderId="3" fillId="5" fontId="3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5" fontId="6" numFmtId="166" xfId="0" applyAlignment="1" applyBorder="1" applyFont="1" applyNumberFormat="1">
      <alignment horizontal="center" vertical="bottom"/>
    </xf>
    <xf borderId="2" fillId="5" fontId="6" numFmtId="166" xfId="0" applyAlignment="1" applyBorder="1" applyFont="1" applyNumberFormat="1">
      <alignment horizontal="center" vertical="bottom"/>
    </xf>
    <xf borderId="1" fillId="5" fontId="5" numFmtId="0" xfId="0" applyAlignment="1" applyBorder="1" applyFont="1">
      <alignment horizontal="center" readingOrder="0" vertical="bottom"/>
    </xf>
    <xf borderId="1" fillId="5" fontId="5" numFmtId="166" xfId="0" applyAlignment="1" applyBorder="1" applyFont="1" applyNumberFormat="1">
      <alignment horizontal="center" readingOrder="0" vertical="bottom"/>
    </xf>
    <xf borderId="1" fillId="5" fontId="5" numFmtId="0" xfId="0" applyAlignment="1" applyBorder="1" applyFont="1">
      <alignment horizontal="center" vertical="bottom"/>
    </xf>
    <xf borderId="1" fillId="5" fontId="5" numFmtId="166" xfId="0" applyAlignment="1" applyBorder="1" applyFont="1" applyNumberFormat="1">
      <alignment horizontal="center" vertical="bottom"/>
    </xf>
    <xf borderId="2" fillId="5" fontId="5" numFmtId="166" xfId="0" applyAlignment="1" applyBorder="1" applyFont="1" applyNumberFormat="1">
      <alignment horizontal="center" vertical="bottom"/>
    </xf>
    <xf borderId="1" fillId="5" fontId="11" numFmtId="0" xfId="0" applyAlignment="1" applyBorder="1" applyFont="1">
      <alignment readingOrder="0" vertical="bottom"/>
    </xf>
    <xf borderId="1" fillId="5" fontId="4" numFmtId="166" xfId="0" applyAlignment="1" applyBorder="1" applyFont="1" applyNumberFormat="1">
      <alignment horizontal="center" vertical="bottom"/>
    </xf>
    <xf borderId="1" fillId="5" fontId="5" numFmtId="165" xfId="0" applyAlignment="1" applyBorder="1" applyFont="1" applyNumberFormat="1">
      <alignment horizontal="center" vertical="bottom"/>
    </xf>
    <xf borderId="1" fillId="11" fontId="3" numFmtId="0" xfId="0" applyAlignment="1" applyBorder="1" applyFill="1" applyFont="1">
      <alignment horizontal="center" readingOrder="0" vertical="bottom"/>
    </xf>
    <xf borderId="1" fillId="11" fontId="3" numFmtId="166" xfId="0" applyAlignment="1" applyBorder="1" applyFont="1" applyNumberFormat="1">
      <alignment horizontal="center" readingOrder="0" vertical="bottom"/>
    </xf>
    <xf borderId="2" fillId="11" fontId="5" numFmtId="166" xfId="0" applyAlignment="1" applyBorder="1" applyFont="1" applyNumberFormat="1">
      <alignment horizontal="center" vertical="bottom"/>
    </xf>
    <xf borderId="1" fillId="11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0" fillId="0" fontId="12" numFmtId="0" xfId="0" applyAlignment="1" applyFont="1">
      <alignment readingOrder="0"/>
    </xf>
    <xf borderId="6" fillId="5" fontId="3" numFmtId="0" xfId="0" applyAlignment="1" applyBorder="1" applyFont="1">
      <alignment horizontal="center" readingOrder="0" vertical="bottom"/>
    </xf>
    <xf borderId="6" fillId="0" fontId="13" numFmtId="0" xfId="0" applyBorder="1" applyFont="1"/>
    <xf borderId="1" fillId="0" fontId="13" numFmtId="0" xfId="0" applyBorder="1" applyFont="1"/>
    <xf borderId="1" fillId="12" fontId="3" numFmtId="0" xfId="0" applyAlignment="1" applyBorder="1" applyFill="1" applyFont="1">
      <alignment horizontal="center" readingOrder="0" vertical="bottom"/>
    </xf>
    <xf borderId="1" fillId="12" fontId="3" numFmtId="166" xfId="0" applyAlignment="1" applyBorder="1" applyFont="1" applyNumberFormat="1">
      <alignment horizontal="center" readingOrder="0" vertical="bottom"/>
    </xf>
    <xf borderId="2" fillId="12" fontId="5" numFmtId="166" xfId="0" applyAlignment="1" applyBorder="1" applyFont="1" applyNumberFormat="1">
      <alignment horizontal="center" vertical="bottom"/>
    </xf>
    <xf borderId="1" fillId="12" fontId="3" numFmtId="165" xfId="0" applyAlignment="1" applyBorder="1" applyFont="1" applyNumberFormat="1">
      <alignment horizontal="center" vertical="bottom"/>
    </xf>
    <xf borderId="2" fillId="5" fontId="5" numFmtId="166" xfId="0" applyAlignment="1" applyBorder="1" applyFont="1" applyNumberFormat="1">
      <alignment horizontal="center" readingOrder="0" vertical="bottom"/>
    </xf>
    <xf borderId="1" fillId="13" fontId="3" numFmtId="0" xfId="0" applyAlignment="1" applyBorder="1" applyFill="1" applyFont="1">
      <alignment horizontal="center" readingOrder="0" vertical="bottom"/>
    </xf>
    <xf borderId="1" fillId="13" fontId="3" numFmtId="166" xfId="0" applyAlignment="1" applyBorder="1" applyFont="1" applyNumberFormat="1">
      <alignment horizontal="center" readingOrder="0" vertical="bottom"/>
    </xf>
    <xf borderId="2" fillId="13" fontId="5" numFmtId="166" xfId="0" applyAlignment="1" applyBorder="1" applyFont="1" applyNumberFormat="1">
      <alignment horizontal="center" vertical="bottom"/>
    </xf>
    <xf borderId="1" fillId="13" fontId="3" numFmtId="0" xfId="0" applyAlignment="1" applyBorder="1" applyFont="1">
      <alignment horizontal="center" vertical="bottom"/>
    </xf>
    <xf borderId="1" fillId="13" fontId="3" numFmtId="166" xfId="0" applyAlignment="1" applyBorder="1" applyFont="1" applyNumberFormat="1">
      <alignment horizontal="center" vertical="bottom"/>
    </xf>
    <xf borderId="5" fillId="0" fontId="14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4" numFmtId="166" xfId="0" applyAlignment="1" applyBorder="1" applyFont="1" applyNumberFormat="1">
      <alignment horizontal="center" vertical="bottom"/>
    </xf>
    <xf borderId="2" fillId="0" fontId="1" numFmtId="165" xfId="0" applyAlignment="1" applyBorder="1" applyFont="1" applyNumberFormat="1">
      <alignment vertical="bottom"/>
    </xf>
    <xf borderId="5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readingOrder="0" vertical="bottom"/>
    </xf>
    <xf borderId="5" fillId="2" fontId="5" numFmtId="0" xfId="0" applyAlignment="1" applyBorder="1" applyFont="1">
      <alignment readingOrder="0" vertical="bottom"/>
    </xf>
    <xf borderId="5" fillId="5" fontId="1" numFmtId="0" xfId="0" applyAlignment="1" applyBorder="1" applyFont="1">
      <alignment vertical="bottom"/>
    </xf>
    <xf borderId="5" fillId="5" fontId="3" numFmtId="0" xfId="0" applyAlignment="1" applyBorder="1" applyFont="1">
      <alignment horizontal="center" readingOrder="0" vertical="bottom"/>
    </xf>
    <xf borderId="5" fillId="5" fontId="5" numFmtId="0" xfId="0" applyAlignment="1" applyBorder="1" applyFont="1">
      <alignment horizontal="center" readingOrder="0" vertical="bottom"/>
    </xf>
    <xf borderId="5" fillId="14" fontId="3" numFmtId="0" xfId="0" applyAlignment="1" applyBorder="1" applyFill="1" applyFont="1">
      <alignment horizontal="center" readingOrder="0" vertical="bottom"/>
    </xf>
    <xf borderId="5" fillId="14" fontId="5" numFmtId="0" xfId="0" applyAlignment="1" applyBorder="1" applyFont="1">
      <alignment horizontal="center" readingOrder="0" vertical="bottom"/>
    </xf>
    <xf borderId="5" fillId="14" fontId="3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vertical="bottom"/>
    </xf>
    <xf borderId="3" fillId="15" fontId="3" numFmtId="0" xfId="0" applyAlignment="1" applyBorder="1" applyFill="1" applyFont="1">
      <alignment horizontal="center" readingOrder="0" vertical="bottom"/>
    </xf>
    <xf borderId="1" fillId="15" fontId="3" numFmtId="165" xfId="0" applyAlignment="1" applyBorder="1" applyFont="1" applyNumberFormat="1">
      <alignment horizontal="center" readingOrder="0" vertical="bottom"/>
    </xf>
    <xf borderId="5" fillId="15" fontId="3" numFmtId="0" xfId="0" applyAlignment="1" applyBorder="1" applyFont="1">
      <alignment horizontal="center" readingOrder="0" vertical="bottom"/>
    </xf>
    <xf borderId="5" fillId="15" fontId="5" numFmtId="0" xfId="0" applyAlignment="1" applyBorder="1" applyFont="1">
      <alignment horizontal="center" readingOrder="0" vertical="bottom"/>
    </xf>
    <xf borderId="5" fillId="15" fontId="3" numFmtId="0" xfId="0" applyAlignment="1" applyBorder="1" applyFont="1">
      <alignment horizontal="center" vertical="bottom"/>
    </xf>
    <xf borderId="5" fillId="9" fontId="3" numFmtId="0" xfId="0" applyAlignment="1" applyBorder="1" applyFont="1">
      <alignment horizontal="center" readingOrder="0" vertical="bottom"/>
    </xf>
    <xf borderId="5" fillId="9" fontId="5" numFmtId="0" xfId="0" applyAlignment="1" applyBorder="1" applyFont="1">
      <alignment horizontal="center" readingOrder="0" vertical="bottom"/>
    </xf>
    <xf borderId="5" fillId="14" fontId="15" numFmtId="0" xfId="0" applyAlignment="1" applyBorder="1" applyFont="1">
      <alignment horizontal="center" readingOrder="0" vertical="bottom"/>
    </xf>
    <xf borderId="5" fillId="9" fontId="3" numFmtId="0" xfId="0" applyAlignment="1" applyBorder="1" applyFont="1">
      <alignment horizontal="center" vertical="bottom"/>
    </xf>
    <xf borderId="5" fillId="15" fontId="15" numFmtId="0" xfId="0" applyAlignment="1" applyBorder="1" applyFont="1">
      <alignment horizontal="center" readingOrder="0" vertical="bottom"/>
    </xf>
    <xf borderId="5" fillId="15" fontId="16" numFmtId="0" xfId="0" applyAlignment="1" applyBorder="1" applyFont="1">
      <alignment horizontal="center" readingOrder="0" vertical="bottom"/>
    </xf>
    <xf borderId="5" fillId="8" fontId="3" numFmtId="0" xfId="0" applyAlignment="1" applyBorder="1" applyFont="1">
      <alignment horizontal="center" readingOrder="0" vertical="bottom"/>
    </xf>
    <xf borderId="5" fillId="8" fontId="5" numFmtId="0" xfId="0" applyAlignment="1" applyBorder="1" applyFont="1">
      <alignment horizontal="center" readingOrder="0" vertical="bottom"/>
    </xf>
    <xf borderId="3" fillId="5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readingOrder="0" vertical="bottom"/>
    </xf>
    <xf borderId="3" fillId="14" fontId="15" numFmtId="0" xfId="0" applyAlignment="1" applyBorder="1" applyFont="1">
      <alignment horizontal="center" readingOrder="0" vertical="bottom"/>
    </xf>
    <xf borderId="1" fillId="14" fontId="15" numFmtId="0" xfId="0" applyAlignment="1" applyBorder="1" applyFont="1">
      <alignment horizontal="center" readingOrder="0" vertical="bottom"/>
    </xf>
    <xf borderId="1" fillId="14" fontId="3" numFmtId="0" xfId="0" applyAlignment="1" applyBorder="1" applyFont="1">
      <alignment horizontal="center" readingOrder="0" vertical="bottom"/>
    </xf>
    <xf borderId="1" fillId="14" fontId="3" numFmtId="0" xfId="0" applyAlignment="1" applyBorder="1" applyFont="1">
      <alignment horizontal="center" vertical="bottom"/>
    </xf>
    <xf borderId="3" fillId="5" fontId="17" numFmtId="0" xfId="0" applyAlignment="1" applyBorder="1" applyFont="1">
      <alignment horizontal="center" vertical="bottom"/>
    </xf>
    <xf borderId="1" fillId="5" fontId="15" numFmtId="0" xfId="0" applyAlignment="1" applyBorder="1" applyFont="1">
      <alignment horizontal="center" readingOrder="0" vertical="bottom"/>
    </xf>
    <xf borderId="1" fillId="5" fontId="15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5" fontId="16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3" fillId="14" fontId="1" numFmtId="0" xfId="0" applyAlignment="1" applyBorder="1" applyFont="1">
      <alignment vertical="bottom"/>
    </xf>
    <xf borderId="1" fillId="14" fontId="15" numFmtId="0" xfId="0" applyAlignment="1" applyBorder="1" applyFont="1">
      <alignment horizontal="center" vertical="bottom"/>
    </xf>
    <xf borderId="1" fillId="14" fontId="1" numFmtId="0" xfId="0" applyAlignment="1" applyBorder="1" applyFont="1">
      <alignment vertical="bottom"/>
    </xf>
    <xf borderId="1" fillId="14" fontId="5" numFmtId="0" xfId="0" applyAlignment="1" applyBorder="1" applyFont="1">
      <alignment horizontal="center" vertical="bottom"/>
    </xf>
    <xf borderId="1" fillId="14" fontId="4" numFmtId="0" xfId="0" applyAlignment="1" applyBorder="1" applyFont="1">
      <alignment horizontal="center" vertical="bottom"/>
    </xf>
    <xf borderId="3" fillId="5" fontId="9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right" vertical="bottom"/>
    </xf>
    <xf borderId="1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right" vertical="bottom"/>
    </xf>
    <xf borderId="1" fillId="5" fontId="5" numFmtId="0" xfId="0" applyAlignment="1" applyBorder="1" applyFont="1">
      <alignment horizontal="center" vertical="bottom"/>
    </xf>
    <xf borderId="5" fillId="14" fontId="17" numFmtId="166" xfId="0" applyAlignment="1" applyBorder="1" applyFont="1" applyNumberFormat="1">
      <alignment horizontal="center" readingOrder="0" vertical="bottom"/>
    </xf>
    <xf borderId="1" fillId="14" fontId="17" numFmtId="166" xfId="0" applyAlignment="1" applyBorder="1" applyFont="1" applyNumberFormat="1">
      <alignment horizontal="center" vertical="bottom"/>
    </xf>
    <xf borderId="1" fillId="14" fontId="9" numFmtId="166" xfId="0" applyAlignment="1" applyBorder="1" applyFont="1" applyNumberFormat="1">
      <alignment horizontal="center" vertical="bottom"/>
    </xf>
    <xf borderId="1" fillId="14" fontId="9" numFmtId="166" xfId="0" applyAlignment="1" applyBorder="1" applyFont="1" applyNumberFormat="1">
      <alignment horizontal="center" readingOrder="0" vertical="bottom"/>
    </xf>
    <xf borderId="1" fillId="14" fontId="3" numFmtId="166" xfId="0" applyAlignment="1" applyBorder="1" applyFont="1" applyNumberFormat="1">
      <alignment horizontal="center" readingOrder="0" vertical="bottom"/>
    </xf>
    <xf borderId="1" fillId="14" fontId="4" numFmtId="166" xfId="0" applyAlignment="1" applyBorder="1" applyFont="1" applyNumberFormat="1">
      <alignment horizontal="right" readingOrder="0" vertical="bottom"/>
    </xf>
    <xf borderId="1" fillId="14" fontId="4" numFmtId="166" xfId="0" applyAlignment="1" applyBorder="1" applyFont="1" applyNumberFormat="1">
      <alignment horizontal="right" vertical="bottom"/>
    </xf>
    <xf borderId="1" fillId="14" fontId="5" numFmtId="166" xfId="0" applyAlignment="1" applyBorder="1" applyFont="1" applyNumberFormat="1">
      <alignment horizontal="center" vertical="bottom"/>
    </xf>
    <xf borderId="0" fillId="14" fontId="1" numFmtId="0" xfId="0" applyAlignment="1" applyFont="1">
      <alignment vertical="bottom"/>
    </xf>
    <xf borderId="5" fillId="5" fontId="18" numFmtId="166" xfId="0" applyAlignment="1" applyBorder="1" applyFont="1" applyNumberFormat="1">
      <alignment horizontal="center" vertical="bottom"/>
    </xf>
    <xf borderId="1" fillId="5" fontId="18" numFmtId="166" xfId="0" applyAlignment="1" applyBorder="1" applyFont="1" applyNumberFormat="1">
      <alignment horizontal="center" vertical="bottom"/>
    </xf>
    <xf borderId="1" fillId="5" fontId="9" numFmtId="166" xfId="0" applyAlignment="1" applyBorder="1" applyFont="1" applyNumberFormat="1">
      <alignment horizontal="right" vertical="bottom"/>
    </xf>
    <xf borderId="1" fillId="5" fontId="3" numFmtId="166" xfId="0" applyAlignment="1" applyBorder="1" applyFont="1" applyNumberFormat="1">
      <alignment horizontal="center" vertical="bottom"/>
    </xf>
    <xf borderId="1" fillId="5" fontId="4" numFmtId="166" xfId="0" applyAlignment="1" applyBorder="1" applyFont="1" applyNumberFormat="1">
      <alignment horizontal="right" vertical="bottom"/>
    </xf>
    <xf borderId="1" fillId="5" fontId="19" numFmtId="166" xfId="0" applyAlignment="1" applyBorder="1" applyFont="1" applyNumberFormat="1">
      <alignment horizontal="right" vertical="bottom"/>
    </xf>
    <xf borderId="1" fillId="5" fontId="20" numFmtId="166" xfId="0" applyAlignment="1" applyBorder="1" applyFont="1" applyNumberFormat="1">
      <alignment horizontal="center" vertical="bottom"/>
    </xf>
    <xf borderId="0" fillId="5" fontId="1" numFmtId="166" xfId="0" applyAlignment="1" applyFont="1" applyNumberFormat="1">
      <alignment vertical="bottom"/>
    </xf>
    <xf borderId="4" fillId="14" fontId="1" numFmtId="166" xfId="0" applyAlignment="1" applyBorder="1" applyFont="1" applyNumberFormat="1">
      <alignment vertical="bottom"/>
    </xf>
    <xf borderId="1" fillId="14" fontId="1" numFmtId="166" xfId="0" applyAlignment="1" applyBorder="1" applyFont="1" applyNumberFormat="1">
      <alignment vertical="bottom"/>
    </xf>
    <xf borderId="5" fillId="14" fontId="1" numFmtId="0" xfId="0" applyAlignment="1" applyBorder="1" applyFont="1">
      <alignment vertical="bottom"/>
    </xf>
    <xf borderId="1" fillId="14" fontId="2" numFmtId="0" xfId="0" applyAlignment="1" applyBorder="1" applyFont="1">
      <alignment horizontal="center" vertical="bottom"/>
    </xf>
    <xf borderId="4" fillId="14" fontId="2" numFmtId="0" xfId="0" applyAlignment="1" applyBorder="1" applyFont="1">
      <alignment horizontal="center" vertical="bottom"/>
    </xf>
    <xf borderId="0" fillId="14" fontId="2" numFmtId="0" xfId="0" applyAlignment="1" applyFont="1">
      <alignment horizontal="center" vertical="bottom"/>
    </xf>
    <xf borderId="0" fillId="5" fontId="1" numFmtId="0" xfId="0" applyAlignment="1" applyFont="1">
      <alignment vertical="bottom"/>
    </xf>
    <xf borderId="5" fillId="5" fontId="1" numFmtId="0" xfId="0" applyAlignment="1" applyBorder="1" applyFont="1">
      <alignment vertical="bottom"/>
    </xf>
    <xf borderId="1" fillId="5" fontId="2" numFmtId="166" xfId="0" applyAlignment="1" applyBorder="1" applyFont="1" applyNumberFormat="1">
      <alignment horizontal="center" readingOrder="0" vertical="bottom"/>
    </xf>
    <xf borderId="0" fillId="5" fontId="3" numFmtId="0" xfId="0" applyAlignment="1" applyFont="1">
      <alignment horizontal="center" readingOrder="0" vertical="bottom"/>
    </xf>
    <xf borderId="1" fillId="14" fontId="3" numFmtId="166" xfId="0" applyAlignment="1" applyBorder="1" applyFont="1" applyNumberFormat="1">
      <alignment horizontal="center" vertical="bottom"/>
    </xf>
    <xf borderId="0" fillId="14" fontId="3" numFmtId="0" xfId="0" applyAlignment="1" applyFon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0" fillId="14" fontId="3" numFmtId="0" xfId="0" applyAlignment="1" applyFont="1">
      <alignment horizontal="center" readingOrder="0" vertical="bottom"/>
    </xf>
    <xf borderId="0" fillId="5" fontId="3" numFmtId="0" xfId="0" applyAlignment="1" applyFont="1">
      <alignment horizontal="center" vertical="bottom"/>
    </xf>
    <xf borderId="0" fillId="14" fontId="3" numFmtId="166" xfId="0" applyAlignment="1" applyFont="1" applyNumberFormat="1">
      <alignment horizontal="center" readingOrder="0" vertical="bottom"/>
    </xf>
    <xf borderId="0" fillId="5" fontId="1" numFmtId="0" xfId="0" applyAlignment="1" applyFont="1">
      <alignment horizontal="right" vertical="bottom"/>
    </xf>
    <xf borderId="1" fillId="5" fontId="2" numFmtId="166" xfId="0" applyAlignment="1" applyBorder="1" applyFont="1" applyNumberFormat="1">
      <alignment horizontal="center" vertical="bottom"/>
    </xf>
    <xf borderId="0" fillId="5" fontId="2" numFmtId="0" xfId="0" applyAlignment="1" applyFont="1">
      <alignment horizontal="center" vertical="bottom"/>
    </xf>
    <xf borderId="0" fillId="14" fontId="1" numFmtId="166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1" fillId="8" fontId="2" numFmtId="0" xfId="0" applyAlignment="1" applyBorder="1" applyFont="1">
      <alignment horizontal="center" vertical="bottom"/>
    </xf>
    <xf borderId="1" fillId="8" fontId="2" numFmtId="0" xfId="0" applyAlignment="1" applyBorder="1" applyFont="1">
      <alignment horizontal="center" readingOrder="0" vertical="bottom"/>
    </xf>
    <xf borderId="1" fillId="16" fontId="2" numFmtId="0" xfId="0" applyAlignment="1" applyBorder="1" applyFill="1" applyFon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2" pivot="0" name="Les Charges -style">
      <tableStyleElement dxfId="1" type="firstRowStripe"/>
      <tableStyleElement dxfId="2" type="secondRowStripe"/>
    </tableStyle>
    <tableStyle count="2" pivot="0" name="Pointage-style">
      <tableStyleElement dxfId="1" type="firstRowStripe"/>
      <tableStyleElement dxfId="2" type="secondRowStripe"/>
    </tableStyle>
    <tableStyle count="2" pivot="0" name="Les Salaires 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8:H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Les Charges -style" showColumnStripes="0" showFirstColumn="1" showLastColumn="1" showRowStripes="1"/>
</table>
</file>

<file path=xl/tables/table2.xml><?xml version="1.0" encoding="utf-8"?>
<table xmlns="http://schemas.openxmlformats.org/spreadsheetml/2006/main" headerRowCount="0" ref="C2:U37" displayName="Table_2" name="Table_2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Pointage-style" showColumnStripes="0" showFirstColumn="1" showLastColumn="1" showRowStripes="1"/>
</table>
</file>

<file path=xl/tables/table3.xml><?xml version="1.0" encoding="utf-8"?>
<table xmlns="http://schemas.openxmlformats.org/spreadsheetml/2006/main" headerRowCount="0" ref="I10:O34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es Salair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6.0"/>
    <col customWidth="1" min="3" max="3" width="27.5"/>
    <col customWidth="1" min="4" max="4" width="23.88"/>
    <col customWidth="1" min="5" max="5" width="25.13"/>
    <col customWidth="1" min="6" max="6" width="23.63"/>
    <col customWidth="1" min="7" max="7" width="27.38"/>
    <col customWidth="1" min="8" max="8" width="26.63"/>
    <col customWidth="1" min="9" max="9" width="25.63"/>
    <col customWidth="1" min="10" max="10" width="18.13"/>
    <col customWidth="1" min="11" max="11" width="34.88"/>
    <col customWidth="1" min="12" max="12" width="23.38"/>
    <col customWidth="1" min="13" max="13" width="28.63"/>
    <col customWidth="1" min="14" max="14" width="47.13"/>
    <col customWidth="1" min="15" max="15" width="68.13"/>
    <col customWidth="1" min="16" max="16" width="35.63"/>
    <col customWidth="1" min="17" max="17" width="73.8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/>
      <c r="L1" s="7" t="s">
        <v>9</v>
      </c>
      <c r="M1" s="8" t="s">
        <v>10</v>
      </c>
      <c r="N1" s="6"/>
      <c r="O1" s="6"/>
      <c r="P1" s="6"/>
      <c r="Q1" s="6"/>
      <c r="R1" s="6"/>
      <c r="S1" s="6"/>
      <c r="T1" s="6"/>
      <c r="U1" s="6"/>
    </row>
    <row r="2">
      <c r="A2" s="9" t="s">
        <v>11</v>
      </c>
      <c r="B2" s="10">
        <v>45748.0</v>
      </c>
      <c r="C2" s="11">
        <v>78000.0</v>
      </c>
      <c r="D2" s="12">
        <v>0.0</v>
      </c>
      <c r="E2" s="13"/>
      <c r="F2" s="14"/>
      <c r="G2" s="12">
        <v>0.0</v>
      </c>
      <c r="H2" s="13"/>
      <c r="I2" s="13"/>
      <c r="J2" s="15">
        <v>0.0</v>
      </c>
      <c r="K2" s="16"/>
      <c r="L2" s="17"/>
      <c r="M2" s="11">
        <v>78000.0</v>
      </c>
      <c r="N2" s="6"/>
      <c r="O2" s="6"/>
      <c r="P2" s="6"/>
      <c r="Q2" s="6"/>
      <c r="R2" s="6"/>
      <c r="S2" s="6"/>
      <c r="T2" s="6"/>
      <c r="U2" s="6"/>
    </row>
    <row r="3">
      <c r="A3" s="9" t="s">
        <v>12</v>
      </c>
      <c r="B3" s="10">
        <v>45749.0</v>
      </c>
      <c r="C3" s="11">
        <v>48000.0</v>
      </c>
      <c r="D3" s="12">
        <v>0.0</v>
      </c>
      <c r="E3" s="13"/>
      <c r="F3" s="14"/>
      <c r="G3" s="12">
        <v>0.0</v>
      </c>
      <c r="H3" s="13"/>
      <c r="I3" s="13"/>
      <c r="J3" s="15">
        <v>0.0</v>
      </c>
      <c r="K3" s="16"/>
      <c r="L3" s="17"/>
      <c r="M3" s="11">
        <v>48000.0</v>
      </c>
      <c r="N3" s="18" t="s">
        <v>13</v>
      </c>
      <c r="O3" s="18" t="s">
        <v>14</v>
      </c>
      <c r="P3" s="19" t="s">
        <v>15</v>
      </c>
      <c r="Q3" s="20" t="s">
        <v>16</v>
      </c>
      <c r="R3" s="6"/>
      <c r="S3" s="6"/>
      <c r="T3" s="6"/>
      <c r="U3" s="6"/>
    </row>
    <row r="4">
      <c r="A4" s="9" t="s">
        <v>17</v>
      </c>
      <c r="B4" s="10">
        <v>45750.0</v>
      </c>
      <c r="C4" s="11">
        <v>53000.0</v>
      </c>
      <c r="D4" s="12">
        <v>0.0</v>
      </c>
      <c r="E4" s="13"/>
      <c r="F4" s="14"/>
      <c r="G4" s="12">
        <v>0.0</v>
      </c>
      <c r="H4" s="13"/>
      <c r="I4" s="13"/>
      <c r="J4" s="15">
        <v>0.0</v>
      </c>
      <c r="K4" s="16"/>
      <c r="L4" s="17"/>
      <c r="M4" s="11">
        <v>53000.0</v>
      </c>
      <c r="N4" s="21">
        <f>I32/J32</f>
        <v>1802.12</v>
      </c>
      <c r="O4" s="21">
        <f>D32/J32</f>
        <v>51280</v>
      </c>
      <c r="P4" s="22"/>
      <c r="Q4" s="23">
        <f>P4/O4</f>
        <v>0</v>
      </c>
      <c r="R4" s="6"/>
      <c r="S4" s="6"/>
      <c r="T4" s="6"/>
      <c r="U4" s="6"/>
    </row>
    <row r="5">
      <c r="A5" s="24" t="s">
        <v>18</v>
      </c>
      <c r="B5" s="25">
        <v>45751.0</v>
      </c>
      <c r="C5" s="26">
        <v>40000.0</v>
      </c>
      <c r="D5" s="27">
        <v>0.0</v>
      </c>
      <c r="E5" s="28"/>
      <c r="F5" s="29"/>
      <c r="G5" s="27">
        <v>0.0</v>
      </c>
      <c r="H5" s="28"/>
      <c r="I5" s="28"/>
      <c r="J5" s="30">
        <v>0.0</v>
      </c>
      <c r="K5" s="16"/>
      <c r="L5" s="17"/>
      <c r="M5" s="11">
        <v>40000.0</v>
      </c>
      <c r="N5" s="1"/>
      <c r="O5" s="1"/>
      <c r="P5" s="6"/>
      <c r="Q5" s="31"/>
      <c r="R5" s="6"/>
      <c r="S5" s="6"/>
      <c r="T5" s="6"/>
      <c r="U5" s="6"/>
    </row>
    <row r="6">
      <c r="A6" s="9" t="s">
        <v>19</v>
      </c>
      <c r="B6" s="10">
        <v>45752.0</v>
      </c>
      <c r="C6" s="11">
        <v>43000.0</v>
      </c>
      <c r="D6" s="12">
        <v>15000.0</v>
      </c>
      <c r="E6" s="13"/>
      <c r="F6" s="14"/>
      <c r="G6" s="12">
        <v>2000.0</v>
      </c>
      <c r="H6" s="13"/>
      <c r="I6" s="13"/>
      <c r="J6" s="15">
        <v>1.0</v>
      </c>
      <c r="K6" s="16"/>
      <c r="L6" s="17"/>
      <c r="M6" s="11">
        <v>43000.0</v>
      </c>
      <c r="N6" s="32" t="s">
        <v>20</v>
      </c>
      <c r="O6" s="33" t="s">
        <v>21</v>
      </c>
      <c r="P6" s="6"/>
      <c r="Q6" s="1"/>
      <c r="R6" s="6"/>
      <c r="S6" s="6"/>
      <c r="T6" s="6"/>
      <c r="U6" s="6"/>
    </row>
    <row r="7">
      <c r="A7" s="9" t="s">
        <v>22</v>
      </c>
      <c r="B7" s="10">
        <v>45753.0</v>
      </c>
      <c r="C7" s="11">
        <v>45000.0</v>
      </c>
      <c r="D7" s="12">
        <v>33000.0</v>
      </c>
      <c r="E7" s="13"/>
      <c r="F7" s="14"/>
      <c r="G7" s="12">
        <v>2000.0</v>
      </c>
      <c r="H7" s="13"/>
      <c r="I7" s="13"/>
      <c r="J7" s="15">
        <v>1.0</v>
      </c>
      <c r="K7" s="16"/>
      <c r="L7" s="17"/>
      <c r="M7" s="11">
        <v>45000.0</v>
      </c>
      <c r="N7" s="34">
        <f>E32/J32</f>
        <v>26763.4</v>
      </c>
      <c r="O7" s="34">
        <v>100000.0</v>
      </c>
      <c r="P7" s="1"/>
      <c r="Q7" s="1"/>
      <c r="R7" s="6"/>
      <c r="S7" s="6"/>
      <c r="T7" s="6"/>
      <c r="U7" s="6"/>
    </row>
    <row r="8">
      <c r="A8" s="9" t="s">
        <v>23</v>
      </c>
      <c r="B8" s="10">
        <v>45754.0</v>
      </c>
      <c r="C8" s="11">
        <v>63000.0</v>
      </c>
      <c r="D8" s="12">
        <v>54000.0</v>
      </c>
      <c r="E8" s="13"/>
      <c r="F8" s="14"/>
      <c r="G8" s="12">
        <v>2000.0</v>
      </c>
      <c r="H8" s="13"/>
      <c r="I8" s="13"/>
      <c r="J8" s="15">
        <v>1.0</v>
      </c>
      <c r="K8" s="16"/>
      <c r="L8" s="17"/>
      <c r="M8" s="35">
        <v>63000.0</v>
      </c>
      <c r="N8" s="1" t="s">
        <v>24</v>
      </c>
      <c r="O8" s="1"/>
      <c r="P8" s="1"/>
      <c r="Q8" s="1"/>
      <c r="R8" s="6"/>
      <c r="S8" s="6" t="s">
        <v>25</v>
      </c>
      <c r="T8" s="6"/>
      <c r="U8" s="6"/>
    </row>
    <row r="9">
      <c r="A9" s="9" t="s">
        <v>11</v>
      </c>
      <c r="B9" s="10">
        <v>45755.0</v>
      </c>
      <c r="C9" s="12">
        <v>54000.0</v>
      </c>
      <c r="D9" s="12">
        <v>32000.0</v>
      </c>
      <c r="E9" s="13"/>
      <c r="F9" s="14"/>
      <c r="G9" s="12">
        <v>2000.0</v>
      </c>
      <c r="H9" s="13"/>
      <c r="I9" s="13"/>
      <c r="J9" s="15">
        <v>1.0</v>
      </c>
      <c r="K9" s="16"/>
      <c r="L9" s="17"/>
      <c r="M9" s="11">
        <v>54000.0</v>
      </c>
      <c r="N9" s="1"/>
      <c r="O9" s="1"/>
      <c r="P9" s="1"/>
      <c r="Q9" s="1"/>
      <c r="R9" s="6"/>
      <c r="S9" s="6"/>
      <c r="T9" s="6"/>
      <c r="U9" s="6"/>
    </row>
    <row r="10">
      <c r="A10" s="9" t="s">
        <v>12</v>
      </c>
      <c r="B10" s="10">
        <v>45756.0</v>
      </c>
      <c r="C10" s="12">
        <v>52000.0</v>
      </c>
      <c r="D10" s="12">
        <v>48000.0</v>
      </c>
      <c r="E10" s="13"/>
      <c r="F10" s="14"/>
      <c r="G10" s="12">
        <v>2000.0</v>
      </c>
      <c r="H10" s="13"/>
      <c r="I10" s="13"/>
      <c r="J10" s="15">
        <v>1.0</v>
      </c>
      <c r="K10" s="16"/>
      <c r="L10" s="17"/>
      <c r="M10" s="11">
        <v>52000.0</v>
      </c>
      <c r="N10" s="36" t="s">
        <v>26</v>
      </c>
      <c r="O10" s="36" t="s">
        <v>27</v>
      </c>
      <c r="P10" s="37" t="s">
        <v>28</v>
      </c>
      <c r="Q10" s="38" t="s">
        <v>29</v>
      </c>
      <c r="R10" s="6"/>
      <c r="S10" s="6"/>
      <c r="T10" s="6"/>
      <c r="U10" s="6"/>
    </row>
    <row r="11">
      <c r="A11" s="9" t="s">
        <v>17</v>
      </c>
      <c r="B11" s="10">
        <v>45757.0</v>
      </c>
      <c r="C11" s="12">
        <v>45000.0</v>
      </c>
      <c r="D11" s="12">
        <v>46000.0</v>
      </c>
      <c r="E11" s="13"/>
      <c r="F11" s="14"/>
      <c r="G11" s="12">
        <v>2000.0</v>
      </c>
      <c r="H11" s="13"/>
      <c r="I11" s="13"/>
      <c r="J11" s="15">
        <v>1.0</v>
      </c>
      <c r="K11" s="16"/>
      <c r="L11" s="17"/>
      <c r="M11" s="11">
        <v>45000.0</v>
      </c>
      <c r="N11" s="11">
        <f>N14+D32-G32-E32-O11-'Les Salaires '!M30</f>
        <v>507715</v>
      </c>
      <c r="O11" s="39">
        <v>44000.0</v>
      </c>
      <c r="P11" s="40">
        <v>250000.0</v>
      </c>
      <c r="Q11" s="34">
        <f>N11-P11</f>
        <v>257715</v>
      </c>
      <c r="R11" s="6"/>
      <c r="S11" s="6"/>
      <c r="T11" s="6"/>
      <c r="U11" s="6"/>
    </row>
    <row r="12">
      <c r="A12" s="24" t="s">
        <v>18</v>
      </c>
      <c r="B12" s="25">
        <v>45758.0</v>
      </c>
      <c r="C12" s="27">
        <v>57000.0</v>
      </c>
      <c r="D12" s="27">
        <v>78000.0</v>
      </c>
      <c r="E12" s="28"/>
      <c r="F12" s="29"/>
      <c r="G12" s="27">
        <v>2000.0</v>
      </c>
      <c r="H12" s="28"/>
      <c r="I12" s="28"/>
      <c r="J12" s="30">
        <v>1.0</v>
      </c>
      <c r="K12" s="16"/>
      <c r="L12" s="17"/>
      <c r="M12" s="11">
        <v>57000.0</v>
      </c>
      <c r="N12" s="1"/>
      <c r="O12" s="1"/>
      <c r="P12" s="41"/>
      <c r="Q12" s="41"/>
      <c r="R12" s="6"/>
      <c r="S12" s="6"/>
      <c r="T12" s="6"/>
      <c r="U12" s="6"/>
    </row>
    <row r="13">
      <c r="A13" s="9" t="s">
        <v>19</v>
      </c>
      <c r="B13" s="10">
        <v>45759.0</v>
      </c>
      <c r="C13" s="12">
        <v>58000.0</v>
      </c>
      <c r="D13" s="12">
        <v>56000.0</v>
      </c>
      <c r="E13" s="13"/>
      <c r="F13" s="14"/>
      <c r="G13" s="12">
        <v>2000.0</v>
      </c>
      <c r="H13" s="13"/>
      <c r="I13" s="13"/>
      <c r="J13" s="15">
        <v>1.0</v>
      </c>
      <c r="K13" s="16"/>
      <c r="L13" s="17"/>
      <c r="M13" s="11">
        <v>58000.0</v>
      </c>
      <c r="N13" s="37" t="s">
        <v>30</v>
      </c>
      <c r="O13" s="41"/>
      <c r="P13" s="6"/>
      <c r="Q13" s="41"/>
      <c r="R13" s="6"/>
      <c r="S13" s="6"/>
      <c r="T13" s="6"/>
      <c r="U13" s="6"/>
    </row>
    <row r="14">
      <c r="A14" s="9" t="s">
        <v>22</v>
      </c>
      <c r="B14" s="10">
        <v>45760.0</v>
      </c>
      <c r="C14" s="12">
        <v>55000.0</v>
      </c>
      <c r="D14" s="12">
        <v>65000.0</v>
      </c>
      <c r="E14" s="13"/>
      <c r="F14" s="14"/>
      <c r="G14" s="12">
        <v>2000.0</v>
      </c>
      <c r="H14" s="13"/>
      <c r="I14" s="13"/>
      <c r="J14" s="15">
        <v>1.0</v>
      </c>
      <c r="K14" s="42" t="s">
        <v>31</v>
      </c>
      <c r="L14" s="17"/>
      <c r="M14" s="11">
        <v>55000.0</v>
      </c>
      <c r="N14" s="43">
        <v>330000.0</v>
      </c>
      <c r="O14" s="41"/>
      <c r="P14" s="6"/>
      <c r="Q14" s="22"/>
      <c r="R14" s="6"/>
      <c r="S14" s="6"/>
      <c r="T14" s="6"/>
      <c r="U14" s="6"/>
    </row>
    <row r="15">
      <c r="A15" s="9" t="s">
        <v>23</v>
      </c>
      <c r="B15" s="10">
        <v>45761.0</v>
      </c>
      <c r="C15" s="12">
        <v>74000.0</v>
      </c>
      <c r="D15" s="12">
        <v>39000.0</v>
      </c>
      <c r="E15" s="13"/>
      <c r="F15" s="14"/>
      <c r="G15" s="12">
        <v>2000.0</v>
      </c>
      <c r="H15" s="13"/>
      <c r="I15" s="13"/>
      <c r="J15" s="15">
        <v>1.0</v>
      </c>
      <c r="K15" s="16"/>
      <c r="L15" s="17"/>
      <c r="M15" s="35">
        <v>74000.0</v>
      </c>
      <c r="N15" s="22"/>
      <c r="O15" s="22"/>
      <c r="P15" s="16"/>
      <c r="Q15" s="44" t="s">
        <v>32</v>
      </c>
      <c r="R15" s="6"/>
      <c r="S15" s="6"/>
      <c r="T15" s="6"/>
      <c r="U15" s="6"/>
    </row>
    <row r="16">
      <c r="A16" s="9" t="s">
        <v>11</v>
      </c>
      <c r="B16" s="10">
        <v>45762.0</v>
      </c>
      <c r="C16" s="12">
        <v>29000.0</v>
      </c>
      <c r="D16" s="12">
        <v>43000.0</v>
      </c>
      <c r="E16" s="13"/>
      <c r="F16" s="14"/>
      <c r="G16" s="12">
        <v>2000.0</v>
      </c>
      <c r="H16" s="13"/>
      <c r="I16" s="13"/>
      <c r="J16" s="15">
        <v>1.0</v>
      </c>
      <c r="K16" s="45">
        <v>1.0</v>
      </c>
      <c r="L16" s="17"/>
      <c r="M16" s="11">
        <v>29000.0</v>
      </c>
      <c r="N16" s="40" t="s">
        <v>33</v>
      </c>
      <c r="O16" s="22"/>
      <c r="P16" s="22"/>
      <c r="Q16" s="44" t="s">
        <v>34</v>
      </c>
      <c r="R16" s="6"/>
      <c r="S16" s="6"/>
      <c r="T16" s="6"/>
      <c r="U16" s="6"/>
    </row>
    <row r="17">
      <c r="A17" s="9" t="s">
        <v>12</v>
      </c>
      <c r="B17" s="10">
        <v>45763.0</v>
      </c>
      <c r="C17" s="12">
        <v>56000.0</v>
      </c>
      <c r="D17" s="12">
        <v>62000.0</v>
      </c>
      <c r="E17" s="13"/>
      <c r="F17" s="14"/>
      <c r="G17" s="12">
        <v>2000.0</v>
      </c>
      <c r="H17" s="13"/>
      <c r="I17" s="13"/>
      <c r="J17" s="15">
        <v>1.0</v>
      </c>
      <c r="K17" s="45">
        <v>1.0</v>
      </c>
      <c r="L17" s="17"/>
      <c r="M17" s="11">
        <v>56000.0</v>
      </c>
      <c r="N17" s="46">
        <v>440000.0</v>
      </c>
      <c r="O17" s="22"/>
      <c r="P17" s="22"/>
      <c r="Q17" s="47"/>
      <c r="R17" s="6"/>
      <c r="S17" s="6"/>
      <c r="T17" s="6"/>
      <c r="U17" s="6"/>
    </row>
    <row r="18">
      <c r="A18" s="9" t="s">
        <v>17</v>
      </c>
      <c r="B18" s="10">
        <v>45764.0</v>
      </c>
      <c r="C18" s="12">
        <v>37000.0</v>
      </c>
      <c r="D18" s="12">
        <v>91000.0</v>
      </c>
      <c r="E18" s="13"/>
      <c r="F18" s="14"/>
      <c r="G18" s="12">
        <v>2000.0</v>
      </c>
      <c r="H18" s="13"/>
      <c r="I18" s="13"/>
      <c r="J18" s="15">
        <v>1.0</v>
      </c>
      <c r="K18" s="16"/>
      <c r="L18" s="17"/>
      <c r="M18" s="11">
        <v>37000.0</v>
      </c>
      <c r="N18" s="48"/>
      <c r="O18" s="22"/>
      <c r="P18" s="49"/>
      <c r="Q18" s="50"/>
      <c r="R18" s="51"/>
      <c r="S18" s="6"/>
      <c r="T18" s="6"/>
      <c r="U18" s="6"/>
    </row>
    <row r="19">
      <c r="A19" s="24" t="s">
        <v>18</v>
      </c>
      <c r="B19" s="25">
        <v>45765.0</v>
      </c>
      <c r="C19" s="27">
        <v>36000.0</v>
      </c>
      <c r="D19" s="27">
        <v>59000.0</v>
      </c>
      <c r="E19" s="28"/>
      <c r="F19" s="29"/>
      <c r="G19" s="27">
        <v>2000.0</v>
      </c>
      <c r="H19" s="28"/>
      <c r="I19" s="28"/>
      <c r="J19" s="30">
        <v>1.0</v>
      </c>
      <c r="K19" s="16"/>
      <c r="L19" s="17"/>
      <c r="M19" s="11">
        <v>36000.0</v>
      </c>
      <c r="N19" s="52" t="s">
        <v>35</v>
      </c>
      <c r="O19" s="22"/>
      <c r="P19" s="22"/>
      <c r="Q19" s="53"/>
      <c r="R19" s="22"/>
      <c r="S19" s="22"/>
      <c r="T19" s="6"/>
      <c r="U19" s="6"/>
    </row>
    <row r="20">
      <c r="A20" s="9" t="s">
        <v>19</v>
      </c>
      <c r="B20" s="10">
        <v>45766.0</v>
      </c>
      <c r="C20" s="12">
        <v>49000.0</v>
      </c>
      <c r="D20" s="12">
        <v>32000.0</v>
      </c>
      <c r="E20" s="13"/>
      <c r="F20" s="14"/>
      <c r="G20" s="12">
        <v>2000.0</v>
      </c>
      <c r="H20" s="13"/>
      <c r="I20" s="13"/>
      <c r="J20" s="15">
        <v>1.0</v>
      </c>
      <c r="K20" s="16"/>
      <c r="L20" s="17"/>
      <c r="M20" s="11">
        <v>49000.0</v>
      </c>
      <c r="N20" s="11">
        <f>D32-C32</f>
        <v>-812000</v>
      </c>
      <c r="O20" s="22"/>
      <c r="P20" s="6"/>
      <c r="Q20" s="54"/>
      <c r="R20" s="6"/>
      <c r="S20" s="6"/>
      <c r="T20" s="6"/>
      <c r="U20" s="6"/>
    </row>
    <row r="21">
      <c r="A21" s="9" t="s">
        <v>22</v>
      </c>
      <c r="B21" s="10">
        <v>45767.0</v>
      </c>
      <c r="C21" s="12">
        <v>61000.0</v>
      </c>
      <c r="D21" s="12">
        <v>53000.0</v>
      </c>
      <c r="E21" s="13"/>
      <c r="F21" s="14"/>
      <c r="G21" s="12">
        <v>2000.0</v>
      </c>
      <c r="H21" s="13"/>
      <c r="I21" s="13"/>
      <c r="J21" s="15">
        <v>1.0</v>
      </c>
      <c r="K21" s="16"/>
      <c r="L21" s="17"/>
      <c r="M21" s="11">
        <v>61000.0</v>
      </c>
      <c r="N21" s="55" t="s">
        <v>36</v>
      </c>
      <c r="O21" s="22"/>
      <c r="P21" s="16"/>
      <c r="Q21" s="56"/>
      <c r="R21" s="49"/>
      <c r="S21" s="49"/>
      <c r="T21" s="16"/>
      <c r="U21" s="6"/>
    </row>
    <row r="22">
      <c r="A22" s="9" t="s">
        <v>23</v>
      </c>
      <c r="B22" s="10">
        <v>45768.0</v>
      </c>
      <c r="C22" s="12">
        <v>61000.0</v>
      </c>
      <c r="D22" s="12">
        <v>37000.0</v>
      </c>
      <c r="E22" s="13"/>
      <c r="F22" s="14"/>
      <c r="G22" s="12">
        <v>2000.0</v>
      </c>
      <c r="H22" s="13"/>
      <c r="I22" s="13"/>
      <c r="J22" s="15">
        <v>1.0</v>
      </c>
      <c r="K22" s="16"/>
      <c r="L22" s="17"/>
      <c r="M22" s="35">
        <v>61000.0</v>
      </c>
      <c r="N22" s="34">
        <f>L35-E35</f>
        <v>0</v>
      </c>
      <c r="O22" s="22"/>
      <c r="P22" s="57" t="s">
        <v>37</v>
      </c>
      <c r="Q22" s="58">
        <v>440000.0</v>
      </c>
      <c r="R22" s="49"/>
      <c r="S22" s="49"/>
      <c r="T22" s="16"/>
      <c r="U22" s="6"/>
    </row>
    <row r="23">
      <c r="A23" s="9" t="s">
        <v>11</v>
      </c>
      <c r="B23" s="10">
        <v>45769.0</v>
      </c>
      <c r="C23" s="12">
        <v>36000.0</v>
      </c>
      <c r="D23" s="12">
        <v>49000.0</v>
      </c>
      <c r="E23" s="13"/>
      <c r="F23" s="14"/>
      <c r="G23" s="12">
        <v>2000.0</v>
      </c>
      <c r="H23" s="13"/>
      <c r="I23" s="13"/>
      <c r="J23" s="15">
        <v>1.0</v>
      </c>
      <c r="K23" s="16"/>
      <c r="L23" s="17"/>
      <c r="M23" s="11">
        <v>36000.0</v>
      </c>
      <c r="N23" s="59" t="s">
        <v>38</v>
      </c>
      <c r="O23" s="22"/>
      <c r="P23" s="57" t="s">
        <v>39</v>
      </c>
      <c r="Q23" s="58">
        <v>38000.0</v>
      </c>
      <c r="R23" s="49"/>
      <c r="S23" s="49"/>
      <c r="T23" s="16"/>
      <c r="U23" s="6"/>
    </row>
    <row r="24">
      <c r="A24" s="9" t="s">
        <v>12</v>
      </c>
      <c r="B24" s="10">
        <v>45770.0</v>
      </c>
      <c r="C24" s="12">
        <v>39000.0</v>
      </c>
      <c r="D24" s="12">
        <v>63000.0</v>
      </c>
      <c r="E24" s="13"/>
      <c r="F24" s="14"/>
      <c r="G24" s="12">
        <v>2000.0</v>
      </c>
      <c r="H24" s="13"/>
      <c r="I24" s="13"/>
      <c r="J24" s="15">
        <v>1.0</v>
      </c>
      <c r="K24" s="16"/>
      <c r="L24" s="17"/>
      <c r="M24" s="11">
        <v>39000.0</v>
      </c>
      <c r="N24" s="43">
        <f>D32-C32</f>
        <v>-812000</v>
      </c>
      <c r="O24" s="22"/>
      <c r="P24" s="57" t="s">
        <v>40</v>
      </c>
      <c r="Q24" s="58">
        <v>24000.0</v>
      </c>
      <c r="R24" s="16"/>
      <c r="S24" s="16"/>
      <c r="T24" s="16"/>
      <c r="U24" s="6"/>
    </row>
    <row r="25">
      <c r="A25" s="9" t="s">
        <v>17</v>
      </c>
      <c r="B25" s="10">
        <v>45771.0</v>
      </c>
      <c r="C25" s="12">
        <v>57000.0</v>
      </c>
      <c r="D25" s="12">
        <v>73000.0</v>
      </c>
      <c r="E25" s="13"/>
      <c r="F25" s="14"/>
      <c r="G25" s="12">
        <v>2000.0</v>
      </c>
      <c r="H25" s="13"/>
      <c r="I25" s="13"/>
      <c r="J25" s="15">
        <v>1.0</v>
      </c>
      <c r="K25" s="16"/>
      <c r="L25" s="17"/>
      <c r="M25" s="11">
        <v>57000.0</v>
      </c>
      <c r="N25" s="37" t="s">
        <v>41</v>
      </c>
      <c r="O25" s="22"/>
      <c r="P25" s="57" t="s">
        <v>42</v>
      </c>
      <c r="Q25" s="58">
        <v>36000.0</v>
      </c>
      <c r="R25" s="16"/>
      <c r="S25" s="16"/>
      <c r="T25" s="16"/>
      <c r="U25" s="6"/>
    </row>
    <row r="26">
      <c r="A26" s="24" t="s">
        <v>18</v>
      </c>
      <c r="B26" s="25">
        <v>45772.0</v>
      </c>
      <c r="C26" s="27">
        <v>74000.0</v>
      </c>
      <c r="D26" s="27">
        <v>53000.0</v>
      </c>
      <c r="E26" s="28"/>
      <c r="F26" s="29"/>
      <c r="G26" s="27">
        <v>2000.0</v>
      </c>
      <c r="H26" s="28"/>
      <c r="I26" s="28"/>
      <c r="J26" s="30">
        <v>1.0</v>
      </c>
      <c r="K26" s="16"/>
      <c r="L26" s="17"/>
      <c r="M26" s="11">
        <v>74000.0</v>
      </c>
      <c r="N26" s="34">
        <f>D9+D16+D23+D30</f>
        <v>167000</v>
      </c>
      <c r="O26" s="6"/>
      <c r="P26" s="57" t="s">
        <v>43</v>
      </c>
      <c r="Q26" s="58">
        <v>42000.0</v>
      </c>
      <c r="R26" s="16"/>
      <c r="S26" s="16"/>
      <c r="T26" s="16"/>
      <c r="U26" s="6"/>
    </row>
    <row r="27">
      <c r="A27" s="9" t="s">
        <v>19</v>
      </c>
      <c r="B27" s="10">
        <v>45773.0</v>
      </c>
      <c r="C27" s="12">
        <v>68000.0</v>
      </c>
      <c r="D27" s="12">
        <v>1000.0</v>
      </c>
      <c r="E27" s="13"/>
      <c r="F27" s="14"/>
      <c r="G27" s="12">
        <v>0.0</v>
      </c>
      <c r="H27" s="13"/>
      <c r="I27" s="13"/>
      <c r="J27" s="15">
        <v>0.0</v>
      </c>
      <c r="K27" s="16"/>
      <c r="L27" s="17"/>
      <c r="M27" s="11">
        <v>68000.0</v>
      </c>
      <c r="N27" s="41"/>
      <c r="O27" s="6"/>
      <c r="P27" s="57" t="s">
        <v>39</v>
      </c>
      <c r="Q27" s="58">
        <v>220000.0</v>
      </c>
      <c r="R27" s="16"/>
      <c r="S27" s="16"/>
      <c r="T27" s="16"/>
      <c r="U27" s="6"/>
    </row>
    <row r="28">
      <c r="A28" s="9" t="s">
        <v>22</v>
      </c>
      <c r="B28" s="10">
        <v>45774.0</v>
      </c>
      <c r="C28" s="12">
        <v>70000.0</v>
      </c>
      <c r="D28" s="12">
        <v>37000.0</v>
      </c>
      <c r="E28" s="13"/>
      <c r="F28" s="14"/>
      <c r="G28" s="12">
        <v>2000.0</v>
      </c>
      <c r="H28" s="13"/>
      <c r="I28" s="13"/>
      <c r="J28" s="15">
        <v>1.0</v>
      </c>
      <c r="K28" s="16"/>
      <c r="L28" s="17"/>
      <c r="M28" s="11">
        <v>70000.0</v>
      </c>
      <c r="N28" s="32" t="s">
        <v>28</v>
      </c>
      <c r="O28" s="6"/>
      <c r="P28" s="60"/>
      <c r="Q28" s="61"/>
      <c r="R28" s="16"/>
      <c r="S28" s="16"/>
      <c r="T28" s="16"/>
      <c r="U28" s="6"/>
    </row>
    <row r="29">
      <c r="A29" s="9" t="s">
        <v>23</v>
      </c>
      <c r="B29" s="10">
        <v>45775.0</v>
      </c>
      <c r="C29" s="12">
        <v>226000.0</v>
      </c>
      <c r="D29" s="12">
        <v>55000.0</v>
      </c>
      <c r="E29" s="13"/>
      <c r="F29" s="14"/>
      <c r="G29" s="12">
        <v>2000.0</v>
      </c>
      <c r="H29" s="13"/>
      <c r="I29" s="13"/>
      <c r="J29" s="15">
        <v>1.0</v>
      </c>
      <c r="K29" s="16"/>
      <c r="L29" s="17"/>
      <c r="M29" s="35">
        <v>226000.0</v>
      </c>
      <c r="N29" s="34">
        <v>51000.0</v>
      </c>
      <c r="O29" s="22"/>
      <c r="P29" s="60"/>
      <c r="Q29" s="61"/>
      <c r="R29" s="16"/>
      <c r="S29" s="16"/>
      <c r="T29" s="16"/>
      <c r="U29" s="6"/>
    </row>
    <row r="30">
      <c r="A30" s="9" t="s">
        <v>11</v>
      </c>
      <c r="B30" s="10">
        <v>45776.0</v>
      </c>
      <c r="C30" s="12">
        <v>370000.0</v>
      </c>
      <c r="D30" s="12">
        <v>43000.0</v>
      </c>
      <c r="E30" s="13"/>
      <c r="F30" s="14"/>
      <c r="G30" s="12">
        <v>2000.0</v>
      </c>
      <c r="H30" s="13"/>
      <c r="I30" s="13"/>
      <c r="J30" s="15">
        <v>1.0</v>
      </c>
      <c r="K30" s="16"/>
      <c r="L30" s="17"/>
      <c r="M30" s="11">
        <v>370000.0</v>
      </c>
      <c r="N30" s="62" t="s">
        <v>44</v>
      </c>
      <c r="O30" s="6"/>
      <c r="P30" s="60"/>
      <c r="Q30" s="61"/>
      <c r="R30" s="16"/>
      <c r="S30" s="16"/>
      <c r="T30" s="16"/>
      <c r="U30" s="6"/>
    </row>
    <row r="31">
      <c r="A31" s="9" t="s">
        <v>12</v>
      </c>
      <c r="B31" s="10">
        <v>45777.0</v>
      </c>
      <c r="C31" s="12">
        <v>60000.0</v>
      </c>
      <c r="D31" s="12">
        <v>65000.0</v>
      </c>
      <c r="E31" s="13"/>
      <c r="F31" s="14"/>
      <c r="G31" s="12">
        <v>2000.0</v>
      </c>
      <c r="H31" s="13"/>
      <c r="I31" s="13"/>
      <c r="J31" s="15">
        <v>1.0</v>
      </c>
      <c r="K31" s="16"/>
      <c r="L31" s="17"/>
      <c r="M31" s="11">
        <v>60000.0</v>
      </c>
      <c r="N31" s="41"/>
      <c r="O31" s="6"/>
      <c r="P31" s="60"/>
      <c r="Q31" s="61"/>
      <c r="R31" s="16"/>
      <c r="S31" s="16"/>
      <c r="T31" s="16"/>
      <c r="U31" s="6"/>
    </row>
    <row r="32">
      <c r="A32" s="16"/>
      <c r="B32" s="63"/>
      <c r="C32" s="64">
        <f t="shared" ref="C32:D32" si="1">SUM(C2:C31)</f>
        <v>2094000</v>
      </c>
      <c r="D32" s="64">
        <f t="shared" si="1"/>
        <v>1282000</v>
      </c>
      <c r="E32" s="64">
        <f>'Les Charges '!G280</f>
        <v>669085</v>
      </c>
      <c r="F32" s="65">
        <f>'Les Salaires '!L30</f>
        <v>337862</v>
      </c>
      <c r="G32" s="64">
        <f>SUM(G2:G31)</f>
        <v>50000</v>
      </c>
      <c r="H32" s="64">
        <v>180000.0</v>
      </c>
      <c r="I32" s="64">
        <f>D32-E32-F32-G32-H32</f>
        <v>45053</v>
      </c>
      <c r="J32" s="66">
        <f>SUM(J2:J31)</f>
        <v>25</v>
      </c>
      <c r="K32" s="6"/>
      <c r="L32" s="17"/>
      <c r="M32" s="26">
        <f>SUM(M2:M31)</f>
        <v>2094000</v>
      </c>
      <c r="N32" s="41"/>
      <c r="O32" s="22"/>
      <c r="P32" s="58" t="s">
        <v>45</v>
      </c>
      <c r="Q32" s="58">
        <v>100000.0</v>
      </c>
      <c r="R32" s="16"/>
      <c r="S32" s="16"/>
      <c r="T32" s="16"/>
      <c r="U32" s="6"/>
    </row>
    <row r="33">
      <c r="A33" s="6"/>
      <c r="B33" s="67"/>
      <c r="C33" s="22"/>
      <c r="D33" s="22"/>
      <c r="E33" s="6"/>
      <c r="F33" s="68"/>
      <c r="G33" s="69" t="s">
        <v>46</v>
      </c>
      <c r="H33" s="70">
        <v>55000.0</v>
      </c>
      <c r="I33" s="6"/>
      <c r="J33" s="6"/>
      <c r="K33" s="6"/>
      <c r="L33" s="22"/>
      <c r="M33" s="22"/>
      <c r="N33" s="41"/>
      <c r="O33" s="22"/>
      <c r="P33" s="49"/>
      <c r="Q33" s="49"/>
      <c r="R33" s="16"/>
      <c r="S33" s="16"/>
      <c r="T33" s="16"/>
      <c r="U33" s="6"/>
    </row>
    <row r="34">
      <c r="A34" s="6"/>
      <c r="B34" s="67"/>
      <c r="C34" s="22"/>
      <c r="D34" s="22"/>
      <c r="E34" s="22"/>
      <c r="F34" s="68"/>
      <c r="G34" s="71" t="s">
        <v>47</v>
      </c>
      <c r="H34" s="70">
        <v>40000.0</v>
      </c>
      <c r="I34" s="22"/>
      <c r="J34" s="6"/>
      <c r="K34" s="6"/>
      <c r="L34" s="22"/>
      <c r="M34" s="22"/>
      <c r="N34" s="34">
        <f>N11-N29-N33</f>
        <v>456715</v>
      </c>
      <c r="O34" s="6"/>
      <c r="P34" s="49"/>
      <c r="Q34" s="16"/>
      <c r="R34" s="16"/>
      <c r="S34" s="16"/>
      <c r="T34" s="16"/>
      <c r="U34" s="6"/>
    </row>
    <row r="35">
      <c r="A35" s="6"/>
      <c r="B35" s="6"/>
      <c r="C35" s="6"/>
      <c r="D35" s="72">
        <v>200000.0</v>
      </c>
      <c r="E35" s="6"/>
      <c r="F35" s="68"/>
      <c r="G35" s="69" t="s">
        <v>48</v>
      </c>
      <c r="H35" s="70">
        <v>45000.0</v>
      </c>
      <c r="I35" s="6"/>
      <c r="J35" s="6"/>
      <c r="K35" s="6"/>
      <c r="L35" s="6"/>
      <c r="M35" s="6"/>
      <c r="N35" s="6"/>
      <c r="O35" s="6"/>
      <c r="P35" s="49"/>
      <c r="Q35" s="16"/>
      <c r="R35" s="16"/>
      <c r="S35" s="16"/>
      <c r="T35" s="16"/>
      <c r="U35" s="6"/>
    </row>
    <row r="36">
      <c r="A36" s="6"/>
      <c r="B36" s="6"/>
      <c r="C36" s="6"/>
      <c r="D36" s="6"/>
      <c r="E36" s="6"/>
      <c r="F36" s="68"/>
      <c r="G36" s="69" t="s">
        <v>49</v>
      </c>
      <c r="H36" s="70">
        <v>40000.0</v>
      </c>
      <c r="I36" s="6"/>
      <c r="J36" s="6"/>
      <c r="K36" s="6"/>
      <c r="L36" s="6"/>
      <c r="M36" s="6"/>
      <c r="N36" s="6"/>
      <c r="O36" s="6"/>
      <c r="P36" s="57" t="s">
        <v>50</v>
      </c>
      <c r="Q36" s="58">
        <v>40000.0</v>
      </c>
      <c r="R36" s="16"/>
      <c r="S36" s="16"/>
      <c r="T36" s="16"/>
      <c r="U36" s="6"/>
    </row>
    <row r="37">
      <c r="A37" s="6"/>
      <c r="B37" s="6"/>
      <c r="C37" s="6"/>
      <c r="D37" s="6" t="s">
        <v>51</v>
      </c>
      <c r="E37" s="6"/>
      <c r="F37" s="68"/>
      <c r="G37" s="6"/>
      <c r="H37" s="6"/>
      <c r="I37" s="6"/>
      <c r="J37" s="6"/>
      <c r="K37" s="6"/>
      <c r="L37" s="6"/>
      <c r="M37" s="6"/>
      <c r="N37" s="6"/>
      <c r="O37" s="6"/>
      <c r="P37" s="16"/>
      <c r="Q37" s="16"/>
      <c r="R37" s="16"/>
      <c r="S37" s="16"/>
      <c r="T37" s="16"/>
      <c r="U37" s="6"/>
    </row>
    <row r="38">
      <c r="A38" s="6"/>
      <c r="B38" s="6"/>
      <c r="C38" s="6"/>
      <c r="D38" s="6"/>
      <c r="E38" s="6"/>
      <c r="F38" s="68"/>
      <c r="G38" s="6"/>
      <c r="H38" s="6"/>
      <c r="I38" s="6"/>
      <c r="J38" s="6"/>
      <c r="K38" s="6"/>
      <c r="L38" s="6"/>
      <c r="M38" s="6"/>
      <c r="N38" s="6"/>
      <c r="O38" s="6"/>
      <c r="P38" s="16"/>
      <c r="Q38" s="16"/>
      <c r="R38" s="16"/>
      <c r="S38" s="16"/>
      <c r="T38" s="16"/>
      <c r="U38" s="6"/>
    </row>
    <row r="39">
      <c r="A39" s="6"/>
      <c r="B39" s="6"/>
      <c r="C39" s="6"/>
      <c r="D39" s="6"/>
      <c r="E39" s="6"/>
      <c r="F39" s="68"/>
      <c r="G39" s="6"/>
      <c r="H39" s="6"/>
      <c r="I39" s="6"/>
      <c r="J39" s="6"/>
      <c r="K39" s="6"/>
      <c r="L39" s="6"/>
      <c r="M39" s="6"/>
      <c r="N39" s="6"/>
      <c r="O39" s="6"/>
      <c r="P39" s="16"/>
      <c r="Q39" s="16"/>
      <c r="R39" s="16"/>
      <c r="S39" s="16"/>
      <c r="T39" s="16"/>
      <c r="U39" s="6"/>
    </row>
    <row r="40">
      <c r="A40" s="6"/>
      <c r="B40" s="6"/>
      <c r="C40" s="6"/>
      <c r="D40" s="6"/>
      <c r="E40" s="6"/>
      <c r="F40" s="68"/>
      <c r="G40" s="6"/>
      <c r="H40" s="6"/>
      <c r="I40" s="6"/>
      <c r="J40" s="6"/>
      <c r="K40" s="6"/>
      <c r="L40" s="6"/>
      <c r="M40" s="6"/>
      <c r="N40" s="6"/>
      <c r="O40" s="6"/>
      <c r="P40" s="16"/>
      <c r="Q40" s="16"/>
      <c r="R40" s="6"/>
      <c r="S40" s="6"/>
      <c r="T40" s="6"/>
      <c r="U40" s="6"/>
    </row>
    <row r="41">
      <c r="A41" s="6"/>
      <c r="B41" s="6"/>
      <c r="C41" s="6"/>
      <c r="D41" s="6"/>
      <c r="E41" s="6"/>
      <c r="F41" s="6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>
      <c r="A42" s="6"/>
      <c r="B42" s="6"/>
      <c r="C42" s="6"/>
      <c r="D42" s="6"/>
      <c r="E42" s="6"/>
      <c r="F42" s="6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>
      <c r="A48" s="6"/>
      <c r="B48" s="6"/>
      <c r="C48" s="73">
        <v>1.0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4.88"/>
    <col customWidth="1" min="5" max="6" width="25.38"/>
    <col customWidth="1" min="7" max="7" width="26.13"/>
    <col customWidth="1" min="8" max="8" width="84.38"/>
  </cols>
  <sheetData>
    <row r="2">
      <c r="D2" s="74" t="s">
        <v>52</v>
      </c>
      <c r="E2" s="75" t="s">
        <v>53</v>
      </c>
      <c r="F2" s="75" t="s">
        <v>54</v>
      </c>
      <c r="G2" s="75" t="s">
        <v>55</v>
      </c>
      <c r="H2" s="75" t="s">
        <v>56</v>
      </c>
    </row>
    <row r="3">
      <c r="D3" s="76" t="s">
        <v>57</v>
      </c>
      <c r="E3" s="15">
        <v>10.0</v>
      </c>
      <c r="F3" s="11">
        <v>1000.0</v>
      </c>
      <c r="G3" s="77">
        <f t="shared" ref="G3:G279" si="1">E3*F3</f>
        <v>10000</v>
      </c>
      <c r="H3" s="63"/>
    </row>
    <row r="4">
      <c r="D4" s="76" t="s">
        <v>58</v>
      </c>
      <c r="E4" s="15">
        <v>2.0</v>
      </c>
      <c r="F4" s="11">
        <v>1000.0</v>
      </c>
      <c r="G4" s="77">
        <f t="shared" si="1"/>
        <v>2000</v>
      </c>
      <c r="H4" s="63"/>
    </row>
    <row r="5">
      <c r="D5" s="76" t="s">
        <v>59</v>
      </c>
      <c r="E5" s="15">
        <v>3.0</v>
      </c>
      <c r="F5" s="11">
        <v>850.0</v>
      </c>
      <c r="G5" s="77">
        <f t="shared" si="1"/>
        <v>2550</v>
      </c>
      <c r="H5" s="63"/>
    </row>
    <row r="6">
      <c r="D6" s="76" t="s">
        <v>60</v>
      </c>
      <c r="E6" s="15">
        <v>6.0</v>
      </c>
      <c r="F6" s="11">
        <v>250.0</v>
      </c>
      <c r="G6" s="77">
        <f t="shared" si="1"/>
        <v>1500</v>
      </c>
      <c r="H6" s="63"/>
    </row>
    <row r="7">
      <c r="D7" s="78" t="s">
        <v>61</v>
      </c>
      <c r="E7" s="78">
        <v>6.0</v>
      </c>
      <c r="F7" s="79">
        <v>450.0</v>
      </c>
      <c r="G7" s="77">
        <f t="shared" si="1"/>
        <v>2700</v>
      </c>
      <c r="H7" s="80"/>
    </row>
    <row r="8">
      <c r="D8" s="78" t="s">
        <v>62</v>
      </c>
      <c r="E8" s="78">
        <v>4.0</v>
      </c>
      <c r="F8" s="81">
        <v>580.0</v>
      </c>
      <c r="G8" s="77">
        <f t="shared" si="1"/>
        <v>2320</v>
      </c>
      <c r="H8" s="80"/>
    </row>
    <row r="9">
      <c r="D9" s="82" t="s">
        <v>63</v>
      </c>
      <c r="E9" s="15">
        <v>5.0</v>
      </c>
      <c r="F9" s="11">
        <v>415.0</v>
      </c>
      <c r="G9" s="77">
        <f t="shared" si="1"/>
        <v>2075</v>
      </c>
      <c r="H9" s="63"/>
    </row>
    <row r="10">
      <c r="D10" s="76" t="s">
        <v>64</v>
      </c>
      <c r="E10" s="15">
        <v>17.0</v>
      </c>
      <c r="F10" s="11">
        <v>600.0</v>
      </c>
      <c r="G10" s="77">
        <f t="shared" si="1"/>
        <v>10200</v>
      </c>
      <c r="H10" s="63"/>
    </row>
    <row r="11">
      <c r="D11" s="76" t="s">
        <v>65</v>
      </c>
      <c r="E11" s="15">
        <v>5.0</v>
      </c>
      <c r="F11" s="12">
        <v>280.0</v>
      </c>
      <c r="G11" s="77">
        <f t="shared" si="1"/>
        <v>1400</v>
      </c>
      <c r="H11" s="63"/>
    </row>
    <row r="12">
      <c r="D12" s="76" t="s">
        <v>66</v>
      </c>
      <c r="E12" s="15">
        <v>5.0</v>
      </c>
      <c r="F12" s="12">
        <v>280.0</v>
      </c>
      <c r="G12" s="77">
        <f t="shared" si="1"/>
        <v>1400</v>
      </c>
      <c r="H12" s="63"/>
    </row>
    <row r="13">
      <c r="D13" s="82" t="s">
        <v>67</v>
      </c>
      <c r="E13" s="15">
        <v>17.0</v>
      </c>
      <c r="F13" s="12">
        <v>280.0</v>
      </c>
      <c r="G13" s="77">
        <f t="shared" si="1"/>
        <v>4760</v>
      </c>
      <c r="H13" s="63"/>
    </row>
    <row r="14">
      <c r="D14" s="83" t="s">
        <v>68</v>
      </c>
      <c r="E14" s="84">
        <v>4.0</v>
      </c>
      <c r="F14" s="85">
        <v>180.0</v>
      </c>
      <c r="G14" s="86">
        <f t="shared" si="1"/>
        <v>720</v>
      </c>
      <c r="H14" s="63"/>
    </row>
    <row r="15">
      <c r="D15" s="76" t="s">
        <v>69</v>
      </c>
      <c r="E15" s="15">
        <v>10.0</v>
      </c>
      <c r="F15" s="11">
        <v>800.0</v>
      </c>
      <c r="G15" s="77">
        <f t="shared" si="1"/>
        <v>8000</v>
      </c>
      <c r="H15" s="63"/>
    </row>
    <row r="16">
      <c r="D16" s="76" t="s">
        <v>70</v>
      </c>
      <c r="E16" s="15">
        <v>50.0</v>
      </c>
      <c r="F16" s="11">
        <v>176.0</v>
      </c>
      <c r="G16" s="77">
        <f t="shared" si="1"/>
        <v>8800</v>
      </c>
      <c r="H16" s="63"/>
    </row>
    <row r="17">
      <c r="D17" s="87" t="s">
        <v>71</v>
      </c>
      <c r="E17" s="87">
        <v>22.0</v>
      </c>
      <c r="F17" s="88">
        <v>100.0</v>
      </c>
      <c r="G17" s="77">
        <f t="shared" si="1"/>
        <v>2200</v>
      </c>
      <c r="H17" s="63"/>
    </row>
    <row r="18">
      <c r="D18" s="89" t="s">
        <v>72</v>
      </c>
      <c r="E18" s="87">
        <v>1.0</v>
      </c>
      <c r="F18" s="90">
        <v>154.0</v>
      </c>
      <c r="G18" s="77">
        <f t="shared" si="1"/>
        <v>154</v>
      </c>
      <c r="H18" s="63"/>
    </row>
    <row r="19">
      <c r="D19" s="89" t="s">
        <v>73</v>
      </c>
      <c r="E19" s="87">
        <v>2.5</v>
      </c>
      <c r="F19" s="90">
        <v>700.0</v>
      </c>
      <c r="G19" s="91">
        <f t="shared" si="1"/>
        <v>1750</v>
      </c>
      <c r="H19" s="63"/>
    </row>
    <row r="20">
      <c r="D20" s="89" t="s">
        <v>74</v>
      </c>
      <c r="E20" s="87">
        <v>2.0</v>
      </c>
      <c r="F20" s="88">
        <v>2500.0</v>
      </c>
      <c r="G20" s="91">
        <f t="shared" si="1"/>
        <v>5000</v>
      </c>
      <c r="H20" s="63"/>
    </row>
    <row r="21">
      <c r="D21" s="89" t="s">
        <v>75</v>
      </c>
      <c r="E21" s="87">
        <v>160.0</v>
      </c>
      <c r="F21" s="88">
        <v>9.0</v>
      </c>
      <c r="G21" s="91">
        <f t="shared" si="1"/>
        <v>1440</v>
      </c>
      <c r="H21" s="63"/>
    </row>
    <row r="22">
      <c r="D22" s="89" t="s">
        <v>76</v>
      </c>
      <c r="E22" s="87">
        <v>6.0</v>
      </c>
      <c r="F22" s="88">
        <v>430.0</v>
      </c>
      <c r="G22" s="91">
        <f t="shared" si="1"/>
        <v>2580</v>
      </c>
      <c r="H22" s="63"/>
    </row>
    <row r="23">
      <c r="D23" s="76" t="s">
        <v>77</v>
      </c>
      <c r="E23" s="15">
        <v>4.0</v>
      </c>
      <c r="F23" s="11">
        <v>810.0</v>
      </c>
      <c r="G23" s="77">
        <f t="shared" si="1"/>
        <v>3240</v>
      </c>
      <c r="H23" s="63"/>
    </row>
    <row r="24">
      <c r="D24" s="76" t="s">
        <v>78</v>
      </c>
      <c r="E24" s="15">
        <v>2.0</v>
      </c>
      <c r="F24" s="11">
        <v>450.0</v>
      </c>
      <c r="G24" s="77">
        <f t="shared" si="1"/>
        <v>900</v>
      </c>
      <c r="H24" s="63"/>
    </row>
    <row r="25">
      <c r="D25" s="76" t="s">
        <v>79</v>
      </c>
      <c r="E25" s="15">
        <v>6.0</v>
      </c>
      <c r="F25" s="11">
        <v>250.0</v>
      </c>
      <c r="G25" s="77">
        <f t="shared" si="1"/>
        <v>1500</v>
      </c>
      <c r="H25" s="63"/>
    </row>
    <row r="26">
      <c r="D26" s="83" t="s">
        <v>80</v>
      </c>
      <c r="E26" s="83">
        <v>144.0</v>
      </c>
      <c r="F26" s="85">
        <v>17.0</v>
      </c>
      <c r="G26" s="86">
        <f t="shared" si="1"/>
        <v>2448</v>
      </c>
      <c r="H26" s="63"/>
    </row>
    <row r="27">
      <c r="D27" s="83" t="s">
        <v>81</v>
      </c>
      <c r="E27" s="84">
        <v>16.0</v>
      </c>
      <c r="F27" s="85">
        <v>52.0</v>
      </c>
      <c r="G27" s="86">
        <f t="shared" si="1"/>
        <v>832</v>
      </c>
      <c r="H27" s="63"/>
    </row>
    <row r="28">
      <c r="D28" s="83" t="s">
        <v>82</v>
      </c>
      <c r="E28" s="84">
        <v>24.0</v>
      </c>
      <c r="F28" s="85">
        <v>72.0</v>
      </c>
      <c r="G28" s="86">
        <f t="shared" si="1"/>
        <v>1728</v>
      </c>
      <c r="H28" s="63"/>
    </row>
    <row r="29">
      <c r="D29" s="76" t="s">
        <v>83</v>
      </c>
      <c r="E29" s="76">
        <v>21.0</v>
      </c>
      <c r="F29" s="11">
        <v>50.0</v>
      </c>
      <c r="G29" s="86">
        <f t="shared" si="1"/>
        <v>1050</v>
      </c>
      <c r="H29" s="92" t="s">
        <v>84</v>
      </c>
    </row>
    <row r="30">
      <c r="D30" s="89" t="s">
        <v>85</v>
      </c>
      <c r="E30" s="87">
        <v>37.0</v>
      </c>
      <c r="F30" s="93">
        <v>57.0</v>
      </c>
      <c r="G30" s="77">
        <f t="shared" si="1"/>
        <v>2109</v>
      </c>
      <c r="H30" s="63"/>
    </row>
    <row r="31">
      <c r="D31" s="89" t="s">
        <v>86</v>
      </c>
      <c r="E31" s="87">
        <v>106.0</v>
      </c>
      <c r="F31" s="90">
        <v>45.0</v>
      </c>
      <c r="G31" s="91">
        <f t="shared" si="1"/>
        <v>4770</v>
      </c>
      <c r="H31" s="63"/>
    </row>
    <row r="32">
      <c r="D32" s="89" t="s">
        <v>87</v>
      </c>
      <c r="E32" s="89">
        <v>36.0</v>
      </c>
      <c r="F32" s="90">
        <v>35.0</v>
      </c>
      <c r="G32" s="91">
        <f t="shared" si="1"/>
        <v>1260</v>
      </c>
      <c r="H32" s="63"/>
    </row>
    <row r="33">
      <c r="D33" s="89" t="s">
        <v>88</v>
      </c>
      <c r="E33" s="89">
        <v>96.0</v>
      </c>
      <c r="F33" s="90">
        <v>43.0</v>
      </c>
      <c r="G33" s="91">
        <f t="shared" si="1"/>
        <v>4128</v>
      </c>
      <c r="H33" s="63"/>
    </row>
    <row r="34">
      <c r="D34" s="89" t="s">
        <v>89</v>
      </c>
      <c r="E34" s="89">
        <v>1.2</v>
      </c>
      <c r="F34" s="90">
        <v>1650.0</v>
      </c>
      <c r="G34" s="91">
        <f t="shared" si="1"/>
        <v>1980</v>
      </c>
      <c r="H34" s="63"/>
    </row>
    <row r="35">
      <c r="D35" s="89" t="s">
        <v>90</v>
      </c>
      <c r="E35" s="87">
        <v>2.0</v>
      </c>
      <c r="F35" s="90">
        <v>90.0</v>
      </c>
      <c r="G35" s="91">
        <f t="shared" si="1"/>
        <v>180</v>
      </c>
      <c r="H35" s="63"/>
    </row>
    <row r="36">
      <c r="D36" s="89" t="s">
        <v>91</v>
      </c>
      <c r="E36" s="89">
        <v>19.0</v>
      </c>
      <c r="F36" s="90">
        <v>116.0</v>
      </c>
      <c r="G36" s="91">
        <f t="shared" si="1"/>
        <v>2204</v>
      </c>
      <c r="H36" s="63"/>
    </row>
    <row r="37">
      <c r="D37" s="89" t="s">
        <v>92</v>
      </c>
      <c r="E37" s="89">
        <v>1.0</v>
      </c>
      <c r="F37" s="90">
        <v>280.0</v>
      </c>
      <c r="G37" s="91">
        <f t="shared" si="1"/>
        <v>280</v>
      </c>
      <c r="H37" s="63"/>
    </row>
    <row r="38">
      <c r="D38" s="89" t="s">
        <v>93</v>
      </c>
      <c r="E38" s="89">
        <v>10.0</v>
      </c>
      <c r="F38" s="90">
        <v>950.0</v>
      </c>
      <c r="G38" s="91">
        <f t="shared" si="1"/>
        <v>9500</v>
      </c>
      <c r="H38" s="63"/>
    </row>
    <row r="39">
      <c r="D39" s="89" t="s">
        <v>94</v>
      </c>
      <c r="E39" s="87">
        <v>16.0</v>
      </c>
      <c r="F39" s="88">
        <v>430.0</v>
      </c>
      <c r="G39" s="91">
        <f t="shared" si="1"/>
        <v>6880</v>
      </c>
      <c r="H39" s="63"/>
    </row>
    <row r="40">
      <c r="D40" s="89" t="s">
        <v>95</v>
      </c>
      <c r="E40" s="87">
        <v>5.0</v>
      </c>
      <c r="F40" s="90">
        <v>1320.0</v>
      </c>
      <c r="G40" s="91">
        <f t="shared" si="1"/>
        <v>6600</v>
      </c>
      <c r="H40" s="63"/>
    </row>
    <row r="41">
      <c r="D41" s="89" t="s">
        <v>96</v>
      </c>
      <c r="E41" s="89">
        <v>12.0</v>
      </c>
      <c r="F41" s="90">
        <v>260.0</v>
      </c>
      <c r="G41" s="91">
        <f t="shared" si="1"/>
        <v>3120</v>
      </c>
      <c r="H41" s="63"/>
    </row>
    <row r="42">
      <c r="D42" s="89" t="s">
        <v>97</v>
      </c>
      <c r="E42" s="89">
        <v>12.0</v>
      </c>
      <c r="F42" s="90">
        <v>320.0</v>
      </c>
      <c r="G42" s="91">
        <f t="shared" si="1"/>
        <v>3840</v>
      </c>
      <c r="H42" s="63"/>
    </row>
    <row r="43">
      <c r="D43" s="89" t="s">
        <v>98</v>
      </c>
      <c r="E43" s="89">
        <v>2.0</v>
      </c>
      <c r="F43" s="90">
        <v>200.0</v>
      </c>
      <c r="G43" s="91">
        <f t="shared" si="1"/>
        <v>400</v>
      </c>
      <c r="H43" s="63"/>
    </row>
    <row r="44">
      <c r="D44" s="89" t="s">
        <v>99</v>
      </c>
      <c r="E44" s="87">
        <v>10.0</v>
      </c>
      <c r="F44" s="90">
        <v>90.0</v>
      </c>
      <c r="G44" s="91">
        <f t="shared" si="1"/>
        <v>900</v>
      </c>
      <c r="H44" s="63"/>
    </row>
    <row r="45">
      <c r="D45" s="89" t="s">
        <v>93</v>
      </c>
      <c r="E45" s="89">
        <v>10.0</v>
      </c>
      <c r="F45" s="90">
        <v>950.0</v>
      </c>
      <c r="G45" s="91">
        <f t="shared" si="1"/>
        <v>9500</v>
      </c>
      <c r="H45" s="63"/>
    </row>
    <row r="46">
      <c r="D46" s="89" t="s">
        <v>100</v>
      </c>
      <c r="E46" s="87">
        <v>1.0</v>
      </c>
      <c r="F46" s="90">
        <v>1900.0</v>
      </c>
      <c r="G46" s="91">
        <f t="shared" si="1"/>
        <v>1900</v>
      </c>
      <c r="H46" s="63"/>
    </row>
    <row r="47">
      <c r="D47" s="89" t="s">
        <v>101</v>
      </c>
      <c r="E47" s="89">
        <v>5.0</v>
      </c>
      <c r="F47" s="90">
        <v>320.0</v>
      </c>
      <c r="G47" s="91">
        <f t="shared" si="1"/>
        <v>1600</v>
      </c>
      <c r="H47" s="63"/>
    </row>
    <row r="48">
      <c r="D48" s="76" t="s">
        <v>102</v>
      </c>
      <c r="E48" s="76">
        <v>10.0</v>
      </c>
      <c r="F48" s="11">
        <v>180.0</v>
      </c>
      <c r="G48" s="77">
        <f t="shared" si="1"/>
        <v>1800</v>
      </c>
      <c r="H48" s="63"/>
    </row>
    <row r="49">
      <c r="D49" s="76" t="s">
        <v>103</v>
      </c>
      <c r="E49" s="15">
        <v>4.0</v>
      </c>
      <c r="F49" s="12">
        <v>400.0</v>
      </c>
      <c r="G49" s="77">
        <f t="shared" si="1"/>
        <v>1600</v>
      </c>
      <c r="H49" s="63"/>
    </row>
    <row r="50">
      <c r="D50" s="76" t="s">
        <v>104</v>
      </c>
      <c r="E50" s="15">
        <v>3.0</v>
      </c>
      <c r="F50" s="11">
        <v>160.0</v>
      </c>
      <c r="G50" s="77">
        <f t="shared" si="1"/>
        <v>480</v>
      </c>
      <c r="H50" s="63"/>
    </row>
    <row r="51">
      <c r="D51" s="89" t="s">
        <v>89</v>
      </c>
      <c r="E51" s="87">
        <v>2.2</v>
      </c>
      <c r="F51" s="90">
        <v>1750.0</v>
      </c>
      <c r="G51" s="91">
        <f t="shared" si="1"/>
        <v>3850</v>
      </c>
      <c r="H51" s="63"/>
    </row>
    <row r="52">
      <c r="D52" s="89" t="s">
        <v>105</v>
      </c>
      <c r="E52" s="87">
        <v>25.0</v>
      </c>
      <c r="F52" s="90">
        <v>87.0</v>
      </c>
      <c r="G52" s="91">
        <f t="shared" si="1"/>
        <v>2175</v>
      </c>
      <c r="H52" s="63"/>
    </row>
    <row r="53">
      <c r="D53" s="76" t="s">
        <v>106</v>
      </c>
      <c r="E53" s="76">
        <v>0.5</v>
      </c>
      <c r="F53" s="11">
        <v>1200.0</v>
      </c>
      <c r="G53" s="77">
        <f t="shared" si="1"/>
        <v>600</v>
      </c>
      <c r="H53" s="63"/>
    </row>
    <row r="54">
      <c r="D54" s="76" t="s">
        <v>107</v>
      </c>
      <c r="E54" s="15">
        <v>2.0</v>
      </c>
      <c r="F54" s="11">
        <v>2600.0</v>
      </c>
      <c r="G54" s="77">
        <f t="shared" si="1"/>
        <v>5200</v>
      </c>
      <c r="H54" s="63"/>
    </row>
    <row r="55">
      <c r="D55" s="76" t="s">
        <v>108</v>
      </c>
      <c r="E55" s="15">
        <v>10.0</v>
      </c>
      <c r="F55" s="11">
        <v>53.0</v>
      </c>
      <c r="G55" s="77">
        <f t="shared" si="1"/>
        <v>530</v>
      </c>
      <c r="H55" s="63"/>
    </row>
    <row r="56">
      <c r="D56" s="76" t="s">
        <v>109</v>
      </c>
      <c r="E56" s="15">
        <v>100.0</v>
      </c>
      <c r="F56" s="88">
        <v>33.0</v>
      </c>
      <c r="G56" s="77">
        <f t="shared" si="1"/>
        <v>3300</v>
      </c>
      <c r="H56" s="63"/>
    </row>
    <row r="57">
      <c r="D57" s="76" t="s">
        <v>110</v>
      </c>
      <c r="E57" s="15">
        <v>100.0</v>
      </c>
      <c r="F57" s="88">
        <v>27.0</v>
      </c>
      <c r="G57" s="77">
        <f t="shared" si="1"/>
        <v>2700</v>
      </c>
      <c r="H57" s="63"/>
    </row>
    <row r="58">
      <c r="D58" s="76" t="s">
        <v>111</v>
      </c>
      <c r="E58" s="15">
        <v>100.0</v>
      </c>
      <c r="F58" s="88">
        <v>21.0</v>
      </c>
      <c r="G58" s="77">
        <f t="shared" si="1"/>
        <v>2100</v>
      </c>
      <c r="H58" s="63"/>
    </row>
    <row r="59">
      <c r="D59" s="76" t="s">
        <v>112</v>
      </c>
      <c r="E59" s="15">
        <v>50.0</v>
      </c>
      <c r="F59" s="88">
        <v>20.0</v>
      </c>
      <c r="G59" s="77">
        <f t="shared" si="1"/>
        <v>1000</v>
      </c>
      <c r="H59" s="63"/>
    </row>
    <row r="60">
      <c r="D60" s="76" t="s">
        <v>113</v>
      </c>
      <c r="E60" s="15">
        <v>50.0</v>
      </c>
      <c r="F60" s="88">
        <v>13.7</v>
      </c>
      <c r="G60" s="77">
        <f t="shared" si="1"/>
        <v>685</v>
      </c>
      <c r="H60" s="63"/>
    </row>
    <row r="61">
      <c r="D61" s="76" t="s">
        <v>114</v>
      </c>
      <c r="E61" s="15">
        <v>100.0</v>
      </c>
      <c r="F61" s="88">
        <v>10.0</v>
      </c>
      <c r="G61" s="77">
        <f t="shared" si="1"/>
        <v>1000</v>
      </c>
      <c r="H61" s="63"/>
    </row>
    <row r="62">
      <c r="D62" s="76" t="s">
        <v>115</v>
      </c>
      <c r="E62" s="15">
        <v>20.0</v>
      </c>
      <c r="F62" s="11">
        <v>11.5</v>
      </c>
      <c r="G62" s="77">
        <f t="shared" si="1"/>
        <v>230</v>
      </c>
      <c r="H62" s="63"/>
    </row>
    <row r="63">
      <c r="D63" s="15" t="s">
        <v>116</v>
      </c>
      <c r="E63" s="15">
        <v>30.0</v>
      </c>
      <c r="F63" s="11">
        <v>15.0</v>
      </c>
      <c r="G63" s="77">
        <f t="shared" si="1"/>
        <v>450</v>
      </c>
      <c r="H63" s="63"/>
    </row>
    <row r="64">
      <c r="D64" s="76" t="s">
        <v>117</v>
      </c>
      <c r="E64" s="15">
        <v>5.0</v>
      </c>
      <c r="F64" s="11">
        <v>37.0</v>
      </c>
      <c r="G64" s="77">
        <f t="shared" si="1"/>
        <v>185</v>
      </c>
      <c r="H64" s="63"/>
    </row>
    <row r="65">
      <c r="D65" s="76" t="s">
        <v>118</v>
      </c>
      <c r="E65" s="15">
        <v>20.0</v>
      </c>
      <c r="F65" s="11">
        <v>11.0</v>
      </c>
      <c r="G65" s="77">
        <f t="shared" si="1"/>
        <v>220</v>
      </c>
      <c r="H65" s="63"/>
    </row>
    <row r="66">
      <c r="D66" s="76" t="s">
        <v>119</v>
      </c>
      <c r="E66" s="15">
        <v>10.0</v>
      </c>
      <c r="F66" s="11">
        <v>46.0</v>
      </c>
      <c r="G66" s="77">
        <f t="shared" si="1"/>
        <v>460</v>
      </c>
      <c r="H66" s="63"/>
    </row>
    <row r="67">
      <c r="D67" s="89" t="s">
        <v>120</v>
      </c>
      <c r="E67" s="87">
        <v>1.0</v>
      </c>
      <c r="F67" s="90">
        <v>850.0</v>
      </c>
      <c r="G67" s="91">
        <f t="shared" si="1"/>
        <v>850</v>
      </c>
      <c r="H67" s="63"/>
    </row>
    <row r="68">
      <c r="D68" s="89" t="s">
        <v>121</v>
      </c>
      <c r="E68" s="87">
        <v>2.0</v>
      </c>
      <c r="F68" s="90">
        <v>600.0</v>
      </c>
      <c r="G68" s="91">
        <f t="shared" si="1"/>
        <v>1200</v>
      </c>
      <c r="H68" s="63"/>
    </row>
    <row r="69">
      <c r="D69" s="76" t="s">
        <v>122</v>
      </c>
      <c r="E69" s="15">
        <v>6.5</v>
      </c>
      <c r="F69" s="12">
        <v>800.0</v>
      </c>
      <c r="G69" s="77">
        <f t="shared" si="1"/>
        <v>5200</v>
      </c>
      <c r="H69" s="63"/>
    </row>
    <row r="70">
      <c r="D70" s="89" t="s">
        <v>123</v>
      </c>
      <c r="E70" s="87">
        <v>1.0</v>
      </c>
      <c r="F70" s="90">
        <v>650.0</v>
      </c>
      <c r="G70" s="91">
        <f t="shared" si="1"/>
        <v>650</v>
      </c>
      <c r="H70" s="63"/>
    </row>
    <row r="71">
      <c r="D71" s="89" t="s">
        <v>124</v>
      </c>
      <c r="E71" s="87">
        <v>1.5</v>
      </c>
      <c r="F71" s="90">
        <v>2300.0</v>
      </c>
      <c r="G71" s="91">
        <f t="shared" si="1"/>
        <v>3450</v>
      </c>
      <c r="H71" s="63"/>
    </row>
    <row r="72">
      <c r="D72" s="89" t="s">
        <v>125</v>
      </c>
      <c r="E72" s="87">
        <v>1.0</v>
      </c>
      <c r="F72" s="90">
        <v>430.0</v>
      </c>
      <c r="G72" s="91">
        <f t="shared" si="1"/>
        <v>430</v>
      </c>
      <c r="H72" s="63"/>
    </row>
    <row r="73">
      <c r="D73" s="89" t="s">
        <v>126</v>
      </c>
      <c r="E73" s="87">
        <v>15.0</v>
      </c>
      <c r="F73" s="90">
        <v>220.0</v>
      </c>
      <c r="G73" s="91">
        <f t="shared" si="1"/>
        <v>3300</v>
      </c>
      <c r="H73" s="63"/>
    </row>
    <row r="74">
      <c r="D74" s="89" t="s">
        <v>127</v>
      </c>
      <c r="E74" s="89">
        <v>2.0</v>
      </c>
      <c r="F74" s="90">
        <v>650.0</v>
      </c>
      <c r="G74" s="91">
        <f t="shared" si="1"/>
        <v>1300</v>
      </c>
      <c r="H74" s="63"/>
    </row>
    <row r="75">
      <c r="D75" s="89" t="s">
        <v>128</v>
      </c>
      <c r="E75" s="87">
        <v>4.0</v>
      </c>
      <c r="F75" s="90">
        <v>250.0</v>
      </c>
      <c r="G75" s="91">
        <f t="shared" si="1"/>
        <v>1000</v>
      </c>
      <c r="H75" s="63"/>
    </row>
    <row r="76">
      <c r="D76" s="89" t="s">
        <v>129</v>
      </c>
      <c r="E76" s="87">
        <v>1.0</v>
      </c>
      <c r="F76" s="90">
        <v>1020.0</v>
      </c>
      <c r="G76" s="91">
        <f t="shared" si="1"/>
        <v>1020</v>
      </c>
      <c r="H76" s="63"/>
    </row>
    <row r="77">
      <c r="D77" s="89" t="s">
        <v>130</v>
      </c>
      <c r="E77" s="87">
        <v>0.5</v>
      </c>
      <c r="F77" s="90">
        <v>5100.0</v>
      </c>
      <c r="G77" s="91">
        <f t="shared" si="1"/>
        <v>2550</v>
      </c>
      <c r="H77" s="63"/>
    </row>
    <row r="78">
      <c r="D78" s="89" t="s">
        <v>131</v>
      </c>
      <c r="E78" s="89">
        <v>1.0</v>
      </c>
      <c r="F78" s="90">
        <v>2475.0</v>
      </c>
      <c r="G78" s="91">
        <f t="shared" si="1"/>
        <v>2475</v>
      </c>
      <c r="H78" s="63"/>
    </row>
    <row r="79">
      <c r="D79" s="89" t="s">
        <v>132</v>
      </c>
      <c r="E79" s="87">
        <v>0.5</v>
      </c>
      <c r="F79" s="90">
        <v>900.0</v>
      </c>
      <c r="G79" s="91">
        <f t="shared" si="1"/>
        <v>450</v>
      </c>
      <c r="H79" s="63"/>
    </row>
    <row r="80">
      <c r="D80" s="89" t="s">
        <v>133</v>
      </c>
      <c r="E80" s="89">
        <v>1.0</v>
      </c>
      <c r="F80" s="90">
        <v>540.0</v>
      </c>
      <c r="G80" s="91">
        <f t="shared" si="1"/>
        <v>540</v>
      </c>
      <c r="H80" s="63"/>
    </row>
    <row r="81">
      <c r="D81" s="89" t="s">
        <v>134</v>
      </c>
      <c r="E81" s="87">
        <v>1.0</v>
      </c>
      <c r="F81" s="90">
        <v>1200.0</v>
      </c>
      <c r="G81" s="91">
        <f t="shared" si="1"/>
        <v>1200</v>
      </c>
      <c r="H81" s="94"/>
    </row>
    <row r="82">
      <c r="D82" s="89" t="s">
        <v>135</v>
      </c>
      <c r="E82" s="87">
        <v>10.0</v>
      </c>
      <c r="F82" s="90">
        <v>100.0</v>
      </c>
      <c r="G82" s="91">
        <f t="shared" si="1"/>
        <v>1000</v>
      </c>
      <c r="H82" s="63"/>
    </row>
    <row r="83">
      <c r="D83" s="89" t="s">
        <v>136</v>
      </c>
      <c r="E83" s="87">
        <v>17.0</v>
      </c>
      <c r="F83" s="90">
        <v>35.0</v>
      </c>
      <c r="G83" s="91">
        <f t="shared" si="1"/>
        <v>595</v>
      </c>
      <c r="H83" s="63"/>
    </row>
    <row r="84">
      <c r="D84" s="89" t="s">
        <v>137</v>
      </c>
      <c r="E84" s="87">
        <v>7.0</v>
      </c>
      <c r="F84" s="90">
        <v>200.0</v>
      </c>
      <c r="G84" s="91">
        <f t="shared" si="1"/>
        <v>1400</v>
      </c>
      <c r="H84" s="63"/>
    </row>
    <row r="85">
      <c r="D85" s="89" t="s">
        <v>138</v>
      </c>
      <c r="E85" s="89">
        <v>1.0</v>
      </c>
      <c r="F85" s="90">
        <v>1000.0</v>
      </c>
      <c r="G85" s="91">
        <f t="shared" si="1"/>
        <v>1000</v>
      </c>
      <c r="H85" s="63"/>
    </row>
    <row r="86">
      <c r="D86" s="87" t="s">
        <v>139</v>
      </c>
      <c r="E86" s="87">
        <v>5.0</v>
      </c>
      <c r="F86" s="88">
        <v>145.0</v>
      </c>
      <c r="G86" s="91">
        <f t="shared" si="1"/>
        <v>725</v>
      </c>
      <c r="H86" s="63"/>
    </row>
    <row r="87">
      <c r="D87" s="76" t="s">
        <v>140</v>
      </c>
      <c r="E87" s="15">
        <v>3.0</v>
      </c>
      <c r="F87" s="11">
        <v>1450.0</v>
      </c>
      <c r="G87" s="91">
        <f t="shared" si="1"/>
        <v>4350</v>
      </c>
      <c r="H87" s="63"/>
    </row>
    <row r="88">
      <c r="D88" s="76" t="s">
        <v>141</v>
      </c>
      <c r="E88" s="76">
        <v>1.0</v>
      </c>
      <c r="F88" s="11">
        <v>1200.0</v>
      </c>
      <c r="G88" s="91">
        <f t="shared" si="1"/>
        <v>1200</v>
      </c>
      <c r="H88" s="63"/>
    </row>
    <row r="89">
      <c r="D89" s="15" t="s">
        <v>142</v>
      </c>
      <c r="E89" s="15">
        <v>5.0</v>
      </c>
      <c r="F89" s="12">
        <v>80.0</v>
      </c>
      <c r="G89" s="91">
        <f t="shared" si="1"/>
        <v>400</v>
      </c>
      <c r="H89" s="10">
        <v>45752.0</v>
      </c>
    </row>
    <row r="90">
      <c r="D90" s="95" t="s">
        <v>143</v>
      </c>
      <c r="E90" s="95">
        <v>1.0</v>
      </c>
      <c r="F90" s="96">
        <v>5500.0</v>
      </c>
      <c r="G90" s="97">
        <f t="shared" si="1"/>
        <v>5500</v>
      </c>
      <c r="H90" s="98"/>
    </row>
    <row r="91">
      <c r="D91" s="15" t="s">
        <v>144</v>
      </c>
      <c r="E91" s="15">
        <v>100.0</v>
      </c>
      <c r="F91" s="12">
        <v>70.0</v>
      </c>
      <c r="G91" s="91">
        <f t="shared" si="1"/>
        <v>7000</v>
      </c>
      <c r="H91" s="99"/>
    </row>
    <row r="92">
      <c r="D92" s="15" t="s">
        <v>145</v>
      </c>
      <c r="E92" s="15">
        <v>7.0</v>
      </c>
      <c r="F92" s="12">
        <v>100.0</v>
      </c>
      <c r="G92" s="91">
        <f t="shared" si="1"/>
        <v>700</v>
      </c>
      <c r="H92" s="99"/>
    </row>
    <row r="93">
      <c r="D93" s="15" t="s">
        <v>103</v>
      </c>
      <c r="E93" s="15">
        <v>5.0</v>
      </c>
      <c r="F93" s="12">
        <v>350.0</v>
      </c>
      <c r="G93" s="91">
        <f t="shared" si="1"/>
        <v>1750</v>
      </c>
      <c r="H93" s="99"/>
    </row>
    <row r="94">
      <c r="D94" s="15" t="s">
        <v>146</v>
      </c>
      <c r="E94" s="15">
        <v>1.0</v>
      </c>
      <c r="F94" s="12">
        <v>1500.0</v>
      </c>
      <c r="G94" s="91">
        <f t="shared" si="1"/>
        <v>1500</v>
      </c>
      <c r="H94" s="99"/>
    </row>
    <row r="95">
      <c r="D95" s="15" t="s">
        <v>147</v>
      </c>
      <c r="E95" s="15">
        <v>2.5</v>
      </c>
      <c r="F95" s="12">
        <v>900.0</v>
      </c>
      <c r="G95" s="91">
        <f t="shared" si="1"/>
        <v>2250</v>
      </c>
      <c r="H95" s="99"/>
    </row>
    <row r="96">
      <c r="C96" s="100">
        <v>120.0</v>
      </c>
      <c r="D96" s="15" t="s">
        <v>148</v>
      </c>
      <c r="E96" s="15">
        <v>10.0</v>
      </c>
      <c r="F96" s="12">
        <v>120.0</v>
      </c>
      <c r="G96" s="91">
        <f t="shared" si="1"/>
        <v>1200</v>
      </c>
      <c r="H96" s="99"/>
    </row>
    <row r="97">
      <c r="D97" s="15" t="s">
        <v>149</v>
      </c>
      <c r="E97" s="15">
        <v>250.0</v>
      </c>
      <c r="F97" s="12">
        <v>60.0</v>
      </c>
      <c r="G97" s="91">
        <f t="shared" si="1"/>
        <v>15000</v>
      </c>
      <c r="H97" s="99"/>
    </row>
    <row r="98">
      <c r="C98" s="100">
        <v>150.0</v>
      </c>
      <c r="D98" s="15" t="s">
        <v>150</v>
      </c>
      <c r="E98" s="15">
        <v>1.0</v>
      </c>
      <c r="F98" s="12">
        <v>150.0</v>
      </c>
      <c r="G98" s="91">
        <f t="shared" si="1"/>
        <v>150</v>
      </c>
      <c r="H98" s="101" t="s">
        <v>151</v>
      </c>
    </row>
    <row r="99">
      <c r="C99" s="100">
        <v>280.0</v>
      </c>
      <c r="D99" s="15" t="s">
        <v>152</v>
      </c>
      <c r="E99" s="15">
        <v>1.0</v>
      </c>
      <c r="F99" s="12">
        <v>270.0</v>
      </c>
      <c r="G99" s="91">
        <f t="shared" si="1"/>
        <v>270</v>
      </c>
      <c r="H99" s="102"/>
    </row>
    <row r="100">
      <c r="C100" s="100">
        <v>450.0</v>
      </c>
      <c r="D100" s="15" t="s">
        <v>153</v>
      </c>
      <c r="E100" s="15">
        <v>1.0</v>
      </c>
      <c r="F100" s="12">
        <v>450.0</v>
      </c>
      <c r="G100" s="91">
        <f t="shared" si="1"/>
        <v>450</v>
      </c>
      <c r="H100" s="103"/>
    </row>
    <row r="101">
      <c r="D101" s="15" t="s">
        <v>154</v>
      </c>
      <c r="E101" s="15">
        <v>0.5</v>
      </c>
      <c r="F101" s="12">
        <v>600.0</v>
      </c>
      <c r="G101" s="91">
        <f t="shared" si="1"/>
        <v>300</v>
      </c>
      <c r="H101" s="99"/>
    </row>
    <row r="102">
      <c r="D102" s="15" t="s">
        <v>155</v>
      </c>
      <c r="E102" s="15">
        <v>5.0</v>
      </c>
      <c r="F102" s="12">
        <v>30.0</v>
      </c>
      <c r="G102" s="91">
        <f t="shared" si="1"/>
        <v>150</v>
      </c>
      <c r="H102" s="99"/>
    </row>
    <row r="103">
      <c r="D103" s="15" t="s">
        <v>156</v>
      </c>
      <c r="E103" s="15">
        <v>1.0</v>
      </c>
      <c r="F103" s="12">
        <v>30.0</v>
      </c>
      <c r="G103" s="91">
        <f t="shared" si="1"/>
        <v>30</v>
      </c>
      <c r="H103" s="99"/>
    </row>
    <row r="104">
      <c r="D104" s="15" t="s">
        <v>157</v>
      </c>
      <c r="E104" s="15">
        <v>3.0</v>
      </c>
      <c r="F104" s="12">
        <v>250.0</v>
      </c>
      <c r="G104" s="91">
        <f t="shared" si="1"/>
        <v>750</v>
      </c>
      <c r="H104" s="99"/>
    </row>
    <row r="105">
      <c r="D105" s="15" t="s">
        <v>158</v>
      </c>
      <c r="E105" s="15">
        <v>1.0</v>
      </c>
      <c r="F105" s="12">
        <v>2300.0</v>
      </c>
      <c r="G105" s="91">
        <f t="shared" si="1"/>
        <v>2300</v>
      </c>
      <c r="H105" s="10">
        <v>45754.0</v>
      </c>
    </row>
    <row r="106">
      <c r="D106" s="15" t="s">
        <v>159</v>
      </c>
      <c r="E106" s="15">
        <v>49.0</v>
      </c>
      <c r="F106" s="12">
        <v>35.0</v>
      </c>
      <c r="G106" s="91">
        <f t="shared" si="1"/>
        <v>1715</v>
      </c>
      <c r="H106" s="99"/>
    </row>
    <row r="107">
      <c r="D107" s="15" t="s">
        <v>160</v>
      </c>
      <c r="E107" s="15">
        <v>1.0</v>
      </c>
      <c r="F107" s="12">
        <v>1300.0</v>
      </c>
      <c r="G107" s="91">
        <f t="shared" si="1"/>
        <v>1300</v>
      </c>
      <c r="H107" s="99"/>
    </row>
    <row r="108">
      <c r="D108" s="15" t="s">
        <v>161</v>
      </c>
      <c r="E108" s="15">
        <v>1.0</v>
      </c>
      <c r="F108" s="12">
        <v>350.0</v>
      </c>
      <c r="G108" s="91">
        <f t="shared" si="1"/>
        <v>350</v>
      </c>
      <c r="H108" s="99"/>
    </row>
    <row r="109">
      <c r="D109" s="15" t="s">
        <v>154</v>
      </c>
      <c r="E109" s="15">
        <v>1.0</v>
      </c>
      <c r="F109" s="12">
        <v>550.0</v>
      </c>
      <c r="G109" s="91">
        <f t="shared" si="1"/>
        <v>550</v>
      </c>
      <c r="H109" s="99"/>
    </row>
    <row r="110">
      <c r="D110" s="15" t="s">
        <v>127</v>
      </c>
      <c r="E110" s="15">
        <v>1.0</v>
      </c>
      <c r="F110" s="12">
        <v>600.0</v>
      </c>
      <c r="G110" s="91">
        <f t="shared" si="1"/>
        <v>600</v>
      </c>
      <c r="H110" s="99"/>
    </row>
    <row r="111">
      <c r="D111" s="15" t="s">
        <v>162</v>
      </c>
      <c r="E111" s="15">
        <v>11.0</v>
      </c>
      <c r="F111" s="12">
        <v>100.0</v>
      </c>
      <c r="G111" s="91">
        <f t="shared" si="1"/>
        <v>1100</v>
      </c>
      <c r="H111" s="99"/>
    </row>
    <row r="112">
      <c r="D112" s="15" t="s">
        <v>163</v>
      </c>
      <c r="E112" s="15">
        <v>1.25</v>
      </c>
      <c r="F112" s="12">
        <v>700.0</v>
      </c>
      <c r="G112" s="91">
        <f t="shared" si="1"/>
        <v>875</v>
      </c>
      <c r="H112" s="99"/>
    </row>
    <row r="113">
      <c r="D113" s="15" t="s">
        <v>164</v>
      </c>
      <c r="E113" s="15">
        <v>16.0</v>
      </c>
      <c r="F113" s="12">
        <v>120.0</v>
      </c>
      <c r="G113" s="91">
        <f t="shared" si="1"/>
        <v>1920</v>
      </c>
      <c r="H113" s="99"/>
    </row>
    <row r="114">
      <c r="D114" s="15" t="s">
        <v>165</v>
      </c>
      <c r="E114" s="15">
        <v>1.0</v>
      </c>
      <c r="F114" s="12">
        <v>500.0</v>
      </c>
      <c r="G114" s="91">
        <f t="shared" si="1"/>
        <v>500</v>
      </c>
      <c r="H114" s="99"/>
    </row>
    <row r="115">
      <c r="D115" s="15" t="s">
        <v>166</v>
      </c>
      <c r="E115" s="15">
        <v>0.5</v>
      </c>
      <c r="F115" s="12">
        <v>1050.0</v>
      </c>
      <c r="G115" s="91">
        <f t="shared" si="1"/>
        <v>525</v>
      </c>
      <c r="H115" s="76"/>
    </row>
    <row r="116">
      <c r="D116" s="15" t="s">
        <v>167</v>
      </c>
      <c r="E116" s="15">
        <v>1.0</v>
      </c>
      <c r="F116" s="12">
        <v>100.0</v>
      </c>
      <c r="G116" s="91">
        <f t="shared" si="1"/>
        <v>100</v>
      </c>
      <c r="H116" s="99"/>
    </row>
    <row r="117">
      <c r="D117" s="15" t="s">
        <v>168</v>
      </c>
      <c r="E117" s="15">
        <v>5.0</v>
      </c>
      <c r="F117" s="12">
        <v>400.0</v>
      </c>
      <c r="G117" s="91">
        <f t="shared" si="1"/>
        <v>2000</v>
      </c>
      <c r="H117" s="10">
        <v>45758.0</v>
      </c>
    </row>
    <row r="118">
      <c r="D118" s="15" t="s">
        <v>169</v>
      </c>
      <c r="E118" s="15">
        <v>100.0</v>
      </c>
      <c r="F118" s="12">
        <v>70.0</v>
      </c>
      <c r="G118" s="91">
        <f t="shared" si="1"/>
        <v>7000</v>
      </c>
      <c r="H118" s="99"/>
    </row>
    <row r="119">
      <c r="D119" s="15" t="s">
        <v>170</v>
      </c>
      <c r="E119" s="15">
        <v>2.0</v>
      </c>
      <c r="F119" s="12">
        <v>100.0</v>
      </c>
      <c r="G119" s="91">
        <f t="shared" si="1"/>
        <v>200</v>
      </c>
      <c r="H119" s="99"/>
    </row>
    <row r="120">
      <c r="D120" s="15" t="s">
        <v>171</v>
      </c>
      <c r="E120" s="15">
        <v>4.5</v>
      </c>
      <c r="F120" s="12">
        <v>700.0</v>
      </c>
      <c r="G120" s="91">
        <f t="shared" si="1"/>
        <v>3150</v>
      </c>
      <c r="H120" s="99"/>
    </row>
    <row r="121">
      <c r="D121" s="15" t="s">
        <v>172</v>
      </c>
      <c r="E121" s="15">
        <v>1.0</v>
      </c>
      <c r="F121" s="12">
        <v>800.0</v>
      </c>
      <c r="G121" s="91">
        <f t="shared" si="1"/>
        <v>800</v>
      </c>
      <c r="H121" s="99"/>
    </row>
    <row r="122">
      <c r="D122" s="15" t="s">
        <v>173</v>
      </c>
      <c r="E122" s="15">
        <v>1.0</v>
      </c>
      <c r="F122" s="12">
        <v>500.0</v>
      </c>
      <c r="G122" s="91">
        <f t="shared" si="1"/>
        <v>500</v>
      </c>
      <c r="H122" s="99"/>
    </row>
    <row r="123">
      <c r="D123" s="15" t="s">
        <v>174</v>
      </c>
      <c r="E123" s="15">
        <v>2.0</v>
      </c>
      <c r="F123" s="12">
        <v>25.0</v>
      </c>
      <c r="G123" s="91">
        <f t="shared" si="1"/>
        <v>50</v>
      </c>
      <c r="H123" s="99"/>
    </row>
    <row r="124">
      <c r="D124" s="15" t="s">
        <v>175</v>
      </c>
      <c r="E124" s="15">
        <v>1.0</v>
      </c>
      <c r="F124" s="12">
        <v>150.0</v>
      </c>
      <c r="G124" s="91">
        <f t="shared" si="1"/>
        <v>150</v>
      </c>
      <c r="H124" s="99"/>
    </row>
    <row r="125">
      <c r="D125" s="15" t="s">
        <v>176</v>
      </c>
      <c r="E125" s="15">
        <v>1.0</v>
      </c>
      <c r="F125" s="12">
        <v>200.0</v>
      </c>
      <c r="G125" s="91">
        <f t="shared" si="1"/>
        <v>200</v>
      </c>
      <c r="H125" s="99"/>
    </row>
    <row r="126">
      <c r="D126" s="15" t="s">
        <v>177</v>
      </c>
      <c r="E126" s="15">
        <v>2.0</v>
      </c>
      <c r="F126" s="12">
        <v>150.0</v>
      </c>
      <c r="G126" s="91">
        <f t="shared" si="1"/>
        <v>300</v>
      </c>
      <c r="H126" s="99"/>
    </row>
    <row r="127">
      <c r="D127" s="15" t="s">
        <v>178</v>
      </c>
      <c r="E127" s="15">
        <v>1.0</v>
      </c>
      <c r="F127" s="12">
        <v>170.0</v>
      </c>
      <c r="G127" s="91">
        <f t="shared" si="1"/>
        <v>170</v>
      </c>
      <c r="H127" s="99"/>
    </row>
    <row r="128">
      <c r="D128" s="15" t="s">
        <v>179</v>
      </c>
      <c r="E128" s="15">
        <v>3.0</v>
      </c>
      <c r="F128" s="12">
        <v>350.0</v>
      </c>
      <c r="G128" s="91">
        <f t="shared" si="1"/>
        <v>1050</v>
      </c>
      <c r="H128" s="99"/>
    </row>
    <row r="129">
      <c r="D129" s="15" t="s">
        <v>180</v>
      </c>
      <c r="E129" s="15">
        <v>10.0</v>
      </c>
      <c r="F129" s="12">
        <v>100.0</v>
      </c>
      <c r="G129" s="91">
        <f t="shared" si="1"/>
        <v>1000</v>
      </c>
      <c r="H129" s="99"/>
    </row>
    <row r="130">
      <c r="D130" s="15" t="s">
        <v>181</v>
      </c>
      <c r="E130" s="15">
        <v>2.0</v>
      </c>
      <c r="F130" s="12">
        <v>400.0</v>
      </c>
      <c r="G130" s="91">
        <f t="shared" si="1"/>
        <v>800</v>
      </c>
      <c r="H130" s="99"/>
    </row>
    <row r="131">
      <c r="D131" s="15" t="s">
        <v>182</v>
      </c>
      <c r="E131" s="15">
        <v>10.0</v>
      </c>
      <c r="F131" s="12">
        <v>100.0</v>
      </c>
      <c r="G131" s="91">
        <f t="shared" si="1"/>
        <v>1000</v>
      </c>
      <c r="H131" s="99"/>
    </row>
    <row r="132">
      <c r="D132" s="15" t="s">
        <v>153</v>
      </c>
      <c r="E132" s="15">
        <v>5.0</v>
      </c>
      <c r="F132" s="12">
        <v>350.0</v>
      </c>
      <c r="G132" s="91">
        <f t="shared" si="1"/>
        <v>1750</v>
      </c>
      <c r="H132" s="99"/>
    </row>
    <row r="133">
      <c r="D133" s="15" t="s">
        <v>169</v>
      </c>
      <c r="E133" s="15">
        <v>100.0</v>
      </c>
      <c r="F133" s="12">
        <v>70.0</v>
      </c>
      <c r="G133" s="91">
        <f t="shared" si="1"/>
        <v>7000</v>
      </c>
      <c r="H133" s="99"/>
    </row>
    <row r="134">
      <c r="D134" s="15" t="s">
        <v>183</v>
      </c>
      <c r="E134" s="15">
        <v>1.5</v>
      </c>
      <c r="F134" s="12">
        <v>700.0</v>
      </c>
      <c r="G134" s="91">
        <f t="shared" si="1"/>
        <v>1050</v>
      </c>
      <c r="H134" s="99"/>
    </row>
    <row r="135">
      <c r="D135" s="15" t="s">
        <v>184</v>
      </c>
      <c r="E135" s="15">
        <v>3.0</v>
      </c>
      <c r="F135" s="12">
        <v>220.0</v>
      </c>
      <c r="G135" s="91">
        <f t="shared" si="1"/>
        <v>660</v>
      </c>
      <c r="H135" s="99"/>
    </row>
    <row r="136">
      <c r="D136" s="15" t="s">
        <v>164</v>
      </c>
      <c r="E136" s="15">
        <v>26.0</v>
      </c>
      <c r="F136" s="12">
        <v>120.0</v>
      </c>
      <c r="G136" s="91">
        <f t="shared" si="1"/>
        <v>3120</v>
      </c>
      <c r="H136" s="99"/>
    </row>
    <row r="137">
      <c r="D137" s="15" t="s">
        <v>173</v>
      </c>
      <c r="E137" s="15">
        <v>1.0</v>
      </c>
      <c r="F137" s="12">
        <v>440.0</v>
      </c>
      <c r="G137" s="91">
        <f t="shared" si="1"/>
        <v>440</v>
      </c>
      <c r="H137" s="99"/>
    </row>
    <row r="138">
      <c r="D138" s="15" t="s">
        <v>57</v>
      </c>
      <c r="E138" s="15">
        <v>19.0</v>
      </c>
      <c r="F138" s="12">
        <v>1000.0</v>
      </c>
      <c r="G138" s="91">
        <f t="shared" si="1"/>
        <v>19000</v>
      </c>
      <c r="H138" s="99"/>
    </row>
    <row r="139">
      <c r="D139" s="15" t="s">
        <v>165</v>
      </c>
      <c r="E139" s="15">
        <v>1.0</v>
      </c>
      <c r="F139" s="12">
        <v>850.0</v>
      </c>
      <c r="G139" s="91">
        <f t="shared" si="1"/>
        <v>850</v>
      </c>
      <c r="H139" s="99"/>
    </row>
    <row r="140">
      <c r="D140" s="15" t="s">
        <v>185</v>
      </c>
      <c r="E140" s="15">
        <v>10.0</v>
      </c>
      <c r="F140" s="12">
        <v>85.0</v>
      </c>
      <c r="G140" s="91">
        <f t="shared" si="1"/>
        <v>850</v>
      </c>
      <c r="H140" s="99"/>
    </row>
    <row r="141">
      <c r="D141" s="15" t="s">
        <v>186</v>
      </c>
      <c r="E141" s="15">
        <v>10.0</v>
      </c>
      <c r="F141" s="12">
        <v>90.0</v>
      </c>
      <c r="G141" s="91">
        <f t="shared" si="1"/>
        <v>900</v>
      </c>
      <c r="H141" s="99"/>
    </row>
    <row r="142">
      <c r="D142" s="15" t="s">
        <v>187</v>
      </c>
      <c r="E142" s="15">
        <v>10.0</v>
      </c>
      <c r="F142" s="12">
        <v>95.0</v>
      </c>
      <c r="G142" s="91">
        <f t="shared" si="1"/>
        <v>950</v>
      </c>
      <c r="H142" s="99"/>
    </row>
    <row r="143">
      <c r="D143" s="15" t="s">
        <v>188</v>
      </c>
      <c r="E143" s="15">
        <v>40.0</v>
      </c>
      <c r="F143" s="12">
        <v>84.0</v>
      </c>
      <c r="G143" s="91">
        <f t="shared" si="1"/>
        <v>3360</v>
      </c>
      <c r="H143" s="99"/>
    </row>
    <row r="144">
      <c r="D144" s="15" t="s">
        <v>94</v>
      </c>
      <c r="E144" s="15">
        <v>12.0</v>
      </c>
      <c r="F144" s="12">
        <v>250.0</v>
      </c>
      <c r="G144" s="91">
        <f t="shared" si="1"/>
        <v>3000</v>
      </c>
      <c r="H144" s="99"/>
    </row>
    <row r="145">
      <c r="D145" s="15" t="s">
        <v>189</v>
      </c>
      <c r="E145" s="15">
        <v>12.0</v>
      </c>
      <c r="F145" s="12">
        <v>320.0</v>
      </c>
      <c r="G145" s="91">
        <f t="shared" si="1"/>
        <v>3840</v>
      </c>
      <c r="H145" s="99"/>
    </row>
    <row r="146">
      <c r="D146" s="15" t="s">
        <v>92</v>
      </c>
      <c r="E146" s="15">
        <v>12.0</v>
      </c>
      <c r="F146" s="12">
        <v>260.0</v>
      </c>
      <c r="G146" s="91">
        <f t="shared" si="1"/>
        <v>3120</v>
      </c>
      <c r="H146" s="99"/>
    </row>
    <row r="147">
      <c r="D147" s="15" t="s">
        <v>74</v>
      </c>
      <c r="E147" s="15">
        <v>9.0</v>
      </c>
      <c r="F147" s="12">
        <v>2300.0</v>
      </c>
      <c r="G147" s="91">
        <f t="shared" si="1"/>
        <v>20700</v>
      </c>
      <c r="H147" s="99"/>
    </row>
    <row r="148">
      <c r="D148" s="15" t="s">
        <v>190</v>
      </c>
      <c r="E148" s="15">
        <v>6.0</v>
      </c>
      <c r="F148" s="12">
        <v>1700.0</v>
      </c>
      <c r="G148" s="91">
        <f t="shared" si="1"/>
        <v>10200</v>
      </c>
      <c r="H148" s="99"/>
    </row>
    <row r="149">
      <c r="D149" s="15" t="s">
        <v>137</v>
      </c>
      <c r="E149" s="15">
        <v>9.0</v>
      </c>
      <c r="F149" s="12">
        <v>120.0</v>
      </c>
      <c r="G149" s="91">
        <f t="shared" si="1"/>
        <v>1080</v>
      </c>
      <c r="H149" s="99"/>
    </row>
    <row r="150">
      <c r="D150" s="15" t="s">
        <v>142</v>
      </c>
      <c r="E150" s="15">
        <v>20.0</v>
      </c>
      <c r="F150" s="12">
        <v>65.0</v>
      </c>
      <c r="G150" s="91">
        <f t="shared" si="1"/>
        <v>1300</v>
      </c>
      <c r="H150" s="99"/>
    </row>
    <row r="151">
      <c r="D151" s="15" t="s">
        <v>191</v>
      </c>
      <c r="E151" s="15">
        <v>3.0</v>
      </c>
      <c r="F151" s="12">
        <v>240.0</v>
      </c>
      <c r="G151" s="91">
        <f t="shared" si="1"/>
        <v>720</v>
      </c>
      <c r="H151" s="99"/>
    </row>
    <row r="152">
      <c r="D152" s="15" t="s">
        <v>192</v>
      </c>
      <c r="E152" s="15">
        <v>1.0</v>
      </c>
      <c r="F152" s="12">
        <v>1300.0</v>
      </c>
      <c r="G152" s="91">
        <f t="shared" si="1"/>
        <v>1300</v>
      </c>
      <c r="H152" s="99"/>
    </row>
    <row r="153">
      <c r="D153" s="15" t="s">
        <v>193</v>
      </c>
      <c r="E153" s="15">
        <v>0.25</v>
      </c>
      <c r="F153" s="12">
        <v>1400.0</v>
      </c>
      <c r="G153" s="91">
        <f t="shared" si="1"/>
        <v>350</v>
      </c>
      <c r="H153" s="99"/>
    </row>
    <row r="154">
      <c r="D154" s="15" t="s">
        <v>89</v>
      </c>
      <c r="E154" s="15">
        <v>1.4</v>
      </c>
      <c r="F154" s="12">
        <v>1700.0</v>
      </c>
      <c r="G154" s="91">
        <f t="shared" si="1"/>
        <v>2380</v>
      </c>
      <c r="H154" s="99"/>
    </row>
    <row r="155">
      <c r="D155" s="15" t="s">
        <v>194</v>
      </c>
      <c r="E155" s="15">
        <v>4.0</v>
      </c>
      <c r="F155" s="12">
        <v>100.0</v>
      </c>
      <c r="G155" s="91">
        <f t="shared" si="1"/>
        <v>400</v>
      </c>
      <c r="H155" s="99"/>
    </row>
    <row r="156">
      <c r="D156" s="15" t="s">
        <v>155</v>
      </c>
      <c r="E156" s="15">
        <v>5.0</v>
      </c>
      <c r="F156" s="12">
        <v>50.0</v>
      </c>
      <c r="G156" s="91">
        <f t="shared" si="1"/>
        <v>250</v>
      </c>
      <c r="H156" s="99"/>
    </row>
    <row r="157">
      <c r="D157" s="15" t="s">
        <v>195</v>
      </c>
      <c r="E157" s="15">
        <v>5.0</v>
      </c>
      <c r="F157" s="12">
        <v>120.0</v>
      </c>
      <c r="G157" s="91">
        <f t="shared" si="1"/>
        <v>600</v>
      </c>
      <c r="H157" s="99"/>
    </row>
    <row r="158">
      <c r="D158" s="15" t="s">
        <v>196</v>
      </c>
      <c r="E158" s="15">
        <v>1.0</v>
      </c>
      <c r="F158" s="12">
        <v>550.0</v>
      </c>
      <c r="G158" s="91">
        <f t="shared" si="1"/>
        <v>550</v>
      </c>
      <c r="H158" s="99"/>
    </row>
    <row r="159">
      <c r="D159" s="15" t="s">
        <v>152</v>
      </c>
      <c r="E159" s="15">
        <v>2.0</v>
      </c>
      <c r="F159" s="12">
        <v>210.0</v>
      </c>
      <c r="G159" s="91">
        <f t="shared" si="1"/>
        <v>420</v>
      </c>
      <c r="H159" s="99"/>
    </row>
    <row r="160">
      <c r="D160" s="15" t="s">
        <v>197</v>
      </c>
      <c r="E160" s="15">
        <v>0.5</v>
      </c>
      <c r="F160" s="12">
        <v>300.0</v>
      </c>
      <c r="G160" s="91">
        <f t="shared" si="1"/>
        <v>150</v>
      </c>
      <c r="H160" s="99"/>
    </row>
    <row r="161">
      <c r="D161" s="104" t="s">
        <v>198</v>
      </c>
      <c r="E161" s="104">
        <v>1.0</v>
      </c>
      <c r="F161" s="105">
        <v>20000.0</v>
      </c>
      <c r="G161" s="106">
        <f t="shared" si="1"/>
        <v>20000</v>
      </c>
      <c r="H161" s="107"/>
      <c r="I161" s="100" t="s">
        <v>199</v>
      </c>
    </row>
    <row r="162">
      <c r="D162" s="15" t="s">
        <v>200</v>
      </c>
      <c r="E162" s="15">
        <v>3.0</v>
      </c>
      <c r="F162" s="12">
        <v>700.0</v>
      </c>
      <c r="G162" s="91">
        <f t="shared" si="1"/>
        <v>2100</v>
      </c>
      <c r="H162" s="99"/>
    </row>
    <row r="163">
      <c r="D163" s="15" t="s">
        <v>164</v>
      </c>
      <c r="E163" s="15">
        <v>8.0</v>
      </c>
      <c r="F163" s="12">
        <v>120.0</v>
      </c>
      <c r="G163" s="91">
        <f t="shared" si="1"/>
        <v>960</v>
      </c>
      <c r="H163" s="99"/>
    </row>
    <row r="164">
      <c r="D164" s="15" t="s">
        <v>153</v>
      </c>
      <c r="E164" s="15">
        <v>5.0</v>
      </c>
      <c r="F164" s="12">
        <v>350.0</v>
      </c>
      <c r="G164" s="91">
        <f t="shared" si="1"/>
        <v>1750</v>
      </c>
      <c r="H164" s="99"/>
    </row>
    <row r="165">
      <c r="D165" s="15" t="s">
        <v>201</v>
      </c>
      <c r="E165" s="15">
        <v>4.0</v>
      </c>
      <c r="F165" s="12">
        <v>100.0</v>
      </c>
      <c r="G165" s="91">
        <f t="shared" si="1"/>
        <v>400</v>
      </c>
      <c r="H165" s="99"/>
    </row>
    <row r="166">
      <c r="D166" s="15" t="s">
        <v>202</v>
      </c>
      <c r="E166" s="15">
        <v>2.0</v>
      </c>
      <c r="F166" s="12">
        <v>100.0</v>
      </c>
      <c r="G166" s="91">
        <f t="shared" si="1"/>
        <v>200</v>
      </c>
      <c r="H166" s="99"/>
    </row>
    <row r="167">
      <c r="D167" s="15" t="s">
        <v>203</v>
      </c>
      <c r="E167" s="15">
        <v>1.0</v>
      </c>
      <c r="F167" s="12">
        <v>200.0</v>
      </c>
      <c r="G167" s="91">
        <f t="shared" si="1"/>
        <v>200</v>
      </c>
      <c r="H167" s="99"/>
    </row>
    <row r="168">
      <c r="D168" s="15" t="s">
        <v>146</v>
      </c>
      <c r="E168" s="15">
        <v>1.0</v>
      </c>
      <c r="F168" s="12">
        <v>1000.0</v>
      </c>
      <c r="G168" s="91">
        <f t="shared" si="1"/>
        <v>1000</v>
      </c>
      <c r="H168" s="99"/>
    </row>
    <row r="169">
      <c r="D169" s="15" t="s">
        <v>101</v>
      </c>
      <c r="E169" s="15">
        <v>5.0</v>
      </c>
      <c r="F169" s="12">
        <v>350.0</v>
      </c>
      <c r="G169" s="91">
        <f t="shared" si="1"/>
        <v>1750</v>
      </c>
      <c r="H169" s="99"/>
    </row>
    <row r="170">
      <c r="D170" s="15" t="s">
        <v>204</v>
      </c>
      <c r="E170" s="15">
        <v>5.0</v>
      </c>
      <c r="F170" s="12">
        <v>400.0</v>
      </c>
      <c r="G170" s="91">
        <f t="shared" si="1"/>
        <v>2000</v>
      </c>
      <c r="H170" s="99"/>
    </row>
    <row r="171">
      <c r="D171" s="15" t="s">
        <v>205</v>
      </c>
      <c r="E171" s="15">
        <v>3.0</v>
      </c>
      <c r="F171" s="12">
        <v>150.0</v>
      </c>
      <c r="G171" s="91">
        <f t="shared" si="1"/>
        <v>450</v>
      </c>
      <c r="H171" s="99"/>
    </row>
    <row r="172">
      <c r="D172" s="15" t="s">
        <v>145</v>
      </c>
      <c r="E172" s="15">
        <v>10.0</v>
      </c>
      <c r="F172" s="12">
        <v>100.0</v>
      </c>
      <c r="G172" s="91">
        <f t="shared" si="1"/>
        <v>1000</v>
      </c>
      <c r="H172" s="99"/>
    </row>
    <row r="173">
      <c r="D173" s="15" t="s">
        <v>206</v>
      </c>
      <c r="E173" s="15">
        <v>100.0</v>
      </c>
      <c r="F173" s="12">
        <v>70.0</v>
      </c>
      <c r="G173" s="91">
        <f t="shared" si="1"/>
        <v>7000</v>
      </c>
      <c r="H173" s="99"/>
    </row>
    <row r="174">
      <c r="D174" s="15" t="s">
        <v>207</v>
      </c>
      <c r="E174" s="15">
        <v>2.0</v>
      </c>
      <c r="F174" s="12">
        <v>100.0</v>
      </c>
      <c r="G174" s="91">
        <f t="shared" si="1"/>
        <v>200</v>
      </c>
      <c r="H174" s="99"/>
    </row>
    <row r="175">
      <c r="D175" s="15" t="s">
        <v>208</v>
      </c>
      <c r="E175" s="15">
        <v>4.3</v>
      </c>
      <c r="F175" s="12">
        <v>700.0</v>
      </c>
      <c r="G175" s="91">
        <f t="shared" si="1"/>
        <v>3010</v>
      </c>
      <c r="H175" s="99"/>
    </row>
    <row r="176">
      <c r="D176" s="15" t="s">
        <v>173</v>
      </c>
      <c r="E176" s="15">
        <v>1.0</v>
      </c>
      <c r="F176" s="12">
        <v>350.0</v>
      </c>
      <c r="G176" s="91">
        <f t="shared" si="1"/>
        <v>350</v>
      </c>
      <c r="H176" s="10">
        <v>45764.0</v>
      </c>
    </row>
    <row r="177">
      <c r="D177" s="15" t="s">
        <v>209</v>
      </c>
      <c r="E177" s="15">
        <v>2.0</v>
      </c>
      <c r="F177" s="12">
        <v>100.0</v>
      </c>
      <c r="G177" s="91">
        <f t="shared" si="1"/>
        <v>200</v>
      </c>
      <c r="H177" s="99"/>
    </row>
    <row r="178">
      <c r="D178" s="15" t="s">
        <v>210</v>
      </c>
      <c r="E178" s="15">
        <v>7.25</v>
      </c>
      <c r="F178" s="12">
        <v>700.0</v>
      </c>
      <c r="G178" s="91">
        <f t="shared" si="1"/>
        <v>5075</v>
      </c>
      <c r="H178" s="99"/>
    </row>
    <row r="179">
      <c r="D179" s="15" t="s">
        <v>201</v>
      </c>
      <c r="E179" s="15">
        <v>2.0</v>
      </c>
      <c r="F179" s="12">
        <v>200.0</v>
      </c>
      <c r="G179" s="91">
        <f t="shared" si="1"/>
        <v>400</v>
      </c>
      <c r="H179" s="99"/>
    </row>
    <row r="180">
      <c r="D180" s="15" t="s">
        <v>89</v>
      </c>
      <c r="E180" s="15">
        <v>0.75</v>
      </c>
      <c r="F180" s="12">
        <v>2400.0</v>
      </c>
      <c r="G180" s="91">
        <f t="shared" si="1"/>
        <v>1800</v>
      </c>
      <c r="H180" s="99"/>
    </row>
    <row r="181">
      <c r="D181" s="15" t="s">
        <v>148</v>
      </c>
      <c r="E181" s="15">
        <v>15.0</v>
      </c>
      <c r="F181" s="12">
        <v>120.0</v>
      </c>
      <c r="G181" s="91">
        <f t="shared" si="1"/>
        <v>1800</v>
      </c>
      <c r="H181" s="99"/>
    </row>
    <row r="182">
      <c r="D182" s="15" t="s">
        <v>211</v>
      </c>
      <c r="E182" s="15">
        <v>1.0</v>
      </c>
      <c r="F182" s="12">
        <v>200.0</v>
      </c>
      <c r="G182" s="91">
        <f t="shared" si="1"/>
        <v>200</v>
      </c>
      <c r="H182" s="99"/>
    </row>
    <row r="183">
      <c r="D183" s="15" t="s">
        <v>154</v>
      </c>
      <c r="E183" s="15">
        <v>1.0</v>
      </c>
      <c r="F183" s="12">
        <v>550.0</v>
      </c>
      <c r="G183" s="91">
        <f t="shared" si="1"/>
        <v>550</v>
      </c>
      <c r="H183" s="99"/>
    </row>
    <row r="184">
      <c r="D184" s="15" t="s">
        <v>212</v>
      </c>
      <c r="E184" s="15">
        <v>2.0</v>
      </c>
      <c r="F184" s="12">
        <v>300.0</v>
      </c>
      <c r="G184" s="91">
        <f t="shared" si="1"/>
        <v>600</v>
      </c>
      <c r="H184" s="99"/>
    </row>
    <row r="185">
      <c r="D185" s="15" t="s">
        <v>213</v>
      </c>
      <c r="E185" s="15">
        <v>2.0</v>
      </c>
      <c r="F185" s="12">
        <v>500.0</v>
      </c>
      <c r="G185" s="91">
        <f t="shared" si="1"/>
        <v>1000</v>
      </c>
      <c r="H185" s="99"/>
    </row>
    <row r="186">
      <c r="D186" s="15" t="s">
        <v>214</v>
      </c>
      <c r="E186" s="15">
        <v>1.0</v>
      </c>
      <c r="F186" s="12">
        <v>550.0</v>
      </c>
      <c r="G186" s="91">
        <f t="shared" si="1"/>
        <v>550</v>
      </c>
      <c r="H186" s="99"/>
    </row>
    <row r="187">
      <c r="D187" s="15" t="s">
        <v>89</v>
      </c>
      <c r="E187" s="15">
        <v>0.1</v>
      </c>
      <c r="F187" s="12">
        <v>2500.0</v>
      </c>
      <c r="G187" s="91">
        <f t="shared" si="1"/>
        <v>250</v>
      </c>
      <c r="H187" s="99"/>
    </row>
    <row r="188">
      <c r="D188" s="15" t="s">
        <v>215</v>
      </c>
      <c r="E188" s="15">
        <v>2.0</v>
      </c>
      <c r="F188" s="12">
        <v>180.0</v>
      </c>
      <c r="G188" s="91">
        <f t="shared" si="1"/>
        <v>360</v>
      </c>
      <c r="H188" s="99"/>
    </row>
    <row r="189">
      <c r="D189" s="15" t="s">
        <v>216</v>
      </c>
      <c r="E189" s="15">
        <v>1.0</v>
      </c>
      <c r="F189" s="12">
        <v>100.0</v>
      </c>
      <c r="G189" s="91">
        <f t="shared" si="1"/>
        <v>100</v>
      </c>
      <c r="H189" s="99"/>
    </row>
    <row r="190">
      <c r="D190" s="15" t="s">
        <v>217</v>
      </c>
      <c r="E190" s="15">
        <v>1.0</v>
      </c>
      <c r="F190" s="12">
        <v>300.0</v>
      </c>
      <c r="G190" s="91">
        <f t="shared" si="1"/>
        <v>300</v>
      </c>
      <c r="H190" s="99"/>
    </row>
    <row r="191">
      <c r="D191" s="15" t="s">
        <v>218</v>
      </c>
      <c r="E191" s="15">
        <v>1.0</v>
      </c>
      <c r="F191" s="12">
        <v>1300.0</v>
      </c>
      <c r="G191" s="91">
        <f t="shared" si="1"/>
        <v>1300</v>
      </c>
      <c r="H191" s="99"/>
    </row>
    <row r="192">
      <c r="D192" s="15" t="s">
        <v>219</v>
      </c>
      <c r="E192" s="15">
        <v>1.0</v>
      </c>
      <c r="F192" s="12">
        <v>100.0</v>
      </c>
      <c r="G192" s="91">
        <f t="shared" si="1"/>
        <v>100</v>
      </c>
      <c r="H192" s="99"/>
    </row>
    <row r="193">
      <c r="D193" s="15" t="s">
        <v>164</v>
      </c>
      <c r="E193" s="15">
        <v>5.0</v>
      </c>
      <c r="F193" s="12">
        <v>120.0</v>
      </c>
      <c r="G193" s="91">
        <f t="shared" si="1"/>
        <v>600</v>
      </c>
      <c r="H193" s="99"/>
    </row>
    <row r="194">
      <c r="D194" s="15" t="s">
        <v>93</v>
      </c>
      <c r="E194" s="15">
        <v>4.0</v>
      </c>
      <c r="F194" s="12">
        <v>950.0</v>
      </c>
      <c r="G194" s="91">
        <f t="shared" si="1"/>
        <v>3800</v>
      </c>
      <c r="H194" s="99"/>
    </row>
    <row r="195">
      <c r="D195" s="15" t="s">
        <v>94</v>
      </c>
      <c r="E195" s="15">
        <v>10.0</v>
      </c>
      <c r="F195" s="12">
        <v>425.0</v>
      </c>
      <c r="G195" s="91">
        <f t="shared" si="1"/>
        <v>4250</v>
      </c>
      <c r="H195" s="99"/>
    </row>
    <row r="196">
      <c r="D196" s="15" t="s">
        <v>220</v>
      </c>
      <c r="E196" s="15">
        <v>10.0</v>
      </c>
      <c r="F196" s="12">
        <v>30.0</v>
      </c>
      <c r="G196" s="91">
        <f t="shared" si="1"/>
        <v>300</v>
      </c>
      <c r="H196" s="99"/>
    </row>
    <row r="197">
      <c r="D197" s="15" t="s">
        <v>221</v>
      </c>
      <c r="E197" s="15">
        <v>20.0</v>
      </c>
      <c r="F197" s="12">
        <v>90.0</v>
      </c>
      <c r="G197" s="91">
        <f t="shared" si="1"/>
        <v>1800</v>
      </c>
      <c r="H197" s="99"/>
    </row>
    <row r="198">
      <c r="D198" s="15" t="s">
        <v>89</v>
      </c>
      <c r="E198" s="15">
        <v>1.2</v>
      </c>
      <c r="F198" s="12">
        <v>1700.0</v>
      </c>
      <c r="G198" s="91">
        <f t="shared" si="1"/>
        <v>2040</v>
      </c>
      <c r="H198" s="99"/>
    </row>
    <row r="199">
      <c r="D199" s="15" t="s">
        <v>92</v>
      </c>
      <c r="E199" s="15">
        <v>8.0</v>
      </c>
      <c r="F199" s="12">
        <v>265.0</v>
      </c>
      <c r="G199" s="91">
        <f t="shared" si="1"/>
        <v>2120</v>
      </c>
      <c r="H199" s="99"/>
    </row>
    <row r="200">
      <c r="D200" s="15" t="s">
        <v>222</v>
      </c>
      <c r="E200" s="15">
        <v>6.0</v>
      </c>
      <c r="F200" s="12">
        <v>270.0</v>
      </c>
      <c r="G200" s="91">
        <f t="shared" si="1"/>
        <v>1620</v>
      </c>
      <c r="H200" s="99"/>
    </row>
    <row r="201">
      <c r="D201" s="15" t="s">
        <v>126</v>
      </c>
      <c r="E201" s="15">
        <v>9.0</v>
      </c>
      <c r="F201" s="12">
        <v>195.0</v>
      </c>
      <c r="G201" s="91">
        <f t="shared" si="1"/>
        <v>1755</v>
      </c>
      <c r="H201" s="99"/>
    </row>
    <row r="202">
      <c r="D202" s="15" t="s">
        <v>146</v>
      </c>
      <c r="E202" s="15">
        <v>1.0</v>
      </c>
      <c r="F202" s="12">
        <v>1000.0</v>
      </c>
      <c r="G202" s="91">
        <f t="shared" si="1"/>
        <v>1000</v>
      </c>
      <c r="H202" s="99"/>
    </row>
    <row r="203">
      <c r="D203" s="15" t="s">
        <v>223</v>
      </c>
      <c r="E203" s="15">
        <v>2.0</v>
      </c>
      <c r="F203" s="12">
        <v>270.0</v>
      </c>
      <c r="G203" s="91">
        <f t="shared" si="1"/>
        <v>540</v>
      </c>
      <c r="H203" s="99"/>
    </row>
    <row r="204">
      <c r="D204" s="15" t="s">
        <v>224</v>
      </c>
      <c r="E204" s="15">
        <v>5.0</v>
      </c>
      <c r="F204" s="12">
        <v>40.0</v>
      </c>
      <c r="G204" s="91">
        <f t="shared" si="1"/>
        <v>200</v>
      </c>
      <c r="H204" s="99"/>
    </row>
    <row r="205">
      <c r="D205" s="15" t="s">
        <v>225</v>
      </c>
      <c r="E205" s="15">
        <v>1.0</v>
      </c>
      <c r="F205" s="12">
        <v>300.0</v>
      </c>
      <c r="G205" s="91">
        <f t="shared" si="1"/>
        <v>300</v>
      </c>
      <c r="H205" s="99"/>
    </row>
    <row r="206">
      <c r="D206" s="15" t="s">
        <v>226</v>
      </c>
      <c r="E206" s="15">
        <v>2.0</v>
      </c>
      <c r="F206" s="12">
        <v>120.0</v>
      </c>
      <c r="G206" s="91">
        <f t="shared" si="1"/>
        <v>240</v>
      </c>
      <c r="H206" s="99"/>
    </row>
    <row r="207">
      <c r="D207" s="15" t="s">
        <v>227</v>
      </c>
      <c r="E207" s="15">
        <v>1.0</v>
      </c>
      <c r="F207" s="12">
        <v>350.0</v>
      </c>
      <c r="G207" s="91">
        <f t="shared" si="1"/>
        <v>350</v>
      </c>
      <c r="H207" s="99"/>
    </row>
    <row r="208">
      <c r="D208" s="15" t="s">
        <v>201</v>
      </c>
      <c r="E208" s="15">
        <v>8.0</v>
      </c>
      <c r="F208" s="12">
        <v>200.0</v>
      </c>
      <c r="G208" s="91">
        <f t="shared" si="1"/>
        <v>1600</v>
      </c>
      <c r="H208" s="99"/>
    </row>
    <row r="209">
      <c r="D209" s="15" t="s">
        <v>228</v>
      </c>
      <c r="E209" s="15">
        <v>1.5</v>
      </c>
      <c r="F209" s="12">
        <v>700.0</v>
      </c>
      <c r="G209" s="91">
        <f t="shared" si="1"/>
        <v>1050</v>
      </c>
      <c r="H209" s="99"/>
    </row>
    <row r="210">
      <c r="D210" s="15" t="s">
        <v>219</v>
      </c>
      <c r="E210" s="15">
        <v>2.0</v>
      </c>
      <c r="F210" s="12">
        <v>200.0</v>
      </c>
      <c r="G210" s="91">
        <f t="shared" si="1"/>
        <v>400</v>
      </c>
      <c r="H210" s="99"/>
    </row>
    <row r="211">
      <c r="D211" s="15" t="s">
        <v>229</v>
      </c>
      <c r="E211" s="15">
        <v>1.0</v>
      </c>
      <c r="F211" s="12">
        <v>900.0</v>
      </c>
      <c r="G211" s="91">
        <f t="shared" si="1"/>
        <v>900</v>
      </c>
      <c r="H211" s="99"/>
    </row>
    <row r="212">
      <c r="D212" s="15" t="s">
        <v>230</v>
      </c>
      <c r="E212" s="15">
        <v>12.0</v>
      </c>
      <c r="F212" s="12">
        <v>25.0</v>
      </c>
      <c r="G212" s="91">
        <f t="shared" si="1"/>
        <v>300</v>
      </c>
      <c r="H212" s="99"/>
    </row>
    <row r="213">
      <c r="D213" s="15" t="s">
        <v>231</v>
      </c>
      <c r="E213" s="15">
        <v>30.0</v>
      </c>
      <c r="F213" s="12">
        <v>600.0</v>
      </c>
      <c r="G213" s="91">
        <f t="shared" si="1"/>
        <v>18000</v>
      </c>
      <c r="H213" s="99"/>
    </row>
    <row r="214">
      <c r="D214" s="15" t="s">
        <v>232</v>
      </c>
      <c r="E214" s="15">
        <v>66.0</v>
      </c>
      <c r="F214" s="12">
        <v>17.0</v>
      </c>
      <c r="G214" s="91">
        <f t="shared" si="1"/>
        <v>1122</v>
      </c>
      <c r="H214" s="99"/>
    </row>
    <row r="215">
      <c r="D215" s="15" t="s">
        <v>233</v>
      </c>
      <c r="E215" s="15">
        <v>5.0</v>
      </c>
      <c r="F215" s="12">
        <v>99.0</v>
      </c>
      <c r="G215" s="91">
        <f t="shared" si="1"/>
        <v>495</v>
      </c>
      <c r="H215" s="99"/>
    </row>
    <row r="216">
      <c r="D216" s="15" t="s">
        <v>234</v>
      </c>
      <c r="E216" s="15">
        <v>2.0</v>
      </c>
      <c r="F216" s="12">
        <v>150.0</v>
      </c>
      <c r="G216" s="91">
        <f t="shared" si="1"/>
        <v>300</v>
      </c>
      <c r="H216" s="99"/>
    </row>
    <row r="217">
      <c r="D217" s="15" t="s">
        <v>235</v>
      </c>
      <c r="E217" s="15">
        <v>1.0</v>
      </c>
      <c r="F217" s="12">
        <v>100.0</v>
      </c>
      <c r="G217" s="91">
        <f t="shared" si="1"/>
        <v>100</v>
      </c>
      <c r="H217" s="99"/>
    </row>
    <row r="218">
      <c r="D218" s="15" t="s">
        <v>141</v>
      </c>
      <c r="E218" s="15">
        <v>4.0</v>
      </c>
      <c r="F218" s="12">
        <v>120.0</v>
      </c>
      <c r="G218" s="91">
        <f t="shared" si="1"/>
        <v>480</v>
      </c>
      <c r="H218" s="99"/>
    </row>
    <row r="219">
      <c r="D219" s="15" t="s">
        <v>127</v>
      </c>
      <c r="E219" s="15">
        <v>1.0</v>
      </c>
      <c r="F219" s="12">
        <v>600.0</v>
      </c>
      <c r="G219" s="91">
        <f t="shared" si="1"/>
        <v>600</v>
      </c>
      <c r="H219" s="99"/>
    </row>
    <row r="220">
      <c r="D220" s="15" t="s">
        <v>236</v>
      </c>
      <c r="E220" s="15">
        <v>1.0</v>
      </c>
      <c r="F220" s="12">
        <v>1000.0</v>
      </c>
      <c r="G220" s="91">
        <f t="shared" si="1"/>
        <v>1000</v>
      </c>
      <c r="H220" s="99"/>
    </row>
    <row r="221">
      <c r="D221" s="15" t="s">
        <v>164</v>
      </c>
      <c r="E221" s="15">
        <v>6.0</v>
      </c>
      <c r="F221" s="12">
        <v>120.0</v>
      </c>
      <c r="G221" s="91">
        <f t="shared" si="1"/>
        <v>720</v>
      </c>
      <c r="H221" s="10">
        <v>45773.0</v>
      </c>
    </row>
    <row r="222">
      <c r="D222" s="15" t="s">
        <v>164</v>
      </c>
      <c r="E222" s="15">
        <v>10.0</v>
      </c>
      <c r="F222" s="12">
        <v>120.0</v>
      </c>
      <c r="G222" s="91">
        <f t="shared" si="1"/>
        <v>1200</v>
      </c>
      <c r="H222" s="99"/>
    </row>
    <row r="223">
      <c r="D223" s="15" t="s">
        <v>237</v>
      </c>
      <c r="E223" s="15">
        <v>2.0</v>
      </c>
      <c r="F223" s="12">
        <v>30.0</v>
      </c>
      <c r="G223" s="91">
        <f t="shared" si="1"/>
        <v>60</v>
      </c>
      <c r="H223" s="99"/>
    </row>
    <row r="224">
      <c r="D224" s="15" t="s">
        <v>167</v>
      </c>
      <c r="E224" s="15">
        <v>1.0</v>
      </c>
      <c r="F224" s="12">
        <v>70.0</v>
      </c>
      <c r="G224" s="91">
        <f t="shared" si="1"/>
        <v>70</v>
      </c>
      <c r="H224" s="99"/>
    </row>
    <row r="225">
      <c r="D225" s="15" t="s">
        <v>238</v>
      </c>
      <c r="E225" s="15">
        <v>1.5</v>
      </c>
      <c r="F225" s="12">
        <v>1000.0</v>
      </c>
      <c r="G225" s="91">
        <f t="shared" si="1"/>
        <v>1500</v>
      </c>
      <c r="H225" s="99"/>
    </row>
    <row r="226">
      <c r="D226" s="15" t="s">
        <v>239</v>
      </c>
      <c r="E226" s="15">
        <v>4.0</v>
      </c>
      <c r="F226" s="12">
        <v>100.0</v>
      </c>
      <c r="G226" s="91">
        <f t="shared" si="1"/>
        <v>400</v>
      </c>
      <c r="H226" s="99"/>
    </row>
    <row r="227">
      <c r="D227" s="15" t="s">
        <v>240</v>
      </c>
      <c r="E227" s="15">
        <v>1.0</v>
      </c>
      <c r="F227" s="12">
        <v>250.0</v>
      </c>
      <c r="G227" s="91">
        <f t="shared" si="1"/>
        <v>250</v>
      </c>
      <c r="H227" s="99"/>
    </row>
    <row r="228">
      <c r="D228" s="15" t="s">
        <v>241</v>
      </c>
      <c r="E228" s="15">
        <v>1.0</v>
      </c>
      <c r="F228" s="12">
        <v>780.0</v>
      </c>
      <c r="G228" s="91">
        <f t="shared" si="1"/>
        <v>780</v>
      </c>
      <c r="H228" s="99"/>
    </row>
    <row r="229">
      <c r="D229" s="15" t="s">
        <v>242</v>
      </c>
      <c r="E229" s="15">
        <v>2.0</v>
      </c>
      <c r="F229" s="12">
        <v>350.0</v>
      </c>
      <c r="G229" s="91">
        <f t="shared" si="1"/>
        <v>700</v>
      </c>
      <c r="H229" s="99"/>
    </row>
    <row r="230">
      <c r="D230" s="15" t="s">
        <v>167</v>
      </c>
      <c r="E230" s="15">
        <v>1.0</v>
      </c>
      <c r="F230" s="12">
        <v>120.0</v>
      </c>
      <c r="G230" s="91">
        <f t="shared" si="1"/>
        <v>120</v>
      </c>
      <c r="H230" s="99"/>
    </row>
    <row r="231">
      <c r="D231" s="15" t="s">
        <v>201</v>
      </c>
      <c r="E231" s="15">
        <v>5.0</v>
      </c>
      <c r="F231" s="12">
        <v>200.0</v>
      </c>
      <c r="G231" s="91">
        <f t="shared" si="1"/>
        <v>1000</v>
      </c>
      <c r="H231" s="99"/>
    </row>
    <row r="232">
      <c r="D232" s="15" t="s">
        <v>146</v>
      </c>
      <c r="E232" s="15">
        <v>1.0</v>
      </c>
      <c r="F232" s="12">
        <v>1000.0</v>
      </c>
      <c r="G232" s="91">
        <f t="shared" si="1"/>
        <v>1000</v>
      </c>
      <c r="H232" s="99"/>
    </row>
    <row r="233">
      <c r="D233" s="15" t="s">
        <v>164</v>
      </c>
      <c r="E233" s="15">
        <v>15.0</v>
      </c>
      <c r="F233" s="12">
        <v>120.0</v>
      </c>
      <c r="G233" s="91">
        <f t="shared" si="1"/>
        <v>1800</v>
      </c>
      <c r="H233" s="99"/>
    </row>
    <row r="234">
      <c r="D234" s="15" t="s">
        <v>243</v>
      </c>
      <c r="E234" s="15">
        <v>4.0</v>
      </c>
      <c r="F234" s="12">
        <v>100.0</v>
      </c>
      <c r="G234" s="91">
        <f t="shared" si="1"/>
        <v>400</v>
      </c>
      <c r="H234" s="99"/>
    </row>
    <row r="235">
      <c r="D235" s="15" t="s">
        <v>146</v>
      </c>
      <c r="E235" s="15">
        <v>1.0</v>
      </c>
      <c r="F235" s="12">
        <v>1000.0</v>
      </c>
      <c r="G235" s="91">
        <f t="shared" si="1"/>
        <v>1000</v>
      </c>
      <c r="H235" s="99"/>
    </row>
    <row r="236">
      <c r="D236" s="15" t="s">
        <v>122</v>
      </c>
      <c r="E236" s="15">
        <v>4.5</v>
      </c>
      <c r="F236" s="12">
        <v>700.0</v>
      </c>
      <c r="G236" s="91">
        <f t="shared" si="1"/>
        <v>3150</v>
      </c>
      <c r="H236" s="99"/>
    </row>
    <row r="237">
      <c r="D237" s="15" t="s">
        <v>164</v>
      </c>
      <c r="E237" s="15">
        <v>5.0</v>
      </c>
      <c r="F237" s="12">
        <v>100.0</v>
      </c>
      <c r="G237" s="91">
        <f t="shared" si="1"/>
        <v>500</v>
      </c>
      <c r="H237" s="99"/>
    </row>
    <row r="238">
      <c r="D238" s="15" t="s">
        <v>244</v>
      </c>
      <c r="E238" s="15">
        <v>3.0</v>
      </c>
      <c r="F238" s="12">
        <v>400.0</v>
      </c>
      <c r="G238" s="91">
        <f t="shared" si="1"/>
        <v>1200</v>
      </c>
      <c r="H238" s="99"/>
    </row>
    <row r="239">
      <c r="D239" s="15" t="s">
        <v>245</v>
      </c>
      <c r="E239" s="15">
        <v>2.5</v>
      </c>
      <c r="F239" s="12">
        <v>600.0</v>
      </c>
      <c r="G239" s="91">
        <f t="shared" si="1"/>
        <v>1500</v>
      </c>
      <c r="H239" s="99"/>
    </row>
    <row r="240">
      <c r="D240" s="15" t="s">
        <v>246</v>
      </c>
      <c r="E240" s="15">
        <v>2.0</v>
      </c>
      <c r="F240" s="12">
        <v>100.0</v>
      </c>
      <c r="G240" s="91">
        <f t="shared" si="1"/>
        <v>200</v>
      </c>
      <c r="H240" s="99"/>
    </row>
    <row r="241">
      <c r="D241" s="15" t="s">
        <v>156</v>
      </c>
      <c r="E241" s="15">
        <v>1.0</v>
      </c>
      <c r="F241" s="12">
        <v>30.0</v>
      </c>
      <c r="G241" s="91">
        <f t="shared" si="1"/>
        <v>30</v>
      </c>
      <c r="H241" s="99"/>
    </row>
    <row r="242">
      <c r="D242" s="15" t="s">
        <v>169</v>
      </c>
      <c r="E242" s="15">
        <v>100.0</v>
      </c>
      <c r="F242" s="12">
        <v>70.0</v>
      </c>
      <c r="G242" s="91">
        <f t="shared" si="1"/>
        <v>7000</v>
      </c>
      <c r="H242" s="99"/>
    </row>
    <row r="243">
      <c r="D243" s="15" t="s">
        <v>207</v>
      </c>
      <c r="E243" s="15">
        <v>15.0</v>
      </c>
      <c r="F243" s="12">
        <v>80.0</v>
      </c>
      <c r="G243" s="91">
        <f t="shared" si="1"/>
        <v>1200</v>
      </c>
      <c r="H243" s="99"/>
    </row>
    <row r="244">
      <c r="D244" s="15" t="s">
        <v>153</v>
      </c>
      <c r="E244" s="15">
        <v>2.0</v>
      </c>
      <c r="F244" s="12">
        <v>450.0</v>
      </c>
      <c r="G244" s="91">
        <f t="shared" si="1"/>
        <v>900</v>
      </c>
      <c r="H244" s="99"/>
    </row>
    <row r="245">
      <c r="D245" s="15" t="s">
        <v>183</v>
      </c>
      <c r="E245" s="15">
        <v>2.0</v>
      </c>
      <c r="F245" s="12">
        <v>700.0</v>
      </c>
      <c r="G245" s="91">
        <f t="shared" si="1"/>
        <v>1400</v>
      </c>
      <c r="H245" s="99"/>
    </row>
    <row r="246">
      <c r="D246" s="15" t="s">
        <v>247</v>
      </c>
      <c r="E246" s="15">
        <v>50.0</v>
      </c>
      <c r="F246" s="12">
        <v>21.0</v>
      </c>
      <c r="G246" s="91">
        <f t="shared" si="1"/>
        <v>1050</v>
      </c>
      <c r="H246" s="99"/>
    </row>
    <row r="247">
      <c r="D247" s="15" t="s">
        <v>248</v>
      </c>
      <c r="E247" s="15">
        <v>50.0</v>
      </c>
      <c r="F247" s="12">
        <v>20.0</v>
      </c>
      <c r="G247" s="91">
        <f t="shared" si="1"/>
        <v>1000</v>
      </c>
      <c r="H247" s="99"/>
    </row>
    <row r="248">
      <c r="D248" s="15" t="s">
        <v>249</v>
      </c>
      <c r="E248" s="15">
        <v>100.0</v>
      </c>
      <c r="F248" s="12">
        <v>9.5</v>
      </c>
      <c r="G248" s="91">
        <f t="shared" si="1"/>
        <v>950</v>
      </c>
      <c r="H248" s="99"/>
    </row>
    <row r="249">
      <c r="D249" s="15" t="s">
        <v>250</v>
      </c>
      <c r="E249" s="15">
        <v>2.0</v>
      </c>
      <c r="F249" s="12">
        <v>1500.0</v>
      </c>
      <c r="G249" s="91">
        <f t="shared" si="1"/>
        <v>3000</v>
      </c>
      <c r="H249" s="99"/>
    </row>
    <row r="250">
      <c r="D250" s="15" t="s">
        <v>251</v>
      </c>
      <c r="E250" s="15">
        <v>1.0</v>
      </c>
      <c r="F250" s="12">
        <v>2000.0</v>
      </c>
      <c r="G250" s="91">
        <f t="shared" si="1"/>
        <v>2000</v>
      </c>
      <c r="H250" s="99"/>
    </row>
    <row r="251">
      <c r="D251" s="15" t="s">
        <v>252</v>
      </c>
      <c r="E251" s="15">
        <v>24.0</v>
      </c>
      <c r="F251" s="12">
        <v>25.0</v>
      </c>
      <c r="G251" s="91">
        <f t="shared" si="1"/>
        <v>600</v>
      </c>
      <c r="H251" s="99"/>
    </row>
    <row r="252">
      <c r="D252" s="15" t="s">
        <v>253</v>
      </c>
      <c r="E252" s="15">
        <v>1.0</v>
      </c>
      <c r="F252" s="12">
        <v>4000.0</v>
      </c>
      <c r="G252" s="91">
        <f t="shared" si="1"/>
        <v>4000</v>
      </c>
      <c r="H252" s="99"/>
    </row>
    <row r="253">
      <c r="D253" s="15" t="s">
        <v>169</v>
      </c>
      <c r="E253" s="15">
        <v>100.0</v>
      </c>
      <c r="F253" s="12">
        <v>50.0</v>
      </c>
      <c r="G253" s="91">
        <f t="shared" si="1"/>
        <v>5000</v>
      </c>
      <c r="H253" s="99"/>
    </row>
    <row r="254">
      <c r="D254" s="15" t="s">
        <v>145</v>
      </c>
      <c r="E254" s="15">
        <v>8.0</v>
      </c>
      <c r="F254" s="12">
        <v>80.0</v>
      </c>
      <c r="G254" s="91">
        <f t="shared" si="1"/>
        <v>640</v>
      </c>
      <c r="H254" s="99"/>
    </row>
    <row r="255">
      <c r="D255" s="15" t="s">
        <v>164</v>
      </c>
      <c r="E255" s="15">
        <v>11.0</v>
      </c>
      <c r="F255" s="12">
        <v>120.0</v>
      </c>
      <c r="G255" s="91">
        <f t="shared" si="1"/>
        <v>1320</v>
      </c>
      <c r="H255" s="99"/>
    </row>
    <row r="256">
      <c r="D256" s="15" t="s">
        <v>122</v>
      </c>
      <c r="E256" s="15">
        <v>1.5</v>
      </c>
      <c r="F256" s="12">
        <v>680.0</v>
      </c>
      <c r="G256" s="91">
        <f t="shared" si="1"/>
        <v>1020</v>
      </c>
      <c r="H256" s="99"/>
    </row>
    <row r="257">
      <c r="D257" s="15" t="s">
        <v>254</v>
      </c>
      <c r="E257" s="15">
        <v>1.0</v>
      </c>
      <c r="F257" s="12">
        <v>360.0</v>
      </c>
      <c r="G257" s="91">
        <f t="shared" si="1"/>
        <v>360</v>
      </c>
      <c r="H257" s="99"/>
    </row>
    <row r="258">
      <c r="D258" s="15" t="s">
        <v>255</v>
      </c>
      <c r="E258" s="15">
        <v>1.0</v>
      </c>
      <c r="F258" s="12">
        <v>300.0</v>
      </c>
      <c r="G258" s="91">
        <f t="shared" si="1"/>
        <v>300</v>
      </c>
      <c r="H258" s="99"/>
    </row>
    <row r="259">
      <c r="D259" s="15" t="s">
        <v>256</v>
      </c>
      <c r="E259" s="15">
        <v>1.0</v>
      </c>
      <c r="F259" s="12">
        <v>650.0</v>
      </c>
      <c r="G259" s="91">
        <f t="shared" si="1"/>
        <v>650</v>
      </c>
      <c r="H259" s="99"/>
    </row>
    <row r="260">
      <c r="D260" s="15" t="s">
        <v>154</v>
      </c>
      <c r="E260" s="15">
        <v>0.5</v>
      </c>
      <c r="F260" s="12">
        <v>600.0</v>
      </c>
      <c r="G260" s="91">
        <f t="shared" si="1"/>
        <v>300</v>
      </c>
      <c r="H260" s="99"/>
    </row>
    <row r="261">
      <c r="D261" s="15" t="s">
        <v>257</v>
      </c>
      <c r="E261" s="15">
        <v>2.0</v>
      </c>
      <c r="F261" s="12">
        <v>200.0</v>
      </c>
      <c r="G261" s="91">
        <f t="shared" si="1"/>
        <v>400</v>
      </c>
      <c r="H261" s="99"/>
    </row>
    <row r="262">
      <c r="D262" s="15" t="s">
        <v>258</v>
      </c>
      <c r="E262" s="15">
        <v>1.0</v>
      </c>
      <c r="F262" s="12">
        <v>500.0</v>
      </c>
      <c r="G262" s="91">
        <f t="shared" si="1"/>
        <v>500</v>
      </c>
      <c r="H262" s="99"/>
    </row>
    <row r="263">
      <c r="D263" s="15" t="s">
        <v>259</v>
      </c>
      <c r="E263" s="15">
        <v>1.0</v>
      </c>
      <c r="F263" s="12">
        <v>700.0</v>
      </c>
      <c r="G263" s="91">
        <f t="shared" si="1"/>
        <v>700</v>
      </c>
      <c r="H263" s="99"/>
    </row>
    <row r="264">
      <c r="D264" s="15" t="s">
        <v>213</v>
      </c>
      <c r="E264" s="15">
        <v>1.0</v>
      </c>
      <c r="F264" s="12">
        <v>500.0</v>
      </c>
      <c r="G264" s="91">
        <f t="shared" si="1"/>
        <v>500</v>
      </c>
      <c r="H264" s="99"/>
    </row>
    <row r="265">
      <c r="D265" s="15" t="s">
        <v>260</v>
      </c>
      <c r="E265" s="15">
        <v>1.0</v>
      </c>
      <c r="F265" s="12">
        <v>1000.0</v>
      </c>
      <c r="G265" s="91">
        <f t="shared" si="1"/>
        <v>1000</v>
      </c>
      <c r="H265" s="10">
        <v>45775.0</v>
      </c>
    </row>
    <row r="266">
      <c r="D266" s="15" t="s">
        <v>155</v>
      </c>
      <c r="E266" s="15">
        <v>5.0</v>
      </c>
      <c r="F266" s="12">
        <v>30.0</v>
      </c>
      <c r="G266" s="91">
        <f t="shared" si="1"/>
        <v>150</v>
      </c>
      <c r="H266" s="99"/>
    </row>
    <row r="267">
      <c r="D267" s="15" t="s">
        <v>216</v>
      </c>
      <c r="E267" s="15">
        <v>2.0</v>
      </c>
      <c r="F267" s="12">
        <v>100.0</v>
      </c>
      <c r="G267" s="91">
        <f t="shared" si="1"/>
        <v>200</v>
      </c>
      <c r="H267" s="99"/>
    </row>
    <row r="268">
      <c r="D268" s="15" t="s">
        <v>261</v>
      </c>
      <c r="E268" s="15">
        <v>1.0</v>
      </c>
      <c r="F268" s="12">
        <v>500.0</v>
      </c>
      <c r="G268" s="91">
        <f t="shared" si="1"/>
        <v>500</v>
      </c>
      <c r="H268" s="99"/>
    </row>
    <row r="269">
      <c r="D269" s="15" t="s">
        <v>262</v>
      </c>
      <c r="E269" s="15">
        <v>1.0</v>
      </c>
      <c r="F269" s="12">
        <v>1900.0</v>
      </c>
      <c r="G269" s="91">
        <f t="shared" si="1"/>
        <v>1900</v>
      </c>
      <c r="H269" s="99"/>
    </row>
    <row r="270">
      <c r="D270" s="15" t="s">
        <v>263</v>
      </c>
      <c r="E270" s="15">
        <v>1.3</v>
      </c>
      <c r="F270" s="12">
        <v>850.0</v>
      </c>
      <c r="G270" s="108">
        <f t="shared" si="1"/>
        <v>1105</v>
      </c>
      <c r="H270" s="99"/>
    </row>
    <row r="271">
      <c r="D271" s="76"/>
      <c r="E271" s="76"/>
      <c r="F271" s="11"/>
      <c r="G271" s="91">
        <f t="shared" si="1"/>
        <v>0</v>
      </c>
      <c r="H271" s="99"/>
    </row>
    <row r="272">
      <c r="D272" s="76"/>
      <c r="E272" s="76"/>
      <c r="F272" s="11"/>
      <c r="G272" s="91">
        <f t="shared" si="1"/>
        <v>0</v>
      </c>
      <c r="H272" s="99"/>
    </row>
    <row r="273">
      <c r="D273" s="76"/>
      <c r="E273" s="76"/>
      <c r="F273" s="11"/>
      <c r="G273" s="91">
        <f t="shared" si="1"/>
        <v>0</v>
      </c>
      <c r="H273" s="99"/>
    </row>
    <row r="274">
      <c r="D274" s="76"/>
      <c r="E274" s="76"/>
      <c r="F274" s="11"/>
      <c r="G274" s="91">
        <f t="shared" si="1"/>
        <v>0</v>
      </c>
      <c r="H274" s="99"/>
    </row>
    <row r="275">
      <c r="D275" s="76"/>
      <c r="E275" s="76"/>
      <c r="F275" s="11"/>
      <c r="G275" s="91">
        <f t="shared" si="1"/>
        <v>0</v>
      </c>
      <c r="H275" s="99"/>
    </row>
    <row r="276">
      <c r="D276" s="109" t="s">
        <v>149</v>
      </c>
      <c r="E276" s="109">
        <v>100.0</v>
      </c>
      <c r="F276" s="110">
        <v>60.0</v>
      </c>
      <c r="G276" s="111">
        <f t="shared" si="1"/>
        <v>6000</v>
      </c>
      <c r="H276" s="10">
        <v>45759.0</v>
      </c>
    </row>
    <row r="277">
      <c r="D277" s="112" t="s">
        <v>264</v>
      </c>
      <c r="E277" s="112">
        <v>4.0</v>
      </c>
      <c r="F277" s="113">
        <v>16000.0</v>
      </c>
      <c r="G277" s="111">
        <f t="shared" si="1"/>
        <v>64000</v>
      </c>
      <c r="H277" s="99"/>
    </row>
    <row r="278">
      <c r="D278" s="109" t="s">
        <v>265</v>
      </c>
      <c r="E278" s="109">
        <v>1.0</v>
      </c>
      <c r="F278" s="110">
        <v>3400.0</v>
      </c>
      <c r="G278" s="111">
        <f t="shared" si="1"/>
        <v>3400</v>
      </c>
      <c r="H278" s="99"/>
    </row>
    <row r="279">
      <c r="D279" s="109" t="s">
        <v>266</v>
      </c>
      <c r="E279" s="109">
        <v>3.0</v>
      </c>
      <c r="F279" s="110">
        <v>22500.0</v>
      </c>
      <c r="G279" s="111">
        <f t="shared" si="1"/>
        <v>67500</v>
      </c>
      <c r="H279" s="99"/>
    </row>
    <row r="280">
      <c r="D280" s="114" t="s">
        <v>267</v>
      </c>
      <c r="E280" s="115"/>
      <c r="F280" s="116"/>
      <c r="G280" s="117">
        <f>SUM(G3:G279)</f>
        <v>669085</v>
      </c>
      <c r="H280" s="118"/>
    </row>
    <row r="281">
      <c r="D281" s="6"/>
      <c r="E281" s="6"/>
      <c r="F281" s="6"/>
      <c r="G281" s="6"/>
      <c r="H281" s="6"/>
    </row>
    <row r="282">
      <c r="D282" s="6"/>
      <c r="E282" s="6"/>
      <c r="F282" s="6"/>
      <c r="G282" s="6"/>
      <c r="H282" s="6"/>
    </row>
  </sheetData>
  <mergeCells count="1">
    <mergeCell ref="H98:H100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5.63"/>
    <col customWidth="1" min="3" max="3" width="20.63"/>
    <col customWidth="1" min="4" max="4" width="18.13"/>
    <col customWidth="1" min="5" max="5" width="19.13"/>
    <col customWidth="1" min="6" max="6" width="20.13"/>
    <col customWidth="1" min="7" max="7" width="23.88"/>
    <col customWidth="1" min="8" max="8" width="20.13"/>
    <col customWidth="1" min="9" max="9" width="19.88"/>
    <col customWidth="1" min="10" max="10" width="19.38"/>
    <col customWidth="1" min="11" max="11" width="18.88"/>
    <col customWidth="1" min="12" max="12" width="21.38"/>
    <col customWidth="1" min="13" max="13" width="29.38"/>
    <col customWidth="1" min="14" max="14" width="21.13"/>
    <col customWidth="1" min="15" max="15" width="31.38"/>
    <col customWidth="1" min="16" max="16" width="19.88"/>
    <col customWidth="1" min="17" max="17" width="24.88"/>
    <col customWidth="1" min="18" max="18" width="23.88"/>
    <col customWidth="1" min="19" max="19" width="18.88"/>
    <col customWidth="1" min="20" max="20" width="24.88"/>
    <col customWidth="1" min="21" max="21" width="54.13"/>
  </cols>
  <sheetData>
    <row r="1">
      <c r="A1" s="1"/>
      <c r="B1" s="2" t="s">
        <v>0</v>
      </c>
      <c r="C1" s="119" t="s">
        <v>268</v>
      </c>
      <c r="D1" s="119" t="s">
        <v>269</v>
      </c>
      <c r="E1" s="119" t="s">
        <v>270</v>
      </c>
      <c r="F1" s="119" t="s">
        <v>271</v>
      </c>
      <c r="G1" s="119" t="s">
        <v>272</v>
      </c>
      <c r="H1" s="119" t="s">
        <v>273</v>
      </c>
      <c r="I1" s="119" t="s">
        <v>274</v>
      </c>
      <c r="J1" s="119" t="s">
        <v>275</v>
      </c>
      <c r="K1" s="119" t="s">
        <v>276</v>
      </c>
      <c r="L1" s="119" t="s">
        <v>277</v>
      </c>
      <c r="M1" s="119" t="s">
        <v>278</v>
      </c>
      <c r="N1" s="119" t="s">
        <v>279</v>
      </c>
      <c r="O1" s="119" t="s">
        <v>280</v>
      </c>
      <c r="P1" s="119" t="s">
        <v>281</v>
      </c>
      <c r="Q1" s="119" t="s">
        <v>282</v>
      </c>
      <c r="R1" s="120" t="s">
        <v>283</v>
      </c>
      <c r="S1" s="119" t="s">
        <v>284</v>
      </c>
      <c r="T1" s="121" t="s">
        <v>285</v>
      </c>
      <c r="U1" s="122"/>
    </row>
    <row r="2">
      <c r="A2" s="9" t="s">
        <v>11</v>
      </c>
      <c r="B2" s="10">
        <v>45748.0</v>
      </c>
      <c r="C2" s="123">
        <v>0.0</v>
      </c>
      <c r="D2" s="123">
        <v>0.0</v>
      </c>
      <c r="E2" s="123">
        <v>0.0</v>
      </c>
      <c r="F2" s="123">
        <v>0.0</v>
      </c>
      <c r="G2" s="123">
        <v>0.0</v>
      </c>
      <c r="H2" s="123">
        <v>0.0</v>
      </c>
      <c r="I2" s="123">
        <v>2.0</v>
      </c>
      <c r="J2" s="123">
        <v>0.0</v>
      </c>
      <c r="K2" s="123">
        <v>0.0</v>
      </c>
      <c r="L2" s="123">
        <v>0.0</v>
      </c>
      <c r="M2" s="123">
        <v>0.0</v>
      </c>
      <c r="N2" s="123">
        <v>0.0</v>
      </c>
      <c r="O2" s="123">
        <v>0.0</v>
      </c>
      <c r="P2" s="123">
        <v>0.0</v>
      </c>
      <c r="Q2" s="124">
        <v>9.0</v>
      </c>
      <c r="R2" s="123">
        <v>5.0</v>
      </c>
      <c r="S2" s="123">
        <v>0.0</v>
      </c>
      <c r="T2" s="123">
        <v>0.0</v>
      </c>
      <c r="U2" s="123" t="s">
        <v>286</v>
      </c>
    </row>
    <row r="3">
      <c r="A3" s="9" t="s">
        <v>12</v>
      </c>
      <c r="B3" s="10">
        <v>45749.0</v>
      </c>
      <c r="C3" s="125">
        <v>0.0</v>
      </c>
      <c r="D3" s="125">
        <v>0.0</v>
      </c>
      <c r="E3" s="125">
        <v>0.0</v>
      </c>
      <c r="F3" s="125">
        <v>0.0</v>
      </c>
      <c r="G3" s="125">
        <v>0.0</v>
      </c>
      <c r="H3" s="125">
        <v>0.0</v>
      </c>
      <c r="I3" s="125">
        <v>0.0</v>
      </c>
      <c r="J3" s="125">
        <v>0.0</v>
      </c>
      <c r="K3" s="125">
        <v>0.0</v>
      </c>
      <c r="L3" s="125">
        <v>0.0</v>
      </c>
      <c r="M3" s="125">
        <v>0.0</v>
      </c>
      <c r="N3" s="125">
        <v>0.0</v>
      </c>
      <c r="O3" s="125">
        <v>0.0</v>
      </c>
      <c r="P3" s="125">
        <v>0.0</v>
      </c>
      <c r="Q3" s="126">
        <v>0.0</v>
      </c>
      <c r="R3" s="125">
        <v>0.0</v>
      </c>
      <c r="S3" s="125">
        <v>0.0</v>
      </c>
      <c r="T3" s="125">
        <v>0.0</v>
      </c>
      <c r="U3" s="127"/>
    </row>
    <row r="4">
      <c r="A4" s="9" t="s">
        <v>17</v>
      </c>
      <c r="B4" s="10">
        <v>45750.0</v>
      </c>
      <c r="C4" s="123">
        <v>0.0</v>
      </c>
      <c r="D4" s="123">
        <v>0.0</v>
      </c>
      <c r="E4" s="123">
        <v>0.0</v>
      </c>
      <c r="F4" s="123">
        <v>0.0</v>
      </c>
      <c r="G4" s="123">
        <v>0.0</v>
      </c>
      <c r="H4" s="123">
        <v>0.0</v>
      </c>
      <c r="I4" s="123">
        <v>0.0</v>
      </c>
      <c r="J4" s="123">
        <v>0.0</v>
      </c>
      <c r="K4" s="123">
        <v>0.0</v>
      </c>
      <c r="L4" s="123">
        <v>0.0</v>
      </c>
      <c r="M4" s="123">
        <v>0.0</v>
      </c>
      <c r="N4" s="123">
        <v>0.0</v>
      </c>
      <c r="O4" s="123">
        <v>0.0</v>
      </c>
      <c r="P4" s="123">
        <v>0.0</v>
      </c>
      <c r="Q4" s="124">
        <v>0.0</v>
      </c>
      <c r="R4" s="123">
        <v>0.0</v>
      </c>
      <c r="S4" s="123">
        <v>0.0</v>
      </c>
      <c r="T4" s="123">
        <v>0.0</v>
      </c>
      <c r="U4" s="128"/>
    </row>
    <row r="5">
      <c r="A5" s="129" t="s">
        <v>18</v>
      </c>
      <c r="B5" s="130">
        <v>45751.0</v>
      </c>
      <c r="C5" s="131">
        <v>0.0</v>
      </c>
      <c r="D5" s="131">
        <v>0.0</v>
      </c>
      <c r="E5" s="131">
        <v>0.0</v>
      </c>
      <c r="F5" s="131">
        <v>0.0</v>
      </c>
      <c r="G5" s="131">
        <v>0.0</v>
      </c>
      <c r="H5" s="131">
        <v>0.0</v>
      </c>
      <c r="I5" s="131">
        <v>0.0</v>
      </c>
      <c r="J5" s="131">
        <v>0.0</v>
      </c>
      <c r="K5" s="131">
        <v>0.0</v>
      </c>
      <c r="L5" s="131">
        <v>0.0</v>
      </c>
      <c r="M5" s="131">
        <v>0.0</v>
      </c>
      <c r="N5" s="131">
        <v>0.0</v>
      </c>
      <c r="O5" s="131">
        <v>0.0</v>
      </c>
      <c r="P5" s="131">
        <v>0.0</v>
      </c>
      <c r="Q5" s="132">
        <v>0.0</v>
      </c>
      <c r="R5" s="131">
        <v>0.0</v>
      </c>
      <c r="S5" s="131">
        <v>0.0</v>
      </c>
      <c r="T5" s="131">
        <v>0.0</v>
      </c>
      <c r="U5" s="133"/>
    </row>
    <row r="6">
      <c r="A6" s="9" t="s">
        <v>19</v>
      </c>
      <c r="B6" s="10">
        <v>45752.0</v>
      </c>
      <c r="C6" s="123">
        <v>0.0</v>
      </c>
      <c r="D6" s="123">
        <v>2.0</v>
      </c>
      <c r="E6" s="123">
        <v>0.0</v>
      </c>
      <c r="F6" s="123">
        <v>0.0</v>
      </c>
      <c r="G6" s="123">
        <v>0.0</v>
      </c>
      <c r="H6" s="123">
        <v>1.0</v>
      </c>
      <c r="I6" s="123">
        <v>0.0</v>
      </c>
      <c r="J6" s="123">
        <v>1.0</v>
      </c>
      <c r="K6" s="123">
        <v>0.0</v>
      </c>
      <c r="L6" s="123">
        <v>0.0</v>
      </c>
      <c r="M6" s="123">
        <v>1.0</v>
      </c>
      <c r="N6" s="123">
        <v>1.0</v>
      </c>
      <c r="O6" s="123">
        <v>0.0</v>
      </c>
      <c r="P6" s="123">
        <v>0.0</v>
      </c>
      <c r="Q6" s="124">
        <v>0.0</v>
      </c>
      <c r="R6" s="123">
        <v>0.0</v>
      </c>
      <c r="S6" s="123">
        <v>0.0</v>
      </c>
      <c r="T6" s="123">
        <v>0.0</v>
      </c>
      <c r="U6" s="128"/>
    </row>
    <row r="7">
      <c r="A7" s="9" t="s">
        <v>22</v>
      </c>
      <c r="B7" s="10">
        <v>45753.0</v>
      </c>
      <c r="C7" s="125">
        <v>1.0</v>
      </c>
      <c r="D7" s="125">
        <v>1.0</v>
      </c>
      <c r="E7" s="125">
        <v>1.0</v>
      </c>
      <c r="F7" s="125">
        <v>0.0</v>
      </c>
      <c r="G7" s="125">
        <v>0.0</v>
      </c>
      <c r="H7" s="125">
        <v>1.0</v>
      </c>
      <c r="I7" s="125">
        <v>1.0</v>
      </c>
      <c r="J7" s="125">
        <v>1.0</v>
      </c>
      <c r="K7" s="125">
        <v>0.0</v>
      </c>
      <c r="L7" s="125">
        <v>1.0</v>
      </c>
      <c r="M7" s="125">
        <v>1.0</v>
      </c>
      <c r="N7" s="125">
        <v>1.0</v>
      </c>
      <c r="O7" s="125">
        <v>0.0</v>
      </c>
      <c r="P7" s="125">
        <v>0.0</v>
      </c>
      <c r="Q7" s="126">
        <v>0.0</v>
      </c>
      <c r="R7" s="125">
        <v>0.0</v>
      </c>
      <c r="S7" s="125">
        <v>0.0</v>
      </c>
      <c r="T7" s="125">
        <v>0.0</v>
      </c>
      <c r="U7" s="127"/>
    </row>
    <row r="8">
      <c r="A8" s="9" t="s">
        <v>23</v>
      </c>
      <c r="B8" s="10">
        <v>45754.0</v>
      </c>
      <c r="C8" s="134">
        <v>1.0</v>
      </c>
      <c r="D8" s="134">
        <v>1.0</v>
      </c>
      <c r="E8" s="134">
        <v>0.0</v>
      </c>
      <c r="F8" s="134">
        <v>0.0</v>
      </c>
      <c r="G8" s="134">
        <v>0.0</v>
      </c>
      <c r="H8" s="134">
        <v>1.0</v>
      </c>
      <c r="I8" s="134">
        <v>0.0</v>
      </c>
      <c r="J8" s="134">
        <v>1.0</v>
      </c>
      <c r="K8" s="134">
        <v>0.0</v>
      </c>
      <c r="L8" s="134">
        <v>1.0</v>
      </c>
      <c r="M8" s="134">
        <v>1.0</v>
      </c>
      <c r="N8" s="134">
        <v>1.0</v>
      </c>
      <c r="O8" s="134">
        <v>0.0</v>
      </c>
      <c r="P8" s="134">
        <v>0.0</v>
      </c>
      <c r="Q8" s="135">
        <v>0.0</v>
      </c>
      <c r="R8" s="134">
        <v>0.0</v>
      </c>
      <c r="S8" s="134">
        <v>0.0</v>
      </c>
      <c r="T8" s="134">
        <v>0.0</v>
      </c>
      <c r="U8" s="134" t="s">
        <v>287</v>
      </c>
    </row>
    <row r="9">
      <c r="A9" s="9" t="s">
        <v>11</v>
      </c>
      <c r="B9" s="10">
        <v>45755.0</v>
      </c>
      <c r="C9" s="125">
        <v>1.0</v>
      </c>
      <c r="D9" s="125">
        <v>1.0</v>
      </c>
      <c r="E9" s="125">
        <v>0.0</v>
      </c>
      <c r="F9" s="125">
        <v>1.0</v>
      </c>
      <c r="G9" s="125">
        <v>0.0</v>
      </c>
      <c r="H9" s="125">
        <v>1.0</v>
      </c>
      <c r="I9" s="125">
        <v>1.0</v>
      </c>
      <c r="J9" s="125">
        <v>1.0</v>
      </c>
      <c r="K9" s="125">
        <v>0.0</v>
      </c>
      <c r="L9" s="125">
        <v>1.0</v>
      </c>
      <c r="M9" s="125">
        <v>0.0</v>
      </c>
      <c r="N9" s="125">
        <v>1.0</v>
      </c>
      <c r="O9" s="125">
        <v>0.0</v>
      </c>
      <c r="P9" s="125">
        <v>0.0</v>
      </c>
      <c r="Q9" s="126">
        <v>0.0</v>
      </c>
      <c r="R9" s="125">
        <v>0.0</v>
      </c>
      <c r="S9" s="125">
        <v>0.0</v>
      </c>
      <c r="T9" s="125">
        <v>0.0</v>
      </c>
      <c r="U9" s="127"/>
    </row>
    <row r="10">
      <c r="A10" s="9" t="s">
        <v>12</v>
      </c>
      <c r="B10" s="10">
        <v>45756.0</v>
      </c>
      <c r="C10" s="123">
        <v>1.0</v>
      </c>
      <c r="D10" s="123">
        <v>0.5</v>
      </c>
      <c r="E10" s="123">
        <v>0.0</v>
      </c>
      <c r="F10" s="123">
        <v>1.0</v>
      </c>
      <c r="G10" s="123">
        <v>1.0</v>
      </c>
      <c r="H10" s="123">
        <v>0.0</v>
      </c>
      <c r="I10" s="123">
        <v>0.0</v>
      </c>
      <c r="J10" s="123">
        <v>1.0</v>
      </c>
      <c r="K10" s="123">
        <v>0.0</v>
      </c>
      <c r="L10" s="123">
        <v>1.0</v>
      </c>
      <c r="M10" s="123">
        <v>1.0</v>
      </c>
      <c r="N10" s="123">
        <v>1.0</v>
      </c>
      <c r="O10" s="123">
        <v>0.0</v>
      </c>
      <c r="P10" s="123">
        <v>0.0</v>
      </c>
      <c r="Q10" s="124">
        <v>0.0</v>
      </c>
      <c r="R10" s="123">
        <v>0.0</v>
      </c>
      <c r="S10" s="123">
        <v>0.0</v>
      </c>
      <c r="T10" s="123">
        <v>0.0</v>
      </c>
      <c r="U10" s="128"/>
    </row>
    <row r="11">
      <c r="A11" s="9" t="s">
        <v>17</v>
      </c>
      <c r="B11" s="10">
        <v>45757.0</v>
      </c>
      <c r="C11" s="125">
        <v>1.0</v>
      </c>
      <c r="D11" s="125">
        <v>1.0</v>
      </c>
      <c r="E11" s="125">
        <v>0.5</v>
      </c>
      <c r="F11" s="125">
        <v>1.0</v>
      </c>
      <c r="G11" s="125">
        <v>0.0</v>
      </c>
      <c r="H11" s="125">
        <v>1.0</v>
      </c>
      <c r="I11" s="125">
        <v>1.0</v>
      </c>
      <c r="J11" s="125">
        <v>0.0</v>
      </c>
      <c r="K11" s="125">
        <v>0.0</v>
      </c>
      <c r="L11" s="125">
        <v>1.0</v>
      </c>
      <c r="M11" s="125">
        <v>1.0</v>
      </c>
      <c r="N11" s="125">
        <v>1.0</v>
      </c>
      <c r="O11" s="125">
        <v>0.0</v>
      </c>
      <c r="P11" s="125">
        <v>0.0</v>
      </c>
      <c r="Q11" s="126">
        <v>0.0</v>
      </c>
      <c r="R11" s="125">
        <v>0.0</v>
      </c>
      <c r="S11" s="125">
        <v>0.0</v>
      </c>
      <c r="T11" s="125">
        <v>0.0</v>
      </c>
      <c r="U11" s="127"/>
    </row>
    <row r="12">
      <c r="A12" s="129" t="s">
        <v>18</v>
      </c>
      <c r="B12" s="130">
        <v>45758.0</v>
      </c>
      <c r="C12" s="131">
        <v>0.0</v>
      </c>
      <c r="D12" s="131">
        <v>2.0</v>
      </c>
      <c r="E12" s="131">
        <v>0.0</v>
      </c>
      <c r="F12" s="131">
        <v>0.0</v>
      </c>
      <c r="G12" s="131">
        <v>0.0</v>
      </c>
      <c r="H12" s="131">
        <v>1.0</v>
      </c>
      <c r="I12" s="131">
        <v>1.5</v>
      </c>
      <c r="J12" s="131">
        <v>0.0</v>
      </c>
      <c r="K12" s="131">
        <v>1.0</v>
      </c>
      <c r="L12" s="131">
        <v>0.0</v>
      </c>
      <c r="M12" s="131">
        <v>0.0</v>
      </c>
      <c r="N12" s="131">
        <v>0.0</v>
      </c>
      <c r="O12" s="131">
        <v>0.0</v>
      </c>
      <c r="P12" s="131">
        <v>0.0</v>
      </c>
      <c r="Q12" s="132">
        <v>1.0</v>
      </c>
      <c r="R12" s="131">
        <v>0.0</v>
      </c>
      <c r="S12" s="131">
        <v>0.0</v>
      </c>
      <c r="T12" s="131">
        <v>1.0</v>
      </c>
      <c r="U12" s="133"/>
    </row>
    <row r="13">
      <c r="A13" s="9" t="s">
        <v>19</v>
      </c>
      <c r="B13" s="10">
        <v>45759.0</v>
      </c>
      <c r="C13" s="125">
        <v>1.0</v>
      </c>
      <c r="D13" s="125">
        <v>1.0</v>
      </c>
      <c r="E13" s="125">
        <v>0.0</v>
      </c>
      <c r="F13" s="125">
        <v>1.0</v>
      </c>
      <c r="G13" s="125">
        <v>0.0</v>
      </c>
      <c r="H13" s="125">
        <v>1.0</v>
      </c>
      <c r="I13" s="125">
        <v>0.0</v>
      </c>
      <c r="J13" s="125">
        <v>1.0</v>
      </c>
      <c r="K13" s="125">
        <v>0.0</v>
      </c>
      <c r="L13" s="125">
        <v>1.0</v>
      </c>
      <c r="M13" s="125">
        <v>1.0</v>
      </c>
      <c r="N13" s="125">
        <v>1.0</v>
      </c>
      <c r="O13" s="125">
        <v>0.0</v>
      </c>
      <c r="P13" s="125">
        <v>0.0</v>
      </c>
      <c r="Q13" s="126">
        <v>0.0</v>
      </c>
      <c r="R13" s="125">
        <v>0.0</v>
      </c>
      <c r="S13" s="125">
        <v>0.0</v>
      </c>
      <c r="T13" s="125">
        <v>0.0</v>
      </c>
      <c r="U13" s="127"/>
    </row>
    <row r="14">
      <c r="A14" s="9" t="s">
        <v>22</v>
      </c>
      <c r="B14" s="10">
        <v>45760.0</v>
      </c>
      <c r="C14" s="123">
        <v>1.0</v>
      </c>
      <c r="D14" s="123">
        <v>1.0</v>
      </c>
      <c r="E14" s="123">
        <v>0.0</v>
      </c>
      <c r="F14" s="123">
        <v>1.0</v>
      </c>
      <c r="G14" s="123">
        <v>0.0</v>
      </c>
      <c r="H14" s="123">
        <v>1.0</v>
      </c>
      <c r="I14" s="123">
        <v>1.0</v>
      </c>
      <c r="J14" s="123">
        <v>1.0</v>
      </c>
      <c r="K14" s="123">
        <v>0.0</v>
      </c>
      <c r="L14" s="123">
        <v>1.0</v>
      </c>
      <c r="M14" s="123">
        <v>1.0</v>
      </c>
      <c r="N14" s="123">
        <v>1.0</v>
      </c>
      <c r="O14" s="123">
        <v>0.0</v>
      </c>
      <c r="P14" s="123">
        <v>0.0</v>
      </c>
      <c r="Q14" s="124">
        <v>0.0</v>
      </c>
      <c r="R14" s="123">
        <v>0.0</v>
      </c>
      <c r="S14" s="123">
        <v>0.0</v>
      </c>
      <c r="T14" s="123">
        <v>0.0</v>
      </c>
      <c r="U14" s="123" t="s">
        <v>288</v>
      </c>
    </row>
    <row r="15">
      <c r="A15" s="9" t="s">
        <v>23</v>
      </c>
      <c r="B15" s="10">
        <v>45761.0</v>
      </c>
      <c r="C15" s="134">
        <v>1.0</v>
      </c>
      <c r="D15" s="134">
        <v>0.0</v>
      </c>
      <c r="E15" s="134">
        <v>0.0</v>
      </c>
      <c r="F15" s="134">
        <v>1.0</v>
      </c>
      <c r="G15" s="134">
        <v>0.0</v>
      </c>
      <c r="H15" s="134">
        <v>1.0</v>
      </c>
      <c r="I15" s="134">
        <v>0.0</v>
      </c>
      <c r="J15" s="134">
        <v>1.0</v>
      </c>
      <c r="K15" s="134">
        <v>0.0</v>
      </c>
      <c r="L15" s="134">
        <v>0.5</v>
      </c>
      <c r="M15" s="134">
        <v>1.0</v>
      </c>
      <c r="N15" s="134">
        <v>1.0</v>
      </c>
      <c r="O15" s="134">
        <v>0.0</v>
      </c>
      <c r="P15" s="134">
        <v>0.0</v>
      </c>
      <c r="Q15" s="135">
        <v>1.0</v>
      </c>
      <c r="R15" s="134">
        <v>0.0</v>
      </c>
      <c r="S15" s="134">
        <v>0.0</v>
      </c>
      <c r="T15" s="134">
        <v>0.0</v>
      </c>
      <c r="U15" s="134" t="s">
        <v>289</v>
      </c>
    </row>
    <row r="16">
      <c r="A16" s="9" t="s">
        <v>11</v>
      </c>
      <c r="B16" s="10">
        <v>45762.0</v>
      </c>
      <c r="C16" s="123">
        <v>0.0</v>
      </c>
      <c r="D16" s="123">
        <v>1.0</v>
      </c>
      <c r="E16" s="123">
        <v>0.0</v>
      </c>
      <c r="F16" s="123">
        <v>1.0</v>
      </c>
      <c r="G16" s="123">
        <v>1.0</v>
      </c>
      <c r="H16" s="123">
        <v>0.0</v>
      </c>
      <c r="I16" s="123">
        <v>1.0</v>
      </c>
      <c r="J16" s="123">
        <v>1.0</v>
      </c>
      <c r="K16" s="123">
        <v>0.0</v>
      </c>
      <c r="L16" s="123">
        <v>0.5</v>
      </c>
      <c r="M16" s="123">
        <v>1.0</v>
      </c>
      <c r="N16" s="123">
        <v>1.0</v>
      </c>
      <c r="O16" s="123">
        <v>0.0</v>
      </c>
      <c r="P16" s="123">
        <v>0.0</v>
      </c>
      <c r="Q16" s="124">
        <v>1.0</v>
      </c>
      <c r="R16" s="123">
        <v>0.0</v>
      </c>
      <c r="S16" s="123">
        <v>0.0</v>
      </c>
      <c r="T16" s="123">
        <v>0.0</v>
      </c>
      <c r="U16" s="123" t="s">
        <v>290</v>
      </c>
    </row>
    <row r="17">
      <c r="A17" s="9" t="s">
        <v>12</v>
      </c>
      <c r="B17" s="10">
        <v>45763.0</v>
      </c>
      <c r="C17" s="136">
        <v>0.0</v>
      </c>
      <c r="D17" s="136">
        <v>1.0</v>
      </c>
      <c r="E17" s="136">
        <v>0.0</v>
      </c>
      <c r="F17" s="136">
        <v>1.0</v>
      </c>
      <c r="G17" s="136">
        <v>0.0</v>
      </c>
      <c r="H17" s="136">
        <v>1.0</v>
      </c>
      <c r="I17" s="136">
        <v>0.0</v>
      </c>
      <c r="J17" s="125">
        <v>1.0</v>
      </c>
      <c r="K17" s="136">
        <v>0.0</v>
      </c>
      <c r="L17" s="125">
        <v>1.0</v>
      </c>
      <c r="M17" s="125">
        <v>0.0</v>
      </c>
      <c r="N17" s="125">
        <v>1.0</v>
      </c>
      <c r="O17" s="125">
        <v>0.0</v>
      </c>
      <c r="P17" s="125">
        <v>0.0</v>
      </c>
      <c r="Q17" s="126">
        <v>1.0</v>
      </c>
      <c r="R17" s="125">
        <v>0.0</v>
      </c>
      <c r="S17" s="125">
        <v>0.0</v>
      </c>
      <c r="T17" s="125">
        <v>0.0</v>
      </c>
      <c r="U17" s="127"/>
    </row>
    <row r="18">
      <c r="A18" s="9" t="s">
        <v>17</v>
      </c>
      <c r="B18" s="10">
        <v>45764.0</v>
      </c>
      <c r="C18" s="123">
        <v>0.0</v>
      </c>
      <c r="D18" s="123">
        <v>1.0</v>
      </c>
      <c r="E18" s="123">
        <v>0.0</v>
      </c>
      <c r="F18" s="123">
        <v>1.0</v>
      </c>
      <c r="G18" s="123">
        <v>0.0</v>
      </c>
      <c r="H18" s="123">
        <v>1.0</v>
      </c>
      <c r="I18" s="123">
        <v>1.0</v>
      </c>
      <c r="J18" s="123">
        <v>1.0</v>
      </c>
      <c r="K18" s="123">
        <v>0.0</v>
      </c>
      <c r="L18" s="123">
        <v>1.0</v>
      </c>
      <c r="M18" s="123">
        <v>0.0</v>
      </c>
      <c r="N18" s="123">
        <v>1.0</v>
      </c>
      <c r="O18" s="123">
        <v>1.0</v>
      </c>
      <c r="P18" s="123">
        <v>0.0</v>
      </c>
      <c r="Q18" s="124">
        <v>1.0</v>
      </c>
      <c r="R18" s="123">
        <v>0.0</v>
      </c>
      <c r="S18" s="123">
        <v>1.0</v>
      </c>
      <c r="T18" s="123">
        <v>0.0</v>
      </c>
      <c r="U18" s="128"/>
    </row>
    <row r="19">
      <c r="A19" s="129" t="s">
        <v>18</v>
      </c>
      <c r="B19" s="130">
        <v>45765.0</v>
      </c>
      <c r="C19" s="131">
        <v>0.0</v>
      </c>
      <c r="D19" s="131">
        <v>1.0</v>
      </c>
      <c r="E19" s="131">
        <v>0.0</v>
      </c>
      <c r="F19" s="131">
        <v>1.0</v>
      </c>
      <c r="G19" s="131">
        <v>0.0</v>
      </c>
      <c r="H19" s="131">
        <v>0.0</v>
      </c>
      <c r="I19" s="131">
        <v>0.0</v>
      </c>
      <c r="J19" s="131">
        <v>1.0</v>
      </c>
      <c r="K19" s="131">
        <v>0.0</v>
      </c>
      <c r="L19" s="131">
        <v>0.0</v>
      </c>
      <c r="M19" s="131">
        <v>0.0</v>
      </c>
      <c r="N19" s="131">
        <v>0.0</v>
      </c>
      <c r="O19" s="131">
        <v>0.0</v>
      </c>
      <c r="P19" s="131">
        <v>0.0</v>
      </c>
      <c r="Q19" s="132">
        <v>1.0</v>
      </c>
      <c r="R19" s="131">
        <v>0.0</v>
      </c>
      <c r="S19" s="131">
        <v>1.0</v>
      </c>
      <c r="T19" s="131">
        <v>1.0</v>
      </c>
      <c r="U19" s="133"/>
    </row>
    <row r="20">
      <c r="A20" s="9" t="s">
        <v>19</v>
      </c>
      <c r="B20" s="10">
        <v>45766.0</v>
      </c>
      <c r="C20" s="123">
        <v>0.0</v>
      </c>
      <c r="D20" s="123">
        <v>1.0</v>
      </c>
      <c r="E20" s="123">
        <v>0.0</v>
      </c>
      <c r="F20" s="123">
        <v>1.0</v>
      </c>
      <c r="G20" s="123">
        <v>0.0</v>
      </c>
      <c r="H20" s="123">
        <v>0.0</v>
      </c>
      <c r="I20" s="123">
        <v>1.0</v>
      </c>
      <c r="J20" s="123">
        <v>1.0</v>
      </c>
      <c r="K20" s="123">
        <v>0.0</v>
      </c>
      <c r="L20" s="123">
        <v>1.0</v>
      </c>
      <c r="M20" s="123">
        <v>0.0</v>
      </c>
      <c r="N20" s="123">
        <v>2.0</v>
      </c>
      <c r="O20" s="123">
        <v>1.0</v>
      </c>
      <c r="P20" s="123">
        <v>0.0</v>
      </c>
      <c r="Q20" s="124">
        <v>1.0</v>
      </c>
      <c r="R20" s="123">
        <v>0.0</v>
      </c>
      <c r="S20" s="123">
        <v>0.0</v>
      </c>
      <c r="T20" s="123">
        <v>0.0</v>
      </c>
      <c r="U20" s="128"/>
    </row>
    <row r="21">
      <c r="A21" s="9" t="s">
        <v>22</v>
      </c>
      <c r="B21" s="10">
        <v>45767.0</v>
      </c>
      <c r="C21" s="125">
        <v>0.0</v>
      </c>
      <c r="D21" s="125">
        <v>1.0</v>
      </c>
      <c r="E21" s="125">
        <v>0.0</v>
      </c>
      <c r="F21" s="125">
        <v>1.0</v>
      </c>
      <c r="G21" s="125">
        <v>0.0</v>
      </c>
      <c r="H21" s="125">
        <v>1.0</v>
      </c>
      <c r="I21" s="125">
        <v>0.0</v>
      </c>
      <c r="J21" s="125">
        <v>1.0</v>
      </c>
      <c r="K21" s="125">
        <v>0.0</v>
      </c>
      <c r="L21" s="125">
        <v>1.0</v>
      </c>
      <c r="M21" s="125">
        <v>1.0</v>
      </c>
      <c r="N21" s="125">
        <v>1.0</v>
      </c>
      <c r="O21" s="125">
        <v>1.0</v>
      </c>
      <c r="P21" s="125">
        <v>0.0</v>
      </c>
      <c r="Q21" s="126">
        <v>1.0</v>
      </c>
      <c r="R21" s="125">
        <v>0.0</v>
      </c>
      <c r="S21" s="125">
        <v>0.0</v>
      </c>
      <c r="T21" s="125">
        <v>0.0</v>
      </c>
      <c r="U21" s="127"/>
    </row>
    <row r="22">
      <c r="A22" s="9" t="s">
        <v>23</v>
      </c>
      <c r="B22" s="10">
        <v>45768.0</v>
      </c>
      <c r="C22" s="134">
        <v>0.0</v>
      </c>
      <c r="D22" s="134">
        <v>0.0</v>
      </c>
      <c r="E22" s="134">
        <v>0.0</v>
      </c>
      <c r="F22" s="134">
        <v>1.0</v>
      </c>
      <c r="G22" s="134">
        <v>0.0</v>
      </c>
      <c r="H22" s="134">
        <v>1.0</v>
      </c>
      <c r="I22" s="134">
        <v>1.0</v>
      </c>
      <c r="J22" s="134">
        <v>1.0</v>
      </c>
      <c r="K22" s="134">
        <v>0.0</v>
      </c>
      <c r="L22" s="134">
        <v>1.0</v>
      </c>
      <c r="M22" s="134">
        <v>1.0</v>
      </c>
      <c r="N22" s="134">
        <v>1.0</v>
      </c>
      <c r="O22" s="134">
        <v>0.0</v>
      </c>
      <c r="P22" s="134">
        <v>0.0</v>
      </c>
      <c r="Q22" s="135">
        <v>0.0</v>
      </c>
      <c r="R22" s="134">
        <v>0.0</v>
      </c>
      <c r="S22" s="134">
        <v>0.0</v>
      </c>
      <c r="T22" s="134">
        <v>0.0</v>
      </c>
      <c r="U22" s="137"/>
    </row>
    <row r="23">
      <c r="A23" s="9" t="s">
        <v>11</v>
      </c>
      <c r="B23" s="10">
        <v>45769.0</v>
      </c>
      <c r="C23" s="125">
        <v>0.0</v>
      </c>
      <c r="D23" s="125">
        <v>1.0</v>
      </c>
      <c r="E23" s="125">
        <v>0.0</v>
      </c>
      <c r="F23" s="125">
        <v>1.0</v>
      </c>
      <c r="G23" s="125">
        <v>1.0</v>
      </c>
      <c r="H23" s="125">
        <v>0.0</v>
      </c>
      <c r="I23" s="125">
        <v>0.0</v>
      </c>
      <c r="J23" s="125">
        <v>1.0</v>
      </c>
      <c r="K23" s="125">
        <v>0.0</v>
      </c>
      <c r="L23" s="125">
        <v>1.0</v>
      </c>
      <c r="M23" s="125">
        <v>1.0</v>
      </c>
      <c r="N23" s="125">
        <v>1.0</v>
      </c>
      <c r="O23" s="125">
        <v>1.0</v>
      </c>
      <c r="P23" s="125">
        <v>0.0</v>
      </c>
      <c r="Q23" s="126">
        <v>1.0</v>
      </c>
      <c r="R23" s="125">
        <v>0.0</v>
      </c>
      <c r="S23" s="125">
        <v>1.0</v>
      </c>
      <c r="T23" s="125">
        <v>0.0</v>
      </c>
      <c r="U23" s="127"/>
    </row>
    <row r="24">
      <c r="A24" s="9" t="s">
        <v>12</v>
      </c>
      <c r="B24" s="10">
        <v>45770.0</v>
      </c>
      <c r="C24" s="123">
        <v>0.0</v>
      </c>
      <c r="D24" s="123">
        <v>1.0</v>
      </c>
      <c r="E24" s="123">
        <v>0.0</v>
      </c>
      <c r="F24" s="123">
        <v>1.0</v>
      </c>
      <c r="G24" s="123">
        <v>0.0</v>
      </c>
      <c r="H24" s="123">
        <v>1.0</v>
      </c>
      <c r="I24" s="123">
        <v>1.0</v>
      </c>
      <c r="J24" s="123">
        <v>1.0</v>
      </c>
      <c r="K24" s="123">
        <v>0.0</v>
      </c>
      <c r="L24" s="123">
        <v>0.0</v>
      </c>
      <c r="M24" s="123">
        <v>1.0</v>
      </c>
      <c r="N24" s="123">
        <v>1.0</v>
      </c>
      <c r="O24" s="123">
        <v>0.0</v>
      </c>
      <c r="P24" s="123">
        <v>0.0</v>
      </c>
      <c r="Q24" s="124">
        <v>0.0</v>
      </c>
      <c r="R24" s="123">
        <v>0.0</v>
      </c>
      <c r="S24" s="123">
        <v>0.0</v>
      </c>
      <c r="T24" s="123">
        <v>0.0</v>
      </c>
      <c r="U24" s="128"/>
    </row>
    <row r="25">
      <c r="A25" s="9" t="s">
        <v>17</v>
      </c>
      <c r="B25" s="10">
        <v>45771.0</v>
      </c>
      <c r="C25" s="125">
        <v>1.0</v>
      </c>
      <c r="D25" s="125">
        <v>1.0</v>
      </c>
      <c r="E25" s="125">
        <v>0.0</v>
      </c>
      <c r="F25" s="125">
        <v>1.0</v>
      </c>
      <c r="G25" s="125">
        <v>0.0</v>
      </c>
      <c r="H25" s="125">
        <v>1.0</v>
      </c>
      <c r="I25" s="125">
        <v>0.0</v>
      </c>
      <c r="J25" s="125">
        <v>1.0</v>
      </c>
      <c r="K25" s="125">
        <v>0.0</v>
      </c>
      <c r="L25" s="125">
        <v>1.0</v>
      </c>
      <c r="M25" s="125">
        <v>1.0</v>
      </c>
      <c r="N25" s="125">
        <v>1.0</v>
      </c>
      <c r="O25" s="125">
        <v>0.0</v>
      </c>
      <c r="P25" s="125">
        <v>0.0</v>
      </c>
      <c r="Q25" s="126">
        <v>0.0</v>
      </c>
      <c r="R25" s="125">
        <v>0.0</v>
      </c>
      <c r="S25" s="125">
        <v>1.0</v>
      </c>
      <c r="T25" s="125">
        <v>0.0</v>
      </c>
      <c r="U25" s="127"/>
    </row>
    <row r="26">
      <c r="A26" s="129" t="s">
        <v>18</v>
      </c>
      <c r="B26" s="130">
        <v>45772.0</v>
      </c>
      <c r="C26" s="138">
        <v>0.0</v>
      </c>
      <c r="D26" s="138">
        <v>1.0</v>
      </c>
      <c r="E26" s="138">
        <v>0.0</v>
      </c>
      <c r="F26" s="138">
        <v>1.0</v>
      </c>
      <c r="G26" s="138">
        <v>0.0</v>
      </c>
      <c r="H26" s="138">
        <v>1.0</v>
      </c>
      <c r="I26" s="138">
        <v>1.0</v>
      </c>
      <c r="J26" s="138">
        <v>1.0</v>
      </c>
      <c r="K26" s="138">
        <v>0.0</v>
      </c>
      <c r="L26" s="138">
        <v>0.0</v>
      </c>
      <c r="M26" s="138">
        <v>0.0</v>
      </c>
      <c r="N26" s="131">
        <v>0.0</v>
      </c>
      <c r="O26" s="138">
        <v>0.0</v>
      </c>
      <c r="P26" s="138">
        <v>0.0</v>
      </c>
      <c r="Q26" s="139">
        <v>0.0</v>
      </c>
      <c r="R26" s="138">
        <v>0.0</v>
      </c>
      <c r="S26" s="138">
        <v>1.0</v>
      </c>
      <c r="T26" s="131">
        <v>1.0</v>
      </c>
      <c r="U26" s="133"/>
    </row>
    <row r="27">
      <c r="A27" s="9" t="s">
        <v>19</v>
      </c>
      <c r="B27" s="10">
        <v>45773.0</v>
      </c>
      <c r="C27" s="125">
        <v>0.0</v>
      </c>
      <c r="D27" s="125">
        <v>1.0</v>
      </c>
      <c r="E27" s="125">
        <v>0.0</v>
      </c>
      <c r="F27" s="125">
        <v>0.0</v>
      </c>
      <c r="G27" s="125">
        <v>0.0</v>
      </c>
      <c r="H27" s="125">
        <v>0.0</v>
      </c>
      <c r="I27" s="125">
        <v>1.0</v>
      </c>
      <c r="J27" s="125">
        <v>0.0</v>
      </c>
      <c r="K27" s="125">
        <v>0.0</v>
      </c>
      <c r="L27" s="125">
        <v>0.0</v>
      </c>
      <c r="M27" s="125">
        <v>0.0</v>
      </c>
      <c r="N27" s="125">
        <v>0.0</v>
      </c>
      <c r="O27" s="125">
        <v>0.0</v>
      </c>
      <c r="P27" s="125">
        <v>0.0</v>
      </c>
      <c r="Q27" s="126">
        <v>0.0</v>
      </c>
      <c r="R27" s="125">
        <v>0.0</v>
      </c>
      <c r="S27" s="125">
        <v>0.0</v>
      </c>
      <c r="T27" s="125">
        <v>0.0</v>
      </c>
      <c r="U27" s="127"/>
    </row>
    <row r="28">
      <c r="A28" s="9" t="s">
        <v>22</v>
      </c>
      <c r="B28" s="10">
        <v>45774.0</v>
      </c>
      <c r="C28" s="123">
        <v>1.0</v>
      </c>
      <c r="D28" s="123">
        <v>1.0</v>
      </c>
      <c r="E28" s="123">
        <v>0.0</v>
      </c>
      <c r="F28" s="123">
        <v>1.0</v>
      </c>
      <c r="G28" s="123">
        <v>0.0</v>
      </c>
      <c r="H28" s="123">
        <v>1.0</v>
      </c>
      <c r="I28" s="123">
        <v>0.0</v>
      </c>
      <c r="J28" s="123">
        <v>1.0</v>
      </c>
      <c r="K28" s="123">
        <v>0.0</v>
      </c>
      <c r="L28" s="123">
        <v>1.0</v>
      </c>
      <c r="M28" s="123">
        <v>1.0</v>
      </c>
      <c r="N28" s="123">
        <v>1.0</v>
      </c>
      <c r="O28" s="123">
        <v>0.0</v>
      </c>
      <c r="P28" s="123">
        <v>0.0</v>
      </c>
      <c r="Q28" s="124">
        <v>0.0</v>
      </c>
      <c r="R28" s="123">
        <v>0.0</v>
      </c>
      <c r="S28" s="123">
        <v>0.0</v>
      </c>
      <c r="T28" s="123">
        <v>0.0</v>
      </c>
      <c r="U28" s="128"/>
    </row>
    <row r="29">
      <c r="A29" s="9" t="s">
        <v>23</v>
      </c>
      <c r="B29" s="10">
        <v>45775.0</v>
      </c>
      <c r="C29" s="140">
        <v>1.0</v>
      </c>
      <c r="D29" s="140">
        <v>1.0</v>
      </c>
      <c r="E29" s="140">
        <v>0.0</v>
      </c>
      <c r="F29" s="140">
        <v>1.0</v>
      </c>
      <c r="G29" s="140">
        <v>0.0</v>
      </c>
      <c r="H29" s="140">
        <v>1.0</v>
      </c>
      <c r="I29" s="140">
        <v>1.0</v>
      </c>
      <c r="J29" s="140">
        <v>1.0</v>
      </c>
      <c r="K29" s="140">
        <v>0.0</v>
      </c>
      <c r="L29" s="140">
        <v>1.0</v>
      </c>
      <c r="M29" s="140">
        <v>1.0</v>
      </c>
      <c r="N29" s="140">
        <v>1.0</v>
      </c>
      <c r="O29" s="140">
        <v>1.0</v>
      </c>
      <c r="P29" s="140">
        <v>0.0</v>
      </c>
      <c r="Q29" s="141">
        <v>0.0</v>
      </c>
      <c r="R29" s="140">
        <v>0.0</v>
      </c>
      <c r="S29" s="140">
        <v>0.0</v>
      </c>
      <c r="T29" s="140">
        <v>0.0</v>
      </c>
      <c r="U29" s="125" t="s">
        <v>291</v>
      </c>
    </row>
    <row r="30">
      <c r="A30" s="9" t="s">
        <v>11</v>
      </c>
      <c r="B30" s="10">
        <v>45776.0</v>
      </c>
      <c r="C30" s="142">
        <v>1.0</v>
      </c>
      <c r="D30" s="143">
        <v>0.0</v>
      </c>
      <c r="E30" s="143">
        <v>0.0</v>
      </c>
      <c r="F30" s="143">
        <v>1.0</v>
      </c>
      <c r="G30" s="143">
        <v>1.0</v>
      </c>
      <c r="H30" s="143">
        <v>0.0</v>
      </c>
      <c r="I30" s="143">
        <v>0.0</v>
      </c>
      <c r="J30" s="143">
        <v>1.0</v>
      </c>
      <c r="K30" s="143">
        <v>0.0</v>
      </c>
      <c r="L30" s="143">
        <v>1.0</v>
      </c>
      <c r="M30" s="143">
        <v>1.0</v>
      </c>
      <c r="N30" s="143">
        <v>1.0</v>
      </c>
      <c r="O30" s="143">
        <v>1.0</v>
      </c>
      <c r="P30" s="143">
        <v>0.0</v>
      </c>
      <c r="Q30" s="144">
        <v>0.0</v>
      </c>
      <c r="R30" s="143">
        <v>0.0</v>
      </c>
      <c r="S30" s="143">
        <v>1.0</v>
      </c>
      <c r="T30" s="143">
        <v>0.0</v>
      </c>
      <c r="U30" s="143" t="s">
        <v>292</v>
      </c>
    </row>
    <row r="31">
      <c r="A31" s="9" t="s">
        <v>12</v>
      </c>
      <c r="B31" s="10">
        <v>45777.0</v>
      </c>
      <c r="C31" s="145">
        <v>1.0</v>
      </c>
      <c r="D31" s="146">
        <v>0.5</v>
      </c>
      <c r="E31" s="146">
        <v>0.0</v>
      </c>
      <c r="F31" s="146">
        <v>1.0</v>
      </c>
      <c r="G31" s="146">
        <v>0.0</v>
      </c>
      <c r="H31" s="146">
        <v>1.0</v>
      </c>
      <c r="I31" s="146">
        <v>1.0</v>
      </c>
      <c r="J31" s="146">
        <v>1.0</v>
      </c>
      <c r="K31" s="146">
        <v>0.0</v>
      </c>
      <c r="L31" s="146">
        <v>1.0</v>
      </c>
      <c r="M31" s="146">
        <v>1.0</v>
      </c>
      <c r="N31" s="147">
        <v>1.0</v>
      </c>
      <c r="O31" s="146">
        <v>1.0</v>
      </c>
      <c r="P31" s="146">
        <v>0.0</v>
      </c>
      <c r="Q31" s="146">
        <v>0.0</v>
      </c>
      <c r="R31" s="147">
        <v>0.0</v>
      </c>
      <c r="S31" s="147">
        <v>0.0</v>
      </c>
      <c r="T31" s="147">
        <v>0.0</v>
      </c>
      <c r="U31" s="148"/>
    </row>
    <row r="32">
      <c r="A32" s="9"/>
      <c r="B32" s="15" t="s">
        <v>293</v>
      </c>
      <c r="C32" s="149"/>
      <c r="D32" s="150">
        <v>3.0</v>
      </c>
      <c r="E32" s="151"/>
      <c r="F32" s="151"/>
      <c r="G32" s="151"/>
      <c r="H32" s="151"/>
      <c r="I32" s="151"/>
      <c r="J32" s="151"/>
      <c r="K32" s="151"/>
      <c r="L32" s="150">
        <v>0.5</v>
      </c>
      <c r="M32" s="151"/>
      <c r="N32" s="152"/>
      <c r="O32" s="151"/>
      <c r="P32" s="151"/>
      <c r="Q32" s="151"/>
      <c r="R32" s="151"/>
      <c r="S32" s="153"/>
      <c r="T32" s="151"/>
      <c r="U32" s="154"/>
    </row>
    <row r="33">
      <c r="A33" s="16"/>
      <c r="B33" s="63"/>
      <c r="C33" s="155"/>
      <c r="D33" s="156"/>
      <c r="E33" s="148"/>
      <c r="F33" s="148"/>
      <c r="G33" s="148"/>
      <c r="H33" s="148"/>
      <c r="I33" s="157"/>
      <c r="J33" s="156"/>
      <c r="K33" s="148"/>
      <c r="L33" s="156"/>
      <c r="M33" s="156"/>
      <c r="N33" s="148"/>
      <c r="O33" s="158"/>
      <c r="P33" s="159"/>
      <c r="Q33" s="157"/>
      <c r="R33" s="157"/>
      <c r="S33" s="157"/>
      <c r="T33" s="157"/>
      <c r="U33" s="157"/>
    </row>
    <row r="34">
      <c r="C34" s="160">
        <f t="shared" ref="C34:K34" si="1">SUM(C2:C33)</f>
        <v>13</v>
      </c>
      <c r="D34" s="161">
        <f t="shared" si="1"/>
        <v>27</v>
      </c>
      <c r="E34" s="161">
        <f t="shared" si="1"/>
        <v>1.5</v>
      </c>
      <c r="F34" s="161">
        <f t="shared" si="1"/>
        <v>21</v>
      </c>
      <c r="G34" s="161">
        <f t="shared" si="1"/>
        <v>4</v>
      </c>
      <c r="H34" s="161">
        <f t="shared" si="1"/>
        <v>19</v>
      </c>
      <c r="I34" s="161">
        <f t="shared" si="1"/>
        <v>16.5</v>
      </c>
      <c r="J34" s="161">
        <f t="shared" si="1"/>
        <v>23</v>
      </c>
      <c r="K34" s="161">
        <f t="shared" si="1"/>
        <v>1</v>
      </c>
      <c r="L34" s="143">
        <v>19.0</v>
      </c>
      <c r="M34" s="162">
        <f t="shared" ref="M34:T34" si="2">SUM(M2:M33)</f>
        <v>18</v>
      </c>
      <c r="N34" s="163">
        <f t="shared" si="2"/>
        <v>23</v>
      </c>
      <c r="O34" s="163">
        <f t="shared" si="2"/>
        <v>7</v>
      </c>
      <c r="P34" s="163">
        <f t="shared" si="2"/>
        <v>0</v>
      </c>
      <c r="Q34" s="163">
        <f t="shared" si="2"/>
        <v>18</v>
      </c>
      <c r="R34" s="163">
        <f t="shared" si="2"/>
        <v>5</v>
      </c>
      <c r="S34" s="164">
        <f t="shared" si="2"/>
        <v>6</v>
      </c>
      <c r="T34" s="163">
        <f t="shared" si="2"/>
        <v>3</v>
      </c>
      <c r="U34" s="154"/>
    </row>
    <row r="35">
      <c r="C35" s="165">
        <v>1200.0</v>
      </c>
      <c r="D35" s="166">
        <v>1155.0</v>
      </c>
      <c r="E35" s="166">
        <v>1155.0</v>
      </c>
      <c r="F35" s="166">
        <v>1155.0</v>
      </c>
      <c r="G35" s="166">
        <v>1155.0</v>
      </c>
      <c r="H35" s="167">
        <v>1155.0</v>
      </c>
      <c r="I35" s="167">
        <v>1155.0</v>
      </c>
      <c r="J35" s="168">
        <v>1347.0</v>
      </c>
      <c r="K35" s="167">
        <v>1200.0</v>
      </c>
      <c r="L35" s="169">
        <v>1400.0</v>
      </c>
      <c r="M35" s="170">
        <v>1347.0</v>
      </c>
      <c r="N35" s="171">
        <v>1155.0</v>
      </c>
      <c r="O35" s="171">
        <v>1000.0</v>
      </c>
      <c r="P35" s="171">
        <v>1200.0</v>
      </c>
      <c r="Q35" s="171">
        <v>1200.0</v>
      </c>
      <c r="R35" s="170">
        <v>1155.0</v>
      </c>
      <c r="S35" s="172">
        <v>1000.0</v>
      </c>
      <c r="T35" s="170">
        <v>1500.0</v>
      </c>
      <c r="U35" s="173"/>
    </row>
    <row r="36">
      <c r="C36" s="174">
        <f t="shared" ref="C36:T36" si="3">C34*C35</f>
        <v>15600</v>
      </c>
      <c r="D36" s="175">
        <f t="shared" si="3"/>
        <v>31185</v>
      </c>
      <c r="E36" s="175">
        <f t="shared" si="3"/>
        <v>1732.5</v>
      </c>
      <c r="F36" s="175">
        <f t="shared" si="3"/>
        <v>24255</v>
      </c>
      <c r="G36" s="175">
        <f t="shared" si="3"/>
        <v>4620</v>
      </c>
      <c r="H36" s="176">
        <f t="shared" si="3"/>
        <v>21945</v>
      </c>
      <c r="I36" s="176">
        <f t="shared" si="3"/>
        <v>19057.5</v>
      </c>
      <c r="J36" s="176">
        <f t="shared" si="3"/>
        <v>30981</v>
      </c>
      <c r="K36" s="176">
        <f t="shared" si="3"/>
        <v>1200</v>
      </c>
      <c r="L36" s="177">
        <f t="shared" si="3"/>
        <v>26600</v>
      </c>
      <c r="M36" s="178">
        <f t="shared" si="3"/>
        <v>24246</v>
      </c>
      <c r="N36" s="179">
        <f t="shared" si="3"/>
        <v>26565</v>
      </c>
      <c r="O36" s="179">
        <f t="shared" si="3"/>
        <v>7000</v>
      </c>
      <c r="P36" s="179">
        <f t="shared" si="3"/>
        <v>0</v>
      </c>
      <c r="Q36" s="179">
        <f t="shared" si="3"/>
        <v>21600</v>
      </c>
      <c r="R36" s="179">
        <f t="shared" si="3"/>
        <v>5775</v>
      </c>
      <c r="S36" s="180">
        <f t="shared" si="3"/>
        <v>6000</v>
      </c>
      <c r="T36" s="179">
        <f t="shared" si="3"/>
        <v>4500</v>
      </c>
      <c r="U36" s="181"/>
    </row>
    <row r="37">
      <c r="C37" s="182"/>
      <c r="D37" s="182"/>
      <c r="E37" s="182"/>
      <c r="F37" s="182"/>
      <c r="G37" s="182"/>
      <c r="H37" s="182"/>
      <c r="I37" s="182"/>
      <c r="J37" s="182"/>
      <c r="K37" s="183"/>
      <c r="L37" s="183"/>
      <c r="M37" s="183"/>
      <c r="N37" s="157"/>
      <c r="O37" s="157"/>
      <c r="P37" s="157"/>
      <c r="Q37" s="157"/>
      <c r="R37" s="157"/>
      <c r="S37" s="157"/>
      <c r="T37" s="157"/>
      <c r="U37" s="17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42.88"/>
    <col customWidth="1" min="12" max="12" width="26.13"/>
    <col customWidth="1" min="13" max="13" width="26.88"/>
    <col customWidth="1" min="14" max="14" width="41.38"/>
    <col customWidth="1" min="15" max="15" width="54.63"/>
  </cols>
  <sheetData>
    <row r="9">
      <c r="I9" s="6"/>
      <c r="J9" s="6"/>
      <c r="K9" s="6"/>
      <c r="L9" s="6"/>
      <c r="M9" s="6"/>
      <c r="N9" s="6"/>
    </row>
    <row r="10">
      <c r="I10" s="173"/>
      <c r="J10" s="184"/>
      <c r="K10" s="185" t="s">
        <v>294</v>
      </c>
      <c r="L10" s="185" t="s">
        <v>4</v>
      </c>
      <c r="M10" s="185" t="s">
        <v>295</v>
      </c>
      <c r="N10" s="186" t="s">
        <v>296</v>
      </c>
      <c r="O10" s="187"/>
    </row>
    <row r="11">
      <c r="I11" s="188"/>
      <c r="J11" s="189"/>
      <c r="K11" s="152" t="s">
        <v>151</v>
      </c>
      <c r="L11" s="177">
        <v>30000.0</v>
      </c>
      <c r="M11" s="190">
        <v>30000.0</v>
      </c>
      <c r="N11" s="177">
        <f t="shared" ref="N11:N31" si="1">L11-M11</f>
        <v>0</v>
      </c>
      <c r="O11" s="191" t="s">
        <v>297</v>
      </c>
    </row>
    <row r="12">
      <c r="I12" s="173"/>
      <c r="J12" s="184"/>
      <c r="K12" s="148" t="s">
        <v>298</v>
      </c>
      <c r="L12" s="192">
        <v>30000.0</v>
      </c>
      <c r="M12" s="169">
        <v>30000.0</v>
      </c>
      <c r="N12" s="177">
        <f t="shared" si="1"/>
        <v>0</v>
      </c>
      <c r="O12" s="193"/>
    </row>
    <row r="13">
      <c r="I13" s="188"/>
      <c r="J13" s="128">
        <v>1.0</v>
      </c>
      <c r="K13" s="152" t="s">
        <v>268</v>
      </c>
      <c r="L13" s="177">
        <f>Pointage!C36</f>
        <v>15600</v>
      </c>
      <c r="M13" s="194">
        <v>16000.0</v>
      </c>
      <c r="N13" s="177">
        <f t="shared" si="1"/>
        <v>-400</v>
      </c>
      <c r="O13" s="191" t="s">
        <v>299</v>
      </c>
    </row>
    <row r="14">
      <c r="I14" s="173"/>
      <c r="J14" s="127">
        <v>2.0</v>
      </c>
      <c r="K14" s="148" t="s">
        <v>300</v>
      </c>
      <c r="L14" s="192">
        <f>Pointage!D36</f>
        <v>31185</v>
      </c>
      <c r="M14" s="169">
        <v>31500.0</v>
      </c>
      <c r="N14" s="177">
        <f t="shared" si="1"/>
        <v>-315</v>
      </c>
      <c r="O14" s="195" t="s">
        <v>301</v>
      </c>
    </row>
    <row r="15">
      <c r="I15" s="188"/>
      <c r="J15" s="128">
        <v>3.0</v>
      </c>
      <c r="K15" s="152" t="s">
        <v>302</v>
      </c>
      <c r="L15" s="177">
        <f>Pointage!E36</f>
        <v>1732.5</v>
      </c>
      <c r="M15" s="194">
        <v>2000.0</v>
      </c>
      <c r="N15" s="177">
        <f t="shared" si="1"/>
        <v>-267.5</v>
      </c>
      <c r="O15" s="196"/>
    </row>
    <row r="16">
      <c r="I16" s="173"/>
      <c r="J16" s="127">
        <v>4.0</v>
      </c>
      <c r="K16" s="148" t="s">
        <v>271</v>
      </c>
      <c r="L16" s="192">
        <f>Pointage!F36</f>
        <v>24255</v>
      </c>
      <c r="M16" s="169">
        <v>24500.0</v>
      </c>
      <c r="N16" s="177">
        <f t="shared" si="1"/>
        <v>-245</v>
      </c>
      <c r="O16" s="195" t="s">
        <v>303</v>
      </c>
    </row>
    <row r="17">
      <c r="I17" s="188"/>
      <c r="J17" s="128">
        <v>5.0</v>
      </c>
      <c r="K17" s="152" t="s">
        <v>272</v>
      </c>
      <c r="L17" s="177">
        <f>Pointage!G36</f>
        <v>4620</v>
      </c>
      <c r="M17" s="194">
        <v>5000.0</v>
      </c>
      <c r="N17" s="177">
        <f t="shared" si="1"/>
        <v>-380</v>
      </c>
      <c r="O17" s="196"/>
    </row>
    <row r="18">
      <c r="I18" s="173"/>
      <c r="J18" s="127">
        <v>6.0</v>
      </c>
      <c r="K18" s="148" t="s">
        <v>304</v>
      </c>
      <c r="L18" s="192">
        <f>Pointage!H36+O18</f>
        <v>26945</v>
      </c>
      <c r="M18" s="169">
        <v>27000.0</v>
      </c>
      <c r="N18" s="177">
        <f t="shared" si="1"/>
        <v>-55</v>
      </c>
      <c r="O18" s="197">
        <v>5000.0</v>
      </c>
    </row>
    <row r="19">
      <c r="I19" s="188"/>
      <c r="J19" s="128">
        <v>7.0</v>
      </c>
      <c r="K19" s="152" t="s">
        <v>274</v>
      </c>
      <c r="L19" s="177">
        <f>Pointage!I36</f>
        <v>19057.5</v>
      </c>
      <c r="M19" s="194">
        <v>19000.0</v>
      </c>
      <c r="N19" s="177">
        <f t="shared" si="1"/>
        <v>57.5</v>
      </c>
      <c r="O19" s="191" t="s">
        <v>305</v>
      </c>
    </row>
    <row r="20">
      <c r="I20" s="173"/>
      <c r="J20" s="127">
        <v>8.0</v>
      </c>
      <c r="K20" s="148" t="s">
        <v>275</v>
      </c>
      <c r="L20" s="192">
        <f>Pointage!J36</f>
        <v>30981</v>
      </c>
      <c r="M20" s="169">
        <v>31000.0</v>
      </c>
      <c r="N20" s="177">
        <f t="shared" si="1"/>
        <v>-19</v>
      </c>
      <c r="O20" s="193"/>
    </row>
    <row r="21">
      <c r="I21" s="198">
        <v>5000.0</v>
      </c>
      <c r="J21" s="128">
        <v>9.0</v>
      </c>
      <c r="K21" s="152" t="s">
        <v>306</v>
      </c>
      <c r="L21" s="177">
        <f>Pointage!K36</f>
        <v>1200</v>
      </c>
      <c r="M21" s="194">
        <v>1200.0</v>
      </c>
      <c r="N21" s="177">
        <f t="shared" si="1"/>
        <v>0</v>
      </c>
      <c r="O21" s="196"/>
    </row>
    <row r="22">
      <c r="I22" s="173"/>
      <c r="J22" s="127">
        <v>10.0</v>
      </c>
      <c r="K22" s="148" t="s">
        <v>307</v>
      </c>
      <c r="L22" s="192">
        <f>Pointage!L36</f>
        <v>26600</v>
      </c>
      <c r="M22" s="169">
        <v>27500.0</v>
      </c>
      <c r="N22" s="177">
        <f t="shared" si="1"/>
        <v>-900</v>
      </c>
      <c r="O22" s="193"/>
    </row>
    <row r="23">
      <c r="I23" s="188"/>
      <c r="J23" s="128">
        <v>11.0</v>
      </c>
      <c r="K23" s="152" t="s">
        <v>308</v>
      </c>
      <c r="L23" s="177">
        <f>Pointage!M36</f>
        <v>24246</v>
      </c>
      <c r="M23" s="194">
        <v>24500.0</v>
      </c>
      <c r="N23" s="177">
        <f t="shared" si="1"/>
        <v>-254</v>
      </c>
      <c r="O23" s="196"/>
    </row>
    <row r="24">
      <c r="I24" s="173"/>
      <c r="J24" s="127">
        <v>12.0</v>
      </c>
      <c r="K24" s="148" t="s">
        <v>279</v>
      </c>
      <c r="L24" s="192">
        <f>Pointage!N36</f>
        <v>26565</v>
      </c>
      <c r="M24" s="169">
        <v>26500.0</v>
      </c>
      <c r="N24" s="177">
        <f t="shared" si="1"/>
        <v>65</v>
      </c>
      <c r="O24" s="193"/>
    </row>
    <row r="25">
      <c r="I25" s="188"/>
      <c r="J25" s="128">
        <v>13.0</v>
      </c>
      <c r="K25" s="152" t="s">
        <v>309</v>
      </c>
      <c r="L25" s="177">
        <f>Pointage!O36</f>
        <v>7000</v>
      </c>
      <c r="M25" s="194">
        <v>7000.0</v>
      </c>
      <c r="N25" s="177">
        <f t="shared" si="1"/>
        <v>0</v>
      </c>
      <c r="O25" s="196"/>
    </row>
    <row r="26">
      <c r="I26" s="188"/>
      <c r="J26" s="123">
        <v>14.0</v>
      </c>
      <c r="K26" s="143" t="s">
        <v>310</v>
      </c>
      <c r="L26" s="177">
        <f>Pointage!Q36</f>
        <v>21600</v>
      </c>
      <c r="M26" s="194">
        <v>22000.0</v>
      </c>
      <c r="N26" s="177">
        <f t="shared" si="1"/>
        <v>-400</v>
      </c>
      <c r="O26" s="191" t="s">
        <v>311</v>
      </c>
    </row>
    <row r="27">
      <c r="I27" s="188"/>
      <c r="J27" s="123">
        <v>15.0</v>
      </c>
      <c r="K27" s="143" t="s">
        <v>283</v>
      </c>
      <c r="L27" s="177">
        <f>Pointage!R36</f>
        <v>5775</v>
      </c>
      <c r="M27" s="194">
        <v>6000.0</v>
      </c>
      <c r="N27" s="177">
        <f t="shared" si="1"/>
        <v>-225</v>
      </c>
      <c r="O27" s="196"/>
    </row>
    <row r="28">
      <c r="I28" s="173"/>
      <c r="J28" s="125">
        <v>16.0</v>
      </c>
      <c r="K28" s="147" t="s">
        <v>285</v>
      </c>
      <c r="L28" s="192">
        <f>Pointage!T36</f>
        <v>4500</v>
      </c>
      <c r="M28" s="169">
        <v>4500.0</v>
      </c>
      <c r="N28" s="177">
        <f t="shared" si="1"/>
        <v>0</v>
      </c>
      <c r="O28" s="193"/>
    </row>
    <row r="29">
      <c r="I29" s="173"/>
      <c r="J29" s="125">
        <v>17.0</v>
      </c>
      <c r="K29" s="147" t="s">
        <v>312</v>
      </c>
      <c r="L29" s="192">
        <f>Pointage!S36</f>
        <v>6000</v>
      </c>
      <c r="M29" s="169">
        <v>6000.0</v>
      </c>
      <c r="N29" s="177">
        <f t="shared" si="1"/>
        <v>0</v>
      </c>
      <c r="O29" s="195" t="s">
        <v>313</v>
      </c>
    </row>
    <row r="30">
      <c r="I30" s="188"/>
      <c r="J30" s="189"/>
      <c r="K30" s="152" t="s">
        <v>314</v>
      </c>
      <c r="L30" s="177">
        <f t="shared" ref="L30:M30" si="2">SUM(L11:L29)</f>
        <v>337862</v>
      </c>
      <c r="M30" s="177">
        <f t="shared" si="2"/>
        <v>341200</v>
      </c>
      <c r="N30" s="199">
        <f t="shared" si="1"/>
        <v>-3338</v>
      </c>
      <c r="O30" s="200"/>
    </row>
    <row r="31">
      <c r="I31" s="173"/>
      <c r="J31" s="184"/>
      <c r="K31" s="183"/>
      <c r="L31" s="157"/>
      <c r="M31" s="157"/>
      <c r="N31" s="192">
        <f t="shared" si="1"/>
        <v>0</v>
      </c>
      <c r="O31" s="193"/>
    </row>
    <row r="32">
      <c r="I32" s="181"/>
      <c r="J32" s="181"/>
      <c r="K32" s="181"/>
      <c r="L32" s="181"/>
      <c r="M32" s="181"/>
      <c r="N32" s="181"/>
      <c r="O32" s="188"/>
    </row>
    <row r="33">
      <c r="I33" s="201"/>
      <c r="J33" s="201"/>
      <c r="K33" s="201"/>
      <c r="L33" s="201"/>
      <c r="M33" s="201"/>
      <c r="N33" s="201"/>
      <c r="O33" s="173"/>
    </row>
    <row r="34">
      <c r="I34" s="181"/>
      <c r="J34" s="181"/>
      <c r="K34" s="181"/>
      <c r="L34" s="181"/>
      <c r="M34" s="181"/>
      <c r="N34" s="188"/>
      <c r="O34" s="188"/>
    </row>
    <row r="35">
      <c r="I35" s="16"/>
      <c r="J35" s="16"/>
      <c r="K35" s="16"/>
      <c r="L35" s="16"/>
      <c r="M35" s="16"/>
      <c r="N35" s="1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0.88"/>
    <col customWidth="1" min="9" max="9" width="31.38"/>
    <col customWidth="1" min="10" max="10" width="33.38"/>
    <col customWidth="1" min="11" max="11" width="32.38"/>
    <col customWidth="1" min="12" max="12" width="32.63"/>
  </cols>
  <sheetData>
    <row r="14">
      <c r="G14" s="6"/>
      <c r="H14" s="6"/>
      <c r="I14" s="6"/>
      <c r="J14" s="6"/>
      <c r="K14" s="6"/>
    </row>
    <row r="15">
      <c r="G15" s="6"/>
      <c r="H15" s="6"/>
      <c r="I15" s="202"/>
      <c r="J15" s="202"/>
      <c r="K15" s="6"/>
    </row>
    <row r="16">
      <c r="G16" s="6"/>
      <c r="H16" s="1"/>
      <c r="I16" s="203" t="s">
        <v>315</v>
      </c>
      <c r="J16" s="203" t="s">
        <v>316</v>
      </c>
      <c r="K16" s="203" t="s">
        <v>317</v>
      </c>
      <c r="L16" s="204" t="s">
        <v>318</v>
      </c>
    </row>
    <row r="17">
      <c r="G17" s="6"/>
      <c r="H17" s="205" t="s">
        <v>2</v>
      </c>
      <c r="I17" s="34">
        <v>2033000.0</v>
      </c>
      <c r="J17" s="34">
        <v>1859000.0</v>
      </c>
      <c r="K17" s="206">
        <v>2094000.0</v>
      </c>
      <c r="L17" s="206">
        <v>1282000.0</v>
      </c>
    </row>
    <row r="18">
      <c r="G18" s="6"/>
      <c r="H18" s="205" t="s">
        <v>3</v>
      </c>
      <c r="I18" s="34">
        <v>854000.0</v>
      </c>
      <c r="J18" s="34">
        <v>884000.0</v>
      </c>
      <c r="K18" s="34">
        <v>962000.0</v>
      </c>
      <c r="L18" s="206">
        <v>669000.0</v>
      </c>
    </row>
    <row r="19">
      <c r="G19" s="6"/>
      <c r="H19" s="205" t="s">
        <v>319</v>
      </c>
      <c r="I19" s="34">
        <v>427000.0</v>
      </c>
      <c r="J19" s="34">
        <v>409000.0</v>
      </c>
      <c r="K19" s="34">
        <v>439000.0</v>
      </c>
      <c r="L19" s="206">
        <v>338000.0</v>
      </c>
    </row>
    <row r="20">
      <c r="G20" s="6"/>
      <c r="H20" s="205" t="s">
        <v>320</v>
      </c>
      <c r="I20" s="34">
        <v>62000.0</v>
      </c>
      <c r="J20" s="34">
        <v>56000.0</v>
      </c>
      <c r="K20" s="206">
        <v>60000.0</v>
      </c>
      <c r="L20" s="206">
        <v>50000.0</v>
      </c>
    </row>
    <row r="21">
      <c r="G21" s="6"/>
      <c r="H21" s="205" t="s">
        <v>321</v>
      </c>
      <c r="I21" s="34">
        <v>180000.0</v>
      </c>
      <c r="J21" s="34">
        <v>180000.0</v>
      </c>
      <c r="K21" s="34">
        <v>180000.0</v>
      </c>
      <c r="L21" s="34">
        <v>180000.0</v>
      </c>
    </row>
    <row r="22">
      <c r="G22" s="6"/>
      <c r="H22" s="205" t="s">
        <v>322</v>
      </c>
      <c r="I22" s="34">
        <f t="shared" ref="I22:L22" si="1">I17-I18-I19-I20-I21</f>
        <v>510000</v>
      </c>
      <c r="J22" s="34">
        <f t="shared" si="1"/>
        <v>330000</v>
      </c>
      <c r="K22" s="34">
        <f t="shared" si="1"/>
        <v>453000</v>
      </c>
      <c r="L22" s="34">
        <f t="shared" si="1"/>
        <v>45000</v>
      </c>
    </row>
    <row r="23">
      <c r="G23" s="6"/>
      <c r="H23" s="6"/>
      <c r="I23" s="6"/>
      <c r="J23" s="6"/>
      <c r="K23" s="6"/>
    </row>
    <row r="24">
      <c r="G24" s="6"/>
      <c r="H24" s="6"/>
      <c r="I24" s="6"/>
      <c r="J24" s="6"/>
      <c r="K24" s="6"/>
    </row>
    <row r="25">
      <c r="G25" s="6"/>
      <c r="H25" s="6"/>
      <c r="I25" s="6"/>
      <c r="J25" s="6"/>
      <c r="K25" s="6"/>
    </row>
    <row r="26">
      <c r="G26" s="6"/>
      <c r="H26" s="6"/>
      <c r="I26" s="6"/>
      <c r="J26" s="6"/>
      <c r="K26" s="6"/>
    </row>
  </sheetData>
  <drawing r:id="rId1"/>
</worksheet>
</file>