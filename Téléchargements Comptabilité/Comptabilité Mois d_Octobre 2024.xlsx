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AP" sheetId="1" r:id="rId4"/>
    <sheet state="visible" name="¨Pointage" sheetId="2" r:id="rId5"/>
    <sheet state="visible" name="Les Charges " sheetId="3" r:id="rId6"/>
    <sheet state="visible" name="Salaires" sheetId="4" r:id="rId7"/>
    <sheet state="visible" name="Feuille 5" sheetId="5" r:id="rId8"/>
  </sheets>
  <definedNames/>
  <calcPr/>
</workbook>
</file>

<file path=xl/sharedStrings.xml><?xml version="1.0" encoding="utf-8"?>
<sst xmlns="http://schemas.openxmlformats.org/spreadsheetml/2006/main" count="624" uniqueCount="377">
  <si>
    <t>Date</t>
  </si>
  <si>
    <t>Recette Juillet 2024</t>
  </si>
  <si>
    <t xml:space="preserve">Recette </t>
  </si>
  <si>
    <t>Charges</t>
  </si>
  <si>
    <t>Salaire</t>
  </si>
  <si>
    <t>Loyer</t>
  </si>
  <si>
    <t>Net Profit</t>
  </si>
  <si>
    <t>Nb de jours</t>
  </si>
  <si>
    <t>Objectif</t>
  </si>
  <si>
    <t>Mois de Septembre  2024</t>
  </si>
  <si>
    <t>Mardi</t>
  </si>
  <si>
    <t>mercredi</t>
  </si>
  <si>
    <t>Bénéfice Moyen par jour</t>
  </si>
  <si>
    <t xml:space="preserve">Moyenne </t>
  </si>
  <si>
    <t xml:space="preserve">Moyenne salaire </t>
  </si>
  <si>
    <t xml:space="preserve">pourcentage du salaire vis à vis la recettte </t>
  </si>
  <si>
    <t>jeudi</t>
  </si>
  <si>
    <t>vendredi</t>
  </si>
  <si>
    <t>samedi</t>
  </si>
  <si>
    <t xml:space="preserve">Moyenne des charges par jour </t>
  </si>
  <si>
    <t xml:space="preserve">Objectif </t>
  </si>
  <si>
    <t>dimanche</t>
  </si>
  <si>
    <t>lundi</t>
  </si>
  <si>
    <t>²</t>
  </si>
  <si>
    <t>"</t>
  </si>
  <si>
    <t>mardi</t>
  </si>
  <si>
    <t xml:space="preserve">Cash restant </t>
  </si>
  <si>
    <t>Magasin</t>
  </si>
  <si>
    <t>Cash réel</t>
  </si>
  <si>
    <t>Mes dettes pour le magasin</t>
  </si>
  <si>
    <t xml:space="preserve">Fond de Roulement </t>
  </si>
  <si>
    <t xml:space="preserve">Bénéfice Sept + loyer </t>
  </si>
  <si>
    <t xml:space="preserve">Cash réel : </t>
  </si>
  <si>
    <t>Khalida : 30000Da</t>
  </si>
  <si>
    <t xml:space="preserve">Sofiane : </t>
  </si>
  <si>
    <t>Différence mois d'Aout</t>
  </si>
  <si>
    <t>la vraie caisse:8000Da</t>
  </si>
  <si>
    <t xml:space="preserve">Différence objectif </t>
  </si>
  <si>
    <t>réparation Tabouna</t>
  </si>
  <si>
    <t>Torchons</t>
  </si>
  <si>
    <t xml:space="preserve">Différence du Totale </t>
  </si>
  <si>
    <t>poelle</t>
  </si>
  <si>
    <t>Achoire</t>
  </si>
  <si>
    <t xml:space="preserve">Les vendredis </t>
  </si>
  <si>
    <t xml:space="preserve">Cash chez Sofiane </t>
  </si>
  <si>
    <t>Les étagères pour locale</t>
  </si>
  <si>
    <t>rest à payer</t>
  </si>
  <si>
    <t>-</t>
  </si>
  <si>
    <t>Nadjet</t>
  </si>
  <si>
    <t>Yasmine</t>
  </si>
  <si>
    <t xml:space="preserve">Saida </t>
  </si>
  <si>
    <t>Israa</t>
  </si>
  <si>
    <t>Ahlem</t>
  </si>
  <si>
    <t>Nour ElHouda</t>
  </si>
  <si>
    <t>Do3aa</t>
  </si>
  <si>
    <t xml:space="preserve">Wafa </t>
  </si>
  <si>
    <t>Amina</t>
  </si>
  <si>
    <t>Selma</t>
  </si>
  <si>
    <t>Zohra</t>
  </si>
  <si>
    <t xml:space="preserve">Nora </t>
  </si>
  <si>
    <t>Ikram</t>
  </si>
  <si>
    <t>Sabiha</t>
  </si>
  <si>
    <t xml:space="preserve">Rayan </t>
  </si>
  <si>
    <t>Karima</t>
  </si>
  <si>
    <t>Sihem</t>
  </si>
  <si>
    <t>Fatiha</t>
  </si>
  <si>
    <t>Remarque</t>
  </si>
  <si>
    <t xml:space="preserve">pénution les boules </t>
  </si>
  <si>
    <t>Produit</t>
  </si>
  <si>
    <t>Quantité</t>
  </si>
  <si>
    <t xml:space="preserve">Prix unitaire </t>
  </si>
  <si>
    <t>Prix</t>
  </si>
  <si>
    <t>Date d'achat</t>
  </si>
  <si>
    <t>Semoule Fine 25kg Sahel</t>
  </si>
  <si>
    <t xml:space="preserve">Semoule Moyenne 25kg Sahel </t>
  </si>
  <si>
    <t xml:space="preserve">Semoule Fine  Agrodive 25kg </t>
  </si>
  <si>
    <t xml:space="preserve">Semoule Fine Sosimie 10kg </t>
  </si>
  <si>
    <t>Farine Sim 1kg</t>
  </si>
  <si>
    <t>Cheddar</t>
  </si>
  <si>
    <t xml:space="preserve">Fromage Slices </t>
  </si>
  <si>
    <t xml:space="preserve">Fromage blanc </t>
  </si>
  <si>
    <t>Fromage Bidon 3,8kg</t>
  </si>
  <si>
    <t xml:space="preserve">Crème Fraiche 1 litre </t>
  </si>
  <si>
    <t>Harrissa</t>
  </si>
  <si>
    <t xml:space="preserve">Tomate conserve </t>
  </si>
  <si>
    <t>Thon 2kg</t>
  </si>
  <si>
    <t xml:space="preserve">Fromage spéciale pizza </t>
  </si>
  <si>
    <t>Coriandre moulu</t>
  </si>
  <si>
    <t>3akeri</t>
  </si>
  <si>
    <t>3akeri Safi</t>
  </si>
  <si>
    <t>Levure boulangère</t>
  </si>
  <si>
    <t>levure chimique</t>
  </si>
  <si>
    <t>Gherss</t>
  </si>
  <si>
    <t>javel + lave sol 5litres</t>
  </si>
  <si>
    <t>Bessel</t>
  </si>
  <si>
    <t>carottes</t>
  </si>
  <si>
    <t>courgette</t>
  </si>
  <si>
    <t>navet</t>
  </si>
  <si>
    <t>poivre</t>
  </si>
  <si>
    <t>hamissa</t>
  </si>
  <si>
    <t>rechta</t>
  </si>
  <si>
    <t>tomate cerise</t>
  </si>
  <si>
    <t>salade</t>
  </si>
  <si>
    <t>viande morceaux</t>
  </si>
  <si>
    <t>Poulet haché</t>
  </si>
  <si>
    <t xml:space="preserve">cuisses </t>
  </si>
  <si>
    <t>oeufs</t>
  </si>
  <si>
    <t xml:space="preserve">sauce fromage </t>
  </si>
  <si>
    <t>Boite 48/10</t>
  </si>
  <si>
    <t>Boite 48/07</t>
  </si>
  <si>
    <t xml:space="preserve">Amande blanc </t>
  </si>
  <si>
    <t xml:space="preserve">Amande moulu </t>
  </si>
  <si>
    <t xml:space="preserve">Vanille </t>
  </si>
  <si>
    <t>Pate Feuillté</t>
  </si>
  <si>
    <t>Farine Sousimie 5kg</t>
  </si>
  <si>
    <t>Maiizina  25kg</t>
  </si>
  <si>
    <t>Confiture</t>
  </si>
  <si>
    <t>Sel</t>
  </si>
  <si>
    <t>Farine complete 1kg</t>
  </si>
  <si>
    <t>Lait en poudre</t>
  </si>
  <si>
    <t>Chocolat wedjedane au lait</t>
  </si>
  <si>
    <t>Chocolat wedjedane noir</t>
  </si>
  <si>
    <t>chocolat wedjedane noisette</t>
  </si>
  <si>
    <t xml:space="preserve">chocolat wedjdane Blanc </t>
  </si>
  <si>
    <t>sucre cristalisé</t>
  </si>
  <si>
    <t>Maa zehar</t>
  </si>
  <si>
    <t>ze3itera</t>
  </si>
  <si>
    <t>werd chouche</t>
  </si>
  <si>
    <t>décapant</t>
  </si>
  <si>
    <t>Semoule Grosse 2kg</t>
  </si>
  <si>
    <t>livraison+ manitention semoule</t>
  </si>
  <si>
    <t xml:space="preserve">Maiizina </t>
  </si>
  <si>
    <t>canette coca hamoud fanta sprite</t>
  </si>
  <si>
    <t>Ifruit 33cl</t>
  </si>
  <si>
    <t>Fanta / sprit plastique</t>
  </si>
  <si>
    <t>Canette IZEM</t>
  </si>
  <si>
    <t>SHWEPS Canette</t>
  </si>
  <si>
    <t>jus tchina 33cl</t>
  </si>
  <si>
    <t>eau mineral 1,5 litre</t>
  </si>
  <si>
    <t>eau mineral 0,5 litre</t>
  </si>
  <si>
    <t>canette tchina</t>
  </si>
  <si>
    <t>riz Basmati</t>
  </si>
  <si>
    <t>Huile elio 5 litres</t>
  </si>
  <si>
    <t>Margarine Fleurial 500g</t>
  </si>
  <si>
    <t>Maiis</t>
  </si>
  <si>
    <t>POISSONS</t>
  </si>
  <si>
    <t>légumes</t>
  </si>
  <si>
    <t>transport personelle</t>
  </si>
  <si>
    <t>sucre glace skor 700g</t>
  </si>
  <si>
    <t>Semen Madina 1,8kg</t>
  </si>
  <si>
    <t>Sac poubelle</t>
  </si>
  <si>
    <t>isis</t>
  </si>
  <si>
    <t>Farine SIM 1kg</t>
  </si>
  <si>
    <t>yaourt</t>
  </si>
  <si>
    <t>camembert</t>
  </si>
  <si>
    <t>moutard</t>
  </si>
  <si>
    <t xml:space="preserve">reste </t>
  </si>
  <si>
    <t>Huile d'olive</t>
  </si>
  <si>
    <t>poulet haché+ blanc de poulet</t>
  </si>
  <si>
    <t xml:space="preserve">salade </t>
  </si>
  <si>
    <t>olive éffilé</t>
  </si>
  <si>
    <t>viande hachée</t>
  </si>
  <si>
    <t xml:space="preserve">raisins secs </t>
  </si>
  <si>
    <t>Terida</t>
  </si>
  <si>
    <t>heech yasmine</t>
  </si>
  <si>
    <t>Tenidjera</t>
  </si>
  <si>
    <t>Blanc de poulet</t>
  </si>
  <si>
    <t xml:space="preserve">poulet haché </t>
  </si>
  <si>
    <t xml:space="preserve">légumes </t>
  </si>
  <si>
    <t>épinards</t>
  </si>
  <si>
    <t>olive dényauté</t>
  </si>
  <si>
    <t>olive noir</t>
  </si>
  <si>
    <t>Deyoul</t>
  </si>
  <si>
    <t>pain tacos</t>
  </si>
  <si>
    <t>Boite 36</t>
  </si>
  <si>
    <t>Boite  24</t>
  </si>
  <si>
    <t>Noix</t>
  </si>
  <si>
    <t xml:space="preserve">Hamissa </t>
  </si>
  <si>
    <t>couscous</t>
  </si>
  <si>
    <t>épice poulet</t>
  </si>
  <si>
    <t>épice chetiteha</t>
  </si>
  <si>
    <t>metelou3</t>
  </si>
  <si>
    <t>sel</t>
  </si>
  <si>
    <t>poivre noir</t>
  </si>
  <si>
    <t>ail moulu</t>
  </si>
  <si>
    <t xml:space="preserve">herbes de provence </t>
  </si>
  <si>
    <t xml:space="preserve">cammebert </t>
  </si>
  <si>
    <t xml:space="preserve">confiture de figue </t>
  </si>
  <si>
    <t>poulet haché + éscalope + blanc</t>
  </si>
  <si>
    <t xml:space="preserve">poivre rouge </t>
  </si>
  <si>
    <t xml:space="preserve">tomate </t>
  </si>
  <si>
    <t>djeldjelan</t>
  </si>
  <si>
    <t>Farine 25kg</t>
  </si>
  <si>
    <t>orage</t>
  </si>
  <si>
    <t xml:space="preserve">Brilex dégraissant </t>
  </si>
  <si>
    <t>trust clean</t>
  </si>
  <si>
    <t xml:space="preserve">petit pois </t>
  </si>
  <si>
    <t>crevette royale</t>
  </si>
  <si>
    <t>tagliatelle</t>
  </si>
  <si>
    <t>Tomate fraiche</t>
  </si>
  <si>
    <t>tomate fraiche</t>
  </si>
  <si>
    <t>bessel</t>
  </si>
  <si>
    <t>deyoul</t>
  </si>
  <si>
    <t>bitrave</t>
  </si>
  <si>
    <t>poulet haché</t>
  </si>
  <si>
    <t xml:space="preserve">sachet poubelle </t>
  </si>
  <si>
    <t>serplliere</t>
  </si>
  <si>
    <t>Semoule Mama 2kg</t>
  </si>
  <si>
    <t>Semoule Moula 10kg</t>
  </si>
  <si>
    <t>Nakkach</t>
  </si>
  <si>
    <t>papier aluminium</t>
  </si>
  <si>
    <t>poulet</t>
  </si>
  <si>
    <t>brocolis</t>
  </si>
  <si>
    <t>citron</t>
  </si>
  <si>
    <t>viande steak</t>
  </si>
  <si>
    <t>carotte+ choux</t>
  </si>
  <si>
    <t xml:space="preserve">livraison four </t>
  </si>
  <si>
    <t>réparation four</t>
  </si>
  <si>
    <t>Semoule fine Mama 25kg</t>
  </si>
  <si>
    <t>semoule Fine Elalia 5kg</t>
  </si>
  <si>
    <t>Semoule Fine Moula 10kg</t>
  </si>
  <si>
    <t>force express</t>
  </si>
  <si>
    <t>gherss</t>
  </si>
  <si>
    <t>sachet de congélation</t>
  </si>
  <si>
    <t>sachet transparent</t>
  </si>
  <si>
    <t xml:space="preserve">épice fromage </t>
  </si>
  <si>
    <t>brosse métamique</t>
  </si>
  <si>
    <t>moules ke3ike3ate</t>
  </si>
  <si>
    <t>Huile</t>
  </si>
  <si>
    <t>Sel INASEL</t>
  </si>
  <si>
    <t xml:space="preserve">sac poubelle </t>
  </si>
  <si>
    <t>escalope + poulet haché</t>
  </si>
  <si>
    <t>Achats vendredi</t>
  </si>
  <si>
    <t xml:space="preserve">poivre </t>
  </si>
  <si>
    <t>épice chorba</t>
  </si>
  <si>
    <t>Boites</t>
  </si>
  <si>
    <t>plateaux oeufs</t>
  </si>
  <si>
    <t>blanc de poulet + poulet haché</t>
  </si>
  <si>
    <t>viande de boeuf</t>
  </si>
  <si>
    <t>viande d'agneau</t>
  </si>
  <si>
    <t>Ferik</t>
  </si>
  <si>
    <t>Hamissa</t>
  </si>
  <si>
    <t>demie cuisses</t>
  </si>
  <si>
    <t xml:space="preserve">carotte </t>
  </si>
  <si>
    <t xml:space="preserve">pomme de terre </t>
  </si>
  <si>
    <t>kabouya</t>
  </si>
  <si>
    <t>persil</t>
  </si>
  <si>
    <t>coriandre</t>
  </si>
  <si>
    <t>yassir</t>
  </si>
  <si>
    <t>carotte</t>
  </si>
  <si>
    <t xml:space="preserve">ail  </t>
  </si>
  <si>
    <t>boites</t>
  </si>
  <si>
    <t xml:space="preserve">coupe pate </t>
  </si>
  <si>
    <t>tomate concentre</t>
  </si>
  <si>
    <t>semoule Fine 5kg</t>
  </si>
  <si>
    <t>boites 500ccl</t>
  </si>
  <si>
    <t>thon 1kg</t>
  </si>
  <si>
    <t>khel</t>
  </si>
  <si>
    <t>cheddar</t>
  </si>
  <si>
    <t>semoule Moula 2kg</t>
  </si>
  <si>
    <t xml:space="preserve">Harissa 1kg </t>
  </si>
  <si>
    <t>Tomate concentrée</t>
  </si>
  <si>
    <t xml:space="preserve">canette coca  </t>
  </si>
  <si>
    <t>Semoule Fine 25kg Mama</t>
  </si>
  <si>
    <t>huile d'olive</t>
  </si>
  <si>
    <t>tansfou</t>
  </si>
  <si>
    <t>lentille</t>
  </si>
  <si>
    <t>cumun</t>
  </si>
  <si>
    <t>javel moussant 5 litres</t>
  </si>
  <si>
    <t xml:space="preserve">semoule Moula </t>
  </si>
  <si>
    <t xml:space="preserve">blanc de poulet  </t>
  </si>
  <si>
    <t>olive éfilet</t>
  </si>
  <si>
    <t>margarine Fleuriel 500g</t>
  </si>
  <si>
    <t>fromage gouda</t>
  </si>
  <si>
    <t>huile 5 litre</t>
  </si>
  <si>
    <t xml:space="preserve">crème liquide </t>
  </si>
  <si>
    <t>pril isis</t>
  </si>
  <si>
    <t>pois chich</t>
  </si>
  <si>
    <t>brosses métalique</t>
  </si>
  <si>
    <t>blanc de poulet</t>
  </si>
  <si>
    <t>sel hymalaya</t>
  </si>
  <si>
    <t>achats locale</t>
  </si>
  <si>
    <t>blanc de poulet + escalope</t>
  </si>
  <si>
    <t>bourghoul</t>
  </si>
  <si>
    <t>olive éfillé</t>
  </si>
  <si>
    <t xml:space="preserve">serviette en papier </t>
  </si>
  <si>
    <t>Livraison Nakkach</t>
  </si>
  <si>
    <t>registre</t>
  </si>
  <si>
    <t>citrron</t>
  </si>
  <si>
    <t xml:space="preserve">Blanc de poulet </t>
  </si>
  <si>
    <t>sachets transparents</t>
  </si>
  <si>
    <t>terida</t>
  </si>
  <si>
    <t>Semoule Sousimie 10kg</t>
  </si>
  <si>
    <t>eau minirale 0,5</t>
  </si>
  <si>
    <t>sachets blanc 5kg</t>
  </si>
  <si>
    <t>sachets tarnsparents pain</t>
  </si>
  <si>
    <t>sachets de congélation</t>
  </si>
  <si>
    <t>dentelle</t>
  </si>
  <si>
    <t>sac croissants 23</t>
  </si>
  <si>
    <t>les ataches</t>
  </si>
  <si>
    <t>poulet haché + blanc de poulet</t>
  </si>
  <si>
    <t>BOITE 48/10</t>
  </si>
  <si>
    <t>felfel deriss</t>
  </si>
  <si>
    <t>brahim achats</t>
  </si>
  <si>
    <t>boite demie plateau</t>
  </si>
  <si>
    <t>boites plateau</t>
  </si>
  <si>
    <t xml:space="preserve">Manutention </t>
  </si>
  <si>
    <t xml:space="preserve">blanc de poulet slimane </t>
  </si>
  <si>
    <t xml:space="preserve">fromage spéciale pizza </t>
  </si>
  <si>
    <t>détergents + nétoyage</t>
  </si>
  <si>
    <t>barquettes 1120</t>
  </si>
  <si>
    <t xml:space="preserve">sachets </t>
  </si>
  <si>
    <t>jus</t>
  </si>
  <si>
    <t xml:space="preserve">Fromage slices </t>
  </si>
  <si>
    <t>fromage blanc 1,5</t>
  </si>
  <si>
    <t>poivre doux</t>
  </si>
  <si>
    <t xml:space="preserve">blanc de poulet </t>
  </si>
  <si>
    <t>miel 5kg</t>
  </si>
  <si>
    <t>petit pois 300g</t>
  </si>
  <si>
    <t xml:space="preserve">bingo </t>
  </si>
  <si>
    <t xml:space="preserve">Javel  </t>
  </si>
  <si>
    <t>lave sol</t>
  </si>
  <si>
    <t>cacao</t>
  </si>
  <si>
    <t>dettes légumes</t>
  </si>
  <si>
    <t>rzchta</t>
  </si>
  <si>
    <t>achat Amina</t>
  </si>
  <si>
    <t>Cnas+ Pénalité CNAS</t>
  </si>
  <si>
    <t>22/10/2024+26</t>
  </si>
  <si>
    <t>Nakkache</t>
  </si>
  <si>
    <t>poubelle</t>
  </si>
  <si>
    <t xml:space="preserve">Amina Baghrir Mois de Septembre </t>
  </si>
  <si>
    <t>boite 48/10</t>
  </si>
  <si>
    <t>Sou  03/10/2024</t>
  </si>
  <si>
    <t>boite 48/07</t>
  </si>
  <si>
    <t>boite 36</t>
  </si>
  <si>
    <t>boite 24</t>
  </si>
  <si>
    <t>boite 08</t>
  </si>
  <si>
    <t>sachets transparent</t>
  </si>
  <si>
    <t>Boite 18</t>
  </si>
  <si>
    <t xml:space="preserve">Papier Aluminium </t>
  </si>
  <si>
    <t>Balance</t>
  </si>
  <si>
    <t>boites leben</t>
  </si>
  <si>
    <t>barquettes 1185</t>
  </si>
  <si>
    <t>Boite 500CC</t>
  </si>
  <si>
    <t xml:space="preserve">Serviette </t>
  </si>
  <si>
    <t xml:space="preserve">boites décoration pate à sucre </t>
  </si>
  <si>
    <t>tapis</t>
  </si>
  <si>
    <t>Totale</t>
  </si>
  <si>
    <t xml:space="preserve">Nom </t>
  </si>
  <si>
    <t>Avance</t>
  </si>
  <si>
    <t xml:space="preserve">Salaire à payer </t>
  </si>
  <si>
    <t xml:space="preserve">Sofiane </t>
  </si>
  <si>
    <t>20000+10000</t>
  </si>
  <si>
    <t>Amel</t>
  </si>
  <si>
    <t>Saida</t>
  </si>
  <si>
    <t xml:space="preserve">Amina </t>
  </si>
  <si>
    <t xml:space="preserve">Selma </t>
  </si>
  <si>
    <t>1000+3000</t>
  </si>
  <si>
    <t xml:space="preserve">Zohra </t>
  </si>
  <si>
    <t xml:space="preserve">Sabiha </t>
  </si>
  <si>
    <t>Rayan</t>
  </si>
  <si>
    <t xml:space="preserve">Ikram  </t>
  </si>
  <si>
    <t>Nora</t>
  </si>
  <si>
    <t>Sihel=m</t>
  </si>
  <si>
    <t>TOTAL</t>
  </si>
  <si>
    <t xml:space="preserve">Mois de Janvier </t>
  </si>
  <si>
    <t xml:space="preserve">Mois de Février </t>
  </si>
  <si>
    <t>Mois de Mars</t>
  </si>
  <si>
    <t>Mois d'Avril</t>
  </si>
  <si>
    <t>Mois de Mai</t>
  </si>
  <si>
    <t xml:space="preserve">Mois de Jiun </t>
  </si>
  <si>
    <t>Mois de Juillet</t>
  </si>
  <si>
    <t>Mois d'Aout</t>
  </si>
  <si>
    <t>Mois de Septembre</t>
  </si>
  <si>
    <t xml:space="preserve">Mois d'Octobre </t>
  </si>
  <si>
    <t>Salaires</t>
  </si>
  <si>
    <t xml:space="preserve">Profit Net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</si>
</sst>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#,##0.00\ [$€-1]"/>
    <numFmt numFmtId="166" formatCode="d/m/yyyy"/>
  </numFmts>
  <fonts count="22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sz val="18.0"/>
      <color theme="1"/>
      <name val="Arial"/>
    </font>
    <font>
      <sz val="19.0"/>
      <color theme="1"/>
      <name val="Arial"/>
    </font>
    <font>
      <sz val="17.0"/>
      <color theme="1"/>
      <name val="Arial"/>
    </font>
    <font>
      <sz val="18.0"/>
      <color rgb="FFFF0000"/>
      <name val="Arial"/>
    </font>
    <font>
      <sz val="22.0"/>
      <color theme="1"/>
      <name val="Arial"/>
    </font>
    <font>
      <sz val="18.0"/>
      <color rgb="FFFFFF00"/>
      <name val="Arial"/>
    </font>
    <font>
      <sz val="20.0"/>
      <color theme="1"/>
      <name val="Arial"/>
    </font>
    <font>
      <sz val="21.0"/>
      <color theme="1"/>
      <name val="Arial"/>
    </font>
    <font>
      <b/>
      <sz val="20.0"/>
      <color theme="1"/>
      <name val="Arial"/>
    </font>
    <font>
      <sz val="18.0"/>
      <color rgb="FF434343"/>
      <name val="Arial"/>
    </font>
    <font>
      <b/>
      <sz val="20.0"/>
      <color rgb="FF434343"/>
      <name val="Arial"/>
    </font>
    <font>
      <b/>
      <sz val="21.0"/>
      <color rgb="FF434343"/>
      <name val="Arial"/>
    </font>
    <font>
      <b/>
      <sz val="21.0"/>
      <color theme="1"/>
      <name val="Arial"/>
    </font>
    <font>
      <b/>
      <sz val="21.0"/>
      <color rgb="FF1C4587"/>
      <name val="Arial"/>
    </font>
    <font>
      <sz val="25.0"/>
      <color theme="1"/>
      <name val="Arial"/>
    </font>
    <font>
      <color theme="1"/>
      <name val="Arial"/>
      <scheme val="minor"/>
    </font>
    <font/>
    <font>
      <b/>
      <sz val="24.0"/>
      <color theme="1"/>
      <name val="Arial"/>
    </font>
    <font>
      <sz val="16.0"/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A2C4C9"/>
        <bgColor rgb="FFA2C4C9"/>
      </patternFill>
    </fill>
    <fill>
      <patternFill patternType="solid">
        <fgColor rgb="FFC9DAF8"/>
        <bgColor rgb="FFC9DAF8"/>
      </patternFill>
    </fill>
  </fills>
  <borders count="7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2" fontId="2" numFmtId="0" xfId="0" applyAlignment="1" applyBorder="1" applyFill="1" applyFont="1">
      <alignment horizontal="center" vertical="bottom"/>
    </xf>
    <xf borderId="2" fillId="2" fontId="3" numFmtId="0" xfId="0" applyAlignment="1" applyBorder="1" applyFont="1">
      <alignment horizontal="center" vertical="bottom"/>
    </xf>
    <xf borderId="0" fillId="0" fontId="1" numFmtId="0" xfId="0" applyAlignment="1" applyFont="1">
      <alignment vertical="bottom"/>
    </xf>
    <xf borderId="2" fillId="3" fontId="3" numFmtId="0" xfId="0" applyAlignment="1" applyBorder="1" applyFill="1" applyFont="1">
      <alignment horizontal="center" vertical="bottom"/>
    </xf>
    <xf borderId="2" fillId="4" fontId="3" numFmtId="0" xfId="0" applyAlignment="1" applyBorder="1" applyFill="1" applyFont="1">
      <alignment horizontal="center" readingOrder="0" vertical="bottom"/>
    </xf>
    <xf borderId="3" fillId="5" fontId="3" numFmtId="0" xfId="0" applyAlignment="1" applyBorder="1" applyFill="1" applyFont="1">
      <alignment horizontal="center" readingOrder="0" vertical="bottom"/>
    </xf>
    <xf borderId="1" fillId="5" fontId="3" numFmtId="164" xfId="0" applyAlignment="1" applyBorder="1" applyFont="1" applyNumberFormat="1">
      <alignment horizontal="center" readingOrder="0" vertical="bottom"/>
    </xf>
    <xf borderId="1" fillId="5" fontId="3" numFmtId="165" xfId="0" applyAlignment="1" applyBorder="1" applyFont="1" applyNumberFormat="1">
      <alignment horizontal="center" vertical="bottom"/>
    </xf>
    <xf borderId="1" fillId="5" fontId="3" numFmtId="165" xfId="0" applyAlignment="1" applyBorder="1" applyFont="1" applyNumberFormat="1">
      <alignment horizontal="center" readingOrder="0" vertical="bottom"/>
    </xf>
    <xf borderId="1" fillId="5" fontId="1" numFmtId="0" xfId="0" applyAlignment="1" applyBorder="1" applyFont="1">
      <alignment vertical="bottom"/>
    </xf>
    <xf borderId="1" fillId="5" fontId="3" numFmtId="0" xfId="0" applyAlignment="1" applyBorder="1" applyFont="1">
      <alignment horizontal="center" vertical="bottom"/>
    </xf>
    <xf borderId="0" fillId="5" fontId="1" numFmtId="0" xfId="0" applyAlignment="1" applyFont="1">
      <alignment vertical="bottom"/>
    </xf>
    <xf borderId="1" fillId="5" fontId="1" numFmtId="165" xfId="0" applyAlignment="1" applyBorder="1" applyFont="1" applyNumberFormat="1">
      <alignment vertical="bottom"/>
    </xf>
    <xf borderId="1" fillId="5" fontId="3" numFmtId="0" xfId="0" applyAlignment="1" applyBorder="1" applyFont="1">
      <alignment horizontal="center" readingOrder="0" vertical="bottom"/>
    </xf>
    <xf borderId="4" fillId="6" fontId="3" numFmtId="0" xfId="0" applyAlignment="1" applyBorder="1" applyFill="1" applyFont="1">
      <alignment horizontal="center" vertical="bottom"/>
    </xf>
    <xf borderId="0" fillId="7" fontId="3" numFmtId="0" xfId="0" applyAlignment="1" applyFill="1" applyFont="1">
      <alignment horizontal="center" vertical="bottom"/>
    </xf>
    <xf borderId="0" fillId="0" fontId="3" numFmtId="0" xfId="0" applyAlignment="1" applyFont="1">
      <alignment vertical="bottom"/>
    </xf>
    <xf borderId="1" fillId="4" fontId="3" numFmtId="165" xfId="0" applyAlignment="1" applyBorder="1" applyFont="1" applyNumberFormat="1">
      <alignment horizontal="center" vertical="bottom"/>
    </xf>
    <xf borderId="0" fillId="0" fontId="1" numFmtId="165" xfId="0" applyAlignment="1" applyFont="1" applyNumberFormat="1">
      <alignment vertical="bottom"/>
    </xf>
    <xf borderId="0" fillId="0" fontId="3" numFmtId="10" xfId="0" applyAlignment="1" applyFont="1" applyNumberFormat="1">
      <alignment horizontal="center" vertical="bottom"/>
    </xf>
    <xf borderId="3" fillId="8" fontId="3" numFmtId="0" xfId="0" applyAlignment="1" applyBorder="1" applyFill="1" applyFont="1">
      <alignment horizontal="center" readingOrder="0" vertical="bottom"/>
    </xf>
    <xf borderId="1" fillId="8" fontId="3" numFmtId="164" xfId="0" applyAlignment="1" applyBorder="1" applyFont="1" applyNumberFormat="1">
      <alignment horizontal="center" readingOrder="0" vertical="bottom"/>
    </xf>
    <xf borderId="1" fillId="8" fontId="3" numFmtId="165" xfId="0" applyAlignment="1" applyBorder="1" applyFont="1" applyNumberFormat="1">
      <alignment horizontal="center" vertical="bottom"/>
    </xf>
    <xf borderId="1" fillId="8" fontId="3" numFmtId="165" xfId="0" applyAlignment="1" applyBorder="1" applyFont="1" applyNumberFormat="1">
      <alignment horizontal="center" readingOrder="0" vertical="bottom"/>
    </xf>
    <xf borderId="1" fillId="8" fontId="1" numFmtId="0" xfId="0" applyAlignment="1" applyBorder="1" applyFont="1">
      <alignment vertical="bottom"/>
    </xf>
    <xf borderId="1" fillId="8" fontId="3" numFmtId="0" xfId="0" applyAlignment="1" applyBorder="1" applyFont="1">
      <alignment horizontal="center" readingOrder="0" vertical="bottom"/>
    </xf>
    <xf borderId="0" fillId="0" fontId="1" numFmtId="10" xfId="0" applyAlignment="1" applyFont="1" applyNumberFormat="1">
      <alignment vertical="bottom"/>
    </xf>
    <xf borderId="1" fillId="7" fontId="3" numFmtId="0" xfId="0" applyAlignment="1" applyBorder="1" applyFont="1">
      <alignment horizontal="center" vertical="bottom"/>
    </xf>
    <xf borderId="1" fillId="7" fontId="3" numFmtId="165" xfId="0" applyAlignment="1" applyBorder="1" applyFont="1" applyNumberFormat="1">
      <alignment horizontal="center" vertical="bottom"/>
    </xf>
    <xf borderId="1" fillId="0" fontId="3" numFmtId="165" xfId="0" applyAlignment="1" applyBorder="1" applyFont="1" applyNumberFormat="1">
      <alignment horizontal="center" vertical="bottom"/>
    </xf>
    <xf borderId="1" fillId="6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  <xf borderId="1" fillId="4" fontId="3" numFmtId="165" xfId="0" applyAlignment="1" applyBorder="1" applyFont="1" applyNumberFormat="1">
      <alignment horizontal="center" readingOrder="0" vertical="bottom"/>
    </xf>
    <xf borderId="0" fillId="0" fontId="3" numFmtId="165" xfId="0" applyAlignment="1" applyFont="1" applyNumberFormat="1">
      <alignment horizontal="center" readingOrder="0" vertical="bottom"/>
    </xf>
    <xf borderId="1" fillId="0" fontId="1" numFmtId="165" xfId="0" applyAlignment="1" applyBorder="1" applyFont="1" applyNumberFormat="1">
      <alignment vertical="bottom"/>
    </xf>
    <xf borderId="1" fillId="0" fontId="4" numFmtId="165" xfId="0" applyAlignment="1" applyBorder="1" applyFont="1" applyNumberFormat="1">
      <alignment horizontal="center" vertical="bottom"/>
    </xf>
    <xf borderId="0" fillId="0" fontId="5" numFmtId="0" xfId="0" applyAlignment="1" applyFont="1">
      <alignment horizontal="center"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  <xf borderId="0" fillId="5" fontId="3" numFmtId="165" xfId="0" applyAlignment="1" applyFont="1" applyNumberFormat="1">
      <alignment horizontal="center" readingOrder="0" vertical="bottom"/>
    </xf>
    <xf borderId="0" fillId="0" fontId="3" numFmtId="165" xfId="0" applyAlignment="1" applyFont="1" applyNumberFormat="1">
      <alignment readingOrder="0" vertical="bottom"/>
    </xf>
    <xf borderId="4" fillId="0" fontId="1" numFmtId="165" xfId="0" applyAlignment="1" applyBorder="1" applyFont="1" applyNumberFormat="1">
      <alignment vertical="bottom"/>
    </xf>
    <xf borderId="0" fillId="5" fontId="1" numFmtId="165" xfId="0" applyAlignment="1" applyFont="1" applyNumberFormat="1">
      <alignment vertical="bottom"/>
    </xf>
    <xf borderId="0" fillId="0" fontId="4" numFmtId="166" xfId="0" applyAlignment="1" applyFont="1" applyNumberFormat="1">
      <alignment horizontal="center" readingOrder="0" vertical="bottom"/>
    </xf>
    <xf borderId="4" fillId="6" fontId="6" numFmtId="165" xfId="0" applyAlignment="1" applyBorder="1" applyFont="1" applyNumberFormat="1">
      <alignment horizontal="center" vertical="bottom"/>
    </xf>
    <xf borderId="0" fillId="0" fontId="4" numFmtId="165" xfId="0" applyAlignment="1" applyFont="1" applyNumberFormat="1">
      <alignment horizontal="right" readingOrder="0" vertical="bottom"/>
    </xf>
    <xf borderId="0" fillId="0" fontId="7" numFmtId="165" xfId="0" applyAlignment="1" applyFont="1" applyNumberFormat="1">
      <alignment readingOrder="0" vertical="bottom"/>
    </xf>
    <xf borderId="1" fillId="9" fontId="8" numFmtId="0" xfId="0" applyAlignment="1" applyBorder="1" applyFill="1" applyFont="1">
      <alignment horizontal="center" vertical="bottom"/>
    </xf>
    <xf borderId="5" fillId="0" fontId="1" numFmtId="165" xfId="0" applyAlignment="1" applyBorder="1" applyFont="1" applyNumberFormat="1">
      <alignment vertical="bottom"/>
    </xf>
    <xf borderId="1" fillId="4" fontId="3" numFmtId="0" xfId="0" applyAlignment="1" applyBorder="1" applyFont="1">
      <alignment horizontal="center" vertical="bottom"/>
    </xf>
    <xf borderId="4" fillId="0" fontId="1" numFmtId="0" xfId="0" applyAlignment="1" applyBorder="1" applyFont="1">
      <alignment vertical="bottom"/>
    </xf>
    <xf borderId="4" fillId="5" fontId="1" numFmtId="165" xfId="0" applyAlignment="1" applyBorder="1" applyFont="1" applyNumberFormat="1">
      <alignment vertical="bottom"/>
    </xf>
    <xf borderId="1" fillId="10" fontId="9" numFmtId="0" xfId="0" applyAlignment="1" applyBorder="1" applyFill="1" applyFont="1">
      <alignment horizontal="center" vertical="bottom"/>
    </xf>
    <xf borderId="1" fillId="10" fontId="9" numFmtId="165" xfId="0" applyAlignment="1" applyBorder="1" applyFont="1" applyNumberFormat="1">
      <alignment horizontal="center" vertical="bottom"/>
    </xf>
    <xf borderId="2" fillId="10" fontId="9" numFmtId="165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10" fontId="1" numFmtId="0" xfId="0" applyAlignment="1" applyBorder="1" applyFont="1">
      <alignment vertical="bottom"/>
    </xf>
    <xf borderId="1" fillId="10" fontId="1" numFmtId="165" xfId="0" applyAlignment="1" applyBorder="1" applyFont="1" applyNumberFormat="1">
      <alignment vertical="bottom"/>
    </xf>
    <xf borderId="2" fillId="10" fontId="1" numFmtId="165" xfId="0" applyAlignment="1" applyBorder="1" applyFont="1" applyNumberFormat="1">
      <alignment vertical="bottom"/>
    </xf>
    <xf borderId="5" fillId="0" fontId="1" numFmtId="0" xfId="0" applyAlignment="1" applyBorder="1" applyFont="1">
      <alignment vertical="bottom"/>
    </xf>
    <xf borderId="1" fillId="9" fontId="3" numFmtId="0" xfId="0" applyAlignment="1" applyBorder="1" applyFont="1">
      <alignment horizontal="center" vertical="bottom"/>
    </xf>
    <xf borderId="1" fillId="5" fontId="5" numFmtId="165" xfId="0" applyAlignment="1" applyBorder="1" applyFont="1" applyNumberFormat="1">
      <alignment horizontal="center" readingOrder="0" vertical="bottom"/>
    </xf>
    <xf borderId="1" fillId="5" fontId="10" numFmtId="165" xfId="0" applyAlignment="1" applyBorder="1" applyFont="1" applyNumberFormat="1">
      <alignment horizontal="center" readingOrder="0" vertical="bottom"/>
    </xf>
    <xf borderId="1" fillId="5" fontId="9" numFmtId="165" xfId="0" applyAlignment="1" applyBorder="1" applyFont="1" applyNumberFormat="1">
      <alignment horizontal="center" readingOrder="0" vertical="bottom"/>
    </xf>
    <xf borderId="1" fillId="0" fontId="11" numFmtId="165" xfId="0" applyAlignment="1" applyBorder="1" applyFont="1" applyNumberFormat="1">
      <alignment horizontal="right" vertical="bottom"/>
    </xf>
    <xf borderId="1" fillId="5" fontId="1" numFmtId="164" xfId="0" applyAlignment="1" applyBorder="1" applyFont="1" applyNumberFormat="1">
      <alignment vertical="bottom"/>
    </xf>
    <xf borderId="1" fillId="5" fontId="2" numFmtId="165" xfId="0" applyAlignment="1" applyBorder="1" applyFont="1" applyNumberFormat="1">
      <alignment horizontal="center" vertical="bottom"/>
    </xf>
    <xf borderId="1" fillId="5" fontId="2" numFmtId="0" xfId="0" applyAlignment="1" applyBorder="1" applyFont="1">
      <alignment horizontal="center" vertical="bottom"/>
    </xf>
    <xf borderId="1" fillId="11" fontId="3" numFmtId="165" xfId="0" applyAlignment="1" applyBorder="1" applyFill="1" applyFont="1" applyNumberFormat="1">
      <alignment horizontal="center" vertical="bottom"/>
    </xf>
    <xf borderId="0" fillId="0" fontId="1" numFmtId="164" xfId="0" applyAlignment="1" applyFont="1" applyNumberFormat="1">
      <alignment vertical="bottom"/>
    </xf>
    <xf borderId="3" fillId="12" fontId="3" numFmtId="0" xfId="0" applyAlignment="1" applyBorder="1" applyFill="1" applyFont="1">
      <alignment horizontal="center" vertical="bottom"/>
    </xf>
    <xf borderId="1" fillId="12" fontId="3" numFmtId="0" xfId="0" applyAlignment="1" applyBorder="1" applyFont="1">
      <alignment horizontal="center" vertical="bottom"/>
    </xf>
    <xf borderId="2" fillId="12" fontId="3" numFmtId="0" xfId="0" applyAlignment="1" applyBorder="1" applyFont="1">
      <alignment horizontal="center" vertical="bottom"/>
    </xf>
    <xf borderId="2" fillId="12" fontId="3" numFmtId="0" xfId="0" applyAlignment="1" applyBorder="1" applyFont="1">
      <alignment horizontal="center" readingOrder="0" vertical="bottom"/>
    </xf>
    <xf borderId="2" fillId="12" fontId="4" numFmtId="0" xfId="0" applyAlignment="1" applyBorder="1" applyFont="1">
      <alignment horizontal="center" vertical="bottom"/>
    </xf>
    <xf borderId="0" fillId="12" fontId="1" numFmtId="0" xfId="0" applyAlignment="1" applyFont="1">
      <alignment vertical="bottom"/>
    </xf>
    <xf borderId="4" fillId="5" fontId="1" numFmtId="0" xfId="0" applyAlignment="1" applyBorder="1" applyFont="1">
      <alignment vertical="bottom"/>
    </xf>
    <xf borderId="0" fillId="8" fontId="1" numFmtId="0" xfId="0" applyAlignment="1" applyFont="1">
      <alignment vertical="bottom"/>
    </xf>
    <xf borderId="1" fillId="9" fontId="3" numFmtId="0" xfId="0" applyAlignment="1" applyBorder="1" applyFont="1">
      <alignment horizontal="center" readingOrder="0" vertical="bottom"/>
    </xf>
    <xf borderId="3" fillId="5" fontId="12" numFmtId="0" xfId="0" applyAlignment="1" applyBorder="1" applyFont="1">
      <alignment horizontal="center" readingOrder="0" vertical="bottom"/>
    </xf>
    <xf borderId="1" fillId="5" fontId="12" numFmtId="0" xfId="0" applyAlignment="1" applyBorder="1" applyFont="1">
      <alignment horizontal="center" readingOrder="0" vertical="bottom"/>
    </xf>
    <xf borderId="1" fillId="9" fontId="12" numFmtId="0" xfId="0" applyAlignment="1" applyBorder="1" applyFont="1">
      <alignment horizontal="center" readingOrder="0" vertical="bottom"/>
    </xf>
    <xf borderId="1" fillId="5" fontId="5" numFmtId="0" xfId="0" applyAlignment="1" applyBorder="1" applyFont="1">
      <alignment vertical="bottom"/>
    </xf>
    <xf borderId="3" fillId="5" fontId="13" numFmtId="0" xfId="0" applyAlignment="1" applyBorder="1" applyFont="1">
      <alignment horizontal="center" readingOrder="0" vertical="bottom"/>
    </xf>
    <xf borderId="1" fillId="5" fontId="1" numFmtId="0" xfId="0" applyAlignment="1" applyBorder="1" applyFont="1">
      <alignment readingOrder="0" vertical="bottom"/>
    </xf>
    <xf borderId="3" fillId="5" fontId="11" numFmtId="0" xfId="0" applyAlignment="1" applyBorder="1" applyFont="1">
      <alignment horizontal="center" vertical="bottom"/>
    </xf>
    <xf borderId="3" fillId="5" fontId="11" numFmtId="0" xfId="0" applyAlignment="1" applyBorder="1" applyFont="1">
      <alignment horizontal="center" readingOrder="0" vertical="bottom"/>
    </xf>
    <xf borderId="6" fillId="5" fontId="14" numFmtId="165" xfId="0" applyAlignment="1" applyBorder="1" applyFont="1" applyNumberFormat="1">
      <alignment horizontal="center" vertical="bottom"/>
    </xf>
    <xf borderId="6" fillId="5" fontId="14" numFmtId="165" xfId="0" applyAlignment="1" applyBorder="1" applyFont="1" applyNumberFormat="1">
      <alignment horizontal="center" readingOrder="0" vertical="bottom"/>
    </xf>
    <xf borderId="6" fillId="5" fontId="15" numFmtId="165" xfId="0" applyAlignment="1" applyBorder="1" applyFont="1" applyNumberFormat="1">
      <alignment horizontal="center" readingOrder="0" vertical="bottom"/>
    </xf>
    <xf borderId="6" fillId="5" fontId="10" numFmtId="165" xfId="0" applyAlignment="1" applyBorder="1" applyFont="1" applyNumberFormat="1">
      <alignment horizontal="center" readingOrder="0" vertical="bottom"/>
    </xf>
    <xf borderId="6" fillId="5" fontId="10" numFmtId="165" xfId="0" applyAlignment="1" applyBorder="1" applyFont="1" applyNumberFormat="1">
      <alignment horizontal="right" readingOrder="0" vertical="bottom"/>
    </xf>
    <xf borderId="6" fillId="5" fontId="10" numFmtId="165" xfId="0" applyAlignment="1" applyBorder="1" applyFont="1" applyNumberFormat="1">
      <alignment horizontal="right" vertical="bottom"/>
    </xf>
    <xf borderId="6" fillId="5" fontId="3" numFmtId="165" xfId="0" applyAlignment="1" applyBorder="1" applyFont="1" applyNumberFormat="1">
      <alignment readingOrder="0" vertical="bottom"/>
    </xf>
    <xf borderId="6" fillId="5" fontId="16" numFmtId="165" xfId="0" applyAlignment="1" applyBorder="1" applyFont="1" applyNumberFormat="1">
      <alignment horizontal="center" vertical="bottom"/>
    </xf>
    <xf borderId="6" fillId="5" fontId="1" numFmtId="165" xfId="0" applyAlignment="1" applyBorder="1" applyFont="1" applyNumberFormat="1">
      <alignment vertical="bottom"/>
    </xf>
    <xf borderId="1" fillId="11" fontId="11" numFmtId="0" xfId="0" applyAlignment="1" applyBorder="1" applyFont="1">
      <alignment horizontal="center" vertical="bottom"/>
    </xf>
    <xf borderId="2" fillId="11" fontId="11" numFmtId="0" xfId="0" applyAlignment="1" applyBorder="1" applyFont="1">
      <alignment horizontal="center" vertical="bottom"/>
    </xf>
    <xf borderId="6" fillId="5" fontId="9" numFmtId="0" xfId="0" applyAlignment="1" applyBorder="1" applyFont="1">
      <alignment horizontal="center" readingOrder="0" vertical="bottom"/>
    </xf>
    <xf borderId="2" fillId="5" fontId="9" numFmtId="0" xfId="0" applyAlignment="1" applyBorder="1" applyFont="1">
      <alignment horizontal="center" readingOrder="0" vertical="bottom"/>
    </xf>
    <xf borderId="2" fillId="5" fontId="9" numFmtId="165" xfId="0" applyAlignment="1" applyBorder="1" applyFont="1" applyNumberFormat="1">
      <alignment horizontal="center" readingOrder="0" vertical="bottom"/>
    </xf>
    <xf borderId="2" fillId="5" fontId="3" numFmtId="165" xfId="0" applyAlignment="1" applyBorder="1" applyFont="1" applyNumberFormat="1">
      <alignment horizontal="center" vertical="bottom"/>
    </xf>
    <xf borderId="1" fillId="5" fontId="17" numFmtId="0" xfId="0" applyAlignment="1" applyBorder="1" applyFont="1">
      <alignment horizontal="center" vertical="bottom"/>
    </xf>
    <xf borderId="3" fillId="5" fontId="9" numFmtId="0" xfId="0" applyAlignment="1" applyBorder="1" applyFont="1">
      <alignment horizontal="center" readingOrder="0" vertical="bottom"/>
    </xf>
    <xf borderId="1" fillId="5" fontId="9" numFmtId="0" xfId="0" applyAlignment="1" applyBorder="1" applyFont="1">
      <alignment horizontal="center" readingOrder="0" vertical="bottom"/>
    </xf>
    <xf borderId="2" fillId="5" fontId="17" numFmtId="0" xfId="0" applyAlignment="1" applyBorder="1" applyFont="1">
      <alignment horizontal="center" vertical="bottom"/>
    </xf>
    <xf borderId="1" fillId="5" fontId="17" numFmtId="164" xfId="0" applyAlignment="1" applyBorder="1" applyFont="1" applyNumberFormat="1">
      <alignment horizontal="center" vertical="bottom"/>
    </xf>
    <xf borderId="2" fillId="5" fontId="3" numFmtId="165" xfId="0" applyAlignment="1" applyBorder="1" applyFont="1" applyNumberFormat="1">
      <alignment horizontal="center" readingOrder="0" vertical="bottom"/>
    </xf>
    <xf borderId="3" fillId="6" fontId="9" numFmtId="0" xfId="0" applyAlignment="1" applyBorder="1" applyFont="1">
      <alignment horizontal="center" readingOrder="0" vertical="bottom"/>
    </xf>
    <xf borderId="1" fillId="6" fontId="9" numFmtId="0" xfId="0" applyAlignment="1" applyBorder="1" applyFont="1">
      <alignment horizontal="center" readingOrder="0" vertical="bottom"/>
    </xf>
    <xf borderId="1" fillId="6" fontId="9" numFmtId="165" xfId="0" applyAlignment="1" applyBorder="1" applyFont="1" applyNumberFormat="1">
      <alignment horizontal="center" readingOrder="0" vertical="bottom"/>
    </xf>
    <xf borderId="2" fillId="6" fontId="3" numFmtId="165" xfId="0" applyAlignment="1" applyBorder="1" applyFont="1" applyNumberFormat="1">
      <alignment horizontal="center" vertical="bottom"/>
    </xf>
    <xf borderId="6" fillId="5" fontId="4" numFmtId="0" xfId="0" applyAlignment="1" applyBorder="1" applyFont="1">
      <alignment horizontal="center" readingOrder="0" vertical="bottom"/>
    </xf>
    <xf borderId="1" fillId="5" fontId="4" numFmtId="0" xfId="0" applyAlignment="1" applyBorder="1" applyFont="1">
      <alignment horizontal="center" readingOrder="0" vertical="bottom"/>
    </xf>
    <xf borderId="1" fillId="5" fontId="4" numFmtId="0" xfId="0" applyAlignment="1" applyBorder="1" applyFont="1">
      <alignment horizontal="center" vertical="bottom"/>
    </xf>
    <xf borderId="1" fillId="5" fontId="9" numFmtId="165" xfId="0" applyAlignment="1" applyBorder="1" applyFont="1" applyNumberFormat="1">
      <alignment horizontal="center" vertical="bottom"/>
    </xf>
    <xf borderId="2" fillId="5" fontId="9" numFmtId="165" xfId="0" applyAlignment="1" applyBorder="1" applyFont="1" applyNumberFormat="1">
      <alignment horizontal="center" vertical="bottom"/>
    </xf>
    <xf borderId="1" fillId="5" fontId="9" numFmtId="0" xfId="0" applyAlignment="1" applyBorder="1" applyFont="1">
      <alignment horizontal="center" vertical="bottom"/>
    </xf>
    <xf borderId="1" fillId="4" fontId="4" numFmtId="0" xfId="0" applyAlignment="1" applyBorder="1" applyFont="1">
      <alignment horizontal="center" vertical="bottom"/>
    </xf>
    <xf borderId="1" fillId="4" fontId="9" numFmtId="0" xfId="0" applyAlignment="1" applyBorder="1" applyFont="1">
      <alignment horizontal="center" readingOrder="0" vertical="bottom"/>
    </xf>
    <xf borderId="1" fillId="4" fontId="9" numFmtId="165" xfId="0" applyAlignment="1" applyBorder="1" applyFont="1" applyNumberFormat="1">
      <alignment horizontal="center" vertical="bottom"/>
    </xf>
    <xf borderId="2" fillId="4" fontId="9" numFmtId="165" xfId="0" applyAlignment="1" applyBorder="1" applyFont="1" applyNumberFormat="1">
      <alignment horizontal="center" vertical="bottom"/>
    </xf>
    <xf borderId="3" fillId="5" fontId="9" numFmtId="0" xfId="0" applyAlignment="1" applyBorder="1" applyFont="1">
      <alignment horizontal="center" vertical="bottom"/>
    </xf>
    <xf borderId="6" fillId="5" fontId="9" numFmtId="0" xfId="0" applyAlignment="1" applyBorder="1" applyFont="1">
      <alignment horizontal="center" vertical="bottom"/>
    </xf>
    <xf borderId="2" fillId="5" fontId="9" numFmtId="0" xfId="0" applyAlignment="1" applyBorder="1" applyFont="1">
      <alignment horizontal="center" vertical="bottom"/>
    </xf>
    <xf borderId="6" fillId="0" fontId="4" numFmtId="0" xfId="0" applyAlignment="1" applyBorder="1" applyFont="1">
      <alignment horizontal="center" vertical="bottom"/>
    </xf>
    <xf borderId="1" fillId="6" fontId="4" numFmtId="0" xfId="0" applyAlignment="1" applyBorder="1" applyFont="1">
      <alignment horizontal="center" vertical="bottom"/>
    </xf>
    <xf borderId="1" fillId="6" fontId="9" numFmtId="165" xfId="0" applyAlignment="1" applyBorder="1" applyFont="1" applyNumberFormat="1">
      <alignment horizontal="center" vertical="bottom"/>
    </xf>
    <xf borderId="2" fillId="6" fontId="9" numFmtId="165" xfId="0" applyAlignment="1" applyBorder="1" applyFont="1" applyNumberFormat="1">
      <alignment horizontal="center" vertical="bottom"/>
    </xf>
    <xf borderId="1" fillId="5" fontId="17" numFmtId="164" xfId="0" applyAlignment="1" applyBorder="1" applyFont="1" applyNumberFormat="1">
      <alignment horizontal="center" readingOrder="0" vertical="bottom"/>
    </xf>
    <xf borderId="1" fillId="5" fontId="17" numFmtId="0" xfId="0" applyAlignment="1" applyBorder="1" applyFont="1">
      <alignment horizontal="center" readingOrder="0" vertical="bottom"/>
    </xf>
    <xf borderId="0" fillId="5" fontId="1" numFmtId="0" xfId="0" applyAlignment="1" applyFont="1">
      <alignment horizontal="right" vertical="bottom"/>
    </xf>
    <xf borderId="1" fillId="6" fontId="4" numFmtId="0" xfId="0" applyAlignment="1" applyBorder="1" applyFont="1">
      <alignment horizontal="center" readingOrder="0" vertical="bottom"/>
    </xf>
    <xf borderId="1" fillId="5" fontId="3" numFmtId="164" xfId="0" applyAlignment="1" applyBorder="1" applyFont="1" applyNumberFormat="1">
      <alignment horizontal="center" vertical="bottom"/>
    </xf>
    <xf borderId="0" fillId="0" fontId="18" numFmtId="0" xfId="0" applyAlignment="1" applyFont="1">
      <alignment readingOrder="0"/>
    </xf>
    <xf borderId="1" fillId="6" fontId="3" numFmtId="0" xfId="0" applyAlignment="1" applyBorder="1" applyFont="1">
      <alignment horizontal="center" readingOrder="0" vertical="bottom"/>
    </xf>
    <xf borderId="1" fillId="6" fontId="3" numFmtId="165" xfId="0" applyAlignment="1" applyBorder="1" applyFont="1" applyNumberFormat="1">
      <alignment horizontal="center" readingOrder="0" vertical="bottom"/>
    </xf>
    <xf borderId="1" fillId="10" fontId="3" numFmtId="0" xfId="0" applyAlignment="1" applyBorder="1" applyFont="1">
      <alignment horizontal="center" readingOrder="0" vertical="bottom"/>
    </xf>
    <xf borderId="1" fillId="10" fontId="3" numFmtId="165" xfId="0" applyAlignment="1" applyBorder="1" applyFont="1" applyNumberFormat="1">
      <alignment horizontal="center" readingOrder="0" vertical="bottom"/>
    </xf>
    <xf borderId="1" fillId="10" fontId="3" numFmtId="164" xfId="0" applyAlignment="1" applyBorder="1" applyFont="1" applyNumberFormat="1">
      <alignment horizontal="center" vertical="bottom"/>
    </xf>
    <xf borderId="1" fillId="4" fontId="3" numFmtId="0" xfId="0" applyAlignment="1" applyBorder="1" applyFont="1">
      <alignment horizontal="center" readingOrder="0" vertical="bottom"/>
    </xf>
    <xf borderId="2" fillId="4" fontId="3" numFmtId="165" xfId="0" applyAlignment="1" applyBorder="1" applyFont="1" applyNumberFormat="1">
      <alignment horizontal="center" vertical="bottom"/>
    </xf>
    <xf borderId="1" fillId="4" fontId="9" numFmtId="165" xfId="0" applyAlignment="1" applyBorder="1" applyFont="1" applyNumberFormat="1">
      <alignment horizontal="center" readingOrder="0" vertical="bottom"/>
    </xf>
    <xf borderId="5" fillId="5" fontId="17" numFmtId="0" xfId="0" applyAlignment="1" applyBorder="1" applyFont="1">
      <alignment horizontal="center" readingOrder="0" vertical="bottom"/>
    </xf>
    <xf borderId="5" fillId="0" fontId="19" numFmtId="0" xfId="0" applyBorder="1" applyFont="1"/>
    <xf borderId="1" fillId="0" fontId="19" numFmtId="0" xfId="0" applyBorder="1" applyFont="1"/>
    <xf borderId="2" fillId="5" fontId="17" numFmtId="164" xfId="0" applyAlignment="1" applyBorder="1" applyFont="1" applyNumberFormat="1">
      <alignment horizontal="center" vertical="bottom"/>
    </xf>
    <xf borderId="6" fillId="0" fontId="20" numFmtId="0" xfId="0" applyAlignment="1" applyBorder="1" applyFont="1">
      <alignment horizontal="center" vertical="bottom"/>
    </xf>
    <xf borderId="2" fillId="0" fontId="1" numFmtId="0" xfId="0" applyAlignment="1" applyBorder="1" applyFont="1">
      <alignment vertical="bottom"/>
    </xf>
    <xf borderId="2" fillId="0" fontId="1" numFmtId="165" xfId="0" applyAlignment="1" applyBorder="1" applyFont="1" applyNumberFormat="1">
      <alignment vertical="bottom"/>
    </xf>
    <xf borderId="2" fillId="0" fontId="20" numFmtId="165" xfId="0" applyAlignment="1" applyBorder="1" applyFont="1" applyNumberFormat="1">
      <alignment horizontal="center" vertical="bottom"/>
    </xf>
    <xf borderId="2" fillId="0" fontId="17" numFmtId="164" xfId="0" applyAlignment="1" applyBorder="1" applyFont="1" applyNumberFormat="1">
      <alignment horizontal="center" vertical="bottom"/>
    </xf>
    <xf borderId="0" fillId="0" fontId="17" numFmtId="0" xfId="0" applyAlignment="1" applyFont="1">
      <alignment horizontal="center" vertical="bottom"/>
    </xf>
    <xf borderId="6" fillId="0" fontId="1" numFmtId="0" xfId="0" applyAlignment="1" applyBorder="1" applyFont="1">
      <alignment vertical="bottom"/>
    </xf>
    <xf borderId="1" fillId="4" fontId="2" numFmtId="0" xfId="0" applyAlignment="1" applyBorder="1" applyFont="1">
      <alignment horizontal="center" vertical="bottom"/>
    </xf>
    <xf borderId="4" fillId="6" fontId="2" numFmtId="0" xfId="0" applyAlignment="1" applyBorder="1" applyFont="1">
      <alignment horizontal="center" vertical="bottom"/>
    </xf>
    <xf borderId="1" fillId="5" fontId="2" numFmtId="165" xfId="0" applyAlignment="1" applyBorder="1" applyFont="1" applyNumberFormat="1">
      <alignment horizontal="center" readingOrder="0" vertical="bottom"/>
    </xf>
    <xf borderId="0" fillId="0" fontId="21" numFmtId="0" xfId="0" applyAlignment="1" applyFont="1">
      <alignment horizontal="center" readingOrder="0" vertical="bottom"/>
    </xf>
    <xf borderId="0" fillId="0" fontId="21" numFmtId="0" xfId="0" applyAlignment="1" applyFont="1">
      <alignment horizontal="center" vertical="bottom"/>
    </xf>
    <xf borderId="6" fillId="0" fontId="3" numFmtId="0" xfId="0" applyAlignment="1" applyBorder="1" applyFont="1">
      <alignment horizontal="center" vertical="bottom"/>
    </xf>
    <xf borderId="0" fillId="0" fontId="21" numFmtId="165" xfId="0" applyAlignment="1" applyFont="1" applyNumberFormat="1">
      <alignment horizontal="center" vertical="bottom"/>
    </xf>
    <xf borderId="6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 vertical="bottom"/>
    </xf>
    <xf borderId="1" fillId="3" fontId="3" numFmtId="165" xfId="0" applyAlignment="1" applyBorder="1" applyFont="1" applyNumberFormat="1">
      <alignment horizontal="center" vertical="bottom"/>
    </xf>
    <xf borderId="1" fillId="7" fontId="2" numFmtId="165" xfId="0" applyAlignment="1" applyBorder="1" applyFont="1" applyNumberFormat="1">
      <alignment horizontal="center" vertical="bottom"/>
    </xf>
    <xf borderId="1" fillId="4" fontId="1" numFmtId="165" xfId="0" applyAlignment="1" applyBorder="1" applyFont="1" applyNumberFormat="1">
      <alignment vertical="bottom"/>
    </xf>
    <xf borderId="1" fillId="11" fontId="2" numFmtId="0" xfId="0" applyAlignment="1" applyBorder="1" applyFont="1">
      <alignment horizontal="center" vertical="bottom"/>
    </xf>
    <xf borderId="6" fillId="11" fontId="2" numFmtId="0" xfId="0" applyAlignment="1" applyBorder="1" applyFont="1">
      <alignment horizontal="center" vertical="bottom"/>
    </xf>
    <xf borderId="6" fillId="11" fontId="11" numFmtId="0" xfId="0" applyAlignment="1" applyBorder="1" applyFont="1">
      <alignment horizontal="center" vertical="bottom"/>
    </xf>
    <xf borderId="6" fillId="11" fontId="3" numFmtId="0" xfId="0" applyAlignment="1" applyBorder="1" applyFont="1">
      <alignment horizontal="center" vertical="bottom"/>
    </xf>
    <xf borderId="6" fillId="11" fontId="3" numFmtId="0" xfId="0" applyAlignment="1" applyBorder="1" applyFont="1">
      <alignment horizontal="center" readingOrder="0" vertical="bottom"/>
    </xf>
    <xf borderId="1" fillId="11" fontId="2" numFmtId="0" xfId="0" applyAlignment="1" applyBorder="1" applyFont="1">
      <alignment horizontal="center" readingOrder="0" vertical="bottom"/>
    </xf>
    <xf borderId="1" fillId="13" fontId="2" numFmtId="0" xfId="0" applyAlignment="1" applyBorder="1" applyFill="1" applyFont="1">
      <alignment horizontal="center" vertical="bottom"/>
    </xf>
    <xf borderId="6" fillId="0" fontId="3" numFmtId="165" xfId="0" applyAlignment="1" applyBorder="1" applyFont="1" applyNumberFormat="1">
      <alignment horizontal="center" vertical="bottom"/>
    </xf>
    <xf borderId="6" fillId="0" fontId="9" numFmtId="165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13"/>
    <col customWidth="1" min="3" max="3" width="30.25"/>
    <col customWidth="1" min="4" max="4" width="25.88"/>
    <col customWidth="1" min="5" max="5" width="26.13"/>
    <col customWidth="1" min="6" max="6" width="25.38"/>
    <col customWidth="1" min="7" max="7" width="25.63"/>
    <col customWidth="1" min="8" max="8" width="25.88"/>
    <col customWidth="1" min="9" max="9" width="26.38"/>
    <col customWidth="1" min="11" max="11" width="24.88"/>
    <col customWidth="1" min="12" max="12" width="42.88"/>
    <col customWidth="1" min="13" max="13" width="38.63"/>
    <col customWidth="1" min="14" max="14" width="29.88"/>
    <col customWidth="1" min="15" max="15" width="39.63"/>
    <col customWidth="1" min="16" max="16" width="51.13"/>
    <col customWidth="1" min="17" max="17" width="37.88"/>
    <col customWidth="1" min="18" max="18" width="37.38"/>
    <col customWidth="1" min="19" max="19" width="38.88"/>
    <col customWidth="1" min="20" max="20" width="62.63"/>
  </cols>
  <sheetData>
    <row r="1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4"/>
      <c r="K1" s="5" t="s">
        <v>8</v>
      </c>
      <c r="L1" s="6" t="s">
        <v>9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>
      <c r="A2" s="7" t="s">
        <v>10</v>
      </c>
      <c r="B2" s="8">
        <v>45566.0</v>
      </c>
      <c r="C2" s="9">
        <v>39000.0</v>
      </c>
      <c r="D2" s="10">
        <v>85000.0</v>
      </c>
      <c r="E2" s="11"/>
      <c r="F2" s="11"/>
      <c r="G2" s="11"/>
      <c r="H2" s="11"/>
      <c r="I2" s="12">
        <v>1.0</v>
      </c>
      <c r="J2" s="13"/>
      <c r="K2" s="14"/>
      <c r="L2" s="9">
        <v>39000.0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>
      <c r="A3" s="7" t="s">
        <v>11</v>
      </c>
      <c r="B3" s="8">
        <v>45567.0</v>
      </c>
      <c r="C3" s="9">
        <v>55000.0</v>
      </c>
      <c r="D3" s="10">
        <v>35000.0</v>
      </c>
      <c r="E3" s="11"/>
      <c r="F3" s="11"/>
      <c r="G3" s="11"/>
      <c r="H3" s="11"/>
      <c r="I3" s="15">
        <v>1.0</v>
      </c>
      <c r="J3" s="13"/>
      <c r="K3" s="14"/>
      <c r="L3" s="9">
        <v>55000.0</v>
      </c>
      <c r="M3" s="16" t="s">
        <v>12</v>
      </c>
      <c r="N3" s="16" t="s">
        <v>13</v>
      </c>
      <c r="O3" s="17" t="s">
        <v>14</v>
      </c>
      <c r="P3" s="18" t="s">
        <v>15</v>
      </c>
      <c r="Q3" s="4"/>
      <c r="R3" s="4"/>
      <c r="S3" s="4"/>
      <c r="T3" s="4"/>
      <c r="U3" s="4"/>
      <c r="V3" s="4"/>
      <c r="W3" s="4"/>
    </row>
    <row r="4">
      <c r="A4" s="7" t="s">
        <v>16</v>
      </c>
      <c r="B4" s="8">
        <v>45568.0</v>
      </c>
      <c r="C4" s="9">
        <v>78000.0</v>
      </c>
      <c r="D4" s="10">
        <v>60000.0</v>
      </c>
      <c r="E4" s="11"/>
      <c r="F4" s="11"/>
      <c r="G4" s="11"/>
      <c r="H4" s="11"/>
      <c r="I4" s="15">
        <v>1.0</v>
      </c>
      <c r="J4" s="13"/>
      <c r="K4" s="14"/>
      <c r="L4" s="9">
        <v>78000.0</v>
      </c>
      <c r="M4" s="19">
        <f>H33/I33</f>
        <v>9212.819355</v>
      </c>
      <c r="N4" s="19">
        <f>D33/I33</f>
        <v>52258.06452</v>
      </c>
      <c r="O4" s="20"/>
      <c r="P4" s="21">
        <f>O4/N4</f>
        <v>0</v>
      </c>
      <c r="Q4" s="4"/>
      <c r="R4" s="4"/>
      <c r="S4" s="4"/>
      <c r="T4" s="4"/>
      <c r="U4" s="4"/>
      <c r="V4" s="4"/>
      <c r="W4" s="4"/>
    </row>
    <row r="5">
      <c r="A5" s="22" t="s">
        <v>17</v>
      </c>
      <c r="B5" s="23">
        <v>45569.0</v>
      </c>
      <c r="C5" s="24">
        <v>93000.0</v>
      </c>
      <c r="D5" s="25">
        <v>56000.0</v>
      </c>
      <c r="E5" s="26"/>
      <c r="F5" s="26"/>
      <c r="G5" s="26"/>
      <c r="H5" s="26"/>
      <c r="I5" s="27">
        <v>1.0</v>
      </c>
      <c r="J5" s="13"/>
      <c r="K5" s="14"/>
      <c r="L5" s="9">
        <v>93000.0</v>
      </c>
      <c r="M5" s="1"/>
      <c r="N5" s="1"/>
      <c r="O5" s="4"/>
      <c r="P5" s="28"/>
      <c r="Q5" s="4"/>
      <c r="R5" s="4"/>
      <c r="S5" s="4"/>
      <c r="T5" s="4"/>
      <c r="U5" s="4"/>
      <c r="V5" s="4"/>
      <c r="W5" s="4"/>
    </row>
    <row r="6">
      <c r="A6" s="7" t="s">
        <v>18</v>
      </c>
      <c r="B6" s="8">
        <v>45570.0</v>
      </c>
      <c r="C6" s="9">
        <v>40000.0</v>
      </c>
      <c r="D6" s="10">
        <v>85000.0</v>
      </c>
      <c r="E6" s="11"/>
      <c r="F6" s="11"/>
      <c r="G6" s="11"/>
      <c r="H6" s="11"/>
      <c r="I6" s="15">
        <v>1.0</v>
      </c>
      <c r="J6" s="13"/>
      <c r="K6" s="14"/>
      <c r="L6" s="9">
        <v>40000.0</v>
      </c>
      <c r="M6" s="29" t="s">
        <v>19</v>
      </c>
      <c r="N6" s="30" t="s">
        <v>20</v>
      </c>
      <c r="O6" s="4"/>
      <c r="P6" s="1"/>
      <c r="Q6" s="4"/>
      <c r="R6" s="4"/>
      <c r="S6" s="4"/>
      <c r="T6" s="4"/>
      <c r="U6" s="4"/>
      <c r="V6" s="4"/>
      <c r="W6" s="4"/>
    </row>
    <row r="7">
      <c r="A7" s="7" t="s">
        <v>21</v>
      </c>
      <c r="B7" s="8">
        <v>45571.0</v>
      </c>
      <c r="C7" s="9">
        <v>1000.0</v>
      </c>
      <c r="D7" s="10">
        <v>26000.0</v>
      </c>
      <c r="E7" s="11"/>
      <c r="F7" s="11"/>
      <c r="G7" s="11"/>
      <c r="H7" s="11"/>
      <c r="I7" s="15">
        <v>1.0</v>
      </c>
      <c r="J7" s="13"/>
      <c r="K7" s="14"/>
      <c r="L7" s="9">
        <v>1000.0</v>
      </c>
      <c r="M7" s="31">
        <f>E33/I33</f>
        <v>24086.07097</v>
      </c>
      <c r="N7" s="31">
        <v>100000.0</v>
      </c>
      <c r="O7" s="1"/>
      <c r="P7" s="1"/>
      <c r="Q7" s="4"/>
      <c r="R7" s="4"/>
      <c r="S7" s="4"/>
      <c r="T7" s="4"/>
      <c r="U7" s="4"/>
      <c r="V7" s="4"/>
      <c r="W7" s="4"/>
    </row>
    <row r="8">
      <c r="A8" s="7" t="s">
        <v>22</v>
      </c>
      <c r="B8" s="8">
        <v>45572.0</v>
      </c>
      <c r="C8" s="9">
        <v>39000.0</v>
      </c>
      <c r="D8" s="10">
        <v>32000.0</v>
      </c>
      <c r="E8" s="11"/>
      <c r="F8" s="11"/>
      <c r="G8" s="11"/>
      <c r="H8" s="11"/>
      <c r="I8" s="15">
        <v>1.0</v>
      </c>
      <c r="J8" s="13"/>
      <c r="K8" s="14"/>
      <c r="L8" s="9">
        <v>39000.0</v>
      </c>
      <c r="M8" s="1" t="s">
        <v>23</v>
      </c>
      <c r="N8" s="1"/>
      <c r="O8" s="1"/>
      <c r="P8" s="1"/>
      <c r="Q8" s="4"/>
      <c r="R8" s="4" t="s">
        <v>24</v>
      </c>
      <c r="S8" s="4"/>
      <c r="T8" s="4"/>
      <c r="U8" s="4"/>
      <c r="V8" s="4"/>
      <c r="W8" s="4"/>
    </row>
    <row r="9">
      <c r="A9" s="7" t="s">
        <v>25</v>
      </c>
      <c r="B9" s="8">
        <v>45573.0</v>
      </c>
      <c r="C9" s="9">
        <v>32000.0</v>
      </c>
      <c r="D9" s="10">
        <v>26000.0</v>
      </c>
      <c r="E9" s="11"/>
      <c r="F9" s="11"/>
      <c r="G9" s="11"/>
      <c r="H9" s="11"/>
      <c r="I9" s="15">
        <v>1.0</v>
      </c>
      <c r="J9" s="13"/>
      <c r="K9" s="14"/>
      <c r="L9" s="9">
        <v>32000.0</v>
      </c>
      <c r="M9" s="1"/>
      <c r="N9" s="1"/>
      <c r="O9" s="1"/>
      <c r="P9" s="1"/>
      <c r="Q9" s="4"/>
      <c r="R9" s="4"/>
      <c r="S9" s="4"/>
      <c r="T9" s="4"/>
      <c r="U9" s="4"/>
      <c r="V9" s="4"/>
      <c r="W9" s="4"/>
    </row>
    <row r="10">
      <c r="A10" s="7" t="s">
        <v>11</v>
      </c>
      <c r="B10" s="8">
        <v>45574.0</v>
      </c>
      <c r="C10" s="9">
        <v>33000.0</v>
      </c>
      <c r="D10" s="10">
        <v>28000.0</v>
      </c>
      <c r="E10" s="11"/>
      <c r="F10" s="11"/>
      <c r="G10" s="11"/>
      <c r="H10" s="11"/>
      <c r="I10" s="15">
        <v>1.0</v>
      </c>
      <c r="J10" s="13"/>
      <c r="K10" s="14"/>
      <c r="L10" s="9">
        <v>33000.0</v>
      </c>
      <c r="M10" s="32" t="s">
        <v>26</v>
      </c>
      <c r="N10" s="32" t="s">
        <v>27</v>
      </c>
      <c r="O10" s="33" t="s">
        <v>28</v>
      </c>
      <c r="P10" s="34" t="s">
        <v>29</v>
      </c>
      <c r="Q10" s="4"/>
      <c r="R10" s="4"/>
      <c r="S10" s="4"/>
      <c r="T10" s="4"/>
      <c r="U10" s="4"/>
      <c r="V10" s="4"/>
      <c r="W10" s="4"/>
    </row>
    <row r="11">
      <c r="A11" s="7" t="s">
        <v>16</v>
      </c>
      <c r="B11" s="8">
        <v>45575.0</v>
      </c>
      <c r="C11" s="10">
        <v>51000.0</v>
      </c>
      <c r="D11" s="10">
        <v>52000.0</v>
      </c>
      <c r="E11" s="11"/>
      <c r="F11" s="11"/>
      <c r="G11" s="11"/>
      <c r="H11" s="11"/>
      <c r="I11" s="15">
        <v>1.0</v>
      </c>
      <c r="J11" s="13"/>
      <c r="K11" s="14"/>
      <c r="L11" s="9">
        <v>51000.0</v>
      </c>
      <c r="M11" s="9">
        <f>M14+D33-E33-N11-Q19-Salaires!L39</f>
        <v>724331.8</v>
      </c>
      <c r="N11" s="35">
        <v>8000.0</v>
      </c>
      <c r="O11" s="36">
        <v>743000.0</v>
      </c>
      <c r="P11" s="31">
        <f>M11-O11</f>
        <v>-18668.2</v>
      </c>
      <c r="Q11" s="4"/>
      <c r="R11" s="4"/>
      <c r="S11" s="4"/>
      <c r="T11" s="4"/>
      <c r="U11" s="4"/>
      <c r="V11" s="4"/>
      <c r="W11" s="4"/>
    </row>
    <row r="12">
      <c r="A12" s="22" t="s">
        <v>17</v>
      </c>
      <c r="B12" s="23">
        <v>45576.0</v>
      </c>
      <c r="C12" s="25">
        <v>76000.0</v>
      </c>
      <c r="D12" s="25">
        <v>38000.0</v>
      </c>
      <c r="E12" s="26"/>
      <c r="F12" s="26"/>
      <c r="G12" s="26"/>
      <c r="H12" s="26"/>
      <c r="I12" s="27">
        <v>1.0</v>
      </c>
      <c r="J12" s="13"/>
      <c r="K12" s="14"/>
      <c r="L12" s="9">
        <v>76000.0</v>
      </c>
      <c r="M12" s="1"/>
      <c r="N12" s="1"/>
      <c r="O12" s="37"/>
      <c r="P12" s="37"/>
      <c r="Q12" s="4"/>
      <c r="R12" s="4"/>
      <c r="S12" s="4"/>
      <c r="T12" s="4"/>
      <c r="U12" s="4"/>
      <c r="V12" s="4"/>
      <c r="W12" s="4"/>
    </row>
    <row r="13">
      <c r="A13" s="7" t="s">
        <v>18</v>
      </c>
      <c r="B13" s="8">
        <v>45577.0</v>
      </c>
      <c r="C13" s="10">
        <v>129000.0</v>
      </c>
      <c r="D13" s="10">
        <v>40000.0</v>
      </c>
      <c r="E13" s="11"/>
      <c r="F13" s="11"/>
      <c r="G13" s="11"/>
      <c r="H13" s="11"/>
      <c r="I13" s="15">
        <v>1.0</v>
      </c>
      <c r="J13" s="13"/>
      <c r="K13" s="14"/>
      <c r="L13" s="9">
        <v>129000.0</v>
      </c>
      <c r="M13" s="33" t="s">
        <v>30</v>
      </c>
      <c r="N13" s="37"/>
      <c r="O13" s="4"/>
      <c r="P13" s="37"/>
      <c r="Q13" s="4"/>
      <c r="R13" s="4"/>
      <c r="S13" s="13"/>
      <c r="T13" s="4"/>
      <c r="U13" s="4"/>
      <c r="V13" s="4"/>
      <c r="W13" s="4"/>
    </row>
    <row r="14">
      <c r="A14" s="7" t="s">
        <v>21</v>
      </c>
      <c r="B14" s="8">
        <v>45578.0</v>
      </c>
      <c r="C14" s="10">
        <v>93000.0</v>
      </c>
      <c r="D14" s="10">
        <v>24000.0</v>
      </c>
      <c r="E14" s="11"/>
      <c r="F14" s="11"/>
      <c r="G14" s="11"/>
      <c r="H14" s="11"/>
      <c r="I14" s="15">
        <v>1.0</v>
      </c>
      <c r="J14" s="13"/>
      <c r="K14" s="14"/>
      <c r="L14" s="9">
        <v>93000.0</v>
      </c>
      <c r="M14" s="38">
        <v>330000.0</v>
      </c>
      <c r="N14" s="37"/>
      <c r="O14" s="4"/>
      <c r="P14" s="20"/>
      <c r="Q14" s="4"/>
      <c r="R14" s="4"/>
      <c r="S14" s="13"/>
      <c r="T14" s="4"/>
      <c r="U14" s="4"/>
      <c r="V14" s="4"/>
      <c r="W14" s="4"/>
    </row>
    <row r="15">
      <c r="A15" s="7" t="s">
        <v>22</v>
      </c>
      <c r="B15" s="8">
        <v>45579.0</v>
      </c>
      <c r="C15" s="10">
        <v>107000.0</v>
      </c>
      <c r="D15" s="10">
        <v>164000.0</v>
      </c>
      <c r="E15" s="11"/>
      <c r="F15" s="11"/>
      <c r="G15" s="11"/>
      <c r="H15" s="11"/>
      <c r="I15" s="15">
        <v>1.0</v>
      </c>
      <c r="J15" s="13"/>
      <c r="K15" s="14"/>
      <c r="L15" s="9">
        <v>107000.0</v>
      </c>
      <c r="M15" s="20"/>
      <c r="N15" s="20"/>
      <c r="O15" s="13"/>
      <c r="P15" s="4"/>
      <c r="Q15" s="39"/>
      <c r="R15" s="4"/>
      <c r="S15" s="13"/>
      <c r="T15" s="4"/>
      <c r="U15" s="4"/>
      <c r="V15" s="4"/>
      <c r="W15" s="4"/>
    </row>
    <row r="16">
      <c r="A16" s="7" t="s">
        <v>25</v>
      </c>
      <c r="B16" s="8">
        <v>45580.0</v>
      </c>
      <c r="C16" s="10">
        <v>129000.0</v>
      </c>
      <c r="D16" s="10">
        <v>21000.0</v>
      </c>
      <c r="E16" s="11"/>
      <c r="F16" s="11"/>
      <c r="G16" s="11"/>
      <c r="H16" s="11"/>
      <c r="I16" s="15">
        <v>1.0</v>
      </c>
      <c r="J16" s="13"/>
      <c r="K16" s="14"/>
      <c r="L16" s="9">
        <v>129000.0</v>
      </c>
      <c r="M16" s="36" t="s">
        <v>31</v>
      </c>
      <c r="N16" s="20"/>
      <c r="O16" s="20"/>
      <c r="P16" s="40" t="s">
        <v>32</v>
      </c>
      <c r="Q16" s="41" t="s">
        <v>33</v>
      </c>
      <c r="R16" s="4"/>
      <c r="S16" s="13"/>
      <c r="T16" s="4"/>
      <c r="U16" s="4"/>
      <c r="V16" s="4"/>
      <c r="W16" s="4"/>
    </row>
    <row r="17">
      <c r="A17" s="7" t="s">
        <v>11</v>
      </c>
      <c r="B17" s="8">
        <v>45581.0</v>
      </c>
      <c r="C17" s="10">
        <v>37000.0</v>
      </c>
      <c r="D17" s="10">
        <v>107000.0</v>
      </c>
      <c r="E17" s="11"/>
      <c r="F17" s="11"/>
      <c r="G17" s="11"/>
      <c r="H17" s="11"/>
      <c r="I17" s="15">
        <v>1.0</v>
      </c>
      <c r="J17" s="13"/>
      <c r="K17" s="14"/>
      <c r="L17" s="9">
        <v>37000.0</v>
      </c>
      <c r="M17" s="42">
        <v>0.0</v>
      </c>
      <c r="N17" s="20"/>
      <c r="O17" s="20"/>
      <c r="P17" s="43" t="s">
        <v>34</v>
      </c>
      <c r="Q17" s="4"/>
      <c r="R17" s="4"/>
      <c r="S17" s="13"/>
      <c r="T17" s="4"/>
      <c r="U17" s="4"/>
      <c r="V17" s="4"/>
      <c r="W17" s="4"/>
    </row>
    <row r="18">
      <c r="A18" s="7" t="s">
        <v>16</v>
      </c>
      <c r="B18" s="8">
        <v>45582.0</v>
      </c>
      <c r="C18" s="10">
        <v>54000.0</v>
      </c>
      <c r="D18" s="10">
        <v>65000.0</v>
      </c>
      <c r="E18" s="11"/>
      <c r="F18" s="11"/>
      <c r="G18" s="11"/>
      <c r="H18" s="11"/>
      <c r="I18" s="15">
        <v>1.0</v>
      </c>
      <c r="J18" s="13"/>
      <c r="K18" s="14"/>
      <c r="L18" s="9">
        <v>54000.0</v>
      </c>
      <c r="M18" s="44"/>
      <c r="N18" s="20"/>
      <c r="O18" s="45"/>
      <c r="P18" s="43"/>
      <c r="Q18" s="46">
        <v>45582.0</v>
      </c>
      <c r="R18" s="4"/>
      <c r="S18" s="13"/>
      <c r="T18" s="4"/>
      <c r="U18" s="4"/>
      <c r="V18" s="4"/>
      <c r="W18" s="4"/>
    </row>
    <row r="19">
      <c r="A19" s="22" t="s">
        <v>17</v>
      </c>
      <c r="B19" s="23">
        <v>45583.0</v>
      </c>
      <c r="C19" s="25">
        <v>23000.0</v>
      </c>
      <c r="D19" s="25">
        <v>60000.0</v>
      </c>
      <c r="E19" s="26"/>
      <c r="F19" s="26"/>
      <c r="G19" s="26"/>
      <c r="H19" s="26"/>
      <c r="I19" s="27">
        <v>1.0</v>
      </c>
      <c r="J19" s="13"/>
      <c r="K19" s="14"/>
      <c r="L19" s="9">
        <v>23000.0</v>
      </c>
      <c r="M19" s="47" t="s">
        <v>35</v>
      </c>
      <c r="N19" s="20"/>
      <c r="O19" s="20"/>
      <c r="P19" s="48" t="s">
        <v>36</v>
      </c>
      <c r="Q19" s="49">
        <v>30000.0</v>
      </c>
      <c r="R19" s="4"/>
      <c r="S19" s="13"/>
      <c r="T19" s="4"/>
      <c r="U19" s="4"/>
      <c r="V19" s="4"/>
      <c r="W19" s="4"/>
    </row>
    <row r="20">
      <c r="A20" s="7" t="s">
        <v>18</v>
      </c>
      <c r="B20" s="8">
        <v>45584.0</v>
      </c>
      <c r="C20" s="10">
        <v>54000.0</v>
      </c>
      <c r="D20" s="10">
        <v>23000.0</v>
      </c>
      <c r="E20" s="11"/>
      <c r="F20" s="11"/>
      <c r="G20" s="11"/>
      <c r="H20" s="11"/>
      <c r="I20" s="15">
        <v>1.0</v>
      </c>
      <c r="J20" s="13"/>
      <c r="K20" s="14"/>
      <c r="L20" s="9">
        <v>54000.0</v>
      </c>
      <c r="M20" s="9">
        <f>D33-C33</f>
        <v>-120000</v>
      </c>
      <c r="N20" s="20"/>
      <c r="O20" s="4"/>
      <c r="P20" s="45"/>
      <c r="Q20" s="4"/>
      <c r="R20" s="4"/>
      <c r="S20" s="13"/>
      <c r="T20" s="4"/>
      <c r="U20" s="4"/>
      <c r="V20" s="4"/>
      <c r="W20" s="4"/>
    </row>
    <row r="21">
      <c r="A21" s="7" t="s">
        <v>21</v>
      </c>
      <c r="B21" s="8">
        <v>45585.0</v>
      </c>
      <c r="C21" s="10">
        <v>50000.0</v>
      </c>
      <c r="D21" s="10">
        <v>28000.0</v>
      </c>
      <c r="E21" s="11"/>
      <c r="F21" s="11"/>
      <c r="G21" s="11"/>
      <c r="H21" s="11"/>
      <c r="I21" s="15">
        <v>1.0</v>
      </c>
      <c r="J21" s="13"/>
      <c r="K21" s="14"/>
      <c r="L21" s="9">
        <v>50000.0</v>
      </c>
      <c r="M21" s="50" t="s">
        <v>37</v>
      </c>
      <c r="N21" s="51"/>
      <c r="O21" s="12" t="s">
        <v>38</v>
      </c>
      <c r="P21" s="9">
        <v>1.0</v>
      </c>
      <c r="Q21" s="9">
        <v>8800.0</v>
      </c>
      <c r="R21" s="9">
        <f>P21*Q21</f>
        <v>8800</v>
      </c>
      <c r="S21" s="13"/>
      <c r="T21" s="4"/>
      <c r="U21" s="4"/>
      <c r="V21" s="4"/>
      <c r="W21" s="4"/>
    </row>
    <row r="22">
      <c r="A22" s="7" t="s">
        <v>22</v>
      </c>
      <c r="B22" s="8">
        <v>45586.0</v>
      </c>
      <c r="C22" s="10">
        <v>46000.0</v>
      </c>
      <c r="D22" s="10">
        <v>40000.0</v>
      </c>
      <c r="E22" s="11"/>
      <c r="F22" s="11"/>
      <c r="G22" s="11"/>
      <c r="H22" s="11"/>
      <c r="I22" s="15">
        <v>1.0</v>
      </c>
      <c r="J22" s="13"/>
      <c r="K22" s="14"/>
      <c r="L22" s="9">
        <v>46000.0</v>
      </c>
      <c r="M22" s="31">
        <f>K36-E36</f>
        <v>0</v>
      </c>
      <c r="N22" s="51"/>
      <c r="O22" s="12" t="s">
        <v>39</v>
      </c>
      <c r="P22" s="9">
        <v>4.0</v>
      </c>
      <c r="Q22" s="9">
        <v>400.0</v>
      </c>
      <c r="R22" s="9">
        <v>600.0</v>
      </c>
      <c r="S22" s="13"/>
      <c r="T22" s="4"/>
      <c r="U22" s="4"/>
      <c r="V22" s="4"/>
      <c r="W22" s="4"/>
    </row>
    <row r="23">
      <c r="A23" s="7" t="s">
        <v>25</v>
      </c>
      <c r="B23" s="8">
        <v>45587.0</v>
      </c>
      <c r="C23" s="10">
        <v>43000.0</v>
      </c>
      <c r="D23" s="10">
        <v>37000.0</v>
      </c>
      <c r="E23" s="11"/>
      <c r="F23" s="11"/>
      <c r="G23" s="11"/>
      <c r="H23" s="11"/>
      <c r="I23" s="15">
        <v>1.0</v>
      </c>
      <c r="J23" s="13"/>
      <c r="K23" s="14"/>
      <c r="L23" s="9">
        <v>43000.0</v>
      </c>
      <c r="M23" s="52" t="s">
        <v>40</v>
      </c>
      <c r="N23" s="51"/>
      <c r="O23" s="12" t="s">
        <v>41</v>
      </c>
      <c r="P23" s="9">
        <v>1.0</v>
      </c>
      <c r="Q23" s="9">
        <v>2800.0</v>
      </c>
      <c r="R23" s="9">
        <f>P23*Q23</f>
        <v>2800</v>
      </c>
      <c r="S23" s="13"/>
      <c r="T23" s="4"/>
      <c r="U23" s="4"/>
      <c r="V23" s="4"/>
      <c r="W23" s="4"/>
    </row>
    <row r="24">
      <c r="A24" s="7" t="s">
        <v>11</v>
      </c>
      <c r="B24" s="8">
        <v>45588.0</v>
      </c>
      <c r="C24" s="10">
        <v>40000.0</v>
      </c>
      <c r="D24" s="10">
        <v>47000.0</v>
      </c>
      <c r="E24" s="11"/>
      <c r="F24" s="11"/>
      <c r="G24" s="11"/>
      <c r="H24" s="11"/>
      <c r="I24" s="15">
        <v>1.0</v>
      </c>
      <c r="J24" s="13"/>
      <c r="K24" s="14"/>
      <c r="L24" s="9">
        <v>40000.0</v>
      </c>
      <c r="M24" s="38">
        <f>D33-C33</f>
        <v>-120000</v>
      </c>
      <c r="N24" s="20"/>
      <c r="O24" s="53"/>
      <c r="P24" s="54"/>
      <c r="Q24" s="55" t="s">
        <v>42</v>
      </c>
      <c r="R24" s="55">
        <v>1.0</v>
      </c>
      <c r="S24" s="56">
        <v>1800.0</v>
      </c>
      <c r="T24" s="57">
        <f>R24*S24</f>
        <v>1800</v>
      </c>
      <c r="U24" s="4"/>
      <c r="V24" s="4"/>
      <c r="W24" s="4"/>
    </row>
    <row r="25">
      <c r="A25" s="7" t="s">
        <v>16</v>
      </c>
      <c r="B25" s="8">
        <v>45589.0</v>
      </c>
      <c r="C25" s="10">
        <v>40000.0</v>
      </c>
      <c r="D25" s="10">
        <v>43000.0</v>
      </c>
      <c r="E25" s="11"/>
      <c r="F25" s="11"/>
      <c r="G25" s="11"/>
      <c r="H25" s="11"/>
      <c r="I25" s="15">
        <v>1.0</v>
      </c>
      <c r="J25" s="13"/>
      <c r="K25" s="14"/>
      <c r="L25" s="9">
        <v>40000.0</v>
      </c>
      <c r="M25" s="33" t="s">
        <v>43</v>
      </c>
      <c r="N25" s="51"/>
      <c r="O25" s="58" t="s">
        <v>44</v>
      </c>
      <c r="P25" s="37"/>
      <c r="Q25" s="59"/>
      <c r="R25" s="59"/>
      <c r="S25" s="60"/>
      <c r="T25" s="61"/>
      <c r="U25" s="4"/>
      <c r="V25" s="4"/>
      <c r="W25" s="4"/>
    </row>
    <row r="26">
      <c r="A26" s="22" t="s">
        <v>17</v>
      </c>
      <c r="B26" s="23">
        <v>45590.0</v>
      </c>
      <c r="C26" s="25">
        <v>170000.0</v>
      </c>
      <c r="D26" s="25">
        <v>104000.0</v>
      </c>
      <c r="E26" s="26"/>
      <c r="F26" s="26"/>
      <c r="G26" s="26"/>
      <c r="H26" s="26"/>
      <c r="I26" s="27">
        <v>1.0</v>
      </c>
      <c r="J26" s="13"/>
      <c r="K26" s="14"/>
      <c r="L26" s="9">
        <v>170000.0</v>
      </c>
      <c r="M26" s="31">
        <f>D9+D16+D23+D30</f>
        <v>127000</v>
      </c>
      <c r="N26" s="62"/>
      <c r="O26" s="11"/>
      <c r="P26" s="14"/>
      <c r="Q26" s="55" t="s">
        <v>45</v>
      </c>
      <c r="R26" s="55">
        <v>1.0</v>
      </c>
      <c r="S26" s="56">
        <v>21000.0</v>
      </c>
      <c r="T26" s="57">
        <f>R26*S26</f>
        <v>21000</v>
      </c>
      <c r="U26" s="4"/>
      <c r="V26" s="4"/>
      <c r="W26" s="4"/>
    </row>
    <row r="27">
      <c r="A27" s="7" t="s">
        <v>18</v>
      </c>
      <c r="B27" s="8">
        <v>45591.0</v>
      </c>
      <c r="C27" s="10">
        <v>73000.0</v>
      </c>
      <c r="D27" s="10">
        <v>59000.0</v>
      </c>
      <c r="E27" s="11"/>
      <c r="F27" s="11"/>
      <c r="G27" s="11"/>
      <c r="H27" s="11"/>
      <c r="I27" s="15">
        <v>1.0</v>
      </c>
      <c r="J27" s="13"/>
      <c r="K27" s="14"/>
      <c r="L27" s="9">
        <v>73000.0</v>
      </c>
      <c r="M27" s="37"/>
      <c r="N27" s="62"/>
      <c r="O27" s="11"/>
      <c r="P27" s="14"/>
      <c r="Q27" s="4"/>
      <c r="R27" s="4"/>
      <c r="S27" s="4"/>
      <c r="T27" s="4"/>
      <c r="U27" s="4"/>
      <c r="V27" s="4"/>
      <c r="W27" s="4"/>
    </row>
    <row r="28">
      <c r="A28" s="7" t="s">
        <v>21</v>
      </c>
      <c r="B28" s="8">
        <v>45592.0</v>
      </c>
      <c r="C28" s="10">
        <v>22000.0</v>
      </c>
      <c r="D28" s="10">
        <v>53000.0</v>
      </c>
      <c r="E28" s="11"/>
      <c r="F28" s="11"/>
      <c r="G28" s="11"/>
      <c r="H28" s="11"/>
      <c r="I28" s="15">
        <v>1.0</v>
      </c>
      <c r="J28" s="13"/>
      <c r="K28" s="14"/>
      <c r="L28" s="9">
        <v>22000.0</v>
      </c>
      <c r="M28" s="29" t="s">
        <v>28</v>
      </c>
      <c r="N28" s="62"/>
      <c r="O28" s="11"/>
      <c r="P28" s="14"/>
      <c r="Q28" s="4"/>
      <c r="R28" s="4"/>
      <c r="S28" s="4"/>
      <c r="T28" s="4"/>
      <c r="U28" s="4"/>
      <c r="V28" s="4"/>
      <c r="W28" s="4"/>
    </row>
    <row r="29">
      <c r="A29" s="7" t="s">
        <v>22</v>
      </c>
      <c r="B29" s="8">
        <v>45593.0</v>
      </c>
      <c r="C29" s="10">
        <v>24000.0</v>
      </c>
      <c r="D29" s="10">
        <v>38000.0</v>
      </c>
      <c r="E29" s="11"/>
      <c r="F29" s="11"/>
      <c r="G29" s="11"/>
      <c r="H29" s="11"/>
      <c r="I29" s="15">
        <v>1.0</v>
      </c>
      <c r="J29" s="13"/>
      <c r="K29" s="14"/>
      <c r="L29" s="9">
        <v>24000.0</v>
      </c>
      <c r="M29" s="31">
        <v>51000.0</v>
      </c>
      <c r="N29" s="51"/>
      <c r="O29" s="11"/>
      <c r="P29" s="14"/>
      <c r="Q29" s="4"/>
      <c r="R29" s="4"/>
      <c r="S29" s="4"/>
      <c r="T29" s="4"/>
      <c r="U29" s="4"/>
      <c r="V29" s="4"/>
      <c r="W29" s="4"/>
    </row>
    <row r="30">
      <c r="A30" s="7" t="s">
        <v>25</v>
      </c>
      <c r="B30" s="8">
        <v>45594.0</v>
      </c>
      <c r="C30" s="10">
        <v>39000.0</v>
      </c>
      <c r="D30" s="10">
        <v>43000.0</v>
      </c>
      <c r="E30" s="11"/>
      <c r="F30" s="11"/>
      <c r="G30" s="11"/>
      <c r="H30" s="11"/>
      <c r="I30" s="15">
        <v>1.0</v>
      </c>
      <c r="J30" s="13"/>
      <c r="K30" s="14"/>
      <c r="L30" s="9">
        <v>39000.0</v>
      </c>
      <c r="M30" s="63" t="s">
        <v>46</v>
      </c>
      <c r="N30" s="62"/>
      <c r="O30" s="11"/>
      <c r="P30" s="14"/>
      <c r="Q30" s="4"/>
      <c r="R30" s="4"/>
      <c r="S30" s="4"/>
      <c r="T30" s="4"/>
      <c r="U30" s="4"/>
      <c r="V30" s="4"/>
      <c r="W30" s="4"/>
    </row>
    <row r="31">
      <c r="A31" s="7" t="s">
        <v>11</v>
      </c>
      <c r="B31" s="8">
        <v>45595.0</v>
      </c>
      <c r="C31" s="10">
        <v>30000.0</v>
      </c>
      <c r="D31" s="10">
        <v>49000.0</v>
      </c>
      <c r="E31" s="11"/>
      <c r="F31" s="11"/>
      <c r="G31" s="11"/>
      <c r="H31" s="11"/>
      <c r="I31" s="15">
        <v>1.0</v>
      </c>
      <c r="J31" s="13"/>
      <c r="K31" s="14"/>
      <c r="L31" s="9">
        <v>30000.0</v>
      </c>
      <c r="M31" s="37"/>
      <c r="N31" s="62"/>
      <c r="O31" s="14"/>
      <c r="P31" s="11"/>
      <c r="Q31" s="4"/>
      <c r="R31" s="4"/>
      <c r="S31" s="4"/>
      <c r="T31" s="4"/>
      <c r="U31" s="4"/>
      <c r="V31" s="4"/>
      <c r="W31" s="4"/>
    </row>
    <row r="32">
      <c r="A32" s="7" t="s">
        <v>16</v>
      </c>
      <c r="B32" s="8">
        <v>45596.0</v>
      </c>
      <c r="C32" s="64">
        <v>0.0</v>
      </c>
      <c r="D32" s="65">
        <v>52000.0</v>
      </c>
      <c r="E32" s="11"/>
      <c r="F32" s="11"/>
      <c r="G32" s="11"/>
      <c r="H32" s="11"/>
      <c r="I32" s="15">
        <v>1.0</v>
      </c>
      <c r="J32" s="13"/>
      <c r="K32" s="14"/>
      <c r="L32" s="66">
        <v>0.0</v>
      </c>
      <c r="M32" s="37"/>
      <c r="N32" s="62"/>
      <c r="O32" s="37"/>
      <c r="P32" s="67">
        <f>SUM(P26:P31)</f>
        <v>0</v>
      </c>
      <c r="Q32" s="4"/>
      <c r="R32" s="4"/>
      <c r="S32" s="4"/>
      <c r="T32" s="4"/>
      <c r="U32" s="4"/>
      <c r="V32" s="4"/>
      <c r="W32" s="4"/>
    </row>
    <row r="33">
      <c r="A33" s="4"/>
      <c r="B33" s="68"/>
      <c r="C33" s="69">
        <f t="shared" ref="C33:D33" si="1">SUM(C2:C32)</f>
        <v>1740000</v>
      </c>
      <c r="D33" s="69">
        <f t="shared" si="1"/>
        <v>1620000</v>
      </c>
      <c r="E33" s="69">
        <f>'Les Charges '!J466</f>
        <v>746668.2</v>
      </c>
      <c r="F33" s="69">
        <f>Salaires!K39</f>
        <v>437734.4</v>
      </c>
      <c r="G33" s="69">
        <v>150000.0</v>
      </c>
      <c r="H33" s="69">
        <f>D33-E33-F33-G33</f>
        <v>285597.4</v>
      </c>
      <c r="I33" s="70">
        <f>SUM(I2:I32)</f>
        <v>31</v>
      </c>
      <c r="J33" s="4"/>
      <c r="K33" s="14"/>
      <c r="L33" s="71">
        <f>SUM(L2:L32)</f>
        <v>1740000</v>
      </c>
      <c r="M33" s="37"/>
      <c r="N33" s="20"/>
      <c r="O33" s="20"/>
      <c r="P33" s="20"/>
      <c r="Q33" s="4"/>
      <c r="R33" s="4"/>
      <c r="S33" s="4"/>
      <c r="T33" s="4"/>
      <c r="U33" s="4"/>
      <c r="V33" s="4"/>
      <c r="W33" s="4"/>
    </row>
    <row r="34">
      <c r="A34" s="4"/>
      <c r="B34" s="72"/>
      <c r="C34" s="20"/>
      <c r="D34" s="20"/>
      <c r="E34" s="4"/>
      <c r="F34" s="4"/>
      <c r="G34" s="4"/>
      <c r="H34" s="4"/>
      <c r="I34" s="4"/>
      <c r="J34" s="4"/>
      <c r="K34" s="20"/>
      <c r="L34" s="20"/>
      <c r="M34" s="37"/>
      <c r="N34" s="20"/>
      <c r="O34" s="20"/>
      <c r="P34" s="4"/>
      <c r="Q34" s="4"/>
      <c r="R34" s="4"/>
      <c r="S34" s="4"/>
      <c r="T34" s="4"/>
      <c r="U34" s="4"/>
      <c r="V34" s="4"/>
      <c r="W34" s="4"/>
    </row>
    <row r="35">
      <c r="A35" s="4"/>
      <c r="B35" s="72"/>
      <c r="C35" s="20"/>
      <c r="D35" s="20"/>
      <c r="E35" s="20"/>
      <c r="F35" s="20"/>
      <c r="G35" s="20"/>
      <c r="H35" s="20"/>
      <c r="I35" s="4"/>
      <c r="J35" s="4"/>
      <c r="K35" s="20"/>
      <c r="L35" s="20"/>
      <c r="M35" s="31">
        <f>M11-M29-M34</f>
        <v>673331.8</v>
      </c>
      <c r="N35" s="4"/>
      <c r="O35" s="20"/>
      <c r="P35" s="4"/>
      <c r="Q35" s="4"/>
      <c r="R35" s="4"/>
      <c r="S35" s="4"/>
      <c r="T35" s="4"/>
      <c r="U35" s="4"/>
      <c r="V35" s="4"/>
      <c r="W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 t="s">
        <v>47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25.38"/>
    <col customWidth="1" min="3" max="5" width="19.13"/>
    <col customWidth="1" min="6" max="6" width="19.38"/>
    <col customWidth="1" min="7" max="7" width="19.13"/>
    <col customWidth="1" min="8" max="8" width="20.13"/>
    <col customWidth="1" min="9" max="9" width="19.13"/>
    <col customWidth="1" min="10" max="10" width="18.88"/>
    <col customWidth="1" min="11" max="11" width="19.38"/>
    <col customWidth="1" min="12" max="12" width="19.88"/>
    <col customWidth="1" min="13" max="13" width="21.63"/>
    <col customWidth="1" min="14" max="14" width="20.13"/>
    <col customWidth="1" min="15" max="16" width="19.88"/>
    <col customWidth="1" min="17" max="17" width="20.13"/>
    <col customWidth="1" min="18" max="18" width="19.38"/>
    <col customWidth="1" min="19" max="20" width="19.63"/>
    <col customWidth="1" min="21" max="21" width="51.63"/>
  </cols>
  <sheetData>
    <row r="1">
      <c r="A1" s="1"/>
      <c r="B1" s="2" t="s">
        <v>0</v>
      </c>
      <c r="C1" s="73" t="s">
        <v>48</v>
      </c>
      <c r="D1" s="74" t="s">
        <v>49</v>
      </c>
      <c r="E1" s="75" t="s">
        <v>50</v>
      </c>
      <c r="F1" s="75" t="s">
        <v>51</v>
      </c>
      <c r="G1" s="75" t="s">
        <v>52</v>
      </c>
      <c r="H1" s="75" t="s">
        <v>53</v>
      </c>
      <c r="I1" s="75" t="s">
        <v>54</v>
      </c>
      <c r="J1" s="75" t="s">
        <v>55</v>
      </c>
      <c r="K1" s="75" t="s">
        <v>56</v>
      </c>
      <c r="L1" s="75" t="s">
        <v>57</v>
      </c>
      <c r="M1" s="75" t="s">
        <v>58</v>
      </c>
      <c r="N1" s="75" t="s">
        <v>59</v>
      </c>
      <c r="O1" s="75" t="s">
        <v>60</v>
      </c>
      <c r="P1" s="75" t="s">
        <v>61</v>
      </c>
      <c r="Q1" s="75" t="s">
        <v>62</v>
      </c>
      <c r="R1" s="76" t="s">
        <v>63</v>
      </c>
      <c r="S1" s="76" t="s">
        <v>64</v>
      </c>
      <c r="T1" s="76" t="s">
        <v>65</v>
      </c>
      <c r="U1" s="77" t="s">
        <v>66</v>
      </c>
      <c r="V1" s="78"/>
      <c r="W1" s="78"/>
    </row>
    <row r="2">
      <c r="A2" s="7" t="s">
        <v>10</v>
      </c>
      <c r="B2" s="8">
        <v>45566.0</v>
      </c>
      <c r="C2" s="7">
        <v>0.0</v>
      </c>
      <c r="D2" s="15">
        <v>0.0</v>
      </c>
      <c r="E2" s="15">
        <v>1.0</v>
      </c>
      <c r="F2" s="15">
        <v>1.0</v>
      </c>
      <c r="G2" s="15">
        <v>1.0</v>
      </c>
      <c r="H2" s="15">
        <v>1.2</v>
      </c>
      <c r="I2" s="15">
        <v>1.1</v>
      </c>
      <c r="J2" s="15">
        <v>0.0</v>
      </c>
      <c r="K2" s="15">
        <v>1.0</v>
      </c>
      <c r="L2" s="15">
        <v>1.2</v>
      </c>
      <c r="M2" s="15">
        <v>0.0</v>
      </c>
      <c r="N2" s="15">
        <v>1.0</v>
      </c>
      <c r="O2" s="15">
        <v>1.0</v>
      </c>
      <c r="P2" s="15">
        <v>1.0</v>
      </c>
      <c r="Q2" s="15">
        <v>1.0</v>
      </c>
      <c r="R2" s="15">
        <v>0.0</v>
      </c>
      <c r="S2" s="15">
        <v>0.0</v>
      </c>
      <c r="T2" s="15">
        <v>0.0</v>
      </c>
      <c r="U2" s="11"/>
      <c r="V2" s="13"/>
      <c r="W2" s="13"/>
    </row>
    <row r="3">
      <c r="A3" s="7" t="s">
        <v>11</v>
      </c>
      <c r="B3" s="8">
        <v>45567.0</v>
      </c>
      <c r="C3" s="7">
        <v>0.0</v>
      </c>
      <c r="D3" s="15">
        <v>1.0</v>
      </c>
      <c r="E3" s="15">
        <v>1.0</v>
      </c>
      <c r="F3" s="15">
        <v>1.0</v>
      </c>
      <c r="G3" s="15">
        <v>1.0</v>
      </c>
      <c r="H3" s="15">
        <v>0.0</v>
      </c>
      <c r="I3" s="15">
        <v>0.0</v>
      </c>
      <c r="J3" s="15">
        <v>1.0</v>
      </c>
      <c r="K3" s="15">
        <v>1.0</v>
      </c>
      <c r="L3" s="15">
        <v>1.0</v>
      </c>
      <c r="M3" s="15">
        <v>1.0</v>
      </c>
      <c r="N3" s="15">
        <v>1.0</v>
      </c>
      <c r="O3" s="15">
        <v>1.0</v>
      </c>
      <c r="P3" s="15">
        <v>1.0</v>
      </c>
      <c r="Q3" s="15">
        <v>1.0</v>
      </c>
      <c r="R3" s="15">
        <v>0.0</v>
      </c>
      <c r="S3" s="15">
        <v>0.0</v>
      </c>
      <c r="T3" s="15">
        <v>0.0</v>
      </c>
      <c r="U3" s="11"/>
      <c r="V3" s="13"/>
      <c r="W3" s="13"/>
    </row>
    <row r="4">
      <c r="A4" s="7" t="s">
        <v>16</v>
      </c>
      <c r="B4" s="8">
        <v>45568.0</v>
      </c>
      <c r="C4" s="7">
        <v>0.0</v>
      </c>
      <c r="D4" s="15">
        <v>1.0</v>
      </c>
      <c r="E4" s="15">
        <v>1.0</v>
      </c>
      <c r="F4" s="15">
        <v>1.0</v>
      </c>
      <c r="G4" s="15">
        <v>1.0</v>
      </c>
      <c r="H4" s="15">
        <v>1.0</v>
      </c>
      <c r="I4" s="15">
        <v>1.0</v>
      </c>
      <c r="J4" s="15">
        <v>1.0</v>
      </c>
      <c r="K4" s="15">
        <v>1.0</v>
      </c>
      <c r="L4" s="15">
        <v>0.0</v>
      </c>
      <c r="M4" s="15">
        <v>0.0</v>
      </c>
      <c r="N4" s="15">
        <v>1.0</v>
      </c>
      <c r="O4" s="15">
        <v>1.0</v>
      </c>
      <c r="P4" s="15">
        <v>0.0</v>
      </c>
      <c r="Q4" s="15">
        <v>1.0</v>
      </c>
      <c r="R4" s="15">
        <v>0.0</v>
      </c>
      <c r="S4" s="15">
        <v>0.0</v>
      </c>
      <c r="T4" s="15">
        <v>0.0</v>
      </c>
      <c r="U4" s="79"/>
      <c r="V4" s="13"/>
      <c r="W4" s="13"/>
    </row>
    <row r="5">
      <c r="A5" s="22" t="s">
        <v>17</v>
      </c>
      <c r="B5" s="23">
        <v>45569.0</v>
      </c>
      <c r="C5" s="22">
        <v>0.0</v>
      </c>
      <c r="D5" s="27">
        <v>1.0</v>
      </c>
      <c r="E5" s="27">
        <v>0.0</v>
      </c>
      <c r="F5" s="27">
        <v>0.0</v>
      </c>
      <c r="G5" s="27">
        <v>0.0</v>
      </c>
      <c r="H5" s="27">
        <v>0.0</v>
      </c>
      <c r="I5" s="27">
        <v>0.0</v>
      </c>
      <c r="J5" s="27">
        <v>1.0</v>
      </c>
      <c r="K5" s="27">
        <v>1.0</v>
      </c>
      <c r="L5" s="27">
        <v>0.0</v>
      </c>
      <c r="M5" s="27">
        <v>1.0</v>
      </c>
      <c r="N5" s="27">
        <v>1.0</v>
      </c>
      <c r="O5" s="27">
        <v>1.0</v>
      </c>
      <c r="P5" s="27">
        <v>0.0</v>
      </c>
      <c r="Q5" s="27">
        <v>1.0</v>
      </c>
      <c r="R5" s="27">
        <v>0.0</v>
      </c>
      <c r="S5" s="27">
        <v>0.0</v>
      </c>
      <c r="T5" s="27">
        <v>0.0</v>
      </c>
      <c r="U5" s="26"/>
      <c r="V5" s="80"/>
      <c r="W5" s="13"/>
    </row>
    <row r="6">
      <c r="A6" s="7" t="s">
        <v>18</v>
      </c>
      <c r="B6" s="8">
        <v>45570.0</v>
      </c>
      <c r="C6" s="7">
        <v>0.0</v>
      </c>
      <c r="D6" s="15">
        <v>1.0</v>
      </c>
      <c r="E6" s="15">
        <v>1.0</v>
      </c>
      <c r="F6" s="15">
        <v>1.0</v>
      </c>
      <c r="G6" s="15">
        <v>1.0</v>
      </c>
      <c r="H6" s="15">
        <v>0.0</v>
      </c>
      <c r="I6" s="15">
        <v>1.0</v>
      </c>
      <c r="J6" s="81">
        <v>0.0</v>
      </c>
      <c r="K6" s="15">
        <v>1.0</v>
      </c>
      <c r="L6" s="15">
        <v>1.0</v>
      </c>
      <c r="M6" s="15">
        <v>0.0</v>
      </c>
      <c r="N6" s="15">
        <v>1.1</v>
      </c>
      <c r="O6" s="15">
        <v>1.1</v>
      </c>
      <c r="P6" s="15">
        <v>1.0</v>
      </c>
      <c r="Q6" s="15">
        <v>1.0</v>
      </c>
      <c r="R6" s="15">
        <v>0.0</v>
      </c>
      <c r="S6" s="15">
        <v>0.0</v>
      </c>
      <c r="T6" s="15">
        <v>0.0</v>
      </c>
      <c r="U6" s="11"/>
      <c r="V6" s="13"/>
      <c r="W6" s="13"/>
    </row>
    <row r="7">
      <c r="A7" s="7" t="s">
        <v>21</v>
      </c>
      <c r="B7" s="8">
        <v>45571.0</v>
      </c>
      <c r="C7" s="7">
        <v>0.0</v>
      </c>
      <c r="D7" s="15">
        <v>1.0</v>
      </c>
      <c r="E7" s="15">
        <v>0.0</v>
      </c>
      <c r="F7" s="15">
        <v>0.0</v>
      </c>
      <c r="G7" s="15">
        <v>1.0</v>
      </c>
      <c r="H7" s="15">
        <v>1.0</v>
      </c>
      <c r="I7" s="15">
        <v>1.0</v>
      </c>
      <c r="J7" s="81">
        <v>0.0</v>
      </c>
      <c r="K7" s="15">
        <v>0.0</v>
      </c>
      <c r="L7" s="15">
        <v>1.2</v>
      </c>
      <c r="M7" s="15">
        <v>1.0</v>
      </c>
      <c r="N7" s="15">
        <v>0.0</v>
      </c>
      <c r="O7" s="15">
        <v>0.0</v>
      </c>
      <c r="P7" s="15">
        <v>0.0</v>
      </c>
      <c r="Q7" s="15">
        <v>1.0</v>
      </c>
      <c r="R7" s="15">
        <v>0.0</v>
      </c>
      <c r="S7" s="15">
        <v>0.0</v>
      </c>
      <c r="T7" s="15">
        <v>0.0</v>
      </c>
      <c r="U7" s="11"/>
      <c r="V7" s="13"/>
      <c r="W7" s="13"/>
    </row>
    <row r="8">
      <c r="A8" s="7" t="s">
        <v>22</v>
      </c>
      <c r="B8" s="8">
        <v>45572.0</v>
      </c>
      <c r="C8" s="7">
        <v>0.0</v>
      </c>
      <c r="D8" s="15">
        <v>1.0</v>
      </c>
      <c r="E8" s="15">
        <v>0.0</v>
      </c>
      <c r="F8" s="15">
        <v>0.0</v>
      </c>
      <c r="G8" s="15">
        <v>1.0</v>
      </c>
      <c r="H8" s="15">
        <v>0.0</v>
      </c>
      <c r="I8" s="15">
        <v>0.0</v>
      </c>
      <c r="J8" s="81">
        <v>0.0</v>
      </c>
      <c r="K8" s="15">
        <v>1.0</v>
      </c>
      <c r="L8" s="15">
        <v>1.2</v>
      </c>
      <c r="M8" s="15">
        <v>0.0</v>
      </c>
      <c r="N8" s="15">
        <v>1.0</v>
      </c>
      <c r="O8" s="15">
        <v>1.0</v>
      </c>
      <c r="P8" s="15">
        <v>1.0</v>
      </c>
      <c r="Q8" s="15">
        <v>0.0</v>
      </c>
      <c r="R8" s="15">
        <v>1.0</v>
      </c>
      <c r="S8" s="15">
        <v>0.0</v>
      </c>
      <c r="T8" s="15">
        <v>0.0</v>
      </c>
      <c r="U8" s="11"/>
      <c r="V8" s="13"/>
      <c r="W8" s="13"/>
    </row>
    <row r="9">
      <c r="A9" s="7" t="s">
        <v>25</v>
      </c>
      <c r="B9" s="8">
        <v>45573.0</v>
      </c>
      <c r="C9" s="7">
        <v>1.0</v>
      </c>
      <c r="D9" s="15">
        <v>0.0</v>
      </c>
      <c r="E9" s="15">
        <v>0.0</v>
      </c>
      <c r="F9" s="15">
        <v>0.0</v>
      </c>
      <c r="G9" s="15">
        <v>1.0</v>
      </c>
      <c r="H9" s="15">
        <v>1.0</v>
      </c>
      <c r="I9" s="15">
        <v>0.0</v>
      </c>
      <c r="J9" s="81">
        <v>0.0</v>
      </c>
      <c r="K9" s="15">
        <v>1.0</v>
      </c>
      <c r="L9" s="15">
        <v>1.0</v>
      </c>
      <c r="M9" s="15">
        <v>1.0</v>
      </c>
      <c r="N9" s="15">
        <v>1.0</v>
      </c>
      <c r="O9" s="15">
        <v>1.0</v>
      </c>
      <c r="P9" s="15">
        <v>1.0</v>
      </c>
      <c r="Q9" s="15">
        <v>1.0</v>
      </c>
      <c r="R9" s="15">
        <v>1.0</v>
      </c>
      <c r="S9" s="15">
        <v>0.0</v>
      </c>
      <c r="T9" s="15">
        <v>0.0</v>
      </c>
      <c r="U9" s="11"/>
      <c r="V9" s="13"/>
      <c r="W9" s="13"/>
    </row>
    <row r="10">
      <c r="A10" s="7" t="s">
        <v>11</v>
      </c>
      <c r="B10" s="8">
        <v>45574.0</v>
      </c>
      <c r="C10" s="7">
        <v>0.0</v>
      </c>
      <c r="D10" s="15">
        <v>1.0</v>
      </c>
      <c r="E10" s="15">
        <v>0.0</v>
      </c>
      <c r="F10" s="15">
        <v>0.0</v>
      </c>
      <c r="G10" s="15">
        <v>1.0</v>
      </c>
      <c r="H10" s="15">
        <v>1.0</v>
      </c>
      <c r="I10" s="15">
        <v>0.0</v>
      </c>
      <c r="J10" s="81">
        <v>0.0</v>
      </c>
      <c r="K10" s="15">
        <v>1.1</v>
      </c>
      <c r="L10" s="15">
        <v>1.1</v>
      </c>
      <c r="M10" s="15">
        <v>0.0</v>
      </c>
      <c r="N10" s="15">
        <v>1.0</v>
      </c>
      <c r="O10" s="15">
        <v>1.0</v>
      </c>
      <c r="P10" s="15">
        <v>1.0</v>
      </c>
      <c r="Q10" s="15">
        <v>1.0</v>
      </c>
      <c r="R10" s="15">
        <v>1.0</v>
      </c>
      <c r="S10" s="15">
        <v>0.0</v>
      </c>
      <c r="T10" s="15">
        <v>1.0</v>
      </c>
      <c r="U10" s="11"/>
      <c r="V10" s="13"/>
      <c r="W10" s="13"/>
    </row>
    <row r="11">
      <c r="A11" s="7" t="s">
        <v>16</v>
      </c>
      <c r="B11" s="8">
        <v>45575.0</v>
      </c>
      <c r="C11" s="7">
        <v>1.0</v>
      </c>
      <c r="D11" s="15">
        <v>1.0</v>
      </c>
      <c r="E11" s="15">
        <v>1.0</v>
      </c>
      <c r="F11" s="15">
        <v>0.0</v>
      </c>
      <c r="G11" s="15">
        <v>1.0</v>
      </c>
      <c r="H11" s="15">
        <v>1.0</v>
      </c>
      <c r="I11" s="15">
        <v>0.0</v>
      </c>
      <c r="J11" s="81">
        <v>0.0</v>
      </c>
      <c r="K11" s="15">
        <v>0.0</v>
      </c>
      <c r="L11" s="15">
        <v>1.2</v>
      </c>
      <c r="M11" s="15">
        <v>0.0</v>
      </c>
      <c r="N11" s="15">
        <v>1.0</v>
      </c>
      <c r="O11" s="15">
        <v>1.0</v>
      </c>
      <c r="P11" s="15">
        <v>1.0</v>
      </c>
      <c r="Q11" s="15">
        <v>0.0</v>
      </c>
      <c r="R11" s="15">
        <v>1.0</v>
      </c>
      <c r="S11" s="15">
        <v>0.0</v>
      </c>
      <c r="T11" s="15">
        <v>1.0</v>
      </c>
      <c r="U11" s="11"/>
      <c r="V11" s="13"/>
      <c r="W11" s="13"/>
    </row>
    <row r="12">
      <c r="A12" s="22" t="s">
        <v>17</v>
      </c>
      <c r="B12" s="23">
        <v>45576.0</v>
      </c>
      <c r="C12" s="22">
        <v>0.0</v>
      </c>
      <c r="D12" s="27">
        <v>1.0</v>
      </c>
      <c r="E12" s="27">
        <v>0.0</v>
      </c>
      <c r="F12" s="27">
        <v>0.0</v>
      </c>
      <c r="G12" s="27">
        <v>0.0</v>
      </c>
      <c r="H12" s="27">
        <v>1.0</v>
      </c>
      <c r="I12" s="27">
        <v>1.0</v>
      </c>
      <c r="J12" s="81">
        <v>0.0</v>
      </c>
      <c r="K12" s="27">
        <v>1.0</v>
      </c>
      <c r="L12" s="27">
        <v>0.0</v>
      </c>
      <c r="M12" s="27">
        <v>1.0</v>
      </c>
      <c r="N12" s="27">
        <v>0.0</v>
      </c>
      <c r="O12" s="27">
        <v>0.0</v>
      </c>
      <c r="P12" s="27">
        <v>0.0</v>
      </c>
      <c r="Q12" s="27">
        <v>1.0</v>
      </c>
      <c r="R12" s="27">
        <v>0.0</v>
      </c>
      <c r="S12" s="15">
        <v>0.0</v>
      </c>
      <c r="T12" s="15">
        <v>1.0</v>
      </c>
      <c r="U12" s="11"/>
      <c r="V12" s="13"/>
      <c r="W12" s="13"/>
    </row>
    <row r="13">
      <c r="A13" s="7" t="s">
        <v>18</v>
      </c>
      <c r="B13" s="8">
        <v>45577.0</v>
      </c>
      <c r="C13" s="7">
        <v>0.0</v>
      </c>
      <c r="D13" s="15">
        <v>1.0</v>
      </c>
      <c r="E13" s="15">
        <v>1.0</v>
      </c>
      <c r="F13" s="15">
        <v>1.0</v>
      </c>
      <c r="G13" s="15">
        <v>1.0</v>
      </c>
      <c r="H13" s="15">
        <v>0.0</v>
      </c>
      <c r="I13" s="15">
        <v>0.0</v>
      </c>
      <c r="J13" s="81">
        <v>0.0</v>
      </c>
      <c r="K13" s="15">
        <v>1.0</v>
      </c>
      <c r="L13" s="15">
        <v>1.0</v>
      </c>
      <c r="M13" s="15">
        <v>0.0</v>
      </c>
      <c r="N13" s="15">
        <v>1.0</v>
      </c>
      <c r="O13" s="15">
        <v>1.0</v>
      </c>
      <c r="P13" s="15">
        <v>1.0</v>
      </c>
      <c r="Q13" s="15">
        <v>1.0</v>
      </c>
      <c r="R13" s="15">
        <v>1.0</v>
      </c>
      <c r="S13" s="15">
        <v>1.0</v>
      </c>
      <c r="T13" s="15">
        <v>1.0</v>
      </c>
      <c r="U13" s="11"/>
      <c r="V13" s="13"/>
      <c r="W13" s="13"/>
    </row>
    <row r="14">
      <c r="A14" s="7" t="s">
        <v>21</v>
      </c>
      <c r="B14" s="8">
        <v>45578.0</v>
      </c>
      <c r="C14" s="7">
        <v>0.0</v>
      </c>
      <c r="D14" s="15">
        <v>1.0</v>
      </c>
      <c r="E14" s="15">
        <v>1.0</v>
      </c>
      <c r="F14" s="81">
        <v>0.0</v>
      </c>
      <c r="G14" s="15">
        <v>1.0</v>
      </c>
      <c r="H14" s="15">
        <v>0.0</v>
      </c>
      <c r="I14" s="15">
        <v>1.0</v>
      </c>
      <c r="J14" s="81">
        <v>0.0</v>
      </c>
      <c r="K14" s="15">
        <v>1.0</v>
      </c>
      <c r="L14" s="15">
        <v>0.0</v>
      </c>
      <c r="M14" s="15">
        <v>0.0</v>
      </c>
      <c r="N14" s="15">
        <v>1.0</v>
      </c>
      <c r="O14" s="15">
        <v>1.0</v>
      </c>
      <c r="P14" s="15">
        <v>1.0</v>
      </c>
      <c r="Q14" s="15">
        <v>1.0</v>
      </c>
      <c r="R14" s="15">
        <v>1.0</v>
      </c>
      <c r="S14" s="15">
        <v>1.0</v>
      </c>
      <c r="T14" s="15">
        <v>1.0</v>
      </c>
      <c r="U14" s="11"/>
      <c r="V14" s="13"/>
      <c r="W14" s="13"/>
    </row>
    <row r="15">
      <c r="A15" s="7" t="s">
        <v>22</v>
      </c>
      <c r="B15" s="8">
        <v>45579.0</v>
      </c>
      <c r="C15" s="7">
        <v>0.0</v>
      </c>
      <c r="D15" s="15">
        <v>1.0</v>
      </c>
      <c r="E15" s="15">
        <v>1.0</v>
      </c>
      <c r="F15" s="81">
        <v>0.0</v>
      </c>
      <c r="G15" s="15">
        <v>1.0</v>
      </c>
      <c r="H15" s="15">
        <v>0.0</v>
      </c>
      <c r="I15" s="15">
        <v>0.0</v>
      </c>
      <c r="J15" s="81">
        <v>0.0</v>
      </c>
      <c r="K15" s="15">
        <v>1.0</v>
      </c>
      <c r="L15" s="15">
        <v>1.0</v>
      </c>
      <c r="M15" s="15">
        <v>0.0</v>
      </c>
      <c r="N15" s="15">
        <v>1.0</v>
      </c>
      <c r="O15" s="15">
        <v>1.0</v>
      </c>
      <c r="P15" s="15">
        <v>1.0</v>
      </c>
      <c r="Q15" s="15">
        <v>1.0</v>
      </c>
      <c r="R15" s="15">
        <v>1.0</v>
      </c>
      <c r="S15" s="15">
        <v>1.0</v>
      </c>
      <c r="T15" s="15">
        <v>1.0</v>
      </c>
      <c r="U15" s="11"/>
      <c r="V15" s="13"/>
      <c r="W15" s="13"/>
    </row>
    <row r="16">
      <c r="A16" s="7" t="s">
        <v>25</v>
      </c>
      <c r="B16" s="8">
        <v>45580.0</v>
      </c>
      <c r="C16" s="82">
        <v>0.0</v>
      </c>
      <c r="D16" s="83">
        <v>0.0</v>
      </c>
      <c r="E16" s="83">
        <v>0.0</v>
      </c>
      <c r="F16" s="84">
        <v>0.0</v>
      </c>
      <c r="G16" s="83">
        <v>1.0</v>
      </c>
      <c r="H16" s="83">
        <v>1.0</v>
      </c>
      <c r="I16" s="15">
        <v>0.0</v>
      </c>
      <c r="J16" s="81">
        <v>0.0</v>
      </c>
      <c r="K16" s="15">
        <v>1.0</v>
      </c>
      <c r="L16" s="15">
        <v>1.0</v>
      </c>
      <c r="M16" s="15">
        <v>0.0</v>
      </c>
      <c r="N16" s="15">
        <v>1.0</v>
      </c>
      <c r="O16" s="15">
        <v>1.0</v>
      </c>
      <c r="P16" s="15">
        <v>1.0</v>
      </c>
      <c r="Q16" s="15">
        <v>1.0</v>
      </c>
      <c r="R16" s="15">
        <v>1.0</v>
      </c>
      <c r="S16" s="15">
        <v>1.0</v>
      </c>
      <c r="T16" s="15">
        <v>1.0</v>
      </c>
      <c r="U16" s="11"/>
      <c r="V16" s="13"/>
      <c r="W16" s="13"/>
    </row>
    <row r="17">
      <c r="A17" s="7" t="s">
        <v>11</v>
      </c>
      <c r="B17" s="8">
        <v>45581.0</v>
      </c>
      <c r="C17" s="7">
        <v>0.0</v>
      </c>
      <c r="D17" s="15">
        <v>1.0</v>
      </c>
      <c r="E17" s="15">
        <v>1.0</v>
      </c>
      <c r="F17" s="81">
        <v>0.0</v>
      </c>
      <c r="G17" s="15">
        <v>1.0</v>
      </c>
      <c r="H17" s="15">
        <v>0.0</v>
      </c>
      <c r="I17" s="15">
        <v>0.0</v>
      </c>
      <c r="J17" s="81">
        <v>0.0</v>
      </c>
      <c r="K17" s="15">
        <v>1.0</v>
      </c>
      <c r="L17" s="15">
        <v>1.0</v>
      </c>
      <c r="M17" s="15">
        <v>0.5</v>
      </c>
      <c r="N17" s="15">
        <v>1.0</v>
      </c>
      <c r="O17" s="15">
        <v>1.0</v>
      </c>
      <c r="P17" s="15">
        <v>1.0</v>
      </c>
      <c r="Q17" s="15">
        <v>1.0</v>
      </c>
      <c r="R17" s="15">
        <v>1.0</v>
      </c>
      <c r="S17" s="15">
        <v>1.0</v>
      </c>
      <c r="T17" s="15">
        <v>1.0</v>
      </c>
      <c r="U17" s="11"/>
      <c r="V17" s="13"/>
      <c r="W17" s="13"/>
    </row>
    <row r="18">
      <c r="A18" s="7" t="s">
        <v>16</v>
      </c>
      <c r="B18" s="8">
        <v>45582.0</v>
      </c>
      <c r="C18" s="7">
        <v>0.0</v>
      </c>
      <c r="D18" s="15">
        <v>1.0</v>
      </c>
      <c r="E18" s="15">
        <v>1.0</v>
      </c>
      <c r="F18" s="81">
        <v>0.0</v>
      </c>
      <c r="G18" s="15">
        <v>1.0</v>
      </c>
      <c r="H18" s="15">
        <v>1.2</v>
      </c>
      <c r="I18" s="15">
        <v>0.0</v>
      </c>
      <c r="J18" s="81">
        <v>0.0</v>
      </c>
      <c r="K18" s="15">
        <v>0.0</v>
      </c>
      <c r="L18" s="15">
        <v>1.1</v>
      </c>
      <c r="M18" s="15">
        <v>0.0</v>
      </c>
      <c r="N18" s="15">
        <v>1.5</v>
      </c>
      <c r="O18" s="15">
        <v>1.5</v>
      </c>
      <c r="P18" s="15">
        <v>1.0</v>
      </c>
      <c r="Q18" s="15">
        <v>1.0</v>
      </c>
      <c r="R18" s="15">
        <v>1.0</v>
      </c>
      <c r="S18" s="15">
        <v>1.0</v>
      </c>
      <c r="T18" s="15">
        <v>1.0</v>
      </c>
      <c r="U18" s="85"/>
      <c r="V18" s="13"/>
      <c r="W18" s="13"/>
    </row>
    <row r="19">
      <c r="A19" s="22" t="s">
        <v>17</v>
      </c>
      <c r="B19" s="23">
        <v>45583.0</v>
      </c>
      <c r="C19" s="22">
        <v>1.0</v>
      </c>
      <c r="D19" s="27">
        <v>0.0</v>
      </c>
      <c r="E19" s="27">
        <v>0.0</v>
      </c>
      <c r="F19" s="81">
        <v>0.0</v>
      </c>
      <c r="G19" s="27">
        <v>0.0</v>
      </c>
      <c r="H19" s="81">
        <v>0.0</v>
      </c>
      <c r="I19" s="81">
        <v>0.0</v>
      </c>
      <c r="J19" s="81">
        <v>0.0</v>
      </c>
      <c r="K19" s="27">
        <v>1.2</v>
      </c>
      <c r="L19" s="27">
        <v>0.0</v>
      </c>
      <c r="M19" s="27">
        <v>0.0</v>
      </c>
      <c r="N19" s="27">
        <v>1.5</v>
      </c>
      <c r="O19" s="27">
        <v>1.5</v>
      </c>
      <c r="P19" s="27">
        <v>0.0</v>
      </c>
      <c r="Q19" s="27">
        <v>0.0</v>
      </c>
      <c r="R19" s="27">
        <v>0.0</v>
      </c>
      <c r="S19" s="15">
        <v>0.0</v>
      </c>
      <c r="T19" s="15">
        <v>0.0</v>
      </c>
      <c r="U19" s="11"/>
      <c r="V19" s="13"/>
      <c r="W19" s="13"/>
    </row>
    <row r="20">
      <c r="A20" s="7" t="s">
        <v>18</v>
      </c>
      <c r="B20" s="8">
        <v>45584.0</v>
      </c>
      <c r="C20" s="7">
        <v>0.0</v>
      </c>
      <c r="D20" s="15">
        <v>1.0</v>
      </c>
      <c r="E20" s="15">
        <v>1.0</v>
      </c>
      <c r="F20" s="81">
        <v>0.0</v>
      </c>
      <c r="G20" s="15">
        <v>1.0</v>
      </c>
      <c r="H20" s="81">
        <v>0.0</v>
      </c>
      <c r="I20" s="81">
        <v>0.0</v>
      </c>
      <c r="J20" s="81">
        <v>0.0</v>
      </c>
      <c r="K20" s="15">
        <v>1.0</v>
      </c>
      <c r="L20" s="15">
        <v>1.1</v>
      </c>
      <c r="M20" s="15">
        <v>0.0</v>
      </c>
      <c r="N20" s="15">
        <v>1.1</v>
      </c>
      <c r="O20" s="15">
        <v>1.1</v>
      </c>
      <c r="P20" s="15">
        <v>1.0</v>
      </c>
      <c r="Q20" s="15">
        <v>0.0</v>
      </c>
      <c r="R20" s="15">
        <v>1.1</v>
      </c>
      <c r="S20" s="15">
        <v>0.0</v>
      </c>
      <c r="T20" s="15">
        <v>1.0</v>
      </c>
      <c r="U20" s="11"/>
      <c r="V20" s="13"/>
      <c r="W20" s="13"/>
    </row>
    <row r="21">
      <c r="A21" s="7" t="s">
        <v>21</v>
      </c>
      <c r="B21" s="8">
        <v>45585.0</v>
      </c>
      <c r="C21" s="7">
        <v>0.0</v>
      </c>
      <c r="D21" s="15">
        <v>1.0</v>
      </c>
      <c r="E21" s="15">
        <v>1.0</v>
      </c>
      <c r="F21" s="81">
        <v>0.0</v>
      </c>
      <c r="G21" s="15">
        <v>1.0</v>
      </c>
      <c r="H21" s="81">
        <v>0.0</v>
      </c>
      <c r="I21" s="81">
        <v>0.0</v>
      </c>
      <c r="J21" s="81">
        <v>0.0</v>
      </c>
      <c r="K21" s="15">
        <v>0.0</v>
      </c>
      <c r="L21" s="15">
        <v>1.0</v>
      </c>
      <c r="M21" s="15">
        <v>1.0</v>
      </c>
      <c r="N21" s="15">
        <v>0.0</v>
      </c>
      <c r="O21" s="15">
        <v>0.0</v>
      </c>
      <c r="P21" s="15">
        <v>1.0</v>
      </c>
      <c r="Q21" s="15">
        <v>1.0</v>
      </c>
      <c r="R21" s="15">
        <v>1.0</v>
      </c>
      <c r="S21" s="15">
        <v>1.0</v>
      </c>
      <c r="T21" s="15">
        <v>1.0</v>
      </c>
      <c r="U21" s="11"/>
      <c r="V21" s="13"/>
      <c r="W21" s="13"/>
    </row>
    <row r="22">
      <c r="A22" s="7" t="s">
        <v>22</v>
      </c>
      <c r="B22" s="8">
        <v>45586.0</v>
      </c>
      <c r="C22" s="7">
        <v>0.0</v>
      </c>
      <c r="D22" s="15">
        <v>1.0</v>
      </c>
      <c r="E22" s="15">
        <v>1.0</v>
      </c>
      <c r="F22" s="81">
        <v>0.0</v>
      </c>
      <c r="G22" s="15">
        <v>1.0</v>
      </c>
      <c r="H22" s="81">
        <v>0.0</v>
      </c>
      <c r="I22" s="81">
        <v>0.0</v>
      </c>
      <c r="J22" s="81">
        <v>0.0</v>
      </c>
      <c r="K22" s="15">
        <v>1.1</v>
      </c>
      <c r="L22" s="15">
        <v>1.0</v>
      </c>
      <c r="M22" s="15">
        <v>0.0</v>
      </c>
      <c r="N22" s="15">
        <v>1.0</v>
      </c>
      <c r="O22" s="15">
        <v>1.0</v>
      </c>
      <c r="P22" s="15">
        <v>1.0</v>
      </c>
      <c r="Q22" s="15">
        <v>1.0</v>
      </c>
      <c r="R22" s="15">
        <v>0.0</v>
      </c>
      <c r="S22" s="15">
        <v>1.0</v>
      </c>
      <c r="T22" s="15">
        <v>1.0</v>
      </c>
      <c r="U22" s="11"/>
      <c r="V22" s="13"/>
      <c r="W22" s="13"/>
    </row>
    <row r="23">
      <c r="A23" s="7" t="s">
        <v>25</v>
      </c>
      <c r="B23" s="8">
        <v>45587.0</v>
      </c>
      <c r="C23" s="7">
        <v>0.0</v>
      </c>
      <c r="D23" s="15">
        <v>0.0</v>
      </c>
      <c r="E23" s="15">
        <v>1.0</v>
      </c>
      <c r="F23" s="81">
        <v>0.0</v>
      </c>
      <c r="G23" s="15">
        <v>1.0</v>
      </c>
      <c r="H23" s="81">
        <v>1.0</v>
      </c>
      <c r="I23" s="81">
        <v>1.0</v>
      </c>
      <c r="J23" s="81">
        <v>0.0</v>
      </c>
      <c r="K23" s="15">
        <v>1.0</v>
      </c>
      <c r="L23" s="15">
        <v>1.0</v>
      </c>
      <c r="M23" s="15">
        <v>0.0</v>
      </c>
      <c r="N23" s="15">
        <v>1.0</v>
      </c>
      <c r="O23" s="15">
        <v>0.0</v>
      </c>
      <c r="P23" s="15">
        <v>1.0</v>
      </c>
      <c r="Q23" s="15">
        <v>1.0</v>
      </c>
      <c r="R23" s="15">
        <v>1.0</v>
      </c>
      <c r="S23" s="15">
        <v>1.0</v>
      </c>
      <c r="T23" s="15">
        <v>1.0</v>
      </c>
      <c r="U23" s="11"/>
      <c r="V23" s="13"/>
      <c r="W23" s="13"/>
    </row>
    <row r="24">
      <c r="A24" s="7" t="s">
        <v>11</v>
      </c>
      <c r="B24" s="8">
        <v>45588.0</v>
      </c>
      <c r="C24" s="7">
        <v>1.0</v>
      </c>
      <c r="D24" s="15">
        <v>1.0</v>
      </c>
      <c r="E24" s="15">
        <v>1.0</v>
      </c>
      <c r="F24" s="81">
        <v>0.0</v>
      </c>
      <c r="G24" s="15">
        <v>1.0</v>
      </c>
      <c r="H24" s="81">
        <v>0.0</v>
      </c>
      <c r="I24" s="81">
        <v>0.0</v>
      </c>
      <c r="J24" s="81">
        <v>0.0</v>
      </c>
      <c r="K24" s="15">
        <v>1.0</v>
      </c>
      <c r="L24" s="15">
        <v>1.1</v>
      </c>
      <c r="M24" s="15">
        <v>0.0</v>
      </c>
      <c r="N24" s="15">
        <v>1.0</v>
      </c>
      <c r="O24" s="15">
        <v>1.0</v>
      </c>
      <c r="P24" s="15">
        <v>0.0</v>
      </c>
      <c r="Q24" s="15">
        <v>1.0</v>
      </c>
      <c r="R24" s="15">
        <v>1.1</v>
      </c>
      <c r="S24" s="15">
        <v>0.0</v>
      </c>
      <c r="T24" s="15">
        <v>1.0</v>
      </c>
      <c r="U24" s="11"/>
      <c r="V24" s="13"/>
      <c r="W24" s="13"/>
    </row>
    <row r="25">
      <c r="A25" s="7" t="s">
        <v>16</v>
      </c>
      <c r="B25" s="8">
        <v>45589.0</v>
      </c>
      <c r="C25" s="82">
        <v>1.0</v>
      </c>
      <c r="D25" s="83">
        <v>1.0</v>
      </c>
      <c r="E25" s="83">
        <v>1.0</v>
      </c>
      <c r="F25" s="84">
        <v>0.0</v>
      </c>
      <c r="G25" s="83">
        <v>1.0</v>
      </c>
      <c r="H25" s="84">
        <v>0.0</v>
      </c>
      <c r="I25" s="84">
        <v>0.0</v>
      </c>
      <c r="J25" s="84">
        <v>0.0</v>
      </c>
      <c r="K25" s="83">
        <v>0.0</v>
      </c>
      <c r="L25" s="83">
        <v>1.0</v>
      </c>
      <c r="M25" s="83">
        <v>0.0</v>
      </c>
      <c r="N25" s="83">
        <v>1.0</v>
      </c>
      <c r="O25" s="83">
        <v>1.0</v>
      </c>
      <c r="P25" s="83">
        <v>1.0</v>
      </c>
      <c r="Q25" s="83">
        <v>1.0</v>
      </c>
      <c r="R25" s="83">
        <v>1.0</v>
      </c>
      <c r="S25" s="15">
        <v>1.0</v>
      </c>
      <c r="T25" s="15">
        <v>1.0</v>
      </c>
      <c r="U25" s="11"/>
      <c r="V25" s="13"/>
      <c r="W25" s="13"/>
    </row>
    <row r="26">
      <c r="A26" s="22" t="s">
        <v>17</v>
      </c>
      <c r="B26" s="23">
        <v>45590.0</v>
      </c>
      <c r="C26" s="22">
        <v>1.0</v>
      </c>
      <c r="D26" s="27">
        <v>1.0</v>
      </c>
      <c r="E26" s="27">
        <v>0.0</v>
      </c>
      <c r="F26" s="81">
        <v>0.0</v>
      </c>
      <c r="G26" s="27">
        <v>0.0</v>
      </c>
      <c r="H26" s="81">
        <v>0.0</v>
      </c>
      <c r="I26" s="81">
        <v>0.0</v>
      </c>
      <c r="J26" s="81">
        <v>0.0</v>
      </c>
      <c r="K26" s="27">
        <v>2.0</v>
      </c>
      <c r="L26" s="27">
        <v>0.0</v>
      </c>
      <c r="M26" s="27">
        <v>0.0</v>
      </c>
      <c r="N26" s="27">
        <v>1.5</v>
      </c>
      <c r="O26" s="27">
        <v>1.5</v>
      </c>
      <c r="P26" s="27">
        <v>0.0</v>
      </c>
      <c r="Q26" s="27">
        <v>2.0</v>
      </c>
      <c r="R26" s="27">
        <v>0.5</v>
      </c>
      <c r="S26" s="15">
        <v>0.0</v>
      </c>
      <c r="T26" s="15">
        <v>1.0</v>
      </c>
      <c r="U26" s="11"/>
      <c r="V26" s="13"/>
      <c r="W26" s="13"/>
    </row>
    <row r="27">
      <c r="A27" s="7" t="s">
        <v>18</v>
      </c>
      <c r="B27" s="8">
        <v>45591.0</v>
      </c>
      <c r="C27" s="7">
        <v>0.0</v>
      </c>
      <c r="D27" s="15">
        <v>1.0</v>
      </c>
      <c r="E27" s="15">
        <v>0.0</v>
      </c>
      <c r="F27" s="81">
        <v>0.0</v>
      </c>
      <c r="G27" s="15">
        <v>1.0</v>
      </c>
      <c r="H27" s="81">
        <v>0.0</v>
      </c>
      <c r="I27" s="81">
        <v>0.0</v>
      </c>
      <c r="J27" s="81">
        <v>0.0</v>
      </c>
      <c r="K27" s="15">
        <v>1.5</v>
      </c>
      <c r="L27" s="15">
        <v>1.1</v>
      </c>
      <c r="M27" s="15">
        <v>0.0</v>
      </c>
      <c r="N27" s="15">
        <v>1.1</v>
      </c>
      <c r="O27" s="15">
        <v>0.5</v>
      </c>
      <c r="P27" s="15">
        <v>1.1</v>
      </c>
      <c r="Q27" s="15">
        <v>0.0</v>
      </c>
      <c r="R27" s="15">
        <v>1.1</v>
      </c>
      <c r="S27" s="15">
        <v>0.0</v>
      </c>
      <c r="T27" s="15">
        <v>1.1</v>
      </c>
      <c r="U27" s="11"/>
      <c r="V27" s="13"/>
      <c r="W27" s="13"/>
    </row>
    <row r="28">
      <c r="A28" s="7" t="s">
        <v>21</v>
      </c>
      <c r="B28" s="8">
        <v>45592.0</v>
      </c>
      <c r="C28" s="7">
        <v>0.0</v>
      </c>
      <c r="D28" s="15">
        <v>1.0</v>
      </c>
      <c r="E28" s="15">
        <v>1.0</v>
      </c>
      <c r="F28" s="81">
        <v>0.0</v>
      </c>
      <c r="G28" s="15">
        <v>1.0</v>
      </c>
      <c r="H28" s="81">
        <v>0.0</v>
      </c>
      <c r="I28" s="81">
        <v>0.0</v>
      </c>
      <c r="J28" s="81">
        <v>0.0</v>
      </c>
      <c r="K28" s="15">
        <v>0.0</v>
      </c>
      <c r="L28" s="15">
        <v>1.0</v>
      </c>
      <c r="M28" s="15">
        <v>0.0</v>
      </c>
      <c r="N28" s="15">
        <v>0.0</v>
      </c>
      <c r="O28" s="15">
        <v>0.0</v>
      </c>
      <c r="P28" s="15">
        <v>1.0</v>
      </c>
      <c r="Q28" s="15">
        <v>1.0</v>
      </c>
      <c r="R28" s="15">
        <v>1.0</v>
      </c>
      <c r="S28" s="15">
        <v>1.0</v>
      </c>
      <c r="T28" s="15">
        <v>1.0</v>
      </c>
      <c r="U28" s="11"/>
      <c r="V28" s="13"/>
      <c r="W28" s="13"/>
    </row>
    <row r="29">
      <c r="A29" s="7" t="s">
        <v>22</v>
      </c>
      <c r="B29" s="8">
        <v>45593.0</v>
      </c>
      <c r="C29" s="7">
        <v>1.0</v>
      </c>
      <c r="D29" s="15">
        <v>1.0</v>
      </c>
      <c r="E29" s="15">
        <v>1.0</v>
      </c>
      <c r="F29" s="81">
        <v>0.0</v>
      </c>
      <c r="G29" s="15">
        <v>1.0</v>
      </c>
      <c r="H29" s="81">
        <v>0.0</v>
      </c>
      <c r="I29" s="81">
        <v>0.0</v>
      </c>
      <c r="J29" s="81">
        <v>0.0</v>
      </c>
      <c r="K29" s="15">
        <v>1.0</v>
      </c>
      <c r="L29" s="15">
        <v>1.0</v>
      </c>
      <c r="M29" s="15">
        <v>1.0</v>
      </c>
      <c r="N29" s="15">
        <v>1.0</v>
      </c>
      <c r="O29" s="15">
        <v>1.0</v>
      </c>
      <c r="P29" s="15">
        <v>1.0</v>
      </c>
      <c r="Q29" s="15">
        <v>1.0</v>
      </c>
      <c r="R29" s="15">
        <v>1.0</v>
      </c>
      <c r="S29" s="15">
        <v>1.0</v>
      </c>
      <c r="T29" s="15">
        <v>0.5</v>
      </c>
      <c r="U29" s="11"/>
      <c r="V29" s="13"/>
      <c r="W29" s="13"/>
    </row>
    <row r="30">
      <c r="A30" s="7" t="s">
        <v>25</v>
      </c>
      <c r="B30" s="8">
        <v>45594.0</v>
      </c>
      <c r="C30" s="82">
        <v>1.0</v>
      </c>
      <c r="D30" s="15">
        <v>1.0</v>
      </c>
      <c r="E30" s="83">
        <v>1.0</v>
      </c>
      <c r="F30" s="84">
        <v>0.0</v>
      </c>
      <c r="G30" s="83">
        <v>1.0</v>
      </c>
      <c r="H30" s="84">
        <v>1.0</v>
      </c>
      <c r="I30" s="84">
        <v>0.0</v>
      </c>
      <c r="J30" s="84">
        <v>0.0</v>
      </c>
      <c r="K30" s="83">
        <v>1.0</v>
      </c>
      <c r="L30" s="83">
        <v>1.0</v>
      </c>
      <c r="M30" s="83">
        <v>0.0</v>
      </c>
      <c r="N30" s="83">
        <v>1.0</v>
      </c>
      <c r="O30" s="83">
        <v>1.0</v>
      </c>
      <c r="P30" s="83">
        <v>1.0</v>
      </c>
      <c r="Q30" s="83">
        <v>1.0</v>
      </c>
      <c r="R30" s="83">
        <v>1.0</v>
      </c>
      <c r="S30" s="15">
        <v>1.0</v>
      </c>
      <c r="T30" s="15">
        <v>1.0</v>
      </c>
      <c r="U30" s="11"/>
      <c r="V30" s="13"/>
      <c r="W30" s="13"/>
    </row>
    <row r="31">
      <c r="A31" s="7" t="s">
        <v>11</v>
      </c>
      <c r="B31" s="8">
        <v>45595.0</v>
      </c>
      <c r="C31" s="86">
        <v>0.0</v>
      </c>
      <c r="D31" s="15">
        <v>1.0</v>
      </c>
      <c r="E31" s="83">
        <v>1.0</v>
      </c>
      <c r="F31" s="84">
        <v>0.0</v>
      </c>
      <c r="G31" s="83">
        <v>1.0</v>
      </c>
      <c r="H31" s="84">
        <v>0.0</v>
      </c>
      <c r="I31" s="84">
        <v>0.0</v>
      </c>
      <c r="J31" s="84">
        <v>0.0</v>
      </c>
      <c r="K31" s="83">
        <v>1.0</v>
      </c>
      <c r="L31" s="83">
        <v>1.0</v>
      </c>
      <c r="M31" s="83">
        <v>0.0</v>
      </c>
      <c r="N31" s="83">
        <v>1.1</v>
      </c>
      <c r="O31" s="83">
        <v>1.1</v>
      </c>
      <c r="P31" s="83">
        <v>0.0</v>
      </c>
      <c r="Q31" s="83">
        <v>0.0</v>
      </c>
      <c r="R31" s="83">
        <v>1.0</v>
      </c>
      <c r="S31" s="15">
        <v>1.0</v>
      </c>
      <c r="T31" s="15">
        <v>1.0</v>
      </c>
      <c r="U31" s="11"/>
      <c r="V31" s="13"/>
      <c r="W31" s="13"/>
    </row>
    <row r="32">
      <c r="A32" s="7" t="s">
        <v>16</v>
      </c>
      <c r="B32" s="8">
        <v>45596.0</v>
      </c>
      <c r="C32" s="7">
        <v>1.0</v>
      </c>
      <c r="D32" s="15">
        <v>1.0</v>
      </c>
      <c r="E32" s="15">
        <v>1.0</v>
      </c>
      <c r="F32" s="81">
        <v>0.0</v>
      </c>
      <c r="G32" s="15">
        <v>1.0</v>
      </c>
      <c r="H32" s="81">
        <v>0.0</v>
      </c>
      <c r="I32" s="81">
        <v>0.0</v>
      </c>
      <c r="J32" s="81">
        <v>0.0</v>
      </c>
      <c r="K32" s="15">
        <v>1.0</v>
      </c>
      <c r="L32" s="15">
        <v>1.0</v>
      </c>
      <c r="M32" s="15">
        <v>0.0</v>
      </c>
      <c r="N32" s="15">
        <v>0.5</v>
      </c>
      <c r="O32" s="15">
        <v>0.5</v>
      </c>
      <c r="P32" s="15">
        <v>0.0</v>
      </c>
      <c r="Q32" s="15">
        <v>1.0</v>
      </c>
      <c r="R32" s="15">
        <v>1.0</v>
      </c>
      <c r="S32" s="15">
        <v>1.0</v>
      </c>
      <c r="T32" s="15">
        <v>0.5</v>
      </c>
      <c r="U32" s="87" t="s">
        <v>67</v>
      </c>
      <c r="V32" s="13"/>
      <c r="W32" s="13"/>
    </row>
    <row r="33">
      <c r="C33" s="88">
        <f t="shared" ref="C33:T33" si="1">SUM(C2:C32)</f>
        <v>9</v>
      </c>
      <c r="D33" s="88">
        <f t="shared" si="1"/>
        <v>26</v>
      </c>
      <c r="E33" s="88">
        <f t="shared" si="1"/>
        <v>21</v>
      </c>
      <c r="F33" s="88">
        <f t="shared" si="1"/>
        <v>5</v>
      </c>
      <c r="G33" s="88">
        <f t="shared" si="1"/>
        <v>27</v>
      </c>
      <c r="H33" s="88">
        <f t="shared" si="1"/>
        <v>11.4</v>
      </c>
      <c r="I33" s="88">
        <f t="shared" si="1"/>
        <v>7.1</v>
      </c>
      <c r="J33" s="88">
        <f t="shared" si="1"/>
        <v>3</v>
      </c>
      <c r="K33" s="88">
        <f t="shared" si="1"/>
        <v>26.9</v>
      </c>
      <c r="L33" s="88">
        <f t="shared" si="1"/>
        <v>26.3</v>
      </c>
      <c r="M33" s="88">
        <f t="shared" si="1"/>
        <v>7.5</v>
      </c>
      <c r="N33" s="88">
        <f t="shared" si="1"/>
        <v>28.4</v>
      </c>
      <c r="O33" s="88">
        <f t="shared" si="1"/>
        <v>26.8</v>
      </c>
      <c r="P33" s="88">
        <f t="shared" si="1"/>
        <v>22.1</v>
      </c>
      <c r="Q33" s="88">
        <f t="shared" si="1"/>
        <v>26</v>
      </c>
      <c r="R33" s="88">
        <f t="shared" si="1"/>
        <v>21.8</v>
      </c>
      <c r="S33" s="89">
        <f t="shared" si="1"/>
        <v>15</v>
      </c>
      <c r="T33" s="89">
        <f t="shared" si="1"/>
        <v>21.1</v>
      </c>
      <c r="U33" s="11"/>
      <c r="V33" s="13"/>
      <c r="W33" s="13"/>
    </row>
    <row r="34">
      <c r="C34" s="90">
        <v>1500.0</v>
      </c>
      <c r="D34" s="91">
        <v>1112.0</v>
      </c>
      <c r="E34" s="91">
        <v>1112.0</v>
      </c>
      <c r="F34" s="91">
        <v>1112.0</v>
      </c>
      <c r="G34" s="92">
        <v>1112.0</v>
      </c>
      <c r="H34" s="92">
        <v>1112.0</v>
      </c>
      <c r="I34" s="92">
        <v>1112.0</v>
      </c>
      <c r="J34" s="93">
        <v>1112.0</v>
      </c>
      <c r="K34" s="94">
        <v>1112.0</v>
      </c>
      <c r="L34" s="94">
        <v>1112.0</v>
      </c>
      <c r="M34" s="95">
        <v>1200.0</v>
      </c>
      <c r="N34" s="94">
        <v>1112.0</v>
      </c>
      <c r="O34" s="94">
        <v>1112.0</v>
      </c>
      <c r="P34" s="94">
        <v>1100.0</v>
      </c>
      <c r="Q34" s="95">
        <v>1200.0</v>
      </c>
      <c r="R34" s="94">
        <v>1112.0</v>
      </c>
      <c r="S34" s="96">
        <v>1000.0</v>
      </c>
      <c r="T34" s="96">
        <v>1100.0</v>
      </c>
      <c r="U34" s="13"/>
      <c r="V34" s="13"/>
      <c r="W34" s="13"/>
    </row>
    <row r="35">
      <c r="C35" s="97">
        <f t="shared" ref="C35:R35" si="2">C34*C33</f>
        <v>13500</v>
      </c>
      <c r="D35" s="97">
        <f t="shared" si="2"/>
        <v>28912</v>
      </c>
      <c r="E35" s="97">
        <f t="shared" si="2"/>
        <v>23352</v>
      </c>
      <c r="F35" s="97">
        <f t="shared" si="2"/>
        <v>5560</v>
      </c>
      <c r="G35" s="97">
        <f t="shared" si="2"/>
        <v>30024</v>
      </c>
      <c r="H35" s="97">
        <f t="shared" si="2"/>
        <v>12676.8</v>
      </c>
      <c r="I35" s="97">
        <f t="shared" si="2"/>
        <v>7895.2</v>
      </c>
      <c r="J35" s="97">
        <f t="shared" si="2"/>
        <v>3336</v>
      </c>
      <c r="K35" s="97">
        <f t="shared" si="2"/>
        <v>29912.8</v>
      </c>
      <c r="L35" s="97">
        <f t="shared" si="2"/>
        <v>29245.6</v>
      </c>
      <c r="M35" s="97">
        <f t="shared" si="2"/>
        <v>9000</v>
      </c>
      <c r="N35" s="97">
        <f t="shared" si="2"/>
        <v>31580.8</v>
      </c>
      <c r="O35" s="97">
        <f t="shared" si="2"/>
        <v>29801.6</v>
      </c>
      <c r="P35" s="97">
        <f t="shared" si="2"/>
        <v>24310</v>
      </c>
      <c r="Q35" s="97">
        <f t="shared" si="2"/>
        <v>31200</v>
      </c>
      <c r="R35" s="97">
        <f t="shared" si="2"/>
        <v>24241.6</v>
      </c>
      <c r="S35" s="97">
        <f>S33*S34</f>
        <v>15000</v>
      </c>
      <c r="T35" s="97">
        <f>T34*T33</f>
        <v>23210</v>
      </c>
      <c r="U35" s="45"/>
      <c r="V35" s="13"/>
      <c r="W35" s="13"/>
    </row>
    <row r="36">
      <c r="C36" s="98"/>
      <c r="D36" s="95">
        <v>30000.0</v>
      </c>
      <c r="E36" s="95">
        <v>30000.0</v>
      </c>
      <c r="F36" s="95">
        <v>30000.0</v>
      </c>
      <c r="G36" s="95">
        <v>30000.0</v>
      </c>
      <c r="H36" s="95">
        <v>30000.0</v>
      </c>
      <c r="I36" s="95">
        <v>30000.0</v>
      </c>
      <c r="J36" s="95">
        <v>30000.0</v>
      </c>
      <c r="K36" s="95">
        <v>30000.0</v>
      </c>
      <c r="L36" s="95">
        <v>30000.0</v>
      </c>
      <c r="M36" s="98"/>
      <c r="N36" s="95">
        <v>30000.0</v>
      </c>
      <c r="O36" s="95">
        <v>30000.0</v>
      </c>
      <c r="P36" s="95">
        <v>30000.0</v>
      </c>
      <c r="Q36" s="98"/>
      <c r="R36" s="98"/>
      <c r="S36" s="98"/>
      <c r="T36" s="98"/>
      <c r="U36" s="13"/>
      <c r="V36" s="13"/>
      <c r="W36" s="1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76.63"/>
    <col customWidth="1" min="8" max="8" width="24.38"/>
    <col customWidth="1" min="9" max="10" width="25.38"/>
    <col customWidth="1" min="11" max="11" width="31.13"/>
  </cols>
  <sheetData>
    <row r="1">
      <c r="G1" s="99" t="s">
        <v>68</v>
      </c>
      <c r="H1" s="100" t="s">
        <v>69</v>
      </c>
      <c r="I1" s="100" t="s">
        <v>70</v>
      </c>
      <c r="J1" s="100" t="s">
        <v>71</v>
      </c>
      <c r="K1" s="100" t="s">
        <v>72</v>
      </c>
    </row>
    <row r="2">
      <c r="G2" s="101" t="s">
        <v>73</v>
      </c>
      <c r="H2" s="102">
        <v>5.0</v>
      </c>
      <c r="I2" s="103">
        <v>1000.0</v>
      </c>
      <c r="J2" s="104">
        <f t="shared" ref="J2:J13" si="1">H2*I2</f>
        <v>5000</v>
      </c>
      <c r="K2" s="105"/>
      <c r="L2" s="13"/>
    </row>
    <row r="3">
      <c r="G3" s="101" t="s">
        <v>74</v>
      </c>
      <c r="H3" s="102">
        <v>9.0</v>
      </c>
      <c r="I3" s="103">
        <v>1000.0</v>
      </c>
      <c r="J3" s="104">
        <f t="shared" si="1"/>
        <v>9000</v>
      </c>
      <c r="K3" s="105"/>
      <c r="L3" s="13"/>
    </row>
    <row r="4">
      <c r="G4" s="106" t="s">
        <v>75</v>
      </c>
      <c r="H4" s="107">
        <v>15.0</v>
      </c>
      <c r="I4" s="66">
        <v>1000.0</v>
      </c>
      <c r="J4" s="104">
        <f t="shared" si="1"/>
        <v>15000</v>
      </c>
      <c r="K4" s="108"/>
      <c r="L4" s="13"/>
    </row>
    <row r="5">
      <c r="G5" s="106" t="s">
        <v>76</v>
      </c>
      <c r="H5" s="107">
        <v>10.0</v>
      </c>
      <c r="I5" s="66">
        <v>370.0</v>
      </c>
      <c r="J5" s="104">
        <f t="shared" si="1"/>
        <v>3700</v>
      </c>
      <c r="K5" s="105"/>
      <c r="L5" s="13"/>
    </row>
    <row r="6">
      <c r="G6" s="101" t="s">
        <v>77</v>
      </c>
      <c r="H6" s="102">
        <v>33.0</v>
      </c>
      <c r="I6" s="103">
        <v>84.0</v>
      </c>
      <c r="J6" s="104">
        <f t="shared" si="1"/>
        <v>2772</v>
      </c>
      <c r="K6" s="105"/>
      <c r="L6" s="13"/>
    </row>
    <row r="7">
      <c r="G7" s="101" t="s">
        <v>78</v>
      </c>
      <c r="H7" s="102">
        <v>2.4</v>
      </c>
      <c r="I7" s="103">
        <v>1900.0</v>
      </c>
      <c r="J7" s="104">
        <f t="shared" si="1"/>
        <v>4560</v>
      </c>
      <c r="K7" s="108"/>
      <c r="L7" s="13"/>
    </row>
    <row r="8">
      <c r="G8" s="101" t="s">
        <v>79</v>
      </c>
      <c r="H8" s="102">
        <v>14.0</v>
      </c>
      <c r="I8" s="103">
        <v>200.0</v>
      </c>
      <c r="J8" s="104">
        <f t="shared" si="1"/>
        <v>2800</v>
      </c>
      <c r="K8" s="105"/>
      <c r="L8" s="13"/>
    </row>
    <row r="9">
      <c r="G9" s="106" t="s">
        <v>80</v>
      </c>
      <c r="H9" s="107">
        <v>1.0</v>
      </c>
      <c r="I9" s="66">
        <v>1100.0</v>
      </c>
      <c r="J9" s="104">
        <f t="shared" si="1"/>
        <v>1100</v>
      </c>
      <c r="K9" s="105"/>
      <c r="L9" s="13"/>
    </row>
    <row r="10">
      <c r="G10" s="106" t="s">
        <v>81</v>
      </c>
      <c r="H10" s="107">
        <v>3.0</v>
      </c>
      <c r="I10" s="66">
        <v>1350.0</v>
      </c>
      <c r="J10" s="104">
        <f t="shared" si="1"/>
        <v>4050</v>
      </c>
      <c r="K10" s="105"/>
      <c r="L10" s="13"/>
    </row>
    <row r="11">
      <c r="G11" s="106" t="s">
        <v>82</v>
      </c>
      <c r="H11" s="107">
        <v>16.0</v>
      </c>
      <c r="I11" s="66">
        <v>440.0</v>
      </c>
      <c r="J11" s="104">
        <f t="shared" si="1"/>
        <v>7040</v>
      </c>
      <c r="K11" s="108"/>
      <c r="L11" s="13"/>
    </row>
    <row r="12">
      <c r="G12" s="106" t="s">
        <v>83</v>
      </c>
      <c r="H12" s="107">
        <v>14.0</v>
      </c>
      <c r="I12" s="66">
        <v>255.0</v>
      </c>
      <c r="J12" s="104">
        <f t="shared" si="1"/>
        <v>3570</v>
      </c>
      <c r="K12" s="109"/>
      <c r="L12" s="13"/>
    </row>
    <row r="13">
      <c r="G13" s="106" t="s">
        <v>84</v>
      </c>
      <c r="H13" s="107">
        <v>16.0</v>
      </c>
      <c r="I13" s="66">
        <v>325.0</v>
      </c>
      <c r="J13" s="104">
        <f t="shared" si="1"/>
        <v>5200</v>
      </c>
      <c r="K13" s="105"/>
      <c r="L13" s="13"/>
    </row>
    <row r="14">
      <c r="G14" s="106" t="s">
        <v>85</v>
      </c>
      <c r="H14" s="107">
        <v>1.0</v>
      </c>
      <c r="I14" s="66">
        <v>1900.0</v>
      </c>
      <c r="J14" s="110">
        <v>1900.0</v>
      </c>
      <c r="K14" s="105"/>
      <c r="L14" s="13"/>
    </row>
    <row r="15">
      <c r="G15" s="106" t="s">
        <v>85</v>
      </c>
      <c r="H15" s="107">
        <v>1.0</v>
      </c>
      <c r="I15" s="66">
        <v>1850.0</v>
      </c>
      <c r="J15" s="104">
        <f t="shared" ref="J15:J35" si="2">H15*I15</f>
        <v>1850</v>
      </c>
      <c r="K15" s="105"/>
      <c r="L15" s="13"/>
    </row>
    <row r="16">
      <c r="G16" s="106" t="s">
        <v>86</v>
      </c>
      <c r="H16" s="107">
        <v>1.0</v>
      </c>
      <c r="I16" s="66">
        <v>650.0</v>
      </c>
      <c r="J16" s="104">
        <f t="shared" si="2"/>
        <v>650</v>
      </c>
      <c r="K16" s="108"/>
      <c r="L16" s="13"/>
    </row>
    <row r="17">
      <c r="G17" s="106" t="s">
        <v>87</v>
      </c>
      <c r="H17" s="107">
        <v>1.0</v>
      </c>
      <c r="I17" s="66">
        <v>1000.0</v>
      </c>
      <c r="J17" s="104">
        <f t="shared" si="2"/>
        <v>1000</v>
      </c>
      <c r="K17" s="109"/>
      <c r="L17" s="13"/>
    </row>
    <row r="18">
      <c r="G18" s="106" t="s">
        <v>88</v>
      </c>
      <c r="H18" s="107">
        <v>1.0</v>
      </c>
      <c r="I18" s="66">
        <v>1100.0</v>
      </c>
      <c r="J18" s="104">
        <f t="shared" si="2"/>
        <v>1100</v>
      </c>
      <c r="K18" s="109"/>
      <c r="L18" s="13"/>
    </row>
    <row r="19">
      <c r="G19" s="106" t="s">
        <v>89</v>
      </c>
      <c r="H19" s="107">
        <v>1.0</v>
      </c>
      <c r="I19" s="66">
        <v>1600.0</v>
      </c>
      <c r="J19" s="104">
        <f t="shared" si="2"/>
        <v>1600</v>
      </c>
      <c r="K19" s="109"/>
      <c r="L19" s="13"/>
    </row>
    <row r="20">
      <c r="G20" s="111" t="s">
        <v>90</v>
      </c>
      <c r="H20" s="112">
        <v>5.0</v>
      </c>
      <c r="I20" s="113">
        <v>390.0</v>
      </c>
      <c r="J20" s="114">
        <f t="shared" si="2"/>
        <v>1950</v>
      </c>
      <c r="K20" s="109"/>
      <c r="L20" s="13"/>
    </row>
    <row r="21">
      <c r="G21" s="111" t="s">
        <v>91</v>
      </c>
      <c r="H21" s="112">
        <v>146.0</v>
      </c>
      <c r="I21" s="113">
        <v>6.2</v>
      </c>
      <c r="J21" s="114">
        <f t="shared" si="2"/>
        <v>905.2</v>
      </c>
      <c r="K21" s="109"/>
      <c r="L21" s="13"/>
    </row>
    <row r="22">
      <c r="G22" s="107" t="s">
        <v>92</v>
      </c>
      <c r="H22" s="107">
        <v>18.0</v>
      </c>
      <c r="I22" s="66">
        <v>200.0</v>
      </c>
      <c r="J22" s="104">
        <f t="shared" si="2"/>
        <v>3600</v>
      </c>
      <c r="K22" s="109"/>
      <c r="L22" s="13"/>
    </row>
    <row r="23">
      <c r="G23" s="107" t="s">
        <v>93</v>
      </c>
      <c r="H23" s="107">
        <v>2.0</v>
      </c>
      <c r="I23" s="66">
        <v>400.0</v>
      </c>
      <c r="J23" s="104">
        <f t="shared" si="2"/>
        <v>800</v>
      </c>
      <c r="K23" s="109"/>
      <c r="L23" s="13"/>
    </row>
    <row r="24">
      <c r="G24" s="106" t="s">
        <v>94</v>
      </c>
      <c r="H24" s="107">
        <v>160.0</v>
      </c>
      <c r="I24" s="66">
        <v>50.0</v>
      </c>
      <c r="J24" s="104">
        <f t="shared" si="2"/>
        <v>8000</v>
      </c>
      <c r="K24" s="109"/>
      <c r="L24" s="13"/>
    </row>
    <row r="25">
      <c r="G25" s="106" t="s">
        <v>95</v>
      </c>
      <c r="H25" s="107">
        <v>5.0</v>
      </c>
      <c r="I25" s="66">
        <v>60.0</v>
      </c>
      <c r="J25" s="104">
        <f t="shared" si="2"/>
        <v>300</v>
      </c>
      <c r="K25" s="109"/>
      <c r="L25" s="13"/>
    </row>
    <row r="26">
      <c r="G26" s="106" t="s">
        <v>96</v>
      </c>
      <c r="H26" s="107">
        <v>5.0</v>
      </c>
      <c r="I26" s="66">
        <v>180.0</v>
      </c>
      <c r="J26" s="104">
        <f t="shared" si="2"/>
        <v>900</v>
      </c>
      <c r="K26" s="105"/>
      <c r="L26" s="13"/>
    </row>
    <row r="27">
      <c r="G27" s="107" t="s">
        <v>97</v>
      </c>
      <c r="H27" s="107">
        <v>5.0</v>
      </c>
      <c r="I27" s="66">
        <v>150.0</v>
      </c>
      <c r="J27" s="104">
        <f t="shared" si="2"/>
        <v>750</v>
      </c>
      <c r="K27" s="109"/>
      <c r="L27" s="13"/>
    </row>
    <row r="28">
      <c r="G28" s="106" t="s">
        <v>98</v>
      </c>
      <c r="H28" s="107">
        <v>5.0</v>
      </c>
      <c r="I28" s="66">
        <v>170.0</v>
      </c>
      <c r="J28" s="104">
        <f t="shared" si="2"/>
        <v>850</v>
      </c>
      <c r="K28" s="109"/>
      <c r="L28" s="13"/>
    </row>
    <row r="29">
      <c r="G29" s="107" t="s">
        <v>99</v>
      </c>
      <c r="H29" s="107">
        <v>5.0</v>
      </c>
      <c r="I29" s="66">
        <v>220.0</v>
      </c>
      <c r="J29" s="104">
        <f t="shared" si="2"/>
        <v>1100</v>
      </c>
      <c r="K29" s="109"/>
      <c r="L29" s="13"/>
    </row>
    <row r="30">
      <c r="G30" s="107" t="s">
        <v>100</v>
      </c>
      <c r="H30" s="107">
        <v>12.0</v>
      </c>
      <c r="I30" s="66">
        <v>120.0</v>
      </c>
      <c r="J30" s="104">
        <f t="shared" si="2"/>
        <v>1440</v>
      </c>
      <c r="K30" s="109"/>
      <c r="L30" s="13"/>
    </row>
    <row r="31">
      <c r="G31" s="107" t="s">
        <v>101</v>
      </c>
      <c r="H31" s="107">
        <v>3.0</v>
      </c>
      <c r="I31" s="66">
        <v>350.0</v>
      </c>
      <c r="J31" s="104">
        <f t="shared" si="2"/>
        <v>1050</v>
      </c>
      <c r="K31" s="109"/>
      <c r="L31" s="13"/>
    </row>
    <row r="32">
      <c r="G32" s="107" t="s">
        <v>102</v>
      </c>
      <c r="H32" s="107">
        <v>1.0</v>
      </c>
      <c r="I32" s="66">
        <v>200.0</v>
      </c>
      <c r="J32" s="104">
        <f t="shared" si="2"/>
        <v>200</v>
      </c>
      <c r="K32" s="109"/>
      <c r="L32" s="13"/>
    </row>
    <row r="33">
      <c r="G33" s="107" t="s">
        <v>103</v>
      </c>
      <c r="H33" s="107">
        <v>20.0</v>
      </c>
      <c r="I33" s="66">
        <v>200.0</v>
      </c>
      <c r="J33" s="104">
        <f t="shared" si="2"/>
        <v>4000</v>
      </c>
      <c r="K33" s="109"/>
      <c r="L33" s="13"/>
    </row>
    <row r="34">
      <c r="G34" s="115" t="s">
        <v>104</v>
      </c>
      <c r="H34" s="107">
        <v>5.0</v>
      </c>
      <c r="I34" s="66">
        <v>850.0</v>
      </c>
      <c r="J34" s="104">
        <f t="shared" si="2"/>
        <v>4250</v>
      </c>
      <c r="K34" s="109"/>
      <c r="L34" s="13"/>
    </row>
    <row r="35">
      <c r="G35" s="115" t="s">
        <v>105</v>
      </c>
      <c r="H35" s="107">
        <v>30.0</v>
      </c>
      <c r="I35" s="66">
        <v>200.0</v>
      </c>
      <c r="J35" s="104">
        <f t="shared" si="2"/>
        <v>6000</v>
      </c>
      <c r="K35" s="109"/>
      <c r="L35" s="13"/>
    </row>
    <row r="36">
      <c r="G36" s="115"/>
      <c r="H36" s="107"/>
      <c r="I36" s="66"/>
      <c r="J36" s="104"/>
      <c r="K36" s="109"/>
      <c r="L36" s="13"/>
    </row>
    <row r="37">
      <c r="G37" s="115"/>
      <c r="H37" s="107"/>
      <c r="I37" s="66"/>
      <c r="J37" s="104"/>
      <c r="K37" s="109"/>
      <c r="L37" s="13"/>
    </row>
    <row r="38">
      <c r="G38" s="116" t="s">
        <v>106</v>
      </c>
      <c r="H38" s="107">
        <v>5.0</v>
      </c>
      <c r="I38" s="66">
        <v>450.0</v>
      </c>
      <c r="J38" s="104">
        <f t="shared" ref="J38:J55" si="3">H38*I38</f>
        <v>2250</v>
      </c>
      <c r="K38" s="109"/>
      <c r="L38" s="13"/>
    </row>
    <row r="39">
      <c r="G39" s="117" t="s">
        <v>107</v>
      </c>
      <c r="H39" s="107">
        <v>2.0</v>
      </c>
      <c r="I39" s="118">
        <v>350.0</v>
      </c>
      <c r="J39" s="119">
        <f t="shared" si="3"/>
        <v>700</v>
      </c>
      <c r="K39" s="109"/>
      <c r="L39" s="13"/>
    </row>
    <row r="40">
      <c r="G40" s="117" t="s">
        <v>108</v>
      </c>
      <c r="H40" s="120">
        <v>1.0</v>
      </c>
      <c r="I40" s="118">
        <v>1650.0</v>
      </c>
      <c r="J40" s="119">
        <f t="shared" si="3"/>
        <v>1650</v>
      </c>
      <c r="K40" s="109"/>
      <c r="L40" s="13"/>
    </row>
    <row r="41">
      <c r="G41" s="117" t="s">
        <v>109</v>
      </c>
      <c r="H41" s="120">
        <v>1.0</v>
      </c>
      <c r="I41" s="118">
        <v>1350.0</v>
      </c>
      <c r="J41" s="119">
        <f t="shared" si="3"/>
        <v>1350</v>
      </c>
      <c r="K41" s="109"/>
      <c r="L41" s="13"/>
    </row>
    <row r="42">
      <c r="G42" s="117" t="s">
        <v>110</v>
      </c>
      <c r="H42" s="107">
        <v>10.0</v>
      </c>
      <c r="I42" s="118">
        <v>1680.0</v>
      </c>
      <c r="J42" s="119">
        <f t="shared" si="3"/>
        <v>16800</v>
      </c>
      <c r="K42" s="109"/>
      <c r="L42" s="13"/>
    </row>
    <row r="43">
      <c r="G43" s="117" t="s">
        <v>111</v>
      </c>
      <c r="H43" s="107">
        <v>8.0</v>
      </c>
      <c r="I43" s="118">
        <v>1670.0</v>
      </c>
      <c r="J43" s="119">
        <f t="shared" si="3"/>
        <v>13360</v>
      </c>
      <c r="K43" s="109"/>
      <c r="L43" s="13"/>
    </row>
    <row r="44">
      <c r="G44" s="117" t="s">
        <v>112</v>
      </c>
      <c r="H44" s="120">
        <v>1.0</v>
      </c>
      <c r="I44" s="66">
        <v>575.0</v>
      </c>
      <c r="J44" s="119">
        <f t="shared" si="3"/>
        <v>575</v>
      </c>
      <c r="K44" s="109"/>
      <c r="L44" s="13"/>
    </row>
    <row r="45">
      <c r="G45" s="121" t="s">
        <v>113</v>
      </c>
      <c r="H45" s="122">
        <v>1.0</v>
      </c>
      <c r="I45" s="123">
        <v>400.0</v>
      </c>
      <c r="J45" s="124">
        <f t="shared" si="3"/>
        <v>400</v>
      </c>
      <c r="K45" s="109"/>
      <c r="L45" s="13"/>
    </row>
    <row r="46">
      <c r="G46" s="117" t="s">
        <v>114</v>
      </c>
      <c r="H46" s="107">
        <v>25.0</v>
      </c>
      <c r="I46" s="118">
        <v>300.0</v>
      </c>
      <c r="J46" s="119">
        <f t="shared" si="3"/>
        <v>7500</v>
      </c>
      <c r="K46" s="109"/>
      <c r="L46" s="13"/>
    </row>
    <row r="47">
      <c r="G47" s="117" t="s">
        <v>115</v>
      </c>
      <c r="H47" s="107">
        <v>0.0</v>
      </c>
      <c r="I47" s="118">
        <v>900.0</v>
      </c>
      <c r="J47" s="119">
        <f t="shared" si="3"/>
        <v>0</v>
      </c>
      <c r="K47" s="109"/>
      <c r="L47" s="13"/>
    </row>
    <row r="48">
      <c r="G48" s="120" t="s">
        <v>116</v>
      </c>
      <c r="H48" s="107">
        <v>3.0</v>
      </c>
      <c r="I48" s="118">
        <v>280.0</v>
      </c>
      <c r="J48" s="118">
        <f t="shared" si="3"/>
        <v>840</v>
      </c>
      <c r="K48" s="109"/>
      <c r="L48" s="13"/>
    </row>
    <row r="49">
      <c r="G49" s="125" t="s">
        <v>117</v>
      </c>
      <c r="H49" s="107">
        <v>3.0</v>
      </c>
      <c r="I49" s="118">
        <v>25.0</v>
      </c>
      <c r="J49" s="119">
        <f t="shared" si="3"/>
        <v>75</v>
      </c>
      <c r="K49" s="109"/>
      <c r="L49" s="13"/>
    </row>
    <row r="50">
      <c r="G50" s="126" t="s">
        <v>118</v>
      </c>
      <c r="H50" s="127">
        <v>2.0</v>
      </c>
      <c r="I50" s="119">
        <v>70.0</v>
      </c>
      <c r="J50" s="119">
        <f t="shared" si="3"/>
        <v>140</v>
      </c>
      <c r="K50" s="109"/>
      <c r="L50" s="13"/>
    </row>
    <row r="51">
      <c r="G51" s="125" t="s">
        <v>119</v>
      </c>
      <c r="H51" s="107">
        <v>5.0</v>
      </c>
      <c r="I51" s="118">
        <v>450.0</v>
      </c>
      <c r="J51" s="118">
        <f t="shared" si="3"/>
        <v>2250</v>
      </c>
      <c r="K51" s="109"/>
      <c r="L51" s="13"/>
    </row>
    <row r="52">
      <c r="G52" s="120" t="s">
        <v>120</v>
      </c>
      <c r="H52" s="107">
        <v>3.0</v>
      </c>
      <c r="I52" s="118">
        <v>230.0</v>
      </c>
      <c r="J52" s="118">
        <f t="shared" si="3"/>
        <v>690</v>
      </c>
      <c r="K52" s="109"/>
      <c r="L52" s="13"/>
    </row>
    <row r="53">
      <c r="G53" s="120" t="s">
        <v>121</v>
      </c>
      <c r="H53" s="107">
        <v>3.0</v>
      </c>
      <c r="I53" s="118">
        <v>230.0</v>
      </c>
      <c r="J53" s="118">
        <f t="shared" si="3"/>
        <v>690</v>
      </c>
      <c r="K53" s="109"/>
      <c r="L53" s="13"/>
    </row>
    <row r="54">
      <c r="G54" s="125" t="s">
        <v>122</v>
      </c>
      <c r="H54" s="107">
        <v>2.0</v>
      </c>
      <c r="I54" s="118">
        <v>250.0</v>
      </c>
      <c r="J54" s="118">
        <f t="shared" si="3"/>
        <v>500</v>
      </c>
      <c r="K54" s="109"/>
      <c r="L54" s="13"/>
    </row>
    <row r="55">
      <c r="G55" s="125" t="s">
        <v>123</v>
      </c>
      <c r="H55" s="107">
        <v>4.0</v>
      </c>
      <c r="I55" s="118">
        <v>230.0</v>
      </c>
      <c r="J55" s="118">
        <f t="shared" si="3"/>
        <v>920</v>
      </c>
      <c r="K55" s="109"/>
      <c r="L55" s="13"/>
    </row>
    <row r="56">
      <c r="G56" s="125"/>
      <c r="H56" s="107"/>
      <c r="I56" s="118"/>
      <c r="J56" s="118"/>
      <c r="K56" s="109"/>
      <c r="L56" s="13"/>
    </row>
    <row r="57">
      <c r="G57" s="117" t="s">
        <v>124</v>
      </c>
      <c r="H57" s="107">
        <v>1.0</v>
      </c>
      <c r="I57" s="118">
        <v>90.0</v>
      </c>
      <c r="J57" s="118">
        <f t="shared" ref="J57:J59" si="4">H57*I57</f>
        <v>90</v>
      </c>
      <c r="K57" s="109"/>
      <c r="L57" s="13"/>
    </row>
    <row r="58">
      <c r="G58" s="117" t="s">
        <v>125</v>
      </c>
      <c r="H58" s="107">
        <v>10.0</v>
      </c>
      <c r="I58" s="118">
        <v>65.0</v>
      </c>
      <c r="J58" s="118">
        <f t="shared" si="4"/>
        <v>650</v>
      </c>
      <c r="K58" s="109"/>
      <c r="L58" s="13"/>
    </row>
    <row r="59">
      <c r="G59" s="117" t="s">
        <v>126</v>
      </c>
      <c r="H59" s="107">
        <v>1.5</v>
      </c>
      <c r="I59" s="118">
        <v>1000.0</v>
      </c>
      <c r="J59" s="118">
        <f t="shared" si="4"/>
        <v>1500</v>
      </c>
      <c r="K59" s="109"/>
      <c r="L59" s="13"/>
    </row>
    <row r="60">
      <c r="G60" s="117"/>
      <c r="H60" s="107"/>
      <c r="I60" s="118"/>
      <c r="J60" s="118"/>
      <c r="K60" s="109"/>
      <c r="L60" s="13"/>
    </row>
    <row r="61">
      <c r="G61" s="128" t="s">
        <v>127</v>
      </c>
      <c r="H61" s="120">
        <v>0.1</v>
      </c>
      <c r="I61" s="118">
        <v>8500.0</v>
      </c>
      <c r="J61" s="119">
        <f t="shared" ref="J61:J141" si="5">H61*I61</f>
        <v>850</v>
      </c>
      <c r="K61" s="109"/>
      <c r="L61" s="13"/>
    </row>
    <row r="62">
      <c r="G62" s="128" t="s">
        <v>128</v>
      </c>
      <c r="H62" s="107">
        <v>5.0</v>
      </c>
      <c r="I62" s="118">
        <v>160.0</v>
      </c>
      <c r="J62" s="119">
        <f t="shared" si="5"/>
        <v>800</v>
      </c>
      <c r="K62" s="109"/>
      <c r="L62" s="13"/>
    </row>
    <row r="63">
      <c r="G63" s="117" t="s">
        <v>129</v>
      </c>
      <c r="H63" s="107">
        <v>3.0</v>
      </c>
      <c r="I63" s="118">
        <v>270.0</v>
      </c>
      <c r="J63" s="119">
        <f t="shared" si="5"/>
        <v>810</v>
      </c>
      <c r="K63" s="109"/>
      <c r="L63" s="13"/>
    </row>
    <row r="64">
      <c r="G64" s="117" t="s">
        <v>130</v>
      </c>
      <c r="H64" s="120">
        <v>1.0</v>
      </c>
      <c r="I64" s="118">
        <v>2500.0</v>
      </c>
      <c r="J64" s="119">
        <f t="shared" si="5"/>
        <v>2500</v>
      </c>
      <c r="K64" s="109"/>
      <c r="L64" s="13"/>
    </row>
    <row r="65">
      <c r="G65" s="117" t="s">
        <v>131</v>
      </c>
      <c r="H65" s="120">
        <v>5.0</v>
      </c>
      <c r="I65" s="118">
        <v>200.0</v>
      </c>
      <c r="J65" s="119">
        <f t="shared" si="5"/>
        <v>1000</v>
      </c>
      <c r="K65" s="109"/>
      <c r="L65" s="13"/>
    </row>
    <row r="66">
      <c r="G66" s="117" t="s">
        <v>132</v>
      </c>
      <c r="H66" s="107">
        <v>70.0</v>
      </c>
      <c r="I66" s="66">
        <v>77.0</v>
      </c>
      <c r="J66" s="119">
        <f t="shared" si="5"/>
        <v>5390</v>
      </c>
      <c r="K66" s="109"/>
      <c r="L66" s="13"/>
    </row>
    <row r="67">
      <c r="G67" s="117" t="s">
        <v>133</v>
      </c>
      <c r="H67" s="120">
        <v>60.0</v>
      </c>
      <c r="I67" s="118">
        <v>46.0</v>
      </c>
      <c r="J67" s="119">
        <f t="shared" si="5"/>
        <v>2760</v>
      </c>
      <c r="K67" s="109"/>
      <c r="L67" s="13"/>
    </row>
    <row r="68">
      <c r="G68" s="117" t="s">
        <v>134</v>
      </c>
      <c r="H68" s="120">
        <v>36.0</v>
      </c>
      <c r="I68" s="118">
        <v>46.0</v>
      </c>
      <c r="J68" s="119">
        <f t="shared" si="5"/>
        <v>1656</v>
      </c>
      <c r="K68" s="109"/>
      <c r="L68" s="13"/>
    </row>
    <row r="69">
      <c r="G69" s="117" t="s">
        <v>135</v>
      </c>
      <c r="H69" s="107">
        <v>21.0</v>
      </c>
      <c r="I69" s="118">
        <v>75.0</v>
      </c>
      <c r="J69" s="119">
        <f t="shared" si="5"/>
        <v>1575</v>
      </c>
      <c r="K69" s="109"/>
      <c r="L69" s="13"/>
    </row>
    <row r="70">
      <c r="G70" s="117" t="s">
        <v>136</v>
      </c>
      <c r="H70" s="120">
        <v>24.0</v>
      </c>
      <c r="I70" s="118">
        <v>77.0</v>
      </c>
      <c r="J70" s="119">
        <f t="shared" si="5"/>
        <v>1848</v>
      </c>
      <c r="K70" s="109"/>
      <c r="L70" s="13"/>
    </row>
    <row r="71">
      <c r="G71" s="117" t="s">
        <v>137</v>
      </c>
      <c r="H71" s="107">
        <v>116.0</v>
      </c>
      <c r="I71" s="118">
        <v>43.0</v>
      </c>
      <c r="J71" s="118">
        <f t="shared" si="5"/>
        <v>4988</v>
      </c>
      <c r="K71" s="109"/>
      <c r="L71" s="13"/>
    </row>
    <row r="72">
      <c r="G72" s="129" t="s">
        <v>138</v>
      </c>
      <c r="H72" s="112">
        <v>4.0</v>
      </c>
      <c r="I72" s="130">
        <v>203.0</v>
      </c>
      <c r="J72" s="131">
        <f t="shared" si="5"/>
        <v>812</v>
      </c>
      <c r="K72" s="109"/>
      <c r="L72" s="13"/>
    </row>
    <row r="73">
      <c r="G73" s="117" t="s">
        <v>139</v>
      </c>
      <c r="H73" s="120">
        <v>10.0</v>
      </c>
      <c r="I73" s="118">
        <v>200.0</v>
      </c>
      <c r="J73" s="119">
        <f t="shared" si="5"/>
        <v>2000</v>
      </c>
      <c r="K73" s="109"/>
      <c r="L73" s="13"/>
    </row>
    <row r="74">
      <c r="G74" s="129" t="s">
        <v>140</v>
      </c>
      <c r="H74" s="112">
        <v>23.0</v>
      </c>
      <c r="I74" s="130">
        <v>50.0</v>
      </c>
      <c r="J74" s="130">
        <f t="shared" si="5"/>
        <v>1150</v>
      </c>
      <c r="K74" s="109"/>
      <c r="L74" s="13"/>
    </row>
    <row r="75">
      <c r="G75" s="117" t="s">
        <v>141</v>
      </c>
      <c r="H75" s="107">
        <v>1.0</v>
      </c>
      <c r="I75" s="118">
        <v>300.0</v>
      </c>
      <c r="J75" s="119">
        <f t="shared" si="5"/>
        <v>300</v>
      </c>
      <c r="K75" s="109"/>
      <c r="L75" s="13"/>
    </row>
    <row r="76">
      <c r="G76" s="117" t="s">
        <v>142</v>
      </c>
      <c r="H76" s="107">
        <v>6.0</v>
      </c>
      <c r="I76" s="118">
        <v>600.0</v>
      </c>
      <c r="J76" s="119">
        <f t="shared" si="5"/>
        <v>3600</v>
      </c>
      <c r="K76" s="109"/>
      <c r="L76" s="13"/>
    </row>
    <row r="77">
      <c r="G77" s="117" t="s">
        <v>143</v>
      </c>
      <c r="H77" s="107">
        <v>28.0</v>
      </c>
      <c r="I77" s="118">
        <v>190.0</v>
      </c>
      <c r="J77" s="119">
        <f t="shared" si="5"/>
        <v>5320</v>
      </c>
      <c r="K77" s="109"/>
      <c r="L77" s="13"/>
    </row>
    <row r="78">
      <c r="G78" s="120" t="s">
        <v>144</v>
      </c>
      <c r="H78" s="107">
        <v>18.0</v>
      </c>
      <c r="I78" s="118">
        <v>250.0</v>
      </c>
      <c r="J78" s="119">
        <f t="shared" si="5"/>
        <v>4500</v>
      </c>
      <c r="K78" s="109"/>
      <c r="L78" s="13"/>
    </row>
    <row r="79">
      <c r="G79" s="107" t="s">
        <v>145</v>
      </c>
      <c r="H79" s="107">
        <v>2.0</v>
      </c>
      <c r="I79" s="66">
        <v>500.0</v>
      </c>
      <c r="J79" s="104">
        <f t="shared" si="5"/>
        <v>1000</v>
      </c>
      <c r="K79" s="132">
        <v>45568.0</v>
      </c>
      <c r="L79" s="13"/>
    </row>
    <row r="80">
      <c r="G80" s="107" t="s">
        <v>104</v>
      </c>
      <c r="H80" s="107">
        <v>1.25</v>
      </c>
      <c r="I80" s="66">
        <v>800.0</v>
      </c>
      <c r="J80" s="104">
        <f t="shared" si="5"/>
        <v>1000</v>
      </c>
      <c r="K80" s="109"/>
      <c r="L80" s="13"/>
    </row>
    <row r="81">
      <c r="G81" s="107" t="s">
        <v>100</v>
      </c>
      <c r="H81" s="107">
        <v>10.0</v>
      </c>
      <c r="I81" s="66">
        <v>100.0</v>
      </c>
      <c r="J81" s="104">
        <f t="shared" si="5"/>
        <v>1000</v>
      </c>
      <c r="K81" s="109"/>
      <c r="L81" s="13"/>
    </row>
    <row r="82">
      <c r="G82" s="107" t="s">
        <v>146</v>
      </c>
      <c r="H82" s="107">
        <v>1.0</v>
      </c>
      <c r="I82" s="66">
        <v>1000.0</v>
      </c>
      <c r="J82" s="104">
        <f t="shared" si="5"/>
        <v>1000</v>
      </c>
      <c r="K82" s="109"/>
      <c r="L82" s="13"/>
    </row>
    <row r="83">
      <c r="G83" s="107" t="s">
        <v>147</v>
      </c>
      <c r="H83" s="107">
        <v>1.0</v>
      </c>
      <c r="I83" s="66">
        <v>1000.0</v>
      </c>
      <c r="J83" s="104">
        <f t="shared" si="5"/>
        <v>1000</v>
      </c>
      <c r="K83" s="109"/>
      <c r="L83" s="13"/>
    </row>
    <row r="84">
      <c r="G84" s="107" t="s">
        <v>142</v>
      </c>
      <c r="H84" s="107">
        <v>20.0</v>
      </c>
      <c r="I84" s="66">
        <v>600.0</v>
      </c>
      <c r="J84" s="104">
        <f t="shared" si="5"/>
        <v>12000</v>
      </c>
      <c r="K84" s="132">
        <v>45568.0</v>
      </c>
      <c r="L84" s="13"/>
    </row>
    <row r="85">
      <c r="G85" s="107" t="s">
        <v>148</v>
      </c>
      <c r="H85" s="107">
        <v>14.0</v>
      </c>
      <c r="I85" s="66">
        <v>115.0</v>
      </c>
      <c r="J85" s="104">
        <f t="shared" si="5"/>
        <v>1610</v>
      </c>
      <c r="K85" s="133"/>
      <c r="L85" s="13"/>
    </row>
    <row r="86">
      <c r="G86" s="107" t="s">
        <v>149</v>
      </c>
      <c r="H86" s="107">
        <v>1.0</v>
      </c>
      <c r="I86" s="66">
        <v>800.0</v>
      </c>
      <c r="J86" s="104">
        <f t="shared" si="5"/>
        <v>800</v>
      </c>
      <c r="K86" s="109"/>
      <c r="L86" s="13"/>
    </row>
    <row r="87">
      <c r="G87" s="107" t="s">
        <v>150</v>
      </c>
      <c r="H87" s="107">
        <v>1.0</v>
      </c>
      <c r="I87" s="66">
        <v>220.0</v>
      </c>
      <c r="J87" s="104">
        <f t="shared" si="5"/>
        <v>220</v>
      </c>
      <c r="K87" s="109"/>
      <c r="L87" s="13"/>
    </row>
    <row r="88">
      <c r="G88" s="107" t="s">
        <v>151</v>
      </c>
      <c r="H88" s="107">
        <v>1.0</v>
      </c>
      <c r="I88" s="66">
        <v>190.0</v>
      </c>
      <c r="J88" s="104">
        <f t="shared" si="5"/>
        <v>190</v>
      </c>
      <c r="K88" s="109"/>
      <c r="L88" s="13"/>
    </row>
    <row r="89">
      <c r="G89" s="107" t="s">
        <v>152</v>
      </c>
      <c r="H89" s="107">
        <v>4.0</v>
      </c>
      <c r="I89" s="66">
        <v>100.0</v>
      </c>
      <c r="J89" s="104">
        <f t="shared" si="5"/>
        <v>400</v>
      </c>
      <c r="K89" s="109"/>
      <c r="L89" s="13"/>
    </row>
    <row r="90">
      <c r="G90" s="101" t="s">
        <v>153</v>
      </c>
      <c r="H90" s="107">
        <v>60.0</v>
      </c>
      <c r="I90" s="66">
        <v>25.0</v>
      </c>
      <c r="J90" s="104">
        <f t="shared" si="5"/>
        <v>1500</v>
      </c>
      <c r="K90" s="109"/>
      <c r="L90" s="13"/>
    </row>
    <row r="91">
      <c r="G91" s="115" t="s">
        <v>137</v>
      </c>
      <c r="H91" s="107">
        <v>19.0</v>
      </c>
      <c r="I91" s="66">
        <v>60.0</v>
      </c>
      <c r="J91" s="104">
        <f t="shared" si="5"/>
        <v>1140</v>
      </c>
      <c r="K91" s="109"/>
      <c r="L91" s="13"/>
    </row>
    <row r="92">
      <c r="G92" s="115" t="s">
        <v>154</v>
      </c>
      <c r="H92" s="107">
        <v>1.0</v>
      </c>
      <c r="I92" s="66">
        <v>420.0</v>
      </c>
      <c r="J92" s="104">
        <f t="shared" si="5"/>
        <v>420</v>
      </c>
      <c r="K92" s="109"/>
      <c r="L92" s="13"/>
    </row>
    <row r="93">
      <c r="G93" s="115" t="s">
        <v>155</v>
      </c>
      <c r="H93" s="107">
        <v>1.0</v>
      </c>
      <c r="I93" s="66">
        <v>220.0</v>
      </c>
      <c r="J93" s="104">
        <f t="shared" si="5"/>
        <v>220</v>
      </c>
      <c r="K93" s="109"/>
      <c r="L93" s="13"/>
    </row>
    <row r="94">
      <c r="G94" s="115" t="s">
        <v>156</v>
      </c>
      <c r="H94" s="107">
        <v>1.0</v>
      </c>
      <c r="I94" s="66">
        <v>1000.0</v>
      </c>
      <c r="J94" s="104">
        <f t="shared" si="5"/>
        <v>1000</v>
      </c>
      <c r="K94" s="109"/>
      <c r="L94" s="13"/>
    </row>
    <row r="95">
      <c r="G95" s="115" t="s">
        <v>157</v>
      </c>
      <c r="H95" s="107">
        <v>1.0</v>
      </c>
      <c r="I95" s="66">
        <v>500.0</v>
      </c>
      <c r="J95" s="104">
        <f t="shared" si="5"/>
        <v>500</v>
      </c>
      <c r="K95" s="132">
        <v>45569.0</v>
      </c>
      <c r="L95" s="13"/>
    </row>
    <row r="96">
      <c r="G96" s="115" t="s">
        <v>146</v>
      </c>
      <c r="H96" s="107">
        <v>1.0</v>
      </c>
      <c r="I96" s="66">
        <v>350.0</v>
      </c>
      <c r="J96" s="104">
        <f t="shared" si="5"/>
        <v>350</v>
      </c>
      <c r="K96" s="109"/>
      <c r="L96" s="13"/>
    </row>
    <row r="97">
      <c r="G97" s="115" t="s">
        <v>158</v>
      </c>
      <c r="H97" s="107">
        <v>3.6</v>
      </c>
      <c r="I97" s="66">
        <v>850.0</v>
      </c>
      <c r="J97" s="104">
        <f t="shared" si="5"/>
        <v>3060</v>
      </c>
      <c r="K97" s="109"/>
      <c r="L97" s="13"/>
    </row>
    <row r="98">
      <c r="G98" s="115" t="s">
        <v>159</v>
      </c>
      <c r="H98" s="107">
        <v>2.0</v>
      </c>
      <c r="I98" s="66">
        <v>100.0</v>
      </c>
      <c r="J98" s="104">
        <f t="shared" si="5"/>
        <v>200</v>
      </c>
      <c r="K98" s="109"/>
      <c r="L98" s="13"/>
    </row>
    <row r="99">
      <c r="G99" s="115" t="s">
        <v>160</v>
      </c>
      <c r="H99" s="107">
        <v>1.0</v>
      </c>
      <c r="I99" s="66">
        <v>600.0</v>
      </c>
      <c r="J99" s="104">
        <f t="shared" si="5"/>
        <v>600</v>
      </c>
      <c r="K99" s="109"/>
      <c r="L99" s="13"/>
    </row>
    <row r="100">
      <c r="G100" s="115" t="s">
        <v>161</v>
      </c>
      <c r="H100" s="107">
        <v>1.0</v>
      </c>
      <c r="I100" s="66">
        <v>1250.0</v>
      </c>
      <c r="J100" s="104">
        <f t="shared" si="5"/>
        <v>1250</v>
      </c>
      <c r="K100" s="109"/>
      <c r="L100" s="13"/>
    </row>
    <row r="101">
      <c r="G101" s="115" t="s">
        <v>162</v>
      </c>
      <c r="H101" s="107">
        <v>2.0</v>
      </c>
      <c r="I101" s="66">
        <v>900.0</v>
      </c>
      <c r="J101" s="104">
        <f t="shared" si="5"/>
        <v>1800</v>
      </c>
      <c r="K101" s="109"/>
      <c r="L101" s="13"/>
    </row>
    <row r="102">
      <c r="G102" s="115" t="s">
        <v>163</v>
      </c>
      <c r="H102" s="107">
        <v>2.0</v>
      </c>
      <c r="I102" s="66">
        <v>180.0</v>
      </c>
      <c r="J102" s="104">
        <f t="shared" si="5"/>
        <v>360</v>
      </c>
      <c r="K102" s="109"/>
      <c r="L102" s="13"/>
    </row>
    <row r="103">
      <c r="G103" s="115" t="s">
        <v>100</v>
      </c>
      <c r="H103" s="107">
        <v>3.0</v>
      </c>
      <c r="I103" s="66">
        <v>120.0</v>
      </c>
      <c r="J103" s="104">
        <f t="shared" si="5"/>
        <v>360</v>
      </c>
      <c r="K103" s="109"/>
      <c r="L103" s="13"/>
    </row>
    <row r="104">
      <c r="G104" s="115" t="s">
        <v>100</v>
      </c>
      <c r="H104" s="107">
        <v>5.0</v>
      </c>
      <c r="I104" s="66">
        <v>100.0</v>
      </c>
      <c r="J104" s="104">
        <f t="shared" si="5"/>
        <v>500</v>
      </c>
      <c r="K104" s="109"/>
      <c r="L104" s="13"/>
    </row>
    <row r="105">
      <c r="G105" s="115" t="s">
        <v>105</v>
      </c>
      <c r="H105" s="107">
        <v>10.0</v>
      </c>
      <c r="I105" s="66">
        <v>170.0</v>
      </c>
      <c r="J105" s="104">
        <f t="shared" si="5"/>
        <v>1700</v>
      </c>
      <c r="K105" s="109"/>
      <c r="L105" s="13"/>
    </row>
    <row r="106">
      <c r="G106" s="115" t="s">
        <v>164</v>
      </c>
      <c r="H106" s="107">
        <v>1.0</v>
      </c>
      <c r="I106" s="66">
        <v>720.0</v>
      </c>
      <c r="J106" s="104">
        <f t="shared" si="5"/>
        <v>720</v>
      </c>
      <c r="K106" s="109"/>
      <c r="L106" s="13"/>
    </row>
    <row r="107">
      <c r="G107" s="115" t="s">
        <v>165</v>
      </c>
      <c r="H107" s="107">
        <v>1.0</v>
      </c>
      <c r="I107" s="66">
        <v>3800.0</v>
      </c>
      <c r="J107" s="104">
        <f t="shared" si="5"/>
        <v>3800</v>
      </c>
      <c r="K107" s="132">
        <v>45570.0</v>
      </c>
      <c r="L107" s="13"/>
    </row>
    <row r="108">
      <c r="G108" s="115" t="s">
        <v>105</v>
      </c>
      <c r="H108" s="107">
        <v>15.0</v>
      </c>
      <c r="I108" s="66">
        <v>190.0</v>
      </c>
      <c r="J108" s="104">
        <f t="shared" si="5"/>
        <v>2850</v>
      </c>
      <c r="K108" s="109"/>
      <c r="L108" s="13"/>
    </row>
    <row r="109">
      <c r="G109" s="115" t="s">
        <v>166</v>
      </c>
      <c r="H109" s="107">
        <v>2.5</v>
      </c>
      <c r="I109" s="66">
        <v>800.0</v>
      </c>
      <c r="J109" s="104">
        <f t="shared" si="5"/>
        <v>2000</v>
      </c>
      <c r="K109" s="109"/>
      <c r="L109" s="13"/>
    </row>
    <row r="110">
      <c r="G110" s="115" t="s">
        <v>167</v>
      </c>
      <c r="H110" s="107">
        <v>1.25</v>
      </c>
      <c r="I110" s="66">
        <v>800.0</v>
      </c>
      <c r="J110" s="104">
        <f t="shared" si="5"/>
        <v>1000</v>
      </c>
      <c r="K110" s="109"/>
      <c r="L110" s="13"/>
    </row>
    <row r="111">
      <c r="G111" s="116" t="s">
        <v>146</v>
      </c>
      <c r="H111" s="107">
        <v>1.0</v>
      </c>
      <c r="I111" s="66">
        <v>600.0</v>
      </c>
      <c r="J111" s="104">
        <f t="shared" si="5"/>
        <v>600</v>
      </c>
      <c r="K111" s="109"/>
      <c r="L111" s="13"/>
    </row>
    <row r="112">
      <c r="G112" s="116" t="s">
        <v>168</v>
      </c>
      <c r="H112" s="107">
        <v>6.0</v>
      </c>
      <c r="I112" s="66">
        <v>400.0</v>
      </c>
      <c r="J112" s="104">
        <f t="shared" si="5"/>
        <v>2400</v>
      </c>
      <c r="K112" s="109"/>
      <c r="L112" s="13"/>
    </row>
    <row r="113">
      <c r="G113" s="116" t="s">
        <v>102</v>
      </c>
      <c r="H113" s="107">
        <v>2.0</v>
      </c>
      <c r="I113" s="66">
        <v>120.0</v>
      </c>
      <c r="J113" s="104">
        <f t="shared" si="5"/>
        <v>240</v>
      </c>
      <c r="K113" s="109"/>
      <c r="L113" s="13"/>
    </row>
    <row r="114">
      <c r="G114" s="116" t="s">
        <v>169</v>
      </c>
      <c r="H114" s="107">
        <v>5.0</v>
      </c>
      <c r="I114" s="66">
        <v>30.0</v>
      </c>
      <c r="J114" s="104">
        <f t="shared" si="5"/>
        <v>150</v>
      </c>
      <c r="K114" s="109"/>
      <c r="L114" s="13"/>
    </row>
    <row r="115">
      <c r="G115" s="116" t="s">
        <v>103</v>
      </c>
      <c r="H115" s="107">
        <v>3.0</v>
      </c>
      <c r="I115" s="66">
        <v>250.0</v>
      </c>
      <c r="J115" s="104">
        <f t="shared" si="5"/>
        <v>750</v>
      </c>
      <c r="K115" s="109"/>
      <c r="L115" s="13"/>
    </row>
    <row r="116">
      <c r="G116" s="116" t="s">
        <v>170</v>
      </c>
      <c r="H116" s="107">
        <v>1.0</v>
      </c>
      <c r="I116" s="66">
        <v>600.0</v>
      </c>
      <c r="J116" s="104">
        <f t="shared" si="5"/>
        <v>600</v>
      </c>
      <c r="K116" s="109"/>
      <c r="L116" s="13"/>
    </row>
    <row r="117">
      <c r="G117" s="116" t="s">
        <v>171</v>
      </c>
      <c r="H117" s="107">
        <v>1.0</v>
      </c>
      <c r="I117" s="66">
        <v>400.0</v>
      </c>
      <c r="J117" s="104">
        <f t="shared" si="5"/>
        <v>400</v>
      </c>
      <c r="K117" s="109"/>
      <c r="L117" s="13"/>
    </row>
    <row r="118">
      <c r="G118" s="116" t="s">
        <v>172</v>
      </c>
      <c r="H118" s="107">
        <v>10.0</v>
      </c>
      <c r="I118" s="66">
        <v>100.0</v>
      </c>
      <c r="J118" s="104">
        <f t="shared" si="5"/>
        <v>1000</v>
      </c>
      <c r="K118" s="109"/>
      <c r="L118" s="13"/>
    </row>
    <row r="119">
      <c r="G119" s="116" t="s">
        <v>173</v>
      </c>
      <c r="H119" s="107">
        <v>3.0</v>
      </c>
      <c r="I119" s="66">
        <v>350.0</v>
      </c>
      <c r="J119" s="104">
        <f t="shared" si="5"/>
        <v>1050</v>
      </c>
      <c r="K119" s="109"/>
      <c r="L119" s="13"/>
    </row>
    <row r="120">
      <c r="G120" s="116" t="s">
        <v>100</v>
      </c>
      <c r="H120" s="107">
        <v>15.0</v>
      </c>
      <c r="I120" s="66">
        <v>100.0</v>
      </c>
      <c r="J120" s="104">
        <f t="shared" si="5"/>
        <v>1500</v>
      </c>
      <c r="K120" s="109"/>
      <c r="L120" s="13"/>
    </row>
    <row r="121">
      <c r="G121" s="116" t="s">
        <v>109</v>
      </c>
      <c r="H121" s="107">
        <v>1.0</v>
      </c>
      <c r="I121" s="66">
        <v>1350.0</v>
      </c>
      <c r="J121" s="104">
        <f t="shared" si="5"/>
        <v>1350</v>
      </c>
      <c r="K121" s="109"/>
      <c r="L121" s="13"/>
    </row>
    <row r="122">
      <c r="G122" s="116" t="s">
        <v>174</v>
      </c>
      <c r="H122" s="107">
        <v>1.0</v>
      </c>
      <c r="I122" s="66">
        <v>1100.0</v>
      </c>
      <c r="J122" s="104">
        <f t="shared" si="5"/>
        <v>1100</v>
      </c>
      <c r="K122" s="109"/>
      <c r="L122" s="13"/>
    </row>
    <row r="123">
      <c r="G123" s="116" t="s">
        <v>175</v>
      </c>
      <c r="H123" s="107">
        <v>1.0</v>
      </c>
      <c r="I123" s="66">
        <v>1050.0</v>
      </c>
      <c r="J123" s="104">
        <f t="shared" si="5"/>
        <v>1050</v>
      </c>
      <c r="K123" s="109"/>
      <c r="L123" s="13"/>
    </row>
    <row r="124">
      <c r="G124" s="116" t="s">
        <v>176</v>
      </c>
      <c r="H124" s="107">
        <v>0.5</v>
      </c>
      <c r="I124" s="66">
        <v>1400.0</v>
      </c>
      <c r="J124" s="104">
        <f t="shared" si="5"/>
        <v>700</v>
      </c>
      <c r="K124" s="109"/>
      <c r="L124" s="13"/>
    </row>
    <row r="125">
      <c r="G125" s="116" t="s">
        <v>124</v>
      </c>
      <c r="H125" s="107">
        <v>10.0</v>
      </c>
      <c r="I125" s="66">
        <v>90.0</v>
      </c>
      <c r="J125" s="104">
        <f t="shared" si="5"/>
        <v>900</v>
      </c>
      <c r="K125" s="109"/>
      <c r="L125" s="13"/>
    </row>
    <row r="126">
      <c r="G126" s="116" t="s">
        <v>177</v>
      </c>
      <c r="H126" s="107">
        <v>3.0</v>
      </c>
      <c r="I126" s="66">
        <v>220.0</v>
      </c>
      <c r="J126" s="104">
        <f t="shared" si="5"/>
        <v>660</v>
      </c>
      <c r="K126" s="109"/>
      <c r="L126" s="13"/>
    </row>
    <row r="127">
      <c r="G127" s="116" t="s">
        <v>178</v>
      </c>
      <c r="H127" s="107">
        <v>1.0</v>
      </c>
      <c r="I127" s="66">
        <v>140.0</v>
      </c>
      <c r="J127" s="104">
        <f t="shared" si="5"/>
        <v>140</v>
      </c>
      <c r="K127" s="109"/>
      <c r="L127" s="13"/>
    </row>
    <row r="128">
      <c r="G128" s="116" t="s">
        <v>179</v>
      </c>
      <c r="H128" s="107">
        <v>1.0</v>
      </c>
      <c r="I128" s="66">
        <v>200.0</v>
      </c>
      <c r="J128" s="104">
        <f t="shared" si="5"/>
        <v>200</v>
      </c>
      <c r="K128" s="109"/>
      <c r="L128" s="13"/>
    </row>
    <row r="129">
      <c r="G129" s="116" t="s">
        <v>180</v>
      </c>
      <c r="H129" s="107">
        <v>1.0</v>
      </c>
      <c r="I129" s="66">
        <v>100.0</v>
      </c>
      <c r="J129" s="104">
        <f t="shared" si="5"/>
        <v>100</v>
      </c>
      <c r="K129" s="109"/>
      <c r="L129" s="13"/>
    </row>
    <row r="130">
      <c r="G130" s="116" t="s">
        <v>181</v>
      </c>
      <c r="H130" s="107">
        <v>13.0</v>
      </c>
      <c r="I130" s="66">
        <v>50.0</v>
      </c>
      <c r="J130" s="104">
        <f t="shared" si="5"/>
        <v>650</v>
      </c>
      <c r="K130" s="109"/>
      <c r="L130" s="13"/>
    </row>
    <row r="131">
      <c r="G131" s="116" t="s">
        <v>182</v>
      </c>
      <c r="H131" s="107">
        <v>4.0</v>
      </c>
      <c r="I131" s="66">
        <v>40.0</v>
      </c>
      <c r="J131" s="104">
        <f t="shared" si="5"/>
        <v>160</v>
      </c>
      <c r="K131" s="132">
        <v>45571.0</v>
      </c>
      <c r="L131" s="13"/>
    </row>
    <row r="132">
      <c r="G132" s="116" t="s">
        <v>183</v>
      </c>
      <c r="H132" s="107">
        <v>1.0</v>
      </c>
      <c r="I132" s="66">
        <v>60.0</v>
      </c>
      <c r="J132" s="104">
        <f t="shared" si="5"/>
        <v>60</v>
      </c>
      <c r="K132" s="109"/>
      <c r="L132" s="13"/>
    </row>
    <row r="133">
      <c r="G133" s="116" t="s">
        <v>184</v>
      </c>
      <c r="H133" s="107">
        <v>1.0</v>
      </c>
      <c r="I133" s="66">
        <v>150.0</v>
      </c>
      <c r="J133" s="104">
        <f t="shared" si="5"/>
        <v>150</v>
      </c>
      <c r="K133" s="109"/>
      <c r="L133" s="13"/>
    </row>
    <row r="134">
      <c r="G134" s="116" t="s">
        <v>185</v>
      </c>
      <c r="H134" s="107">
        <v>1.0</v>
      </c>
      <c r="I134" s="66">
        <v>350.0</v>
      </c>
      <c r="J134" s="104">
        <f t="shared" si="5"/>
        <v>350</v>
      </c>
      <c r="K134" s="109"/>
      <c r="L134" s="13"/>
    </row>
    <row r="135">
      <c r="G135" s="116" t="s">
        <v>186</v>
      </c>
      <c r="H135" s="107">
        <v>1.0</v>
      </c>
      <c r="I135" s="66">
        <v>360.0</v>
      </c>
      <c r="J135" s="104">
        <f t="shared" si="5"/>
        <v>360</v>
      </c>
      <c r="K135" s="109"/>
      <c r="L135" s="13"/>
    </row>
    <row r="136">
      <c r="G136" s="116" t="s">
        <v>187</v>
      </c>
      <c r="H136" s="107">
        <v>1.0</v>
      </c>
      <c r="I136" s="66">
        <v>540.0</v>
      </c>
      <c r="J136" s="104">
        <f t="shared" si="5"/>
        <v>540</v>
      </c>
      <c r="K136" s="109"/>
      <c r="L136" s="13"/>
    </row>
    <row r="137">
      <c r="G137" s="116" t="s">
        <v>188</v>
      </c>
      <c r="H137" s="107">
        <v>3.7</v>
      </c>
      <c r="I137" s="66">
        <v>950.0</v>
      </c>
      <c r="J137" s="104">
        <f t="shared" si="5"/>
        <v>3515</v>
      </c>
      <c r="K137" s="109"/>
      <c r="L137" s="13"/>
    </row>
    <row r="138">
      <c r="G138" s="116" t="s">
        <v>146</v>
      </c>
      <c r="H138" s="107">
        <v>1.0</v>
      </c>
      <c r="I138" s="66">
        <v>110.0</v>
      </c>
      <c r="J138" s="104">
        <f t="shared" si="5"/>
        <v>110</v>
      </c>
      <c r="K138" s="109"/>
      <c r="L138" s="13"/>
    </row>
    <row r="139">
      <c r="G139" s="116" t="s">
        <v>189</v>
      </c>
      <c r="H139" s="107">
        <v>3.0</v>
      </c>
      <c r="I139" s="66">
        <v>160.0</v>
      </c>
      <c r="J139" s="104">
        <f t="shared" si="5"/>
        <v>480</v>
      </c>
      <c r="K139" s="109"/>
      <c r="L139" s="13"/>
    </row>
    <row r="140">
      <c r="G140" s="116" t="s">
        <v>190</v>
      </c>
      <c r="H140" s="107">
        <v>1.2</v>
      </c>
      <c r="I140" s="66">
        <v>220.0</v>
      </c>
      <c r="J140" s="104">
        <f t="shared" si="5"/>
        <v>264</v>
      </c>
      <c r="K140" s="109"/>
      <c r="L140" s="13"/>
    </row>
    <row r="141">
      <c r="G141" s="116" t="s">
        <v>191</v>
      </c>
      <c r="H141" s="107">
        <v>1.0</v>
      </c>
      <c r="I141" s="66">
        <v>800.0</v>
      </c>
      <c r="J141" s="104">
        <f t="shared" si="5"/>
        <v>800</v>
      </c>
      <c r="K141" s="109"/>
      <c r="L141" s="13"/>
    </row>
    <row r="142">
      <c r="G142" s="116"/>
      <c r="H142" s="107"/>
      <c r="I142" s="66"/>
      <c r="J142" s="104"/>
      <c r="K142" s="109"/>
      <c r="L142" s="13"/>
    </row>
    <row r="143">
      <c r="G143" s="116" t="s">
        <v>192</v>
      </c>
      <c r="H143" s="107">
        <v>1.0</v>
      </c>
      <c r="I143" s="66">
        <v>750.0</v>
      </c>
      <c r="J143" s="104">
        <f t="shared" ref="J143:J175" si="6">H143*I143</f>
        <v>750</v>
      </c>
      <c r="K143" s="109"/>
      <c r="L143" s="13"/>
    </row>
    <row r="144">
      <c r="G144" s="116" t="s">
        <v>193</v>
      </c>
      <c r="H144" s="107">
        <v>1.0</v>
      </c>
      <c r="I144" s="66">
        <v>260.0</v>
      </c>
      <c r="J144" s="104">
        <f t="shared" si="6"/>
        <v>260</v>
      </c>
      <c r="K144" s="109"/>
      <c r="L144" s="13"/>
    </row>
    <row r="145">
      <c r="G145" s="116" t="s">
        <v>194</v>
      </c>
      <c r="H145" s="107">
        <v>1.0</v>
      </c>
      <c r="I145" s="66">
        <v>250.0</v>
      </c>
      <c r="J145" s="104">
        <f t="shared" si="6"/>
        <v>250</v>
      </c>
      <c r="K145" s="109"/>
      <c r="L145" s="13"/>
    </row>
    <row r="146">
      <c r="G146" s="116" t="s">
        <v>195</v>
      </c>
      <c r="H146" s="107">
        <v>1.0</v>
      </c>
      <c r="I146" s="66">
        <v>300.0</v>
      </c>
      <c r="J146" s="104">
        <f t="shared" si="6"/>
        <v>300</v>
      </c>
      <c r="K146" s="109"/>
      <c r="L146" s="13"/>
    </row>
    <row r="147">
      <c r="G147" s="116" t="s">
        <v>196</v>
      </c>
      <c r="H147" s="107">
        <v>1.0</v>
      </c>
      <c r="I147" s="66">
        <v>660.0</v>
      </c>
      <c r="J147" s="104">
        <f t="shared" si="6"/>
        <v>660</v>
      </c>
      <c r="K147" s="109"/>
      <c r="L147" s="13"/>
    </row>
    <row r="148">
      <c r="G148" s="116" t="s">
        <v>197</v>
      </c>
      <c r="H148" s="107">
        <v>1.0</v>
      </c>
      <c r="I148" s="66">
        <v>1200.0</v>
      </c>
      <c r="J148" s="104">
        <f t="shared" si="6"/>
        <v>1200</v>
      </c>
      <c r="K148" s="109"/>
      <c r="L148" s="13"/>
    </row>
    <row r="149">
      <c r="G149" s="116" t="s">
        <v>198</v>
      </c>
      <c r="H149" s="107">
        <v>1.0</v>
      </c>
      <c r="I149" s="66">
        <v>230.0</v>
      </c>
      <c r="J149" s="104">
        <f t="shared" si="6"/>
        <v>230</v>
      </c>
      <c r="K149" s="109"/>
      <c r="L149" s="13"/>
    </row>
    <row r="150">
      <c r="G150" s="116" t="s">
        <v>106</v>
      </c>
      <c r="H150" s="107">
        <v>3.0</v>
      </c>
      <c r="I150" s="66">
        <v>450.0</v>
      </c>
      <c r="J150" s="104">
        <f t="shared" si="6"/>
        <v>1350</v>
      </c>
      <c r="K150" s="132">
        <v>45572.0</v>
      </c>
      <c r="L150" s="13"/>
    </row>
    <row r="151">
      <c r="G151" s="116" t="s">
        <v>199</v>
      </c>
      <c r="H151" s="107">
        <v>5.0</v>
      </c>
      <c r="I151" s="66">
        <v>100.0</v>
      </c>
      <c r="J151" s="104">
        <f t="shared" si="6"/>
        <v>500</v>
      </c>
      <c r="K151" s="109"/>
      <c r="L151" s="13"/>
    </row>
    <row r="152">
      <c r="G152" s="116" t="s">
        <v>200</v>
      </c>
      <c r="H152" s="107">
        <v>2.0</v>
      </c>
      <c r="I152" s="66">
        <v>150.0</v>
      </c>
      <c r="J152" s="104">
        <f t="shared" si="6"/>
        <v>300</v>
      </c>
      <c r="K152" s="109"/>
      <c r="L152" s="13"/>
    </row>
    <row r="153">
      <c r="G153" s="116" t="s">
        <v>201</v>
      </c>
      <c r="H153" s="107">
        <v>150.0</v>
      </c>
      <c r="I153" s="66">
        <v>48.0</v>
      </c>
      <c r="J153" s="104">
        <f t="shared" si="6"/>
        <v>7200</v>
      </c>
      <c r="K153" s="109"/>
      <c r="L153" s="13"/>
    </row>
    <row r="154">
      <c r="G154" s="116" t="s">
        <v>202</v>
      </c>
      <c r="H154" s="107">
        <v>5.0</v>
      </c>
      <c r="I154" s="66">
        <v>120.0</v>
      </c>
      <c r="J154" s="104">
        <f t="shared" si="6"/>
        <v>600</v>
      </c>
      <c r="K154" s="109"/>
      <c r="L154" s="13"/>
    </row>
    <row r="155">
      <c r="G155" s="116" t="s">
        <v>203</v>
      </c>
      <c r="H155" s="107">
        <v>1.0</v>
      </c>
      <c r="I155" s="66">
        <v>100.0</v>
      </c>
      <c r="J155" s="104">
        <f t="shared" si="6"/>
        <v>100</v>
      </c>
      <c r="K155" s="109"/>
      <c r="L155" s="13"/>
    </row>
    <row r="156">
      <c r="G156" s="116" t="s">
        <v>100</v>
      </c>
      <c r="H156" s="107">
        <v>5.0</v>
      </c>
      <c r="I156" s="66">
        <v>100.0</v>
      </c>
      <c r="J156" s="104">
        <f t="shared" si="6"/>
        <v>500</v>
      </c>
      <c r="K156" s="109"/>
      <c r="L156" s="13"/>
    </row>
    <row r="157">
      <c r="G157" s="116" t="s">
        <v>204</v>
      </c>
      <c r="H157" s="107">
        <v>1.4</v>
      </c>
      <c r="I157" s="66">
        <v>780.0</v>
      </c>
      <c r="J157" s="104">
        <f t="shared" si="6"/>
        <v>1092</v>
      </c>
      <c r="K157" s="109"/>
      <c r="L157" s="13"/>
    </row>
    <row r="158">
      <c r="G158" s="116" t="s">
        <v>166</v>
      </c>
      <c r="H158" s="107">
        <v>1.4</v>
      </c>
      <c r="I158" s="66">
        <v>780.0</v>
      </c>
      <c r="J158" s="104">
        <f t="shared" si="6"/>
        <v>1092</v>
      </c>
      <c r="K158" s="109"/>
      <c r="L158" s="13"/>
    </row>
    <row r="159">
      <c r="G159" s="116" t="s">
        <v>205</v>
      </c>
      <c r="H159" s="107">
        <v>1.0</v>
      </c>
      <c r="I159" s="66">
        <v>220.0</v>
      </c>
      <c r="J159" s="104">
        <f t="shared" si="6"/>
        <v>220</v>
      </c>
      <c r="K159" s="109"/>
      <c r="L159" s="13"/>
    </row>
    <row r="160">
      <c r="G160" s="116" t="s">
        <v>206</v>
      </c>
      <c r="H160" s="107">
        <v>1.0</v>
      </c>
      <c r="I160" s="66">
        <v>150.0</v>
      </c>
      <c r="J160" s="104">
        <f t="shared" si="6"/>
        <v>150</v>
      </c>
      <c r="K160" s="109"/>
      <c r="L160" s="13"/>
    </row>
    <row r="161">
      <c r="G161" s="116" t="s">
        <v>146</v>
      </c>
      <c r="H161" s="107">
        <v>3.0</v>
      </c>
      <c r="I161" s="66">
        <v>150.0</v>
      </c>
      <c r="J161" s="104">
        <f t="shared" si="6"/>
        <v>450</v>
      </c>
      <c r="K161" s="109"/>
      <c r="L161" s="13"/>
    </row>
    <row r="162">
      <c r="G162" s="116" t="s">
        <v>207</v>
      </c>
      <c r="H162" s="107">
        <v>6.0</v>
      </c>
      <c r="I162" s="66">
        <v>280.0</v>
      </c>
      <c r="J162" s="104">
        <f t="shared" si="6"/>
        <v>1680</v>
      </c>
      <c r="K162" s="109"/>
      <c r="L162" s="13"/>
    </row>
    <row r="163">
      <c r="G163" s="116" t="s">
        <v>208</v>
      </c>
      <c r="H163" s="107">
        <v>2.0</v>
      </c>
      <c r="I163" s="66">
        <v>580.0</v>
      </c>
      <c r="J163" s="104">
        <f t="shared" si="6"/>
        <v>1160</v>
      </c>
      <c r="K163" s="109"/>
      <c r="L163" s="13"/>
    </row>
    <row r="164">
      <c r="G164" s="116" t="s">
        <v>209</v>
      </c>
      <c r="H164" s="107">
        <v>1.0</v>
      </c>
      <c r="I164" s="66">
        <v>500.0</v>
      </c>
      <c r="J164" s="104">
        <f t="shared" si="6"/>
        <v>500</v>
      </c>
      <c r="K164" s="109"/>
      <c r="L164" s="13"/>
    </row>
    <row r="165">
      <c r="G165" s="116" t="s">
        <v>210</v>
      </c>
      <c r="H165" s="107">
        <v>1.0</v>
      </c>
      <c r="I165" s="66">
        <v>1900.0</v>
      </c>
      <c r="J165" s="104">
        <f t="shared" si="6"/>
        <v>1900</v>
      </c>
      <c r="K165" s="109"/>
      <c r="L165" s="13"/>
    </row>
    <row r="166">
      <c r="G166" s="116" t="s">
        <v>73</v>
      </c>
      <c r="H166" s="107">
        <v>1.0</v>
      </c>
      <c r="I166" s="66">
        <v>1100.0</v>
      </c>
      <c r="J166" s="104">
        <f t="shared" si="6"/>
        <v>1100</v>
      </c>
      <c r="K166" s="109"/>
      <c r="L166" s="13"/>
    </row>
    <row r="167">
      <c r="G167" s="116" t="s">
        <v>211</v>
      </c>
      <c r="H167" s="107">
        <v>1.25</v>
      </c>
      <c r="I167" s="66">
        <v>800.0</v>
      </c>
      <c r="J167" s="104">
        <f t="shared" si="6"/>
        <v>1000</v>
      </c>
      <c r="K167" s="132">
        <v>45573.0</v>
      </c>
      <c r="L167" s="13"/>
    </row>
    <row r="168">
      <c r="G168" s="116" t="s">
        <v>169</v>
      </c>
      <c r="H168" s="107">
        <v>5.0</v>
      </c>
      <c r="I168" s="66">
        <v>30.0</v>
      </c>
      <c r="J168" s="104">
        <f t="shared" si="6"/>
        <v>150</v>
      </c>
      <c r="K168" s="109"/>
      <c r="L168" s="13"/>
    </row>
    <row r="169">
      <c r="G169" s="116" t="s">
        <v>212</v>
      </c>
      <c r="H169" s="107">
        <v>1.0</v>
      </c>
      <c r="I169" s="66">
        <v>400.0</v>
      </c>
      <c r="J169" s="104">
        <f t="shared" si="6"/>
        <v>400</v>
      </c>
      <c r="K169" s="109"/>
      <c r="L169" s="13"/>
    </row>
    <row r="170">
      <c r="G170" s="116" t="s">
        <v>213</v>
      </c>
      <c r="H170" s="107">
        <v>1.0</v>
      </c>
      <c r="I170" s="66">
        <v>200.0</v>
      </c>
      <c r="J170" s="104">
        <f t="shared" si="6"/>
        <v>200</v>
      </c>
      <c r="K170" s="109"/>
      <c r="L170" s="13"/>
    </row>
    <row r="171">
      <c r="G171" s="116" t="s">
        <v>102</v>
      </c>
      <c r="H171" s="107">
        <v>1.0</v>
      </c>
      <c r="I171" s="66">
        <v>150.0</v>
      </c>
      <c r="J171" s="104">
        <f t="shared" si="6"/>
        <v>150</v>
      </c>
      <c r="K171" s="109"/>
      <c r="L171" s="13"/>
    </row>
    <row r="172">
      <c r="G172" s="116" t="s">
        <v>202</v>
      </c>
      <c r="H172" s="107">
        <v>5.0</v>
      </c>
      <c r="I172" s="66">
        <v>100.0</v>
      </c>
      <c r="J172" s="104">
        <f t="shared" si="6"/>
        <v>500</v>
      </c>
      <c r="K172" s="109"/>
      <c r="L172" s="13"/>
    </row>
    <row r="173">
      <c r="G173" s="116" t="s">
        <v>161</v>
      </c>
      <c r="H173" s="107">
        <v>1.0</v>
      </c>
      <c r="I173" s="66">
        <v>1250.0</v>
      </c>
      <c r="J173" s="104">
        <f t="shared" si="6"/>
        <v>1250</v>
      </c>
      <c r="K173" s="109"/>
      <c r="L173" s="13"/>
    </row>
    <row r="174">
      <c r="G174" s="116" t="s">
        <v>214</v>
      </c>
      <c r="H174" s="107">
        <v>2.0</v>
      </c>
      <c r="I174" s="66">
        <v>750.0</v>
      </c>
      <c r="J174" s="104">
        <f t="shared" si="6"/>
        <v>1500</v>
      </c>
      <c r="K174" s="109"/>
      <c r="L174" s="13"/>
    </row>
    <row r="175">
      <c r="G175" s="116" t="s">
        <v>100</v>
      </c>
      <c r="H175" s="107">
        <v>5.0</v>
      </c>
      <c r="I175" s="66">
        <v>100.0</v>
      </c>
      <c r="J175" s="104">
        <f t="shared" si="6"/>
        <v>500</v>
      </c>
      <c r="K175" s="109"/>
      <c r="L175" s="13"/>
    </row>
    <row r="176">
      <c r="G176" s="116" t="s">
        <v>173</v>
      </c>
      <c r="H176" s="107">
        <v>1.0</v>
      </c>
      <c r="I176" s="66">
        <v>350.0</v>
      </c>
      <c r="J176" s="110">
        <v>350.0</v>
      </c>
      <c r="K176" s="109"/>
      <c r="L176" s="13"/>
    </row>
    <row r="177">
      <c r="G177" s="116" t="s">
        <v>215</v>
      </c>
      <c r="H177" s="107">
        <v>3.0</v>
      </c>
      <c r="I177" s="66">
        <v>50.0</v>
      </c>
      <c r="J177" s="104">
        <f t="shared" ref="J177:J193" si="7">H177*I177</f>
        <v>150</v>
      </c>
      <c r="K177" s="109"/>
      <c r="L177" s="13"/>
    </row>
    <row r="178">
      <c r="G178" s="116" t="s">
        <v>216</v>
      </c>
      <c r="H178" s="107">
        <v>2.0</v>
      </c>
      <c r="I178" s="66">
        <v>600.0</v>
      </c>
      <c r="J178" s="104">
        <f t="shared" si="7"/>
        <v>1200</v>
      </c>
      <c r="K178" s="109"/>
      <c r="L178" s="13"/>
    </row>
    <row r="179">
      <c r="G179" s="116" t="s">
        <v>217</v>
      </c>
      <c r="H179" s="107">
        <v>1.0</v>
      </c>
      <c r="I179" s="66">
        <v>3000.0</v>
      </c>
      <c r="J179" s="104">
        <f t="shared" si="7"/>
        <v>3000</v>
      </c>
      <c r="K179" s="109"/>
      <c r="L179" s="13"/>
    </row>
    <row r="180">
      <c r="G180" s="116" t="s">
        <v>218</v>
      </c>
      <c r="H180" s="107">
        <v>6.0</v>
      </c>
      <c r="I180" s="66">
        <v>1200.0</v>
      </c>
      <c r="J180" s="104">
        <f t="shared" si="7"/>
        <v>7200</v>
      </c>
      <c r="K180" s="132">
        <v>45574.0</v>
      </c>
      <c r="L180" s="13"/>
    </row>
    <row r="181">
      <c r="G181" s="116" t="s">
        <v>219</v>
      </c>
      <c r="H181" s="107">
        <v>5.0</v>
      </c>
      <c r="I181" s="66">
        <v>380.0</v>
      </c>
      <c r="J181" s="104">
        <f t="shared" si="7"/>
        <v>1900</v>
      </c>
      <c r="K181" s="109"/>
      <c r="L181" s="13"/>
    </row>
    <row r="182">
      <c r="G182" s="116" t="s">
        <v>220</v>
      </c>
      <c r="H182" s="107">
        <v>3.0</v>
      </c>
      <c r="I182" s="66">
        <v>550.0</v>
      </c>
      <c r="J182" s="104">
        <f t="shared" si="7"/>
        <v>1650</v>
      </c>
      <c r="K182" s="109"/>
      <c r="L182" s="13"/>
    </row>
    <row r="183">
      <c r="G183" s="116" t="s">
        <v>221</v>
      </c>
      <c r="H183" s="107">
        <v>1.0</v>
      </c>
      <c r="I183" s="66">
        <v>350.0</v>
      </c>
      <c r="J183" s="104">
        <f t="shared" si="7"/>
        <v>350</v>
      </c>
      <c r="K183" s="109"/>
      <c r="L183" s="13"/>
    </row>
    <row r="184">
      <c r="G184" s="116" t="s">
        <v>166</v>
      </c>
      <c r="H184" s="107">
        <v>3.75</v>
      </c>
      <c r="I184" s="66">
        <v>800.0</v>
      </c>
      <c r="J184" s="104">
        <f t="shared" si="7"/>
        <v>3000</v>
      </c>
      <c r="K184" s="132">
        <v>45575.0</v>
      </c>
      <c r="L184" s="13"/>
    </row>
    <row r="185">
      <c r="G185" s="116" t="s">
        <v>106</v>
      </c>
      <c r="H185" s="107">
        <v>2.0</v>
      </c>
      <c r="I185" s="66">
        <v>450.0</v>
      </c>
      <c r="J185" s="104">
        <f t="shared" si="7"/>
        <v>900</v>
      </c>
      <c r="K185" s="109"/>
      <c r="L185" s="13"/>
    </row>
    <row r="186">
      <c r="G186" s="116" t="s">
        <v>100</v>
      </c>
      <c r="H186" s="107">
        <v>10.0</v>
      </c>
      <c r="I186" s="66">
        <v>100.0</v>
      </c>
      <c r="J186" s="104">
        <f t="shared" si="7"/>
        <v>1000</v>
      </c>
      <c r="K186" s="109"/>
      <c r="L186" s="13"/>
    </row>
    <row r="187">
      <c r="G187" s="116" t="s">
        <v>222</v>
      </c>
      <c r="H187" s="107">
        <v>4.0</v>
      </c>
      <c r="I187" s="66">
        <v>210.0</v>
      </c>
      <c r="J187" s="104">
        <f t="shared" si="7"/>
        <v>840</v>
      </c>
      <c r="K187" s="109"/>
      <c r="L187" s="13"/>
    </row>
    <row r="188">
      <c r="G188" s="116" t="s">
        <v>223</v>
      </c>
      <c r="H188" s="107">
        <v>5.0</v>
      </c>
      <c r="I188" s="66">
        <v>35.0</v>
      </c>
      <c r="J188" s="104">
        <f t="shared" si="7"/>
        <v>175</v>
      </c>
      <c r="K188" s="109"/>
      <c r="L188" s="13"/>
    </row>
    <row r="189">
      <c r="G189" s="116" t="s">
        <v>224</v>
      </c>
      <c r="H189" s="107">
        <v>5.0</v>
      </c>
      <c r="I189" s="66">
        <v>60.0</v>
      </c>
      <c r="J189" s="104">
        <f t="shared" si="7"/>
        <v>300</v>
      </c>
      <c r="K189" s="109"/>
      <c r="L189" s="13"/>
    </row>
    <row r="190">
      <c r="G190" s="116" t="s">
        <v>225</v>
      </c>
      <c r="H190" s="107">
        <v>1.0</v>
      </c>
      <c r="I190" s="66">
        <v>300.0</v>
      </c>
      <c r="J190" s="104">
        <f t="shared" si="7"/>
        <v>300</v>
      </c>
      <c r="K190" s="109"/>
      <c r="L190" s="13"/>
    </row>
    <row r="191">
      <c r="G191" s="116" t="s">
        <v>226</v>
      </c>
      <c r="H191" s="107">
        <v>1.0</v>
      </c>
      <c r="I191" s="66">
        <v>150.0</v>
      </c>
      <c r="J191" s="104">
        <f t="shared" si="7"/>
        <v>150</v>
      </c>
      <c r="K191" s="109"/>
      <c r="L191" s="13"/>
    </row>
    <row r="192">
      <c r="G192" s="116" t="s">
        <v>102</v>
      </c>
      <c r="H192" s="107">
        <v>2.0</v>
      </c>
      <c r="I192" s="66">
        <v>100.0</v>
      </c>
      <c r="J192" s="104">
        <f t="shared" si="7"/>
        <v>200</v>
      </c>
      <c r="K192" s="109"/>
      <c r="L192" s="13"/>
    </row>
    <row r="193">
      <c r="G193" s="116" t="s">
        <v>227</v>
      </c>
      <c r="H193" s="107">
        <v>50.0</v>
      </c>
      <c r="I193" s="66">
        <v>35.0</v>
      </c>
      <c r="J193" s="104">
        <f t="shared" si="7"/>
        <v>1750</v>
      </c>
      <c r="K193" s="109"/>
      <c r="L193" s="13"/>
    </row>
    <row r="194">
      <c r="G194" s="116"/>
      <c r="H194" s="107"/>
      <c r="I194" s="66"/>
      <c r="J194" s="104"/>
      <c r="K194" s="109"/>
      <c r="L194" s="13"/>
    </row>
    <row r="195">
      <c r="G195" s="116" t="s">
        <v>228</v>
      </c>
      <c r="H195" s="107">
        <v>20.0</v>
      </c>
      <c r="I195" s="66">
        <v>600.0</v>
      </c>
      <c r="J195" s="104">
        <f t="shared" ref="J195:J287" si="8">H195*I195</f>
        <v>12000</v>
      </c>
      <c r="K195" s="109"/>
      <c r="L195" s="13"/>
    </row>
    <row r="196">
      <c r="G196" s="116" t="s">
        <v>125</v>
      </c>
      <c r="H196" s="107">
        <v>19.0</v>
      </c>
      <c r="I196" s="66">
        <v>60.0</v>
      </c>
      <c r="J196" s="104">
        <f t="shared" si="8"/>
        <v>1140</v>
      </c>
      <c r="K196" s="109"/>
      <c r="L196" s="13"/>
    </row>
    <row r="197">
      <c r="G197" s="116" t="s">
        <v>222</v>
      </c>
      <c r="H197" s="107">
        <v>16.0</v>
      </c>
      <c r="I197" s="66">
        <v>200.0</v>
      </c>
      <c r="J197" s="104">
        <f t="shared" si="8"/>
        <v>3200</v>
      </c>
      <c r="K197" s="132">
        <v>45576.0</v>
      </c>
      <c r="L197" s="13"/>
    </row>
    <row r="198">
      <c r="G198" s="116" t="s">
        <v>81</v>
      </c>
      <c r="H198" s="107">
        <v>3.0</v>
      </c>
      <c r="I198" s="66">
        <v>1320.0</v>
      </c>
      <c r="J198" s="104">
        <f t="shared" si="8"/>
        <v>3960</v>
      </c>
      <c r="K198" s="109"/>
      <c r="L198" s="13"/>
    </row>
    <row r="199">
      <c r="G199" s="116" t="s">
        <v>79</v>
      </c>
      <c r="H199" s="107">
        <v>14.0</v>
      </c>
      <c r="I199" s="66">
        <v>193.0</v>
      </c>
      <c r="J199" s="104">
        <f t="shared" si="8"/>
        <v>2702</v>
      </c>
      <c r="K199" s="109"/>
      <c r="L199" s="13"/>
    </row>
    <row r="200">
      <c r="G200" s="116" t="s">
        <v>207</v>
      </c>
      <c r="H200" s="107">
        <v>12.0</v>
      </c>
      <c r="I200" s="66">
        <v>234.0</v>
      </c>
      <c r="J200" s="104">
        <f t="shared" si="8"/>
        <v>2808</v>
      </c>
      <c r="K200" s="109"/>
      <c r="L200" s="13"/>
    </row>
    <row r="201">
      <c r="G201" s="116" t="s">
        <v>229</v>
      </c>
      <c r="H201" s="107">
        <v>5.0</v>
      </c>
      <c r="I201" s="66">
        <v>60.0</v>
      </c>
      <c r="J201" s="104">
        <f t="shared" si="8"/>
        <v>300</v>
      </c>
      <c r="K201" s="109"/>
      <c r="L201" s="13"/>
    </row>
    <row r="202">
      <c r="G202" s="116" t="s">
        <v>230</v>
      </c>
      <c r="H202" s="107">
        <v>1.0</v>
      </c>
      <c r="I202" s="66">
        <v>130.0</v>
      </c>
      <c r="J202" s="104">
        <f t="shared" si="8"/>
        <v>130</v>
      </c>
      <c r="K202" s="109"/>
      <c r="L202" s="13"/>
    </row>
    <row r="203">
      <c r="G203" s="116" t="s">
        <v>231</v>
      </c>
      <c r="H203" s="107">
        <v>2.8</v>
      </c>
      <c r="I203" s="66">
        <v>730.0</v>
      </c>
      <c r="J203" s="104">
        <f t="shared" si="8"/>
        <v>2044</v>
      </c>
      <c r="K203" s="105"/>
      <c r="L203" s="13"/>
    </row>
    <row r="204">
      <c r="G204" s="116" t="s">
        <v>170</v>
      </c>
      <c r="H204" s="107">
        <v>0.5</v>
      </c>
      <c r="I204" s="66">
        <v>600.0</v>
      </c>
      <c r="J204" s="104">
        <f t="shared" si="8"/>
        <v>300</v>
      </c>
      <c r="K204" s="109"/>
      <c r="L204" s="13"/>
    </row>
    <row r="205">
      <c r="G205" s="116" t="s">
        <v>100</v>
      </c>
      <c r="H205" s="107">
        <v>5.0</v>
      </c>
      <c r="I205" s="66">
        <v>120.0</v>
      </c>
      <c r="J205" s="104">
        <f t="shared" si="8"/>
        <v>600</v>
      </c>
      <c r="K205" s="105"/>
      <c r="L205" s="13"/>
    </row>
    <row r="206">
      <c r="G206" s="116" t="s">
        <v>166</v>
      </c>
      <c r="H206" s="107">
        <v>2.7</v>
      </c>
      <c r="I206" s="66">
        <v>750.0</v>
      </c>
      <c r="J206" s="104">
        <f t="shared" si="8"/>
        <v>2025</v>
      </c>
      <c r="K206" s="132">
        <v>45578.0</v>
      </c>
      <c r="L206" s="13"/>
    </row>
    <row r="207">
      <c r="G207" s="116" t="s">
        <v>102</v>
      </c>
      <c r="H207" s="107">
        <v>2.0</v>
      </c>
      <c r="I207" s="66">
        <v>100.0</v>
      </c>
      <c r="J207" s="104">
        <f t="shared" si="8"/>
        <v>200</v>
      </c>
      <c r="K207" s="109"/>
      <c r="L207" s="13"/>
    </row>
    <row r="208">
      <c r="G208" s="116" t="s">
        <v>173</v>
      </c>
      <c r="H208" s="107">
        <v>2.0</v>
      </c>
      <c r="I208" s="66">
        <v>450.0</v>
      </c>
      <c r="J208" s="104">
        <f t="shared" si="8"/>
        <v>900</v>
      </c>
      <c r="K208" s="109"/>
      <c r="L208" s="13"/>
    </row>
    <row r="209">
      <c r="G209" s="116" t="s">
        <v>232</v>
      </c>
      <c r="H209" s="107">
        <v>1.0</v>
      </c>
      <c r="I209" s="66">
        <v>2400.0</v>
      </c>
      <c r="J209" s="104">
        <f t="shared" si="8"/>
        <v>2400</v>
      </c>
      <c r="K209" s="132">
        <v>45579.0</v>
      </c>
      <c r="L209" s="13"/>
    </row>
    <row r="210">
      <c r="G210" s="116" t="s">
        <v>233</v>
      </c>
      <c r="H210" s="107">
        <v>2.0</v>
      </c>
      <c r="I210" s="66">
        <v>250.0</v>
      </c>
      <c r="J210" s="104">
        <f t="shared" si="8"/>
        <v>500</v>
      </c>
      <c r="K210" s="109"/>
      <c r="L210" s="13"/>
    </row>
    <row r="211">
      <c r="G211" s="116" t="s">
        <v>179</v>
      </c>
      <c r="H211" s="107">
        <v>1.0</v>
      </c>
      <c r="I211" s="66">
        <v>200.0</v>
      </c>
      <c r="J211" s="104">
        <f t="shared" si="8"/>
        <v>200</v>
      </c>
      <c r="K211" s="109"/>
      <c r="L211" s="13"/>
    </row>
    <row r="212">
      <c r="G212" s="116" t="s">
        <v>234</v>
      </c>
      <c r="H212" s="107">
        <v>1.0</v>
      </c>
      <c r="I212" s="66">
        <v>200.0</v>
      </c>
      <c r="J212" s="104">
        <f t="shared" si="8"/>
        <v>200</v>
      </c>
      <c r="K212" s="109"/>
      <c r="L212" s="13"/>
    </row>
    <row r="213">
      <c r="G213" s="116" t="s">
        <v>235</v>
      </c>
      <c r="H213" s="107">
        <v>2.0</v>
      </c>
      <c r="I213" s="66">
        <v>650.0</v>
      </c>
      <c r="J213" s="104">
        <f t="shared" si="8"/>
        <v>1300</v>
      </c>
      <c r="K213" s="109"/>
      <c r="L213" s="13"/>
    </row>
    <row r="214">
      <c r="G214" s="116" t="s">
        <v>236</v>
      </c>
      <c r="H214" s="107">
        <v>3.0</v>
      </c>
      <c r="I214" s="66">
        <v>420.0</v>
      </c>
      <c r="J214" s="104">
        <f t="shared" si="8"/>
        <v>1260</v>
      </c>
      <c r="K214" s="109"/>
      <c r="L214" s="13"/>
    </row>
    <row r="215">
      <c r="G215" s="116" t="s">
        <v>237</v>
      </c>
      <c r="H215" s="107">
        <v>5.4</v>
      </c>
      <c r="I215" s="66">
        <v>750.0</v>
      </c>
      <c r="J215" s="104">
        <f t="shared" si="8"/>
        <v>4050</v>
      </c>
      <c r="K215" s="109"/>
      <c r="L215" s="13"/>
    </row>
    <row r="216">
      <c r="G216" s="116" t="s">
        <v>238</v>
      </c>
      <c r="H216" s="107">
        <v>2.0</v>
      </c>
      <c r="I216" s="66">
        <v>1200.0</v>
      </c>
      <c r="J216" s="104">
        <f t="shared" si="8"/>
        <v>2400</v>
      </c>
      <c r="K216" s="109"/>
      <c r="L216" s="13"/>
    </row>
    <row r="217">
      <c r="G217" s="116" t="s">
        <v>239</v>
      </c>
      <c r="H217" s="107">
        <v>1.0</v>
      </c>
      <c r="I217" s="66">
        <v>2600.0</v>
      </c>
      <c r="J217" s="104">
        <f t="shared" si="8"/>
        <v>2600</v>
      </c>
      <c r="K217" s="109"/>
      <c r="L217" s="13"/>
    </row>
    <row r="218">
      <c r="G218" s="116" t="s">
        <v>161</v>
      </c>
      <c r="H218" s="107">
        <v>1.0</v>
      </c>
      <c r="I218" s="66">
        <v>1000.0</v>
      </c>
      <c r="J218" s="104">
        <f t="shared" si="8"/>
        <v>1000</v>
      </c>
      <c r="K218" s="109"/>
      <c r="L218" s="13"/>
    </row>
    <row r="219">
      <c r="G219" s="116" t="s">
        <v>201</v>
      </c>
      <c r="H219" s="107">
        <v>150.0</v>
      </c>
      <c r="I219" s="66">
        <v>47.0</v>
      </c>
      <c r="J219" s="104">
        <f t="shared" si="8"/>
        <v>7050</v>
      </c>
      <c r="K219" s="109"/>
      <c r="L219" s="13"/>
    </row>
    <row r="220">
      <c r="G220" s="116" t="s">
        <v>240</v>
      </c>
      <c r="H220" s="107">
        <v>2.0</v>
      </c>
      <c r="I220" s="66">
        <v>400.0</v>
      </c>
      <c r="J220" s="104">
        <f t="shared" si="8"/>
        <v>800</v>
      </c>
      <c r="K220" s="109"/>
      <c r="L220" s="13"/>
    </row>
    <row r="221">
      <c r="G221" s="116" t="s">
        <v>241</v>
      </c>
      <c r="H221" s="107">
        <v>15.0</v>
      </c>
      <c r="I221" s="66">
        <v>220.0</v>
      </c>
      <c r="J221" s="104">
        <f t="shared" si="8"/>
        <v>3300</v>
      </c>
      <c r="K221" s="109"/>
      <c r="L221" s="13"/>
    </row>
    <row r="222">
      <c r="G222" s="116" t="s">
        <v>88</v>
      </c>
      <c r="H222" s="107">
        <v>1.0</v>
      </c>
      <c r="I222" s="66">
        <v>1300.0</v>
      </c>
      <c r="J222" s="104">
        <f t="shared" si="8"/>
        <v>1300</v>
      </c>
      <c r="K222" s="109"/>
      <c r="L222" s="134"/>
    </row>
    <row r="223">
      <c r="G223" s="116" t="s">
        <v>242</v>
      </c>
      <c r="H223" s="107">
        <v>108.0</v>
      </c>
      <c r="I223" s="66">
        <v>100.0</v>
      </c>
      <c r="J223" s="104">
        <f t="shared" si="8"/>
        <v>10800</v>
      </c>
      <c r="K223" s="109"/>
      <c r="L223" s="13"/>
    </row>
    <row r="224">
      <c r="G224" s="116" t="s">
        <v>97</v>
      </c>
      <c r="H224" s="107">
        <v>5.0</v>
      </c>
      <c r="I224" s="66">
        <v>120.0</v>
      </c>
      <c r="J224" s="104">
        <f t="shared" si="8"/>
        <v>600</v>
      </c>
      <c r="K224" s="109"/>
      <c r="L224" s="13"/>
    </row>
    <row r="225">
      <c r="G225" s="116" t="s">
        <v>96</v>
      </c>
      <c r="H225" s="107">
        <v>5.0</v>
      </c>
      <c r="I225" s="66">
        <v>150.0</v>
      </c>
      <c r="J225" s="104">
        <f t="shared" si="8"/>
        <v>750</v>
      </c>
      <c r="K225" s="109"/>
      <c r="L225" s="13"/>
    </row>
    <row r="226">
      <c r="G226" s="116" t="s">
        <v>243</v>
      </c>
      <c r="H226" s="107">
        <v>5.0</v>
      </c>
      <c r="I226" s="66">
        <v>80.0</v>
      </c>
      <c r="J226" s="104">
        <f t="shared" si="8"/>
        <v>400</v>
      </c>
      <c r="K226" s="109"/>
      <c r="L226" s="13"/>
    </row>
    <row r="227">
      <c r="G227" s="116" t="s">
        <v>244</v>
      </c>
      <c r="H227" s="107">
        <v>5.0</v>
      </c>
      <c r="I227" s="66">
        <v>100.0</v>
      </c>
      <c r="J227" s="104">
        <f t="shared" si="8"/>
        <v>500</v>
      </c>
      <c r="K227" s="109"/>
      <c r="L227" s="13"/>
    </row>
    <row r="228">
      <c r="G228" s="116" t="s">
        <v>199</v>
      </c>
      <c r="H228" s="107">
        <v>4.0</v>
      </c>
      <c r="I228" s="66">
        <v>100.0</v>
      </c>
      <c r="J228" s="104">
        <f t="shared" si="8"/>
        <v>400</v>
      </c>
      <c r="K228" s="109"/>
      <c r="L228" s="13"/>
    </row>
    <row r="229">
      <c r="G229" s="116" t="s">
        <v>245</v>
      </c>
      <c r="H229" s="107">
        <v>1.0</v>
      </c>
      <c r="I229" s="66">
        <v>150.0</v>
      </c>
      <c r="J229" s="104">
        <f t="shared" si="8"/>
        <v>150</v>
      </c>
      <c r="K229" s="109"/>
      <c r="L229" s="13"/>
    </row>
    <row r="230">
      <c r="G230" s="116" t="s">
        <v>246</v>
      </c>
      <c r="H230" s="107">
        <v>15.0</v>
      </c>
      <c r="I230" s="66">
        <v>30.0</v>
      </c>
      <c r="J230" s="104">
        <f t="shared" si="8"/>
        <v>450</v>
      </c>
      <c r="K230" s="109"/>
      <c r="L230" s="13"/>
    </row>
    <row r="231">
      <c r="G231" s="116" t="s">
        <v>247</v>
      </c>
      <c r="H231" s="107">
        <v>15.0</v>
      </c>
      <c r="I231" s="66">
        <v>30.0</v>
      </c>
      <c r="J231" s="104">
        <f t="shared" si="8"/>
        <v>450</v>
      </c>
      <c r="K231" s="109"/>
      <c r="L231" s="13"/>
    </row>
    <row r="232">
      <c r="G232" s="116" t="s">
        <v>212</v>
      </c>
      <c r="H232" s="107">
        <v>1.0</v>
      </c>
      <c r="I232" s="66">
        <v>180.0</v>
      </c>
      <c r="J232" s="104">
        <f t="shared" si="8"/>
        <v>180</v>
      </c>
      <c r="K232" s="109"/>
      <c r="L232" s="13"/>
    </row>
    <row r="233">
      <c r="G233" s="116" t="s">
        <v>248</v>
      </c>
      <c r="H233" s="107">
        <v>1.0</v>
      </c>
      <c r="I233" s="66">
        <v>700.0</v>
      </c>
      <c r="J233" s="104">
        <f t="shared" si="8"/>
        <v>700</v>
      </c>
      <c r="K233" s="109"/>
      <c r="L233" s="13"/>
    </row>
    <row r="234">
      <c r="G234" s="116" t="s">
        <v>100</v>
      </c>
      <c r="H234" s="107">
        <v>6.0</v>
      </c>
      <c r="I234" s="66">
        <v>150.0</v>
      </c>
      <c r="J234" s="104">
        <f t="shared" si="8"/>
        <v>900</v>
      </c>
      <c r="K234" s="109"/>
      <c r="L234" s="13"/>
    </row>
    <row r="235">
      <c r="G235" s="116" t="s">
        <v>161</v>
      </c>
      <c r="H235" s="107">
        <v>1.0</v>
      </c>
      <c r="I235" s="66">
        <v>1200.0</v>
      </c>
      <c r="J235" s="104">
        <f t="shared" si="8"/>
        <v>1200</v>
      </c>
      <c r="K235" s="132">
        <v>45581.0</v>
      </c>
      <c r="L235" s="13"/>
    </row>
    <row r="236">
      <c r="G236" s="116" t="s">
        <v>100</v>
      </c>
      <c r="H236" s="107">
        <v>10.0</v>
      </c>
      <c r="I236" s="66">
        <v>100.0</v>
      </c>
      <c r="J236" s="104">
        <f t="shared" si="8"/>
        <v>1000</v>
      </c>
      <c r="K236" s="105"/>
      <c r="L236" s="13"/>
    </row>
    <row r="237">
      <c r="G237" s="116" t="s">
        <v>237</v>
      </c>
      <c r="H237" s="107">
        <v>4.0</v>
      </c>
      <c r="I237" s="66">
        <v>750.0</v>
      </c>
      <c r="J237" s="104">
        <f t="shared" si="8"/>
        <v>3000</v>
      </c>
      <c r="K237" s="105"/>
      <c r="L237" s="13"/>
    </row>
    <row r="238">
      <c r="G238" s="116" t="s">
        <v>105</v>
      </c>
      <c r="H238" s="107">
        <v>15.0</v>
      </c>
      <c r="I238" s="66">
        <v>160.0</v>
      </c>
      <c r="J238" s="104">
        <f t="shared" si="8"/>
        <v>2400</v>
      </c>
      <c r="K238" s="109"/>
      <c r="L238" s="13"/>
    </row>
    <row r="239">
      <c r="G239" s="116" t="s">
        <v>105</v>
      </c>
      <c r="H239" s="107">
        <v>19.5</v>
      </c>
      <c r="I239" s="66">
        <v>400.0</v>
      </c>
      <c r="J239" s="104">
        <f t="shared" si="8"/>
        <v>7800</v>
      </c>
      <c r="K239" s="109"/>
      <c r="L239" s="13"/>
    </row>
    <row r="240">
      <c r="G240" s="116" t="s">
        <v>244</v>
      </c>
      <c r="H240" s="107">
        <v>5.0</v>
      </c>
      <c r="I240" s="66">
        <v>100.0</v>
      </c>
      <c r="J240" s="104">
        <f t="shared" si="8"/>
        <v>500</v>
      </c>
      <c r="K240" s="105"/>
      <c r="L240" s="13"/>
    </row>
    <row r="241">
      <c r="G241" s="116" t="s">
        <v>199</v>
      </c>
      <c r="H241" s="107">
        <v>2.5</v>
      </c>
      <c r="I241" s="66">
        <v>80.0</v>
      </c>
      <c r="J241" s="104">
        <f t="shared" si="8"/>
        <v>200</v>
      </c>
      <c r="K241" s="105"/>
      <c r="L241" s="13"/>
    </row>
    <row r="242">
      <c r="G242" s="116" t="s">
        <v>98</v>
      </c>
      <c r="H242" s="107">
        <v>2.0</v>
      </c>
      <c r="I242" s="66">
        <v>200.0</v>
      </c>
      <c r="J242" s="104">
        <f t="shared" si="8"/>
        <v>400</v>
      </c>
      <c r="K242" s="105"/>
      <c r="L242" s="13"/>
    </row>
    <row r="243">
      <c r="G243" s="116" t="s">
        <v>249</v>
      </c>
      <c r="H243" s="107">
        <v>2.0</v>
      </c>
      <c r="I243" s="66">
        <v>100.0</v>
      </c>
      <c r="J243" s="104">
        <f t="shared" si="8"/>
        <v>200</v>
      </c>
      <c r="K243" s="105"/>
      <c r="L243" s="13"/>
    </row>
    <row r="244">
      <c r="G244" s="116" t="s">
        <v>102</v>
      </c>
      <c r="H244" s="107">
        <v>1.0</v>
      </c>
      <c r="I244" s="66">
        <v>100.0</v>
      </c>
      <c r="J244" s="104">
        <f t="shared" si="8"/>
        <v>100</v>
      </c>
      <c r="K244" s="109"/>
      <c r="L244" s="13"/>
    </row>
    <row r="245">
      <c r="G245" s="116" t="s">
        <v>250</v>
      </c>
      <c r="H245" s="107">
        <v>1.0</v>
      </c>
      <c r="I245" s="66">
        <v>200.0</v>
      </c>
      <c r="J245" s="104">
        <f t="shared" si="8"/>
        <v>200</v>
      </c>
      <c r="K245" s="109"/>
      <c r="L245" s="13"/>
    </row>
    <row r="246">
      <c r="G246" s="116" t="s">
        <v>180</v>
      </c>
      <c r="H246" s="107">
        <v>1.0</v>
      </c>
      <c r="I246" s="66">
        <v>200.0</v>
      </c>
      <c r="J246" s="104">
        <f t="shared" si="8"/>
        <v>200</v>
      </c>
      <c r="K246" s="109"/>
      <c r="L246" s="13"/>
    </row>
    <row r="247">
      <c r="G247" s="116" t="s">
        <v>241</v>
      </c>
      <c r="H247" s="107">
        <v>14.0</v>
      </c>
      <c r="I247" s="66">
        <v>220.0</v>
      </c>
      <c r="J247" s="104">
        <f t="shared" si="8"/>
        <v>3080</v>
      </c>
      <c r="K247" s="109"/>
      <c r="L247" s="13"/>
    </row>
    <row r="248">
      <c r="G248" s="116" t="s">
        <v>251</v>
      </c>
      <c r="H248" s="107">
        <v>10.0</v>
      </c>
      <c r="I248" s="66">
        <v>15.0</v>
      </c>
      <c r="J248" s="104">
        <f t="shared" si="8"/>
        <v>150</v>
      </c>
      <c r="K248" s="109"/>
      <c r="L248" s="13"/>
    </row>
    <row r="249">
      <c r="G249" s="116" t="s">
        <v>252</v>
      </c>
      <c r="H249" s="107">
        <v>1.0</v>
      </c>
      <c r="I249" s="66">
        <v>900.0</v>
      </c>
      <c r="J249" s="104">
        <f t="shared" si="8"/>
        <v>900</v>
      </c>
      <c r="K249" s="109"/>
      <c r="L249" s="13"/>
    </row>
    <row r="250">
      <c r="G250" s="116" t="s">
        <v>253</v>
      </c>
      <c r="H250" s="107">
        <v>1.0</v>
      </c>
      <c r="I250" s="66">
        <v>330.0</v>
      </c>
      <c r="J250" s="104">
        <f t="shared" si="8"/>
        <v>330</v>
      </c>
      <c r="K250" s="109"/>
      <c r="L250" s="13"/>
    </row>
    <row r="251">
      <c r="G251" s="116" t="s">
        <v>88</v>
      </c>
      <c r="H251" s="107">
        <v>1.0</v>
      </c>
      <c r="I251" s="66">
        <v>1300.0</v>
      </c>
      <c r="J251" s="104">
        <f t="shared" si="8"/>
        <v>1300</v>
      </c>
      <c r="K251" s="109"/>
      <c r="L251" s="13"/>
    </row>
    <row r="252">
      <c r="G252" s="135" t="s">
        <v>254</v>
      </c>
      <c r="H252" s="112">
        <v>2.0</v>
      </c>
      <c r="I252" s="113">
        <v>320.0</v>
      </c>
      <c r="J252" s="114">
        <f t="shared" si="8"/>
        <v>640</v>
      </c>
      <c r="K252" s="109"/>
      <c r="L252" s="13"/>
    </row>
    <row r="253">
      <c r="G253" s="116" t="s">
        <v>255</v>
      </c>
      <c r="H253" s="107">
        <v>35.0</v>
      </c>
      <c r="I253" s="66">
        <v>11.5</v>
      </c>
      <c r="J253" s="104">
        <f t="shared" si="8"/>
        <v>402.5</v>
      </c>
      <c r="K253" s="109"/>
      <c r="L253" s="13"/>
    </row>
    <row r="254">
      <c r="G254" s="116" t="s">
        <v>256</v>
      </c>
      <c r="H254" s="107">
        <v>4.0</v>
      </c>
      <c r="I254" s="66">
        <v>950.0</v>
      </c>
      <c r="J254" s="104">
        <f t="shared" si="8"/>
        <v>3800</v>
      </c>
      <c r="K254" s="109"/>
      <c r="L254" s="13"/>
    </row>
    <row r="255">
      <c r="G255" s="116" t="s">
        <v>257</v>
      </c>
      <c r="H255" s="107">
        <v>1.0</v>
      </c>
      <c r="I255" s="66">
        <v>69.0</v>
      </c>
      <c r="J255" s="104">
        <f t="shared" si="8"/>
        <v>69</v>
      </c>
      <c r="K255" s="109"/>
      <c r="L255" s="13"/>
    </row>
    <row r="256">
      <c r="G256" s="116" t="s">
        <v>258</v>
      </c>
      <c r="H256" s="107">
        <v>3.5</v>
      </c>
      <c r="I256" s="66">
        <v>1900.0</v>
      </c>
      <c r="J256" s="104">
        <f t="shared" si="8"/>
        <v>6650</v>
      </c>
      <c r="K256" s="109"/>
      <c r="L256" s="13"/>
    </row>
    <row r="257">
      <c r="G257" s="116" t="s">
        <v>259</v>
      </c>
      <c r="H257" s="107">
        <v>6.0</v>
      </c>
      <c r="I257" s="66">
        <v>242.0</v>
      </c>
      <c r="J257" s="104">
        <f t="shared" si="8"/>
        <v>1452</v>
      </c>
      <c r="K257" s="109"/>
      <c r="L257" s="13"/>
    </row>
    <row r="258">
      <c r="G258" s="116" t="s">
        <v>260</v>
      </c>
      <c r="H258" s="107">
        <v>2.0</v>
      </c>
      <c r="I258" s="66">
        <v>260.0</v>
      </c>
      <c r="J258" s="104">
        <f t="shared" si="8"/>
        <v>520</v>
      </c>
      <c r="K258" s="109"/>
      <c r="L258" s="13"/>
    </row>
    <row r="259">
      <c r="G259" s="116" t="s">
        <v>261</v>
      </c>
      <c r="H259" s="107">
        <v>12.0</v>
      </c>
      <c r="I259" s="66">
        <v>320.0</v>
      </c>
      <c r="J259" s="104">
        <f t="shared" si="8"/>
        <v>3840</v>
      </c>
      <c r="K259" s="109"/>
      <c r="L259" s="13"/>
    </row>
    <row r="260">
      <c r="G260" s="116" t="s">
        <v>258</v>
      </c>
      <c r="H260" s="107">
        <v>1.0</v>
      </c>
      <c r="I260" s="66">
        <v>500.0</v>
      </c>
      <c r="J260" s="104">
        <f t="shared" si="8"/>
        <v>500</v>
      </c>
      <c r="K260" s="109"/>
      <c r="L260" s="13"/>
    </row>
    <row r="261">
      <c r="G261" s="135" t="s">
        <v>262</v>
      </c>
      <c r="H261" s="112">
        <v>30.0</v>
      </c>
      <c r="I261" s="113">
        <v>69.0</v>
      </c>
      <c r="J261" s="114">
        <f t="shared" si="8"/>
        <v>2070</v>
      </c>
      <c r="K261" s="109"/>
      <c r="L261" s="13"/>
    </row>
    <row r="262">
      <c r="G262" s="116" t="s">
        <v>100</v>
      </c>
      <c r="H262" s="107">
        <v>10.0</v>
      </c>
      <c r="I262" s="66">
        <v>100.0</v>
      </c>
      <c r="J262" s="104">
        <f t="shared" si="8"/>
        <v>1000</v>
      </c>
      <c r="K262" s="132">
        <v>45582.0</v>
      </c>
      <c r="L262" s="13"/>
    </row>
    <row r="263">
      <c r="G263" s="116" t="s">
        <v>202</v>
      </c>
      <c r="H263" s="107">
        <v>5.0</v>
      </c>
      <c r="I263" s="66">
        <v>100.0</v>
      </c>
      <c r="J263" s="104">
        <f t="shared" si="8"/>
        <v>500</v>
      </c>
      <c r="K263" s="109"/>
      <c r="L263" s="13"/>
    </row>
    <row r="264">
      <c r="G264" s="116" t="s">
        <v>263</v>
      </c>
      <c r="H264" s="107">
        <v>6.0</v>
      </c>
      <c r="I264" s="66">
        <v>1200.0</v>
      </c>
      <c r="J264" s="104">
        <f t="shared" si="8"/>
        <v>7200</v>
      </c>
      <c r="K264" s="109"/>
      <c r="L264" s="13"/>
    </row>
    <row r="265">
      <c r="G265" s="116" t="s">
        <v>237</v>
      </c>
      <c r="H265" s="107">
        <v>4.0</v>
      </c>
      <c r="I265" s="66">
        <v>750.0</v>
      </c>
      <c r="J265" s="104">
        <f t="shared" si="8"/>
        <v>3000</v>
      </c>
      <c r="K265" s="132">
        <v>45583.0</v>
      </c>
      <c r="L265" s="13"/>
    </row>
    <row r="266">
      <c r="G266" s="116" t="s">
        <v>105</v>
      </c>
      <c r="H266" s="107">
        <v>20.0</v>
      </c>
      <c r="I266" s="66">
        <v>110.0</v>
      </c>
      <c r="J266" s="104">
        <f t="shared" si="8"/>
        <v>2200</v>
      </c>
      <c r="K266" s="109"/>
      <c r="L266" s="13"/>
    </row>
    <row r="267">
      <c r="G267" s="116" t="s">
        <v>236</v>
      </c>
      <c r="H267" s="107">
        <v>2.0</v>
      </c>
      <c r="I267" s="66">
        <v>450.0</v>
      </c>
      <c r="J267" s="104">
        <f t="shared" si="8"/>
        <v>900</v>
      </c>
      <c r="K267" s="109"/>
      <c r="L267" s="13"/>
    </row>
    <row r="268">
      <c r="G268" s="116" t="s">
        <v>202</v>
      </c>
      <c r="H268" s="107">
        <v>4.0</v>
      </c>
      <c r="I268" s="66">
        <v>100.0</v>
      </c>
      <c r="J268" s="104">
        <f t="shared" si="8"/>
        <v>400</v>
      </c>
      <c r="K268" s="109"/>
      <c r="L268" s="13"/>
    </row>
    <row r="269">
      <c r="G269" s="116" t="s">
        <v>264</v>
      </c>
      <c r="H269" s="107">
        <v>1.0</v>
      </c>
      <c r="I269" s="66">
        <v>550.0</v>
      </c>
      <c r="J269" s="104">
        <f t="shared" si="8"/>
        <v>550</v>
      </c>
      <c r="K269" s="109"/>
      <c r="L269" s="13"/>
    </row>
    <row r="270">
      <c r="G270" s="116" t="s">
        <v>103</v>
      </c>
      <c r="H270" s="107">
        <v>0.75</v>
      </c>
      <c r="I270" s="66">
        <v>1350.0</v>
      </c>
      <c r="J270" s="104">
        <f t="shared" si="8"/>
        <v>1012.5</v>
      </c>
      <c r="K270" s="109"/>
      <c r="L270" s="13"/>
    </row>
    <row r="271">
      <c r="G271" s="116" t="s">
        <v>100</v>
      </c>
      <c r="H271" s="107">
        <v>10.0</v>
      </c>
      <c r="I271" s="66">
        <v>100.0</v>
      </c>
      <c r="J271" s="104">
        <f t="shared" si="8"/>
        <v>1000</v>
      </c>
      <c r="K271" s="109"/>
      <c r="L271" s="13"/>
    </row>
    <row r="272">
      <c r="G272" s="116" t="s">
        <v>128</v>
      </c>
      <c r="H272" s="107">
        <v>5.0</v>
      </c>
      <c r="I272" s="66">
        <v>170.0</v>
      </c>
      <c r="J272" s="104">
        <f t="shared" si="8"/>
        <v>850</v>
      </c>
      <c r="K272" s="109"/>
      <c r="L272" s="13"/>
    </row>
    <row r="273">
      <c r="G273" s="116" t="s">
        <v>151</v>
      </c>
      <c r="H273" s="107">
        <v>1.0</v>
      </c>
      <c r="I273" s="66">
        <v>320.0</v>
      </c>
      <c r="J273" s="104">
        <f t="shared" si="8"/>
        <v>320</v>
      </c>
      <c r="K273" s="109"/>
      <c r="L273" s="13"/>
    </row>
    <row r="274">
      <c r="G274" s="116" t="s">
        <v>265</v>
      </c>
      <c r="H274" s="107">
        <v>1.0</v>
      </c>
      <c r="I274" s="66">
        <v>450.0</v>
      </c>
      <c r="J274" s="104">
        <f t="shared" si="8"/>
        <v>450</v>
      </c>
      <c r="K274" s="109"/>
      <c r="L274" s="13"/>
    </row>
    <row r="275">
      <c r="G275" s="116" t="s">
        <v>199</v>
      </c>
      <c r="H275" s="107">
        <v>2.2</v>
      </c>
      <c r="I275" s="66">
        <v>100.0</v>
      </c>
      <c r="J275" s="104">
        <f t="shared" si="8"/>
        <v>220</v>
      </c>
      <c r="K275" s="109"/>
      <c r="L275" s="13"/>
    </row>
    <row r="276">
      <c r="G276" s="116" t="s">
        <v>249</v>
      </c>
      <c r="H276" s="107">
        <v>1.0</v>
      </c>
      <c r="I276" s="66">
        <v>100.0</v>
      </c>
      <c r="J276" s="104">
        <f t="shared" si="8"/>
        <v>100</v>
      </c>
      <c r="K276" s="109"/>
      <c r="L276" s="13"/>
    </row>
    <row r="277">
      <c r="G277" s="116" t="s">
        <v>96</v>
      </c>
      <c r="H277" s="107">
        <v>1.0</v>
      </c>
      <c r="I277" s="66">
        <v>160.0</v>
      </c>
      <c r="J277" s="104">
        <f t="shared" si="8"/>
        <v>160</v>
      </c>
      <c r="K277" s="109"/>
      <c r="L277" s="13"/>
    </row>
    <row r="278">
      <c r="G278" s="116" t="s">
        <v>98</v>
      </c>
      <c r="H278" s="107">
        <v>1.0</v>
      </c>
      <c r="I278" s="66">
        <v>200.0</v>
      </c>
      <c r="J278" s="104">
        <f t="shared" si="8"/>
        <v>200</v>
      </c>
      <c r="K278" s="109"/>
      <c r="L278" s="13"/>
    </row>
    <row r="279">
      <c r="G279" s="116" t="s">
        <v>244</v>
      </c>
      <c r="H279" s="107">
        <v>3.0</v>
      </c>
      <c r="I279" s="66">
        <v>110.0</v>
      </c>
      <c r="J279" s="104">
        <f t="shared" si="8"/>
        <v>330</v>
      </c>
      <c r="K279" s="109"/>
      <c r="L279" s="13"/>
    </row>
    <row r="280">
      <c r="G280" s="116" t="s">
        <v>99</v>
      </c>
      <c r="H280" s="107">
        <v>2.0</v>
      </c>
      <c r="I280" s="66">
        <v>220.0</v>
      </c>
      <c r="J280" s="104">
        <f t="shared" si="8"/>
        <v>440</v>
      </c>
      <c r="K280" s="109"/>
      <c r="L280" s="13"/>
    </row>
    <row r="281">
      <c r="G281" s="116" t="s">
        <v>266</v>
      </c>
      <c r="H281" s="107">
        <v>1.0</v>
      </c>
      <c r="I281" s="66">
        <v>300.0</v>
      </c>
      <c r="J281" s="104">
        <f t="shared" si="8"/>
        <v>300</v>
      </c>
      <c r="K281" s="109"/>
      <c r="L281" s="13"/>
    </row>
    <row r="282">
      <c r="G282" s="116" t="s">
        <v>267</v>
      </c>
      <c r="H282" s="107">
        <v>1.0</v>
      </c>
      <c r="I282" s="66">
        <v>100.0</v>
      </c>
      <c r="J282" s="104">
        <f t="shared" si="8"/>
        <v>100</v>
      </c>
      <c r="K282" s="109"/>
      <c r="L282" s="13"/>
    </row>
    <row r="283">
      <c r="G283" s="116" t="s">
        <v>268</v>
      </c>
      <c r="H283" s="107">
        <v>1.0</v>
      </c>
      <c r="I283" s="66">
        <v>400.0</v>
      </c>
      <c r="J283" s="104">
        <f t="shared" si="8"/>
        <v>400</v>
      </c>
      <c r="K283" s="109"/>
      <c r="L283" s="13"/>
    </row>
    <row r="284">
      <c r="G284" s="135" t="s">
        <v>269</v>
      </c>
      <c r="H284" s="112">
        <v>7.5</v>
      </c>
      <c r="I284" s="113">
        <v>580.0</v>
      </c>
      <c r="J284" s="114">
        <f t="shared" si="8"/>
        <v>4350</v>
      </c>
      <c r="K284" s="132">
        <v>45584.0</v>
      </c>
      <c r="L284" s="13"/>
    </row>
    <row r="285">
      <c r="G285" s="116" t="s">
        <v>204</v>
      </c>
      <c r="H285" s="107">
        <v>2.0</v>
      </c>
      <c r="I285" s="66">
        <v>540.0</v>
      </c>
      <c r="J285" s="104">
        <f t="shared" si="8"/>
        <v>1080</v>
      </c>
      <c r="K285" s="109"/>
      <c r="L285" s="13"/>
    </row>
    <row r="286">
      <c r="G286" s="116" t="s">
        <v>270</v>
      </c>
      <c r="H286" s="107">
        <v>2.7</v>
      </c>
      <c r="I286" s="66">
        <v>750.0</v>
      </c>
      <c r="J286" s="104">
        <f t="shared" si="8"/>
        <v>2025</v>
      </c>
      <c r="K286" s="109"/>
      <c r="L286" s="13"/>
    </row>
    <row r="287">
      <c r="G287" s="116" t="s">
        <v>169</v>
      </c>
      <c r="H287" s="107">
        <v>5.0</v>
      </c>
      <c r="I287" s="66">
        <v>30.0</v>
      </c>
      <c r="J287" s="104">
        <f t="shared" si="8"/>
        <v>150</v>
      </c>
      <c r="K287" s="109"/>
      <c r="L287" s="13"/>
    </row>
    <row r="288">
      <c r="G288" s="116"/>
      <c r="H288" s="107"/>
      <c r="I288" s="66"/>
      <c r="J288" s="104"/>
      <c r="K288" s="109"/>
      <c r="L288" s="13"/>
    </row>
    <row r="289">
      <c r="G289" s="116" t="s">
        <v>159</v>
      </c>
      <c r="H289" s="107">
        <v>1.0</v>
      </c>
      <c r="I289" s="66">
        <v>100.0</v>
      </c>
      <c r="J289" s="104">
        <f t="shared" ref="J289:J307" si="9">H289*I289</f>
        <v>100</v>
      </c>
      <c r="K289" s="109"/>
      <c r="L289" s="13"/>
    </row>
    <row r="290">
      <c r="G290" s="116" t="s">
        <v>200</v>
      </c>
      <c r="H290" s="107">
        <v>1.5</v>
      </c>
      <c r="I290" s="66">
        <v>70.0</v>
      </c>
      <c r="J290" s="104">
        <f t="shared" si="9"/>
        <v>105</v>
      </c>
      <c r="K290" s="109"/>
      <c r="L290" s="13"/>
    </row>
    <row r="291">
      <c r="G291" s="116" t="s">
        <v>171</v>
      </c>
      <c r="H291" s="107">
        <v>1.0</v>
      </c>
      <c r="I291" s="66">
        <v>400.0</v>
      </c>
      <c r="J291" s="104">
        <f t="shared" si="9"/>
        <v>400</v>
      </c>
      <c r="K291" s="109"/>
      <c r="L291" s="13"/>
    </row>
    <row r="292">
      <c r="G292" s="116" t="s">
        <v>271</v>
      </c>
      <c r="H292" s="107">
        <v>0.5</v>
      </c>
      <c r="I292" s="66">
        <v>600.0</v>
      </c>
      <c r="J292" s="104">
        <f t="shared" si="9"/>
        <v>300</v>
      </c>
      <c r="K292" s="109"/>
      <c r="L292" s="13"/>
    </row>
    <row r="293">
      <c r="G293" s="116" t="s">
        <v>161</v>
      </c>
      <c r="H293" s="107">
        <v>0.5</v>
      </c>
      <c r="I293" s="66">
        <v>1200.0</v>
      </c>
      <c r="J293" s="104">
        <f t="shared" si="9"/>
        <v>600</v>
      </c>
      <c r="K293" s="109"/>
      <c r="L293" s="13"/>
    </row>
    <row r="294">
      <c r="G294" s="116" t="s">
        <v>107</v>
      </c>
      <c r="H294" s="107">
        <v>1.0</v>
      </c>
      <c r="I294" s="66">
        <v>350.0</v>
      </c>
      <c r="J294" s="104">
        <f t="shared" si="9"/>
        <v>350</v>
      </c>
      <c r="K294" s="109"/>
      <c r="L294" s="13"/>
    </row>
    <row r="295">
      <c r="G295" s="116" t="s">
        <v>272</v>
      </c>
      <c r="H295" s="107">
        <v>16.0</v>
      </c>
      <c r="I295" s="66">
        <v>200.0</v>
      </c>
      <c r="J295" s="104">
        <f t="shared" si="9"/>
        <v>3200</v>
      </c>
      <c r="K295" s="109"/>
      <c r="L295" s="13"/>
    </row>
    <row r="296">
      <c r="G296" s="116" t="s">
        <v>273</v>
      </c>
      <c r="H296" s="107">
        <v>2.0</v>
      </c>
      <c r="I296" s="66">
        <v>1750.0</v>
      </c>
      <c r="J296" s="104">
        <f t="shared" si="9"/>
        <v>3500</v>
      </c>
      <c r="K296" s="109"/>
      <c r="L296" s="13"/>
    </row>
    <row r="297">
      <c r="G297" s="116" t="s">
        <v>144</v>
      </c>
      <c r="H297" s="107">
        <v>12.0</v>
      </c>
      <c r="I297" s="66">
        <v>250.0</v>
      </c>
      <c r="J297" s="104">
        <f t="shared" si="9"/>
        <v>3000</v>
      </c>
      <c r="K297" s="109"/>
      <c r="L297" s="13"/>
    </row>
    <row r="298">
      <c r="G298" s="116" t="s">
        <v>274</v>
      </c>
      <c r="H298" s="107">
        <v>4.0</v>
      </c>
      <c r="I298" s="66">
        <v>625.0</v>
      </c>
      <c r="J298" s="104">
        <f t="shared" si="9"/>
        <v>2500</v>
      </c>
      <c r="K298" s="109"/>
      <c r="L298" s="13"/>
    </row>
    <row r="299">
      <c r="G299" s="116" t="s">
        <v>275</v>
      </c>
      <c r="H299" s="107">
        <v>12.0</v>
      </c>
      <c r="I299" s="66">
        <v>420.0</v>
      </c>
      <c r="J299" s="104">
        <f t="shared" si="9"/>
        <v>5040</v>
      </c>
      <c r="K299" s="109"/>
      <c r="L299" s="13"/>
    </row>
    <row r="300">
      <c r="G300" s="116" t="s">
        <v>276</v>
      </c>
      <c r="H300" s="107">
        <v>1.0</v>
      </c>
      <c r="I300" s="66">
        <v>310.0</v>
      </c>
      <c r="J300" s="104">
        <f t="shared" si="9"/>
        <v>310</v>
      </c>
      <c r="K300" s="109"/>
      <c r="L300" s="13"/>
    </row>
    <row r="301">
      <c r="G301" s="116" t="s">
        <v>277</v>
      </c>
      <c r="H301" s="107">
        <v>4.0</v>
      </c>
      <c r="I301" s="66">
        <v>220.0</v>
      </c>
      <c r="J301" s="104">
        <f t="shared" si="9"/>
        <v>880</v>
      </c>
      <c r="K301" s="109"/>
      <c r="L301" s="13"/>
    </row>
    <row r="302">
      <c r="G302" s="116" t="s">
        <v>278</v>
      </c>
      <c r="H302" s="107">
        <v>3.0</v>
      </c>
      <c r="I302" s="66">
        <v>200.0</v>
      </c>
      <c r="J302" s="104">
        <f t="shared" si="9"/>
        <v>600</v>
      </c>
      <c r="K302" s="109"/>
      <c r="L302" s="13"/>
    </row>
    <row r="303">
      <c r="G303" s="116" t="s">
        <v>100</v>
      </c>
      <c r="H303" s="107">
        <v>5.0</v>
      </c>
      <c r="I303" s="66">
        <v>100.0</v>
      </c>
      <c r="J303" s="104">
        <f t="shared" si="9"/>
        <v>500</v>
      </c>
      <c r="K303" s="109"/>
      <c r="L303" s="13"/>
    </row>
    <row r="304">
      <c r="G304" s="116" t="s">
        <v>230</v>
      </c>
      <c r="H304" s="107">
        <v>1.0</v>
      </c>
      <c r="I304" s="66">
        <v>200.0</v>
      </c>
      <c r="J304" s="104">
        <f t="shared" si="9"/>
        <v>200</v>
      </c>
      <c r="K304" s="132">
        <v>45585.0</v>
      </c>
      <c r="L304" s="13"/>
    </row>
    <row r="305">
      <c r="G305" s="116" t="s">
        <v>279</v>
      </c>
      <c r="H305" s="107">
        <v>2.0</v>
      </c>
      <c r="I305" s="66">
        <v>800.0</v>
      </c>
      <c r="J305" s="104">
        <f t="shared" si="9"/>
        <v>1600</v>
      </c>
      <c r="K305" s="132">
        <v>45586.0</v>
      </c>
      <c r="L305" s="13"/>
    </row>
    <row r="306">
      <c r="G306" s="116" t="s">
        <v>173</v>
      </c>
      <c r="H306" s="107">
        <v>1.0</v>
      </c>
      <c r="I306" s="66">
        <v>450.0</v>
      </c>
      <c r="J306" s="104">
        <f t="shared" si="9"/>
        <v>450</v>
      </c>
      <c r="K306" s="109"/>
      <c r="L306" s="13"/>
    </row>
    <row r="307">
      <c r="G307" s="116" t="s">
        <v>183</v>
      </c>
      <c r="H307" s="107">
        <v>1.0</v>
      </c>
      <c r="I307" s="66">
        <v>600.0</v>
      </c>
      <c r="J307" s="104">
        <f t="shared" si="9"/>
        <v>600</v>
      </c>
      <c r="K307" s="109"/>
      <c r="L307" s="13"/>
    </row>
    <row r="308">
      <c r="G308" s="116"/>
      <c r="H308" s="107"/>
      <c r="I308" s="66"/>
      <c r="J308" s="104"/>
      <c r="K308" s="109"/>
      <c r="L308" s="13"/>
    </row>
    <row r="309">
      <c r="G309" s="116" t="s">
        <v>280</v>
      </c>
      <c r="H309" s="107">
        <v>1.0</v>
      </c>
      <c r="I309" s="66">
        <v>500.0</v>
      </c>
      <c r="J309" s="104">
        <f>H309*I309</f>
        <v>500</v>
      </c>
      <c r="K309" s="109"/>
      <c r="L309" s="13"/>
    </row>
    <row r="310">
      <c r="G310" s="116"/>
      <c r="H310" s="107"/>
      <c r="I310" s="66"/>
      <c r="J310" s="104"/>
      <c r="K310" s="109"/>
      <c r="L310" s="13"/>
    </row>
    <row r="311">
      <c r="G311" s="116" t="s">
        <v>100</v>
      </c>
      <c r="H311" s="107">
        <v>5.0</v>
      </c>
      <c r="I311" s="66">
        <v>100.0</v>
      </c>
      <c r="J311" s="104">
        <f t="shared" ref="J311:J352" si="10">H311*I311</f>
        <v>500</v>
      </c>
      <c r="K311" s="109"/>
      <c r="L311" s="13"/>
    </row>
    <row r="312">
      <c r="G312" s="116" t="s">
        <v>170</v>
      </c>
      <c r="H312" s="107">
        <v>0.5</v>
      </c>
      <c r="I312" s="66">
        <v>600.0</v>
      </c>
      <c r="J312" s="104">
        <f t="shared" si="10"/>
        <v>300</v>
      </c>
      <c r="K312" s="109"/>
      <c r="L312" s="13"/>
    </row>
    <row r="313">
      <c r="G313" s="116" t="s">
        <v>202</v>
      </c>
      <c r="H313" s="107">
        <v>2.0</v>
      </c>
      <c r="I313" s="66">
        <v>100.0</v>
      </c>
      <c r="J313" s="104">
        <f t="shared" si="10"/>
        <v>200</v>
      </c>
      <c r="K313" s="109"/>
      <c r="L313" s="13"/>
    </row>
    <row r="314">
      <c r="G314" s="116" t="s">
        <v>281</v>
      </c>
      <c r="H314" s="107">
        <v>1.0</v>
      </c>
      <c r="I314" s="66">
        <v>2000.0</v>
      </c>
      <c r="J314" s="104">
        <f t="shared" si="10"/>
        <v>2000</v>
      </c>
      <c r="K314" s="109"/>
      <c r="L314" s="13"/>
    </row>
    <row r="315">
      <c r="G315" s="116" t="s">
        <v>282</v>
      </c>
      <c r="H315" s="107">
        <v>2.5</v>
      </c>
      <c r="I315" s="66">
        <v>800.0</v>
      </c>
      <c r="J315" s="104">
        <f t="shared" si="10"/>
        <v>2000</v>
      </c>
      <c r="K315" s="132">
        <v>45587.0</v>
      </c>
      <c r="L315" s="13"/>
    </row>
    <row r="316">
      <c r="G316" s="116" t="s">
        <v>200</v>
      </c>
      <c r="H316" s="107">
        <v>1.5</v>
      </c>
      <c r="I316" s="66">
        <v>160.0</v>
      </c>
      <c r="J316" s="104">
        <f t="shared" si="10"/>
        <v>240</v>
      </c>
      <c r="K316" s="109"/>
      <c r="L316" s="13"/>
    </row>
    <row r="317">
      <c r="G317" s="116" t="s">
        <v>169</v>
      </c>
      <c r="H317" s="107">
        <v>5.0</v>
      </c>
      <c r="I317" s="66">
        <v>30.0</v>
      </c>
      <c r="J317" s="104">
        <f t="shared" si="10"/>
        <v>150</v>
      </c>
      <c r="K317" s="109"/>
      <c r="L317" s="13"/>
    </row>
    <row r="318">
      <c r="G318" s="116" t="s">
        <v>102</v>
      </c>
      <c r="H318" s="107">
        <v>1.5</v>
      </c>
      <c r="I318" s="66">
        <v>220.0</v>
      </c>
      <c r="J318" s="104">
        <f t="shared" si="10"/>
        <v>330</v>
      </c>
      <c r="K318" s="109"/>
      <c r="L318" s="13"/>
    </row>
    <row r="319">
      <c r="G319" s="116" t="s">
        <v>178</v>
      </c>
      <c r="H319" s="107">
        <v>1.0</v>
      </c>
      <c r="I319" s="66">
        <v>200.0</v>
      </c>
      <c r="J319" s="104">
        <f t="shared" si="10"/>
        <v>200</v>
      </c>
      <c r="K319" s="109"/>
      <c r="L319" s="13"/>
    </row>
    <row r="320">
      <c r="G320" s="116" t="s">
        <v>283</v>
      </c>
      <c r="H320" s="107">
        <v>0.5</v>
      </c>
      <c r="I320" s="66">
        <v>160.0</v>
      </c>
      <c r="J320" s="104">
        <f t="shared" si="10"/>
        <v>80</v>
      </c>
      <c r="K320" s="109"/>
      <c r="L320" s="13"/>
    </row>
    <row r="321">
      <c r="G321" s="116" t="s">
        <v>204</v>
      </c>
      <c r="H321" s="107">
        <v>2.0</v>
      </c>
      <c r="I321" s="66">
        <v>500.0</v>
      </c>
      <c r="J321" s="104">
        <f t="shared" si="10"/>
        <v>1000</v>
      </c>
      <c r="K321" s="109"/>
      <c r="L321" s="13"/>
    </row>
    <row r="322">
      <c r="G322" s="116" t="s">
        <v>100</v>
      </c>
      <c r="H322" s="107">
        <v>5.0</v>
      </c>
      <c r="I322" s="66">
        <v>100.0</v>
      </c>
      <c r="J322" s="104">
        <f t="shared" si="10"/>
        <v>500</v>
      </c>
      <c r="K322" s="109"/>
      <c r="L322" s="13"/>
    </row>
    <row r="323">
      <c r="G323" s="116" t="s">
        <v>284</v>
      </c>
      <c r="H323" s="107">
        <v>0.5</v>
      </c>
      <c r="I323" s="66">
        <v>600.0</v>
      </c>
      <c r="J323" s="104">
        <f t="shared" si="10"/>
        <v>300</v>
      </c>
      <c r="K323" s="109"/>
      <c r="L323" s="13"/>
    </row>
    <row r="324">
      <c r="G324" s="116" t="s">
        <v>236</v>
      </c>
      <c r="H324" s="107">
        <v>2.0</v>
      </c>
      <c r="I324" s="66">
        <v>450.0</v>
      </c>
      <c r="J324" s="104">
        <f t="shared" si="10"/>
        <v>900</v>
      </c>
      <c r="K324" s="109"/>
      <c r="L324" s="13"/>
    </row>
    <row r="325">
      <c r="G325" s="116" t="s">
        <v>182</v>
      </c>
      <c r="H325" s="107">
        <v>6.0</v>
      </c>
      <c r="I325" s="66">
        <v>37.0</v>
      </c>
      <c r="J325" s="104">
        <f t="shared" si="10"/>
        <v>222</v>
      </c>
      <c r="K325" s="109"/>
      <c r="L325" s="13"/>
    </row>
    <row r="326">
      <c r="G326" s="116" t="s">
        <v>285</v>
      </c>
      <c r="H326" s="107">
        <v>6.0</v>
      </c>
      <c r="I326" s="66">
        <v>35.0</v>
      </c>
      <c r="J326" s="104">
        <f t="shared" si="10"/>
        <v>210</v>
      </c>
      <c r="K326" s="109"/>
      <c r="L326" s="13"/>
    </row>
    <row r="327">
      <c r="G327" s="15" t="s">
        <v>274</v>
      </c>
      <c r="H327" s="15">
        <v>2.0</v>
      </c>
      <c r="I327" s="10">
        <v>650.0</v>
      </c>
      <c r="J327" s="104">
        <f t="shared" si="10"/>
        <v>1300</v>
      </c>
      <c r="K327" s="136"/>
      <c r="L327" s="13"/>
    </row>
    <row r="328">
      <c r="G328" s="15" t="s">
        <v>274</v>
      </c>
      <c r="H328" s="15">
        <v>14.0</v>
      </c>
      <c r="I328" s="10">
        <v>600.0</v>
      </c>
      <c r="J328" s="104">
        <f t="shared" si="10"/>
        <v>8400</v>
      </c>
      <c r="K328" s="136"/>
      <c r="L328" s="13"/>
    </row>
    <row r="329">
      <c r="G329" s="15" t="s">
        <v>272</v>
      </c>
      <c r="H329" s="15">
        <v>26.0</v>
      </c>
      <c r="I329" s="10">
        <v>189.0</v>
      </c>
      <c r="J329" s="104">
        <f t="shared" si="10"/>
        <v>4914</v>
      </c>
      <c r="K329" s="136"/>
      <c r="L329" s="13"/>
    </row>
    <row r="330">
      <c r="G330" s="15" t="s">
        <v>197</v>
      </c>
      <c r="H330" s="15">
        <v>1.0</v>
      </c>
      <c r="I330" s="10">
        <v>1200.0</v>
      </c>
      <c r="J330" s="104">
        <f t="shared" si="10"/>
        <v>1200</v>
      </c>
      <c r="K330" s="136"/>
      <c r="L330" s="13"/>
    </row>
    <row r="331">
      <c r="G331" s="15" t="s">
        <v>286</v>
      </c>
      <c r="H331" s="15">
        <v>1.0</v>
      </c>
      <c r="I331" s="10">
        <v>500.0</v>
      </c>
      <c r="J331" s="104">
        <f t="shared" si="10"/>
        <v>500</v>
      </c>
      <c r="K331" s="136"/>
      <c r="L331" s="13"/>
    </row>
    <row r="332">
      <c r="G332" s="15" t="s">
        <v>100</v>
      </c>
      <c r="H332" s="15">
        <v>5.0</v>
      </c>
      <c r="I332" s="10">
        <v>100.0</v>
      </c>
      <c r="J332" s="104">
        <f t="shared" si="10"/>
        <v>500</v>
      </c>
      <c r="K332" s="8">
        <v>45588.0</v>
      </c>
      <c r="L332" s="13"/>
    </row>
    <row r="333">
      <c r="G333" s="15" t="s">
        <v>160</v>
      </c>
      <c r="H333" s="15">
        <v>1.0</v>
      </c>
      <c r="I333" s="10">
        <v>600.0</v>
      </c>
      <c r="J333" s="104">
        <f t="shared" si="10"/>
        <v>600</v>
      </c>
      <c r="K333" s="136"/>
      <c r="L333" s="13"/>
    </row>
    <row r="334">
      <c r="G334" s="15" t="s">
        <v>202</v>
      </c>
      <c r="H334" s="15">
        <v>3.0</v>
      </c>
      <c r="I334" s="10">
        <v>100.0</v>
      </c>
      <c r="J334" s="104">
        <f t="shared" si="10"/>
        <v>300</v>
      </c>
      <c r="K334" s="136"/>
      <c r="L334" s="13"/>
    </row>
    <row r="335">
      <c r="G335" s="15" t="s">
        <v>161</v>
      </c>
      <c r="H335" s="15">
        <v>1.0</v>
      </c>
      <c r="I335" s="10">
        <v>1200.0</v>
      </c>
      <c r="J335" s="104">
        <f t="shared" si="10"/>
        <v>1200</v>
      </c>
      <c r="K335" s="136"/>
      <c r="L335" s="13"/>
    </row>
    <row r="336">
      <c r="G336" s="15" t="s">
        <v>287</v>
      </c>
      <c r="H336" s="15">
        <v>2.0</v>
      </c>
      <c r="I336" s="10">
        <v>300.0</v>
      </c>
      <c r="J336" s="104">
        <f t="shared" si="10"/>
        <v>600</v>
      </c>
      <c r="K336" s="136"/>
      <c r="L336" s="13"/>
    </row>
    <row r="337">
      <c r="G337" s="15" t="s">
        <v>173</v>
      </c>
      <c r="H337" s="15">
        <v>3.0</v>
      </c>
      <c r="I337" s="10">
        <v>350.0</v>
      </c>
      <c r="J337" s="104">
        <f t="shared" si="10"/>
        <v>1050</v>
      </c>
      <c r="K337" s="136"/>
      <c r="L337" s="13"/>
    </row>
    <row r="338">
      <c r="G338" s="15" t="s">
        <v>77</v>
      </c>
      <c r="H338" s="15">
        <v>18.0</v>
      </c>
      <c r="I338" s="10">
        <v>90.0</v>
      </c>
      <c r="J338" s="104">
        <f t="shared" si="10"/>
        <v>1620</v>
      </c>
      <c r="K338" s="136"/>
      <c r="L338" s="13"/>
    </row>
    <row r="339">
      <c r="G339" s="15" t="s">
        <v>288</v>
      </c>
      <c r="H339" s="15">
        <v>0.5</v>
      </c>
      <c r="I339" s="10">
        <v>200.0</v>
      </c>
      <c r="J339" s="104">
        <f t="shared" si="10"/>
        <v>100</v>
      </c>
      <c r="K339" s="136"/>
      <c r="L339" s="13"/>
    </row>
    <row r="340">
      <c r="A340" s="137">
        <v>60.0</v>
      </c>
      <c r="G340" s="15" t="s">
        <v>289</v>
      </c>
      <c r="H340" s="15">
        <v>2.5</v>
      </c>
      <c r="I340" s="10">
        <v>800.0</v>
      </c>
      <c r="J340" s="104">
        <f t="shared" si="10"/>
        <v>2000</v>
      </c>
      <c r="K340" s="8">
        <v>45589.0</v>
      </c>
      <c r="L340" s="13"/>
    </row>
    <row r="341">
      <c r="G341" s="15" t="s">
        <v>204</v>
      </c>
      <c r="H341" s="15">
        <v>1.5</v>
      </c>
      <c r="I341" s="10">
        <v>700.0</v>
      </c>
      <c r="J341" s="104">
        <f t="shared" si="10"/>
        <v>1050</v>
      </c>
      <c r="K341" s="136"/>
      <c r="L341" s="13"/>
    </row>
    <row r="342">
      <c r="G342" s="15" t="s">
        <v>290</v>
      </c>
      <c r="H342" s="15">
        <v>5.0</v>
      </c>
      <c r="I342" s="10">
        <v>60.0</v>
      </c>
      <c r="J342" s="104">
        <f t="shared" si="10"/>
        <v>300</v>
      </c>
      <c r="K342" s="136"/>
      <c r="L342" s="13"/>
    </row>
    <row r="343">
      <c r="G343" s="15" t="s">
        <v>88</v>
      </c>
      <c r="H343" s="15">
        <v>0.4</v>
      </c>
      <c r="I343" s="10">
        <v>1300.0</v>
      </c>
      <c r="J343" s="104">
        <f t="shared" si="10"/>
        <v>520</v>
      </c>
      <c r="K343" s="136"/>
      <c r="L343" s="13"/>
    </row>
    <row r="344">
      <c r="G344" s="15" t="s">
        <v>202</v>
      </c>
      <c r="H344" s="15">
        <v>5.0</v>
      </c>
      <c r="I344" s="10">
        <v>100.0</v>
      </c>
      <c r="J344" s="104">
        <f t="shared" si="10"/>
        <v>500</v>
      </c>
      <c r="K344" s="136"/>
      <c r="L344" s="13"/>
    </row>
    <row r="345">
      <c r="G345" s="15" t="s">
        <v>200</v>
      </c>
      <c r="H345" s="15">
        <v>5.0</v>
      </c>
      <c r="I345" s="10">
        <v>160.0</v>
      </c>
      <c r="J345" s="104">
        <f t="shared" si="10"/>
        <v>800</v>
      </c>
      <c r="K345" s="136"/>
      <c r="L345" s="13"/>
    </row>
    <row r="346">
      <c r="G346" s="15" t="s">
        <v>100</v>
      </c>
      <c r="H346" s="15">
        <v>5.0</v>
      </c>
      <c r="I346" s="10">
        <v>100.0</v>
      </c>
      <c r="J346" s="104">
        <f t="shared" si="10"/>
        <v>500</v>
      </c>
      <c r="K346" s="136"/>
      <c r="L346" s="13"/>
    </row>
    <row r="347">
      <c r="G347" s="15" t="s">
        <v>291</v>
      </c>
      <c r="H347" s="15">
        <v>4.0</v>
      </c>
      <c r="I347" s="10">
        <v>180.0</v>
      </c>
      <c r="J347" s="104">
        <f t="shared" si="10"/>
        <v>720</v>
      </c>
      <c r="K347" s="136"/>
      <c r="L347" s="13"/>
    </row>
    <row r="348">
      <c r="G348" s="15" t="s">
        <v>292</v>
      </c>
      <c r="H348" s="15">
        <v>10.0</v>
      </c>
      <c r="I348" s="10">
        <v>370.0</v>
      </c>
      <c r="J348" s="104">
        <f t="shared" si="10"/>
        <v>3700</v>
      </c>
      <c r="K348" s="136"/>
      <c r="L348" s="13"/>
    </row>
    <row r="349">
      <c r="G349" s="138" t="s">
        <v>293</v>
      </c>
      <c r="H349" s="138">
        <v>29.0</v>
      </c>
      <c r="I349" s="139">
        <v>17.0</v>
      </c>
      <c r="J349" s="114">
        <f t="shared" si="10"/>
        <v>493</v>
      </c>
      <c r="K349" s="136"/>
      <c r="L349" s="13"/>
    </row>
    <row r="350">
      <c r="G350" s="15" t="s">
        <v>294</v>
      </c>
      <c r="H350" s="15">
        <v>1.0</v>
      </c>
      <c r="I350" s="10">
        <v>1200.0</v>
      </c>
      <c r="J350" s="104">
        <f t="shared" si="10"/>
        <v>1200</v>
      </c>
      <c r="K350" s="136"/>
      <c r="L350" s="13"/>
    </row>
    <row r="351">
      <c r="G351" s="15" t="s">
        <v>295</v>
      </c>
      <c r="H351" s="15">
        <v>1.0</v>
      </c>
      <c r="I351" s="10">
        <v>1000.0</v>
      </c>
      <c r="J351" s="104">
        <f t="shared" si="10"/>
        <v>1000</v>
      </c>
      <c r="K351" s="136"/>
      <c r="L351" s="13"/>
    </row>
    <row r="352">
      <c r="G352" s="15" t="s">
        <v>296</v>
      </c>
      <c r="H352" s="15">
        <v>5.0</v>
      </c>
      <c r="I352" s="10">
        <v>50.0</v>
      </c>
      <c r="J352" s="104">
        <f t="shared" si="10"/>
        <v>250</v>
      </c>
      <c r="K352" s="136"/>
      <c r="L352" s="13"/>
    </row>
    <row r="353">
      <c r="G353" s="15"/>
      <c r="H353" s="15"/>
      <c r="I353" s="10"/>
      <c r="J353" s="104"/>
      <c r="K353" s="136"/>
      <c r="L353" s="13"/>
    </row>
    <row r="354">
      <c r="G354" s="15" t="s">
        <v>297</v>
      </c>
      <c r="H354" s="15">
        <v>10.0</v>
      </c>
      <c r="I354" s="10">
        <v>130.0</v>
      </c>
      <c r="J354" s="104">
        <f t="shared" ref="J354:J376" si="11">H354*I354</f>
        <v>1300</v>
      </c>
      <c r="K354" s="136"/>
      <c r="L354" s="13"/>
    </row>
    <row r="355">
      <c r="G355" s="15" t="s">
        <v>298</v>
      </c>
      <c r="H355" s="15">
        <v>1.0</v>
      </c>
      <c r="I355" s="10">
        <v>850.0</v>
      </c>
      <c r="J355" s="104">
        <f t="shared" si="11"/>
        <v>850</v>
      </c>
      <c r="K355" s="136"/>
      <c r="L355" s="13"/>
    </row>
    <row r="356">
      <c r="G356" s="15" t="s">
        <v>299</v>
      </c>
      <c r="H356" s="15">
        <v>5.0</v>
      </c>
      <c r="I356" s="10">
        <v>20.0</v>
      </c>
      <c r="J356" s="104">
        <f t="shared" si="11"/>
        <v>100</v>
      </c>
      <c r="K356" s="136"/>
      <c r="L356" s="13"/>
    </row>
    <row r="357">
      <c r="G357" s="15" t="s">
        <v>300</v>
      </c>
      <c r="H357" s="15">
        <v>5.0</v>
      </c>
      <c r="I357" s="10">
        <v>800.0</v>
      </c>
      <c r="J357" s="104">
        <f t="shared" si="11"/>
        <v>4000</v>
      </c>
      <c r="K357" s="8">
        <v>45590.0</v>
      </c>
      <c r="L357" s="13"/>
    </row>
    <row r="358">
      <c r="G358" s="15" t="s">
        <v>236</v>
      </c>
      <c r="H358" s="15">
        <v>2.0</v>
      </c>
      <c r="I358" s="10">
        <v>450.0</v>
      </c>
      <c r="J358" s="104">
        <f t="shared" si="11"/>
        <v>900</v>
      </c>
      <c r="K358" s="136"/>
      <c r="L358" s="13"/>
    </row>
    <row r="359">
      <c r="G359" s="15" t="s">
        <v>201</v>
      </c>
      <c r="H359" s="15">
        <v>118.0</v>
      </c>
      <c r="I359" s="10">
        <v>45.0</v>
      </c>
      <c r="J359" s="104">
        <f t="shared" si="11"/>
        <v>5310</v>
      </c>
      <c r="K359" s="136"/>
      <c r="L359" s="13"/>
    </row>
    <row r="360">
      <c r="G360" s="15" t="s">
        <v>161</v>
      </c>
      <c r="H360" s="15">
        <v>1.0</v>
      </c>
      <c r="I360" s="10">
        <v>1200.0</v>
      </c>
      <c r="J360" s="104">
        <f t="shared" si="11"/>
        <v>1200</v>
      </c>
      <c r="K360" s="136"/>
      <c r="L360" s="13"/>
    </row>
    <row r="361">
      <c r="G361" s="15" t="s">
        <v>103</v>
      </c>
      <c r="H361" s="15">
        <v>2.0</v>
      </c>
      <c r="I361" s="10">
        <v>300.0</v>
      </c>
      <c r="J361" s="104">
        <f t="shared" si="11"/>
        <v>600</v>
      </c>
      <c r="K361" s="136"/>
      <c r="L361" s="13"/>
    </row>
    <row r="362">
      <c r="G362" s="138" t="s">
        <v>301</v>
      </c>
      <c r="H362" s="138">
        <v>1.0</v>
      </c>
      <c r="I362" s="139">
        <v>1650.0</v>
      </c>
      <c r="J362" s="114">
        <f t="shared" si="11"/>
        <v>1650</v>
      </c>
      <c r="K362" s="136"/>
      <c r="L362" s="13"/>
    </row>
    <row r="363">
      <c r="G363" s="138" t="s">
        <v>109</v>
      </c>
      <c r="H363" s="138">
        <v>1.0</v>
      </c>
      <c r="I363" s="139">
        <v>1350.0</v>
      </c>
      <c r="J363" s="114">
        <f t="shared" si="11"/>
        <v>1350</v>
      </c>
      <c r="K363" s="136"/>
      <c r="L363" s="13"/>
    </row>
    <row r="364">
      <c r="G364" s="138" t="s">
        <v>174</v>
      </c>
      <c r="H364" s="138">
        <v>2.0</v>
      </c>
      <c r="I364" s="139">
        <v>1050.0</v>
      </c>
      <c r="J364" s="114">
        <f t="shared" si="11"/>
        <v>2100</v>
      </c>
      <c r="K364" s="136"/>
      <c r="L364" s="13"/>
    </row>
    <row r="365">
      <c r="G365" s="15" t="s">
        <v>169</v>
      </c>
      <c r="H365" s="15">
        <v>5.0</v>
      </c>
      <c r="I365" s="10">
        <v>30.0</v>
      </c>
      <c r="J365" s="104">
        <f t="shared" si="11"/>
        <v>150</v>
      </c>
      <c r="K365" s="136"/>
      <c r="L365" s="13"/>
    </row>
    <row r="366">
      <c r="G366" s="15" t="s">
        <v>100</v>
      </c>
      <c r="H366" s="15">
        <v>5.0</v>
      </c>
      <c r="I366" s="10">
        <v>100.0</v>
      </c>
      <c r="J366" s="104">
        <f t="shared" si="11"/>
        <v>500</v>
      </c>
      <c r="K366" s="136"/>
      <c r="L366" s="13"/>
    </row>
    <row r="367">
      <c r="G367" s="138" t="s">
        <v>302</v>
      </c>
      <c r="H367" s="138">
        <v>0.4</v>
      </c>
      <c r="I367" s="139">
        <v>1300.0</v>
      </c>
      <c r="J367" s="114">
        <f t="shared" si="11"/>
        <v>520</v>
      </c>
      <c r="K367" s="136"/>
      <c r="L367" s="13"/>
    </row>
    <row r="368">
      <c r="G368" s="15" t="s">
        <v>178</v>
      </c>
      <c r="H368" s="15">
        <v>20.0</v>
      </c>
      <c r="I368" s="10">
        <v>170.0</v>
      </c>
      <c r="J368" s="104">
        <f t="shared" si="11"/>
        <v>3400</v>
      </c>
      <c r="K368" s="136"/>
      <c r="L368" s="13"/>
    </row>
    <row r="369">
      <c r="G369" s="15" t="s">
        <v>303</v>
      </c>
      <c r="H369" s="15">
        <v>1.0</v>
      </c>
      <c r="I369" s="10">
        <v>5240.0</v>
      </c>
      <c r="J369" s="104">
        <f t="shared" si="11"/>
        <v>5240</v>
      </c>
      <c r="K369" s="136"/>
      <c r="L369" s="13"/>
    </row>
    <row r="370">
      <c r="G370" s="15" t="s">
        <v>304</v>
      </c>
      <c r="H370" s="15">
        <v>3.0</v>
      </c>
      <c r="I370" s="10">
        <v>100.0</v>
      </c>
      <c r="J370" s="104">
        <f t="shared" si="11"/>
        <v>300</v>
      </c>
      <c r="K370" s="136"/>
      <c r="L370" s="13"/>
    </row>
    <row r="371">
      <c r="G371" s="15" t="s">
        <v>305</v>
      </c>
      <c r="H371" s="15">
        <v>3.0</v>
      </c>
      <c r="I371" s="10">
        <v>150.0</v>
      </c>
      <c r="J371" s="104">
        <f t="shared" si="11"/>
        <v>450</v>
      </c>
      <c r="K371" s="136"/>
      <c r="L371" s="13"/>
    </row>
    <row r="372">
      <c r="G372" s="15" t="s">
        <v>230</v>
      </c>
      <c r="H372" s="15">
        <v>1.0</v>
      </c>
      <c r="I372" s="10">
        <v>350.0</v>
      </c>
      <c r="J372" s="104">
        <f t="shared" si="11"/>
        <v>350</v>
      </c>
      <c r="K372" s="136"/>
      <c r="L372" s="13"/>
    </row>
    <row r="373">
      <c r="G373" s="15" t="s">
        <v>306</v>
      </c>
      <c r="H373" s="15">
        <v>1.0</v>
      </c>
      <c r="I373" s="10">
        <v>1000.0</v>
      </c>
      <c r="J373" s="104">
        <f t="shared" si="11"/>
        <v>1000</v>
      </c>
      <c r="K373" s="136"/>
      <c r="L373" s="13"/>
    </row>
    <row r="374">
      <c r="G374" s="15" t="s">
        <v>307</v>
      </c>
      <c r="H374" s="15">
        <v>3.0</v>
      </c>
      <c r="I374" s="10">
        <v>1000.0</v>
      </c>
      <c r="J374" s="104">
        <f t="shared" si="11"/>
        <v>3000</v>
      </c>
      <c r="K374" s="136"/>
      <c r="L374" s="13"/>
    </row>
    <row r="375">
      <c r="G375" s="15" t="s">
        <v>104</v>
      </c>
      <c r="H375" s="15">
        <v>1.5</v>
      </c>
      <c r="I375" s="10">
        <v>800.0</v>
      </c>
      <c r="J375" s="104">
        <f t="shared" si="11"/>
        <v>1200</v>
      </c>
      <c r="K375" s="8">
        <v>45591.0</v>
      </c>
      <c r="L375" s="13"/>
    </row>
    <row r="376">
      <c r="G376" s="15" t="s">
        <v>202</v>
      </c>
      <c r="H376" s="15">
        <v>2.0</v>
      </c>
      <c r="I376" s="10">
        <v>100.0</v>
      </c>
      <c r="J376" s="104">
        <f t="shared" si="11"/>
        <v>200</v>
      </c>
      <c r="K376" s="136"/>
      <c r="L376" s="13"/>
    </row>
    <row r="377">
      <c r="G377" s="15"/>
      <c r="H377" s="15"/>
      <c r="I377" s="10"/>
      <c r="J377" s="104"/>
      <c r="K377" s="136"/>
      <c r="L377" s="13"/>
    </row>
    <row r="378">
      <c r="G378" s="15" t="s">
        <v>308</v>
      </c>
      <c r="H378" s="15">
        <v>1.0</v>
      </c>
      <c r="I378" s="10">
        <v>350.0</v>
      </c>
      <c r="J378" s="104">
        <f t="shared" ref="J378:J383" si="12">H378*I378</f>
        <v>350</v>
      </c>
      <c r="K378" s="136"/>
      <c r="L378" s="13"/>
    </row>
    <row r="379">
      <c r="G379" s="15" t="s">
        <v>81</v>
      </c>
      <c r="H379" s="15">
        <v>1.0</v>
      </c>
      <c r="I379" s="10">
        <v>1400.0</v>
      </c>
      <c r="J379" s="104">
        <f t="shared" si="12"/>
        <v>1400</v>
      </c>
      <c r="K379" s="136"/>
      <c r="L379" s="13"/>
    </row>
    <row r="380">
      <c r="G380" s="15" t="s">
        <v>200</v>
      </c>
      <c r="H380" s="15">
        <v>2.0</v>
      </c>
      <c r="I380" s="10">
        <v>100.0</v>
      </c>
      <c r="J380" s="104">
        <f t="shared" si="12"/>
        <v>200</v>
      </c>
      <c r="K380" s="136"/>
      <c r="L380" s="13"/>
    </row>
    <row r="381">
      <c r="G381" s="15" t="s">
        <v>222</v>
      </c>
      <c r="H381" s="15">
        <v>6.0</v>
      </c>
      <c r="I381" s="10">
        <v>110.0</v>
      </c>
      <c r="J381" s="104">
        <f t="shared" si="12"/>
        <v>660</v>
      </c>
      <c r="K381" s="136"/>
      <c r="L381" s="13"/>
    </row>
    <row r="382">
      <c r="G382" s="15" t="s">
        <v>100</v>
      </c>
      <c r="H382" s="15">
        <v>4.0</v>
      </c>
      <c r="I382" s="10">
        <v>100.0</v>
      </c>
      <c r="J382" s="104">
        <f t="shared" si="12"/>
        <v>400</v>
      </c>
      <c r="K382" s="136"/>
      <c r="L382" s="13"/>
    </row>
    <row r="383">
      <c r="G383" s="15" t="s">
        <v>289</v>
      </c>
      <c r="H383" s="15">
        <v>3.75</v>
      </c>
      <c r="I383" s="10">
        <v>800.0</v>
      </c>
      <c r="J383" s="104">
        <f t="shared" si="12"/>
        <v>3000</v>
      </c>
      <c r="K383" s="8">
        <v>45593.0</v>
      </c>
      <c r="L383" s="13"/>
    </row>
    <row r="384">
      <c r="G384" s="15"/>
      <c r="H384" s="15"/>
      <c r="I384" s="10"/>
      <c r="J384" s="104"/>
      <c r="K384" s="136"/>
      <c r="L384" s="13"/>
    </row>
    <row r="385">
      <c r="G385" s="15"/>
      <c r="H385" s="15"/>
      <c r="I385" s="10"/>
      <c r="J385" s="104"/>
      <c r="K385" s="136"/>
      <c r="L385" s="13"/>
    </row>
    <row r="386">
      <c r="G386" s="15" t="s">
        <v>102</v>
      </c>
      <c r="H386" s="15">
        <v>2.0</v>
      </c>
      <c r="I386" s="10">
        <v>150.0</v>
      </c>
      <c r="J386" s="104">
        <f t="shared" ref="J386:J416" si="13">H386*I386</f>
        <v>300</v>
      </c>
      <c r="K386" s="136"/>
      <c r="L386" s="13"/>
    </row>
    <row r="387">
      <c r="G387" s="15" t="s">
        <v>213</v>
      </c>
      <c r="H387" s="15">
        <v>0.5</v>
      </c>
      <c r="I387" s="10">
        <v>120.0</v>
      </c>
      <c r="J387" s="104">
        <f t="shared" si="13"/>
        <v>60</v>
      </c>
      <c r="K387" s="136"/>
      <c r="L387" s="13"/>
    </row>
    <row r="388">
      <c r="G388" s="15" t="s">
        <v>168</v>
      </c>
      <c r="H388" s="15">
        <v>1.0</v>
      </c>
      <c r="I388" s="10">
        <v>3000.0</v>
      </c>
      <c r="J388" s="104">
        <f t="shared" si="13"/>
        <v>3000</v>
      </c>
      <c r="K388" s="136"/>
      <c r="L388" s="13"/>
    </row>
    <row r="389">
      <c r="G389" s="140" t="s">
        <v>309</v>
      </c>
      <c r="H389" s="140">
        <v>2.0</v>
      </c>
      <c r="I389" s="141">
        <v>1500.0</v>
      </c>
      <c r="J389" s="104">
        <f t="shared" si="13"/>
        <v>3000</v>
      </c>
      <c r="K389" s="142"/>
      <c r="L389" s="13"/>
    </row>
    <row r="390">
      <c r="G390" s="15" t="s">
        <v>149</v>
      </c>
      <c r="H390" s="15">
        <v>8.0</v>
      </c>
      <c r="I390" s="10">
        <v>810.0</v>
      </c>
      <c r="J390" s="104">
        <f t="shared" si="13"/>
        <v>6480</v>
      </c>
      <c r="K390" s="8"/>
      <c r="L390" s="13"/>
    </row>
    <row r="391">
      <c r="G391" s="15" t="s">
        <v>237</v>
      </c>
      <c r="H391" s="15">
        <v>0.0</v>
      </c>
      <c r="I391" s="10">
        <v>800.0</v>
      </c>
      <c r="J391" s="104">
        <f t="shared" si="13"/>
        <v>0</v>
      </c>
      <c r="K391" s="8">
        <v>45594.0</v>
      </c>
      <c r="L391" s="13"/>
    </row>
    <row r="392">
      <c r="G392" s="15" t="s">
        <v>236</v>
      </c>
      <c r="H392" s="15">
        <v>10.0</v>
      </c>
      <c r="I392" s="10">
        <v>16.0</v>
      </c>
      <c r="J392" s="104">
        <f t="shared" si="13"/>
        <v>160</v>
      </c>
      <c r="K392" s="136"/>
      <c r="L392" s="13"/>
    </row>
    <row r="393">
      <c r="G393" s="15" t="s">
        <v>291</v>
      </c>
      <c r="H393" s="15">
        <v>1.0</v>
      </c>
      <c r="I393" s="10">
        <v>180.0</v>
      </c>
      <c r="J393" s="104">
        <f t="shared" si="13"/>
        <v>180</v>
      </c>
      <c r="K393" s="136"/>
      <c r="L393" s="13"/>
    </row>
    <row r="394">
      <c r="G394" s="15" t="s">
        <v>222</v>
      </c>
      <c r="H394" s="15">
        <v>3.0</v>
      </c>
      <c r="I394" s="10">
        <v>120.0</v>
      </c>
      <c r="J394" s="104">
        <f t="shared" si="13"/>
        <v>360</v>
      </c>
      <c r="K394" s="136"/>
      <c r="L394" s="13"/>
    </row>
    <row r="395">
      <c r="G395" s="15" t="s">
        <v>81</v>
      </c>
      <c r="H395" s="15">
        <v>0.0</v>
      </c>
      <c r="I395" s="10">
        <v>1400.0</v>
      </c>
      <c r="J395" s="104">
        <f t="shared" si="13"/>
        <v>0</v>
      </c>
      <c r="K395" s="136"/>
      <c r="L395" s="13"/>
    </row>
    <row r="396">
      <c r="G396" s="15" t="s">
        <v>310</v>
      </c>
      <c r="H396" s="15">
        <v>6.0</v>
      </c>
      <c r="I396" s="10">
        <v>35.0</v>
      </c>
      <c r="J396" s="104">
        <f t="shared" si="13"/>
        <v>210</v>
      </c>
      <c r="K396" s="136"/>
      <c r="L396" s="13"/>
    </row>
    <row r="397">
      <c r="G397" s="15" t="s">
        <v>311</v>
      </c>
      <c r="H397" s="15">
        <v>200.0</v>
      </c>
      <c r="I397" s="10">
        <v>1.0</v>
      </c>
      <c r="J397" s="104">
        <f t="shared" si="13"/>
        <v>200</v>
      </c>
      <c r="K397" s="136"/>
      <c r="L397" s="13"/>
    </row>
    <row r="398">
      <c r="G398" s="15" t="s">
        <v>285</v>
      </c>
      <c r="H398" s="15">
        <v>1.0</v>
      </c>
      <c r="I398" s="10">
        <v>75.0</v>
      </c>
      <c r="J398" s="104">
        <f t="shared" si="13"/>
        <v>75</v>
      </c>
      <c r="K398" s="136"/>
      <c r="L398" s="13"/>
    </row>
    <row r="399">
      <c r="G399" s="15" t="s">
        <v>312</v>
      </c>
      <c r="H399" s="15">
        <v>2.0</v>
      </c>
      <c r="I399" s="10">
        <v>60.0</v>
      </c>
      <c r="J399" s="104">
        <f t="shared" si="13"/>
        <v>120</v>
      </c>
      <c r="K399" s="136"/>
      <c r="L399" s="13"/>
    </row>
    <row r="400">
      <c r="G400" s="15" t="s">
        <v>293</v>
      </c>
      <c r="H400" s="15">
        <v>2.0</v>
      </c>
      <c r="I400" s="10">
        <v>25.0</v>
      </c>
      <c r="J400" s="104">
        <f t="shared" si="13"/>
        <v>50</v>
      </c>
      <c r="K400" s="136"/>
      <c r="L400" s="13"/>
    </row>
    <row r="401">
      <c r="G401" s="15" t="s">
        <v>183</v>
      </c>
      <c r="H401" s="15">
        <v>2.0</v>
      </c>
      <c r="I401" s="10">
        <v>65.0</v>
      </c>
      <c r="J401" s="104">
        <f t="shared" si="13"/>
        <v>130</v>
      </c>
      <c r="K401" s="136"/>
      <c r="L401" s="13"/>
    </row>
    <row r="402">
      <c r="G402" s="138" t="s">
        <v>256</v>
      </c>
      <c r="H402" s="138">
        <v>1.0</v>
      </c>
      <c r="I402" s="139">
        <v>950.0</v>
      </c>
      <c r="J402" s="114">
        <f t="shared" si="13"/>
        <v>950</v>
      </c>
      <c r="K402" s="136"/>
      <c r="L402" s="13"/>
    </row>
    <row r="403">
      <c r="G403" s="15" t="s">
        <v>77</v>
      </c>
      <c r="H403" s="15">
        <v>0.0</v>
      </c>
      <c r="I403" s="10">
        <v>84.0</v>
      </c>
      <c r="J403" s="104">
        <f t="shared" si="13"/>
        <v>0</v>
      </c>
      <c r="K403" s="136"/>
      <c r="L403" s="13"/>
    </row>
    <row r="404">
      <c r="G404" s="138" t="s">
        <v>258</v>
      </c>
      <c r="H404" s="138">
        <v>0.55</v>
      </c>
      <c r="I404" s="139">
        <v>1900.0</v>
      </c>
      <c r="J404" s="114">
        <f t="shared" si="13"/>
        <v>1045</v>
      </c>
      <c r="K404" s="136"/>
      <c r="L404" s="13"/>
    </row>
    <row r="405">
      <c r="G405" s="138" t="s">
        <v>313</v>
      </c>
      <c r="H405" s="138">
        <v>2.0</v>
      </c>
      <c r="I405" s="139">
        <v>198.0</v>
      </c>
      <c r="J405" s="114">
        <f t="shared" si="13"/>
        <v>396</v>
      </c>
      <c r="K405" s="136"/>
      <c r="L405" s="13"/>
    </row>
    <row r="406">
      <c r="G406" s="138" t="s">
        <v>275</v>
      </c>
      <c r="H406" s="138">
        <v>0.0</v>
      </c>
      <c r="I406" s="139">
        <v>430.0</v>
      </c>
      <c r="J406" s="114">
        <f t="shared" si="13"/>
        <v>0</v>
      </c>
      <c r="K406" s="136"/>
      <c r="L406" s="13"/>
    </row>
    <row r="407">
      <c r="G407" s="138" t="s">
        <v>314</v>
      </c>
      <c r="H407" s="138">
        <v>0.0</v>
      </c>
      <c r="I407" s="139">
        <v>980.0</v>
      </c>
      <c r="J407" s="114">
        <f t="shared" si="13"/>
        <v>0</v>
      </c>
      <c r="K407" s="136"/>
      <c r="L407" s="13"/>
    </row>
    <row r="408">
      <c r="G408" s="138" t="s">
        <v>81</v>
      </c>
      <c r="H408" s="138">
        <v>0.0</v>
      </c>
      <c r="I408" s="139">
        <v>1350.0</v>
      </c>
      <c r="J408" s="114">
        <f t="shared" si="13"/>
        <v>0</v>
      </c>
      <c r="K408" s="136"/>
      <c r="L408" s="13"/>
    </row>
    <row r="409">
      <c r="G409" s="15" t="s">
        <v>151</v>
      </c>
      <c r="H409" s="15">
        <v>1.0</v>
      </c>
      <c r="I409" s="10">
        <v>300.0</v>
      </c>
      <c r="J409" s="104">
        <f t="shared" si="13"/>
        <v>300</v>
      </c>
      <c r="K409" s="136"/>
      <c r="L409" s="13"/>
    </row>
    <row r="410">
      <c r="G410" s="15" t="s">
        <v>315</v>
      </c>
      <c r="H410" s="15">
        <v>2.0</v>
      </c>
      <c r="I410" s="10">
        <v>130.0</v>
      </c>
      <c r="J410" s="104">
        <f t="shared" si="13"/>
        <v>260</v>
      </c>
      <c r="K410" s="136"/>
      <c r="L410" s="13"/>
    </row>
    <row r="411">
      <c r="G411" s="15" t="s">
        <v>98</v>
      </c>
      <c r="H411" s="15">
        <v>1.0</v>
      </c>
      <c r="I411" s="10">
        <v>180.0</v>
      </c>
      <c r="J411" s="104">
        <f t="shared" si="13"/>
        <v>180</v>
      </c>
      <c r="K411" s="136"/>
      <c r="L411" s="13"/>
    </row>
    <row r="412">
      <c r="G412" s="15" t="s">
        <v>200</v>
      </c>
      <c r="H412" s="15">
        <v>2.0</v>
      </c>
      <c r="I412" s="10">
        <v>200.0</v>
      </c>
      <c r="J412" s="104">
        <f t="shared" si="13"/>
        <v>400</v>
      </c>
      <c r="K412" s="136"/>
      <c r="L412" s="13"/>
    </row>
    <row r="413">
      <c r="G413" s="15" t="s">
        <v>100</v>
      </c>
      <c r="H413" s="15">
        <v>2.0</v>
      </c>
      <c r="I413" s="10">
        <v>100.0</v>
      </c>
      <c r="J413" s="104">
        <f t="shared" si="13"/>
        <v>200</v>
      </c>
      <c r="K413" s="136"/>
      <c r="L413" s="13"/>
    </row>
    <row r="414">
      <c r="G414" s="15" t="s">
        <v>204</v>
      </c>
      <c r="H414" s="15">
        <v>4.0</v>
      </c>
      <c r="I414" s="10">
        <v>800.0</v>
      </c>
      <c r="J414" s="104">
        <f t="shared" si="13"/>
        <v>3200</v>
      </c>
      <c r="K414" s="8">
        <v>45595.0</v>
      </c>
      <c r="L414" s="13"/>
    </row>
    <row r="415">
      <c r="G415" s="15" t="s">
        <v>316</v>
      </c>
      <c r="H415" s="15">
        <v>1.0</v>
      </c>
      <c r="I415" s="10">
        <v>800.0</v>
      </c>
      <c r="J415" s="104">
        <f t="shared" si="13"/>
        <v>800</v>
      </c>
      <c r="K415" s="136"/>
      <c r="L415" s="13"/>
    </row>
    <row r="416">
      <c r="G416" s="15" t="s">
        <v>236</v>
      </c>
      <c r="H416" s="15">
        <v>2.0</v>
      </c>
      <c r="I416" s="10">
        <v>480.0</v>
      </c>
      <c r="J416" s="104">
        <f t="shared" si="13"/>
        <v>960</v>
      </c>
      <c r="K416" s="136"/>
      <c r="L416" s="13"/>
    </row>
    <row r="417">
      <c r="G417" s="15"/>
      <c r="H417" s="15"/>
      <c r="I417" s="10"/>
      <c r="J417" s="104"/>
      <c r="K417" s="136"/>
      <c r="L417" s="13"/>
    </row>
    <row r="418">
      <c r="G418" s="15" t="s">
        <v>161</v>
      </c>
      <c r="H418" s="15">
        <v>2.0</v>
      </c>
      <c r="I418" s="10">
        <v>1200.0</v>
      </c>
      <c r="J418" s="104">
        <f t="shared" ref="J418:J441" si="14">H418*I418</f>
        <v>2400</v>
      </c>
      <c r="K418" s="136"/>
      <c r="L418" s="13"/>
    </row>
    <row r="419">
      <c r="G419" s="138" t="s">
        <v>274</v>
      </c>
      <c r="H419" s="138">
        <v>4.0</v>
      </c>
      <c r="I419" s="139">
        <v>600.0</v>
      </c>
      <c r="J419" s="114">
        <f t="shared" si="14"/>
        <v>2400</v>
      </c>
      <c r="K419" s="136"/>
      <c r="L419" s="13"/>
    </row>
    <row r="420">
      <c r="G420" s="15" t="s">
        <v>317</v>
      </c>
      <c r="H420" s="15">
        <v>3.0</v>
      </c>
      <c r="I420" s="10">
        <v>800.0</v>
      </c>
      <c r="J420" s="104">
        <f t="shared" si="14"/>
        <v>2400</v>
      </c>
      <c r="K420" s="136"/>
      <c r="L420" s="13"/>
    </row>
    <row r="421">
      <c r="G421" s="15" t="s">
        <v>105</v>
      </c>
      <c r="H421" s="15">
        <v>2.0</v>
      </c>
      <c r="I421" s="10">
        <v>210.0</v>
      </c>
      <c r="J421" s="104">
        <f t="shared" si="14"/>
        <v>420</v>
      </c>
      <c r="K421" s="136"/>
      <c r="L421" s="13"/>
    </row>
    <row r="422">
      <c r="G422" s="15" t="s">
        <v>318</v>
      </c>
      <c r="H422" s="15">
        <v>1.0</v>
      </c>
      <c r="I422" s="10">
        <v>200.0</v>
      </c>
      <c r="J422" s="104">
        <f t="shared" si="14"/>
        <v>200</v>
      </c>
      <c r="K422" s="136"/>
      <c r="L422" s="13"/>
    </row>
    <row r="423">
      <c r="G423" s="15" t="s">
        <v>241</v>
      </c>
      <c r="H423" s="15">
        <v>1.0</v>
      </c>
      <c r="I423" s="10">
        <v>220.0</v>
      </c>
      <c r="J423" s="104">
        <f t="shared" si="14"/>
        <v>220</v>
      </c>
      <c r="K423" s="136"/>
      <c r="L423" s="13"/>
    </row>
    <row r="424">
      <c r="G424" s="15" t="s">
        <v>319</v>
      </c>
      <c r="H424" s="15">
        <v>1.0</v>
      </c>
      <c r="I424" s="10">
        <v>300.0</v>
      </c>
      <c r="J424" s="104">
        <f t="shared" si="14"/>
        <v>300</v>
      </c>
      <c r="K424" s="136"/>
      <c r="L424" s="13"/>
    </row>
    <row r="425">
      <c r="G425" s="15" t="s">
        <v>320</v>
      </c>
      <c r="H425" s="15">
        <v>1.0</v>
      </c>
      <c r="I425" s="10">
        <v>100.0</v>
      </c>
      <c r="J425" s="104">
        <f t="shared" si="14"/>
        <v>100</v>
      </c>
      <c r="K425" s="136"/>
      <c r="L425" s="13"/>
    </row>
    <row r="426">
      <c r="G426" s="15" t="s">
        <v>151</v>
      </c>
      <c r="H426" s="15">
        <v>1.0</v>
      </c>
      <c r="I426" s="10">
        <v>190.0</v>
      </c>
      <c r="J426" s="104">
        <f t="shared" si="14"/>
        <v>190</v>
      </c>
      <c r="K426" s="136"/>
      <c r="L426" s="13"/>
    </row>
    <row r="427">
      <c r="G427" s="15" t="s">
        <v>321</v>
      </c>
      <c r="H427" s="15">
        <v>1.0</v>
      </c>
      <c r="I427" s="10">
        <v>190.0</v>
      </c>
      <c r="J427" s="104">
        <f t="shared" si="14"/>
        <v>190</v>
      </c>
      <c r="K427" s="136"/>
      <c r="L427" s="13"/>
    </row>
    <row r="428">
      <c r="G428" s="15" t="s">
        <v>281</v>
      </c>
      <c r="H428" s="15">
        <v>1.0</v>
      </c>
      <c r="I428" s="10">
        <v>840.0</v>
      </c>
      <c r="J428" s="104">
        <f t="shared" si="14"/>
        <v>840</v>
      </c>
      <c r="K428" s="136"/>
      <c r="L428" s="13"/>
    </row>
    <row r="429">
      <c r="G429" s="15" t="s">
        <v>258</v>
      </c>
      <c r="H429" s="15">
        <v>1.0</v>
      </c>
      <c r="I429" s="10">
        <v>350.0</v>
      </c>
      <c r="J429" s="104">
        <f t="shared" si="14"/>
        <v>350</v>
      </c>
      <c r="K429" s="136"/>
      <c r="L429" s="13"/>
    </row>
    <row r="430">
      <c r="G430" s="15" t="s">
        <v>313</v>
      </c>
      <c r="H430" s="15">
        <v>2.0</v>
      </c>
      <c r="I430" s="10">
        <v>250.0</v>
      </c>
      <c r="J430" s="104">
        <f t="shared" si="14"/>
        <v>500</v>
      </c>
      <c r="K430" s="136"/>
      <c r="L430" s="13"/>
    </row>
    <row r="431">
      <c r="G431" s="15" t="s">
        <v>322</v>
      </c>
      <c r="H431" s="15">
        <v>1.0</v>
      </c>
      <c r="I431" s="10">
        <v>120.0</v>
      </c>
      <c r="J431" s="104">
        <f t="shared" si="14"/>
        <v>120</v>
      </c>
      <c r="K431" s="136"/>
      <c r="L431" s="13"/>
    </row>
    <row r="432">
      <c r="G432" s="15" t="s">
        <v>323</v>
      </c>
      <c r="H432" s="15">
        <v>1.0</v>
      </c>
      <c r="I432" s="10">
        <v>840.0</v>
      </c>
      <c r="J432" s="104">
        <f t="shared" si="14"/>
        <v>840</v>
      </c>
      <c r="K432" s="136"/>
      <c r="L432" s="13"/>
    </row>
    <row r="433">
      <c r="G433" s="15" t="s">
        <v>324</v>
      </c>
      <c r="H433" s="15">
        <v>15.0</v>
      </c>
      <c r="I433" s="10">
        <v>100.0</v>
      </c>
      <c r="J433" s="104">
        <f t="shared" si="14"/>
        <v>1500</v>
      </c>
      <c r="K433" s="136"/>
      <c r="L433" s="13"/>
    </row>
    <row r="434">
      <c r="G434" s="15" t="s">
        <v>325</v>
      </c>
      <c r="H434" s="15">
        <v>1.0</v>
      </c>
      <c r="I434" s="10">
        <v>2700.0</v>
      </c>
      <c r="J434" s="104">
        <f t="shared" si="14"/>
        <v>2700</v>
      </c>
      <c r="K434" s="136"/>
      <c r="L434" s="13"/>
    </row>
    <row r="435">
      <c r="G435" s="15" t="s">
        <v>105</v>
      </c>
      <c r="H435" s="15">
        <v>8.0</v>
      </c>
      <c r="I435" s="10">
        <v>250.0</v>
      </c>
      <c r="J435" s="104">
        <f t="shared" si="14"/>
        <v>2000</v>
      </c>
      <c r="K435" s="136"/>
      <c r="L435" s="13"/>
    </row>
    <row r="436">
      <c r="G436" s="15" t="s">
        <v>279</v>
      </c>
      <c r="H436" s="15">
        <v>1.0</v>
      </c>
      <c r="I436" s="10">
        <v>800.0</v>
      </c>
      <c r="J436" s="104">
        <f t="shared" si="14"/>
        <v>800</v>
      </c>
      <c r="K436" s="136"/>
      <c r="L436" s="13"/>
    </row>
    <row r="437">
      <c r="G437" s="12"/>
      <c r="H437" s="12"/>
      <c r="I437" s="9"/>
      <c r="J437" s="104">
        <f t="shared" si="14"/>
        <v>0</v>
      </c>
      <c r="K437" s="136"/>
      <c r="L437" s="13"/>
    </row>
    <row r="438">
      <c r="G438" s="12"/>
      <c r="H438" s="12"/>
      <c r="I438" s="9"/>
      <c r="J438" s="104">
        <f t="shared" si="14"/>
        <v>0</v>
      </c>
      <c r="K438" s="136"/>
      <c r="L438" s="13"/>
    </row>
    <row r="439">
      <c r="G439" s="12"/>
      <c r="H439" s="12"/>
      <c r="I439" s="9"/>
      <c r="J439" s="104">
        <f t="shared" si="14"/>
        <v>0</v>
      </c>
      <c r="K439" s="136"/>
      <c r="L439" s="13"/>
    </row>
    <row r="440">
      <c r="G440" s="12"/>
      <c r="H440" s="12"/>
      <c r="I440" s="9"/>
      <c r="J440" s="104">
        <f t="shared" si="14"/>
        <v>0</v>
      </c>
      <c r="K440" s="136"/>
      <c r="L440" s="13"/>
    </row>
    <row r="441">
      <c r="G441" s="12"/>
      <c r="H441" s="12"/>
      <c r="I441" s="9"/>
      <c r="J441" s="104">
        <f t="shared" si="14"/>
        <v>0</v>
      </c>
      <c r="K441" s="136"/>
      <c r="L441" s="13"/>
    </row>
    <row r="442">
      <c r="G442" s="143"/>
      <c r="H442" s="143"/>
      <c r="I442" s="35"/>
      <c r="J442" s="144"/>
      <c r="K442" s="136"/>
      <c r="L442" s="13"/>
    </row>
    <row r="443">
      <c r="G443" s="122" t="s">
        <v>326</v>
      </c>
      <c r="H443" s="122">
        <v>1.0</v>
      </c>
      <c r="I443" s="145">
        <v>20000.0</v>
      </c>
      <c r="J443" s="144">
        <f t="shared" ref="J443:J465" si="15">H443*I443</f>
        <v>20000</v>
      </c>
      <c r="K443" s="133" t="s">
        <v>327</v>
      </c>
      <c r="L443" s="13"/>
    </row>
    <row r="444">
      <c r="G444" s="107" t="s">
        <v>328</v>
      </c>
      <c r="H444" s="107">
        <v>334.0</v>
      </c>
      <c r="I444" s="66">
        <v>60.0</v>
      </c>
      <c r="J444" s="104">
        <f t="shared" si="15"/>
        <v>20040</v>
      </c>
      <c r="K444" s="132">
        <v>45583.0</v>
      </c>
      <c r="L444" s="13"/>
    </row>
    <row r="445">
      <c r="G445" s="107" t="s">
        <v>329</v>
      </c>
      <c r="H445" s="107">
        <v>1.0</v>
      </c>
      <c r="I445" s="66">
        <v>5000.0</v>
      </c>
      <c r="J445" s="104">
        <f t="shared" si="15"/>
        <v>5000</v>
      </c>
      <c r="K445" s="132">
        <v>45573.0</v>
      </c>
      <c r="L445" s="13"/>
    </row>
    <row r="446">
      <c r="G446" s="106" t="s">
        <v>41</v>
      </c>
      <c r="H446" s="107">
        <v>1.0</v>
      </c>
      <c r="I446" s="66">
        <v>2200.0</v>
      </c>
      <c r="J446" s="104">
        <f t="shared" si="15"/>
        <v>2200</v>
      </c>
      <c r="K446" s="132">
        <v>45573.0</v>
      </c>
      <c r="L446" s="13"/>
    </row>
    <row r="447">
      <c r="G447" s="106" t="s">
        <v>330</v>
      </c>
      <c r="H447" s="107">
        <v>1.0</v>
      </c>
      <c r="I447" s="66">
        <v>52000.0</v>
      </c>
      <c r="J447" s="104">
        <f t="shared" si="15"/>
        <v>52000</v>
      </c>
      <c r="K447" s="132">
        <v>45570.0</v>
      </c>
      <c r="L447" s="13"/>
    </row>
    <row r="448">
      <c r="G448" s="106" t="s">
        <v>331</v>
      </c>
      <c r="H448" s="107">
        <v>1.0</v>
      </c>
      <c r="I448" s="66">
        <v>1700.0</v>
      </c>
      <c r="J448" s="104">
        <f t="shared" si="15"/>
        <v>1700</v>
      </c>
      <c r="K448" s="146" t="s">
        <v>332</v>
      </c>
      <c r="L448" s="13"/>
    </row>
    <row r="449">
      <c r="G449" s="106" t="s">
        <v>333</v>
      </c>
      <c r="H449" s="107">
        <v>1.0</v>
      </c>
      <c r="I449" s="66">
        <v>1400.0</v>
      </c>
      <c r="J449" s="104">
        <f t="shared" si="15"/>
        <v>1400</v>
      </c>
      <c r="K449" s="147"/>
      <c r="L449" s="13"/>
    </row>
    <row r="450">
      <c r="G450" s="116" t="s">
        <v>334</v>
      </c>
      <c r="H450" s="107">
        <v>1.0</v>
      </c>
      <c r="I450" s="66">
        <v>1100.0</v>
      </c>
      <c r="J450" s="104">
        <f t="shared" si="15"/>
        <v>1100</v>
      </c>
      <c r="K450" s="147"/>
      <c r="L450" s="13"/>
    </row>
    <row r="451">
      <c r="G451" s="107" t="s">
        <v>335</v>
      </c>
      <c r="H451" s="107">
        <v>1.0</v>
      </c>
      <c r="I451" s="66">
        <v>1050.0</v>
      </c>
      <c r="J451" s="104">
        <f t="shared" si="15"/>
        <v>1050</v>
      </c>
      <c r="K451" s="147"/>
      <c r="L451" s="13"/>
    </row>
    <row r="452">
      <c r="G452" s="106" t="s">
        <v>336</v>
      </c>
      <c r="H452" s="107">
        <v>1.0</v>
      </c>
      <c r="I452" s="66">
        <v>950.0</v>
      </c>
      <c r="J452" s="104">
        <f t="shared" si="15"/>
        <v>950</v>
      </c>
      <c r="K452" s="148"/>
      <c r="L452" s="13"/>
    </row>
    <row r="453">
      <c r="G453" s="106" t="s">
        <v>294</v>
      </c>
      <c r="H453" s="107">
        <v>1.0</v>
      </c>
      <c r="I453" s="66">
        <v>1100.0</v>
      </c>
      <c r="J453" s="104">
        <f t="shared" si="15"/>
        <v>1100</v>
      </c>
      <c r="K453" s="105"/>
      <c r="L453" s="13"/>
    </row>
    <row r="454">
      <c r="G454" s="101" t="s">
        <v>337</v>
      </c>
      <c r="H454" s="102">
        <v>1.0</v>
      </c>
      <c r="I454" s="103">
        <v>950.0</v>
      </c>
      <c r="J454" s="104">
        <f t="shared" si="15"/>
        <v>950</v>
      </c>
      <c r="K454" s="105"/>
      <c r="L454" s="13"/>
    </row>
    <row r="455">
      <c r="G455" s="120" t="s">
        <v>338</v>
      </c>
      <c r="H455" s="120">
        <v>1.0</v>
      </c>
      <c r="I455" s="118">
        <v>1370.0</v>
      </c>
      <c r="J455" s="119">
        <f t="shared" si="15"/>
        <v>1370</v>
      </c>
      <c r="K455" s="108"/>
      <c r="L455" s="13"/>
    </row>
    <row r="456">
      <c r="G456" s="125" t="s">
        <v>339</v>
      </c>
      <c r="H456" s="107">
        <v>2.0</v>
      </c>
      <c r="I456" s="118">
        <v>1200.0</v>
      </c>
      <c r="J456" s="119">
        <f t="shared" si="15"/>
        <v>2400</v>
      </c>
      <c r="K456" s="105"/>
      <c r="L456" s="13"/>
    </row>
    <row r="457">
      <c r="G457" s="125" t="s">
        <v>127</v>
      </c>
      <c r="H457" s="120">
        <v>0.025</v>
      </c>
      <c r="I457" s="118">
        <v>9000.0</v>
      </c>
      <c r="J457" s="119">
        <f t="shared" si="15"/>
        <v>225</v>
      </c>
      <c r="K457" s="105"/>
      <c r="L457" s="13"/>
    </row>
    <row r="458">
      <c r="G458" s="120" t="s">
        <v>340</v>
      </c>
      <c r="H458" s="120">
        <v>1.0</v>
      </c>
      <c r="I458" s="118">
        <v>5000.0</v>
      </c>
      <c r="J458" s="119">
        <f t="shared" si="15"/>
        <v>5000</v>
      </c>
      <c r="K458" s="105"/>
      <c r="L458" s="13"/>
    </row>
    <row r="459">
      <c r="G459" s="125" t="s">
        <v>341</v>
      </c>
      <c r="H459" s="120">
        <v>20.0</v>
      </c>
      <c r="I459" s="118">
        <v>11.5</v>
      </c>
      <c r="J459" s="119">
        <f t="shared" si="15"/>
        <v>230</v>
      </c>
      <c r="K459" s="149"/>
      <c r="L459" s="13"/>
    </row>
    <row r="460">
      <c r="G460" s="126" t="s">
        <v>108</v>
      </c>
      <c r="H460" s="102">
        <v>1.0</v>
      </c>
      <c r="I460" s="119">
        <v>1750.0</v>
      </c>
      <c r="J460" s="119">
        <f t="shared" si="15"/>
        <v>1750</v>
      </c>
      <c r="K460" s="105"/>
      <c r="L460" s="13"/>
    </row>
    <row r="461">
      <c r="G461" s="125" t="s">
        <v>342</v>
      </c>
      <c r="H461" s="107">
        <v>13.0</v>
      </c>
      <c r="I461" s="118">
        <v>38.0</v>
      </c>
      <c r="J461" s="119">
        <f t="shared" si="15"/>
        <v>494</v>
      </c>
      <c r="K461" s="105"/>
      <c r="L461" s="13"/>
    </row>
    <row r="462">
      <c r="G462" s="125" t="s">
        <v>343</v>
      </c>
      <c r="H462" s="107">
        <v>30.0</v>
      </c>
      <c r="I462" s="118">
        <v>11.5</v>
      </c>
      <c r="J462" s="119">
        <f t="shared" si="15"/>
        <v>345</v>
      </c>
      <c r="K462" s="109"/>
      <c r="L462" s="13"/>
    </row>
    <row r="463">
      <c r="G463" s="125" t="s">
        <v>344</v>
      </c>
      <c r="H463" s="107">
        <v>5.0</v>
      </c>
      <c r="I463" s="118">
        <v>32.0</v>
      </c>
      <c r="J463" s="119">
        <f t="shared" si="15"/>
        <v>160</v>
      </c>
      <c r="K463" s="109"/>
      <c r="L463" s="13"/>
    </row>
    <row r="464">
      <c r="G464" s="125" t="s">
        <v>345</v>
      </c>
      <c r="H464" s="107">
        <v>5.0</v>
      </c>
      <c r="I464" s="118">
        <v>200.0</v>
      </c>
      <c r="J464" s="119">
        <f t="shared" si="15"/>
        <v>1000</v>
      </c>
      <c r="K464" s="105"/>
      <c r="L464" s="13"/>
    </row>
    <row r="465">
      <c r="G465" s="117" t="s">
        <v>346</v>
      </c>
      <c r="H465" s="120">
        <v>2.0</v>
      </c>
      <c r="I465" s="118">
        <v>250.0</v>
      </c>
      <c r="J465" s="119">
        <f t="shared" si="15"/>
        <v>500</v>
      </c>
      <c r="K465" s="105"/>
      <c r="L465" s="13"/>
    </row>
    <row r="466">
      <c r="G466" s="150" t="s">
        <v>347</v>
      </c>
      <c r="H466" s="151"/>
      <c r="I466" s="152"/>
      <c r="J466" s="153">
        <f>SUM(J2:J465)</f>
        <v>746668.2</v>
      </c>
      <c r="K466" s="154"/>
      <c r="L466" s="4"/>
    </row>
    <row r="467">
      <c r="G467" s="4"/>
      <c r="H467" s="4"/>
      <c r="I467" s="4"/>
      <c r="J467" s="4"/>
      <c r="K467" s="155"/>
      <c r="L467" s="4"/>
    </row>
    <row r="468">
      <c r="G468" s="4"/>
      <c r="H468" s="4"/>
      <c r="I468" s="4"/>
      <c r="J468" s="4"/>
      <c r="K468" s="155"/>
      <c r="L468" s="4"/>
    </row>
    <row r="469">
      <c r="G469" s="4"/>
      <c r="H469" s="4"/>
      <c r="I469" s="4"/>
      <c r="J469" s="4"/>
      <c r="K469" s="155"/>
      <c r="L469" s="4"/>
    </row>
    <row r="470">
      <c r="G470" s="4"/>
      <c r="H470" s="4"/>
      <c r="I470" s="4"/>
      <c r="J470" s="4"/>
      <c r="K470" s="155"/>
      <c r="L470" s="4"/>
    </row>
    <row r="471">
      <c r="G471" s="4"/>
      <c r="H471" s="4"/>
      <c r="I471" s="4"/>
      <c r="J471" s="4"/>
      <c r="K471" s="155"/>
      <c r="L471" s="4"/>
    </row>
    <row r="472">
      <c r="G472" s="4"/>
      <c r="H472" s="4"/>
      <c r="I472" s="4"/>
      <c r="J472" s="4"/>
      <c r="K472" s="155"/>
      <c r="L472" s="4"/>
    </row>
    <row r="473">
      <c r="G473" s="4"/>
      <c r="H473" s="4"/>
      <c r="I473" s="4"/>
      <c r="J473" s="4"/>
      <c r="K473" s="155"/>
      <c r="L473" s="4"/>
    </row>
    <row r="474">
      <c r="G474" s="4"/>
      <c r="H474" s="4"/>
      <c r="I474" s="4"/>
      <c r="J474" s="4"/>
      <c r="K474" s="155"/>
      <c r="L474" s="4"/>
    </row>
    <row r="475">
      <c r="G475" s="4"/>
      <c r="H475" s="4"/>
      <c r="I475" s="4"/>
      <c r="J475" s="4"/>
      <c r="K475" s="155"/>
      <c r="L475" s="4"/>
    </row>
    <row r="476">
      <c r="G476" s="4"/>
      <c r="H476" s="4"/>
      <c r="I476" s="4"/>
      <c r="J476" s="4"/>
      <c r="K476" s="155"/>
      <c r="L476" s="4"/>
    </row>
    <row r="477">
      <c r="G477" s="4"/>
      <c r="H477" s="4"/>
      <c r="I477" s="4"/>
      <c r="J477" s="4"/>
      <c r="K477" s="155"/>
      <c r="L477" s="4"/>
    </row>
    <row r="478">
      <c r="G478" s="4"/>
      <c r="H478" s="4"/>
      <c r="I478" s="4"/>
      <c r="J478" s="4"/>
      <c r="K478" s="155"/>
      <c r="L478" s="4"/>
    </row>
    <row r="479">
      <c r="G479" s="4"/>
      <c r="H479" s="4"/>
      <c r="I479" s="4"/>
      <c r="J479" s="4"/>
      <c r="K479" s="155"/>
      <c r="L479" s="4"/>
    </row>
    <row r="480">
      <c r="G480" s="4"/>
      <c r="H480" s="4"/>
      <c r="I480" s="4"/>
      <c r="J480" s="4"/>
      <c r="K480" s="155"/>
      <c r="L480" s="4"/>
    </row>
    <row r="481">
      <c r="G481" s="4"/>
      <c r="H481" s="4"/>
      <c r="I481" s="4"/>
      <c r="J481" s="4"/>
      <c r="K481" s="155"/>
      <c r="L481" s="4"/>
    </row>
    <row r="482">
      <c r="G482" s="4"/>
      <c r="H482" s="4"/>
      <c r="I482" s="4"/>
      <c r="J482" s="4"/>
      <c r="K482" s="155"/>
      <c r="L482" s="4"/>
    </row>
    <row r="483">
      <c r="G483" s="4"/>
      <c r="H483" s="4"/>
      <c r="I483" s="4"/>
      <c r="J483" s="4"/>
      <c r="K483" s="155"/>
      <c r="L483" s="4"/>
    </row>
    <row r="484">
      <c r="G484" s="4"/>
      <c r="H484" s="4"/>
      <c r="I484" s="4"/>
      <c r="J484" s="4"/>
      <c r="K484" s="155"/>
      <c r="L484" s="4"/>
    </row>
    <row r="485">
      <c r="G485" s="4"/>
      <c r="H485" s="4"/>
      <c r="I485" s="4"/>
      <c r="J485" s="4"/>
      <c r="K485" s="155"/>
      <c r="L485" s="4"/>
    </row>
    <row r="486">
      <c r="G486" s="4"/>
      <c r="H486" s="4"/>
      <c r="I486" s="4"/>
      <c r="J486" s="4"/>
      <c r="K486" s="155"/>
      <c r="L486" s="4"/>
    </row>
    <row r="487">
      <c r="G487" s="4"/>
      <c r="H487" s="4"/>
      <c r="I487" s="4"/>
      <c r="J487" s="4"/>
      <c r="K487" s="155"/>
      <c r="L487" s="4"/>
    </row>
    <row r="488">
      <c r="G488" s="4"/>
      <c r="H488" s="4"/>
      <c r="I488" s="4"/>
      <c r="J488" s="4"/>
      <c r="K488" s="155"/>
      <c r="L488" s="4"/>
    </row>
    <row r="489">
      <c r="G489" s="4"/>
      <c r="H489" s="4"/>
      <c r="I489" s="4"/>
      <c r="J489" s="4"/>
      <c r="K489" s="155"/>
      <c r="L489" s="4"/>
    </row>
    <row r="490">
      <c r="G490" s="4"/>
      <c r="H490" s="4"/>
      <c r="I490" s="4"/>
      <c r="J490" s="4"/>
      <c r="K490" s="155"/>
      <c r="L490" s="4"/>
    </row>
    <row r="491">
      <c r="G491" s="4"/>
      <c r="H491" s="4"/>
      <c r="I491" s="4"/>
      <c r="J491" s="4"/>
      <c r="K491" s="155"/>
      <c r="L491" s="4"/>
    </row>
    <row r="492">
      <c r="G492" s="4"/>
      <c r="H492" s="4"/>
      <c r="I492" s="4"/>
      <c r="J492" s="4"/>
      <c r="K492" s="155"/>
      <c r="L492" s="4"/>
    </row>
    <row r="493">
      <c r="G493" s="4"/>
      <c r="H493" s="4"/>
      <c r="I493" s="4"/>
      <c r="J493" s="4"/>
      <c r="K493" s="155"/>
      <c r="L493" s="4"/>
    </row>
    <row r="494">
      <c r="G494" s="4"/>
      <c r="H494" s="4"/>
      <c r="I494" s="4"/>
      <c r="J494" s="4"/>
      <c r="K494" s="155"/>
      <c r="L494" s="4"/>
    </row>
    <row r="495">
      <c r="G495" s="4"/>
      <c r="H495" s="4"/>
      <c r="I495" s="4"/>
      <c r="J495" s="4"/>
      <c r="K495" s="155"/>
      <c r="L495" s="4"/>
    </row>
    <row r="496">
      <c r="G496" s="4"/>
      <c r="H496" s="4"/>
      <c r="I496" s="4"/>
      <c r="J496" s="4"/>
      <c r="K496" s="155"/>
      <c r="L496" s="4"/>
    </row>
    <row r="497">
      <c r="G497" s="4"/>
      <c r="H497" s="4"/>
      <c r="I497" s="4"/>
      <c r="J497" s="4"/>
      <c r="K497" s="155"/>
      <c r="L497" s="4"/>
    </row>
    <row r="498">
      <c r="G498" s="4"/>
      <c r="H498" s="4"/>
      <c r="I498" s="4"/>
      <c r="J498" s="4"/>
      <c r="K498" s="155"/>
      <c r="L498" s="4"/>
    </row>
    <row r="499">
      <c r="G499" s="4"/>
      <c r="H499" s="4"/>
      <c r="I499" s="4"/>
      <c r="J499" s="4"/>
      <c r="K499" s="155"/>
      <c r="L499" s="4"/>
    </row>
    <row r="500">
      <c r="G500" s="4"/>
      <c r="H500" s="4"/>
      <c r="I500" s="4"/>
      <c r="J500" s="4"/>
      <c r="K500" s="155"/>
      <c r="L500" s="4"/>
    </row>
    <row r="501">
      <c r="G501" s="4"/>
      <c r="H501" s="4"/>
      <c r="I501" s="4"/>
      <c r="J501" s="4"/>
      <c r="K501" s="155"/>
      <c r="L501" s="4"/>
    </row>
    <row r="502">
      <c r="G502" s="4"/>
      <c r="H502" s="4"/>
      <c r="I502" s="4"/>
      <c r="J502" s="4"/>
      <c r="K502" s="155"/>
      <c r="L502" s="4"/>
    </row>
    <row r="503">
      <c r="G503" s="4"/>
      <c r="H503" s="4"/>
      <c r="I503" s="4"/>
      <c r="J503" s="4"/>
      <c r="K503" s="155"/>
      <c r="L503" s="4"/>
    </row>
    <row r="504">
      <c r="G504" s="4"/>
      <c r="H504" s="4"/>
      <c r="I504" s="4"/>
      <c r="J504" s="4"/>
      <c r="K504" s="155"/>
      <c r="L504" s="4"/>
    </row>
    <row r="505">
      <c r="G505" s="4"/>
      <c r="H505" s="4"/>
      <c r="I505" s="4"/>
      <c r="J505" s="4"/>
      <c r="K505" s="155"/>
      <c r="L505" s="4"/>
    </row>
    <row r="506">
      <c r="G506" s="4"/>
      <c r="H506" s="4"/>
      <c r="I506" s="4"/>
      <c r="J506" s="4"/>
      <c r="K506" s="155"/>
      <c r="L506" s="4"/>
    </row>
    <row r="507">
      <c r="G507" s="4"/>
      <c r="H507" s="4"/>
      <c r="I507" s="4"/>
      <c r="J507" s="4"/>
      <c r="K507" s="155"/>
      <c r="L507" s="4"/>
    </row>
    <row r="508">
      <c r="G508" s="4"/>
      <c r="H508" s="4"/>
      <c r="I508" s="4"/>
      <c r="J508" s="4"/>
      <c r="K508" s="155"/>
      <c r="L508" s="4"/>
    </row>
    <row r="509">
      <c r="G509" s="4"/>
      <c r="H509" s="4"/>
      <c r="I509" s="4"/>
      <c r="J509" s="4"/>
      <c r="K509" s="155"/>
      <c r="L509" s="4"/>
    </row>
    <row r="510">
      <c r="G510" s="4"/>
      <c r="H510" s="4"/>
      <c r="I510" s="4"/>
      <c r="J510" s="4"/>
      <c r="K510" s="155"/>
      <c r="L510" s="4"/>
    </row>
    <row r="511">
      <c r="G511" s="4"/>
      <c r="H511" s="4"/>
      <c r="I511" s="4"/>
      <c r="J511" s="4"/>
      <c r="K511" s="155"/>
      <c r="L511" s="4"/>
    </row>
    <row r="512">
      <c r="G512" s="4"/>
      <c r="H512" s="4"/>
      <c r="I512" s="4"/>
      <c r="J512" s="4"/>
      <c r="K512" s="155"/>
      <c r="L512" s="4"/>
    </row>
    <row r="513">
      <c r="G513" s="4"/>
      <c r="H513" s="4"/>
      <c r="I513" s="4"/>
      <c r="J513" s="4"/>
      <c r="K513" s="155"/>
      <c r="L513" s="4"/>
    </row>
    <row r="514">
      <c r="G514" s="4"/>
      <c r="H514" s="4"/>
      <c r="I514" s="4"/>
      <c r="J514" s="4"/>
      <c r="K514" s="155"/>
      <c r="L514" s="4"/>
    </row>
    <row r="515">
      <c r="G515" s="4"/>
      <c r="H515" s="4"/>
      <c r="I515" s="4"/>
      <c r="J515" s="4"/>
      <c r="K515" s="155"/>
      <c r="L515" s="4"/>
    </row>
    <row r="516">
      <c r="G516" s="4"/>
      <c r="H516" s="4"/>
      <c r="I516" s="4"/>
      <c r="J516" s="4"/>
      <c r="K516" s="155"/>
      <c r="L516" s="4"/>
    </row>
    <row r="517">
      <c r="G517" s="4"/>
      <c r="H517" s="4"/>
      <c r="I517" s="4"/>
      <c r="J517" s="4"/>
      <c r="K517" s="155"/>
      <c r="L517" s="4"/>
    </row>
    <row r="518">
      <c r="G518" s="4"/>
      <c r="H518" s="4"/>
      <c r="I518" s="4"/>
      <c r="J518" s="4"/>
      <c r="K518" s="155"/>
      <c r="L518" s="4"/>
    </row>
    <row r="519">
      <c r="G519" s="4"/>
      <c r="H519" s="4"/>
      <c r="I519" s="4"/>
      <c r="J519" s="4"/>
      <c r="K519" s="155"/>
      <c r="L519" s="4"/>
    </row>
    <row r="520">
      <c r="G520" s="4"/>
      <c r="H520" s="4"/>
      <c r="I520" s="4"/>
      <c r="J520" s="4"/>
      <c r="K520" s="155"/>
      <c r="L520" s="4"/>
    </row>
    <row r="521">
      <c r="G521" s="4"/>
      <c r="H521" s="4"/>
      <c r="I521" s="4"/>
      <c r="J521" s="4"/>
      <c r="K521" s="155"/>
      <c r="L521" s="4"/>
    </row>
    <row r="522">
      <c r="G522" s="4"/>
      <c r="H522" s="4"/>
      <c r="I522" s="4"/>
      <c r="J522" s="4"/>
      <c r="K522" s="155"/>
      <c r="L522" s="4"/>
    </row>
    <row r="523">
      <c r="G523" s="4"/>
      <c r="H523" s="4"/>
      <c r="I523" s="4"/>
      <c r="J523" s="4"/>
      <c r="K523" s="155"/>
      <c r="L523" s="4"/>
    </row>
    <row r="524">
      <c r="G524" s="4"/>
      <c r="H524" s="4"/>
      <c r="I524" s="4"/>
      <c r="J524" s="4"/>
      <c r="K524" s="155"/>
      <c r="L524" s="4"/>
    </row>
    <row r="525">
      <c r="G525" s="4"/>
      <c r="H525" s="4"/>
      <c r="I525" s="4"/>
      <c r="J525" s="4"/>
      <c r="K525" s="155"/>
      <c r="L525" s="4"/>
    </row>
    <row r="526">
      <c r="G526" s="4"/>
      <c r="H526" s="4"/>
      <c r="I526" s="4"/>
      <c r="J526" s="4"/>
      <c r="K526" s="155"/>
      <c r="L526" s="4"/>
    </row>
    <row r="527">
      <c r="G527" s="4"/>
      <c r="H527" s="4"/>
      <c r="I527" s="4"/>
      <c r="J527" s="4"/>
      <c r="K527" s="155"/>
      <c r="L527" s="4"/>
    </row>
    <row r="528">
      <c r="G528" s="4"/>
      <c r="H528" s="4"/>
      <c r="I528" s="4"/>
      <c r="J528" s="4"/>
      <c r="K528" s="155"/>
      <c r="L528" s="4"/>
    </row>
    <row r="529">
      <c r="G529" s="4"/>
      <c r="H529" s="4"/>
      <c r="I529" s="4"/>
      <c r="J529" s="4"/>
      <c r="K529" s="4"/>
      <c r="L529" s="4"/>
    </row>
  </sheetData>
  <mergeCells count="1">
    <mergeCell ref="K448:K45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1" width="26.0"/>
    <col customWidth="1" min="12" max="12" width="25.63"/>
    <col customWidth="1" min="13" max="13" width="29.38"/>
    <col customWidth="1" min="14" max="14" width="30.88"/>
  </cols>
  <sheetData>
    <row r="17">
      <c r="H17" s="4"/>
      <c r="I17" s="53"/>
      <c r="J17" s="53"/>
      <c r="K17" s="53"/>
      <c r="L17" s="53"/>
      <c r="M17" s="53"/>
      <c r="N17" s="4"/>
      <c r="O17" s="4"/>
      <c r="P17" s="4"/>
    </row>
    <row r="18">
      <c r="H18" s="4"/>
      <c r="I18" s="156"/>
      <c r="J18" s="157" t="s">
        <v>348</v>
      </c>
      <c r="K18" s="157" t="s">
        <v>4</v>
      </c>
      <c r="L18" s="157" t="s">
        <v>349</v>
      </c>
      <c r="M18" s="158" t="s">
        <v>350</v>
      </c>
      <c r="N18" s="4"/>
      <c r="O18" s="4"/>
      <c r="P18" s="4"/>
    </row>
    <row r="19">
      <c r="H19" s="4"/>
      <c r="I19" s="156"/>
      <c r="J19" s="33" t="s">
        <v>351</v>
      </c>
      <c r="K19" s="9">
        <v>30000.0</v>
      </c>
      <c r="L19" s="159">
        <v>30000.0</v>
      </c>
      <c r="M19" s="9">
        <f t="shared" ref="M19:M40" si="1">K19-L19</f>
        <v>0</v>
      </c>
      <c r="N19" s="160" t="s">
        <v>352</v>
      </c>
      <c r="O19" s="4"/>
      <c r="P19" s="4"/>
    </row>
    <row r="20">
      <c r="H20" s="4"/>
      <c r="I20" s="156"/>
      <c r="J20" s="33" t="s">
        <v>353</v>
      </c>
      <c r="K20" s="9">
        <v>30000.0</v>
      </c>
      <c r="L20" s="10">
        <v>30000.0</v>
      </c>
      <c r="M20" s="9">
        <f t="shared" si="1"/>
        <v>0</v>
      </c>
      <c r="N20" s="161"/>
      <c r="O20" s="4"/>
      <c r="P20" s="4"/>
    </row>
    <row r="21">
      <c r="H21" s="4"/>
      <c r="I21" s="162">
        <v>1.0</v>
      </c>
      <c r="J21" s="33" t="s">
        <v>48</v>
      </c>
      <c r="K21" s="9">
        <f>'¨Pointage'!C35</f>
        <v>13500</v>
      </c>
      <c r="L21" s="10">
        <v>13500.0</v>
      </c>
      <c r="M21" s="9">
        <f t="shared" si="1"/>
        <v>0</v>
      </c>
      <c r="N21" s="161"/>
      <c r="O21" s="4"/>
      <c r="P21" s="4"/>
    </row>
    <row r="22">
      <c r="H22" s="4"/>
      <c r="I22" s="162">
        <v>2.0</v>
      </c>
      <c r="J22" s="33" t="s">
        <v>49</v>
      </c>
      <c r="K22" s="9">
        <f>N22+'¨Pointage'!D35</f>
        <v>33912</v>
      </c>
      <c r="L22" s="10">
        <v>34000.0</v>
      </c>
      <c r="M22" s="9">
        <f t="shared" si="1"/>
        <v>-88</v>
      </c>
      <c r="N22" s="163">
        <v>5000.0</v>
      </c>
      <c r="O22" s="4"/>
      <c r="P22" s="4"/>
    </row>
    <row r="23">
      <c r="H23" s="4"/>
      <c r="I23" s="162">
        <v>3.0</v>
      </c>
      <c r="J23" s="33" t="s">
        <v>354</v>
      </c>
      <c r="K23" s="9">
        <f>'¨Pointage'!E35</f>
        <v>23352</v>
      </c>
      <c r="L23" s="10">
        <v>23500.0</v>
      </c>
      <c r="M23" s="9">
        <f t="shared" si="1"/>
        <v>-148</v>
      </c>
      <c r="N23" s="163"/>
      <c r="O23" s="4"/>
      <c r="P23" s="4"/>
    </row>
    <row r="24">
      <c r="H24" s="4"/>
      <c r="I24" s="162">
        <v>4.0</v>
      </c>
      <c r="J24" s="33" t="s">
        <v>51</v>
      </c>
      <c r="K24" s="9">
        <f>'¨Pointage'!F35</f>
        <v>5560</v>
      </c>
      <c r="L24" s="10">
        <v>6000.0</v>
      </c>
      <c r="M24" s="9">
        <f t="shared" si="1"/>
        <v>-440</v>
      </c>
      <c r="N24" s="161"/>
      <c r="O24" s="4"/>
      <c r="P24" s="4"/>
    </row>
    <row r="25">
      <c r="H25" s="4"/>
      <c r="I25" s="162">
        <v>5.0</v>
      </c>
      <c r="J25" s="33" t="s">
        <v>52</v>
      </c>
      <c r="K25" s="10">
        <v>30000.0</v>
      </c>
      <c r="L25" s="10">
        <v>30000.0</v>
      </c>
      <c r="M25" s="9">
        <f t="shared" si="1"/>
        <v>0</v>
      </c>
      <c r="N25" s="161"/>
      <c r="O25" s="4"/>
      <c r="P25" s="4"/>
    </row>
    <row r="26">
      <c r="H26" s="4"/>
      <c r="I26" s="162">
        <v>6.0</v>
      </c>
      <c r="J26" s="33" t="s">
        <v>53</v>
      </c>
      <c r="K26" s="9">
        <f>'¨Pointage'!H35</f>
        <v>12676.8</v>
      </c>
      <c r="L26" s="10">
        <v>13000.0</v>
      </c>
      <c r="M26" s="9">
        <f t="shared" si="1"/>
        <v>-323.2</v>
      </c>
      <c r="N26" s="161"/>
      <c r="O26" s="4"/>
      <c r="P26" s="4"/>
    </row>
    <row r="27">
      <c r="H27" s="4"/>
      <c r="I27" s="162">
        <v>7.0</v>
      </c>
      <c r="J27" s="33" t="s">
        <v>54</v>
      </c>
      <c r="K27" s="9">
        <f>'¨Pointage'!I35</f>
        <v>7895.2</v>
      </c>
      <c r="L27" s="10">
        <v>8000.0</v>
      </c>
      <c r="M27" s="9">
        <f t="shared" si="1"/>
        <v>-104.8</v>
      </c>
      <c r="N27" s="161"/>
      <c r="O27" s="4"/>
      <c r="P27" s="4"/>
    </row>
    <row r="28">
      <c r="H28" s="4"/>
      <c r="I28" s="164">
        <v>8.0</v>
      </c>
      <c r="J28" s="33" t="s">
        <v>55</v>
      </c>
      <c r="K28" s="9">
        <f>'¨Pointage'!J35</f>
        <v>3336</v>
      </c>
      <c r="L28" s="10">
        <v>3500.0</v>
      </c>
      <c r="M28" s="9">
        <f t="shared" si="1"/>
        <v>-164</v>
      </c>
      <c r="N28" s="161"/>
      <c r="O28" s="4"/>
      <c r="P28" s="4"/>
    </row>
    <row r="29">
      <c r="H29" s="4"/>
      <c r="I29" s="164">
        <v>9.0</v>
      </c>
      <c r="J29" s="33" t="s">
        <v>355</v>
      </c>
      <c r="K29" s="9">
        <f>'¨Pointage'!K35</f>
        <v>29912.8</v>
      </c>
      <c r="L29" s="10">
        <v>30000.0</v>
      </c>
      <c r="M29" s="9">
        <f t="shared" si="1"/>
        <v>-87.2</v>
      </c>
      <c r="N29" s="161"/>
      <c r="O29" s="4"/>
      <c r="P29" s="4"/>
    </row>
    <row r="30">
      <c r="H30" s="4"/>
      <c r="I30" s="164">
        <v>10.0</v>
      </c>
      <c r="J30" s="33" t="s">
        <v>356</v>
      </c>
      <c r="K30" s="9">
        <f>'¨Pointage'!L35</f>
        <v>29245.6</v>
      </c>
      <c r="L30" s="10">
        <v>29500.0</v>
      </c>
      <c r="M30" s="9">
        <f t="shared" si="1"/>
        <v>-254.4</v>
      </c>
      <c r="N30" s="160" t="s">
        <v>357</v>
      </c>
      <c r="O30" s="4"/>
      <c r="P30" s="4"/>
    </row>
    <row r="31">
      <c r="H31" s="4"/>
      <c r="I31" s="164">
        <v>11.0</v>
      </c>
      <c r="J31" s="33" t="s">
        <v>358</v>
      </c>
      <c r="K31" s="9">
        <f>'¨Pointage'!M35</f>
        <v>9000</v>
      </c>
      <c r="L31" s="10">
        <v>9000.0</v>
      </c>
      <c r="M31" s="9">
        <f t="shared" si="1"/>
        <v>0</v>
      </c>
      <c r="N31" s="161"/>
      <c r="O31" s="4"/>
      <c r="P31" s="4"/>
    </row>
    <row r="32">
      <c r="H32" s="4"/>
      <c r="I32" s="164">
        <v>12.0</v>
      </c>
      <c r="J32" s="33" t="s">
        <v>359</v>
      </c>
      <c r="K32" s="9">
        <f>'¨Pointage'!P35</f>
        <v>24310</v>
      </c>
      <c r="L32" s="10">
        <v>24500.0</v>
      </c>
      <c r="M32" s="9">
        <f t="shared" si="1"/>
        <v>-190</v>
      </c>
      <c r="N32" s="161"/>
      <c r="O32" s="4"/>
      <c r="P32" s="4"/>
    </row>
    <row r="33">
      <c r="H33" s="4"/>
      <c r="I33" s="164">
        <v>13.0</v>
      </c>
      <c r="J33" s="33" t="s">
        <v>360</v>
      </c>
      <c r="K33" s="9">
        <f>'¨Pointage'!Q35</f>
        <v>31200</v>
      </c>
      <c r="L33" s="10">
        <v>31500.0</v>
      </c>
      <c r="M33" s="9">
        <f t="shared" si="1"/>
        <v>-300</v>
      </c>
      <c r="N33" s="160">
        <v>5000.0</v>
      </c>
      <c r="O33" s="4"/>
      <c r="P33" s="4"/>
    </row>
    <row r="34">
      <c r="H34" s="4"/>
      <c r="I34" s="164">
        <v>14.0</v>
      </c>
      <c r="J34" s="33" t="s">
        <v>361</v>
      </c>
      <c r="K34" s="9">
        <f>'¨Pointage'!O35</f>
        <v>29801.6</v>
      </c>
      <c r="L34" s="65">
        <v>30000.0</v>
      </c>
      <c r="M34" s="9">
        <f t="shared" si="1"/>
        <v>-198.4</v>
      </c>
      <c r="N34" s="161"/>
      <c r="O34" s="4"/>
      <c r="P34" s="4"/>
    </row>
    <row r="35">
      <c r="H35" s="4"/>
      <c r="I35" s="164">
        <v>15.0</v>
      </c>
      <c r="J35" s="33" t="s">
        <v>362</v>
      </c>
      <c r="K35" s="9">
        <f>'¨Pointage'!N35</f>
        <v>31580.8</v>
      </c>
      <c r="L35" s="66">
        <v>32000.0</v>
      </c>
      <c r="M35" s="9">
        <f t="shared" si="1"/>
        <v>-419.2</v>
      </c>
      <c r="N35" s="161"/>
      <c r="O35" s="4"/>
      <c r="P35" s="4"/>
    </row>
    <row r="36">
      <c r="H36" s="4"/>
      <c r="I36" s="164">
        <v>16.0</v>
      </c>
      <c r="J36" s="165" t="s">
        <v>363</v>
      </c>
      <c r="K36" s="9">
        <f>'¨Pointage'!S35</f>
        <v>15000</v>
      </c>
      <c r="L36" s="10">
        <v>15000.0</v>
      </c>
      <c r="M36" s="9">
        <f t="shared" si="1"/>
        <v>0</v>
      </c>
      <c r="N36" s="160">
        <v>3000.0</v>
      </c>
      <c r="O36" s="4"/>
      <c r="P36" s="4"/>
    </row>
    <row r="37">
      <c r="H37" s="4"/>
      <c r="I37" s="164">
        <v>17.0</v>
      </c>
      <c r="J37" s="165" t="s">
        <v>63</v>
      </c>
      <c r="K37" s="9">
        <f>'¨Pointage'!R35</f>
        <v>24241.6</v>
      </c>
      <c r="L37" s="10">
        <v>24500.0</v>
      </c>
      <c r="M37" s="9">
        <f t="shared" si="1"/>
        <v>-258.4</v>
      </c>
      <c r="N37" s="161"/>
      <c r="O37" s="4"/>
      <c r="P37" s="4"/>
    </row>
    <row r="38">
      <c r="H38" s="4"/>
      <c r="I38" s="164">
        <v>17.0</v>
      </c>
      <c r="J38" s="165" t="s">
        <v>65</v>
      </c>
      <c r="K38" s="9">
        <f>'¨Pointage'!T35</f>
        <v>23210</v>
      </c>
      <c r="L38" s="10">
        <v>23500.0</v>
      </c>
      <c r="M38" s="9">
        <f t="shared" si="1"/>
        <v>-290</v>
      </c>
      <c r="N38" s="160">
        <v>10000.0</v>
      </c>
      <c r="O38" s="4"/>
      <c r="P38" s="4"/>
    </row>
    <row r="39">
      <c r="H39" s="4"/>
      <c r="I39" s="156"/>
      <c r="J39" s="29" t="s">
        <v>364</v>
      </c>
      <c r="K39" s="31">
        <f t="shared" ref="K39:L39" si="2">SUM(K19:K38)</f>
        <v>437734.4</v>
      </c>
      <c r="L39" s="166">
        <f t="shared" si="2"/>
        <v>441000</v>
      </c>
      <c r="M39" s="167">
        <f t="shared" si="1"/>
        <v>-3265.6</v>
      </c>
      <c r="N39" s="4"/>
      <c r="O39" s="4"/>
      <c r="P39" s="4"/>
    </row>
    <row r="40">
      <c r="H40" s="4"/>
      <c r="I40" s="156"/>
      <c r="J40" s="168"/>
      <c r="K40" s="1"/>
      <c r="L40" s="1"/>
      <c r="M40" s="30">
        <f t="shared" si="1"/>
        <v>0</v>
      </c>
      <c r="N40" s="4"/>
      <c r="O40" s="4"/>
      <c r="P40" s="4"/>
    </row>
    <row r="41">
      <c r="H41" s="4"/>
      <c r="I41" s="4"/>
      <c r="J41" s="4"/>
      <c r="K41" s="4"/>
      <c r="L41" s="4"/>
      <c r="M41" s="4"/>
      <c r="N41" s="4"/>
      <c r="O41" s="4"/>
      <c r="P41" s="4"/>
    </row>
    <row r="42">
      <c r="H42" s="4"/>
      <c r="I42" s="4"/>
      <c r="J42" s="4"/>
      <c r="K42" s="4"/>
      <c r="L42" s="4"/>
      <c r="M42" s="4"/>
      <c r="N42" s="4"/>
      <c r="O42" s="4"/>
      <c r="P42" s="4"/>
    </row>
    <row r="43">
      <c r="H43" s="4"/>
      <c r="I43" s="4"/>
      <c r="J43" s="4"/>
      <c r="K43" s="4"/>
      <c r="L43" s="4"/>
      <c r="M43" s="4"/>
      <c r="N43" s="4"/>
      <c r="O43" s="4"/>
      <c r="P43" s="4"/>
    </row>
    <row r="44">
      <c r="H44" s="4"/>
      <c r="I44" s="4"/>
      <c r="J44" s="4"/>
      <c r="K44" s="4"/>
      <c r="L44" s="4"/>
      <c r="M44" s="4"/>
      <c r="N44" s="4"/>
      <c r="O44" s="4"/>
      <c r="P44" s="4"/>
    </row>
    <row r="45">
      <c r="H45" s="4"/>
      <c r="I45" s="4"/>
      <c r="J45" s="4"/>
      <c r="K45" s="4"/>
      <c r="L45" s="4"/>
      <c r="M45" s="4"/>
      <c r="N45" s="4"/>
      <c r="O45" s="4"/>
      <c r="P45" s="4"/>
    </row>
    <row r="46">
      <c r="H46" s="4"/>
      <c r="I46" s="4"/>
      <c r="J46" s="4"/>
      <c r="K46" s="4"/>
      <c r="L46" s="4"/>
      <c r="M46" s="4"/>
      <c r="N46" s="4"/>
      <c r="O46" s="4"/>
      <c r="P46" s="4"/>
    </row>
    <row r="47">
      <c r="H47" s="4"/>
      <c r="I47" s="4"/>
      <c r="J47" s="4"/>
      <c r="K47" s="4"/>
      <c r="L47" s="4"/>
      <c r="M47" s="4"/>
      <c r="N47" s="4"/>
      <c r="O47" s="4"/>
      <c r="P47" s="4"/>
    </row>
    <row r="48">
      <c r="H48" s="4"/>
      <c r="I48" s="4"/>
      <c r="J48" s="4"/>
      <c r="K48" s="4"/>
      <c r="L48" s="4"/>
      <c r="M48" s="4"/>
      <c r="N48" s="4"/>
      <c r="O48" s="4"/>
      <c r="P48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6.38"/>
    <col customWidth="1" min="10" max="10" width="30.5"/>
    <col customWidth="1" min="11" max="11" width="24.5"/>
    <col customWidth="1" min="12" max="14" width="25.25"/>
    <col customWidth="1" min="15" max="15" width="26.0"/>
    <col customWidth="1" min="16" max="16" width="25.25"/>
    <col customWidth="1" min="17" max="17" width="24.88"/>
    <col customWidth="1" min="18" max="18" width="30.88"/>
    <col customWidth="1" min="19" max="19" width="27.5"/>
    <col customWidth="1" min="20" max="20" width="25.63"/>
    <col customWidth="1" min="21" max="21" width="27.88"/>
    <col customWidth="1" min="22" max="22" width="40.25"/>
  </cols>
  <sheetData>
    <row r="23"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H25" s="4"/>
      <c r="I25" s="53"/>
      <c r="J25" s="53"/>
      <c r="K25" s="53"/>
      <c r="L25" s="53"/>
      <c r="M25" s="53"/>
      <c r="N25" s="53"/>
      <c r="O25" s="4"/>
      <c r="P25" s="4"/>
      <c r="Q25" s="4"/>
      <c r="R25" s="4"/>
      <c r="S25" s="4"/>
      <c r="T25" s="4"/>
      <c r="U25" s="4"/>
      <c r="V25" s="53"/>
      <c r="W25" s="4"/>
    </row>
    <row r="26">
      <c r="H26" s="4"/>
      <c r="I26" s="53"/>
      <c r="J26" s="169" t="s">
        <v>365</v>
      </c>
      <c r="K26" s="169" t="s">
        <v>366</v>
      </c>
      <c r="L26" s="169" t="s">
        <v>367</v>
      </c>
      <c r="M26" s="169" t="s">
        <v>368</v>
      </c>
      <c r="N26" s="169" t="s">
        <v>369</v>
      </c>
      <c r="O26" s="170" t="s">
        <v>370</v>
      </c>
      <c r="P26" s="170" t="s">
        <v>371</v>
      </c>
      <c r="Q26" s="171" t="s">
        <v>372</v>
      </c>
      <c r="R26" s="172" t="s">
        <v>373</v>
      </c>
      <c r="S26" s="173" t="s">
        <v>374</v>
      </c>
      <c r="T26" s="4"/>
      <c r="U26" s="1"/>
      <c r="V26" s="174" t="s">
        <v>374</v>
      </c>
      <c r="W26" s="4"/>
    </row>
    <row r="27">
      <c r="H27" s="4"/>
      <c r="I27" s="175" t="s">
        <v>2</v>
      </c>
      <c r="J27" s="31">
        <v>1756000.0</v>
      </c>
      <c r="K27" s="31">
        <v>2274000.0</v>
      </c>
      <c r="L27" s="31">
        <v>1984000.0</v>
      </c>
      <c r="M27" s="31">
        <v>1910000.0</v>
      </c>
      <c r="N27" s="31">
        <v>1342000.0</v>
      </c>
      <c r="O27" s="176">
        <v>1760000.0</v>
      </c>
      <c r="P27" s="176">
        <v>2260000.0</v>
      </c>
      <c r="Q27" s="177">
        <v>1427000.0</v>
      </c>
      <c r="R27" s="176">
        <v>1740000.0</v>
      </c>
      <c r="S27" s="176">
        <f>RECAP!D33</f>
        <v>1620000</v>
      </c>
      <c r="T27" s="62"/>
      <c r="U27" s="175" t="s">
        <v>2</v>
      </c>
      <c r="V27" s="31">
        <f t="shared" ref="V27:V30" si="1">S27</f>
        <v>1620000</v>
      </c>
      <c r="W27" s="4"/>
    </row>
    <row r="28">
      <c r="H28" s="4"/>
      <c r="I28" s="175" t="s">
        <v>3</v>
      </c>
      <c r="J28" s="31">
        <v>920000.0</v>
      </c>
      <c r="K28" s="31">
        <v>914000.0</v>
      </c>
      <c r="L28" s="31">
        <v>928000.0</v>
      </c>
      <c r="M28" s="31">
        <v>744000.0</v>
      </c>
      <c r="N28" s="31">
        <v>646000.0</v>
      </c>
      <c r="O28" s="176">
        <v>804000.0</v>
      </c>
      <c r="P28" s="176">
        <v>958000.0</v>
      </c>
      <c r="Q28" s="177">
        <v>640000.0</v>
      </c>
      <c r="R28" s="176">
        <v>716000.0</v>
      </c>
      <c r="S28" s="176">
        <f>RECAP!E33</f>
        <v>746668.2</v>
      </c>
      <c r="T28" s="62"/>
      <c r="U28" s="175" t="s">
        <v>3</v>
      </c>
      <c r="V28" s="31">
        <f t="shared" si="1"/>
        <v>746668.2</v>
      </c>
      <c r="W28" s="4"/>
    </row>
    <row r="29">
      <c r="H29" s="4"/>
      <c r="I29" s="175" t="s">
        <v>375</v>
      </c>
      <c r="J29" s="31">
        <v>349000.0</v>
      </c>
      <c r="K29" s="31">
        <v>410000.0</v>
      </c>
      <c r="L29" s="31">
        <v>406000.0</v>
      </c>
      <c r="M29" s="31">
        <v>344000.0</v>
      </c>
      <c r="N29" s="31">
        <v>436000.0</v>
      </c>
      <c r="O29" s="176">
        <v>396000.0</v>
      </c>
      <c r="P29" s="176">
        <v>432000.0</v>
      </c>
      <c r="Q29" s="177">
        <v>307000.0</v>
      </c>
      <c r="R29" s="176">
        <v>514000.0</v>
      </c>
      <c r="S29" s="176">
        <f>RECAP!F33</f>
        <v>437734.4</v>
      </c>
      <c r="T29" s="62"/>
      <c r="U29" s="175" t="s">
        <v>375</v>
      </c>
      <c r="V29" s="31">
        <f t="shared" si="1"/>
        <v>437734.4</v>
      </c>
      <c r="W29" s="4"/>
    </row>
    <row r="30">
      <c r="H30" s="4"/>
      <c r="I30" s="175" t="s">
        <v>5</v>
      </c>
      <c r="J30" s="31">
        <v>140000.0</v>
      </c>
      <c r="K30" s="31">
        <v>140000.0</v>
      </c>
      <c r="L30" s="31">
        <v>140000.0</v>
      </c>
      <c r="M30" s="31">
        <v>140000.0</v>
      </c>
      <c r="N30" s="31">
        <v>140000.0</v>
      </c>
      <c r="O30" s="176">
        <v>140000.0</v>
      </c>
      <c r="P30" s="176">
        <v>150000.0</v>
      </c>
      <c r="Q30" s="177">
        <v>150000.0</v>
      </c>
      <c r="R30" s="176">
        <v>150000.0</v>
      </c>
      <c r="S30" s="176">
        <f>RECAP!G33</f>
        <v>150000</v>
      </c>
      <c r="T30" s="62"/>
      <c r="U30" s="175" t="s">
        <v>5</v>
      </c>
      <c r="V30" s="31">
        <f t="shared" si="1"/>
        <v>150000</v>
      </c>
      <c r="W30" s="4"/>
    </row>
    <row r="31">
      <c r="H31" s="4"/>
      <c r="I31" s="175" t="s">
        <v>376</v>
      </c>
      <c r="J31" s="31">
        <f t="shared" ref="J31:L31" si="2">J27-J28-J29-J30</f>
        <v>347000</v>
      </c>
      <c r="K31" s="31">
        <f t="shared" si="2"/>
        <v>810000</v>
      </c>
      <c r="L31" s="31">
        <f t="shared" si="2"/>
        <v>510000</v>
      </c>
      <c r="M31" s="31">
        <v>680000.0</v>
      </c>
      <c r="N31" s="31">
        <f>N27-N28-N29-N30</f>
        <v>120000</v>
      </c>
      <c r="O31" s="176">
        <v>420000.0</v>
      </c>
      <c r="P31" s="176">
        <f>P27-P28-P29-P30</f>
        <v>720000</v>
      </c>
      <c r="Q31" s="177">
        <v>330000.0</v>
      </c>
      <c r="R31" s="176">
        <f t="shared" ref="R31:S31" si="3">R27-R28-R29-R30</f>
        <v>360000</v>
      </c>
      <c r="S31" s="176">
        <f t="shared" si="3"/>
        <v>285597.4</v>
      </c>
      <c r="T31" s="62"/>
      <c r="U31" s="175" t="s">
        <v>376</v>
      </c>
      <c r="V31" s="31">
        <f>V27-V28-V29-V30</f>
        <v>285597.4</v>
      </c>
      <c r="W31" s="4"/>
    </row>
    <row r="32"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</sheetData>
  <drawing r:id="rId1"/>
</worksheet>
</file>