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<sst xmlns="http://schemas.openxmlformats.org/spreadsheetml/2006/main" count="627" uniqueCount="399">
  <si>
    <t>Date</t>
  </si>
  <si>
    <t>Recette Nov 2024</t>
  </si>
  <si>
    <t xml:space="preserve">Recette </t>
  </si>
  <si>
    <t>Logiciel</t>
  </si>
  <si>
    <t>Charges</t>
  </si>
  <si>
    <t>Salaire</t>
  </si>
  <si>
    <t>Che7i7a</t>
  </si>
  <si>
    <t>Loyer</t>
  </si>
  <si>
    <t>Net Profit</t>
  </si>
  <si>
    <t>Nb de jours</t>
  </si>
  <si>
    <t>Objectif</t>
  </si>
  <si>
    <t>Mois de Novembre  2024</t>
  </si>
  <si>
    <t>dimanche</t>
  </si>
  <si>
    <t>lundi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</si>
  <si>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</si>
  <si>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</si>
  <si>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</si>
  <si>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</si>
  <si>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mardi</t>
  </si>
  <si>
    <t>mercredi</t>
  </si>
  <si>
    <t>jeudi</t>
  </si>
  <si>
    <t xml:space="preserve">Moyenne des charges par jour </t>
  </si>
  <si>
    <t xml:space="preserve">Objectif </t>
  </si>
  <si>
    <t>vendredi</t>
  </si>
  <si>
    <t>samedi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</si>
  <si>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</si>
  <si>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</si>
  <si>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</si>
  <si>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</si>
  <si>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</si>
  <si>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</si>
  <si>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</si>
  <si>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Mounir Facture d'éléctrité : 10000 Da</t>
  </si>
  <si>
    <t xml:space="preserve">Bénéfice Sept + loyer </t>
  </si>
  <si>
    <t xml:space="preserve">Les Charges du mois de Janvier : 140000Da </t>
  </si>
  <si>
    <t>Sifou : 30000Da</t>
  </si>
  <si>
    <t>Chahrazed:27500+4200Da+ 42000Da+13000Da + 4000Da Livraison</t>
  </si>
  <si>
    <t xml:space="preserve">Le reste du paiement CNASet pénalité  pour mois de Décembre </t>
  </si>
  <si>
    <t>Différence mois d'Aout</t>
  </si>
  <si>
    <t>la vraie caisse:                          9000 Da</t>
  </si>
  <si>
    <t xml:space="preserve">Porte Monnie Magasin:  5000Da </t>
  </si>
  <si>
    <t xml:space="preserve">Différence objectif </t>
  </si>
  <si>
    <t>réparation Tabouna</t>
  </si>
  <si>
    <t>Torchons</t>
  </si>
  <si>
    <t xml:space="preserve">Différence du Totale </t>
  </si>
  <si>
    <t>poelle</t>
  </si>
  <si>
    <t>Achoire</t>
  </si>
  <si>
    <t xml:space="preserve">Les vendredis </t>
  </si>
  <si>
    <t xml:space="preserve">Cash chez Sofiane </t>
  </si>
  <si>
    <t>Les étagères pour locale</t>
  </si>
  <si>
    <t>rest à payer</t>
  </si>
  <si>
    <t>-</t>
  </si>
  <si>
    <t>Colonne 1</t>
  </si>
  <si>
    <t>Wissem</t>
  </si>
  <si>
    <t>N/J</t>
  </si>
  <si>
    <t>Yasmine</t>
  </si>
  <si>
    <t>Column 18</t>
  </si>
  <si>
    <t xml:space="preserve">Saida </t>
  </si>
  <si>
    <t>Column 20</t>
  </si>
  <si>
    <t>Ahlem</t>
  </si>
  <si>
    <t>Column 21</t>
  </si>
  <si>
    <t>Nour ElHouda</t>
  </si>
  <si>
    <t>Column 22</t>
  </si>
  <si>
    <t>Amina</t>
  </si>
  <si>
    <t>Column 23</t>
  </si>
  <si>
    <t>Selma</t>
  </si>
  <si>
    <t>Column 24</t>
  </si>
  <si>
    <t>Zohra</t>
  </si>
  <si>
    <t>Column 25</t>
  </si>
  <si>
    <t xml:space="preserve">Nora </t>
  </si>
  <si>
    <t>Column 26</t>
  </si>
  <si>
    <t>Ikram</t>
  </si>
  <si>
    <t>Column 27</t>
  </si>
  <si>
    <t xml:space="preserve">Rayan </t>
  </si>
  <si>
    <t>Column 28</t>
  </si>
  <si>
    <t>Karima</t>
  </si>
  <si>
    <t>Column 29</t>
  </si>
  <si>
    <t>Sihem</t>
  </si>
  <si>
    <t>Column 30</t>
  </si>
  <si>
    <t>Fatiha</t>
  </si>
  <si>
    <t>Column 31</t>
  </si>
  <si>
    <t>Israa</t>
  </si>
  <si>
    <t>Salaire Israa</t>
  </si>
  <si>
    <t>Remarque</t>
  </si>
  <si>
    <t>Salaire/Jour</t>
  </si>
  <si>
    <t>Fatiha est sortie puisque elle était malade</t>
  </si>
  <si>
    <t xml:space="preserve">Rayan est resté jusqu'à 18h Selma s'est absenté sans autorisation </t>
  </si>
  <si>
    <t xml:space="preserve">Amina + Wafa </t>
  </si>
  <si>
    <t xml:space="preserve">demie journnée Rania </t>
  </si>
  <si>
    <t>Selma djate à 14h -17h</t>
  </si>
  <si>
    <t>Do3aa+Rania</t>
  </si>
  <si>
    <t>Do3aa</t>
  </si>
  <si>
    <t>Yasmine djate à 14h40</t>
  </si>
  <si>
    <t>Produit</t>
  </si>
  <si>
    <t>Quantité</t>
  </si>
  <si>
    <t xml:space="preserve">Prix unitaire </t>
  </si>
  <si>
    <t>Prix</t>
  </si>
  <si>
    <t>Date d'achat</t>
  </si>
  <si>
    <t>Semoule Moyenne 25kg</t>
  </si>
  <si>
    <t xml:space="preserve">Semoule Fine 25kg </t>
  </si>
  <si>
    <t>Levure boulangère</t>
  </si>
  <si>
    <t>levure chimique</t>
  </si>
  <si>
    <t>margarine Fleuriel 500g</t>
  </si>
  <si>
    <t xml:space="preserve">Harrissa 1kg </t>
  </si>
  <si>
    <t>Tomate conserve 1kg</t>
  </si>
  <si>
    <t>huile 5 litre</t>
  </si>
  <si>
    <t>3akeri</t>
  </si>
  <si>
    <t>eau minirale 0,5</t>
  </si>
  <si>
    <t>eau mineral 1,5 litre</t>
  </si>
  <si>
    <t>7abet halawa</t>
  </si>
  <si>
    <t>Maiis</t>
  </si>
  <si>
    <t>Gherss 1kg</t>
  </si>
  <si>
    <t>pistache</t>
  </si>
  <si>
    <t>sucre cristalisé 1kg</t>
  </si>
  <si>
    <t>Chocolat wedjedane au lait</t>
  </si>
  <si>
    <t>Chocolat wedjedane noir</t>
  </si>
  <si>
    <t>chocolat wedjedane noisette</t>
  </si>
  <si>
    <t xml:space="preserve">chocolat wedjdane Blanc </t>
  </si>
  <si>
    <t>Feuilletine</t>
  </si>
  <si>
    <t xml:space="preserve">Vanille </t>
  </si>
  <si>
    <t>Tofia caramel 2kg</t>
  </si>
  <si>
    <t>Optella  10kg</t>
  </si>
  <si>
    <t>Pate Feuillté</t>
  </si>
  <si>
    <t>Maiizina  25kg</t>
  </si>
  <si>
    <t>Confiture</t>
  </si>
  <si>
    <t>Sel</t>
  </si>
  <si>
    <t>Semen Madina 1,8kg</t>
  </si>
  <si>
    <t>Beurre</t>
  </si>
  <si>
    <t xml:space="preserve">épice fromage </t>
  </si>
  <si>
    <t xml:space="preserve">menth seche </t>
  </si>
  <si>
    <t>poivre noir</t>
  </si>
  <si>
    <t>pain tacos 10 pièces dans chaque</t>
  </si>
  <si>
    <t>khel</t>
  </si>
  <si>
    <t>miel 5kg</t>
  </si>
  <si>
    <t>épice poulet</t>
  </si>
  <si>
    <t>semoule Moula moyenne 10kg</t>
  </si>
  <si>
    <t>Cannette Fanta 24cl</t>
  </si>
  <si>
    <t xml:space="preserve">Canette Schweps </t>
  </si>
  <si>
    <t xml:space="preserve">Canettes Sprit </t>
  </si>
  <si>
    <t>Canette IZEM</t>
  </si>
  <si>
    <t>soda Hamoud 25 cl</t>
  </si>
  <si>
    <t>canette tchina</t>
  </si>
  <si>
    <t>Jus Tchina 33 cl</t>
  </si>
  <si>
    <t>sac croissant num 23 400 pièces</t>
  </si>
  <si>
    <t>Sac croissant num 18 400 pièces</t>
  </si>
  <si>
    <t>papier aluminium</t>
  </si>
  <si>
    <t>Colorant Fructa poudre et liquide</t>
  </si>
  <si>
    <t xml:space="preserve">Gingembre </t>
  </si>
  <si>
    <t>Thon 2kg</t>
  </si>
  <si>
    <t>gants</t>
  </si>
  <si>
    <t xml:space="preserve">poche a douille </t>
  </si>
  <si>
    <t>Faine 10kg</t>
  </si>
  <si>
    <t>sachet de congélation 1kg</t>
  </si>
  <si>
    <t>Sachets blanc 5kg</t>
  </si>
  <si>
    <t>Olives vertes</t>
  </si>
  <si>
    <t>Olives coupées</t>
  </si>
  <si>
    <t>Carton d’olives noires</t>
  </si>
  <si>
    <t>Cheddar</t>
  </si>
  <si>
    <t>Noix</t>
  </si>
  <si>
    <t>Amande blanc</t>
  </si>
  <si>
    <t>Coriandre moulu</t>
  </si>
  <si>
    <t>Lait en poudre 1kg</t>
  </si>
  <si>
    <t>Pate d'arome citron</t>
  </si>
  <si>
    <t>Pate d'arome vanille</t>
  </si>
  <si>
    <t>sanoudj</t>
  </si>
  <si>
    <t>Djeldjelan</t>
  </si>
  <si>
    <t>Eau de Fleur d'oranger</t>
  </si>
  <si>
    <t>Sucre Glace</t>
  </si>
  <si>
    <t xml:space="preserve">Sucre cristalisé 25kg </t>
  </si>
  <si>
    <t>Crème Liquide 0,5</t>
  </si>
  <si>
    <t xml:space="preserve">levure chimique petit </t>
  </si>
  <si>
    <t>Farine Sim 1kg</t>
  </si>
  <si>
    <t>sel</t>
  </si>
  <si>
    <t xml:space="preserve">Salade </t>
  </si>
  <si>
    <t xml:space="preserve">Sauce Fromagère </t>
  </si>
  <si>
    <t xml:space="preserve">Fromage Slices </t>
  </si>
  <si>
    <t>Plateaux Oeuf</t>
  </si>
  <si>
    <t>Viande Hachée</t>
  </si>
  <si>
    <t xml:space="preserve">Blanc de poulet + Poulet Haché + escalope </t>
  </si>
  <si>
    <t>Persil</t>
  </si>
  <si>
    <t xml:space="preserve">Blanc de poulet  </t>
  </si>
  <si>
    <t>Deyoul</t>
  </si>
  <si>
    <t>Rechta</t>
  </si>
  <si>
    <t>Tomate Fraiche</t>
  </si>
  <si>
    <t xml:space="preserve">Poivre  </t>
  </si>
  <si>
    <t xml:space="preserve">dépense magasin </t>
  </si>
  <si>
    <t xml:space="preserve">Mois d'octobre </t>
  </si>
  <si>
    <t xml:space="preserve">Canette Peps </t>
  </si>
  <si>
    <t>lavette</t>
  </si>
  <si>
    <t>speed Fire</t>
  </si>
  <si>
    <t>isis</t>
  </si>
  <si>
    <t>bingo 1,5kg</t>
  </si>
  <si>
    <t xml:space="preserve">Crème liquide 1 litre </t>
  </si>
  <si>
    <t>Fromage bidon 3,8kg</t>
  </si>
  <si>
    <t>Amande Moulu</t>
  </si>
  <si>
    <t xml:space="preserve">Fromage slices </t>
  </si>
  <si>
    <t xml:space="preserve">sucre glace Fabalco </t>
  </si>
  <si>
    <t>cheddar</t>
  </si>
  <si>
    <t>cuisses de poulet</t>
  </si>
  <si>
    <t xml:space="preserve">viande morceaux de veau </t>
  </si>
  <si>
    <t>viande morceaux d'agneau</t>
  </si>
  <si>
    <t>amande éffilet</t>
  </si>
  <si>
    <t>Pomme de terre</t>
  </si>
  <si>
    <t>carotte</t>
  </si>
  <si>
    <t>poivre</t>
  </si>
  <si>
    <t>Hamissa</t>
  </si>
  <si>
    <t>Tomate fraiche</t>
  </si>
  <si>
    <t>Bessel</t>
  </si>
  <si>
    <t>Heech Houda</t>
  </si>
  <si>
    <t>Storm magasin</t>
  </si>
  <si>
    <t>enveloppe</t>
  </si>
  <si>
    <t>tomate fraiche</t>
  </si>
  <si>
    <t>Corbeille</t>
  </si>
  <si>
    <t>rechta</t>
  </si>
  <si>
    <t xml:space="preserve">poivre </t>
  </si>
  <si>
    <t>poulet haché+ blanc de poulet</t>
  </si>
  <si>
    <t>semoule blé complet</t>
  </si>
  <si>
    <t xml:space="preserve">sucre de Datte </t>
  </si>
  <si>
    <t>légumes</t>
  </si>
  <si>
    <t>deyoul</t>
  </si>
  <si>
    <t>ail</t>
  </si>
  <si>
    <t>citron</t>
  </si>
  <si>
    <t>champignon</t>
  </si>
  <si>
    <t>viande hachée</t>
  </si>
  <si>
    <t>sardine</t>
  </si>
  <si>
    <t>fromage spéciale pizza</t>
  </si>
  <si>
    <t xml:space="preserve">heech les filles </t>
  </si>
  <si>
    <t>Bons</t>
  </si>
  <si>
    <t xml:space="preserve">semoule Moula  grosses 2kg </t>
  </si>
  <si>
    <t xml:space="preserve">rechta slimane </t>
  </si>
  <si>
    <t xml:space="preserve">Rechta Yasmine </t>
  </si>
  <si>
    <t>dentelles sélophane</t>
  </si>
  <si>
    <t>quissetes dorés</t>
  </si>
  <si>
    <t>coupe pate</t>
  </si>
  <si>
    <t>manutention semoule</t>
  </si>
  <si>
    <t>24/12/2024</t>
  </si>
  <si>
    <t>Thon 1kg</t>
  </si>
  <si>
    <t>Margarine Dima 500g</t>
  </si>
  <si>
    <t>courgette</t>
  </si>
  <si>
    <t>navet</t>
  </si>
  <si>
    <t>couscous</t>
  </si>
  <si>
    <t>Terida</t>
  </si>
  <si>
    <t>hamissa</t>
  </si>
  <si>
    <t>tomate cerise</t>
  </si>
  <si>
    <t>salade patavia</t>
  </si>
  <si>
    <t>Viande morceaux</t>
  </si>
  <si>
    <t xml:space="preserve">orange </t>
  </si>
  <si>
    <t>blanc de poulet avec oss</t>
  </si>
  <si>
    <t>metelou3</t>
  </si>
  <si>
    <t>Heech</t>
  </si>
  <si>
    <t>Yassir</t>
  </si>
  <si>
    <t>Nakkach</t>
  </si>
  <si>
    <t>sac poubelle</t>
  </si>
  <si>
    <t>netoyage vitres</t>
  </si>
  <si>
    <t xml:space="preserve">assiettes </t>
  </si>
  <si>
    <t>miel 500g</t>
  </si>
  <si>
    <t>boite de miel</t>
  </si>
  <si>
    <t>thé</t>
  </si>
  <si>
    <t>heech yasmine + Houda+ Douaa</t>
  </si>
  <si>
    <t>13/*12/2024</t>
  </si>
  <si>
    <t>semoule orge</t>
  </si>
  <si>
    <t>javel +isis+papier essuit tout</t>
  </si>
  <si>
    <t>corgette</t>
  </si>
  <si>
    <t xml:space="preserve">javel   </t>
  </si>
  <si>
    <t>bessel</t>
  </si>
  <si>
    <t>boite leben</t>
  </si>
  <si>
    <t>barquette</t>
  </si>
  <si>
    <t>olive éffilet</t>
  </si>
  <si>
    <t>olive dénuayté</t>
  </si>
  <si>
    <t>filet</t>
  </si>
  <si>
    <t>viande morceau</t>
  </si>
  <si>
    <t xml:space="preserve">transport marchandise </t>
  </si>
  <si>
    <t>pate à sucre</t>
  </si>
  <si>
    <t>pate feuilleté</t>
  </si>
  <si>
    <t>Thé</t>
  </si>
  <si>
    <t>livraison nakkach</t>
  </si>
  <si>
    <t>citron + jambo</t>
  </si>
  <si>
    <t>sardine +thé + pomme de terre + na3ana3</t>
  </si>
  <si>
    <t>Fleurial margarine 500g</t>
  </si>
  <si>
    <t>eau méniral 0,5l</t>
  </si>
  <si>
    <t>amande moulu</t>
  </si>
  <si>
    <t>demie cuisse</t>
  </si>
  <si>
    <t>courgette navet</t>
  </si>
  <si>
    <t>Demie cuisses de poulet</t>
  </si>
  <si>
    <t>canelle</t>
  </si>
  <si>
    <t>beurre</t>
  </si>
  <si>
    <t>blanc de poulet</t>
  </si>
  <si>
    <t>viande d'agneau</t>
  </si>
  <si>
    <t>barquettes 1185</t>
  </si>
  <si>
    <t>Storm modem Local+magasin</t>
  </si>
  <si>
    <t>Salade</t>
  </si>
  <si>
    <t>Ail</t>
  </si>
  <si>
    <t>Farine SIM 1kg</t>
  </si>
  <si>
    <t>Crème Liquide 1 litre</t>
  </si>
  <si>
    <t>Harrissa 1kg</t>
  </si>
  <si>
    <t>Cacao</t>
  </si>
  <si>
    <t>Isis</t>
  </si>
  <si>
    <t>Amande marron</t>
  </si>
  <si>
    <t>Sac Poubelle 100 lites</t>
  </si>
  <si>
    <t xml:space="preserve">bland de poulet + éscalope </t>
  </si>
  <si>
    <t>chantilly</t>
  </si>
  <si>
    <t>Boites 48/10</t>
  </si>
  <si>
    <t>Boites 48/07</t>
  </si>
  <si>
    <t>Boites 36</t>
  </si>
  <si>
    <t>Boites 24</t>
  </si>
  <si>
    <t>sachets blanc 5kg</t>
  </si>
  <si>
    <t xml:space="preserve">Maa zehar </t>
  </si>
  <si>
    <t>fromage</t>
  </si>
  <si>
    <t>chaplure</t>
  </si>
  <si>
    <t>sachets blanc 5kg brahim</t>
  </si>
  <si>
    <t xml:space="preserve">livraison  </t>
  </si>
  <si>
    <t xml:space="preserve">tomate </t>
  </si>
  <si>
    <t>Tofia 2kg</t>
  </si>
  <si>
    <t>toile seree</t>
  </si>
  <si>
    <t>Fromage bidon</t>
  </si>
  <si>
    <t>sucre glace</t>
  </si>
  <si>
    <t>motifs</t>
  </si>
  <si>
    <t>Plateau</t>
  </si>
  <si>
    <t>thym</t>
  </si>
  <si>
    <t>salade</t>
  </si>
  <si>
    <t>fromage portion</t>
  </si>
  <si>
    <t>fromage special pizza</t>
  </si>
  <si>
    <t>barquettes 1320</t>
  </si>
  <si>
    <t>persil</t>
  </si>
  <si>
    <t>olive noir</t>
  </si>
  <si>
    <t>viande morceaux</t>
  </si>
  <si>
    <t xml:space="preserve">carrotes </t>
  </si>
  <si>
    <t xml:space="preserve">blanc de poulet + poulet haché  </t>
  </si>
  <si>
    <t xml:space="preserve">Boite demie plateau </t>
  </si>
  <si>
    <t xml:space="preserve">Sofiane </t>
  </si>
  <si>
    <t>Boite Plateau</t>
  </si>
  <si>
    <t xml:space="preserve">cuisses +  blanc de poulet </t>
  </si>
  <si>
    <t xml:space="preserve">navet courgette </t>
  </si>
  <si>
    <t>mtelou3</t>
  </si>
  <si>
    <t xml:space="preserve">canelle </t>
  </si>
  <si>
    <t>lait</t>
  </si>
  <si>
    <t>épinards</t>
  </si>
  <si>
    <t>Tomate</t>
  </si>
  <si>
    <t>che7i7a caisse</t>
  </si>
  <si>
    <t xml:space="preserve">Thé + kaleb elouz </t>
  </si>
  <si>
    <t>Facture d'éléctricité</t>
  </si>
  <si>
    <t xml:space="preserve">Totale </t>
  </si>
  <si>
    <t xml:space="preserve">Facture d'électricité </t>
  </si>
  <si>
    <t>Pénalité CNAS</t>
  </si>
  <si>
    <t>Cnas+ Pénalité CNAS</t>
  </si>
  <si>
    <t xml:space="preserve">Tapis anti dérrapage </t>
  </si>
  <si>
    <t xml:space="preserve">Ka3ek nakkach </t>
  </si>
  <si>
    <t xml:space="preserve">Amina Baghrir Novembre </t>
  </si>
  <si>
    <t>Grand de taille simple</t>
  </si>
  <si>
    <t>Grande de taille raisins secs</t>
  </si>
  <si>
    <t>petit simple</t>
  </si>
  <si>
    <t>petit raisins sec</t>
  </si>
  <si>
    <t xml:space="preserve">Sofiane repas </t>
  </si>
  <si>
    <t>complément de salaire mois de Novembre</t>
  </si>
  <si>
    <t>Boite 48/10</t>
  </si>
  <si>
    <t>Boite48/07</t>
  </si>
  <si>
    <t>Boite 36</t>
  </si>
  <si>
    <t>Boite 24</t>
  </si>
  <si>
    <t>Boite 18</t>
  </si>
  <si>
    <t>Boite 12</t>
  </si>
  <si>
    <t>Boite 08</t>
  </si>
  <si>
    <t>dentelle 4,5</t>
  </si>
  <si>
    <t>dentelle 5,5</t>
  </si>
  <si>
    <t xml:space="preserve">Sachet de congélation </t>
  </si>
  <si>
    <t>quissettes blanc  Num 12</t>
  </si>
  <si>
    <t xml:space="preserve">serviette en papier </t>
  </si>
  <si>
    <t>boite demie plateau</t>
  </si>
  <si>
    <t>Totale</t>
  </si>
  <si>
    <t xml:space="preserve">Nom </t>
  </si>
  <si>
    <t>Avance</t>
  </si>
  <si>
    <t xml:space="preserve">Salaire à payer </t>
  </si>
  <si>
    <t>Amel</t>
  </si>
  <si>
    <t xml:space="preserve">Wissem </t>
  </si>
  <si>
    <t>Saida</t>
  </si>
  <si>
    <t xml:space="preserve">Amina </t>
  </si>
  <si>
    <t xml:space="preserve">Selma </t>
  </si>
  <si>
    <t xml:space="preserve">Zohra </t>
  </si>
  <si>
    <t>Rayan</t>
  </si>
  <si>
    <t xml:space="preserve">Ikram  </t>
  </si>
  <si>
    <t>6000+2000</t>
  </si>
  <si>
    <t>Nora</t>
  </si>
  <si>
    <t>18000+3000</t>
  </si>
  <si>
    <t>4000+1000+2000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</si>
  <si>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</si>
  <si>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</si>
  <si>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</si>
  <si>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</si>
  <si>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</si>
  <si>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</si>
  <si>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</si>
  <si>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</si>
  <si>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>Mois d'Aout</t>
  </si>
  <si>
    <t>Mois de Septembre</t>
  </si>
  <si>
    <t xml:space="preserve">Mois d'Octobre </t>
  </si>
  <si>
    <t>Mois de Novembre</t>
  </si>
  <si>
    <t xml:space="preserve">Mois de Décembre </t>
  </si>
  <si>
    <t>Salaires</t>
  </si>
  <si>
    <t xml:space="preserve">Che7i7a 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</si>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</sst>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d/m/yyyy"/>
    <numFmt numFmtId="168" formatCode="dd/MM/yyyy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b/>
      <sz val="19.0"/>
      <color theme="1"/>
      <name val="Arial"/>
    </font>
    <font>
      <sz val="16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20.0"/>
      <color theme="1"/>
      <name val="Arial"/>
    </font>
    <font>
      <sz val="17.0"/>
      <color theme="1"/>
      <name val="Arial"/>
    </font>
    <font>
      <b/>
      <sz val="20.0"/>
      <color theme="1"/>
      <name val="Arial"/>
    </font>
    <font>
      <sz val="17.0"/>
      <color theme="1"/>
      <name val="Arial"/>
      <scheme val="minor"/>
    </font>
    <font>
      <sz val="18.0"/>
      <color theme="1"/>
      <name val="Arial"/>
      <scheme val="minor"/>
    </font>
    <font>
      <b/>
      <sz val="18.0"/>
      <color rgb="FFFF0000"/>
      <name val="Arial"/>
      <scheme val="minor"/>
    </font>
    <font>
      <b/>
      <sz val="18.0"/>
      <color rgb="FF6AA84F"/>
      <name val="Arial"/>
      <scheme val="minor"/>
    </font>
    <font>
      <sz val="16.0"/>
      <color rgb="FF434343"/>
      <name val="Roboto"/>
    </font>
    <font>
      <color theme="1"/>
      <name val="Arial"/>
      <scheme val="minor"/>
    </font>
    <font/>
    <font>
      <b/>
      <sz val="2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ill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3" numFmtId="164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center" readingOrder="0" vertical="bottom"/>
    </xf>
    <xf borderId="0" fillId="6" fontId="1" numFmtId="0" xfId="0" applyAlignment="1" applyFont="1">
      <alignment vertical="bottom"/>
    </xf>
    <xf borderId="1" fillId="6" fontId="1" numFmtId="166" xfId="0" applyAlignment="1" applyBorder="1" applyFont="1" applyNumberFormat="1">
      <alignment vertical="bottom"/>
    </xf>
    <xf borderId="1" fillId="5" fontId="3" numFmtId="166" xfId="0" applyAlignment="1" applyBorder="1" applyFont="1" applyNumberFormat="1">
      <alignment horizontal="center" vertical="bottom"/>
    </xf>
    <xf borderId="1" fillId="6" fontId="3" numFmtId="166" xfId="0" applyAlignment="1" applyBorder="1" applyFont="1" applyNumberFormat="1">
      <alignment horizontal="center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164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center" vertical="bottom"/>
    </xf>
    <xf borderId="0" fillId="6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1" fillId="9" fontId="3" numFmtId="166" xfId="0" applyAlignment="1" applyBorder="1" applyFill="1" applyFont="1" applyNumberFormat="1">
      <alignment horizontal="center" vertical="bottom"/>
    </xf>
    <xf borderId="4" fillId="0" fontId="1" numFmtId="166" xfId="0" applyAlignment="1" applyBorder="1" applyFont="1" applyNumberFormat="1">
      <alignment vertical="bottom"/>
    </xf>
    <xf borderId="0" fillId="6" fontId="5" numFmtId="166" xfId="0" applyAlignment="1" applyFont="1" applyNumberFormat="1">
      <alignment horizontal="center" readingOrder="0" vertical="bottom"/>
    </xf>
    <xf borderId="0" fillId="0" fontId="6" numFmtId="166" xfId="0" applyAlignment="1" applyFont="1" applyNumberFormat="1">
      <alignment readingOrder="0" vertical="bottom"/>
    </xf>
    <xf borderId="0" fillId="0" fontId="4" numFmtId="167" xfId="0" applyAlignment="1" applyFont="1" applyNumberFormat="1">
      <alignment horizontal="center" vertical="bottom"/>
    </xf>
    <xf borderId="4" fillId="7" fontId="7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horizontal="right" readingOrder="0" vertical="bottom"/>
    </xf>
    <xf borderId="0" fillId="6" fontId="3" numFmtId="166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5" fillId="0" fontId="1" numFmtId="166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6" fontId="1" numFmtId="166" xfId="0" applyAlignment="1" applyBorder="1" applyFont="1" applyNumberFormat="1">
      <alignment vertical="bottom"/>
    </xf>
    <xf borderId="1" fillId="11" fontId="9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11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1" fillId="6" fontId="10" numFmtId="166" xfId="0" applyAlignment="1" applyBorder="1" applyFont="1" applyNumberFormat="1">
      <alignment horizontal="center" readingOrder="0" vertical="bottom"/>
    </xf>
    <xf borderId="1" fillId="6" fontId="1" numFmtId="164" xfId="0" applyAlignment="1" applyBorder="1" applyFont="1" applyNumberFormat="1">
      <alignment vertical="bottom"/>
    </xf>
    <xf borderId="1" fillId="0" fontId="11" numFmtId="166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vertical="bottom"/>
    </xf>
    <xf borderId="1" fillId="6" fontId="2" numFmtId="166" xfId="0" applyAlignment="1" applyBorder="1" applyFont="1" applyNumberFormat="1">
      <alignment horizontal="center" vertical="bottom"/>
    </xf>
    <xf borderId="1" fillId="6" fontId="2" numFmtId="164" xfId="0" applyAlignment="1" applyBorder="1" applyFont="1" applyNumberFormat="1">
      <alignment horizontal="center" vertical="bottom"/>
    </xf>
    <xf borderId="1" fillId="6" fontId="2" numFmtId="166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12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2" numFmtId="0" xfId="0" applyAlignment="1" applyFont="1">
      <alignment horizontal="left" readingOrder="0" shrinkToFit="0" vertical="center" wrapText="0"/>
    </xf>
    <xf borderId="3" fillId="6" fontId="3" numFmtId="0" xfId="0" applyAlignment="1" applyBorder="1" applyFont="1">
      <alignment horizontal="center" readingOrder="0" shrinkToFit="0" vertical="bottom" wrapText="0"/>
    </xf>
    <xf borderId="6" fillId="0" fontId="13" numFmtId="165" xfId="0" applyAlignment="1" applyBorder="1" applyFont="1" applyNumberFormat="1">
      <alignment readingOrder="0" shrinkToFit="0" vertical="center" wrapText="0"/>
    </xf>
    <xf borderId="6" fillId="0" fontId="13" numFmtId="0" xfId="0" applyAlignment="1" applyBorder="1" applyFont="1">
      <alignment readingOrder="0" shrinkToFit="0" vertical="center" wrapText="0"/>
    </xf>
    <xf borderId="6" fillId="0" fontId="13" numFmtId="0" xfId="0" applyAlignment="1" applyBorder="1" applyFont="1">
      <alignment shrinkToFit="0" vertical="center" wrapText="0"/>
    </xf>
    <xf borderId="6" fillId="0" fontId="13" numFmtId="0" xfId="0" applyAlignment="1" applyBorder="1" applyFont="1">
      <alignment shrinkToFit="0" vertical="center" wrapText="0"/>
    </xf>
    <xf borderId="6" fillId="0" fontId="13" numFmtId="0" xfId="0" applyAlignment="1" applyBorder="1" applyFont="1">
      <alignment readingOrder="0" shrinkToFit="0" vertical="center" wrapText="0"/>
    </xf>
    <xf borderId="6" fillId="0" fontId="13" numFmtId="164" xfId="0" applyAlignment="1" applyBorder="1" applyFont="1" applyNumberFormat="1">
      <alignment shrinkToFit="0" vertical="center" wrapText="0"/>
    </xf>
    <xf borderId="6" fillId="6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13" numFmtId="168" xfId="0" applyAlignment="1" applyBorder="1" applyFont="1" applyNumberFormat="1">
      <alignment readingOrder="0" shrinkToFit="0" vertical="center" wrapText="0"/>
    </xf>
    <xf borderId="6" fillId="0" fontId="14" numFmtId="0" xfId="0" applyAlignment="1" applyBorder="1" applyFont="1">
      <alignment readingOrder="0" shrinkToFit="0" vertical="center" wrapText="0"/>
    </xf>
    <xf borderId="3" fillId="5" fontId="3" numFmtId="0" xfId="0" applyAlignment="1" applyBorder="1" applyFont="1">
      <alignment horizontal="center" readingOrder="0" shrinkToFit="0" vertical="bottom" wrapText="0"/>
    </xf>
    <xf borderId="6" fillId="5" fontId="13" numFmtId="168" xfId="0" applyAlignment="1" applyBorder="1" applyFont="1" applyNumberFormat="1">
      <alignment readingOrder="0" shrinkToFit="0" vertical="center" wrapText="0"/>
    </xf>
    <xf borderId="6" fillId="5" fontId="13" numFmtId="0" xfId="0" applyAlignment="1" applyBorder="1" applyFont="1">
      <alignment readingOrder="0" shrinkToFit="0" vertical="center" wrapText="0"/>
    </xf>
    <xf borderId="6" fillId="5" fontId="13" numFmtId="0" xfId="0" applyAlignment="1" applyBorder="1" applyFont="1">
      <alignment shrinkToFit="0" vertical="center" wrapText="0"/>
    </xf>
    <xf borderId="6" fillId="5" fontId="13" numFmtId="0" xfId="0" applyAlignment="1" applyBorder="1" applyFont="1">
      <alignment shrinkToFit="0" vertical="center" wrapText="0"/>
    </xf>
    <xf borderId="6" fillId="5" fontId="13" numFmtId="0" xfId="0" applyAlignment="1" applyBorder="1" applyFont="1">
      <alignment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0" fontId="13" numFmtId="168" xfId="0" applyAlignment="1" applyBorder="1" applyFont="1" applyNumberFormat="1">
      <alignment shrinkToFit="0" vertical="center" wrapText="0"/>
    </xf>
    <xf borderId="6" fillId="0" fontId="13" numFmtId="166" xfId="0" applyAlignment="1" applyBorder="1" applyFont="1" applyNumberFormat="1">
      <alignment shrinkToFit="0" vertical="center" wrapText="0"/>
    </xf>
    <xf borderId="1" fillId="12" fontId="11" numFmtId="0" xfId="0" applyAlignment="1" applyBorder="1" applyFont="1">
      <alignment horizontal="center" vertical="bottom"/>
    </xf>
    <xf borderId="2" fillId="12" fontId="11" numFmtId="0" xfId="0" applyAlignment="1" applyBorder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2" fillId="6" fontId="6" numFmtId="0" xfId="0" applyAlignment="1" applyBorder="1" applyFont="1">
      <alignment horizontal="center" readingOrder="0" vertical="bottom"/>
    </xf>
    <xf borderId="2" fillId="6" fontId="6" numFmtId="166" xfId="0" applyAlignment="1" applyBorder="1" applyFont="1" applyNumberFormat="1">
      <alignment horizontal="center" vertical="bottom"/>
    </xf>
    <xf borderId="1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6" fontId="6" numFmtId="166" xfId="0" applyAlignment="1" applyBorder="1" applyFont="1" applyNumberFormat="1">
      <alignment horizontal="center" vertical="bottom"/>
    </xf>
    <xf borderId="2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readingOrder="0" vertical="bottom"/>
    </xf>
    <xf borderId="1" fillId="6" fontId="6" numFmtId="166" xfId="0" applyAlignment="1" applyBorder="1" applyFont="1" applyNumberFormat="1">
      <alignment horizontal="center" readingOrder="0" vertical="bottom"/>
    </xf>
    <xf borderId="1" fillId="6" fontId="6" numFmtId="165" xfId="0" applyAlignment="1" applyBorder="1" applyFont="1" applyNumberFormat="1">
      <alignment horizontal="center" vertical="bottom"/>
    </xf>
    <xf borderId="6" fillId="6" fontId="16" numFmtId="0" xfId="0" applyAlignment="1" applyBorder="1" applyFont="1">
      <alignment horizontal="center" shrinkToFit="0" wrapText="0"/>
    </xf>
    <xf borderId="6" fillId="6" fontId="16" numFmtId="0" xfId="0" applyAlignment="1" applyBorder="1" applyFont="1">
      <alignment horizontal="center" shrinkToFit="0" wrapText="0"/>
    </xf>
    <xf borderId="1" fillId="6" fontId="16" numFmtId="0" xfId="0" applyAlignment="1" applyBorder="1" applyFont="1">
      <alignment horizontal="center" readingOrder="0" shrinkToFit="0" vertical="bottom" wrapText="0"/>
    </xf>
    <xf borderId="1" fillId="6" fontId="16" numFmtId="166" xfId="0" applyAlignment="1" applyBorder="1" applyFont="1" applyNumberFormat="1">
      <alignment horizontal="center" readingOrder="0" shrinkToFit="0" vertical="bottom" wrapText="0"/>
    </xf>
    <xf borderId="6" fillId="13" fontId="16" numFmtId="0" xfId="0" applyAlignment="1" applyBorder="1" applyFill="1" applyFont="1">
      <alignment horizontal="center" shrinkToFit="0" wrapText="0"/>
    </xf>
    <xf borderId="6" fillId="13" fontId="16" numFmtId="0" xfId="0" applyAlignment="1" applyBorder="1" applyFont="1">
      <alignment horizontal="center" readingOrder="0" shrinkToFit="0" wrapText="0"/>
    </xf>
    <xf borderId="6" fillId="13" fontId="16" numFmtId="0" xfId="0" applyAlignment="1" applyBorder="1" applyFont="1">
      <alignment horizontal="center" shrinkToFit="0" wrapText="0"/>
    </xf>
    <xf borderId="6" fillId="13" fontId="16" numFmtId="166" xfId="0" applyAlignment="1" applyBorder="1" applyFont="1" applyNumberFormat="1">
      <alignment horizontal="center" shrinkToFit="0" wrapText="0"/>
    </xf>
    <xf borderId="6" fillId="6" fontId="16" numFmtId="0" xfId="0" applyAlignment="1" applyBorder="1" applyFont="1">
      <alignment horizontal="center" shrinkToFit="0" wrapText="0"/>
    </xf>
    <xf borderId="6" fillId="6" fontId="16" numFmtId="0" xfId="0" applyAlignment="1" applyBorder="1" applyFont="1">
      <alignment horizontal="center" readingOrder="0" shrinkToFit="0" wrapText="0"/>
    </xf>
    <xf borderId="6" fillId="6" fontId="16" numFmtId="0" xfId="0" applyAlignment="1" applyBorder="1" applyFont="1">
      <alignment horizontal="center" shrinkToFit="0" wrapText="0"/>
    </xf>
    <xf borderId="6" fillId="6" fontId="16" numFmtId="166" xfId="0" applyAlignment="1" applyBorder="1" applyFont="1" applyNumberFormat="1">
      <alignment horizontal="center" shrinkToFit="0" wrapText="0"/>
    </xf>
    <xf borderId="1" fillId="6" fontId="10" numFmtId="0" xfId="0" applyAlignment="1" applyBorder="1" applyFont="1">
      <alignment horizontal="center" vertical="bottom"/>
    </xf>
    <xf borderId="1" fillId="6" fontId="10" numFmtId="166" xfId="0" applyAlignment="1" applyBorder="1" applyFont="1" applyNumberFormat="1">
      <alignment horizontal="center" vertical="bottom"/>
    </xf>
    <xf borderId="2" fillId="6" fontId="3" numFmtId="166" xfId="0" applyAlignment="1" applyBorder="1" applyFont="1" applyNumberFormat="1">
      <alignment horizontal="center" vertical="bottom"/>
    </xf>
    <xf borderId="1" fillId="6" fontId="10" numFmtId="0" xfId="0" applyAlignment="1" applyBorder="1" applyFont="1">
      <alignment horizontal="center" readingOrder="0" vertical="bottom"/>
    </xf>
    <xf borderId="1" fillId="6" fontId="6" numFmtId="165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readingOrder="0"/>
    </xf>
    <xf borderId="1" fillId="7" fontId="6" numFmtId="0" xfId="0" applyAlignment="1" applyBorder="1" applyFont="1">
      <alignment horizontal="center" readingOrder="0" vertical="bottom"/>
    </xf>
    <xf borderId="1" fillId="7" fontId="6" numFmtId="166" xfId="0" applyAlignment="1" applyBorder="1" applyFont="1" applyNumberFormat="1">
      <alignment horizontal="center" readingOrder="0" vertical="bottom"/>
    </xf>
    <xf borderId="2" fillId="7" fontId="6" numFmtId="166" xfId="0" applyAlignment="1" applyBorder="1" applyFont="1" applyNumberFormat="1">
      <alignment horizontal="center" vertical="bottom"/>
    </xf>
    <xf borderId="1" fillId="8" fontId="6" numFmtId="0" xfId="0" applyAlignment="1" applyBorder="1" applyFont="1">
      <alignment horizontal="center" readingOrder="0" vertical="bottom"/>
    </xf>
    <xf borderId="2" fillId="6" fontId="6" numFmtId="166" xfId="0" applyAlignment="1" applyBorder="1" applyFont="1" applyNumberFormat="1">
      <alignment horizontal="center" readingOrder="0" vertical="bottom"/>
    </xf>
    <xf borderId="1" fillId="14" fontId="6" numFmtId="0" xfId="0" applyAlignment="1" applyBorder="1" applyFill="1" applyFont="1">
      <alignment horizontal="center" readingOrder="0" vertical="bottom"/>
    </xf>
    <xf borderId="1" fillId="14" fontId="6" numFmtId="166" xfId="0" applyAlignment="1" applyBorder="1" applyFont="1" applyNumberFormat="1">
      <alignment horizontal="center" readingOrder="0" vertical="bottom"/>
    </xf>
    <xf borderId="2" fillId="14" fontId="6" numFmtId="166" xfId="0" applyAlignment="1" applyBorder="1" applyFont="1" applyNumberFormat="1">
      <alignment horizontal="center" readingOrder="0" vertical="bottom"/>
    </xf>
    <xf borderId="1" fillId="14" fontId="6" numFmtId="165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center" readingOrder="0"/>
    </xf>
    <xf borderId="2" fillId="14" fontId="6" numFmtId="166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center" readingOrder="0"/>
    </xf>
    <xf borderId="1" fillId="14" fontId="6" numFmtId="0" xfId="0" applyAlignment="1" applyBorder="1" applyFont="1">
      <alignment horizontal="center" vertical="bottom"/>
    </xf>
    <xf borderId="1" fillId="14" fontId="6" numFmtId="166" xfId="0" applyAlignment="1" applyBorder="1" applyFont="1" applyNumberFormat="1">
      <alignment horizontal="center" vertical="bottom"/>
    </xf>
    <xf borderId="1" fillId="14" fontId="6" numFmtId="165" xfId="0" applyAlignment="1" applyBorder="1" applyFont="1" applyNumberFormat="1">
      <alignment horizontal="center" vertical="bottom"/>
    </xf>
    <xf borderId="3" fillId="0" fontId="18" numFmtId="0" xfId="0" applyBorder="1" applyFont="1"/>
    <xf borderId="7" fillId="0" fontId="13" numFmtId="166" xfId="0" applyAlignment="1" applyBorder="1" applyFont="1" applyNumberFormat="1">
      <alignment horizontal="center"/>
    </xf>
    <xf borderId="5" fillId="6" fontId="6" numFmtId="0" xfId="0" applyAlignment="1" applyBorder="1" applyFont="1">
      <alignment horizontal="center" readingOrder="0" vertical="bottom"/>
    </xf>
    <xf borderId="5" fillId="0" fontId="18" numFmtId="0" xfId="0" applyBorder="1" applyFont="1"/>
    <xf borderId="1" fillId="0" fontId="18" numFmtId="0" xfId="0" applyBorder="1" applyFont="1"/>
    <xf borderId="1" fillId="5" fontId="6" numFmtId="0" xfId="0" applyAlignment="1" applyBorder="1" applyFont="1">
      <alignment horizontal="center" readingOrder="0" vertical="bottom"/>
    </xf>
    <xf borderId="1" fillId="5" fontId="6" numFmtId="166" xfId="0" applyAlignment="1" applyBorder="1" applyFont="1" applyNumberFormat="1">
      <alignment horizontal="center" readingOrder="0" vertical="bottom"/>
    </xf>
    <xf borderId="2" fillId="5" fontId="6" numFmtId="166" xfId="0" applyAlignment="1" applyBorder="1" applyFont="1" applyNumberFormat="1">
      <alignment horizontal="center" vertical="bottom"/>
    </xf>
    <xf borderId="1" fillId="5" fontId="6" numFmtId="165" xfId="0" applyAlignment="1" applyBorder="1" applyFont="1" applyNumberForma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9" numFmtId="166" xfId="0" applyAlignment="1" applyBorder="1" applyFont="1" applyNumberFormat="1">
      <alignment horizontal="center" vertical="bottom"/>
    </xf>
    <xf borderId="2" fillId="0" fontId="1" numFmtId="165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7" fontId="2" numFmtId="0" xfId="0" applyAlignment="1" applyBorder="1" applyFont="1">
      <alignment horizontal="center" vertical="bottom"/>
    </xf>
    <xf borderId="0" fillId="0" fontId="13" numFmtId="0" xfId="0" applyFont="1"/>
    <xf borderId="0" fillId="0" fontId="13" numFmtId="0" xfId="0" applyAlignment="1" applyFont="1">
      <alignment horizontal="center"/>
    </xf>
    <xf borderId="6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0" fillId="0" fontId="13" numFmtId="166" xfId="0" applyAlignment="1" applyFont="1" applyNumberFormat="1">
      <alignment horizontal="center" readingOrder="0"/>
    </xf>
    <xf borderId="0" fillId="0" fontId="13" numFmtId="166" xfId="0" applyAlignment="1" applyFont="1" applyNumberFormat="1">
      <alignment horizontal="center"/>
    </xf>
    <xf borderId="6" fillId="0" fontId="3" numFmtId="0" xfId="0" applyAlignment="1" applyBorder="1" applyFont="1">
      <alignment horizontal="center"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8" fontId="2" numFmtId="166" xfId="0" applyAlignment="1" applyBorder="1" applyFont="1" applyNumberFormat="1">
      <alignment horizontal="center" vertical="bottom"/>
    </xf>
    <xf borderId="1" fillId="4" fontId="1" numFmtId="166" xfId="0" applyAlignment="1" applyBorder="1" applyFont="1" applyNumberFormat="1">
      <alignment vertical="bottom"/>
    </xf>
    <xf borderId="1" fillId="12" fontId="2" numFmtId="0" xfId="0" applyAlignment="1" applyBorder="1" applyFont="1">
      <alignment horizontal="center" vertical="bottom"/>
    </xf>
    <xf borderId="6" fillId="12" fontId="2" numFmtId="0" xfId="0" applyAlignment="1" applyBorder="1" applyFont="1">
      <alignment horizontal="center" vertical="bottom"/>
    </xf>
    <xf borderId="6" fillId="12" fontId="11" numFmtId="0" xfId="0" applyAlignment="1" applyBorder="1" applyFont="1">
      <alignment horizontal="center" vertical="bottom"/>
    </xf>
    <xf borderId="6" fillId="12" fontId="3" numFmtId="0" xfId="0" applyAlignment="1" applyBorder="1" applyFont="1">
      <alignment horizontal="center" vertical="bottom"/>
    </xf>
    <xf borderId="6" fillId="12" fontId="3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1" fillId="15" fontId="2" numFmtId="0" xfId="0" applyAlignment="1" applyBorder="1" applyFill="1" applyFont="1">
      <alignment horizontal="center" vertical="bottom"/>
    </xf>
    <xf borderId="6" fillId="0" fontId="3" numFmtId="166" xfId="0" applyAlignment="1" applyBorder="1" applyFont="1" applyNumberFormat="1">
      <alignment horizontal="center" vertical="bottom"/>
    </xf>
    <xf borderId="6" fillId="0" fontId="9" numFmtId="166" xfId="0" applyAlignment="1" applyBorder="1" applyFont="1" applyNumberFormat="1">
      <alignment horizontal="center" vertical="bottom"/>
    </xf>
    <xf borderId="6" fillId="0" fontId="3" numFmtId="166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oint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es Charges -style">
      <tableStyleElement dxfId="2" type="firstRowStripe"/>
      <tableStyleElement dxfId="3" type="secondRowStripe"/>
    </tableStyle>
    <tableStyle count="2" pivot="0" name="Les Charges 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H36" displayName="Tableau1" name="Tableau1" id="1">
  <tableColumns count="34">
    <tableColumn name="Colonne 1" id="1"/>
    <tableColumn name="Date" id="2"/>
    <tableColumn name="Wissem" id="3"/>
    <tableColumn name="N/J" id="4"/>
    <tableColumn name="Yasmine" id="5"/>
    <tableColumn name="Column 18" id="6"/>
    <tableColumn name="Saida " id="7"/>
    <tableColumn name="Column 20" id="8"/>
    <tableColumn name="Ahlem" id="9"/>
    <tableColumn name="Column 21" id="10"/>
    <tableColumn name="Nour ElHouda" id="11"/>
    <tableColumn name="Column 22" id="12"/>
    <tableColumn name="Amina" id="13"/>
    <tableColumn name="Column 23" id="14"/>
    <tableColumn name="Selma" id="15"/>
    <tableColumn name="Column 24" id="16"/>
    <tableColumn name="Zohra" id="17"/>
    <tableColumn name="Column 25" id="18"/>
    <tableColumn name="Nora " id="19"/>
    <tableColumn name="Column 26" id="20"/>
    <tableColumn name="Ikram" id="21"/>
    <tableColumn name="Column 27" id="22"/>
    <tableColumn name="Rayan " id="23"/>
    <tableColumn name="Column 28" id="24"/>
    <tableColumn name="Karima" id="25"/>
    <tableColumn name="Column 29" id="26"/>
    <tableColumn name="Sihem" id="27"/>
    <tableColumn name="Column 30" id="28"/>
    <tableColumn name="Fatiha" id="29"/>
    <tableColumn name="Column 31" id="30"/>
    <tableColumn name="Israa" id="31"/>
    <tableColumn name="Salaire Israa" id="32"/>
    <tableColumn name="Remarque" id="33"/>
    <tableColumn name="Salaire/Jour" id="34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D54:G57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Les Charges -style" showColumnStripes="0" showFirstColumn="1" showLastColumn="1" showRowStripes="1"/>
</table>
</file>

<file path=xl/tables/table3.xml><?xml version="1.0" encoding="utf-8"?>
<table xmlns="http://schemas.openxmlformats.org/spreadsheetml/2006/main" headerRowCount="0" ref="D59:G61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Les Charges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1.13"/>
    <col customWidth="1" min="3" max="3" width="26.13"/>
    <col customWidth="1" min="4" max="6" width="23.38"/>
    <col customWidth="1" min="7" max="7" width="21.63"/>
    <col customWidth="1" min="8" max="8" width="20.88"/>
    <col customWidth="1" min="9" max="9" width="20.38"/>
    <col customWidth="1" min="10" max="10" width="22.63"/>
    <col customWidth="1" min="11" max="11" width="22.38"/>
    <col customWidth="1" min="13" max="13" width="21.13"/>
    <col customWidth="1" min="14" max="14" width="38.13"/>
    <col customWidth="1" min="15" max="15" width="43.38"/>
    <col customWidth="1" min="16" max="16" width="34.88"/>
    <col customWidth="1" min="17" max="17" width="40.38"/>
    <col customWidth="1" min="18" max="18" width="93.38"/>
    <col customWidth="1" min="19" max="19" width="48.88"/>
    <col customWidth="1" min="20" max="20" width="105.13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/>
      <c r="M1" s="7" t="s">
        <v>10</v>
      </c>
      <c r="N1" s="8" t="s">
        <v>11</v>
      </c>
      <c r="O1" s="6"/>
      <c r="P1" s="6"/>
      <c r="Q1" s="6"/>
      <c r="R1" s="6"/>
      <c r="S1" s="6"/>
      <c r="T1" s="6"/>
    </row>
    <row r="2">
      <c r="A2" s="9" t="s">
        <v>12</v>
      </c>
      <c r="B2" s="10">
        <v>45627.0</v>
      </c>
      <c r="C2" s="11">
        <v>139000.0</v>
      </c>
      <c r="D2" s="11">
        <v>57000.0</v>
      </c>
      <c r="E2" s="11">
        <v>57070.0</v>
      </c>
      <c r="F2" s="12"/>
      <c r="G2" s="13"/>
      <c r="H2" s="11">
        <v>2000.0</v>
      </c>
      <c r="I2" s="12"/>
      <c r="J2" s="12"/>
      <c r="K2" s="14">
        <v>1.0</v>
      </c>
      <c r="L2" s="15"/>
      <c r="M2" s="16"/>
      <c r="N2" s="17">
        <v>139000.0</v>
      </c>
      <c r="O2" s="6"/>
      <c r="P2" s="6"/>
      <c r="Q2" s="6"/>
      <c r="R2" s="6"/>
      <c r="S2" s="6"/>
      <c r="T2" s="6"/>
    </row>
    <row r="3">
      <c r="A3" s="9" t="s">
        <v>13</v>
      </c>
      <c r="B3" s="10">
        <v>45628.0</v>
      </c>
      <c r="C3" s="11">
        <v>48000.0</v>
      </c>
      <c r="D3" s="11">
        <v>36000.0</v>
      </c>
      <c r="E3" s="11">
        <v>35810.0</v>
      </c>
      <c r="F3" s="12"/>
      <c r="G3" s="13"/>
      <c r="H3" s="11">
        <v>2000.0</v>
      </c>
      <c r="I3" s="12"/>
      <c r="J3" s="12"/>
      <c r="K3" s="14">
        <v>1.0</v>
      </c>
      <c r="L3" s="15"/>
      <c r="M3" s="16"/>
      <c r="N3" s="18">
        <v>48000.0</v>
      </c>
      <c r="O3" s="19" t="s">
        <v>14</v>
      </c>
      <c r="P3" s="19" t="s">
        <v>15</v>
      </c>
      <c r="Q3" s="20" t="s">
        <v>16</v>
      </c>
      <c r="R3" s="21" t="s">
        <v>17</v>
      </c>
      <c r="S3" s="6"/>
      <c r="T3" s="6"/>
    </row>
    <row r="4">
      <c r="A4" s="9" t="s">
        <v>18</v>
      </c>
      <c r="B4" s="10">
        <v>45629.0</v>
      </c>
      <c r="C4" s="11">
        <v>60000.0</v>
      </c>
      <c r="D4" s="11">
        <v>65000.0</v>
      </c>
      <c r="E4" s="11">
        <v>60840.0</v>
      </c>
      <c r="F4" s="12"/>
      <c r="G4" s="13"/>
      <c r="H4" s="11">
        <v>2000.0</v>
      </c>
      <c r="I4" s="12"/>
      <c r="J4" s="12"/>
      <c r="K4" s="14">
        <v>1.0</v>
      </c>
      <c r="L4" s="15"/>
      <c r="M4" s="16"/>
      <c r="N4" s="18">
        <v>60000.0</v>
      </c>
      <c r="O4" s="22">
        <f>J33/K33</f>
        <v>23238.20968</v>
      </c>
      <c r="P4" s="22">
        <f>D33/K33</f>
        <v>70903.22581</v>
      </c>
      <c r="Q4" s="23"/>
      <c r="R4" s="24">
        <f>Q4/P4</f>
        <v>0</v>
      </c>
      <c r="S4" s="6"/>
      <c r="T4" s="6"/>
    </row>
    <row r="5">
      <c r="A5" s="9" t="s">
        <v>19</v>
      </c>
      <c r="B5" s="10">
        <v>45630.0</v>
      </c>
      <c r="C5" s="11">
        <v>50000.0</v>
      </c>
      <c r="D5" s="11">
        <v>29000.0</v>
      </c>
      <c r="E5" s="11">
        <v>28720.0</v>
      </c>
      <c r="F5" s="12"/>
      <c r="G5" s="13"/>
      <c r="H5" s="11">
        <v>2000.0</v>
      </c>
      <c r="I5" s="12"/>
      <c r="J5" s="12"/>
      <c r="K5" s="14">
        <v>1.0</v>
      </c>
      <c r="L5" s="15"/>
      <c r="M5" s="16"/>
      <c r="N5" s="18">
        <v>50000.0</v>
      </c>
      <c r="O5" s="1"/>
      <c r="P5" s="1"/>
      <c r="Q5" s="6"/>
      <c r="R5" s="25"/>
      <c r="S5" s="6"/>
      <c r="T5" s="6"/>
    </row>
    <row r="6">
      <c r="A6" s="9" t="s">
        <v>20</v>
      </c>
      <c r="B6" s="10">
        <v>45631.0</v>
      </c>
      <c r="C6" s="11">
        <v>49000.0</v>
      </c>
      <c r="D6" s="11">
        <v>65000.0</v>
      </c>
      <c r="E6" s="11">
        <v>64655.0</v>
      </c>
      <c r="F6" s="12"/>
      <c r="G6" s="13"/>
      <c r="H6" s="11">
        <v>2000.0</v>
      </c>
      <c r="I6" s="12"/>
      <c r="J6" s="12"/>
      <c r="K6" s="14">
        <v>1.0</v>
      </c>
      <c r="L6" s="15"/>
      <c r="M6" s="16"/>
      <c r="N6" s="18">
        <v>49000.0</v>
      </c>
      <c r="O6" s="26" t="s">
        <v>21</v>
      </c>
      <c r="P6" s="27" t="s">
        <v>22</v>
      </c>
      <c r="Q6" s="6"/>
      <c r="R6" s="1"/>
      <c r="S6" s="6"/>
      <c r="T6" s="6"/>
    </row>
    <row r="7">
      <c r="A7" s="9" t="s">
        <v>23</v>
      </c>
      <c r="B7" s="10">
        <v>45632.0</v>
      </c>
      <c r="C7" s="28">
        <v>48000.0</v>
      </c>
      <c r="D7" s="28">
        <v>71000.0</v>
      </c>
      <c r="E7" s="28">
        <v>64800.0</v>
      </c>
      <c r="F7" s="29"/>
      <c r="G7" s="30"/>
      <c r="H7" s="28">
        <v>2000.0</v>
      </c>
      <c r="I7" s="29"/>
      <c r="J7" s="29"/>
      <c r="K7" s="31">
        <v>1.0</v>
      </c>
      <c r="L7" s="15"/>
      <c r="M7" s="16"/>
      <c r="N7" s="18">
        <v>48000.0</v>
      </c>
      <c r="O7" s="32">
        <f>F33/K33</f>
        <v>28377.77097</v>
      </c>
      <c r="P7" s="32">
        <v>100000.0</v>
      </c>
      <c r="Q7" s="1"/>
      <c r="R7" s="1"/>
      <c r="S7" s="6"/>
      <c r="T7" s="6"/>
    </row>
    <row r="8">
      <c r="A8" s="9" t="s">
        <v>24</v>
      </c>
      <c r="B8" s="10">
        <v>45633.0</v>
      </c>
      <c r="C8" s="11">
        <v>72000.0</v>
      </c>
      <c r="D8" s="11">
        <v>69000.0</v>
      </c>
      <c r="E8" s="11">
        <v>67980.0</v>
      </c>
      <c r="F8" s="12"/>
      <c r="G8" s="13"/>
      <c r="H8" s="11">
        <v>2000.0</v>
      </c>
      <c r="I8" s="12"/>
      <c r="J8" s="12"/>
      <c r="K8" s="14">
        <v>1.0</v>
      </c>
      <c r="L8" s="15"/>
      <c r="M8" s="16"/>
      <c r="N8" s="18">
        <v>72000.0</v>
      </c>
      <c r="O8" s="1" t="s">
        <v>25</v>
      </c>
      <c r="P8" s="1"/>
      <c r="Q8" s="1"/>
      <c r="R8" s="1"/>
      <c r="S8" s="6"/>
      <c r="T8" s="6" t="s">
        <v>26</v>
      </c>
    </row>
    <row r="9">
      <c r="A9" s="9" t="s">
        <v>12</v>
      </c>
      <c r="B9" s="10">
        <v>45634.0</v>
      </c>
      <c r="C9" s="11">
        <v>57000.0</v>
      </c>
      <c r="D9" s="11">
        <v>72000.0</v>
      </c>
      <c r="E9" s="11">
        <v>72280.0</v>
      </c>
      <c r="F9" s="12"/>
      <c r="G9" s="13"/>
      <c r="H9" s="11">
        <v>2000.0</v>
      </c>
      <c r="I9" s="12"/>
      <c r="J9" s="12"/>
      <c r="K9" s="14">
        <v>1.0</v>
      </c>
      <c r="L9" s="15"/>
      <c r="M9" s="16"/>
      <c r="N9" s="17">
        <v>57000.0</v>
      </c>
      <c r="O9" s="1"/>
      <c r="P9" s="1"/>
      <c r="Q9" s="1"/>
      <c r="R9" s="1"/>
      <c r="S9" s="6"/>
      <c r="T9" s="6"/>
    </row>
    <row r="10">
      <c r="A10" s="9" t="s">
        <v>13</v>
      </c>
      <c r="B10" s="10">
        <v>45635.0</v>
      </c>
      <c r="C10" s="11">
        <v>62000.0</v>
      </c>
      <c r="D10" s="11">
        <v>48000.0</v>
      </c>
      <c r="E10" s="11">
        <v>48230.0</v>
      </c>
      <c r="F10" s="12"/>
      <c r="G10" s="13"/>
      <c r="H10" s="11">
        <v>2000.0</v>
      </c>
      <c r="I10" s="12"/>
      <c r="J10" s="12"/>
      <c r="K10" s="14">
        <v>1.0</v>
      </c>
      <c r="L10" s="15"/>
      <c r="M10" s="16"/>
      <c r="N10" s="18">
        <v>62000.0</v>
      </c>
      <c r="O10" s="33" t="s">
        <v>27</v>
      </c>
      <c r="P10" s="33" t="s">
        <v>28</v>
      </c>
      <c r="Q10" s="34" t="s">
        <v>29</v>
      </c>
      <c r="R10" s="35" t="s">
        <v>30</v>
      </c>
      <c r="S10" s="6"/>
      <c r="T10" s="6"/>
    </row>
    <row r="11">
      <c r="A11" s="9" t="s">
        <v>18</v>
      </c>
      <c r="B11" s="10">
        <v>45636.0</v>
      </c>
      <c r="C11" s="11">
        <v>31000.0</v>
      </c>
      <c r="D11" s="11">
        <v>45000.0</v>
      </c>
      <c r="E11" s="11">
        <v>45005.0</v>
      </c>
      <c r="F11" s="12"/>
      <c r="G11" s="13"/>
      <c r="H11" s="11">
        <v>2000.0</v>
      </c>
      <c r="I11" s="12"/>
      <c r="J11" s="12"/>
      <c r="K11" s="14">
        <v>1.0</v>
      </c>
      <c r="L11" s="15"/>
      <c r="M11" s="16"/>
      <c r="N11" s="18">
        <v>31000.0</v>
      </c>
      <c r="O11" s="18">
        <f>D33+O14-F33-H33-P11-Salaires!I26</f>
        <v>1016289.1</v>
      </c>
      <c r="P11" s="36">
        <v>194000.0</v>
      </c>
      <c r="Q11" s="37">
        <v>809000.0</v>
      </c>
      <c r="R11" s="32">
        <f>O11-Q11</f>
        <v>207289.1</v>
      </c>
      <c r="S11" s="6"/>
      <c r="T11" s="6"/>
    </row>
    <row r="12">
      <c r="A12" s="9" t="s">
        <v>19</v>
      </c>
      <c r="B12" s="10">
        <v>45637.0</v>
      </c>
      <c r="C12" s="11">
        <v>62000.0</v>
      </c>
      <c r="D12" s="11">
        <v>71000.0</v>
      </c>
      <c r="E12" s="11">
        <v>69920.0</v>
      </c>
      <c r="F12" s="12"/>
      <c r="G12" s="13"/>
      <c r="H12" s="11">
        <v>2000.0</v>
      </c>
      <c r="I12" s="12"/>
      <c r="J12" s="12"/>
      <c r="K12" s="14">
        <v>1.0</v>
      </c>
      <c r="L12" s="15"/>
      <c r="M12" s="16"/>
      <c r="N12" s="18">
        <v>62000.0</v>
      </c>
      <c r="O12" s="1"/>
      <c r="P12" s="1"/>
      <c r="Q12" s="38"/>
      <c r="R12" s="38"/>
      <c r="S12" s="6"/>
      <c r="T12" s="6"/>
    </row>
    <row r="13">
      <c r="A13" s="9" t="s">
        <v>20</v>
      </c>
      <c r="B13" s="10">
        <v>45638.0</v>
      </c>
      <c r="C13" s="11">
        <v>35000.0</v>
      </c>
      <c r="D13" s="11">
        <v>72000.0</v>
      </c>
      <c r="E13" s="11">
        <v>71810.0</v>
      </c>
      <c r="F13" s="12"/>
      <c r="G13" s="13"/>
      <c r="H13" s="11">
        <v>2000.0</v>
      </c>
      <c r="I13" s="12"/>
      <c r="J13" s="12"/>
      <c r="K13" s="14">
        <v>1.0</v>
      </c>
      <c r="L13" s="15"/>
      <c r="M13" s="16"/>
      <c r="N13" s="18">
        <v>35000.0</v>
      </c>
      <c r="O13" s="34" t="s">
        <v>31</v>
      </c>
      <c r="P13" s="38"/>
      <c r="Q13" s="6"/>
      <c r="R13" s="38"/>
      <c r="S13" s="6"/>
      <c r="T13" s="6"/>
    </row>
    <row r="14">
      <c r="A14" s="9" t="s">
        <v>23</v>
      </c>
      <c r="B14" s="10">
        <v>45639.0</v>
      </c>
      <c r="C14" s="28">
        <v>71000.0</v>
      </c>
      <c r="D14" s="28">
        <v>90000.0</v>
      </c>
      <c r="E14" s="28">
        <v>89805.0</v>
      </c>
      <c r="F14" s="29"/>
      <c r="G14" s="30"/>
      <c r="H14" s="28">
        <v>2000.0</v>
      </c>
      <c r="I14" s="29"/>
      <c r="J14" s="29"/>
      <c r="K14" s="31">
        <v>1.0</v>
      </c>
      <c r="L14" s="15"/>
      <c r="M14" s="16"/>
      <c r="N14" s="18">
        <v>71000.0</v>
      </c>
      <c r="O14" s="39">
        <v>330000.0</v>
      </c>
      <c r="P14" s="38"/>
      <c r="Q14" s="6"/>
      <c r="R14" s="23"/>
      <c r="S14" s="6"/>
      <c r="T14" s="6"/>
    </row>
    <row r="15">
      <c r="A15" s="9" t="s">
        <v>24</v>
      </c>
      <c r="B15" s="10">
        <v>45640.0</v>
      </c>
      <c r="C15" s="11">
        <v>80000.0</v>
      </c>
      <c r="D15" s="11">
        <v>79000.0</v>
      </c>
      <c r="E15" s="11">
        <v>79600.0</v>
      </c>
      <c r="F15" s="12"/>
      <c r="G15" s="13"/>
      <c r="H15" s="11">
        <v>2000.0</v>
      </c>
      <c r="I15" s="12"/>
      <c r="J15" s="12"/>
      <c r="K15" s="14">
        <v>1.0</v>
      </c>
      <c r="L15" s="15"/>
      <c r="M15" s="16"/>
      <c r="N15" s="18">
        <v>80000.0</v>
      </c>
      <c r="O15" s="23"/>
      <c r="P15" s="23"/>
      <c r="Q15" s="15"/>
      <c r="R15" s="40" t="s">
        <v>32</v>
      </c>
      <c r="S15" s="6"/>
      <c r="T15" s="6"/>
    </row>
    <row r="16">
      <c r="A16" s="9" t="s">
        <v>12</v>
      </c>
      <c r="B16" s="10">
        <v>45641.0</v>
      </c>
      <c r="C16" s="11">
        <v>82000.0</v>
      </c>
      <c r="D16" s="11">
        <v>72000.0</v>
      </c>
      <c r="E16" s="11">
        <v>72110.0</v>
      </c>
      <c r="F16" s="12"/>
      <c r="G16" s="13"/>
      <c r="H16" s="11">
        <v>2000.0</v>
      </c>
      <c r="I16" s="12"/>
      <c r="J16" s="12"/>
      <c r="K16" s="14">
        <v>1.0</v>
      </c>
      <c r="L16" s="15"/>
      <c r="M16" s="16"/>
      <c r="N16" s="17">
        <v>82000.0</v>
      </c>
      <c r="O16" s="41" t="s">
        <v>33</v>
      </c>
      <c r="P16" s="23"/>
      <c r="Q16" s="23"/>
      <c r="R16" s="40" t="s">
        <v>34</v>
      </c>
      <c r="S16" s="6"/>
      <c r="T16" s="6"/>
    </row>
    <row r="17">
      <c r="A17" s="9" t="s">
        <v>13</v>
      </c>
      <c r="B17" s="10">
        <v>45642.0</v>
      </c>
      <c r="C17" s="11">
        <v>11000.0</v>
      </c>
      <c r="D17" s="11">
        <v>55000.0</v>
      </c>
      <c r="E17" s="11">
        <v>54720.0</v>
      </c>
      <c r="F17" s="12"/>
      <c r="G17" s="13"/>
      <c r="H17" s="11">
        <v>2000.0</v>
      </c>
      <c r="I17" s="12"/>
      <c r="J17" s="12"/>
      <c r="K17" s="14">
        <v>1.0</v>
      </c>
      <c r="L17" s="15"/>
      <c r="M17" s="16"/>
      <c r="N17" s="18">
        <v>11000.0</v>
      </c>
      <c r="O17" s="42">
        <v>0.0</v>
      </c>
      <c r="P17" s="23"/>
      <c r="Q17" s="23"/>
      <c r="R17" s="43" t="s">
        <v>35</v>
      </c>
      <c r="S17" s="6"/>
      <c r="T17" s="6"/>
    </row>
    <row r="18">
      <c r="A18" s="9" t="s">
        <v>18</v>
      </c>
      <c r="B18" s="10">
        <v>45643.0</v>
      </c>
      <c r="C18" s="11">
        <v>0.0</v>
      </c>
      <c r="D18" s="11">
        <v>68000.0</v>
      </c>
      <c r="E18" s="11">
        <v>68420.0</v>
      </c>
      <c r="F18" s="12"/>
      <c r="G18" s="13"/>
      <c r="H18" s="11">
        <v>2000.0</v>
      </c>
      <c r="I18" s="12"/>
      <c r="J18" s="12"/>
      <c r="K18" s="14">
        <v>1.0</v>
      </c>
      <c r="L18" s="15"/>
      <c r="M18" s="16"/>
      <c r="N18" s="44">
        <v>0.0</v>
      </c>
      <c r="O18" s="45"/>
      <c r="P18" s="23"/>
      <c r="Q18" s="46">
        <v>90700.0</v>
      </c>
      <c r="R18" s="47" t="s">
        <v>36</v>
      </c>
      <c r="S18" s="48">
        <v>45582.0</v>
      </c>
      <c r="T18" s="21" t="s">
        <v>37</v>
      </c>
    </row>
    <row r="19">
      <c r="A19" s="9" t="s">
        <v>19</v>
      </c>
      <c r="B19" s="10">
        <v>45644.0</v>
      </c>
      <c r="C19" s="11">
        <v>0.0</v>
      </c>
      <c r="D19" s="11">
        <v>130000.0</v>
      </c>
      <c r="E19" s="11">
        <v>130680.0</v>
      </c>
      <c r="F19" s="12"/>
      <c r="G19" s="13"/>
      <c r="H19" s="11">
        <v>2000.0</v>
      </c>
      <c r="I19" s="12"/>
      <c r="J19" s="12"/>
      <c r="K19" s="14">
        <v>1.0</v>
      </c>
      <c r="L19" s="15"/>
      <c r="M19" s="16"/>
      <c r="N19" s="44">
        <v>0.0</v>
      </c>
      <c r="O19" s="49" t="s">
        <v>38</v>
      </c>
      <c r="P19" s="23"/>
      <c r="Q19" s="23"/>
      <c r="R19" s="50" t="s">
        <v>39</v>
      </c>
      <c r="S19" s="23"/>
      <c r="T19" s="41">
        <v>18000.0</v>
      </c>
    </row>
    <row r="20">
      <c r="A20" s="9" t="s">
        <v>20</v>
      </c>
      <c r="B20" s="10">
        <v>45645.0</v>
      </c>
      <c r="C20" s="11">
        <v>0.0</v>
      </c>
      <c r="D20" s="11">
        <v>100000.0</v>
      </c>
      <c r="E20" s="11">
        <v>100620.0</v>
      </c>
      <c r="F20" s="12"/>
      <c r="G20" s="13"/>
      <c r="H20" s="11">
        <v>2000.0</v>
      </c>
      <c r="I20" s="12"/>
      <c r="J20" s="12"/>
      <c r="K20" s="14">
        <v>1.0</v>
      </c>
      <c r="L20" s="15"/>
      <c r="M20" s="16"/>
      <c r="N20" s="44">
        <v>0.0</v>
      </c>
      <c r="O20" s="18">
        <f>D33-C33</f>
        <v>870000</v>
      </c>
      <c r="P20" s="23"/>
      <c r="Q20" s="6"/>
      <c r="R20" s="51" t="s">
        <v>40</v>
      </c>
      <c r="S20" s="6"/>
      <c r="T20" s="6"/>
    </row>
    <row r="21">
      <c r="A21" s="9" t="s">
        <v>23</v>
      </c>
      <c r="B21" s="10">
        <v>45646.0</v>
      </c>
      <c r="C21" s="28">
        <v>0.0</v>
      </c>
      <c r="D21" s="28">
        <v>62000.0</v>
      </c>
      <c r="E21" s="28">
        <v>62460.0</v>
      </c>
      <c r="F21" s="29"/>
      <c r="G21" s="30"/>
      <c r="H21" s="28">
        <v>2000.0</v>
      </c>
      <c r="I21" s="29"/>
      <c r="J21" s="29"/>
      <c r="K21" s="31">
        <v>1.0</v>
      </c>
      <c r="L21" s="15"/>
      <c r="M21" s="16"/>
      <c r="N21" s="44">
        <v>0.0</v>
      </c>
      <c r="O21" s="52" t="s">
        <v>41</v>
      </c>
      <c r="P21" s="53"/>
      <c r="Q21" s="54" t="s">
        <v>42</v>
      </c>
      <c r="R21" s="18">
        <v>1.0</v>
      </c>
      <c r="S21" s="18">
        <v>8800.0</v>
      </c>
      <c r="T21" s="18">
        <f>R21*S21</f>
        <v>8800</v>
      </c>
    </row>
    <row r="22">
      <c r="A22" s="9" t="s">
        <v>24</v>
      </c>
      <c r="B22" s="10">
        <v>45647.0</v>
      </c>
      <c r="C22" s="11">
        <v>0.0</v>
      </c>
      <c r="D22" s="11">
        <v>64000.0</v>
      </c>
      <c r="E22" s="11">
        <v>63930.0</v>
      </c>
      <c r="F22" s="12"/>
      <c r="G22" s="13"/>
      <c r="H22" s="11">
        <v>2000.0</v>
      </c>
      <c r="I22" s="12"/>
      <c r="J22" s="12"/>
      <c r="K22" s="14">
        <v>1.0</v>
      </c>
      <c r="L22" s="15"/>
      <c r="M22" s="16"/>
      <c r="N22" s="44">
        <v>0.0</v>
      </c>
      <c r="O22" s="32">
        <f>M36-F36</f>
        <v>0</v>
      </c>
      <c r="P22" s="53"/>
      <c r="Q22" s="54" t="s">
        <v>43</v>
      </c>
      <c r="R22" s="18">
        <v>4.0</v>
      </c>
      <c r="S22" s="18">
        <v>400.0</v>
      </c>
      <c r="T22" s="18">
        <v>600.0</v>
      </c>
    </row>
    <row r="23">
      <c r="A23" s="9" t="s">
        <v>12</v>
      </c>
      <c r="B23" s="10">
        <v>45648.0</v>
      </c>
      <c r="C23" s="11">
        <v>0.0</v>
      </c>
      <c r="D23" s="11">
        <v>60000.0</v>
      </c>
      <c r="E23" s="11">
        <v>60120.0</v>
      </c>
      <c r="F23" s="12"/>
      <c r="G23" s="13"/>
      <c r="H23" s="11">
        <v>2000.0</v>
      </c>
      <c r="I23" s="12"/>
      <c r="J23" s="12"/>
      <c r="K23" s="14">
        <v>1.0</v>
      </c>
      <c r="L23" s="15"/>
      <c r="M23" s="16"/>
      <c r="N23" s="44">
        <v>0.0</v>
      </c>
      <c r="O23" s="55" t="s">
        <v>44</v>
      </c>
      <c r="P23" s="53"/>
      <c r="Q23" s="54" t="s">
        <v>45</v>
      </c>
      <c r="R23" s="18">
        <v>1.0</v>
      </c>
      <c r="S23" s="18">
        <v>2800.0</v>
      </c>
      <c r="T23" s="18">
        <f>R23*S23</f>
        <v>2800</v>
      </c>
    </row>
    <row r="24">
      <c r="A24" s="9" t="s">
        <v>13</v>
      </c>
      <c r="B24" s="10">
        <v>45649.0</v>
      </c>
      <c r="C24" s="11">
        <v>45000.0</v>
      </c>
      <c r="D24" s="11">
        <v>44000.0</v>
      </c>
      <c r="E24" s="11">
        <v>43970.0</v>
      </c>
      <c r="F24" s="12"/>
      <c r="G24" s="13"/>
      <c r="H24" s="11">
        <v>2000.0</v>
      </c>
      <c r="I24" s="12"/>
      <c r="J24" s="12"/>
      <c r="K24" s="14">
        <v>1.0</v>
      </c>
      <c r="L24" s="15"/>
      <c r="M24" s="16"/>
      <c r="N24" s="18">
        <v>45000.0</v>
      </c>
      <c r="O24" s="39">
        <f>D33-C33</f>
        <v>870000</v>
      </c>
      <c r="P24" s="23"/>
      <c r="Q24" s="56"/>
      <c r="R24" s="57"/>
      <c r="S24" s="58" t="s">
        <v>46</v>
      </c>
      <c r="T24" s="58">
        <v>1.0</v>
      </c>
    </row>
    <row r="25">
      <c r="A25" s="9" t="s">
        <v>18</v>
      </c>
      <c r="B25" s="10">
        <v>45650.0</v>
      </c>
      <c r="C25" s="11">
        <v>55000.0</v>
      </c>
      <c r="D25" s="11">
        <v>47000.0</v>
      </c>
      <c r="E25" s="11">
        <v>47440.0</v>
      </c>
      <c r="F25" s="12"/>
      <c r="G25" s="13"/>
      <c r="H25" s="11">
        <v>2000.0</v>
      </c>
      <c r="I25" s="12"/>
      <c r="J25" s="12"/>
      <c r="K25" s="14">
        <v>1.0</v>
      </c>
      <c r="L25" s="15"/>
      <c r="M25" s="16"/>
      <c r="N25" s="18">
        <v>55000.0</v>
      </c>
      <c r="O25" s="34" t="s">
        <v>47</v>
      </c>
      <c r="P25" s="53"/>
      <c r="Q25" s="59" t="s">
        <v>48</v>
      </c>
      <c r="R25" s="38"/>
      <c r="S25" s="60"/>
      <c r="T25" s="60"/>
    </row>
    <row r="26">
      <c r="A26" s="9" t="s">
        <v>19</v>
      </c>
      <c r="B26" s="10">
        <v>45651.0</v>
      </c>
      <c r="C26" s="11">
        <v>45000.0</v>
      </c>
      <c r="D26" s="11">
        <v>57000.0</v>
      </c>
      <c r="E26" s="11">
        <v>57500.0</v>
      </c>
      <c r="F26" s="12"/>
      <c r="G26" s="13"/>
      <c r="H26" s="11">
        <v>2000.0</v>
      </c>
      <c r="I26" s="12"/>
      <c r="J26" s="12"/>
      <c r="K26" s="14">
        <v>1.0</v>
      </c>
      <c r="L26" s="15"/>
      <c r="M26" s="16"/>
      <c r="N26" s="18">
        <v>45000.0</v>
      </c>
      <c r="O26" s="32">
        <f>D9+D16+D23+D30</f>
        <v>270000</v>
      </c>
      <c r="P26" s="61"/>
      <c r="Q26" s="12"/>
      <c r="R26" s="16"/>
      <c r="S26" s="58" t="s">
        <v>49</v>
      </c>
      <c r="T26" s="58">
        <v>1.0</v>
      </c>
    </row>
    <row r="27">
      <c r="A27" s="9" t="s">
        <v>20</v>
      </c>
      <c r="B27" s="10">
        <v>45652.0</v>
      </c>
      <c r="C27" s="11">
        <v>40000.0</v>
      </c>
      <c r="D27" s="11">
        <v>75000.0</v>
      </c>
      <c r="E27" s="11">
        <v>75210.0</v>
      </c>
      <c r="F27" s="12"/>
      <c r="G27" s="13"/>
      <c r="H27" s="11">
        <v>2000.0</v>
      </c>
      <c r="I27" s="12"/>
      <c r="J27" s="12"/>
      <c r="K27" s="14">
        <v>1.0</v>
      </c>
      <c r="L27" s="15"/>
      <c r="M27" s="16"/>
      <c r="N27" s="18">
        <v>40000.0</v>
      </c>
      <c r="O27" s="38"/>
      <c r="P27" s="61"/>
      <c r="Q27" s="12"/>
      <c r="R27" s="16"/>
      <c r="S27" s="6"/>
      <c r="T27" s="6"/>
    </row>
    <row r="28">
      <c r="A28" s="9" t="s">
        <v>23</v>
      </c>
      <c r="B28" s="10">
        <v>45653.0</v>
      </c>
      <c r="C28" s="28">
        <v>36000.0</v>
      </c>
      <c r="D28" s="28">
        <v>68000.0</v>
      </c>
      <c r="E28" s="28">
        <v>68550.0</v>
      </c>
      <c r="F28" s="29"/>
      <c r="G28" s="30"/>
      <c r="H28" s="28">
        <v>2000.0</v>
      </c>
      <c r="I28" s="29"/>
      <c r="J28" s="29"/>
      <c r="K28" s="31">
        <v>1.0</v>
      </c>
      <c r="L28" s="15"/>
      <c r="M28" s="16"/>
      <c r="N28" s="18">
        <v>36000.0</v>
      </c>
      <c r="O28" s="26" t="s">
        <v>29</v>
      </c>
      <c r="P28" s="61"/>
      <c r="Q28" s="12"/>
      <c r="R28" s="16"/>
      <c r="S28" s="6"/>
      <c r="T28" s="6"/>
    </row>
    <row r="29">
      <c r="A29" s="9" t="s">
        <v>24</v>
      </c>
      <c r="B29" s="10">
        <v>45654.0</v>
      </c>
      <c r="C29" s="11">
        <v>69000.0</v>
      </c>
      <c r="D29" s="11">
        <v>68000.0</v>
      </c>
      <c r="E29" s="11">
        <v>68780.0</v>
      </c>
      <c r="F29" s="12"/>
      <c r="G29" s="13"/>
      <c r="H29" s="11">
        <v>2000.0</v>
      </c>
      <c r="I29" s="12"/>
      <c r="J29" s="12"/>
      <c r="K29" s="14">
        <v>1.0</v>
      </c>
      <c r="L29" s="15"/>
      <c r="M29" s="16"/>
      <c r="N29" s="18">
        <v>69000.0</v>
      </c>
      <c r="O29" s="32">
        <v>51000.0</v>
      </c>
      <c r="P29" s="53"/>
      <c r="Q29" s="12"/>
      <c r="R29" s="16"/>
      <c r="S29" s="6"/>
      <c r="T29" s="6"/>
    </row>
    <row r="30">
      <c r="A30" s="9" t="s">
        <v>12</v>
      </c>
      <c r="B30" s="10">
        <v>45655.0</v>
      </c>
      <c r="C30" s="11">
        <v>40000.0</v>
      </c>
      <c r="D30" s="11">
        <v>66000.0</v>
      </c>
      <c r="E30" s="11">
        <v>66000.0</v>
      </c>
      <c r="F30" s="12"/>
      <c r="G30" s="13"/>
      <c r="H30" s="11">
        <v>2000.0</v>
      </c>
      <c r="I30" s="12"/>
      <c r="J30" s="12"/>
      <c r="K30" s="14">
        <v>1.0</v>
      </c>
      <c r="L30" s="15"/>
      <c r="M30" s="16"/>
      <c r="N30" s="17">
        <v>40000.0</v>
      </c>
      <c r="O30" s="62" t="s">
        <v>50</v>
      </c>
      <c r="P30" s="61"/>
      <c r="Q30" s="12"/>
      <c r="R30" s="16"/>
      <c r="S30" s="6"/>
      <c r="T30" s="6"/>
    </row>
    <row r="31">
      <c r="A31" s="9" t="s">
        <v>13</v>
      </c>
      <c r="B31" s="10">
        <v>45656.0</v>
      </c>
      <c r="C31" s="11">
        <v>41000.0</v>
      </c>
      <c r="D31" s="11">
        <v>176000.0</v>
      </c>
      <c r="E31" s="11">
        <v>176000.0</v>
      </c>
      <c r="F31" s="12"/>
      <c r="G31" s="13"/>
      <c r="H31" s="11">
        <v>2000.0</v>
      </c>
      <c r="I31" s="12"/>
      <c r="J31" s="12"/>
      <c r="K31" s="14">
        <v>1.0</v>
      </c>
      <c r="L31" s="15"/>
      <c r="M31" s="16"/>
      <c r="N31" s="18">
        <v>41000.0</v>
      </c>
      <c r="O31" s="38"/>
      <c r="P31" s="61"/>
      <c r="Q31" s="16"/>
      <c r="R31" s="12"/>
      <c r="S31" s="6"/>
      <c r="T31" s="6"/>
    </row>
    <row r="32">
      <c r="A32" s="9" t="s">
        <v>18</v>
      </c>
      <c r="B32" s="10">
        <v>45657.0</v>
      </c>
      <c r="C32" s="63">
        <v>0.0</v>
      </c>
      <c r="D32" s="11">
        <v>117000.0</v>
      </c>
      <c r="E32" s="11">
        <v>117000.0</v>
      </c>
      <c r="F32" s="12"/>
      <c r="G32" s="64"/>
      <c r="H32" s="11">
        <v>2000.0</v>
      </c>
      <c r="I32" s="12"/>
      <c r="J32" s="12"/>
      <c r="K32" s="14">
        <v>1.0</v>
      </c>
      <c r="L32" s="15"/>
      <c r="M32" s="16"/>
      <c r="N32" s="11">
        <v>0.0</v>
      </c>
      <c r="O32" s="38"/>
      <c r="P32" s="61"/>
      <c r="Q32" s="38"/>
      <c r="R32" s="65">
        <f>SUM(R26:R31)</f>
        <v>0</v>
      </c>
      <c r="S32" s="6"/>
      <c r="T32" s="6"/>
    </row>
    <row r="33">
      <c r="A33" s="6"/>
      <c r="B33" s="66"/>
      <c r="C33" s="67">
        <f t="shared" ref="C33:E33" si="1">SUM(C2:C32)</f>
        <v>1328000</v>
      </c>
      <c r="D33" s="67">
        <f t="shared" si="1"/>
        <v>2198000</v>
      </c>
      <c r="E33" s="67">
        <f t="shared" si="1"/>
        <v>2190035</v>
      </c>
      <c r="F33" s="67">
        <f>'Les Charges '!G419</f>
        <v>879710.9</v>
      </c>
      <c r="G33" s="68">
        <f>Salaires!H26</f>
        <v>405904.6</v>
      </c>
      <c r="H33" s="67">
        <f>SUM(H2:H32)</f>
        <v>62000</v>
      </c>
      <c r="I33" s="69">
        <v>130000.0</v>
      </c>
      <c r="J33" s="67">
        <f>D33-F33-G33-H33-I33</f>
        <v>720384.5</v>
      </c>
      <c r="K33" s="70">
        <f>SUM(K2:K32)</f>
        <v>31</v>
      </c>
      <c r="L33" s="6"/>
      <c r="M33" s="16"/>
      <c r="N33" s="71">
        <f>SUM(N2:N32)</f>
        <v>1328000</v>
      </c>
      <c r="O33" s="38"/>
      <c r="P33" s="23"/>
      <c r="Q33" s="23"/>
      <c r="R33" s="23"/>
      <c r="S33" s="6"/>
      <c r="T33" s="6"/>
    </row>
    <row r="34">
      <c r="A34" s="6"/>
      <c r="B34" s="72"/>
      <c r="C34" s="23"/>
      <c r="D34" s="23"/>
      <c r="E34" s="6"/>
      <c r="F34" s="6"/>
      <c r="G34" s="73"/>
      <c r="H34" s="6"/>
      <c r="I34" s="6"/>
      <c r="J34" s="6"/>
      <c r="K34" s="6"/>
      <c r="L34" s="6"/>
      <c r="M34" s="23"/>
      <c r="N34" s="23"/>
      <c r="O34" s="38"/>
      <c r="P34" s="23"/>
      <c r="Q34" s="23"/>
      <c r="R34" s="6"/>
      <c r="S34" s="6"/>
      <c r="T34" s="6"/>
    </row>
    <row r="35">
      <c r="A35" s="6"/>
      <c r="B35" s="72"/>
      <c r="C35" s="23"/>
      <c r="D35" s="23"/>
      <c r="E35" s="23"/>
      <c r="F35" s="23"/>
      <c r="G35" s="73"/>
      <c r="H35" s="23"/>
      <c r="I35" s="23"/>
      <c r="J35" s="23"/>
      <c r="K35" s="6"/>
      <c r="L35" s="6"/>
      <c r="M35" s="23"/>
      <c r="N35" s="23"/>
      <c r="O35" s="32">
        <f>O11-O29-O34</f>
        <v>965289.1</v>
      </c>
      <c r="P35" s="6"/>
      <c r="Q35" s="23"/>
      <c r="R35" s="6"/>
      <c r="S35" s="6"/>
      <c r="T35" s="6"/>
    </row>
    <row r="36">
      <c r="A36" s="6"/>
      <c r="B36" s="6"/>
      <c r="C36" s="6"/>
      <c r="D36" s="6"/>
      <c r="E36" s="6"/>
      <c r="F36" s="6"/>
      <c r="G36" s="7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73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 t="s">
        <v>51</v>
      </c>
      <c r="E38" s="6"/>
      <c r="F38" s="6"/>
      <c r="G38" s="73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7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7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73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73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7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63"/>
    <col customWidth="1" min="2" max="2" width="23.88"/>
    <col customWidth="1" min="3" max="3" width="24.38"/>
    <col hidden="1" min="4" max="4" width="12.63"/>
    <col customWidth="1" min="5" max="5" width="16.13"/>
    <col hidden="1" min="6" max="6" width="12.63"/>
    <col customWidth="1" min="7" max="7" width="18.38"/>
    <col hidden="1" min="8" max="8" width="12.63"/>
    <col customWidth="1" min="9" max="9" width="19.13"/>
    <col hidden="1" min="10" max="10" width="12.63"/>
    <col customWidth="1" min="11" max="11" width="18.38"/>
    <col hidden="1" min="12" max="12" width="12.63"/>
    <col customWidth="1" min="13" max="13" width="18.13"/>
    <col hidden="1" min="14" max="14" width="12.63"/>
    <col customWidth="1" min="15" max="15" width="16.63"/>
    <col hidden="1" min="16" max="16" width="12.63"/>
    <col customWidth="1" min="17" max="17" width="19.13"/>
    <col hidden="1" min="18" max="18" width="12.63"/>
    <col customWidth="1" min="19" max="19" width="18.13"/>
    <col hidden="1" min="20" max="20" width="12.63"/>
    <col customWidth="1" min="21" max="21" width="18.63"/>
    <col hidden="1" min="22" max="22" width="12.63"/>
    <col customWidth="1" min="23" max="23" width="19.38"/>
    <col hidden="1" min="24" max="24" width="12.63"/>
    <col customWidth="1" min="25" max="25" width="17.38"/>
    <col hidden="1" min="26" max="26" width="12.63"/>
    <col customWidth="1" min="27" max="27" width="17.88"/>
    <col hidden="1" min="28" max="28" width="12.63"/>
    <col customWidth="1" min="29" max="29" width="18.38"/>
    <col hidden="1" min="30" max="30" width="12.63"/>
    <col customWidth="1" min="31" max="31" width="17.63"/>
    <col hidden="1" min="32" max="32" width="12.63"/>
    <col customWidth="1" min="33" max="33" width="62.38"/>
    <col customWidth="1" min="34" max="34" width="25.88"/>
  </cols>
  <sheetData>
    <row r="1" ht="22.5" customHeight="1">
      <c r="A1" s="74" t="s">
        <v>52</v>
      </c>
      <c r="B1" s="74" t="s">
        <v>0</v>
      </c>
      <c r="C1" s="74" t="s">
        <v>53</v>
      </c>
      <c r="D1" s="74" t="s">
        <v>54</v>
      </c>
      <c r="E1" s="74" t="s">
        <v>55</v>
      </c>
      <c r="F1" s="74" t="s">
        <v>56</v>
      </c>
      <c r="G1" s="74" t="s">
        <v>57</v>
      </c>
      <c r="H1" s="74" t="s">
        <v>58</v>
      </c>
      <c r="I1" s="74" t="s">
        <v>59</v>
      </c>
      <c r="J1" s="74" t="s">
        <v>60</v>
      </c>
      <c r="K1" s="74" t="s">
        <v>61</v>
      </c>
      <c r="L1" s="74" t="s">
        <v>62</v>
      </c>
      <c r="M1" s="74" t="s">
        <v>63</v>
      </c>
      <c r="N1" s="74" t="s">
        <v>64</v>
      </c>
      <c r="O1" s="74" t="s">
        <v>65</v>
      </c>
      <c r="P1" s="74" t="s">
        <v>66</v>
      </c>
      <c r="Q1" s="74" t="s">
        <v>67</v>
      </c>
      <c r="R1" s="74" t="s">
        <v>68</v>
      </c>
      <c r="S1" s="74" t="s">
        <v>69</v>
      </c>
      <c r="T1" s="74" t="s">
        <v>70</v>
      </c>
      <c r="U1" s="74" t="s">
        <v>71</v>
      </c>
      <c r="V1" s="74" t="s">
        <v>72</v>
      </c>
      <c r="W1" s="74" t="s">
        <v>73</v>
      </c>
      <c r="X1" s="74" t="s">
        <v>74</v>
      </c>
      <c r="Y1" s="74" t="s">
        <v>75</v>
      </c>
      <c r="Z1" s="74" t="s">
        <v>76</v>
      </c>
      <c r="AA1" s="74" t="s">
        <v>77</v>
      </c>
      <c r="AB1" s="74" t="s">
        <v>78</v>
      </c>
      <c r="AC1" s="74" t="s">
        <v>79</v>
      </c>
      <c r="AD1" s="74" t="s">
        <v>80</v>
      </c>
      <c r="AE1" s="74" t="s">
        <v>81</v>
      </c>
      <c r="AF1" s="74" t="s">
        <v>82</v>
      </c>
      <c r="AG1" s="74" t="s">
        <v>83</v>
      </c>
      <c r="AH1" s="74" t="s">
        <v>84</v>
      </c>
      <c r="AI1" s="15"/>
      <c r="AJ1" s="6"/>
      <c r="AK1" s="6"/>
    </row>
    <row r="2" ht="22.5" customHeight="1">
      <c r="A2" s="75" t="s">
        <v>12</v>
      </c>
      <c r="B2" s="76">
        <v>45627.0</v>
      </c>
      <c r="C2" s="77">
        <v>0.0</v>
      </c>
      <c r="D2" s="78">
        <f t="shared" ref="D2:D32" si="1">C2*1500</f>
        <v>0</v>
      </c>
      <c r="E2" s="77">
        <v>1.0</v>
      </c>
      <c r="F2" s="78">
        <f t="shared" ref="F2:F32" si="2">E2*1112</f>
        <v>1112</v>
      </c>
      <c r="G2" s="77">
        <v>1.0</v>
      </c>
      <c r="H2" s="78">
        <f t="shared" ref="H2:H32" si="3">G2*1112</f>
        <v>1112</v>
      </c>
      <c r="I2" s="77">
        <v>1.0</v>
      </c>
      <c r="J2" s="78">
        <f t="shared" ref="J2:J32" si="4">I2*1112</f>
        <v>1112</v>
      </c>
      <c r="K2" s="77">
        <v>0.0</v>
      </c>
      <c r="L2" s="78">
        <f t="shared" ref="L2:L32" si="5">K2*1112</f>
        <v>0</v>
      </c>
      <c r="M2" s="77">
        <v>1.0</v>
      </c>
      <c r="N2" s="78">
        <f t="shared" ref="N2:N32" si="6">M2*1112</f>
        <v>1112</v>
      </c>
      <c r="O2" s="77">
        <v>1.0</v>
      </c>
      <c r="P2" s="78">
        <f t="shared" ref="P2:P32" si="7">O2*1112</f>
        <v>1112</v>
      </c>
      <c r="Q2" s="77">
        <v>0.0</v>
      </c>
      <c r="R2" s="78">
        <f t="shared" ref="R2:R32" si="8">Q2*1200</f>
        <v>0</v>
      </c>
      <c r="S2" s="77">
        <v>1.0</v>
      </c>
      <c r="T2" s="78">
        <f t="shared" ref="T2:T32" si="9">S2*1112</f>
        <v>1112</v>
      </c>
      <c r="U2" s="77">
        <v>1.0</v>
      </c>
      <c r="V2" s="78">
        <f t="shared" ref="V2:V32" si="10">U2*1112</f>
        <v>1112</v>
      </c>
      <c r="W2" s="77">
        <v>1.0</v>
      </c>
      <c r="X2" s="78">
        <f t="shared" ref="X2:X32" si="11">W2*1200</f>
        <v>1200</v>
      </c>
      <c r="Y2" s="77">
        <v>1.0</v>
      </c>
      <c r="Z2" s="78">
        <f t="shared" ref="Z2:Z32" si="12">Y2*1112</f>
        <v>1112</v>
      </c>
      <c r="AA2" s="77">
        <v>1.0</v>
      </c>
      <c r="AB2" s="78">
        <f t="shared" ref="AB2:AB32" si="13">AA2*1100</f>
        <v>1100</v>
      </c>
      <c r="AC2" s="77">
        <v>0.0</v>
      </c>
      <c r="AD2" s="79">
        <f t="shared" ref="AD2:AD32" si="14">AC2*1100</f>
        <v>0</v>
      </c>
      <c r="AE2" s="80">
        <v>0.0</v>
      </c>
      <c r="AF2" s="79">
        <f t="shared" ref="AF2:AF32" si="15">AE2*1100</f>
        <v>0</v>
      </c>
      <c r="AG2" s="79"/>
      <c r="AH2" s="81">
        <f t="shared" ref="AH2:AH36" si="16">SUM(AD2,AB2,Z2,X2,V2,T2,R2,P2,N2,L2,J2,H2,F2,D2)</f>
        <v>11196</v>
      </c>
      <c r="AI2" s="82"/>
      <c r="AJ2" s="83"/>
      <c r="AK2" s="6"/>
    </row>
    <row r="3" ht="22.5" customHeight="1">
      <c r="A3" s="75" t="s">
        <v>13</v>
      </c>
      <c r="B3" s="84">
        <v>45628.0</v>
      </c>
      <c r="C3" s="77">
        <v>0.0</v>
      </c>
      <c r="D3" s="78">
        <f t="shared" si="1"/>
        <v>0</v>
      </c>
      <c r="E3" s="77">
        <v>1.0</v>
      </c>
      <c r="F3" s="78">
        <f t="shared" si="2"/>
        <v>1112</v>
      </c>
      <c r="G3" s="77">
        <v>1.0</v>
      </c>
      <c r="H3" s="78">
        <f t="shared" si="3"/>
        <v>1112</v>
      </c>
      <c r="I3" s="77">
        <v>1.0</v>
      </c>
      <c r="J3" s="78">
        <f t="shared" si="4"/>
        <v>1112</v>
      </c>
      <c r="K3" s="77">
        <v>0.0</v>
      </c>
      <c r="L3" s="78">
        <f t="shared" si="5"/>
        <v>0</v>
      </c>
      <c r="M3" s="77">
        <v>0.0</v>
      </c>
      <c r="N3" s="78">
        <f t="shared" si="6"/>
        <v>0</v>
      </c>
      <c r="O3" s="77">
        <v>0.0</v>
      </c>
      <c r="P3" s="78">
        <f t="shared" si="7"/>
        <v>0</v>
      </c>
      <c r="Q3" s="77">
        <v>0.0</v>
      </c>
      <c r="R3" s="78">
        <f t="shared" si="8"/>
        <v>0</v>
      </c>
      <c r="S3" s="77">
        <v>1.0</v>
      </c>
      <c r="T3" s="78">
        <f t="shared" si="9"/>
        <v>1112</v>
      </c>
      <c r="U3" s="77">
        <v>0.0</v>
      </c>
      <c r="V3" s="78">
        <f t="shared" si="10"/>
        <v>0</v>
      </c>
      <c r="W3" s="77">
        <v>0.5</v>
      </c>
      <c r="X3" s="78">
        <f t="shared" si="11"/>
        <v>600</v>
      </c>
      <c r="Y3" s="77">
        <v>1.0</v>
      </c>
      <c r="Z3" s="78">
        <f t="shared" si="12"/>
        <v>1112</v>
      </c>
      <c r="AA3" s="77">
        <v>1.0</v>
      </c>
      <c r="AB3" s="78">
        <f t="shared" si="13"/>
        <v>1100</v>
      </c>
      <c r="AC3" s="77">
        <v>1.0</v>
      </c>
      <c r="AD3" s="79">
        <f t="shared" si="14"/>
        <v>1100</v>
      </c>
      <c r="AE3" s="80">
        <v>1.0</v>
      </c>
      <c r="AF3" s="79">
        <f t="shared" si="15"/>
        <v>1100</v>
      </c>
      <c r="AG3" s="79"/>
      <c r="AH3" s="81">
        <f t="shared" si="16"/>
        <v>8360</v>
      </c>
      <c r="AI3" s="82"/>
      <c r="AJ3" s="83"/>
      <c r="AK3" s="6"/>
    </row>
    <row r="4" ht="22.5" customHeight="1">
      <c r="A4" s="75" t="s">
        <v>18</v>
      </c>
      <c r="B4" s="84">
        <v>45629.0</v>
      </c>
      <c r="C4" s="77">
        <v>0.0</v>
      </c>
      <c r="D4" s="78">
        <f t="shared" si="1"/>
        <v>0</v>
      </c>
      <c r="E4" s="85">
        <v>0.33</v>
      </c>
      <c r="F4" s="78">
        <f t="shared" si="2"/>
        <v>366.96</v>
      </c>
      <c r="G4" s="77">
        <v>1.0</v>
      </c>
      <c r="H4" s="78">
        <f t="shared" si="3"/>
        <v>1112</v>
      </c>
      <c r="I4" s="77">
        <v>1.0</v>
      </c>
      <c r="J4" s="78">
        <f t="shared" si="4"/>
        <v>1112</v>
      </c>
      <c r="K4" s="77">
        <v>1.0</v>
      </c>
      <c r="L4" s="78">
        <f t="shared" si="5"/>
        <v>1112</v>
      </c>
      <c r="M4" s="77">
        <v>1.0</v>
      </c>
      <c r="N4" s="78">
        <f t="shared" si="6"/>
        <v>1112</v>
      </c>
      <c r="O4" s="77">
        <v>1.0</v>
      </c>
      <c r="P4" s="78">
        <f t="shared" si="7"/>
        <v>1112</v>
      </c>
      <c r="Q4" s="77">
        <v>1.0</v>
      </c>
      <c r="R4" s="78">
        <f t="shared" si="8"/>
        <v>1200</v>
      </c>
      <c r="S4" s="77">
        <v>1.0</v>
      </c>
      <c r="T4" s="78">
        <f t="shared" si="9"/>
        <v>1112</v>
      </c>
      <c r="U4" s="77">
        <v>1.0</v>
      </c>
      <c r="V4" s="78">
        <f t="shared" si="10"/>
        <v>1112</v>
      </c>
      <c r="W4" s="85">
        <v>1.0</v>
      </c>
      <c r="X4" s="78">
        <f t="shared" si="11"/>
        <v>1200</v>
      </c>
      <c r="Y4" s="77">
        <v>1.0</v>
      </c>
      <c r="Z4" s="78">
        <f t="shared" si="12"/>
        <v>1112</v>
      </c>
      <c r="AA4" s="77">
        <v>1.0</v>
      </c>
      <c r="AB4" s="78">
        <f t="shared" si="13"/>
        <v>1100</v>
      </c>
      <c r="AC4" s="77">
        <v>1.0</v>
      </c>
      <c r="AD4" s="79">
        <f t="shared" si="14"/>
        <v>1100</v>
      </c>
      <c r="AE4" s="80">
        <v>0.0</v>
      </c>
      <c r="AF4" s="79">
        <f t="shared" si="15"/>
        <v>0</v>
      </c>
      <c r="AG4" s="79"/>
      <c r="AH4" s="81">
        <f t="shared" si="16"/>
        <v>13862.96</v>
      </c>
      <c r="AI4" s="82"/>
      <c r="AJ4" s="83"/>
      <c r="AK4" s="6"/>
    </row>
    <row r="5" ht="22.5" customHeight="1">
      <c r="A5" s="75" t="s">
        <v>19</v>
      </c>
      <c r="B5" s="84">
        <v>45630.0</v>
      </c>
      <c r="C5" s="77">
        <v>0.0</v>
      </c>
      <c r="D5" s="78">
        <f t="shared" si="1"/>
        <v>0</v>
      </c>
      <c r="E5" s="77">
        <v>1.0</v>
      </c>
      <c r="F5" s="78">
        <f t="shared" si="2"/>
        <v>1112</v>
      </c>
      <c r="G5" s="77">
        <v>1.0</v>
      </c>
      <c r="H5" s="78">
        <f t="shared" si="3"/>
        <v>1112</v>
      </c>
      <c r="I5" s="77">
        <v>1.0</v>
      </c>
      <c r="J5" s="78">
        <f t="shared" si="4"/>
        <v>1112</v>
      </c>
      <c r="K5" s="77">
        <v>0.0</v>
      </c>
      <c r="L5" s="78">
        <f t="shared" si="5"/>
        <v>0</v>
      </c>
      <c r="M5" s="77">
        <v>1.0</v>
      </c>
      <c r="N5" s="78">
        <f t="shared" si="6"/>
        <v>1112</v>
      </c>
      <c r="O5" s="77">
        <v>1.0</v>
      </c>
      <c r="P5" s="78">
        <f t="shared" si="7"/>
        <v>1112</v>
      </c>
      <c r="Q5" s="77">
        <v>0.0</v>
      </c>
      <c r="R5" s="78">
        <f t="shared" si="8"/>
        <v>0</v>
      </c>
      <c r="S5" s="77">
        <v>1.0</v>
      </c>
      <c r="T5" s="78">
        <f t="shared" si="9"/>
        <v>1112</v>
      </c>
      <c r="U5" s="77">
        <v>1.0</v>
      </c>
      <c r="V5" s="78">
        <f t="shared" si="10"/>
        <v>1112</v>
      </c>
      <c r="W5" s="77">
        <v>1.0</v>
      </c>
      <c r="X5" s="78">
        <f t="shared" si="11"/>
        <v>1200</v>
      </c>
      <c r="Y5" s="77">
        <v>1.0</v>
      </c>
      <c r="Z5" s="78">
        <f t="shared" si="12"/>
        <v>1112</v>
      </c>
      <c r="AA5" s="77">
        <v>1.0</v>
      </c>
      <c r="AB5" s="78">
        <f t="shared" si="13"/>
        <v>1100</v>
      </c>
      <c r="AC5" s="77">
        <v>0.75</v>
      </c>
      <c r="AD5" s="79">
        <f t="shared" si="14"/>
        <v>825</v>
      </c>
      <c r="AE5" s="80">
        <v>0.0</v>
      </c>
      <c r="AF5" s="79">
        <f t="shared" si="15"/>
        <v>0</v>
      </c>
      <c r="AG5" s="80" t="s">
        <v>85</v>
      </c>
      <c r="AH5" s="81">
        <f t="shared" si="16"/>
        <v>12021</v>
      </c>
      <c r="AI5" s="82"/>
      <c r="AJ5" s="83"/>
      <c r="AK5" s="6"/>
    </row>
    <row r="6" ht="22.5" customHeight="1">
      <c r="A6" s="75" t="s">
        <v>20</v>
      </c>
      <c r="B6" s="84">
        <v>45631.0</v>
      </c>
      <c r="C6" s="77">
        <v>0.0</v>
      </c>
      <c r="D6" s="78">
        <f t="shared" si="1"/>
        <v>0</v>
      </c>
      <c r="E6" s="77">
        <v>1.0</v>
      </c>
      <c r="F6" s="78">
        <f t="shared" si="2"/>
        <v>1112</v>
      </c>
      <c r="G6" s="77">
        <v>1.0</v>
      </c>
      <c r="H6" s="78">
        <f t="shared" si="3"/>
        <v>1112</v>
      </c>
      <c r="I6" s="77">
        <v>1.0</v>
      </c>
      <c r="J6" s="78">
        <f t="shared" si="4"/>
        <v>1112</v>
      </c>
      <c r="K6" s="77">
        <v>0.0</v>
      </c>
      <c r="L6" s="78">
        <f t="shared" si="5"/>
        <v>0</v>
      </c>
      <c r="M6" s="77">
        <v>0.0</v>
      </c>
      <c r="N6" s="78">
        <f t="shared" si="6"/>
        <v>0</v>
      </c>
      <c r="O6" s="77">
        <v>0.0</v>
      </c>
      <c r="P6" s="78">
        <f t="shared" si="7"/>
        <v>0</v>
      </c>
      <c r="Q6" s="77">
        <v>1.0</v>
      </c>
      <c r="R6" s="78">
        <f t="shared" si="8"/>
        <v>1200</v>
      </c>
      <c r="S6" s="77">
        <v>1.0</v>
      </c>
      <c r="T6" s="78">
        <f t="shared" si="9"/>
        <v>1112</v>
      </c>
      <c r="U6" s="77">
        <v>1.0</v>
      </c>
      <c r="V6" s="78">
        <f t="shared" si="10"/>
        <v>1112</v>
      </c>
      <c r="W6" s="77">
        <v>1.0</v>
      </c>
      <c r="X6" s="78">
        <f t="shared" si="11"/>
        <v>1200</v>
      </c>
      <c r="Y6" s="77">
        <v>1.0</v>
      </c>
      <c r="Z6" s="78">
        <f t="shared" si="12"/>
        <v>1112</v>
      </c>
      <c r="AA6" s="77">
        <v>1.0</v>
      </c>
      <c r="AB6" s="78">
        <f t="shared" si="13"/>
        <v>1100</v>
      </c>
      <c r="AC6" s="77">
        <v>1.0</v>
      </c>
      <c r="AD6" s="79">
        <f t="shared" si="14"/>
        <v>1100</v>
      </c>
      <c r="AE6" s="80">
        <v>0.0</v>
      </c>
      <c r="AF6" s="79">
        <f t="shared" si="15"/>
        <v>0</v>
      </c>
      <c r="AG6" s="80" t="s">
        <v>86</v>
      </c>
      <c r="AH6" s="81">
        <f t="shared" si="16"/>
        <v>11272</v>
      </c>
      <c r="AI6" s="82"/>
      <c r="AJ6" s="83"/>
      <c r="AK6" s="6"/>
    </row>
    <row r="7" ht="22.5" customHeight="1">
      <c r="A7" s="86" t="s">
        <v>23</v>
      </c>
      <c r="B7" s="87">
        <v>45632.0</v>
      </c>
      <c r="C7" s="88">
        <v>0.0</v>
      </c>
      <c r="D7" s="89">
        <f t="shared" si="1"/>
        <v>0</v>
      </c>
      <c r="E7" s="88">
        <v>1.0</v>
      </c>
      <c r="F7" s="89">
        <f t="shared" si="2"/>
        <v>1112</v>
      </c>
      <c r="G7" s="88">
        <v>0.0</v>
      </c>
      <c r="H7" s="89">
        <f t="shared" si="3"/>
        <v>0</v>
      </c>
      <c r="I7" s="88">
        <v>0.0</v>
      </c>
      <c r="J7" s="89">
        <f t="shared" si="4"/>
        <v>0</v>
      </c>
      <c r="K7" s="88">
        <v>0.0</v>
      </c>
      <c r="L7" s="89">
        <f t="shared" si="5"/>
        <v>0</v>
      </c>
      <c r="M7" s="88">
        <v>2.0</v>
      </c>
      <c r="N7" s="89">
        <f t="shared" si="6"/>
        <v>2224</v>
      </c>
      <c r="O7" s="88">
        <v>1.0</v>
      </c>
      <c r="P7" s="89">
        <f t="shared" si="7"/>
        <v>1112</v>
      </c>
      <c r="Q7" s="88">
        <v>0.0</v>
      </c>
      <c r="R7" s="89">
        <f t="shared" si="8"/>
        <v>0</v>
      </c>
      <c r="S7" s="88">
        <v>1.0</v>
      </c>
      <c r="T7" s="89">
        <f t="shared" si="9"/>
        <v>1112</v>
      </c>
      <c r="U7" s="88">
        <v>1.0</v>
      </c>
      <c r="V7" s="89">
        <f t="shared" si="10"/>
        <v>1112</v>
      </c>
      <c r="W7" s="88">
        <v>1.0</v>
      </c>
      <c r="X7" s="89">
        <f t="shared" si="11"/>
        <v>1200</v>
      </c>
      <c r="Y7" s="88">
        <v>0.0</v>
      </c>
      <c r="Z7" s="89">
        <f t="shared" si="12"/>
        <v>0</v>
      </c>
      <c r="AA7" s="88">
        <v>0.0</v>
      </c>
      <c r="AB7" s="89">
        <f t="shared" si="13"/>
        <v>0</v>
      </c>
      <c r="AC7" s="88">
        <v>1.0</v>
      </c>
      <c r="AD7" s="90">
        <f t="shared" si="14"/>
        <v>1100</v>
      </c>
      <c r="AE7" s="91">
        <v>0.0</v>
      </c>
      <c r="AF7" s="90">
        <f t="shared" si="15"/>
        <v>0</v>
      </c>
      <c r="AG7" s="91" t="s">
        <v>87</v>
      </c>
      <c r="AH7" s="81">
        <f t="shared" si="16"/>
        <v>8972</v>
      </c>
      <c r="AI7" s="82"/>
      <c r="AJ7" s="83"/>
      <c r="AK7" s="6"/>
    </row>
    <row r="8" ht="22.5" customHeight="1">
      <c r="A8" s="75" t="s">
        <v>24</v>
      </c>
      <c r="B8" s="84">
        <v>45633.0</v>
      </c>
      <c r="C8" s="77">
        <v>0.0</v>
      </c>
      <c r="D8" s="78">
        <f t="shared" si="1"/>
        <v>0</v>
      </c>
      <c r="E8" s="77">
        <v>1.0</v>
      </c>
      <c r="F8" s="78">
        <f t="shared" si="2"/>
        <v>1112</v>
      </c>
      <c r="G8" s="77">
        <v>1.0</v>
      </c>
      <c r="H8" s="78">
        <f t="shared" si="3"/>
        <v>1112</v>
      </c>
      <c r="I8" s="77">
        <v>1.0</v>
      </c>
      <c r="J8" s="78">
        <f t="shared" si="4"/>
        <v>1112</v>
      </c>
      <c r="K8" s="77">
        <v>0.0</v>
      </c>
      <c r="L8" s="78">
        <f t="shared" si="5"/>
        <v>0</v>
      </c>
      <c r="M8" s="77">
        <v>1.0</v>
      </c>
      <c r="N8" s="78">
        <f t="shared" si="6"/>
        <v>1112</v>
      </c>
      <c r="O8" s="77">
        <v>1.0</v>
      </c>
      <c r="P8" s="78">
        <f t="shared" si="7"/>
        <v>1112</v>
      </c>
      <c r="Q8" s="77">
        <v>1.0</v>
      </c>
      <c r="R8" s="78">
        <f t="shared" si="8"/>
        <v>1200</v>
      </c>
      <c r="S8" s="77">
        <v>1.0</v>
      </c>
      <c r="T8" s="78">
        <f t="shared" si="9"/>
        <v>1112</v>
      </c>
      <c r="U8" s="77">
        <v>1.0</v>
      </c>
      <c r="V8" s="78">
        <f t="shared" si="10"/>
        <v>1112</v>
      </c>
      <c r="W8" s="77">
        <v>0.0</v>
      </c>
      <c r="X8" s="78">
        <f t="shared" si="11"/>
        <v>0</v>
      </c>
      <c r="Y8" s="85">
        <v>1.5</v>
      </c>
      <c r="Z8" s="78">
        <f t="shared" si="12"/>
        <v>1668</v>
      </c>
      <c r="AA8" s="77">
        <v>0.0</v>
      </c>
      <c r="AB8" s="78">
        <f t="shared" si="13"/>
        <v>0</v>
      </c>
      <c r="AC8" s="77">
        <v>0.0</v>
      </c>
      <c r="AD8" s="79">
        <f t="shared" si="14"/>
        <v>0</v>
      </c>
      <c r="AE8" s="80">
        <v>1.0</v>
      </c>
      <c r="AF8" s="79">
        <f t="shared" si="15"/>
        <v>1100</v>
      </c>
      <c r="AG8" s="80" t="s">
        <v>88</v>
      </c>
      <c r="AH8" s="81">
        <f t="shared" si="16"/>
        <v>10652</v>
      </c>
      <c r="AI8" s="82"/>
      <c r="AJ8" s="83"/>
      <c r="AK8" s="6"/>
    </row>
    <row r="9" ht="22.5" customHeight="1">
      <c r="A9" s="75" t="s">
        <v>12</v>
      </c>
      <c r="B9" s="84">
        <v>45634.0</v>
      </c>
      <c r="C9" s="77">
        <v>0.0</v>
      </c>
      <c r="D9" s="78">
        <f t="shared" si="1"/>
        <v>0</v>
      </c>
      <c r="E9" s="77">
        <v>1.0</v>
      </c>
      <c r="F9" s="78">
        <f t="shared" si="2"/>
        <v>1112</v>
      </c>
      <c r="G9" s="77">
        <v>1.0</v>
      </c>
      <c r="H9" s="78">
        <f t="shared" si="3"/>
        <v>1112</v>
      </c>
      <c r="I9" s="77">
        <v>1.0</v>
      </c>
      <c r="J9" s="78">
        <f t="shared" si="4"/>
        <v>1112</v>
      </c>
      <c r="K9" s="77">
        <v>1.0</v>
      </c>
      <c r="L9" s="78">
        <f t="shared" si="5"/>
        <v>1112</v>
      </c>
      <c r="M9" s="77">
        <v>1.0</v>
      </c>
      <c r="N9" s="78">
        <f t="shared" si="6"/>
        <v>1112</v>
      </c>
      <c r="O9" s="77">
        <v>0.0</v>
      </c>
      <c r="P9" s="78">
        <f t="shared" si="7"/>
        <v>0</v>
      </c>
      <c r="Q9" s="77">
        <v>0.0</v>
      </c>
      <c r="R9" s="78">
        <f t="shared" si="8"/>
        <v>0</v>
      </c>
      <c r="S9" s="85">
        <v>3.5</v>
      </c>
      <c r="T9" s="78">
        <f t="shared" si="9"/>
        <v>3892</v>
      </c>
      <c r="U9" s="77">
        <v>1.0</v>
      </c>
      <c r="V9" s="78">
        <f t="shared" si="10"/>
        <v>1112</v>
      </c>
      <c r="W9" s="77">
        <v>1.0</v>
      </c>
      <c r="X9" s="78">
        <f t="shared" si="11"/>
        <v>1200</v>
      </c>
      <c r="Y9" s="77">
        <v>1.0</v>
      </c>
      <c r="Z9" s="78">
        <f t="shared" si="12"/>
        <v>1112</v>
      </c>
      <c r="AA9" s="77">
        <v>1.0</v>
      </c>
      <c r="AB9" s="78">
        <f t="shared" si="13"/>
        <v>1100</v>
      </c>
      <c r="AC9" s="77">
        <v>1.0</v>
      </c>
      <c r="AD9" s="79">
        <f t="shared" si="14"/>
        <v>1100</v>
      </c>
      <c r="AE9" s="80">
        <v>0.0</v>
      </c>
      <c r="AF9" s="79">
        <f t="shared" si="15"/>
        <v>0</v>
      </c>
      <c r="AG9" s="79"/>
      <c r="AH9" s="81">
        <f t="shared" si="16"/>
        <v>15076</v>
      </c>
      <c r="AI9" s="82"/>
      <c r="AJ9" s="83"/>
      <c r="AK9" s="6"/>
    </row>
    <row r="10" ht="22.5" customHeight="1">
      <c r="A10" s="75" t="s">
        <v>13</v>
      </c>
      <c r="B10" s="84">
        <v>45635.0</v>
      </c>
      <c r="C10" s="77">
        <v>0.0</v>
      </c>
      <c r="D10" s="78">
        <f t="shared" si="1"/>
        <v>0</v>
      </c>
      <c r="E10" s="77">
        <v>1.0</v>
      </c>
      <c r="F10" s="78">
        <f t="shared" si="2"/>
        <v>1112</v>
      </c>
      <c r="G10" s="77">
        <v>1.0</v>
      </c>
      <c r="H10" s="78">
        <f t="shared" si="3"/>
        <v>1112</v>
      </c>
      <c r="I10" s="85">
        <v>1.0</v>
      </c>
      <c r="J10" s="78">
        <f t="shared" si="4"/>
        <v>1112</v>
      </c>
      <c r="K10" s="77">
        <v>0.0</v>
      </c>
      <c r="L10" s="78">
        <f t="shared" si="5"/>
        <v>0</v>
      </c>
      <c r="M10" s="77">
        <v>0.0</v>
      </c>
      <c r="N10" s="78">
        <f t="shared" si="6"/>
        <v>0</v>
      </c>
      <c r="O10" s="77">
        <v>0.0</v>
      </c>
      <c r="P10" s="78">
        <f t="shared" si="7"/>
        <v>0</v>
      </c>
      <c r="Q10" s="77">
        <v>1.0</v>
      </c>
      <c r="R10" s="78">
        <f t="shared" si="8"/>
        <v>1200</v>
      </c>
      <c r="S10" s="77">
        <v>1.0</v>
      </c>
      <c r="T10" s="78">
        <f t="shared" si="9"/>
        <v>1112</v>
      </c>
      <c r="U10" s="85">
        <v>3.5</v>
      </c>
      <c r="V10" s="78">
        <f t="shared" si="10"/>
        <v>3892</v>
      </c>
      <c r="W10" s="77">
        <v>1.0</v>
      </c>
      <c r="X10" s="78">
        <f t="shared" si="11"/>
        <v>1200</v>
      </c>
      <c r="Y10" s="77">
        <v>1.0</v>
      </c>
      <c r="Z10" s="78">
        <f t="shared" si="12"/>
        <v>1112</v>
      </c>
      <c r="AA10" s="77">
        <v>1.0</v>
      </c>
      <c r="AB10" s="78">
        <f t="shared" si="13"/>
        <v>1100</v>
      </c>
      <c r="AC10" s="77">
        <v>1.0</v>
      </c>
      <c r="AD10" s="79">
        <f t="shared" si="14"/>
        <v>1100</v>
      </c>
      <c r="AE10" s="80">
        <v>1.0</v>
      </c>
      <c r="AF10" s="79">
        <f t="shared" si="15"/>
        <v>1100</v>
      </c>
      <c r="AG10" s="79"/>
      <c r="AH10" s="81">
        <f t="shared" si="16"/>
        <v>14052</v>
      </c>
      <c r="AI10" s="82"/>
      <c r="AJ10" s="83"/>
      <c r="AK10" s="6"/>
    </row>
    <row r="11" ht="22.5" customHeight="1">
      <c r="A11" s="75" t="s">
        <v>18</v>
      </c>
      <c r="B11" s="84">
        <v>45636.0</v>
      </c>
      <c r="C11" s="77">
        <v>0.0</v>
      </c>
      <c r="D11" s="78">
        <f t="shared" si="1"/>
        <v>0</v>
      </c>
      <c r="E11" s="77">
        <v>0.0</v>
      </c>
      <c r="F11" s="78">
        <f t="shared" si="2"/>
        <v>0</v>
      </c>
      <c r="G11" s="77">
        <v>1.0</v>
      </c>
      <c r="H11" s="78">
        <f t="shared" si="3"/>
        <v>1112</v>
      </c>
      <c r="I11" s="77">
        <v>1.0</v>
      </c>
      <c r="J11" s="78">
        <f t="shared" si="4"/>
        <v>1112</v>
      </c>
      <c r="K11" s="77">
        <v>1.0</v>
      </c>
      <c r="L11" s="78">
        <f t="shared" si="5"/>
        <v>1112</v>
      </c>
      <c r="M11" s="77">
        <v>1.0</v>
      </c>
      <c r="N11" s="78">
        <f t="shared" si="6"/>
        <v>1112</v>
      </c>
      <c r="O11" s="77">
        <v>1.0</v>
      </c>
      <c r="P11" s="78">
        <f t="shared" si="7"/>
        <v>1112</v>
      </c>
      <c r="Q11" s="77">
        <v>0.0</v>
      </c>
      <c r="R11" s="78">
        <f t="shared" si="8"/>
        <v>0</v>
      </c>
      <c r="S11" s="77">
        <v>1.0</v>
      </c>
      <c r="T11" s="78">
        <f t="shared" si="9"/>
        <v>1112</v>
      </c>
      <c r="U11" s="77">
        <v>1.0</v>
      </c>
      <c r="V11" s="78">
        <f t="shared" si="10"/>
        <v>1112</v>
      </c>
      <c r="W11" s="77">
        <v>1.0</v>
      </c>
      <c r="X11" s="78">
        <f t="shared" si="11"/>
        <v>1200</v>
      </c>
      <c r="Y11" s="77">
        <v>1.0</v>
      </c>
      <c r="Z11" s="78">
        <f t="shared" si="12"/>
        <v>1112</v>
      </c>
      <c r="AA11" s="77">
        <v>1.0</v>
      </c>
      <c r="AB11" s="78">
        <f t="shared" si="13"/>
        <v>1100</v>
      </c>
      <c r="AC11" s="77">
        <v>0.5</v>
      </c>
      <c r="AD11" s="79">
        <f t="shared" si="14"/>
        <v>550</v>
      </c>
      <c r="AE11" s="80">
        <v>0.0</v>
      </c>
      <c r="AF11" s="79">
        <f t="shared" si="15"/>
        <v>0</v>
      </c>
      <c r="AG11" s="80" t="s">
        <v>89</v>
      </c>
      <c r="AH11" s="81">
        <f t="shared" si="16"/>
        <v>11746</v>
      </c>
      <c r="AI11" s="82"/>
      <c r="AJ11" s="83"/>
      <c r="AK11" s="6"/>
    </row>
    <row r="12" ht="22.5" customHeight="1">
      <c r="A12" s="75" t="s">
        <v>19</v>
      </c>
      <c r="B12" s="84">
        <v>45637.0</v>
      </c>
      <c r="C12" s="77">
        <v>0.0</v>
      </c>
      <c r="D12" s="78">
        <f t="shared" si="1"/>
        <v>0</v>
      </c>
      <c r="E12" s="77">
        <v>0.0</v>
      </c>
      <c r="F12" s="78">
        <f t="shared" si="2"/>
        <v>0</v>
      </c>
      <c r="G12" s="77">
        <v>1.0</v>
      </c>
      <c r="H12" s="78">
        <f t="shared" si="3"/>
        <v>1112</v>
      </c>
      <c r="I12" s="77">
        <v>1.0</v>
      </c>
      <c r="J12" s="78">
        <f t="shared" si="4"/>
        <v>1112</v>
      </c>
      <c r="K12" s="77">
        <v>1.0</v>
      </c>
      <c r="L12" s="78">
        <f t="shared" si="5"/>
        <v>1112</v>
      </c>
      <c r="M12" s="77">
        <v>1.0</v>
      </c>
      <c r="N12" s="78">
        <f t="shared" si="6"/>
        <v>1112</v>
      </c>
      <c r="O12" s="77">
        <v>0.5</v>
      </c>
      <c r="P12" s="78">
        <f t="shared" si="7"/>
        <v>556</v>
      </c>
      <c r="Q12" s="77">
        <v>1.0</v>
      </c>
      <c r="R12" s="78">
        <f t="shared" si="8"/>
        <v>1200</v>
      </c>
      <c r="S12" s="77">
        <v>1.0</v>
      </c>
      <c r="T12" s="78">
        <f t="shared" si="9"/>
        <v>1112</v>
      </c>
      <c r="U12" s="77">
        <v>1.0</v>
      </c>
      <c r="V12" s="78">
        <f t="shared" si="10"/>
        <v>1112</v>
      </c>
      <c r="W12" s="77">
        <v>0.0</v>
      </c>
      <c r="X12" s="78">
        <f t="shared" si="11"/>
        <v>0</v>
      </c>
      <c r="Y12" s="77">
        <v>1.0</v>
      </c>
      <c r="Z12" s="78">
        <f t="shared" si="12"/>
        <v>1112</v>
      </c>
      <c r="AA12" s="77">
        <v>1.0</v>
      </c>
      <c r="AB12" s="78">
        <f t="shared" si="13"/>
        <v>1100</v>
      </c>
      <c r="AC12" s="77">
        <v>1.0</v>
      </c>
      <c r="AD12" s="79">
        <f t="shared" si="14"/>
        <v>1100</v>
      </c>
      <c r="AE12" s="80">
        <v>0.0</v>
      </c>
      <c r="AF12" s="79">
        <f t="shared" si="15"/>
        <v>0</v>
      </c>
      <c r="AG12" s="79"/>
      <c r="AH12" s="81">
        <f t="shared" si="16"/>
        <v>11740</v>
      </c>
      <c r="AI12" s="82"/>
      <c r="AJ12" s="83"/>
      <c r="AK12" s="6"/>
    </row>
    <row r="13" ht="22.5" customHeight="1">
      <c r="A13" s="75" t="s">
        <v>20</v>
      </c>
      <c r="B13" s="84">
        <v>45638.0</v>
      </c>
      <c r="C13" s="77">
        <v>0.0</v>
      </c>
      <c r="D13" s="78">
        <f t="shared" si="1"/>
        <v>0</v>
      </c>
      <c r="E13" s="77">
        <v>1.0</v>
      </c>
      <c r="F13" s="78">
        <f t="shared" si="2"/>
        <v>1112</v>
      </c>
      <c r="G13" s="77">
        <v>0.0</v>
      </c>
      <c r="H13" s="78">
        <f t="shared" si="3"/>
        <v>0</v>
      </c>
      <c r="I13" s="77">
        <v>1.0</v>
      </c>
      <c r="J13" s="78">
        <f t="shared" si="4"/>
        <v>1112</v>
      </c>
      <c r="K13" s="77">
        <v>1.0</v>
      </c>
      <c r="L13" s="78">
        <f t="shared" si="5"/>
        <v>1112</v>
      </c>
      <c r="M13" s="77">
        <v>0.0</v>
      </c>
      <c r="N13" s="78">
        <f t="shared" si="6"/>
        <v>0</v>
      </c>
      <c r="O13" s="77">
        <v>0.0</v>
      </c>
      <c r="P13" s="78">
        <f t="shared" si="7"/>
        <v>0</v>
      </c>
      <c r="Q13" s="77">
        <v>0.0</v>
      </c>
      <c r="R13" s="78">
        <f t="shared" si="8"/>
        <v>0</v>
      </c>
      <c r="S13" s="77">
        <v>1.0</v>
      </c>
      <c r="T13" s="78">
        <f t="shared" si="9"/>
        <v>1112</v>
      </c>
      <c r="U13" s="77">
        <v>1.0</v>
      </c>
      <c r="V13" s="78">
        <f t="shared" si="10"/>
        <v>1112</v>
      </c>
      <c r="W13" s="77">
        <v>1.0</v>
      </c>
      <c r="X13" s="78">
        <f t="shared" si="11"/>
        <v>1200</v>
      </c>
      <c r="Y13" s="77">
        <v>1.0</v>
      </c>
      <c r="Z13" s="78">
        <f t="shared" si="12"/>
        <v>1112</v>
      </c>
      <c r="AA13" s="77">
        <v>0.5</v>
      </c>
      <c r="AB13" s="78">
        <f t="shared" si="13"/>
        <v>550</v>
      </c>
      <c r="AC13" s="77">
        <v>1.0</v>
      </c>
      <c r="AD13" s="79">
        <f t="shared" si="14"/>
        <v>1100</v>
      </c>
      <c r="AE13" s="80">
        <v>0.0</v>
      </c>
      <c r="AF13" s="79">
        <f t="shared" si="15"/>
        <v>0</v>
      </c>
      <c r="AG13" s="80" t="s">
        <v>90</v>
      </c>
      <c r="AH13" s="81">
        <f t="shared" si="16"/>
        <v>9522</v>
      </c>
      <c r="AI13" s="82"/>
      <c r="AJ13" s="83"/>
      <c r="AK13" s="6"/>
    </row>
    <row r="14" ht="22.5" customHeight="1">
      <c r="A14" s="86" t="s">
        <v>23</v>
      </c>
      <c r="B14" s="87">
        <v>45639.0</v>
      </c>
      <c r="C14" s="88">
        <v>0.0</v>
      </c>
      <c r="D14" s="89">
        <f t="shared" si="1"/>
        <v>0</v>
      </c>
      <c r="E14" s="88">
        <v>1.0</v>
      </c>
      <c r="F14" s="89">
        <f t="shared" si="2"/>
        <v>1112</v>
      </c>
      <c r="G14" s="88">
        <v>0.0</v>
      </c>
      <c r="H14" s="89">
        <f t="shared" si="3"/>
        <v>0</v>
      </c>
      <c r="I14" s="88">
        <v>0.0</v>
      </c>
      <c r="J14" s="89">
        <f t="shared" si="4"/>
        <v>0</v>
      </c>
      <c r="K14" s="88">
        <v>1.0</v>
      </c>
      <c r="L14" s="89">
        <f t="shared" si="5"/>
        <v>1112</v>
      </c>
      <c r="M14" s="88">
        <v>1.0</v>
      </c>
      <c r="N14" s="89">
        <f t="shared" si="6"/>
        <v>1112</v>
      </c>
      <c r="O14" s="88">
        <v>0.0</v>
      </c>
      <c r="P14" s="89">
        <f t="shared" si="7"/>
        <v>0</v>
      </c>
      <c r="Q14" s="88">
        <v>1.0</v>
      </c>
      <c r="R14" s="89">
        <f t="shared" si="8"/>
        <v>1200</v>
      </c>
      <c r="S14" s="88">
        <v>0.0</v>
      </c>
      <c r="T14" s="89">
        <f t="shared" si="9"/>
        <v>0</v>
      </c>
      <c r="U14" s="88">
        <v>0.0</v>
      </c>
      <c r="V14" s="89">
        <f t="shared" si="10"/>
        <v>0</v>
      </c>
      <c r="W14" s="88">
        <v>1.0</v>
      </c>
      <c r="X14" s="89">
        <f t="shared" si="11"/>
        <v>1200</v>
      </c>
      <c r="Y14" s="88">
        <v>0.0</v>
      </c>
      <c r="Z14" s="89">
        <f t="shared" si="12"/>
        <v>0</v>
      </c>
      <c r="AA14" s="88">
        <v>0.0</v>
      </c>
      <c r="AB14" s="89">
        <f t="shared" si="13"/>
        <v>0</v>
      </c>
      <c r="AC14" s="88">
        <v>1.0</v>
      </c>
      <c r="AD14" s="90">
        <f t="shared" si="14"/>
        <v>1100</v>
      </c>
      <c r="AE14" s="91">
        <v>0.0</v>
      </c>
      <c r="AF14" s="90">
        <f t="shared" si="15"/>
        <v>0</v>
      </c>
      <c r="AG14" s="91" t="s">
        <v>91</v>
      </c>
      <c r="AH14" s="81">
        <f t="shared" si="16"/>
        <v>6836</v>
      </c>
      <c r="AI14" s="82"/>
      <c r="AJ14" s="83"/>
      <c r="AK14" s="6"/>
    </row>
    <row r="15" ht="22.5" customHeight="1">
      <c r="A15" s="75" t="s">
        <v>24</v>
      </c>
      <c r="B15" s="84">
        <v>45640.0</v>
      </c>
      <c r="C15" s="77">
        <v>0.0</v>
      </c>
      <c r="D15" s="78">
        <f t="shared" si="1"/>
        <v>0</v>
      </c>
      <c r="E15" s="77">
        <v>1.0</v>
      </c>
      <c r="F15" s="78">
        <f t="shared" si="2"/>
        <v>1112</v>
      </c>
      <c r="G15" s="77">
        <v>1.0</v>
      </c>
      <c r="H15" s="78">
        <f t="shared" si="3"/>
        <v>1112</v>
      </c>
      <c r="I15" s="77">
        <v>1.0</v>
      </c>
      <c r="J15" s="78">
        <f t="shared" si="4"/>
        <v>1112</v>
      </c>
      <c r="K15" s="77">
        <v>0.0</v>
      </c>
      <c r="L15" s="78">
        <f t="shared" si="5"/>
        <v>0</v>
      </c>
      <c r="M15" s="77">
        <v>1.0</v>
      </c>
      <c r="N15" s="78">
        <f t="shared" si="6"/>
        <v>1112</v>
      </c>
      <c r="O15" s="77">
        <v>0.0</v>
      </c>
      <c r="P15" s="78">
        <f t="shared" si="7"/>
        <v>0</v>
      </c>
      <c r="Q15" s="77">
        <v>0.0</v>
      </c>
      <c r="R15" s="78">
        <f t="shared" si="8"/>
        <v>0</v>
      </c>
      <c r="S15" s="77">
        <v>1.0</v>
      </c>
      <c r="T15" s="78">
        <f t="shared" si="9"/>
        <v>1112</v>
      </c>
      <c r="U15" s="77">
        <v>1.0</v>
      </c>
      <c r="V15" s="78">
        <f t="shared" si="10"/>
        <v>1112</v>
      </c>
      <c r="W15" s="77">
        <v>1.0</v>
      </c>
      <c r="X15" s="78">
        <f t="shared" si="11"/>
        <v>1200</v>
      </c>
      <c r="Y15" s="77">
        <v>1.0</v>
      </c>
      <c r="Z15" s="78">
        <f t="shared" si="12"/>
        <v>1112</v>
      </c>
      <c r="AA15" s="77">
        <v>0.0</v>
      </c>
      <c r="AB15" s="78">
        <f t="shared" si="13"/>
        <v>0</v>
      </c>
      <c r="AC15" s="77">
        <v>1.0</v>
      </c>
      <c r="AD15" s="79">
        <f t="shared" si="14"/>
        <v>1100</v>
      </c>
      <c r="AE15" s="80">
        <v>0.0</v>
      </c>
      <c r="AF15" s="79">
        <f t="shared" si="15"/>
        <v>0</v>
      </c>
      <c r="AG15" s="79"/>
      <c r="AH15" s="81">
        <f t="shared" si="16"/>
        <v>10084</v>
      </c>
      <c r="AI15" s="82"/>
      <c r="AJ15" s="83"/>
      <c r="AK15" s="6"/>
    </row>
    <row r="16" ht="22.5" customHeight="1">
      <c r="A16" s="75" t="s">
        <v>12</v>
      </c>
      <c r="B16" s="84">
        <v>45641.0</v>
      </c>
      <c r="C16" s="77">
        <v>0.0</v>
      </c>
      <c r="D16" s="78">
        <f t="shared" si="1"/>
        <v>0</v>
      </c>
      <c r="E16" s="77">
        <v>1.0</v>
      </c>
      <c r="F16" s="78">
        <f t="shared" si="2"/>
        <v>1112</v>
      </c>
      <c r="G16" s="77">
        <v>1.0</v>
      </c>
      <c r="H16" s="78">
        <f t="shared" si="3"/>
        <v>1112</v>
      </c>
      <c r="I16" s="77">
        <v>1.0</v>
      </c>
      <c r="J16" s="78">
        <f t="shared" si="4"/>
        <v>1112</v>
      </c>
      <c r="K16" s="77">
        <v>0.0</v>
      </c>
      <c r="L16" s="78">
        <f t="shared" si="5"/>
        <v>0</v>
      </c>
      <c r="M16" s="77">
        <v>0.0</v>
      </c>
      <c r="N16" s="78">
        <f t="shared" si="6"/>
        <v>0</v>
      </c>
      <c r="O16" s="77">
        <v>0.0</v>
      </c>
      <c r="P16" s="78">
        <f t="shared" si="7"/>
        <v>0</v>
      </c>
      <c r="Q16" s="77">
        <v>1.0</v>
      </c>
      <c r="R16" s="78">
        <f t="shared" si="8"/>
        <v>1200</v>
      </c>
      <c r="S16" s="77">
        <v>1.0</v>
      </c>
      <c r="T16" s="78">
        <f t="shared" si="9"/>
        <v>1112</v>
      </c>
      <c r="U16" s="77">
        <v>1.0</v>
      </c>
      <c r="V16" s="78">
        <f t="shared" si="10"/>
        <v>1112</v>
      </c>
      <c r="W16" s="77">
        <v>1.0</v>
      </c>
      <c r="X16" s="78">
        <f t="shared" si="11"/>
        <v>1200</v>
      </c>
      <c r="Y16" s="77">
        <v>1.0</v>
      </c>
      <c r="Z16" s="78">
        <f t="shared" si="12"/>
        <v>1112</v>
      </c>
      <c r="AA16" s="77">
        <v>1.0</v>
      </c>
      <c r="AB16" s="78">
        <f t="shared" si="13"/>
        <v>1100</v>
      </c>
      <c r="AC16" s="77">
        <v>0.0</v>
      </c>
      <c r="AD16" s="79">
        <f t="shared" si="14"/>
        <v>0</v>
      </c>
      <c r="AE16" s="80">
        <v>0.0</v>
      </c>
      <c r="AF16" s="79">
        <f t="shared" si="15"/>
        <v>0</v>
      </c>
      <c r="AG16" s="79"/>
      <c r="AH16" s="81">
        <f t="shared" si="16"/>
        <v>10172</v>
      </c>
      <c r="AI16" s="82"/>
      <c r="AJ16" s="83"/>
      <c r="AK16" s="6"/>
    </row>
    <row r="17" ht="22.5" customHeight="1">
      <c r="A17" s="75" t="s">
        <v>13</v>
      </c>
      <c r="B17" s="84">
        <v>45642.0</v>
      </c>
      <c r="C17" s="77">
        <v>0.0</v>
      </c>
      <c r="D17" s="78">
        <f t="shared" si="1"/>
        <v>0</v>
      </c>
      <c r="E17" s="77">
        <v>1.0</v>
      </c>
      <c r="F17" s="78">
        <f t="shared" si="2"/>
        <v>1112</v>
      </c>
      <c r="G17" s="77">
        <v>0.0</v>
      </c>
      <c r="H17" s="78">
        <f t="shared" si="3"/>
        <v>0</v>
      </c>
      <c r="I17" s="77">
        <v>1.0</v>
      </c>
      <c r="J17" s="78">
        <f t="shared" si="4"/>
        <v>1112</v>
      </c>
      <c r="K17" s="77">
        <v>0.0</v>
      </c>
      <c r="L17" s="78">
        <f t="shared" si="5"/>
        <v>0</v>
      </c>
      <c r="M17" s="92">
        <v>2.0</v>
      </c>
      <c r="N17" s="78">
        <f t="shared" si="6"/>
        <v>2224</v>
      </c>
      <c r="O17" s="77">
        <v>0.0</v>
      </c>
      <c r="P17" s="78">
        <f t="shared" si="7"/>
        <v>0</v>
      </c>
      <c r="Q17" s="77">
        <v>0.0</v>
      </c>
      <c r="R17" s="78">
        <f t="shared" si="8"/>
        <v>0</v>
      </c>
      <c r="S17" s="77">
        <v>1.0</v>
      </c>
      <c r="T17" s="78">
        <f t="shared" si="9"/>
        <v>1112</v>
      </c>
      <c r="U17" s="77">
        <v>1.0</v>
      </c>
      <c r="V17" s="78">
        <f t="shared" si="10"/>
        <v>1112</v>
      </c>
      <c r="W17" s="77">
        <v>1.0</v>
      </c>
      <c r="X17" s="78">
        <f t="shared" si="11"/>
        <v>1200</v>
      </c>
      <c r="Y17" s="77">
        <v>1.0</v>
      </c>
      <c r="Z17" s="78">
        <f t="shared" si="12"/>
        <v>1112</v>
      </c>
      <c r="AA17" s="77">
        <v>1.0</v>
      </c>
      <c r="AB17" s="78">
        <f t="shared" si="13"/>
        <v>1100</v>
      </c>
      <c r="AC17" s="77">
        <v>1.0</v>
      </c>
      <c r="AD17" s="79">
        <f t="shared" si="14"/>
        <v>1100</v>
      </c>
      <c r="AE17" s="80">
        <v>0.0</v>
      </c>
      <c r="AF17" s="79">
        <f t="shared" si="15"/>
        <v>0</v>
      </c>
      <c r="AG17" s="79"/>
      <c r="AH17" s="81">
        <f t="shared" si="16"/>
        <v>11184</v>
      </c>
      <c r="AI17" s="82"/>
      <c r="AJ17" s="83"/>
      <c r="AK17" s="6"/>
    </row>
    <row r="18" ht="22.5" customHeight="1">
      <c r="A18" s="75" t="s">
        <v>18</v>
      </c>
      <c r="B18" s="84">
        <v>45643.0</v>
      </c>
      <c r="C18" s="77">
        <v>0.0</v>
      </c>
      <c r="D18" s="78">
        <f t="shared" si="1"/>
        <v>0</v>
      </c>
      <c r="E18" s="77">
        <v>0.0</v>
      </c>
      <c r="F18" s="78">
        <f t="shared" si="2"/>
        <v>0</v>
      </c>
      <c r="G18" s="77">
        <v>1.0</v>
      </c>
      <c r="H18" s="78">
        <f t="shared" si="3"/>
        <v>1112</v>
      </c>
      <c r="I18" s="77">
        <v>1.0</v>
      </c>
      <c r="J18" s="78">
        <f t="shared" si="4"/>
        <v>1112</v>
      </c>
      <c r="K18" s="77">
        <v>1.0</v>
      </c>
      <c r="L18" s="78">
        <f t="shared" si="5"/>
        <v>1112</v>
      </c>
      <c r="M18" s="77">
        <v>1.0</v>
      </c>
      <c r="N18" s="78">
        <f t="shared" si="6"/>
        <v>1112</v>
      </c>
      <c r="O18" s="77">
        <v>0.0</v>
      </c>
      <c r="P18" s="78">
        <f t="shared" si="7"/>
        <v>0</v>
      </c>
      <c r="Q18" s="77">
        <v>1.0</v>
      </c>
      <c r="R18" s="78">
        <f t="shared" si="8"/>
        <v>1200</v>
      </c>
      <c r="S18" s="77">
        <v>1.0</v>
      </c>
      <c r="T18" s="78">
        <f t="shared" si="9"/>
        <v>1112</v>
      </c>
      <c r="U18" s="77">
        <v>1.0</v>
      </c>
      <c r="V18" s="78">
        <f t="shared" si="10"/>
        <v>1112</v>
      </c>
      <c r="W18" s="77">
        <v>1.0</v>
      </c>
      <c r="X18" s="78">
        <f t="shared" si="11"/>
        <v>1200</v>
      </c>
      <c r="Y18" s="77">
        <v>1.0</v>
      </c>
      <c r="Z18" s="78">
        <f t="shared" si="12"/>
        <v>1112</v>
      </c>
      <c r="AA18" s="77">
        <v>1.0</v>
      </c>
      <c r="AB18" s="78">
        <f t="shared" si="13"/>
        <v>1100</v>
      </c>
      <c r="AC18" s="77">
        <v>1.0</v>
      </c>
      <c r="AD18" s="79">
        <f t="shared" si="14"/>
        <v>1100</v>
      </c>
      <c r="AE18" s="80">
        <v>0.0</v>
      </c>
      <c r="AF18" s="79">
        <f t="shared" si="15"/>
        <v>0</v>
      </c>
      <c r="AG18" s="79"/>
      <c r="AH18" s="81">
        <f t="shared" si="16"/>
        <v>12384</v>
      </c>
      <c r="AI18" s="82"/>
      <c r="AJ18" s="83"/>
      <c r="AK18" s="6"/>
    </row>
    <row r="19" ht="22.5" customHeight="1">
      <c r="A19" s="75" t="s">
        <v>19</v>
      </c>
      <c r="B19" s="84">
        <v>45644.0</v>
      </c>
      <c r="C19" s="77">
        <v>0.0</v>
      </c>
      <c r="D19" s="78">
        <f t="shared" si="1"/>
        <v>0</v>
      </c>
      <c r="E19" s="77">
        <v>1.0</v>
      </c>
      <c r="F19" s="78">
        <f t="shared" si="2"/>
        <v>1112</v>
      </c>
      <c r="G19" s="77">
        <v>1.0</v>
      </c>
      <c r="H19" s="78">
        <f t="shared" si="3"/>
        <v>1112</v>
      </c>
      <c r="I19" s="77">
        <v>1.0</v>
      </c>
      <c r="J19" s="78">
        <f t="shared" si="4"/>
        <v>1112</v>
      </c>
      <c r="K19" s="77">
        <v>0.0</v>
      </c>
      <c r="L19" s="78">
        <f t="shared" si="5"/>
        <v>0</v>
      </c>
      <c r="M19" s="77">
        <v>1.0</v>
      </c>
      <c r="N19" s="78">
        <f t="shared" si="6"/>
        <v>1112</v>
      </c>
      <c r="O19" s="77">
        <v>1.0</v>
      </c>
      <c r="P19" s="78">
        <f t="shared" si="7"/>
        <v>1112</v>
      </c>
      <c r="Q19" s="77">
        <v>0.0</v>
      </c>
      <c r="R19" s="78">
        <f t="shared" si="8"/>
        <v>0</v>
      </c>
      <c r="S19" s="77">
        <v>1.0</v>
      </c>
      <c r="T19" s="78">
        <f t="shared" si="9"/>
        <v>1112</v>
      </c>
      <c r="U19" s="77">
        <v>1.0</v>
      </c>
      <c r="V19" s="78">
        <f t="shared" si="10"/>
        <v>1112</v>
      </c>
      <c r="W19" s="77">
        <v>1.0</v>
      </c>
      <c r="X19" s="78">
        <f t="shared" si="11"/>
        <v>1200</v>
      </c>
      <c r="Y19" s="77">
        <v>1.0</v>
      </c>
      <c r="Z19" s="78">
        <f t="shared" si="12"/>
        <v>1112</v>
      </c>
      <c r="AA19" s="77">
        <v>1.0</v>
      </c>
      <c r="AB19" s="78">
        <f t="shared" si="13"/>
        <v>1100</v>
      </c>
      <c r="AC19" s="77">
        <v>1.0</v>
      </c>
      <c r="AD19" s="79">
        <f t="shared" si="14"/>
        <v>1100</v>
      </c>
      <c r="AE19" s="80">
        <v>0.0</v>
      </c>
      <c r="AF19" s="79">
        <f t="shared" si="15"/>
        <v>0</v>
      </c>
      <c r="AG19" s="79"/>
      <c r="AH19" s="81">
        <f t="shared" si="16"/>
        <v>12296</v>
      </c>
      <c r="AI19" s="82"/>
      <c r="AJ19" s="83"/>
      <c r="AK19" s="6"/>
    </row>
    <row r="20" ht="22.5" customHeight="1">
      <c r="A20" s="75" t="s">
        <v>20</v>
      </c>
      <c r="B20" s="84">
        <v>45645.0</v>
      </c>
      <c r="C20" s="77">
        <v>0.0</v>
      </c>
      <c r="D20" s="78">
        <f t="shared" si="1"/>
        <v>0</v>
      </c>
      <c r="E20" s="77">
        <v>1.0</v>
      </c>
      <c r="F20" s="78">
        <f t="shared" si="2"/>
        <v>1112</v>
      </c>
      <c r="G20" s="77">
        <v>1.0</v>
      </c>
      <c r="H20" s="78">
        <f t="shared" si="3"/>
        <v>1112</v>
      </c>
      <c r="I20" s="77">
        <v>1.0</v>
      </c>
      <c r="J20" s="78">
        <f t="shared" si="4"/>
        <v>1112</v>
      </c>
      <c r="K20" s="77">
        <v>0.0</v>
      </c>
      <c r="L20" s="78">
        <f t="shared" si="5"/>
        <v>0</v>
      </c>
      <c r="M20" s="77">
        <v>1.0</v>
      </c>
      <c r="N20" s="78">
        <f t="shared" si="6"/>
        <v>1112</v>
      </c>
      <c r="O20" s="77">
        <v>0.0</v>
      </c>
      <c r="P20" s="78">
        <f t="shared" si="7"/>
        <v>0</v>
      </c>
      <c r="Q20" s="77">
        <v>0.0</v>
      </c>
      <c r="R20" s="78">
        <f t="shared" si="8"/>
        <v>0</v>
      </c>
      <c r="S20" s="77">
        <v>1.0</v>
      </c>
      <c r="T20" s="78">
        <f t="shared" si="9"/>
        <v>1112</v>
      </c>
      <c r="U20" s="77">
        <v>1.0</v>
      </c>
      <c r="V20" s="78">
        <f t="shared" si="10"/>
        <v>1112</v>
      </c>
      <c r="W20" s="77">
        <v>0.0</v>
      </c>
      <c r="X20" s="78">
        <f t="shared" si="11"/>
        <v>0</v>
      </c>
      <c r="Y20" s="77">
        <v>1.0</v>
      </c>
      <c r="Z20" s="78">
        <f t="shared" si="12"/>
        <v>1112</v>
      </c>
      <c r="AA20" s="77">
        <v>1.0</v>
      </c>
      <c r="AB20" s="78">
        <f t="shared" si="13"/>
        <v>1100</v>
      </c>
      <c r="AC20" s="77">
        <v>1.0</v>
      </c>
      <c r="AD20" s="79">
        <f t="shared" si="14"/>
        <v>1100</v>
      </c>
      <c r="AE20" s="80">
        <v>0.0</v>
      </c>
      <c r="AF20" s="79">
        <f t="shared" si="15"/>
        <v>0</v>
      </c>
      <c r="AG20" s="79"/>
      <c r="AH20" s="81">
        <f t="shared" si="16"/>
        <v>9984</v>
      </c>
      <c r="AI20" s="82"/>
      <c r="AJ20" s="83"/>
      <c r="AK20" s="6"/>
    </row>
    <row r="21" ht="22.5" customHeight="1">
      <c r="A21" s="86" t="s">
        <v>23</v>
      </c>
      <c r="B21" s="87">
        <v>45646.0</v>
      </c>
      <c r="C21" s="88">
        <v>0.0</v>
      </c>
      <c r="D21" s="89">
        <f t="shared" si="1"/>
        <v>0</v>
      </c>
      <c r="E21" s="88">
        <v>1.0</v>
      </c>
      <c r="F21" s="89">
        <f t="shared" si="2"/>
        <v>1112</v>
      </c>
      <c r="G21" s="88">
        <v>0.0</v>
      </c>
      <c r="H21" s="89">
        <f t="shared" si="3"/>
        <v>0</v>
      </c>
      <c r="I21" s="88">
        <v>0.0</v>
      </c>
      <c r="J21" s="89">
        <f t="shared" si="4"/>
        <v>0</v>
      </c>
      <c r="K21" s="88">
        <v>0.0</v>
      </c>
      <c r="L21" s="89">
        <f t="shared" si="5"/>
        <v>0</v>
      </c>
      <c r="M21" s="88">
        <v>1.0</v>
      </c>
      <c r="N21" s="89">
        <f t="shared" si="6"/>
        <v>1112</v>
      </c>
      <c r="O21" s="88">
        <v>0.0</v>
      </c>
      <c r="P21" s="89">
        <f t="shared" si="7"/>
        <v>0</v>
      </c>
      <c r="Q21" s="88">
        <v>0.0</v>
      </c>
      <c r="R21" s="89">
        <f t="shared" si="8"/>
        <v>0</v>
      </c>
      <c r="S21" s="88">
        <v>1.0</v>
      </c>
      <c r="T21" s="89">
        <f t="shared" si="9"/>
        <v>1112</v>
      </c>
      <c r="U21" s="88">
        <v>1.0</v>
      </c>
      <c r="V21" s="89">
        <f t="shared" si="10"/>
        <v>1112</v>
      </c>
      <c r="W21" s="88">
        <v>0.0</v>
      </c>
      <c r="X21" s="89">
        <f t="shared" si="11"/>
        <v>0</v>
      </c>
      <c r="Y21" s="88">
        <v>0.0</v>
      </c>
      <c r="Z21" s="89">
        <f t="shared" si="12"/>
        <v>0</v>
      </c>
      <c r="AA21" s="88">
        <v>1.0</v>
      </c>
      <c r="AB21" s="89">
        <f t="shared" si="13"/>
        <v>1100</v>
      </c>
      <c r="AC21" s="88">
        <v>1.0</v>
      </c>
      <c r="AD21" s="90">
        <f t="shared" si="14"/>
        <v>1100</v>
      </c>
      <c r="AE21" s="91">
        <v>0.0</v>
      </c>
      <c r="AF21" s="90">
        <f t="shared" si="15"/>
        <v>0</v>
      </c>
      <c r="AG21" s="90"/>
      <c r="AH21" s="81">
        <f t="shared" si="16"/>
        <v>6648</v>
      </c>
      <c r="AI21" s="82"/>
      <c r="AJ21" s="83"/>
      <c r="AK21" s="6"/>
    </row>
    <row r="22" ht="22.5" customHeight="1">
      <c r="A22" s="75" t="s">
        <v>24</v>
      </c>
      <c r="B22" s="84">
        <v>45647.0</v>
      </c>
      <c r="C22" s="77">
        <v>0.0</v>
      </c>
      <c r="D22" s="78">
        <f t="shared" si="1"/>
        <v>0</v>
      </c>
      <c r="E22" s="77">
        <v>0.5</v>
      </c>
      <c r="F22" s="78">
        <f t="shared" si="2"/>
        <v>556</v>
      </c>
      <c r="G22" s="77">
        <v>1.0</v>
      </c>
      <c r="H22" s="78">
        <f t="shared" si="3"/>
        <v>1112</v>
      </c>
      <c r="I22" s="77">
        <v>1.0</v>
      </c>
      <c r="J22" s="78">
        <f t="shared" si="4"/>
        <v>1112</v>
      </c>
      <c r="K22" s="77">
        <v>0.0</v>
      </c>
      <c r="L22" s="78">
        <f t="shared" si="5"/>
        <v>0</v>
      </c>
      <c r="M22" s="77">
        <v>1.0</v>
      </c>
      <c r="N22" s="78">
        <f t="shared" si="6"/>
        <v>1112</v>
      </c>
      <c r="O22" s="77">
        <v>0.0</v>
      </c>
      <c r="P22" s="78">
        <f t="shared" si="7"/>
        <v>0</v>
      </c>
      <c r="Q22" s="77">
        <v>0.0</v>
      </c>
      <c r="R22" s="78">
        <f t="shared" si="8"/>
        <v>0</v>
      </c>
      <c r="S22" s="77">
        <v>1.0</v>
      </c>
      <c r="T22" s="78">
        <f t="shared" si="9"/>
        <v>1112</v>
      </c>
      <c r="U22" s="77">
        <v>1.0</v>
      </c>
      <c r="V22" s="78">
        <f t="shared" si="10"/>
        <v>1112</v>
      </c>
      <c r="W22" s="77">
        <v>1.0</v>
      </c>
      <c r="X22" s="78">
        <f t="shared" si="11"/>
        <v>1200</v>
      </c>
      <c r="Y22" s="77">
        <v>1.0</v>
      </c>
      <c r="Z22" s="78">
        <f t="shared" si="12"/>
        <v>1112</v>
      </c>
      <c r="AA22" s="85">
        <v>0.4</v>
      </c>
      <c r="AB22" s="78">
        <f t="shared" si="13"/>
        <v>440</v>
      </c>
      <c r="AC22" s="77">
        <v>0.0</v>
      </c>
      <c r="AD22" s="79">
        <f t="shared" si="14"/>
        <v>0</v>
      </c>
      <c r="AE22" s="80">
        <v>1.0</v>
      </c>
      <c r="AF22" s="79">
        <f t="shared" si="15"/>
        <v>1100</v>
      </c>
      <c r="AG22" s="80" t="s">
        <v>92</v>
      </c>
      <c r="AH22" s="81">
        <f t="shared" si="16"/>
        <v>8868</v>
      </c>
      <c r="AI22" s="82"/>
      <c r="AJ22" s="83"/>
      <c r="AK22" s="6"/>
    </row>
    <row r="23" ht="22.5" customHeight="1">
      <c r="A23" s="75" t="s">
        <v>12</v>
      </c>
      <c r="B23" s="84">
        <v>45648.0</v>
      </c>
      <c r="C23" s="77">
        <v>0.0</v>
      </c>
      <c r="D23" s="78">
        <f t="shared" si="1"/>
        <v>0</v>
      </c>
      <c r="E23" s="77">
        <v>1.0</v>
      </c>
      <c r="F23" s="78">
        <f t="shared" si="2"/>
        <v>1112</v>
      </c>
      <c r="G23" s="77">
        <v>1.0</v>
      </c>
      <c r="H23" s="78">
        <f t="shared" si="3"/>
        <v>1112</v>
      </c>
      <c r="I23" s="77">
        <v>1.0</v>
      </c>
      <c r="J23" s="78">
        <f t="shared" si="4"/>
        <v>1112</v>
      </c>
      <c r="K23" s="77">
        <v>0.0</v>
      </c>
      <c r="L23" s="78">
        <f t="shared" si="5"/>
        <v>0</v>
      </c>
      <c r="M23" s="77">
        <v>1.0</v>
      </c>
      <c r="N23" s="78">
        <f t="shared" si="6"/>
        <v>1112</v>
      </c>
      <c r="O23" s="77">
        <v>0.0</v>
      </c>
      <c r="P23" s="78">
        <f t="shared" si="7"/>
        <v>0</v>
      </c>
      <c r="Q23" s="77">
        <v>0.0</v>
      </c>
      <c r="R23" s="78">
        <f t="shared" si="8"/>
        <v>0</v>
      </c>
      <c r="S23" s="77">
        <v>0.0</v>
      </c>
      <c r="T23" s="78">
        <f t="shared" si="9"/>
        <v>0</v>
      </c>
      <c r="U23" s="77">
        <v>1.0</v>
      </c>
      <c r="V23" s="78">
        <f t="shared" si="10"/>
        <v>1112</v>
      </c>
      <c r="W23" s="77">
        <v>1.0</v>
      </c>
      <c r="X23" s="78">
        <f t="shared" si="11"/>
        <v>1200</v>
      </c>
      <c r="Y23" s="77">
        <v>1.0</v>
      </c>
      <c r="Z23" s="78">
        <f t="shared" si="12"/>
        <v>1112</v>
      </c>
      <c r="AA23" s="77">
        <v>0.1</v>
      </c>
      <c r="AB23" s="78">
        <f t="shared" si="13"/>
        <v>110</v>
      </c>
      <c r="AC23" s="77">
        <v>1.0</v>
      </c>
      <c r="AD23" s="79">
        <f t="shared" si="14"/>
        <v>1100</v>
      </c>
      <c r="AE23" s="80">
        <v>0.0</v>
      </c>
      <c r="AF23" s="79">
        <f t="shared" si="15"/>
        <v>0</v>
      </c>
      <c r="AG23" s="79"/>
      <c r="AH23" s="81">
        <f t="shared" si="16"/>
        <v>9082</v>
      </c>
      <c r="AI23" s="82"/>
      <c r="AJ23" s="83"/>
      <c r="AK23" s="6"/>
    </row>
    <row r="24" ht="22.5" customHeight="1">
      <c r="A24" s="75" t="s">
        <v>13</v>
      </c>
      <c r="B24" s="84">
        <v>45649.0</v>
      </c>
      <c r="C24" s="77">
        <v>0.0</v>
      </c>
      <c r="D24" s="78">
        <f t="shared" si="1"/>
        <v>0</v>
      </c>
      <c r="E24" s="77">
        <v>1.0</v>
      </c>
      <c r="F24" s="78">
        <f t="shared" si="2"/>
        <v>1112</v>
      </c>
      <c r="G24" s="77">
        <v>1.0</v>
      </c>
      <c r="H24" s="78">
        <f t="shared" si="3"/>
        <v>1112</v>
      </c>
      <c r="I24" s="77">
        <v>1.0</v>
      </c>
      <c r="J24" s="78">
        <f t="shared" si="4"/>
        <v>1112</v>
      </c>
      <c r="K24" s="77">
        <v>0.0</v>
      </c>
      <c r="L24" s="78">
        <f t="shared" si="5"/>
        <v>0</v>
      </c>
      <c r="M24" s="77">
        <v>0.0</v>
      </c>
      <c r="N24" s="78">
        <f t="shared" si="6"/>
        <v>0</v>
      </c>
      <c r="O24" s="77">
        <v>0.0</v>
      </c>
      <c r="P24" s="78">
        <f t="shared" si="7"/>
        <v>0</v>
      </c>
      <c r="Q24" s="77">
        <v>1.0</v>
      </c>
      <c r="R24" s="79">
        <f t="shared" si="8"/>
        <v>1200</v>
      </c>
      <c r="S24" s="77">
        <v>0.0</v>
      </c>
      <c r="T24" s="78">
        <f t="shared" si="9"/>
        <v>0</v>
      </c>
      <c r="U24" s="77">
        <v>0.0</v>
      </c>
      <c r="V24" s="78">
        <f t="shared" si="10"/>
        <v>0</v>
      </c>
      <c r="W24" s="77">
        <v>1.0</v>
      </c>
      <c r="X24" s="78">
        <f t="shared" si="11"/>
        <v>1200</v>
      </c>
      <c r="Y24" s="77">
        <v>1.0</v>
      </c>
      <c r="Z24" s="78">
        <f t="shared" si="12"/>
        <v>1112</v>
      </c>
      <c r="AA24" s="77">
        <v>0.0</v>
      </c>
      <c r="AB24" s="78">
        <f t="shared" si="13"/>
        <v>0</v>
      </c>
      <c r="AC24" s="77">
        <v>1.0</v>
      </c>
      <c r="AD24" s="79">
        <f t="shared" si="14"/>
        <v>1100</v>
      </c>
      <c r="AE24" s="80">
        <v>1.0</v>
      </c>
      <c r="AF24" s="79">
        <f t="shared" si="15"/>
        <v>1100</v>
      </c>
      <c r="AG24" s="79"/>
      <c r="AH24" s="81">
        <f t="shared" si="16"/>
        <v>7948</v>
      </c>
      <c r="AI24" s="82"/>
      <c r="AJ24" s="83"/>
      <c r="AK24" s="6"/>
    </row>
    <row r="25" ht="22.5" customHeight="1">
      <c r="A25" s="75" t="s">
        <v>18</v>
      </c>
      <c r="B25" s="84">
        <v>45650.0</v>
      </c>
      <c r="C25" s="77">
        <v>0.0</v>
      </c>
      <c r="D25" s="78">
        <f t="shared" si="1"/>
        <v>0</v>
      </c>
      <c r="E25" s="77">
        <v>1.0</v>
      </c>
      <c r="F25" s="78">
        <f t="shared" si="2"/>
        <v>1112</v>
      </c>
      <c r="G25" s="77">
        <v>1.0</v>
      </c>
      <c r="H25" s="78">
        <f t="shared" si="3"/>
        <v>1112</v>
      </c>
      <c r="I25" s="77">
        <v>1.0</v>
      </c>
      <c r="J25" s="78">
        <f t="shared" si="4"/>
        <v>1112</v>
      </c>
      <c r="K25" s="77">
        <v>0.0</v>
      </c>
      <c r="L25" s="78">
        <f t="shared" si="5"/>
        <v>0</v>
      </c>
      <c r="M25" s="77">
        <v>1.0</v>
      </c>
      <c r="N25" s="78">
        <f t="shared" si="6"/>
        <v>1112</v>
      </c>
      <c r="O25" s="77">
        <v>0.0</v>
      </c>
      <c r="P25" s="78">
        <f t="shared" si="7"/>
        <v>0</v>
      </c>
      <c r="Q25" s="77">
        <v>0.0</v>
      </c>
      <c r="R25" s="79">
        <f t="shared" si="8"/>
        <v>0</v>
      </c>
      <c r="S25" s="77">
        <v>1.0</v>
      </c>
      <c r="T25" s="78">
        <f t="shared" si="9"/>
        <v>1112</v>
      </c>
      <c r="U25" s="77">
        <v>1.0</v>
      </c>
      <c r="V25" s="78">
        <f t="shared" si="10"/>
        <v>1112</v>
      </c>
      <c r="W25" s="77">
        <v>0.0</v>
      </c>
      <c r="X25" s="78">
        <f t="shared" si="11"/>
        <v>0</v>
      </c>
      <c r="Y25" s="77">
        <v>1.0</v>
      </c>
      <c r="Z25" s="78">
        <f t="shared" si="12"/>
        <v>1112</v>
      </c>
      <c r="AA25" s="77">
        <v>0.0</v>
      </c>
      <c r="AB25" s="78">
        <f t="shared" si="13"/>
        <v>0</v>
      </c>
      <c r="AC25" s="77">
        <v>1.0</v>
      </c>
      <c r="AD25" s="79">
        <f t="shared" si="14"/>
        <v>1100</v>
      </c>
      <c r="AE25" s="80">
        <v>0.0</v>
      </c>
      <c r="AF25" s="79">
        <f t="shared" si="15"/>
        <v>0</v>
      </c>
      <c r="AG25" s="79"/>
      <c r="AH25" s="81">
        <f t="shared" si="16"/>
        <v>8884</v>
      </c>
      <c r="AI25" s="82"/>
      <c r="AJ25" s="83"/>
      <c r="AK25" s="6"/>
    </row>
    <row r="26" ht="22.5" customHeight="1">
      <c r="A26" s="75" t="s">
        <v>19</v>
      </c>
      <c r="B26" s="84">
        <v>45651.0</v>
      </c>
      <c r="C26" s="77">
        <v>0.0</v>
      </c>
      <c r="D26" s="78">
        <f t="shared" si="1"/>
        <v>0</v>
      </c>
      <c r="E26" s="77">
        <v>1.0</v>
      </c>
      <c r="F26" s="78">
        <f t="shared" si="2"/>
        <v>1112</v>
      </c>
      <c r="G26" s="77">
        <v>1.0</v>
      </c>
      <c r="H26" s="78">
        <f t="shared" si="3"/>
        <v>1112</v>
      </c>
      <c r="I26" s="77">
        <v>1.0</v>
      </c>
      <c r="J26" s="78">
        <f t="shared" si="4"/>
        <v>1112</v>
      </c>
      <c r="K26" s="77">
        <v>0.0</v>
      </c>
      <c r="L26" s="78">
        <f t="shared" si="5"/>
        <v>0</v>
      </c>
      <c r="M26" s="77">
        <v>0.5</v>
      </c>
      <c r="N26" s="78">
        <f t="shared" si="6"/>
        <v>556</v>
      </c>
      <c r="O26" s="77">
        <v>1.5</v>
      </c>
      <c r="P26" s="78">
        <f t="shared" si="7"/>
        <v>1668</v>
      </c>
      <c r="Q26" s="77">
        <v>1.0</v>
      </c>
      <c r="R26" s="79">
        <f t="shared" si="8"/>
        <v>1200</v>
      </c>
      <c r="S26" s="77">
        <v>0.0</v>
      </c>
      <c r="T26" s="78">
        <f t="shared" si="9"/>
        <v>0</v>
      </c>
      <c r="U26" s="77">
        <v>1.0</v>
      </c>
      <c r="V26" s="78">
        <f t="shared" si="10"/>
        <v>1112</v>
      </c>
      <c r="W26" s="77">
        <v>0.0</v>
      </c>
      <c r="X26" s="78">
        <f t="shared" si="11"/>
        <v>0</v>
      </c>
      <c r="Y26" s="77">
        <v>1.0</v>
      </c>
      <c r="Z26" s="78">
        <f t="shared" si="12"/>
        <v>1112</v>
      </c>
      <c r="AA26" s="77">
        <v>0.0</v>
      </c>
      <c r="AB26" s="78">
        <f t="shared" si="13"/>
        <v>0</v>
      </c>
      <c r="AC26" s="77">
        <v>0.0</v>
      </c>
      <c r="AD26" s="79">
        <f t="shared" si="14"/>
        <v>0</v>
      </c>
      <c r="AE26" s="80">
        <v>1.0</v>
      </c>
      <c r="AF26" s="79">
        <f t="shared" si="15"/>
        <v>1100</v>
      </c>
      <c r="AG26" s="79"/>
      <c r="AH26" s="81">
        <f t="shared" si="16"/>
        <v>8984</v>
      </c>
      <c r="AI26" s="82"/>
      <c r="AJ26" s="83"/>
      <c r="AK26" s="6"/>
    </row>
    <row r="27" ht="22.5" customHeight="1">
      <c r="A27" s="75" t="s">
        <v>20</v>
      </c>
      <c r="B27" s="84">
        <v>45652.0</v>
      </c>
      <c r="C27" s="77">
        <v>1.0</v>
      </c>
      <c r="D27" s="78">
        <f t="shared" si="1"/>
        <v>1500</v>
      </c>
      <c r="E27" s="77">
        <v>1.0</v>
      </c>
      <c r="F27" s="78">
        <f t="shared" si="2"/>
        <v>1112</v>
      </c>
      <c r="G27" s="77">
        <v>1.0</v>
      </c>
      <c r="H27" s="78">
        <f t="shared" si="3"/>
        <v>1112</v>
      </c>
      <c r="I27" s="77">
        <v>1.0</v>
      </c>
      <c r="J27" s="78">
        <f t="shared" si="4"/>
        <v>1112</v>
      </c>
      <c r="K27" s="77">
        <v>0.0</v>
      </c>
      <c r="L27" s="78">
        <f t="shared" si="5"/>
        <v>0</v>
      </c>
      <c r="M27" s="77">
        <v>1.0</v>
      </c>
      <c r="N27" s="78">
        <f t="shared" si="6"/>
        <v>1112</v>
      </c>
      <c r="O27" s="77">
        <v>0.0</v>
      </c>
      <c r="P27" s="78">
        <f t="shared" si="7"/>
        <v>0</v>
      </c>
      <c r="Q27" s="77">
        <v>0.0</v>
      </c>
      <c r="R27" s="79">
        <f t="shared" si="8"/>
        <v>0</v>
      </c>
      <c r="S27" s="77">
        <v>1.0</v>
      </c>
      <c r="T27" s="78">
        <f t="shared" si="9"/>
        <v>1112</v>
      </c>
      <c r="U27" s="77">
        <v>1.0</v>
      </c>
      <c r="V27" s="78">
        <f t="shared" si="10"/>
        <v>1112</v>
      </c>
      <c r="W27" s="77">
        <v>0.0</v>
      </c>
      <c r="X27" s="78">
        <f t="shared" si="11"/>
        <v>0</v>
      </c>
      <c r="Y27" s="77">
        <v>1.0</v>
      </c>
      <c r="Z27" s="78">
        <f t="shared" si="12"/>
        <v>1112</v>
      </c>
      <c r="AA27" s="85">
        <v>2.5</v>
      </c>
      <c r="AB27" s="78">
        <f t="shared" si="13"/>
        <v>2750</v>
      </c>
      <c r="AC27" s="77">
        <v>1.0</v>
      </c>
      <c r="AD27" s="79">
        <f t="shared" si="14"/>
        <v>1100</v>
      </c>
      <c r="AE27" s="80">
        <v>0.0</v>
      </c>
      <c r="AF27" s="79">
        <f t="shared" si="15"/>
        <v>0</v>
      </c>
      <c r="AG27" s="79"/>
      <c r="AH27" s="81">
        <f t="shared" si="16"/>
        <v>13134</v>
      </c>
      <c r="AI27" s="82"/>
      <c r="AJ27" s="83"/>
      <c r="AK27" s="6"/>
    </row>
    <row r="28" ht="22.5" customHeight="1">
      <c r="A28" s="86" t="s">
        <v>23</v>
      </c>
      <c r="B28" s="87">
        <v>45653.0</v>
      </c>
      <c r="C28" s="88">
        <v>1.0</v>
      </c>
      <c r="D28" s="89">
        <f t="shared" si="1"/>
        <v>1500</v>
      </c>
      <c r="E28" s="88">
        <v>1.0</v>
      </c>
      <c r="F28" s="89">
        <f t="shared" si="2"/>
        <v>1112</v>
      </c>
      <c r="G28" s="88">
        <v>0.0</v>
      </c>
      <c r="H28" s="89">
        <f t="shared" si="3"/>
        <v>0</v>
      </c>
      <c r="I28" s="88">
        <v>0.0</v>
      </c>
      <c r="J28" s="89">
        <f t="shared" si="4"/>
        <v>0</v>
      </c>
      <c r="K28" s="88">
        <v>0.0</v>
      </c>
      <c r="L28" s="89">
        <f t="shared" si="5"/>
        <v>0</v>
      </c>
      <c r="M28" s="88">
        <v>1.0</v>
      </c>
      <c r="N28" s="89">
        <f t="shared" si="6"/>
        <v>1112</v>
      </c>
      <c r="O28" s="88">
        <v>2.0</v>
      </c>
      <c r="P28" s="89">
        <f t="shared" si="7"/>
        <v>2224</v>
      </c>
      <c r="Q28" s="88">
        <v>0.0</v>
      </c>
      <c r="R28" s="89">
        <f t="shared" si="8"/>
        <v>0</v>
      </c>
      <c r="S28" s="88">
        <v>1.0</v>
      </c>
      <c r="T28" s="89">
        <f t="shared" si="9"/>
        <v>1112</v>
      </c>
      <c r="U28" s="88">
        <v>1.0</v>
      </c>
      <c r="V28" s="89">
        <f t="shared" si="10"/>
        <v>1112</v>
      </c>
      <c r="W28" s="88">
        <v>0.0</v>
      </c>
      <c r="X28" s="89">
        <f t="shared" si="11"/>
        <v>0</v>
      </c>
      <c r="Y28" s="88">
        <v>0.0</v>
      </c>
      <c r="Z28" s="89">
        <f t="shared" si="12"/>
        <v>0</v>
      </c>
      <c r="AA28" s="88">
        <v>0.0</v>
      </c>
      <c r="AB28" s="89">
        <f t="shared" si="13"/>
        <v>0</v>
      </c>
      <c r="AC28" s="88">
        <v>1.0</v>
      </c>
      <c r="AD28" s="90">
        <f t="shared" si="14"/>
        <v>1100</v>
      </c>
      <c r="AE28" s="91">
        <v>0.0</v>
      </c>
      <c r="AF28" s="90">
        <f t="shared" si="15"/>
        <v>0</v>
      </c>
      <c r="AG28" s="90"/>
      <c r="AH28" s="81">
        <f t="shared" si="16"/>
        <v>9272</v>
      </c>
      <c r="AI28" s="82"/>
      <c r="AJ28" s="83"/>
      <c r="AK28" s="6"/>
    </row>
    <row r="29" ht="22.5" customHeight="1">
      <c r="A29" s="75" t="s">
        <v>24</v>
      </c>
      <c r="B29" s="84">
        <v>45654.0</v>
      </c>
      <c r="C29" s="77">
        <v>1.0</v>
      </c>
      <c r="D29" s="78">
        <f t="shared" si="1"/>
        <v>1500</v>
      </c>
      <c r="E29" s="77">
        <v>0.5</v>
      </c>
      <c r="F29" s="78">
        <f t="shared" si="2"/>
        <v>556</v>
      </c>
      <c r="G29" s="77">
        <v>1.0</v>
      </c>
      <c r="H29" s="78">
        <f t="shared" si="3"/>
        <v>1112</v>
      </c>
      <c r="I29" s="77">
        <v>1.25</v>
      </c>
      <c r="J29" s="78">
        <f t="shared" si="4"/>
        <v>1390</v>
      </c>
      <c r="K29" s="77">
        <v>0.0</v>
      </c>
      <c r="L29" s="78">
        <f t="shared" si="5"/>
        <v>0</v>
      </c>
      <c r="M29" s="77">
        <v>1.0</v>
      </c>
      <c r="N29" s="78">
        <f t="shared" si="6"/>
        <v>1112</v>
      </c>
      <c r="O29" s="77">
        <v>0.0</v>
      </c>
      <c r="P29" s="78">
        <f t="shared" si="7"/>
        <v>0</v>
      </c>
      <c r="Q29" s="77">
        <v>0.0</v>
      </c>
      <c r="R29" s="78">
        <f t="shared" si="8"/>
        <v>0</v>
      </c>
      <c r="S29" s="77">
        <v>1.0</v>
      </c>
      <c r="T29" s="78">
        <f t="shared" si="9"/>
        <v>1112</v>
      </c>
      <c r="U29" s="77">
        <v>1.0</v>
      </c>
      <c r="V29" s="78">
        <f t="shared" si="10"/>
        <v>1112</v>
      </c>
      <c r="W29" s="77">
        <v>0.0</v>
      </c>
      <c r="X29" s="78">
        <f t="shared" si="11"/>
        <v>0</v>
      </c>
      <c r="Y29" s="77">
        <v>0.75</v>
      </c>
      <c r="Z29" s="78">
        <f t="shared" si="12"/>
        <v>834</v>
      </c>
      <c r="AA29" s="77">
        <v>0.0</v>
      </c>
      <c r="AB29" s="78">
        <f t="shared" si="13"/>
        <v>0</v>
      </c>
      <c r="AC29" s="77">
        <v>0.0</v>
      </c>
      <c r="AD29" s="79">
        <f t="shared" si="14"/>
        <v>0</v>
      </c>
      <c r="AE29" s="80">
        <v>1.0</v>
      </c>
      <c r="AF29" s="79">
        <f t="shared" si="15"/>
        <v>1100</v>
      </c>
      <c r="AG29" s="79"/>
      <c r="AH29" s="81">
        <f t="shared" si="16"/>
        <v>8728</v>
      </c>
      <c r="AI29" s="82"/>
      <c r="AJ29" s="83"/>
      <c r="AK29" s="6"/>
    </row>
    <row r="30" ht="22.5" customHeight="1">
      <c r="A30" s="75" t="s">
        <v>12</v>
      </c>
      <c r="B30" s="84">
        <v>45655.0</v>
      </c>
      <c r="C30" s="77">
        <v>1.0</v>
      </c>
      <c r="D30" s="79">
        <f t="shared" si="1"/>
        <v>1500</v>
      </c>
      <c r="E30" s="77">
        <v>1.0</v>
      </c>
      <c r="F30" s="78">
        <f t="shared" si="2"/>
        <v>1112</v>
      </c>
      <c r="G30" s="77">
        <v>1.0</v>
      </c>
      <c r="H30" s="78">
        <f t="shared" si="3"/>
        <v>1112</v>
      </c>
      <c r="I30" s="77">
        <v>1.0</v>
      </c>
      <c r="J30" s="78">
        <f t="shared" si="4"/>
        <v>1112</v>
      </c>
      <c r="K30" s="77">
        <v>0.0</v>
      </c>
      <c r="L30" s="78">
        <f t="shared" si="5"/>
        <v>0</v>
      </c>
      <c r="M30" s="77">
        <v>1.0</v>
      </c>
      <c r="N30" s="78">
        <f t="shared" si="6"/>
        <v>1112</v>
      </c>
      <c r="O30" s="77">
        <v>0.0</v>
      </c>
      <c r="P30" s="78">
        <f t="shared" si="7"/>
        <v>0</v>
      </c>
      <c r="Q30" s="77">
        <v>0.0</v>
      </c>
      <c r="R30" s="78">
        <f t="shared" si="8"/>
        <v>0</v>
      </c>
      <c r="S30" s="77">
        <v>0.0</v>
      </c>
      <c r="T30" s="78">
        <f t="shared" si="9"/>
        <v>0</v>
      </c>
      <c r="U30" s="77">
        <v>1.0</v>
      </c>
      <c r="V30" s="78">
        <f t="shared" si="10"/>
        <v>1112</v>
      </c>
      <c r="W30" s="77">
        <v>0.0</v>
      </c>
      <c r="X30" s="78">
        <f t="shared" si="11"/>
        <v>0</v>
      </c>
      <c r="Y30" s="77">
        <v>1.0</v>
      </c>
      <c r="Z30" s="78">
        <f t="shared" si="12"/>
        <v>1112</v>
      </c>
      <c r="AA30" s="77">
        <v>0.0</v>
      </c>
      <c r="AB30" s="78">
        <f t="shared" si="13"/>
        <v>0</v>
      </c>
      <c r="AC30" s="77">
        <v>1.0</v>
      </c>
      <c r="AD30" s="79">
        <f t="shared" si="14"/>
        <v>1100</v>
      </c>
      <c r="AE30" s="80">
        <v>0.0</v>
      </c>
      <c r="AF30" s="79">
        <f t="shared" si="15"/>
        <v>0</v>
      </c>
      <c r="AG30" s="79"/>
      <c r="AH30" s="81">
        <f t="shared" si="16"/>
        <v>9272</v>
      </c>
      <c r="AI30" s="82"/>
      <c r="AJ30" s="83"/>
      <c r="AK30" s="6"/>
    </row>
    <row r="31" ht="22.5" customHeight="1">
      <c r="A31" s="75" t="s">
        <v>13</v>
      </c>
      <c r="B31" s="84">
        <v>45656.0</v>
      </c>
      <c r="C31" s="77">
        <v>1.0</v>
      </c>
      <c r="D31" s="79">
        <f t="shared" si="1"/>
        <v>1500</v>
      </c>
      <c r="E31" s="77">
        <v>1.0</v>
      </c>
      <c r="F31" s="78">
        <f t="shared" si="2"/>
        <v>1112</v>
      </c>
      <c r="G31" s="77">
        <v>1.0</v>
      </c>
      <c r="H31" s="79">
        <f t="shared" si="3"/>
        <v>1112</v>
      </c>
      <c r="I31" s="77">
        <v>2.0</v>
      </c>
      <c r="J31" s="79">
        <f t="shared" si="4"/>
        <v>2224</v>
      </c>
      <c r="K31" s="77">
        <v>0.0</v>
      </c>
      <c r="L31" s="79">
        <f t="shared" si="5"/>
        <v>0</v>
      </c>
      <c r="M31" s="77">
        <v>0.5</v>
      </c>
      <c r="N31" s="79">
        <f t="shared" si="6"/>
        <v>556</v>
      </c>
      <c r="O31" s="77">
        <v>0.0</v>
      </c>
      <c r="P31" s="79">
        <f t="shared" si="7"/>
        <v>0</v>
      </c>
      <c r="Q31" s="77">
        <v>0.0</v>
      </c>
      <c r="R31" s="79">
        <f t="shared" si="8"/>
        <v>0</v>
      </c>
      <c r="S31" s="77">
        <v>1.0</v>
      </c>
      <c r="T31" s="79">
        <f t="shared" si="9"/>
        <v>1112</v>
      </c>
      <c r="U31" s="77">
        <v>0.0</v>
      </c>
      <c r="V31" s="79">
        <f t="shared" si="10"/>
        <v>0</v>
      </c>
      <c r="W31" s="77">
        <v>0.0</v>
      </c>
      <c r="X31" s="79">
        <f t="shared" si="11"/>
        <v>0</v>
      </c>
      <c r="Y31" s="77">
        <v>1.0</v>
      </c>
      <c r="Z31" s="79">
        <f t="shared" si="12"/>
        <v>1112</v>
      </c>
      <c r="AA31" s="77">
        <v>0.0</v>
      </c>
      <c r="AB31" s="79">
        <f t="shared" si="13"/>
        <v>0</v>
      </c>
      <c r="AC31" s="77">
        <v>1.0</v>
      </c>
      <c r="AD31" s="79">
        <f t="shared" si="14"/>
        <v>1100</v>
      </c>
      <c r="AE31" s="80">
        <v>0.0</v>
      </c>
      <c r="AF31" s="79">
        <f t="shared" si="15"/>
        <v>0</v>
      </c>
      <c r="AG31" s="79"/>
      <c r="AH31" s="81">
        <f t="shared" si="16"/>
        <v>9828</v>
      </c>
      <c r="AI31" s="82"/>
      <c r="AJ31" s="83"/>
      <c r="AK31" s="6"/>
    </row>
    <row r="32" ht="22.5" customHeight="1">
      <c r="A32" s="75" t="s">
        <v>18</v>
      </c>
      <c r="B32" s="84">
        <v>45657.0</v>
      </c>
      <c r="C32" s="77">
        <v>2.0</v>
      </c>
      <c r="D32" s="79">
        <f t="shared" si="1"/>
        <v>3000</v>
      </c>
      <c r="E32" s="77">
        <v>1.0</v>
      </c>
      <c r="F32" s="78">
        <f t="shared" si="2"/>
        <v>1112</v>
      </c>
      <c r="G32" s="77">
        <v>1.0</v>
      </c>
      <c r="H32" s="79">
        <f t="shared" si="3"/>
        <v>1112</v>
      </c>
      <c r="I32" s="77">
        <v>1.0</v>
      </c>
      <c r="J32" s="79">
        <f t="shared" si="4"/>
        <v>1112</v>
      </c>
      <c r="K32" s="77">
        <v>0.0</v>
      </c>
      <c r="L32" s="79">
        <f t="shared" si="5"/>
        <v>0</v>
      </c>
      <c r="M32" s="77">
        <v>2.0</v>
      </c>
      <c r="N32" s="79">
        <f t="shared" si="6"/>
        <v>2224</v>
      </c>
      <c r="O32" s="77">
        <v>1.5</v>
      </c>
      <c r="P32" s="79">
        <f t="shared" si="7"/>
        <v>1668</v>
      </c>
      <c r="Q32" s="77">
        <v>0.0</v>
      </c>
      <c r="R32" s="79">
        <f t="shared" si="8"/>
        <v>0</v>
      </c>
      <c r="S32" s="77">
        <v>1.5</v>
      </c>
      <c r="T32" s="79">
        <f t="shared" si="9"/>
        <v>1668</v>
      </c>
      <c r="U32" s="77">
        <v>1.0</v>
      </c>
      <c r="V32" s="79">
        <f t="shared" si="10"/>
        <v>1112</v>
      </c>
      <c r="W32" s="77">
        <v>2.0</v>
      </c>
      <c r="X32" s="79">
        <f t="shared" si="11"/>
        <v>2400</v>
      </c>
      <c r="Y32" s="77">
        <v>0.0</v>
      </c>
      <c r="Z32" s="79">
        <f t="shared" si="12"/>
        <v>0</v>
      </c>
      <c r="AA32" s="77">
        <v>0.0</v>
      </c>
      <c r="AB32" s="79">
        <f t="shared" si="13"/>
        <v>0</v>
      </c>
      <c r="AC32" s="77">
        <v>1.0</v>
      </c>
      <c r="AD32" s="79">
        <f t="shared" si="14"/>
        <v>1100</v>
      </c>
      <c r="AE32" s="80">
        <v>1.0</v>
      </c>
      <c r="AF32" s="79">
        <f t="shared" si="15"/>
        <v>1100</v>
      </c>
      <c r="AG32" s="79"/>
      <c r="AH32" s="81">
        <f t="shared" si="16"/>
        <v>16508</v>
      </c>
      <c r="AI32" s="82"/>
      <c r="AJ32" s="83"/>
      <c r="AK32" s="6"/>
    </row>
    <row r="33" ht="22.5" customHeight="1">
      <c r="A33" s="79"/>
      <c r="B33" s="93"/>
      <c r="C33" s="78">
        <f>SUM(C2:C32)</f>
        <v>7</v>
      </c>
      <c r="D33" s="79"/>
      <c r="E33" s="78">
        <f>SUM(E2:E32)</f>
        <v>26.33</v>
      </c>
      <c r="F33" s="79"/>
      <c r="G33" s="78">
        <f>SUM(G2:G32)</f>
        <v>25</v>
      </c>
      <c r="H33" s="79"/>
      <c r="I33" s="78">
        <f>SUM(I2:I32)</f>
        <v>28.25</v>
      </c>
      <c r="J33" s="79"/>
      <c r="K33" s="77">
        <v>7.0</v>
      </c>
      <c r="L33" s="79"/>
      <c r="M33" s="78">
        <f>SUM(M2:M32)</f>
        <v>27</v>
      </c>
      <c r="N33" s="79"/>
      <c r="O33" s="78">
        <f>SUM(O2:O32)</f>
        <v>12.5</v>
      </c>
      <c r="P33" s="79"/>
      <c r="Q33" s="78">
        <f>SUM(Q2:Q32)</f>
        <v>10</v>
      </c>
      <c r="R33" s="79"/>
      <c r="S33" s="78">
        <f>SUM(S2:S32)</f>
        <v>29</v>
      </c>
      <c r="T33" s="79"/>
      <c r="U33" s="78">
        <f>SUM(U2:U32)</f>
        <v>29.5</v>
      </c>
      <c r="V33" s="79"/>
      <c r="W33" s="78">
        <f>SUM(W2:W32)</f>
        <v>20.5</v>
      </c>
      <c r="X33" s="79"/>
      <c r="Y33" s="78">
        <f>SUM(Y2:Y32)</f>
        <v>26.25</v>
      </c>
      <c r="Z33" s="79"/>
      <c r="AA33" s="78">
        <f>SUM(AA2:AA32)</f>
        <v>18.5</v>
      </c>
      <c r="AB33" s="79"/>
      <c r="AC33" s="78">
        <f>SUM(AC2:AC32)</f>
        <v>24.25</v>
      </c>
      <c r="AD33" s="79"/>
      <c r="AE33" s="79">
        <f>SUM(AE2:AE32)</f>
        <v>8</v>
      </c>
      <c r="AF33" s="79"/>
      <c r="AG33" s="79"/>
      <c r="AH33" s="81">
        <f t="shared" si="16"/>
        <v>0</v>
      </c>
      <c r="AI33" s="82"/>
      <c r="AJ33" s="83"/>
      <c r="AK33" s="6"/>
    </row>
    <row r="34" ht="22.5" customHeight="1">
      <c r="A34" s="79"/>
      <c r="B34" s="93"/>
      <c r="C34" s="77">
        <v>1100.0</v>
      </c>
      <c r="D34" s="78"/>
      <c r="E34" s="77">
        <v>1120.0</v>
      </c>
      <c r="F34" s="78"/>
      <c r="G34" s="77">
        <v>1120.0</v>
      </c>
      <c r="H34" s="78"/>
      <c r="I34" s="77">
        <v>1120.0</v>
      </c>
      <c r="J34" s="78"/>
      <c r="K34" s="77">
        <v>1120.0</v>
      </c>
      <c r="L34" s="78"/>
      <c r="M34" s="77">
        <v>1200.0</v>
      </c>
      <c r="N34" s="78"/>
      <c r="O34" s="77">
        <v>1150.0</v>
      </c>
      <c r="P34" s="78"/>
      <c r="Q34" s="77">
        <v>1100.0</v>
      </c>
      <c r="R34" s="78"/>
      <c r="S34" s="77">
        <v>1120.0</v>
      </c>
      <c r="T34" s="78"/>
      <c r="U34" s="77">
        <v>1120.0</v>
      </c>
      <c r="V34" s="78"/>
      <c r="W34" s="77">
        <v>1200.0</v>
      </c>
      <c r="X34" s="78"/>
      <c r="Y34" s="77">
        <v>1200.0</v>
      </c>
      <c r="Z34" s="78"/>
      <c r="AA34" s="77">
        <v>1120.0</v>
      </c>
      <c r="AB34" s="78"/>
      <c r="AC34" s="77">
        <v>1120.0</v>
      </c>
      <c r="AD34" s="94"/>
      <c r="AE34" s="80">
        <v>1120.0</v>
      </c>
      <c r="AF34" s="79"/>
      <c r="AG34" s="79"/>
      <c r="AH34" s="81">
        <f t="shared" si="16"/>
        <v>0</v>
      </c>
      <c r="AI34" s="82"/>
      <c r="AJ34" s="83"/>
      <c r="AK34" s="6"/>
    </row>
    <row r="35" ht="22.5" customHeight="1">
      <c r="A35" s="79"/>
      <c r="B35" s="93"/>
      <c r="C35" s="94">
        <f>C34*C33</f>
        <v>7700</v>
      </c>
      <c r="D35" s="78"/>
      <c r="E35" s="94">
        <f>E34*E33</f>
        <v>29489.6</v>
      </c>
      <c r="F35" s="78"/>
      <c r="G35" s="94">
        <f>G34*G33</f>
        <v>28000</v>
      </c>
      <c r="H35" s="78"/>
      <c r="I35" s="94">
        <f>I34*I33</f>
        <v>31640</v>
      </c>
      <c r="J35" s="78"/>
      <c r="K35" s="94">
        <f>K34*K33</f>
        <v>7840</v>
      </c>
      <c r="L35" s="78"/>
      <c r="M35" s="94">
        <f>M34*M33</f>
        <v>32400</v>
      </c>
      <c r="N35" s="78"/>
      <c r="O35" s="94">
        <f>O34*O33</f>
        <v>14375</v>
      </c>
      <c r="P35" s="78"/>
      <c r="Q35" s="94">
        <f>Q34*Q33</f>
        <v>11000</v>
      </c>
      <c r="R35" s="78"/>
      <c r="S35" s="94">
        <f>S34*S33</f>
        <v>32480</v>
      </c>
      <c r="T35" s="78"/>
      <c r="U35" s="94">
        <f>U34*U33</f>
        <v>33040</v>
      </c>
      <c r="V35" s="78"/>
      <c r="W35" s="94">
        <f>W34*W33</f>
        <v>24600</v>
      </c>
      <c r="X35" s="78"/>
      <c r="Y35" s="94">
        <f>Y34*Y33</f>
        <v>31500</v>
      </c>
      <c r="Z35" s="78"/>
      <c r="AA35" s="94">
        <f>AA33*AA34</f>
        <v>20720</v>
      </c>
      <c r="AB35" s="78"/>
      <c r="AC35" s="94">
        <f>AC34*AC33</f>
        <v>27160</v>
      </c>
      <c r="AD35" s="94"/>
      <c r="AE35" s="94">
        <f>AE34*AE33</f>
        <v>8960</v>
      </c>
      <c r="AF35" s="94"/>
      <c r="AG35" s="94"/>
      <c r="AH35" s="81">
        <f t="shared" si="16"/>
        <v>0</v>
      </c>
      <c r="AI35" s="82"/>
      <c r="AJ35" s="83"/>
      <c r="AK35" s="6"/>
    </row>
    <row r="36" ht="22.5" customHeight="1">
      <c r="A36" s="80">
        <v>0.0</v>
      </c>
      <c r="B36" s="93"/>
      <c r="C36" s="94"/>
      <c r="D36" s="78">
        <f>C36*1500</f>
        <v>0</v>
      </c>
      <c r="E36" s="94">
        <v>30000.0</v>
      </c>
      <c r="F36" s="78">
        <f>E36*E67</f>
        <v>0</v>
      </c>
      <c r="G36" s="94">
        <v>30000.0</v>
      </c>
      <c r="H36" s="78"/>
      <c r="I36" s="94">
        <v>30000.0</v>
      </c>
      <c r="J36" s="78"/>
      <c r="K36" s="94">
        <v>30000.0</v>
      </c>
      <c r="L36" s="78"/>
      <c r="M36" s="94">
        <v>30000.0</v>
      </c>
      <c r="N36" s="78"/>
      <c r="O36" s="94">
        <v>30000.0</v>
      </c>
      <c r="P36" s="78"/>
      <c r="Q36" s="94"/>
      <c r="R36" s="78"/>
      <c r="S36" s="94">
        <v>30000.0</v>
      </c>
      <c r="T36" s="78"/>
      <c r="U36" s="94">
        <v>30000.0</v>
      </c>
      <c r="V36" s="78"/>
      <c r="W36" s="94"/>
      <c r="X36" s="78">
        <f>W36*1200</f>
        <v>0</v>
      </c>
      <c r="Y36" s="94"/>
      <c r="Z36" s="78">
        <f>Y36*1112</f>
        <v>0</v>
      </c>
      <c r="AA36" s="77">
        <v>30000.0</v>
      </c>
      <c r="AB36" s="78">
        <f>AA36*1100</f>
        <v>33000000</v>
      </c>
      <c r="AC36" s="94"/>
      <c r="AD36" s="94">
        <f>AC36*1100</f>
        <v>0</v>
      </c>
      <c r="AE36" s="79"/>
      <c r="AF36" s="79"/>
      <c r="AG36" s="79"/>
      <c r="AH36" s="81">
        <f t="shared" si="16"/>
        <v>33000000</v>
      </c>
      <c r="AI36" s="82"/>
      <c r="AJ36" s="83"/>
      <c r="A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</sheetData>
  <dataValidations>
    <dataValidation type="custom" allowBlank="1" showDropDown="1" sqref="B2:B36">
      <formula1>OR(NOT(ISERROR(DATEVALUE(B2))), AND(ISNUMBER(B2), LEFT(CELL("format", B2))="D"))</formula1>
    </dataValidation>
    <dataValidation type="custom" allowBlank="1" showDropDown="1" sqref="C2:C36 E2:E36 G2:G36 I2:I36 K2:K36 M2:M36 O2:O36 Q2:Q36 S2:S36 U2:U36 W2:W36 Y2:Y36 AA2:AA36 AC2:AC36 AH2:AH3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4.5"/>
    <col customWidth="1" min="5" max="5" width="20.75"/>
    <col customWidth="1" min="6" max="6" width="20.88"/>
    <col customWidth="1" min="7" max="7" width="35.13"/>
    <col customWidth="1" min="8" max="8" width="44.13"/>
    <col customWidth="1" min="9" max="9" width="26.88"/>
  </cols>
  <sheetData>
    <row r="2">
      <c r="D2" s="95" t="s">
        <v>93</v>
      </c>
      <c r="E2" s="96" t="s">
        <v>94</v>
      </c>
      <c r="F2" s="96" t="s">
        <v>95</v>
      </c>
      <c r="G2" s="96" t="s">
        <v>96</v>
      </c>
      <c r="H2" s="96" t="s">
        <v>97</v>
      </c>
    </row>
    <row r="3">
      <c r="D3" s="97" t="s">
        <v>98</v>
      </c>
      <c r="E3" s="98">
        <v>2.0</v>
      </c>
      <c r="F3" s="99">
        <v>1000.0</v>
      </c>
      <c r="G3" s="99">
        <f t="shared" ref="G3:G58" si="1">E3*F3</f>
        <v>2000</v>
      </c>
      <c r="H3" s="100"/>
    </row>
    <row r="4">
      <c r="D4" s="101" t="s">
        <v>99</v>
      </c>
      <c r="E4" s="102">
        <v>13.0</v>
      </c>
      <c r="F4" s="103">
        <v>1000.0</v>
      </c>
      <c r="G4" s="99">
        <f t="shared" si="1"/>
        <v>13000</v>
      </c>
      <c r="H4" s="104"/>
    </row>
    <row r="5">
      <c r="D5" s="105" t="s">
        <v>100</v>
      </c>
      <c r="E5" s="102">
        <v>7.0</v>
      </c>
      <c r="F5" s="106">
        <v>390.0</v>
      </c>
      <c r="G5" s="99">
        <f t="shared" si="1"/>
        <v>2730</v>
      </c>
      <c r="H5" s="100"/>
    </row>
    <row r="6">
      <c r="D6" s="101" t="s">
        <v>101</v>
      </c>
      <c r="E6" s="102">
        <v>44.0</v>
      </c>
      <c r="F6" s="103">
        <v>6.2</v>
      </c>
      <c r="G6" s="99">
        <f t="shared" si="1"/>
        <v>272.8</v>
      </c>
      <c r="H6" s="100"/>
    </row>
    <row r="7">
      <c r="D7" s="100" t="s">
        <v>102</v>
      </c>
      <c r="E7" s="102">
        <v>36.0</v>
      </c>
      <c r="F7" s="103">
        <v>189.0</v>
      </c>
      <c r="G7" s="99">
        <f t="shared" si="1"/>
        <v>6804</v>
      </c>
      <c r="H7" s="100"/>
    </row>
    <row r="8">
      <c r="D8" s="101" t="s">
        <v>103</v>
      </c>
      <c r="E8" s="102">
        <v>18.0</v>
      </c>
      <c r="F8" s="103">
        <v>260.0</v>
      </c>
      <c r="G8" s="99">
        <f t="shared" si="1"/>
        <v>4680</v>
      </c>
      <c r="H8" s="104"/>
    </row>
    <row r="9">
      <c r="D9" s="100" t="s">
        <v>104</v>
      </c>
      <c r="E9" s="102">
        <v>6.0</v>
      </c>
      <c r="F9" s="103">
        <v>325.0</v>
      </c>
      <c r="G9" s="99">
        <f t="shared" si="1"/>
        <v>1950</v>
      </c>
      <c r="H9" s="107"/>
    </row>
    <row r="10">
      <c r="D10" s="100" t="s">
        <v>105</v>
      </c>
      <c r="E10" s="102">
        <v>20.0</v>
      </c>
      <c r="F10" s="103">
        <v>600.0</v>
      </c>
      <c r="G10" s="99">
        <f t="shared" si="1"/>
        <v>12000</v>
      </c>
      <c r="H10" s="100"/>
    </row>
    <row r="11">
      <c r="D11" s="100" t="s">
        <v>106</v>
      </c>
      <c r="E11" s="102">
        <v>0.5</v>
      </c>
      <c r="F11" s="106">
        <v>1450.0</v>
      </c>
      <c r="G11" s="99">
        <f t="shared" si="1"/>
        <v>725</v>
      </c>
      <c r="H11" s="104"/>
    </row>
    <row r="12">
      <c r="D12" s="100" t="s">
        <v>107</v>
      </c>
      <c r="E12" s="102">
        <v>0.0</v>
      </c>
      <c r="F12" s="103">
        <v>17.0</v>
      </c>
      <c r="G12" s="99">
        <f t="shared" si="1"/>
        <v>0</v>
      </c>
      <c r="H12" s="107"/>
    </row>
    <row r="13">
      <c r="D13" s="100" t="s">
        <v>108</v>
      </c>
      <c r="E13" s="102">
        <v>24.0</v>
      </c>
      <c r="F13" s="103">
        <v>34.0</v>
      </c>
      <c r="G13" s="99">
        <f t="shared" si="1"/>
        <v>816</v>
      </c>
      <c r="H13" s="107"/>
    </row>
    <row r="14">
      <c r="D14" s="100" t="s">
        <v>109</v>
      </c>
      <c r="E14" s="102">
        <v>1.0</v>
      </c>
      <c r="F14" s="103">
        <v>1400.0</v>
      </c>
      <c r="G14" s="99">
        <f t="shared" si="1"/>
        <v>1400</v>
      </c>
      <c r="H14" s="107"/>
    </row>
    <row r="15">
      <c r="D15" s="100" t="s">
        <v>110</v>
      </c>
      <c r="E15" s="102">
        <v>15.0</v>
      </c>
      <c r="F15" s="103">
        <v>250.0</v>
      </c>
      <c r="G15" s="99">
        <f t="shared" si="1"/>
        <v>3750</v>
      </c>
      <c r="H15" s="107"/>
    </row>
    <row r="16">
      <c r="D16" s="100" t="s">
        <v>111</v>
      </c>
      <c r="E16" s="102">
        <v>12.0</v>
      </c>
      <c r="F16" s="103">
        <v>200.0</v>
      </c>
      <c r="G16" s="99">
        <f t="shared" si="1"/>
        <v>2400</v>
      </c>
      <c r="H16" s="107"/>
    </row>
    <row r="17">
      <c r="D17" s="100" t="s">
        <v>112</v>
      </c>
      <c r="E17" s="100">
        <v>0.25</v>
      </c>
      <c r="F17" s="103">
        <v>4000.0</v>
      </c>
      <c r="G17" s="99">
        <f t="shared" si="1"/>
        <v>1000</v>
      </c>
      <c r="H17" s="107"/>
    </row>
    <row r="18">
      <c r="D18" s="100" t="s">
        <v>113</v>
      </c>
      <c r="E18" s="102">
        <v>7.0</v>
      </c>
      <c r="F18" s="103">
        <v>90.0</v>
      </c>
      <c r="G18" s="99">
        <f t="shared" si="1"/>
        <v>630</v>
      </c>
      <c r="H18" s="107"/>
    </row>
    <row r="19">
      <c r="D19" s="100" t="s">
        <v>114</v>
      </c>
      <c r="E19" s="102">
        <v>1.0</v>
      </c>
      <c r="F19" s="103">
        <v>230.0</v>
      </c>
      <c r="G19" s="99">
        <f t="shared" si="1"/>
        <v>230</v>
      </c>
      <c r="H19" s="107"/>
    </row>
    <row r="20">
      <c r="D20" s="100" t="s">
        <v>115</v>
      </c>
      <c r="E20" s="102">
        <v>5.0</v>
      </c>
      <c r="F20" s="103">
        <v>230.0</v>
      </c>
      <c r="G20" s="99">
        <f t="shared" si="1"/>
        <v>1150</v>
      </c>
      <c r="H20" s="107"/>
    </row>
    <row r="21">
      <c r="D21" s="101" t="s">
        <v>116</v>
      </c>
      <c r="E21" s="102">
        <v>3.0</v>
      </c>
      <c r="F21" s="103">
        <v>230.0</v>
      </c>
      <c r="G21" s="99">
        <f t="shared" si="1"/>
        <v>690</v>
      </c>
      <c r="H21" s="107"/>
    </row>
    <row r="22">
      <c r="D22" s="101" t="s">
        <v>117</v>
      </c>
      <c r="E22" s="102">
        <v>4.0</v>
      </c>
      <c r="F22" s="103">
        <v>230.0</v>
      </c>
      <c r="G22" s="99">
        <f t="shared" si="1"/>
        <v>920</v>
      </c>
      <c r="H22" s="107"/>
    </row>
    <row r="23">
      <c r="D23" s="100" t="s">
        <v>118</v>
      </c>
      <c r="E23" s="102">
        <v>0.5</v>
      </c>
      <c r="F23" s="103">
        <v>1350.0</v>
      </c>
      <c r="G23" s="99">
        <f t="shared" si="1"/>
        <v>675</v>
      </c>
      <c r="H23" s="107"/>
    </row>
    <row r="24">
      <c r="D24" s="100" t="s">
        <v>119</v>
      </c>
      <c r="E24" s="102">
        <v>1.5</v>
      </c>
      <c r="F24" s="103">
        <v>575.0</v>
      </c>
      <c r="G24" s="99">
        <f t="shared" si="1"/>
        <v>862.5</v>
      </c>
      <c r="H24" s="107"/>
    </row>
    <row r="25">
      <c r="D25" s="100" t="s">
        <v>120</v>
      </c>
      <c r="E25" s="102">
        <v>1.0</v>
      </c>
      <c r="F25" s="103">
        <v>930.0</v>
      </c>
      <c r="G25" s="99">
        <f t="shared" si="1"/>
        <v>930</v>
      </c>
      <c r="H25" s="107"/>
    </row>
    <row r="26">
      <c r="D26" s="100" t="s">
        <v>121</v>
      </c>
      <c r="E26" s="102">
        <v>0.25</v>
      </c>
      <c r="F26" s="103">
        <v>4880.0</v>
      </c>
      <c r="G26" s="99">
        <f t="shared" si="1"/>
        <v>1220</v>
      </c>
      <c r="H26" s="107"/>
    </row>
    <row r="27">
      <c r="D27" s="100" t="s">
        <v>122</v>
      </c>
      <c r="E27" s="100">
        <v>4.0</v>
      </c>
      <c r="F27" s="103">
        <v>400.0</v>
      </c>
      <c r="G27" s="99">
        <f t="shared" si="1"/>
        <v>1600</v>
      </c>
      <c r="H27" s="107"/>
    </row>
    <row r="28">
      <c r="D28" s="100" t="s">
        <v>123</v>
      </c>
      <c r="E28" s="102">
        <v>0.5</v>
      </c>
      <c r="F28" s="103">
        <v>900.0</v>
      </c>
      <c r="G28" s="99">
        <f t="shared" si="1"/>
        <v>450</v>
      </c>
      <c r="H28" s="107"/>
    </row>
    <row r="29">
      <c r="D29" s="100" t="s">
        <v>124</v>
      </c>
      <c r="E29" s="102">
        <v>7.0</v>
      </c>
      <c r="F29" s="103">
        <v>280.0</v>
      </c>
      <c r="G29" s="103">
        <f t="shared" si="1"/>
        <v>1960</v>
      </c>
      <c r="H29" s="107"/>
    </row>
    <row r="30">
      <c r="D30" s="101" t="s">
        <v>125</v>
      </c>
      <c r="E30" s="102">
        <v>2.0</v>
      </c>
      <c r="F30" s="103">
        <v>25.0</v>
      </c>
      <c r="G30" s="99">
        <f t="shared" si="1"/>
        <v>50</v>
      </c>
      <c r="H30" s="107"/>
    </row>
    <row r="31">
      <c r="D31" s="101" t="s">
        <v>126</v>
      </c>
      <c r="E31" s="102">
        <v>9.0</v>
      </c>
      <c r="F31" s="103">
        <v>800.0</v>
      </c>
      <c r="G31" s="103">
        <f t="shared" si="1"/>
        <v>7200</v>
      </c>
      <c r="H31" s="107"/>
    </row>
    <row r="32">
      <c r="D32" s="100" t="s">
        <v>127</v>
      </c>
      <c r="E32" s="100">
        <v>2.5</v>
      </c>
      <c r="F32" s="103">
        <v>740.0</v>
      </c>
      <c r="G32" s="103">
        <f t="shared" si="1"/>
        <v>1850</v>
      </c>
      <c r="H32" s="107"/>
    </row>
    <row r="33">
      <c r="D33" s="100" t="s">
        <v>128</v>
      </c>
      <c r="E33" s="102">
        <v>0.5</v>
      </c>
      <c r="F33" s="103">
        <v>1500.0</v>
      </c>
      <c r="G33" s="99">
        <f t="shared" si="1"/>
        <v>750</v>
      </c>
      <c r="H33" s="107"/>
    </row>
    <row r="34">
      <c r="D34" s="100" t="s">
        <v>129</v>
      </c>
      <c r="E34" s="102">
        <v>0.5</v>
      </c>
      <c r="F34" s="103">
        <v>1500.0</v>
      </c>
      <c r="G34" s="99">
        <f t="shared" si="1"/>
        <v>750</v>
      </c>
      <c r="H34" s="107"/>
    </row>
    <row r="35">
      <c r="D35" s="100" t="s">
        <v>130</v>
      </c>
      <c r="E35" s="100">
        <v>0.5</v>
      </c>
      <c r="F35" s="103">
        <v>2000.0</v>
      </c>
      <c r="G35" s="99">
        <f t="shared" si="1"/>
        <v>1000</v>
      </c>
      <c r="H35" s="107"/>
    </row>
    <row r="36">
      <c r="D36" s="100" t="s">
        <v>131</v>
      </c>
      <c r="E36" s="102">
        <v>2.0</v>
      </c>
      <c r="F36" s="103">
        <v>350.0</v>
      </c>
      <c r="G36" s="99">
        <f t="shared" si="1"/>
        <v>700</v>
      </c>
      <c r="H36" s="107"/>
    </row>
    <row r="37">
      <c r="D37" s="100" t="s">
        <v>132</v>
      </c>
      <c r="E37" s="100">
        <v>11.0</v>
      </c>
      <c r="F37" s="103">
        <v>69.0</v>
      </c>
      <c r="G37" s="99">
        <f t="shared" si="1"/>
        <v>759</v>
      </c>
      <c r="H37" s="107"/>
    </row>
    <row r="38">
      <c r="D38" s="100" t="s">
        <v>133</v>
      </c>
      <c r="E38" s="102">
        <v>2.0</v>
      </c>
      <c r="F38" s="103">
        <v>800.0</v>
      </c>
      <c r="G38" s="103">
        <f t="shared" si="1"/>
        <v>1600</v>
      </c>
      <c r="H38" s="107"/>
    </row>
    <row r="39">
      <c r="D39" s="100" t="s">
        <v>134</v>
      </c>
      <c r="E39" s="102">
        <v>2.0</v>
      </c>
      <c r="F39" s="103">
        <v>1700.0</v>
      </c>
      <c r="G39" s="99">
        <f t="shared" si="1"/>
        <v>3400</v>
      </c>
      <c r="H39" s="107"/>
    </row>
    <row r="40">
      <c r="D40" s="100" t="s">
        <v>135</v>
      </c>
      <c r="E40" s="102">
        <v>2.0</v>
      </c>
      <c r="F40" s="106">
        <v>650.0</v>
      </c>
      <c r="G40" s="99">
        <f t="shared" si="1"/>
        <v>1300</v>
      </c>
      <c r="H40" s="107"/>
    </row>
    <row r="41">
      <c r="D41" s="100" t="s">
        <v>136</v>
      </c>
      <c r="E41" s="102">
        <v>2.0</v>
      </c>
      <c r="F41" s="103">
        <v>52.0</v>
      </c>
      <c r="G41" s="99">
        <f t="shared" si="1"/>
        <v>104</v>
      </c>
      <c r="H41" s="107"/>
    </row>
    <row r="42">
      <c r="D42" s="100" t="s">
        <v>137</v>
      </c>
      <c r="E42" s="102">
        <v>31.0</v>
      </c>
      <c r="F42" s="103">
        <v>67.0</v>
      </c>
      <c r="G42" s="99">
        <f t="shared" si="1"/>
        <v>2077</v>
      </c>
      <c r="H42" s="107"/>
    </row>
    <row r="43">
      <c r="D43" s="100" t="s">
        <v>138</v>
      </c>
      <c r="E43" s="102">
        <v>17.0</v>
      </c>
      <c r="F43" s="103">
        <v>52.0</v>
      </c>
      <c r="G43" s="99">
        <f t="shared" si="1"/>
        <v>884</v>
      </c>
      <c r="H43" s="107"/>
    </row>
    <row r="44">
      <c r="D44" s="100" t="s">
        <v>139</v>
      </c>
      <c r="E44" s="102">
        <v>0.0</v>
      </c>
      <c r="F44" s="103">
        <v>72.0</v>
      </c>
      <c r="G44" s="99">
        <f t="shared" si="1"/>
        <v>0</v>
      </c>
      <c r="H44" s="107"/>
    </row>
    <row r="45">
      <c r="D45" s="100" t="s">
        <v>140</v>
      </c>
      <c r="E45" s="102">
        <v>18.0</v>
      </c>
      <c r="F45" s="103">
        <v>29.2</v>
      </c>
      <c r="G45" s="99">
        <f t="shared" si="1"/>
        <v>525.6</v>
      </c>
      <c r="H45" s="107"/>
    </row>
    <row r="46">
      <c r="D46" s="54" t="s">
        <v>141</v>
      </c>
      <c r="E46" s="14">
        <v>6.0</v>
      </c>
      <c r="F46" s="18">
        <v>50.0</v>
      </c>
      <c r="G46" s="18">
        <f t="shared" si="1"/>
        <v>300</v>
      </c>
      <c r="H46" s="107"/>
    </row>
    <row r="47">
      <c r="D47" s="100" t="s">
        <v>142</v>
      </c>
      <c r="E47" s="102">
        <v>50.0</v>
      </c>
      <c r="F47" s="103">
        <v>42.0</v>
      </c>
      <c r="G47" s="99">
        <f t="shared" si="1"/>
        <v>2100</v>
      </c>
      <c r="H47" s="107"/>
    </row>
    <row r="48">
      <c r="D48" s="100" t="s">
        <v>143</v>
      </c>
      <c r="E48" s="102">
        <v>1.0</v>
      </c>
      <c r="F48" s="103">
        <v>750.0</v>
      </c>
      <c r="G48" s="99">
        <f t="shared" si="1"/>
        <v>750</v>
      </c>
      <c r="H48" s="107"/>
    </row>
    <row r="49">
      <c r="D49" s="100" t="s">
        <v>144</v>
      </c>
      <c r="E49" s="102">
        <v>1.0</v>
      </c>
      <c r="F49" s="103">
        <v>560.0</v>
      </c>
      <c r="G49" s="99">
        <f t="shared" si="1"/>
        <v>560</v>
      </c>
      <c r="H49" s="107"/>
    </row>
    <row r="50">
      <c r="D50" s="100" t="s">
        <v>145</v>
      </c>
      <c r="E50" s="102">
        <v>2.0</v>
      </c>
      <c r="F50" s="103">
        <v>1250.0</v>
      </c>
      <c r="G50" s="99">
        <f t="shared" si="1"/>
        <v>2500</v>
      </c>
      <c r="H50" s="107"/>
    </row>
    <row r="51">
      <c r="D51" s="100" t="s">
        <v>146</v>
      </c>
      <c r="E51" s="100">
        <v>12.0</v>
      </c>
      <c r="F51" s="103">
        <v>150.0</v>
      </c>
      <c r="G51" s="99">
        <f t="shared" si="1"/>
        <v>1800</v>
      </c>
      <c r="H51" s="107"/>
    </row>
    <row r="52">
      <c r="D52" s="100" t="s">
        <v>147</v>
      </c>
      <c r="E52" s="100">
        <v>0.5</v>
      </c>
      <c r="F52" s="103">
        <v>1200.0</v>
      </c>
      <c r="G52" s="99">
        <f t="shared" si="1"/>
        <v>600</v>
      </c>
      <c r="H52" s="107"/>
    </row>
    <row r="53">
      <c r="D53" s="100" t="s">
        <v>148</v>
      </c>
      <c r="E53" s="102">
        <v>2.0</v>
      </c>
      <c r="F53" s="103">
        <v>1850.0</v>
      </c>
      <c r="G53" s="99">
        <f t="shared" si="1"/>
        <v>3700</v>
      </c>
      <c r="H53" s="107"/>
    </row>
    <row r="54">
      <c r="D54" s="108" t="s">
        <v>149</v>
      </c>
      <c r="E54" s="108">
        <v>1.0</v>
      </c>
      <c r="F54" s="109">
        <v>1000.0</v>
      </c>
      <c r="G54" s="99">
        <f t="shared" si="1"/>
        <v>1000</v>
      </c>
      <c r="H54" s="107"/>
    </row>
    <row r="55">
      <c r="D55" s="108" t="s">
        <v>150</v>
      </c>
      <c r="E55" s="108">
        <v>1.0</v>
      </c>
      <c r="F55" s="109">
        <v>350.0</v>
      </c>
      <c r="G55" s="99">
        <f t="shared" si="1"/>
        <v>350</v>
      </c>
      <c r="H55" s="107"/>
    </row>
    <row r="56">
      <c r="D56" s="110" t="s">
        <v>151</v>
      </c>
      <c r="E56" s="110">
        <v>18.0</v>
      </c>
      <c r="F56" s="111">
        <v>580.0</v>
      </c>
      <c r="G56" s="99">
        <f t="shared" si="1"/>
        <v>10440</v>
      </c>
      <c r="H56" s="107"/>
    </row>
    <row r="57">
      <c r="D57" s="110" t="s">
        <v>152</v>
      </c>
      <c r="E57" s="110">
        <v>1.0</v>
      </c>
      <c r="F57" s="111">
        <v>1400.0</v>
      </c>
      <c r="G57" s="99">
        <f t="shared" si="1"/>
        <v>1400</v>
      </c>
      <c r="H57" s="107"/>
    </row>
    <row r="58">
      <c r="D58" s="102" t="s">
        <v>153</v>
      </c>
      <c r="E58" s="102">
        <v>1.0</v>
      </c>
      <c r="F58" s="106">
        <v>1100.0</v>
      </c>
      <c r="G58" s="99">
        <f t="shared" si="1"/>
        <v>1100</v>
      </c>
      <c r="H58" s="107"/>
    </row>
    <row r="59">
      <c r="D59" s="112" t="s">
        <v>154</v>
      </c>
      <c r="E59" s="113">
        <v>2.0</v>
      </c>
      <c r="F59" s="114">
        <v>600.0</v>
      </c>
      <c r="G59" s="115">
        <v>1200.0</v>
      </c>
      <c r="H59" s="107"/>
    </row>
    <row r="60">
      <c r="D60" s="116" t="s">
        <v>155</v>
      </c>
      <c r="E60" s="117">
        <v>2.0</v>
      </c>
      <c r="F60" s="118">
        <v>600.0</v>
      </c>
      <c r="G60" s="119">
        <v>1200.0</v>
      </c>
      <c r="H60" s="107"/>
    </row>
    <row r="61">
      <c r="D61" s="112" t="s">
        <v>156</v>
      </c>
      <c r="E61" s="113">
        <v>5.0</v>
      </c>
      <c r="F61" s="114">
        <v>400.0</v>
      </c>
      <c r="G61" s="115">
        <v>2000.0</v>
      </c>
      <c r="H61" s="107"/>
    </row>
    <row r="62">
      <c r="D62" s="102" t="s">
        <v>157</v>
      </c>
      <c r="E62" s="102">
        <v>1.7</v>
      </c>
      <c r="F62" s="106">
        <v>1850.0</v>
      </c>
      <c r="G62" s="99">
        <f t="shared" ref="G62:G386" si="2">E62*F62</f>
        <v>3145</v>
      </c>
      <c r="H62" s="107"/>
    </row>
    <row r="63">
      <c r="D63" s="102" t="s">
        <v>158</v>
      </c>
      <c r="E63" s="102">
        <v>1.0</v>
      </c>
      <c r="F63" s="106">
        <v>1450.0</v>
      </c>
      <c r="G63" s="99">
        <f t="shared" si="2"/>
        <v>1450</v>
      </c>
      <c r="H63" s="107"/>
    </row>
    <row r="64">
      <c r="D64" s="102" t="s">
        <v>159</v>
      </c>
      <c r="E64" s="102">
        <v>1.0</v>
      </c>
      <c r="F64" s="106">
        <v>1990.0</v>
      </c>
      <c r="G64" s="99">
        <f t="shared" si="2"/>
        <v>1990</v>
      </c>
      <c r="H64" s="107"/>
    </row>
    <row r="65">
      <c r="D65" s="120" t="s">
        <v>160</v>
      </c>
      <c r="E65" s="120">
        <v>0.5</v>
      </c>
      <c r="F65" s="121">
        <v>1200.0</v>
      </c>
      <c r="G65" s="122">
        <f t="shared" si="2"/>
        <v>600</v>
      </c>
      <c r="H65" s="107"/>
    </row>
    <row r="66">
      <c r="D66" s="120" t="s">
        <v>161</v>
      </c>
      <c r="E66" s="123">
        <v>3.0</v>
      </c>
      <c r="F66" s="121">
        <v>500.0</v>
      </c>
      <c r="G66" s="122">
        <f t="shared" si="2"/>
        <v>1500</v>
      </c>
      <c r="H66" s="107"/>
    </row>
    <row r="67">
      <c r="D67" s="120" t="s">
        <v>162</v>
      </c>
      <c r="E67" s="123">
        <v>0.5</v>
      </c>
      <c r="F67" s="121">
        <v>780.0</v>
      </c>
      <c r="G67" s="122">
        <f t="shared" si="2"/>
        <v>390</v>
      </c>
      <c r="H67" s="107"/>
    </row>
    <row r="68">
      <c r="D68" s="120" t="s">
        <v>163</v>
      </c>
      <c r="E68" s="123">
        <v>0.5</v>
      </c>
      <c r="F68" s="121">
        <v>950.0</v>
      </c>
      <c r="G68" s="122">
        <f t="shared" si="2"/>
        <v>475</v>
      </c>
      <c r="H68" s="107"/>
    </row>
    <row r="69">
      <c r="D69" s="120" t="s">
        <v>164</v>
      </c>
      <c r="E69" s="123">
        <v>1.5</v>
      </c>
      <c r="F69" s="63">
        <v>1200.0</v>
      </c>
      <c r="G69" s="122">
        <f t="shared" si="2"/>
        <v>1800</v>
      </c>
      <c r="H69" s="107"/>
    </row>
    <row r="70">
      <c r="D70" s="102" t="s">
        <v>165</v>
      </c>
      <c r="E70" s="102">
        <v>1.0</v>
      </c>
      <c r="F70" s="106">
        <v>900.0</v>
      </c>
      <c r="G70" s="99">
        <f t="shared" si="2"/>
        <v>900</v>
      </c>
      <c r="H70" s="107"/>
    </row>
    <row r="71">
      <c r="D71" s="102" t="s">
        <v>166</v>
      </c>
      <c r="E71" s="102">
        <v>20.0</v>
      </c>
      <c r="F71" s="106">
        <v>60.0</v>
      </c>
      <c r="G71" s="99">
        <f t="shared" si="2"/>
        <v>1200</v>
      </c>
      <c r="H71" s="107"/>
    </row>
    <row r="72">
      <c r="D72" s="102" t="s">
        <v>167</v>
      </c>
      <c r="E72" s="102">
        <v>10.0</v>
      </c>
      <c r="F72" s="106">
        <v>115.0</v>
      </c>
      <c r="G72" s="99">
        <f t="shared" si="2"/>
        <v>1150</v>
      </c>
      <c r="H72" s="107"/>
    </row>
    <row r="73">
      <c r="D73" s="102" t="s">
        <v>168</v>
      </c>
      <c r="E73" s="102">
        <v>1.0</v>
      </c>
      <c r="F73" s="106">
        <v>2450.0</v>
      </c>
      <c r="G73" s="99">
        <f t="shared" si="2"/>
        <v>2450</v>
      </c>
      <c r="H73" s="107"/>
    </row>
    <row r="74">
      <c r="D74" s="102" t="s">
        <v>169</v>
      </c>
      <c r="E74" s="102">
        <v>2.0</v>
      </c>
      <c r="F74" s="106">
        <v>220.0</v>
      </c>
      <c r="G74" s="99">
        <f t="shared" si="2"/>
        <v>440</v>
      </c>
      <c r="H74" s="107"/>
    </row>
    <row r="75">
      <c r="D75" s="102" t="s">
        <v>170</v>
      </c>
      <c r="E75" s="102">
        <v>2.0</v>
      </c>
      <c r="F75" s="106">
        <v>280.0</v>
      </c>
      <c r="G75" s="99">
        <f t="shared" si="2"/>
        <v>560</v>
      </c>
      <c r="H75" s="107"/>
    </row>
    <row r="76">
      <c r="D76" s="102" t="s">
        <v>171</v>
      </c>
      <c r="E76" s="102">
        <v>30.0</v>
      </c>
      <c r="F76" s="106">
        <v>84.0</v>
      </c>
      <c r="G76" s="99">
        <f t="shared" si="2"/>
        <v>2520</v>
      </c>
      <c r="H76" s="107"/>
    </row>
    <row r="77">
      <c r="D77" s="102" t="s">
        <v>172</v>
      </c>
      <c r="E77" s="102">
        <v>15.0</v>
      </c>
      <c r="F77" s="106">
        <v>30.0</v>
      </c>
      <c r="G77" s="99">
        <f t="shared" si="2"/>
        <v>450</v>
      </c>
      <c r="H77" s="107"/>
    </row>
    <row r="78">
      <c r="D78" s="102" t="s">
        <v>173</v>
      </c>
      <c r="E78" s="102">
        <v>1.0</v>
      </c>
      <c r="F78" s="106">
        <v>110.0</v>
      </c>
      <c r="G78" s="99">
        <f t="shared" si="2"/>
        <v>110</v>
      </c>
      <c r="H78" s="107"/>
    </row>
    <row r="79">
      <c r="D79" s="102" t="s">
        <v>174</v>
      </c>
      <c r="E79" s="102">
        <v>1.0</v>
      </c>
      <c r="F79" s="106">
        <v>350.0</v>
      </c>
      <c r="G79" s="99">
        <f t="shared" si="2"/>
        <v>350</v>
      </c>
      <c r="H79" s="107"/>
    </row>
    <row r="80">
      <c r="D80" s="102" t="s">
        <v>175</v>
      </c>
      <c r="E80" s="102">
        <v>1.0</v>
      </c>
      <c r="F80" s="106">
        <v>200.0</v>
      </c>
      <c r="G80" s="99">
        <f t="shared" si="2"/>
        <v>200</v>
      </c>
      <c r="H80" s="107"/>
    </row>
    <row r="81">
      <c r="D81" s="102" t="s">
        <v>169</v>
      </c>
      <c r="E81" s="102">
        <v>2.0</v>
      </c>
      <c r="F81" s="106">
        <v>250.0</v>
      </c>
      <c r="G81" s="99">
        <f t="shared" si="2"/>
        <v>500</v>
      </c>
      <c r="H81" s="107"/>
    </row>
    <row r="82">
      <c r="D82" s="102" t="s">
        <v>176</v>
      </c>
      <c r="E82" s="102">
        <v>7.0</v>
      </c>
      <c r="F82" s="106">
        <v>500.0</v>
      </c>
      <c r="G82" s="99">
        <f t="shared" si="2"/>
        <v>3500</v>
      </c>
      <c r="H82" s="107"/>
    </row>
    <row r="83">
      <c r="D83" s="102" t="s">
        <v>177</v>
      </c>
      <c r="E83" s="102">
        <v>2.0</v>
      </c>
      <c r="F83" s="106">
        <v>1000.0</v>
      </c>
      <c r="G83" s="99">
        <f t="shared" si="2"/>
        <v>2000</v>
      </c>
      <c r="H83" s="107"/>
    </row>
    <row r="84">
      <c r="D84" s="102" t="s">
        <v>178</v>
      </c>
      <c r="E84" s="102">
        <v>6.0</v>
      </c>
      <c r="F84" s="106">
        <v>750.0</v>
      </c>
      <c r="G84" s="99">
        <f t="shared" si="2"/>
        <v>4500</v>
      </c>
      <c r="H84" s="107"/>
    </row>
    <row r="85">
      <c r="D85" s="102" t="s">
        <v>179</v>
      </c>
      <c r="E85" s="102">
        <v>1.0</v>
      </c>
      <c r="F85" s="106">
        <v>30.0</v>
      </c>
      <c r="G85" s="99">
        <f t="shared" si="2"/>
        <v>30</v>
      </c>
      <c r="H85" s="107"/>
    </row>
    <row r="86">
      <c r="D86" s="102" t="s">
        <v>180</v>
      </c>
      <c r="E86" s="102">
        <v>2.0</v>
      </c>
      <c r="F86" s="106">
        <v>790.0</v>
      </c>
      <c r="G86" s="99">
        <f t="shared" si="2"/>
        <v>1580</v>
      </c>
      <c r="H86" s="107"/>
    </row>
    <row r="87">
      <c r="D87" s="102" t="s">
        <v>181</v>
      </c>
      <c r="E87" s="102">
        <v>2.0</v>
      </c>
      <c r="F87" s="106">
        <v>100.0</v>
      </c>
      <c r="G87" s="99">
        <f t="shared" si="2"/>
        <v>200</v>
      </c>
      <c r="H87" s="107"/>
    </row>
    <row r="88">
      <c r="D88" s="102" t="s">
        <v>182</v>
      </c>
      <c r="E88" s="102">
        <v>7.0</v>
      </c>
      <c r="F88" s="106">
        <v>120.0</v>
      </c>
      <c r="G88" s="99">
        <f t="shared" si="2"/>
        <v>840</v>
      </c>
      <c r="H88" s="107"/>
    </row>
    <row r="89">
      <c r="D89" s="102" t="s">
        <v>183</v>
      </c>
      <c r="E89" s="102">
        <v>1.0</v>
      </c>
      <c r="F89" s="106">
        <v>140.0</v>
      </c>
      <c r="G89" s="99">
        <f t="shared" si="2"/>
        <v>140</v>
      </c>
      <c r="H89" s="107"/>
    </row>
    <row r="90">
      <c r="D90" s="102" t="s">
        <v>183</v>
      </c>
      <c r="E90" s="102">
        <v>3.0</v>
      </c>
      <c r="F90" s="106">
        <v>70.0</v>
      </c>
      <c r="G90" s="99">
        <f t="shared" si="2"/>
        <v>210</v>
      </c>
      <c r="H90" s="107"/>
    </row>
    <row r="91">
      <c r="D91" s="102" t="s">
        <v>184</v>
      </c>
      <c r="E91" s="102">
        <v>2.0</v>
      </c>
      <c r="F91" s="106">
        <v>160.0</v>
      </c>
      <c r="G91" s="99">
        <f t="shared" si="2"/>
        <v>320</v>
      </c>
      <c r="H91" s="107"/>
    </row>
    <row r="92">
      <c r="D92" s="102" t="s">
        <v>185</v>
      </c>
      <c r="E92" s="102">
        <v>1.0</v>
      </c>
      <c r="F92" s="106">
        <v>2490.0</v>
      </c>
      <c r="G92" s="99">
        <f t="shared" si="2"/>
        <v>2490</v>
      </c>
      <c r="H92" s="102" t="s">
        <v>186</v>
      </c>
    </row>
    <row r="93">
      <c r="D93" s="102" t="s">
        <v>105</v>
      </c>
      <c r="E93" s="102">
        <v>20.0</v>
      </c>
      <c r="F93" s="106">
        <v>600.0</v>
      </c>
      <c r="G93" s="99">
        <f t="shared" si="2"/>
        <v>12000</v>
      </c>
      <c r="H93" s="124">
        <v>45629.0</v>
      </c>
    </row>
    <row r="94">
      <c r="D94" s="102" t="s">
        <v>102</v>
      </c>
      <c r="E94" s="102">
        <v>48.0</v>
      </c>
      <c r="F94" s="106">
        <v>176.0</v>
      </c>
      <c r="G94" s="99">
        <f t="shared" si="2"/>
        <v>8448</v>
      </c>
      <c r="H94" s="107"/>
    </row>
    <row r="95">
      <c r="D95" s="102" t="s">
        <v>133</v>
      </c>
      <c r="E95" s="102">
        <v>5.0</v>
      </c>
      <c r="F95" s="106">
        <v>795.0</v>
      </c>
      <c r="G95" s="99">
        <f t="shared" si="2"/>
        <v>3975</v>
      </c>
      <c r="H95" s="107"/>
    </row>
    <row r="96">
      <c r="D96" s="102" t="s">
        <v>187</v>
      </c>
      <c r="E96" s="102">
        <v>12.0</v>
      </c>
      <c r="F96" s="106">
        <v>50.0</v>
      </c>
      <c r="G96" s="99">
        <f t="shared" si="2"/>
        <v>600</v>
      </c>
      <c r="H96" s="107"/>
    </row>
    <row r="97">
      <c r="D97" s="102" t="s">
        <v>188</v>
      </c>
      <c r="E97" s="102">
        <v>1.0</v>
      </c>
      <c r="F97" s="106">
        <v>50.0</v>
      </c>
      <c r="G97" s="99">
        <f t="shared" si="2"/>
        <v>50</v>
      </c>
      <c r="H97" s="107"/>
    </row>
    <row r="98">
      <c r="D98" s="102" t="s">
        <v>189</v>
      </c>
      <c r="E98" s="102">
        <v>1.0</v>
      </c>
      <c r="F98" s="106">
        <v>850.0</v>
      </c>
      <c r="G98" s="99">
        <f t="shared" si="2"/>
        <v>850</v>
      </c>
      <c r="H98" s="107"/>
    </row>
    <row r="99">
      <c r="D99" s="102" t="s">
        <v>190</v>
      </c>
      <c r="E99" s="102">
        <v>1.0</v>
      </c>
      <c r="F99" s="106">
        <v>300.0</v>
      </c>
      <c r="G99" s="99">
        <f t="shared" si="2"/>
        <v>300</v>
      </c>
      <c r="H99" s="107"/>
    </row>
    <row r="100">
      <c r="D100" s="102" t="s">
        <v>191</v>
      </c>
      <c r="E100" s="102">
        <v>1.0</v>
      </c>
      <c r="F100" s="106">
        <v>450.0</v>
      </c>
      <c r="G100" s="99">
        <f t="shared" si="2"/>
        <v>450</v>
      </c>
      <c r="H100" s="107"/>
    </row>
    <row r="101">
      <c r="D101" s="102" t="s">
        <v>192</v>
      </c>
      <c r="E101" s="102">
        <v>12.0</v>
      </c>
      <c r="F101" s="106">
        <v>420.0</v>
      </c>
      <c r="G101" s="99">
        <f t="shared" si="2"/>
        <v>5040</v>
      </c>
      <c r="H101" s="107"/>
    </row>
    <row r="102">
      <c r="D102" s="102" t="s">
        <v>193</v>
      </c>
      <c r="E102" s="102">
        <v>5.0</v>
      </c>
      <c r="F102" s="106">
        <v>1320.0</v>
      </c>
      <c r="G102" s="99">
        <f t="shared" si="2"/>
        <v>6600</v>
      </c>
      <c r="H102" s="107"/>
    </row>
    <row r="103">
      <c r="D103" s="102" t="s">
        <v>159</v>
      </c>
      <c r="E103" s="102">
        <v>5.0</v>
      </c>
      <c r="F103" s="106">
        <v>1970.0</v>
      </c>
      <c r="G103" s="99">
        <f t="shared" si="2"/>
        <v>9850</v>
      </c>
      <c r="H103" s="107"/>
    </row>
    <row r="104">
      <c r="D104" s="102" t="s">
        <v>194</v>
      </c>
      <c r="E104" s="102">
        <v>5.0</v>
      </c>
      <c r="F104" s="106">
        <v>1750.0</v>
      </c>
      <c r="G104" s="99">
        <f t="shared" si="2"/>
        <v>8750</v>
      </c>
      <c r="H104" s="107"/>
    </row>
    <row r="105">
      <c r="D105" s="102" t="s">
        <v>104</v>
      </c>
      <c r="E105" s="102">
        <v>12.0</v>
      </c>
      <c r="F105" s="106">
        <v>320.0</v>
      </c>
      <c r="G105" s="99">
        <f t="shared" si="2"/>
        <v>3840</v>
      </c>
      <c r="H105" s="107"/>
    </row>
    <row r="106">
      <c r="D106" s="102" t="s">
        <v>195</v>
      </c>
      <c r="E106" s="102">
        <v>14.0</v>
      </c>
      <c r="F106" s="106">
        <v>193.0</v>
      </c>
      <c r="G106" s="99">
        <f t="shared" si="2"/>
        <v>2702</v>
      </c>
      <c r="H106" s="107"/>
    </row>
    <row r="107">
      <c r="D107" s="102" t="s">
        <v>170</v>
      </c>
      <c r="E107" s="102">
        <v>200.0</v>
      </c>
      <c r="F107" s="106">
        <v>6.5</v>
      </c>
      <c r="G107" s="99">
        <f t="shared" si="2"/>
        <v>1300</v>
      </c>
      <c r="H107" s="107"/>
    </row>
    <row r="108">
      <c r="D108" s="102" t="s">
        <v>148</v>
      </c>
      <c r="E108" s="102">
        <v>2.0</v>
      </c>
      <c r="F108" s="106">
        <v>1900.0</v>
      </c>
      <c r="G108" s="99">
        <f t="shared" si="2"/>
        <v>3800</v>
      </c>
      <c r="H108" s="107"/>
    </row>
    <row r="109">
      <c r="D109" s="102" t="s">
        <v>172</v>
      </c>
      <c r="E109" s="102">
        <v>15.0</v>
      </c>
      <c r="F109" s="106">
        <v>30.0</v>
      </c>
      <c r="G109" s="99">
        <f t="shared" si="2"/>
        <v>450</v>
      </c>
      <c r="H109" s="107"/>
    </row>
    <row r="110">
      <c r="D110" s="102" t="s">
        <v>196</v>
      </c>
      <c r="E110" s="102">
        <v>16.0</v>
      </c>
      <c r="F110" s="106">
        <v>115.0</v>
      </c>
      <c r="G110" s="99">
        <f t="shared" si="2"/>
        <v>1840</v>
      </c>
      <c r="H110" s="107"/>
    </row>
    <row r="111">
      <c r="D111" s="102" t="s">
        <v>197</v>
      </c>
      <c r="E111" s="102">
        <v>1.7</v>
      </c>
      <c r="F111" s="106">
        <v>1800.0</v>
      </c>
      <c r="G111" s="99">
        <f t="shared" si="2"/>
        <v>3060</v>
      </c>
      <c r="H111" s="107"/>
    </row>
    <row r="112">
      <c r="D112" s="102" t="s">
        <v>198</v>
      </c>
      <c r="E112" s="102">
        <v>3.0</v>
      </c>
      <c r="F112" s="106">
        <v>200.0</v>
      </c>
      <c r="G112" s="99">
        <f t="shared" si="2"/>
        <v>600</v>
      </c>
      <c r="H112" s="107"/>
    </row>
    <row r="113">
      <c r="D113" s="102" t="s">
        <v>199</v>
      </c>
      <c r="E113" s="102">
        <v>5.0</v>
      </c>
      <c r="F113" s="106">
        <v>200.0</v>
      </c>
      <c r="G113" s="99">
        <f t="shared" si="2"/>
        <v>1000</v>
      </c>
      <c r="H113" s="107"/>
    </row>
    <row r="114">
      <c r="D114" s="102" t="s">
        <v>200</v>
      </c>
      <c r="E114" s="102">
        <v>5.0</v>
      </c>
      <c r="F114" s="106">
        <v>350.0</v>
      </c>
      <c r="G114" s="99">
        <f t="shared" si="2"/>
        <v>1750</v>
      </c>
      <c r="H114" s="107"/>
    </row>
    <row r="115">
      <c r="D115" s="102" t="s">
        <v>201</v>
      </c>
      <c r="E115" s="102">
        <v>0.5</v>
      </c>
      <c r="F115" s="106">
        <v>2200.0</v>
      </c>
      <c r="G115" s="99">
        <f t="shared" si="2"/>
        <v>1100</v>
      </c>
      <c r="H115" s="107"/>
    </row>
    <row r="116">
      <c r="D116" s="102" t="s">
        <v>202</v>
      </c>
      <c r="E116" s="102">
        <v>2.0</v>
      </c>
      <c r="F116" s="106">
        <v>100.0</v>
      </c>
      <c r="G116" s="99">
        <f t="shared" si="2"/>
        <v>200</v>
      </c>
      <c r="H116" s="107"/>
    </row>
    <row r="117">
      <c r="D117" s="102" t="s">
        <v>203</v>
      </c>
      <c r="E117" s="102">
        <v>1.0</v>
      </c>
      <c r="F117" s="106">
        <v>60.0</v>
      </c>
      <c r="G117" s="99">
        <f t="shared" si="2"/>
        <v>60</v>
      </c>
      <c r="H117" s="107"/>
    </row>
    <row r="118">
      <c r="D118" s="102" t="s">
        <v>204</v>
      </c>
      <c r="E118" s="102">
        <v>2.5</v>
      </c>
      <c r="F118" s="106">
        <v>180.0</v>
      </c>
      <c r="G118" s="99">
        <f t="shared" si="2"/>
        <v>450</v>
      </c>
      <c r="H118" s="107"/>
    </row>
    <row r="119">
      <c r="D119" s="102" t="s">
        <v>205</v>
      </c>
      <c r="E119" s="102">
        <v>1.0</v>
      </c>
      <c r="F119" s="106">
        <v>220.0</v>
      </c>
      <c r="G119" s="99">
        <f t="shared" si="2"/>
        <v>220</v>
      </c>
      <c r="H119" s="107"/>
    </row>
    <row r="120">
      <c r="D120" s="102" t="s">
        <v>206</v>
      </c>
      <c r="E120" s="102">
        <v>1.0</v>
      </c>
      <c r="F120" s="106">
        <v>140.0</v>
      </c>
      <c r="G120" s="99">
        <f t="shared" si="2"/>
        <v>140</v>
      </c>
      <c r="H120" s="107"/>
    </row>
    <row r="121">
      <c r="D121" s="102" t="s">
        <v>207</v>
      </c>
      <c r="E121" s="102">
        <v>300.0</v>
      </c>
      <c r="F121" s="106">
        <v>50.0</v>
      </c>
      <c r="G121" s="99">
        <f t="shared" si="2"/>
        <v>15000</v>
      </c>
      <c r="H121" s="107"/>
    </row>
    <row r="122">
      <c r="D122" s="102" t="s">
        <v>208</v>
      </c>
      <c r="E122" s="102">
        <v>1.0</v>
      </c>
      <c r="F122" s="106">
        <v>700.0</v>
      </c>
      <c r="G122" s="99">
        <f t="shared" si="2"/>
        <v>700</v>
      </c>
      <c r="H122" s="107"/>
    </row>
    <row r="123">
      <c r="D123" s="102" t="s">
        <v>209</v>
      </c>
      <c r="E123" s="102">
        <v>1.0</v>
      </c>
      <c r="F123" s="106">
        <v>2000.0</v>
      </c>
      <c r="G123" s="99">
        <f t="shared" si="2"/>
        <v>2000</v>
      </c>
      <c r="H123" s="107"/>
    </row>
    <row r="124">
      <c r="D124" s="102" t="s">
        <v>210</v>
      </c>
      <c r="E124" s="102">
        <v>50.0</v>
      </c>
      <c r="F124" s="106">
        <v>15.0</v>
      </c>
      <c r="G124" s="99">
        <f t="shared" si="2"/>
        <v>750</v>
      </c>
      <c r="H124" s="107"/>
    </row>
    <row r="125">
      <c r="D125" s="102" t="s">
        <v>211</v>
      </c>
      <c r="E125" s="102">
        <v>7.0</v>
      </c>
      <c r="F125" s="106">
        <v>80.0</v>
      </c>
      <c r="G125" s="99">
        <f t="shared" si="2"/>
        <v>560</v>
      </c>
      <c r="H125" s="124">
        <v>45631.0</v>
      </c>
    </row>
    <row r="126">
      <c r="D126" s="102" t="s">
        <v>212</v>
      </c>
      <c r="E126" s="102">
        <v>1.0</v>
      </c>
      <c r="F126" s="106">
        <v>700.0</v>
      </c>
      <c r="G126" s="99">
        <f t="shared" si="2"/>
        <v>700</v>
      </c>
      <c r="H126" s="107"/>
    </row>
    <row r="127">
      <c r="D127" s="102" t="s">
        <v>213</v>
      </c>
      <c r="E127" s="102">
        <v>10.0</v>
      </c>
      <c r="F127" s="106">
        <v>100.0</v>
      </c>
      <c r="G127" s="99">
        <f t="shared" si="2"/>
        <v>1000</v>
      </c>
      <c r="H127" s="107"/>
    </row>
    <row r="128">
      <c r="D128" s="102" t="s">
        <v>173</v>
      </c>
      <c r="E128" s="102">
        <v>1.0</v>
      </c>
      <c r="F128" s="106">
        <v>120.0</v>
      </c>
      <c r="G128" s="99">
        <f t="shared" si="2"/>
        <v>120</v>
      </c>
      <c r="H128" s="107"/>
    </row>
    <row r="129">
      <c r="D129" s="102" t="s">
        <v>214</v>
      </c>
      <c r="E129" s="102">
        <v>1.0</v>
      </c>
      <c r="F129" s="106">
        <v>180.0</v>
      </c>
      <c r="G129" s="99">
        <f t="shared" si="2"/>
        <v>180</v>
      </c>
      <c r="H129" s="107"/>
    </row>
    <row r="130">
      <c r="D130" s="102" t="s">
        <v>190</v>
      </c>
      <c r="E130" s="102">
        <v>1.0</v>
      </c>
      <c r="F130" s="106">
        <v>200.0</v>
      </c>
      <c r="G130" s="99">
        <f t="shared" si="2"/>
        <v>200</v>
      </c>
      <c r="H130" s="107"/>
    </row>
    <row r="131">
      <c r="C131" s="125">
        <v>400.0</v>
      </c>
      <c r="D131" s="102" t="s">
        <v>131</v>
      </c>
      <c r="E131" s="102">
        <v>2.0</v>
      </c>
      <c r="F131" s="106">
        <v>400.0</v>
      </c>
      <c r="G131" s="99">
        <f t="shared" si="2"/>
        <v>800</v>
      </c>
      <c r="H131" s="107"/>
    </row>
    <row r="132">
      <c r="C132" s="125">
        <v>840.0</v>
      </c>
      <c r="D132" s="102" t="s">
        <v>215</v>
      </c>
      <c r="E132" s="102">
        <v>2.5</v>
      </c>
      <c r="F132" s="106">
        <v>840.0</v>
      </c>
      <c r="G132" s="99">
        <f t="shared" si="2"/>
        <v>2100</v>
      </c>
      <c r="H132" s="107"/>
    </row>
    <row r="133">
      <c r="D133" s="102" t="s">
        <v>216</v>
      </c>
      <c r="E133" s="102">
        <v>5.0</v>
      </c>
      <c r="F133" s="106">
        <v>1000.0</v>
      </c>
      <c r="G133" s="99">
        <f t="shared" si="2"/>
        <v>5000</v>
      </c>
      <c r="H133" s="107"/>
    </row>
    <row r="134">
      <c r="D134" s="102" t="s">
        <v>217</v>
      </c>
      <c r="E134" s="102">
        <v>1.0</v>
      </c>
      <c r="F134" s="106">
        <v>200.0</v>
      </c>
      <c r="G134" s="99">
        <f t="shared" si="2"/>
        <v>200</v>
      </c>
      <c r="H134" s="107"/>
    </row>
    <row r="135">
      <c r="C135" s="125">
        <v>120.0</v>
      </c>
      <c r="D135" s="102" t="s">
        <v>130</v>
      </c>
      <c r="E135" s="102">
        <v>1.0</v>
      </c>
      <c r="F135" s="106">
        <v>120.0</v>
      </c>
      <c r="G135" s="99">
        <f t="shared" si="2"/>
        <v>120</v>
      </c>
      <c r="H135" s="107"/>
    </row>
    <row r="136">
      <c r="D136" s="102" t="s">
        <v>131</v>
      </c>
      <c r="E136" s="102">
        <v>2.0</v>
      </c>
      <c r="F136" s="106">
        <v>350.0</v>
      </c>
      <c r="G136" s="99">
        <f t="shared" si="2"/>
        <v>700</v>
      </c>
      <c r="H136" s="124">
        <v>45632.0</v>
      </c>
    </row>
    <row r="137">
      <c r="D137" s="102" t="s">
        <v>215</v>
      </c>
      <c r="E137" s="102">
        <v>4.5</v>
      </c>
      <c r="F137" s="106">
        <v>740.0</v>
      </c>
      <c r="G137" s="99">
        <f t="shared" si="2"/>
        <v>3330</v>
      </c>
      <c r="H137" s="107"/>
    </row>
    <row r="138">
      <c r="D138" s="102" t="s">
        <v>213</v>
      </c>
      <c r="E138" s="102">
        <v>4.0</v>
      </c>
      <c r="F138" s="106">
        <v>120.0</v>
      </c>
      <c r="G138" s="99">
        <f t="shared" si="2"/>
        <v>480</v>
      </c>
      <c r="H138" s="107"/>
    </row>
    <row r="139">
      <c r="D139" s="102" t="s">
        <v>204</v>
      </c>
      <c r="E139" s="102">
        <v>2.5</v>
      </c>
      <c r="F139" s="106">
        <v>180.0</v>
      </c>
      <c r="G139" s="99">
        <f t="shared" si="2"/>
        <v>450</v>
      </c>
      <c r="H139" s="107"/>
    </row>
    <row r="140">
      <c r="D140" s="102" t="s">
        <v>218</v>
      </c>
      <c r="E140" s="102">
        <v>2.0</v>
      </c>
      <c r="F140" s="106">
        <v>100.0</v>
      </c>
      <c r="G140" s="99">
        <f t="shared" si="2"/>
        <v>200</v>
      </c>
      <c r="H140" s="107"/>
    </row>
    <row r="141">
      <c r="D141" s="102" t="s">
        <v>219</v>
      </c>
      <c r="E141" s="102">
        <v>2.0</v>
      </c>
      <c r="F141" s="106">
        <v>100.0</v>
      </c>
      <c r="G141" s="99">
        <f t="shared" si="2"/>
        <v>200</v>
      </c>
      <c r="H141" s="107"/>
    </row>
    <row r="142">
      <c r="D142" s="102" t="s">
        <v>173</v>
      </c>
      <c r="E142" s="102">
        <v>1.0</v>
      </c>
      <c r="F142" s="106">
        <v>120.0</v>
      </c>
      <c r="G142" s="99">
        <f t="shared" si="2"/>
        <v>120</v>
      </c>
      <c r="H142" s="107"/>
    </row>
    <row r="143">
      <c r="D143" s="102" t="s">
        <v>220</v>
      </c>
      <c r="E143" s="102">
        <v>0.4</v>
      </c>
      <c r="F143" s="106">
        <v>500.0</v>
      </c>
      <c r="G143" s="99">
        <f t="shared" si="2"/>
        <v>200</v>
      </c>
      <c r="H143" s="107"/>
    </row>
    <row r="144">
      <c r="D144" s="102" t="s">
        <v>221</v>
      </c>
      <c r="E144" s="102">
        <v>1.0</v>
      </c>
      <c r="F144" s="106">
        <v>100.0</v>
      </c>
      <c r="G144" s="99">
        <f t="shared" si="2"/>
        <v>100</v>
      </c>
      <c r="H144" s="107"/>
    </row>
    <row r="145">
      <c r="D145" s="102" t="s">
        <v>222</v>
      </c>
      <c r="E145" s="102">
        <v>1.0</v>
      </c>
      <c r="F145" s="106">
        <v>500.0</v>
      </c>
      <c r="G145" s="99">
        <f t="shared" si="2"/>
        <v>500</v>
      </c>
      <c r="H145" s="107"/>
    </row>
    <row r="146">
      <c r="D146" s="102" t="s">
        <v>223</v>
      </c>
      <c r="E146" s="102">
        <v>1.0</v>
      </c>
      <c r="F146" s="106">
        <v>1000.0</v>
      </c>
      <c r="G146" s="99">
        <f t="shared" si="2"/>
        <v>1000</v>
      </c>
      <c r="H146" s="107"/>
    </row>
    <row r="147">
      <c r="D147" s="102" t="s">
        <v>224</v>
      </c>
      <c r="E147" s="102">
        <v>2.0</v>
      </c>
      <c r="F147" s="106">
        <v>1400.0</v>
      </c>
      <c r="G147" s="99">
        <f t="shared" si="2"/>
        <v>2800</v>
      </c>
      <c r="H147" s="107"/>
    </row>
    <row r="148">
      <c r="D148" s="102" t="s">
        <v>205</v>
      </c>
      <c r="E148" s="102">
        <v>1.0</v>
      </c>
      <c r="F148" s="106">
        <v>220.0</v>
      </c>
      <c r="G148" s="99">
        <f t="shared" si="2"/>
        <v>220</v>
      </c>
      <c r="H148" s="107"/>
    </row>
    <row r="149">
      <c r="D149" s="102" t="s">
        <v>198</v>
      </c>
      <c r="E149" s="102">
        <v>5.0</v>
      </c>
      <c r="F149" s="106">
        <v>200.0</v>
      </c>
      <c r="G149" s="99">
        <f t="shared" si="2"/>
        <v>1000</v>
      </c>
      <c r="H149" s="107"/>
    </row>
    <row r="150">
      <c r="D150" s="102" t="s">
        <v>214</v>
      </c>
      <c r="E150" s="102">
        <v>2.5</v>
      </c>
      <c r="F150" s="106">
        <v>180.0</v>
      </c>
      <c r="G150" s="99">
        <f t="shared" si="2"/>
        <v>450</v>
      </c>
      <c r="H150" s="124">
        <v>45633.0</v>
      </c>
    </row>
    <row r="151">
      <c r="D151" s="102" t="s">
        <v>219</v>
      </c>
      <c r="E151" s="102">
        <v>2.0</v>
      </c>
      <c r="F151" s="106">
        <v>100.0</v>
      </c>
      <c r="G151" s="99">
        <f t="shared" si="2"/>
        <v>200</v>
      </c>
      <c r="H151" s="107"/>
    </row>
    <row r="152">
      <c r="D152" s="102" t="s">
        <v>131</v>
      </c>
      <c r="E152" s="102">
        <v>2.0</v>
      </c>
      <c r="F152" s="106">
        <v>350.0</v>
      </c>
      <c r="G152" s="99">
        <f t="shared" si="2"/>
        <v>700</v>
      </c>
      <c r="H152" s="107"/>
    </row>
    <row r="153">
      <c r="D153" s="102" t="s">
        <v>207</v>
      </c>
      <c r="E153" s="102">
        <v>110.0</v>
      </c>
      <c r="F153" s="106">
        <v>50.0</v>
      </c>
      <c r="G153" s="99">
        <f t="shared" si="2"/>
        <v>5500</v>
      </c>
      <c r="H153" s="107"/>
    </row>
    <row r="154">
      <c r="D154" s="102" t="s">
        <v>215</v>
      </c>
      <c r="E154" s="102">
        <v>3.9</v>
      </c>
      <c r="F154" s="106">
        <v>790.0</v>
      </c>
      <c r="G154" s="99">
        <f t="shared" si="2"/>
        <v>3081</v>
      </c>
      <c r="H154" s="107"/>
    </row>
    <row r="155">
      <c r="D155" s="102" t="s">
        <v>225</v>
      </c>
      <c r="E155" s="102">
        <v>1.75</v>
      </c>
      <c r="F155" s="106">
        <v>380.0</v>
      </c>
      <c r="G155" s="99">
        <f t="shared" si="2"/>
        <v>665</v>
      </c>
      <c r="H155" s="107"/>
    </row>
    <row r="156">
      <c r="D156" s="102" t="s">
        <v>213</v>
      </c>
      <c r="E156" s="102">
        <v>5.0</v>
      </c>
      <c r="F156" s="106">
        <v>120.0</v>
      </c>
      <c r="G156" s="99">
        <f t="shared" si="2"/>
        <v>600</v>
      </c>
      <c r="H156" s="107"/>
    </row>
    <row r="157">
      <c r="D157" s="102" t="s">
        <v>226</v>
      </c>
      <c r="E157" s="102">
        <v>1.0</v>
      </c>
      <c r="F157" s="106">
        <v>400.0</v>
      </c>
      <c r="G157" s="99">
        <f t="shared" si="2"/>
        <v>400</v>
      </c>
      <c r="H157" s="107"/>
    </row>
    <row r="158">
      <c r="D158" s="102" t="s">
        <v>227</v>
      </c>
      <c r="E158" s="102">
        <v>3.0</v>
      </c>
      <c r="F158" s="106">
        <v>150.0</v>
      </c>
      <c r="G158" s="99">
        <f t="shared" si="2"/>
        <v>450</v>
      </c>
      <c r="H158" s="107"/>
    </row>
    <row r="159">
      <c r="D159" s="102" t="s">
        <v>228</v>
      </c>
      <c r="E159" s="102">
        <v>2.0</v>
      </c>
      <c r="F159" s="106">
        <v>300.0</v>
      </c>
      <c r="G159" s="99">
        <f t="shared" si="2"/>
        <v>600</v>
      </c>
      <c r="H159" s="124">
        <v>45634.0</v>
      </c>
    </row>
    <row r="160">
      <c r="D160" s="102" t="s">
        <v>111</v>
      </c>
      <c r="E160" s="102">
        <v>2.0</v>
      </c>
      <c r="F160" s="106">
        <v>250.0</v>
      </c>
      <c r="G160" s="99">
        <f t="shared" si="2"/>
        <v>500</v>
      </c>
      <c r="H160" s="107"/>
    </row>
    <row r="161">
      <c r="D161" s="102" t="s">
        <v>229</v>
      </c>
      <c r="E161" s="102">
        <v>1.0</v>
      </c>
      <c r="F161" s="106">
        <v>130.0</v>
      </c>
      <c r="G161" s="99">
        <f t="shared" si="2"/>
        <v>130</v>
      </c>
      <c r="H161" s="107"/>
    </row>
    <row r="162">
      <c r="D162" s="102" t="s">
        <v>230</v>
      </c>
      <c r="E162" s="102">
        <v>2.0</v>
      </c>
      <c r="F162" s="106">
        <v>120.0</v>
      </c>
      <c r="G162" s="99">
        <f t="shared" si="2"/>
        <v>240</v>
      </c>
      <c r="H162" s="107"/>
    </row>
    <row r="163">
      <c r="D163" s="102" t="s">
        <v>111</v>
      </c>
      <c r="E163" s="102">
        <v>6.0</v>
      </c>
      <c r="F163" s="106">
        <v>150.0</v>
      </c>
      <c r="G163" s="99">
        <f t="shared" si="2"/>
        <v>900</v>
      </c>
      <c r="H163" s="107"/>
    </row>
    <row r="164">
      <c r="D164" s="102" t="s">
        <v>215</v>
      </c>
      <c r="E164" s="102">
        <v>9.0</v>
      </c>
      <c r="F164" s="106">
        <v>740.0</v>
      </c>
      <c r="G164" s="99">
        <f t="shared" si="2"/>
        <v>6660</v>
      </c>
      <c r="H164" s="124">
        <v>45635.0</v>
      </c>
    </row>
    <row r="165">
      <c r="D165" s="102" t="s">
        <v>213</v>
      </c>
      <c r="E165" s="102">
        <v>10.0</v>
      </c>
      <c r="F165" s="106">
        <v>120.0</v>
      </c>
      <c r="G165" s="99">
        <f t="shared" si="2"/>
        <v>1200</v>
      </c>
      <c r="H165" s="107"/>
    </row>
    <row r="166">
      <c r="D166" s="102" t="s">
        <v>131</v>
      </c>
      <c r="E166" s="102">
        <v>3.0</v>
      </c>
      <c r="F166" s="106">
        <v>350.0</v>
      </c>
      <c r="G166" s="99">
        <f t="shared" si="2"/>
        <v>1050</v>
      </c>
      <c r="H166" s="107"/>
    </row>
    <row r="167">
      <c r="D167" s="102" t="s">
        <v>219</v>
      </c>
      <c r="E167" s="102">
        <v>4.0</v>
      </c>
      <c r="F167" s="106">
        <v>100.0</v>
      </c>
      <c r="G167" s="99">
        <f t="shared" si="2"/>
        <v>400</v>
      </c>
      <c r="H167" s="107"/>
    </row>
    <row r="168">
      <c r="D168" s="102" t="s">
        <v>111</v>
      </c>
      <c r="E168" s="102">
        <v>19.0</v>
      </c>
      <c r="F168" s="106">
        <v>110.0</v>
      </c>
      <c r="G168" s="99">
        <f t="shared" si="2"/>
        <v>2090</v>
      </c>
      <c r="H168" s="107"/>
    </row>
    <row r="169">
      <c r="D169" s="102" t="s">
        <v>112</v>
      </c>
      <c r="E169" s="102">
        <v>0.1</v>
      </c>
      <c r="F169" s="106">
        <v>4000.0</v>
      </c>
      <c r="G169" s="99">
        <f t="shared" si="2"/>
        <v>400</v>
      </c>
      <c r="H169" s="107"/>
    </row>
    <row r="170">
      <c r="D170" s="102" t="s">
        <v>231</v>
      </c>
      <c r="E170" s="102">
        <v>6.0</v>
      </c>
      <c r="F170" s="106">
        <v>120.0</v>
      </c>
      <c r="G170" s="99">
        <f t="shared" si="2"/>
        <v>720</v>
      </c>
      <c r="H170" s="107"/>
    </row>
    <row r="171">
      <c r="D171" s="102" t="s">
        <v>232</v>
      </c>
      <c r="E171" s="102">
        <v>4.0</v>
      </c>
      <c r="F171" s="106">
        <v>100.0</v>
      </c>
      <c r="G171" s="99">
        <f t="shared" si="2"/>
        <v>400</v>
      </c>
      <c r="H171" s="107"/>
    </row>
    <row r="172">
      <c r="D172" s="102" t="s">
        <v>233</v>
      </c>
      <c r="E172" s="102">
        <v>2.0</v>
      </c>
      <c r="F172" s="106">
        <v>100.0</v>
      </c>
      <c r="G172" s="99">
        <f t="shared" si="2"/>
        <v>200</v>
      </c>
      <c r="H172" s="107"/>
    </row>
    <row r="173">
      <c r="D173" s="102" t="s">
        <v>176</v>
      </c>
      <c r="E173" s="102">
        <v>5.0</v>
      </c>
      <c r="F173" s="106">
        <v>490.0</v>
      </c>
      <c r="G173" s="99">
        <f t="shared" si="2"/>
        <v>2450</v>
      </c>
      <c r="H173" s="107"/>
    </row>
    <row r="174">
      <c r="D174" s="102" t="s">
        <v>234</v>
      </c>
      <c r="E174" s="102">
        <v>1.0</v>
      </c>
      <c r="F174" s="106">
        <v>2500.0</v>
      </c>
      <c r="G174" s="99">
        <f t="shared" si="2"/>
        <v>2500</v>
      </c>
      <c r="H174" s="107"/>
    </row>
    <row r="175">
      <c r="D175" s="102" t="s">
        <v>99</v>
      </c>
      <c r="E175" s="102">
        <v>20.0</v>
      </c>
      <c r="F175" s="106">
        <v>1000.0</v>
      </c>
      <c r="G175" s="99">
        <f t="shared" si="2"/>
        <v>20000</v>
      </c>
      <c r="H175" s="102" t="s">
        <v>235</v>
      </c>
    </row>
    <row r="176">
      <c r="D176" s="102" t="s">
        <v>111</v>
      </c>
      <c r="E176" s="102">
        <v>16.0</v>
      </c>
      <c r="F176" s="106">
        <v>140.0</v>
      </c>
      <c r="G176" s="99">
        <f t="shared" si="2"/>
        <v>2240</v>
      </c>
      <c r="H176" s="107"/>
    </row>
    <row r="177">
      <c r="D177" s="102" t="s">
        <v>104</v>
      </c>
      <c r="E177" s="102">
        <v>12.0</v>
      </c>
      <c r="F177" s="106">
        <v>275.0</v>
      </c>
      <c r="G177" s="99">
        <f t="shared" si="2"/>
        <v>3300</v>
      </c>
      <c r="H177" s="107"/>
    </row>
    <row r="178">
      <c r="D178" s="102" t="s">
        <v>148</v>
      </c>
      <c r="E178" s="102">
        <v>2.0</v>
      </c>
      <c r="F178" s="106">
        <v>1900.0</v>
      </c>
      <c r="G178" s="99">
        <f t="shared" si="2"/>
        <v>3800</v>
      </c>
      <c r="H178" s="107"/>
    </row>
    <row r="179">
      <c r="D179" s="102" t="s">
        <v>236</v>
      </c>
      <c r="E179" s="102">
        <v>1.0</v>
      </c>
      <c r="F179" s="106">
        <v>900.0</v>
      </c>
      <c r="G179" s="99">
        <f t="shared" si="2"/>
        <v>900</v>
      </c>
      <c r="H179" s="107"/>
    </row>
    <row r="180">
      <c r="D180" s="102" t="s">
        <v>130</v>
      </c>
      <c r="E180" s="102">
        <v>0.5</v>
      </c>
      <c r="F180" s="106">
        <v>1400.0</v>
      </c>
      <c r="G180" s="99">
        <f t="shared" si="2"/>
        <v>700</v>
      </c>
      <c r="H180" s="107"/>
    </row>
    <row r="181">
      <c r="D181" s="102" t="s">
        <v>197</v>
      </c>
      <c r="E181" s="102">
        <v>3.18</v>
      </c>
      <c r="F181" s="106">
        <v>1850.0</v>
      </c>
      <c r="G181" s="99">
        <f t="shared" si="2"/>
        <v>5883</v>
      </c>
      <c r="H181" s="107"/>
    </row>
    <row r="182">
      <c r="D182" s="102" t="s">
        <v>172</v>
      </c>
      <c r="E182" s="102">
        <v>5.0</v>
      </c>
      <c r="F182" s="106">
        <v>30.0</v>
      </c>
      <c r="G182" s="99">
        <f t="shared" si="2"/>
        <v>150</v>
      </c>
      <c r="H182" s="107"/>
    </row>
    <row r="183">
      <c r="D183" s="102" t="s">
        <v>110</v>
      </c>
      <c r="E183" s="102">
        <v>12.0</v>
      </c>
      <c r="F183" s="106">
        <v>250.0</v>
      </c>
      <c r="G183" s="99">
        <f t="shared" si="2"/>
        <v>3000</v>
      </c>
      <c r="H183" s="107"/>
    </row>
    <row r="184">
      <c r="D184" s="102" t="s">
        <v>106</v>
      </c>
      <c r="E184" s="102">
        <v>1.0</v>
      </c>
      <c r="F184" s="106">
        <v>1100.0</v>
      </c>
      <c r="G184" s="99">
        <f t="shared" si="2"/>
        <v>1100</v>
      </c>
      <c r="H184" s="107"/>
    </row>
    <row r="185">
      <c r="D185" s="102" t="s">
        <v>237</v>
      </c>
      <c r="E185" s="102">
        <v>18.0</v>
      </c>
      <c r="F185" s="106">
        <v>170.0</v>
      </c>
      <c r="G185" s="99">
        <f t="shared" si="2"/>
        <v>3060</v>
      </c>
      <c r="H185" s="107"/>
    </row>
    <row r="186">
      <c r="D186" s="102" t="s">
        <v>106</v>
      </c>
      <c r="E186" s="102">
        <v>2.0</v>
      </c>
      <c r="F186" s="106">
        <v>100.0</v>
      </c>
      <c r="G186" s="99">
        <f t="shared" si="2"/>
        <v>200</v>
      </c>
      <c r="H186" s="107"/>
    </row>
    <row r="187">
      <c r="D187" s="102" t="s">
        <v>183</v>
      </c>
      <c r="E187" s="102">
        <v>1.0</v>
      </c>
      <c r="F187" s="106">
        <v>150.0</v>
      </c>
      <c r="G187" s="99">
        <f t="shared" si="2"/>
        <v>150</v>
      </c>
      <c r="H187" s="107"/>
    </row>
    <row r="188">
      <c r="D188" s="102" t="s">
        <v>207</v>
      </c>
      <c r="E188" s="102">
        <v>30.0</v>
      </c>
      <c r="F188" s="106">
        <v>50.0</v>
      </c>
      <c r="G188" s="99">
        <f t="shared" si="2"/>
        <v>1500</v>
      </c>
      <c r="H188" s="124">
        <v>45638.0</v>
      </c>
    </row>
    <row r="189">
      <c r="D189" s="102" t="s">
        <v>178</v>
      </c>
      <c r="E189" s="102">
        <v>10.0</v>
      </c>
      <c r="F189" s="106">
        <v>740.0</v>
      </c>
      <c r="G189" s="99">
        <f t="shared" si="2"/>
        <v>7400</v>
      </c>
      <c r="H189" s="107"/>
    </row>
    <row r="190">
      <c r="D190" s="102" t="s">
        <v>198</v>
      </c>
      <c r="E190" s="102">
        <v>10.0</v>
      </c>
      <c r="F190" s="106">
        <v>200.0</v>
      </c>
      <c r="G190" s="99">
        <f t="shared" si="2"/>
        <v>2000</v>
      </c>
      <c r="H190" s="107"/>
    </row>
    <row r="191">
      <c r="D191" s="102" t="s">
        <v>213</v>
      </c>
      <c r="E191" s="102">
        <v>40.0</v>
      </c>
      <c r="F191" s="106">
        <v>120.0</v>
      </c>
      <c r="G191" s="99">
        <f t="shared" si="2"/>
        <v>4800</v>
      </c>
      <c r="H191" s="107"/>
    </row>
    <row r="192">
      <c r="D192" s="102" t="s">
        <v>204</v>
      </c>
      <c r="E192" s="102">
        <v>1.0</v>
      </c>
      <c r="F192" s="106">
        <v>160.0</v>
      </c>
      <c r="G192" s="99">
        <f t="shared" si="2"/>
        <v>160</v>
      </c>
      <c r="H192" s="107"/>
    </row>
    <row r="193">
      <c r="D193" s="102" t="s">
        <v>183</v>
      </c>
      <c r="E193" s="102">
        <v>2.5</v>
      </c>
      <c r="F193" s="106">
        <v>80.0</v>
      </c>
      <c r="G193" s="99">
        <f t="shared" si="2"/>
        <v>200</v>
      </c>
      <c r="H193" s="107"/>
    </row>
    <row r="194">
      <c r="D194" s="102" t="s">
        <v>202</v>
      </c>
      <c r="E194" s="102">
        <v>2.0</v>
      </c>
      <c r="F194" s="106">
        <v>100.0</v>
      </c>
      <c r="G194" s="99">
        <f t="shared" si="2"/>
        <v>200</v>
      </c>
      <c r="H194" s="107"/>
    </row>
    <row r="195">
      <c r="D195" s="102" t="s">
        <v>203</v>
      </c>
      <c r="E195" s="102">
        <v>2.0</v>
      </c>
      <c r="F195" s="106">
        <v>100.0</v>
      </c>
      <c r="G195" s="99">
        <f t="shared" si="2"/>
        <v>200</v>
      </c>
      <c r="H195" s="107"/>
    </row>
    <row r="196">
      <c r="D196" s="102" t="s">
        <v>238</v>
      </c>
      <c r="E196" s="102">
        <v>0.5</v>
      </c>
      <c r="F196" s="106">
        <v>160.0</v>
      </c>
      <c r="G196" s="99">
        <f t="shared" si="2"/>
        <v>80</v>
      </c>
      <c r="H196" s="107"/>
    </row>
    <row r="197">
      <c r="D197" s="102" t="s">
        <v>239</v>
      </c>
      <c r="E197" s="102">
        <v>1.0</v>
      </c>
      <c r="F197" s="106">
        <v>80.0</v>
      </c>
      <c r="G197" s="99">
        <f t="shared" si="2"/>
        <v>80</v>
      </c>
      <c r="H197" s="107"/>
    </row>
    <row r="198">
      <c r="D198" s="102" t="s">
        <v>240</v>
      </c>
      <c r="E198" s="102">
        <v>1.0</v>
      </c>
      <c r="F198" s="106">
        <v>140.0</v>
      </c>
      <c r="G198" s="99">
        <f t="shared" si="2"/>
        <v>140</v>
      </c>
      <c r="H198" s="107"/>
    </row>
    <row r="199">
      <c r="D199" s="102" t="s">
        <v>241</v>
      </c>
      <c r="E199" s="102">
        <v>1.0</v>
      </c>
      <c r="F199" s="106">
        <v>180.0</v>
      </c>
      <c r="G199" s="99">
        <f t="shared" si="2"/>
        <v>180</v>
      </c>
      <c r="H199" s="107"/>
    </row>
    <row r="200">
      <c r="D200" s="102" t="s">
        <v>242</v>
      </c>
      <c r="E200" s="102">
        <v>3.0</v>
      </c>
      <c r="F200" s="106">
        <v>220.0</v>
      </c>
      <c r="G200" s="99">
        <f t="shared" si="2"/>
        <v>660</v>
      </c>
      <c r="H200" s="107"/>
    </row>
    <row r="201">
      <c r="D201" s="102" t="s">
        <v>243</v>
      </c>
      <c r="E201" s="102">
        <v>1.0</v>
      </c>
      <c r="F201" s="106">
        <v>250.0</v>
      </c>
      <c r="G201" s="99">
        <f t="shared" si="2"/>
        <v>250</v>
      </c>
      <c r="H201" s="107"/>
    </row>
    <row r="202">
      <c r="D202" s="102" t="s">
        <v>244</v>
      </c>
      <c r="E202" s="102">
        <v>2.0</v>
      </c>
      <c r="F202" s="106">
        <v>130.0</v>
      </c>
      <c r="G202" s="99">
        <f t="shared" si="2"/>
        <v>260</v>
      </c>
      <c r="H202" s="107"/>
    </row>
    <row r="203">
      <c r="D203" s="102" t="s">
        <v>245</v>
      </c>
      <c r="E203" s="102">
        <v>6.0</v>
      </c>
      <c r="F203" s="106">
        <v>250.0</v>
      </c>
      <c r="G203" s="99">
        <f t="shared" si="2"/>
        <v>1500</v>
      </c>
      <c r="H203" s="107"/>
    </row>
    <row r="204">
      <c r="D204" s="102" t="s">
        <v>246</v>
      </c>
      <c r="E204" s="102">
        <v>1.0</v>
      </c>
      <c r="F204" s="106">
        <v>250.0</v>
      </c>
      <c r="G204" s="99">
        <f t="shared" si="2"/>
        <v>250</v>
      </c>
      <c r="H204" s="107"/>
    </row>
    <row r="205">
      <c r="D205" s="102" t="s">
        <v>247</v>
      </c>
      <c r="E205" s="102">
        <v>2.0</v>
      </c>
      <c r="F205" s="106">
        <v>250.0</v>
      </c>
      <c r="G205" s="99">
        <f t="shared" si="2"/>
        <v>500</v>
      </c>
      <c r="H205" s="107"/>
    </row>
    <row r="206">
      <c r="D206" s="102" t="s">
        <v>204</v>
      </c>
      <c r="E206" s="102">
        <v>0.5</v>
      </c>
      <c r="F206" s="106">
        <v>160.0</v>
      </c>
      <c r="G206" s="99">
        <f t="shared" si="2"/>
        <v>80</v>
      </c>
      <c r="H206" s="107"/>
    </row>
    <row r="207">
      <c r="D207" s="102" t="s">
        <v>248</v>
      </c>
      <c r="E207" s="102">
        <v>7.0</v>
      </c>
      <c r="F207" s="106">
        <v>50.0</v>
      </c>
      <c r="G207" s="99">
        <f t="shared" si="2"/>
        <v>350</v>
      </c>
      <c r="H207" s="107"/>
    </row>
    <row r="208">
      <c r="D208" s="102" t="s">
        <v>213</v>
      </c>
      <c r="E208" s="102">
        <v>6.0</v>
      </c>
      <c r="F208" s="106">
        <v>100.0</v>
      </c>
      <c r="G208" s="99">
        <f t="shared" si="2"/>
        <v>600</v>
      </c>
      <c r="H208" s="107"/>
    </row>
    <row r="209">
      <c r="D209" s="102" t="s">
        <v>135</v>
      </c>
      <c r="E209" s="102">
        <v>2.0</v>
      </c>
      <c r="F209" s="106">
        <v>550.0</v>
      </c>
      <c r="G209" s="99">
        <f t="shared" si="2"/>
        <v>1100</v>
      </c>
      <c r="H209" s="107"/>
    </row>
    <row r="210">
      <c r="D210" s="102" t="s">
        <v>195</v>
      </c>
      <c r="E210" s="102">
        <v>5.0</v>
      </c>
      <c r="F210" s="106">
        <v>210.0</v>
      </c>
      <c r="G210" s="99">
        <f t="shared" si="2"/>
        <v>1050</v>
      </c>
      <c r="H210" s="107"/>
    </row>
    <row r="211">
      <c r="D211" s="102" t="s">
        <v>249</v>
      </c>
      <c r="E211" s="102">
        <v>1.0</v>
      </c>
      <c r="F211" s="106">
        <v>750.0</v>
      </c>
      <c r="G211" s="99">
        <f t="shared" si="2"/>
        <v>750</v>
      </c>
      <c r="H211" s="107"/>
    </row>
    <row r="212">
      <c r="D212" s="102" t="s">
        <v>249</v>
      </c>
      <c r="E212" s="102">
        <v>1.0</v>
      </c>
      <c r="F212" s="106">
        <v>530.0</v>
      </c>
      <c r="G212" s="99">
        <f t="shared" si="2"/>
        <v>530</v>
      </c>
      <c r="H212" s="107"/>
    </row>
    <row r="213">
      <c r="D213" s="102" t="s">
        <v>213</v>
      </c>
      <c r="E213" s="102">
        <v>6.0</v>
      </c>
      <c r="F213" s="106">
        <v>130.0</v>
      </c>
      <c r="G213" s="99">
        <f t="shared" si="2"/>
        <v>780</v>
      </c>
      <c r="H213" s="107"/>
    </row>
    <row r="214">
      <c r="D214" s="102" t="s">
        <v>249</v>
      </c>
      <c r="E214" s="102">
        <v>1.0</v>
      </c>
      <c r="F214" s="106">
        <v>900.0</v>
      </c>
      <c r="G214" s="99">
        <f t="shared" si="2"/>
        <v>900</v>
      </c>
      <c r="H214" s="107"/>
    </row>
    <row r="215">
      <c r="D215" s="102" t="s">
        <v>250</v>
      </c>
      <c r="E215" s="102">
        <v>1.0</v>
      </c>
      <c r="F215" s="106">
        <v>700.0</v>
      </c>
      <c r="G215" s="99">
        <f t="shared" si="2"/>
        <v>700</v>
      </c>
      <c r="H215" s="107"/>
    </row>
    <row r="216">
      <c r="D216" s="102" t="s">
        <v>207</v>
      </c>
      <c r="E216" s="102">
        <v>30.0</v>
      </c>
      <c r="F216" s="106">
        <v>50.0</v>
      </c>
      <c r="G216" s="99">
        <f t="shared" si="2"/>
        <v>1500</v>
      </c>
      <c r="H216" s="124">
        <v>45639.0</v>
      </c>
    </row>
    <row r="217">
      <c r="D217" s="102" t="s">
        <v>218</v>
      </c>
      <c r="E217" s="102">
        <v>1.0</v>
      </c>
      <c r="F217" s="106">
        <v>1200.0</v>
      </c>
      <c r="G217" s="99">
        <f t="shared" si="2"/>
        <v>1200</v>
      </c>
      <c r="H217" s="107"/>
    </row>
    <row r="218">
      <c r="D218" s="102" t="s">
        <v>213</v>
      </c>
      <c r="E218" s="102">
        <v>20.0</v>
      </c>
      <c r="F218" s="106">
        <v>120.0</v>
      </c>
      <c r="G218" s="99">
        <f t="shared" si="2"/>
        <v>2400</v>
      </c>
      <c r="H218" s="107"/>
    </row>
    <row r="219">
      <c r="D219" s="102" t="s">
        <v>181</v>
      </c>
      <c r="E219" s="102">
        <v>1.0</v>
      </c>
      <c r="F219" s="106">
        <v>100.0</v>
      </c>
      <c r="G219" s="99">
        <f t="shared" si="2"/>
        <v>100</v>
      </c>
      <c r="H219" s="107"/>
    </row>
    <row r="220">
      <c r="D220" s="102" t="s">
        <v>251</v>
      </c>
      <c r="E220" s="102">
        <v>334.0</v>
      </c>
      <c r="F220" s="106">
        <v>60.0</v>
      </c>
      <c r="G220" s="99">
        <f t="shared" si="2"/>
        <v>20040</v>
      </c>
      <c r="H220" s="107"/>
    </row>
    <row r="221">
      <c r="D221" s="102" t="s">
        <v>205</v>
      </c>
      <c r="E221" s="102">
        <v>1.0</v>
      </c>
      <c r="F221" s="106">
        <v>220.0</v>
      </c>
      <c r="G221" s="99">
        <f t="shared" si="2"/>
        <v>220</v>
      </c>
      <c r="H221" s="124">
        <v>45640.0</v>
      </c>
    </row>
    <row r="222">
      <c r="D222" s="102" t="s">
        <v>252</v>
      </c>
      <c r="E222" s="102">
        <v>1.0</v>
      </c>
      <c r="F222" s="106">
        <v>225.0</v>
      </c>
      <c r="G222" s="99">
        <f t="shared" si="2"/>
        <v>225</v>
      </c>
      <c r="H222" s="107"/>
    </row>
    <row r="223">
      <c r="D223" s="102" t="s">
        <v>130</v>
      </c>
      <c r="E223" s="102">
        <v>1.0</v>
      </c>
      <c r="F223" s="106">
        <v>100.0</v>
      </c>
      <c r="G223" s="99">
        <f t="shared" si="2"/>
        <v>100</v>
      </c>
      <c r="H223" s="107"/>
    </row>
    <row r="224">
      <c r="D224" s="102" t="s">
        <v>105</v>
      </c>
      <c r="E224" s="102">
        <v>4.0</v>
      </c>
      <c r="F224" s="106">
        <v>650.0</v>
      </c>
      <c r="G224" s="99">
        <f t="shared" si="2"/>
        <v>2600</v>
      </c>
      <c r="H224" s="124">
        <v>45641.0</v>
      </c>
    </row>
    <row r="225">
      <c r="D225" s="102" t="s">
        <v>253</v>
      </c>
      <c r="E225" s="102">
        <v>1.0</v>
      </c>
      <c r="F225" s="106">
        <v>1000.0</v>
      </c>
      <c r="G225" s="99">
        <f t="shared" si="2"/>
        <v>1000</v>
      </c>
      <c r="H225" s="107"/>
    </row>
    <row r="226">
      <c r="D226" s="102" t="s">
        <v>254</v>
      </c>
      <c r="E226" s="102">
        <v>6.0</v>
      </c>
      <c r="F226" s="106">
        <v>150.0</v>
      </c>
      <c r="G226" s="99">
        <f t="shared" si="2"/>
        <v>900</v>
      </c>
      <c r="H226" s="107"/>
    </row>
    <row r="227">
      <c r="D227" s="102" t="s">
        <v>255</v>
      </c>
      <c r="E227" s="102">
        <v>1.0</v>
      </c>
      <c r="F227" s="106">
        <v>100.0</v>
      </c>
      <c r="G227" s="99">
        <f t="shared" si="2"/>
        <v>100</v>
      </c>
      <c r="H227" s="107"/>
    </row>
    <row r="228">
      <c r="D228" s="102" t="s">
        <v>256</v>
      </c>
      <c r="E228" s="102">
        <v>1.0</v>
      </c>
      <c r="F228" s="106">
        <v>400.0</v>
      </c>
      <c r="G228" s="99">
        <f t="shared" si="2"/>
        <v>400</v>
      </c>
      <c r="H228" s="107"/>
    </row>
    <row r="229">
      <c r="D229" s="102" t="s">
        <v>257</v>
      </c>
      <c r="E229" s="102">
        <v>3.0</v>
      </c>
      <c r="F229" s="106">
        <v>200.0</v>
      </c>
      <c r="G229" s="99">
        <f t="shared" si="2"/>
        <v>600</v>
      </c>
      <c r="H229" s="107"/>
    </row>
    <row r="230">
      <c r="D230" s="102" t="s">
        <v>258</v>
      </c>
      <c r="E230" s="102">
        <v>3.0</v>
      </c>
      <c r="F230" s="106">
        <v>750.0</v>
      </c>
      <c r="G230" s="99">
        <f t="shared" si="2"/>
        <v>2250</v>
      </c>
      <c r="H230" s="102" t="s">
        <v>259</v>
      </c>
    </row>
    <row r="231">
      <c r="D231" s="102" t="s">
        <v>260</v>
      </c>
      <c r="E231" s="102">
        <v>1.0</v>
      </c>
      <c r="F231" s="106">
        <v>200.0</v>
      </c>
      <c r="G231" s="99">
        <f t="shared" si="2"/>
        <v>200</v>
      </c>
      <c r="H231" s="124">
        <v>45642.0</v>
      </c>
    </row>
    <row r="232">
      <c r="D232" s="102" t="s">
        <v>213</v>
      </c>
      <c r="E232" s="102">
        <v>4.0</v>
      </c>
      <c r="F232" s="106">
        <v>150.0</v>
      </c>
      <c r="G232" s="99">
        <f t="shared" si="2"/>
        <v>600</v>
      </c>
      <c r="H232" s="107"/>
    </row>
    <row r="233">
      <c r="D233" s="102" t="s">
        <v>261</v>
      </c>
      <c r="E233" s="102">
        <v>1.0</v>
      </c>
      <c r="F233" s="106">
        <v>1050.0</v>
      </c>
      <c r="G233" s="99">
        <f t="shared" si="2"/>
        <v>1050</v>
      </c>
      <c r="H233" s="107"/>
    </row>
    <row r="234">
      <c r="D234" s="102" t="s">
        <v>260</v>
      </c>
      <c r="E234" s="102">
        <v>1.0</v>
      </c>
      <c r="F234" s="106">
        <v>200.0</v>
      </c>
      <c r="G234" s="99">
        <f t="shared" si="2"/>
        <v>200</v>
      </c>
      <c r="H234" s="107"/>
    </row>
    <row r="235">
      <c r="D235" s="102" t="s">
        <v>262</v>
      </c>
      <c r="E235" s="102">
        <v>1.0</v>
      </c>
      <c r="F235" s="106">
        <v>85.0</v>
      </c>
      <c r="G235" s="99">
        <f t="shared" si="2"/>
        <v>85</v>
      </c>
      <c r="H235" s="107"/>
    </row>
    <row r="236">
      <c r="D236" s="102" t="s">
        <v>263</v>
      </c>
      <c r="E236" s="102">
        <v>1.0</v>
      </c>
      <c r="F236" s="106">
        <v>200.0</v>
      </c>
      <c r="G236" s="99">
        <f t="shared" si="2"/>
        <v>200</v>
      </c>
      <c r="H236" s="107"/>
    </row>
    <row r="237">
      <c r="D237" s="102" t="s">
        <v>264</v>
      </c>
      <c r="E237" s="102">
        <v>150.0</v>
      </c>
      <c r="F237" s="106">
        <v>50.0</v>
      </c>
      <c r="G237" s="99">
        <f t="shared" si="2"/>
        <v>7500</v>
      </c>
      <c r="H237" s="107"/>
    </row>
    <row r="238">
      <c r="D238" s="102" t="s">
        <v>211</v>
      </c>
      <c r="E238" s="102">
        <v>4.0</v>
      </c>
      <c r="F238" s="106">
        <v>70.0</v>
      </c>
      <c r="G238" s="99">
        <f t="shared" si="2"/>
        <v>280</v>
      </c>
      <c r="H238" s="107"/>
    </row>
    <row r="239">
      <c r="D239" s="102" t="s">
        <v>203</v>
      </c>
      <c r="E239" s="102">
        <v>1.0</v>
      </c>
      <c r="F239" s="106">
        <v>60.0</v>
      </c>
      <c r="G239" s="99">
        <f t="shared" si="2"/>
        <v>60</v>
      </c>
      <c r="H239" s="107"/>
    </row>
    <row r="240">
      <c r="D240" s="102" t="s">
        <v>214</v>
      </c>
      <c r="E240" s="102">
        <v>0.5</v>
      </c>
      <c r="F240" s="106">
        <v>180.0</v>
      </c>
      <c r="G240" s="99">
        <f t="shared" si="2"/>
        <v>90</v>
      </c>
      <c r="H240" s="107"/>
    </row>
    <row r="241">
      <c r="D241" s="102" t="s">
        <v>265</v>
      </c>
      <c r="E241" s="102">
        <v>10.0</v>
      </c>
      <c r="F241" s="106">
        <v>15.0</v>
      </c>
      <c r="G241" s="99">
        <f t="shared" si="2"/>
        <v>150</v>
      </c>
      <c r="H241" s="107"/>
    </row>
    <row r="242">
      <c r="D242" s="102" t="s">
        <v>266</v>
      </c>
      <c r="E242" s="102">
        <v>10.0</v>
      </c>
      <c r="F242" s="106">
        <v>40.0</v>
      </c>
      <c r="G242" s="99">
        <f t="shared" si="2"/>
        <v>400</v>
      </c>
      <c r="H242" s="107"/>
    </row>
    <row r="243">
      <c r="D243" s="102" t="s">
        <v>198</v>
      </c>
      <c r="E243" s="102">
        <v>5.0</v>
      </c>
      <c r="F243" s="106">
        <v>200.0</v>
      </c>
      <c r="G243" s="99">
        <f t="shared" si="2"/>
        <v>1000</v>
      </c>
      <c r="H243" s="107"/>
    </row>
    <row r="244">
      <c r="D244" s="102" t="s">
        <v>267</v>
      </c>
      <c r="E244" s="102">
        <v>0.5</v>
      </c>
      <c r="F244" s="106">
        <v>600.0</v>
      </c>
      <c r="G244" s="99">
        <f t="shared" si="2"/>
        <v>300</v>
      </c>
      <c r="H244" s="107"/>
    </row>
    <row r="245">
      <c r="D245" s="102" t="s">
        <v>268</v>
      </c>
      <c r="E245" s="102">
        <v>0.5</v>
      </c>
      <c r="F245" s="106">
        <v>600.0</v>
      </c>
      <c r="G245" s="99">
        <f t="shared" si="2"/>
        <v>300</v>
      </c>
      <c r="H245" s="107"/>
    </row>
    <row r="246">
      <c r="D246" s="102" t="s">
        <v>213</v>
      </c>
      <c r="E246" s="102">
        <v>11.0</v>
      </c>
      <c r="F246" s="106">
        <v>100.0</v>
      </c>
      <c r="G246" s="99">
        <f t="shared" si="2"/>
        <v>1100</v>
      </c>
      <c r="H246" s="107"/>
    </row>
    <row r="247">
      <c r="D247" s="102" t="s">
        <v>269</v>
      </c>
      <c r="E247" s="102">
        <v>1.0</v>
      </c>
      <c r="F247" s="106">
        <v>50.0</v>
      </c>
      <c r="G247" s="99">
        <f t="shared" si="2"/>
        <v>50</v>
      </c>
      <c r="H247" s="107"/>
    </row>
    <row r="248">
      <c r="D248" s="102" t="s">
        <v>270</v>
      </c>
      <c r="E248" s="102">
        <v>1.0</v>
      </c>
      <c r="F248" s="106">
        <v>300.0</v>
      </c>
      <c r="G248" s="99">
        <f t="shared" si="2"/>
        <v>300</v>
      </c>
      <c r="H248" s="107"/>
    </row>
    <row r="249">
      <c r="D249" s="102" t="s">
        <v>271</v>
      </c>
      <c r="E249" s="102">
        <v>2.0</v>
      </c>
      <c r="F249" s="106">
        <v>600.0</v>
      </c>
      <c r="G249" s="99">
        <f t="shared" si="2"/>
        <v>1200</v>
      </c>
      <c r="H249" s="107"/>
    </row>
    <row r="250">
      <c r="D250" s="102" t="s">
        <v>213</v>
      </c>
      <c r="E250" s="102">
        <v>10.0</v>
      </c>
      <c r="F250" s="106">
        <v>100.0</v>
      </c>
      <c r="G250" s="99">
        <f t="shared" si="2"/>
        <v>1000</v>
      </c>
      <c r="H250" s="124">
        <v>45643.0</v>
      </c>
    </row>
    <row r="251">
      <c r="D251" s="102" t="s">
        <v>223</v>
      </c>
      <c r="E251" s="102">
        <v>1.0</v>
      </c>
      <c r="F251" s="106">
        <v>1000.0</v>
      </c>
      <c r="G251" s="99">
        <f t="shared" si="2"/>
        <v>1000</v>
      </c>
      <c r="H251" s="107"/>
    </row>
    <row r="252">
      <c r="D252" s="102" t="s">
        <v>267</v>
      </c>
      <c r="E252" s="102">
        <v>2.5</v>
      </c>
      <c r="F252" s="106">
        <v>600.0</v>
      </c>
      <c r="G252" s="99">
        <f t="shared" si="2"/>
        <v>1500</v>
      </c>
      <c r="H252" s="107"/>
    </row>
    <row r="253">
      <c r="D253" s="102" t="s">
        <v>268</v>
      </c>
      <c r="E253" s="102">
        <v>2.5</v>
      </c>
      <c r="F253" s="106">
        <v>600.0</v>
      </c>
      <c r="G253" s="99">
        <f t="shared" si="2"/>
        <v>1500</v>
      </c>
      <c r="H253" s="107"/>
    </row>
    <row r="254">
      <c r="D254" s="102" t="s">
        <v>198</v>
      </c>
      <c r="E254" s="102">
        <v>1.0</v>
      </c>
      <c r="F254" s="106">
        <v>200.0</v>
      </c>
      <c r="G254" s="99">
        <f t="shared" si="2"/>
        <v>200</v>
      </c>
      <c r="H254" s="107"/>
    </row>
    <row r="255">
      <c r="D255" s="102" t="s">
        <v>272</v>
      </c>
      <c r="E255" s="102">
        <v>1.0</v>
      </c>
      <c r="F255" s="106">
        <v>400.0</v>
      </c>
      <c r="G255" s="99">
        <f t="shared" si="2"/>
        <v>400</v>
      </c>
      <c r="H255" s="107"/>
    </row>
    <row r="256">
      <c r="D256" s="102" t="s">
        <v>273</v>
      </c>
      <c r="E256" s="102">
        <v>3.0</v>
      </c>
      <c r="F256" s="106">
        <v>350.0</v>
      </c>
      <c r="G256" s="99">
        <f t="shared" si="2"/>
        <v>1050</v>
      </c>
      <c r="H256" s="107"/>
    </row>
    <row r="257">
      <c r="D257" s="102" t="s">
        <v>274</v>
      </c>
      <c r="E257" s="102">
        <v>6.0</v>
      </c>
      <c r="F257" s="106">
        <v>200.0</v>
      </c>
      <c r="G257" s="99">
        <f t="shared" si="2"/>
        <v>1200</v>
      </c>
      <c r="H257" s="107"/>
    </row>
    <row r="258">
      <c r="D258" s="102" t="s">
        <v>275</v>
      </c>
      <c r="E258" s="102">
        <v>1.0</v>
      </c>
      <c r="F258" s="106">
        <v>500.0</v>
      </c>
      <c r="G258" s="99">
        <f t="shared" si="2"/>
        <v>500</v>
      </c>
      <c r="H258" s="107"/>
    </row>
    <row r="259">
      <c r="D259" s="102" t="s">
        <v>276</v>
      </c>
      <c r="E259" s="102">
        <v>2.0</v>
      </c>
      <c r="F259" s="106">
        <v>50.0</v>
      </c>
      <c r="G259" s="99">
        <f t="shared" si="2"/>
        <v>100</v>
      </c>
      <c r="H259" s="107"/>
    </row>
    <row r="260">
      <c r="D260" s="102" t="s">
        <v>106</v>
      </c>
      <c r="E260" s="102">
        <v>1.0</v>
      </c>
      <c r="F260" s="106">
        <v>60.0</v>
      </c>
      <c r="G260" s="99">
        <f t="shared" si="2"/>
        <v>60</v>
      </c>
      <c r="H260" s="107"/>
    </row>
    <row r="261">
      <c r="D261" s="102" t="s">
        <v>277</v>
      </c>
      <c r="E261" s="102">
        <v>1.0</v>
      </c>
      <c r="F261" s="106">
        <v>1170.0</v>
      </c>
      <c r="G261" s="99">
        <f t="shared" si="2"/>
        <v>1170</v>
      </c>
      <c r="H261" s="107"/>
    </row>
    <row r="262">
      <c r="D262" s="102" t="s">
        <v>105</v>
      </c>
      <c r="E262" s="102">
        <v>35.0</v>
      </c>
      <c r="F262" s="106">
        <v>600.0</v>
      </c>
      <c r="G262" s="99">
        <f t="shared" si="2"/>
        <v>21000</v>
      </c>
      <c r="H262" s="107"/>
    </row>
    <row r="263">
      <c r="D263" s="102" t="s">
        <v>278</v>
      </c>
      <c r="E263" s="102">
        <v>42.0</v>
      </c>
      <c r="F263" s="106">
        <v>180.0</v>
      </c>
      <c r="G263" s="99">
        <f t="shared" si="2"/>
        <v>7560</v>
      </c>
      <c r="H263" s="107"/>
    </row>
    <row r="264">
      <c r="D264" s="102" t="s">
        <v>279</v>
      </c>
      <c r="E264" s="102">
        <v>90.0</v>
      </c>
      <c r="F264" s="106">
        <v>17.0</v>
      </c>
      <c r="G264" s="99">
        <f t="shared" si="2"/>
        <v>1530</v>
      </c>
      <c r="H264" s="107"/>
    </row>
    <row r="265">
      <c r="D265" s="102" t="s">
        <v>280</v>
      </c>
      <c r="E265" s="102">
        <v>2.0</v>
      </c>
      <c r="F265" s="106">
        <v>1700.0</v>
      </c>
      <c r="G265" s="99">
        <f t="shared" si="2"/>
        <v>3400</v>
      </c>
      <c r="H265" s="124">
        <v>45644.0</v>
      </c>
    </row>
    <row r="266">
      <c r="D266" s="102" t="s">
        <v>159</v>
      </c>
      <c r="E266" s="102">
        <v>1.0</v>
      </c>
      <c r="F266" s="106">
        <v>2100.0</v>
      </c>
      <c r="G266" s="99">
        <f t="shared" si="2"/>
        <v>2100</v>
      </c>
      <c r="H266" s="107"/>
    </row>
    <row r="267">
      <c r="D267" s="102" t="s">
        <v>213</v>
      </c>
      <c r="E267" s="102">
        <v>10.0</v>
      </c>
      <c r="F267" s="106">
        <v>100.0</v>
      </c>
      <c r="G267" s="99">
        <f t="shared" si="2"/>
        <v>1000</v>
      </c>
      <c r="H267" s="107"/>
    </row>
    <row r="268">
      <c r="D268" s="102" t="s">
        <v>281</v>
      </c>
      <c r="E268" s="102">
        <v>6.0</v>
      </c>
      <c r="F268" s="106">
        <v>100.0</v>
      </c>
      <c r="G268" s="99">
        <f t="shared" si="2"/>
        <v>600</v>
      </c>
      <c r="H268" s="107"/>
    </row>
    <row r="269">
      <c r="D269" s="102" t="s">
        <v>282</v>
      </c>
      <c r="E269" s="102">
        <v>1.0</v>
      </c>
      <c r="F269" s="106">
        <v>230.0</v>
      </c>
      <c r="G269" s="99">
        <f t="shared" si="2"/>
        <v>230</v>
      </c>
      <c r="H269" s="107"/>
    </row>
    <row r="270">
      <c r="D270" s="102" t="s">
        <v>176</v>
      </c>
      <c r="E270" s="102">
        <v>2.0</v>
      </c>
      <c r="F270" s="106">
        <v>500.0</v>
      </c>
      <c r="G270" s="99">
        <f t="shared" si="2"/>
        <v>1000</v>
      </c>
      <c r="H270" s="107"/>
    </row>
    <row r="271">
      <c r="D271" s="102" t="s">
        <v>198</v>
      </c>
      <c r="E271" s="102">
        <v>3.0</v>
      </c>
      <c r="F271" s="106">
        <v>70.0</v>
      </c>
      <c r="G271" s="99">
        <f t="shared" si="2"/>
        <v>210</v>
      </c>
      <c r="H271" s="107"/>
    </row>
    <row r="272">
      <c r="D272" s="102" t="s">
        <v>283</v>
      </c>
      <c r="E272" s="102">
        <v>100.0</v>
      </c>
      <c r="F272" s="106">
        <v>90.0</v>
      </c>
      <c r="G272" s="99">
        <f t="shared" si="2"/>
        <v>9000</v>
      </c>
      <c r="H272" s="107"/>
    </row>
    <row r="273">
      <c r="D273" s="102" t="s">
        <v>284</v>
      </c>
      <c r="E273" s="102">
        <v>2.0</v>
      </c>
      <c r="F273" s="106">
        <v>200.0</v>
      </c>
      <c r="G273" s="99">
        <f t="shared" si="2"/>
        <v>400</v>
      </c>
      <c r="H273" s="107"/>
    </row>
    <row r="274">
      <c r="D274" s="102" t="s">
        <v>130</v>
      </c>
      <c r="E274" s="102">
        <v>1.0</v>
      </c>
      <c r="F274" s="106">
        <v>200.0</v>
      </c>
      <c r="G274" s="99">
        <f t="shared" si="2"/>
        <v>200</v>
      </c>
      <c r="H274" s="107"/>
    </row>
    <row r="275">
      <c r="D275" s="102" t="s">
        <v>242</v>
      </c>
      <c r="E275" s="102">
        <v>11.0</v>
      </c>
      <c r="F275" s="106">
        <v>200.0</v>
      </c>
      <c r="G275" s="99">
        <f t="shared" si="2"/>
        <v>2200</v>
      </c>
      <c r="H275" s="107"/>
    </row>
    <row r="276">
      <c r="D276" s="102" t="s">
        <v>285</v>
      </c>
      <c r="E276" s="102">
        <v>2.0</v>
      </c>
      <c r="F276" s="106">
        <v>500.0</v>
      </c>
      <c r="G276" s="99">
        <f t="shared" si="2"/>
        <v>1000</v>
      </c>
      <c r="H276" s="107"/>
    </row>
    <row r="277">
      <c r="D277" s="102" t="s">
        <v>106</v>
      </c>
      <c r="E277" s="102">
        <v>1.0</v>
      </c>
      <c r="F277" s="106">
        <v>1300.0</v>
      </c>
      <c r="G277" s="99">
        <f t="shared" si="2"/>
        <v>1300</v>
      </c>
      <c r="H277" s="107"/>
    </row>
    <row r="278">
      <c r="D278" s="102" t="s">
        <v>239</v>
      </c>
      <c r="E278" s="102">
        <v>10.0</v>
      </c>
      <c r="F278" s="106">
        <v>100.0</v>
      </c>
      <c r="G278" s="99">
        <f t="shared" si="2"/>
        <v>1000</v>
      </c>
      <c r="H278" s="107"/>
    </row>
    <row r="279">
      <c r="D279" s="102" t="s">
        <v>238</v>
      </c>
      <c r="E279" s="102">
        <v>5.0</v>
      </c>
      <c r="F279" s="106">
        <v>200.0</v>
      </c>
      <c r="G279" s="99">
        <f t="shared" si="2"/>
        <v>1000</v>
      </c>
      <c r="H279" s="107"/>
    </row>
    <row r="280">
      <c r="D280" s="102" t="s">
        <v>286</v>
      </c>
      <c r="E280" s="102">
        <v>1.0</v>
      </c>
      <c r="F280" s="106">
        <v>850.0</v>
      </c>
      <c r="G280" s="99">
        <f t="shared" si="2"/>
        <v>850</v>
      </c>
      <c r="H280" s="107"/>
    </row>
    <row r="281">
      <c r="D281" s="126" t="s">
        <v>240</v>
      </c>
      <c r="E281" s="126">
        <v>15.0</v>
      </c>
      <c r="F281" s="127">
        <v>180.0</v>
      </c>
      <c r="G281" s="128">
        <f t="shared" si="2"/>
        <v>2700</v>
      </c>
      <c r="H281" s="107"/>
    </row>
    <row r="282">
      <c r="D282" s="102" t="s">
        <v>287</v>
      </c>
      <c r="E282" s="102">
        <v>1.2</v>
      </c>
      <c r="F282" s="106">
        <v>3200.0</v>
      </c>
      <c r="G282" s="99">
        <f t="shared" si="2"/>
        <v>3840</v>
      </c>
      <c r="H282" s="124">
        <v>45645.0</v>
      </c>
    </row>
    <row r="283">
      <c r="D283" s="102" t="s">
        <v>198</v>
      </c>
      <c r="E283" s="102">
        <v>5.0</v>
      </c>
      <c r="F283" s="106">
        <v>160.0</v>
      </c>
      <c r="G283" s="99">
        <f t="shared" si="2"/>
        <v>800</v>
      </c>
      <c r="H283" s="107"/>
    </row>
    <row r="284">
      <c r="D284" s="102" t="s">
        <v>213</v>
      </c>
      <c r="E284" s="102">
        <v>20.0</v>
      </c>
      <c r="F284" s="106">
        <v>100.0</v>
      </c>
      <c r="G284" s="99">
        <f t="shared" si="2"/>
        <v>2000</v>
      </c>
      <c r="H284" s="107"/>
    </row>
    <row r="285">
      <c r="D285" s="102" t="s">
        <v>205</v>
      </c>
      <c r="E285" s="102">
        <v>1.0</v>
      </c>
      <c r="F285" s="106">
        <v>200.0</v>
      </c>
      <c r="G285" s="99">
        <f t="shared" si="2"/>
        <v>200</v>
      </c>
      <c r="H285" s="107"/>
    </row>
    <row r="286">
      <c r="D286" s="102" t="s">
        <v>206</v>
      </c>
      <c r="E286" s="102">
        <v>1.5</v>
      </c>
      <c r="F286" s="106">
        <v>80.0</v>
      </c>
      <c r="G286" s="99">
        <f t="shared" si="2"/>
        <v>120</v>
      </c>
      <c r="H286" s="107"/>
    </row>
    <row r="287">
      <c r="D287" s="102" t="s">
        <v>204</v>
      </c>
      <c r="E287" s="102">
        <v>1.0</v>
      </c>
      <c r="F287" s="106">
        <v>150.0</v>
      </c>
      <c r="G287" s="99">
        <f t="shared" si="2"/>
        <v>150</v>
      </c>
      <c r="H287" s="107"/>
    </row>
    <row r="288">
      <c r="D288" s="102" t="s">
        <v>202</v>
      </c>
      <c r="E288" s="102">
        <v>1.0</v>
      </c>
      <c r="F288" s="106">
        <v>80.0</v>
      </c>
      <c r="G288" s="99">
        <f t="shared" si="2"/>
        <v>80</v>
      </c>
      <c r="H288" s="107"/>
    </row>
    <row r="289">
      <c r="D289" s="102" t="s">
        <v>203</v>
      </c>
      <c r="E289" s="102">
        <v>1.0</v>
      </c>
      <c r="F289" s="106">
        <v>60.0</v>
      </c>
      <c r="G289" s="99">
        <f t="shared" si="2"/>
        <v>60</v>
      </c>
      <c r="H289" s="107"/>
    </row>
    <row r="290">
      <c r="D290" s="102" t="s">
        <v>288</v>
      </c>
      <c r="E290" s="102">
        <v>100.0</v>
      </c>
      <c r="F290" s="106">
        <v>35.0</v>
      </c>
      <c r="G290" s="99">
        <f t="shared" si="2"/>
        <v>3500</v>
      </c>
      <c r="H290" s="107"/>
    </row>
    <row r="291">
      <c r="D291" s="102" t="s">
        <v>215</v>
      </c>
      <c r="E291" s="102">
        <v>4.5</v>
      </c>
      <c r="F291" s="106">
        <v>700.0</v>
      </c>
      <c r="G291" s="99">
        <f t="shared" si="2"/>
        <v>3150</v>
      </c>
      <c r="H291" s="107"/>
    </row>
    <row r="292">
      <c r="D292" s="102" t="s">
        <v>131</v>
      </c>
      <c r="E292" s="102">
        <v>2.0</v>
      </c>
      <c r="F292" s="106">
        <v>330.0</v>
      </c>
      <c r="G292" s="99">
        <f t="shared" si="2"/>
        <v>660</v>
      </c>
      <c r="H292" s="107"/>
    </row>
    <row r="293">
      <c r="D293" s="102" t="s">
        <v>225</v>
      </c>
      <c r="E293" s="102">
        <v>3.0</v>
      </c>
      <c r="F293" s="106">
        <v>350.0</v>
      </c>
      <c r="G293" s="99">
        <f t="shared" si="2"/>
        <v>1050</v>
      </c>
      <c r="H293" s="107"/>
    </row>
    <row r="294">
      <c r="D294" s="102" t="s">
        <v>195</v>
      </c>
      <c r="E294" s="102">
        <v>2.0</v>
      </c>
      <c r="F294" s="106">
        <v>200.0</v>
      </c>
      <c r="G294" s="99">
        <f t="shared" si="2"/>
        <v>400</v>
      </c>
      <c r="H294" s="107"/>
    </row>
    <row r="295">
      <c r="D295" s="102" t="s">
        <v>289</v>
      </c>
      <c r="E295" s="102">
        <v>2.0</v>
      </c>
      <c r="F295" s="106">
        <v>1500.0</v>
      </c>
      <c r="G295" s="99">
        <f t="shared" si="2"/>
        <v>3000</v>
      </c>
      <c r="H295" s="107"/>
    </row>
    <row r="296">
      <c r="D296" s="102" t="s">
        <v>182</v>
      </c>
      <c r="E296" s="102">
        <v>20.0</v>
      </c>
      <c r="F296" s="106">
        <v>100.0</v>
      </c>
      <c r="G296" s="99">
        <f t="shared" si="2"/>
        <v>2000</v>
      </c>
      <c r="H296" s="124">
        <v>45646.0</v>
      </c>
    </row>
    <row r="297">
      <c r="D297" s="102" t="s">
        <v>221</v>
      </c>
      <c r="E297" s="102">
        <v>1.0</v>
      </c>
      <c r="F297" s="106">
        <v>100.0</v>
      </c>
      <c r="G297" s="99">
        <f t="shared" si="2"/>
        <v>100</v>
      </c>
      <c r="H297" s="107"/>
    </row>
    <row r="298">
      <c r="D298" s="102" t="s">
        <v>290</v>
      </c>
      <c r="E298" s="102">
        <v>1.0</v>
      </c>
      <c r="F298" s="106">
        <v>100.0</v>
      </c>
      <c r="G298" s="99">
        <f t="shared" si="2"/>
        <v>100</v>
      </c>
      <c r="H298" s="107"/>
    </row>
    <row r="299">
      <c r="D299" s="102" t="s">
        <v>291</v>
      </c>
      <c r="E299" s="102">
        <v>0.5</v>
      </c>
      <c r="F299" s="106">
        <v>550.0</v>
      </c>
      <c r="G299" s="99">
        <f t="shared" si="2"/>
        <v>275</v>
      </c>
      <c r="H299" s="107"/>
    </row>
    <row r="300">
      <c r="D300" s="102" t="s">
        <v>292</v>
      </c>
      <c r="E300" s="102">
        <v>18.0</v>
      </c>
      <c r="F300" s="106">
        <v>84.0</v>
      </c>
      <c r="G300" s="99">
        <f t="shared" si="2"/>
        <v>1512</v>
      </c>
      <c r="H300" s="107"/>
    </row>
    <row r="301">
      <c r="D301" s="102" t="s">
        <v>111</v>
      </c>
      <c r="E301" s="102">
        <v>10.0</v>
      </c>
      <c r="F301" s="106">
        <v>120.0</v>
      </c>
      <c r="G301" s="99">
        <f t="shared" si="2"/>
        <v>1200</v>
      </c>
      <c r="H301" s="107"/>
    </row>
    <row r="302">
      <c r="D302" s="102" t="s">
        <v>175</v>
      </c>
      <c r="E302" s="102">
        <v>14.0</v>
      </c>
      <c r="F302" s="106">
        <v>190.0</v>
      </c>
      <c r="G302" s="99">
        <f t="shared" si="2"/>
        <v>2660</v>
      </c>
      <c r="H302" s="107"/>
    </row>
    <row r="303">
      <c r="D303" s="102" t="s">
        <v>293</v>
      </c>
      <c r="E303" s="102">
        <v>7.0</v>
      </c>
      <c r="F303" s="106">
        <v>430.0</v>
      </c>
      <c r="G303" s="99">
        <f t="shared" si="2"/>
        <v>3010</v>
      </c>
      <c r="H303" s="107"/>
    </row>
    <row r="304">
      <c r="D304" s="102" t="s">
        <v>236</v>
      </c>
      <c r="E304" s="102">
        <v>4.0</v>
      </c>
      <c r="F304" s="106">
        <v>970.0</v>
      </c>
      <c r="G304" s="99">
        <f t="shared" si="2"/>
        <v>3880</v>
      </c>
      <c r="H304" s="107"/>
    </row>
    <row r="305">
      <c r="D305" s="102" t="s">
        <v>294</v>
      </c>
      <c r="E305" s="102">
        <v>12.0</v>
      </c>
      <c r="F305" s="106">
        <v>260.0</v>
      </c>
      <c r="G305" s="99">
        <f t="shared" si="2"/>
        <v>3120</v>
      </c>
      <c r="H305" s="107"/>
    </row>
    <row r="306">
      <c r="D306" s="102" t="s">
        <v>158</v>
      </c>
      <c r="E306" s="102">
        <v>1.0</v>
      </c>
      <c r="F306" s="106">
        <v>1450.0</v>
      </c>
      <c r="G306" s="99">
        <f t="shared" si="2"/>
        <v>1450</v>
      </c>
      <c r="H306" s="107"/>
    </row>
    <row r="307">
      <c r="D307" s="102" t="s">
        <v>295</v>
      </c>
      <c r="E307" s="102">
        <v>1.0</v>
      </c>
      <c r="F307" s="106">
        <v>1200.0</v>
      </c>
      <c r="G307" s="99">
        <f t="shared" si="2"/>
        <v>1200</v>
      </c>
      <c r="H307" s="107"/>
    </row>
    <row r="308">
      <c r="D308" s="102" t="s">
        <v>296</v>
      </c>
      <c r="E308" s="102">
        <v>2.0</v>
      </c>
      <c r="F308" s="106">
        <v>300.0</v>
      </c>
      <c r="G308" s="99">
        <f t="shared" si="2"/>
        <v>600</v>
      </c>
      <c r="H308" s="107"/>
    </row>
    <row r="309">
      <c r="D309" s="102" t="s">
        <v>297</v>
      </c>
      <c r="E309" s="102">
        <v>0.5</v>
      </c>
      <c r="F309" s="106">
        <v>1970.0</v>
      </c>
      <c r="G309" s="99">
        <f t="shared" si="2"/>
        <v>985</v>
      </c>
      <c r="H309" s="107"/>
    </row>
    <row r="310">
      <c r="D310" s="102" t="s">
        <v>298</v>
      </c>
      <c r="E310" s="102">
        <v>2.0</v>
      </c>
      <c r="F310" s="106">
        <v>200.0</v>
      </c>
      <c r="G310" s="99">
        <f t="shared" si="2"/>
        <v>400</v>
      </c>
      <c r="H310" s="107"/>
    </row>
    <row r="311">
      <c r="D311" s="102" t="s">
        <v>299</v>
      </c>
      <c r="E311" s="102">
        <v>3.0</v>
      </c>
      <c r="F311" s="106">
        <v>700.0</v>
      </c>
      <c r="G311" s="99">
        <f t="shared" si="2"/>
        <v>2100</v>
      </c>
      <c r="H311" s="124">
        <v>45647.0</v>
      </c>
    </row>
    <row r="312">
      <c r="D312" s="102" t="s">
        <v>300</v>
      </c>
      <c r="E312" s="102">
        <v>0.5</v>
      </c>
      <c r="F312" s="106">
        <v>1000.0</v>
      </c>
      <c r="G312" s="99">
        <f t="shared" si="2"/>
        <v>500</v>
      </c>
      <c r="H312" s="107"/>
    </row>
    <row r="313">
      <c r="D313" s="102" t="s">
        <v>301</v>
      </c>
      <c r="E313" s="102">
        <v>50.0</v>
      </c>
      <c r="F313" s="106">
        <v>33.0</v>
      </c>
      <c r="G313" s="99">
        <f t="shared" si="2"/>
        <v>1650</v>
      </c>
      <c r="H313" s="107"/>
    </row>
    <row r="314">
      <c r="D314" s="102" t="s">
        <v>302</v>
      </c>
      <c r="E314" s="102">
        <v>50.0</v>
      </c>
      <c r="F314" s="106">
        <v>27.0</v>
      </c>
      <c r="G314" s="99">
        <f t="shared" si="2"/>
        <v>1350</v>
      </c>
      <c r="H314" s="107"/>
    </row>
    <row r="315">
      <c r="D315" s="102" t="s">
        <v>303</v>
      </c>
      <c r="E315" s="102">
        <v>50.0</v>
      </c>
      <c r="F315" s="106">
        <v>21.0</v>
      </c>
      <c r="G315" s="99">
        <f t="shared" si="2"/>
        <v>1050</v>
      </c>
      <c r="H315" s="107"/>
    </row>
    <row r="316">
      <c r="D316" s="102" t="s">
        <v>304</v>
      </c>
      <c r="E316" s="102">
        <v>50.0</v>
      </c>
      <c r="F316" s="106">
        <v>20.0</v>
      </c>
      <c r="G316" s="99">
        <f t="shared" si="2"/>
        <v>1000</v>
      </c>
      <c r="H316" s="107"/>
    </row>
    <row r="317">
      <c r="D317" s="102" t="s">
        <v>305</v>
      </c>
      <c r="E317" s="102">
        <v>0.5</v>
      </c>
      <c r="F317" s="106">
        <v>900.0</v>
      </c>
      <c r="G317" s="99">
        <f t="shared" si="2"/>
        <v>450</v>
      </c>
      <c r="H317" s="107"/>
    </row>
    <row r="318">
      <c r="D318" s="102" t="s">
        <v>306</v>
      </c>
      <c r="E318" s="102">
        <v>4.0</v>
      </c>
      <c r="F318" s="106">
        <v>80.0</v>
      </c>
      <c r="G318" s="99">
        <f t="shared" si="2"/>
        <v>320</v>
      </c>
      <c r="H318" s="107"/>
    </row>
    <row r="319">
      <c r="D319" s="102" t="s">
        <v>307</v>
      </c>
      <c r="E319" s="102">
        <v>1.0</v>
      </c>
      <c r="F319" s="106">
        <v>300.0</v>
      </c>
      <c r="G319" s="99">
        <f t="shared" si="2"/>
        <v>300</v>
      </c>
      <c r="H319" s="107"/>
    </row>
    <row r="320">
      <c r="D320" s="102" t="s">
        <v>308</v>
      </c>
      <c r="E320" s="102">
        <v>1.0</v>
      </c>
      <c r="F320" s="106">
        <v>100.0</v>
      </c>
      <c r="G320" s="99">
        <f t="shared" si="2"/>
        <v>100</v>
      </c>
      <c r="H320" s="107"/>
    </row>
    <row r="321">
      <c r="D321" s="102" t="s">
        <v>309</v>
      </c>
      <c r="E321" s="102">
        <v>1.0</v>
      </c>
      <c r="F321" s="106">
        <v>150.0</v>
      </c>
      <c r="G321" s="99">
        <f t="shared" si="2"/>
        <v>150</v>
      </c>
      <c r="H321" s="107"/>
    </row>
    <row r="322">
      <c r="D322" s="102" t="s">
        <v>310</v>
      </c>
      <c r="E322" s="102">
        <v>1.0</v>
      </c>
      <c r="F322" s="106">
        <v>1000.0</v>
      </c>
      <c r="G322" s="99">
        <f t="shared" si="2"/>
        <v>1000</v>
      </c>
      <c r="H322" s="107"/>
    </row>
    <row r="323">
      <c r="D323" s="102" t="s">
        <v>264</v>
      </c>
      <c r="E323" s="102">
        <v>170.0</v>
      </c>
      <c r="F323" s="106">
        <v>45.0</v>
      </c>
      <c r="G323" s="99">
        <f t="shared" si="2"/>
        <v>7650</v>
      </c>
      <c r="H323" s="124">
        <v>45650.0</v>
      </c>
    </row>
    <row r="324">
      <c r="D324" s="102" t="s">
        <v>311</v>
      </c>
      <c r="E324" s="102">
        <v>7.0</v>
      </c>
      <c r="F324" s="106">
        <v>100.0</v>
      </c>
      <c r="G324" s="99">
        <f t="shared" si="2"/>
        <v>700</v>
      </c>
      <c r="H324" s="107"/>
    </row>
    <row r="325">
      <c r="D325" s="102" t="s">
        <v>312</v>
      </c>
      <c r="E325" s="102">
        <v>1.0</v>
      </c>
      <c r="F325" s="106">
        <v>970.0</v>
      </c>
      <c r="G325" s="99">
        <f t="shared" si="2"/>
        <v>970</v>
      </c>
      <c r="H325" s="107"/>
    </row>
    <row r="326">
      <c r="D326" s="102" t="s">
        <v>313</v>
      </c>
      <c r="E326" s="102">
        <v>2.0</v>
      </c>
      <c r="F326" s="106">
        <v>200.0</v>
      </c>
      <c r="G326" s="99">
        <f t="shared" si="2"/>
        <v>400</v>
      </c>
      <c r="H326" s="107"/>
    </row>
    <row r="327">
      <c r="D327" s="102" t="s">
        <v>215</v>
      </c>
      <c r="E327" s="102">
        <v>4.5</v>
      </c>
      <c r="F327" s="106">
        <v>700.0</v>
      </c>
      <c r="G327" s="99">
        <f t="shared" si="2"/>
        <v>3150</v>
      </c>
      <c r="H327" s="107"/>
    </row>
    <row r="328">
      <c r="D328" s="102" t="s">
        <v>213</v>
      </c>
      <c r="E328" s="102">
        <v>10.0</v>
      </c>
      <c r="F328" s="106">
        <v>100.0</v>
      </c>
      <c r="G328" s="99">
        <f t="shared" si="2"/>
        <v>1000</v>
      </c>
      <c r="H328" s="107"/>
    </row>
    <row r="329">
      <c r="D329" s="102" t="s">
        <v>176</v>
      </c>
      <c r="E329" s="102">
        <v>2.0</v>
      </c>
      <c r="F329" s="106">
        <v>500.0</v>
      </c>
      <c r="G329" s="99">
        <f t="shared" si="2"/>
        <v>1000</v>
      </c>
      <c r="H329" s="107"/>
    </row>
    <row r="330">
      <c r="D330" s="102" t="s">
        <v>223</v>
      </c>
      <c r="E330" s="102">
        <v>1.0</v>
      </c>
      <c r="F330" s="106">
        <v>1000.0</v>
      </c>
      <c r="G330" s="99">
        <f t="shared" si="2"/>
        <v>1000</v>
      </c>
      <c r="H330" s="107"/>
    </row>
    <row r="331">
      <c r="D331" s="102" t="s">
        <v>197</v>
      </c>
      <c r="E331" s="129">
        <v>2.0</v>
      </c>
      <c r="F331" s="106">
        <v>1750.0</v>
      </c>
      <c r="G331" s="99">
        <f t="shared" si="2"/>
        <v>3500</v>
      </c>
      <c r="H331" s="107"/>
    </row>
    <row r="332">
      <c r="D332" s="102" t="s">
        <v>110</v>
      </c>
      <c r="E332" s="102">
        <v>2.0</v>
      </c>
      <c r="F332" s="106">
        <v>250.0</v>
      </c>
      <c r="G332" s="99">
        <f t="shared" si="2"/>
        <v>500</v>
      </c>
      <c r="H332" s="107"/>
    </row>
    <row r="333">
      <c r="D333" s="102" t="s">
        <v>314</v>
      </c>
      <c r="E333" s="102">
        <v>1.0</v>
      </c>
      <c r="F333" s="106">
        <v>1350.0</v>
      </c>
      <c r="G333" s="99">
        <f t="shared" si="2"/>
        <v>1350</v>
      </c>
      <c r="H333" s="107"/>
    </row>
    <row r="334">
      <c r="D334" s="102" t="s">
        <v>104</v>
      </c>
      <c r="E334" s="102">
        <v>7.0</v>
      </c>
      <c r="F334" s="106">
        <v>265.0</v>
      </c>
      <c r="G334" s="99">
        <f t="shared" si="2"/>
        <v>1855</v>
      </c>
      <c r="H334" s="107"/>
    </row>
    <row r="335">
      <c r="D335" s="102" t="s">
        <v>176</v>
      </c>
      <c r="E335" s="102">
        <v>2.0</v>
      </c>
      <c r="F335" s="106">
        <v>500.0</v>
      </c>
      <c r="G335" s="99">
        <f t="shared" si="2"/>
        <v>1000</v>
      </c>
      <c r="H335" s="107"/>
    </row>
    <row r="336">
      <c r="D336" s="102" t="s">
        <v>315</v>
      </c>
      <c r="E336" s="102">
        <v>4.0</v>
      </c>
      <c r="F336" s="106">
        <v>115.0</v>
      </c>
      <c r="G336" s="99">
        <f t="shared" si="2"/>
        <v>460</v>
      </c>
      <c r="H336" s="107"/>
    </row>
    <row r="337">
      <c r="D337" s="102" t="s">
        <v>306</v>
      </c>
      <c r="E337" s="102">
        <v>10.0</v>
      </c>
      <c r="F337" s="106">
        <v>62.0</v>
      </c>
      <c r="G337" s="99">
        <f t="shared" si="2"/>
        <v>620</v>
      </c>
      <c r="H337" s="107"/>
    </row>
    <row r="338">
      <c r="D338" s="102" t="s">
        <v>316</v>
      </c>
      <c r="E338" s="102">
        <v>1.0</v>
      </c>
      <c r="F338" s="106">
        <v>550.0</v>
      </c>
      <c r="G338" s="99">
        <f t="shared" si="2"/>
        <v>550</v>
      </c>
      <c r="H338" s="124">
        <v>45651.0</v>
      </c>
    </row>
    <row r="339">
      <c r="D339" s="102" t="s">
        <v>317</v>
      </c>
      <c r="E339" s="102">
        <v>1.0</v>
      </c>
      <c r="F339" s="106">
        <v>350.0</v>
      </c>
      <c r="G339" s="99">
        <f t="shared" si="2"/>
        <v>350</v>
      </c>
      <c r="H339" s="107"/>
    </row>
    <row r="340">
      <c r="D340" s="102" t="s">
        <v>215</v>
      </c>
      <c r="E340" s="102">
        <v>9.0</v>
      </c>
      <c r="F340" s="106">
        <v>700.0</v>
      </c>
      <c r="G340" s="99">
        <f t="shared" si="2"/>
        <v>6300</v>
      </c>
      <c r="H340" s="107"/>
    </row>
    <row r="341">
      <c r="D341" s="102" t="s">
        <v>213</v>
      </c>
      <c r="E341" s="102">
        <v>5.0</v>
      </c>
      <c r="F341" s="106">
        <v>100.0</v>
      </c>
      <c r="G341" s="99">
        <f t="shared" si="2"/>
        <v>500</v>
      </c>
      <c r="H341" s="107"/>
    </row>
    <row r="342">
      <c r="D342" s="102" t="s">
        <v>318</v>
      </c>
      <c r="E342" s="102">
        <v>5.0</v>
      </c>
      <c r="F342" s="106">
        <v>200.0</v>
      </c>
      <c r="G342" s="99">
        <f t="shared" si="2"/>
        <v>1000</v>
      </c>
      <c r="H342" s="107"/>
    </row>
    <row r="343">
      <c r="D343" s="102" t="s">
        <v>319</v>
      </c>
      <c r="E343" s="102">
        <v>1.0</v>
      </c>
      <c r="F343" s="106">
        <v>150.0</v>
      </c>
      <c r="G343" s="99">
        <f t="shared" si="2"/>
        <v>150</v>
      </c>
      <c r="H343" s="107"/>
    </row>
    <row r="344">
      <c r="D344" s="102" t="s">
        <v>221</v>
      </c>
      <c r="E344" s="102">
        <v>1.0</v>
      </c>
      <c r="F344" s="106">
        <v>100.0</v>
      </c>
      <c r="G344" s="99">
        <f t="shared" si="2"/>
        <v>100</v>
      </c>
      <c r="H344" s="107"/>
    </row>
    <row r="345">
      <c r="D345" s="102" t="s">
        <v>308</v>
      </c>
      <c r="E345" s="102">
        <v>1.0</v>
      </c>
      <c r="F345" s="106">
        <v>150.0</v>
      </c>
      <c r="G345" s="99">
        <f t="shared" si="2"/>
        <v>150</v>
      </c>
      <c r="H345" s="107"/>
    </row>
    <row r="346">
      <c r="D346" s="102" t="s">
        <v>320</v>
      </c>
      <c r="E346" s="102">
        <v>1.0</v>
      </c>
      <c r="F346" s="106">
        <v>450.0</v>
      </c>
      <c r="G346" s="99">
        <f t="shared" si="2"/>
        <v>450</v>
      </c>
      <c r="H346" s="107"/>
    </row>
    <row r="347">
      <c r="D347" s="102" t="s">
        <v>321</v>
      </c>
      <c r="E347" s="102">
        <v>1.0</v>
      </c>
      <c r="F347" s="106">
        <v>350.0</v>
      </c>
      <c r="G347" s="99">
        <f t="shared" si="2"/>
        <v>350</v>
      </c>
      <c r="H347" s="107"/>
    </row>
    <row r="348">
      <c r="D348" s="102" t="s">
        <v>321</v>
      </c>
      <c r="E348" s="102">
        <v>3.0</v>
      </c>
      <c r="F348" s="106">
        <v>200.0</v>
      </c>
      <c r="G348" s="99">
        <f t="shared" si="2"/>
        <v>600</v>
      </c>
      <c r="H348" s="107"/>
    </row>
    <row r="349">
      <c r="D349" s="102" t="s">
        <v>197</v>
      </c>
      <c r="E349" s="102">
        <v>1.0</v>
      </c>
      <c r="F349" s="106">
        <v>450.0</v>
      </c>
      <c r="G349" s="130">
        <f t="shared" si="2"/>
        <v>450</v>
      </c>
      <c r="H349" s="107"/>
    </row>
    <row r="350">
      <c r="D350" s="102" t="s">
        <v>198</v>
      </c>
      <c r="E350" s="102">
        <v>12.0</v>
      </c>
      <c r="F350" s="106">
        <v>200.0</v>
      </c>
      <c r="G350" s="99">
        <f t="shared" si="2"/>
        <v>2400</v>
      </c>
      <c r="H350" s="107"/>
    </row>
    <row r="351">
      <c r="D351" s="102" t="s">
        <v>322</v>
      </c>
      <c r="E351" s="102">
        <v>5.0</v>
      </c>
      <c r="F351" s="106">
        <v>60.0</v>
      </c>
      <c r="G351" s="99">
        <f t="shared" si="2"/>
        <v>300</v>
      </c>
      <c r="H351" s="107"/>
    </row>
    <row r="352">
      <c r="D352" s="102" t="s">
        <v>202</v>
      </c>
      <c r="E352" s="102">
        <v>3.0</v>
      </c>
      <c r="F352" s="106">
        <v>100.0</v>
      </c>
      <c r="G352" s="99">
        <f t="shared" si="2"/>
        <v>300</v>
      </c>
      <c r="H352" s="107"/>
    </row>
    <row r="353">
      <c r="D353" s="102" t="s">
        <v>323</v>
      </c>
      <c r="E353" s="102">
        <v>2.0</v>
      </c>
      <c r="F353" s="106">
        <v>30.0</v>
      </c>
      <c r="G353" s="99">
        <f t="shared" si="2"/>
        <v>60</v>
      </c>
      <c r="H353" s="107"/>
    </row>
    <row r="354">
      <c r="D354" s="102" t="s">
        <v>182</v>
      </c>
      <c r="E354" s="102">
        <v>30.0</v>
      </c>
      <c r="F354" s="106">
        <v>100.0</v>
      </c>
      <c r="G354" s="99">
        <f t="shared" si="2"/>
        <v>3000</v>
      </c>
      <c r="H354" s="124">
        <v>45652.0</v>
      </c>
    </row>
    <row r="355">
      <c r="D355" s="102" t="s">
        <v>324</v>
      </c>
      <c r="E355" s="102">
        <v>1.0</v>
      </c>
      <c r="F355" s="106">
        <v>500.0</v>
      </c>
      <c r="G355" s="99">
        <f t="shared" si="2"/>
        <v>500</v>
      </c>
      <c r="H355" s="107"/>
    </row>
    <row r="356">
      <c r="D356" s="102" t="s">
        <v>219</v>
      </c>
      <c r="E356" s="102">
        <v>2.0</v>
      </c>
      <c r="F356" s="106">
        <v>100.0</v>
      </c>
      <c r="G356" s="99">
        <f t="shared" si="2"/>
        <v>200</v>
      </c>
      <c r="H356" s="107"/>
    </row>
    <row r="357">
      <c r="D357" s="102" t="s">
        <v>223</v>
      </c>
      <c r="E357" s="102">
        <v>1.0</v>
      </c>
      <c r="F357" s="106">
        <v>1000.0</v>
      </c>
      <c r="G357" s="99">
        <f t="shared" si="2"/>
        <v>1000</v>
      </c>
      <c r="H357" s="124">
        <v>45653.0</v>
      </c>
    </row>
    <row r="358">
      <c r="D358" s="102" t="s">
        <v>325</v>
      </c>
      <c r="E358" s="102">
        <v>2.0</v>
      </c>
      <c r="F358" s="106">
        <v>1000.0</v>
      </c>
      <c r="G358" s="99">
        <f t="shared" si="2"/>
        <v>2000</v>
      </c>
      <c r="H358" s="107"/>
    </row>
    <row r="359">
      <c r="D359" s="102" t="s">
        <v>326</v>
      </c>
      <c r="E359" s="102">
        <v>1.0</v>
      </c>
      <c r="F359" s="106">
        <v>60.0</v>
      </c>
      <c r="G359" s="99">
        <f t="shared" si="2"/>
        <v>60</v>
      </c>
      <c r="H359" s="107"/>
    </row>
    <row r="360">
      <c r="D360" s="102" t="s">
        <v>214</v>
      </c>
      <c r="E360" s="102">
        <v>1.0</v>
      </c>
      <c r="F360" s="106">
        <v>150.0</v>
      </c>
      <c r="G360" s="99">
        <f t="shared" si="2"/>
        <v>150</v>
      </c>
      <c r="H360" s="107"/>
    </row>
    <row r="361">
      <c r="D361" s="102" t="s">
        <v>319</v>
      </c>
      <c r="E361" s="102">
        <v>1.0</v>
      </c>
      <c r="F361" s="106">
        <v>150.0</v>
      </c>
      <c r="G361" s="99">
        <f t="shared" si="2"/>
        <v>150</v>
      </c>
      <c r="H361" s="124"/>
    </row>
    <row r="362">
      <c r="D362" s="102" t="s">
        <v>213</v>
      </c>
      <c r="E362" s="102">
        <v>20.0</v>
      </c>
      <c r="F362" s="106">
        <v>100.0</v>
      </c>
      <c r="G362" s="99">
        <f t="shared" si="2"/>
        <v>2000</v>
      </c>
      <c r="H362" s="107"/>
    </row>
    <row r="363">
      <c r="D363" s="102" t="s">
        <v>327</v>
      </c>
      <c r="E363" s="102">
        <v>3.0</v>
      </c>
      <c r="F363" s="106">
        <v>700.0</v>
      </c>
      <c r="G363" s="99">
        <f t="shared" si="2"/>
        <v>2100</v>
      </c>
      <c r="H363" s="107"/>
    </row>
    <row r="364">
      <c r="D364" s="102" t="s">
        <v>219</v>
      </c>
      <c r="E364" s="102">
        <v>10.0</v>
      </c>
      <c r="F364" s="106">
        <v>100.0</v>
      </c>
      <c r="G364" s="99">
        <f t="shared" si="2"/>
        <v>1000</v>
      </c>
      <c r="H364" s="107"/>
    </row>
    <row r="365">
      <c r="D365" s="102" t="s">
        <v>328</v>
      </c>
      <c r="E365" s="102">
        <v>5.0</v>
      </c>
      <c r="F365" s="106">
        <v>100.0</v>
      </c>
      <c r="G365" s="99">
        <f t="shared" si="2"/>
        <v>500</v>
      </c>
      <c r="H365" s="102" t="s">
        <v>329</v>
      </c>
    </row>
    <row r="366">
      <c r="D366" s="102" t="s">
        <v>330</v>
      </c>
      <c r="E366" s="102">
        <v>5.0</v>
      </c>
      <c r="F366" s="106">
        <v>150.0</v>
      </c>
      <c r="G366" s="99">
        <f t="shared" si="2"/>
        <v>750</v>
      </c>
      <c r="H366" s="124">
        <v>45655.0</v>
      </c>
    </row>
    <row r="367">
      <c r="D367" s="102" t="s">
        <v>331</v>
      </c>
      <c r="E367" s="102">
        <v>4.0</v>
      </c>
      <c r="F367" s="106">
        <v>200.0</v>
      </c>
      <c r="G367" s="99">
        <f t="shared" si="2"/>
        <v>800</v>
      </c>
      <c r="H367" s="107"/>
    </row>
    <row r="368">
      <c r="D368" s="102" t="s">
        <v>332</v>
      </c>
      <c r="E368" s="102">
        <v>2.0</v>
      </c>
      <c r="F368" s="106">
        <v>120.0</v>
      </c>
      <c r="G368" s="99">
        <f t="shared" si="2"/>
        <v>240</v>
      </c>
      <c r="H368" s="107"/>
    </row>
    <row r="369">
      <c r="D369" s="102" t="s">
        <v>242</v>
      </c>
      <c r="E369" s="102">
        <v>1.0</v>
      </c>
      <c r="F369" s="106">
        <v>250.0</v>
      </c>
      <c r="G369" s="99">
        <f t="shared" si="2"/>
        <v>250</v>
      </c>
      <c r="H369" s="107"/>
    </row>
    <row r="370">
      <c r="D370" s="102" t="s">
        <v>333</v>
      </c>
      <c r="E370" s="102">
        <v>1.0</v>
      </c>
      <c r="F370" s="106">
        <v>50.0</v>
      </c>
      <c r="G370" s="99">
        <f t="shared" si="2"/>
        <v>50</v>
      </c>
      <c r="H370" s="107"/>
    </row>
    <row r="371">
      <c r="D371" s="102" t="s">
        <v>334</v>
      </c>
      <c r="E371" s="102">
        <v>2.0</v>
      </c>
      <c r="F371" s="106">
        <v>60.0</v>
      </c>
      <c r="G371" s="99">
        <f t="shared" si="2"/>
        <v>120</v>
      </c>
      <c r="H371" s="107"/>
    </row>
    <row r="372">
      <c r="D372" s="102" t="s">
        <v>213</v>
      </c>
      <c r="E372" s="102">
        <v>5.0</v>
      </c>
      <c r="F372" s="106">
        <v>150.0</v>
      </c>
      <c r="G372" s="99">
        <f t="shared" si="2"/>
        <v>750</v>
      </c>
      <c r="H372" s="107"/>
    </row>
    <row r="373">
      <c r="D373" s="102" t="s">
        <v>335</v>
      </c>
      <c r="E373" s="102">
        <v>1.0</v>
      </c>
      <c r="F373" s="106">
        <v>25.0</v>
      </c>
      <c r="G373" s="99">
        <f t="shared" si="2"/>
        <v>25</v>
      </c>
      <c r="H373" s="107"/>
    </row>
    <row r="374">
      <c r="D374" s="102" t="s">
        <v>257</v>
      </c>
      <c r="E374" s="102">
        <v>5.0</v>
      </c>
      <c r="F374" s="106">
        <v>200.0</v>
      </c>
      <c r="G374" s="99">
        <f t="shared" si="2"/>
        <v>1000</v>
      </c>
      <c r="H374" s="107"/>
    </row>
    <row r="375">
      <c r="D375" s="102" t="s">
        <v>325</v>
      </c>
      <c r="E375" s="102">
        <v>11.6</v>
      </c>
      <c r="F375" s="106">
        <v>1300.0</v>
      </c>
      <c r="G375" s="99">
        <f t="shared" si="2"/>
        <v>15080</v>
      </c>
      <c r="H375" s="124">
        <v>45656.0</v>
      </c>
    </row>
    <row r="376">
      <c r="D376" s="102" t="s">
        <v>223</v>
      </c>
      <c r="E376" s="102">
        <v>4.0</v>
      </c>
      <c r="F376" s="106">
        <v>1000.0</v>
      </c>
      <c r="G376" s="99">
        <f t="shared" si="2"/>
        <v>4000</v>
      </c>
      <c r="H376" s="107"/>
    </row>
    <row r="377">
      <c r="D377" s="102" t="s">
        <v>213</v>
      </c>
      <c r="E377" s="102">
        <v>2.0</v>
      </c>
      <c r="F377" s="106">
        <v>100.0</v>
      </c>
      <c r="G377" s="99">
        <f t="shared" si="2"/>
        <v>200</v>
      </c>
      <c r="H377" s="107"/>
    </row>
    <row r="378">
      <c r="D378" s="102" t="s">
        <v>219</v>
      </c>
      <c r="E378" s="102">
        <v>5.0</v>
      </c>
      <c r="F378" s="106">
        <v>100.0</v>
      </c>
      <c r="G378" s="99">
        <f t="shared" si="2"/>
        <v>500</v>
      </c>
      <c r="H378" s="107"/>
    </row>
    <row r="379">
      <c r="D379" s="102" t="s">
        <v>242</v>
      </c>
      <c r="E379" s="102">
        <v>10.0</v>
      </c>
      <c r="F379" s="106">
        <v>220.0</v>
      </c>
      <c r="G379" s="99">
        <f t="shared" si="2"/>
        <v>2200</v>
      </c>
      <c r="H379" s="107"/>
    </row>
    <row r="380">
      <c r="D380" s="102" t="s">
        <v>336</v>
      </c>
      <c r="E380" s="102">
        <v>5.0</v>
      </c>
      <c r="F380" s="106">
        <v>30.0</v>
      </c>
      <c r="G380" s="99">
        <f t="shared" si="2"/>
        <v>150</v>
      </c>
      <c r="H380" s="107"/>
    </row>
    <row r="381">
      <c r="D381" s="102" t="s">
        <v>319</v>
      </c>
      <c r="E381" s="102">
        <v>1.0</v>
      </c>
      <c r="F381" s="106">
        <v>150.0</v>
      </c>
      <c r="G381" s="99">
        <f t="shared" si="2"/>
        <v>150</v>
      </c>
      <c r="H381" s="107"/>
    </row>
    <row r="382">
      <c r="D382" s="102" t="s">
        <v>248</v>
      </c>
      <c r="E382" s="102">
        <v>4.0</v>
      </c>
      <c r="F382" s="106">
        <v>50.0</v>
      </c>
      <c r="G382" s="99">
        <f t="shared" si="2"/>
        <v>200</v>
      </c>
      <c r="H382" s="107"/>
    </row>
    <row r="383">
      <c r="D383" s="102" t="s">
        <v>223</v>
      </c>
      <c r="E383" s="102">
        <v>4.0</v>
      </c>
      <c r="F383" s="106">
        <v>1000.0</v>
      </c>
      <c r="G383" s="99">
        <f t="shared" si="2"/>
        <v>4000</v>
      </c>
      <c r="H383" s="107"/>
    </row>
    <row r="384">
      <c r="D384" s="102" t="s">
        <v>213</v>
      </c>
      <c r="E384" s="102">
        <v>5.0</v>
      </c>
      <c r="F384" s="106">
        <v>100.0</v>
      </c>
      <c r="G384" s="99">
        <f t="shared" si="2"/>
        <v>500</v>
      </c>
      <c r="H384" s="107"/>
    </row>
    <row r="385">
      <c r="D385" s="102" t="s">
        <v>213</v>
      </c>
      <c r="E385" s="102">
        <v>4.0</v>
      </c>
      <c r="F385" s="106">
        <v>150.0</v>
      </c>
      <c r="G385" s="99">
        <f t="shared" si="2"/>
        <v>600</v>
      </c>
      <c r="H385" s="107"/>
    </row>
    <row r="386">
      <c r="D386" s="102" t="s">
        <v>319</v>
      </c>
      <c r="E386" s="102">
        <v>2.0</v>
      </c>
      <c r="F386" s="106">
        <v>150.0</v>
      </c>
      <c r="G386" s="99">
        <f t="shared" si="2"/>
        <v>300</v>
      </c>
      <c r="H386" s="107"/>
    </row>
    <row r="387">
      <c r="D387" s="102" t="s">
        <v>236</v>
      </c>
      <c r="E387" s="102">
        <v>1.0</v>
      </c>
      <c r="F387" s="106">
        <v>1000.0</v>
      </c>
      <c r="G387" s="130">
        <v>1000.0</v>
      </c>
      <c r="H387" s="107"/>
    </row>
    <row r="388">
      <c r="D388" s="102" t="s">
        <v>337</v>
      </c>
      <c r="E388" s="102">
        <v>2.5</v>
      </c>
      <c r="F388" s="106">
        <v>140.0</v>
      </c>
      <c r="G388" s="99">
        <f t="shared" ref="G388:G391" si="3">E388*F388</f>
        <v>350</v>
      </c>
      <c r="H388" s="107"/>
    </row>
    <row r="389">
      <c r="D389" s="102" t="s">
        <v>338</v>
      </c>
      <c r="E389" s="102">
        <v>2.0</v>
      </c>
      <c r="F389" s="106">
        <v>5000.0</v>
      </c>
      <c r="G389" s="99">
        <f t="shared" si="3"/>
        <v>10000</v>
      </c>
      <c r="H389" s="107"/>
    </row>
    <row r="390">
      <c r="D390" s="102" t="s">
        <v>264</v>
      </c>
      <c r="E390" s="102">
        <v>50.0</v>
      </c>
      <c r="F390" s="106">
        <v>50.0</v>
      </c>
      <c r="G390" s="99">
        <f t="shared" si="3"/>
        <v>2500</v>
      </c>
      <c r="H390" s="107"/>
    </row>
    <row r="391">
      <c r="D391" s="102" t="s">
        <v>218</v>
      </c>
      <c r="E391" s="102">
        <v>16.0</v>
      </c>
      <c r="F391" s="106">
        <v>150.0</v>
      </c>
      <c r="G391" s="99">
        <f t="shared" si="3"/>
        <v>2400</v>
      </c>
      <c r="H391" s="107"/>
    </row>
    <row r="392">
      <c r="D392" s="131" t="s">
        <v>339</v>
      </c>
      <c r="E392" s="131">
        <v>1.0</v>
      </c>
      <c r="F392" s="132">
        <v>1200.0</v>
      </c>
      <c r="G392" s="133">
        <v>1200.0</v>
      </c>
      <c r="H392" s="134"/>
      <c r="I392" s="135"/>
    </row>
    <row r="393">
      <c r="D393" s="131" t="s">
        <v>340</v>
      </c>
      <c r="E393" s="131">
        <v>1.0</v>
      </c>
      <c r="F393" s="132">
        <v>28700.0</v>
      </c>
      <c r="G393" s="136">
        <f t="shared" ref="G393:G418" si="4">E393*F393</f>
        <v>28700</v>
      </c>
      <c r="H393" s="134">
        <v>45640.0</v>
      </c>
      <c r="I393" s="137" t="s">
        <v>341</v>
      </c>
    </row>
    <row r="394">
      <c r="D394" s="131" t="s">
        <v>342</v>
      </c>
      <c r="E394" s="138">
        <v>1.0</v>
      </c>
      <c r="F394" s="139">
        <v>14800.0</v>
      </c>
      <c r="G394" s="136">
        <f t="shared" si="4"/>
        <v>14800</v>
      </c>
      <c r="H394" s="140">
        <v>45652.0</v>
      </c>
      <c r="I394" s="141"/>
    </row>
    <row r="395">
      <c r="D395" s="138" t="s">
        <v>343</v>
      </c>
      <c r="E395" s="138">
        <v>1.0</v>
      </c>
      <c r="F395" s="132">
        <v>53000.0</v>
      </c>
      <c r="G395" s="136">
        <f t="shared" si="4"/>
        <v>53000</v>
      </c>
      <c r="H395" s="134">
        <v>45628.0</v>
      </c>
      <c r="I395" s="142">
        <f>F393+F394+F395+F396+G397</f>
        <v>124500</v>
      </c>
    </row>
    <row r="396">
      <c r="D396" s="138" t="s">
        <v>344</v>
      </c>
      <c r="E396" s="138">
        <v>1.0</v>
      </c>
      <c r="F396" s="132">
        <v>18000.0</v>
      </c>
      <c r="G396" s="136">
        <f t="shared" si="4"/>
        <v>18000</v>
      </c>
      <c r="H396" s="140">
        <v>45587.0</v>
      </c>
      <c r="I396" s="141"/>
    </row>
    <row r="397">
      <c r="D397" s="131" t="s">
        <v>345</v>
      </c>
      <c r="E397" s="131">
        <v>1.0</v>
      </c>
      <c r="F397" s="132">
        <v>10000.0</v>
      </c>
      <c r="G397" s="136">
        <f t="shared" si="4"/>
        <v>10000</v>
      </c>
      <c r="H397" s="134">
        <v>45631.0</v>
      </c>
    </row>
    <row r="398">
      <c r="D398" s="102" t="s">
        <v>346</v>
      </c>
      <c r="E398" s="102">
        <v>334.0</v>
      </c>
      <c r="F398" s="106">
        <v>60.0</v>
      </c>
      <c r="G398" s="99">
        <f t="shared" si="4"/>
        <v>20040</v>
      </c>
      <c r="H398" s="124">
        <v>45654.0</v>
      </c>
    </row>
    <row r="399">
      <c r="D399" s="102" t="s">
        <v>346</v>
      </c>
      <c r="E399" s="102">
        <v>334.0</v>
      </c>
      <c r="F399" s="106">
        <v>60.0</v>
      </c>
      <c r="G399" s="99">
        <f t="shared" si="4"/>
        <v>20040</v>
      </c>
      <c r="H399" s="124">
        <v>45645.0</v>
      </c>
    </row>
    <row r="400">
      <c r="D400" s="143" t="s">
        <v>347</v>
      </c>
      <c r="E400" s="102">
        <v>871.0</v>
      </c>
      <c r="F400" s="106">
        <v>30.0</v>
      </c>
      <c r="G400" s="99">
        <f t="shared" si="4"/>
        <v>26130</v>
      </c>
      <c r="H400" s="102" t="s">
        <v>348</v>
      </c>
    </row>
    <row r="401">
      <c r="D401" s="144"/>
      <c r="E401" s="102">
        <v>20.0</v>
      </c>
      <c r="F401" s="106">
        <v>40.0</v>
      </c>
      <c r="G401" s="99">
        <f t="shared" si="4"/>
        <v>800</v>
      </c>
      <c r="H401" s="102" t="s">
        <v>349</v>
      </c>
    </row>
    <row r="402">
      <c r="D402" s="144"/>
      <c r="E402" s="102">
        <v>60.0</v>
      </c>
      <c r="F402" s="106">
        <v>25.0</v>
      </c>
      <c r="G402" s="99">
        <f t="shared" si="4"/>
        <v>1500</v>
      </c>
      <c r="H402" s="102" t="s">
        <v>350</v>
      </c>
    </row>
    <row r="403">
      <c r="D403" s="145"/>
      <c r="E403" s="102">
        <v>25.0</v>
      </c>
      <c r="F403" s="106">
        <v>35.0</v>
      </c>
      <c r="G403" s="99">
        <f t="shared" si="4"/>
        <v>875</v>
      </c>
      <c r="H403" s="102" t="s">
        <v>351</v>
      </c>
    </row>
    <row r="404">
      <c r="D404" s="146" t="s">
        <v>352</v>
      </c>
      <c r="E404" s="146">
        <v>1.0</v>
      </c>
      <c r="F404" s="147">
        <v>6000.0</v>
      </c>
      <c r="G404" s="148">
        <f t="shared" si="4"/>
        <v>6000</v>
      </c>
      <c r="H404" s="149">
        <v>45641.0</v>
      </c>
    </row>
    <row r="405">
      <c r="D405" s="102" t="s">
        <v>353</v>
      </c>
      <c r="E405" s="102">
        <v>1.0</v>
      </c>
      <c r="F405" s="106">
        <v>3000.0</v>
      </c>
      <c r="G405" s="99">
        <f t="shared" si="4"/>
        <v>3000</v>
      </c>
      <c r="H405" s="107"/>
    </row>
    <row r="406">
      <c r="D406" s="100" t="s">
        <v>354</v>
      </c>
      <c r="E406" s="102">
        <v>150.0</v>
      </c>
      <c r="F406" s="103">
        <v>33.0</v>
      </c>
      <c r="G406" s="99">
        <f t="shared" si="4"/>
        <v>4950</v>
      </c>
      <c r="H406" s="107"/>
    </row>
    <row r="407">
      <c r="D407" s="100" t="s">
        <v>355</v>
      </c>
      <c r="E407" s="102">
        <v>150.0</v>
      </c>
      <c r="F407" s="103">
        <v>27.0</v>
      </c>
      <c r="G407" s="99">
        <f t="shared" si="4"/>
        <v>4050</v>
      </c>
      <c r="H407" s="107"/>
    </row>
    <row r="408">
      <c r="D408" s="100" t="s">
        <v>356</v>
      </c>
      <c r="E408" s="102">
        <v>100.0</v>
      </c>
      <c r="F408" s="103">
        <v>21.0</v>
      </c>
      <c r="G408" s="99">
        <f t="shared" si="4"/>
        <v>2100</v>
      </c>
      <c r="H408" s="107"/>
    </row>
    <row r="409">
      <c r="D409" s="100" t="s">
        <v>357</v>
      </c>
      <c r="E409" s="102">
        <v>100.0</v>
      </c>
      <c r="F409" s="103">
        <v>20.0</v>
      </c>
      <c r="G409" s="99">
        <f t="shared" si="4"/>
        <v>2000</v>
      </c>
      <c r="H409" s="107"/>
    </row>
    <row r="410">
      <c r="D410" s="100" t="s">
        <v>358</v>
      </c>
      <c r="E410" s="102">
        <v>100.0</v>
      </c>
      <c r="F410" s="103">
        <v>13.7</v>
      </c>
      <c r="G410" s="99">
        <f t="shared" si="4"/>
        <v>1370</v>
      </c>
      <c r="H410" s="107"/>
    </row>
    <row r="411">
      <c r="D411" s="100" t="s">
        <v>359</v>
      </c>
      <c r="E411" s="102">
        <v>100.0</v>
      </c>
      <c r="F411" s="103">
        <v>10.5</v>
      </c>
      <c r="G411" s="99">
        <f t="shared" si="4"/>
        <v>1050</v>
      </c>
      <c r="H411" s="107"/>
    </row>
    <row r="412">
      <c r="D412" s="100" t="s">
        <v>360</v>
      </c>
      <c r="E412" s="100">
        <v>200.0</v>
      </c>
      <c r="F412" s="103">
        <v>10.0</v>
      </c>
      <c r="G412" s="99">
        <f t="shared" si="4"/>
        <v>2000</v>
      </c>
      <c r="H412" s="107"/>
    </row>
    <row r="413">
      <c r="D413" s="97" t="s">
        <v>361</v>
      </c>
      <c r="E413" s="100">
        <v>500.0</v>
      </c>
      <c r="F413" s="103">
        <v>1.8</v>
      </c>
      <c r="G413" s="99">
        <f t="shared" si="4"/>
        <v>900</v>
      </c>
      <c r="H413" s="107"/>
    </row>
    <row r="414">
      <c r="D414" s="97" t="s">
        <v>362</v>
      </c>
      <c r="E414" s="100">
        <v>500.0</v>
      </c>
      <c r="F414" s="103">
        <v>2.0</v>
      </c>
      <c r="G414" s="99">
        <f t="shared" si="4"/>
        <v>1000</v>
      </c>
      <c r="H414" s="107"/>
    </row>
    <row r="415">
      <c r="D415" s="100" t="s">
        <v>363</v>
      </c>
      <c r="E415" s="100">
        <v>1.0</v>
      </c>
      <c r="F415" s="103">
        <v>1350.0</v>
      </c>
      <c r="G415" s="99">
        <f t="shared" si="4"/>
        <v>1350</v>
      </c>
      <c r="H415" s="107"/>
    </row>
    <row r="416">
      <c r="D416" s="100" t="s">
        <v>364</v>
      </c>
      <c r="E416" s="100">
        <v>790.0</v>
      </c>
      <c r="F416" s="103">
        <v>1.5</v>
      </c>
      <c r="G416" s="99">
        <f t="shared" si="4"/>
        <v>1185</v>
      </c>
      <c r="H416" s="107"/>
    </row>
    <row r="417">
      <c r="D417" s="100" t="s">
        <v>365</v>
      </c>
      <c r="E417" s="102">
        <v>14.0</v>
      </c>
      <c r="F417" s="103">
        <v>35.0</v>
      </c>
      <c r="G417" s="99">
        <f t="shared" si="4"/>
        <v>490</v>
      </c>
      <c r="H417" s="107"/>
    </row>
    <row r="418">
      <c r="D418" s="100" t="s">
        <v>366</v>
      </c>
      <c r="E418" s="102">
        <v>40.0</v>
      </c>
      <c r="F418" s="103">
        <v>100.0</v>
      </c>
      <c r="G418" s="99">
        <f t="shared" si="4"/>
        <v>4000</v>
      </c>
      <c r="H418" s="100"/>
    </row>
    <row r="419">
      <c r="D419" s="150" t="s">
        <v>367</v>
      </c>
      <c r="E419" s="151"/>
      <c r="F419" s="152"/>
      <c r="G419" s="153">
        <f>SUM(G3:G418)</f>
        <v>879710.9</v>
      </c>
      <c r="H419" s="154"/>
    </row>
    <row r="420">
      <c r="D420" s="6"/>
      <c r="E420" s="6"/>
      <c r="F420" s="6"/>
      <c r="G420" s="6"/>
      <c r="H420" s="6"/>
    </row>
  </sheetData>
  <mergeCells count="3">
    <mergeCell ref="I393:I394"/>
    <mergeCell ref="I395:I396"/>
    <mergeCell ref="D400:D403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38"/>
    <col customWidth="1" min="8" max="8" width="23.63"/>
    <col customWidth="1" min="9" max="9" width="28.88"/>
    <col customWidth="1" min="10" max="10" width="28.38"/>
    <col customWidth="1" min="11" max="11" width="56.38"/>
  </cols>
  <sheetData>
    <row r="8">
      <c r="E8" s="6"/>
      <c r="F8" s="155"/>
      <c r="G8" s="156" t="s">
        <v>368</v>
      </c>
      <c r="H8" s="156" t="s">
        <v>5</v>
      </c>
      <c r="I8" s="156" t="s">
        <v>369</v>
      </c>
      <c r="J8" s="157" t="s">
        <v>370</v>
      </c>
      <c r="K8" s="158"/>
    </row>
    <row r="9">
      <c r="E9" s="6"/>
      <c r="F9" s="155"/>
      <c r="G9" s="34" t="s">
        <v>329</v>
      </c>
      <c r="H9" s="11">
        <v>30000.0</v>
      </c>
      <c r="I9" s="69">
        <v>30000.0</v>
      </c>
      <c r="J9" s="18">
        <f t="shared" ref="J9:J19" si="1">H9-I9</f>
        <v>0</v>
      </c>
      <c r="K9" s="159"/>
    </row>
    <row r="10">
      <c r="E10" s="6"/>
      <c r="F10" s="155"/>
      <c r="G10" s="34" t="s">
        <v>371</v>
      </c>
      <c r="H10" s="11">
        <v>30000.0</v>
      </c>
      <c r="I10" s="11">
        <v>30000.0</v>
      </c>
      <c r="J10" s="18">
        <f t="shared" si="1"/>
        <v>0</v>
      </c>
      <c r="K10" s="159"/>
    </row>
    <row r="11">
      <c r="E11" s="6"/>
      <c r="F11" s="160">
        <v>1.0</v>
      </c>
      <c r="G11" s="161" t="s">
        <v>372</v>
      </c>
      <c r="H11" s="18">
        <f>Pointage!C35</f>
        <v>7700</v>
      </c>
      <c r="I11" s="11">
        <v>8000.0</v>
      </c>
      <c r="J11" s="18">
        <f t="shared" si="1"/>
        <v>-300</v>
      </c>
      <c r="K11" s="159"/>
    </row>
    <row r="12">
      <c r="E12" s="6"/>
      <c r="F12" s="160">
        <v>2.0</v>
      </c>
      <c r="G12" s="34" t="s">
        <v>55</v>
      </c>
      <c r="H12" s="18">
        <f>K12+Pointage!E35</f>
        <v>34489.6</v>
      </c>
      <c r="I12" s="11">
        <v>34500.0</v>
      </c>
      <c r="J12" s="18">
        <f t="shared" si="1"/>
        <v>-10.4</v>
      </c>
      <c r="K12" s="162">
        <v>5000.0</v>
      </c>
    </row>
    <row r="13">
      <c r="E13" s="6"/>
      <c r="F13" s="160">
        <v>3.0</v>
      </c>
      <c r="G13" s="34" t="s">
        <v>373</v>
      </c>
      <c r="H13" s="18">
        <f>Pointage!G35</f>
        <v>28000</v>
      </c>
      <c r="I13" s="11">
        <v>28000.0</v>
      </c>
      <c r="J13" s="18">
        <f t="shared" si="1"/>
        <v>0</v>
      </c>
      <c r="K13" s="163"/>
    </row>
    <row r="14">
      <c r="E14" s="6"/>
      <c r="F14" s="164">
        <v>4.0</v>
      </c>
      <c r="G14" s="34" t="s">
        <v>59</v>
      </c>
      <c r="H14" s="18">
        <f>Pointage!I35</f>
        <v>31640</v>
      </c>
      <c r="I14" s="11">
        <v>32000.0</v>
      </c>
      <c r="J14" s="18">
        <f t="shared" si="1"/>
        <v>-360</v>
      </c>
      <c r="K14" s="159"/>
    </row>
    <row r="15">
      <c r="E15" s="6"/>
      <c r="F15" s="164">
        <v>5.0</v>
      </c>
      <c r="G15" s="34" t="s">
        <v>61</v>
      </c>
      <c r="H15" s="18">
        <f>Pointage!K35</f>
        <v>7840</v>
      </c>
      <c r="I15" s="11">
        <v>8000.0</v>
      </c>
      <c r="J15" s="18">
        <f t="shared" si="1"/>
        <v>-160</v>
      </c>
      <c r="K15" s="159"/>
    </row>
    <row r="16">
      <c r="E16" s="6"/>
      <c r="F16" s="164">
        <v>6.0</v>
      </c>
      <c r="G16" s="34" t="s">
        <v>374</v>
      </c>
      <c r="H16" s="18">
        <f>Pointage!M35</f>
        <v>32400</v>
      </c>
      <c r="I16" s="18"/>
      <c r="J16" s="18">
        <f t="shared" si="1"/>
        <v>32400</v>
      </c>
      <c r="K16" s="159"/>
    </row>
    <row r="17">
      <c r="E17" s="6"/>
      <c r="F17" s="164">
        <v>7.0</v>
      </c>
      <c r="G17" s="34" t="s">
        <v>375</v>
      </c>
      <c r="H17" s="18">
        <f>Pointage!O35</f>
        <v>14375</v>
      </c>
      <c r="I17" s="11">
        <v>14500.0</v>
      </c>
      <c r="J17" s="18">
        <f t="shared" si="1"/>
        <v>-125</v>
      </c>
      <c r="K17" s="159"/>
    </row>
    <row r="18">
      <c r="E18" s="6"/>
      <c r="F18" s="164">
        <v>8.0</v>
      </c>
      <c r="G18" s="34" t="s">
        <v>376</v>
      </c>
      <c r="H18" s="18">
        <f>Pointage!Q35</f>
        <v>11000</v>
      </c>
      <c r="I18" s="11">
        <v>11000.0</v>
      </c>
      <c r="J18" s="18">
        <f t="shared" si="1"/>
        <v>0</v>
      </c>
      <c r="K18" s="159"/>
    </row>
    <row r="19">
      <c r="E19" s="6"/>
      <c r="F19" s="164">
        <v>9.0</v>
      </c>
      <c r="G19" s="34" t="s">
        <v>377</v>
      </c>
      <c r="H19" s="18">
        <f>Pointage!W35</f>
        <v>24600</v>
      </c>
      <c r="I19" s="11">
        <v>25000.0</v>
      </c>
      <c r="J19" s="18">
        <f t="shared" si="1"/>
        <v>-400</v>
      </c>
      <c r="K19" s="159"/>
    </row>
    <row r="20">
      <c r="E20" s="6"/>
      <c r="F20" s="164">
        <v>10.0</v>
      </c>
      <c r="G20" s="34" t="s">
        <v>378</v>
      </c>
      <c r="H20" s="18">
        <f>Pointage!U35</f>
        <v>33040</v>
      </c>
      <c r="I20" s="11">
        <v>33000.0</v>
      </c>
      <c r="J20" s="11">
        <v>0.0</v>
      </c>
      <c r="K20" s="135" t="s">
        <v>379</v>
      </c>
    </row>
    <row r="21">
      <c r="E21" s="6"/>
      <c r="F21" s="164">
        <v>11.0</v>
      </c>
      <c r="G21" s="34" t="s">
        <v>380</v>
      </c>
      <c r="H21" s="18">
        <f>Pointage!S35</f>
        <v>32480</v>
      </c>
      <c r="I21" s="11">
        <v>32500.0</v>
      </c>
      <c r="J21" s="18">
        <f t="shared" ref="J21:J27" si="2">H21-I21</f>
        <v>-20</v>
      </c>
      <c r="K21" s="159"/>
    </row>
    <row r="22">
      <c r="E22" s="6"/>
      <c r="F22" s="164">
        <v>12.0</v>
      </c>
      <c r="G22" s="34" t="s">
        <v>77</v>
      </c>
      <c r="H22" s="18">
        <f>Pointage!AA35</f>
        <v>20720</v>
      </c>
      <c r="I22" s="11">
        <v>21000.0</v>
      </c>
      <c r="J22" s="18">
        <f t="shared" si="2"/>
        <v>-280</v>
      </c>
      <c r="K22" s="135" t="s">
        <v>381</v>
      </c>
    </row>
    <row r="23">
      <c r="E23" s="6"/>
      <c r="F23" s="164">
        <v>13.0</v>
      </c>
      <c r="G23" s="34" t="s">
        <v>75</v>
      </c>
      <c r="H23" s="18">
        <f>Pointage!Y35</f>
        <v>31500</v>
      </c>
      <c r="I23" s="11">
        <v>31500.0</v>
      </c>
      <c r="J23" s="18">
        <f t="shared" si="2"/>
        <v>0</v>
      </c>
      <c r="K23" s="159"/>
    </row>
    <row r="24">
      <c r="E24" s="6"/>
      <c r="F24" s="164">
        <v>14.0</v>
      </c>
      <c r="G24" s="161" t="s">
        <v>79</v>
      </c>
      <c r="H24" s="18">
        <f>Pointage!AC35</f>
        <v>27160</v>
      </c>
      <c r="I24" s="11">
        <v>28000.0</v>
      </c>
      <c r="J24" s="18">
        <f t="shared" si="2"/>
        <v>-840</v>
      </c>
      <c r="K24" s="135" t="s">
        <v>382</v>
      </c>
    </row>
    <row r="25">
      <c r="E25" s="6"/>
      <c r="F25" s="164">
        <v>15.0</v>
      </c>
      <c r="G25" s="161" t="s">
        <v>81</v>
      </c>
      <c r="H25" s="18">
        <f>Pointage!AE35</f>
        <v>8960</v>
      </c>
      <c r="I25" s="11">
        <v>9000.0</v>
      </c>
      <c r="J25" s="18">
        <f t="shared" si="2"/>
        <v>-40</v>
      </c>
      <c r="K25" s="159"/>
    </row>
    <row r="26">
      <c r="E26" s="6"/>
      <c r="F26" s="155"/>
      <c r="G26" s="26" t="s">
        <v>383</v>
      </c>
      <c r="H26" s="32">
        <f t="shared" ref="H26:I26" si="3">SUM(H9:H25)</f>
        <v>405904.6</v>
      </c>
      <c r="I26" s="165">
        <f t="shared" si="3"/>
        <v>376000</v>
      </c>
      <c r="J26" s="166">
        <f t="shared" si="2"/>
        <v>29904.6</v>
      </c>
      <c r="K26" s="159"/>
    </row>
    <row r="27">
      <c r="E27" s="6"/>
      <c r="F27" s="155"/>
      <c r="G27" s="167"/>
      <c r="H27" s="1"/>
      <c r="I27" s="1"/>
      <c r="J27" s="27">
        <f t="shared" si="2"/>
        <v>0</v>
      </c>
      <c r="K27" s="158"/>
    </row>
    <row r="28">
      <c r="E28" s="6"/>
      <c r="F28" s="6"/>
      <c r="G28" s="6"/>
      <c r="H28" s="6"/>
      <c r="I28" s="6"/>
      <c r="J28" s="6"/>
    </row>
    <row r="29">
      <c r="E29" s="6"/>
      <c r="F29" s="6"/>
      <c r="G29" s="6"/>
      <c r="H29" s="6"/>
      <c r="I29" s="6"/>
      <c r="J29" s="6"/>
    </row>
    <row r="30">
      <c r="E30" s="6"/>
      <c r="F30" s="6"/>
      <c r="G30" s="6"/>
      <c r="H30" s="6"/>
      <c r="I30" s="6"/>
      <c r="J3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0.38"/>
    <col customWidth="1" min="4" max="4" width="18.88"/>
    <col customWidth="1" min="5" max="5" width="23.63"/>
    <col customWidth="1" min="6" max="6" width="26.13"/>
    <col customWidth="1" min="7" max="7" width="20.63"/>
    <col customWidth="1" min="8" max="8" width="21.13"/>
    <col customWidth="1" min="9" max="9" width="23.13"/>
    <col customWidth="1" min="10" max="10" width="29.63"/>
    <col customWidth="1" min="11" max="11" width="27.38"/>
    <col customWidth="1" min="12" max="12" width="26.88"/>
    <col customWidth="1" min="13" max="13" width="27.88"/>
    <col customWidth="1" min="14" max="14" width="21.63"/>
    <col customWidth="1" min="15" max="15" width="28.38"/>
    <col customWidth="1" min="16" max="16" width="30.38"/>
    <col customWidth="1" min="19" max="19" width="24.88"/>
    <col customWidth="1" min="20" max="20" width="34.38"/>
  </cols>
  <sheetData>
    <row r="18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C24" s="6"/>
      <c r="D24" s="56"/>
      <c r="E24" s="56"/>
      <c r="F24" s="56"/>
      <c r="G24" s="56"/>
      <c r="H24" s="56"/>
      <c r="I24" s="56"/>
      <c r="J24" s="6"/>
      <c r="K24" s="6"/>
      <c r="L24" s="6"/>
      <c r="M24" s="6"/>
      <c r="N24" s="6"/>
      <c r="O24" s="6"/>
      <c r="P24" s="6"/>
      <c r="Q24" s="6"/>
      <c r="R24" s="6"/>
      <c r="S24" s="6"/>
      <c r="T24" s="56"/>
      <c r="U24" s="6"/>
      <c r="V24" s="6"/>
    </row>
    <row r="25">
      <c r="C25" s="6"/>
      <c r="D25" s="56"/>
      <c r="E25" s="168" t="s">
        <v>384</v>
      </c>
      <c r="F25" s="168" t="s">
        <v>385</v>
      </c>
      <c r="G25" s="168" t="s">
        <v>386</v>
      </c>
      <c r="H25" s="168" t="s">
        <v>387</v>
      </c>
      <c r="I25" s="168" t="s">
        <v>388</v>
      </c>
      <c r="J25" s="169" t="s">
        <v>389</v>
      </c>
      <c r="K25" s="169" t="s">
        <v>390</v>
      </c>
      <c r="L25" s="170" t="s">
        <v>391</v>
      </c>
      <c r="M25" s="171" t="s">
        <v>392</v>
      </c>
      <c r="N25" s="171" t="s">
        <v>393</v>
      </c>
      <c r="O25" s="171" t="s">
        <v>394</v>
      </c>
      <c r="P25" s="172" t="s">
        <v>395</v>
      </c>
      <c r="Q25" s="6"/>
      <c r="R25" s="6"/>
      <c r="S25" s="1"/>
      <c r="T25" s="173" t="s">
        <v>395</v>
      </c>
      <c r="U25" s="6"/>
      <c r="V25" s="6"/>
    </row>
    <row r="26">
      <c r="C26" s="6"/>
      <c r="D26" s="174" t="s">
        <v>2</v>
      </c>
      <c r="E26" s="32">
        <v>1756000.0</v>
      </c>
      <c r="F26" s="32">
        <v>2274000.0</v>
      </c>
      <c r="G26" s="32">
        <v>1984000.0</v>
      </c>
      <c r="H26" s="32">
        <v>1910000.0</v>
      </c>
      <c r="I26" s="32">
        <v>1342000.0</v>
      </c>
      <c r="J26" s="175">
        <v>1760000.0</v>
      </c>
      <c r="K26" s="175">
        <v>2260000.0</v>
      </c>
      <c r="L26" s="176">
        <v>1427000.0</v>
      </c>
      <c r="M26" s="175">
        <v>1740000.0</v>
      </c>
      <c r="N26" s="175">
        <v>1620000.0</v>
      </c>
      <c r="O26" s="175">
        <v>1328000.0</v>
      </c>
      <c r="P26" s="177">
        <v>2198000.0</v>
      </c>
      <c r="Q26" s="61"/>
      <c r="R26" s="61"/>
      <c r="S26" s="174" t="s">
        <v>2</v>
      </c>
      <c r="T26" s="178">
        <v>2198000.0</v>
      </c>
      <c r="U26" s="6"/>
      <c r="V26" s="6"/>
    </row>
    <row r="27">
      <c r="C27" s="6"/>
      <c r="D27" s="174" t="s">
        <v>4</v>
      </c>
      <c r="E27" s="32">
        <v>920000.0</v>
      </c>
      <c r="F27" s="32">
        <v>914000.0</v>
      </c>
      <c r="G27" s="32">
        <v>928000.0</v>
      </c>
      <c r="H27" s="32">
        <v>744000.0</v>
      </c>
      <c r="I27" s="32">
        <v>646000.0</v>
      </c>
      <c r="J27" s="175">
        <v>804000.0</v>
      </c>
      <c r="K27" s="175">
        <v>958000.0</v>
      </c>
      <c r="L27" s="176">
        <v>640000.0</v>
      </c>
      <c r="M27" s="175">
        <v>716000.0</v>
      </c>
      <c r="N27" s="175">
        <v>747000.0</v>
      </c>
      <c r="O27" s="175">
        <v>645000.0</v>
      </c>
      <c r="P27" s="177">
        <v>880000.0</v>
      </c>
      <c r="Q27" s="61"/>
      <c r="R27" s="61"/>
      <c r="S27" s="174" t="s">
        <v>4</v>
      </c>
      <c r="T27" s="178">
        <v>880000.0</v>
      </c>
      <c r="U27" s="6"/>
      <c r="V27" s="6"/>
    </row>
    <row r="28">
      <c r="C28" s="6"/>
      <c r="D28" s="174" t="s">
        <v>396</v>
      </c>
      <c r="E28" s="32">
        <v>349000.0</v>
      </c>
      <c r="F28" s="32">
        <v>410000.0</v>
      </c>
      <c r="G28" s="32">
        <v>406000.0</v>
      </c>
      <c r="H28" s="32">
        <v>344000.0</v>
      </c>
      <c r="I28" s="32">
        <v>436000.0</v>
      </c>
      <c r="J28" s="175">
        <v>396000.0</v>
      </c>
      <c r="K28" s="175">
        <v>432000.0</v>
      </c>
      <c r="L28" s="176">
        <v>307000.0</v>
      </c>
      <c r="M28" s="175">
        <v>514000.0</v>
      </c>
      <c r="N28" s="175">
        <v>438000.0</v>
      </c>
      <c r="O28" s="175">
        <v>365000.0</v>
      </c>
      <c r="P28" s="177">
        <v>406000.0</v>
      </c>
      <c r="Q28" s="61"/>
      <c r="R28" s="61"/>
      <c r="S28" s="174" t="s">
        <v>396</v>
      </c>
      <c r="T28" s="178">
        <v>406000.0</v>
      </c>
      <c r="U28" s="6"/>
      <c r="V28" s="6"/>
    </row>
    <row r="29">
      <c r="C29" s="6"/>
      <c r="D29" s="174" t="s">
        <v>7</v>
      </c>
      <c r="E29" s="32">
        <v>140000.0</v>
      </c>
      <c r="F29" s="32">
        <v>140000.0</v>
      </c>
      <c r="G29" s="32">
        <v>140000.0</v>
      </c>
      <c r="H29" s="32">
        <v>140000.0</v>
      </c>
      <c r="I29" s="32">
        <v>140000.0</v>
      </c>
      <c r="J29" s="175">
        <v>140000.0</v>
      </c>
      <c r="K29" s="175">
        <v>150000.0</v>
      </c>
      <c r="L29" s="176">
        <v>150000.0</v>
      </c>
      <c r="M29" s="175">
        <v>150000.0</v>
      </c>
      <c r="N29" s="175">
        <v>150000.0</v>
      </c>
      <c r="O29" s="175">
        <v>150000.0</v>
      </c>
      <c r="P29" s="177">
        <v>130000.0</v>
      </c>
      <c r="Q29" s="61"/>
      <c r="R29" s="61"/>
      <c r="S29" s="174" t="s">
        <v>397</v>
      </c>
      <c r="T29" s="178">
        <v>62000.0</v>
      </c>
      <c r="U29" s="6"/>
      <c r="V29" s="6"/>
    </row>
    <row r="30">
      <c r="C30" s="6"/>
      <c r="D30" s="174" t="s">
        <v>398</v>
      </c>
      <c r="E30" s="32">
        <f t="shared" ref="E30:G30" si="1">E26-E27-E28-E29</f>
        <v>347000</v>
      </c>
      <c r="F30" s="32">
        <f t="shared" si="1"/>
        <v>810000</v>
      </c>
      <c r="G30" s="32">
        <f t="shared" si="1"/>
        <v>510000</v>
      </c>
      <c r="H30" s="32">
        <v>680000.0</v>
      </c>
      <c r="I30" s="32">
        <f>I26-I27-I28-I29</f>
        <v>120000</v>
      </c>
      <c r="J30" s="175">
        <v>420000.0</v>
      </c>
      <c r="K30" s="175">
        <f>K26-K27-K28-K29</f>
        <v>720000</v>
      </c>
      <c r="L30" s="176">
        <v>330000.0</v>
      </c>
      <c r="M30" s="175">
        <f t="shared" ref="M30:N30" si="2">M26-M27-M28-M29</f>
        <v>360000</v>
      </c>
      <c r="N30" s="175">
        <f t="shared" si="2"/>
        <v>285000</v>
      </c>
      <c r="O30" s="175">
        <v>120000.0</v>
      </c>
      <c r="P30" s="177">
        <v>720000.0</v>
      </c>
      <c r="Q30" s="61"/>
      <c r="R30" s="61"/>
      <c r="S30" s="174" t="s">
        <v>7</v>
      </c>
      <c r="T30" s="178">
        <v>130000.0</v>
      </c>
      <c r="U30" s="6"/>
      <c r="V30" s="6"/>
    </row>
    <row r="3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74" t="s">
        <v>398</v>
      </c>
      <c r="T31" s="32">
        <f>T26-T27-T28-T29-T30</f>
        <v>720000</v>
      </c>
      <c r="U31" s="6"/>
      <c r="V31" s="6"/>
    </row>
    <row r="3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</sheetData>
  <drawing r:id="rId1"/>
</worksheet>
</file>