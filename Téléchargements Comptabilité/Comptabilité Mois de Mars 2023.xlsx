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 " sheetId="2" r:id="rId5"/>
    <sheet state="visible" name="Feuille 7" sheetId="3" r:id="rId6"/>
    <sheet state="visible" name="les salaires" sheetId="4" r:id="rId7"/>
    <sheet state="visible" name="Les charges " sheetId="5" r:id="rId8"/>
    <sheet state="visible" name="Feuille 5" sheetId="6" r:id="rId9"/>
    <sheet state="visible" name="Literie Soumam" sheetId="7" r:id="rId10"/>
  </sheets>
  <definedNames/>
  <calcPr/>
</workbook>
</file>

<file path=xl/sharedStrings.xml><?xml version="1.0" encoding="utf-8"?>
<sst xmlns="http://schemas.openxmlformats.org/spreadsheetml/2006/main" count="549" uniqueCount="334">
  <si>
    <t>Date</t>
  </si>
  <si>
    <t>Recette Fevrier 2023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</si>
  <si>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</si>
  <si>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</si>
  <si>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</si>
  <si>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</si>
  <si>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</si>
  <si>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</si>
  <si>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</si>
  <si>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Décembre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</si>
  <si>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</si>
  <si>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</si>
  <si>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</si>
  <si>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</si>
  <si>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mercredi</t>
  </si>
  <si>
    <t>jeudi</t>
  </si>
  <si>
    <t>vendredi</t>
  </si>
  <si>
    <t xml:space="preserve">Moyenne des charges par jour </t>
  </si>
  <si>
    <t xml:space="preserve">Objectif </t>
  </si>
  <si>
    <t>samedi</t>
  </si>
  <si>
    <t>dimanche</t>
  </si>
  <si>
    <t>²</t>
  </si>
  <si>
    <t>lundi</t>
  </si>
  <si>
    <t>mardi</t>
  </si>
  <si>
    <t xml:space="preserve">Cash restant </t>
  </si>
  <si>
    <t>Magasin</t>
  </si>
  <si>
    <t xml:space="preserve">caisse </t>
  </si>
  <si>
    <t xml:space="preserve"> </t>
  </si>
  <si>
    <t>Sofiane: 23000+14000+20000+42000+38000-1800-1250+17000-59700+21000+15000+22000+28000</t>
  </si>
  <si>
    <t>loyer</t>
  </si>
  <si>
    <t>caisse : 23000</t>
  </si>
  <si>
    <t>Literie Soummam: 171000</t>
  </si>
  <si>
    <t>Différence mois de Janvier</t>
  </si>
  <si>
    <t xml:space="preserve">Recette Février </t>
  </si>
  <si>
    <t xml:space="preserve">Différence objectif </t>
  </si>
  <si>
    <t xml:space="preserve">charges </t>
  </si>
  <si>
    <t>Caisse</t>
  </si>
  <si>
    <t xml:space="preserve">montant </t>
  </si>
  <si>
    <t xml:space="preserve">Les vendredis </t>
  </si>
  <si>
    <t>Avance salaire</t>
  </si>
  <si>
    <t>Cash réel</t>
  </si>
  <si>
    <t>Cash restant</t>
  </si>
  <si>
    <t>rest à payer</t>
  </si>
  <si>
    <t>Mardi</t>
  </si>
  <si>
    <t>Mercredi</t>
  </si>
  <si>
    <t>Jeudi</t>
  </si>
  <si>
    <t xml:space="preserve">Vendredi </t>
  </si>
  <si>
    <t xml:space="preserve">Mois de Janvier </t>
  </si>
  <si>
    <t xml:space="preserve">La différence </t>
  </si>
  <si>
    <t>Wahiba</t>
  </si>
  <si>
    <t>Lynda</t>
  </si>
  <si>
    <t>Fouzia</t>
  </si>
  <si>
    <t>Youssera</t>
  </si>
  <si>
    <t>Hafida</t>
  </si>
  <si>
    <t>Djamila</t>
  </si>
  <si>
    <t>Alia</t>
  </si>
  <si>
    <t>Yasmine</t>
  </si>
  <si>
    <t>Kenza</t>
  </si>
  <si>
    <t xml:space="preserve">Hadjira </t>
  </si>
  <si>
    <t>Zohra</t>
  </si>
  <si>
    <t>Samira</t>
  </si>
  <si>
    <t>Soumia</t>
  </si>
  <si>
    <t>Sarah</t>
  </si>
  <si>
    <t>Vendeuse</t>
  </si>
  <si>
    <t>Salima</t>
  </si>
  <si>
    <t>Remarque</t>
  </si>
  <si>
    <t xml:space="preserve">wahiba khademet la demie journée </t>
  </si>
  <si>
    <t xml:space="preserve">Lynda khademet la demie journée </t>
  </si>
  <si>
    <t xml:space="preserve">lynda wahiba et yousra khardjou à14h avec autorisation </t>
  </si>
  <si>
    <t>Anissa</t>
  </si>
  <si>
    <t>Ahlem</t>
  </si>
  <si>
    <t>Nadjet</t>
  </si>
  <si>
    <t>Taous</t>
  </si>
  <si>
    <t>Vendredi</t>
  </si>
  <si>
    <t xml:space="preserve">Nom </t>
  </si>
  <si>
    <t>Avance</t>
  </si>
  <si>
    <t xml:space="preserve">Salaire à payer </t>
  </si>
  <si>
    <t xml:space="preserve">Sofiane </t>
  </si>
  <si>
    <t>12500+5500+12000</t>
  </si>
  <si>
    <t>Amel</t>
  </si>
  <si>
    <t>10000+5000+15000</t>
  </si>
  <si>
    <t>2000+2000+24000</t>
  </si>
  <si>
    <t>1000+7000+1000+32000</t>
  </si>
  <si>
    <t>3000+8500</t>
  </si>
  <si>
    <t>1000+1000+1000+24500</t>
  </si>
  <si>
    <t>TOTAL</t>
  </si>
  <si>
    <t>Produit</t>
  </si>
  <si>
    <t>Quantité</t>
  </si>
  <si>
    <t xml:space="preserve">Prix unitaire </t>
  </si>
  <si>
    <t>Prix</t>
  </si>
  <si>
    <t>Date d'achat</t>
  </si>
  <si>
    <t>semoule Sahel 25kg</t>
  </si>
  <si>
    <t>17/01/2023</t>
  </si>
  <si>
    <t>semoule gros Moula 1kg</t>
  </si>
  <si>
    <t xml:space="preserve">Leuvure Boulagère </t>
  </si>
  <si>
    <t>Khel</t>
  </si>
  <si>
    <t>14/12/2022</t>
  </si>
  <si>
    <t>Margarine Fleurial 250g 40 boites</t>
  </si>
  <si>
    <t>pistache</t>
  </si>
  <si>
    <t xml:space="preserve">les gants </t>
  </si>
  <si>
    <t>boites transparent 750cc</t>
  </si>
  <si>
    <t>olive</t>
  </si>
  <si>
    <t>barquettes aluminium 1120</t>
  </si>
  <si>
    <t>19/11/2022</t>
  </si>
  <si>
    <t>barquettes aluminium 2 compartiments</t>
  </si>
  <si>
    <t>djouz</t>
  </si>
  <si>
    <t>fleurs de décoration</t>
  </si>
  <si>
    <t xml:space="preserve">bessel </t>
  </si>
  <si>
    <t>boites 48/10</t>
  </si>
  <si>
    <t>Boites 48/07</t>
  </si>
  <si>
    <t>Boites 36/07</t>
  </si>
  <si>
    <t>Boite 18/07</t>
  </si>
  <si>
    <t>Boites 12/07</t>
  </si>
  <si>
    <t xml:space="preserve">boite 24 </t>
  </si>
  <si>
    <t>farine SIM 1kg</t>
  </si>
  <si>
    <t>18/02/2023</t>
  </si>
  <si>
    <t>barquettes 1185</t>
  </si>
  <si>
    <t xml:space="preserve">sac poubelle </t>
  </si>
  <si>
    <t xml:space="preserve">pilles </t>
  </si>
  <si>
    <t>semoule sahel 10kg</t>
  </si>
  <si>
    <t xml:space="preserve">fromage slices </t>
  </si>
  <si>
    <t>Thon 2kg</t>
  </si>
  <si>
    <t>sucre glace</t>
  </si>
  <si>
    <t>miel 5kg</t>
  </si>
  <si>
    <t>Farine Mama 25kg</t>
  </si>
  <si>
    <t>margarine 500g</t>
  </si>
  <si>
    <t>semen Madina 1,8kg</t>
  </si>
  <si>
    <t>huile 2 litres</t>
  </si>
  <si>
    <t xml:space="preserve">fardeau sucre </t>
  </si>
  <si>
    <t>huile d'olive</t>
  </si>
  <si>
    <t>22/02/2023</t>
  </si>
  <si>
    <t>djeldjelan</t>
  </si>
  <si>
    <t xml:space="preserve">les motifs </t>
  </si>
  <si>
    <t>semoule moyenne 10kg</t>
  </si>
  <si>
    <t>20/02/2023</t>
  </si>
  <si>
    <t>boites size plateau</t>
  </si>
  <si>
    <t>eau Lala khedidja 0,5litre</t>
  </si>
  <si>
    <t>sauce mayonaise 3kg</t>
  </si>
  <si>
    <t>quissetes blanc 12</t>
  </si>
  <si>
    <t>21/01/2023</t>
  </si>
  <si>
    <t>citron</t>
  </si>
  <si>
    <t>deyoul</t>
  </si>
  <si>
    <t>sucre de datte</t>
  </si>
  <si>
    <t xml:space="preserve">farine blé complet </t>
  </si>
  <si>
    <t>caméra</t>
  </si>
  <si>
    <t xml:space="preserve">huile 5 litres </t>
  </si>
  <si>
    <t>sucre cristaliser 25kg</t>
  </si>
  <si>
    <t>rechta</t>
  </si>
  <si>
    <t>poulet haché</t>
  </si>
  <si>
    <t xml:space="preserve">cuisse de poulet </t>
  </si>
  <si>
    <t xml:space="preserve">blanc de poulet </t>
  </si>
  <si>
    <t xml:space="preserve">viande </t>
  </si>
  <si>
    <t>légumes</t>
  </si>
  <si>
    <t>frik</t>
  </si>
  <si>
    <t>7abet 7aawa 500g</t>
  </si>
  <si>
    <t>kousseber mere7i 330g</t>
  </si>
  <si>
    <t>9arefa 3oud</t>
  </si>
  <si>
    <t>fromage gouda et raclette</t>
  </si>
  <si>
    <t>3akeri</t>
  </si>
  <si>
    <t>sac croissant 23</t>
  </si>
  <si>
    <t>aucune idée</t>
  </si>
  <si>
    <t xml:space="preserve">ka3ek nakkach </t>
  </si>
  <si>
    <t xml:space="preserve">poulet haché + blanc de poulet </t>
  </si>
  <si>
    <t>les légumes</t>
  </si>
  <si>
    <t>hamissa</t>
  </si>
  <si>
    <t>chakhechoukha defer0</t>
  </si>
  <si>
    <t>poivre</t>
  </si>
  <si>
    <t>tomate fraiche</t>
  </si>
  <si>
    <t>bessel yabess</t>
  </si>
  <si>
    <t>bessel vert</t>
  </si>
  <si>
    <t>05/003/2023</t>
  </si>
  <si>
    <t>les achats de jeudi</t>
  </si>
  <si>
    <t>amandes</t>
  </si>
  <si>
    <t>cheddar</t>
  </si>
  <si>
    <t>cheezy slices</t>
  </si>
  <si>
    <t>oeufs</t>
  </si>
  <si>
    <t>tomate conserve</t>
  </si>
  <si>
    <t>sel</t>
  </si>
  <si>
    <t xml:space="preserve">wedjadane au lait + noir + blanc </t>
  </si>
  <si>
    <t xml:space="preserve">wedjedane noisette </t>
  </si>
  <si>
    <t>Maiis 800g</t>
  </si>
  <si>
    <t>Fromage bidon 3,8kg</t>
  </si>
  <si>
    <t>achats Amel</t>
  </si>
  <si>
    <t>sachets transparents</t>
  </si>
  <si>
    <t xml:space="preserve">tomate fraiche </t>
  </si>
  <si>
    <t>épinards</t>
  </si>
  <si>
    <t xml:space="preserve">viande hachée </t>
  </si>
  <si>
    <t>bessel</t>
  </si>
  <si>
    <t>salade</t>
  </si>
  <si>
    <t>moules cakes</t>
  </si>
  <si>
    <t>semoule moyenne moula 10kg</t>
  </si>
  <si>
    <t xml:space="preserve">boites plateaux </t>
  </si>
  <si>
    <t xml:space="preserve">boîte demie plateaux </t>
  </si>
  <si>
    <t>pain tacos</t>
  </si>
  <si>
    <t>Tomate fraiche</t>
  </si>
  <si>
    <t>épinards+ persil+ thym</t>
  </si>
  <si>
    <t>3akeri+epices</t>
  </si>
  <si>
    <t>sachets blanc 5kg</t>
  </si>
  <si>
    <t xml:space="preserve">tomate </t>
  </si>
  <si>
    <t>fruits sec</t>
  </si>
  <si>
    <t>aluminium</t>
  </si>
  <si>
    <t>quissetes makrout</t>
  </si>
  <si>
    <t>nouara</t>
  </si>
  <si>
    <t>sanibon</t>
  </si>
  <si>
    <t>banane</t>
  </si>
  <si>
    <t>1 kiwi</t>
  </si>
  <si>
    <t>5 fraise</t>
  </si>
  <si>
    <t>épinards+ coriandre + menth</t>
  </si>
  <si>
    <t>bessel wera9</t>
  </si>
  <si>
    <t xml:space="preserve">poulet haché </t>
  </si>
  <si>
    <t>pomme de terre</t>
  </si>
  <si>
    <t>Amina Baghrir</t>
  </si>
  <si>
    <t>farine 25kg Sahel</t>
  </si>
  <si>
    <t xml:space="preserve">rechta </t>
  </si>
  <si>
    <t>12//03/2023</t>
  </si>
  <si>
    <t xml:space="preserve">isis </t>
  </si>
  <si>
    <t xml:space="preserve">hamissa </t>
  </si>
  <si>
    <t>Riz Basmati</t>
  </si>
  <si>
    <t>ambassadeur</t>
  </si>
  <si>
    <t xml:space="preserve">poulet </t>
  </si>
  <si>
    <t xml:space="preserve">coca cannette </t>
  </si>
  <si>
    <t>zebib</t>
  </si>
  <si>
    <t>gherss</t>
  </si>
  <si>
    <t>camabere</t>
  </si>
  <si>
    <t>creme fraiche</t>
  </si>
  <si>
    <t xml:space="preserve">Margarine fleurial 500g 16 boites </t>
  </si>
  <si>
    <t>huile elio 5 litres</t>
  </si>
  <si>
    <t>storm</t>
  </si>
  <si>
    <t>pate à filo</t>
  </si>
  <si>
    <t>moul bakelawa</t>
  </si>
  <si>
    <t xml:space="preserve">transport nakache </t>
  </si>
  <si>
    <t xml:space="preserve">les légumes </t>
  </si>
  <si>
    <t xml:space="preserve">boite </t>
  </si>
  <si>
    <t>ferik</t>
  </si>
  <si>
    <t>9etayef</t>
  </si>
  <si>
    <t>épinards+ thym</t>
  </si>
  <si>
    <t>amandes blanc</t>
  </si>
  <si>
    <t xml:space="preserve">olive </t>
  </si>
  <si>
    <t>levure nouara</t>
  </si>
  <si>
    <t>tomate conserve 1kg</t>
  </si>
  <si>
    <t xml:space="preserve">olive effilet </t>
  </si>
  <si>
    <t>fromage spécial pizza</t>
  </si>
  <si>
    <t>crème fraiche</t>
  </si>
  <si>
    <t>tofia caramel</t>
  </si>
  <si>
    <t xml:space="preserve">colorant blanc </t>
  </si>
  <si>
    <t xml:space="preserve">poche à douille jetable </t>
  </si>
  <si>
    <t>dentelle 6,5</t>
  </si>
  <si>
    <t xml:space="preserve">papier absorbant </t>
  </si>
  <si>
    <t>Hamissa</t>
  </si>
  <si>
    <t>Semoule fine Bahlouli</t>
  </si>
  <si>
    <t>salade et tomate</t>
  </si>
  <si>
    <t>transport semoule cheraga + manutention</t>
  </si>
  <si>
    <t xml:space="preserve">Transport + manutention semoule Baraki </t>
  </si>
  <si>
    <t>Semoule Moyenne Mama 25kg</t>
  </si>
  <si>
    <t xml:space="preserve">Semoule Fine  Safina 25kg </t>
  </si>
  <si>
    <t>Maa zehar</t>
  </si>
  <si>
    <t>Deyoul</t>
  </si>
  <si>
    <t>deyoul grand</t>
  </si>
  <si>
    <t>salade+ épinards</t>
  </si>
  <si>
    <t>huile 1 litre</t>
  </si>
  <si>
    <t>poulet</t>
  </si>
  <si>
    <t>felfel</t>
  </si>
  <si>
    <t>courgette , betrrave , carotte</t>
  </si>
  <si>
    <t>noisette</t>
  </si>
  <si>
    <t xml:space="preserve">9etayef </t>
  </si>
  <si>
    <t xml:space="preserve">les épices </t>
  </si>
  <si>
    <t xml:space="preserve">épinards persil thym </t>
  </si>
  <si>
    <t xml:space="preserve">papier film , pate feuilletéé , sachets </t>
  </si>
  <si>
    <t xml:space="preserve">Deyoul grande taille </t>
  </si>
  <si>
    <t>23/03/2023</t>
  </si>
  <si>
    <t>deyoul petits</t>
  </si>
  <si>
    <t>viande noisette</t>
  </si>
  <si>
    <t>zebib + 3ina</t>
  </si>
  <si>
    <t xml:space="preserve">poivre+ oivron </t>
  </si>
  <si>
    <t>tomate</t>
  </si>
  <si>
    <t>les quissetes argentée</t>
  </si>
  <si>
    <t>9edera</t>
  </si>
  <si>
    <t>boite alimentaire</t>
  </si>
  <si>
    <t>24/03/203</t>
  </si>
  <si>
    <t>poulet hachée</t>
  </si>
  <si>
    <t>24/03/2023</t>
  </si>
  <si>
    <t>mremez</t>
  </si>
  <si>
    <t xml:space="preserve">tomate fraiche crotte chou poivre </t>
  </si>
  <si>
    <t xml:space="preserve">pain </t>
  </si>
  <si>
    <t>barquettes 1095</t>
  </si>
  <si>
    <t>pate feuillteé</t>
  </si>
  <si>
    <t>bessel + hachiche na3ena3</t>
  </si>
  <si>
    <t>épinards  persil thym tomate cerise</t>
  </si>
  <si>
    <t>poivre + navet + carotte+ courgette</t>
  </si>
  <si>
    <t>25/03/2023</t>
  </si>
  <si>
    <t xml:space="preserve">les légumes : poivre , tomate , betrave, carotte , courgette, aubergine </t>
  </si>
  <si>
    <t xml:space="preserve">pomme de terre </t>
  </si>
  <si>
    <t xml:space="preserve">les herbes + persil+ coriandre + menth </t>
  </si>
  <si>
    <t>les barquettes 1095</t>
  </si>
  <si>
    <t>les assietes</t>
  </si>
  <si>
    <t>blanc de poulet et poulet haché</t>
  </si>
  <si>
    <t>serviette en papier</t>
  </si>
  <si>
    <t>pain</t>
  </si>
  <si>
    <t>olive noir + vert+ efilet</t>
  </si>
  <si>
    <t>Pain</t>
  </si>
  <si>
    <t xml:space="preserve">courgette  </t>
  </si>
  <si>
    <t>tacos</t>
  </si>
  <si>
    <t>bouteille de gaz</t>
  </si>
  <si>
    <t>poivron</t>
  </si>
  <si>
    <t>blanc de poulet</t>
  </si>
  <si>
    <t xml:space="preserve">hamissa+ couscous </t>
  </si>
  <si>
    <t>30/02/203</t>
  </si>
  <si>
    <t>isis + javel + omo + sanibon</t>
  </si>
  <si>
    <t>fromage régime</t>
  </si>
  <si>
    <t>canelle</t>
  </si>
  <si>
    <t>harissa</t>
  </si>
  <si>
    <t xml:space="preserve">vermissel </t>
  </si>
  <si>
    <t>fromage</t>
  </si>
  <si>
    <t xml:space="preserve">cuisses </t>
  </si>
  <si>
    <t>boites hamiss</t>
  </si>
  <si>
    <t>herbes</t>
  </si>
  <si>
    <t xml:space="preserve">légumes : pomme de terre + aubergine + tomate + bessel </t>
  </si>
  <si>
    <t>sofiane</t>
  </si>
  <si>
    <t>Facture éléctricité</t>
  </si>
  <si>
    <t>tadjine</t>
  </si>
  <si>
    <t>tabounate</t>
  </si>
  <si>
    <t xml:space="preserve">Mois de Mars </t>
  </si>
  <si>
    <t>Salaires</t>
  </si>
  <si>
    <t xml:space="preserve">Profit Net </t>
  </si>
  <si>
    <t xml:space="preserve">Mois de Février </t>
  </si>
  <si>
    <t xml:space="preserve">Produit </t>
  </si>
  <si>
    <t xml:space="preserve">Quantité </t>
  </si>
  <si>
    <t xml:space="preserve">Totale à payer </t>
  </si>
  <si>
    <t xml:space="preserve">salade </t>
  </si>
  <si>
    <t>carrote</t>
  </si>
  <si>
    <t>olive noir et vert</t>
  </si>
  <si>
    <t>olive dényauté</t>
  </si>
  <si>
    <t>cuisse de poulet</t>
  </si>
  <si>
    <t>les épices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</si>
</sst>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0\ [$€-1]"/>
    <numFmt numFmtId="166" formatCode="d/m/yyyy"/>
    <numFmt numFmtId="167" formatCode="mm/dd/yyyy"/>
  </numFmts>
  <fonts count="19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8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sz val="14.0"/>
      <color theme="1"/>
      <name val="Arial"/>
    </font>
    <font>
      <b/>
      <sz val="14.0"/>
      <color rgb="FFFF0000"/>
      <name val="Arial"/>
    </font>
    <font>
      <sz val="16.0"/>
      <color theme="1"/>
      <name val="Arial"/>
    </font>
    <font>
      <sz val="18.0"/>
      <color rgb="FF434343"/>
      <name val="Arial"/>
    </font>
    <font>
      <sz val="18.0"/>
      <color rgb="FF1C4587"/>
      <name val="Arial"/>
    </font>
    <font>
      <b/>
      <sz val="18.0"/>
      <color theme="1"/>
      <name val="Arial"/>
    </font>
    <font>
      <sz val="16.0"/>
      <color theme="1"/>
      <name val="Arial"/>
      <scheme val="minor"/>
    </font>
    <font>
      <b/>
      <sz val="24.0"/>
      <color theme="1"/>
      <name val="Arial"/>
    </font>
    <font>
      <sz val="14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sz val="16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3C78D8"/>
        <bgColor rgb="FF3C78D8"/>
      </patternFill>
    </fill>
    <fill>
      <patternFill patternType="solid">
        <fgColor rgb="FFFFE599"/>
        <bgColor rgb="FFFFE599"/>
      </patternFill>
    </fill>
    <fill>
      <patternFill patternType="solid">
        <fgColor rgb="FF980000"/>
        <bgColor rgb="FF980000"/>
      </patternFill>
    </fill>
    <fill>
      <patternFill patternType="solid">
        <fgColor rgb="FF93C47D"/>
        <bgColor rgb="FF93C47D"/>
      </patternFill>
    </fill>
    <fill>
      <patternFill patternType="solid">
        <fgColor rgb="FF9900FF"/>
        <bgColor rgb="FF9900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3" fillId="3" fontId="1" numFmtId="0" xfId="0" applyAlignment="1" applyBorder="1" applyFill="1" applyFont="1">
      <alignment vertical="bottom"/>
    </xf>
    <xf borderId="2" fillId="4" fontId="3" numFmtId="0" xfId="0" applyAlignment="1" applyBorder="1" applyFill="1" applyFont="1">
      <alignment horizontal="center" vertical="bottom"/>
    </xf>
    <xf borderId="2" fillId="5" fontId="3" numFmtId="0" xfId="0" applyAlignment="1" applyBorder="1" applyFill="1" applyFont="1">
      <alignment horizontal="center" vertical="bottom"/>
    </xf>
    <xf borderId="4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5" fillId="3" fontId="3" numFmtId="0" xfId="0" applyAlignment="1" applyBorder="1" applyFont="1">
      <alignment horizontal="center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1" numFmtId="0" xfId="0" applyAlignment="1" applyBorder="1" applyFont="1">
      <alignment vertical="bottom"/>
    </xf>
    <xf borderId="1" fillId="3" fontId="3" numFmtId="0" xfId="0" applyAlignment="1" applyBorder="1" applyFont="1">
      <alignment horizontal="center" vertical="bottom"/>
    </xf>
    <xf borderId="3" fillId="3" fontId="1" numFmtId="165" xfId="0" applyAlignment="1" applyBorder="1" applyFont="1" applyNumberFormat="1">
      <alignment vertical="bottom"/>
    </xf>
    <xf borderId="1" fillId="3" fontId="1" numFmtId="165" xfId="0" applyAlignment="1" applyBorder="1" applyFont="1" applyNumberFormat="1">
      <alignment vertical="bottom"/>
    </xf>
    <xf borderId="6" fillId="3" fontId="3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5" fillId="3" fontId="3" numFmtId="165" xfId="0" applyAlignment="1" applyBorder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5" fillId="8" fontId="3" numFmtId="0" xfId="0" applyAlignment="1" applyBorder="1" applyFill="1" applyFont="1">
      <alignment horizontal="center" vertical="bottom"/>
    </xf>
    <xf borderId="1" fillId="8" fontId="3" numFmtId="164" xfId="0" applyAlignment="1" applyBorder="1" applyFont="1" applyNumberForma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3" numFmtId="0" xfId="0" applyAlignment="1" applyBorder="1" applyFont="1">
      <alignment horizontal="center" readingOrder="0" vertical="bottom"/>
    </xf>
    <xf borderId="5" fillId="8" fontId="3" numFmtId="165" xfId="0" applyAlignment="1" applyBorder="1" applyFont="1" applyNumberForma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1" fillId="5" fontId="3" numFmtId="165" xfId="0" applyAlignment="1" applyBorder="1" applyFont="1" applyNumberFormat="1">
      <alignment horizontal="center" readingOrder="0" vertical="bottom"/>
    </xf>
    <xf borderId="0" fillId="0" fontId="3" numFmtId="165" xfId="0" applyAlignment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vertical="bottom"/>
    </xf>
    <xf borderId="1" fillId="0" fontId="1" numFmtId="0" xfId="0" applyAlignment="1" applyBorder="1" applyFont="1">
      <alignment readingOrder="0" vertical="bottom"/>
    </xf>
    <xf borderId="1" fillId="0" fontId="3" numFmtId="165" xfId="0" applyAlignment="1" applyBorder="1" applyFont="1" applyNumberFormat="1">
      <alignment readingOrder="0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1" numFmtId="165" xfId="0" applyAlignment="1" applyFont="1" applyNumberFormat="1">
      <alignment vertical="bottom"/>
    </xf>
    <xf borderId="0" fillId="3" fontId="1" numFmtId="165" xfId="0" applyAlignment="1" applyFont="1" applyNumberFormat="1">
      <alignment vertical="bottom"/>
    </xf>
    <xf borderId="5" fillId="6" fontId="3" numFmtId="165" xfId="0" applyAlignment="1" applyBorder="1" applyFont="1" applyNumberFormat="1">
      <alignment horizontal="center" vertical="bottom"/>
    </xf>
    <xf borderId="4" fillId="0" fontId="1" numFmtId="165" xfId="0" applyAlignment="1" applyBorder="1" applyFont="1" applyNumberFormat="1">
      <alignment vertical="bottom"/>
    </xf>
    <xf borderId="1" fillId="6" fontId="4" numFmtId="165" xfId="0" applyAlignment="1" applyBorder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3" fillId="0" fontId="1" numFmtId="165" xfId="0" applyAlignment="1" applyBorder="1" applyFont="1" applyNumberFormat="1">
      <alignment vertical="bottom"/>
    </xf>
    <xf borderId="1" fillId="9" fontId="5" numFmtId="0" xfId="0" applyAlignment="1" applyBorder="1" applyFill="1" applyFont="1">
      <alignment horizontal="center" vertical="bottom"/>
    </xf>
    <xf borderId="6" fillId="3" fontId="3" numFmtId="165" xfId="0" applyAlignment="1" applyBorder="1" applyFont="1" applyNumberFormat="1">
      <alignment readingOrder="0" vertical="bottom"/>
    </xf>
    <xf borderId="3" fillId="0" fontId="1" numFmtId="0" xfId="0" applyAlignment="1" applyBorder="1" applyFont="1">
      <alignment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9" fontId="3" numFmtId="0" xfId="0" applyAlignment="1" applyBorder="1" applyFont="1">
      <alignment horizontal="center" vertical="bottom"/>
    </xf>
    <xf borderId="5" fillId="3" fontId="3" numFmtId="0" xfId="0" applyAlignment="1" applyBorder="1" applyFont="1">
      <alignment horizontal="center" readingOrder="0" vertical="bottom"/>
    </xf>
    <xf borderId="5" fillId="8" fontId="3" numFmtId="0" xfId="0" applyAlignment="1" applyBorder="1" applyFont="1">
      <alignment horizontal="center" readingOrder="0" vertical="bottom"/>
    </xf>
    <xf borderId="1" fillId="10" fontId="3" numFmtId="165" xfId="0" applyAlignment="1" applyBorder="1" applyFill="1" applyFont="1" applyNumberFormat="1">
      <alignment horizontal="center" vertical="bottom"/>
    </xf>
    <xf borderId="1" fillId="8" fontId="3" numFmtId="165" xfId="0" applyAlignment="1" applyBorder="1" applyFont="1" applyNumberFormat="1">
      <alignment horizontal="center" vertical="bottom"/>
    </xf>
    <xf borderId="1" fillId="11" fontId="3" numFmtId="165" xfId="0" applyAlignment="1" applyBorder="1" applyFill="1" applyFont="1" applyNumberFormat="1">
      <alignment horizontal="center" vertical="bottom"/>
    </xf>
    <xf borderId="1" fillId="12" fontId="3" numFmtId="165" xfId="0" applyAlignment="1" applyBorder="1" applyFill="1" applyFont="1" applyNumberFormat="1">
      <alignment horizontal="center" readingOrder="0" vertical="bottom"/>
    </xf>
    <xf borderId="1" fillId="13" fontId="3" numFmtId="165" xfId="0" applyAlignment="1" applyBorder="1" applyFill="1" applyFont="1" applyNumberFormat="1">
      <alignment horizontal="center" vertical="bottom"/>
    </xf>
    <xf borderId="1" fillId="4" fontId="3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3" fillId="0" fontId="2" numFmtId="165" xfId="0" applyAlignment="1" applyBorder="1" applyFont="1" applyNumberFormat="1">
      <alignment vertical="bottom"/>
    </xf>
    <xf borderId="1" fillId="3" fontId="3" numFmtId="165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8" fontId="1" numFmtId="165" xfId="0" applyAlignment="1" applyBorder="1" applyFont="1" applyNumberFormat="1">
      <alignment vertical="bottom"/>
    </xf>
    <xf borderId="1" fillId="11" fontId="1" numFmtId="165" xfId="0" applyAlignment="1" applyBorder="1" applyFont="1" applyNumberFormat="1">
      <alignment vertical="bottom"/>
    </xf>
    <xf borderId="1" fillId="12" fontId="1" numFmtId="165" xfId="0" applyAlignment="1" applyBorder="1" applyFont="1" applyNumberFormat="1">
      <alignment vertical="bottom"/>
    </xf>
    <xf borderId="1" fillId="13" fontId="1" numFmtId="165" xfId="0" applyAlignment="1" applyBorder="1" applyFont="1" applyNumberFormat="1">
      <alignment vertical="bottom"/>
    </xf>
    <xf borderId="1" fillId="5" fontId="1" numFmtId="165" xfId="0" applyAlignment="1" applyBorder="1" applyFont="1" applyNumberFormat="1">
      <alignment vertical="bottom"/>
    </xf>
    <xf borderId="0" fillId="3" fontId="1" numFmtId="0" xfId="0" applyAlignment="1" applyFont="1">
      <alignment vertical="bottom"/>
    </xf>
    <xf borderId="1" fillId="2" fontId="3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8" fontId="6" numFmtId="0" xfId="0" applyAlignment="1" applyBorder="1" applyFont="1">
      <alignment horizontal="center" readingOrder="0" vertical="bottom"/>
    </xf>
    <xf borderId="1" fillId="8" fontId="7" numFmtId="0" xfId="0" applyAlignment="1" applyBorder="1" applyFont="1">
      <alignment horizontal="center" readingOrder="0" vertical="bottom"/>
    </xf>
    <xf borderId="1" fillId="8" fontId="6" numFmtId="0" xfId="0" applyAlignment="1" applyBorder="1" applyFont="1">
      <alignment readingOrder="0" vertical="bottom"/>
    </xf>
    <xf borderId="1" fillId="14" fontId="6" numFmtId="0" xfId="0" applyAlignment="1" applyBorder="1" applyFill="1" applyFont="1">
      <alignment horizontal="center" readingOrder="0" vertical="bottom"/>
    </xf>
    <xf borderId="1" fillId="9" fontId="6" numFmtId="0" xfId="0" applyAlignment="1" applyBorder="1" applyFont="1">
      <alignment horizontal="center" readingOrder="0" vertical="bottom"/>
    </xf>
    <xf borderId="1" fillId="8" fontId="6" numFmtId="0" xfId="0" applyAlignment="1" applyBorder="1" applyFont="1">
      <alignment vertical="bottom"/>
    </xf>
    <xf borderId="5" fillId="15" fontId="3" numFmtId="0" xfId="0" applyAlignment="1" applyBorder="1" applyFill="1" applyFont="1">
      <alignment horizontal="center" readingOrder="0" vertical="bottom"/>
    </xf>
    <xf borderId="1" fillId="15" fontId="3" numFmtId="164" xfId="0" applyAlignment="1" applyBorder="1" applyFont="1" applyNumberFormat="1">
      <alignment horizontal="center" readingOrder="0" vertical="bottom"/>
    </xf>
    <xf borderId="1" fillId="15" fontId="6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3" fontId="9" numFmtId="165" xfId="0" applyAlignment="1" applyBorder="1" applyFont="1" applyNumberFormat="1">
      <alignment horizontal="center" readingOrder="0" vertical="bottom"/>
    </xf>
    <xf borderId="1" fillId="3" fontId="9" numFmtId="165" xfId="0" applyAlignment="1" applyBorder="1" applyFont="1" applyNumberFormat="1">
      <alignment horizontal="center" vertical="bottom"/>
    </xf>
    <xf borderId="1" fillId="3" fontId="8" numFmtId="165" xfId="0" applyAlignment="1" applyBorder="1" applyFont="1" applyNumberFormat="1">
      <alignment readingOrder="0" vertical="bottom"/>
    </xf>
    <xf borderId="1" fillId="7" fontId="10" numFmtId="165" xfId="0" applyAlignment="1" applyBorder="1" applyFont="1" applyNumberFormat="1">
      <alignment horizontal="center" vertical="bottom"/>
    </xf>
    <xf borderId="1" fillId="7" fontId="3" numFmtId="165" xfId="0" applyAlignment="1" applyBorder="1" applyFont="1" applyNumberFormat="1">
      <alignment horizontal="right" vertical="bottom"/>
    </xf>
    <xf borderId="1" fillId="9" fontId="3" numFmtId="165" xfId="0" applyAlignment="1" applyBorder="1" applyFont="1" applyNumberFormat="1">
      <alignment horizontal="right" vertical="bottom"/>
    </xf>
    <xf borderId="6" fillId="0" fontId="1" numFmtId="0" xfId="0" applyAlignment="1" applyBorder="1" applyFont="1">
      <alignment vertical="bottom"/>
    </xf>
    <xf borderId="2" fillId="5" fontId="11" numFmtId="0" xfId="0" applyAlignment="1" applyBorder="1" applyFont="1">
      <alignment horizontal="center" vertical="bottom"/>
    </xf>
    <xf borderId="2" fillId="6" fontId="11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0" fillId="0" fontId="12" numFmtId="0" xfId="0" applyAlignment="1" applyFont="1">
      <alignment readingOrder="0"/>
    </xf>
    <xf borderId="0" fillId="0" fontId="12" numFmtId="0" xfId="0" applyFont="1"/>
    <xf borderId="5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vertical="bottom"/>
    </xf>
    <xf borderId="1" fillId="4" fontId="3" numFmtId="165" xfId="0" applyAlignment="1" applyBorder="1" applyFont="1" applyNumberFormat="1">
      <alignment horizontal="center" vertical="bottom"/>
    </xf>
    <xf borderId="1" fillId="7" fontId="11" numFmtId="165" xfId="0" applyAlignment="1" applyBorder="1" applyFont="1" applyNumberFormat="1">
      <alignment horizontal="center" vertical="bottom"/>
    </xf>
    <xf borderId="1" fillId="5" fontId="11" numFmtId="165" xfId="0" applyAlignment="1" applyBorder="1" applyFont="1" applyNumberFormat="1">
      <alignment horizontal="center" vertical="bottom"/>
    </xf>
    <xf borderId="1" fillId="7" fontId="13" numFmtId="0" xfId="0" applyAlignment="1" applyBorder="1" applyFont="1">
      <alignment horizontal="center" vertical="bottom"/>
    </xf>
    <xf borderId="2" fillId="7" fontId="13" numFmtId="0" xfId="0" applyAlignment="1" applyBorder="1" applyFont="1">
      <alignment horizontal="center" vertical="bottom"/>
    </xf>
    <xf borderId="5" fillId="6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vertical="bottom"/>
    </xf>
    <xf borderId="6" fillId="6" fontId="3" numFmtId="0" xfId="0" applyAlignment="1" applyBorder="1" applyFont="1">
      <alignment horizontal="center" vertical="bottom"/>
    </xf>
    <xf borderId="2" fillId="6" fontId="3" numFmtId="0" xfId="0" applyAlignment="1" applyBorder="1" applyFont="1">
      <alignment horizontal="center" readingOrder="0" vertical="bottom"/>
    </xf>
    <xf borderId="2" fillId="6" fontId="3" numFmtId="165" xfId="0" applyAlignment="1" applyBorder="1" applyFont="1" applyNumberFormat="1">
      <alignment horizontal="center" vertical="bottom"/>
    </xf>
    <xf borderId="2" fillId="6" fontId="3" numFmtId="164" xfId="0" applyAlignment="1" applyBorder="1" applyFont="1" applyNumberFormat="1">
      <alignment horizontal="center" vertical="bottom"/>
    </xf>
    <xf borderId="1" fillId="6" fontId="3" numFmtId="166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6" fillId="3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2" fillId="3" fontId="3" numFmtId="165" xfId="0" applyAlignment="1" applyBorder="1" applyFont="1" applyNumberFormat="1">
      <alignment horizontal="center" vertical="bottom"/>
    </xf>
    <xf borderId="2" fillId="3" fontId="3" numFmtId="164" xfId="0" applyAlignment="1" applyBorder="1" applyFont="1" applyNumberFormat="1">
      <alignment horizontal="center" vertical="bottom"/>
    </xf>
    <xf borderId="2" fillId="3" fontId="3" numFmtId="0" xfId="0" applyAlignment="1" applyBorder="1" applyFont="1">
      <alignment horizontal="center" readingOrder="0" vertical="bottom"/>
    </xf>
    <xf borderId="2" fillId="3" fontId="3" numFmtId="165" xfId="0" applyAlignment="1" applyBorder="1" applyFont="1" applyNumberFormat="1">
      <alignment horizontal="center" readingOrder="0" vertical="bottom"/>
    </xf>
    <xf borderId="6" fillId="3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2" fillId="3" fontId="3" numFmtId="167" xfId="0" applyAlignment="1" applyBorder="1" applyFont="1" applyNumberFormat="1">
      <alignment horizontal="center" vertical="bottom"/>
    </xf>
    <xf borderId="6" fillId="5" fontId="3" numFmtId="0" xfId="0" applyAlignment="1" applyBorder="1" applyFont="1">
      <alignment horizontal="center" vertical="bottom"/>
    </xf>
    <xf borderId="2" fillId="5" fontId="3" numFmtId="0" xfId="0" applyAlignment="1" applyBorder="1" applyFont="1">
      <alignment horizontal="center" readingOrder="0" vertical="bottom"/>
    </xf>
    <xf borderId="2" fillId="5" fontId="3" numFmtId="165" xfId="0" applyAlignment="1" applyBorder="1" applyFont="1" applyNumberFormat="1">
      <alignment horizontal="center" vertical="bottom"/>
    </xf>
    <xf borderId="2" fillId="3" fontId="3" numFmtId="164" xfId="0" applyAlignment="1" applyBorder="1" applyFont="1" applyNumberFormat="1">
      <alignment horizontal="center" readingOrder="0" vertical="bottom"/>
    </xf>
    <xf borderId="6" fillId="7" fontId="3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center" vertical="bottom"/>
    </xf>
    <xf borderId="2" fillId="7" fontId="3" numFmtId="165" xfId="0" applyAlignment="1" applyBorder="1" applyFont="1" applyNumberFormat="1">
      <alignment horizontal="center" vertical="bottom"/>
    </xf>
    <xf borderId="2" fillId="7" fontId="3" numFmtId="164" xfId="0" applyAlignment="1" applyBorder="1" applyFont="1" applyNumberFormat="1">
      <alignment horizontal="center" vertical="bottom"/>
    </xf>
    <xf borderId="6" fillId="3" fontId="3" numFmtId="0" xfId="0" applyAlignment="1" applyBorder="1" applyFont="1">
      <alignment horizontal="center" readingOrder="0" vertical="bottom"/>
    </xf>
    <xf borderId="0" fillId="0" fontId="14" numFmtId="0" xfId="0" applyAlignment="1" applyFont="1">
      <alignment readingOrder="0"/>
    </xf>
    <xf borderId="0" fillId="0" fontId="14" numFmtId="0" xfId="0" applyFont="1"/>
    <xf borderId="5" fillId="4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4" fontId="3" numFmtId="164" xfId="0" applyAlignment="1" applyBorder="1" applyFont="1" applyNumberFormat="1">
      <alignment horizontal="center" readingOrder="0" vertical="bottom"/>
    </xf>
    <xf borderId="5" fillId="16" fontId="3" numFmtId="0" xfId="0" applyAlignment="1" applyBorder="1" applyFill="1" applyFont="1">
      <alignment horizontal="center" readingOrder="0" vertical="bottom"/>
    </xf>
    <xf borderId="1" fillId="16" fontId="3" numFmtId="0" xfId="0" applyAlignment="1" applyBorder="1" applyFont="1">
      <alignment horizontal="center" readingOrder="0" vertical="bottom"/>
    </xf>
    <xf borderId="1" fillId="16" fontId="3" numFmtId="165" xfId="0" applyAlignment="1" applyBorder="1" applyFont="1" applyNumberFormat="1">
      <alignment horizontal="center" readingOrder="0" vertical="bottom"/>
    </xf>
    <xf borderId="1" fillId="16" fontId="3" numFmtId="165" xfId="0" applyAlignment="1" applyBorder="1" applyFont="1" applyNumberFormat="1">
      <alignment horizontal="center" vertical="bottom"/>
    </xf>
    <xf borderId="1" fillId="16" fontId="3" numFmtId="164" xfId="0" applyAlignment="1" applyBorder="1" applyFont="1" applyNumberFormat="1">
      <alignment horizontal="center" readingOrder="0" vertical="bottom"/>
    </xf>
    <xf borderId="5" fillId="6" fontId="3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6" fontId="3" numFmtId="164" xfId="0" applyAlignment="1" applyBorder="1" applyFont="1" applyNumberFormat="1">
      <alignment horizontal="center" readingOrder="0" vertical="bottom"/>
    </xf>
    <xf borderId="5" fillId="2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readingOrder="0" vertical="bottom"/>
    </xf>
    <xf borderId="1" fillId="2" fontId="3" numFmtId="165" xfId="0" applyAlignment="1" applyBorder="1" applyFont="1" applyNumberFormat="1">
      <alignment horizontal="center" readingOrder="0" vertical="bottom"/>
    </xf>
    <xf borderId="1" fillId="2" fontId="3" numFmtId="165" xfId="0" applyAlignment="1" applyBorder="1" applyFont="1" applyNumberFormat="1">
      <alignment horizontal="center" vertical="bottom"/>
    </xf>
    <xf borderId="1" fillId="2" fontId="3" numFmtId="164" xfId="0" applyAlignment="1" applyBorder="1" applyFont="1" applyNumberFormat="1">
      <alignment horizontal="center" readingOrder="0" vertical="bottom"/>
    </xf>
    <xf borderId="5" fillId="5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 vertical="bottom"/>
    </xf>
    <xf borderId="0" fillId="0" fontId="15" numFmtId="165" xfId="0" applyFont="1" applyNumberFormat="1"/>
    <xf borderId="5" fillId="17" fontId="3" numFmtId="0" xfId="0" applyAlignment="1" applyBorder="1" applyFill="1" applyFont="1">
      <alignment horizontal="center" readingOrder="0" vertical="bottom"/>
    </xf>
    <xf borderId="1" fillId="17" fontId="3" numFmtId="0" xfId="0" applyAlignment="1" applyBorder="1" applyFont="1">
      <alignment horizontal="center" vertical="bottom"/>
    </xf>
    <xf borderId="1" fillId="17" fontId="3" numFmtId="165" xfId="0" applyAlignment="1" applyBorder="1" applyFont="1" applyNumberFormat="1">
      <alignment horizontal="center" vertical="bottom"/>
    </xf>
    <xf borderId="1" fillId="0" fontId="13" numFmtId="165" xfId="0" applyAlignment="1" applyBorder="1" applyFont="1" applyNumberFormat="1">
      <alignment horizontal="center" vertical="bottom"/>
    </xf>
    <xf borderId="2" fillId="18" fontId="11" numFmtId="0" xfId="0" applyAlignment="1" applyBorder="1" applyFill="1" applyFont="1">
      <alignment horizontal="center" readingOrder="0" vertical="bottom"/>
    </xf>
    <xf borderId="5" fillId="10" fontId="11" numFmtId="0" xfId="0" applyAlignment="1" applyBorder="1" applyFont="1">
      <alignment horizontal="center" vertical="bottom"/>
    </xf>
    <xf borderId="2" fillId="18" fontId="11" numFmtId="0" xfId="0" applyAlignment="1" applyBorder="1" applyFont="1">
      <alignment horizontal="center" vertical="bottom"/>
    </xf>
    <xf borderId="0" fillId="0" fontId="16" numFmtId="165" xfId="0" applyFont="1" applyNumberFormat="1"/>
    <xf borderId="6" fillId="0" fontId="17" numFmtId="0" xfId="0" applyAlignment="1" applyBorder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6" fillId="0" fontId="12" numFmtId="0" xfId="0" applyAlignment="1" applyBorder="1" applyFont="1">
      <alignment horizontal="center"/>
    </xf>
    <xf borderId="6" fillId="0" fontId="1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4.88"/>
    <col customWidth="1" min="3" max="3" width="33.38"/>
    <col customWidth="1" min="4" max="4" width="22.88"/>
    <col customWidth="1" min="5" max="5" width="21.88"/>
    <col customWidth="1" min="6" max="6" width="24.38"/>
    <col customWidth="1" min="7" max="7" width="25.13"/>
    <col customWidth="1" min="8" max="8" width="24.38"/>
    <col customWidth="1" min="9" max="9" width="18.88"/>
    <col customWidth="1" min="10" max="11" width="16.88"/>
    <col customWidth="1" min="12" max="12" width="22.13"/>
    <col customWidth="1" min="13" max="13" width="24.13"/>
    <col customWidth="1" min="14" max="14" width="40.63"/>
    <col customWidth="1" min="15" max="15" width="24.13"/>
    <col customWidth="1" min="16" max="16" width="159.38"/>
    <col customWidth="1" min="17" max="17" width="19.63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/>
      <c r="K1" s="5"/>
      <c r="L1" s="6" t="s">
        <v>8</v>
      </c>
      <c r="M1" s="7" t="s">
        <v>9</v>
      </c>
      <c r="N1" s="8" t="s">
        <v>10</v>
      </c>
      <c r="O1" s="8" t="s">
        <v>11</v>
      </c>
      <c r="P1" s="9" t="s">
        <v>12</v>
      </c>
      <c r="Q1" s="10" t="s">
        <v>13</v>
      </c>
      <c r="R1" s="11"/>
      <c r="S1" s="11"/>
    </row>
    <row r="2">
      <c r="A2" s="12" t="s">
        <v>14</v>
      </c>
      <c r="B2" s="13">
        <v>44986.0</v>
      </c>
      <c r="C2" s="14">
        <v>10000.0</v>
      </c>
      <c r="D2" s="14">
        <v>48000.0</v>
      </c>
      <c r="E2" s="15"/>
      <c r="F2" s="15"/>
      <c r="G2" s="15"/>
      <c r="H2" s="15"/>
      <c r="I2" s="16">
        <v>1.0</v>
      </c>
      <c r="J2" s="17"/>
      <c r="K2" s="17"/>
      <c r="L2" s="18"/>
      <c r="M2" s="19">
        <v>10000.0</v>
      </c>
      <c r="N2" s="20">
        <f>H33/I33</f>
        <v>16795.85161</v>
      </c>
      <c r="O2" s="20">
        <f>D33/I33</f>
        <v>62193.54839</v>
      </c>
      <c r="P2" s="21">
        <f>F33/I33</f>
        <v>11699.3871</v>
      </c>
      <c r="Q2" s="22">
        <f>P2/O2</f>
        <v>0.1881125519</v>
      </c>
      <c r="R2" s="11"/>
      <c r="S2" s="11"/>
    </row>
    <row r="3">
      <c r="A3" s="12" t="s">
        <v>15</v>
      </c>
      <c r="B3" s="13">
        <v>44987.0</v>
      </c>
      <c r="C3" s="14">
        <v>0.0</v>
      </c>
      <c r="D3" s="14">
        <v>100000.0</v>
      </c>
      <c r="E3" s="15"/>
      <c r="F3" s="15"/>
      <c r="G3" s="15"/>
      <c r="H3" s="15"/>
      <c r="I3" s="23">
        <v>1.0</v>
      </c>
      <c r="J3" s="17"/>
      <c r="K3" s="17"/>
      <c r="L3" s="18"/>
      <c r="M3" s="24">
        <v>0.0</v>
      </c>
      <c r="N3" s="1"/>
      <c r="O3" s="1"/>
      <c r="P3" s="11"/>
      <c r="Q3" s="25"/>
      <c r="R3" s="11"/>
      <c r="S3" s="11"/>
    </row>
    <row r="4">
      <c r="A4" s="26" t="s">
        <v>16</v>
      </c>
      <c r="B4" s="27">
        <v>44988.0</v>
      </c>
      <c r="C4" s="28">
        <v>0.0</v>
      </c>
      <c r="D4" s="28">
        <v>52000.0</v>
      </c>
      <c r="E4" s="29"/>
      <c r="F4" s="29"/>
      <c r="G4" s="29"/>
      <c r="H4" s="29"/>
      <c r="I4" s="30">
        <v>1.0</v>
      </c>
      <c r="J4" s="17"/>
      <c r="K4" s="17"/>
      <c r="L4" s="18"/>
      <c r="M4" s="31">
        <v>0.0</v>
      </c>
      <c r="N4" s="32" t="s">
        <v>17</v>
      </c>
      <c r="O4" s="33" t="s">
        <v>18</v>
      </c>
      <c r="P4" s="11"/>
      <c r="Q4" s="1"/>
      <c r="R4" s="11"/>
      <c r="S4" s="11"/>
    </row>
    <row r="5">
      <c r="A5" s="12" t="s">
        <v>19</v>
      </c>
      <c r="B5" s="13">
        <v>44989.0</v>
      </c>
      <c r="C5" s="14">
        <v>60000.0</v>
      </c>
      <c r="D5" s="14">
        <v>65000.0</v>
      </c>
      <c r="E5" s="15"/>
      <c r="F5" s="15"/>
      <c r="G5" s="15"/>
      <c r="H5" s="15"/>
      <c r="I5" s="23">
        <v>1.0</v>
      </c>
      <c r="J5" s="17"/>
      <c r="K5" s="17"/>
      <c r="L5" s="18"/>
      <c r="M5" s="24">
        <v>60000.0</v>
      </c>
      <c r="N5" s="34">
        <f>E33/I33</f>
        <v>30149.92258</v>
      </c>
      <c r="O5" s="34">
        <v>100000.0</v>
      </c>
      <c r="P5" s="1"/>
      <c r="Q5" s="1"/>
      <c r="R5" s="11"/>
      <c r="S5" s="11"/>
    </row>
    <row r="6">
      <c r="A6" s="12" t="s">
        <v>20</v>
      </c>
      <c r="B6" s="13">
        <v>44990.0</v>
      </c>
      <c r="C6" s="14">
        <v>50000.0</v>
      </c>
      <c r="D6" s="14">
        <v>67000.0</v>
      </c>
      <c r="E6" s="15"/>
      <c r="F6" s="15"/>
      <c r="G6" s="15"/>
      <c r="H6" s="15"/>
      <c r="I6" s="23">
        <v>1.0</v>
      </c>
      <c r="J6" s="17"/>
      <c r="K6" s="17"/>
      <c r="L6" s="18"/>
      <c r="M6" s="24">
        <v>50000.0</v>
      </c>
      <c r="N6" s="1" t="s">
        <v>21</v>
      </c>
      <c r="O6" s="1"/>
      <c r="P6" s="1"/>
      <c r="Q6" s="1"/>
      <c r="R6" s="11"/>
      <c r="S6" s="11"/>
    </row>
    <row r="7">
      <c r="A7" s="12" t="s">
        <v>22</v>
      </c>
      <c r="B7" s="13">
        <v>44991.0</v>
      </c>
      <c r="C7" s="14">
        <v>30000.0</v>
      </c>
      <c r="D7" s="14">
        <v>53000.0</v>
      </c>
      <c r="E7" s="15"/>
      <c r="F7" s="15"/>
      <c r="G7" s="15"/>
      <c r="H7" s="15"/>
      <c r="I7" s="23">
        <v>1.0</v>
      </c>
      <c r="J7" s="17"/>
      <c r="K7" s="17"/>
      <c r="L7" s="18"/>
      <c r="M7" s="24">
        <v>30000.0</v>
      </c>
      <c r="N7" s="1"/>
      <c r="O7" s="1"/>
      <c r="P7" s="1"/>
      <c r="Q7" s="1"/>
      <c r="R7" s="11"/>
      <c r="S7" s="11"/>
    </row>
    <row r="8">
      <c r="A8" s="12" t="s">
        <v>23</v>
      </c>
      <c r="B8" s="13">
        <v>44992.0</v>
      </c>
      <c r="C8" s="14">
        <v>40000.0</v>
      </c>
      <c r="D8" s="14">
        <v>50000.0</v>
      </c>
      <c r="E8" s="15"/>
      <c r="F8" s="15"/>
      <c r="G8" s="15"/>
      <c r="H8" s="15"/>
      <c r="I8" s="23">
        <v>1.0</v>
      </c>
      <c r="J8" s="17"/>
      <c r="K8" s="17"/>
      <c r="L8" s="18"/>
      <c r="M8" s="24">
        <v>40000.0</v>
      </c>
      <c r="N8" s="35" t="s">
        <v>24</v>
      </c>
      <c r="O8" s="35" t="s">
        <v>25</v>
      </c>
      <c r="P8" s="36" t="s">
        <v>26</v>
      </c>
      <c r="Q8" s="37"/>
      <c r="R8" s="11"/>
      <c r="S8" s="11"/>
    </row>
    <row r="9">
      <c r="A9" s="12" t="s">
        <v>14</v>
      </c>
      <c r="B9" s="13">
        <v>44993.0</v>
      </c>
      <c r="C9" s="14">
        <v>60000.0</v>
      </c>
      <c r="D9" s="14">
        <v>72000.0</v>
      </c>
      <c r="E9" s="15"/>
      <c r="F9" s="15"/>
      <c r="G9" s="15"/>
      <c r="H9" s="15"/>
      <c r="I9" s="23">
        <v>1.0</v>
      </c>
      <c r="J9" s="17"/>
      <c r="K9" s="17"/>
      <c r="L9" s="18"/>
      <c r="M9" s="24">
        <v>60000.0</v>
      </c>
      <c r="N9" s="33">
        <f>D33-O9-E33-'les salaires'!K33</f>
        <v>257102.4</v>
      </c>
      <c r="O9" s="38">
        <f>P9*1</f>
        <v>371250</v>
      </c>
      <c r="P9" s="39">
        <v>371250.0</v>
      </c>
      <c r="Q9" s="40"/>
      <c r="R9" s="11"/>
      <c r="S9" s="11"/>
    </row>
    <row r="10">
      <c r="A10" s="12" t="s">
        <v>15</v>
      </c>
      <c r="B10" s="13">
        <v>44994.0</v>
      </c>
      <c r="C10" s="14">
        <v>100000.0</v>
      </c>
      <c r="D10" s="14">
        <v>63000.0</v>
      </c>
      <c r="E10" s="15"/>
      <c r="F10" s="15"/>
      <c r="G10" s="15"/>
      <c r="H10" s="15"/>
      <c r="I10" s="23">
        <v>1.0</v>
      </c>
      <c r="J10" s="17"/>
      <c r="K10" s="17"/>
      <c r="L10" s="18"/>
      <c r="M10" s="24">
        <v>100000.0</v>
      </c>
      <c r="N10" s="41">
        <v>161000.0</v>
      </c>
      <c r="O10" s="1" t="s">
        <v>27</v>
      </c>
      <c r="P10" s="42" t="s">
        <v>28</v>
      </c>
      <c r="Q10" s="42">
        <v>177250.0</v>
      </c>
      <c r="R10" s="11"/>
      <c r="S10" s="11"/>
    </row>
    <row r="11">
      <c r="A11" s="26" t="s">
        <v>16</v>
      </c>
      <c r="B11" s="27">
        <v>44995.0</v>
      </c>
      <c r="C11" s="28">
        <v>77000.0</v>
      </c>
      <c r="D11" s="28">
        <v>82000.0</v>
      </c>
      <c r="E11" s="29"/>
      <c r="F11" s="29"/>
      <c r="G11" s="29"/>
      <c r="H11" s="29"/>
      <c r="I11" s="30">
        <v>1.0</v>
      </c>
      <c r="J11" s="17"/>
      <c r="K11" s="17"/>
      <c r="L11" s="18"/>
      <c r="M11" s="31">
        <v>77000.0</v>
      </c>
      <c r="N11" s="43" t="s">
        <v>29</v>
      </c>
      <c r="O11" s="34"/>
      <c r="P11" s="42"/>
      <c r="Q11" s="40"/>
      <c r="R11" s="11"/>
      <c r="S11" s="11"/>
    </row>
    <row r="12">
      <c r="A12" s="12" t="s">
        <v>19</v>
      </c>
      <c r="B12" s="13">
        <v>44996.0</v>
      </c>
      <c r="C12" s="14">
        <v>40000.0</v>
      </c>
      <c r="D12" s="14">
        <v>32000.0</v>
      </c>
      <c r="E12" s="15"/>
      <c r="F12" s="15"/>
      <c r="G12" s="15"/>
      <c r="H12" s="15"/>
      <c r="I12" s="23">
        <v>1.0</v>
      </c>
      <c r="J12" s="17"/>
      <c r="K12" s="17"/>
      <c r="L12" s="18"/>
      <c r="M12" s="24">
        <v>40000.0</v>
      </c>
      <c r="N12" s="40"/>
      <c r="O12" s="40"/>
      <c r="P12" s="44" t="s">
        <v>30</v>
      </c>
      <c r="Q12" s="11"/>
      <c r="R12" s="11"/>
      <c r="S12" s="11"/>
    </row>
    <row r="13">
      <c r="A13" s="12" t="s">
        <v>20</v>
      </c>
      <c r="B13" s="13">
        <v>44997.0</v>
      </c>
      <c r="C13" s="14">
        <v>23000.0</v>
      </c>
      <c r="D13" s="14">
        <v>43000.0</v>
      </c>
      <c r="E13" s="15"/>
      <c r="F13" s="15"/>
      <c r="G13" s="15"/>
      <c r="H13" s="15"/>
      <c r="I13" s="23">
        <v>1.0</v>
      </c>
      <c r="J13" s="17"/>
      <c r="K13" s="17"/>
      <c r="L13" s="18"/>
      <c r="M13" s="24">
        <v>23000.0</v>
      </c>
      <c r="N13" s="45"/>
      <c r="O13" s="45"/>
      <c r="P13" s="44" t="s">
        <v>31</v>
      </c>
      <c r="Q13" s="11"/>
      <c r="R13" s="11"/>
      <c r="S13" s="11"/>
    </row>
    <row r="14">
      <c r="A14" s="12" t="s">
        <v>22</v>
      </c>
      <c r="B14" s="13">
        <v>44998.0</v>
      </c>
      <c r="C14" s="14">
        <v>37000.0</v>
      </c>
      <c r="D14" s="14">
        <v>30000.0</v>
      </c>
      <c r="E14" s="15"/>
      <c r="F14" s="15"/>
      <c r="G14" s="15"/>
      <c r="H14" s="15"/>
      <c r="I14" s="23">
        <v>1.0</v>
      </c>
      <c r="J14" s="17"/>
      <c r="K14" s="17"/>
      <c r="L14" s="18"/>
      <c r="M14" s="24">
        <v>37000.0</v>
      </c>
      <c r="N14" s="45"/>
      <c r="O14" s="45"/>
      <c r="P14" s="11"/>
      <c r="Q14" s="11"/>
      <c r="R14" s="11"/>
      <c r="S14" s="11"/>
    </row>
    <row r="15">
      <c r="A15" s="12" t="s">
        <v>23</v>
      </c>
      <c r="B15" s="13">
        <v>44999.0</v>
      </c>
      <c r="C15" s="14">
        <v>34000.0</v>
      </c>
      <c r="D15" s="14">
        <v>58000.0</v>
      </c>
      <c r="E15" s="15"/>
      <c r="F15" s="15"/>
      <c r="G15" s="15"/>
      <c r="H15" s="15"/>
      <c r="I15" s="23">
        <v>1.0</v>
      </c>
      <c r="J15" s="17"/>
      <c r="K15" s="17"/>
      <c r="L15" s="18"/>
      <c r="M15" s="24">
        <v>34000.0</v>
      </c>
      <c r="N15" s="46"/>
      <c r="O15" s="45"/>
      <c r="P15" s="11"/>
      <c r="Q15" s="11"/>
      <c r="R15" s="11"/>
      <c r="S15" s="11"/>
    </row>
    <row r="16">
      <c r="A16" s="12" t="s">
        <v>14</v>
      </c>
      <c r="B16" s="13">
        <v>45000.0</v>
      </c>
      <c r="C16" s="14">
        <v>76000.0</v>
      </c>
      <c r="D16" s="14">
        <v>48000.0</v>
      </c>
      <c r="E16" s="15"/>
      <c r="F16" s="15"/>
      <c r="G16" s="15"/>
      <c r="H16" s="15"/>
      <c r="I16" s="23">
        <v>1.0</v>
      </c>
      <c r="J16" s="17"/>
      <c r="K16" s="17"/>
      <c r="L16" s="18"/>
      <c r="M16" s="47">
        <v>76000.0</v>
      </c>
      <c r="N16" s="48"/>
      <c r="O16" s="45"/>
      <c r="P16" s="11"/>
      <c r="Q16" s="21"/>
      <c r="R16" s="11"/>
      <c r="S16" s="11"/>
    </row>
    <row r="17">
      <c r="A17" s="12" t="s">
        <v>15</v>
      </c>
      <c r="B17" s="13">
        <v>45001.0</v>
      </c>
      <c r="C17" s="14">
        <v>101000.0</v>
      </c>
      <c r="D17" s="14">
        <v>80000.0</v>
      </c>
      <c r="E17" s="15"/>
      <c r="F17" s="15"/>
      <c r="G17" s="15"/>
      <c r="H17" s="15"/>
      <c r="I17" s="23">
        <v>1.0</v>
      </c>
      <c r="J17" s="17"/>
      <c r="K17" s="17"/>
      <c r="L17" s="18"/>
      <c r="M17" s="47">
        <v>101000.0</v>
      </c>
      <c r="N17" s="49" t="s">
        <v>32</v>
      </c>
      <c r="O17" s="45"/>
      <c r="P17" s="37"/>
      <c r="Q17" s="48"/>
      <c r="R17" s="11"/>
      <c r="S17" s="11"/>
    </row>
    <row r="18">
      <c r="A18" s="26" t="s">
        <v>16</v>
      </c>
      <c r="B18" s="27">
        <v>45002.0</v>
      </c>
      <c r="C18" s="28">
        <v>76000.0</v>
      </c>
      <c r="D18" s="28">
        <v>40000.0</v>
      </c>
      <c r="E18" s="29"/>
      <c r="F18" s="29"/>
      <c r="G18" s="29"/>
      <c r="H18" s="29"/>
      <c r="I18" s="30">
        <v>1.0</v>
      </c>
      <c r="J18" s="17"/>
      <c r="K18" s="17"/>
      <c r="L18" s="18"/>
      <c r="M18" s="31">
        <v>76000.0</v>
      </c>
      <c r="N18" s="50">
        <f>D33-C33</f>
        <v>528000</v>
      </c>
      <c r="O18" s="51"/>
      <c r="P18" s="43" t="s">
        <v>33</v>
      </c>
      <c r="Q18" s="34">
        <f>D33*1</f>
        <v>1928000</v>
      </c>
      <c r="R18" s="11"/>
      <c r="S18" s="11"/>
    </row>
    <row r="19">
      <c r="A19" s="12" t="s">
        <v>19</v>
      </c>
      <c r="B19" s="13">
        <v>45003.0</v>
      </c>
      <c r="C19" s="14">
        <v>99000.0</v>
      </c>
      <c r="D19" s="14">
        <v>50000.0</v>
      </c>
      <c r="E19" s="15"/>
      <c r="F19" s="15"/>
      <c r="G19" s="15"/>
      <c r="H19" s="15"/>
      <c r="I19" s="23">
        <v>1.0</v>
      </c>
      <c r="J19" s="17"/>
      <c r="K19" s="17"/>
      <c r="L19" s="18"/>
      <c r="M19" s="47">
        <v>99000.0</v>
      </c>
      <c r="N19" s="52" t="s">
        <v>34</v>
      </c>
      <c r="O19" s="51"/>
      <c r="P19" s="43" t="s">
        <v>35</v>
      </c>
      <c r="Q19" s="34">
        <f>E33*1</f>
        <v>934647.6</v>
      </c>
      <c r="R19" s="11"/>
      <c r="S19" s="11"/>
    </row>
    <row r="20">
      <c r="A20" s="12" t="s">
        <v>20</v>
      </c>
      <c r="B20" s="13">
        <v>45004.0</v>
      </c>
      <c r="C20" s="14">
        <v>35000.0</v>
      </c>
      <c r="D20" s="14">
        <v>55000.0</v>
      </c>
      <c r="E20" s="15"/>
      <c r="F20" s="15"/>
      <c r="G20" s="15"/>
      <c r="H20" s="15"/>
      <c r="I20" s="23">
        <v>1.0</v>
      </c>
      <c r="J20" s="17"/>
      <c r="K20" s="17"/>
      <c r="L20" s="18"/>
      <c r="M20" s="24">
        <v>35000.0</v>
      </c>
      <c r="N20" s="34">
        <f>L33-D33</f>
        <v>-1928000</v>
      </c>
      <c r="O20" s="51"/>
      <c r="P20" s="43"/>
      <c r="Q20" s="34"/>
      <c r="R20" s="11"/>
      <c r="S20" s="11"/>
    </row>
    <row r="21">
      <c r="A21" s="12" t="s">
        <v>22</v>
      </c>
      <c r="B21" s="13">
        <v>45005.0</v>
      </c>
      <c r="C21" s="14">
        <v>40000.0</v>
      </c>
      <c r="D21" s="14">
        <v>44000.0</v>
      </c>
      <c r="E21" s="15"/>
      <c r="F21" s="15"/>
      <c r="G21" s="15"/>
      <c r="H21" s="15"/>
      <c r="I21" s="23">
        <v>1.0</v>
      </c>
      <c r="J21" s="17"/>
      <c r="K21" s="17"/>
      <c r="L21" s="18"/>
      <c r="M21" s="24">
        <v>40000.0</v>
      </c>
      <c r="N21" s="1"/>
      <c r="O21" s="51"/>
      <c r="P21" s="43"/>
      <c r="Q21" s="34"/>
      <c r="R21" s="11"/>
      <c r="S21" s="11"/>
    </row>
    <row r="22">
      <c r="A22" s="12" t="s">
        <v>23</v>
      </c>
      <c r="B22" s="13">
        <v>45006.0</v>
      </c>
      <c r="C22" s="14">
        <v>40000.0</v>
      </c>
      <c r="D22" s="14">
        <v>70000.0</v>
      </c>
      <c r="E22" s="15"/>
      <c r="F22" s="15"/>
      <c r="G22" s="15"/>
      <c r="H22" s="15"/>
      <c r="I22" s="23">
        <v>1.0</v>
      </c>
      <c r="J22" s="17"/>
      <c r="K22" s="17"/>
      <c r="L22" s="18"/>
      <c r="M22" s="24">
        <v>40000.0</v>
      </c>
      <c r="N22" s="1"/>
      <c r="O22" s="51"/>
      <c r="P22" s="43" t="s">
        <v>36</v>
      </c>
      <c r="Q22" s="34">
        <f>O9*1</f>
        <v>371250</v>
      </c>
      <c r="R22" s="11"/>
      <c r="S22" s="11"/>
    </row>
    <row r="23">
      <c r="A23" s="12" t="s">
        <v>14</v>
      </c>
      <c r="B23" s="13">
        <v>45007.0</v>
      </c>
      <c r="C23" s="14">
        <v>45000.0</v>
      </c>
      <c r="D23" s="14">
        <v>106000.0</v>
      </c>
      <c r="E23" s="15"/>
      <c r="F23" s="15"/>
      <c r="G23" s="15"/>
      <c r="H23" s="15"/>
      <c r="I23" s="23">
        <v>1.0</v>
      </c>
      <c r="J23" s="53" t="s">
        <v>0</v>
      </c>
      <c r="K23" s="53" t="s">
        <v>37</v>
      </c>
      <c r="L23" s="18"/>
      <c r="M23" s="24">
        <v>45000.0</v>
      </c>
      <c r="N23" s="43" t="s">
        <v>38</v>
      </c>
      <c r="O23" s="51"/>
      <c r="P23" s="43" t="s">
        <v>39</v>
      </c>
      <c r="Q23" s="34">
        <f>'les salaires'!K33*1</f>
        <v>365000</v>
      </c>
      <c r="R23" s="11"/>
      <c r="S23" s="11"/>
    </row>
    <row r="24">
      <c r="A24" s="12" t="s">
        <v>15</v>
      </c>
      <c r="B24" s="13">
        <v>45008.0</v>
      </c>
      <c r="C24" s="14">
        <v>67000.0</v>
      </c>
      <c r="D24" s="14">
        <v>106000.0</v>
      </c>
      <c r="E24" s="15"/>
      <c r="F24" s="15"/>
      <c r="G24" s="15"/>
      <c r="H24" s="15"/>
      <c r="I24" s="23">
        <v>1.0</v>
      </c>
      <c r="J24" s="13">
        <v>45008.0</v>
      </c>
      <c r="K24" s="53">
        <v>19800.0</v>
      </c>
      <c r="L24" s="18"/>
      <c r="M24" s="24">
        <v>67000.0</v>
      </c>
      <c r="N24" s="34">
        <f>D4+D11+D18+D25</f>
        <v>219000</v>
      </c>
      <c r="O24" s="54"/>
      <c r="P24" s="43"/>
      <c r="Q24" s="34"/>
      <c r="R24" s="11"/>
      <c r="S24" s="11"/>
    </row>
    <row r="25">
      <c r="A25" s="26" t="s">
        <v>16</v>
      </c>
      <c r="B25" s="27">
        <v>45009.0</v>
      </c>
      <c r="C25" s="28">
        <v>53000.0</v>
      </c>
      <c r="D25" s="28">
        <v>45000.0</v>
      </c>
      <c r="E25" s="29"/>
      <c r="F25" s="29"/>
      <c r="G25" s="29"/>
      <c r="H25" s="29"/>
      <c r="I25" s="30">
        <v>1.0</v>
      </c>
      <c r="J25" s="27">
        <v>45009.0</v>
      </c>
      <c r="K25" s="53">
        <v>18000.0</v>
      </c>
      <c r="L25" s="18"/>
      <c r="M25" s="31">
        <v>53000.0</v>
      </c>
      <c r="N25" s="34"/>
      <c r="O25" s="54"/>
      <c r="P25" s="43"/>
      <c r="Q25" s="34"/>
      <c r="R25" s="11"/>
      <c r="S25" s="11"/>
    </row>
    <row r="26">
      <c r="A26" s="12" t="s">
        <v>19</v>
      </c>
      <c r="B26" s="13">
        <v>45010.0</v>
      </c>
      <c r="C26" s="14">
        <v>40000.0</v>
      </c>
      <c r="D26" s="14">
        <v>68000.0</v>
      </c>
      <c r="E26" s="15"/>
      <c r="F26" s="15"/>
      <c r="G26" s="15"/>
      <c r="H26" s="15"/>
      <c r="I26" s="23">
        <v>1.0</v>
      </c>
      <c r="J26" s="13">
        <v>45010.0</v>
      </c>
      <c r="K26" s="53">
        <v>18000.0</v>
      </c>
      <c r="L26" s="18"/>
      <c r="M26" s="24">
        <v>40000.0</v>
      </c>
      <c r="N26" s="32" t="s">
        <v>40</v>
      </c>
      <c r="O26" s="54"/>
      <c r="P26" s="34" t="s">
        <v>41</v>
      </c>
      <c r="Q26" s="34">
        <f>Q18-Q19-Q22-Q23</f>
        <v>257102.4</v>
      </c>
      <c r="R26" s="11"/>
      <c r="S26" s="11"/>
    </row>
    <row r="27">
      <c r="A27" s="12" t="s">
        <v>20</v>
      </c>
      <c r="B27" s="13">
        <v>45011.0</v>
      </c>
      <c r="C27" s="14">
        <v>70000.0</v>
      </c>
      <c r="D27" s="14">
        <v>59000.0</v>
      </c>
      <c r="E27" s="15"/>
      <c r="F27" s="15"/>
      <c r="G27" s="15"/>
      <c r="H27" s="15"/>
      <c r="I27" s="23">
        <v>1.0</v>
      </c>
      <c r="J27" s="13">
        <v>45011.0</v>
      </c>
      <c r="K27" s="53">
        <v>19200.0</v>
      </c>
      <c r="L27" s="18"/>
      <c r="M27" s="24">
        <v>70000.0</v>
      </c>
      <c r="N27" s="55">
        <v>131000.0</v>
      </c>
      <c r="O27" s="45"/>
      <c r="P27" s="45"/>
      <c r="Q27" s="11"/>
      <c r="R27" s="11"/>
      <c r="S27" s="11"/>
    </row>
    <row r="28">
      <c r="A28" s="12" t="s">
        <v>22</v>
      </c>
      <c r="B28" s="13">
        <v>45012.0</v>
      </c>
      <c r="C28" s="14">
        <v>36000.0</v>
      </c>
      <c r="D28" s="14">
        <v>61000.0</v>
      </c>
      <c r="E28" s="15"/>
      <c r="F28" s="15"/>
      <c r="G28" s="15"/>
      <c r="H28" s="15"/>
      <c r="I28" s="23">
        <v>1.0</v>
      </c>
      <c r="J28" s="13">
        <v>45012.0</v>
      </c>
      <c r="K28" s="53">
        <v>19200.0</v>
      </c>
      <c r="L28" s="18"/>
      <c r="M28" s="24">
        <v>36000.0</v>
      </c>
      <c r="N28" s="56" t="s">
        <v>42</v>
      </c>
      <c r="O28" s="11"/>
      <c r="P28" s="45"/>
      <c r="Q28" s="11"/>
      <c r="R28" s="11"/>
      <c r="S28" s="11"/>
    </row>
    <row r="29">
      <c r="A29" s="57" t="s">
        <v>43</v>
      </c>
      <c r="B29" s="13">
        <v>45013.0</v>
      </c>
      <c r="C29" s="14">
        <v>61000.0</v>
      </c>
      <c r="D29" s="14">
        <v>64000.0</v>
      </c>
      <c r="E29" s="15"/>
      <c r="F29" s="15"/>
      <c r="G29" s="15"/>
      <c r="H29" s="15"/>
      <c r="I29" s="23">
        <v>1.0</v>
      </c>
      <c r="J29" s="13">
        <v>45013.0</v>
      </c>
      <c r="K29" s="53">
        <v>19200.0</v>
      </c>
      <c r="L29" s="18"/>
      <c r="M29" s="24">
        <v>61000.0</v>
      </c>
      <c r="N29" s="34"/>
      <c r="O29" s="11"/>
      <c r="P29" s="45"/>
      <c r="Q29" s="11"/>
      <c r="R29" s="11"/>
      <c r="S29" s="11"/>
    </row>
    <row r="30">
      <c r="A30" s="57" t="s">
        <v>44</v>
      </c>
      <c r="B30" s="13">
        <v>45014.0</v>
      </c>
      <c r="C30" s="14">
        <v>0.0</v>
      </c>
      <c r="D30" s="14">
        <v>65000.0</v>
      </c>
      <c r="E30" s="15"/>
      <c r="F30" s="15"/>
      <c r="G30" s="15"/>
      <c r="H30" s="15"/>
      <c r="I30" s="23">
        <v>1.0</v>
      </c>
      <c r="J30" s="13">
        <v>45014.0</v>
      </c>
      <c r="K30" s="53">
        <v>19200.0</v>
      </c>
      <c r="L30" s="18"/>
      <c r="M30" s="14">
        <v>0.0</v>
      </c>
      <c r="N30" s="34"/>
      <c r="O30" s="11"/>
      <c r="P30" s="45"/>
      <c r="Q30" s="11"/>
      <c r="R30" s="11"/>
      <c r="S30" s="11"/>
    </row>
    <row r="31">
      <c r="A31" s="57" t="s">
        <v>45</v>
      </c>
      <c r="B31" s="13">
        <v>45015.0</v>
      </c>
      <c r="C31" s="14">
        <v>0.0</v>
      </c>
      <c r="D31" s="14">
        <v>74000.0</v>
      </c>
      <c r="E31" s="15"/>
      <c r="F31" s="15"/>
      <c r="G31" s="15"/>
      <c r="H31" s="15"/>
      <c r="I31" s="23">
        <v>1.0</v>
      </c>
      <c r="J31" s="13">
        <v>45015.0</v>
      </c>
      <c r="K31" s="53">
        <v>19200.0</v>
      </c>
      <c r="L31" s="18"/>
      <c r="M31" s="14">
        <v>0.0</v>
      </c>
      <c r="N31" s="34"/>
      <c r="O31" s="11"/>
      <c r="P31" s="45"/>
      <c r="Q31" s="11"/>
      <c r="R31" s="11"/>
      <c r="S31" s="11"/>
    </row>
    <row r="32">
      <c r="A32" s="58" t="s">
        <v>46</v>
      </c>
      <c r="B32" s="27">
        <v>45016.0</v>
      </c>
      <c r="C32" s="28">
        <v>0.0</v>
      </c>
      <c r="D32" s="28">
        <v>78000.0</v>
      </c>
      <c r="E32" s="29"/>
      <c r="F32" s="29"/>
      <c r="G32" s="29"/>
      <c r="H32" s="29"/>
      <c r="I32" s="30">
        <v>1.0</v>
      </c>
      <c r="J32" s="27">
        <v>45016.0</v>
      </c>
      <c r="K32" s="53">
        <v>19200.0</v>
      </c>
      <c r="L32" s="18"/>
      <c r="M32" s="14">
        <v>0.0</v>
      </c>
      <c r="N32" s="34">
        <f>N9-N27</f>
        <v>126102.4</v>
      </c>
      <c r="O32" s="11"/>
      <c r="P32" s="45"/>
      <c r="Q32" s="11"/>
      <c r="R32" s="11"/>
      <c r="S32" s="11"/>
    </row>
    <row r="33">
      <c r="A33" s="11"/>
      <c r="B33" s="54"/>
      <c r="C33" s="59">
        <f t="shared" ref="C33:D33" si="1">SUM(C2:C32)</f>
        <v>1400000</v>
      </c>
      <c r="D33" s="60">
        <f t="shared" si="1"/>
        <v>1928000</v>
      </c>
      <c r="E33" s="61">
        <f>'Les charges '!I336*1</f>
        <v>934647.6</v>
      </c>
      <c r="F33" s="62">
        <f>'les salaires'!J33*1</f>
        <v>362681</v>
      </c>
      <c r="G33" s="63">
        <v>110000.0</v>
      </c>
      <c r="H33" s="20">
        <f>D33-G33-F33-E33</f>
        <v>520671.4</v>
      </c>
      <c r="I33" s="64">
        <f>SUM(I2:I32)</f>
        <v>31</v>
      </c>
      <c r="J33" s="65"/>
      <c r="K33" s="66">
        <f>SUM(K24:K32)</f>
        <v>171000</v>
      </c>
      <c r="L33" s="40"/>
      <c r="M33" s="67">
        <f>SUM(M2:M32)</f>
        <v>1400000</v>
      </c>
      <c r="N33" s="11"/>
      <c r="O33" s="11"/>
      <c r="P33" s="11"/>
      <c r="Q33" s="21"/>
      <c r="R33" s="11"/>
      <c r="S33" s="11"/>
    </row>
    <row r="34">
      <c r="A34" s="11"/>
      <c r="B34" s="54"/>
      <c r="C34" s="1"/>
      <c r="D34" s="1"/>
      <c r="E34" s="1"/>
      <c r="F34" s="1"/>
      <c r="G34" s="1"/>
      <c r="H34" s="1"/>
      <c r="I34" s="11"/>
      <c r="J34" s="11"/>
      <c r="K34" s="11"/>
      <c r="L34" s="11"/>
      <c r="M34" s="45"/>
      <c r="N34" s="11"/>
      <c r="O34" s="11"/>
      <c r="P34" s="11"/>
      <c r="Q34" s="21"/>
      <c r="R34" s="11"/>
      <c r="S34" s="11"/>
    </row>
    <row r="35">
      <c r="A35" s="11"/>
      <c r="B35" s="54"/>
      <c r="C35" s="68" t="s">
        <v>8</v>
      </c>
      <c r="D35" s="40"/>
      <c r="E35" s="40"/>
      <c r="F35" s="40"/>
      <c r="G35" s="40"/>
      <c r="H35" s="40"/>
      <c r="I35" s="11"/>
      <c r="J35" s="11"/>
      <c r="K35" s="11"/>
      <c r="L35" s="11"/>
      <c r="M35" s="11"/>
      <c r="N35" s="11"/>
      <c r="O35" s="11"/>
      <c r="P35" s="11"/>
      <c r="Q35" s="21"/>
      <c r="R35" s="11"/>
      <c r="S35" s="11"/>
    </row>
    <row r="36">
      <c r="A36" s="11"/>
      <c r="B36" s="54"/>
      <c r="C36" s="69" t="s">
        <v>47</v>
      </c>
      <c r="D36" s="70"/>
      <c r="E36" s="71"/>
      <c r="F36" s="72"/>
      <c r="G36" s="73"/>
      <c r="H36" s="74"/>
      <c r="I36" s="11"/>
      <c r="J36" s="11"/>
      <c r="K36" s="11"/>
      <c r="L36" s="11"/>
      <c r="M36" s="11"/>
      <c r="N36" s="11"/>
      <c r="O36" s="11"/>
      <c r="P36" s="11"/>
      <c r="Q36" s="21"/>
      <c r="R36" s="11"/>
      <c r="S36" s="11"/>
    </row>
    <row r="37">
      <c r="A37" s="11"/>
      <c r="B37" s="54"/>
      <c r="C37" s="1"/>
      <c r="D37" s="1"/>
      <c r="E37" s="1"/>
      <c r="F37" s="1"/>
      <c r="G37" s="1"/>
      <c r="H37" s="1"/>
      <c r="I37" s="11"/>
      <c r="J37" s="11"/>
      <c r="K37" s="11"/>
      <c r="L37" s="11"/>
      <c r="M37" s="11"/>
      <c r="N37" s="75"/>
      <c r="O37" s="11"/>
      <c r="P37" s="11"/>
      <c r="Q37" s="21"/>
      <c r="R37" s="11"/>
      <c r="S37" s="11"/>
    </row>
    <row r="38">
      <c r="A38" s="11"/>
      <c r="B38" s="54"/>
      <c r="C38" s="1"/>
      <c r="D38" s="1"/>
      <c r="E38" s="1"/>
      <c r="F38" s="1"/>
      <c r="G38" s="1"/>
      <c r="H38" s="1"/>
      <c r="I38" s="11"/>
      <c r="J38" s="11"/>
      <c r="K38" s="11"/>
      <c r="L38" s="11"/>
      <c r="M38" s="11"/>
      <c r="N38" s="46"/>
      <c r="O38" s="11"/>
      <c r="P38" s="11"/>
      <c r="Q38" s="21"/>
      <c r="R38" s="11"/>
      <c r="S38" s="11"/>
    </row>
    <row r="39">
      <c r="A39" s="11"/>
      <c r="B39" s="54"/>
      <c r="C39" s="69" t="s">
        <v>48</v>
      </c>
      <c r="D39" s="40">
        <f t="shared" ref="D39:H39" si="2">D33-D36</f>
        <v>1928000</v>
      </c>
      <c r="E39" s="40">
        <f t="shared" si="2"/>
        <v>934647.6</v>
      </c>
      <c r="F39" s="40">
        <f t="shared" si="2"/>
        <v>362681</v>
      </c>
      <c r="G39" s="40">
        <f t="shared" si="2"/>
        <v>110000</v>
      </c>
      <c r="H39" s="40">
        <f t="shared" si="2"/>
        <v>520671.4</v>
      </c>
      <c r="I39" s="11"/>
      <c r="J39" s="11"/>
      <c r="K39" s="11"/>
      <c r="L39" s="11"/>
      <c r="M39" s="11"/>
      <c r="N39" s="75"/>
      <c r="O39" s="11"/>
      <c r="P39" s="11"/>
      <c r="Q39" s="21"/>
      <c r="R39" s="11"/>
      <c r="S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75"/>
      <c r="O40" s="11"/>
      <c r="P40" s="21"/>
      <c r="Q40" s="21"/>
      <c r="R40" s="11"/>
      <c r="S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45"/>
      <c r="Q41" s="11"/>
      <c r="R41" s="11"/>
      <c r="S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7.88"/>
    <col customWidth="1" min="3" max="3" width="19.25"/>
    <col customWidth="1" min="4" max="4" width="21.88"/>
    <col customWidth="1" min="5" max="5" width="21.5"/>
    <col customWidth="1" min="6" max="6" width="25.25"/>
    <col customWidth="1" min="7" max="7" width="24.13"/>
    <col customWidth="1" min="8" max="8" width="21.13"/>
    <col customWidth="1" min="9" max="9" width="23.38"/>
    <col customWidth="1" min="10" max="10" width="21.5"/>
    <col customWidth="1" min="11" max="11" width="22.63"/>
    <col customWidth="1" min="12" max="12" width="21.5"/>
    <col customWidth="1" min="13" max="13" width="20.38"/>
    <col customWidth="1" min="14" max="14" width="24.5"/>
    <col customWidth="1" min="15" max="15" width="19.63"/>
    <col customWidth="1" min="16" max="16" width="21.13"/>
    <col customWidth="1" min="17" max="17" width="21.5"/>
    <col customWidth="1" min="18" max="18" width="19.88"/>
    <col customWidth="1" min="19" max="19" width="76.88"/>
  </cols>
  <sheetData>
    <row r="1">
      <c r="A1" s="1"/>
      <c r="B1" s="2" t="s">
        <v>0</v>
      </c>
      <c r="C1" s="76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  <c r="M1" s="4" t="s">
        <v>59</v>
      </c>
      <c r="N1" s="4" t="s">
        <v>60</v>
      </c>
      <c r="O1" s="4" t="s">
        <v>61</v>
      </c>
      <c r="P1" s="4" t="s">
        <v>62</v>
      </c>
      <c r="Q1" s="4" t="s">
        <v>63</v>
      </c>
      <c r="R1" s="3" t="s">
        <v>64</v>
      </c>
      <c r="S1" s="4" t="s">
        <v>65</v>
      </c>
      <c r="T1" s="11"/>
      <c r="U1" s="11"/>
      <c r="V1" s="11"/>
    </row>
    <row r="2">
      <c r="A2" s="12" t="s">
        <v>14</v>
      </c>
      <c r="B2" s="13">
        <v>44986.0</v>
      </c>
      <c r="C2" s="77">
        <v>1.0</v>
      </c>
      <c r="D2" s="77">
        <v>1.0</v>
      </c>
      <c r="E2" s="77">
        <v>1.0</v>
      </c>
      <c r="F2" s="77">
        <v>1.0</v>
      </c>
      <c r="G2" s="77">
        <v>1.0</v>
      </c>
      <c r="H2" s="77">
        <v>1.0</v>
      </c>
      <c r="I2" s="77">
        <v>1.0</v>
      </c>
      <c r="J2" s="77">
        <v>1.0</v>
      </c>
      <c r="K2" s="77">
        <v>0.0</v>
      </c>
      <c r="L2" s="77">
        <v>1.0</v>
      </c>
      <c r="M2" s="77">
        <v>1.0</v>
      </c>
      <c r="N2" s="77">
        <v>1.0</v>
      </c>
      <c r="O2" s="77">
        <v>1.0</v>
      </c>
      <c r="P2" s="77">
        <v>0.0</v>
      </c>
      <c r="Q2" s="77">
        <v>1.0</v>
      </c>
      <c r="R2" s="78">
        <v>0.0</v>
      </c>
      <c r="S2" s="79"/>
      <c r="T2" s="11"/>
      <c r="U2" s="11"/>
      <c r="V2" s="11"/>
    </row>
    <row r="3">
      <c r="A3" s="12" t="s">
        <v>15</v>
      </c>
      <c r="B3" s="13">
        <v>44987.0</v>
      </c>
      <c r="C3" s="77">
        <v>1.0</v>
      </c>
      <c r="D3" s="77">
        <v>1.0</v>
      </c>
      <c r="E3" s="77">
        <v>1.0</v>
      </c>
      <c r="F3" s="77">
        <v>1.0</v>
      </c>
      <c r="G3" s="77">
        <v>1.0</v>
      </c>
      <c r="H3" s="77">
        <v>1.0</v>
      </c>
      <c r="I3" s="77">
        <v>1.0</v>
      </c>
      <c r="J3" s="77">
        <v>1.0</v>
      </c>
      <c r="K3" s="77">
        <v>1.0</v>
      </c>
      <c r="L3" s="77">
        <v>1.0</v>
      </c>
      <c r="M3" s="77">
        <v>1.0</v>
      </c>
      <c r="N3" s="77">
        <v>1.0</v>
      </c>
      <c r="O3" s="77">
        <v>1.0</v>
      </c>
      <c r="P3" s="77">
        <v>0.0</v>
      </c>
      <c r="Q3" s="77">
        <v>1.0</v>
      </c>
      <c r="R3" s="78">
        <v>0.0</v>
      </c>
      <c r="S3" s="78" t="s">
        <v>66</v>
      </c>
      <c r="T3" s="11"/>
      <c r="U3" s="11"/>
      <c r="V3" s="11"/>
    </row>
    <row r="4">
      <c r="A4" s="26" t="s">
        <v>16</v>
      </c>
      <c r="B4" s="13">
        <v>44988.0</v>
      </c>
      <c r="C4" s="80">
        <v>0.0</v>
      </c>
      <c r="D4" s="81">
        <v>1.0</v>
      </c>
      <c r="E4" s="80">
        <v>0.0</v>
      </c>
      <c r="F4" s="80">
        <v>0.0</v>
      </c>
      <c r="G4" s="80">
        <v>0.0</v>
      </c>
      <c r="H4" s="80">
        <v>1.0</v>
      </c>
      <c r="I4" s="80">
        <v>0.0</v>
      </c>
      <c r="J4" s="80">
        <v>1.0</v>
      </c>
      <c r="K4" s="81">
        <v>1.0</v>
      </c>
      <c r="L4" s="80">
        <v>1.0</v>
      </c>
      <c r="M4" s="80">
        <v>1.0</v>
      </c>
      <c r="N4" s="80">
        <v>1.0</v>
      </c>
      <c r="O4" s="80">
        <v>0.0</v>
      </c>
      <c r="P4" s="80">
        <v>0.0</v>
      </c>
      <c r="Q4" s="80">
        <v>0.0</v>
      </c>
      <c r="R4" s="82">
        <v>0.0</v>
      </c>
      <c r="S4" s="82" t="s">
        <v>67</v>
      </c>
      <c r="T4" s="11"/>
      <c r="U4" s="11"/>
      <c r="V4" s="11"/>
    </row>
    <row r="5">
      <c r="A5" s="12" t="s">
        <v>19</v>
      </c>
      <c r="B5" s="13">
        <v>44989.0</v>
      </c>
      <c r="C5" s="77">
        <v>1.0</v>
      </c>
      <c r="D5" s="77">
        <v>1.0</v>
      </c>
      <c r="E5" s="77">
        <v>0.5</v>
      </c>
      <c r="F5" s="77">
        <v>1.0</v>
      </c>
      <c r="G5" s="77">
        <v>1.0</v>
      </c>
      <c r="H5" s="77">
        <v>1.0</v>
      </c>
      <c r="I5" s="77">
        <v>1.0</v>
      </c>
      <c r="J5" s="77">
        <v>1.0</v>
      </c>
      <c r="K5" s="77">
        <v>0.0</v>
      </c>
      <c r="L5" s="77">
        <v>1.0</v>
      </c>
      <c r="M5" s="77">
        <v>1.0</v>
      </c>
      <c r="N5" s="77">
        <v>1.0</v>
      </c>
      <c r="O5" s="77">
        <v>1.0</v>
      </c>
      <c r="P5" s="77">
        <v>0.0</v>
      </c>
      <c r="Q5" s="77">
        <v>0.0</v>
      </c>
      <c r="R5" s="77">
        <v>0.0</v>
      </c>
      <c r="S5" s="77" t="s">
        <v>68</v>
      </c>
      <c r="T5" s="11"/>
      <c r="U5" s="11"/>
      <c r="V5" s="11"/>
    </row>
    <row r="6">
      <c r="A6" s="12" t="s">
        <v>20</v>
      </c>
      <c r="B6" s="13">
        <v>44990.0</v>
      </c>
      <c r="C6" s="77">
        <v>1.0</v>
      </c>
      <c r="D6" s="77">
        <v>1.0</v>
      </c>
      <c r="E6" s="77">
        <v>0.0</v>
      </c>
      <c r="F6" s="77">
        <v>1.0</v>
      </c>
      <c r="G6" s="77">
        <v>1.0</v>
      </c>
      <c r="H6" s="77">
        <v>1.0</v>
      </c>
      <c r="I6" s="77">
        <v>1.0</v>
      </c>
      <c r="J6" s="77">
        <v>0.0</v>
      </c>
      <c r="K6" s="77">
        <v>0.5</v>
      </c>
      <c r="L6" s="83">
        <v>0.0</v>
      </c>
      <c r="M6" s="77">
        <v>0.0</v>
      </c>
      <c r="N6" s="77">
        <v>0.0</v>
      </c>
      <c r="O6" s="77">
        <v>1.0</v>
      </c>
      <c r="P6" s="77">
        <v>0.0</v>
      </c>
      <c r="Q6" s="77">
        <v>1.0</v>
      </c>
      <c r="R6" s="78">
        <v>0.0</v>
      </c>
      <c r="S6" s="78" t="s">
        <v>69</v>
      </c>
      <c r="T6" s="11"/>
      <c r="U6" s="11"/>
      <c r="V6" s="11"/>
    </row>
    <row r="7">
      <c r="A7" s="12" t="s">
        <v>22</v>
      </c>
      <c r="B7" s="13">
        <v>44991.0</v>
      </c>
      <c r="C7" s="77">
        <v>1.0</v>
      </c>
      <c r="D7" s="77">
        <v>1.0</v>
      </c>
      <c r="E7" s="77">
        <v>0.0</v>
      </c>
      <c r="F7" s="77">
        <v>1.0</v>
      </c>
      <c r="G7" s="77">
        <v>1.0</v>
      </c>
      <c r="H7" s="77">
        <v>1.0</v>
      </c>
      <c r="I7" s="77">
        <v>1.0</v>
      </c>
      <c r="J7" s="77">
        <v>1.0</v>
      </c>
      <c r="K7" s="77">
        <v>0.0</v>
      </c>
      <c r="L7" s="83">
        <v>0.0</v>
      </c>
      <c r="M7" s="77">
        <v>1.0</v>
      </c>
      <c r="N7" s="77">
        <v>1.0</v>
      </c>
      <c r="O7" s="77">
        <v>1.0</v>
      </c>
      <c r="P7" s="77">
        <v>0.0</v>
      </c>
      <c r="Q7" s="77">
        <v>1.0</v>
      </c>
      <c r="R7" s="78">
        <v>0.0</v>
      </c>
      <c r="S7" s="79"/>
      <c r="T7" s="11"/>
      <c r="U7" s="11"/>
      <c r="V7" s="11"/>
    </row>
    <row r="8">
      <c r="A8" s="12" t="s">
        <v>23</v>
      </c>
      <c r="B8" s="13">
        <v>44992.0</v>
      </c>
      <c r="C8" s="77">
        <v>1.0</v>
      </c>
      <c r="D8" s="77">
        <v>1.0</v>
      </c>
      <c r="E8" s="77">
        <v>1.0</v>
      </c>
      <c r="F8" s="77">
        <v>1.0</v>
      </c>
      <c r="G8" s="77">
        <v>1.0</v>
      </c>
      <c r="H8" s="77">
        <v>1.0</v>
      </c>
      <c r="I8" s="77">
        <v>1.0</v>
      </c>
      <c r="J8" s="77">
        <v>1.0</v>
      </c>
      <c r="K8" s="77">
        <v>0.5</v>
      </c>
      <c r="L8" s="83">
        <v>0.0</v>
      </c>
      <c r="M8" s="77">
        <v>1.0</v>
      </c>
      <c r="N8" s="77">
        <v>1.0</v>
      </c>
      <c r="O8" s="84">
        <v>0.0</v>
      </c>
      <c r="P8" s="77">
        <v>1.0</v>
      </c>
      <c r="Q8" s="77">
        <v>1.0</v>
      </c>
      <c r="R8" s="78">
        <v>0.0</v>
      </c>
      <c r="S8" s="79"/>
      <c r="T8" s="11"/>
      <c r="U8" s="11"/>
      <c r="V8" s="11"/>
    </row>
    <row r="9">
      <c r="A9" s="12" t="s">
        <v>14</v>
      </c>
      <c r="B9" s="13">
        <v>44993.0</v>
      </c>
      <c r="C9" s="77">
        <v>1.0</v>
      </c>
      <c r="D9" s="77">
        <v>1.0</v>
      </c>
      <c r="E9" s="77">
        <v>1.0</v>
      </c>
      <c r="F9" s="77">
        <v>1.0</v>
      </c>
      <c r="G9" s="77">
        <v>1.0</v>
      </c>
      <c r="H9" s="77">
        <v>1.0</v>
      </c>
      <c r="I9" s="77">
        <v>1.0</v>
      </c>
      <c r="J9" s="77">
        <v>1.0</v>
      </c>
      <c r="K9" s="77">
        <v>0.0</v>
      </c>
      <c r="L9" s="83">
        <v>0.0</v>
      </c>
      <c r="M9" s="77">
        <v>0.0</v>
      </c>
      <c r="N9" s="77">
        <v>1.0</v>
      </c>
      <c r="O9" s="84">
        <v>0.0</v>
      </c>
      <c r="P9" s="77">
        <v>0.0</v>
      </c>
      <c r="Q9" s="77">
        <v>1.0</v>
      </c>
      <c r="R9" s="78">
        <v>0.0</v>
      </c>
      <c r="S9" s="79"/>
      <c r="T9" s="11"/>
      <c r="U9" s="11"/>
      <c r="V9" s="11"/>
    </row>
    <row r="10">
      <c r="A10" s="12" t="s">
        <v>15</v>
      </c>
      <c r="B10" s="13">
        <v>44994.0</v>
      </c>
      <c r="C10" s="77">
        <v>1.0</v>
      </c>
      <c r="D10" s="77">
        <v>1.0</v>
      </c>
      <c r="E10" s="77">
        <v>0.0</v>
      </c>
      <c r="F10" s="77">
        <v>0.0</v>
      </c>
      <c r="G10" s="77">
        <v>1.0</v>
      </c>
      <c r="H10" s="77">
        <v>1.0</v>
      </c>
      <c r="I10" s="77">
        <v>1.0</v>
      </c>
      <c r="J10" s="77">
        <v>1.0</v>
      </c>
      <c r="K10" s="77">
        <v>1.0</v>
      </c>
      <c r="L10" s="83">
        <v>0.0</v>
      </c>
      <c r="M10" s="77">
        <v>0.0</v>
      </c>
      <c r="N10" s="77">
        <v>1.0</v>
      </c>
      <c r="O10" s="84">
        <v>0.0</v>
      </c>
      <c r="P10" s="77">
        <v>1.0</v>
      </c>
      <c r="Q10" s="77">
        <v>1.0</v>
      </c>
      <c r="R10" s="78">
        <v>0.0</v>
      </c>
      <c r="S10" s="78" t="s">
        <v>70</v>
      </c>
      <c r="T10" s="11"/>
      <c r="U10" s="11"/>
      <c r="V10" s="11"/>
    </row>
    <row r="11">
      <c r="A11" s="26" t="s">
        <v>16</v>
      </c>
      <c r="B11" s="13">
        <v>44995.0</v>
      </c>
      <c r="C11" s="80">
        <v>1.0</v>
      </c>
      <c r="D11" s="80">
        <v>1.0</v>
      </c>
      <c r="E11" s="80">
        <v>0.0</v>
      </c>
      <c r="F11" s="80">
        <v>0.0</v>
      </c>
      <c r="G11" s="80">
        <v>1.0</v>
      </c>
      <c r="H11" s="80">
        <v>1.0</v>
      </c>
      <c r="I11" s="80">
        <v>1.0</v>
      </c>
      <c r="J11" s="80">
        <v>1.0</v>
      </c>
      <c r="K11" s="80">
        <v>0.0</v>
      </c>
      <c r="L11" s="83">
        <v>0.0</v>
      </c>
      <c r="M11" s="80">
        <v>0.0</v>
      </c>
      <c r="N11" s="80">
        <v>0.0</v>
      </c>
      <c r="O11" s="84">
        <v>0.0</v>
      </c>
      <c r="P11" s="80">
        <v>0.0</v>
      </c>
      <c r="Q11" s="80">
        <v>0.0</v>
      </c>
      <c r="R11" s="82">
        <v>0.0</v>
      </c>
      <c r="S11" s="85"/>
      <c r="T11" s="11"/>
      <c r="U11" s="11"/>
      <c r="V11" s="11"/>
    </row>
    <row r="12">
      <c r="A12" s="12" t="s">
        <v>19</v>
      </c>
      <c r="B12" s="13">
        <v>44996.0</v>
      </c>
      <c r="C12" s="77">
        <v>0.0</v>
      </c>
      <c r="D12" s="77">
        <v>1.0</v>
      </c>
      <c r="E12" s="77">
        <v>0.0</v>
      </c>
      <c r="F12" s="77">
        <v>1.0</v>
      </c>
      <c r="G12" s="77">
        <v>1.0</v>
      </c>
      <c r="H12" s="77">
        <v>0.0</v>
      </c>
      <c r="I12" s="77">
        <v>0.0</v>
      </c>
      <c r="J12" s="77">
        <v>1.0</v>
      </c>
      <c r="K12" s="77">
        <v>1.0</v>
      </c>
      <c r="L12" s="83">
        <v>0.0</v>
      </c>
      <c r="M12" s="77">
        <v>0.0</v>
      </c>
      <c r="N12" s="77">
        <v>0.0</v>
      </c>
      <c r="O12" s="84">
        <v>0.0</v>
      </c>
      <c r="P12" s="77">
        <v>0.0</v>
      </c>
      <c r="Q12" s="77">
        <v>0.0</v>
      </c>
      <c r="R12" s="78">
        <v>0.0</v>
      </c>
      <c r="S12" s="79"/>
      <c r="T12" s="11"/>
      <c r="U12" s="11"/>
      <c r="V12" s="11"/>
    </row>
    <row r="13">
      <c r="A13" s="12" t="s">
        <v>20</v>
      </c>
      <c r="B13" s="13">
        <v>44997.0</v>
      </c>
      <c r="C13" s="77">
        <v>0.0</v>
      </c>
      <c r="D13" s="77">
        <v>1.0</v>
      </c>
      <c r="E13" s="77">
        <v>1.0</v>
      </c>
      <c r="F13" s="77">
        <v>1.0</v>
      </c>
      <c r="G13" s="77">
        <v>1.0</v>
      </c>
      <c r="H13" s="77">
        <v>1.0</v>
      </c>
      <c r="I13" s="77">
        <v>1.0</v>
      </c>
      <c r="J13" s="77">
        <v>0.5</v>
      </c>
      <c r="K13" s="77">
        <v>0.0</v>
      </c>
      <c r="L13" s="83">
        <v>0.0</v>
      </c>
      <c r="M13" s="77">
        <v>0.0</v>
      </c>
      <c r="N13" s="77">
        <v>1.0</v>
      </c>
      <c r="O13" s="84">
        <v>0.0</v>
      </c>
      <c r="P13" s="77">
        <v>0.0</v>
      </c>
      <c r="Q13" s="77">
        <v>1.0</v>
      </c>
      <c r="R13" s="78">
        <v>0.0</v>
      </c>
      <c r="S13" s="78" t="s">
        <v>71</v>
      </c>
      <c r="T13" s="11"/>
      <c r="U13" s="11"/>
      <c r="V13" s="11"/>
    </row>
    <row r="14">
      <c r="A14" s="12" t="s">
        <v>22</v>
      </c>
      <c r="B14" s="13">
        <v>44998.0</v>
      </c>
      <c r="C14" s="77">
        <v>0.0</v>
      </c>
      <c r="D14" s="77">
        <v>1.0</v>
      </c>
      <c r="E14" s="77">
        <v>0.0</v>
      </c>
      <c r="F14" s="77">
        <v>1.0</v>
      </c>
      <c r="G14" s="77">
        <v>1.0</v>
      </c>
      <c r="H14" s="77">
        <v>1.0</v>
      </c>
      <c r="I14" s="77">
        <v>1.0</v>
      </c>
      <c r="J14" s="77">
        <v>0.0</v>
      </c>
      <c r="K14" s="77">
        <v>1.0</v>
      </c>
      <c r="L14" s="83">
        <v>0.0</v>
      </c>
      <c r="M14" s="77">
        <v>0.0</v>
      </c>
      <c r="N14" s="77">
        <v>1.0</v>
      </c>
      <c r="O14" s="84">
        <v>0.0</v>
      </c>
      <c r="P14" s="77">
        <v>0.0</v>
      </c>
      <c r="Q14" s="77">
        <v>0.0</v>
      </c>
      <c r="R14" s="78">
        <v>0.0</v>
      </c>
      <c r="S14" s="79"/>
      <c r="T14" s="11"/>
      <c r="U14" s="11"/>
      <c r="V14" s="11"/>
    </row>
    <row r="15">
      <c r="A15" s="12" t="s">
        <v>23</v>
      </c>
      <c r="B15" s="13">
        <v>44999.0</v>
      </c>
      <c r="C15" s="77">
        <v>0.0</v>
      </c>
      <c r="D15" s="77">
        <v>1.0</v>
      </c>
      <c r="E15" s="77">
        <v>0.5</v>
      </c>
      <c r="F15" s="77">
        <v>0.0</v>
      </c>
      <c r="G15" s="77">
        <v>1.0</v>
      </c>
      <c r="H15" s="77">
        <v>0.0</v>
      </c>
      <c r="I15" s="77">
        <v>1.0</v>
      </c>
      <c r="J15" s="77">
        <v>0.0</v>
      </c>
      <c r="K15" s="77">
        <v>0.0</v>
      </c>
      <c r="L15" s="83">
        <v>0.0</v>
      </c>
      <c r="M15" s="77">
        <v>0.0</v>
      </c>
      <c r="N15" s="77">
        <v>1.0</v>
      </c>
      <c r="O15" s="84">
        <v>0.0</v>
      </c>
      <c r="P15" s="77">
        <v>1.0</v>
      </c>
      <c r="Q15" s="77">
        <v>1.0</v>
      </c>
      <c r="R15" s="78">
        <v>0.0</v>
      </c>
      <c r="S15" s="79"/>
      <c r="T15" s="11"/>
      <c r="U15" s="11"/>
      <c r="V15" s="11"/>
    </row>
    <row r="16">
      <c r="A16" s="12" t="s">
        <v>14</v>
      </c>
      <c r="B16" s="13">
        <v>45000.0</v>
      </c>
      <c r="C16" s="77">
        <v>1.0</v>
      </c>
      <c r="D16" s="77">
        <v>1.0</v>
      </c>
      <c r="E16" s="77">
        <v>0.5</v>
      </c>
      <c r="F16" s="77">
        <v>1.0</v>
      </c>
      <c r="G16" s="77">
        <v>1.0</v>
      </c>
      <c r="H16" s="77">
        <v>1.0</v>
      </c>
      <c r="I16" s="84">
        <v>0.0</v>
      </c>
      <c r="J16" s="77">
        <v>0.0</v>
      </c>
      <c r="K16" s="77">
        <v>0.0</v>
      </c>
      <c r="L16" s="83">
        <v>0.0</v>
      </c>
      <c r="M16" s="77">
        <v>0.0</v>
      </c>
      <c r="N16" s="77">
        <v>1.0</v>
      </c>
      <c r="O16" s="84">
        <v>0.0</v>
      </c>
      <c r="P16" s="77">
        <v>0.0</v>
      </c>
      <c r="Q16" s="77">
        <v>1.0</v>
      </c>
      <c r="R16" s="78">
        <v>0.0</v>
      </c>
      <c r="S16" s="79"/>
      <c r="T16" s="11"/>
      <c r="U16" s="11"/>
      <c r="V16" s="11"/>
    </row>
    <row r="17">
      <c r="A17" s="12" t="s">
        <v>15</v>
      </c>
      <c r="B17" s="13">
        <v>45001.0</v>
      </c>
      <c r="C17" s="77">
        <v>1.0</v>
      </c>
      <c r="D17" s="77">
        <v>1.0</v>
      </c>
      <c r="E17" s="77">
        <v>1.5</v>
      </c>
      <c r="F17" s="77">
        <v>1.0</v>
      </c>
      <c r="G17" s="77">
        <v>1.5</v>
      </c>
      <c r="H17" s="77">
        <v>1.5</v>
      </c>
      <c r="I17" s="84">
        <v>0.0</v>
      </c>
      <c r="J17" s="77">
        <v>0.0</v>
      </c>
      <c r="K17" s="77">
        <v>0.0</v>
      </c>
      <c r="L17" s="83">
        <v>0.0</v>
      </c>
      <c r="M17" s="77">
        <v>0.0</v>
      </c>
      <c r="N17" s="77">
        <v>1.0</v>
      </c>
      <c r="O17" s="84">
        <v>0.0</v>
      </c>
      <c r="P17" s="77">
        <v>1.0</v>
      </c>
      <c r="Q17" s="77">
        <v>1.0</v>
      </c>
      <c r="R17" s="78">
        <v>0.0</v>
      </c>
      <c r="S17" s="79"/>
      <c r="T17" s="11"/>
      <c r="U17" s="11"/>
      <c r="V17" s="11"/>
    </row>
    <row r="18">
      <c r="A18" s="26" t="s">
        <v>16</v>
      </c>
      <c r="B18" s="13">
        <v>45002.0</v>
      </c>
      <c r="C18" s="80">
        <v>0.0</v>
      </c>
      <c r="D18" s="80">
        <v>0.0</v>
      </c>
      <c r="E18" s="80">
        <v>2.0</v>
      </c>
      <c r="F18" s="80">
        <v>0.0</v>
      </c>
      <c r="G18" s="80">
        <v>2.0</v>
      </c>
      <c r="H18" s="80">
        <v>0.0</v>
      </c>
      <c r="I18" s="84">
        <v>0.0</v>
      </c>
      <c r="J18" s="80">
        <v>0.0</v>
      </c>
      <c r="K18" s="80">
        <v>0.0</v>
      </c>
      <c r="L18" s="83">
        <v>0.0</v>
      </c>
      <c r="M18" s="80">
        <v>0.0</v>
      </c>
      <c r="N18" s="80">
        <v>1.5</v>
      </c>
      <c r="O18" s="84">
        <v>0.0</v>
      </c>
      <c r="P18" s="80">
        <v>0.0</v>
      </c>
      <c r="Q18" s="80">
        <v>0.0</v>
      </c>
      <c r="R18" s="82">
        <v>0.0</v>
      </c>
      <c r="S18" s="85"/>
      <c r="T18" s="11"/>
      <c r="U18" s="11"/>
      <c r="V18" s="11"/>
    </row>
    <row r="19">
      <c r="A19" s="12" t="s">
        <v>19</v>
      </c>
      <c r="B19" s="13">
        <v>45003.0</v>
      </c>
      <c r="C19" s="77">
        <v>1.0</v>
      </c>
      <c r="D19" s="77">
        <v>1.0</v>
      </c>
      <c r="E19" s="77">
        <v>0.0</v>
      </c>
      <c r="F19" s="77">
        <v>1.0</v>
      </c>
      <c r="G19" s="77">
        <v>1.0</v>
      </c>
      <c r="H19" s="77">
        <v>0.0</v>
      </c>
      <c r="I19" s="84">
        <v>0.0</v>
      </c>
      <c r="J19" s="77">
        <v>0.0</v>
      </c>
      <c r="K19" s="77">
        <v>0.0</v>
      </c>
      <c r="L19" s="83">
        <v>0.0</v>
      </c>
      <c r="M19" s="77">
        <v>0.0</v>
      </c>
      <c r="N19" s="77">
        <v>1.25</v>
      </c>
      <c r="O19" s="84">
        <v>0.0</v>
      </c>
      <c r="P19" s="77">
        <v>0.0</v>
      </c>
      <c r="Q19" s="77">
        <v>0.0</v>
      </c>
      <c r="R19" s="78">
        <v>0.0</v>
      </c>
      <c r="S19" s="79"/>
      <c r="T19" s="11"/>
      <c r="U19" s="11"/>
      <c r="V19" s="11"/>
    </row>
    <row r="20">
      <c r="A20" s="12" t="s">
        <v>20</v>
      </c>
      <c r="B20" s="13">
        <v>45004.0</v>
      </c>
      <c r="C20" s="77">
        <v>1.0</v>
      </c>
      <c r="D20" s="77">
        <v>1.0</v>
      </c>
      <c r="E20" s="77">
        <v>0.0</v>
      </c>
      <c r="F20" s="77">
        <v>1.0</v>
      </c>
      <c r="G20" s="77">
        <v>1.0</v>
      </c>
      <c r="H20" s="77">
        <v>0.0</v>
      </c>
      <c r="I20" s="84">
        <v>0.0</v>
      </c>
      <c r="J20" s="77">
        <v>1.0</v>
      </c>
      <c r="K20" s="77">
        <v>0.0</v>
      </c>
      <c r="L20" s="83">
        <v>0.0</v>
      </c>
      <c r="M20" s="77">
        <v>0.0</v>
      </c>
      <c r="N20" s="77">
        <v>1.0</v>
      </c>
      <c r="O20" s="84">
        <v>0.0</v>
      </c>
      <c r="P20" s="77">
        <v>0.0</v>
      </c>
      <c r="Q20" s="77">
        <v>1.0</v>
      </c>
      <c r="R20" s="78">
        <v>0.0</v>
      </c>
      <c r="S20" s="79"/>
      <c r="T20" s="11"/>
      <c r="U20" s="11"/>
      <c r="V20" s="11"/>
    </row>
    <row r="21">
      <c r="A21" s="12" t="s">
        <v>22</v>
      </c>
      <c r="B21" s="13">
        <v>45005.0</v>
      </c>
      <c r="C21" s="77">
        <v>1.0</v>
      </c>
      <c r="D21" s="77">
        <v>1.5</v>
      </c>
      <c r="E21" s="77">
        <v>0.0</v>
      </c>
      <c r="F21" s="77">
        <v>0.0</v>
      </c>
      <c r="G21" s="77">
        <v>0.0</v>
      </c>
      <c r="H21" s="77">
        <v>1.5</v>
      </c>
      <c r="I21" s="84">
        <v>0.0</v>
      </c>
      <c r="J21" s="77">
        <v>1.0</v>
      </c>
      <c r="K21" s="77">
        <v>0.0</v>
      </c>
      <c r="L21" s="83">
        <v>0.0</v>
      </c>
      <c r="M21" s="77">
        <v>0.0</v>
      </c>
      <c r="N21" s="77">
        <v>1.5</v>
      </c>
      <c r="O21" s="84">
        <v>0.0</v>
      </c>
      <c r="P21" s="77">
        <v>0.0</v>
      </c>
      <c r="Q21" s="77">
        <v>0.0</v>
      </c>
      <c r="R21" s="78">
        <v>0.0</v>
      </c>
      <c r="S21" s="79"/>
      <c r="T21" s="11"/>
      <c r="U21" s="11"/>
      <c r="V21" s="11"/>
    </row>
    <row r="22">
      <c r="A22" s="12" t="s">
        <v>23</v>
      </c>
      <c r="B22" s="13">
        <v>45006.0</v>
      </c>
      <c r="C22" s="77">
        <v>1.0</v>
      </c>
      <c r="D22" s="77">
        <v>1.5</v>
      </c>
      <c r="E22" s="77">
        <v>1.0</v>
      </c>
      <c r="F22" s="77">
        <v>0.0</v>
      </c>
      <c r="G22" s="77">
        <v>1.0</v>
      </c>
      <c r="H22" s="77">
        <v>1.0</v>
      </c>
      <c r="I22" s="84">
        <v>0.0</v>
      </c>
      <c r="J22" s="77">
        <v>1.0</v>
      </c>
      <c r="K22" s="77">
        <v>0.0</v>
      </c>
      <c r="L22" s="83">
        <v>0.0</v>
      </c>
      <c r="M22" s="77">
        <v>0.0</v>
      </c>
      <c r="N22" s="77">
        <v>0.0</v>
      </c>
      <c r="O22" s="84">
        <v>0.0</v>
      </c>
      <c r="P22" s="77">
        <v>0.0</v>
      </c>
      <c r="Q22" s="77">
        <v>0.0</v>
      </c>
      <c r="R22" s="78">
        <v>0.0</v>
      </c>
      <c r="S22" s="79"/>
      <c r="T22" s="11"/>
      <c r="U22" s="11"/>
      <c r="V22" s="11"/>
    </row>
    <row r="23">
      <c r="A23" s="12" t="s">
        <v>14</v>
      </c>
      <c r="B23" s="13">
        <v>45007.0</v>
      </c>
      <c r="C23" s="77">
        <v>2.0</v>
      </c>
      <c r="D23" s="77">
        <v>2.0</v>
      </c>
      <c r="E23" s="77">
        <v>0.0</v>
      </c>
      <c r="F23" s="77">
        <v>0.0</v>
      </c>
      <c r="G23" s="77">
        <v>1.0</v>
      </c>
      <c r="H23" s="77">
        <v>0.0</v>
      </c>
      <c r="I23" s="84">
        <v>0.0</v>
      </c>
      <c r="J23" s="77">
        <v>1.0</v>
      </c>
      <c r="K23" s="77">
        <v>0.0</v>
      </c>
      <c r="L23" s="83">
        <v>0.0</v>
      </c>
      <c r="M23" s="77">
        <v>0.0</v>
      </c>
      <c r="N23" s="77">
        <v>1.0</v>
      </c>
      <c r="O23" s="84">
        <v>0.0</v>
      </c>
      <c r="P23" s="77">
        <v>0.0</v>
      </c>
      <c r="Q23" s="77">
        <v>0.0</v>
      </c>
      <c r="R23" s="78">
        <v>1.0</v>
      </c>
      <c r="S23" s="78" t="s">
        <v>64</v>
      </c>
      <c r="T23" s="11"/>
      <c r="U23" s="11"/>
      <c r="V23" s="11"/>
    </row>
    <row r="24">
      <c r="A24" s="12" t="s">
        <v>15</v>
      </c>
      <c r="B24" s="13">
        <v>45008.0</v>
      </c>
      <c r="C24" s="77">
        <v>1.0</v>
      </c>
      <c r="D24" s="77">
        <v>1.0</v>
      </c>
      <c r="E24" s="77">
        <v>0.0</v>
      </c>
      <c r="F24" s="77">
        <v>1.0</v>
      </c>
      <c r="G24" s="77">
        <v>1.0</v>
      </c>
      <c r="H24" s="77">
        <v>1.0</v>
      </c>
      <c r="I24" s="84">
        <v>0.0</v>
      </c>
      <c r="J24" s="77">
        <v>1.0</v>
      </c>
      <c r="K24" s="77">
        <v>1.0</v>
      </c>
      <c r="L24" s="83">
        <v>0.0</v>
      </c>
      <c r="M24" s="77">
        <v>0.0</v>
      </c>
      <c r="N24" s="77">
        <v>1.0</v>
      </c>
      <c r="O24" s="84">
        <v>0.0</v>
      </c>
      <c r="P24" s="77">
        <v>0.0</v>
      </c>
      <c r="Q24" s="77">
        <v>0.0</v>
      </c>
      <c r="R24" s="78">
        <v>1.0</v>
      </c>
      <c r="S24" s="79"/>
      <c r="T24" s="11"/>
      <c r="U24" s="11"/>
      <c r="V24" s="11"/>
    </row>
    <row r="25">
      <c r="A25" s="26" t="s">
        <v>16</v>
      </c>
      <c r="B25" s="13">
        <v>45009.0</v>
      </c>
      <c r="C25" s="80">
        <v>0.0</v>
      </c>
      <c r="D25" s="80">
        <v>2.0</v>
      </c>
      <c r="E25" s="80">
        <v>0.0</v>
      </c>
      <c r="F25" s="80">
        <v>0.0</v>
      </c>
      <c r="G25" s="80">
        <v>1.0</v>
      </c>
      <c r="H25" s="80">
        <v>1.0</v>
      </c>
      <c r="I25" s="84">
        <v>0.0</v>
      </c>
      <c r="J25" s="80">
        <v>1.0</v>
      </c>
      <c r="K25" s="80">
        <v>0.0</v>
      </c>
      <c r="L25" s="83">
        <v>0.0</v>
      </c>
      <c r="M25" s="80">
        <v>0.0</v>
      </c>
      <c r="N25" s="80">
        <v>1.0</v>
      </c>
      <c r="O25" s="84">
        <v>0.0</v>
      </c>
      <c r="P25" s="80">
        <v>0.0</v>
      </c>
      <c r="Q25" s="80">
        <v>0.0</v>
      </c>
      <c r="R25" s="82">
        <v>0.0</v>
      </c>
      <c r="S25" s="85"/>
      <c r="T25" s="11"/>
      <c r="U25" s="11"/>
      <c r="V25" s="11"/>
    </row>
    <row r="26">
      <c r="A26" s="12" t="s">
        <v>19</v>
      </c>
      <c r="B26" s="13">
        <v>45010.0</v>
      </c>
      <c r="C26" s="77">
        <v>1.0</v>
      </c>
      <c r="D26" s="77">
        <v>1.5</v>
      </c>
      <c r="E26" s="77">
        <v>0.0</v>
      </c>
      <c r="F26" s="77">
        <v>1.0</v>
      </c>
      <c r="G26" s="77">
        <v>1.0</v>
      </c>
      <c r="H26" s="77">
        <v>1.0</v>
      </c>
      <c r="I26" s="84">
        <v>0.0</v>
      </c>
      <c r="J26" s="77">
        <v>0.0</v>
      </c>
      <c r="K26" s="77">
        <v>1.0</v>
      </c>
      <c r="L26" s="83">
        <v>0.0</v>
      </c>
      <c r="M26" s="77">
        <v>0.0</v>
      </c>
      <c r="N26" s="77">
        <v>1.0</v>
      </c>
      <c r="O26" s="84">
        <v>0.0</v>
      </c>
      <c r="P26" s="77">
        <v>0.0</v>
      </c>
      <c r="Q26" s="77">
        <v>0.0</v>
      </c>
      <c r="R26" s="78">
        <v>1.0</v>
      </c>
      <c r="S26" s="79"/>
      <c r="T26" s="11"/>
      <c r="U26" s="11"/>
      <c r="V26" s="11"/>
    </row>
    <row r="27">
      <c r="A27" s="12" t="s">
        <v>20</v>
      </c>
      <c r="B27" s="13">
        <v>45011.0</v>
      </c>
      <c r="C27" s="77">
        <v>1.0</v>
      </c>
      <c r="D27" s="77">
        <v>1.0</v>
      </c>
      <c r="E27" s="77">
        <v>0.0</v>
      </c>
      <c r="F27" s="77">
        <v>1.0</v>
      </c>
      <c r="G27" s="77">
        <v>1.0</v>
      </c>
      <c r="H27" s="77">
        <v>1.0</v>
      </c>
      <c r="I27" s="84">
        <v>0.0</v>
      </c>
      <c r="J27" s="77">
        <v>0.0</v>
      </c>
      <c r="K27" s="77">
        <v>1.0</v>
      </c>
      <c r="L27" s="83">
        <v>0.0</v>
      </c>
      <c r="M27" s="77">
        <v>0.0</v>
      </c>
      <c r="N27" s="77">
        <v>1.0</v>
      </c>
      <c r="O27" s="84">
        <v>0.0</v>
      </c>
      <c r="P27" s="77">
        <v>0.0</v>
      </c>
      <c r="Q27" s="77">
        <v>0.0</v>
      </c>
      <c r="R27" s="78">
        <v>1.0</v>
      </c>
      <c r="S27" s="79"/>
      <c r="T27" s="11"/>
      <c r="U27" s="11"/>
      <c r="V27" s="11"/>
    </row>
    <row r="28">
      <c r="A28" s="12" t="s">
        <v>22</v>
      </c>
      <c r="B28" s="13">
        <v>45012.0</v>
      </c>
      <c r="C28" s="77">
        <v>1.0</v>
      </c>
      <c r="D28" s="77">
        <v>2.0</v>
      </c>
      <c r="E28" s="77">
        <v>0.0</v>
      </c>
      <c r="F28" s="77">
        <v>1.0</v>
      </c>
      <c r="G28" s="77">
        <v>1.0</v>
      </c>
      <c r="H28" s="77">
        <v>1.0</v>
      </c>
      <c r="I28" s="84">
        <v>0.0</v>
      </c>
      <c r="J28" s="77">
        <v>0.0</v>
      </c>
      <c r="K28" s="77">
        <v>0.5</v>
      </c>
      <c r="L28" s="83">
        <v>0.0</v>
      </c>
      <c r="M28" s="77">
        <v>0.0</v>
      </c>
      <c r="N28" s="77">
        <v>1.0</v>
      </c>
      <c r="O28" s="84">
        <v>0.0</v>
      </c>
      <c r="P28" s="77">
        <v>1.0</v>
      </c>
      <c r="Q28" s="77">
        <v>1.0</v>
      </c>
      <c r="R28" s="78">
        <v>1.0</v>
      </c>
      <c r="S28" s="78" t="s">
        <v>72</v>
      </c>
      <c r="T28" s="11"/>
      <c r="U28" s="11"/>
      <c r="V28" s="11"/>
    </row>
    <row r="29">
      <c r="A29" s="57" t="s">
        <v>43</v>
      </c>
      <c r="B29" s="13">
        <v>45013.0</v>
      </c>
      <c r="C29" s="77">
        <v>1.0</v>
      </c>
      <c r="D29" s="77">
        <v>1.0</v>
      </c>
      <c r="E29" s="77">
        <v>0.0</v>
      </c>
      <c r="F29" s="77">
        <v>1.0</v>
      </c>
      <c r="G29" s="77">
        <v>1.0</v>
      </c>
      <c r="H29" s="77">
        <v>1.0</v>
      </c>
      <c r="I29" s="84">
        <v>0.0</v>
      </c>
      <c r="J29" s="77">
        <v>0.0</v>
      </c>
      <c r="K29" s="77">
        <v>0.5</v>
      </c>
      <c r="L29" s="83">
        <v>0.0</v>
      </c>
      <c r="M29" s="77">
        <v>0.0</v>
      </c>
      <c r="N29" s="77">
        <v>1.0</v>
      </c>
      <c r="O29" s="84">
        <v>0.0</v>
      </c>
      <c r="P29" s="77">
        <v>1.0</v>
      </c>
      <c r="Q29" s="77">
        <v>1.0</v>
      </c>
      <c r="R29" s="78">
        <v>1.0</v>
      </c>
      <c r="S29" s="79"/>
      <c r="T29" s="11"/>
      <c r="U29" s="11"/>
      <c r="V29" s="11"/>
    </row>
    <row r="30">
      <c r="A30" s="57" t="s">
        <v>14</v>
      </c>
      <c r="B30" s="13">
        <v>45014.0</v>
      </c>
      <c r="C30" s="77">
        <v>1.0</v>
      </c>
      <c r="D30" s="77">
        <v>1.0</v>
      </c>
      <c r="E30" s="77">
        <v>0.0</v>
      </c>
      <c r="F30" s="77">
        <v>1.0</v>
      </c>
      <c r="G30" s="77">
        <v>1.0</v>
      </c>
      <c r="H30" s="77">
        <v>1.0</v>
      </c>
      <c r="I30" s="84">
        <v>0.0</v>
      </c>
      <c r="J30" s="77">
        <v>0.0</v>
      </c>
      <c r="K30" s="77">
        <v>0.0</v>
      </c>
      <c r="L30" s="83">
        <v>0.0</v>
      </c>
      <c r="M30" s="77">
        <v>0.0</v>
      </c>
      <c r="N30" s="77">
        <v>1.0</v>
      </c>
      <c r="O30" s="84">
        <v>0.0</v>
      </c>
      <c r="P30" s="77">
        <v>0.0</v>
      </c>
      <c r="Q30" s="77">
        <v>1.0</v>
      </c>
      <c r="R30" s="78">
        <v>1.0</v>
      </c>
      <c r="S30" s="79"/>
      <c r="T30" s="11"/>
      <c r="U30" s="11"/>
      <c r="V30" s="11"/>
    </row>
    <row r="31">
      <c r="A31" s="57" t="s">
        <v>45</v>
      </c>
      <c r="B31" s="13">
        <v>45015.0</v>
      </c>
      <c r="C31" s="77">
        <v>1.0</v>
      </c>
      <c r="D31" s="77">
        <v>1.0</v>
      </c>
      <c r="E31" s="77">
        <v>0.0</v>
      </c>
      <c r="F31" s="77">
        <v>1.0</v>
      </c>
      <c r="G31" s="77">
        <v>1.0</v>
      </c>
      <c r="H31" s="77">
        <v>1.0</v>
      </c>
      <c r="I31" s="84">
        <v>0.0</v>
      </c>
      <c r="J31" s="77">
        <v>0.0</v>
      </c>
      <c r="K31" s="77">
        <v>0.0</v>
      </c>
      <c r="L31" s="83">
        <v>0.0</v>
      </c>
      <c r="M31" s="77">
        <v>0.0</v>
      </c>
      <c r="N31" s="77">
        <v>1.0</v>
      </c>
      <c r="O31" s="84">
        <v>0.0</v>
      </c>
      <c r="P31" s="77">
        <v>1.0</v>
      </c>
      <c r="Q31" s="77">
        <v>1.0</v>
      </c>
      <c r="R31" s="78">
        <v>1.0</v>
      </c>
      <c r="S31" s="79"/>
      <c r="T31" s="11"/>
      <c r="U31" s="11"/>
      <c r="V31" s="11"/>
    </row>
    <row r="32">
      <c r="A32" s="86" t="s">
        <v>73</v>
      </c>
      <c r="B32" s="87">
        <v>45016.0</v>
      </c>
      <c r="C32" s="88">
        <v>0.0</v>
      </c>
      <c r="D32" s="88">
        <v>1.0</v>
      </c>
      <c r="E32" s="88">
        <v>0.0</v>
      </c>
      <c r="F32" s="88">
        <v>1.0</v>
      </c>
      <c r="G32" s="88">
        <v>1.0</v>
      </c>
      <c r="H32" s="88">
        <v>1.0</v>
      </c>
      <c r="I32" s="84">
        <v>0.0</v>
      </c>
      <c r="J32" s="88">
        <v>0.0</v>
      </c>
      <c r="K32" s="88">
        <v>0.0</v>
      </c>
      <c r="L32" s="83">
        <v>0.0</v>
      </c>
      <c r="M32" s="88">
        <v>0.0</v>
      </c>
      <c r="N32" s="88">
        <v>1.0</v>
      </c>
      <c r="O32" s="84">
        <v>0.0</v>
      </c>
      <c r="P32" s="88">
        <v>0.0</v>
      </c>
      <c r="Q32" s="80">
        <v>1.0</v>
      </c>
      <c r="R32" s="82">
        <v>0.0</v>
      </c>
      <c r="S32" s="79"/>
      <c r="T32" s="11"/>
      <c r="U32" s="11"/>
      <c r="V32" s="11"/>
    </row>
    <row r="33">
      <c r="A33" s="11"/>
      <c r="B33" s="54"/>
      <c r="C33" s="43">
        <f t="shared" ref="C33:R33" si="1">SUM(C2:C32)</f>
        <v>24</v>
      </c>
      <c r="D33" s="43">
        <f t="shared" si="1"/>
        <v>34.5</v>
      </c>
      <c r="E33" s="43">
        <f t="shared" si="1"/>
        <v>11</v>
      </c>
      <c r="F33" s="43">
        <f t="shared" si="1"/>
        <v>22</v>
      </c>
      <c r="G33" s="43">
        <f t="shared" si="1"/>
        <v>30.5</v>
      </c>
      <c r="H33" s="43">
        <f t="shared" si="1"/>
        <v>26</v>
      </c>
      <c r="I33" s="43">
        <f t="shared" si="1"/>
        <v>12</v>
      </c>
      <c r="J33" s="43">
        <f t="shared" si="1"/>
        <v>16.5</v>
      </c>
      <c r="K33" s="43">
        <f t="shared" si="1"/>
        <v>10</v>
      </c>
      <c r="L33" s="43">
        <f t="shared" si="1"/>
        <v>4</v>
      </c>
      <c r="M33" s="43">
        <f t="shared" si="1"/>
        <v>6</v>
      </c>
      <c r="N33" s="43">
        <f t="shared" si="1"/>
        <v>28.25</v>
      </c>
      <c r="O33" s="43">
        <f t="shared" si="1"/>
        <v>5</v>
      </c>
      <c r="P33" s="43">
        <f t="shared" si="1"/>
        <v>7</v>
      </c>
      <c r="Q33" s="43">
        <f t="shared" si="1"/>
        <v>17</v>
      </c>
      <c r="R33" s="89">
        <f t="shared" si="1"/>
        <v>8</v>
      </c>
      <c r="S33" s="90"/>
      <c r="T33" s="11"/>
      <c r="U33" s="11"/>
      <c r="V33" s="11"/>
    </row>
    <row r="34">
      <c r="A34" s="11"/>
      <c r="B34" s="54"/>
      <c r="C34" s="91">
        <v>1270.0</v>
      </c>
      <c r="D34" s="91">
        <v>1270.0</v>
      </c>
      <c r="E34" s="91">
        <v>1270.0</v>
      </c>
      <c r="F34" s="91">
        <v>1270.0</v>
      </c>
      <c r="G34" s="91">
        <v>1346.0</v>
      </c>
      <c r="H34" s="91">
        <v>1270.0</v>
      </c>
      <c r="I34" s="91">
        <v>962.0</v>
      </c>
      <c r="J34" s="91">
        <v>1077.0</v>
      </c>
      <c r="K34" s="91">
        <v>1077.0</v>
      </c>
      <c r="L34" s="91">
        <v>1077.0</v>
      </c>
      <c r="M34" s="91">
        <v>962.0</v>
      </c>
      <c r="N34" s="91">
        <v>962.0</v>
      </c>
      <c r="O34" s="91">
        <v>962.0</v>
      </c>
      <c r="P34" s="92">
        <v>800.0</v>
      </c>
      <c r="Q34" s="50">
        <v>1000.0</v>
      </c>
      <c r="R34" s="93">
        <v>962.0</v>
      </c>
      <c r="S34" s="18"/>
      <c r="T34" s="11"/>
      <c r="U34" s="11"/>
      <c r="V34" s="11"/>
    </row>
    <row r="35">
      <c r="A35" s="11"/>
      <c r="B35" s="54"/>
      <c r="C35" s="94">
        <f t="shared" ref="C35:Q35" si="2">C34*C33</f>
        <v>30480</v>
      </c>
      <c r="D35" s="94">
        <f t="shared" si="2"/>
        <v>43815</v>
      </c>
      <c r="E35" s="94">
        <f t="shared" si="2"/>
        <v>13970</v>
      </c>
      <c r="F35" s="94">
        <f t="shared" si="2"/>
        <v>27940</v>
      </c>
      <c r="G35" s="94">
        <f t="shared" si="2"/>
        <v>41053</v>
      </c>
      <c r="H35" s="94">
        <f t="shared" si="2"/>
        <v>33020</v>
      </c>
      <c r="I35" s="94">
        <f t="shared" si="2"/>
        <v>11544</v>
      </c>
      <c r="J35" s="94">
        <f t="shared" si="2"/>
        <v>17770.5</v>
      </c>
      <c r="K35" s="94">
        <f t="shared" si="2"/>
        <v>10770</v>
      </c>
      <c r="L35" s="94">
        <f t="shared" si="2"/>
        <v>4308</v>
      </c>
      <c r="M35" s="94">
        <f t="shared" si="2"/>
        <v>5772</v>
      </c>
      <c r="N35" s="94">
        <f t="shared" si="2"/>
        <v>27176.5</v>
      </c>
      <c r="O35" s="94">
        <f t="shared" si="2"/>
        <v>4810</v>
      </c>
      <c r="P35" s="94">
        <f t="shared" si="2"/>
        <v>5600</v>
      </c>
      <c r="Q35" s="95">
        <f t="shared" si="2"/>
        <v>17000</v>
      </c>
      <c r="R35" s="95">
        <f>R33*R34</f>
        <v>7696</v>
      </c>
      <c r="S35" s="96">
        <f>SUM(C35:P35)</f>
        <v>278029</v>
      </c>
      <c r="T35" s="11"/>
      <c r="U35" s="11"/>
      <c r="V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63"/>
    <col customWidth="1" min="10" max="10" width="37.38"/>
    <col customWidth="1" min="11" max="11" width="29.13"/>
    <col customWidth="1" min="12" max="12" width="29.88"/>
    <col customWidth="1" min="13" max="13" width="90.63"/>
  </cols>
  <sheetData>
    <row r="14">
      <c r="H14" s="97"/>
      <c r="I14" s="98" t="s">
        <v>74</v>
      </c>
      <c r="J14" s="98" t="s">
        <v>4</v>
      </c>
      <c r="K14" s="98" t="s">
        <v>75</v>
      </c>
      <c r="L14" s="99" t="s">
        <v>76</v>
      </c>
    </row>
    <row r="15">
      <c r="H15" s="100">
        <v>1.0</v>
      </c>
      <c r="I15" s="43" t="s">
        <v>77</v>
      </c>
      <c r="J15" s="50">
        <v>30000.0</v>
      </c>
      <c r="K15" s="14">
        <v>30000.0</v>
      </c>
      <c r="L15" s="50">
        <f t="shared" ref="L15:L20" si="1">J15-K15</f>
        <v>0</v>
      </c>
      <c r="M15" s="101" t="s">
        <v>78</v>
      </c>
    </row>
    <row r="16">
      <c r="H16" s="100">
        <v>2.0</v>
      </c>
      <c r="I16" s="43" t="s">
        <v>79</v>
      </c>
      <c r="J16" s="50">
        <v>30000.0</v>
      </c>
      <c r="K16" s="14">
        <v>30000.0</v>
      </c>
      <c r="L16" s="50">
        <f t="shared" si="1"/>
        <v>0</v>
      </c>
      <c r="M16" s="101" t="s">
        <v>80</v>
      </c>
    </row>
    <row r="17">
      <c r="H17" s="100">
        <v>3.0</v>
      </c>
      <c r="I17" s="43" t="s">
        <v>49</v>
      </c>
      <c r="J17" s="50">
        <f>'Pointage '!C35*1</f>
        <v>30480</v>
      </c>
      <c r="K17" s="14">
        <v>30500.0</v>
      </c>
      <c r="L17" s="50">
        <f t="shared" si="1"/>
        <v>-20</v>
      </c>
      <c r="M17" s="102"/>
    </row>
    <row r="18">
      <c r="H18" s="100">
        <v>4.0</v>
      </c>
      <c r="I18" s="43" t="s">
        <v>50</v>
      </c>
      <c r="J18" s="50">
        <f>'Pointage '!D35*1</f>
        <v>43815</v>
      </c>
      <c r="K18" s="14">
        <v>44000.0</v>
      </c>
      <c r="L18" s="50">
        <f t="shared" si="1"/>
        <v>-185</v>
      </c>
      <c r="M18" s="102"/>
    </row>
    <row r="19">
      <c r="H19" s="100">
        <v>5.0</v>
      </c>
      <c r="I19" s="43" t="s">
        <v>51</v>
      </c>
      <c r="J19" s="50">
        <f>'Pointage '!E35*1</f>
        <v>13970</v>
      </c>
      <c r="K19" s="14">
        <v>14000.0</v>
      </c>
      <c r="L19" s="50">
        <f t="shared" si="1"/>
        <v>-30</v>
      </c>
      <c r="M19" s="102"/>
    </row>
    <row r="20">
      <c r="H20" s="100">
        <v>6.0</v>
      </c>
      <c r="I20" s="43" t="s">
        <v>52</v>
      </c>
      <c r="J20" s="50">
        <f>'Pointage '!F35*1</f>
        <v>27940</v>
      </c>
      <c r="K20" s="14">
        <v>28000.0</v>
      </c>
      <c r="L20" s="50">
        <f t="shared" si="1"/>
        <v>-60</v>
      </c>
      <c r="M20" s="101" t="s">
        <v>81</v>
      </c>
    </row>
    <row r="21">
      <c r="H21" s="100">
        <v>7.0</v>
      </c>
      <c r="I21" s="43" t="s">
        <v>53</v>
      </c>
      <c r="J21" s="50">
        <f>'Pointage '!G35*1</f>
        <v>41053</v>
      </c>
      <c r="K21" s="14">
        <v>41000.0</v>
      </c>
      <c r="L21" s="14">
        <v>0.0</v>
      </c>
      <c r="M21" s="101" t="s">
        <v>82</v>
      </c>
    </row>
    <row r="22">
      <c r="H22" s="103">
        <v>8.0</v>
      </c>
      <c r="I22" s="43" t="s">
        <v>54</v>
      </c>
      <c r="J22" s="50">
        <f>'Pointage '!H35*1</f>
        <v>33020</v>
      </c>
      <c r="K22" s="14">
        <v>33000.0</v>
      </c>
      <c r="L22" s="14">
        <v>0.0</v>
      </c>
      <c r="M22" s="102"/>
    </row>
    <row r="23">
      <c r="H23" s="103">
        <v>9.0</v>
      </c>
      <c r="I23" s="43" t="s">
        <v>55</v>
      </c>
      <c r="J23" s="14">
        <v>11500.0</v>
      </c>
      <c r="K23" s="14">
        <v>11500.0</v>
      </c>
      <c r="L23" s="50">
        <f t="shared" ref="L23:L32" si="2">J23-K23</f>
        <v>0</v>
      </c>
      <c r="M23" s="101" t="s">
        <v>83</v>
      </c>
    </row>
    <row r="24">
      <c r="H24" s="103">
        <v>10.0</v>
      </c>
      <c r="I24" s="43" t="s">
        <v>56</v>
      </c>
      <c r="J24" s="50">
        <f>'Pointage '!J35*1</f>
        <v>17770.5</v>
      </c>
      <c r="K24" s="14">
        <v>18000.0</v>
      </c>
      <c r="L24" s="50">
        <f t="shared" si="2"/>
        <v>-229.5</v>
      </c>
      <c r="M24" s="102"/>
    </row>
    <row r="25">
      <c r="H25" s="103">
        <v>11.0</v>
      </c>
      <c r="I25" s="43" t="s">
        <v>57</v>
      </c>
      <c r="J25" s="50">
        <f>'Pointage '!K35*1</f>
        <v>10770</v>
      </c>
      <c r="K25" s="14">
        <v>11000.0</v>
      </c>
      <c r="L25" s="50">
        <f t="shared" si="2"/>
        <v>-230</v>
      </c>
      <c r="M25" s="102"/>
    </row>
    <row r="26">
      <c r="H26" s="103">
        <v>12.0</v>
      </c>
      <c r="I26" s="43" t="s">
        <v>58</v>
      </c>
      <c r="J26" s="50">
        <f>'Pointage '!L35*1</f>
        <v>4308</v>
      </c>
      <c r="K26" s="14">
        <v>4500.0</v>
      </c>
      <c r="L26" s="50">
        <f t="shared" si="2"/>
        <v>-192</v>
      </c>
      <c r="M26" s="102"/>
    </row>
    <row r="27">
      <c r="H27" s="103">
        <v>13.0</v>
      </c>
      <c r="I27" s="43" t="s">
        <v>59</v>
      </c>
      <c r="J27" s="50">
        <f>'Pointage '!M35*1</f>
        <v>5772</v>
      </c>
      <c r="K27" s="14">
        <v>6000.0</v>
      </c>
      <c r="L27" s="50">
        <f t="shared" si="2"/>
        <v>-228</v>
      </c>
      <c r="M27" s="102"/>
    </row>
    <row r="28">
      <c r="H28" s="103">
        <v>14.0</v>
      </c>
      <c r="I28" s="43" t="s">
        <v>60</v>
      </c>
      <c r="J28" s="50">
        <f>'Pointage '!N35*1</f>
        <v>27176.5</v>
      </c>
      <c r="K28" s="14">
        <v>27500.0</v>
      </c>
      <c r="L28" s="50">
        <f t="shared" si="2"/>
        <v>-323.5</v>
      </c>
      <c r="M28" s="101" t="s">
        <v>84</v>
      </c>
    </row>
    <row r="29">
      <c r="H29" s="103">
        <v>15.0</v>
      </c>
      <c r="I29" s="104" t="s">
        <v>64</v>
      </c>
      <c r="J29" s="50">
        <f>'Pointage '!R35*1</f>
        <v>7696</v>
      </c>
      <c r="K29" s="14">
        <v>8000.0</v>
      </c>
      <c r="L29" s="50">
        <f t="shared" si="2"/>
        <v>-304</v>
      </c>
      <c r="M29" s="102"/>
    </row>
    <row r="30">
      <c r="H30" s="103">
        <v>16.0</v>
      </c>
      <c r="I30" s="43" t="s">
        <v>62</v>
      </c>
      <c r="J30" s="50">
        <f>'Pointage '!P35*1</f>
        <v>5600</v>
      </c>
      <c r="K30" s="14">
        <v>6000.0</v>
      </c>
      <c r="L30" s="50">
        <f t="shared" si="2"/>
        <v>-400</v>
      </c>
      <c r="M30" s="102"/>
    </row>
    <row r="31">
      <c r="H31" s="103">
        <v>17.0</v>
      </c>
      <c r="I31" s="43" t="s">
        <v>63</v>
      </c>
      <c r="J31" s="50">
        <f>'Pointage '!Q35*1</f>
        <v>17000</v>
      </c>
      <c r="K31" s="14">
        <v>17000.0</v>
      </c>
      <c r="L31" s="50">
        <f t="shared" si="2"/>
        <v>0</v>
      </c>
      <c r="M31" s="102"/>
    </row>
    <row r="32">
      <c r="H32" s="103">
        <v>18.0</v>
      </c>
      <c r="I32" s="43" t="s">
        <v>61</v>
      </c>
      <c r="J32" s="50">
        <f>'Pointage '!O35*1</f>
        <v>4810</v>
      </c>
      <c r="K32" s="14">
        <v>5000.0</v>
      </c>
      <c r="L32" s="50">
        <f t="shared" si="2"/>
        <v>-190</v>
      </c>
      <c r="M32" s="102"/>
    </row>
    <row r="33">
      <c r="H33" s="105"/>
      <c r="I33" s="32" t="s">
        <v>85</v>
      </c>
      <c r="J33" s="34">
        <f t="shared" ref="J33:L33" si="3">SUM(J15:J32)</f>
        <v>362681</v>
      </c>
      <c r="K33" s="106">
        <f t="shared" si="3"/>
        <v>365000</v>
      </c>
      <c r="L33" s="107">
        <f t="shared" si="3"/>
        <v>-2392</v>
      </c>
    </row>
    <row r="34">
      <c r="H34" s="105"/>
      <c r="I34" s="108">
        <f>J33-K33</f>
        <v>-2319</v>
      </c>
      <c r="J34" s="1"/>
      <c r="K34" s="1"/>
      <c r="L34" s="33">
        <f>J34-K34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83.63"/>
    <col customWidth="1" min="7" max="8" width="25.88"/>
    <col customWidth="1" min="9" max="9" width="26.38"/>
    <col customWidth="1" min="10" max="10" width="39.38"/>
    <col customWidth="1" min="12" max="12" width="21.63"/>
  </cols>
  <sheetData>
    <row r="1">
      <c r="F1" s="109" t="s">
        <v>86</v>
      </c>
      <c r="G1" s="110" t="s">
        <v>87</v>
      </c>
      <c r="H1" s="110" t="s">
        <v>88</v>
      </c>
      <c r="I1" s="110" t="s">
        <v>89</v>
      </c>
      <c r="J1" s="110" t="s">
        <v>90</v>
      </c>
    </row>
    <row r="2">
      <c r="F2" s="111" t="s">
        <v>91</v>
      </c>
      <c r="G2" s="112">
        <v>10.0</v>
      </c>
      <c r="H2" s="113">
        <v>1000.0</v>
      </c>
      <c r="I2" s="113">
        <f t="shared" ref="I2:I136" si="1">H2*G2</f>
        <v>10000</v>
      </c>
      <c r="J2" s="35" t="s">
        <v>92</v>
      </c>
    </row>
    <row r="3">
      <c r="F3" s="114" t="s">
        <v>93</v>
      </c>
      <c r="G3" s="115">
        <v>10.0</v>
      </c>
      <c r="H3" s="116">
        <v>160.0</v>
      </c>
      <c r="I3" s="116">
        <f t="shared" si="1"/>
        <v>1600</v>
      </c>
      <c r="J3" s="117">
        <v>44941.0</v>
      </c>
    </row>
    <row r="4">
      <c r="F4" s="111" t="s">
        <v>94</v>
      </c>
      <c r="G4" s="112">
        <v>15.0</v>
      </c>
      <c r="H4" s="113">
        <v>385.0</v>
      </c>
      <c r="I4" s="113">
        <f t="shared" si="1"/>
        <v>5775</v>
      </c>
      <c r="J4" s="118">
        <v>44920.0</v>
      </c>
    </row>
    <row r="5">
      <c r="F5" s="111" t="s">
        <v>95</v>
      </c>
      <c r="G5" s="112">
        <v>4.0</v>
      </c>
      <c r="H5" s="113">
        <v>75.0</v>
      </c>
      <c r="I5" s="113">
        <f t="shared" si="1"/>
        <v>300</v>
      </c>
      <c r="J5" s="35" t="s">
        <v>96</v>
      </c>
    </row>
    <row r="6">
      <c r="F6" s="12" t="s">
        <v>97</v>
      </c>
      <c r="G6" s="23">
        <v>45.0</v>
      </c>
      <c r="H6" s="50">
        <v>86.0</v>
      </c>
      <c r="I6" s="50">
        <f t="shared" si="1"/>
        <v>3870</v>
      </c>
      <c r="J6" s="119">
        <v>44805.0</v>
      </c>
    </row>
    <row r="7">
      <c r="F7" s="120" t="s">
        <v>98</v>
      </c>
      <c r="G7" s="121">
        <v>1.0</v>
      </c>
      <c r="H7" s="122">
        <v>1000.0</v>
      </c>
      <c r="I7" s="122">
        <f t="shared" si="1"/>
        <v>1000</v>
      </c>
      <c r="J7" s="123">
        <v>44963.0</v>
      </c>
    </row>
    <row r="8">
      <c r="F8" s="120" t="s">
        <v>99</v>
      </c>
      <c r="G8" s="121">
        <v>2.0</v>
      </c>
      <c r="H8" s="122">
        <v>300.0</v>
      </c>
      <c r="I8" s="122">
        <f t="shared" si="1"/>
        <v>600</v>
      </c>
      <c r="J8" s="123">
        <v>44961.0</v>
      </c>
    </row>
    <row r="9">
      <c r="F9" s="120" t="s">
        <v>100</v>
      </c>
      <c r="G9" s="124">
        <v>100.0</v>
      </c>
      <c r="H9" s="125">
        <v>15.5</v>
      </c>
      <c r="I9" s="122">
        <f t="shared" si="1"/>
        <v>1550</v>
      </c>
      <c r="J9" s="123">
        <v>44929.0</v>
      </c>
    </row>
    <row r="10">
      <c r="F10" s="12" t="s">
        <v>101</v>
      </c>
      <c r="G10" s="16">
        <v>3.0</v>
      </c>
      <c r="H10" s="50">
        <v>300.0</v>
      </c>
      <c r="I10" s="50">
        <f t="shared" si="1"/>
        <v>900</v>
      </c>
      <c r="J10" s="119">
        <v>44929.0</v>
      </c>
    </row>
    <row r="11">
      <c r="F11" s="12" t="s">
        <v>102</v>
      </c>
      <c r="G11" s="16">
        <v>50.0</v>
      </c>
      <c r="H11" s="50">
        <v>35.0</v>
      </c>
      <c r="I11" s="50">
        <f t="shared" si="1"/>
        <v>1750</v>
      </c>
      <c r="J11" s="16" t="s">
        <v>103</v>
      </c>
    </row>
    <row r="12">
      <c r="F12" s="12" t="s">
        <v>104</v>
      </c>
      <c r="G12" s="16">
        <v>80.0</v>
      </c>
      <c r="H12" s="50">
        <v>36.0</v>
      </c>
      <c r="I12" s="50">
        <f t="shared" si="1"/>
        <v>2880</v>
      </c>
      <c r="J12" s="16" t="s">
        <v>103</v>
      </c>
    </row>
    <row r="13">
      <c r="F13" s="120" t="s">
        <v>105</v>
      </c>
      <c r="G13" s="121">
        <v>2.0</v>
      </c>
      <c r="H13" s="122">
        <v>1600.0</v>
      </c>
      <c r="I13" s="122">
        <f t="shared" si="1"/>
        <v>3200</v>
      </c>
      <c r="J13" s="123">
        <v>44982.0</v>
      </c>
    </row>
    <row r="14">
      <c r="F14" s="12" t="s">
        <v>106</v>
      </c>
      <c r="G14" s="16">
        <v>4.0</v>
      </c>
      <c r="H14" s="50">
        <v>150.0</v>
      </c>
      <c r="I14" s="50">
        <f t="shared" si="1"/>
        <v>600</v>
      </c>
      <c r="J14" s="119">
        <v>44982.0</v>
      </c>
    </row>
    <row r="15">
      <c r="F15" s="12" t="s">
        <v>107</v>
      </c>
      <c r="G15" s="23">
        <v>110.0</v>
      </c>
      <c r="H15" s="50">
        <v>130.0</v>
      </c>
      <c r="I15" s="50">
        <f t="shared" si="1"/>
        <v>14300</v>
      </c>
      <c r="J15" s="119">
        <v>44982.0</v>
      </c>
    </row>
    <row r="16">
      <c r="F16" s="120" t="s">
        <v>108</v>
      </c>
      <c r="G16" s="124">
        <v>2.0</v>
      </c>
      <c r="H16" s="122">
        <v>2050.0</v>
      </c>
      <c r="I16" s="122">
        <f t="shared" si="1"/>
        <v>4100</v>
      </c>
      <c r="J16" s="123">
        <v>44980.0</v>
      </c>
    </row>
    <row r="17">
      <c r="F17" s="12" t="s">
        <v>109</v>
      </c>
      <c r="G17" s="16">
        <v>5.0</v>
      </c>
      <c r="H17" s="50">
        <v>1650.0</v>
      </c>
      <c r="I17" s="50">
        <f t="shared" si="1"/>
        <v>8250</v>
      </c>
      <c r="J17" s="119">
        <v>44980.0</v>
      </c>
    </row>
    <row r="18">
      <c r="F18" s="12" t="s">
        <v>110</v>
      </c>
      <c r="G18" s="23">
        <v>3.0</v>
      </c>
      <c r="H18" s="50">
        <v>1300.0</v>
      </c>
      <c r="I18" s="50">
        <f t="shared" si="1"/>
        <v>3900</v>
      </c>
      <c r="J18" s="119">
        <v>44980.0</v>
      </c>
    </row>
    <row r="19">
      <c r="F19" s="126" t="s">
        <v>111</v>
      </c>
      <c r="G19" s="127">
        <v>2.0</v>
      </c>
      <c r="H19" s="122">
        <v>1750.0</v>
      </c>
      <c r="I19" s="122">
        <f t="shared" si="1"/>
        <v>3500</v>
      </c>
      <c r="J19" s="128">
        <v>45232.0</v>
      </c>
    </row>
    <row r="20">
      <c r="F20" s="57" t="s">
        <v>112</v>
      </c>
      <c r="G20" s="23">
        <v>3.0</v>
      </c>
      <c r="H20" s="14">
        <v>1450.0</v>
      </c>
      <c r="I20" s="50">
        <f t="shared" si="1"/>
        <v>4350</v>
      </c>
      <c r="J20" s="13">
        <v>44980.0</v>
      </c>
    </row>
    <row r="21">
      <c r="F21" s="120" t="s">
        <v>113</v>
      </c>
      <c r="G21" s="121">
        <v>1.0</v>
      </c>
      <c r="H21" s="122">
        <v>1130.0</v>
      </c>
      <c r="I21" s="122">
        <f t="shared" si="1"/>
        <v>1130</v>
      </c>
      <c r="J21" s="123">
        <v>44973.0</v>
      </c>
    </row>
    <row r="22">
      <c r="F22" s="120" t="s">
        <v>114</v>
      </c>
      <c r="G22" s="124">
        <v>3.0</v>
      </c>
      <c r="H22" s="122">
        <v>680.0</v>
      </c>
      <c r="I22" s="122">
        <f t="shared" si="1"/>
        <v>2040</v>
      </c>
      <c r="J22" s="123" t="s">
        <v>115</v>
      </c>
    </row>
    <row r="23">
      <c r="F23" s="12" t="s">
        <v>116</v>
      </c>
      <c r="G23" s="23">
        <v>40.0</v>
      </c>
      <c r="H23" s="50">
        <v>41.0</v>
      </c>
      <c r="I23" s="50">
        <f t="shared" si="1"/>
        <v>1640</v>
      </c>
      <c r="J23" s="119">
        <v>44980.0</v>
      </c>
    </row>
    <row r="24">
      <c r="F24" s="120" t="s">
        <v>117</v>
      </c>
      <c r="G24" s="121">
        <v>2.0</v>
      </c>
      <c r="H24" s="122">
        <v>280.0</v>
      </c>
      <c r="I24" s="122">
        <f t="shared" si="1"/>
        <v>560</v>
      </c>
      <c r="J24" s="121" t="s">
        <v>115</v>
      </c>
    </row>
    <row r="25">
      <c r="F25" s="12" t="s">
        <v>118</v>
      </c>
      <c r="G25" s="16">
        <v>5.0</v>
      </c>
      <c r="H25" s="50">
        <v>20.0</v>
      </c>
      <c r="I25" s="50">
        <f t="shared" si="1"/>
        <v>100</v>
      </c>
      <c r="J25" s="16" t="s">
        <v>115</v>
      </c>
    </row>
    <row r="26">
      <c r="F26" s="129" t="s">
        <v>119</v>
      </c>
      <c r="G26" s="130">
        <v>65.0</v>
      </c>
      <c r="H26" s="131">
        <v>450.0</v>
      </c>
      <c r="I26" s="122">
        <f t="shared" si="1"/>
        <v>29250</v>
      </c>
      <c r="J26" s="7" t="s">
        <v>115</v>
      </c>
    </row>
    <row r="27">
      <c r="F27" s="12" t="s">
        <v>120</v>
      </c>
      <c r="G27" s="16">
        <v>14.0</v>
      </c>
      <c r="H27" s="50">
        <v>190.0</v>
      </c>
      <c r="I27" s="50">
        <f t="shared" si="1"/>
        <v>2660</v>
      </c>
      <c r="J27" s="16" t="s">
        <v>115</v>
      </c>
    </row>
    <row r="28">
      <c r="F28" s="12" t="s">
        <v>121</v>
      </c>
      <c r="G28" s="23">
        <v>4.0</v>
      </c>
      <c r="H28" s="50">
        <v>1900.0</v>
      </c>
      <c r="I28" s="50">
        <f t="shared" si="1"/>
        <v>7600</v>
      </c>
      <c r="J28" s="16" t="s">
        <v>115</v>
      </c>
    </row>
    <row r="29">
      <c r="F29" s="12" t="s">
        <v>122</v>
      </c>
      <c r="G29" s="16">
        <v>12.0</v>
      </c>
      <c r="H29" s="50">
        <v>115.0</v>
      </c>
      <c r="I29" s="50">
        <f t="shared" si="1"/>
        <v>1380</v>
      </c>
      <c r="J29" s="16" t="s">
        <v>115</v>
      </c>
    </row>
    <row r="30">
      <c r="F30" s="120" t="s">
        <v>123</v>
      </c>
      <c r="G30" s="124">
        <v>4.0</v>
      </c>
      <c r="H30" s="122">
        <v>760.0</v>
      </c>
      <c r="I30" s="122">
        <f t="shared" si="1"/>
        <v>3040</v>
      </c>
      <c r="J30" s="121" t="s">
        <v>115</v>
      </c>
    </row>
    <row r="31">
      <c r="F31" s="120" t="s">
        <v>124</v>
      </c>
      <c r="G31" s="124">
        <v>4.0</v>
      </c>
      <c r="H31" s="122">
        <v>650.0</v>
      </c>
      <c r="I31" s="122">
        <f t="shared" si="1"/>
        <v>2600</v>
      </c>
      <c r="J31" s="128">
        <v>45232.0</v>
      </c>
    </row>
    <row r="32">
      <c r="F32" s="120" t="s">
        <v>125</v>
      </c>
      <c r="G32" s="124">
        <v>23.0</v>
      </c>
      <c r="H32" s="122">
        <v>202.0</v>
      </c>
      <c r="I32" s="122">
        <f t="shared" si="1"/>
        <v>4646</v>
      </c>
      <c r="J32" s="123">
        <v>44980.0</v>
      </c>
    </row>
    <row r="33">
      <c r="F33" s="12" t="s">
        <v>126</v>
      </c>
      <c r="G33" s="23">
        <v>10.0</v>
      </c>
      <c r="H33" s="50">
        <v>720.0</v>
      </c>
      <c r="I33" s="50">
        <f t="shared" si="1"/>
        <v>7200</v>
      </c>
      <c r="J33" s="119">
        <v>44980.0</v>
      </c>
    </row>
    <row r="34">
      <c r="F34" s="12" t="s">
        <v>127</v>
      </c>
      <c r="G34" s="23">
        <v>12.0</v>
      </c>
      <c r="H34" s="50">
        <v>1500.0</v>
      </c>
      <c r="I34" s="50">
        <f t="shared" si="1"/>
        <v>18000</v>
      </c>
      <c r="J34" s="119">
        <v>44980.0</v>
      </c>
    </row>
    <row r="35">
      <c r="F35" s="120" t="s">
        <v>128</v>
      </c>
      <c r="G35" s="124">
        <v>1.0</v>
      </c>
      <c r="H35" s="122">
        <v>860.0</v>
      </c>
      <c r="I35" s="122">
        <f t="shared" si="1"/>
        <v>860</v>
      </c>
      <c r="J35" s="123">
        <v>44980.0</v>
      </c>
    </row>
    <row r="36">
      <c r="F36" s="120" t="s">
        <v>129</v>
      </c>
      <c r="G36" s="121">
        <v>1.0</v>
      </c>
      <c r="H36" s="122">
        <v>950.0</v>
      </c>
      <c r="I36" s="122">
        <f t="shared" si="1"/>
        <v>950</v>
      </c>
      <c r="J36" s="121" t="s">
        <v>130</v>
      </c>
    </row>
    <row r="37">
      <c r="F37" s="120" t="s">
        <v>131</v>
      </c>
      <c r="G37" s="121">
        <v>1.0</v>
      </c>
      <c r="H37" s="122">
        <v>850.0</v>
      </c>
      <c r="I37" s="122">
        <f t="shared" si="1"/>
        <v>850</v>
      </c>
      <c r="J37" s="121" t="s">
        <v>130</v>
      </c>
    </row>
    <row r="38">
      <c r="F38" s="120" t="s">
        <v>132</v>
      </c>
      <c r="G38" s="121">
        <v>5.0</v>
      </c>
      <c r="H38" s="122">
        <v>240.0</v>
      </c>
      <c r="I38" s="122">
        <f t="shared" si="1"/>
        <v>1200</v>
      </c>
      <c r="J38" s="123">
        <v>44976.0</v>
      </c>
    </row>
    <row r="39">
      <c r="F39" s="12" t="s">
        <v>133</v>
      </c>
      <c r="G39" s="16">
        <v>2.0</v>
      </c>
      <c r="H39" s="50">
        <v>980.0</v>
      </c>
      <c r="I39" s="50">
        <f t="shared" si="1"/>
        <v>1960</v>
      </c>
      <c r="J39" s="16" t="s">
        <v>134</v>
      </c>
    </row>
    <row r="40">
      <c r="F40" s="120" t="s">
        <v>135</v>
      </c>
      <c r="G40" s="121">
        <v>20.0</v>
      </c>
      <c r="H40" s="122">
        <v>150.0</v>
      </c>
      <c r="I40" s="122">
        <f t="shared" si="1"/>
        <v>3000</v>
      </c>
      <c r="J40" s="123">
        <v>44962.0</v>
      </c>
    </row>
    <row r="41">
      <c r="F41" s="120" t="s">
        <v>136</v>
      </c>
      <c r="G41" s="124">
        <v>7.0</v>
      </c>
      <c r="H41" s="122">
        <v>200.0</v>
      </c>
      <c r="I41" s="122">
        <f t="shared" si="1"/>
        <v>1400</v>
      </c>
      <c r="J41" s="123">
        <v>44959.0</v>
      </c>
    </row>
    <row r="42">
      <c r="F42" s="120" t="s">
        <v>137</v>
      </c>
      <c r="G42" s="121">
        <v>1.0</v>
      </c>
      <c r="H42" s="122">
        <v>540.0</v>
      </c>
      <c r="I42" s="122">
        <f t="shared" si="1"/>
        <v>540</v>
      </c>
      <c r="J42" s="123">
        <v>44932.0</v>
      </c>
    </row>
    <row r="43">
      <c r="F43" s="120" t="s">
        <v>138</v>
      </c>
      <c r="G43" s="121">
        <v>1.0</v>
      </c>
      <c r="H43" s="122">
        <v>870.0</v>
      </c>
      <c r="I43" s="122">
        <f t="shared" si="1"/>
        <v>870</v>
      </c>
      <c r="J43" s="121" t="s">
        <v>139</v>
      </c>
    </row>
    <row r="44">
      <c r="F44" s="120" t="s">
        <v>140</v>
      </c>
      <c r="G44" s="121">
        <v>2.0</v>
      </c>
      <c r="H44" s="122">
        <v>250.0</v>
      </c>
      <c r="I44" s="122">
        <f t="shared" si="1"/>
        <v>500</v>
      </c>
      <c r="J44" s="123">
        <v>44978.0</v>
      </c>
    </row>
    <row r="45">
      <c r="F45" s="120" t="s">
        <v>141</v>
      </c>
      <c r="G45" s="121">
        <v>8.0</v>
      </c>
      <c r="H45" s="122">
        <v>150.0</v>
      </c>
      <c r="I45" s="122">
        <f t="shared" si="1"/>
        <v>1200</v>
      </c>
      <c r="J45" s="121" t="s">
        <v>134</v>
      </c>
    </row>
    <row r="46">
      <c r="F46" s="23" t="s">
        <v>142</v>
      </c>
      <c r="G46" s="124">
        <v>1.0</v>
      </c>
      <c r="H46" s="125">
        <v>500.0</v>
      </c>
      <c r="I46" s="122">
        <f t="shared" si="1"/>
        <v>500</v>
      </c>
      <c r="J46" s="132">
        <v>44985.0</v>
      </c>
    </row>
    <row r="47">
      <c r="F47" s="23" t="s">
        <v>143</v>
      </c>
      <c r="G47" s="124">
        <v>3.0</v>
      </c>
      <c r="H47" s="125">
        <v>90.0</v>
      </c>
      <c r="I47" s="122">
        <f t="shared" si="1"/>
        <v>270</v>
      </c>
      <c r="J47" s="132">
        <v>44985.0</v>
      </c>
    </row>
    <row r="48">
      <c r="F48" s="133" t="s">
        <v>144</v>
      </c>
      <c r="G48" s="134">
        <v>1.0</v>
      </c>
      <c r="H48" s="135">
        <v>10000.0</v>
      </c>
      <c r="I48" s="135">
        <f t="shared" si="1"/>
        <v>10000</v>
      </c>
      <c r="J48" s="136">
        <v>44980.0</v>
      </c>
    </row>
    <row r="49">
      <c r="F49" s="23" t="s">
        <v>145</v>
      </c>
      <c r="G49" s="124">
        <v>20.0</v>
      </c>
      <c r="H49" s="125">
        <v>600.0</v>
      </c>
      <c r="I49" s="122">
        <f t="shared" si="1"/>
        <v>12000</v>
      </c>
      <c r="J49" s="132">
        <v>44985.0</v>
      </c>
    </row>
    <row r="50">
      <c r="F50" s="23" t="s">
        <v>123</v>
      </c>
      <c r="G50" s="124">
        <v>6.0</v>
      </c>
      <c r="H50" s="125">
        <v>640.0</v>
      </c>
      <c r="I50" s="122">
        <f t="shared" si="1"/>
        <v>3840</v>
      </c>
      <c r="J50" s="132">
        <v>44985.0</v>
      </c>
    </row>
    <row r="51">
      <c r="F51" s="23" t="s">
        <v>146</v>
      </c>
      <c r="G51" s="124">
        <v>2.0</v>
      </c>
      <c r="H51" s="125">
        <v>2220.0</v>
      </c>
      <c r="I51" s="122">
        <f t="shared" si="1"/>
        <v>4440</v>
      </c>
      <c r="J51" s="132">
        <v>44985.0</v>
      </c>
    </row>
    <row r="52">
      <c r="F52" s="137" t="s">
        <v>147</v>
      </c>
      <c r="G52" s="124">
        <v>40.0</v>
      </c>
      <c r="H52" s="125">
        <v>100.0</v>
      </c>
      <c r="I52" s="122">
        <f t="shared" si="1"/>
        <v>4000</v>
      </c>
      <c r="J52" s="132">
        <v>44986.0</v>
      </c>
    </row>
    <row r="53">
      <c r="F53" s="57" t="s">
        <v>148</v>
      </c>
      <c r="G53" s="23">
        <v>1.0</v>
      </c>
      <c r="H53" s="14">
        <v>850.0</v>
      </c>
      <c r="I53" s="50">
        <f t="shared" si="1"/>
        <v>850</v>
      </c>
      <c r="J53" s="13">
        <v>44986.0</v>
      </c>
    </row>
    <row r="54">
      <c r="F54" s="57" t="s">
        <v>149</v>
      </c>
      <c r="G54" s="23">
        <v>25.0</v>
      </c>
      <c r="H54" s="14">
        <v>150.0</v>
      </c>
      <c r="I54" s="50">
        <f t="shared" si="1"/>
        <v>3750</v>
      </c>
      <c r="J54" s="13">
        <v>44986.0</v>
      </c>
    </row>
    <row r="55">
      <c r="F55" s="57" t="s">
        <v>150</v>
      </c>
      <c r="G55" s="23">
        <v>1.0</v>
      </c>
      <c r="H55" s="14">
        <v>600.0</v>
      </c>
      <c r="I55" s="50">
        <f t="shared" si="1"/>
        <v>600</v>
      </c>
      <c r="J55" s="13">
        <v>44986.0</v>
      </c>
    </row>
    <row r="56">
      <c r="F56" s="57" t="s">
        <v>151</v>
      </c>
      <c r="G56" s="23">
        <v>3.0</v>
      </c>
      <c r="H56" s="14">
        <v>500.0</v>
      </c>
      <c r="I56" s="50">
        <f t="shared" si="1"/>
        <v>1500</v>
      </c>
      <c r="J56" s="13">
        <v>44986.0</v>
      </c>
    </row>
    <row r="57">
      <c r="F57" s="57" t="s">
        <v>152</v>
      </c>
      <c r="G57" s="23">
        <v>1.0</v>
      </c>
      <c r="H57" s="14">
        <v>1500.0</v>
      </c>
      <c r="I57" s="50">
        <f t="shared" si="1"/>
        <v>1500</v>
      </c>
      <c r="J57" s="13">
        <v>44986.0</v>
      </c>
    </row>
    <row r="58">
      <c r="F58" s="57" t="s">
        <v>153</v>
      </c>
      <c r="G58" s="23">
        <v>1.0</v>
      </c>
      <c r="H58" s="14">
        <v>400.0</v>
      </c>
      <c r="I58" s="50">
        <f t="shared" si="1"/>
        <v>400</v>
      </c>
      <c r="J58" s="13">
        <v>44986.0</v>
      </c>
    </row>
    <row r="59">
      <c r="F59" s="57" t="s">
        <v>154</v>
      </c>
      <c r="G59" s="23">
        <v>1.0</v>
      </c>
      <c r="H59" s="14">
        <v>750.0</v>
      </c>
      <c r="I59" s="50">
        <f t="shared" si="1"/>
        <v>750</v>
      </c>
      <c r="J59" s="13">
        <v>44958.0</v>
      </c>
    </row>
    <row r="60">
      <c r="F60" s="57" t="s">
        <v>155</v>
      </c>
      <c r="G60" s="23">
        <v>1.0</v>
      </c>
      <c r="H60" s="14">
        <v>500.0</v>
      </c>
      <c r="I60" s="50">
        <f t="shared" si="1"/>
        <v>500</v>
      </c>
      <c r="J60" s="13">
        <v>44986.0</v>
      </c>
    </row>
    <row r="61">
      <c r="F61" s="57" t="s">
        <v>156</v>
      </c>
      <c r="G61" s="23">
        <v>2.0</v>
      </c>
      <c r="H61" s="14">
        <v>100.0</v>
      </c>
      <c r="I61" s="50">
        <f t="shared" si="1"/>
        <v>200</v>
      </c>
      <c r="J61" s="13">
        <v>44986.0</v>
      </c>
    </row>
    <row r="62">
      <c r="F62" s="57" t="s">
        <v>157</v>
      </c>
      <c r="G62" s="23">
        <v>3.0</v>
      </c>
      <c r="H62" s="14">
        <v>200.0</v>
      </c>
      <c r="I62" s="50">
        <f t="shared" si="1"/>
        <v>600</v>
      </c>
      <c r="J62" s="13">
        <v>44986.0</v>
      </c>
    </row>
    <row r="63">
      <c r="F63" s="57" t="s">
        <v>158</v>
      </c>
      <c r="G63" s="23">
        <v>1.0</v>
      </c>
      <c r="H63" s="14">
        <v>1600.0</v>
      </c>
      <c r="I63" s="50">
        <f t="shared" si="1"/>
        <v>1600</v>
      </c>
      <c r="J63" s="13">
        <v>44986.0</v>
      </c>
    </row>
    <row r="64">
      <c r="F64" s="57" t="s">
        <v>159</v>
      </c>
      <c r="G64" s="23">
        <v>1.0</v>
      </c>
      <c r="H64" s="14">
        <v>1150.0</v>
      </c>
      <c r="I64" s="50">
        <f t="shared" si="1"/>
        <v>1150</v>
      </c>
      <c r="J64" s="13">
        <v>44986.0</v>
      </c>
    </row>
    <row r="65">
      <c r="F65" s="57" t="s">
        <v>160</v>
      </c>
      <c r="G65" s="23">
        <v>1.0</v>
      </c>
      <c r="H65" s="14">
        <v>400.0</v>
      </c>
      <c r="I65" s="50">
        <f t="shared" si="1"/>
        <v>400</v>
      </c>
      <c r="J65" s="13">
        <v>44986.0</v>
      </c>
    </row>
    <row r="66">
      <c r="F66" s="57" t="s">
        <v>147</v>
      </c>
      <c r="G66" s="23">
        <v>15.0</v>
      </c>
      <c r="H66" s="14">
        <v>100.0</v>
      </c>
      <c r="I66" s="50">
        <f t="shared" si="1"/>
        <v>1500</v>
      </c>
      <c r="J66" s="13">
        <v>44988.0</v>
      </c>
    </row>
    <row r="67">
      <c r="F67" s="57" t="s">
        <v>141</v>
      </c>
      <c r="G67" s="23">
        <v>2.0</v>
      </c>
      <c r="H67" s="14">
        <v>110.0</v>
      </c>
      <c r="I67" s="50">
        <f t="shared" si="1"/>
        <v>220</v>
      </c>
      <c r="J67" s="13">
        <v>44988.0</v>
      </c>
    </row>
    <row r="68">
      <c r="F68" s="57" t="s">
        <v>107</v>
      </c>
      <c r="G68" s="23">
        <v>8.0</v>
      </c>
      <c r="H68" s="14">
        <v>160.0</v>
      </c>
      <c r="I68" s="50">
        <f t="shared" si="1"/>
        <v>1280</v>
      </c>
      <c r="J68" s="13">
        <v>44988.0</v>
      </c>
    </row>
    <row r="69">
      <c r="F69" s="57" t="s">
        <v>161</v>
      </c>
      <c r="G69" s="23">
        <v>400.0</v>
      </c>
      <c r="H69" s="14">
        <v>50.0</v>
      </c>
      <c r="I69" s="50">
        <f t="shared" si="1"/>
        <v>20000</v>
      </c>
      <c r="J69" s="13">
        <v>44988.0</v>
      </c>
    </row>
    <row r="70">
      <c r="F70" s="57" t="s">
        <v>107</v>
      </c>
      <c r="G70" s="23">
        <v>25.0</v>
      </c>
      <c r="H70" s="14">
        <v>160.0</v>
      </c>
      <c r="I70" s="50">
        <f t="shared" si="1"/>
        <v>4000</v>
      </c>
      <c r="J70" s="13">
        <v>44989.0</v>
      </c>
    </row>
    <row r="71">
      <c r="F71" s="57" t="s">
        <v>162</v>
      </c>
      <c r="G71" s="23">
        <v>2.0</v>
      </c>
      <c r="H71" s="14">
        <v>850.0</v>
      </c>
      <c r="I71" s="50">
        <f t="shared" si="1"/>
        <v>1700</v>
      </c>
      <c r="J71" s="13">
        <v>44989.0</v>
      </c>
    </row>
    <row r="72">
      <c r="F72" s="57" t="s">
        <v>141</v>
      </c>
      <c r="G72" s="23">
        <v>7.0</v>
      </c>
      <c r="H72" s="14">
        <v>110.0</v>
      </c>
      <c r="I72" s="50">
        <f t="shared" si="1"/>
        <v>770</v>
      </c>
      <c r="J72" s="13">
        <v>44989.0</v>
      </c>
    </row>
    <row r="73">
      <c r="F73" s="57" t="s">
        <v>163</v>
      </c>
      <c r="G73" s="23">
        <v>6.0</v>
      </c>
      <c r="H73" s="14">
        <v>200.0</v>
      </c>
      <c r="I73" s="50">
        <f t="shared" si="1"/>
        <v>1200</v>
      </c>
      <c r="J73" s="13">
        <v>44989.0</v>
      </c>
    </row>
    <row r="74">
      <c r="F74" s="57" t="s">
        <v>151</v>
      </c>
      <c r="G74" s="23">
        <v>17.0</v>
      </c>
      <c r="H74" s="14">
        <v>550.0</v>
      </c>
      <c r="I74" s="50">
        <f t="shared" si="1"/>
        <v>9350</v>
      </c>
      <c r="J74" s="13">
        <v>44989.0</v>
      </c>
    </row>
    <row r="75">
      <c r="F75" s="57" t="s">
        <v>164</v>
      </c>
      <c r="G75" s="23">
        <v>3.0</v>
      </c>
      <c r="H75" s="14">
        <v>200.0</v>
      </c>
      <c r="I75" s="50">
        <f t="shared" si="1"/>
        <v>600</v>
      </c>
      <c r="J75" s="13">
        <v>44989.0</v>
      </c>
    </row>
    <row r="76">
      <c r="F76" s="57" t="s">
        <v>165</v>
      </c>
      <c r="G76" s="23">
        <v>2.0</v>
      </c>
      <c r="H76" s="14">
        <v>250.0</v>
      </c>
      <c r="I76" s="50">
        <f t="shared" si="1"/>
        <v>500</v>
      </c>
      <c r="J76" s="13">
        <v>44989.0</v>
      </c>
    </row>
    <row r="77">
      <c r="F77" s="57" t="s">
        <v>166</v>
      </c>
      <c r="G77" s="23">
        <v>1.0</v>
      </c>
      <c r="H77" s="14">
        <v>200.0</v>
      </c>
      <c r="I77" s="50">
        <f t="shared" si="1"/>
        <v>200</v>
      </c>
      <c r="J77" s="13">
        <v>44989.0</v>
      </c>
    </row>
    <row r="78">
      <c r="F78" s="57" t="s">
        <v>167</v>
      </c>
      <c r="G78" s="23">
        <v>2.0</v>
      </c>
      <c r="H78" s="14">
        <v>150.0</v>
      </c>
      <c r="I78" s="50">
        <f t="shared" si="1"/>
        <v>300</v>
      </c>
      <c r="J78" s="13">
        <v>44989.0</v>
      </c>
    </row>
    <row r="79">
      <c r="F79" s="57" t="s">
        <v>168</v>
      </c>
      <c r="G79" s="23">
        <v>100.0</v>
      </c>
      <c r="H79" s="14">
        <v>160.0</v>
      </c>
      <c r="I79" s="50">
        <f t="shared" si="1"/>
        <v>16000</v>
      </c>
      <c r="J79" s="13">
        <v>44990.0</v>
      </c>
    </row>
    <row r="80">
      <c r="F80" s="57" t="s">
        <v>169</v>
      </c>
      <c r="G80" s="23">
        <v>60.0</v>
      </c>
      <c r="H80" s="14">
        <v>80.0</v>
      </c>
      <c r="I80" s="50">
        <f t="shared" si="1"/>
        <v>4800</v>
      </c>
      <c r="J80" s="23" t="s">
        <v>170</v>
      </c>
    </row>
    <row r="81">
      <c r="F81" s="57" t="s">
        <v>171</v>
      </c>
      <c r="G81" s="23">
        <v>1.0</v>
      </c>
      <c r="H81" s="14">
        <v>5000.0</v>
      </c>
      <c r="I81" s="50">
        <f t="shared" si="1"/>
        <v>5000</v>
      </c>
      <c r="J81" s="13">
        <v>44990.0</v>
      </c>
    </row>
    <row r="82">
      <c r="F82" s="57" t="s">
        <v>172</v>
      </c>
      <c r="G82" s="23">
        <v>27.0</v>
      </c>
      <c r="H82" s="14">
        <v>1650.0</v>
      </c>
      <c r="I82" s="50">
        <f t="shared" si="1"/>
        <v>44550</v>
      </c>
      <c r="J82" s="13">
        <v>44990.0</v>
      </c>
    </row>
    <row r="83">
      <c r="E83" s="138">
        <v>1650.0</v>
      </c>
      <c r="F83" s="57" t="s">
        <v>172</v>
      </c>
      <c r="G83" s="23">
        <v>23.0</v>
      </c>
      <c r="H83" s="14">
        <v>1650.0</v>
      </c>
      <c r="I83" s="50">
        <f t="shared" si="1"/>
        <v>37950</v>
      </c>
      <c r="J83" s="13">
        <v>44993.0</v>
      </c>
    </row>
    <row r="84">
      <c r="E84" s="138">
        <v>1650.0</v>
      </c>
      <c r="F84" s="57" t="s">
        <v>173</v>
      </c>
      <c r="G84" s="23">
        <v>3.5</v>
      </c>
      <c r="H84" s="14">
        <v>1650.0</v>
      </c>
      <c r="I84" s="50">
        <f t="shared" si="1"/>
        <v>5775</v>
      </c>
      <c r="J84" s="13">
        <v>44993.0</v>
      </c>
    </row>
    <row r="85">
      <c r="E85" s="138">
        <v>190.0</v>
      </c>
      <c r="F85" s="57" t="s">
        <v>174</v>
      </c>
      <c r="G85" s="23">
        <v>21.0</v>
      </c>
      <c r="H85" s="14">
        <v>190.0</v>
      </c>
      <c r="I85" s="50">
        <f t="shared" si="1"/>
        <v>3990</v>
      </c>
      <c r="J85" s="13">
        <v>44993.0</v>
      </c>
    </row>
    <row r="86">
      <c r="E86" s="138">
        <v>550.0</v>
      </c>
      <c r="F86" s="57" t="s">
        <v>175</v>
      </c>
      <c r="G86" s="23">
        <v>5.0</v>
      </c>
      <c r="H86" s="14">
        <v>550.0</v>
      </c>
      <c r="I86" s="50">
        <f t="shared" si="1"/>
        <v>2750</v>
      </c>
      <c r="J86" s="13">
        <v>44993.0</v>
      </c>
    </row>
    <row r="87">
      <c r="E87" s="138">
        <v>225.0</v>
      </c>
      <c r="F87" s="57" t="s">
        <v>176</v>
      </c>
      <c r="G87" s="23">
        <v>12.0</v>
      </c>
      <c r="H87" s="14">
        <v>225.0</v>
      </c>
      <c r="I87" s="50">
        <f t="shared" si="1"/>
        <v>2700</v>
      </c>
      <c r="J87" s="13">
        <v>44993.0</v>
      </c>
    </row>
    <row r="88">
      <c r="E88" s="138">
        <v>400.0</v>
      </c>
      <c r="F88" s="57" t="s">
        <v>177</v>
      </c>
      <c r="G88" s="23">
        <v>1.0</v>
      </c>
      <c r="H88" s="14">
        <v>400.0</v>
      </c>
      <c r="I88" s="50">
        <f t="shared" si="1"/>
        <v>400</v>
      </c>
      <c r="J88" s="13">
        <v>44993.0</v>
      </c>
    </row>
    <row r="89">
      <c r="E89" s="138">
        <v>225.0</v>
      </c>
      <c r="F89" s="57" t="s">
        <v>178</v>
      </c>
      <c r="G89" s="23">
        <v>6.0</v>
      </c>
      <c r="H89" s="14">
        <v>225.0</v>
      </c>
      <c r="I89" s="50">
        <f t="shared" si="1"/>
        <v>1350</v>
      </c>
      <c r="J89" s="13">
        <v>44993.0</v>
      </c>
    </row>
    <row r="90">
      <c r="E90" s="138">
        <v>260.0</v>
      </c>
      <c r="F90" s="57" t="s">
        <v>179</v>
      </c>
      <c r="G90" s="23">
        <v>3.0</v>
      </c>
      <c r="H90" s="14">
        <v>260.0</v>
      </c>
      <c r="I90" s="50">
        <f t="shared" si="1"/>
        <v>780</v>
      </c>
      <c r="J90" s="13">
        <v>44993.0</v>
      </c>
    </row>
    <row r="91">
      <c r="E91" s="138">
        <v>1900.0</v>
      </c>
      <c r="F91" s="57" t="s">
        <v>121</v>
      </c>
      <c r="G91" s="23">
        <v>4.0</v>
      </c>
      <c r="H91" s="14">
        <v>1900.0</v>
      </c>
      <c r="I91" s="50">
        <f t="shared" si="1"/>
        <v>7600</v>
      </c>
      <c r="J91" s="13">
        <v>44993.0</v>
      </c>
    </row>
    <row r="92">
      <c r="E92" s="138">
        <v>400.0</v>
      </c>
      <c r="F92" s="57" t="s">
        <v>180</v>
      </c>
      <c r="G92" s="23">
        <v>12.0</v>
      </c>
      <c r="H92" s="14">
        <v>400.0</v>
      </c>
      <c r="I92" s="50">
        <f t="shared" si="1"/>
        <v>4800</v>
      </c>
      <c r="J92" s="13">
        <v>44993.0</v>
      </c>
    </row>
    <row r="93">
      <c r="E93" s="138">
        <v>78.0</v>
      </c>
      <c r="F93" s="57" t="s">
        <v>114</v>
      </c>
      <c r="G93" s="23">
        <v>45.0</v>
      </c>
      <c r="H93" s="14">
        <v>78.0</v>
      </c>
      <c r="I93" s="50">
        <f t="shared" si="1"/>
        <v>3510</v>
      </c>
      <c r="J93" s="13">
        <v>44993.0</v>
      </c>
    </row>
    <row r="94">
      <c r="E94" s="138">
        <v>1420.0</v>
      </c>
      <c r="F94" s="57" t="s">
        <v>181</v>
      </c>
      <c r="G94" s="23">
        <v>5.0</v>
      </c>
      <c r="H94" s="14">
        <v>1420.0</v>
      </c>
      <c r="I94" s="50">
        <f t="shared" si="1"/>
        <v>7100</v>
      </c>
      <c r="J94" s="13">
        <v>44993.0</v>
      </c>
    </row>
    <row r="95">
      <c r="E95" s="138">
        <v>8500.0</v>
      </c>
      <c r="F95" s="57" t="s">
        <v>182</v>
      </c>
      <c r="G95" s="23">
        <v>1.0</v>
      </c>
      <c r="H95" s="14">
        <v>8500.0</v>
      </c>
      <c r="I95" s="50">
        <f t="shared" si="1"/>
        <v>8500</v>
      </c>
      <c r="J95" s="13">
        <v>44993.0</v>
      </c>
    </row>
    <row r="96">
      <c r="E96" s="139"/>
      <c r="F96" s="57" t="s">
        <v>183</v>
      </c>
      <c r="G96" s="23">
        <v>1.0</v>
      </c>
      <c r="H96" s="14">
        <v>700.0</v>
      </c>
      <c r="I96" s="50">
        <f t="shared" si="1"/>
        <v>700</v>
      </c>
      <c r="J96" s="13">
        <v>44991.0</v>
      </c>
    </row>
    <row r="97">
      <c r="E97" s="139"/>
      <c r="F97" s="57" t="s">
        <v>184</v>
      </c>
      <c r="G97" s="23">
        <v>3.0</v>
      </c>
      <c r="H97" s="14">
        <v>120.0</v>
      </c>
      <c r="I97" s="50">
        <f t="shared" si="1"/>
        <v>360</v>
      </c>
      <c r="J97" s="13">
        <v>44991.0</v>
      </c>
    </row>
    <row r="98">
      <c r="E98" s="139"/>
      <c r="F98" s="57" t="s">
        <v>185</v>
      </c>
      <c r="G98" s="23">
        <v>2.0</v>
      </c>
      <c r="H98" s="14">
        <v>30.0</v>
      </c>
      <c r="I98" s="50">
        <f t="shared" si="1"/>
        <v>60</v>
      </c>
      <c r="J98" s="13">
        <v>44991.0</v>
      </c>
    </row>
    <row r="99">
      <c r="E99" s="139"/>
      <c r="F99" s="57" t="s">
        <v>148</v>
      </c>
      <c r="G99" s="23">
        <v>1.0</v>
      </c>
      <c r="H99" s="14">
        <v>1000.0</v>
      </c>
      <c r="I99" s="50">
        <f t="shared" si="1"/>
        <v>1000</v>
      </c>
      <c r="J99" s="13">
        <v>44991.0</v>
      </c>
    </row>
    <row r="100">
      <c r="E100" s="139"/>
      <c r="F100" s="57" t="s">
        <v>186</v>
      </c>
      <c r="G100" s="23">
        <v>1.0</v>
      </c>
      <c r="H100" s="14">
        <v>1700.0</v>
      </c>
      <c r="I100" s="50">
        <f t="shared" si="1"/>
        <v>1700</v>
      </c>
      <c r="J100" s="13">
        <v>44992.0</v>
      </c>
    </row>
    <row r="101">
      <c r="E101" s="139"/>
      <c r="F101" s="57" t="s">
        <v>150</v>
      </c>
      <c r="G101" s="23">
        <v>4.0</v>
      </c>
      <c r="H101" s="14">
        <v>800.0</v>
      </c>
      <c r="I101" s="50">
        <f t="shared" si="1"/>
        <v>3200</v>
      </c>
      <c r="J101" s="13">
        <v>44992.0</v>
      </c>
    </row>
    <row r="102">
      <c r="E102" s="139"/>
      <c r="F102" s="57" t="s">
        <v>141</v>
      </c>
      <c r="G102" s="23">
        <v>10.0</v>
      </c>
      <c r="H102" s="14">
        <v>110.0</v>
      </c>
      <c r="I102" s="50">
        <f t="shared" si="1"/>
        <v>1100</v>
      </c>
      <c r="J102" s="13">
        <v>44992.0</v>
      </c>
    </row>
    <row r="103">
      <c r="E103" s="139"/>
      <c r="F103" s="57" t="s">
        <v>187</v>
      </c>
      <c r="G103" s="23">
        <v>2.0</v>
      </c>
      <c r="H103" s="14">
        <v>100.0</v>
      </c>
      <c r="I103" s="50">
        <f t="shared" si="1"/>
        <v>200</v>
      </c>
      <c r="J103" s="13">
        <v>44992.0</v>
      </c>
    </row>
    <row r="104">
      <c r="E104" s="139"/>
      <c r="F104" s="57" t="s">
        <v>147</v>
      </c>
      <c r="G104" s="23">
        <v>20.0</v>
      </c>
      <c r="H104" s="14">
        <v>100.0</v>
      </c>
      <c r="I104" s="50">
        <f t="shared" si="1"/>
        <v>2000</v>
      </c>
      <c r="J104" s="13">
        <v>44992.0</v>
      </c>
    </row>
    <row r="105">
      <c r="E105" s="139"/>
      <c r="F105" s="57" t="s">
        <v>101</v>
      </c>
      <c r="G105" s="23">
        <v>3.0</v>
      </c>
      <c r="H105" s="14">
        <v>500.0</v>
      </c>
      <c r="I105" s="50">
        <f t="shared" si="1"/>
        <v>1500</v>
      </c>
      <c r="J105" s="13">
        <v>44992.0</v>
      </c>
    </row>
    <row r="106">
      <c r="E106" s="139"/>
      <c r="F106" s="57" t="s">
        <v>188</v>
      </c>
      <c r="G106" s="23">
        <v>2.0</v>
      </c>
      <c r="H106" s="14">
        <v>150.0</v>
      </c>
      <c r="I106" s="50">
        <f t="shared" si="1"/>
        <v>300</v>
      </c>
      <c r="J106" s="13">
        <v>44992.0</v>
      </c>
    </row>
    <row r="107">
      <c r="E107" s="139"/>
      <c r="F107" s="57" t="s">
        <v>189</v>
      </c>
      <c r="G107" s="23">
        <v>5.0</v>
      </c>
      <c r="H107" s="14">
        <v>350.0</v>
      </c>
      <c r="I107" s="50">
        <f t="shared" si="1"/>
        <v>1750</v>
      </c>
      <c r="J107" s="13">
        <v>44992.0</v>
      </c>
    </row>
    <row r="108">
      <c r="E108" s="139"/>
      <c r="F108" s="57" t="s">
        <v>190</v>
      </c>
      <c r="G108" s="23">
        <v>3.0</v>
      </c>
      <c r="H108" s="14">
        <v>1400.0</v>
      </c>
      <c r="I108" s="50">
        <f t="shared" si="1"/>
        <v>4200</v>
      </c>
      <c r="J108" s="13">
        <v>44992.0</v>
      </c>
    </row>
    <row r="109">
      <c r="E109" s="139"/>
      <c r="F109" s="57" t="s">
        <v>191</v>
      </c>
      <c r="G109" s="23">
        <v>9.0</v>
      </c>
      <c r="H109" s="14">
        <v>140.0</v>
      </c>
      <c r="I109" s="50">
        <f t="shared" si="1"/>
        <v>1260</v>
      </c>
      <c r="J109" s="13">
        <v>44992.0</v>
      </c>
    </row>
    <row r="110">
      <c r="E110" s="139"/>
      <c r="F110" s="57" t="s">
        <v>192</v>
      </c>
      <c r="G110" s="23">
        <v>25.0</v>
      </c>
      <c r="H110" s="14">
        <v>90.0</v>
      </c>
      <c r="I110" s="50">
        <f t="shared" si="1"/>
        <v>2250</v>
      </c>
      <c r="J110" s="13">
        <v>44992.0</v>
      </c>
    </row>
    <row r="111">
      <c r="E111" s="139"/>
      <c r="F111" s="57" t="s">
        <v>193</v>
      </c>
      <c r="G111" s="23">
        <v>5.0</v>
      </c>
      <c r="H111" s="14">
        <v>450.0</v>
      </c>
      <c r="I111" s="50">
        <f t="shared" si="1"/>
        <v>2250</v>
      </c>
      <c r="J111" s="13">
        <v>44992.0</v>
      </c>
    </row>
    <row r="112">
      <c r="E112" s="139"/>
      <c r="F112" s="57" t="s">
        <v>194</v>
      </c>
      <c r="G112" s="23">
        <v>5.0</v>
      </c>
      <c r="H112" s="14">
        <v>120.0</v>
      </c>
      <c r="I112" s="50">
        <f t="shared" si="1"/>
        <v>600</v>
      </c>
      <c r="J112" s="13">
        <v>44992.0</v>
      </c>
    </row>
    <row r="113">
      <c r="E113" s="139"/>
      <c r="F113" s="57" t="s">
        <v>195</v>
      </c>
      <c r="G113" s="23">
        <v>15.0</v>
      </c>
      <c r="H113" s="14">
        <v>30.0</v>
      </c>
      <c r="I113" s="50">
        <f t="shared" si="1"/>
        <v>450</v>
      </c>
      <c r="J113" s="13">
        <v>44992.0</v>
      </c>
    </row>
    <row r="114">
      <c r="E114" s="139"/>
      <c r="F114" s="57" t="s">
        <v>196</v>
      </c>
      <c r="G114" s="23">
        <v>1.0</v>
      </c>
      <c r="H114" s="14">
        <v>2000.0</v>
      </c>
      <c r="I114" s="50">
        <f t="shared" si="1"/>
        <v>2000</v>
      </c>
      <c r="J114" s="13">
        <v>44992.0</v>
      </c>
    </row>
    <row r="115">
      <c r="E115" s="139"/>
      <c r="F115" s="57" t="s">
        <v>197</v>
      </c>
      <c r="G115" s="23">
        <v>1.0</v>
      </c>
      <c r="H115" s="14">
        <v>1300.0</v>
      </c>
      <c r="I115" s="50">
        <f t="shared" si="1"/>
        <v>1300</v>
      </c>
      <c r="J115" s="13">
        <v>44992.0</v>
      </c>
    </row>
    <row r="116">
      <c r="E116" s="139"/>
      <c r="F116" s="57" t="s">
        <v>141</v>
      </c>
      <c r="G116" s="23">
        <v>11.0</v>
      </c>
      <c r="H116" s="14">
        <v>100.0</v>
      </c>
      <c r="I116" s="50">
        <f t="shared" si="1"/>
        <v>1100</v>
      </c>
      <c r="J116" s="13">
        <v>44993.0</v>
      </c>
    </row>
    <row r="117">
      <c r="E117" s="139"/>
      <c r="F117" s="57" t="s">
        <v>147</v>
      </c>
      <c r="G117" s="23">
        <v>5.0</v>
      </c>
      <c r="H117" s="14">
        <v>100.0</v>
      </c>
      <c r="I117" s="50">
        <f t="shared" si="1"/>
        <v>500</v>
      </c>
      <c r="J117" s="13">
        <v>44993.0</v>
      </c>
    </row>
    <row r="118">
      <c r="E118" s="139"/>
      <c r="F118" s="57" t="s">
        <v>141</v>
      </c>
      <c r="G118" s="23">
        <v>10.0</v>
      </c>
      <c r="H118" s="14">
        <v>110.0</v>
      </c>
      <c r="I118" s="50">
        <f t="shared" si="1"/>
        <v>1100</v>
      </c>
      <c r="J118" s="13">
        <v>44994.0</v>
      </c>
    </row>
    <row r="119">
      <c r="E119" s="139"/>
      <c r="F119" s="57" t="s">
        <v>198</v>
      </c>
      <c r="G119" s="23">
        <v>2.0</v>
      </c>
      <c r="H119" s="14">
        <v>100.0</v>
      </c>
      <c r="I119" s="50">
        <f t="shared" si="1"/>
        <v>200</v>
      </c>
      <c r="J119" s="13">
        <v>44994.0</v>
      </c>
    </row>
    <row r="120">
      <c r="E120" s="139"/>
      <c r="F120" s="57" t="s">
        <v>199</v>
      </c>
      <c r="G120" s="23">
        <v>4.0</v>
      </c>
      <c r="H120" s="14">
        <v>300.0</v>
      </c>
      <c r="I120" s="50">
        <f t="shared" si="1"/>
        <v>1200</v>
      </c>
      <c r="J120" s="13">
        <v>44993.0</v>
      </c>
    </row>
    <row r="121">
      <c r="E121" s="139"/>
      <c r="F121" s="57" t="s">
        <v>200</v>
      </c>
      <c r="G121" s="23">
        <v>2.0</v>
      </c>
      <c r="H121" s="14">
        <v>1000.0</v>
      </c>
      <c r="I121" s="50">
        <f t="shared" si="1"/>
        <v>2000</v>
      </c>
      <c r="J121" s="13">
        <v>44994.0</v>
      </c>
    </row>
    <row r="122">
      <c r="E122" s="139"/>
      <c r="F122" s="57" t="s">
        <v>201</v>
      </c>
      <c r="G122" s="23">
        <v>5.0</v>
      </c>
      <c r="H122" s="14">
        <v>40.0</v>
      </c>
      <c r="I122" s="50">
        <f t="shared" si="1"/>
        <v>200</v>
      </c>
      <c r="J122" s="13">
        <v>44994.0</v>
      </c>
    </row>
    <row r="123">
      <c r="E123" s="139"/>
      <c r="F123" s="57" t="s">
        <v>202</v>
      </c>
      <c r="G123" s="23">
        <v>1.0</v>
      </c>
      <c r="H123" s="14">
        <v>730.0</v>
      </c>
      <c r="I123" s="50">
        <f t="shared" si="1"/>
        <v>730</v>
      </c>
      <c r="J123" s="13">
        <v>44994.0</v>
      </c>
    </row>
    <row r="124">
      <c r="E124" s="139"/>
      <c r="F124" s="57" t="s">
        <v>203</v>
      </c>
      <c r="G124" s="23">
        <v>2.0</v>
      </c>
      <c r="H124" s="14">
        <v>200.0</v>
      </c>
      <c r="I124" s="50">
        <f t="shared" si="1"/>
        <v>400</v>
      </c>
      <c r="J124" s="13">
        <v>44994.0</v>
      </c>
    </row>
    <row r="125">
      <c r="E125" s="139"/>
      <c r="F125" s="57" t="s">
        <v>204</v>
      </c>
      <c r="G125" s="23">
        <v>1.0</v>
      </c>
      <c r="H125" s="14">
        <v>140.0</v>
      </c>
      <c r="I125" s="50">
        <f t="shared" si="1"/>
        <v>140</v>
      </c>
      <c r="J125" s="13">
        <v>44994.0</v>
      </c>
    </row>
    <row r="126">
      <c r="E126" s="139"/>
      <c r="F126" s="57" t="s">
        <v>205</v>
      </c>
      <c r="G126" s="23">
        <v>1.0</v>
      </c>
      <c r="H126" s="14">
        <v>200.0</v>
      </c>
      <c r="I126" s="50">
        <f t="shared" si="1"/>
        <v>200</v>
      </c>
      <c r="J126" s="13">
        <v>44994.0</v>
      </c>
    </row>
    <row r="127">
      <c r="E127" s="139"/>
      <c r="F127" s="57" t="s">
        <v>206</v>
      </c>
      <c r="G127" s="23">
        <v>5.0</v>
      </c>
      <c r="H127" s="14">
        <v>50.0</v>
      </c>
      <c r="I127" s="50">
        <f t="shared" si="1"/>
        <v>250</v>
      </c>
      <c r="J127" s="13">
        <v>44994.0</v>
      </c>
    </row>
    <row r="128">
      <c r="E128" s="139"/>
      <c r="F128" s="57" t="s">
        <v>207</v>
      </c>
      <c r="G128" s="23">
        <v>5.0</v>
      </c>
      <c r="H128" s="14">
        <v>20.0</v>
      </c>
      <c r="I128" s="50">
        <f t="shared" si="1"/>
        <v>100</v>
      </c>
      <c r="J128" s="13">
        <v>44994.0</v>
      </c>
    </row>
    <row r="129">
      <c r="E129" s="139"/>
      <c r="F129" s="57" t="s">
        <v>168</v>
      </c>
      <c r="G129" s="23">
        <v>25.0</v>
      </c>
      <c r="H129" s="14">
        <v>160.0</v>
      </c>
      <c r="I129" s="50">
        <f t="shared" si="1"/>
        <v>4000</v>
      </c>
      <c r="J129" s="13">
        <v>44995.0</v>
      </c>
    </row>
    <row r="130">
      <c r="E130" s="139"/>
      <c r="F130" s="57" t="s">
        <v>208</v>
      </c>
      <c r="G130" s="23">
        <v>51.0</v>
      </c>
      <c r="H130" s="14">
        <v>80.0</v>
      </c>
      <c r="I130" s="50">
        <f t="shared" si="1"/>
        <v>4080</v>
      </c>
      <c r="J130" s="13">
        <v>44995.0</v>
      </c>
    </row>
    <row r="131">
      <c r="E131" s="139"/>
      <c r="F131" s="57" t="s">
        <v>147</v>
      </c>
      <c r="G131" s="23">
        <v>5.0</v>
      </c>
      <c r="H131" s="14">
        <v>100.0</v>
      </c>
      <c r="I131" s="50">
        <f t="shared" si="1"/>
        <v>500</v>
      </c>
      <c r="J131" s="13">
        <v>44995.0</v>
      </c>
    </row>
    <row r="132">
      <c r="E132" s="139"/>
      <c r="F132" s="57" t="s">
        <v>209</v>
      </c>
      <c r="G132" s="23">
        <v>1.0</v>
      </c>
      <c r="H132" s="14">
        <v>850.0</v>
      </c>
      <c r="I132" s="50">
        <f t="shared" si="1"/>
        <v>850</v>
      </c>
      <c r="J132" s="13">
        <v>44995.0</v>
      </c>
    </row>
    <row r="133">
      <c r="E133" s="139"/>
      <c r="F133" s="57" t="s">
        <v>150</v>
      </c>
      <c r="G133" s="23">
        <v>1.0</v>
      </c>
      <c r="H133" s="14">
        <v>850.0</v>
      </c>
      <c r="I133" s="50">
        <f t="shared" si="1"/>
        <v>850</v>
      </c>
      <c r="J133" s="13">
        <v>44995.0</v>
      </c>
    </row>
    <row r="134">
      <c r="E134" s="139"/>
      <c r="F134" s="57" t="s">
        <v>141</v>
      </c>
      <c r="G134" s="23">
        <v>6.0</v>
      </c>
      <c r="H134" s="14">
        <v>100.0</v>
      </c>
      <c r="I134" s="50">
        <f t="shared" si="1"/>
        <v>600</v>
      </c>
      <c r="J134" s="13">
        <v>44995.0</v>
      </c>
    </row>
    <row r="135">
      <c r="E135" s="139"/>
      <c r="F135" s="57" t="s">
        <v>165</v>
      </c>
      <c r="G135" s="23">
        <v>2.0</v>
      </c>
      <c r="H135" s="14">
        <v>250.0</v>
      </c>
      <c r="I135" s="50">
        <f t="shared" si="1"/>
        <v>500</v>
      </c>
      <c r="J135" s="13">
        <v>44995.0</v>
      </c>
    </row>
    <row r="136">
      <c r="E136" s="139"/>
      <c r="F136" s="57" t="s">
        <v>147</v>
      </c>
      <c r="G136" s="23">
        <v>1.0</v>
      </c>
      <c r="H136" s="14">
        <v>200.0</v>
      </c>
      <c r="I136" s="50">
        <f t="shared" si="1"/>
        <v>200</v>
      </c>
      <c r="J136" s="13">
        <v>44995.0</v>
      </c>
    </row>
    <row r="137">
      <c r="E137" s="139"/>
      <c r="F137" s="57" t="s">
        <v>210</v>
      </c>
      <c r="G137" s="23">
        <v>1.0</v>
      </c>
      <c r="H137" s="14">
        <v>100.0</v>
      </c>
      <c r="I137" s="14">
        <v>100.0</v>
      </c>
      <c r="J137" s="13">
        <v>44995.0</v>
      </c>
    </row>
    <row r="138">
      <c r="E138" s="139"/>
      <c r="F138" s="57" t="s">
        <v>101</v>
      </c>
      <c r="G138" s="23">
        <v>2.0</v>
      </c>
      <c r="H138" s="14">
        <v>100.0</v>
      </c>
      <c r="I138" s="50">
        <f t="shared" ref="I138:I233" si="2">H138*G138</f>
        <v>200</v>
      </c>
      <c r="J138" s="13">
        <v>44995.0</v>
      </c>
    </row>
    <row r="139">
      <c r="E139" s="139"/>
      <c r="F139" s="140" t="s">
        <v>161</v>
      </c>
      <c r="G139" s="141">
        <v>400.0</v>
      </c>
      <c r="H139" s="142">
        <v>50.0</v>
      </c>
      <c r="I139" s="106">
        <f t="shared" si="2"/>
        <v>20000</v>
      </c>
      <c r="J139" s="143">
        <v>44996.0</v>
      </c>
    </row>
    <row r="140">
      <c r="E140" s="139"/>
      <c r="F140" s="144" t="s">
        <v>211</v>
      </c>
      <c r="G140" s="145">
        <v>31.0</v>
      </c>
      <c r="H140" s="146">
        <v>2000.0</v>
      </c>
      <c r="I140" s="147">
        <f t="shared" si="2"/>
        <v>62000</v>
      </c>
      <c r="J140" s="148">
        <v>44996.0</v>
      </c>
    </row>
    <row r="141">
      <c r="E141" s="139"/>
      <c r="F141" s="57" t="s">
        <v>212</v>
      </c>
      <c r="G141" s="23">
        <v>2.0</v>
      </c>
      <c r="H141" s="14">
        <v>850.0</v>
      </c>
      <c r="I141" s="50">
        <f t="shared" si="2"/>
        <v>1700</v>
      </c>
      <c r="J141" s="13">
        <v>44997.0</v>
      </c>
    </row>
    <row r="142">
      <c r="E142" s="139"/>
      <c r="F142" s="57" t="s">
        <v>213</v>
      </c>
      <c r="G142" s="23">
        <v>10.0</v>
      </c>
      <c r="H142" s="14">
        <v>100.0</v>
      </c>
      <c r="I142" s="50">
        <f t="shared" si="2"/>
        <v>1000</v>
      </c>
      <c r="J142" s="23" t="s">
        <v>214</v>
      </c>
    </row>
    <row r="143">
      <c r="E143" s="139"/>
      <c r="F143" s="57" t="s">
        <v>163</v>
      </c>
      <c r="G143" s="23">
        <v>1.0</v>
      </c>
      <c r="H143" s="14">
        <v>800.0</v>
      </c>
      <c r="I143" s="50">
        <f t="shared" si="2"/>
        <v>800</v>
      </c>
      <c r="J143" s="13">
        <v>44997.0</v>
      </c>
    </row>
    <row r="144">
      <c r="E144" s="139"/>
      <c r="F144" s="57" t="s">
        <v>215</v>
      </c>
      <c r="G144" s="23">
        <v>1.0</v>
      </c>
      <c r="H144" s="14">
        <v>210.0</v>
      </c>
      <c r="I144" s="50">
        <f t="shared" si="2"/>
        <v>210</v>
      </c>
      <c r="J144" s="13">
        <v>44996.0</v>
      </c>
    </row>
    <row r="145">
      <c r="E145" s="139"/>
      <c r="F145" s="57" t="s">
        <v>216</v>
      </c>
      <c r="G145" s="23">
        <v>6.0</v>
      </c>
      <c r="H145" s="14">
        <v>200.0</v>
      </c>
      <c r="I145" s="50">
        <f t="shared" si="2"/>
        <v>1200</v>
      </c>
      <c r="J145" s="13">
        <v>44996.0</v>
      </c>
    </row>
    <row r="146">
      <c r="E146" s="139"/>
      <c r="F146" s="57" t="s">
        <v>217</v>
      </c>
      <c r="G146" s="23">
        <v>1.0</v>
      </c>
      <c r="H146" s="14">
        <v>450.0</v>
      </c>
      <c r="I146" s="50">
        <f t="shared" si="2"/>
        <v>450</v>
      </c>
      <c r="J146" s="13">
        <v>44996.0</v>
      </c>
    </row>
    <row r="147">
      <c r="E147" s="139"/>
      <c r="F147" s="57" t="s">
        <v>218</v>
      </c>
      <c r="G147" s="23">
        <v>1.0</v>
      </c>
      <c r="H147" s="14">
        <v>120.0</v>
      </c>
      <c r="I147" s="50">
        <f t="shared" si="2"/>
        <v>120</v>
      </c>
      <c r="J147" s="13">
        <v>44996.0</v>
      </c>
    </row>
    <row r="148">
      <c r="E148" s="139"/>
      <c r="F148" s="57" t="s">
        <v>219</v>
      </c>
      <c r="G148" s="23">
        <v>1.0</v>
      </c>
      <c r="H148" s="14">
        <v>210.0</v>
      </c>
      <c r="I148" s="50">
        <f t="shared" si="2"/>
        <v>210</v>
      </c>
      <c r="J148" s="13">
        <v>44996.0</v>
      </c>
    </row>
    <row r="149">
      <c r="E149" s="139"/>
      <c r="F149" s="57" t="s">
        <v>220</v>
      </c>
      <c r="G149" s="23">
        <v>1.0</v>
      </c>
      <c r="H149" s="14">
        <v>10770.0</v>
      </c>
      <c r="I149" s="50">
        <f t="shared" si="2"/>
        <v>10770</v>
      </c>
      <c r="J149" s="13">
        <v>44996.0</v>
      </c>
    </row>
    <row r="150">
      <c r="E150" s="139"/>
      <c r="F150" s="57" t="s">
        <v>221</v>
      </c>
      <c r="G150" s="23">
        <v>1.0</v>
      </c>
      <c r="H150" s="14">
        <v>800.0</v>
      </c>
      <c r="I150" s="50">
        <f t="shared" si="2"/>
        <v>800</v>
      </c>
      <c r="J150" s="13">
        <v>44996.0</v>
      </c>
    </row>
    <row r="151">
      <c r="E151" s="139"/>
      <c r="F151" s="57" t="s">
        <v>203</v>
      </c>
      <c r="G151" s="23">
        <v>1.0</v>
      </c>
      <c r="H151" s="14">
        <v>130.0</v>
      </c>
      <c r="I151" s="50">
        <f t="shared" si="2"/>
        <v>130</v>
      </c>
      <c r="J151" s="13">
        <v>44996.0</v>
      </c>
    </row>
    <row r="152">
      <c r="E152" s="139"/>
      <c r="F152" s="57" t="s">
        <v>222</v>
      </c>
      <c r="G152" s="23">
        <v>14.0</v>
      </c>
      <c r="H152" s="14">
        <v>280.0</v>
      </c>
      <c r="I152" s="50">
        <f t="shared" si="2"/>
        <v>3920</v>
      </c>
      <c r="J152" s="13">
        <v>44996.0</v>
      </c>
    </row>
    <row r="153">
      <c r="E153" s="139"/>
      <c r="F153" s="57" t="s">
        <v>223</v>
      </c>
      <c r="G153" s="23">
        <v>1.0</v>
      </c>
      <c r="H153" s="14">
        <v>400.0</v>
      </c>
      <c r="I153" s="50">
        <f t="shared" si="2"/>
        <v>400</v>
      </c>
      <c r="J153" s="13">
        <v>44996.0</v>
      </c>
    </row>
    <row r="154">
      <c r="E154" s="139"/>
      <c r="F154" s="57" t="s">
        <v>224</v>
      </c>
      <c r="G154" s="23">
        <v>1.0</v>
      </c>
      <c r="H154" s="14">
        <v>110.0</v>
      </c>
      <c r="I154" s="50">
        <f t="shared" si="2"/>
        <v>110</v>
      </c>
      <c r="J154" s="13">
        <v>44996.0</v>
      </c>
    </row>
    <row r="155">
      <c r="E155" s="139"/>
      <c r="F155" s="57" t="s">
        <v>225</v>
      </c>
      <c r="G155" s="23">
        <v>3.0</v>
      </c>
      <c r="H155" s="14">
        <v>3200.0</v>
      </c>
      <c r="I155" s="50">
        <f t="shared" si="2"/>
        <v>9600</v>
      </c>
      <c r="J155" s="13">
        <v>44999.0</v>
      </c>
    </row>
    <row r="156">
      <c r="E156" s="139"/>
      <c r="F156" s="57" t="s">
        <v>226</v>
      </c>
      <c r="G156" s="23">
        <v>20.0</v>
      </c>
      <c r="H156" s="14">
        <v>600.0</v>
      </c>
      <c r="I156" s="50">
        <f t="shared" si="2"/>
        <v>12000</v>
      </c>
      <c r="J156" s="13">
        <v>44999.0</v>
      </c>
    </row>
    <row r="157">
      <c r="E157" s="139"/>
      <c r="F157" s="57" t="s">
        <v>183</v>
      </c>
      <c r="G157" s="23">
        <v>1.0</v>
      </c>
      <c r="H157" s="14">
        <v>1300.0</v>
      </c>
      <c r="I157" s="50">
        <f t="shared" si="2"/>
        <v>1300</v>
      </c>
      <c r="J157" s="13">
        <v>44999.0</v>
      </c>
    </row>
    <row r="158">
      <c r="E158" s="139"/>
      <c r="F158" s="57" t="s">
        <v>187</v>
      </c>
      <c r="G158" s="23">
        <v>30.0</v>
      </c>
      <c r="H158" s="14">
        <v>160.0</v>
      </c>
      <c r="I158" s="50">
        <f t="shared" si="2"/>
        <v>4800</v>
      </c>
      <c r="J158" s="13">
        <v>44999.0</v>
      </c>
    </row>
    <row r="159">
      <c r="E159" s="139"/>
      <c r="F159" s="57" t="s">
        <v>147</v>
      </c>
      <c r="G159" s="23">
        <v>10.0</v>
      </c>
      <c r="H159" s="14">
        <v>100.0</v>
      </c>
      <c r="I159" s="50">
        <f t="shared" si="2"/>
        <v>1000</v>
      </c>
      <c r="J159" s="13">
        <v>44999.0</v>
      </c>
    </row>
    <row r="160">
      <c r="E160" s="139"/>
      <c r="F160" s="57" t="s">
        <v>141</v>
      </c>
      <c r="G160" s="23">
        <v>20.0</v>
      </c>
      <c r="H160" s="14">
        <v>100.0</v>
      </c>
      <c r="I160" s="50">
        <f t="shared" si="2"/>
        <v>2000</v>
      </c>
      <c r="J160" s="13">
        <v>44999.0</v>
      </c>
    </row>
    <row r="161">
      <c r="E161" s="139"/>
      <c r="F161" s="57" t="s">
        <v>227</v>
      </c>
      <c r="G161" s="23">
        <v>1.0</v>
      </c>
      <c r="H161" s="14">
        <v>1000.0</v>
      </c>
      <c r="I161" s="50">
        <f t="shared" si="2"/>
        <v>1000</v>
      </c>
      <c r="J161" s="13">
        <v>44999.0</v>
      </c>
    </row>
    <row r="162">
      <c r="E162" s="139"/>
      <c r="F162" s="57" t="s">
        <v>228</v>
      </c>
      <c r="G162" s="23">
        <v>3.0</v>
      </c>
      <c r="H162" s="14">
        <v>250.0</v>
      </c>
      <c r="I162" s="50">
        <f t="shared" si="2"/>
        <v>750</v>
      </c>
      <c r="J162" s="13">
        <v>44999.0</v>
      </c>
    </row>
    <row r="163">
      <c r="E163" s="139"/>
      <c r="F163" s="57" t="s">
        <v>229</v>
      </c>
      <c r="G163" s="23">
        <v>1.0</v>
      </c>
      <c r="H163" s="14">
        <v>200.0</v>
      </c>
      <c r="I163" s="50">
        <f t="shared" si="2"/>
        <v>200</v>
      </c>
      <c r="J163" s="13">
        <v>44999.0</v>
      </c>
    </row>
    <row r="164">
      <c r="E164" s="139"/>
      <c r="F164" s="57" t="s">
        <v>141</v>
      </c>
      <c r="G164" s="23">
        <v>49.0</v>
      </c>
      <c r="H164" s="14">
        <v>120.0</v>
      </c>
      <c r="I164" s="50">
        <f t="shared" si="2"/>
        <v>5880</v>
      </c>
      <c r="J164" s="13">
        <v>45001.0</v>
      </c>
    </row>
    <row r="165">
      <c r="E165" s="139"/>
      <c r="F165" s="57" t="s">
        <v>230</v>
      </c>
      <c r="G165" s="23">
        <v>4.0</v>
      </c>
      <c r="H165" s="14">
        <v>500.0</v>
      </c>
      <c r="I165" s="50">
        <f t="shared" si="2"/>
        <v>2000</v>
      </c>
      <c r="J165" s="13">
        <v>45001.0</v>
      </c>
    </row>
    <row r="166">
      <c r="E166" s="139"/>
      <c r="F166" s="57" t="s">
        <v>231</v>
      </c>
      <c r="G166" s="23">
        <v>1.0</v>
      </c>
      <c r="H166" s="14">
        <v>1000.0</v>
      </c>
      <c r="I166" s="50">
        <f t="shared" si="2"/>
        <v>1000</v>
      </c>
      <c r="J166" s="13">
        <v>45001.0</v>
      </c>
    </row>
    <row r="167">
      <c r="E167" s="139"/>
      <c r="F167" s="57" t="s">
        <v>232</v>
      </c>
      <c r="G167" s="23">
        <v>1.0</v>
      </c>
      <c r="H167" s="14">
        <v>250.0</v>
      </c>
      <c r="I167" s="50">
        <f t="shared" si="2"/>
        <v>250</v>
      </c>
      <c r="J167" s="13">
        <v>45001.0</v>
      </c>
    </row>
    <row r="168">
      <c r="E168" s="139"/>
      <c r="F168" s="57" t="s">
        <v>233</v>
      </c>
      <c r="G168" s="23">
        <v>1.0</v>
      </c>
      <c r="H168" s="14">
        <v>400.0</v>
      </c>
      <c r="I168" s="50">
        <f t="shared" si="2"/>
        <v>400</v>
      </c>
      <c r="J168" s="13">
        <v>45001.0</v>
      </c>
    </row>
    <row r="169">
      <c r="E169" s="139"/>
      <c r="F169" s="57" t="s">
        <v>158</v>
      </c>
      <c r="G169" s="23">
        <v>1.0</v>
      </c>
      <c r="H169" s="14">
        <v>1300.0</v>
      </c>
      <c r="I169" s="50">
        <f t="shared" si="2"/>
        <v>1300</v>
      </c>
      <c r="J169" s="13">
        <v>45001.0</v>
      </c>
    </row>
    <row r="170">
      <c r="E170" s="139"/>
      <c r="F170" s="57" t="s">
        <v>234</v>
      </c>
      <c r="G170" s="23">
        <v>11.0</v>
      </c>
      <c r="H170" s="14">
        <v>70.0</v>
      </c>
      <c r="I170" s="50">
        <f t="shared" si="2"/>
        <v>770</v>
      </c>
      <c r="J170" s="13">
        <v>45001.0</v>
      </c>
    </row>
    <row r="171">
      <c r="E171" s="139"/>
      <c r="F171" s="57" t="s">
        <v>147</v>
      </c>
      <c r="G171" s="23">
        <v>20.0</v>
      </c>
      <c r="H171" s="14">
        <v>100.0</v>
      </c>
      <c r="I171" s="50">
        <f t="shared" si="2"/>
        <v>2000</v>
      </c>
      <c r="J171" s="13">
        <v>45001.0</v>
      </c>
    </row>
    <row r="172">
      <c r="E172" s="139"/>
      <c r="F172" s="57" t="s">
        <v>235</v>
      </c>
      <c r="G172" s="23">
        <v>10.0</v>
      </c>
      <c r="H172" s="14">
        <v>30.0</v>
      </c>
      <c r="I172" s="50">
        <f t="shared" si="2"/>
        <v>300</v>
      </c>
      <c r="J172" s="13">
        <v>45001.0</v>
      </c>
    </row>
    <row r="173">
      <c r="E173" s="139"/>
      <c r="F173" s="57" t="s">
        <v>175</v>
      </c>
      <c r="G173" s="23">
        <v>5.0</v>
      </c>
      <c r="H173" s="14">
        <v>550.0</v>
      </c>
      <c r="I173" s="50">
        <f t="shared" si="2"/>
        <v>2750</v>
      </c>
      <c r="J173" s="13">
        <v>45001.0</v>
      </c>
    </row>
    <row r="174">
      <c r="E174" s="139"/>
      <c r="F174" s="57" t="s">
        <v>236</v>
      </c>
      <c r="G174" s="23">
        <v>20.0</v>
      </c>
      <c r="H174" s="14">
        <v>1650.0</v>
      </c>
      <c r="I174" s="50">
        <f t="shared" si="2"/>
        <v>33000</v>
      </c>
      <c r="J174" s="13">
        <v>45001.0</v>
      </c>
    </row>
    <row r="175">
      <c r="E175" s="139"/>
      <c r="F175" s="57" t="s">
        <v>237</v>
      </c>
      <c r="G175" s="23">
        <v>5.0</v>
      </c>
      <c r="H175" s="14">
        <v>400.0</v>
      </c>
      <c r="I175" s="50">
        <f t="shared" si="2"/>
        <v>2000</v>
      </c>
      <c r="J175" s="13">
        <v>45001.0</v>
      </c>
    </row>
    <row r="176">
      <c r="E176" s="139"/>
      <c r="F176" s="57" t="s">
        <v>114</v>
      </c>
      <c r="G176" s="23">
        <v>4.0</v>
      </c>
      <c r="H176" s="14">
        <v>82.0</v>
      </c>
      <c r="I176" s="50">
        <f t="shared" si="2"/>
        <v>328</v>
      </c>
      <c r="J176" s="13">
        <v>45001.0</v>
      </c>
    </row>
    <row r="177">
      <c r="E177" s="139"/>
      <c r="F177" s="57" t="s">
        <v>238</v>
      </c>
      <c r="G177" s="23">
        <v>2.0</v>
      </c>
      <c r="H177" s="14">
        <v>650.0</v>
      </c>
      <c r="I177" s="50">
        <f t="shared" si="2"/>
        <v>1300</v>
      </c>
      <c r="J177" s="13">
        <v>45001.0</v>
      </c>
    </row>
    <row r="178">
      <c r="E178" s="139"/>
      <c r="F178" s="57" t="s">
        <v>239</v>
      </c>
      <c r="G178" s="23">
        <v>12.0</v>
      </c>
      <c r="H178" s="14">
        <v>240.0</v>
      </c>
      <c r="I178" s="50">
        <f t="shared" si="2"/>
        <v>2880</v>
      </c>
      <c r="J178" s="13">
        <v>45001.0</v>
      </c>
    </row>
    <row r="179">
      <c r="E179" s="139"/>
      <c r="F179" s="57" t="s">
        <v>240</v>
      </c>
      <c r="G179" s="23">
        <v>3.0</v>
      </c>
      <c r="H179" s="14">
        <v>350.0</v>
      </c>
      <c r="I179" s="50">
        <f t="shared" si="2"/>
        <v>1050</v>
      </c>
      <c r="J179" s="13">
        <v>45001.0</v>
      </c>
    </row>
    <row r="180">
      <c r="E180" s="139"/>
      <c r="F180" s="57" t="s">
        <v>120</v>
      </c>
      <c r="G180" s="23">
        <v>14.0</v>
      </c>
      <c r="H180" s="14">
        <v>195.0</v>
      </c>
      <c r="I180" s="50">
        <f t="shared" si="2"/>
        <v>2730</v>
      </c>
      <c r="J180" s="13">
        <v>45001.0</v>
      </c>
    </row>
    <row r="181">
      <c r="E181" s="139"/>
      <c r="F181" s="57" t="s">
        <v>173</v>
      </c>
      <c r="G181" s="23">
        <v>1.6</v>
      </c>
      <c r="H181" s="14">
        <v>1700.0</v>
      </c>
      <c r="I181" s="50">
        <f t="shared" si="2"/>
        <v>2720</v>
      </c>
      <c r="J181" s="13">
        <v>45001.0</v>
      </c>
    </row>
    <row r="182">
      <c r="E182" s="139"/>
      <c r="F182" s="57" t="s">
        <v>241</v>
      </c>
      <c r="G182" s="23">
        <v>1.92</v>
      </c>
      <c r="H182" s="14">
        <v>330.0</v>
      </c>
      <c r="I182" s="50">
        <f t="shared" si="2"/>
        <v>633.6</v>
      </c>
      <c r="J182" s="13">
        <v>45001.0</v>
      </c>
    </row>
    <row r="183">
      <c r="E183" s="139"/>
      <c r="F183" s="57" t="s">
        <v>158</v>
      </c>
      <c r="G183" s="23">
        <v>1.0</v>
      </c>
      <c r="H183" s="14">
        <v>1250.0</v>
      </c>
      <c r="I183" s="50">
        <f t="shared" si="2"/>
        <v>1250</v>
      </c>
      <c r="J183" s="13">
        <v>45001.0</v>
      </c>
    </row>
    <row r="184">
      <c r="E184" s="139"/>
      <c r="F184" s="57" t="s">
        <v>242</v>
      </c>
      <c r="G184" s="23">
        <v>2.0</v>
      </c>
      <c r="H184" s="14">
        <v>340.0</v>
      </c>
      <c r="I184" s="50">
        <f t="shared" si="2"/>
        <v>680</v>
      </c>
      <c r="J184" s="13">
        <v>45001.0</v>
      </c>
    </row>
    <row r="185">
      <c r="E185" s="139"/>
      <c r="F185" s="57" t="s">
        <v>243</v>
      </c>
      <c r="G185" s="23">
        <v>1.0</v>
      </c>
      <c r="H185" s="14">
        <v>970.0</v>
      </c>
      <c r="I185" s="50">
        <f t="shared" si="2"/>
        <v>970</v>
      </c>
      <c r="J185" s="13">
        <v>45001.0</v>
      </c>
    </row>
    <row r="186">
      <c r="E186" s="139"/>
      <c r="F186" s="57" t="s">
        <v>244</v>
      </c>
      <c r="G186" s="23">
        <v>1.0</v>
      </c>
      <c r="H186" s="14">
        <v>120.0</v>
      </c>
      <c r="I186" s="50">
        <f t="shared" si="2"/>
        <v>120</v>
      </c>
      <c r="J186" s="13">
        <v>45001.0</v>
      </c>
    </row>
    <row r="187">
      <c r="E187" s="139"/>
      <c r="F187" s="57" t="s">
        <v>245</v>
      </c>
      <c r="G187" s="23">
        <v>1.0</v>
      </c>
      <c r="H187" s="14">
        <v>350.0</v>
      </c>
      <c r="I187" s="50">
        <f t="shared" si="2"/>
        <v>350</v>
      </c>
      <c r="J187" s="13">
        <v>45001.0</v>
      </c>
    </row>
    <row r="188">
      <c r="E188" s="139"/>
      <c r="F188" s="57" t="s">
        <v>246</v>
      </c>
      <c r="G188" s="23">
        <v>10.0</v>
      </c>
      <c r="H188" s="14">
        <v>120.0</v>
      </c>
      <c r="I188" s="50">
        <f t="shared" si="2"/>
        <v>1200</v>
      </c>
      <c r="J188" s="13">
        <v>45001.0</v>
      </c>
    </row>
    <row r="189">
      <c r="E189" s="139"/>
      <c r="F189" s="57" t="s">
        <v>222</v>
      </c>
      <c r="G189" s="23">
        <v>21.0</v>
      </c>
      <c r="H189" s="14">
        <v>225.0</v>
      </c>
      <c r="I189" s="50">
        <f t="shared" si="2"/>
        <v>4725</v>
      </c>
      <c r="J189" s="13">
        <v>45001.0</v>
      </c>
    </row>
    <row r="190">
      <c r="E190" s="139"/>
      <c r="F190" s="57" t="s">
        <v>197</v>
      </c>
      <c r="G190" s="23">
        <v>1.0</v>
      </c>
      <c r="H190" s="14">
        <v>1200.0</v>
      </c>
      <c r="I190" s="50">
        <f t="shared" si="2"/>
        <v>1200</v>
      </c>
      <c r="J190" s="13">
        <v>45001.0</v>
      </c>
    </row>
    <row r="191">
      <c r="E191" s="139"/>
      <c r="F191" s="57" t="s">
        <v>227</v>
      </c>
      <c r="G191" s="23">
        <v>2.0</v>
      </c>
      <c r="H191" s="14">
        <v>1000.0</v>
      </c>
      <c r="I191" s="50">
        <f t="shared" si="2"/>
        <v>2000</v>
      </c>
      <c r="J191" s="13">
        <v>45001.0</v>
      </c>
    </row>
    <row r="192">
      <c r="E192" s="139"/>
      <c r="F192" s="57" t="s">
        <v>141</v>
      </c>
      <c r="G192" s="23">
        <v>4.0</v>
      </c>
      <c r="H192" s="14">
        <v>100.0</v>
      </c>
      <c r="I192" s="50">
        <f t="shared" si="2"/>
        <v>400</v>
      </c>
      <c r="J192" s="13">
        <v>45002.0</v>
      </c>
    </row>
    <row r="193">
      <c r="E193" s="139"/>
      <c r="F193" s="57" t="s">
        <v>247</v>
      </c>
      <c r="G193" s="23">
        <v>4.0</v>
      </c>
      <c r="H193" s="14">
        <v>50.0</v>
      </c>
      <c r="I193" s="50">
        <f t="shared" si="2"/>
        <v>200</v>
      </c>
      <c r="J193" s="13">
        <v>45002.0</v>
      </c>
    </row>
    <row r="194">
      <c r="E194" s="139"/>
      <c r="F194" s="57" t="s">
        <v>141</v>
      </c>
      <c r="G194" s="23">
        <v>30.0</v>
      </c>
      <c r="H194" s="14">
        <v>110.0</v>
      </c>
      <c r="I194" s="50">
        <f t="shared" si="2"/>
        <v>3300</v>
      </c>
      <c r="J194" s="13">
        <v>45002.0</v>
      </c>
    </row>
    <row r="195">
      <c r="E195" s="139"/>
      <c r="F195" s="149" t="s">
        <v>248</v>
      </c>
      <c r="G195" s="112">
        <v>2.0</v>
      </c>
      <c r="H195" s="150">
        <v>360.0</v>
      </c>
      <c r="I195" s="113">
        <f t="shared" si="2"/>
        <v>720</v>
      </c>
      <c r="J195" s="151">
        <v>45002.0</v>
      </c>
    </row>
    <row r="196">
      <c r="E196" s="139"/>
      <c r="F196" s="57" t="s">
        <v>153</v>
      </c>
      <c r="G196" s="23">
        <v>1.0</v>
      </c>
      <c r="H196" s="14">
        <v>380.0</v>
      </c>
      <c r="I196" s="50">
        <f t="shared" si="2"/>
        <v>380</v>
      </c>
      <c r="J196" s="13">
        <v>45002.0</v>
      </c>
    </row>
    <row r="197">
      <c r="E197" s="139"/>
      <c r="F197" s="57" t="s">
        <v>147</v>
      </c>
      <c r="G197" s="23">
        <v>10.0</v>
      </c>
      <c r="H197" s="14">
        <v>100.0</v>
      </c>
      <c r="I197" s="50">
        <f t="shared" si="2"/>
        <v>1000</v>
      </c>
      <c r="J197" s="13">
        <v>45002.0</v>
      </c>
    </row>
    <row r="198">
      <c r="E198" s="139"/>
      <c r="F198" s="57" t="s">
        <v>152</v>
      </c>
      <c r="G198" s="23">
        <v>1.0</v>
      </c>
      <c r="H198" s="14">
        <v>550.0</v>
      </c>
      <c r="I198" s="50">
        <f t="shared" si="2"/>
        <v>550</v>
      </c>
      <c r="J198" s="13">
        <v>45002.0</v>
      </c>
    </row>
    <row r="199">
      <c r="E199" s="139"/>
      <c r="F199" s="57" t="s">
        <v>149</v>
      </c>
      <c r="G199" s="23">
        <v>5.0</v>
      </c>
      <c r="H199" s="14">
        <v>150.0</v>
      </c>
      <c r="I199" s="50">
        <f t="shared" si="2"/>
        <v>750</v>
      </c>
      <c r="J199" s="13">
        <v>45002.0</v>
      </c>
    </row>
    <row r="200">
      <c r="E200" s="139"/>
      <c r="F200" s="57" t="s">
        <v>249</v>
      </c>
      <c r="G200" s="23">
        <v>2.0</v>
      </c>
      <c r="H200" s="14">
        <v>1400.0</v>
      </c>
      <c r="I200" s="50">
        <f t="shared" si="2"/>
        <v>2800</v>
      </c>
      <c r="J200" s="13">
        <v>45003.0</v>
      </c>
    </row>
    <row r="201">
      <c r="E201" s="139"/>
      <c r="F201" s="57" t="s">
        <v>169</v>
      </c>
      <c r="G201" s="23">
        <v>60.0</v>
      </c>
      <c r="H201" s="14">
        <v>90.0</v>
      </c>
      <c r="I201" s="50">
        <f t="shared" si="2"/>
        <v>5400</v>
      </c>
      <c r="J201" s="13">
        <v>45004.0</v>
      </c>
    </row>
    <row r="202">
      <c r="E202" s="139"/>
      <c r="F202" s="57" t="s">
        <v>168</v>
      </c>
      <c r="G202" s="23">
        <v>40.0</v>
      </c>
      <c r="H202" s="14">
        <v>160.0</v>
      </c>
      <c r="I202" s="50">
        <f t="shared" si="2"/>
        <v>6400</v>
      </c>
      <c r="J202" s="13">
        <v>45004.0</v>
      </c>
    </row>
    <row r="203">
      <c r="E203" s="139"/>
      <c r="F203" s="57" t="s">
        <v>250</v>
      </c>
      <c r="G203" s="23">
        <v>1.0</v>
      </c>
      <c r="H203" s="14">
        <v>400.0</v>
      </c>
      <c r="I203" s="50">
        <f t="shared" si="2"/>
        <v>400</v>
      </c>
      <c r="J203" s="13">
        <v>45004.0</v>
      </c>
    </row>
    <row r="204">
      <c r="E204" s="139"/>
      <c r="F204" s="57" t="s">
        <v>251</v>
      </c>
      <c r="G204" s="23">
        <v>1.0</v>
      </c>
      <c r="H204" s="14">
        <v>2000.0</v>
      </c>
      <c r="I204" s="50">
        <f t="shared" si="2"/>
        <v>2000</v>
      </c>
      <c r="J204" s="13">
        <v>45005.0</v>
      </c>
    </row>
    <row r="205">
      <c r="E205" s="139"/>
      <c r="F205" s="57" t="s">
        <v>252</v>
      </c>
      <c r="G205" s="23">
        <v>1.0</v>
      </c>
      <c r="H205" s="14">
        <v>7500.0</v>
      </c>
      <c r="I205" s="50">
        <f t="shared" si="2"/>
        <v>7500</v>
      </c>
      <c r="J205" s="13">
        <v>45005.0</v>
      </c>
    </row>
    <row r="206">
      <c r="E206" s="139"/>
      <c r="F206" s="57" t="s">
        <v>253</v>
      </c>
      <c r="G206" s="23">
        <v>2.0</v>
      </c>
      <c r="H206" s="14">
        <v>1125.0</v>
      </c>
      <c r="I206" s="50">
        <f t="shared" si="2"/>
        <v>2250</v>
      </c>
      <c r="J206" s="13">
        <v>45005.0</v>
      </c>
    </row>
    <row r="207">
      <c r="E207" s="139"/>
      <c r="F207" s="57" t="s">
        <v>254</v>
      </c>
      <c r="G207" s="23">
        <v>5.0</v>
      </c>
      <c r="H207" s="14">
        <v>1600.0</v>
      </c>
      <c r="I207" s="50">
        <f t="shared" si="2"/>
        <v>8000</v>
      </c>
      <c r="J207" s="13">
        <v>45005.0</v>
      </c>
    </row>
    <row r="208">
      <c r="E208" s="138">
        <v>70.0</v>
      </c>
      <c r="F208" s="57" t="s">
        <v>255</v>
      </c>
      <c r="G208" s="23">
        <v>10.0</v>
      </c>
      <c r="H208" s="14">
        <v>70.0</v>
      </c>
      <c r="I208" s="50">
        <f t="shared" si="2"/>
        <v>700</v>
      </c>
      <c r="J208" s="13">
        <v>45005.0</v>
      </c>
    </row>
    <row r="209">
      <c r="E209" s="139"/>
      <c r="F209" s="57" t="s">
        <v>256</v>
      </c>
      <c r="G209" s="23">
        <v>30.0</v>
      </c>
      <c r="H209" s="14">
        <v>100.0</v>
      </c>
      <c r="I209" s="50">
        <f t="shared" si="2"/>
        <v>3000</v>
      </c>
      <c r="J209" s="13">
        <v>45005.0</v>
      </c>
    </row>
    <row r="210">
      <c r="E210" s="139"/>
      <c r="F210" s="57" t="s">
        <v>147</v>
      </c>
      <c r="G210" s="23">
        <v>10.0</v>
      </c>
      <c r="H210" s="14">
        <v>100.0</v>
      </c>
      <c r="I210" s="50">
        <f t="shared" si="2"/>
        <v>1000</v>
      </c>
      <c r="J210" s="13">
        <v>45005.0</v>
      </c>
    </row>
    <row r="211">
      <c r="E211" s="139"/>
      <c r="F211" s="57" t="s">
        <v>219</v>
      </c>
      <c r="G211" s="23">
        <v>1.0</v>
      </c>
      <c r="H211" s="14">
        <v>800.0</v>
      </c>
      <c r="I211" s="50">
        <f t="shared" si="2"/>
        <v>800</v>
      </c>
      <c r="J211" s="13">
        <v>45005.0</v>
      </c>
    </row>
    <row r="212">
      <c r="E212" s="139"/>
      <c r="F212" s="57" t="s">
        <v>256</v>
      </c>
      <c r="G212" s="23">
        <v>60.0</v>
      </c>
      <c r="H212" s="14">
        <v>90.0</v>
      </c>
      <c r="I212" s="50">
        <f t="shared" si="2"/>
        <v>5400</v>
      </c>
      <c r="J212" s="13">
        <v>45006.0</v>
      </c>
    </row>
    <row r="213">
      <c r="E213" s="139"/>
      <c r="F213" s="57" t="s">
        <v>257</v>
      </c>
      <c r="G213" s="23">
        <v>9.0</v>
      </c>
      <c r="H213" s="14">
        <v>110.0</v>
      </c>
      <c r="I213" s="50">
        <f t="shared" si="2"/>
        <v>990</v>
      </c>
      <c r="J213" s="13">
        <v>45006.0</v>
      </c>
    </row>
    <row r="214">
      <c r="E214" s="139"/>
      <c r="F214" s="57" t="s">
        <v>167</v>
      </c>
      <c r="G214" s="23">
        <v>10.0</v>
      </c>
      <c r="H214" s="14">
        <v>160.0</v>
      </c>
      <c r="I214" s="50">
        <f t="shared" si="2"/>
        <v>1600</v>
      </c>
      <c r="J214" s="13">
        <v>45006.0</v>
      </c>
    </row>
    <row r="215">
      <c r="E215" s="139"/>
      <c r="F215" s="57" t="s">
        <v>187</v>
      </c>
      <c r="G215" s="23">
        <v>5.0</v>
      </c>
      <c r="H215" s="14">
        <v>100.0</v>
      </c>
      <c r="I215" s="50">
        <f t="shared" si="2"/>
        <v>500</v>
      </c>
      <c r="J215" s="13">
        <v>45006.0</v>
      </c>
    </row>
    <row r="216">
      <c r="E216" s="139"/>
      <c r="F216" s="57" t="s">
        <v>147</v>
      </c>
      <c r="G216" s="23">
        <v>15.0</v>
      </c>
      <c r="H216" s="14">
        <v>100.0</v>
      </c>
      <c r="I216" s="50">
        <f t="shared" si="2"/>
        <v>1500</v>
      </c>
      <c r="J216" s="13">
        <v>45006.0</v>
      </c>
    </row>
    <row r="217">
      <c r="E217" s="139"/>
      <c r="F217" s="57" t="s">
        <v>148</v>
      </c>
      <c r="G217" s="23">
        <v>1.0</v>
      </c>
      <c r="H217" s="14">
        <v>1000.0</v>
      </c>
      <c r="I217" s="50">
        <f t="shared" si="2"/>
        <v>1000</v>
      </c>
      <c r="J217" s="13">
        <v>45006.0</v>
      </c>
    </row>
    <row r="218">
      <c r="E218" s="139"/>
      <c r="F218" s="57" t="s">
        <v>258</v>
      </c>
      <c r="G218" s="23">
        <v>1.0</v>
      </c>
      <c r="H218" s="14">
        <v>250.0</v>
      </c>
      <c r="I218" s="50">
        <f t="shared" si="2"/>
        <v>250</v>
      </c>
      <c r="J218" s="13">
        <v>45006.0</v>
      </c>
    </row>
    <row r="219">
      <c r="E219" s="139"/>
      <c r="F219" s="140" t="s">
        <v>259</v>
      </c>
      <c r="G219" s="141">
        <v>4.0</v>
      </c>
      <c r="H219" s="142">
        <v>1800.0</v>
      </c>
      <c r="I219" s="106">
        <f t="shared" si="2"/>
        <v>7200</v>
      </c>
      <c r="J219" s="143">
        <v>45007.0</v>
      </c>
    </row>
    <row r="220">
      <c r="E220" s="139"/>
      <c r="F220" s="57" t="s">
        <v>260</v>
      </c>
      <c r="G220" s="23">
        <v>1.0</v>
      </c>
      <c r="H220" s="14">
        <v>6000.0</v>
      </c>
      <c r="I220" s="50">
        <f t="shared" si="2"/>
        <v>6000</v>
      </c>
      <c r="J220" s="13">
        <v>45007.0</v>
      </c>
    </row>
    <row r="221">
      <c r="E221" s="139"/>
      <c r="F221" s="57" t="s">
        <v>175</v>
      </c>
      <c r="G221" s="23">
        <v>3.0</v>
      </c>
      <c r="H221" s="14">
        <v>650.0</v>
      </c>
      <c r="I221" s="50">
        <f t="shared" si="2"/>
        <v>1950</v>
      </c>
      <c r="J221" s="13">
        <v>45007.0</v>
      </c>
    </row>
    <row r="222">
      <c r="E222" s="139"/>
      <c r="F222" s="57" t="s">
        <v>141</v>
      </c>
      <c r="G222" s="23">
        <v>150.0</v>
      </c>
      <c r="H222" s="14">
        <v>80.0</v>
      </c>
      <c r="I222" s="50">
        <f t="shared" si="2"/>
        <v>12000</v>
      </c>
      <c r="J222" s="13">
        <v>45007.0</v>
      </c>
    </row>
    <row r="223">
      <c r="E223" s="139"/>
      <c r="F223" s="57" t="s">
        <v>141</v>
      </c>
      <c r="G223" s="23">
        <v>3.0</v>
      </c>
      <c r="H223" s="14">
        <v>120.0</v>
      </c>
      <c r="I223" s="50">
        <f t="shared" si="2"/>
        <v>360</v>
      </c>
      <c r="J223" s="13">
        <v>45007.0</v>
      </c>
    </row>
    <row r="224">
      <c r="E224" s="139"/>
      <c r="F224" s="57" t="s">
        <v>261</v>
      </c>
      <c r="G224" s="23">
        <v>6.0</v>
      </c>
      <c r="H224" s="14">
        <v>220.0</v>
      </c>
      <c r="I224" s="50">
        <f t="shared" si="2"/>
        <v>1320</v>
      </c>
      <c r="J224" s="13">
        <v>45007.0</v>
      </c>
    </row>
    <row r="225">
      <c r="E225" s="139"/>
      <c r="F225" s="57" t="s">
        <v>262</v>
      </c>
      <c r="G225" s="23">
        <v>1.0</v>
      </c>
      <c r="H225" s="14">
        <v>900.0</v>
      </c>
      <c r="I225" s="50">
        <f t="shared" si="2"/>
        <v>900</v>
      </c>
      <c r="J225" s="13">
        <v>45007.0</v>
      </c>
    </row>
    <row r="226">
      <c r="E226" s="139"/>
      <c r="F226" s="57" t="s">
        <v>210</v>
      </c>
      <c r="G226" s="23">
        <v>10.0</v>
      </c>
      <c r="H226" s="14">
        <v>65.0</v>
      </c>
      <c r="I226" s="50">
        <f t="shared" si="2"/>
        <v>650</v>
      </c>
      <c r="J226" s="13">
        <v>45007.0</v>
      </c>
    </row>
    <row r="227">
      <c r="E227" s="139"/>
      <c r="F227" s="57" t="s">
        <v>175</v>
      </c>
      <c r="G227" s="23">
        <v>7.0</v>
      </c>
      <c r="H227" s="14">
        <v>580.0</v>
      </c>
      <c r="I227" s="50">
        <f t="shared" si="2"/>
        <v>4060</v>
      </c>
      <c r="J227" s="13">
        <v>45007.0</v>
      </c>
    </row>
    <row r="228">
      <c r="E228" s="139"/>
      <c r="F228" s="57" t="s">
        <v>263</v>
      </c>
      <c r="G228" s="23">
        <v>1.0</v>
      </c>
      <c r="H228" s="14">
        <v>500.0</v>
      </c>
      <c r="I228" s="50">
        <f t="shared" si="2"/>
        <v>500</v>
      </c>
      <c r="J228" s="13">
        <v>45007.0</v>
      </c>
    </row>
    <row r="229">
      <c r="E229" s="138"/>
      <c r="F229" s="57" t="s">
        <v>264</v>
      </c>
      <c r="G229" s="23">
        <v>50.0</v>
      </c>
      <c r="H229" s="14">
        <v>100.0</v>
      </c>
      <c r="I229" s="50">
        <f t="shared" si="2"/>
        <v>5000</v>
      </c>
      <c r="J229" s="13">
        <v>45007.0</v>
      </c>
    </row>
    <row r="230">
      <c r="E230" s="139"/>
      <c r="F230" s="57" t="s">
        <v>265</v>
      </c>
      <c r="G230" s="23">
        <v>8.0</v>
      </c>
      <c r="H230" s="14">
        <v>200.0</v>
      </c>
      <c r="I230" s="50">
        <f t="shared" si="2"/>
        <v>1600</v>
      </c>
      <c r="J230" s="13">
        <v>45007.0</v>
      </c>
    </row>
    <row r="231">
      <c r="E231" s="139"/>
      <c r="F231" s="57" t="s">
        <v>188</v>
      </c>
      <c r="G231" s="23">
        <v>3.0</v>
      </c>
      <c r="H231" s="14">
        <v>100.0</v>
      </c>
      <c r="I231" s="50">
        <f t="shared" si="2"/>
        <v>300</v>
      </c>
      <c r="J231" s="13">
        <v>45007.0</v>
      </c>
    </row>
    <row r="232">
      <c r="E232" s="139"/>
      <c r="F232" s="57" t="s">
        <v>266</v>
      </c>
      <c r="G232" s="23">
        <v>1.0</v>
      </c>
      <c r="H232" s="14">
        <v>650.0</v>
      </c>
      <c r="I232" s="50">
        <f t="shared" si="2"/>
        <v>650</v>
      </c>
      <c r="J232" s="13">
        <v>45007.0</v>
      </c>
    </row>
    <row r="233">
      <c r="E233" s="139"/>
      <c r="F233" s="57" t="s">
        <v>267</v>
      </c>
      <c r="G233" s="23">
        <v>1.0</v>
      </c>
      <c r="H233" s="14">
        <v>2000.0</v>
      </c>
      <c r="I233" s="50">
        <f t="shared" si="2"/>
        <v>2000</v>
      </c>
      <c r="J233" s="13">
        <v>45007.0</v>
      </c>
    </row>
    <row r="234">
      <c r="E234" s="139"/>
      <c r="F234" s="57" t="s">
        <v>187</v>
      </c>
      <c r="G234" s="23">
        <v>10.0</v>
      </c>
      <c r="H234" s="14">
        <v>160.0</v>
      </c>
      <c r="I234" s="14">
        <v>1600.0</v>
      </c>
      <c r="J234" s="13">
        <v>45007.0</v>
      </c>
    </row>
    <row r="235">
      <c r="E235" s="139"/>
      <c r="F235" s="57" t="s">
        <v>268</v>
      </c>
      <c r="G235" s="23">
        <v>57.0</v>
      </c>
      <c r="H235" s="14">
        <v>120.0</v>
      </c>
      <c r="I235" s="50">
        <f t="shared" ref="I235:I332" si="3">H235*G235</f>
        <v>6840</v>
      </c>
      <c r="J235" s="23" t="s">
        <v>269</v>
      </c>
    </row>
    <row r="236">
      <c r="E236" s="139"/>
      <c r="F236" s="57" t="s">
        <v>270</v>
      </c>
      <c r="G236" s="23">
        <v>100.0</v>
      </c>
      <c r="H236" s="14">
        <v>100.0</v>
      </c>
      <c r="I236" s="50">
        <f t="shared" si="3"/>
        <v>10000</v>
      </c>
      <c r="J236" s="23" t="s">
        <v>269</v>
      </c>
    </row>
    <row r="237">
      <c r="E237" s="139"/>
      <c r="F237" s="57" t="s">
        <v>271</v>
      </c>
      <c r="G237" s="23">
        <v>4.0</v>
      </c>
      <c r="H237" s="14">
        <v>250.0</v>
      </c>
      <c r="I237" s="50">
        <f t="shared" si="3"/>
        <v>1000</v>
      </c>
      <c r="J237" s="23" t="s">
        <v>269</v>
      </c>
    </row>
    <row r="238">
      <c r="E238" s="139"/>
      <c r="F238" s="57" t="s">
        <v>101</v>
      </c>
      <c r="G238" s="23">
        <v>2.0</v>
      </c>
      <c r="H238" s="14">
        <v>450.0</v>
      </c>
      <c r="I238" s="50">
        <f t="shared" si="3"/>
        <v>900</v>
      </c>
      <c r="J238" s="23" t="s">
        <v>269</v>
      </c>
    </row>
    <row r="239">
      <c r="E239" s="139"/>
      <c r="F239" s="57" t="s">
        <v>233</v>
      </c>
      <c r="G239" s="23">
        <v>1.0</v>
      </c>
      <c r="H239" s="14">
        <v>400.0</v>
      </c>
      <c r="I239" s="50">
        <f t="shared" si="3"/>
        <v>400</v>
      </c>
      <c r="J239" s="23" t="s">
        <v>269</v>
      </c>
    </row>
    <row r="240">
      <c r="E240" s="139"/>
      <c r="F240" s="57" t="s">
        <v>272</v>
      </c>
      <c r="G240" s="23">
        <v>2.0</v>
      </c>
      <c r="H240" s="14">
        <v>500.0</v>
      </c>
      <c r="I240" s="50">
        <f t="shared" si="3"/>
        <v>1000</v>
      </c>
      <c r="J240" s="23" t="s">
        <v>269</v>
      </c>
    </row>
    <row r="241">
      <c r="E241" s="139"/>
      <c r="F241" s="57" t="s">
        <v>273</v>
      </c>
      <c r="G241" s="23">
        <v>6.0</v>
      </c>
      <c r="H241" s="14">
        <v>220.0</v>
      </c>
      <c r="I241" s="50">
        <f t="shared" si="3"/>
        <v>1320</v>
      </c>
      <c r="J241" s="23" t="s">
        <v>269</v>
      </c>
    </row>
    <row r="242">
      <c r="E242" s="139"/>
      <c r="F242" s="57" t="s">
        <v>274</v>
      </c>
      <c r="G242" s="23">
        <v>1.0</v>
      </c>
      <c r="H242" s="14">
        <v>180.0</v>
      </c>
      <c r="I242" s="50">
        <f t="shared" si="3"/>
        <v>180</v>
      </c>
      <c r="J242" s="23" t="s">
        <v>269</v>
      </c>
    </row>
    <row r="243">
      <c r="E243" s="139"/>
      <c r="F243" s="57" t="s">
        <v>275</v>
      </c>
      <c r="G243" s="23">
        <v>5.0</v>
      </c>
      <c r="H243" s="14">
        <v>100.0</v>
      </c>
      <c r="I243" s="50">
        <f t="shared" si="3"/>
        <v>500</v>
      </c>
      <c r="J243" s="23" t="s">
        <v>269</v>
      </c>
    </row>
    <row r="244">
      <c r="E244" s="139"/>
      <c r="F244" s="57" t="s">
        <v>150</v>
      </c>
      <c r="G244" s="23">
        <v>3.5</v>
      </c>
      <c r="H244" s="14">
        <v>850.0</v>
      </c>
      <c r="I244" s="50">
        <f t="shared" si="3"/>
        <v>2975</v>
      </c>
      <c r="J244" s="23" t="s">
        <v>269</v>
      </c>
    </row>
    <row r="245">
      <c r="E245" s="139"/>
      <c r="F245" s="57" t="s">
        <v>276</v>
      </c>
      <c r="G245" s="23">
        <v>1.0</v>
      </c>
      <c r="H245" s="14">
        <v>950.0</v>
      </c>
      <c r="I245" s="50">
        <f t="shared" si="3"/>
        <v>950</v>
      </c>
      <c r="J245" s="23" t="s">
        <v>269</v>
      </c>
    </row>
    <row r="246">
      <c r="E246" s="139"/>
      <c r="F246" s="57" t="s">
        <v>277</v>
      </c>
      <c r="G246" s="23">
        <v>2.0</v>
      </c>
      <c r="H246" s="14">
        <v>500.0</v>
      </c>
      <c r="I246" s="50">
        <f t="shared" si="3"/>
        <v>1000</v>
      </c>
      <c r="J246" s="23" t="s">
        <v>269</v>
      </c>
    </row>
    <row r="247">
      <c r="E247" s="139"/>
      <c r="F247" s="57" t="s">
        <v>149</v>
      </c>
      <c r="G247" s="23">
        <v>20.0</v>
      </c>
      <c r="H247" s="14">
        <v>170.0</v>
      </c>
      <c r="I247" s="50">
        <f t="shared" si="3"/>
        <v>3400</v>
      </c>
      <c r="J247" s="23" t="s">
        <v>278</v>
      </c>
    </row>
    <row r="248">
      <c r="E248" s="139"/>
      <c r="F248" s="57" t="s">
        <v>279</v>
      </c>
      <c r="G248" s="23">
        <v>4.0</v>
      </c>
      <c r="H248" s="14">
        <v>850.0</v>
      </c>
      <c r="I248" s="50">
        <f t="shared" si="3"/>
        <v>3400</v>
      </c>
      <c r="J248" s="23" t="s">
        <v>280</v>
      </c>
    </row>
    <row r="249">
      <c r="E249" s="139"/>
      <c r="F249" s="57" t="s">
        <v>281</v>
      </c>
      <c r="G249" s="23">
        <v>1.0</v>
      </c>
      <c r="H249" s="14">
        <v>600.0</v>
      </c>
      <c r="I249" s="50">
        <f t="shared" si="3"/>
        <v>600</v>
      </c>
      <c r="J249" s="23" t="s">
        <v>280</v>
      </c>
    </row>
    <row r="250">
      <c r="E250" s="139"/>
      <c r="F250" s="57" t="s">
        <v>282</v>
      </c>
      <c r="G250" s="23">
        <v>1.0</v>
      </c>
      <c r="H250" s="14">
        <v>1000.0</v>
      </c>
      <c r="I250" s="50">
        <f t="shared" si="3"/>
        <v>1000</v>
      </c>
      <c r="J250" s="23" t="s">
        <v>280</v>
      </c>
    </row>
    <row r="251">
      <c r="E251" s="139"/>
      <c r="F251" s="57" t="s">
        <v>141</v>
      </c>
      <c r="G251" s="23">
        <v>25.0</v>
      </c>
      <c r="H251" s="14">
        <v>110.0</v>
      </c>
      <c r="I251" s="50">
        <f t="shared" si="3"/>
        <v>2750</v>
      </c>
      <c r="J251" s="23" t="s">
        <v>280</v>
      </c>
    </row>
    <row r="252">
      <c r="E252" s="139"/>
      <c r="F252" s="57" t="s">
        <v>283</v>
      </c>
      <c r="G252" s="23">
        <v>20.0</v>
      </c>
      <c r="H252" s="14">
        <v>20.0</v>
      </c>
      <c r="I252" s="50">
        <f t="shared" si="3"/>
        <v>400</v>
      </c>
      <c r="J252" s="23" t="s">
        <v>280</v>
      </c>
    </row>
    <row r="253">
      <c r="E253" s="139"/>
      <c r="F253" s="57" t="s">
        <v>284</v>
      </c>
      <c r="G253" s="23">
        <v>30.0</v>
      </c>
      <c r="H253" s="14">
        <v>35.0</v>
      </c>
      <c r="I253" s="50">
        <f t="shared" si="3"/>
        <v>1050</v>
      </c>
      <c r="J253" s="23" t="s">
        <v>280</v>
      </c>
    </row>
    <row r="254">
      <c r="E254" s="139"/>
      <c r="F254" s="57" t="s">
        <v>285</v>
      </c>
      <c r="G254" s="23">
        <v>20.0</v>
      </c>
      <c r="H254" s="14">
        <v>250.0</v>
      </c>
      <c r="I254" s="50">
        <f t="shared" si="3"/>
        <v>5000</v>
      </c>
      <c r="J254" s="23" t="s">
        <v>280</v>
      </c>
    </row>
    <row r="255">
      <c r="E255" s="139"/>
      <c r="F255" s="57" t="s">
        <v>286</v>
      </c>
      <c r="G255" s="23">
        <v>1.0</v>
      </c>
      <c r="H255" s="14">
        <v>450.0</v>
      </c>
      <c r="I255" s="50">
        <f t="shared" si="3"/>
        <v>450</v>
      </c>
      <c r="J255" s="23" t="s">
        <v>280</v>
      </c>
    </row>
    <row r="256">
      <c r="E256" s="139"/>
      <c r="F256" s="57" t="s">
        <v>217</v>
      </c>
      <c r="G256" s="23">
        <v>1.0</v>
      </c>
      <c r="H256" s="14">
        <v>400.0</v>
      </c>
      <c r="I256" s="50">
        <f t="shared" si="3"/>
        <v>400</v>
      </c>
      <c r="J256" s="23" t="s">
        <v>280</v>
      </c>
    </row>
    <row r="257">
      <c r="E257" s="139"/>
      <c r="F257" s="57" t="s">
        <v>186</v>
      </c>
      <c r="G257" s="23">
        <v>1.0</v>
      </c>
      <c r="H257" s="14">
        <v>1700.0</v>
      </c>
      <c r="I257" s="50">
        <f t="shared" si="3"/>
        <v>1700</v>
      </c>
      <c r="J257" s="23" t="s">
        <v>280</v>
      </c>
    </row>
    <row r="258">
      <c r="E258" s="139"/>
      <c r="F258" s="57" t="s">
        <v>287</v>
      </c>
      <c r="G258" s="23">
        <v>1.0</v>
      </c>
      <c r="H258" s="14">
        <v>700.0</v>
      </c>
      <c r="I258" s="50">
        <f t="shared" si="3"/>
        <v>700</v>
      </c>
      <c r="J258" s="23" t="s">
        <v>280</v>
      </c>
    </row>
    <row r="259">
      <c r="E259" s="139"/>
      <c r="F259" s="57" t="s">
        <v>288</v>
      </c>
      <c r="G259" s="23">
        <v>1.0</v>
      </c>
      <c r="H259" s="14">
        <v>600.0</v>
      </c>
      <c r="I259" s="50">
        <f t="shared" si="3"/>
        <v>600</v>
      </c>
      <c r="J259" s="23" t="s">
        <v>280</v>
      </c>
    </row>
    <row r="260">
      <c r="E260" s="139"/>
      <c r="F260" s="57" t="s">
        <v>149</v>
      </c>
      <c r="G260" s="23">
        <v>20.0</v>
      </c>
      <c r="H260" s="14">
        <v>170.0</v>
      </c>
      <c r="I260" s="50">
        <f t="shared" si="3"/>
        <v>3400</v>
      </c>
      <c r="J260" s="13">
        <v>45009.0</v>
      </c>
    </row>
    <row r="261">
      <c r="E261" s="139"/>
      <c r="F261" s="57" t="s">
        <v>150</v>
      </c>
      <c r="G261" s="23">
        <v>3.0</v>
      </c>
      <c r="H261" s="14">
        <v>850.0</v>
      </c>
      <c r="I261" s="50">
        <f t="shared" si="3"/>
        <v>2550</v>
      </c>
      <c r="J261" s="23" t="s">
        <v>289</v>
      </c>
    </row>
    <row r="262">
      <c r="E262" s="139"/>
      <c r="F262" s="57" t="s">
        <v>141</v>
      </c>
      <c r="G262" s="23">
        <v>20.0</v>
      </c>
      <c r="H262" s="14">
        <v>120.0</v>
      </c>
      <c r="I262" s="50">
        <f t="shared" si="3"/>
        <v>2400</v>
      </c>
      <c r="J262" s="13">
        <v>45011.0</v>
      </c>
    </row>
    <row r="263">
      <c r="E263" s="139"/>
      <c r="F263" s="57" t="s">
        <v>186</v>
      </c>
      <c r="G263" s="23">
        <v>1.0</v>
      </c>
      <c r="H263" s="14">
        <v>1700.0</v>
      </c>
      <c r="I263" s="50">
        <f t="shared" si="3"/>
        <v>1700</v>
      </c>
      <c r="J263" s="13">
        <v>45012.0</v>
      </c>
    </row>
    <row r="264">
      <c r="E264" s="139"/>
      <c r="F264" s="57" t="s">
        <v>290</v>
      </c>
      <c r="G264" s="23">
        <v>1.0</v>
      </c>
      <c r="H264" s="14">
        <v>2200.0</v>
      </c>
      <c r="I264" s="50">
        <f t="shared" si="3"/>
        <v>2200</v>
      </c>
      <c r="J264" s="13">
        <v>45012.0</v>
      </c>
    </row>
    <row r="265">
      <c r="E265" s="139"/>
      <c r="F265" s="57" t="s">
        <v>291</v>
      </c>
      <c r="G265" s="23">
        <v>10.0</v>
      </c>
      <c r="H265" s="14">
        <v>65.0</v>
      </c>
      <c r="I265" s="50">
        <f t="shared" si="3"/>
        <v>650</v>
      </c>
      <c r="J265" s="13">
        <v>45012.0</v>
      </c>
    </row>
    <row r="266">
      <c r="E266" s="139"/>
      <c r="F266" s="57" t="s">
        <v>292</v>
      </c>
      <c r="G266" s="23">
        <v>35.0</v>
      </c>
      <c r="H266" s="14">
        <v>30.0</v>
      </c>
      <c r="I266" s="50">
        <f t="shared" si="3"/>
        <v>1050</v>
      </c>
      <c r="J266" s="13">
        <v>45012.0</v>
      </c>
    </row>
    <row r="267">
      <c r="E267" s="139"/>
      <c r="F267" s="57" t="s">
        <v>188</v>
      </c>
      <c r="G267" s="23">
        <v>3.0</v>
      </c>
      <c r="H267" s="14">
        <v>100.0</v>
      </c>
      <c r="I267" s="50">
        <f t="shared" si="3"/>
        <v>300</v>
      </c>
      <c r="J267" s="13">
        <v>45012.0</v>
      </c>
    </row>
    <row r="268">
      <c r="E268" s="139"/>
      <c r="F268" s="57" t="s">
        <v>293</v>
      </c>
      <c r="G268" s="23">
        <v>37.0</v>
      </c>
      <c r="H268" s="14">
        <v>30.0</v>
      </c>
      <c r="I268" s="50">
        <f t="shared" si="3"/>
        <v>1110</v>
      </c>
      <c r="J268" s="13">
        <v>45012.0</v>
      </c>
    </row>
    <row r="269">
      <c r="E269" s="139"/>
      <c r="F269" s="57" t="s">
        <v>294</v>
      </c>
      <c r="G269" s="23">
        <v>30.0</v>
      </c>
      <c r="H269" s="14">
        <v>7.5</v>
      </c>
      <c r="I269" s="50">
        <f t="shared" si="3"/>
        <v>225</v>
      </c>
      <c r="J269" s="13">
        <v>45012.0</v>
      </c>
    </row>
    <row r="270">
      <c r="E270" s="139"/>
      <c r="F270" s="57" t="s">
        <v>187</v>
      </c>
      <c r="G270" s="23">
        <v>2.0</v>
      </c>
      <c r="H270" s="14">
        <v>180.0</v>
      </c>
      <c r="I270" s="50">
        <f t="shared" si="3"/>
        <v>360</v>
      </c>
      <c r="J270" s="13">
        <v>45012.0</v>
      </c>
    </row>
    <row r="271">
      <c r="E271" s="139"/>
      <c r="F271" s="57" t="s">
        <v>295</v>
      </c>
      <c r="G271" s="23">
        <v>4.0</v>
      </c>
      <c r="H271" s="14">
        <v>850.0</v>
      </c>
      <c r="I271" s="50">
        <f t="shared" si="3"/>
        <v>3400</v>
      </c>
      <c r="J271" s="13">
        <v>45012.0</v>
      </c>
    </row>
    <row r="272">
      <c r="E272" s="139"/>
      <c r="F272" s="57" t="s">
        <v>224</v>
      </c>
      <c r="G272" s="23">
        <v>3.0</v>
      </c>
      <c r="H272" s="14">
        <v>200.0</v>
      </c>
      <c r="I272" s="50">
        <f t="shared" si="3"/>
        <v>600</v>
      </c>
      <c r="J272" s="13">
        <v>45012.0</v>
      </c>
    </row>
    <row r="273">
      <c r="E273" s="139"/>
      <c r="F273" s="57" t="s">
        <v>296</v>
      </c>
      <c r="G273" s="23">
        <v>1.0</v>
      </c>
      <c r="H273" s="14">
        <v>50.0</v>
      </c>
      <c r="I273" s="50">
        <f t="shared" si="3"/>
        <v>50</v>
      </c>
      <c r="J273" s="13">
        <v>45012.0</v>
      </c>
    </row>
    <row r="274">
      <c r="E274" s="139"/>
      <c r="F274" s="57" t="s">
        <v>297</v>
      </c>
      <c r="G274" s="23">
        <v>10.0</v>
      </c>
      <c r="H274" s="14">
        <v>15.0</v>
      </c>
      <c r="I274" s="50">
        <f t="shared" si="3"/>
        <v>150</v>
      </c>
      <c r="J274" s="13">
        <v>45012.0</v>
      </c>
    </row>
    <row r="275">
      <c r="E275" s="139"/>
      <c r="F275" s="57" t="s">
        <v>141</v>
      </c>
      <c r="G275" s="23">
        <v>3.0</v>
      </c>
      <c r="H275" s="14">
        <v>100.0</v>
      </c>
      <c r="I275" s="50">
        <f t="shared" si="3"/>
        <v>300</v>
      </c>
      <c r="J275" s="13">
        <v>45012.0</v>
      </c>
    </row>
    <row r="276">
      <c r="E276" s="139"/>
      <c r="F276" s="57" t="s">
        <v>234</v>
      </c>
      <c r="G276" s="23">
        <v>20.0</v>
      </c>
      <c r="H276" s="14">
        <v>70.0</v>
      </c>
      <c r="I276" s="50">
        <f t="shared" si="3"/>
        <v>1400</v>
      </c>
      <c r="J276" s="13">
        <v>45012.0</v>
      </c>
    </row>
    <row r="277">
      <c r="E277" s="139"/>
      <c r="F277" s="57" t="s">
        <v>298</v>
      </c>
      <c r="G277" s="23">
        <v>3.0</v>
      </c>
      <c r="H277" s="14">
        <v>450.0</v>
      </c>
      <c r="I277" s="50">
        <f t="shared" si="3"/>
        <v>1350</v>
      </c>
      <c r="J277" s="13">
        <v>45012.0</v>
      </c>
    </row>
    <row r="278">
      <c r="E278" s="139"/>
      <c r="F278" s="57" t="s">
        <v>299</v>
      </c>
      <c r="G278" s="23">
        <v>10.0</v>
      </c>
      <c r="H278" s="14">
        <v>20.0</v>
      </c>
      <c r="I278" s="50">
        <f t="shared" si="3"/>
        <v>200</v>
      </c>
      <c r="J278" s="13">
        <v>45013.0</v>
      </c>
    </row>
    <row r="279">
      <c r="E279" s="139"/>
      <c r="F279" s="57" t="s">
        <v>300</v>
      </c>
      <c r="G279" s="23">
        <v>2.0</v>
      </c>
      <c r="H279" s="14">
        <v>100.0</v>
      </c>
      <c r="I279" s="50">
        <f t="shared" si="3"/>
        <v>200</v>
      </c>
      <c r="J279" s="13">
        <v>45013.0</v>
      </c>
    </row>
    <row r="280">
      <c r="E280" s="139"/>
      <c r="F280" s="57" t="s">
        <v>301</v>
      </c>
      <c r="G280" s="23">
        <v>2.0</v>
      </c>
      <c r="H280" s="14">
        <v>200.0</v>
      </c>
      <c r="I280" s="50">
        <f t="shared" si="3"/>
        <v>400</v>
      </c>
      <c r="J280" s="13">
        <v>45013.0</v>
      </c>
    </row>
    <row r="281">
      <c r="E281" s="139"/>
      <c r="F281" s="57" t="s">
        <v>141</v>
      </c>
      <c r="G281" s="23">
        <v>10.0</v>
      </c>
      <c r="H281" s="14">
        <v>120.0</v>
      </c>
      <c r="I281" s="50">
        <f t="shared" si="3"/>
        <v>1200</v>
      </c>
      <c r="J281" s="13">
        <v>45013.0</v>
      </c>
    </row>
    <row r="282">
      <c r="E282" s="139"/>
      <c r="F282" s="57" t="s">
        <v>302</v>
      </c>
      <c r="G282" s="23">
        <v>1.0</v>
      </c>
      <c r="H282" s="14">
        <v>200.0</v>
      </c>
      <c r="I282" s="50">
        <f t="shared" si="3"/>
        <v>200</v>
      </c>
      <c r="J282" s="13">
        <v>45013.0</v>
      </c>
    </row>
    <row r="283">
      <c r="E283" s="139"/>
      <c r="F283" s="57" t="s">
        <v>187</v>
      </c>
      <c r="G283" s="23">
        <v>4.0</v>
      </c>
      <c r="H283" s="14">
        <v>75.0</v>
      </c>
      <c r="I283" s="50">
        <f t="shared" si="3"/>
        <v>300</v>
      </c>
      <c r="J283" s="13">
        <v>45013.0</v>
      </c>
    </row>
    <row r="284">
      <c r="E284" s="139"/>
      <c r="F284" s="57" t="s">
        <v>303</v>
      </c>
      <c r="G284" s="23">
        <v>3.0</v>
      </c>
      <c r="H284" s="14">
        <v>180.0</v>
      </c>
      <c r="I284" s="50">
        <f t="shared" si="3"/>
        <v>540</v>
      </c>
      <c r="J284" s="13">
        <v>45013.0</v>
      </c>
    </row>
    <row r="285">
      <c r="E285" s="139"/>
      <c r="F285" s="57" t="s">
        <v>274</v>
      </c>
      <c r="G285" s="23">
        <v>2.0</v>
      </c>
      <c r="H285" s="14">
        <v>100.0</v>
      </c>
      <c r="I285" s="50">
        <f t="shared" si="3"/>
        <v>200</v>
      </c>
      <c r="J285" s="13">
        <v>45013.0</v>
      </c>
    </row>
    <row r="286">
      <c r="E286" s="139"/>
      <c r="F286" s="57" t="s">
        <v>304</v>
      </c>
      <c r="G286" s="23">
        <v>10.0</v>
      </c>
      <c r="H286" s="14">
        <v>900.0</v>
      </c>
      <c r="I286" s="50">
        <f t="shared" si="3"/>
        <v>9000</v>
      </c>
      <c r="J286" s="13">
        <v>45013.0</v>
      </c>
    </row>
    <row r="287">
      <c r="E287" s="139"/>
      <c r="F287" s="57" t="s">
        <v>152</v>
      </c>
      <c r="G287" s="23">
        <v>1.0</v>
      </c>
      <c r="H287" s="14">
        <v>1345.0</v>
      </c>
      <c r="I287" s="50">
        <f t="shared" si="3"/>
        <v>1345</v>
      </c>
      <c r="J287" s="13">
        <v>45013.0</v>
      </c>
    </row>
    <row r="288">
      <c r="E288" s="139"/>
      <c r="F288" s="57" t="s">
        <v>305</v>
      </c>
      <c r="G288" s="23">
        <v>4.0</v>
      </c>
      <c r="H288" s="14">
        <v>200.0</v>
      </c>
      <c r="I288" s="50">
        <f t="shared" si="3"/>
        <v>800</v>
      </c>
      <c r="J288" s="23" t="s">
        <v>306</v>
      </c>
    </row>
    <row r="289">
      <c r="E289" s="139"/>
      <c r="F289" s="57" t="s">
        <v>307</v>
      </c>
      <c r="G289" s="23">
        <v>2.0</v>
      </c>
      <c r="H289" s="14">
        <v>850.0</v>
      </c>
      <c r="I289" s="50">
        <f t="shared" si="3"/>
        <v>1700</v>
      </c>
      <c r="J289" s="13">
        <v>45015.0</v>
      </c>
    </row>
    <row r="290">
      <c r="E290" s="139"/>
      <c r="F290" s="57" t="s">
        <v>308</v>
      </c>
      <c r="G290" s="23">
        <v>2.0</v>
      </c>
      <c r="H290" s="14">
        <v>60.0</v>
      </c>
      <c r="I290" s="50">
        <f t="shared" si="3"/>
        <v>120</v>
      </c>
      <c r="J290" s="13">
        <v>45015.0</v>
      </c>
    </row>
    <row r="291">
      <c r="E291" s="139"/>
      <c r="F291" s="57" t="s">
        <v>309</v>
      </c>
      <c r="G291" s="23">
        <v>1.0</v>
      </c>
      <c r="H291" s="14">
        <v>60.0</v>
      </c>
      <c r="I291" s="50">
        <f t="shared" si="3"/>
        <v>60</v>
      </c>
      <c r="J291" s="13">
        <v>45015.0</v>
      </c>
    </row>
    <row r="292">
      <c r="E292" s="139"/>
      <c r="F292" s="57" t="s">
        <v>117</v>
      </c>
      <c r="G292" s="23">
        <v>1.0</v>
      </c>
      <c r="H292" s="14">
        <v>100.0</v>
      </c>
      <c r="I292" s="50">
        <f t="shared" si="3"/>
        <v>100</v>
      </c>
      <c r="J292" s="13">
        <v>45015.0</v>
      </c>
    </row>
    <row r="293">
      <c r="E293" s="139"/>
      <c r="F293" s="57" t="s">
        <v>310</v>
      </c>
      <c r="G293" s="23">
        <v>2.0</v>
      </c>
      <c r="H293" s="14">
        <v>160.0</v>
      </c>
      <c r="I293" s="50">
        <f t="shared" si="3"/>
        <v>320</v>
      </c>
      <c r="J293" s="13">
        <v>45015.0</v>
      </c>
    </row>
    <row r="294">
      <c r="E294" s="139"/>
      <c r="F294" s="57" t="s">
        <v>247</v>
      </c>
      <c r="G294" s="23">
        <v>1.0</v>
      </c>
      <c r="H294" s="14">
        <v>220.0</v>
      </c>
      <c r="I294" s="50">
        <f t="shared" si="3"/>
        <v>220</v>
      </c>
      <c r="J294" s="13">
        <v>45015.0</v>
      </c>
    </row>
    <row r="295">
      <c r="E295" s="139"/>
      <c r="F295" s="57" t="s">
        <v>217</v>
      </c>
      <c r="G295" s="23">
        <v>1.0</v>
      </c>
      <c r="H295" s="14">
        <v>450.0</v>
      </c>
      <c r="I295" s="50">
        <f t="shared" si="3"/>
        <v>450</v>
      </c>
      <c r="J295" s="13">
        <v>45015.0</v>
      </c>
    </row>
    <row r="296">
      <c r="E296" s="139"/>
      <c r="F296" s="57" t="s">
        <v>311</v>
      </c>
      <c r="G296" s="23">
        <v>1.0</v>
      </c>
      <c r="H296" s="14">
        <v>100.0</v>
      </c>
      <c r="I296" s="50">
        <f t="shared" si="3"/>
        <v>100</v>
      </c>
      <c r="J296" s="13">
        <v>45015.0</v>
      </c>
    </row>
    <row r="297">
      <c r="E297" s="139"/>
      <c r="F297" s="57" t="s">
        <v>312</v>
      </c>
      <c r="G297" s="23">
        <v>1.0</v>
      </c>
      <c r="H297" s="14">
        <v>930.0</v>
      </c>
      <c r="I297" s="50">
        <f t="shared" si="3"/>
        <v>930</v>
      </c>
      <c r="J297" s="13">
        <v>45015.0</v>
      </c>
    </row>
    <row r="298">
      <c r="E298" s="139"/>
      <c r="F298" s="57" t="s">
        <v>313</v>
      </c>
      <c r="G298" s="23">
        <v>20.0</v>
      </c>
      <c r="H298" s="14">
        <v>150.0</v>
      </c>
      <c r="I298" s="50">
        <f t="shared" si="3"/>
        <v>3000</v>
      </c>
      <c r="J298" s="13">
        <v>45015.0</v>
      </c>
    </row>
    <row r="299">
      <c r="E299" s="139"/>
      <c r="F299" s="57" t="s">
        <v>150</v>
      </c>
      <c r="G299" s="23">
        <v>4.0</v>
      </c>
      <c r="H299" s="14">
        <v>850.0</v>
      </c>
      <c r="I299" s="50">
        <f t="shared" si="3"/>
        <v>3400</v>
      </c>
      <c r="J299" s="13">
        <v>45015.0</v>
      </c>
    </row>
    <row r="300">
      <c r="E300" s="139"/>
      <c r="F300" s="57" t="s">
        <v>152</v>
      </c>
      <c r="G300" s="23">
        <v>1.0</v>
      </c>
      <c r="H300" s="14">
        <v>650.0</v>
      </c>
      <c r="I300" s="50">
        <f t="shared" si="3"/>
        <v>650</v>
      </c>
      <c r="J300" s="13">
        <v>45015.0</v>
      </c>
    </row>
    <row r="301">
      <c r="E301" s="139"/>
      <c r="F301" s="57" t="s">
        <v>314</v>
      </c>
      <c r="G301" s="23">
        <v>20.0</v>
      </c>
      <c r="H301" s="14">
        <v>15.0</v>
      </c>
      <c r="I301" s="50">
        <f t="shared" si="3"/>
        <v>300</v>
      </c>
      <c r="J301" s="13">
        <v>45015.0</v>
      </c>
    </row>
    <row r="302">
      <c r="E302" s="139"/>
      <c r="F302" s="57" t="s">
        <v>315</v>
      </c>
      <c r="G302" s="23">
        <v>1.0</v>
      </c>
      <c r="H302" s="14">
        <v>200.0</v>
      </c>
      <c r="I302" s="50">
        <f t="shared" si="3"/>
        <v>200</v>
      </c>
      <c r="J302" s="13">
        <v>45015.0</v>
      </c>
    </row>
    <row r="303">
      <c r="E303" s="139"/>
      <c r="F303" s="57" t="s">
        <v>198</v>
      </c>
      <c r="G303" s="23">
        <v>3.0</v>
      </c>
      <c r="H303" s="14">
        <v>170.0</v>
      </c>
      <c r="I303" s="50">
        <f t="shared" si="3"/>
        <v>510</v>
      </c>
      <c r="J303" s="13">
        <v>45015.0</v>
      </c>
    </row>
    <row r="304">
      <c r="E304" s="139"/>
      <c r="F304" s="57" t="s">
        <v>316</v>
      </c>
      <c r="G304" s="23">
        <v>1.0</v>
      </c>
      <c r="H304" s="14">
        <v>3000.0</v>
      </c>
      <c r="I304" s="50">
        <f t="shared" si="3"/>
        <v>3000</v>
      </c>
      <c r="J304" s="13">
        <v>45015.0</v>
      </c>
    </row>
    <row r="305">
      <c r="E305" s="139"/>
      <c r="F305" s="57" t="s">
        <v>317</v>
      </c>
      <c r="G305" s="23">
        <v>1.0</v>
      </c>
      <c r="H305" s="14">
        <v>3050.0</v>
      </c>
      <c r="I305" s="50">
        <f t="shared" si="3"/>
        <v>3050</v>
      </c>
      <c r="J305" s="13">
        <v>45015.0</v>
      </c>
    </row>
    <row r="306">
      <c r="E306" s="139"/>
      <c r="F306" s="12"/>
      <c r="G306" s="16"/>
      <c r="H306" s="50"/>
      <c r="I306" s="50">
        <f t="shared" si="3"/>
        <v>0</v>
      </c>
      <c r="J306" s="16"/>
    </row>
    <row r="307">
      <c r="E307" s="139"/>
      <c r="F307" s="12"/>
      <c r="G307" s="16"/>
      <c r="H307" s="50"/>
      <c r="I307" s="50">
        <f t="shared" si="3"/>
        <v>0</v>
      </c>
      <c r="J307" s="16"/>
    </row>
    <row r="308">
      <c r="E308" s="139"/>
      <c r="F308" s="12"/>
      <c r="G308" s="16"/>
      <c r="H308" s="50"/>
      <c r="I308" s="50">
        <f t="shared" si="3"/>
        <v>0</v>
      </c>
      <c r="J308" s="16"/>
    </row>
    <row r="309">
      <c r="E309" s="139"/>
      <c r="F309" s="12"/>
      <c r="G309" s="16"/>
      <c r="H309" s="50"/>
      <c r="I309" s="50">
        <f t="shared" si="3"/>
        <v>0</v>
      </c>
      <c r="J309" s="16"/>
    </row>
    <row r="310">
      <c r="E310" s="139"/>
      <c r="F310" s="12"/>
      <c r="G310" s="16"/>
      <c r="H310" s="50"/>
      <c r="I310" s="50">
        <f t="shared" si="3"/>
        <v>0</v>
      </c>
      <c r="J310" s="16"/>
    </row>
    <row r="311">
      <c r="E311" s="139"/>
      <c r="F311" s="12"/>
      <c r="G311" s="16"/>
      <c r="H311" s="50"/>
      <c r="I311" s="50">
        <f t="shared" si="3"/>
        <v>0</v>
      </c>
      <c r="J311" s="16"/>
    </row>
    <row r="312">
      <c r="E312" s="139"/>
      <c r="F312" s="12"/>
      <c r="G312" s="16"/>
      <c r="H312" s="50"/>
      <c r="I312" s="50">
        <f t="shared" si="3"/>
        <v>0</v>
      </c>
      <c r="J312" s="16"/>
    </row>
    <row r="313">
      <c r="E313" s="139"/>
      <c r="F313" s="12"/>
      <c r="G313" s="16"/>
      <c r="H313" s="50"/>
      <c r="I313" s="50">
        <f t="shared" si="3"/>
        <v>0</v>
      </c>
      <c r="J313" s="16"/>
    </row>
    <row r="314">
      <c r="E314" s="139"/>
      <c r="F314" s="12"/>
      <c r="G314" s="16"/>
      <c r="H314" s="50"/>
      <c r="I314" s="50">
        <f t="shared" si="3"/>
        <v>0</v>
      </c>
      <c r="J314" s="16"/>
    </row>
    <row r="315">
      <c r="E315" s="139"/>
      <c r="F315" s="12"/>
      <c r="G315" s="16"/>
      <c r="H315" s="50"/>
      <c r="I315" s="50">
        <f t="shared" si="3"/>
        <v>0</v>
      </c>
      <c r="J315" s="16"/>
    </row>
    <row r="316">
      <c r="E316" s="139"/>
      <c r="F316" s="12"/>
      <c r="G316" s="16"/>
      <c r="H316" s="50"/>
      <c r="I316" s="50">
        <f t="shared" si="3"/>
        <v>0</v>
      </c>
      <c r="J316" s="16"/>
    </row>
    <row r="317">
      <c r="E317" s="139"/>
      <c r="F317" s="12"/>
      <c r="G317" s="16"/>
      <c r="H317" s="50"/>
      <c r="I317" s="50">
        <f t="shared" si="3"/>
        <v>0</v>
      </c>
      <c r="J317" s="16"/>
    </row>
    <row r="318">
      <c r="E318" s="139"/>
      <c r="F318" s="12"/>
      <c r="G318" s="16"/>
      <c r="H318" s="50"/>
      <c r="I318" s="50">
        <f t="shared" si="3"/>
        <v>0</v>
      </c>
      <c r="J318" s="16"/>
    </row>
    <row r="319">
      <c r="E319" s="139"/>
      <c r="F319" s="12"/>
      <c r="G319" s="16"/>
      <c r="H319" s="50"/>
      <c r="I319" s="50">
        <f t="shared" si="3"/>
        <v>0</v>
      </c>
      <c r="J319" s="16"/>
    </row>
    <row r="320">
      <c r="E320" s="139"/>
      <c r="F320" s="12"/>
      <c r="G320" s="16"/>
      <c r="H320" s="50"/>
      <c r="I320" s="50">
        <f t="shared" si="3"/>
        <v>0</v>
      </c>
      <c r="J320" s="16"/>
    </row>
    <row r="321">
      <c r="E321" s="139"/>
      <c r="F321" s="12"/>
      <c r="G321" s="16"/>
      <c r="H321" s="50"/>
      <c r="I321" s="50">
        <f t="shared" si="3"/>
        <v>0</v>
      </c>
      <c r="J321" s="16"/>
    </row>
    <row r="322">
      <c r="E322" s="139"/>
      <c r="F322" s="12"/>
      <c r="G322" s="16"/>
      <c r="H322" s="50"/>
      <c r="I322" s="50">
        <f t="shared" si="3"/>
        <v>0</v>
      </c>
      <c r="J322" s="16"/>
    </row>
    <row r="323">
      <c r="E323" s="139"/>
      <c r="F323" s="12"/>
      <c r="G323" s="16"/>
      <c r="H323" s="50"/>
      <c r="I323" s="50">
        <f t="shared" si="3"/>
        <v>0</v>
      </c>
      <c r="J323" s="16"/>
    </row>
    <row r="324">
      <c r="E324" s="139"/>
      <c r="F324" s="12"/>
      <c r="G324" s="16"/>
      <c r="H324" s="50"/>
      <c r="I324" s="50">
        <f t="shared" si="3"/>
        <v>0</v>
      </c>
      <c r="J324" s="16"/>
    </row>
    <row r="325">
      <c r="E325" s="139"/>
      <c r="F325" s="12"/>
      <c r="G325" s="16"/>
      <c r="H325" s="50"/>
      <c r="I325" s="50">
        <f t="shared" si="3"/>
        <v>0</v>
      </c>
      <c r="J325" s="16"/>
    </row>
    <row r="326">
      <c r="E326" s="139"/>
      <c r="F326" s="12"/>
      <c r="G326" s="16"/>
      <c r="H326" s="50"/>
      <c r="I326" s="50">
        <f t="shared" si="3"/>
        <v>0</v>
      </c>
      <c r="J326" s="16"/>
    </row>
    <row r="327">
      <c r="E327" s="139"/>
      <c r="F327" s="12"/>
      <c r="G327" s="16"/>
      <c r="H327" s="50"/>
      <c r="I327" s="50">
        <f t="shared" si="3"/>
        <v>0</v>
      </c>
      <c r="J327" s="16"/>
    </row>
    <row r="328">
      <c r="E328" s="139"/>
      <c r="F328" s="12"/>
      <c r="G328" s="16"/>
      <c r="H328" s="50"/>
      <c r="I328" s="50">
        <f t="shared" si="3"/>
        <v>0</v>
      </c>
      <c r="J328" s="16"/>
    </row>
    <row r="329">
      <c r="E329" s="139"/>
      <c r="F329" s="12"/>
      <c r="G329" s="16"/>
      <c r="H329" s="50"/>
      <c r="I329" s="50">
        <f t="shared" si="3"/>
        <v>0</v>
      </c>
      <c r="J329" s="16"/>
    </row>
    <row r="330">
      <c r="E330" s="139"/>
      <c r="F330" s="12"/>
      <c r="G330" s="16"/>
      <c r="H330" s="50"/>
      <c r="I330" s="50">
        <f t="shared" si="3"/>
        <v>0</v>
      </c>
      <c r="J330" s="16"/>
    </row>
    <row r="331">
      <c r="E331" s="139"/>
      <c r="F331" s="12"/>
      <c r="G331" s="16"/>
      <c r="H331" s="50"/>
      <c r="I331" s="50">
        <f t="shared" si="3"/>
        <v>0</v>
      </c>
      <c r="J331" s="16"/>
    </row>
    <row r="332">
      <c r="E332" s="139"/>
      <c r="F332" s="152" t="s">
        <v>318</v>
      </c>
      <c r="G332" s="153">
        <v>1.0</v>
      </c>
      <c r="H332" s="154">
        <v>39000.0</v>
      </c>
      <c r="I332" s="155">
        <f t="shared" si="3"/>
        <v>39000</v>
      </c>
      <c r="J332" s="156">
        <v>45007.0</v>
      </c>
    </row>
    <row r="333">
      <c r="E333" s="139"/>
      <c r="F333" s="157" t="s">
        <v>319</v>
      </c>
      <c r="G333" s="158">
        <v>1.0</v>
      </c>
      <c r="H333" s="38">
        <v>500.0</v>
      </c>
      <c r="I333" s="38">
        <v>500.0</v>
      </c>
      <c r="J333" s="158" t="s">
        <v>269</v>
      </c>
    </row>
    <row r="334">
      <c r="E334" s="139"/>
      <c r="F334" s="157" t="s">
        <v>320</v>
      </c>
      <c r="G334" s="158">
        <v>2.0</v>
      </c>
      <c r="H334" s="38">
        <v>5000.0</v>
      </c>
      <c r="I334" s="20">
        <f t="shared" ref="I334:I335" si="4">H334*G334</f>
        <v>10000</v>
      </c>
      <c r="J334" s="158" t="s">
        <v>269</v>
      </c>
      <c r="L334" s="159">
        <f>I332+I333+I334</f>
        <v>49500</v>
      </c>
    </row>
    <row r="335">
      <c r="E335" s="139"/>
      <c r="F335" s="160"/>
      <c r="G335" s="161"/>
      <c r="H335" s="162"/>
      <c r="I335" s="50">
        <f t="shared" si="4"/>
        <v>0</v>
      </c>
      <c r="J335" s="161"/>
    </row>
    <row r="336">
      <c r="F336" s="105"/>
      <c r="G336" s="1"/>
      <c r="H336" s="1"/>
      <c r="I336" s="163">
        <f>SUM(I2:I335)</f>
        <v>934647.6</v>
      </c>
      <c r="J336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13"/>
    <col customWidth="1" min="6" max="6" width="22.38"/>
    <col customWidth="1" min="11" max="11" width="26.13"/>
    <col customWidth="1" min="12" max="12" width="25.88"/>
    <col customWidth="1" min="16" max="16" width="26.63"/>
    <col customWidth="1" min="17" max="17" width="26.88"/>
    <col customWidth="1" min="18" max="18" width="25.63"/>
  </cols>
  <sheetData>
    <row r="10">
      <c r="K10" s="97"/>
      <c r="L10" s="164" t="s">
        <v>321</v>
      </c>
    </row>
    <row r="11">
      <c r="K11" s="165" t="s">
        <v>2</v>
      </c>
      <c r="L11" s="34">
        <f>RECAP!D33*1</f>
        <v>1928000</v>
      </c>
    </row>
    <row r="12">
      <c r="K12" s="165" t="s">
        <v>3</v>
      </c>
      <c r="L12" s="34">
        <f>RECAP!E33*1</f>
        <v>934647.6</v>
      </c>
    </row>
    <row r="13">
      <c r="K13" s="165" t="s">
        <v>322</v>
      </c>
      <c r="L13" s="34">
        <f>RECAP!F33*1</f>
        <v>362681</v>
      </c>
    </row>
    <row r="14">
      <c r="K14" s="165" t="s">
        <v>5</v>
      </c>
      <c r="L14" s="55">
        <v>110000.0</v>
      </c>
    </row>
    <row r="15">
      <c r="K15" s="165" t="s">
        <v>323</v>
      </c>
      <c r="L15" s="34">
        <f>RECAP!H33*1</f>
        <v>520671.4</v>
      </c>
    </row>
    <row r="18">
      <c r="P18" s="97"/>
      <c r="Q18" s="166" t="s">
        <v>324</v>
      </c>
      <c r="R18" s="164" t="s">
        <v>321</v>
      </c>
    </row>
    <row r="19">
      <c r="P19" s="165" t="s">
        <v>2</v>
      </c>
      <c r="Q19" s="55">
        <v>1400000.0</v>
      </c>
      <c r="R19" s="55">
        <v>1928000.0</v>
      </c>
    </row>
    <row r="20">
      <c r="P20" s="165" t="s">
        <v>3</v>
      </c>
      <c r="Q20" s="55">
        <v>597000.0</v>
      </c>
      <c r="R20" s="55">
        <v>938000.0</v>
      </c>
      <c r="S20" s="167">
        <f>R20-Q20</f>
        <v>341000</v>
      </c>
    </row>
    <row r="21">
      <c r="P21" s="165" t="s">
        <v>322</v>
      </c>
      <c r="Q21" s="55">
        <v>413000.0</v>
      </c>
      <c r="R21" s="55">
        <v>360000.0</v>
      </c>
    </row>
    <row r="22">
      <c r="D22" s="152" t="s">
        <v>318</v>
      </c>
      <c r="E22" s="153">
        <v>1.0</v>
      </c>
      <c r="F22" s="154">
        <v>39000.0</v>
      </c>
      <c r="P22" s="165" t="s">
        <v>5</v>
      </c>
      <c r="Q22" s="55">
        <v>110000.0</v>
      </c>
      <c r="R22" s="55">
        <v>110000.0</v>
      </c>
    </row>
    <row r="23">
      <c r="D23" s="157" t="s">
        <v>319</v>
      </c>
      <c r="E23" s="158">
        <v>1.0</v>
      </c>
      <c r="F23" s="38">
        <v>500.0</v>
      </c>
      <c r="P23" s="165" t="s">
        <v>323</v>
      </c>
      <c r="Q23" s="55">
        <v>280000.0</v>
      </c>
      <c r="R23" s="55">
        <v>520000.0</v>
      </c>
    </row>
    <row r="24">
      <c r="D24" s="157" t="s">
        <v>320</v>
      </c>
      <c r="E24" s="158">
        <v>2.0</v>
      </c>
      <c r="F24" s="38">
        <v>10000.0</v>
      </c>
    </row>
    <row r="25">
      <c r="F25" s="159">
        <f>SUM(F22:F24)</f>
        <v>49500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63"/>
    <col customWidth="1" min="3" max="3" width="34.63"/>
    <col customWidth="1" min="4" max="4" width="39.88"/>
    <col customWidth="1" min="5" max="5" width="38.38"/>
  </cols>
  <sheetData>
    <row r="6">
      <c r="B6" s="168" t="s">
        <v>325</v>
      </c>
      <c r="C6" s="168" t="s">
        <v>326</v>
      </c>
      <c r="D6" s="168" t="s">
        <v>88</v>
      </c>
      <c r="E6" s="168" t="s">
        <v>327</v>
      </c>
    </row>
    <row r="7">
      <c r="B7" s="169" t="s">
        <v>328</v>
      </c>
      <c r="C7" s="169">
        <v>1.0</v>
      </c>
      <c r="D7" s="169">
        <v>100.0</v>
      </c>
      <c r="E7" s="170">
        <f t="shared" ref="E7:E41" si="1">C7*D7</f>
        <v>100</v>
      </c>
    </row>
    <row r="8">
      <c r="B8" s="169" t="s">
        <v>329</v>
      </c>
      <c r="C8" s="169">
        <v>1.0</v>
      </c>
      <c r="D8" s="169">
        <v>100.0</v>
      </c>
      <c r="E8" s="170">
        <f t="shared" si="1"/>
        <v>100</v>
      </c>
    </row>
    <row r="9">
      <c r="B9" s="169" t="s">
        <v>291</v>
      </c>
      <c r="C9" s="169">
        <v>6.0</v>
      </c>
      <c r="D9" s="169">
        <v>65.0</v>
      </c>
      <c r="E9" s="170">
        <f t="shared" si="1"/>
        <v>390</v>
      </c>
    </row>
    <row r="10">
      <c r="B10" s="169" t="s">
        <v>140</v>
      </c>
      <c r="C10" s="169">
        <v>1.0</v>
      </c>
      <c r="D10" s="169">
        <v>400.0</v>
      </c>
      <c r="E10" s="170">
        <f t="shared" si="1"/>
        <v>400</v>
      </c>
    </row>
    <row r="11">
      <c r="B11" s="169" t="s">
        <v>216</v>
      </c>
      <c r="C11" s="169">
        <v>2.0</v>
      </c>
      <c r="D11" s="169">
        <v>400.0</v>
      </c>
      <c r="E11" s="170">
        <f t="shared" si="1"/>
        <v>800</v>
      </c>
    </row>
    <row r="12">
      <c r="B12" s="169" t="s">
        <v>304</v>
      </c>
      <c r="C12" s="169">
        <v>2.0</v>
      </c>
      <c r="D12" s="169">
        <v>800.0</v>
      </c>
      <c r="E12" s="170">
        <f t="shared" si="1"/>
        <v>1600</v>
      </c>
    </row>
    <row r="13">
      <c r="B13" s="169" t="s">
        <v>330</v>
      </c>
      <c r="C13" s="169">
        <v>2.0</v>
      </c>
      <c r="D13" s="169">
        <v>450.0</v>
      </c>
      <c r="E13" s="170">
        <f t="shared" si="1"/>
        <v>900</v>
      </c>
    </row>
    <row r="14">
      <c r="B14" s="169" t="s">
        <v>331</v>
      </c>
      <c r="C14" s="169">
        <v>2.0</v>
      </c>
      <c r="D14" s="169">
        <v>350.0</v>
      </c>
      <c r="E14" s="170">
        <f t="shared" si="1"/>
        <v>700</v>
      </c>
    </row>
    <row r="15">
      <c r="B15" s="169" t="s">
        <v>332</v>
      </c>
      <c r="C15" s="169">
        <v>20.0</v>
      </c>
      <c r="D15" s="169">
        <v>170.0</v>
      </c>
      <c r="E15" s="170">
        <f t="shared" si="1"/>
        <v>3400</v>
      </c>
    </row>
    <row r="16">
      <c r="B16" s="169" t="s">
        <v>233</v>
      </c>
      <c r="C16" s="169">
        <v>1.0</v>
      </c>
      <c r="D16" s="169">
        <v>400.0</v>
      </c>
      <c r="E16" s="170">
        <f t="shared" si="1"/>
        <v>400</v>
      </c>
    </row>
    <row r="17">
      <c r="B17" s="169" t="s">
        <v>176</v>
      </c>
      <c r="C17" s="169">
        <v>1.0</v>
      </c>
      <c r="D17" s="169">
        <v>230.0</v>
      </c>
      <c r="E17" s="170">
        <f t="shared" si="1"/>
        <v>230</v>
      </c>
    </row>
    <row r="18">
      <c r="B18" s="169" t="s">
        <v>333</v>
      </c>
      <c r="C18" s="169">
        <v>8.0</v>
      </c>
      <c r="D18" s="169">
        <v>200.0</v>
      </c>
      <c r="E18" s="170">
        <f t="shared" si="1"/>
        <v>1600</v>
      </c>
    </row>
    <row r="19">
      <c r="B19" s="170"/>
      <c r="C19" s="170"/>
      <c r="D19" s="170"/>
      <c r="E19" s="170">
        <f t="shared" si="1"/>
        <v>0</v>
      </c>
    </row>
    <row r="20">
      <c r="B20" s="170"/>
      <c r="C20" s="170"/>
      <c r="D20" s="170"/>
      <c r="E20" s="170">
        <f t="shared" si="1"/>
        <v>0</v>
      </c>
    </row>
    <row r="21">
      <c r="B21" s="170"/>
      <c r="C21" s="170"/>
      <c r="D21" s="170"/>
      <c r="E21" s="170">
        <f t="shared" si="1"/>
        <v>0</v>
      </c>
    </row>
    <row r="22">
      <c r="B22" s="170"/>
      <c r="C22" s="170"/>
      <c r="D22" s="170"/>
      <c r="E22" s="170">
        <f t="shared" si="1"/>
        <v>0</v>
      </c>
    </row>
    <row r="23">
      <c r="B23" s="170"/>
      <c r="C23" s="170"/>
      <c r="D23" s="170"/>
      <c r="E23" s="170">
        <f t="shared" si="1"/>
        <v>0</v>
      </c>
    </row>
    <row r="24">
      <c r="B24" s="170"/>
      <c r="C24" s="170"/>
      <c r="D24" s="170"/>
      <c r="E24" s="170">
        <f t="shared" si="1"/>
        <v>0</v>
      </c>
    </row>
    <row r="25">
      <c r="B25" s="170"/>
      <c r="C25" s="170"/>
      <c r="D25" s="170"/>
      <c r="E25" s="170">
        <f t="shared" si="1"/>
        <v>0</v>
      </c>
    </row>
    <row r="26">
      <c r="B26" s="170"/>
      <c r="C26" s="170"/>
      <c r="D26" s="170"/>
      <c r="E26" s="170">
        <f t="shared" si="1"/>
        <v>0</v>
      </c>
    </row>
    <row r="27">
      <c r="B27" s="170"/>
      <c r="C27" s="170"/>
      <c r="D27" s="170"/>
      <c r="E27" s="170">
        <f t="shared" si="1"/>
        <v>0</v>
      </c>
    </row>
    <row r="28">
      <c r="B28" s="170"/>
      <c r="C28" s="170"/>
      <c r="D28" s="170"/>
      <c r="E28" s="170">
        <f t="shared" si="1"/>
        <v>0</v>
      </c>
    </row>
    <row r="29">
      <c r="B29" s="170"/>
      <c r="C29" s="170"/>
      <c r="D29" s="170"/>
      <c r="E29" s="170">
        <f t="shared" si="1"/>
        <v>0</v>
      </c>
    </row>
    <row r="30">
      <c r="B30" s="170"/>
      <c r="C30" s="170"/>
      <c r="D30" s="170"/>
      <c r="E30" s="170">
        <f t="shared" si="1"/>
        <v>0</v>
      </c>
    </row>
    <row r="31">
      <c r="B31" s="170"/>
      <c r="C31" s="170"/>
      <c r="D31" s="170"/>
      <c r="E31" s="170">
        <f t="shared" si="1"/>
        <v>0</v>
      </c>
    </row>
    <row r="32">
      <c r="B32" s="170"/>
      <c r="C32" s="170"/>
      <c r="D32" s="170"/>
      <c r="E32" s="170">
        <f t="shared" si="1"/>
        <v>0</v>
      </c>
    </row>
    <row r="33">
      <c r="B33" s="170"/>
      <c r="C33" s="170"/>
      <c r="D33" s="170"/>
      <c r="E33" s="170">
        <f t="shared" si="1"/>
        <v>0</v>
      </c>
    </row>
    <row r="34">
      <c r="B34" s="170"/>
      <c r="C34" s="170"/>
      <c r="D34" s="170"/>
      <c r="E34" s="170">
        <f t="shared" si="1"/>
        <v>0</v>
      </c>
    </row>
    <row r="35">
      <c r="B35" s="170"/>
      <c r="C35" s="170"/>
      <c r="D35" s="170"/>
      <c r="E35" s="170">
        <f t="shared" si="1"/>
        <v>0</v>
      </c>
    </row>
    <row r="36">
      <c r="B36" s="170"/>
      <c r="C36" s="170"/>
      <c r="D36" s="170"/>
      <c r="E36" s="170">
        <f t="shared" si="1"/>
        <v>0</v>
      </c>
    </row>
    <row r="37">
      <c r="B37" s="170"/>
      <c r="C37" s="170"/>
      <c r="D37" s="170"/>
      <c r="E37" s="170">
        <f t="shared" si="1"/>
        <v>0</v>
      </c>
    </row>
    <row r="38">
      <c r="B38" s="170"/>
      <c r="C38" s="170"/>
      <c r="D38" s="170"/>
      <c r="E38" s="170">
        <f t="shared" si="1"/>
        <v>0</v>
      </c>
    </row>
    <row r="39">
      <c r="B39" s="170"/>
      <c r="C39" s="170"/>
      <c r="D39" s="170"/>
      <c r="E39" s="170">
        <f t="shared" si="1"/>
        <v>0</v>
      </c>
    </row>
    <row r="40">
      <c r="B40" s="170"/>
      <c r="C40" s="170"/>
      <c r="D40" s="170"/>
      <c r="E40" s="170">
        <f t="shared" si="1"/>
        <v>0</v>
      </c>
    </row>
    <row r="41">
      <c r="B41" s="170"/>
      <c r="C41" s="170"/>
      <c r="D41" s="170"/>
      <c r="E41" s="170">
        <f t="shared" si="1"/>
        <v>0</v>
      </c>
    </row>
    <row r="42">
      <c r="B42" s="170"/>
      <c r="C42" s="170"/>
      <c r="D42" s="170"/>
      <c r="E42" s="171">
        <f>SUM(E7:E41)</f>
        <v>10620</v>
      </c>
    </row>
  </sheetData>
  <drawing r:id="rId1"/>
</worksheet>
</file>