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" sheetId="4" r:id="rId7"/>
    <sheet state="visible" name="Feuille 5" sheetId="5" r:id="rId8"/>
  </sheets>
  <definedNames/>
  <calcPr/>
</workbook>
</file>

<file path=xl/sharedStrings.xml><?xml version="1.0" encoding="utf-8"?>
<sst xmlns="http://schemas.openxmlformats.org/spreadsheetml/2006/main" count="490" uniqueCount="300">
  <si>
    <t>Date</t>
  </si>
  <si>
    <t>Recette de Novembre 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</si>
  <si>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</si>
  <si>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</si>
  <si>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</si>
  <si>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</si>
  <si>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</si>
  <si>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</si>
  <si>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</si>
  <si>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Novembre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</si>
  <si>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</si>
  <si>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</si>
  <si>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</si>
  <si>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</si>
  <si>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Jeudi</t>
  </si>
  <si>
    <t>vendredi</t>
  </si>
  <si>
    <t>samedi</t>
  </si>
  <si>
    <t xml:space="preserve">Moyenne des charges par jour </t>
  </si>
  <si>
    <t xml:space="preserve">Objectif </t>
  </si>
  <si>
    <t>dimanche</t>
  </si>
  <si>
    <t>lundi</t>
  </si>
  <si>
    <t>²</t>
  </si>
  <si>
    <t>mardi</t>
  </si>
  <si>
    <t>mercredi</t>
  </si>
  <si>
    <t xml:space="preserve">Cash restant </t>
  </si>
  <si>
    <t>Magasin</t>
  </si>
  <si>
    <t xml:space="preserve">caisse </t>
  </si>
  <si>
    <t>cash en attente pour le récupérer =Dettes éxterieurs</t>
  </si>
  <si>
    <t>jeudi</t>
  </si>
  <si>
    <t xml:space="preserve"> </t>
  </si>
  <si>
    <t>Sofiane: 120000+500000</t>
  </si>
  <si>
    <t>loyer</t>
  </si>
  <si>
    <t>l</t>
  </si>
  <si>
    <t>caisse: 15000</t>
  </si>
  <si>
    <t>mokrani: 71000</t>
  </si>
  <si>
    <t>ccp 40000</t>
  </si>
  <si>
    <t>Sofiane Loyer Magasin</t>
  </si>
  <si>
    <t xml:space="preserve">Différence mois de Novembre </t>
  </si>
  <si>
    <t xml:space="preserve">Bénéfice Mois de Novembre </t>
  </si>
  <si>
    <t>Amel</t>
  </si>
  <si>
    <t xml:space="preserve">Différence objectif </t>
  </si>
  <si>
    <t xml:space="preserve">Sofiane complément loyer + vidange +le reste du bénéfice </t>
  </si>
  <si>
    <t>60000+10000+67000</t>
  </si>
  <si>
    <t xml:space="preserve">Les vendredis </t>
  </si>
  <si>
    <r>
      <rPr>
        <rFont val="Arial"/>
        <color theme="1"/>
        <sz val="18.0"/>
      </rPr>
      <t xml:space="preserve">Cash réel avec le bénéfice du </t>
    </r>
    <r>
      <rPr>
        <rFont val="Arial"/>
        <color theme="1"/>
        <sz val="18.0"/>
      </rPr>
      <t xml:space="preserve">Mois de Novembre </t>
    </r>
  </si>
  <si>
    <t>Cash réel</t>
  </si>
  <si>
    <t>rest à payer</t>
  </si>
  <si>
    <t xml:space="preserve">che7i7a </t>
  </si>
  <si>
    <t>Mois d'Octobre</t>
  </si>
  <si>
    <t xml:space="preserve">La différence </t>
  </si>
  <si>
    <t>Soumia</t>
  </si>
  <si>
    <t xml:space="preserve">Hafida </t>
  </si>
  <si>
    <t>Wahiba</t>
  </si>
  <si>
    <t>vendeuse</t>
  </si>
  <si>
    <t>djamila</t>
  </si>
  <si>
    <t>Nadjia</t>
  </si>
  <si>
    <t>Yousera</t>
  </si>
  <si>
    <t>Lynda</t>
  </si>
  <si>
    <t>Kenza</t>
  </si>
  <si>
    <t>Fouzia</t>
  </si>
  <si>
    <t xml:space="preserve">SAmira </t>
  </si>
  <si>
    <t>Alia</t>
  </si>
  <si>
    <t xml:space="preserve">Yasmine </t>
  </si>
  <si>
    <t>Farida</t>
  </si>
  <si>
    <t>Extra</t>
  </si>
  <si>
    <t>Remarque</t>
  </si>
  <si>
    <t>1,5</t>
  </si>
  <si>
    <t>0,5</t>
  </si>
  <si>
    <t>Produit</t>
  </si>
  <si>
    <t>Quantité</t>
  </si>
  <si>
    <t xml:space="preserve">Prix unitaire </t>
  </si>
  <si>
    <t>Prix</t>
  </si>
  <si>
    <t>Date d'achat</t>
  </si>
  <si>
    <t>oeufs</t>
  </si>
  <si>
    <t>Deyoul</t>
  </si>
  <si>
    <t>blanc de poulet + haché</t>
  </si>
  <si>
    <t xml:space="preserve">épinards </t>
  </si>
  <si>
    <t>thym</t>
  </si>
  <si>
    <t>rechta</t>
  </si>
  <si>
    <t xml:space="preserve">légumes </t>
  </si>
  <si>
    <t>détergents + couteau</t>
  </si>
  <si>
    <t xml:space="preserve">les pilles </t>
  </si>
  <si>
    <t>sac poubelle</t>
  </si>
  <si>
    <t>ma9ela</t>
  </si>
  <si>
    <t xml:space="preserve">épice poulet </t>
  </si>
  <si>
    <t>semoule Mama moyenne 2kg</t>
  </si>
  <si>
    <t>Hamoud 33cl</t>
  </si>
  <si>
    <t xml:space="preserve">cannette Hamoud </t>
  </si>
  <si>
    <t>Hamissa</t>
  </si>
  <si>
    <t>Olive noir</t>
  </si>
  <si>
    <t>bessel</t>
  </si>
  <si>
    <t>assila Madina</t>
  </si>
  <si>
    <t>24/11/2022</t>
  </si>
  <si>
    <t>fardeau semoule Moula 1kg</t>
  </si>
  <si>
    <t>fardeau semoule Moula 2kg</t>
  </si>
  <si>
    <t>semoule moyenne Amour</t>
  </si>
  <si>
    <t xml:space="preserve">huiles 2 litres </t>
  </si>
  <si>
    <t>huile 5 litres</t>
  </si>
  <si>
    <t>barquettes aluminium 1120</t>
  </si>
  <si>
    <t>19/11/2022</t>
  </si>
  <si>
    <t>barquettes aluminium 2 compartiments</t>
  </si>
  <si>
    <t>tofia 2kg</t>
  </si>
  <si>
    <t>sac croissant num24</t>
  </si>
  <si>
    <t>sac croissant num14</t>
  </si>
  <si>
    <t>papier aluminium</t>
  </si>
  <si>
    <t>boites 48/10  50</t>
  </si>
  <si>
    <t xml:space="preserve">cheddar </t>
  </si>
  <si>
    <t xml:space="preserve">fromage gouda </t>
  </si>
  <si>
    <t>moul quiches</t>
  </si>
  <si>
    <t>moul djouzia</t>
  </si>
  <si>
    <t>les poches</t>
  </si>
  <si>
    <t>nacré</t>
  </si>
  <si>
    <t>semoule Fine Mama 25kg</t>
  </si>
  <si>
    <t>farine Sim 1kg</t>
  </si>
  <si>
    <t>20/11/2022</t>
  </si>
  <si>
    <t>chocolat blanc wedjedan</t>
  </si>
  <si>
    <t>levure nouara</t>
  </si>
  <si>
    <t>sucre glace 1kg</t>
  </si>
  <si>
    <t xml:space="preserve">thon </t>
  </si>
  <si>
    <t>fromage bidon 2.2kg</t>
  </si>
  <si>
    <t>fromage bidon 3.8kg</t>
  </si>
  <si>
    <t>sac transparent</t>
  </si>
  <si>
    <t>Thermo</t>
  </si>
  <si>
    <t>sucre 25kg</t>
  </si>
  <si>
    <t>Jus Tchina 33cl</t>
  </si>
  <si>
    <t xml:space="preserve">maa zehar </t>
  </si>
  <si>
    <t>lait en poudre 500g</t>
  </si>
  <si>
    <t>Soda Slim 33cl</t>
  </si>
  <si>
    <t xml:space="preserve">Tomate conserve </t>
  </si>
  <si>
    <t>eau minéral lala khedidja 0.5litre</t>
  </si>
  <si>
    <t>canette pepes</t>
  </si>
  <si>
    <t>boite 08   100</t>
  </si>
  <si>
    <t>Confiture 1kg</t>
  </si>
  <si>
    <t>levure  boulangère</t>
  </si>
  <si>
    <t>Semen Madina 1.8kg</t>
  </si>
  <si>
    <t>Margarine Fleurial 500g 16 boites</t>
  </si>
  <si>
    <t>Margarine Fleurial 250g 40 boites</t>
  </si>
  <si>
    <t xml:space="preserve">Fromage spécial pizza </t>
  </si>
  <si>
    <t>sachet blanc 15kg</t>
  </si>
  <si>
    <t>Maiis 850g</t>
  </si>
  <si>
    <t>farine agrodive 5kg</t>
  </si>
  <si>
    <t>ifruit</t>
  </si>
  <si>
    <t>boites 36/07</t>
  </si>
  <si>
    <t>Farine superieure 25kg</t>
  </si>
  <si>
    <t xml:space="preserve">huile d'olive </t>
  </si>
  <si>
    <t xml:space="preserve">blanc de poulet  </t>
  </si>
  <si>
    <t>harrissa</t>
  </si>
  <si>
    <t>Amandes</t>
  </si>
  <si>
    <t>chocolat noir et au lait</t>
  </si>
  <si>
    <t>Maizina</t>
  </si>
  <si>
    <t>gherss</t>
  </si>
  <si>
    <t xml:space="preserve">poivre noir </t>
  </si>
  <si>
    <t>les achats de novembre</t>
  </si>
  <si>
    <t>sachets blanc 5kg</t>
  </si>
  <si>
    <t>papier torchon</t>
  </si>
  <si>
    <t>detergents</t>
  </si>
  <si>
    <t>fromage</t>
  </si>
  <si>
    <t xml:space="preserve">cuisse s+ blanc </t>
  </si>
  <si>
    <t xml:space="preserve">fromage </t>
  </si>
  <si>
    <t>crème fraiche</t>
  </si>
  <si>
    <t>pistache</t>
  </si>
  <si>
    <t>noix de cajou</t>
  </si>
  <si>
    <t>caprice</t>
  </si>
  <si>
    <t>feuille d'or</t>
  </si>
  <si>
    <t xml:space="preserve">cuisses </t>
  </si>
  <si>
    <t xml:space="preserve">blanc de poulet </t>
  </si>
  <si>
    <t xml:space="preserve">rechta </t>
  </si>
  <si>
    <t>crevette</t>
  </si>
  <si>
    <t>poulet haché</t>
  </si>
  <si>
    <t>boucher dely brahim</t>
  </si>
  <si>
    <t>tomate fraiche</t>
  </si>
  <si>
    <t>djelbana</t>
  </si>
  <si>
    <t>riz</t>
  </si>
  <si>
    <t>teliteli</t>
  </si>
  <si>
    <t>isis</t>
  </si>
  <si>
    <t>javel</t>
  </si>
  <si>
    <t xml:space="preserve">amande </t>
  </si>
  <si>
    <t>quinquaillerie</t>
  </si>
  <si>
    <t>épinards + herebes</t>
  </si>
  <si>
    <t>boites temina</t>
  </si>
  <si>
    <t>cuillière</t>
  </si>
  <si>
    <t xml:space="preserve">sachets 3 kg </t>
  </si>
  <si>
    <t xml:space="preserve">salade </t>
  </si>
  <si>
    <t>cigares</t>
  </si>
  <si>
    <t>Gouda</t>
  </si>
  <si>
    <t>olive dénoyauté</t>
  </si>
  <si>
    <t>fromage cheezy</t>
  </si>
  <si>
    <t>dettes ancienne</t>
  </si>
  <si>
    <t>deyoul</t>
  </si>
  <si>
    <t>tecos</t>
  </si>
  <si>
    <t>viande hachéé</t>
  </si>
  <si>
    <t>épinards</t>
  </si>
  <si>
    <t>semoule fine Amour 25kg</t>
  </si>
  <si>
    <t>thon 1kg</t>
  </si>
  <si>
    <t xml:space="preserve">fromage slices </t>
  </si>
  <si>
    <t xml:space="preserve">les tiquets des prix </t>
  </si>
  <si>
    <t>Boites 36/07/50</t>
  </si>
  <si>
    <t>boites 48/7/50</t>
  </si>
  <si>
    <t xml:space="preserve">sachets blanc pyramide </t>
  </si>
  <si>
    <t>cafard</t>
  </si>
  <si>
    <t xml:space="preserve">poivre + tomate + salde </t>
  </si>
  <si>
    <t>blanc de poulet</t>
  </si>
  <si>
    <t>plateau</t>
  </si>
  <si>
    <t xml:space="preserve">tablier </t>
  </si>
  <si>
    <t xml:space="preserve">gants </t>
  </si>
  <si>
    <t>Toque de cuisine noir</t>
  </si>
  <si>
    <t>barquette aluminium 1185</t>
  </si>
  <si>
    <t>boite 750cc</t>
  </si>
  <si>
    <t xml:space="preserve">semouel Amour 25kg </t>
  </si>
  <si>
    <t xml:space="preserve">Wahiba semoule déco et amande </t>
  </si>
  <si>
    <t xml:space="preserve">poulet haché et blanc de poulet </t>
  </si>
  <si>
    <t>cuisses de poulet</t>
  </si>
  <si>
    <t xml:space="preserve">boite </t>
  </si>
  <si>
    <t>pain tacos</t>
  </si>
  <si>
    <t xml:space="preserve">livreur </t>
  </si>
  <si>
    <t xml:space="preserve">détergents   </t>
  </si>
  <si>
    <t>broc mesur</t>
  </si>
  <si>
    <t>veste cuisine</t>
  </si>
  <si>
    <t>Farine 5kg</t>
  </si>
  <si>
    <t>assiettes</t>
  </si>
  <si>
    <t>Fromage bidon mote d'or</t>
  </si>
  <si>
    <t>quissetes</t>
  </si>
  <si>
    <t>dontelle</t>
  </si>
  <si>
    <t>sachets</t>
  </si>
  <si>
    <t>Farine 25kg</t>
  </si>
  <si>
    <t>14/12/2022</t>
  </si>
  <si>
    <t xml:space="preserve">miel </t>
  </si>
  <si>
    <t>chakhechoukhate defer</t>
  </si>
  <si>
    <t>13/12/2022</t>
  </si>
  <si>
    <t>cuisse</t>
  </si>
  <si>
    <t>epice poulet</t>
  </si>
  <si>
    <t>poulet + rechta</t>
  </si>
  <si>
    <t>storm</t>
  </si>
  <si>
    <t>viande morceaux</t>
  </si>
  <si>
    <t>légumes marché</t>
  </si>
  <si>
    <t>17/12/2022</t>
  </si>
  <si>
    <t xml:space="preserve">Ka3ek nakache </t>
  </si>
  <si>
    <t>leben</t>
  </si>
  <si>
    <t>couscouss</t>
  </si>
  <si>
    <t>18/12/2022</t>
  </si>
  <si>
    <t xml:space="preserve">pate   </t>
  </si>
  <si>
    <t>semouel sahel  25kg</t>
  </si>
  <si>
    <t xml:space="preserve">semoule Moyenne Moula </t>
  </si>
  <si>
    <t>sel</t>
  </si>
  <si>
    <t>plateaux</t>
  </si>
  <si>
    <t>thon</t>
  </si>
  <si>
    <t xml:space="preserve">tomate </t>
  </si>
  <si>
    <t>boite d coeurs</t>
  </si>
  <si>
    <t>blanc de poulet + poulet haché</t>
  </si>
  <si>
    <t>lahessen coursse</t>
  </si>
  <si>
    <t>oeuf</t>
  </si>
  <si>
    <t>piles+ lavesstes</t>
  </si>
  <si>
    <t>livraison marchandises</t>
  </si>
  <si>
    <t>semoule fine Moula 1kg</t>
  </si>
  <si>
    <t>herbes</t>
  </si>
  <si>
    <t>Hamza</t>
  </si>
  <si>
    <t>semoule Amour 25kg</t>
  </si>
  <si>
    <t>poulet haché+ cuisses+ blanc + oeuf</t>
  </si>
  <si>
    <t xml:space="preserve">poulet haché </t>
  </si>
  <si>
    <t>cuisses</t>
  </si>
  <si>
    <t>blanc</t>
  </si>
  <si>
    <t>poulet</t>
  </si>
  <si>
    <t>terida</t>
  </si>
  <si>
    <t>les sachets</t>
  </si>
  <si>
    <t xml:space="preserve">les batons </t>
  </si>
  <si>
    <t xml:space="preserve">dattes </t>
  </si>
  <si>
    <t>les herbes</t>
  </si>
  <si>
    <t>Facture d'éléctricité</t>
  </si>
  <si>
    <t>Semoule Mama 25kg+ semoule sahel 25kg</t>
  </si>
  <si>
    <t>Amina Baghrir</t>
  </si>
  <si>
    <t xml:space="preserve">achats </t>
  </si>
  <si>
    <t xml:space="preserve">Poulet haché + blanc de poulet </t>
  </si>
  <si>
    <t xml:space="preserve">cuisses de poulet </t>
  </si>
  <si>
    <t>poulet haché+ blanc de poulet</t>
  </si>
  <si>
    <t>courgette + navet + bessel</t>
  </si>
  <si>
    <t>hamissa</t>
  </si>
  <si>
    <t>djelebana</t>
  </si>
  <si>
    <t xml:space="preserve">viande morceaux </t>
  </si>
  <si>
    <t xml:space="preserve">blanc de poulet   </t>
  </si>
  <si>
    <t>légumes</t>
  </si>
  <si>
    <t>Thon</t>
  </si>
  <si>
    <t xml:space="preserve">ka3ek nakache </t>
  </si>
  <si>
    <t>31/12/2022</t>
  </si>
  <si>
    <t xml:space="preserve">Nom </t>
  </si>
  <si>
    <t>Avance</t>
  </si>
  <si>
    <t xml:space="preserve">Salaire à payer </t>
  </si>
  <si>
    <t>Sofiane</t>
  </si>
  <si>
    <t>15000+10000+5000</t>
  </si>
  <si>
    <t>5000+2000+500</t>
  </si>
  <si>
    <t xml:space="preserve">Vendeuse </t>
  </si>
  <si>
    <t xml:space="preserve">Djamila </t>
  </si>
  <si>
    <t xml:space="preserve">Nadjia </t>
  </si>
  <si>
    <t xml:space="preserve">Yousera </t>
  </si>
  <si>
    <t>5000+5000</t>
  </si>
  <si>
    <t xml:space="preserve">lynda </t>
  </si>
  <si>
    <t>Samira</t>
  </si>
  <si>
    <t>1000+1000+29000</t>
  </si>
  <si>
    <t xml:space="preserve">Fouzia </t>
  </si>
  <si>
    <t>1500+1500+2000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</si>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</sst>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/yyyy"/>
    <numFmt numFmtId="167" formatCode="mm/dd/yyyy"/>
  </numFmts>
  <fonts count="18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18.0"/>
      <color rgb="FFFFFF00"/>
      <name val="Arial"/>
    </font>
    <font>
      <sz val="18.0"/>
      <color theme="1"/>
      <name val="Arial"/>
    </font>
    <font>
      <b/>
      <sz val="24.0"/>
      <color theme="1"/>
      <name val="Arial"/>
    </font>
    <font>
      <sz val="14.0"/>
      <color rgb="FFFF00FF"/>
      <name val="Arial"/>
    </font>
    <font>
      <b/>
      <sz val="18.0"/>
      <color rgb="FFFF00FF"/>
      <name val="Arial"/>
    </font>
    <font>
      <b/>
      <sz val="14.0"/>
      <color rgb="FFFF0000"/>
      <name val="Arial"/>
    </font>
    <font>
      <b/>
      <sz val="14.0"/>
      <color rgb="FF000000"/>
      <name val="Arial"/>
    </font>
    <font>
      <sz val="18.0"/>
      <color rgb="FF434343"/>
      <name val="Arial"/>
    </font>
    <font>
      <b/>
      <sz val="18.0"/>
      <color rgb="FF1C4587"/>
      <name val="Arial"/>
    </font>
    <font>
      <sz val="18.0"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2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 vertical="bottom"/>
    </xf>
    <xf borderId="4" fillId="6" fontId="4" numFmtId="0" xfId="0" applyAlignment="1" applyBorder="1" applyFill="1" applyFont="1">
      <alignment horizontal="center" vertical="bottom"/>
    </xf>
    <xf borderId="0" fillId="7" fontId="4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1" fillId="3" fontId="3" numFmtId="0" xfId="0" applyAlignment="1" applyBorder="1" applyFont="1">
      <alignment horizontal="center" readingOrder="0" vertical="bottom"/>
    </xf>
    <xf borderId="3" fillId="3" fontId="1" numFmtId="165" xfId="0" applyAlignment="1" applyBorder="1" applyFont="1" applyNumberFormat="1">
      <alignment vertical="bottom"/>
    </xf>
    <xf borderId="1" fillId="3" fontId="3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7" fontId="4" numFmtId="0" xfId="0" applyAlignment="1" applyBorder="1" applyFon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1" fillId="7" fontId="2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3" fontId="1" numFmtId="165" xfId="0" applyAlignment="1" applyFont="1" applyNumberFormat="1">
      <alignment vertical="bottom"/>
    </xf>
    <xf borderId="4" fillId="0" fontId="1" numFmtId="165" xfId="0" applyAlignment="1" applyBorder="1" applyFont="1" applyNumberFormat="1">
      <alignment vertical="bottom"/>
    </xf>
    <xf borderId="0" fillId="0" fontId="3" numFmtId="0" xfId="0" applyAlignment="1" applyFont="1">
      <alignment horizontal="center" vertical="bottom"/>
    </xf>
    <xf borderId="1" fillId="6" fontId="5" numFmtId="165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1" fillId="8" fontId="6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vertical="bottom"/>
    </xf>
    <xf borderId="1" fillId="8" fontId="4" numFmtId="0" xfId="0" applyAlignment="1" applyBorder="1" applyFont="1">
      <alignment horizontal="center" vertical="bottom"/>
    </xf>
    <xf borderId="0" fillId="0" fontId="3" numFmtId="165" xfId="0" applyAlignment="1" applyFont="1" applyNumberFormat="1">
      <alignment readingOrder="0" vertical="bottom"/>
    </xf>
    <xf borderId="5" fillId="0" fontId="1" numFmtId="0" xfId="0" applyAlignment="1" applyBorder="1" applyFont="1">
      <alignment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3" fontId="4" numFmtId="165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6" fillId="4" fontId="8" numFmtId="0" xfId="0" applyAlignment="1" applyBorder="1" applyFont="1">
      <alignment horizontal="center" readingOrder="0" vertical="bottom"/>
    </xf>
    <xf borderId="6" fillId="4" fontId="8" numFmtId="165" xfId="0" applyAlignment="1" applyBorder="1" applyFont="1" applyNumberFormat="1">
      <alignment horizontal="center" vertical="bottom"/>
    </xf>
    <xf borderId="1" fillId="2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5" fillId="7" fontId="2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1" fillId="8" fontId="12" numFmtId="0" xfId="0" applyAlignment="1" applyBorder="1" applyFont="1">
      <alignment horizontal="center" readingOrder="0" vertical="bottom"/>
    </xf>
    <xf borderId="1" fillId="6" fontId="11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13" numFmtId="165" xfId="0" applyAlignment="1" applyBorder="1" applyFont="1" applyNumberFormat="1">
      <alignment horizontal="center" vertical="bottom"/>
    </xf>
    <xf borderId="1" fillId="6" fontId="13" numFmtId="165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vertical="bottom"/>
    </xf>
    <xf borderId="1" fillId="3" fontId="13" numFmtId="165" xfId="0" applyAlignment="1" applyBorder="1" applyFont="1" applyNumberFormat="1">
      <alignment horizontal="center" readingOrder="0" vertical="bottom"/>
    </xf>
    <xf borderId="3" fillId="7" fontId="1" numFmtId="165" xfId="0" applyAlignment="1" applyBorder="1" applyFont="1" applyNumberFormat="1">
      <alignment vertical="bottom"/>
    </xf>
    <xf borderId="1" fillId="7" fontId="14" numFmtId="165" xfId="0" applyAlignment="1" applyBorder="1" applyFont="1" applyNumberFormat="1">
      <alignment horizontal="center" vertical="bottom"/>
    </xf>
    <xf borderId="1" fillId="7" fontId="8" numFmtId="0" xfId="0" applyAlignment="1" applyBorder="1" applyFont="1">
      <alignment horizontal="center" vertical="bottom"/>
    </xf>
    <xf borderId="2" fillId="7" fontId="8" numFmtId="0" xfId="0" applyAlignment="1" applyBorder="1" applyFont="1">
      <alignment horizontal="center" vertical="bottom"/>
    </xf>
    <xf borderId="6" fillId="0" fontId="15" numFmtId="0" xfId="0" applyAlignment="1" applyBorder="1" applyFont="1">
      <alignment horizontal="center" readingOrder="0"/>
    </xf>
    <xf borderId="6" fillId="0" fontId="15" numFmtId="165" xfId="0" applyAlignment="1" applyBorder="1" applyFont="1" applyNumberFormat="1">
      <alignment horizontal="center" readingOrder="0"/>
    </xf>
    <xf borderId="6" fillId="0" fontId="15" numFmtId="165" xfId="0" applyAlignment="1" applyBorder="1" applyFont="1" applyNumberFormat="1">
      <alignment horizontal="center"/>
    </xf>
    <xf borderId="6" fillId="0" fontId="15" numFmtId="164" xfId="0" applyAlignment="1" applyBorder="1" applyFont="1" applyNumberFormat="1">
      <alignment horizontal="center" readingOrder="0"/>
    </xf>
    <xf borderId="6" fillId="6" fontId="7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6" fontId="7" numFmtId="166" xfId="0" applyAlignment="1" applyBorder="1" applyFont="1" applyNumberFormat="1">
      <alignment horizontal="center" vertical="bottom"/>
    </xf>
    <xf borderId="5" fillId="6" fontId="7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vertical="bottom"/>
    </xf>
    <xf borderId="1" fillId="6" fontId="7" numFmtId="165" xfId="0" applyAlignment="1" applyBorder="1" applyFont="1" applyNumberFormat="1">
      <alignment horizontal="center" vertical="bottom"/>
    </xf>
    <xf borderId="1" fillId="6" fontId="7" numFmtId="166" xfId="0" applyAlignment="1" applyBorder="1" applyFont="1" applyNumberFormat="1">
      <alignment horizontal="center" vertical="bottom"/>
    </xf>
    <xf borderId="6" fillId="3" fontId="7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3" fontId="7" numFmtId="166" xfId="0" applyAlignment="1" applyBorder="1" applyFont="1" applyNumberFormat="1">
      <alignment horizontal="center" vertical="bottom"/>
    </xf>
    <xf borderId="1" fillId="6" fontId="7" numFmtId="0" xfId="0" applyAlignment="1" applyBorder="1" applyFont="1">
      <alignment horizontal="center" readingOrder="0" vertical="bottom"/>
    </xf>
    <xf borderId="2" fillId="6" fontId="7" numFmtId="0" xfId="0" applyAlignment="1" applyBorder="1" applyFont="1">
      <alignment horizontal="center" readingOrder="0" vertical="bottom"/>
    </xf>
    <xf borderId="2" fillId="6" fontId="7" numFmtId="3" xfId="0" applyAlignment="1" applyBorder="1" applyFont="1" applyNumberFormat="1">
      <alignment horizontal="center" readingOrder="0" vertical="bottom"/>
    </xf>
    <xf borderId="2" fillId="6" fontId="7" numFmtId="164" xfId="0" applyAlignment="1" applyBorder="1" applyFont="1" applyNumberFormat="1">
      <alignment horizontal="center" vertical="bottom"/>
    </xf>
    <xf borderId="1" fillId="6" fontId="7" numFmtId="164" xfId="0" applyAlignment="1" applyBorder="1" applyFont="1" applyNumberFormat="1">
      <alignment horizontal="center" vertical="bottom"/>
    </xf>
    <xf borderId="6" fillId="3" fontId="7" numFmtId="0" xfId="0" applyAlignment="1" applyBorder="1" applyFont="1">
      <alignment horizontal="center" vertical="bottom"/>
    </xf>
    <xf borderId="2" fillId="3" fontId="7" numFmtId="165" xfId="0" applyAlignment="1" applyBorder="1" applyFont="1" applyNumberFormat="1">
      <alignment horizontal="center" readingOrder="0" vertical="bottom"/>
    </xf>
    <xf borderId="2" fillId="3" fontId="7" numFmtId="164" xfId="0" applyAlignment="1" applyBorder="1" applyFont="1" applyNumberFormat="1">
      <alignment horizontal="center" readingOrder="0" vertical="bottom"/>
    </xf>
    <xf borderId="5" fillId="3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4" xfId="0" applyAlignment="1" applyBorder="1" applyFont="1" applyNumberFormat="1">
      <alignment horizontal="center" readingOrder="0" vertical="bottom"/>
    </xf>
    <xf borderId="2" fillId="3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164" xfId="0" applyAlignment="1" applyBorder="1" applyFont="1" applyNumberFormat="1">
      <alignment horizontal="center" readingOrder="0" vertical="bottom"/>
    </xf>
    <xf borderId="1" fillId="0" fontId="7" numFmtId="167" xfId="0" applyAlignment="1" applyBorder="1" applyFont="1" applyNumberFormat="1">
      <alignment horizontal="center" readingOrder="0" vertical="bottom"/>
    </xf>
    <xf borderId="0" fillId="0" fontId="16" numFmtId="0" xfId="0" applyAlignment="1" applyFont="1">
      <alignment readingOrder="0"/>
    </xf>
    <xf borderId="1" fillId="0" fontId="7" numFmtId="166" xfId="0" applyAlignment="1" applyBorder="1" applyFont="1" applyNumberFormat="1">
      <alignment horizontal="center" readingOrder="0" vertical="bottom"/>
    </xf>
    <xf borderId="5" fillId="6" fontId="7" numFmtId="0" xfId="0" applyAlignment="1" applyBorder="1" applyFont="1">
      <alignment horizontal="center" readingOrder="0" vertical="bottom"/>
    </xf>
    <xf borderId="1" fillId="6" fontId="7" numFmtId="165" xfId="0" applyAlignment="1" applyBorder="1" applyFont="1" applyNumberFormat="1">
      <alignment horizontal="center" readingOrder="0" vertical="bottom"/>
    </xf>
    <xf borderId="1" fillId="6" fontId="7" numFmtId="166" xfId="0" applyAlignment="1" applyBorder="1" applyFont="1" applyNumberFormat="1">
      <alignment horizontal="center" readingOrder="0" vertical="bottom"/>
    </xf>
    <xf borderId="1" fillId="0" fontId="7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5" fillId="7" fontId="7" numFmtId="0" xfId="0" applyAlignment="1" applyBorder="1" applyFon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1" fillId="7" fontId="7" numFmtId="165" xfId="0" applyAlignment="1" applyBorder="1" applyFont="1" applyNumberFormat="1">
      <alignment horizontal="center" readingOrder="0" vertical="bottom"/>
    </xf>
    <xf borderId="2" fillId="7" fontId="7" numFmtId="165" xfId="0" applyAlignment="1" applyBorder="1" applyFont="1" applyNumberFormat="1">
      <alignment horizontal="center" vertical="bottom"/>
    </xf>
    <xf borderId="5" fillId="8" fontId="7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readingOrder="0" vertical="bottom"/>
    </xf>
    <xf borderId="1" fillId="8" fontId="7" numFmtId="165" xfId="0" applyAlignment="1" applyBorder="1" applyFont="1" applyNumberFormat="1">
      <alignment horizontal="center" readingOrder="0" vertical="bottom"/>
    </xf>
    <xf borderId="2" fillId="8" fontId="7" numFmtId="165" xfId="0" applyAlignment="1" applyBorder="1" applyFont="1" applyNumberFormat="1">
      <alignment horizontal="center" vertical="bottom"/>
    </xf>
    <xf borderId="1" fillId="8" fontId="7" numFmtId="166" xfId="0" applyAlignment="1" applyBorder="1" applyFont="1" applyNumberFormat="1">
      <alignment horizontal="center" readingOrder="0" vertical="bottom"/>
    </xf>
    <xf borderId="5" fillId="5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165" xfId="0" applyAlignment="1" applyBorder="1" applyFont="1" applyNumberFormat="1">
      <alignment horizontal="center" readingOrder="0" vertical="bottom"/>
    </xf>
    <xf borderId="2" fillId="5" fontId="7" numFmtId="165" xfId="0" applyAlignment="1" applyBorder="1" applyFont="1" applyNumberFormat="1">
      <alignment horizontal="center" vertical="bottom"/>
    </xf>
    <xf borderId="1" fillId="5" fontId="7" numFmtId="166" xfId="0" applyAlignment="1" applyBorder="1" applyFont="1" applyNumberForma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2" fillId="0" fontId="7" numFmtId="165" xfId="0" applyAlignment="1" applyBorder="1" applyFont="1" applyNumberFormat="1">
      <alignment horizontal="center" vertical="bottom"/>
    </xf>
    <xf borderId="2" fillId="0" fontId="7" numFmtId="166" xfId="0" applyAlignment="1" applyBorder="1" applyFont="1" applyNumberFormat="1">
      <alignment horizontal="center" vertical="bottom"/>
    </xf>
    <xf borderId="5" fillId="0" fontId="7" numFmtId="0" xfId="0" applyAlignment="1" applyBorder="1" applyFont="1">
      <alignment horizontal="center" vertical="bottom"/>
    </xf>
    <xf borderId="1" fillId="0" fontId="8" numFmtId="165" xfId="0" applyAlignment="1" applyBorder="1" applyFont="1" applyNumberFormat="1">
      <alignment horizontal="center" vertical="bottom"/>
    </xf>
    <xf borderId="6" fillId="0" fontId="7" numFmtId="0" xfId="0" applyAlignment="1" applyBorder="1" applyFont="1">
      <alignment vertical="bottom"/>
    </xf>
    <xf borderId="2" fillId="5" fontId="4" numFmtId="0" xfId="0" applyAlignment="1" applyBorder="1" applyFont="1">
      <alignment horizontal="center" vertical="bottom"/>
    </xf>
    <xf borderId="2" fillId="6" fontId="4" numFmtId="0" xfId="0" applyAlignment="1" applyBorder="1" applyFont="1">
      <alignment horizontal="center" vertical="bottom"/>
    </xf>
    <xf borderId="0" fillId="0" fontId="17" numFmtId="0" xfId="0" applyAlignment="1" applyFont="1">
      <alignment readingOrder="0"/>
    </xf>
    <xf borderId="0" fillId="0" fontId="17" numFmtId="0" xfId="0" applyFont="1"/>
    <xf borderId="5" fillId="0" fontId="7" numFmtId="0" xfId="0" applyAlignment="1" applyBorder="1" applyFont="1">
      <alignment vertical="bottom"/>
    </xf>
    <xf borderId="1" fillId="7" fontId="7" numFmtId="0" xfId="0" applyAlignment="1" applyBorder="1" applyFont="1">
      <alignment horizontal="center" vertical="bottom"/>
    </xf>
    <xf borderId="1" fillId="4" fontId="7" numFmtId="165" xfId="0" applyAlignment="1" applyBorder="1" applyFont="1" applyNumberFormat="1">
      <alignment horizontal="center" vertical="bottom"/>
    </xf>
    <xf borderId="1" fillId="5" fontId="4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vertical="bottom"/>
    </xf>
    <xf borderId="1" fillId="7" fontId="7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3.63"/>
    <col customWidth="1" min="3" max="3" width="22.88"/>
    <col customWidth="1" min="4" max="4" width="26.38"/>
    <col customWidth="1" min="5" max="5" width="22.13"/>
    <col customWidth="1" min="6" max="6" width="22.63"/>
    <col customWidth="1" min="7" max="7" width="23.38"/>
    <col customWidth="1" min="8" max="8" width="24.63"/>
    <col customWidth="1" min="10" max="10" width="6.88"/>
    <col customWidth="1" min="11" max="11" width="21.63"/>
    <col customWidth="1" min="12" max="12" width="24.38"/>
    <col customWidth="1" min="13" max="13" width="47.88"/>
    <col customWidth="1" min="14" max="14" width="30.13"/>
    <col customWidth="1" min="15" max="15" width="59.38"/>
    <col customWidth="1" min="16" max="16" width="68.88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6" t="s">
        <v>8</v>
      </c>
      <c r="L1" s="7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11"/>
      <c r="R1" s="11"/>
    </row>
    <row r="2">
      <c r="A2" s="12" t="s">
        <v>14</v>
      </c>
      <c r="B2" s="13">
        <v>44896.0</v>
      </c>
      <c r="C2" s="14">
        <v>2000.0</v>
      </c>
      <c r="D2" s="14">
        <v>50000.0</v>
      </c>
      <c r="E2" s="15"/>
      <c r="F2" s="15"/>
      <c r="G2" s="15"/>
      <c r="H2" s="15"/>
      <c r="I2" s="16">
        <v>1.0</v>
      </c>
      <c r="J2" s="17"/>
      <c r="K2" s="18">
        <v>0.0</v>
      </c>
      <c r="L2" s="18">
        <v>2000.0</v>
      </c>
      <c r="M2" s="19">
        <f>H33/I33</f>
        <v>20657.93548</v>
      </c>
      <c r="N2" s="19">
        <f>D33/I33</f>
        <v>62709.67742</v>
      </c>
      <c r="O2" s="20">
        <f>F33/I33</f>
        <v>12920.96774</v>
      </c>
      <c r="P2" s="21">
        <f>O2/N2</f>
        <v>0.2060442387</v>
      </c>
      <c r="Q2" s="11"/>
      <c r="R2" s="11"/>
    </row>
    <row r="3">
      <c r="A3" s="12" t="s">
        <v>15</v>
      </c>
      <c r="B3" s="13">
        <v>44897.0</v>
      </c>
      <c r="C3" s="14">
        <v>52000.0</v>
      </c>
      <c r="D3" s="14">
        <v>40000.0</v>
      </c>
      <c r="E3" s="15"/>
      <c r="F3" s="15"/>
      <c r="G3" s="15"/>
      <c r="H3" s="15"/>
      <c r="I3" s="16">
        <v>1.0</v>
      </c>
      <c r="J3" s="17"/>
      <c r="K3" s="18">
        <v>70000.0</v>
      </c>
      <c r="L3" s="18">
        <v>52000.0</v>
      </c>
      <c r="M3" s="1"/>
      <c r="N3" s="1"/>
      <c r="O3" s="11"/>
      <c r="P3" s="22"/>
      <c r="Q3" s="11"/>
      <c r="R3" s="11"/>
    </row>
    <row r="4">
      <c r="A4" s="12" t="s">
        <v>16</v>
      </c>
      <c r="B4" s="13">
        <v>44898.0</v>
      </c>
      <c r="C4" s="14">
        <v>69000.0</v>
      </c>
      <c r="D4" s="14">
        <v>30000.0</v>
      </c>
      <c r="E4" s="15"/>
      <c r="F4" s="15"/>
      <c r="G4" s="15"/>
      <c r="H4" s="15"/>
      <c r="I4" s="16">
        <v>1.0</v>
      </c>
      <c r="J4" s="17"/>
      <c r="K4" s="18">
        <v>70000.0</v>
      </c>
      <c r="L4" s="18">
        <v>69000.0</v>
      </c>
      <c r="M4" s="23" t="s">
        <v>17</v>
      </c>
      <c r="N4" s="24" t="s">
        <v>18</v>
      </c>
      <c r="O4" s="11"/>
      <c r="P4" s="1"/>
      <c r="Q4" s="11"/>
      <c r="R4" s="11"/>
    </row>
    <row r="5">
      <c r="A5" s="12" t="s">
        <v>19</v>
      </c>
      <c r="B5" s="13">
        <v>44899.0</v>
      </c>
      <c r="C5" s="14">
        <v>60000.0</v>
      </c>
      <c r="D5" s="14">
        <v>27000.0</v>
      </c>
      <c r="E5" s="15"/>
      <c r="F5" s="15"/>
      <c r="G5" s="15"/>
      <c r="H5" s="15"/>
      <c r="I5" s="16">
        <v>1.0</v>
      </c>
      <c r="J5" s="17"/>
      <c r="K5" s="18">
        <v>70000.0</v>
      </c>
      <c r="L5" s="18">
        <v>60000.0</v>
      </c>
      <c r="M5" s="25">
        <f>E33/I33</f>
        <v>25582.3871</v>
      </c>
      <c r="N5" s="25">
        <v>70000.0</v>
      </c>
      <c r="O5" s="1"/>
      <c r="P5" s="1"/>
      <c r="Q5" s="11"/>
      <c r="R5" s="11"/>
    </row>
    <row r="6">
      <c r="A6" s="12" t="s">
        <v>20</v>
      </c>
      <c r="B6" s="13">
        <v>44900.0</v>
      </c>
      <c r="C6" s="14">
        <v>60000.0</v>
      </c>
      <c r="D6" s="14">
        <v>39000.0</v>
      </c>
      <c r="E6" s="15"/>
      <c r="F6" s="15"/>
      <c r="G6" s="15"/>
      <c r="H6" s="15"/>
      <c r="I6" s="16">
        <v>1.0</v>
      </c>
      <c r="J6" s="17"/>
      <c r="K6" s="18">
        <v>70000.0</v>
      </c>
      <c r="L6" s="18">
        <v>60000.0</v>
      </c>
      <c r="M6" s="1" t="s">
        <v>21</v>
      </c>
      <c r="N6" s="1"/>
      <c r="O6" s="1"/>
      <c r="P6" s="1"/>
      <c r="Q6" s="11"/>
      <c r="R6" s="11"/>
    </row>
    <row r="7">
      <c r="A7" s="12" t="s">
        <v>22</v>
      </c>
      <c r="B7" s="13">
        <v>44901.0</v>
      </c>
      <c r="C7" s="14">
        <v>45000.0</v>
      </c>
      <c r="D7" s="14">
        <v>41000.0</v>
      </c>
      <c r="E7" s="15"/>
      <c r="F7" s="15"/>
      <c r="G7" s="15"/>
      <c r="H7" s="15"/>
      <c r="I7" s="16">
        <v>1.0</v>
      </c>
      <c r="J7" s="17"/>
      <c r="K7" s="18">
        <v>70000.0</v>
      </c>
      <c r="L7" s="18">
        <v>45000.0</v>
      </c>
      <c r="M7" s="1"/>
      <c r="N7" s="1"/>
      <c r="O7" s="1"/>
      <c r="P7" s="1"/>
      <c r="Q7" s="11"/>
      <c r="R7" s="11"/>
    </row>
    <row r="8">
      <c r="A8" s="12" t="s">
        <v>23</v>
      </c>
      <c r="B8" s="13">
        <v>44902.0</v>
      </c>
      <c r="C8" s="14">
        <v>40000.0</v>
      </c>
      <c r="D8" s="14">
        <v>44000.0</v>
      </c>
      <c r="E8" s="15"/>
      <c r="F8" s="15"/>
      <c r="G8" s="15"/>
      <c r="H8" s="15"/>
      <c r="I8" s="16">
        <v>1.0</v>
      </c>
      <c r="J8" s="17"/>
      <c r="K8" s="18">
        <v>70000.0</v>
      </c>
      <c r="L8" s="18">
        <v>40000.0</v>
      </c>
      <c r="M8" s="26" t="s">
        <v>24</v>
      </c>
      <c r="N8" s="26" t="s">
        <v>25</v>
      </c>
      <c r="O8" s="27" t="s">
        <v>26</v>
      </c>
      <c r="P8" s="28" t="s">
        <v>27</v>
      </c>
      <c r="Q8" s="11"/>
      <c r="R8" s="11"/>
    </row>
    <row r="9">
      <c r="A9" s="12" t="s">
        <v>28</v>
      </c>
      <c r="B9" s="13">
        <v>44903.0</v>
      </c>
      <c r="C9" s="14">
        <v>53000.0</v>
      </c>
      <c r="D9" s="14">
        <v>66000.0</v>
      </c>
      <c r="E9" s="15"/>
      <c r="F9" s="15"/>
      <c r="G9" s="15"/>
      <c r="H9" s="15"/>
      <c r="I9" s="16">
        <v>1.0</v>
      </c>
      <c r="J9" s="17"/>
      <c r="K9" s="18">
        <v>70000.0</v>
      </c>
      <c r="L9" s="18">
        <v>53000.0</v>
      </c>
      <c r="M9" s="29">
        <f>D33+N11-N9-E33-Salaires!I25</f>
        <v>1100446</v>
      </c>
      <c r="N9" s="19">
        <f>P9+O9</f>
        <v>135000</v>
      </c>
      <c r="O9" s="30">
        <v>55000.0</v>
      </c>
      <c r="P9" s="31">
        <v>80000.0</v>
      </c>
      <c r="Q9" s="11"/>
      <c r="R9" s="11"/>
    </row>
    <row r="10">
      <c r="A10" s="12" t="s">
        <v>15</v>
      </c>
      <c r="B10" s="13">
        <v>44904.0</v>
      </c>
      <c r="C10" s="14">
        <v>40000.0</v>
      </c>
      <c r="D10" s="14">
        <v>55000.0</v>
      </c>
      <c r="E10" s="15"/>
      <c r="F10" s="15"/>
      <c r="G10" s="15"/>
      <c r="H10" s="15"/>
      <c r="I10" s="16">
        <v>1.0</v>
      </c>
      <c r="J10" s="17"/>
      <c r="K10" s="18">
        <v>70000.0</v>
      </c>
      <c r="L10" s="18">
        <v>40000.0</v>
      </c>
      <c r="M10" s="1"/>
      <c r="N10" s="1" t="s">
        <v>29</v>
      </c>
      <c r="O10" s="32"/>
      <c r="P10" s="33" t="s">
        <v>30</v>
      </c>
      <c r="Q10" s="11"/>
      <c r="R10" s="11"/>
    </row>
    <row r="11">
      <c r="A11" s="12" t="s">
        <v>16</v>
      </c>
      <c r="B11" s="13">
        <v>44905.0</v>
      </c>
      <c r="C11" s="14">
        <v>60000.0</v>
      </c>
      <c r="D11" s="14">
        <v>47000.0</v>
      </c>
      <c r="E11" s="15"/>
      <c r="F11" s="15"/>
      <c r="G11" s="15"/>
      <c r="H11" s="15"/>
      <c r="I11" s="16">
        <v>1.0</v>
      </c>
      <c r="J11" s="17"/>
      <c r="K11" s="18">
        <v>70000.0</v>
      </c>
      <c r="L11" s="18">
        <v>60000.0</v>
      </c>
      <c r="M11" s="34" t="s">
        <v>31</v>
      </c>
      <c r="N11" s="35">
        <v>478000.0</v>
      </c>
      <c r="O11" s="32"/>
      <c r="P11" s="33">
        <v>9000.0</v>
      </c>
      <c r="Q11" s="11"/>
      <c r="R11" s="11"/>
    </row>
    <row r="12">
      <c r="A12" s="12" t="s">
        <v>19</v>
      </c>
      <c r="B12" s="13">
        <v>44906.0</v>
      </c>
      <c r="C12" s="14">
        <v>110000.0</v>
      </c>
      <c r="D12" s="14">
        <v>40000.0</v>
      </c>
      <c r="E12" s="15"/>
      <c r="F12" s="15"/>
      <c r="G12" s="15"/>
      <c r="H12" s="15"/>
      <c r="I12" s="16">
        <v>1.0</v>
      </c>
      <c r="J12" s="17"/>
      <c r="K12" s="18">
        <v>70000.0</v>
      </c>
      <c r="L12" s="18">
        <v>110000.0</v>
      </c>
      <c r="M12" s="32"/>
      <c r="N12" s="32"/>
      <c r="O12" s="36" t="s">
        <v>32</v>
      </c>
      <c r="P12" s="10"/>
      <c r="Q12" s="11"/>
      <c r="R12" s="11"/>
    </row>
    <row r="13">
      <c r="A13" s="12" t="s">
        <v>20</v>
      </c>
      <c r="B13" s="13">
        <v>44907.0</v>
      </c>
      <c r="C13" s="14">
        <v>72000.0</v>
      </c>
      <c r="D13" s="14">
        <v>90000.0</v>
      </c>
      <c r="E13" s="15"/>
      <c r="F13" s="15"/>
      <c r="G13" s="15"/>
      <c r="H13" s="15"/>
      <c r="I13" s="16">
        <v>1.0</v>
      </c>
      <c r="J13" s="17"/>
      <c r="K13" s="18">
        <v>70000.0</v>
      </c>
      <c r="L13" s="18">
        <v>72000.0</v>
      </c>
      <c r="M13" s="37"/>
      <c r="N13" s="37"/>
      <c r="O13" s="36" t="s">
        <v>33</v>
      </c>
      <c r="P13" s="38" t="s">
        <v>34</v>
      </c>
      <c r="Q13" s="11"/>
      <c r="R13" s="11"/>
    </row>
    <row r="14">
      <c r="A14" s="12" t="s">
        <v>22</v>
      </c>
      <c r="B14" s="13">
        <v>44908.0</v>
      </c>
      <c r="C14" s="14">
        <v>50000.0</v>
      </c>
      <c r="D14" s="14">
        <v>50000.0</v>
      </c>
      <c r="E14" s="15"/>
      <c r="F14" s="15"/>
      <c r="G14" s="15"/>
      <c r="H14" s="15"/>
      <c r="I14" s="16">
        <v>1.0</v>
      </c>
      <c r="J14" s="17"/>
      <c r="K14" s="18">
        <v>70000.0</v>
      </c>
      <c r="L14" s="18">
        <v>50000.0</v>
      </c>
      <c r="M14" s="37"/>
      <c r="N14" s="37"/>
      <c r="O14" s="36" t="s">
        <v>35</v>
      </c>
      <c r="P14" s="11"/>
      <c r="Q14" s="11"/>
      <c r="R14" s="11"/>
    </row>
    <row r="15">
      <c r="A15" s="12" t="s">
        <v>23</v>
      </c>
      <c r="B15" s="13">
        <v>44909.0</v>
      </c>
      <c r="C15" s="14">
        <v>71000.0</v>
      </c>
      <c r="D15" s="14">
        <v>40000.0</v>
      </c>
      <c r="E15" s="15"/>
      <c r="F15" s="15"/>
      <c r="G15" s="15"/>
      <c r="H15" s="15"/>
      <c r="I15" s="16">
        <v>1.0</v>
      </c>
      <c r="J15" s="17"/>
      <c r="K15" s="14">
        <v>70000.0</v>
      </c>
      <c r="L15" s="18">
        <v>71000.0</v>
      </c>
      <c r="M15" s="39"/>
      <c r="N15" s="37"/>
      <c r="O15" s="11"/>
      <c r="P15" s="10"/>
      <c r="Q15" s="11"/>
      <c r="R15" s="11"/>
    </row>
    <row r="16">
      <c r="A16" s="12" t="s">
        <v>28</v>
      </c>
      <c r="B16" s="13">
        <v>44910.0</v>
      </c>
      <c r="C16" s="14">
        <v>73000.0</v>
      </c>
      <c r="D16" s="14">
        <v>70000.0</v>
      </c>
      <c r="E16" s="15"/>
      <c r="F16" s="15"/>
      <c r="G16" s="15"/>
      <c r="H16" s="15"/>
      <c r="I16" s="16">
        <v>1.0</v>
      </c>
      <c r="J16" s="17"/>
      <c r="K16" s="14">
        <v>70000.0</v>
      </c>
      <c r="L16" s="18">
        <v>73000.0</v>
      </c>
      <c r="M16" s="40"/>
      <c r="N16" s="37"/>
      <c r="O16" s="41" t="s">
        <v>36</v>
      </c>
      <c r="P16" s="20">
        <v>620000.0</v>
      </c>
      <c r="Q16" s="11"/>
      <c r="R16" s="11"/>
    </row>
    <row r="17">
      <c r="A17" s="12" t="s">
        <v>15</v>
      </c>
      <c r="B17" s="13">
        <v>44911.0</v>
      </c>
      <c r="C17" s="14">
        <v>90000.0</v>
      </c>
      <c r="D17" s="14">
        <v>42000.0</v>
      </c>
      <c r="E17" s="15"/>
      <c r="F17" s="15"/>
      <c r="G17" s="15"/>
      <c r="H17" s="15"/>
      <c r="I17" s="16">
        <v>1.0</v>
      </c>
      <c r="J17" s="17"/>
      <c r="K17" s="14">
        <v>70000.0</v>
      </c>
      <c r="L17" s="18">
        <v>90000.0</v>
      </c>
      <c r="M17" s="42" t="s">
        <v>37</v>
      </c>
      <c r="N17" s="37"/>
      <c r="O17" s="43" t="s">
        <v>38</v>
      </c>
      <c r="P17" s="44">
        <v>540000.0</v>
      </c>
      <c r="Q17" s="11"/>
      <c r="R17" s="11"/>
    </row>
    <row r="18">
      <c r="A18" s="12" t="s">
        <v>16</v>
      </c>
      <c r="B18" s="13">
        <v>44912.0</v>
      </c>
      <c r="C18" s="14">
        <v>60000.0</v>
      </c>
      <c r="D18" s="14">
        <v>62000.0</v>
      </c>
      <c r="E18" s="15"/>
      <c r="F18" s="15"/>
      <c r="G18" s="15"/>
      <c r="H18" s="15"/>
      <c r="I18" s="16">
        <v>1.0</v>
      </c>
      <c r="J18" s="17"/>
      <c r="K18" s="14">
        <v>70000.0</v>
      </c>
      <c r="L18" s="18">
        <v>60000.0</v>
      </c>
      <c r="M18" s="18">
        <f>D33-C33</f>
        <v>278000</v>
      </c>
      <c r="N18" s="37"/>
      <c r="O18" s="43" t="s">
        <v>39</v>
      </c>
      <c r="P18" s="44">
        <v>300000.0</v>
      </c>
      <c r="Q18" s="11"/>
      <c r="R18" s="11"/>
    </row>
    <row r="19">
      <c r="A19" s="12" t="s">
        <v>19</v>
      </c>
      <c r="B19" s="13">
        <v>44913.0</v>
      </c>
      <c r="C19" s="14">
        <v>70000.0</v>
      </c>
      <c r="D19" s="14">
        <v>47000.0</v>
      </c>
      <c r="E19" s="15"/>
      <c r="F19" s="15"/>
      <c r="G19" s="15"/>
      <c r="H19" s="15"/>
      <c r="I19" s="16">
        <v>1.0</v>
      </c>
      <c r="J19" s="17"/>
      <c r="K19" s="14">
        <v>70000.0</v>
      </c>
      <c r="L19" s="18">
        <v>70000.0</v>
      </c>
      <c r="M19" s="45" t="s">
        <v>40</v>
      </c>
      <c r="N19" s="37"/>
      <c r="O19" s="38" t="s">
        <v>41</v>
      </c>
      <c r="P19" s="44">
        <v>137000.0</v>
      </c>
      <c r="Q19" s="11"/>
      <c r="R19" s="11"/>
    </row>
    <row r="20">
      <c r="A20" s="12" t="s">
        <v>20</v>
      </c>
      <c r="B20" s="13">
        <v>44914.0</v>
      </c>
      <c r="C20" s="14">
        <v>70000.0</v>
      </c>
      <c r="D20" s="14">
        <v>40000.0</v>
      </c>
      <c r="E20" s="15"/>
      <c r="F20" s="15"/>
      <c r="G20" s="15"/>
      <c r="H20" s="15"/>
      <c r="I20" s="16">
        <v>1.0</v>
      </c>
      <c r="J20" s="17"/>
      <c r="K20" s="14">
        <v>70000.0</v>
      </c>
      <c r="L20" s="18">
        <v>70000.0</v>
      </c>
      <c r="M20" s="25">
        <f>K33-D33</f>
        <v>86000</v>
      </c>
      <c r="N20" s="37"/>
      <c r="O20" s="46" t="s">
        <v>42</v>
      </c>
      <c r="P20" s="11"/>
      <c r="Q20" s="11"/>
      <c r="R20" s="11"/>
    </row>
    <row r="21">
      <c r="A21" s="12" t="s">
        <v>22</v>
      </c>
      <c r="B21" s="13">
        <v>44915.0</v>
      </c>
      <c r="C21" s="14">
        <v>40000.0</v>
      </c>
      <c r="D21" s="14">
        <v>94000.0</v>
      </c>
      <c r="E21" s="15"/>
      <c r="F21" s="15"/>
      <c r="G21" s="15"/>
      <c r="H21" s="15"/>
      <c r="I21" s="16">
        <v>1.0</v>
      </c>
      <c r="J21" s="17"/>
      <c r="K21" s="14">
        <v>70000.0</v>
      </c>
      <c r="L21" s="18">
        <v>40000.0</v>
      </c>
      <c r="M21" s="1"/>
      <c r="N21" s="37"/>
      <c r="O21" s="11"/>
      <c r="P21" s="11"/>
      <c r="Q21" s="11"/>
      <c r="R21" s="11"/>
    </row>
    <row r="22">
      <c r="A22" s="12" t="s">
        <v>23</v>
      </c>
      <c r="B22" s="13">
        <v>44916.0</v>
      </c>
      <c r="C22" s="14">
        <v>24000.0</v>
      </c>
      <c r="D22" s="14">
        <v>60000.0</v>
      </c>
      <c r="E22" s="15"/>
      <c r="F22" s="15"/>
      <c r="G22" s="15"/>
      <c r="H22" s="15"/>
      <c r="I22" s="16">
        <v>1.0</v>
      </c>
      <c r="J22" s="17"/>
      <c r="K22" s="14">
        <v>70000.0</v>
      </c>
      <c r="L22" s="18">
        <v>24000.0</v>
      </c>
      <c r="M22" s="1"/>
      <c r="N22" s="37"/>
      <c r="O22" s="11"/>
      <c r="P22" s="11"/>
      <c r="Q22" s="11"/>
      <c r="R22" s="11"/>
    </row>
    <row r="23">
      <c r="A23" s="12" t="s">
        <v>28</v>
      </c>
      <c r="B23" s="13">
        <v>44917.0</v>
      </c>
      <c r="C23" s="14">
        <v>40000.0</v>
      </c>
      <c r="D23" s="14">
        <v>70000.0</v>
      </c>
      <c r="E23" s="15"/>
      <c r="F23" s="15"/>
      <c r="G23" s="15"/>
      <c r="H23" s="15"/>
      <c r="I23" s="16">
        <v>1.0</v>
      </c>
      <c r="J23" s="17"/>
      <c r="K23" s="14">
        <v>70000.0</v>
      </c>
      <c r="L23" s="18">
        <v>40000.0</v>
      </c>
      <c r="M23" s="47" t="s">
        <v>43</v>
      </c>
      <c r="N23" s="37"/>
      <c r="O23" s="11"/>
      <c r="P23" s="11"/>
      <c r="Q23" s="11"/>
      <c r="R23" s="11"/>
    </row>
    <row r="24">
      <c r="A24" s="12" t="s">
        <v>15</v>
      </c>
      <c r="B24" s="13">
        <v>44918.0</v>
      </c>
      <c r="C24" s="14">
        <v>90000.0</v>
      </c>
      <c r="D24" s="14">
        <v>90000.0</v>
      </c>
      <c r="E24" s="15"/>
      <c r="F24" s="15"/>
      <c r="G24" s="15"/>
      <c r="H24" s="15"/>
      <c r="I24" s="16">
        <v>1.0</v>
      </c>
      <c r="J24" s="17"/>
      <c r="K24" s="14">
        <v>70000.0</v>
      </c>
      <c r="L24" s="18">
        <v>90000.0</v>
      </c>
      <c r="M24" s="25">
        <f>D5+D12+D19+D26</f>
        <v>144000</v>
      </c>
      <c r="N24" s="11"/>
      <c r="O24" s="48" t="s">
        <v>44</v>
      </c>
      <c r="P24" s="11"/>
      <c r="Q24" s="11"/>
      <c r="R24" s="11"/>
    </row>
    <row r="25">
      <c r="A25" s="12" t="s">
        <v>16</v>
      </c>
      <c r="B25" s="13">
        <v>44919.0</v>
      </c>
      <c r="C25" s="14">
        <v>60000.0</v>
      </c>
      <c r="D25" s="14">
        <v>78000.0</v>
      </c>
      <c r="E25" s="15"/>
      <c r="F25" s="15"/>
      <c r="G25" s="15"/>
      <c r="H25" s="15"/>
      <c r="I25" s="16">
        <v>1.0</v>
      </c>
      <c r="J25" s="17"/>
      <c r="K25" s="14">
        <v>70000.0</v>
      </c>
      <c r="L25" s="18">
        <v>60000.0</v>
      </c>
      <c r="M25" s="25"/>
      <c r="N25" s="11"/>
      <c r="O25" s="49"/>
      <c r="P25" s="11"/>
      <c r="Q25" s="11"/>
      <c r="R25" s="11"/>
    </row>
    <row r="26">
      <c r="A26" s="12" t="s">
        <v>19</v>
      </c>
      <c r="B26" s="13">
        <v>44920.0</v>
      </c>
      <c r="C26" s="14">
        <v>60000.0</v>
      </c>
      <c r="D26" s="14">
        <v>30000.0</v>
      </c>
      <c r="E26" s="15"/>
      <c r="F26" s="15"/>
      <c r="G26" s="15"/>
      <c r="H26" s="15"/>
      <c r="I26" s="16">
        <v>1.0</v>
      </c>
      <c r="J26" s="17"/>
      <c r="K26" s="14">
        <v>70000.0</v>
      </c>
      <c r="L26" s="18">
        <v>100000.0</v>
      </c>
      <c r="M26" s="23" t="s">
        <v>45</v>
      </c>
      <c r="N26" s="11"/>
      <c r="O26" s="50">
        <f>D33+N11+P17-O9-P16-P18-P19-P9-E33-Salaires!I25</f>
        <v>583446</v>
      </c>
      <c r="P26" s="11"/>
      <c r="Q26" s="11"/>
      <c r="R26" s="11"/>
    </row>
    <row r="27">
      <c r="A27" s="12" t="s">
        <v>20</v>
      </c>
      <c r="B27" s="13">
        <v>44921.0</v>
      </c>
      <c r="C27" s="14">
        <v>40000.0</v>
      </c>
      <c r="D27" s="14">
        <v>27000.0</v>
      </c>
      <c r="E27" s="15"/>
      <c r="F27" s="15"/>
      <c r="G27" s="15"/>
      <c r="H27" s="15"/>
      <c r="I27" s="16">
        <v>1.0</v>
      </c>
      <c r="J27" s="17"/>
      <c r="K27" s="14">
        <v>70000.0</v>
      </c>
      <c r="L27" s="18">
        <v>40000.0</v>
      </c>
      <c r="M27" s="35">
        <v>326000.0</v>
      </c>
      <c r="N27" s="37"/>
      <c r="O27" s="37"/>
      <c r="P27" s="11"/>
      <c r="Q27" s="11"/>
      <c r="R27" s="11"/>
    </row>
    <row r="28">
      <c r="A28" s="12" t="s">
        <v>22</v>
      </c>
      <c r="B28" s="13">
        <v>44922.0</v>
      </c>
      <c r="C28" s="14">
        <v>30000.0</v>
      </c>
      <c r="D28" s="14">
        <v>55000.0</v>
      </c>
      <c r="E28" s="15"/>
      <c r="F28" s="15"/>
      <c r="G28" s="15"/>
      <c r="H28" s="15"/>
      <c r="I28" s="16">
        <v>1.0</v>
      </c>
      <c r="J28" s="17"/>
      <c r="K28" s="14">
        <v>70000.0</v>
      </c>
      <c r="L28" s="18">
        <v>30000.0</v>
      </c>
      <c r="M28" s="51" t="s">
        <v>46</v>
      </c>
      <c r="N28" s="38" t="s">
        <v>47</v>
      </c>
      <c r="O28" s="52"/>
      <c r="P28" s="11"/>
      <c r="Q28" s="11"/>
      <c r="R28" s="11"/>
    </row>
    <row r="29">
      <c r="A29" s="12" t="s">
        <v>23</v>
      </c>
      <c r="B29" s="13">
        <v>44923.0</v>
      </c>
      <c r="C29" s="14">
        <v>65000.0</v>
      </c>
      <c r="D29" s="14">
        <v>110000.0</v>
      </c>
      <c r="E29" s="15"/>
      <c r="F29" s="15"/>
      <c r="G29" s="15"/>
      <c r="H29" s="15"/>
      <c r="I29" s="16">
        <v>1.0</v>
      </c>
      <c r="J29" s="17"/>
      <c r="K29" s="14">
        <v>70000.0</v>
      </c>
      <c r="L29" s="18">
        <v>65000.0</v>
      </c>
      <c r="M29" s="25">
        <f>M9-M27</f>
        <v>774446</v>
      </c>
      <c r="N29" s="11"/>
      <c r="O29" s="37"/>
      <c r="P29" s="11"/>
      <c r="Q29" s="11"/>
      <c r="R29" s="11"/>
    </row>
    <row r="30">
      <c r="A30" s="12" t="s">
        <v>28</v>
      </c>
      <c r="B30" s="13">
        <v>44924.0</v>
      </c>
      <c r="C30" s="14">
        <v>40000.0</v>
      </c>
      <c r="D30" s="14">
        <v>110000.0</v>
      </c>
      <c r="E30" s="15"/>
      <c r="F30" s="15"/>
      <c r="G30" s="15"/>
      <c r="H30" s="15"/>
      <c r="I30" s="16">
        <v>1.0</v>
      </c>
      <c r="J30" s="17"/>
      <c r="K30" s="14">
        <v>70000.0</v>
      </c>
      <c r="L30" s="18">
        <v>40000.0</v>
      </c>
      <c r="M30" s="11"/>
      <c r="N30" s="11"/>
      <c r="O30" s="11"/>
      <c r="P30" s="37">
        <f>D33+N11+P17-O9-P9-P16-P18-P19-E33-Salaires!I25</f>
        <v>583446</v>
      </c>
      <c r="Q30" s="11"/>
      <c r="R30" s="11"/>
    </row>
    <row r="31">
      <c r="A31" s="12" t="s">
        <v>15</v>
      </c>
      <c r="B31" s="13">
        <v>44925.0</v>
      </c>
      <c r="C31" s="14">
        <v>30000.0</v>
      </c>
      <c r="D31" s="14">
        <v>160000.0</v>
      </c>
      <c r="E31" s="15"/>
      <c r="F31" s="15"/>
      <c r="G31" s="15"/>
      <c r="H31" s="15"/>
      <c r="I31" s="16">
        <v>1.0</v>
      </c>
      <c r="J31" s="17"/>
      <c r="K31" s="14">
        <v>70000.0</v>
      </c>
      <c r="L31" s="14">
        <v>30000.0</v>
      </c>
      <c r="M31" s="11"/>
      <c r="N31" s="11"/>
      <c r="O31" s="11"/>
      <c r="P31" s="11"/>
      <c r="Q31" s="11"/>
      <c r="R31" s="11"/>
    </row>
    <row r="32">
      <c r="A32" s="12" t="s">
        <v>16</v>
      </c>
      <c r="B32" s="13">
        <v>44926.0</v>
      </c>
      <c r="C32" s="14">
        <v>0.0</v>
      </c>
      <c r="D32" s="14">
        <v>140000.0</v>
      </c>
      <c r="E32" s="15"/>
      <c r="F32" s="15"/>
      <c r="G32" s="15"/>
      <c r="H32" s="15"/>
      <c r="I32" s="16">
        <v>1.0</v>
      </c>
      <c r="J32" s="17"/>
      <c r="K32" s="18"/>
      <c r="L32" s="14">
        <v>0.0</v>
      </c>
      <c r="M32" s="11"/>
      <c r="N32" s="11"/>
      <c r="O32" s="11"/>
      <c r="P32" s="11"/>
      <c r="Q32" s="11"/>
      <c r="R32" s="11"/>
    </row>
    <row r="33">
      <c r="A33" s="53"/>
      <c r="B33" s="1"/>
      <c r="C33" s="19">
        <f t="shared" ref="C33:D33" si="1">SUM(C2:C32)</f>
        <v>1666000</v>
      </c>
      <c r="D33" s="29">
        <f t="shared" si="1"/>
        <v>1944000</v>
      </c>
      <c r="E33" s="54">
        <f>'Les charges '!H294*1</f>
        <v>793054</v>
      </c>
      <c r="F33" s="55">
        <f>Salaires!H25*1</f>
        <v>400550</v>
      </c>
      <c r="G33" s="56">
        <v>110000.0</v>
      </c>
      <c r="H33" s="19">
        <f>D33-G33-F33-E33</f>
        <v>640396</v>
      </c>
      <c r="I33" s="57">
        <f>SUM(I2:I32)</f>
        <v>31</v>
      </c>
      <c r="J33" s="58"/>
      <c r="K33" s="59">
        <f t="shared" ref="K33:L33" si="2">SUM(K2:K32)</f>
        <v>2030000</v>
      </c>
      <c r="L33" s="60">
        <f t="shared" si="2"/>
        <v>1706000</v>
      </c>
      <c r="M33" s="11"/>
      <c r="N33" s="11"/>
      <c r="O33" s="11"/>
      <c r="P33" s="11"/>
      <c r="Q33" s="11"/>
      <c r="R33" s="11"/>
    </row>
    <row r="34">
      <c r="A34" s="53"/>
      <c r="B34" s="1"/>
      <c r="C34" s="1"/>
      <c r="D34" s="1"/>
      <c r="E34" s="1"/>
      <c r="F34" s="1"/>
      <c r="G34" s="1"/>
      <c r="H34" s="1"/>
      <c r="I34" s="11"/>
      <c r="J34" s="11"/>
      <c r="K34" s="11"/>
      <c r="L34" s="37"/>
      <c r="M34" s="11"/>
      <c r="N34" s="11"/>
      <c r="O34" s="11"/>
      <c r="P34" s="11"/>
      <c r="Q34" s="11"/>
      <c r="R34" s="11"/>
    </row>
    <row r="35">
      <c r="A35" s="1"/>
      <c r="B35" s="1"/>
      <c r="C35" s="61" t="s">
        <v>8</v>
      </c>
      <c r="D35" s="62">
        <v>2030000.0</v>
      </c>
      <c r="E35" s="62">
        <v>700000.0</v>
      </c>
      <c r="F35" s="62">
        <v>310000.0</v>
      </c>
      <c r="G35" s="62">
        <v>110000.0</v>
      </c>
      <c r="H35" s="62">
        <v>910000.0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>
      <c r="A36" s="53"/>
      <c r="B36" s="1"/>
      <c r="C36" s="63" t="s">
        <v>48</v>
      </c>
      <c r="D36" s="64">
        <v>1706000.0</v>
      </c>
      <c r="E36" s="65">
        <v>717000.0</v>
      </c>
      <c r="F36" s="66">
        <v>338000.0</v>
      </c>
      <c r="G36" s="56">
        <v>110000.0</v>
      </c>
      <c r="H36" s="19">
        <v>540000.0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>
      <c r="A37" s="11"/>
      <c r="B37" s="1"/>
      <c r="C37" s="1"/>
      <c r="D37" s="1"/>
      <c r="E37" s="1"/>
      <c r="F37" s="1"/>
      <c r="G37" s="1"/>
      <c r="H37" s="1"/>
      <c r="I37" s="11"/>
      <c r="J37" s="11"/>
      <c r="K37" s="11"/>
      <c r="L37" s="11"/>
      <c r="M37" s="67" t="s">
        <v>24</v>
      </c>
      <c r="N37" s="11"/>
      <c r="O37" s="11"/>
      <c r="P37" s="11"/>
      <c r="Q37" s="11"/>
      <c r="R37" s="11"/>
    </row>
    <row r="38">
      <c r="A38" s="1"/>
      <c r="B38" s="1"/>
      <c r="C38" s="1"/>
      <c r="D38" s="1"/>
      <c r="E38" s="1"/>
      <c r="F38" s="1"/>
      <c r="G38" s="1"/>
      <c r="H38" s="1"/>
      <c r="I38" s="11"/>
      <c r="J38" s="11"/>
      <c r="K38" s="11"/>
      <c r="L38" s="11"/>
      <c r="M38" s="68">
        <f>D33-E33-G33-O9-Salaires!I25</f>
        <v>592446</v>
      </c>
      <c r="N38" s="11"/>
      <c r="O38" s="11"/>
      <c r="P38" s="11"/>
      <c r="Q38" s="11"/>
      <c r="R38" s="11"/>
    </row>
    <row r="39">
      <c r="A39" s="53"/>
      <c r="B39" s="1"/>
      <c r="C39" s="63" t="s">
        <v>49</v>
      </c>
      <c r="D39" s="62">
        <f t="shared" ref="D39:H39" si="3">D33-D36</f>
        <v>238000</v>
      </c>
      <c r="E39" s="62">
        <f t="shared" si="3"/>
        <v>76054</v>
      </c>
      <c r="F39" s="62">
        <f t="shared" si="3"/>
        <v>62550</v>
      </c>
      <c r="G39" s="62">
        <f t="shared" si="3"/>
        <v>0</v>
      </c>
      <c r="H39" s="62">
        <f t="shared" si="3"/>
        <v>100396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6" width="17.63"/>
    <col customWidth="1" min="7" max="7" width="18.88"/>
    <col customWidth="1" min="8" max="8" width="17.63"/>
    <col customWidth="1" min="9" max="9" width="17.88"/>
    <col customWidth="1" min="10" max="10" width="15.38"/>
    <col customWidth="1" min="11" max="11" width="16.63"/>
    <col customWidth="1" min="12" max="12" width="16.13"/>
    <col customWidth="1" min="13" max="13" width="17.88"/>
    <col customWidth="1" min="14" max="14" width="17.63"/>
    <col customWidth="1" min="15" max="15" width="17.38"/>
    <col customWidth="1" min="16" max="16" width="18.88"/>
    <col customWidth="1" min="17" max="17" width="18.63"/>
    <col customWidth="1" min="18" max="18" width="13.63"/>
    <col customWidth="1" min="19" max="19" width="89.13"/>
  </cols>
  <sheetData>
    <row r="1">
      <c r="A1" s="1"/>
      <c r="B1" s="2" t="s">
        <v>0</v>
      </c>
      <c r="C1" s="69" t="s">
        <v>50</v>
      </c>
      <c r="D1" s="2" t="s">
        <v>51</v>
      </c>
      <c r="E1" s="2" t="s">
        <v>52</v>
      </c>
      <c r="F1" s="3" t="s">
        <v>53</v>
      </c>
      <c r="G1" s="2" t="s">
        <v>54</v>
      </c>
      <c r="H1" s="3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3" t="s">
        <v>61</v>
      </c>
      <c r="O1" s="2" t="s">
        <v>62</v>
      </c>
      <c r="P1" s="3" t="s">
        <v>63</v>
      </c>
      <c r="Q1" s="2" t="s">
        <v>64</v>
      </c>
      <c r="R1" s="2"/>
      <c r="S1" s="2" t="s">
        <v>65</v>
      </c>
      <c r="T1" s="11"/>
    </row>
    <row r="2">
      <c r="A2" s="70" t="s">
        <v>14</v>
      </c>
      <c r="B2" s="71">
        <v>44896.0</v>
      </c>
      <c r="C2" s="72">
        <v>0.0</v>
      </c>
      <c r="D2" s="16">
        <v>1.0</v>
      </c>
      <c r="E2" s="73">
        <v>1.0</v>
      </c>
      <c r="F2" s="16">
        <v>0.0</v>
      </c>
      <c r="G2" s="16">
        <v>0.0</v>
      </c>
      <c r="H2" s="72">
        <v>0.0</v>
      </c>
      <c r="I2" s="16">
        <v>1.0</v>
      </c>
      <c r="J2" s="16">
        <v>1.0</v>
      </c>
      <c r="K2" s="74">
        <v>0.0</v>
      </c>
      <c r="L2" s="16">
        <v>1.0</v>
      </c>
      <c r="M2" s="16">
        <v>1.0</v>
      </c>
      <c r="N2" s="16">
        <v>1.0</v>
      </c>
      <c r="O2" s="16">
        <v>1.0</v>
      </c>
      <c r="P2" s="16">
        <v>1.0</v>
      </c>
      <c r="Q2" s="16">
        <v>0.0</v>
      </c>
      <c r="R2" s="75"/>
      <c r="S2" s="75"/>
      <c r="T2" s="11"/>
    </row>
    <row r="3">
      <c r="A3" s="76" t="s">
        <v>15</v>
      </c>
      <c r="B3" s="77">
        <v>44897.0</v>
      </c>
      <c r="C3" s="72">
        <v>0.0</v>
      </c>
      <c r="D3" s="78">
        <v>0.0</v>
      </c>
      <c r="E3" s="78">
        <v>0.0</v>
      </c>
      <c r="F3" s="78">
        <v>0.0</v>
      </c>
      <c r="G3" s="78">
        <v>1.0</v>
      </c>
      <c r="H3" s="72">
        <v>0.0</v>
      </c>
      <c r="I3" s="78">
        <v>0.0</v>
      </c>
      <c r="J3" s="78">
        <v>0.0</v>
      </c>
      <c r="K3" s="74">
        <v>1.0</v>
      </c>
      <c r="L3" s="78">
        <v>1.0</v>
      </c>
      <c r="M3" s="78">
        <v>0.0</v>
      </c>
      <c r="N3" s="78">
        <v>1.5</v>
      </c>
      <c r="O3" s="78">
        <v>1.0</v>
      </c>
      <c r="P3" s="72">
        <v>0.0</v>
      </c>
      <c r="Q3" s="78">
        <v>0.0</v>
      </c>
      <c r="R3" s="79"/>
      <c r="S3" s="79"/>
      <c r="T3" s="11"/>
    </row>
    <row r="4">
      <c r="A4" s="70" t="s">
        <v>16</v>
      </c>
      <c r="B4" s="71">
        <v>44898.0</v>
      </c>
      <c r="C4" s="72">
        <v>0.0</v>
      </c>
      <c r="D4" s="16">
        <v>1.0</v>
      </c>
      <c r="E4" s="16">
        <v>1.0</v>
      </c>
      <c r="F4" s="16">
        <v>0.0</v>
      </c>
      <c r="G4" s="16">
        <v>1.0</v>
      </c>
      <c r="H4" s="72">
        <v>0.0</v>
      </c>
      <c r="I4" s="16">
        <v>1.0</v>
      </c>
      <c r="J4" s="16">
        <v>1.0</v>
      </c>
      <c r="K4" s="74">
        <v>1.0</v>
      </c>
      <c r="L4" s="16">
        <v>0.0</v>
      </c>
      <c r="M4" s="16">
        <v>1.0</v>
      </c>
      <c r="N4" s="16">
        <v>0.0</v>
      </c>
      <c r="O4" s="16">
        <v>1.0</v>
      </c>
      <c r="P4" s="72">
        <v>0.0</v>
      </c>
      <c r="Q4" s="16">
        <v>0.0</v>
      </c>
      <c r="R4" s="75"/>
      <c r="S4" s="75"/>
      <c r="T4" s="11"/>
    </row>
    <row r="5">
      <c r="A5" s="70" t="s">
        <v>19</v>
      </c>
      <c r="B5" s="71">
        <v>44899.0</v>
      </c>
      <c r="C5" s="72">
        <v>0.0</v>
      </c>
      <c r="D5" s="16">
        <v>1.0</v>
      </c>
      <c r="E5" s="16">
        <v>1.0</v>
      </c>
      <c r="F5" s="16">
        <v>1.0</v>
      </c>
      <c r="G5" s="16">
        <v>1.0</v>
      </c>
      <c r="H5" s="72">
        <v>0.0</v>
      </c>
      <c r="I5" s="16">
        <v>1.0</v>
      </c>
      <c r="J5" s="16">
        <v>1.0</v>
      </c>
      <c r="K5" s="74">
        <v>0.5</v>
      </c>
      <c r="L5" s="16">
        <v>1.0</v>
      </c>
      <c r="M5" s="16">
        <v>1.0</v>
      </c>
      <c r="N5" s="16">
        <v>1.5</v>
      </c>
      <c r="O5" s="16">
        <v>0.0</v>
      </c>
      <c r="P5" s="72">
        <v>0.0</v>
      </c>
      <c r="Q5" s="16">
        <v>1.5</v>
      </c>
      <c r="R5" s="75"/>
      <c r="S5" s="75"/>
      <c r="T5" s="11"/>
    </row>
    <row r="6">
      <c r="A6" s="70" t="s">
        <v>20</v>
      </c>
      <c r="B6" s="71">
        <v>44900.0</v>
      </c>
      <c r="C6" s="72">
        <v>0.0</v>
      </c>
      <c r="D6" s="16">
        <v>1.0</v>
      </c>
      <c r="E6" s="16">
        <v>1.0</v>
      </c>
      <c r="F6" s="16">
        <v>1.0</v>
      </c>
      <c r="G6" s="16">
        <v>1.0</v>
      </c>
      <c r="H6" s="16">
        <v>1.0</v>
      </c>
      <c r="I6" s="16">
        <v>1.0</v>
      </c>
      <c r="J6" s="16">
        <v>1.0</v>
      </c>
      <c r="K6" s="74">
        <v>1.0</v>
      </c>
      <c r="L6" s="16">
        <v>1.0</v>
      </c>
      <c r="M6" s="16">
        <v>1.0</v>
      </c>
      <c r="N6" s="16">
        <v>1.0</v>
      </c>
      <c r="O6" s="16">
        <v>0.0</v>
      </c>
      <c r="P6" s="72">
        <v>0.0</v>
      </c>
      <c r="Q6" s="16">
        <v>0.0</v>
      </c>
      <c r="R6" s="75"/>
      <c r="S6" s="75"/>
      <c r="T6" s="11"/>
    </row>
    <row r="7">
      <c r="A7" s="70" t="s">
        <v>22</v>
      </c>
      <c r="B7" s="71">
        <v>44901.0</v>
      </c>
      <c r="C7" s="72">
        <v>0.0</v>
      </c>
      <c r="D7" s="16">
        <v>1.0</v>
      </c>
      <c r="E7" s="16">
        <v>1.0</v>
      </c>
      <c r="F7" s="16">
        <v>1.0</v>
      </c>
      <c r="G7" s="16">
        <v>1.0</v>
      </c>
      <c r="H7" s="16">
        <v>1.0</v>
      </c>
      <c r="I7" s="16">
        <v>0.0</v>
      </c>
      <c r="J7" s="16">
        <v>1.0</v>
      </c>
      <c r="K7" s="74">
        <v>0.0</v>
      </c>
      <c r="L7" s="16">
        <v>0.0</v>
      </c>
      <c r="M7" s="16">
        <v>1.0</v>
      </c>
      <c r="N7" s="16">
        <v>1.0</v>
      </c>
      <c r="O7" s="16">
        <v>0.0</v>
      </c>
      <c r="P7" s="72">
        <v>0.0</v>
      </c>
      <c r="Q7" s="16">
        <v>0.0</v>
      </c>
      <c r="R7" s="75"/>
      <c r="S7" s="75"/>
      <c r="T7" s="11"/>
    </row>
    <row r="8">
      <c r="A8" s="70" t="s">
        <v>23</v>
      </c>
      <c r="B8" s="71">
        <v>44902.0</v>
      </c>
      <c r="C8" s="72">
        <v>0.0</v>
      </c>
      <c r="D8" s="16">
        <v>1.0</v>
      </c>
      <c r="E8" s="16">
        <v>1.0</v>
      </c>
      <c r="F8" s="16">
        <v>1.0</v>
      </c>
      <c r="G8" s="16">
        <v>0.0</v>
      </c>
      <c r="H8" s="16">
        <v>1.0</v>
      </c>
      <c r="I8" s="16">
        <v>1.0</v>
      </c>
      <c r="J8" s="16">
        <v>1.0</v>
      </c>
      <c r="K8" s="74">
        <v>0.0</v>
      </c>
      <c r="L8" s="16">
        <v>1.0</v>
      </c>
      <c r="M8" s="16">
        <v>1.0</v>
      </c>
      <c r="N8" s="16">
        <v>1.0</v>
      </c>
      <c r="O8" s="16">
        <v>0.0</v>
      </c>
      <c r="P8" s="72">
        <v>0.0</v>
      </c>
      <c r="Q8" s="16">
        <v>1.5</v>
      </c>
      <c r="R8" s="75"/>
      <c r="S8" s="75"/>
      <c r="T8" s="11"/>
    </row>
    <row r="9">
      <c r="A9" s="70" t="s">
        <v>28</v>
      </c>
      <c r="B9" s="71">
        <v>44903.0</v>
      </c>
      <c r="C9" s="72">
        <v>0.0</v>
      </c>
      <c r="D9" s="16">
        <v>1.0</v>
      </c>
      <c r="E9" s="16">
        <v>1.0</v>
      </c>
      <c r="F9" s="16">
        <v>1.0</v>
      </c>
      <c r="G9" s="16">
        <v>0.0</v>
      </c>
      <c r="H9" s="16">
        <v>0.0</v>
      </c>
      <c r="I9" s="16">
        <v>1.0</v>
      </c>
      <c r="J9" s="16">
        <v>1.0</v>
      </c>
      <c r="K9" s="74">
        <v>1.0</v>
      </c>
      <c r="L9" s="16">
        <v>1.0</v>
      </c>
      <c r="M9" s="16">
        <v>1.0</v>
      </c>
      <c r="N9" s="16">
        <v>1.0</v>
      </c>
      <c r="O9" s="16">
        <v>0.0</v>
      </c>
      <c r="P9" s="72">
        <v>0.0</v>
      </c>
      <c r="Q9" s="16">
        <v>0.0</v>
      </c>
      <c r="R9" s="75"/>
      <c r="S9" s="75"/>
      <c r="T9" s="11"/>
    </row>
    <row r="10">
      <c r="A10" s="76" t="s">
        <v>15</v>
      </c>
      <c r="B10" s="77">
        <v>44904.0</v>
      </c>
      <c r="C10" s="72">
        <v>0.0</v>
      </c>
      <c r="D10" s="78">
        <v>0.0</v>
      </c>
      <c r="E10" s="78">
        <v>0.0</v>
      </c>
      <c r="F10" s="78">
        <v>1.0</v>
      </c>
      <c r="G10" s="78">
        <v>1.0</v>
      </c>
      <c r="H10" s="78">
        <v>1.0</v>
      </c>
      <c r="I10" s="78">
        <v>1.0</v>
      </c>
      <c r="J10" s="78">
        <v>1.0</v>
      </c>
      <c r="K10" s="74">
        <v>0.0</v>
      </c>
      <c r="L10" s="78">
        <v>0.0</v>
      </c>
      <c r="M10" s="78">
        <v>0.0</v>
      </c>
      <c r="N10" s="78">
        <v>1.0</v>
      </c>
      <c r="O10" s="78">
        <v>1.0</v>
      </c>
      <c r="P10" s="72">
        <v>0.0</v>
      </c>
      <c r="Q10" s="78">
        <v>0.0</v>
      </c>
      <c r="R10" s="79"/>
      <c r="S10" s="79"/>
      <c r="T10" s="11"/>
    </row>
    <row r="11">
      <c r="A11" s="70" t="s">
        <v>16</v>
      </c>
      <c r="B11" s="71">
        <v>44905.0</v>
      </c>
      <c r="C11" s="16">
        <v>1.0</v>
      </c>
      <c r="D11" s="16">
        <v>1.0</v>
      </c>
      <c r="E11" s="16">
        <v>1.0</v>
      </c>
      <c r="F11" s="16">
        <v>1.0</v>
      </c>
      <c r="G11" s="16">
        <v>1.0</v>
      </c>
      <c r="H11" s="16">
        <v>0.5</v>
      </c>
      <c r="I11" s="16">
        <v>1.0</v>
      </c>
      <c r="J11" s="16">
        <v>1.0</v>
      </c>
      <c r="K11" s="74">
        <v>0.0</v>
      </c>
      <c r="L11" s="16">
        <v>1.0</v>
      </c>
      <c r="M11" s="16">
        <v>0.0</v>
      </c>
      <c r="N11" s="16">
        <v>1.0</v>
      </c>
      <c r="O11" s="16">
        <v>0.0</v>
      </c>
      <c r="P11" s="72">
        <v>0.0</v>
      </c>
      <c r="Q11" s="16">
        <v>0.0</v>
      </c>
      <c r="R11" s="75"/>
      <c r="S11" s="75"/>
      <c r="T11" s="11"/>
    </row>
    <row r="12">
      <c r="A12" s="70" t="s">
        <v>19</v>
      </c>
      <c r="B12" s="71">
        <v>44906.0</v>
      </c>
      <c r="C12" s="16">
        <v>1.0</v>
      </c>
      <c r="D12" s="16">
        <v>1.0</v>
      </c>
      <c r="E12" s="16">
        <v>1.0</v>
      </c>
      <c r="F12" s="16">
        <v>1.0</v>
      </c>
      <c r="G12" s="16">
        <v>1.0</v>
      </c>
      <c r="H12" s="16">
        <v>0.0</v>
      </c>
      <c r="I12" s="16">
        <v>1.0</v>
      </c>
      <c r="J12" s="16">
        <v>1.0</v>
      </c>
      <c r="K12" s="74">
        <v>0.0</v>
      </c>
      <c r="L12" s="16">
        <v>1.0</v>
      </c>
      <c r="M12" s="16">
        <v>1.0</v>
      </c>
      <c r="N12" s="16">
        <v>1.0</v>
      </c>
      <c r="O12" s="16">
        <v>0.0</v>
      </c>
      <c r="P12" s="72">
        <v>0.0</v>
      </c>
      <c r="Q12" s="16">
        <v>0.0</v>
      </c>
      <c r="R12" s="75"/>
      <c r="S12" s="75"/>
      <c r="T12" s="11"/>
    </row>
    <row r="13">
      <c r="A13" s="70" t="s">
        <v>20</v>
      </c>
      <c r="B13" s="71">
        <v>44907.0</v>
      </c>
      <c r="C13" s="16">
        <v>1.0</v>
      </c>
      <c r="D13" s="16">
        <v>1.0</v>
      </c>
      <c r="E13" s="16">
        <v>2.0</v>
      </c>
      <c r="F13" s="16">
        <v>0.5</v>
      </c>
      <c r="G13" s="16">
        <v>1.0</v>
      </c>
      <c r="H13" s="16">
        <v>1.0</v>
      </c>
      <c r="I13" s="16">
        <v>1.0</v>
      </c>
      <c r="J13" s="16">
        <v>1.0</v>
      </c>
      <c r="K13" s="74">
        <v>1.0</v>
      </c>
      <c r="L13" s="16">
        <v>2.0</v>
      </c>
      <c r="M13" s="16">
        <v>1.0</v>
      </c>
      <c r="N13" s="16">
        <v>0.0</v>
      </c>
      <c r="O13" s="16">
        <v>0.0</v>
      </c>
      <c r="P13" s="72">
        <v>0.0</v>
      </c>
      <c r="Q13" s="16">
        <v>0.0</v>
      </c>
      <c r="R13" s="75"/>
      <c r="S13" s="75"/>
      <c r="T13" s="11"/>
    </row>
    <row r="14">
      <c r="A14" s="70" t="s">
        <v>22</v>
      </c>
      <c r="B14" s="71">
        <v>44908.0</v>
      </c>
      <c r="C14" s="16">
        <v>1.0</v>
      </c>
      <c r="D14" s="16">
        <v>1.0</v>
      </c>
      <c r="E14" s="16">
        <v>1.0</v>
      </c>
      <c r="F14" s="16">
        <v>1.0</v>
      </c>
      <c r="G14" s="16">
        <v>1.0</v>
      </c>
      <c r="H14" s="16">
        <v>1.0</v>
      </c>
      <c r="I14" s="16">
        <v>1.0</v>
      </c>
      <c r="J14" s="16">
        <v>1.0</v>
      </c>
      <c r="K14" s="74">
        <v>0.0</v>
      </c>
      <c r="L14" s="16">
        <v>0.0</v>
      </c>
      <c r="M14" s="16">
        <v>1.0</v>
      </c>
      <c r="N14" s="16">
        <v>0.0</v>
      </c>
      <c r="O14" s="16">
        <v>0.0</v>
      </c>
      <c r="P14" s="72">
        <v>0.0</v>
      </c>
      <c r="Q14" s="16">
        <v>0.0</v>
      </c>
      <c r="R14" s="75"/>
      <c r="S14" s="75"/>
      <c r="T14" s="11"/>
    </row>
    <row r="15">
      <c r="A15" s="70" t="s">
        <v>23</v>
      </c>
      <c r="B15" s="71">
        <v>44909.0</v>
      </c>
      <c r="C15" s="16">
        <v>1.0</v>
      </c>
      <c r="D15" s="16">
        <v>1.0</v>
      </c>
      <c r="E15" s="16">
        <v>1.0</v>
      </c>
      <c r="F15" s="16">
        <v>1.0</v>
      </c>
      <c r="G15" s="16">
        <v>0.0</v>
      </c>
      <c r="H15" s="16">
        <v>1.0</v>
      </c>
      <c r="I15" s="16">
        <v>1.0</v>
      </c>
      <c r="J15" s="16">
        <v>1.0</v>
      </c>
      <c r="K15" s="74">
        <v>0.0</v>
      </c>
      <c r="L15" s="16">
        <v>1.0</v>
      </c>
      <c r="M15" s="16">
        <v>1.0</v>
      </c>
      <c r="N15" s="16" t="s">
        <v>66</v>
      </c>
      <c r="O15" s="16">
        <v>1.0</v>
      </c>
      <c r="P15" s="72">
        <v>0.0</v>
      </c>
      <c r="Q15" s="16">
        <v>0.0</v>
      </c>
      <c r="R15" s="75"/>
      <c r="S15" s="75"/>
      <c r="T15" s="11"/>
    </row>
    <row r="16">
      <c r="A16" s="70" t="s">
        <v>28</v>
      </c>
      <c r="B16" s="71">
        <v>44910.0</v>
      </c>
      <c r="C16" s="16">
        <v>1.0</v>
      </c>
      <c r="D16" s="16">
        <v>1.0</v>
      </c>
      <c r="E16" s="16">
        <v>0.0</v>
      </c>
      <c r="F16" s="16">
        <v>1.0</v>
      </c>
      <c r="G16" s="16">
        <v>0.0</v>
      </c>
      <c r="H16" s="16">
        <v>1.0</v>
      </c>
      <c r="I16" s="16">
        <v>1.0</v>
      </c>
      <c r="J16" s="16">
        <v>1.0</v>
      </c>
      <c r="K16" s="74">
        <v>1.0</v>
      </c>
      <c r="L16" s="16">
        <v>1.0</v>
      </c>
      <c r="M16" s="16">
        <v>1.0</v>
      </c>
      <c r="N16" s="16" t="s">
        <v>66</v>
      </c>
      <c r="O16" s="16">
        <v>1.0</v>
      </c>
      <c r="P16" s="72">
        <v>0.0</v>
      </c>
      <c r="Q16" s="16">
        <v>0.0</v>
      </c>
      <c r="R16" s="75"/>
      <c r="S16" s="75"/>
      <c r="T16" s="11"/>
    </row>
    <row r="17">
      <c r="A17" s="76" t="s">
        <v>15</v>
      </c>
      <c r="B17" s="77">
        <v>44911.0</v>
      </c>
      <c r="C17" s="78">
        <v>0.0</v>
      </c>
      <c r="D17" s="78">
        <v>0.0</v>
      </c>
      <c r="E17" s="78">
        <v>0.0</v>
      </c>
      <c r="F17" s="78">
        <v>0.0</v>
      </c>
      <c r="G17" s="78">
        <v>0.0</v>
      </c>
      <c r="H17" s="78">
        <v>1.0</v>
      </c>
      <c r="I17" s="78">
        <v>0.0</v>
      </c>
      <c r="J17" s="78">
        <v>1.0</v>
      </c>
      <c r="K17" s="74">
        <v>0.0</v>
      </c>
      <c r="L17" s="78">
        <v>0.0</v>
      </c>
      <c r="M17" s="78">
        <v>1.0</v>
      </c>
      <c r="N17" s="78">
        <v>0.0</v>
      </c>
      <c r="O17" s="78">
        <v>1.0</v>
      </c>
      <c r="P17" s="72">
        <v>0.0</v>
      </c>
      <c r="Q17" s="78">
        <v>2.0</v>
      </c>
      <c r="R17" s="79"/>
      <c r="S17" s="79"/>
      <c r="T17" s="11"/>
    </row>
    <row r="18">
      <c r="A18" s="70" t="s">
        <v>16</v>
      </c>
      <c r="B18" s="71">
        <v>44912.0</v>
      </c>
      <c r="C18" s="16">
        <v>1.0</v>
      </c>
      <c r="D18" s="16">
        <v>1.0</v>
      </c>
      <c r="E18" s="16">
        <v>1.0</v>
      </c>
      <c r="F18" s="16">
        <v>1.0</v>
      </c>
      <c r="G18" s="16">
        <v>0.0</v>
      </c>
      <c r="H18" s="72">
        <v>0.0</v>
      </c>
      <c r="I18" s="16" t="s">
        <v>67</v>
      </c>
      <c r="J18" s="16">
        <v>1.0</v>
      </c>
      <c r="K18" s="74">
        <v>0.0</v>
      </c>
      <c r="L18" s="16">
        <v>1.0</v>
      </c>
      <c r="M18" s="16">
        <v>1.0</v>
      </c>
      <c r="N18" s="16" t="s">
        <v>66</v>
      </c>
      <c r="O18" s="16">
        <v>0.0</v>
      </c>
      <c r="P18" s="72">
        <v>0.0</v>
      </c>
      <c r="Q18" s="16">
        <v>0.0</v>
      </c>
      <c r="R18" s="75"/>
      <c r="S18" s="75"/>
      <c r="T18" s="11"/>
    </row>
    <row r="19">
      <c r="A19" s="70" t="s">
        <v>19</v>
      </c>
      <c r="B19" s="71">
        <v>44913.0</v>
      </c>
      <c r="C19" s="16">
        <v>1.0</v>
      </c>
      <c r="D19" s="16">
        <v>1.0</v>
      </c>
      <c r="E19" s="16">
        <v>1.0</v>
      </c>
      <c r="F19" s="16">
        <v>1.0</v>
      </c>
      <c r="G19" s="16">
        <v>1.0</v>
      </c>
      <c r="H19" s="72">
        <v>0.0</v>
      </c>
      <c r="I19" s="16">
        <v>1.0</v>
      </c>
      <c r="J19" s="16">
        <v>1.0</v>
      </c>
      <c r="K19" s="74">
        <v>0.0</v>
      </c>
      <c r="L19" s="16">
        <v>1.0</v>
      </c>
      <c r="M19" s="16">
        <v>1.0</v>
      </c>
      <c r="N19" s="16">
        <v>1.0</v>
      </c>
      <c r="O19" s="16">
        <v>0.0</v>
      </c>
      <c r="P19" s="72">
        <v>0.0</v>
      </c>
      <c r="Q19" s="16">
        <v>0.0</v>
      </c>
      <c r="R19" s="75"/>
      <c r="S19" s="75"/>
      <c r="T19" s="11"/>
    </row>
    <row r="20">
      <c r="A20" s="70" t="s">
        <v>20</v>
      </c>
      <c r="B20" s="71">
        <v>44914.0</v>
      </c>
      <c r="C20" s="16">
        <v>1.0</v>
      </c>
      <c r="D20" s="16">
        <v>1.0</v>
      </c>
      <c r="E20" s="16">
        <v>2.0</v>
      </c>
      <c r="F20" s="16">
        <v>1.0</v>
      </c>
      <c r="G20" s="16">
        <v>1.0</v>
      </c>
      <c r="H20" s="72">
        <v>0.0</v>
      </c>
      <c r="I20" s="16">
        <v>1.0</v>
      </c>
      <c r="J20" s="16">
        <v>1.0</v>
      </c>
      <c r="K20" s="74">
        <v>1.0</v>
      </c>
      <c r="L20" s="80">
        <v>1.0</v>
      </c>
      <c r="M20" s="16">
        <v>1.0</v>
      </c>
      <c r="N20" s="16">
        <v>1.5</v>
      </c>
      <c r="O20" s="16">
        <v>0.0</v>
      </c>
      <c r="P20" s="72">
        <v>0.0</v>
      </c>
      <c r="Q20" s="16">
        <v>0.0</v>
      </c>
      <c r="R20" s="75"/>
      <c r="S20" s="75"/>
      <c r="T20" s="11"/>
    </row>
    <row r="21">
      <c r="A21" s="70" t="s">
        <v>22</v>
      </c>
      <c r="B21" s="71">
        <v>44915.0</v>
      </c>
      <c r="C21" s="16">
        <v>1.0</v>
      </c>
      <c r="D21" s="16">
        <v>1.0</v>
      </c>
      <c r="E21" s="16">
        <v>1.0</v>
      </c>
      <c r="F21" s="16">
        <v>0.0</v>
      </c>
      <c r="G21" s="16">
        <v>1.0</v>
      </c>
      <c r="H21" s="72">
        <v>0.0</v>
      </c>
      <c r="I21" s="16">
        <v>1.0</v>
      </c>
      <c r="J21" s="16">
        <v>1.0</v>
      </c>
      <c r="K21" s="74">
        <v>1.0</v>
      </c>
      <c r="L21" s="16">
        <v>1.0</v>
      </c>
      <c r="M21" s="16">
        <v>1.0</v>
      </c>
      <c r="N21" s="16">
        <v>0.0</v>
      </c>
      <c r="O21" s="16">
        <v>0.0</v>
      </c>
      <c r="P21" s="72">
        <v>0.0</v>
      </c>
      <c r="Q21" s="16">
        <v>0.0</v>
      </c>
      <c r="R21" s="75"/>
      <c r="S21" s="75"/>
      <c r="T21" s="11"/>
    </row>
    <row r="22">
      <c r="A22" s="70" t="s">
        <v>23</v>
      </c>
      <c r="B22" s="71">
        <v>44916.0</v>
      </c>
      <c r="C22" s="72">
        <v>0.0</v>
      </c>
      <c r="D22" s="16">
        <v>1.0</v>
      </c>
      <c r="E22" s="16">
        <v>2.0</v>
      </c>
      <c r="F22" s="16">
        <v>1.0</v>
      </c>
      <c r="G22" s="16">
        <v>0.0</v>
      </c>
      <c r="H22" s="72">
        <v>0.0</v>
      </c>
      <c r="I22" s="16">
        <v>1.0</v>
      </c>
      <c r="J22" s="16">
        <v>1.0</v>
      </c>
      <c r="K22" s="74">
        <v>0.5</v>
      </c>
      <c r="L22" s="16">
        <v>1.5</v>
      </c>
      <c r="M22" s="16">
        <v>1.0</v>
      </c>
      <c r="N22" s="16">
        <v>1.5</v>
      </c>
      <c r="O22" s="16">
        <v>0.0</v>
      </c>
      <c r="P22" s="72">
        <v>0.0</v>
      </c>
      <c r="Q22" s="16">
        <v>0.0</v>
      </c>
      <c r="R22" s="75"/>
      <c r="S22" s="75"/>
      <c r="T22" s="11"/>
    </row>
    <row r="23">
      <c r="A23" s="70" t="s">
        <v>28</v>
      </c>
      <c r="B23" s="71">
        <v>44917.0</v>
      </c>
      <c r="C23" s="72">
        <v>0.0</v>
      </c>
      <c r="D23" s="16">
        <v>1.0</v>
      </c>
      <c r="E23" s="16">
        <v>1.0</v>
      </c>
      <c r="F23" s="16">
        <v>0.0</v>
      </c>
      <c r="G23" s="16">
        <v>0.0</v>
      </c>
      <c r="H23" s="72">
        <v>0.0</v>
      </c>
      <c r="I23" s="16">
        <v>1.0</v>
      </c>
      <c r="J23" s="16">
        <v>2.0</v>
      </c>
      <c r="K23" s="74">
        <v>0.5</v>
      </c>
      <c r="L23" s="16">
        <v>0.0</v>
      </c>
      <c r="M23" s="16">
        <v>1.0</v>
      </c>
      <c r="N23" s="16">
        <v>1.5</v>
      </c>
      <c r="O23" s="16">
        <v>1.0</v>
      </c>
      <c r="P23" s="72">
        <v>0.0</v>
      </c>
      <c r="Q23" s="16">
        <v>0.0</v>
      </c>
      <c r="R23" s="75"/>
      <c r="S23" s="75"/>
      <c r="T23" s="11"/>
    </row>
    <row r="24">
      <c r="A24" s="76" t="s">
        <v>15</v>
      </c>
      <c r="B24" s="77">
        <v>44918.0</v>
      </c>
      <c r="C24" s="72">
        <v>0.0</v>
      </c>
      <c r="D24" s="78">
        <v>1.0</v>
      </c>
      <c r="E24" s="78">
        <v>0.0</v>
      </c>
      <c r="F24" s="78">
        <v>0.0</v>
      </c>
      <c r="G24" s="78">
        <v>1.0</v>
      </c>
      <c r="H24" s="72">
        <v>0.0</v>
      </c>
      <c r="I24" s="78">
        <v>1.0</v>
      </c>
      <c r="J24" s="78">
        <v>1.0</v>
      </c>
      <c r="K24" s="74">
        <v>1.0</v>
      </c>
      <c r="L24" s="78">
        <v>1.0</v>
      </c>
      <c r="M24" s="78">
        <v>1.0</v>
      </c>
      <c r="N24" s="78">
        <v>0.0</v>
      </c>
      <c r="O24" s="81">
        <v>1.5</v>
      </c>
      <c r="P24" s="72">
        <v>0.0</v>
      </c>
      <c r="Q24" s="78">
        <v>0.0</v>
      </c>
      <c r="R24" s="79"/>
      <c r="S24" s="79"/>
      <c r="T24" s="11"/>
    </row>
    <row r="25">
      <c r="A25" s="70" t="s">
        <v>16</v>
      </c>
      <c r="B25" s="71">
        <v>44919.0</v>
      </c>
      <c r="C25" s="72">
        <v>0.0</v>
      </c>
      <c r="D25" s="16">
        <v>1.0</v>
      </c>
      <c r="E25" s="16">
        <v>0.0</v>
      </c>
      <c r="F25" s="16">
        <v>0.0</v>
      </c>
      <c r="G25" s="16">
        <v>1.0</v>
      </c>
      <c r="H25" s="72">
        <v>0.0</v>
      </c>
      <c r="I25" s="16">
        <v>0.0</v>
      </c>
      <c r="J25" s="16">
        <v>1.25</v>
      </c>
      <c r="K25" s="74">
        <v>1.25</v>
      </c>
      <c r="L25" s="16">
        <v>1.0</v>
      </c>
      <c r="M25" s="16">
        <v>1.0</v>
      </c>
      <c r="N25" s="16">
        <v>0.0</v>
      </c>
      <c r="O25" s="82">
        <v>1.5</v>
      </c>
      <c r="P25" s="72">
        <v>0.0</v>
      </c>
      <c r="Q25" s="16">
        <v>0.0</v>
      </c>
      <c r="R25" s="75"/>
      <c r="S25" s="75"/>
      <c r="T25" s="11"/>
    </row>
    <row r="26">
      <c r="A26" s="70" t="s">
        <v>19</v>
      </c>
      <c r="B26" s="71">
        <v>44920.0</v>
      </c>
      <c r="C26" s="72">
        <v>0.0</v>
      </c>
      <c r="D26" s="16">
        <v>1.0</v>
      </c>
      <c r="E26" s="16">
        <v>1.0</v>
      </c>
      <c r="F26" s="16">
        <v>1.0</v>
      </c>
      <c r="G26" s="16">
        <v>1.0</v>
      </c>
      <c r="H26" s="72">
        <v>0.0</v>
      </c>
      <c r="I26" s="16">
        <v>1.0</v>
      </c>
      <c r="J26" s="16">
        <v>0.0</v>
      </c>
      <c r="K26" s="74">
        <v>0.0</v>
      </c>
      <c r="L26" s="16">
        <v>1.0</v>
      </c>
      <c r="M26" s="16">
        <v>1.0</v>
      </c>
      <c r="N26" s="16">
        <v>0.0</v>
      </c>
      <c r="O26" s="16">
        <v>0.0</v>
      </c>
      <c r="P26" s="16">
        <v>1.0</v>
      </c>
      <c r="Q26" s="16">
        <v>0.0</v>
      </c>
      <c r="R26" s="75"/>
      <c r="S26" s="75"/>
      <c r="T26" s="11"/>
    </row>
    <row r="27">
      <c r="A27" s="70" t="s">
        <v>20</v>
      </c>
      <c r="B27" s="71">
        <v>44921.0</v>
      </c>
      <c r="C27" s="72">
        <v>0.0</v>
      </c>
      <c r="D27" s="16">
        <v>1.0</v>
      </c>
      <c r="E27" s="16">
        <v>1.0</v>
      </c>
      <c r="F27" s="16">
        <v>1.0</v>
      </c>
      <c r="G27" s="16">
        <v>1.0</v>
      </c>
      <c r="H27" s="72">
        <v>0.0</v>
      </c>
      <c r="I27" s="16">
        <v>1.0</v>
      </c>
      <c r="J27" s="16">
        <v>0.0</v>
      </c>
      <c r="K27" s="74">
        <v>0.0</v>
      </c>
      <c r="L27" s="16">
        <v>0.0</v>
      </c>
      <c r="M27" s="16">
        <v>1.0</v>
      </c>
      <c r="N27" s="16">
        <v>0.0</v>
      </c>
      <c r="O27" s="16">
        <v>1.0</v>
      </c>
      <c r="P27" s="16">
        <v>1.0</v>
      </c>
      <c r="Q27" s="16">
        <v>0.0</v>
      </c>
      <c r="R27" s="75"/>
      <c r="S27" s="75"/>
      <c r="T27" s="11"/>
    </row>
    <row r="28">
      <c r="A28" s="70" t="s">
        <v>22</v>
      </c>
      <c r="B28" s="71">
        <v>44922.0</v>
      </c>
      <c r="C28" s="72">
        <v>0.0</v>
      </c>
      <c r="D28" s="16">
        <v>1.0</v>
      </c>
      <c r="E28" s="82">
        <v>2.0</v>
      </c>
      <c r="F28" s="16">
        <v>1.0</v>
      </c>
      <c r="G28" s="16">
        <v>1.0</v>
      </c>
      <c r="H28" s="72">
        <v>0.0</v>
      </c>
      <c r="I28" s="82">
        <v>1.0</v>
      </c>
      <c r="J28" s="82">
        <v>2.0</v>
      </c>
      <c r="K28" s="74">
        <v>1.0</v>
      </c>
      <c r="L28" s="82">
        <v>1.0</v>
      </c>
      <c r="M28" s="16">
        <v>1.0</v>
      </c>
      <c r="N28" s="16">
        <v>0.0</v>
      </c>
      <c r="O28" s="16">
        <v>0.0</v>
      </c>
      <c r="P28" s="16">
        <v>1.0</v>
      </c>
      <c r="Q28" s="16">
        <v>0.0</v>
      </c>
      <c r="R28" s="75"/>
      <c r="S28" s="75"/>
      <c r="T28" s="11"/>
    </row>
    <row r="29">
      <c r="A29" s="70" t="s">
        <v>23</v>
      </c>
      <c r="B29" s="71">
        <v>44923.0</v>
      </c>
      <c r="C29" s="72">
        <v>0.0</v>
      </c>
      <c r="D29" s="16">
        <v>1.0</v>
      </c>
      <c r="E29" s="16">
        <v>1.0</v>
      </c>
      <c r="F29" s="16">
        <v>1.0</v>
      </c>
      <c r="G29" s="16">
        <v>1.0</v>
      </c>
      <c r="H29" s="72">
        <v>0.0</v>
      </c>
      <c r="I29" s="16">
        <v>1.0</v>
      </c>
      <c r="J29" s="82">
        <v>2.0</v>
      </c>
      <c r="K29" s="74">
        <v>1.0</v>
      </c>
      <c r="L29" s="16">
        <v>0.0</v>
      </c>
      <c r="M29" s="82">
        <v>2.0</v>
      </c>
      <c r="N29" s="16">
        <v>0.0</v>
      </c>
      <c r="O29" s="82">
        <v>1.5</v>
      </c>
      <c r="P29" s="16">
        <v>1.0</v>
      </c>
      <c r="Q29" s="16">
        <v>0.0</v>
      </c>
      <c r="R29" s="75"/>
      <c r="S29" s="75"/>
      <c r="T29" s="11"/>
    </row>
    <row r="30">
      <c r="A30" s="70" t="s">
        <v>28</v>
      </c>
      <c r="B30" s="71">
        <v>44924.0</v>
      </c>
      <c r="C30" s="72">
        <v>0.0</v>
      </c>
      <c r="D30" s="16">
        <v>1.0</v>
      </c>
      <c r="E30" s="82">
        <v>2.0</v>
      </c>
      <c r="F30" s="16">
        <v>1.0</v>
      </c>
      <c r="G30" s="16">
        <v>1.0</v>
      </c>
      <c r="H30" s="72">
        <v>0.0</v>
      </c>
      <c r="I30" s="16">
        <v>0.0</v>
      </c>
      <c r="J30" s="82">
        <v>1.5</v>
      </c>
      <c r="K30" s="83">
        <v>1.25</v>
      </c>
      <c r="L30" s="16">
        <v>1.0</v>
      </c>
      <c r="M30" s="16">
        <v>1.0</v>
      </c>
      <c r="N30" s="16">
        <v>0.0</v>
      </c>
      <c r="O30" s="82">
        <v>1.5</v>
      </c>
      <c r="P30" s="82">
        <v>1.5</v>
      </c>
      <c r="Q30" s="16">
        <v>0.0</v>
      </c>
      <c r="R30" s="75"/>
      <c r="S30" s="75"/>
      <c r="T30" s="11"/>
    </row>
    <row r="31">
      <c r="A31" s="76" t="s">
        <v>15</v>
      </c>
      <c r="B31" s="77">
        <v>44925.0</v>
      </c>
      <c r="C31" s="72">
        <v>0.0</v>
      </c>
      <c r="D31" s="84">
        <v>0.0</v>
      </c>
      <c r="E31" s="84">
        <v>2.0</v>
      </c>
      <c r="F31" s="84">
        <v>1.0</v>
      </c>
      <c r="G31" s="84">
        <v>2.0</v>
      </c>
      <c r="H31" s="85">
        <v>0.0</v>
      </c>
      <c r="I31" s="84">
        <v>0.0</v>
      </c>
      <c r="J31" s="84">
        <v>2.0</v>
      </c>
      <c r="K31" s="86">
        <v>1.5</v>
      </c>
      <c r="L31" s="84">
        <v>1.5</v>
      </c>
      <c r="M31" s="84">
        <v>1.0</v>
      </c>
      <c r="N31" s="84">
        <v>0.0</v>
      </c>
      <c r="O31" s="84">
        <v>1.5</v>
      </c>
      <c r="P31" s="84">
        <v>2.0</v>
      </c>
      <c r="Q31" s="84">
        <v>0.0</v>
      </c>
      <c r="R31" s="79"/>
      <c r="S31" s="79"/>
      <c r="T31" s="11"/>
    </row>
    <row r="32">
      <c r="A32" s="70" t="s">
        <v>16</v>
      </c>
      <c r="B32" s="71">
        <v>44926.0</v>
      </c>
      <c r="C32" s="72">
        <v>0.0</v>
      </c>
      <c r="D32" s="87">
        <v>1.0</v>
      </c>
      <c r="E32" s="87">
        <v>2.0</v>
      </c>
      <c r="F32" s="87" t="s">
        <v>67</v>
      </c>
      <c r="G32" s="87">
        <v>2.0</v>
      </c>
      <c r="H32" s="85">
        <v>0.0</v>
      </c>
      <c r="I32" s="87" t="s">
        <v>66</v>
      </c>
      <c r="J32" s="87">
        <v>2.0</v>
      </c>
      <c r="K32" s="86">
        <v>2.0</v>
      </c>
      <c r="L32" s="87" t="s">
        <v>66</v>
      </c>
      <c r="M32" s="88">
        <v>3.0</v>
      </c>
      <c r="N32" s="87">
        <v>0.0</v>
      </c>
      <c r="O32" s="87">
        <v>2.0</v>
      </c>
      <c r="P32" s="87">
        <v>2.0</v>
      </c>
      <c r="Q32" s="87">
        <v>0.0</v>
      </c>
      <c r="R32" s="75"/>
      <c r="S32" s="75"/>
      <c r="T32" s="11"/>
    </row>
    <row r="33">
      <c r="A33" s="11"/>
      <c r="B33" s="71"/>
      <c r="C33" s="89">
        <f t="shared" ref="C33:Q33" si="1">SUM(C2:C32)</f>
        <v>10</v>
      </c>
      <c r="D33" s="89">
        <f t="shared" si="1"/>
        <v>27</v>
      </c>
      <c r="E33" s="89">
        <f t="shared" si="1"/>
        <v>32</v>
      </c>
      <c r="F33" s="89">
        <f t="shared" si="1"/>
        <v>21.5</v>
      </c>
      <c r="G33" s="89">
        <f t="shared" si="1"/>
        <v>24</v>
      </c>
      <c r="H33" s="89">
        <f t="shared" si="1"/>
        <v>9.5</v>
      </c>
      <c r="I33" s="89">
        <f t="shared" si="1"/>
        <v>23</v>
      </c>
      <c r="J33" s="89">
        <f t="shared" si="1"/>
        <v>33.75</v>
      </c>
      <c r="K33" s="90">
        <f t="shared" si="1"/>
        <v>18.5</v>
      </c>
      <c r="L33" s="89">
        <f t="shared" si="1"/>
        <v>24</v>
      </c>
      <c r="M33" s="89">
        <f t="shared" si="1"/>
        <v>31</v>
      </c>
      <c r="N33" s="89">
        <f t="shared" si="1"/>
        <v>16.5</v>
      </c>
      <c r="O33" s="89">
        <f t="shared" si="1"/>
        <v>18.5</v>
      </c>
      <c r="P33" s="89">
        <f t="shared" si="1"/>
        <v>10.5</v>
      </c>
      <c r="Q33" s="89">
        <f t="shared" si="1"/>
        <v>5</v>
      </c>
      <c r="R33" s="91"/>
      <c r="S33" s="91"/>
      <c r="T33" s="11"/>
    </row>
    <row r="34">
      <c r="A34" s="11"/>
      <c r="B34" s="17"/>
      <c r="C34" s="92">
        <v>1000.0</v>
      </c>
      <c r="D34" s="92">
        <v>1400.0</v>
      </c>
      <c r="E34" s="89">
        <v>1200.0</v>
      </c>
      <c r="F34" s="89">
        <v>1000.0</v>
      </c>
      <c r="G34" s="89">
        <v>1200.0</v>
      </c>
      <c r="H34" s="92">
        <v>1000.0</v>
      </c>
      <c r="I34" s="89">
        <v>1150.0</v>
      </c>
      <c r="J34" s="89">
        <v>1200.0</v>
      </c>
      <c r="K34" s="90">
        <v>1000.0</v>
      </c>
      <c r="L34" s="89">
        <v>1200.0</v>
      </c>
      <c r="M34" s="92">
        <v>1000.0</v>
      </c>
      <c r="N34" s="89">
        <v>800.0</v>
      </c>
      <c r="O34" s="89">
        <v>1000.0</v>
      </c>
      <c r="P34" s="92">
        <v>1200.0</v>
      </c>
      <c r="Q34" s="89">
        <v>1000.0</v>
      </c>
      <c r="R34" s="91"/>
      <c r="S34" s="91"/>
      <c r="T34" s="11"/>
    </row>
    <row r="35">
      <c r="A35" s="11"/>
      <c r="B35" s="93"/>
      <c r="C35" s="94">
        <f t="shared" ref="C35:Q35" si="2">C34*C33</f>
        <v>10000</v>
      </c>
      <c r="D35" s="94">
        <f t="shared" si="2"/>
        <v>37800</v>
      </c>
      <c r="E35" s="94">
        <f t="shared" si="2"/>
        <v>38400</v>
      </c>
      <c r="F35" s="94">
        <f t="shared" si="2"/>
        <v>21500</v>
      </c>
      <c r="G35" s="94">
        <f t="shared" si="2"/>
        <v>28800</v>
      </c>
      <c r="H35" s="94">
        <f t="shared" si="2"/>
        <v>9500</v>
      </c>
      <c r="I35" s="94">
        <f t="shared" si="2"/>
        <v>26450</v>
      </c>
      <c r="J35" s="94">
        <f t="shared" si="2"/>
        <v>40500</v>
      </c>
      <c r="K35" s="94">
        <f t="shared" si="2"/>
        <v>18500</v>
      </c>
      <c r="L35" s="94">
        <f t="shared" si="2"/>
        <v>28800</v>
      </c>
      <c r="M35" s="94">
        <f t="shared" si="2"/>
        <v>31000</v>
      </c>
      <c r="N35" s="94">
        <f t="shared" si="2"/>
        <v>13200</v>
      </c>
      <c r="O35" s="94">
        <f t="shared" si="2"/>
        <v>18500</v>
      </c>
      <c r="P35" s="94">
        <f t="shared" si="2"/>
        <v>12600</v>
      </c>
      <c r="Q35" s="94">
        <f t="shared" si="2"/>
        <v>5000</v>
      </c>
      <c r="R35" s="54"/>
      <c r="S35" s="54">
        <f>SUM(C35:Q35)</f>
        <v>340550</v>
      </c>
      <c r="T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3.38"/>
    <col customWidth="1" min="6" max="6" width="25.63"/>
    <col customWidth="1" min="7" max="7" width="38.38"/>
    <col customWidth="1" min="8" max="8" width="38.13"/>
    <col customWidth="1" min="9" max="9" width="39.13"/>
  </cols>
  <sheetData>
    <row r="2">
      <c r="E2" s="95" t="s">
        <v>68</v>
      </c>
      <c r="F2" s="96" t="s">
        <v>69</v>
      </c>
      <c r="G2" s="96" t="s">
        <v>70</v>
      </c>
      <c r="H2" s="96" t="s">
        <v>71</v>
      </c>
      <c r="I2" s="96" t="s">
        <v>72</v>
      </c>
    </row>
    <row r="3">
      <c r="E3" s="97" t="s">
        <v>73</v>
      </c>
      <c r="F3" s="97">
        <v>3.0</v>
      </c>
      <c r="G3" s="98">
        <v>570.0</v>
      </c>
      <c r="H3" s="99">
        <f t="shared" ref="H3:H24" si="1">F3*G3</f>
        <v>1710</v>
      </c>
      <c r="I3" s="100">
        <v>44896.0</v>
      </c>
    </row>
    <row r="4">
      <c r="E4" s="97" t="s">
        <v>74</v>
      </c>
      <c r="F4" s="97">
        <v>3.0</v>
      </c>
      <c r="G4" s="98">
        <v>110.0</v>
      </c>
      <c r="H4" s="99">
        <f t="shared" si="1"/>
        <v>330</v>
      </c>
      <c r="I4" s="100">
        <v>44896.0</v>
      </c>
    </row>
    <row r="5">
      <c r="E5" s="97" t="s">
        <v>75</v>
      </c>
      <c r="F5" s="97">
        <v>7.0</v>
      </c>
      <c r="G5" s="98">
        <v>650.0</v>
      </c>
      <c r="H5" s="99">
        <f t="shared" si="1"/>
        <v>4550</v>
      </c>
      <c r="I5" s="100">
        <v>44896.0</v>
      </c>
    </row>
    <row r="6">
      <c r="E6" s="97" t="s">
        <v>76</v>
      </c>
      <c r="F6" s="97">
        <v>10.0</v>
      </c>
      <c r="G6" s="98">
        <v>30.0</v>
      </c>
      <c r="H6" s="99">
        <f t="shared" si="1"/>
        <v>300</v>
      </c>
      <c r="I6" s="100">
        <v>44896.0</v>
      </c>
    </row>
    <row r="7">
      <c r="E7" s="97" t="s">
        <v>77</v>
      </c>
      <c r="F7" s="97">
        <v>5.0</v>
      </c>
      <c r="G7" s="98">
        <v>30.0</v>
      </c>
      <c r="H7" s="99">
        <f t="shared" si="1"/>
        <v>150</v>
      </c>
      <c r="I7" s="100">
        <v>44896.0</v>
      </c>
    </row>
    <row r="8">
      <c r="E8" s="97" t="s">
        <v>78</v>
      </c>
      <c r="F8" s="97">
        <v>7.0</v>
      </c>
      <c r="G8" s="98">
        <v>12.0</v>
      </c>
      <c r="H8" s="99">
        <f t="shared" si="1"/>
        <v>84</v>
      </c>
      <c r="I8" s="100">
        <v>44896.0</v>
      </c>
    </row>
    <row r="9">
      <c r="E9" s="97" t="s">
        <v>79</v>
      </c>
      <c r="F9" s="97">
        <v>5.0</v>
      </c>
      <c r="G9" s="98">
        <v>120.0</v>
      </c>
      <c r="H9" s="99">
        <f t="shared" si="1"/>
        <v>600</v>
      </c>
      <c r="I9" s="100">
        <v>44896.0</v>
      </c>
    </row>
    <row r="10">
      <c r="E10" s="97" t="s">
        <v>80</v>
      </c>
      <c r="F10" s="97">
        <v>1.0</v>
      </c>
      <c r="G10" s="98">
        <v>1400.0</v>
      </c>
      <c r="H10" s="99">
        <f t="shared" si="1"/>
        <v>1400</v>
      </c>
      <c r="I10" s="100">
        <v>44896.0</v>
      </c>
    </row>
    <row r="11">
      <c r="E11" s="97" t="s">
        <v>81</v>
      </c>
      <c r="F11" s="97">
        <v>20.0</v>
      </c>
      <c r="G11" s="98">
        <v>50.0</v>
      </c>
      <c r="H11" s="99">
        <f t="shared" si="1"/>
        <v>1000</v>
      </c>
      <c r="I11" s="100">
        <v>44896.0</v>
      </c>
    </row>
    <row r="12">
      <c r="E12" s="97" t="s">
        <v>82</v>
      </c>
      <c r="F12" s="97">
        <v>1.0</v>
      </c>
      <c r="G12" s="98">
        <v>250.0</v>
      </c>
      <c r="H12" s="99">
        <f t="shared" si="1"/>
        <v>250</v>
      </c>
      <c r="I12" s="100">
        <v>44896.0</v>
      </c>
    </row>
    <row r="13">
      <c r="E13" s="97" t="s">
        <v>83</v>
      </c>
      <c r="F13" s="97">
        <v>1.0</v>
      </c>
      <c r="G13" s="98">
        <v>5500.0</v>
      </c>
      <c r="H13" s="99">
        <f t="shared" si="1"/>
        <v>5500</v>
      </c>
      <c r="I13" s="100">
        <v>44896.0</v>
      </c>
    </row>
    <row r="14">
      <c r="E14" s="97" t="s">
        <v>84</v>
      </c>
      <c r="F14" s="97">
        <v>1.0</v>
      </c>
      <c r="G14" s="98">
        <v>200.0</v>
      </c>
      <c r="H14" s="99">
        <f t="shared" si="1"/>
        <v>200</v>
      </c>
      <c r="I14" s="100">
        <v>44896.0</v>
      </c>
    </row>
    <row r="15">
      <c r="E15" s="97" t="s">
        <v>85</v>
      </c>
      <c r="F15" s="97">
        <v>18.0</v>
      </c>
      <c r="G15" s="98">
        <v>280.0</v>
      </c>
      <c r="H15" s="99">
        <f t="shared" si="1"/>
        <v>5040</v>
      </c>
      <c r="I15" s="100">
        <v>44896.0</v>
      </c>
    </row>
    <row r="16">
      <c r="E16" s="97" t="s">
        <v>86</v>
      </c>
      <c r="F16" s="97">
        <v>7.0</v>
      </c>
      <c r="G16" s="98">
        <v>840.0</v>
      </c>
      <c r="H16" s="99">
        <f t="shared" si="1"/>
        <v>5880</v>
      </c>
      <c r="I16" s="100">
        <v>44896.0</v>
      </c>
    </row>
    <row r="17">
      <c r="E17" s="97" t="s">
        <v>87</v>
      </c>
      <c r="F17" s="97">
        <v>7.0</v>
      </c>
      <c r="G17" s="98">
        <v>720.0</v>
      </c>
      <c r="H17" s="99">
        <f t="shared" si="1"/>
        <v>5040</v>
      </c>
      <c r="I17" s="100">
        <v>44896.0</v>
      </c>
    </row>
    <row r="18">
      <c r="E18" s="97" t="s">
        <v>88</v>
      </c>
      <c r="F18" s="97">
        <v>1.0</v>
      </c>
      <c r="G18" s="98">
        <v>200.0</v>
      </c>
      <c r="H18" s="99">
        <f t="shared" si="1"/>
        <v>200</v>
      </c>
      <c r="I18" s="100">
        <v>44896.0</v>
      </c>
    </row>
    <row r="19">
      <c r="E19" s="97" t="s">
        <v>89</v>
      </c>
      <c r="F19" s="97">
        <v>1.0</v>
      </c>
      <c r="G19" s="98">
        <v>200.0</v>
      </c>
      <c r="H19" s="99">
        <f t="shared" si="1"/>
        <v>200</v>
      </c>
      <c r="I19" s="100">
        <v>44896.0</v>
      </c>
    </row>
    <row r="20">
      <c r="E20" s="97" t="s">
        <v>90</v>
      </c>
      <c r="F20" s="97">
        <v>50.0</v>
      </c>
      <c r="G20" s="98">
        <v>100.0</v>
      </c>
      <c r="H20" s="99">
        <f t="shared" si="1"/>
        <v>5000</v>
      </c>
      <c r="I20" s="100">
        <v>44896.0</v>
      </c>
    </row>
    <row r="21">
      <c r="E21" s="101" t="s">
        <v>91</v>
      </c>
      <c r="F21" s="102">
        <v>6.0</v>
      </c>
      <c r="G21" s="103">
        <v>750.0</v>
      </c>
      <c r="H21" s="103">
        <f t="shared" si="1"/>
        <v>4500</v>
      </c>
      <c r="I21" s="102" t="s">
        <v>92</v>
      </c>
    </row>
    <row r="22">
      <c r="E22" s="101" t="s">
        <v>93</v>
      </c>
      <c r="F22" s="102">
        <v>2.0</v>
      </c>
      <c r="G22" s="103">
        <v>1000.0</v>
      </c>
      <c r="H22" s="103">
        <f t="shared" si="1"/>
        <v>2000</v>
      </c>
      <c r="I22" s="104">
        <v>44887.0</v>
      </c>
    </row>
    <row r="23">
      <c r="E23" s="105" t="s">
        <v>94</v>
      </c>
      <c r="F23" s="106">
        <v>3.0</v>
      </c>
      <c r="G23" s="107">
        <v>1500.0</v>
      </c>
      <c r="H23" s="107">
        <f t="shared" si="1"/>
        <v>4500</v>
      </c>
      <c r="I23" s="108">
        <v>44887.0</v>
      </c>
    </row>
    <row r="24">
      <c r="E24" s="105" t="s">
        <v>95</v>
      </c>
      <c r="F24" s="106">
        <v>2.0</v>
      </c>
      <c r="G24" s="107">
        <v>1200.0</v>
      </c>
      <c r="H24" s="107">
        <f t="shared" si="1"/>
        <v>2400</v>
      </c>
      <c r="I24" s="108">
        <v>44887.0</v>
      </c>
    </row>
    <row r="25">
      <c r="E25" s="109" t="s">
        <v>96</v>
      </c>
      <c r="F25" s="110">
        <v>8.0</v>
      </c>
      <c r="G25" s="111">
        <v>1416.0</v>
      </c>
      <c r="H25" s="111">
        <f>G25*F25</f>
        <v>11328</v>
      </c>
      <c r="I25" s="112">
        <v>44854.0</v>
      </c>
    </row>
    <row r="26">
      <c r="E26" s="105" t="s">
        <v>97</v>
      </c>
      <c r="F26" s="113">
        <v>50.0</v>
      </c>
      <c r="G26" s="107">
        <v>600.0</v>
      </c>
      <c r="H26" s="107">
        <f>F26*G26</f>
        <v>30000</v>
      </c>
      <c r="I26" s="106" t="s">
        <v>92</v>
      </c>
    </row>
    <row r="27">
      <c r="E27" s="101" t="s">
        <v>98</v>
      </c>
      <c r="F27" s="114">
        <v>50.0</v>
      </c>
      <c r="G27" s="103">
        <v>35.0</v>
      </c>
      <c r="H27" s="103">
        <f t="shared" ref="H27:H291" si="2">G27*F27</f>
        <v>1750</v>
      </c>
      <c r="I27" s="102" t="s">
        <v>99</v>
      </c>
    </row>
    <row r="28">
      <c r="E28" s="105" t="s">
        <v>100</v>
      </c>
      <c r="F28" s="113">
        <v>20.0</v>
      </c>
      <c r="G28" s="107">
        <v>36.0</v>
      </c>
      <c r="H28" s="107">
        <f t="shared" si="2"/>
        <v>720</v>
      </c>
      <c r="I28" s="106" t="s">
        <v>99</v>
      </c>
    </row>
    <row r="29">
      <c r="E29" s="105" t="s">
        <v>101</v>
      </c>
      <c r="F29" s="106">
        <v>2.0</v>
      </c>
      <c r="G29" s="107">
        <v>950.0</v>
      </c>
      <c r="H29" s="107">
        <f t="shared" si="2"/>
        <v>1900</v>
      </c>
      <c r="I29" s="106" t="s">
        <v>99</v>
      </c>
    </row>
    <row r="30">
      <c r="E30" s="105" t="s">
        <v>102</v>
      </c>
      <c r="F30" s="106">
        <v>1.0</v>
      </c>
      <c r="G30" s="107">
        <v>900.0</v>
      </c>
      <c r="H30" s="107">
        <f t="shared" si="2"/>
        <v>900</v>
      </c>
      <c r="I30" s="106" t="s">
        <v>99</v>
      </c>
    </row>
    <row r="31">
      <c r="E31" s="105" t="s">
        <v>103</v>
      </c>
      <c r="F31" s="106">
        <v>1.0</v>
      </c>
      <c r="G31" s="107">
        <v>900.0</v>
      </c>
      <c r="H31" s="107">
        <f t="shared" si="2"/>
        <v>900</v>
      </c>
      <c r="I31" s="106" t="s">
        <v>99</v>
      </c>
    </row>
    <row r="32">
      <c r="E32" s="105" t="s">
        <v>104</v>
      </c>
      <c r="F32" s="106">
        <v>3.0</v>
      </c>
      <c r="G32" s="107">
        <v>2000.0</v>
      </c>
      <c r="H32" s="107">
        <f t="shared" si="2"/>
        <v>6000</v>
      </c>
      <c r="I32" s="106" t="s">
        <v>99</v>
      </c>
    </row>
    <row r="33">
      <c r="E33" s="101" t="s">
        <v>105</v>
      </c>
      <c r="F33" s="102">
        <v>2.0</v>
      </c>
      <c r="G33" s="103">
        <v>2300.0</v>
      </c>
      <c r="H33" s="103">
        <f t="shared" si="2"/>
        <v>4600</v>
      </c>
      <c r="I33" s="102" t="s">
        <v>99</v>
      </c>
    </row>
    <row r="34">
      <c r="E34" s="101" t="s">
        <v>106</v>
      </c>
      <c r="F34" s="115">
        <v>1.0</v>
      </c>
      <c r="G34" s="103">
        <v>1950.0</v>
      </c>
      <c r="H34" s="103">
        <f t="shared" si="2"/>
        <v>1950</v>
      </c>
      <c r="I34" s="102" t="s">
        <v>99</v>
      </c>
    </row>
    <row r="35">
      <c r="E35" s="105" t="s">
        <v>107</v>
      </c>
      <c r="F35" s="113">
        <v>1.0</v>
      </c>
      <c r="G35" s="107">
        <v>2050.0</v>
      </c>
      <c r="H35" s="107">
        <f t="shared" si="2"/>
        <v>2050</v>
      </c>
      <c r="I35" s="106" t="s">
        <v>99</v>
      </c>
    </row>
    <row r="36">
      <c r="E36" s="101" t="s">
        <v>108</v>
      </c>
      <c r="F36" s="102">
        <v>50.0</v>
      </c>
      <c r="G36" s="103">
        <v>12.0</v>
      </c>
      <c r="H36" s="103">
        <f t="shared" si="2"/>
        <v>600</v>
      </c>
      <c r="I36" s="104">
        <v>44880.0</v>
      </c>
    </row>
    <row r="37">
      <c r="E37" s="105" t="s">
        <v>109</v>
      </c>
      <c r="F37" s="106">
        <v>50.0</v>
      </c>
      <c r="G37" s="107">
        <v>10.0</v>
      </c>
      <c r="H37" s="107">
        <f t="shared" si="2"/>
        <v>500</v>
      </c>
      <c r="I37" s="108">
        <v>44880.0</v>
      </c>
    </row>
    <row r="38">
      <c r="E38" s="105" t="s">
        <v>110</v>
      </c>
      <c r="F38" s="106">
        <v>1.0</v>
      </c>
      <c r="G38" s="107">
        <v>650.0</v>
      </c>
      <c r="H38" s="107">
        <f t="shared" si="2"/>
        <v>650</v>
      </c>
      <c r="I38" s="108">
        <v>44880.0</v>
      </c>
    </row>
    <row r="39">
      <c r="E39" s="105" t="s">
        <v>111</v>
      </c>
      <c r="F39" s="106">
        <v>2.0</v>
      </c>
      <c r="G39" s="107">
        <v>100.0</v>
      </c>
      <c r="H39" s="107">
        <f t="shared" si="2"/>
        <v>200</v>
      </c>
      <c r="I39" s="108">
        <v>44880.0</v>
      </c>
    </row>
    <row r="40">
      <c r="E40" s="101" t="s">
        <v>112</v>
      </c>
      <c r="F40" s="114">
        <v>3.0</v>
      </c>
      <c r="G40" s="103">
        <v>1000.0</v>
      </c>
      <c r="H40" s="103">
        <f t="shared" si="2"/>
        <v>3000</v>
      </c>
      <c r="I40" s="116">
        <v>44871.0</v>
      </c>
    </row>
    <row r="41">
      <c r="E41" s="101" t="s">
        <v>113</v>
      </c>
      <c r="F41" s="114">
        <v>1.0</v>
      </c>
      <c r="G41" s="103">
        <v>670.0</v>
      </c>
      <c r="H41" s="103">
        <f t="shared" si="2"/>
        <v>670</v>
      </c>
      <c r="I41" s="102" t="s">
        <v>114</v>
      </c>
    </row>
    <row r="42">
      <c r="E42" s="101" t="s">
        <v>115</v>
      </c>
      <c r="F42" s="114">
        <v>33.0</v>
      </c>
      <c r="G42" s="103">
        <v>225.0</v>
      </c>
      <c r="H42" s="103">
        <f t="shared" si="2"/>
        <v>7425</v>
      </c>
      <c r="I42" s="102" t="s">
        <v>114</v>
      </c>
    </row>
    <row r="43">
      <c r="E43" s="101" t="s">
        <v>116</v>
      </c>
      <c r="F43" s="114">
        <v>1.0</v>
      </c>
      <c r="G43" s="103">
        <v>570.0</v>
      </c>
      <c r="H43" s="103">
        <f t="shared" si="2"/>
        <v>570</v>
      </c>
      <c r="I43" s="102" t="s">
        <v>114</v>
      </c>
    </row>
    <row r="44">
      <c r="E44" s="105" t="s">
        <v>117</v>
      </c>
      <c r="F44" s="113">
        <v>7.0</v>
      </c>
      <c r="G44" s="107">
        <v>103.0</v>
      </c>
      <c r="H44" s="107">
        <f t="shared" si="2"/>
        <v>721</v>
      </c>
      <c r="I44" s="106" t="s">
        <v>114</v>
      </c>
    </row>
    <row r="45">
      <c r="E45" s="101" t="s">
        <v>118</v>
      </c>
      <c r="F45" s="114">
        <v>2.0</v>
      </c>
      <c r="G45" s="103">
        <v>1850.0</v>
      </c>
      <c r="H45" s="103">
        <f t="shared" si="2"/>
        <v>3700</v>
      </c>
      <c r="I45" s="102" t="s">
        <v>99</v>
      </c>
    </row>
    <row r="46">
      <c r="E46" s="101" t="s">
        <v>119</v>
      </c>
      <c r="F46" s="114">
        <v>2.0</v>
      </c>
      <c r="G46" s="103">
        <v>800.0</v>
      </c>
      <c r="H46" s="103">
        <f t="shared" si="2"/>
        <v>1600</v>
      </c>
      <c r="I46" s="102" t="s">
        <v>99</v>
      </c>
    </row>
    <row r="47">
      <c r="E47" s="105" t="s">
        <v>120</v>
      </c>
      <c r="F47" s="106">
        <v>1.0</v>
      </c>
      <c r="G47" s="107">
        <v>1320.0</v>
      </c>
      <c r="H47" s="107">
        <f t="shared" si="2"/>
        <v>1320</v>
      </c>
      <c r="I47" s="106" t="s">
        <v>99</v>
      </c>
    </row>
    <row r="48">
      <c r="E48" s="101" t="s">
        <v>121</v>
      </c>
      <c r="F48" s="102">
        <v>2.0</v>
      </c>
      <c r="G48" s="103">
        <v>1140.0</v>
      </c>
      <c r="H48" s="103">
        <f t="shared" si="2"/>
        <v>2280</v>
      </c>
      <c r="I48" s="104">
        <v>44882.0</v>
      </c>
    </row>
    <row r="49">
      <c r="E49" s="101" t="s">
        <v>102</v>
      </c>
      <c r="F49" s="114">
        <v>4.0</v>
      </c>
      <c r="G49" s="103">
        <v>1450.0</v>
      </c>
      <c r="H49" s="103">
        <f t="shared" si="2"/>
        <v>5800</v>
      </c>
      <c r="I49" s="104">
        <v>44878.0</v>
      </c>
    </row>
    <row r="50">
      <c r="E50" s="101" t="s">
        <v>122</v>
      </c>
      <c r="F50" s="102">
        <v>2.0</v>
      </c>
      <c r="G50" s="103">
        <v>2600.0</v>
      </c>
      <c r="H50" s="103">
        <f t="shared" si="2"/>
        <v>5200</v>
      </c>
      <c r="I50" s="104">
        <v>44879.0</v>
      </c>
    </row>
    <row r="51">
      <c r="E51" s="101" t="s">
        <v>123</v>
      </c>
      <c r="F51" s="114">
        <v>3.0</v>
      </c>
      <c r="G51" s="103">
        <v>2750.0</v>
      </c>
      <c r="H51" s="103">
        <f t="shared" si="2"/>
        <v>8250</v>
      </c>
      <c r="I51" s="104">
        <v>44878.0</v>
      </c>
    </row>
    <row r="52">
      <c r="E52" s="105" t="s">
        <v>124</v>
      </c>
      <c r="F52" s="106">
        <v>4.0</v>
      </c>
      <c r="G52" s="107">
        <v>550.0</v>
      </c>
      <c r="H52" s="107">
        <f t="shared" si="2"/>
        <v>2200</v>
      </c>
      <c r="I52" s="108">
        <v>44878.0</v>
      </c>
    </row>
    <row r="53">
      <c r="E53" s="101" t="s">
        <v>125</v>
      </c>
      <c r="F53" s="102">
        <v>12.0</v>
      </c>
      <c r="G53" s="103">
        <v>65.0</v>
      </c>
      <c r="H53" s="103">
        <f t="shared" si="2"/>
        <v>780</v>
      </c>
      <c r="I53" s="104">
        <v>44876.0</v>
      </c>
    </row>
    <row r="54">
      <c r="E54" s="101" t="s">
        <v>126</v>
      </c>
      <c r="F54" s="114">
        <v>8.0</v>
      </c>
      <c r="G54" s="103">
        <v>530.0</v>
      </c>
      <c r="H54" s="103">
        <f t="shared" si="2"/>
        <v>4240</v>
      </c>
      <c r="I54" s="104">
        <v>44876.0</v>
      </c>
    </row>
    <row r="55">
      <c r="E55" s="101" t="s">
        <v>127</v>
      </c>
      <c r="F55" s="102">
        <v>6.0</v>
      </c>
      <c r="G55" s="103">
        <v>420.0</v>
      </c>
      <c r="H55" s="103">
        <f t="shared" si="2"/>
        <v>2520</v>
      </c>
      <c r="I55" s="116">
        <v>44874.0</v>
      </c>
    </row>
    <row r="56">
      <c r="E56" s="101" t="s">
        <v>128</v>
      </c>
      <c r="F56" s="102">
        <v>12.0</v>
      </c>
      <c r="G56" s="103">
        <v>215.0</v>
      </c>
      <c r="H56" s="103">
        <f t="shared" si="2"/>
        <v>2580</v>
      </c>
      <c r="I56" s="116">
        <v>44872.0</v>
      </c>
    </row>
    <row r="57">
      <c r="E57" s="101" t="s">
        <v>129</v>
      </c>
      <c r="F57" s="114">
        <v>10.0</v>
      </c>
      <c r="G57" s="103">
        <v>200.0</v>
      </c>
      <c r="H57" s="103">
        <f t="shared" si="2"/>
        <v>2000</v>
      </c>
      <c r="I57" s="116">
        <v>44868.0</v>
      </c>
    </row>
    <row r="58">
      <c r="E58" s="105" t="s">
        <v>130</v>
      </c>
      <c r="F58" s="113">
        <v>3.0</v>
      </c>
      <c r="G58" s="107">
        <v>600.0</v>
      </c>
      <c r="H58" s="107">
        <f t="shared" si="2"/>
        <v>1800</v>
      </c>
      <c r="I58" s="117">
        <v>44868.0</v>
      </c>
    </row>
    <row r="59">
      <c r="E59" s="101" t="s">
        <v>131</v>
      </c>
      <c r="F59" s="102">
        <v>3.0</v>
      </c>
      <c r="G59" s="103">
        <v>1400.0</v>
      </c>
      <c r="H59" s="103">
        <f t="shared" si="2"/>
        <v>4200</v>
      </c>
      <c r="I59" s="116">
        <v>44868.0</v>
      </c>
    </row>
    <row r="60">
      <c r="E60" s="101" t="s">
        <v>132</v>
      </c>
      <c r="F60" s="114">
        <v>6.0</v>
      </c>
      <c r="G60" s="103">
        <v>200.0</v>
      </c>
      <c r="H60" s="103">
        <f t="shared" si="2"/>
        <v>1200</v>
      </c>
      <c r="I60" s="116">
        <v>44807.0</v>
      </c>
    </row>
    <row r="61">
      <c r="E61" s="101" t="s">
        <v>133</v>
      </c>
      <c r="F61" s="114">
        <v>10.0</v>
      </c>
      <c r="G61" s="103">
        <v>385.0</v>
      </c>
      <c r="H61" s="103">
        <f t="shared" si="2"/>
        <v>3850</v>
      </c>
      <c r="I61" s="116">
        <v>44821.0</v>
      </c>
    </row>
    <row r="62">
      <c r="E62" s="118" t="s">
        <v>134</v>
      </c>
      <c r="F62" s="110">
        <v>20.0</v>
      </c>
      <c r="G62" s="119">
        <v>800.0</v>
      </c>
      <c r="H62" s="111">
        <f t="shared" si="2"/>
        <v>16000</v>
      </c>
      <c r="I62" s="120">
        <v>44896.0</v>
      </c>
    </row>
    <row r="63">
      <c r="E63" s="121" t="s">
        <v>135</v>
      </c>
      <c r="F63" s="122">
        <v>2.0</v>
      </c>
      <c r="G63" s="123">
        <v>3168.0</v>
      </c>
      <c r="H63" s="124">
        <f t="shared" si="2"/>
        <v>6336</v>
      </c>
      <c r="I63" s="125">
        <v>44896.0</v>
      </c>
    </row>
    <row r="64">
      <c r="E64" s="105" t="s">
        <v>136</v>
      </c>
      <c r="F64" s="113">
        <v>1.0</v>
      </c>
      <c r="G64" s="107">
        <v>3440.0</v>
      </c>
      <c r="H64" s="107">
        <f t="shared" si="2"/>
        <v>3440</v>
      </c>
      <c r="I64" s="117">
        <v>44805.0</v>
      </c>
    </row>
    <row r="65">
      <c r="E65" s="101" t="s">
        <v>137</v>
      </c>
      <c r="F65" s="114">
        <v>7.0</v>
      </c>
      <c r="G65" s="103">
        <v>285.0</v>
      </c>
      <c r="H65" s="103">
        <f t="shared" si="2"/>
        <v>1995</v>
      </c>
      <c r="I65" s="116">
        <v>44809.0</v>
      </c>
    </row>
    <row r="66">
      <c r="E66" s="118" t="s">
        <v>138</v>
      </c>
      <c r="F66" s="126">
        <v>1.0</v>
      </c>
      <c r="G66" s="111">
        <v>2300.0</v>
      </c>
      <c r="H66" s="111">
        <f t="shared" si="2"/>
        <v>2300</v>
      </c>
      <c r="I66" s="112">
        <v>44849.0</v>
      </c>
    </row>
    <row r="67">
      <c r="E67" s="118" t="s">
        <v>139</v>
      </c>
      <c r="F67" s="110">
        <v>12.0</v>
      </c>
      <c r="G67" s="111">
        <v>370.0</v>
      </c>
      <c r="H67" s="111">
        <f t="shared" si="2"/>
        <v>4440</v>
      </c>
      <c r="I67" s="112">
        <v>44854.0</v>
      </c>
    </row>
    <row r="68">
      <c r="E68" s="118" t="s">
        <v>140</v>
      </c>
      <c r="F68" s="110">
        <v>5.0</v>
      </c>
      <c r="G68" s="111">
        <v>250.0</v>
      </c>
      <c r="H68" s="111">
        <f t="shared" si="2"/>
        <v>1250</v>
      </c>
      <c r="I68" s="112">
        <v>44858.0</v>
      </c>
    </row>
    <row r="69">
      <c r="E69" s="118" t="s">
        <v>141</v>
      </c>
      <c r="F69" s="110">
        <v>5.0</v>
      </c>
      <c r="G69" s="111">
        <v>500.0</v>
      </c>
      <c r="H69" s="111">
        <f t="shared" si="2"/>
        <v>2500</v>
      </c>
      <c r="I69" s="112">
        <v>44859.0</v>
      </c>
    </row>
    <row r="70">
      <c r="E70" s="127" t="s">
        <v>105</v>
      </c>
      <c r="F70" s="128">
        <v>2.0</v>
      </c>
      <c r="G70" s="129">
        <v>2300.0</v>
      </c>
      <c r="H70" s="111">
        <f t="shared" si="2"/>
        <v>4600</v>
      </c>
      <c r="I70" s="130">
        <v>44896.0</v>
      </c>
    </row>
    <row r="71">
      <c r="E71" s="127" t="s">
        <v>142</v>
      </c>
      <c r="F71" s="128">
        <v>3.0</v>
      </c>
      <c r="G71" s="129">
        <v>1300.0</v>
      </c>
      <c r="H71" s="111">
        <f t="shared" si="2"/>
        <v>3900</v>
      </c>
      <c r="I71" s="130">
        <v>44896.0</v>
      </c>
    </row>
    <row r="72">
      <c r="E72" s="127" t="s">
        <v>90</v>
      </c>
      <c r="F72" s="128">
        <v>60.0</v>
      </c>
      <c r="G72" s="129">
        <v>100.0</v>
      </c>
      <c r="H72" s="111">
        <f t="shared" si="2"/>
        <v>6000</v>
      </c>
      <c r="I72" s="130">
        <v>44896.0</v>
      </c>
    </row>
    <row r="73">
      <c r="E73" s="127" t="s">
        <v>112</v>
      </c>
      <c r="F73" s="128">
        <v>2.0</v>
      </c>
      <c r="G73" s="129">
        <v>1200.0</v>
      </c>
      <c r="H73" s="111">
        <f t="shared" si="2"/>
        <v>2400</v>
      </c>
      <c r="I73" s="130">
        <v>44896.0</v>
      </c>
    </row>
    <row r="74">
      <c r="E74" s="127" t="s">
        <v>143</v>
      </c>
      <c r="F74" s="128">
        <v>1.0</v>
      </c>
      <c r="G74" s="129">
        <v>800.0</v>
      </c>
      <c r="H74" s="111">
        <f t="shared" si="2"/>
        <v>800</v>
      </c>
      <c r="I74" s="130">
        <v>44896.0</v>
      </c>
    </row>
    <row r="75">
      <c r="E75" s="127" t="s">
        <v>144</v>
      </c>
      <c r="F75" s="128">
        <v>1.0</v>
      </c>
      <c r="G75" s="129">
        <v>450.0</v>
      </c>
      <c r="H75" s="111">
        <f t="shared" si="2"/>
        <v>450</v>
      </c>
      <c r="I75" s="130">
        <v>44896.0</v>
      </c>
    </row>
    <row r="76">
      <c r="E76" s="127" t="s">
        <v>78</v>
      </c>
      <c r="F76" s="128">
        <v>25.0</v>
      </c>
      <c r="G76" s="129">
        <v>120.0</v>
      </c>
      <c r="H76" s="111">
        <f t="shared" si="2"/>
        <v>3000</v>
      </c>
      <c r="I76" s="130">
        <v>44897.0</v>
      </c>
    </row>
    <row r="77">
      <c r="E77" s="127" t="s">
        <v>78</v>
      </c>
      <c r="F77" s="128">
        <v>35.0</v>
      </c>
      <c r="G77" s="129">
        <v>100.0</v>
      </c>
      <c r="H77" s="111">
        <f t="shared" si="2"/>
        <v>3500</v>
      </c>
      <c r="I77" s="130">
        <v>44897.0</v>
      </c>
    </row>
    <row r="78">
      <c r="E78" s="127" t="s">
        <v>145</v>
      </c>
      <c r="F78" s="128">
        <v>1.0</v>
      </c>
      <c r="G78" s="129">
        <v>500.0</v>
      </c>
      <c r="H78" s="111">
        <f t="shared" si="2"/>
        <v>500</v>
      </c>
      <c r="I78" s="130">
        <v>44897.0</v>
      </c>
    </row>
    <row r="79">
      <c r="E79" s="127" t="s">
        <v>146</v>
      </c>
      <c r="F79" s="128">
        <v>12.0</v>
      </c>
      <c r="G79" s="129">
        <v>180.0</v>
      </c>
      <c r="H79" s="111">
        <f t="shared" si="2"/>
        <v>2160</v>
      </c>
      <c r="I79" s="130">
        <v>44898.0</v>
      </c>
    </row>
    <row r="80">
      <c r="E80" s="127" t="s">
        <v>128</v>
      </c>
      <c r="F80" s="128">
        <v>21.0</v>
      </c>
      <c r="G80" s="129">
        <v>220.0</v>
      </c>
      <c r="H80" s="111">
        <f t="shared" si="2"/>
        <v>4620</v>
      </c>
      <c r="I80" s="130">
        <v>44898.0</v>
      </c>
    </row>
    <row r="81">
      <c r="E81" s="127" t="s">
        <v>147</v>
      </c>
      <c r="F81" s="128">
        <v>10.0</v>
      </c>
      <c r="G81" s="129">
        <v>1520.0</v>
      </c>
      <c r="H81" s="111">
        <f t="shared" si="2"/>
        <v>15200</v>
      </c>
      <c r="I81" s="130">
        <v>44898.0</v>
      </c>
    </row>
    <row r="82">
      <c r="E82" s="127" t="s">
        <v>148</v>
      </c>
      <c r="F82" s="128">
        <v>1.0</v>
      </c>
      <c r="G82" s="129">
        <v>225.0</v>
      </c>
      <c r="H82" s="111">
        <f t="shared" si="2"/>
        <v>225</v>
      </c>
      <c r="I82" s="130">
        <v>44898.0</v>
      </c>
    </row>
    <row r="83">
      <c r="E83" s="127" t="s">
        <v>149</v>
      </c>
      <c r="F83" s="128">
        <v>5.0</v>
      </c>
      <c r="G83" s="129">
        <v>180.0</v>
      </c>
      <c r="H83" s="111">
        <f t="shared" si="2"/>
        <v>900</v>
      </c>
      <c r="I83" s="130">
        <v>44898.0</v>
      </c>
    </row>
    <row r="84">
      <c r="E84" s="127" t="s">
        <v>150</v>
      </c>
      <c r="F84" s="128">
        <v>16.0</v>
      </c>
      <c r="G84" s="129">
        <v>140.0</v>
      </c>
      <c r="H84" s="111">
        <f t="shared" si="2"/>
        <v>2240</v>
      </c>
      <c r="I84" s="130">
        <v>44898.0</v>
      </c>
    </row>
    <row r="85">
      <c r="E85" s="127" t="s">
        <v>151</v>
      </c>
      <c r="F85" s="128">
        <v>1.0</v>
      </c>
      <c r="G85" s="129">
        <v>500.0</v>
      </c>
      <c r="H85" s="111">
        <f t="shared" si="2"/>
        <v>500</v>
      </c>
      <c r="I85" s="130">
        <v>44898.0</v>
      </c>
    </row>
    <row r="86">
      <c r="E86" s="127" t="s">
        <v>152</v>
      </c>
      <c r="F86" s="128">
        <v>1.0</v>
      </c>
      <c r="G86" s="129">
        <v>16450.0</v>
      </c>
      <c r="H86" s="111">
        <f t="shared" si="2"/>
        <v>16450</v>
      </c>
      <c r="I86" s="130">
        <v>44898.0</v>
      </c>
    </row>
    <row r="87">
      <c r="E87" s="127" t="s">
        <v>153</v>
      </c>
      <c r="F87" s="128">
        <v>2.0</v>
      </c>
      <c r="G87" s="129">
        <v>1250.0</v>
      </c>
      <c r="H87" s="111">
        <f t="shared" si="2"/>
        <v>2500</v>
      </c>
      <c r="I87" s="130">
        <v>44898.0</v>
      </c>
    </row>
    <row r="88">
      <c r="E88" s="127" t="s">
        <v>154</v>
      </c>
      <c r="F88" s="128">
        <v>20.0</v>
      </c>
      <c r="G88" s="129">
        <v>75.0</v>
      </c>
      <c r="H88" s="111">
        <f t="shared" si="2"/>
        <v>1500</v>
      </c>
      <c r="I88" s="130">
        <v>44898.0</v>
      </c>
    </row>
    <row r="89">
      <c r="E89" s="127" t="s">
        <v>155</v>
      </c>
      <c r="F89" s="128">
        <v>4.0</v>
      </c>
      <c r="G89" s="129">
        <v>190.0</v>
      </c>
      <c r="H89" s="111">
        <f t="shared" si="2"/>
        <v>760</v>
      </c>
      <c r="I89" s="130">
        <v>44898.0</v>
      </c>
    </row>
    <row r="90">
      <c r="E90" s="127" t="s">
        <v>156</v>
      </c>
      <c r="F90" s="128">
        <v>2.0</v>
      </c>
      <c r="G90" s="129">
        <v>250.0</v>
      </c>
      <c r="H90" s="111">
        <f t="shared" si="2"/>
        <v>500</v>
      </c>
      <c r="I90" s="130">
        <v>44898.0</v>
      </c>
    </row>
    <row r="91">
      <c r="E91" s="127" t="s">
        <v>73</v>
      </c>
      <c r="F91" s="128">
        <v>5.0</v>
      </c>
      <c r="G91" s="129">
        <v>580.0</v>
      </c>
      <c r="H91" s="111">
        <f t="shared" si="2"/>
        <v>2900</v>
      </c>
      <c r="I91" s="130">
        <v>44899.0</v>
      </c>
    </row>
    <row r="92">
      <c r="E92" s="127" t="s">
        <v>157</v>
      </c>
      <c r="F92" s="128">
        <v>3.0</v>
      </c>
      <c r="G92" s="129">
        <v>170.0</v>
      </c>
      <c r="H92" s="111">
        <f t="shared" si="2"/>
        <v>510</v>
      </c>
      <c r="I92" s="130">
        <v>44899.0</v>
      </c>
    </row>
    <row r="93">
      <c r="E93" s="127" t="s">
        <v>158</v>
      </c>
      <c r="F93" s="128">
        <v>1.0</v>
      </c>
      <c r="G93" s="129">
        <v>1000.0</v>
      </c>
      <c r="H93" s="111">
        <f t="shared" si="2"/>
        <v>1000</v>
      </c>
      <c r="I93" s="130">
        <v>44899.0</v>
      </c>
    </row>
    <row r="94">
      <c r="E94" s="127" t="s">
        <v>159</v>
      </c>
      <c r="F94" s="128">
        <v>3.0</v>
      </c>
      <c r="G94" s="129">
        <v>320.0</v>
      </c>
      <c r="H94" s="111">
        <f t="shared" si="2"/>
        <v>960</v>
      </c>
      <c r="I94" s="130">
        <v>44899.0</v>
      </c>
    </row>
    <row r="95">
      <c r="E95" s="127" t="s">
        <v>117</v>
      </c>
      <c r="F95" s="128">
        <v>16.0</v>
      </c>
      <c r="G95" s="129">
        <v>100.0</v>
      </c>
      <c r="H95" s="111">
        <f t="shared" si="2"/>
        <v>1600</v>
      </c>
      <c r="I95" s="130">
        <v>44899.0</v>
      </c>
    </row>
    <row r="96">
      <c r="E96" s="127" t="s">
        <v>160</v>
      </c>
      <c r="F96" s="128">
        <v>0.2</v>
      </c>
      <c r="G96" s="129">
        <v>5000.0</v>
      </c>
      <c r="H96" s="111">
        <f t="shared" si="2"/>
        <v>1000</v>
      </c>
      <c r="I96" s="130">
        <v>44899.0</v>
      </c>
    </row>
    <row r="97">
      <c r="E97" s="127" t="s">
        <v>161</v>
      </c>
      <c r="F97" s="128">
        <v>0.5</v>
      </c>
      <c r="G97" s="129">
        <v>2200.0</v>
      </c>
      <c r="H97" s="111">
        <f t="shared" si="2"/>
        <v>1100</v>
      </c>
      <c r="I97" s="130">
        <v>44899.0</v>
      </c>
    </row>
    <row r="98">
      <c r="E98" s="127" t="s">
        <v>162</v>
      </c>
      <c r="F98" s="128">
        <v>2.0</v>
      </c>
      <c r="G98" s="129">
        <v>320.0</v>
      </c>
      <c r="H98" s="111">
        <f t="shared" si="2"/>
        <v>640</v>
      </c>
      <c r="I98" s="130">
        <v>44899.0</v>
      </c>
    </row>
    <row r="99">
      <c r="E99" s="127" t="s">
        <v>163</v>
      </c>
      <c r="F99" s="128">
        <v>1.0</v>
      </c>
      <c r="G99" s="129">
        <v>250.0</v>
      </c>
      <c r="H99" s="111">
        <f t="shared" si="2"/>
        <v>250</v>
      </c>
      <c r="I99" s="130">
        <v>44899.0</v>
      </c>
    </row>
    <row r="100">
      <c r="E100" s="127" t="s">
        <v>79</v>
      </c>
      <c r="F100" s="128">
        <v>2.0</v>
      </c>
      <c r="G100" s="129">
        <v>400.0</v>
      </c>
      <c r="H100" s="111">
        <f t="shared" si="2"/>
        <v>800</v>
      </c>
      <c r="I100" s="130">
        <v>44899.0</v>
      </c>
    </row>
    <row r="101">
      <c r="E101" s="127" t="s">
        <v>78</v>
      </c>
      <c r="F101" s="128">
        <v>35.0</v>
      </c>
      <c r="G101" s="129">
        <v>100.0</v>
      </c>
      <c r="H101" s="111">
        <f t="shared" si="2"/>
        <v>3500</v>
      </c>
      <c r="I101" s="130">
        <v>44900.0</v>
      </c>
    </row>
    <row r="102">
      <c r="E102" s="127" t="s">
        <v>164</v>
      </c>
      <c r="F102" s="128">
        <v>2.0</v>
      </c>
      <c r="G102" s="129">
        <v>150.0</v>
      </c>
      <c r="H102" s="111">
        <f t="shared" si="2"/>
        <v>300</v>
      </c>
      <c r="I102" s="130">
        <v>44900.0</v>
      </c>
    </row>
    <row r="103">
      <c r="E103" s="127" t="s">
        <v>165</v>
      </c>
      <c r="F103" s="128">
        <v>1.0</v>
      </c>
      <c r="G103" s="129">
        <v>500.0</v>
      </c>
      <c r="H103" s="111">
        <f t="shared" si="2"/>
        <v>500</v>
      </c>
      <c r="I103" s="130">
        <v>44900.0</v>
      </c>
    </row>
    <row r="104">
      <c r="E104" s="127" t="s">
        <v>166</v>
      </c>
      <c r="F104" s="128">
        <v>25.0</v>
      </c>
      <c r="G104" s="129">
        <v>120.0</v>
      </c>
      <c r="H104" s="111">
        <f t="shared" si="2"/>
        <v>3000</v>
      </c>
      <c r="I104" s="131">
        <v>44724.0</v>
      </c>
    </row>
    <row r="105">
      <c r="E105" s="127" t="s">
        <v>167</v>
      </c>
      <c r="F105" s="128">
        <v>1.0</v>
      </c>
      <c r="G105" s="129">
        <v>1000.0</v>
      </c>
      <c r="H105" s="111">
        <f t="shared" si="2"/>
        <v>1000</v>
      </c>
      <c r="I105" s="131">
        <v>44724.0</v>
      </c>
    </row>
    <row r="106">
      <c r="E106" s="127" t="s">
        <v>168</v>
      </c>
      <c r="F106" s="128">
        <v>1.0</v>
      </c>
      <c r="G106" s="129">
        <v>650.0</v>
      </c>
      <c r="H106" s="111">
        <f t="shared" si="2"/>
        <v>650</v>
      </c>
      <c r="I106" s="131">
        <v>44724.0</v>
      </c>
    </row>
    <row r="107">
      <c r="E107" s="127" t="s">
        <v>169</v>
      </c>
      <c r="F107" s="128">
        <v>1.0</v>
      </c>
      <c r="G107" s="129">
        <v>900.0</v>
      </c>
      <c r="H107" s="111">
        <f t="shared" si="2"/>
        <v>900</v>
      </c>
      <c r="I107" s="131">
        <v>44724.0</v>
      </c>
    </row>
    <row r="108">
      <c r="E108" s="127" t="s">
        <v>170</v>
      </c>
      <c r="F108" s="128">
        <v>2.0</v>
      </c>
      <c r="G108" s="129">
        <v>100.0</v>
      </c>
      <c r="H108" s="111">
        <f t="shared" si="2"/>
        <v>200</v>
      </c>
      <c r="I108" s="131">
        <v>44724.0</v>
      </c>
    </row>
    <row r="109">
      <c r="E109" s="127" t="s">
        <v>171</v>
      </c>
      <c r="F109" s="128">
        <v>1.0</v>
      </c>
      <c r="G109" s="129">
        <v>250.0</v>
      </c>
      <c r="H109" s="111">
        <f t="shared" si="2"/>
        <v>250</v>
      </c>
      <c r="I109" s="131">
        <v>44724.0</v>
      </c>
    </row>
    <row r="110">
      <c r="E110" s="127" t="s">
        <v>172</v>
      </c>
      <c r="F110" s="128">
        <v>1.0</v>
      </c>
      <c r="G110" s="129">
        <v>250.0</v>
      </c>
      <c r="H110" s="111">
        <f t="shared" si="2"/>
        <v>250</v>
      </c>
      <c r="I110" s="131">
        <v>44724.0</v>
      </c>
    </row>
    <row r="111">
      <c r="E111" s="127" t="s">
        <v>173</v>
      </c>
      <c r="F111" s="128">
        <v>1.0</v>
      </c>
      <c r="G111" s="129">
        <v>70.0</v>
      </c>
      <c r="H111" s="111">
        <f t="shared" si="2"/>
        <v>70</v>
      </c>
      <c r="I111" s="131">
        <v>44724.0</v>
      </c>
      <c r="J111" s="132">
        <v>1.0</v>
      </c>
    </row>
    <row r="112">
      <c r="E112" s="127" t="s">
        <v>174</v>
      </c>
      <c r="F112" s="128">
        <v>1.0</v>
      </c>
      <c r="G112" s="129">
        <v>280.0</v>
      </c>
      <c r="H112" s="111">
        <f t="shared" si="2"/>
        <v>280</v>
      </c>
      <c r="I112" s="131">
        <v>44724.0</v>
      </c>
    </row>
    <row r="113">
      <c r="E113" s="127" t="s">
        <v>175</v>
      </c>
      <c r="F113" s="128">
        <v>1.0</v>
      </c>
      <c r="G113" s="129">
        <v>300.0</v>
      </c>
      <c r="H113" s="111">
        <f t="shared" si="2"/>
        <v>300</v>
      </c>
      <c r="I113" s="131">
        <v>44724.0</v>
      </c>
    </row>
    <row r="114">
      <c r="E114" s="127" t="s">
        <v>176</v>
      </c>
      <c r="F114" s="128">
        <v>22.0</v>
      </c>
      <c r="G114" s="129">
        <v>1500.0</v>
      </c>
      <c r="H114" s="111">
        <f t="shared" si="2"/>
        <v>33000</v>
      </c>
      <c r="I114" s="131">
        <v>44724.0</v>
      </c>
    </row>
    <row r="115">
      <c r="E115" s="127" t="s">
        <v>177</v>
      </c>
      <c r="F115" s="128">
        <v>1.0</v>
      </c>
      <c r="G115" s="129">
        <v>3250.0</v>
      </c>
      <c r="H115" s="111">
        <f t="shared" si="2"/>
        <v>3250</v>
      </c>
      <c r="I115" s="130">
        <v>44902.0</v>
      </c>
    </row>
    <row r="116">
      <c r="E116" s="127" t="s">
        <v>78</v>
      </c>
      <c r="F116" s="128">
        <v>10.0</v>
      </c>
      <c r="G116" s="129">
        <v>120.0</v>
      </c>
      <c r="H116" s="111">
        <f t="shared" si="2"/>
        <v>1200</v>
      </c>
      <c r="I116" s="130">
        <v>44902.0</v>
      </c>
    </row>
    <row r="117">
      <c r="E117" s="127" t="s">
        <v>165</v>
      </c>
      <c r="F117" s="128">
        <v>2.0</v>
      </c>
      <c r="G117" s="129">
        <v>700.0</v>
      </c>
      <c r="H117" s="111">
        <f t="shared" si="2"/>
        <v>1400</v>
      </c>
      <c r="I117" s="130">
        <v>44902.0</v>
      </c>
    </row>
    <row r="118">
      <c r="E118" s="127" t="s">
        <v>164</v>
      </c>
      <c r="F118" s="128">
        <v>5.0</v>
      </c>
      <c r="G118" s="129">
        <v>160.0</v>
      </c>
      <c r="H118" s="111">
        <f t="shared" si="2"/>
        <v>800</v>
      </c>
      <c r="I118" s="130">
        <v>44902.0</v>
      </c>
    </row>
    <row r="119">
      <c r="E119" s="127" t="s">
        <v>170</v>
      </c>
      <c r="F119" s="128">
        <v>3.0</v>
      </c>
      <c r="G119" s="129">
        <v>100.0</v>
      </c>
      <c r="H119" s="111">
        <f t="shared" si="2"/>
        <v>300</v>
      </c>
      <c r="I119" s="130">
        <v>44902.0</v>
      </c>
    </row>
    <row r="120">
      <c r="E120" s="127" t="s">
        <v>79</v>
      </c>
      <c r="F120" s="128">
        <v>1.0</v>
      </c>
      <c r="G120" s="129">
        <v>400.0</v>
      </c>
      <c r="H120" s="111">
        <f t="shared" si="2"/>
        <v>400</v>
      </c>
      <c r="I120" s="130">
        <v>44902.0</v>
      </c>
    </row>
    <row r="121">
      <c r="E121" s="127" t="s">
        <v>78</v>
      </c>
      <c r="F121" s="128">
        <v>10.0</v>
      </c>
      <c r="G121" s="129">
        <v>100.0</v>
      </c>
      <c r="H121" s="111">
        <f t="shared" si="2"/>
        <v>1000</v>
      </c>
      <c r="I121" s="130">
        <v>44902.0</v>
      </c>
    </row>
    <row r="122">
      <c r="E122" s="127" t="s">
        <v>178</v>
      </c>
      <c r="F122" s="128">
        <v>10.0</v>
      </c>
      <c r="G122" s="129">
        <v>20.0</v>
      </c>
      <c r="H122" s="111">
        <f t="shared" si="2"/>
        <v>200</v>
      </c>
      <c r="I122" s="130">
        <v>44902.0</v>
      </c>
    </row>
    <row r="123">
      <c r="E123" s="127" t="s">
        <v>179</v>
      </c>
      <c r="F123" s="128">
        <v>1.0</v>
      </c>
      <c r="G123" s="129">
        <v>350.0</v>
      </c>
      <c r="H123" s="111">
        <f t="shared" si="2"/>
        <v>350</v>
      </c>
      <c r="I123" s="130">
        <v>44902.0</v>
      </c>
    </row>
    <row r="124">
      <c r="E124" s="127" t="s">
        <v>180</v>
      </c>
      <c r="F124" s="128">
        <v>1.0</v>
      </c>
      <c r="G124" s="129">
        <v>80.0</v>
      </c>
      <c r="H124" s="111">
        <f t="shared" si="2"/>
        <v>80</v>
      </c>
      <c r="I124" s="130">
        <v>44902.0</v>
      </c>
    </row>
    <row r="125">
      <c r="E125" s="127" t="s">
        <v>181</v>
      </c>
      <c r="F125" s="128">
        <v>1.0</v>
      </c>
      <c r="G125" s="129">
        <v>220.0</v>
      </c>
      <c r="H125" s="111">
        <f t="shared" si="2"/>
        <v>220</v>
      </c>
      <c r="I125" s="130">
        <v>44902.0</v>
      </c>
    </row>
    <row r="126">
      <c r="E126" s="127" t="s">
        <v>182</v>
      </c>
      <c r="F126" s="128">
        <v>2.0</v>
      </c>
      <c r="G126" s="129">
        <v>100.0</v>
      </c>
      <c r="H126" s="111">
        <f t="shared" si="2"/>
        <v>200</v>
      </c>
      <c r="I126" s="130">
        <v>44902.0</v>
      </c>
    </row>
    <row r="127">
      <c r="E127" s="127" t="s">
        <v>163</v>
      </c>
      <c r="F127" s="128">
        <v>5.0</v>
      </c>
      <c r="G127" s="129">
        <v>60.0</v>
      </c>
      <c r="H127" s="111">
        <f t="shared" si="2"/>
        <v>300</v>
      </c>
      <c r="I127" s="130">
        <v>44902.0</v>
      </c>
    </row>
    <row r="128">
      <c r="E128" s="127" t="s">
        <v>183</v>
      </c>
      <c r="F128" s="128">
        <v>1.0</v>
      </c>
      <c r="G128" s="129">
        <v>350.0</v>
      </c>
      <c r="H128" s="111">
        <f t="shared" si="2"/>
        <v>350</v>
      </c>
      <c r="I128" s="130">
        <v>44902.0</v>
      </c>
    </row>
    <row r="129">
      <c r="E129" s="127" t="s">
        <v>184</v>
      </c>
      <c r="F129" s="128">
        <v>2.65</v>
      </c>
      <c r="G129" s="129">
        <v>2200.0</v>
      </c>
      <c r="H129" s="111">
        <f t="shared" si="2"/>
        <v>5830</v>
      </c>
      <c r="I129" s="130">
        <v>44902.0</v>
      </c>
    </row>
    <row r="130">
      <c r="E130" s="127" t="s">
        <v>106</v>
      </c>
      <c r="F130" s="128">
        <v>2.5</v>
      </c>
      <c r="G130" s="129">
        <v>2200.0</v>
      </c>
      <c r="H130" s="111">
        <f t="shared" si="2"/>
        <v>5500</v>
      </c>
      <c r="I130" s="130">
        <v>44902.0</v>
      </c>
    </row>
    <row r="131">
      <c r="E131" s="127" t="s">
        <v>113</v>
      </c>
      <c r="F131" s="128">
        <v>3.0</v>
      </c>
      <c r="G131" s="129">
        <v>680.0</v>
      </c>
      <c r="H131" s="111">
        <f t="shared" si="2"/>
        <v>2040</v>
      </c>
      <c r="I131" s="130">
        <v>44902.0</v>
      </c>
    </row>
    <row r="132">
      <c r="E132" s="127" t="s">
        <v>185</v>
      </c>
      <c r="F132" s="128">
        <v>6.0</v>
      </c>
      <c r="G132" s="129">
        <v>300.0</v>
      </c>
      <c r="H132" s="111">
        <f t="shared" si="2"/>
        <v>1800</v>
      </c>
      <c r="I132" s="130">
        <v>44902.0</v>
      </c>
    </row>
    <row r="133">
      <c r="E133" s="127" t="s">
        <v>186</v>
      </c>
      <c r="F133" s="128">
        <v>1.0</v>
      </c>
      <c r="G133" s="129">
        <v>1100.0</v>
      </c>
      <c r="H133" s="111">
        <f t="shared" si="2"/>
        <v>1100</v>
      </c>
      <c r="I133" s="130">
        <v>44902.0</v>
      </c>
    </row>
    <row r="134">
      <c r="E134" s="127" t="s">
        <v>149</v>
      </c>
      <c r="F134" s="128">
        <v>5.0</v>
      </c>
      <c r="G134" s="129">
        <v>180.0</v>
      </c>
      <c r="H134" s="111">
        <f t="shared" si="2"/>
        <v>900</v>
      </c>
      <c r="I134" s="130">
        <v>44902.0</v>
      </c>
    </row>
    <row r="135">
      <c r="E135" s="127" t="s">
        <v>187</v>
      </c>
      <c r="F135" s="128">
        <v>1.0</v>
      </c>
      <c r="G135" s="129">
        <v>25000.0</v>
      </c>
      <c r="H135" s="111">
        <f t="shared" si="2"/>
        <v>25000</v>
      </c>
      <c r="I135" s="130">
        <v>44902.0</v>
      </c>
    </row>
    <row r="136">
      <c r="E136" s="127" t="s">
        <v>78</v>
      </c>
      <c r="F136" s="128">
        <v>10.0</v>
      </c>
      <c r="G136" s="129">
        <v>120.0</v>
      </c>
      <c r="H136" s="111">
        <f t="shared" si="2"/>
        <v>1200</v>
      </c>
      <c r="I136" s="130">
        <v>44903.0</v>
      </c>
    </row>
    <row r="137">
      <c r="E137" s="127" t="s">
        <v>78</v>
      </c>
      <c r="F137" s="128">
        <v>20.0</v>
      </c>
      <c r="G137" s="129">
        <v>100.0</v>
      </c>
      <c r="H137" s="111">
        <f t="shared" si="2"/>
        <v>2000</v>
      </c>
      <c r="I137" s="130">
        <v>44903.0</v>
      </c>
    </row>
    <row r="138">
      <c r="E138" s="127" t="s">
        <v>168</v>
      </c>
      <c r="F138" s="128">
        <v>1.0</v>
      </c>
      <c r="G138" s="129">
        <v>700.0</v>
      </c>
      <c r="H138" s="111">
        <f t="shared" si="2"/>
        <v>700</v>
      </c>
      <c r="I138" s="130">
        <v>44903.0</v>
      </c>
    </row>
    <row r="139">
      <c r="E139" s="127" t="s">
        <v>188</v>
      </c>
      <c r="F139" s="128">
        <v>10.0</v>
      </c>
      <c r="G139" s="129">
        <v>150.0</v>
      </c>
      <c r="H139" s="111">
        <f t="shared" si="2"/>
        <v>1500</v>
      </c>
      <c r="I139" s="130">
        <v>44903.0</v>
      </c>
    </row>
    <row r="140">
      <c r="E140" s="127" t="s">
        <v>90</v>
      </c>
      <c r="F140" s="128">
        <v>100.0</v>
      </c>
      <c r="G140" s="129">
        <v>92.0</v>
      </c>
      <c r="H140" s="111">
        <f t="shared" si="2"/>
        <v>9200</v>
      </c>
      <c r="I140" s="130">
        <v>44903.0</v>
      </c>
    </row>
    <row r="141">
      <c r="E141" s="127" t="s">
        <v>189</v>
      </c>
      <c r="F141" s="128">
        <v>1.0</v>
      </c>
      <c r="G141" s="129">
        <v>400.0</v>
      </c>
      <c r="H141" s="111">
        <f t="shared" si="2"/>
        <v>400</v>
      </c>
      <c r="I141" s="130">
        <v>44903.0</v>
      </c>
    </row>
    <row r="142">
      <c r="E142" s="127" t="s">
        <v>156</v>
      </c>
      <c r="F142" s="128">
        <v>2.0</v>
      </c>
      <c r="G142" s="129">
        <v>350.0</v>
      </c>
      <c r="H142" s="111">
        <f t="shared" si="2"/>
        <v>700</v>
      </c>
      <c r="I142" s="130">
        <v>44903.0</v>
      </c>
    </row>
    <row r="143">
      <c r="E143" s="127" t="s">
        <v>190</v>
      </c>
      <c r="F143" s="128">
        <v>1.0</v>
      </c>
      <c r="G143" s="129">
        <v>1000.0</v>
      </c>
      <c r="H143" s="111">
        <f t="shared" si="2"/>
        <v>1000</v>
      </c>
      <c r="I143" s="130">
        <v>44903.0</v>
      </c>
    </row>
    <row r="144">
      <c r="E144" s="127" t="s">
        <v>191</v>
      </c>
      <c r="F144" s="128">
        <v>5.0</v>
      </c>
      <c r="G144" s="129">
        <v>20.0</v>
      </c>
      <c r="H144" s="111">
        <f t="shared" si="2"/>
        <v>100</v>
      </c>
      <c r="I144" s="130">
        <v>44903.0</v>
      </c>
    </row>
    <row r="145">
      <c r="E145" s="127" t="s">
        <v>165</v>
      </c>
      <c r="F145" s="128">
        <v>1.0</v>
      </c>
      <c r="G145" s="129">
        <v>800.0</v>
      </c>
      <c r="H145" s="111">
        <f t="shared" si="2"/>
        <v>800</v>
      </c>
      <c r="I145" s="130">
        <v>44903.0</v>
      </c>
    </row>
    <row r="146">
      <c r="E146" s="127" t="s">
        <v>79</v>
      </c>
      <c r="F146" s="128">
        <v>1.0</v>
      </c>
      <c r="G146" s="129">
        <v>500.0</v>
      </c>
      <c r="H146" s="111">
        <f t="shared" si="2"/>
        <v>500</v>
      </c>
      <c r="I146" s="130">
        <v>44903.0</v>
      </c>
    </row>
    <row r="147">
      <c r="E147" s="127" t="s">
        <v>192</v>
      </c>
      <c r="F147" s="128">
        <v>15.0</v>
      </c>
      <c r="G147" s="129">
        <v>1200.0</v>
      </c>
      <c r="H147" s="111">
        <f t="shared" si="2"/>
        <v>18000</v>
      </c>
      <c r="I147" s="130">
        <v>44903.0</v>
      </c>
    </row>
    <row r="148">
      <c r="E148" s="127" t="s">
        <v>193</v>
      </c>
      <c r="F148" s="128">
        <v>3.0</v>
      </c>
      <c r="G148" s="129">
        <v>1050.0</v>
      </c>
      <c r="H148" s="111">
        <f t="shared" si="2"/>
        <v>3150</v>
      </c>
      <c r="I148" s="133">
        <v>44905.0</v>
      </c>
    </row>
    <row r="149">
      <c r="E149" s="127" t="s">
        <v>194</v>
      </c>
      <c r="F149" s="128">
        <v>22.0</v>
      </c>
      <c r="G149" s="129">
        <v>170.0</v>
      </c>
      <c r="H149" s="111">
        <f t="shared" si="2"/>
        <v>3740</v>
      </c>
      <c r="I149" s="133">
        <v>44905.0</v>
      </c>
    </row>
    <row r="150">
      <c r="E150" s="127" t="s">
        <v>195</v>
      </c>
      <c r="F150" s="128">
        <v>1.0</v>
      </c>
      <c r="G150" s="129">
        <v>950.0</v>
      </c>
      <c r="H150" s="111">
        <f t="shared" si="2"/>
        <v>950</v>
      </c>
      <c r="I150" s="133">
        <v>44905.0</v>
      </c>
    </row>
    <row r="151">
      <c r="E151" s="127" t="s">
        <v>196</v>
      </c>
      <c r="F151" s="128">
        <v>2.0</v>
      </c>
      <c r="G151" s="129">
        <v>1300.0</v>
      </c>
      <c r="H151" s="111">
        <f t="shared" si="2"/>
        <v>2600</v>
      </c>
      <c r="I151" s="133">
        <v>44905.0</v>
      </c>
    </row>
    <row r="152">
      <c r="E152" s="127" t="s">
        <v>197</v>
      </c>
      <c r="F152" s="128">
        <v>1.0</v>
      </c>
      <c r="G152" s="129">
        <v>1680.0</v>
      </c>
      <c r="H152" s="111">
        <f t="shared" si="2"/>
        <v>1680</v>
      </c>
      <c r="I152" s="133">
        <v>44905.0</v>
      </c>
    </row>
    <row r="153">
      <c r="E153" s="127" t="s">
        <v>198</v>
      </c>
      <c r="F153" s="128">
        <v>1.0</v>
      </c>
      <c r="G153" s="129">
        <v>1150.0</v>
      </c>
      <c r="H153" s="111">
        <f t="shared" si="2"/>
        <v>1150</v>
      </c>
      <c r="I153" s="133">
        <v>44905.0</v>
      </c>
    </row>
    <row r="154">
      <c r="E154" s="127" t="s">
        <v>199</v>
      </c>
      <c r="F154" s="128">
        <v>1.0</v>
      </c>
      <c r="G154" s="129">
        <v>500.0</v>
      </c>
      <c r="H154" s="111">
        <f t="shared" si="2"/>
        <v>500</v>
      </c>
      <c r="I154" s="133">
        <v>44905.0</v>
      </c>
    </row>
    <row r="155">
      <c r="E155" s="127" t="s">
        <v>200</v>
      </c>
      <c r="F155" s="128">
        <v>1.0</v>
      </c>
      <c r="G155" s="129">
        <v>500.0</v>
      </c>
      <c r="H155" s="111">
        <f t="shared" si="2"/>
        <v>500</v>
      </c>
      <c r="I155" s="133">
        <v>44905.0</v>
      </c>
    </row>
    <row r="156">
      <c r="E156" s="127" t="s">
        <v>201</v>
      </c>
      <c r="F156" s="128">
        <v>1.5</v>
      </c>
      <c r="G156" s="129">
        <v>800.0</v>
      </c>
      <c r="H156" s="111">
        <f t="shared" si="2"/>
        <v>1200</v>
      </c>
      <c r="I156" s="133">
        <v>44905.0</v>
      </c>
    </row>
    <row r="157">
      <c r="E157" s="127" t="s">
        <v>188</v>
      </c>
      <c r="F157" s="128">
        <v>3.0</v>
      </c>
      <c r="G157" s="129">
        <v>150.0</v>
      </c>
      <c r="H157" s="111">
        <f t="shared" si="2"/>
        <v>450</v>
      </c>
      <c r="I157" s="133">
        <v>44905.0</v>
      </c>
    </row>
    <row r="158">
      <c r="E158" s="127" t="s">
        <v>190</v>
      </c>
      <c r="F158" s="128">
        <v>1.0</v>
      </c>
      <c r="G158" s="129">
        <v>2000.0</v>
      </c>
      <c r="H158" s="111">
        <f t="shared" si="2"/>
        <v>2000</v>
      </c>
      <c r="I158" s="133">
        <v>44905.0</v>
      </c>
    </row>
    <row r="159">
      <c r="E159" s="127" t="s">
        <v>168</v>
      </c>
      <c r="F159" s="128">
        <v>1.0</v>
      </c>
      <c r="G159" s="129">
        <v>700.0</v>
      </c>
      <c r="H159" s="111">
        <f t="shared" si="2"/>
        <v>700</v>
      </c>
      <c r="I159" s="133">
        <v>44905.0</v>
      </c>
    </row>
    <row r="160">
      <c r="E160" s="127" t="s">
        <v>78</v>
      </c>
      <c r="F160" s="128">
        <v>5.0</v>
      </c>
      <c r="G160" s="129">
        <v>150.0</v>
      </c>
      <c r="H160" s="111">
        <f t="shared" si="2"/>
        <v>750</v>
      </c>
      <c r="I160" s="133">
        <v>44905.0</v>
      </c>
    </row>
    <row r="161">
      <c r="E161" s="127" t="s">
        <v>202</v>
      </c>
      <c r="F161" s="128">
        <v>1.0</v>
      </c>
      <c r="G161" s="129">
        <v>550.0</v>
      </c>
      <c r="H161" s="111">
        <f t="shared" si="2"/>
        <v>550</v>
      </c>
      <c r="I161" s="133">
        <v>44905.0</v>
      </c>
    </row>
    <row r="162">
      <c r="E162" s="127" t="s">
        <v>203</v>
      </c>
      <c r="F162" s="128">
        <v>5.0</v>
      </c>
      <c r="G162" s="129">
        <v>400.0</v>
      </c>
      <c r="H162" s="111">
        <f t="shared" si="2"/>
        <v>2000</v>
      </c>
      <c r="I162" s="133">
        <v>44905.0</v>
      </c>
    </row>
    <row r="163">
      <c r="E163" s="127" t="s">
        <v>204</v>
      </c>
      <c r="F163" s="128">
        <v>1.0</v>
      </c>
      <c r="G163" s="129">
        <v>1700.0</v>
      </c>
      <c r="H163" s="111">
        <f t="shared" si="2"/>
        <v>1700</v>
      </c>
      <c r="I163" s="133">
        <v>44905.0</v>
      </c>
    </row>
    <row r="164">
      <c r="E164" s="127" t="s">
        <v>205</v>
      </c>
      <c r="F164" s="128">
        <v>5.0</v>
      </c>
      <c r="G164" s="129">
        <v>480.0</v>
      </c>
      <c r="H164" s="111">
        <f t="shared" si="2"/>
        <v>2400</v>
      </c>
      <c r="I164" s="133">
        <v>44905.0</v>
      </c>
    </row>
    <row r="165">
      <c r="E165" s="127" t="s">
        <v>206</v>
      </c>
      <c r="F165" s="128">
        <v>100.0</v>
      </c>
      <c r="G165" s="129">
        <v>64.5</v>
      </c>
      <c r="H165" s="111">
        <f t="shared" si="2"/>
        <v>6450</v>
      </c>
      <c r="I165" s="133">
        <v>44905.0</v>
      </c>
    </row>
    <row r="166">
      <c r="E166" s="127" t="s">
        <v>104</v>
      </c>
      <c r="F166" s="128">
        <v>2.0</v>
      </c>
      <c r="G166" s="129">
        <v>2000.0</v>
      </c>
      <c r="H166" s="111">
        <f t="shared" si="2"/>
        <v>4000</v>
      </c>
      <c r="I166" s="133">
        <v>44905.0</v>
      </c>
    </row>
    <row r="167">
      <c r="E167" s="127" t="s">
        <v>207</v>
      </c>
      <c r="F167" s="128">
        <v>100.0</v>
      </c>
      <c r="G167" s="129">
        <v>14.6</v>
      </c>
      <c r="H167" s="111">
        <f t="shared" si="2"/>
        <v>1460</v>
      </c>
      <c r="I167" s="133">
        <v>44905.0</v>
      </c>
    </row>
    <row r="168">
      <c r="E168" s="134" t="s">
        <v>208</v>
      </c>
      <c r="F168" s="113">
        <v>6.0</v>
      </c>
      <c r="G168" s="135">
        <v>1200.0</v>
      </c>
      <c r="H168" s="103">
        <f t="shared" si="2"/>
        <v>7200</v>
      </c>
      <c r="I168" s="136">
        <v>44906.0</v>
      </c>
    </row>
    <row r="169">
      <c r="E169" s="127" t="s">
        <v>209</v>
      </c>
      <c r="F169" s="128">
        <v>1.0</v>
      </c>
      <c r="G169" s="129">
        <v>3000.0</v>
      </c>
      <c r="H169" s="111">
        <f t="shared" si="2"/>
        <v>3000</v>
      </c>
      <c r="I169" s="133">
        <v>44907.0</v>
      </c>
    </row>
    <row r="170">
      <c r="E170" s="127" t="s">
        <v>210</v>
      </c>
      <c r="F170" s="128">
        <v>2.0</v>
      </c>
      <c r="G170" s="129">
        <v>700.0</v>
      </c>
      <c r="H170" s="111">
        <f t="shared" si="2"/>
        <v>1400</v>
      </c>
      <c r="I170" s="133">
        <v>44907.0</v>
      </c>
    </row>
    <row r="171">
      <c r="E171" s="127" t="s">
        <v>78</v>
      </c>
      <c r="F171" s="128">
        <v>10.0</v>
      </c>
      <c r="G171" s="129">
        <v>150.0</v>
      </c>
      <c r="H171" s="111">
        <f t="shared" si="2"/>
        <v>1500</v>
      </c>
      <c r="I171" s="133">
        <v>44908.0</v>
      </c>
    </row>
    <row r="172">
      <c r="E172" s="127" t="s">
        <v>211</v>
      </c>
      <c r="F172" s="128">
        <v>4.0</v>
      </c>
      <c r="G172" s="129">
        <v>150.0</v>
      </c>
      <c r="H172" s="111">
        <f t="shared" si="2"/>
        <v>600</v>
      </c>
      <c r="I172" s="133">
        <v>44908.0</v>
      </c>
    </row>
    <row r="173">
      <c r="E173" s="127" t="s">
        <v>212</v>
      </c>
      <c r="F173" s="128">
        <v>1.0</v>
      </c>
      <c r="G173" s="129">
        <v>350.0</v>
      </c>
      <c r="H173" s="111">
        <f t="shared" si="2"/>
        <v>350</v>
      </c>
      <c r="I173" s="133">
        <v>44908.0</v>
      </c>
    </row>
    <row r="174">
      <c r="E174" s="127" t="s">
        <v>213</v>
      </c>
      <c r="F174" s="128">
        <v>1.0</v>
      </c>
      <c r="G174" s="129">
        <v>450.0</v>
      </c>
      <c r="H174" s="111">
        <f t="shared" si="2"/>
        <v>450</v>
      </c>
      <c r="I174" s="133">
        <v>44908.0</v>
      </c>
    </row>
    <row r="175">
      <c r="E175" s="127" t="s">
        <v>79</v>
      </c>
      <c r="F175" s="128">
        <v>1.0</v>
      </c>
      <c r="G175" s="129">
        <v>500.0</v>
      </c>
      <c r="H175" s="111">
        <f t="shared" si="2"/>
        <v>500</v>
      </c>
      <c r="I175" s="133">
        <v>44908.0</v>
      </c>
    </row>
    <row r="176">
      <c r="E176" s="127" t="s">
        <v>214</v>
      </c>
      <c r="F176" s="128">
        <v>1.0</v>
      </c>
      <c r="G176" s="129">
        <v>500.0</v>
      </c>
      <c r="H176" s="111">
        <f t="shared" si="2"/>
        <v>500</v>
      </c>
      <c r="I176" s="133">
        <v>44908.0</v>
      </c>
    </row>
    <row r="177">
      <c r="E177" s="127" t="s">
        <v>88</v>
      </c>
      <c r="F177" s="128">
        <v>2.0</v>
      </c>
      <c r="G177" s="129">
        <v>250.0</v>
      </c>
      <c r="H177" s="111">
        <f t="shared" si="2"/>
        <v>500</v>
      </c>
      <c r="I177" s="133">
        <v>44908.0</v>
      </c>
    </row>
    <row r="178">
      <c r="E178" s="127" t="s">
        <v>215</v>
      </c>
      <c r="F178" s="128">
        <v>1.0</v>
      </c>
      <c r="G178" s="129">
        <v>700.0</v>
      </c>
      <c r="H178" s="111">
        <f t="shared" si="2"/>
        <v>700</v>
      </c>
      <c r="I178" s="133">
        <v>44908.0</v>
      </c>
    </row>
    <row r="179">
      <c r="E179" s="127" t="s">
        <v>156</v>
      </c>
      <c r="F179" s="128">
        <v>1.0</v>
      </c>
      <c r="G179" s="129">
        <v>500.0</v>
      </c>
      <c r="H179" s="111">
        <f t="shared" si="2"/>
        <v>500</v>
      </c>
      <c r="I179" s="133">
        <v>44908.0</v>
      </c>
    </row>
    <row r="180">
      <c r="E180" s="127" t="s">
        <v>216</v>
      </c>
      <c r="F180" s="128">
        <v>2.0</v>
      </c>
      <c r="G180" s="129">
        <v>100.0</v>
      </c>
      <c r="H180" s="111">
        <f t="shared" si="2"/>
        <v>200</v>
      </c>
      <c r="I180" s="133">
        <v>44908.0</v>
      </c>
    </row>
    <row r="181">
      <c r="E181" s="127" t="s">
        <v>217</v>
      </c>
      <c r="F181" s="128">
        <v>1.0</v>
      </c>
      <c r="G181" s="129">
        <v>1000.0</v>
      </c>
      <c r="H181" s="111">
        <f t="shared" si="2"/>
        <v>1000</v>
      </c>
      <c r="I181" s="133">
        <v>44905.0</v>
      </c>
    </row>
    <row r="182">
      <c r="E182" s="127" t="s">
        <v>218</v>
      </c>
      <c r="F182" s="128">
        <v>3.0</v>
      </c>
      <c r="G182" s="129">
        <v>300.0</v>
      </c>
      <c r="H182" s="111">
        <f t="shared" si="2"/>
        <v>900</v>
      </c>
      <c r="I182" s="133">
        <v>44908.0</v>
      </c>
    </row>
    <row r="183">
      <c r="E183" s="127" t="s">
        <v>219</v>
      </c>
      <c r="F183" s="128">
        <v>5.0</v>
      </c>
      <c r="G183" s="129">
        <v>200.0</v>
      </c>
      <c r="H183" s="111">
        <f t="shared" si="2"/>
        <v>1000</v>
      </c>
      <c r="I183" s="133">
        <v>44908.0</v>
      </c>
    </row>
    <row r="184">
      <c r="E184" s="127" t="s">
        <v>220</v>
      </c>
      <c r="F184" s="128">
        <v>1.0</v>
      </c>
      <c r="G184" s="129">
        <v>750.0</v>
      </c>
      <c r="H184" s="111">
        <f t="shared" si="2"/>
        <v>750</v>
      </c>
      <c r="I184" s="133">
        <v>44908.0</v>
      </c>
    </row>
    <row r="185">
      <c r="E185" s="127" t="s">
        <v>221</v>
      </c>
      <c r="F185" s="128">
        <v>10.0</v>
      </c>
      <c r="G185" s="129">
        <v>30.0</v>
      </c>
      <c r="H185" s="111">
        <f t="shared" si="2"/>
        <v>300</v>
      </c>
      <c r="I185" s="133">
        <v>44908.0</v>
      </c>
    </row>
    <row r="186">
      <c r="E186" s="127" t="s">
        <v>222</v>
      </c>
      <c r="F186" s="128">
        <v>3.0</v>
      </c>
      <c r="G186" s="129">
        <v>100.0</v>
      </c>
      <c r="H186" s="111">
        <f t="shared" si="2"/>
        <v>300</v>
      </c>
      <c r="I186" s="133">
        <v>44908.0</v>
      </c>
    </row>
    <row r="187">
      <c r="E187" s="127" t="s">
        <v>223</v>
      </c>
      <c r="F187" s="128">
        <v>2.0</v>
      </c>
      <c r="G187" s="129">
        <v>300.0</v>
      </c>
      <c r="H187" s="111">
        <f t="shared" si="2"/>
        <v>600</v>
      </c>
      <c r="I187" s="133">
        <v>44908.0</v>
      </c>
    </row>
    <row r="188">
      <c r="E188" s="127" t="s">
        <v>224</v>
      </c>
      <c r="F188" s="128">
        <v>1.0</v>
      </c>
      <c r="G188" s="129">
        <v>650.0</v>
      </c>
      <c r="H188" s="111">
        <f t="shared" si="2"/>
        <v>650</v>
      </c>
      <c r="I188" s="128" t="s">
        <v>225</v>
      </c>
    </row>
    <row r="189">
      <c r="E189" s="127" t="s">
        <v>73</v>
      </c>
      <c r="F189" s="128">
        <v>4.0</v>
      </c>
      <c r="G189" s="129">
        <v>650.0</v>
      </c>
      <c r="H189" s="111">
        <f t="shared" si="2"/>
        <v>2600</v>
      </c>
      <c r="I189" s="128" t="s">
        <v>225</v>
      </c>
    </row>
    <row r="190">
      <c r="E190" s="127" t="s">
        <v>113</v>
      </c>
      <c r="F190" s="128">
        <v>5.0</v>
      </c>
      <c r="G190" s="129">
        <v>680.0</v>
      </c>
      <c r="H190" s="111">
        <f t="shared" si="2"/>
        <v>3400</v>
      </c>
      <c r="I190" s="128" t="s">
        <v>225</v>
      </c>
    </row>
    <row r="191">
      <c r="E191" s="127" t="s">
        <v>115</v>
      </c>
      <c r="F191" s="128">
        <v>6.0</v>
      </c>
      <c r="G191" s="129">
        <v>230.0</v>
      </c>
      <c r="H191" s="111">
        <f t="shared" si="2"/>
        <v>1380</v>
      </c>
      <c r="I191" s="128" t="s">
        <v>225</v>
      </c>
    </row>
    <row r="192">
      <c r="E192" s="127" t="s">
        <v>159</v>
      </c>
      <c r="F192" s="128">
        <v>4.0</v>
      </c>
      <c r="G192" s="129">
        <v>330.0</v>
      </c>
      <c r="H192" s="111">
        <f t="shared" si="2"/>
        <v>1320</v>
      </c>
      <c r="I192" s="128" t="s">
        <v>225</v>
      </c>
    </row>
    <row r="193">
      <c r="E193" s="127" t="s">
        <v>226</v>
      </c>
      <c r="F193" s="128">
        <v>4.0</v>
      </c>
      <c r="G193" s="129">
        <v>770.0</v>
      </c>
      <c r="H193" s="111">
        <f t="shared" si="2"/>
        <v>3080</v>
      </c>
      <c r="I193" s="128" t="s">
        <v>225</v>
      </c>
    </row>
    <row r="194">
      <c r="E194" s="127" t="s">
        <v>117</v>
      </c>
      <c r="F194" s="128">
        <v>12.0</v>
      </c>
      <c r="G194" s="129">
        <v>115.0</v>
      </c>
      <c r="H194" s="111">
        <f t="shared" si="2"/>
        <v>1380</v>
      </c>
      <c r="I194" s="128" t="s">
        <v>225</v>
      </c>
    </row>
    <row r="195">
      <c r="E195" s="127" t="s">
        <v>174</v>
      </c>
      <c r="F195" s="128">
        <v>2.0</v>
      </c>
      <c r="G195" s="129">
        <v>300.0</v>
      </c>
      <c r="H195" s="111">
        <f t="shared" si="2"/>
        <v>600</v>
      </c>
      <c r="I195" s="128" t="s">
        <v>225</v>
      </c>
    </row>
    <row r="196">
      <c r="E196" s="127" t="s">
        <v>90</v>
      </c>
      <c r="F196" s="128">
        <v>23.0</v>
      </c>
      <c r="G196" s="129">
        <v>100.0</v>
      </c>
      <c r="H196" s="111">
        <f t="shared" si="2"/>
        <v>2300</v>
      </c>
      <c r="I196" s="128" t="s">
        <v>225</v>
      </c>
    </row>
    <row r="197">
      <c r="E197" s="127" t="s">
        <v>78</v>
      </c>
      <c r="F197" s="128">
        <v>5.0</v>
      </c>
      <c r="G197" s="137"/>
      <c r="H197" s="111">
        <f t="shared" si="2"/>
        <v>0</v>
      </c>
      <c r="I197" s="128" t="s">
        <v>225</v>
      </c>
    </row>
    <row r="198">
      <c r="E198" s="127" t="s">
        <v>188</v>
      </c>
      <c r="F198" s="128">
        <v>8.0</v>
      </c>
      <c r="G198" s="129">
        <v>100.0</v>
      </c>
      <c r="H198" s="111">
        <f t="shared" si="2"/>
        <v>800</v>
      </c>
      <c r="I198" s="128" t="s">
        <v>225</v>
      </c>
    </row>
    <row r="199">
      <c r="E199" s="127" t="s">
        <v>227</v>
      </c>
      <c r="F199" s="128">
        <v>1.0</v>
      </c>
      <c r="G199" s="129">
        <v>250.0</v>
      </c>
      <c r="H199" s="111">
        <f t="shared" si="2"/>
        <v>250</v>
      </c>
      <c r="I199" s="128" t="s">
        <v>225</v>
      </c>
    </row>
    <row r="200">
      <c r="E200" s="127" t="s">
        <v>210</v>
      </c>
      <c r="F200" s="128">
        <v>2.0</v>
      </c>
      <c r="G200" s="137"/>
      <c r="H200" s="111">
        <f t="shared" si="2"/>
        <v>0</v>
      </c>
      <c r="I200" s="128" t="s">
        <v>228</v>
      </c>
    </row>
    <row r="201">
      <c r="E201" s="127" t="s">
        <v>229</v>
      </c>
      <c r="F201" s="128">
        <v>1.0</v>
      </c>
      <c r="G201" s="137"/>
      <c r="H201" s="111">
        <f t="shared" si="2"/>
        <v>0</v>
      </c>
      <c r="I201" s="128" t="s">
        <v>228</v>
      </c>
    </row>
    <row r="202">
      <c r="E202" s="127" t="s">
        <v>230</v>
      </c>
      <c r="F202" s="138"/>
      <c r="G202" s="129">
        <v>200.0</v>
      </c>
      <c r="H202" s="111">
        <f t="shared" si="2"/>
        <v>0</v>
      </c>
      <c r="I202" s="128" t="s">
        <v>228</v>
      </c>
    </row>
    <row r="203">
      <c r="E203" s="127" t="s">
        <v>231</v>
      </c>
      <c r="F203" s="138"/>
      <c r="G203" s="137"/>
      <c r="H203" s="111">
        <f t="shared" si="2"/>
        <v>0</v>
      </c>
      <c r="I203" s="138"/>
    </row>
    <row r="204">
      <c r="E204" s="127" t="s">
        <v>170</v>
      </c>
      <c r="F204" s="128">
        <v>3.0</v>
      </c>
      <c r="G204" s="129">
        <v>90.0</v>
      </c>
      <c r="H204" s="111">
        <f t="shared" si="2"/>
        <v>270</v>
      </c>
      <c r="I204" s="128" t="s">
        <v>228</v>
      </c>
    </row>
    <row r="205">
      <c r="E205" s="127" t="s">
        <v>90</v>
      </c>
      <c r="F205" s="128">
        <v>100.0</v>
      </c>
      <c r="G205" s="129">
        <v>100.0</v>
      </c>
      <c r="H205" s="111">
        <f t="shared" si="2"/>
        <v>10000</v>
      </c>
      <c r="I205" s="133">
        <v>44910.0</v>
      </c>
    </row>
    <row r="206">
      <c r="E206" s="127" t="s">
        <v>78</v>
      </c>
      <c r="F206" s="128">
        <v>25.0</v>
      </c>
      <c r="G206" s="129"/>
      <c r="H206" s="111">
        <f t="shared" si="2"/>
        <v>0</v>
      </c>
      <c r="I206" s="133">
        <v>44911.0</v>
      </c>
    </row>
    <row r="207">
      <c r="E207" s="127" t="s">
        <v>232</v>
      </c>
      <c r="F207" s="128">
        <v>1.0</v>
      </c>
      <c r="G207" s="129">
        <v>1000.0</v>
      </c>
      <c r="H207" s="111">
        <f t="shared" si="2"/>
        <v>1000</v>
      </c>
      <c r="I207" s="133">
        <v>44911.0</v>
      </c>
    </row>
    <row r="208">
      <c r="E208" s="127"/>
      <c r="F208" s="128"/>
      <c r="G208" s="137"/>
      <c r="H208" s="111">
        <f t="shared" si="2"/>
        <v>0</v>
      </c>
      <c r="I208" s="133">
        <v>44911.0</v>
      </c>
    </row>
    <row r="209">
      <c r="E209" s="127" t="s">
        <v>233</v>
      </c>
      <c r="F209" s="128">
        <v>8.0</v>
      </c>
      <c r="G209" s="137"/>
      <c r="H209" s="111">
        <f t="shared" si="2"/>
        <v>0</v>
      </c>
      <c r="I209" s="133">
        <v>44911.0</v>
      </c>
    </row>
    <row r="210">
      <c r="E210" s="127" t="s">
        <v>88</v>
      </c>
      <c r="F210" s="128">
        <v>3.0</v>
      </c>
      <c r="G210" s="129">
        <v>200.0</v>
      </c>
      <c r="H210" s="111">
        <f t="shared" si="2"/>
        <v>600</v>
      </c>
      <c r="I210" s="133">
        <v>44911.0</v>
      </c>
    </row>
    <row r="211">
      <c r="E211" s="127" t="s">
        <v>234</v>
      </c>
      <c r="F211" s="128">
        <v>1.0</v>
      </c>
      <c r="G211" s="129">
        <v>1000.0</v>
      </c>
      <c r="H211" s="111">
        <f t="shared" si="2"/>
        <v>1000</v>
      </c>
      <c r="I211" s="128" t="s">
        <v>235</v>
      </c>
    </row>
    <row r="212">
      <c r="E212" s="139" t="s">
        <v>236</v>
      </c>
      <c r="F212" s="140">
        <v>400.0</v>
      </c>
      <c r="G212" s="141">
        <v>50.0</v>
      </c>
      <c r="H212" s="142">
        <f t="shared" si="2"/>
        <v>20000</v>
      </c>
      <c r="I212" s="140" t="s">
        <v>235</v>
      </c>
    </row>
    <row r="213">
      <c r="E213" s="127" t="s">
        <v>237</v>
      </c>
      <c r="F213" s="128">
        <v>2.0</v>
      </c>
      <c r="G213" s="129">
        <v>140.0</v>
      </c>
      <c r="H213" s="111">
        <f t="shared" si="2"/>
        <v>280</v>
      </c>
      <c r="I213" s="128" t="s">
        <v>235</v>
      </c>
    </row>
    <row r="214">
      <c r="E214" s="127" t="s">
        <v>238</v>
      </c>
      <c r="F214" s="128">
        <v>1.0</v>
      </c>
      <c r="G214" s="129">
        <v>190.0</v>
      </c>
      <c r="H214" s="111">
        <f t="shared" si="2"/>
        <v>190</v>
      </c>
      <c r="I214" s="128" t="s">
        <v>235</v>
      </c>
    </row>
    <row r="215">
      <c r="E215" s="127" t="s">
        <v>158</v>
      </c>
      <c r="F215" s="128">
        <v>4.0</v>
      </c>
      <c r="G215" s="129">
        <v>350.0</v>
      </c>
      <c r="H215" s="111">
        <f t="shared" si="2"/>
        <v>1400</v>
      </c>
      <c r="I215" s="128" t="s">
        <v>239</v>
      </c>
    </row>
    <row r="216">
      <c r="E216" s="127" t="s">
        <v>240</v>
      </c>
      <c r="F216" s="128">
        <v>1.0</v>
      </c>
      <c r="G216" s="129">
        <v>100.0</v>
      </c>
      <c r="H216" s="111">
        <f t="shared" si="2"/>
        <v>100</v>
      </c>
      <c r="I216" s="128" t="s">
        <v>239</v>
      </c>
    </row>
    <row r="217">
      <c r="E217" s="127" t="s">
        <v>241</v>
      </c>
      <c r="F217" s="128">
        <v>1.0</v>
      </c>
      <c r="G217" s="129">
        <v>1000.0</v>
      </c>
      <c r="H217" s="111">
        <f t="shared" si="2"/>
        <v>1000</v>
      </c>
      <c r="I217" s="128" t="s">
        <v>239</v>
      </c>
    </row>
    <row r="218">
      <c r="E218" s="127" t="s">
        <v>242</v>
      </c>
      <c r="F218" s="128">
        <v>8.0</v>
      </c>
      <c r="G218" s="129">
        <v>250.0</v>
      </c>
      <c r="H218" s="111">
        <f t="shared" si="2"/>
        <v>2000</v>
      </c>
      <c r="I218" s="128" t="s">
        <v>239</v>
      </c>
    </row>
    <row r="219">
      <c r="E219" s="127" t="s">
        <v>243</v>
      </c>
      <c r="F219" s="128">
        <v>1.0</v>
      </c>
      <c r="G219" s="129">
        <v>400.0</v>
      </c>
      <c r="H219" s="111">
        <f t="shared" si="2"/>
        <v>400</v>
      </c>
      <c r="I219" s="128" t="s">
        <v>239</v>
      </c>
    </row>
    <row r="220">
      <c r="E220" s="127" t="s">
        <v>78</v>
      </c>
      <c r="F220" s="128">
        <v>16.0</v>
      </c>
      <c r="G220" s="129">
        <v>150.0</v>
      </c>
      <c r="H220" s="111">
        <f t="shared" si="2"/>
        <v>2400</v>
      </c>
      <c r="I220" s="128" t="s">
        <v>239</v>
      </c>
    </row>
    <row r="221">
      <c r="E221" s="127" t="s">
        <v>201</v>
      </c>
      <c r="F221" s="128">
        <v>1.0</v>
      </c>
      <c r="G221" s="129">
        <v>700.0</v>
      </c>
      <c r="H221" s="111">
        <f t="shared" si="2"/>
        <v>700</v>
      </c>
      <c r="I221" s="128" t="s">
        <v>239</v>
      </c>
    </row>
    <row r="222">
      <c r="E222" s="127" t="s">
        <v>232</v>
      </c>
      <c r="F222" s="128">
        <v>1.0</v>
      </c>
      <c r="G222" s="129">
        <v>2000.0</v>
      </c>
      <c r="H222" s="111">
        <f t="shared" si="2"/>
        <v>2000</v>
      </c>
      <c r="I222" s="128" t="s">
        <v>239</v>
      </c>
    </row>
    <row r="223">
      <c r="E223" s="127" t="s">
        <v>244</v>
      </c>
      <c r="F223" s="128">
        <v>2.0</v>
      </c>
      <c r="G223" s="129">
        <v>350.0</v>
      </c>
      <c r="H223" s="111">
        <f t="shared" si="2"/>
        <v>700</v>
      </c>
      <c r="I223" s="133">
        <v>44914.0</v>
      </c>
    </row>
    <row r="224">
      <c r="E224" s="127" t="s">
        <v>188</v>
      </c>
      <c r="F224" s="128">
        <v>24.0</v>
      </c>
      <c r="G224" s="129">
        <v>100.0</v>
      </c>
      <c r="H224" s="111">
        <f t="shared" si="2"/>
        <v>2400</v>
      </c>
      <c r="I224" s="133">
        <v>44914.0</v>
      </c>
    </row>
    <row r="225">
      <c r="E225" s="127" t="s">
        <v>78</v>
      </c>
      <c r="F225" s="128">
        <v>15.0</v>
      </c>
      <c r="G225" s="129">
        <v>100.0</v>
      </c>
      <c r="H225" s="111">
        <f t="shared" si="2"/>
        <v>1500</v>
      </c>
      <c r="I225" s="133">
        <v>44914.0</v>
      </c>
    </row>
    <row r="226">
      <c r="E226" s="127" t="s">
        <v>245</v>
      </c>
      <c r="F226" s="128">
        <v>1.0</v>
      </c>
      <c r="G226" s="129">
        <v>1200.0</v>
      </c>
      <c r="H226" s="111">
        <f t="shared" si="2"/>
        <v>1200</v>
      </c>
      <c r="I226" s="133">
        <v>44914.0</v>
      </c>
    </row>
    <row r="227">
      <c r="E227" s="127" t="s">
        <v>186</v>
      </c>
      <c r="F227" s="128">
        <v>1.0</v>
      </c>
      <c r="G227" s="129">
        <v>600.0</v>
      </c>
      <c r="H227" s="111">
        <f t="shared" si="2"/>
        <v>600</v>
      </c>
      <c r="I227" s="133">
        <v>44914.0</v>
      </c>
    </row>
    <row r="228">
      <c r="E228" s="127" t="s">
        <v>120</v>
      </c>
      <c r="F228" s="128">
        <v>1.0</v>
      </c>
      <c r="G228" s="129">
        <v>1600.0</v>
      </c>
      <c r="H228" s="111">
        <f t="shared" si="2"/>
        <v>1600</v>
      </c>
      <c r="I228" s="133">
        <v>44914.0</v>
      </c>
    </row>
    <row r="229">
      <c r="E229" s="127" t="s">
        <v>246</v>
      </c>
      <c r="F229" s="128">
        <v>3.0</v>
      </c>
      <c r="G229" s="129">
        <v>75.0</v>
      </c>
      <c r="H229" s="111">
        <f t="shared" si="2"/>
        <v>225</v>
      </c>
      <c r="I229" s="133">
        <v>44914.0</v>
      </c>
    </row>
    <row r="230">
      <c r="E230" s="127" t="s">
        <v>247</v>
      </c>
      <c r="F230" s="128">
        <v>1.0</v>
      </c>
      <c r="G230" s="129">
        <v>250.0</v>
      </c>
      <c r="H230" s="111">
        <f t="shared" si="2"/>
        <v>250</v>
      </c>
      <c r="I230" s="133">
        <v>44914.0</v>
      </c>
    </row>
    <row r="231">
      <c r="E231" s="127" t="s">
        <v>248</v>
      </c>
      <c r="F231" s="128">
        <v>2.5</v>
      </c>
      <c r="G231" s="129">
        <v>650.0</v>
      </c>
      <c r="H231" s="111">
        <f t="shared" si="2"/>
        <v>1625</v>
      </c>
      <c r="I231" s="133">
        <v>44914.0</v>
      </c>
    </row>
    <row r="232">
      <c r="E232" s="143" t="s">
        <v>249</v>
      </c>
      <c r="F232" s="144">
        <v>15.0</v>
      </c>
      <c r="G232" s="145">
        <v>300.0</v>
      </c>
      <c r="H232" s="146">
        <f t="shared" si="2"/>
        <v>4500</v>
      </c>
      <c r="I232" s="147">
        <v>44914.0</v>
      </c>
    </row>
    <row r="233">
      <c r="E233" s="127" t="s">
        <v>250</v>
      </c>
      <c r="F233" s="128">
        <v>2.0</v>
      </c>
      <c r="G233" s="129">
        <v>600.0</v>
      </c>
      <c r="H233" s="111">
        <f t="shared" si="2"/>
        <v>1200</v>
      </c>
      <c r="I233" s="133">
        <v>44914.0</v>
      </c>
    </row>
    <row r="234">
      <c r="E234" s="127" t="s">
        <v>251</v>
      </c>
      <c r="F234" s="128">
        <v>2.0</v>
      </c>
      <c r="G234" s="129">
        <v>60.0</v>
      </c>
      <c r="H234" s="111">
        <f t="shared" si="2"/>
        <v>120</v>
      </c>
      <c r="I234" s="133">
        <v>44914.0</v>
      </c>
    </row>
    <row r="235">
      <c r="E235" s="127" t="s">
        <v>252</v>
      </c>
      <c r="F235" s="128">
        <v>1.0</v>
      </c>
      <c r="G235" s="129">
        <v>1500.0</v>
      </c>
      <c r="H235" s="111">
        <f t="shared" si="2"/>
        <v>1500</v>
      </c>
      <c r="I235" s="133">
        <v>44914.0</v>
      </c>
    </row>
    <row r="236">
      <c r="E236" s="127" t="s">
        <v>253</v>
      </c>
      <c r="F236" s="128">
        <v>10.0</v>
      </c>
      <c r="G236" s="129">
        <v>130.0</v>
      </c>
      <c r="H236" s="111">
        <f t="shared" si="2"/>
        <v>1300</v>
      </c>
      <c r="I236" s="133">
        <v>44914.0</v>
      </c>
    </row>
    <row r="237">
      <c r="E237" s="127" t="s">
        <v>191</v>
      </c>
      <c r="F237" s="128">
        <v>5.0</v>
      </c>
      <c r="G237" s="129">
        <v>20.0</v>
      </c>
      <c r="H237" s="111">
        <f t="shared" si="2"/>
        <v>100</v>
      </c>
      <c r="I237" s="133">
        <v>44914.0</v>
      </c>
    </row>
    <row r="238">
      <c r="E238" s="127" t="s">
        <v>254</v>
      </c>
      <c r="F238" s="128">
        <v>20.0</v>
      </c>
      <c r="G238" s="129">
        <v>20.0</v>
      </c>
      <c r="H238" s="111">
        <f t="shared" si="2"/>
        <v>400</v>
      </c>
      <c r="I238" s="133">
        <v>44914.0</v>
      </c>
    </row>
    <row r="239">
      <c r="E239" s="127" t="s">
        <v>167</v>
      </c>
      <c r="F239" s="128">
        <v>1.0</v>
      </c>
      <c r="G239" s="129">
        <v>1000.0</v>
      </c>
      <c r="H239" s="111">
        <f t="shared" si="2"/>
        <v>1000</v>
      </c>
      <c r="I239" s="133">
        <v>44914.0</v>
      </c>
    </row>
    <row r="240">
      <c r="E240" s="127" t="s">
        <v>255</v>
      </c>
      <c r="F240" s="128">
        <v>1.0</v>
      </c>
      <c r="G240" s="129">
        <v>14500.0</v>
      </c>
      <c r="H240" s="111">
        <f t="shared" si="2"/>
        <v>14500</v>
      </c>
      <c r="I240" s="133">
        <v>44915.0</v>
      </c>
    </row>
    <row r="241">
      <c r="E241" s="127" t="s">
        <v>256</v>
      </c>
      <c r="F241" s="128">
        <v>3.0</v>
      </c>
      <c r="G241" s="129">
        <v>1200.0</v>
      </c>
      <c r="H241" s="111">
        <f t="shared" si="2"/>
        <v>3600</v>
      </c>
      <c r="I241" s="133">
        <v>44917.0</v>
      </c>
    </row>
    <row r="242">
      <c r="E242" s="127" t="s">
        <v>73</v>
      </c>
      <c r="F242" s="128">
        <v>2.0</v>
      </c>
      <c r="G242" s="129">
        <v>600.0</v>
      </c>
      <c r="H242" s="111">
        <f t="shared" si="2"/>
        <v>1200</v>
      </c>
      <c r="I242" s="133">
        <v>44917.0</v>
      </c>
    </row>
    <row r="243">
      <c r="E243" s="127" t="s">
        <v>78</v>
      </c>
      <c r="F243" s="128">
        <v>20.0</v>
      </c>
      <c r="G243" s="129">
        <v>100.0</v>
      </c>
      <c r="H243" s="111">
        <f t="shared" si="2"/>
        <v>2000</v>
      </c>
      <c r="I243" s="133">
        <v>44917.0</v>
      </c>
    </row>
    <row r="244">
      <c r="E244" s="127" t="s">
        <v>78</v>
      </c>
      <c r="F244" s="128">
        <v>45.0</v>
      </c>
      <c r="G244" s="129">
        <v>120.0</v>
      </c>
      <c r="H244" s="111">
        <f t="shared" si="2"/>
        <v>5400</v>
      </c>
      <c r="I244" s="133">
        <v>44919.0</v>
      </c>
    </row>
    <row r="245">
      <c r="E245" s="127" t="s">
        <v>257</v>
      </c>
      <c r="F245" s="128">
        <v>1.0</v>
      </c>
      <c r="G245" s="129">
        <v>4000.0</v>
      </c>
      <c r="H245" s="111">
        <f t="shared" si="2"/>
        <v>4000</v>
      </c>
      <c r="I245" s="133">
        <v>44919.0</v>
      </c>
    </row>
    <row r="246">
      <c r="E246" s="127" t="s">
        <v>258</v>
      </c>
      <c r="F246" s="128">
        <v>1.0</v>
      </c>
      <c r="G246" s="129">
        <v>600.0</v>
      </c>
      <c r="H246" s="111">
        <f t="shared" si="2"/>
        <v>600</v>
      </c>
      <c r="I246" s="133">
        <v>44919.0</v>
      </c>
    </row>
    <row r="247">
      <c r="E247" s="127" t="s">
        <v>259</v>
      </c>
      <c r="F247" s="128">
        <v>5.0</v>
      </c>
      <c r="G247" s="129">
        <v>140.0</v>
      </c>
      <c r="H247" s="111">
        <f t="shared" si="2"/>
        <v>700</v>
      </c>
      <c r="I247" s="133">
        <v>44919.0</v>
      </c>
    </row>
    <row r="248">
      <c r="E248" s="127" t="s">
        <v>260</v>
      </c>
      <c r="F248" s="128">
        <v>1.0</v>
      </c>
      <c r="G248" s="129">
        <v>500.0</v>
      </c>
      <c r="H248" s="111">
        <f t="shared" si="2"/>
        <v>500</v>
      </c>
      <c r="I248" s="133">
        <v>44919.0</v>
      </c>
    </row>
    <row r="249">
      <c r="E249" s="127" t="s">
        <v>261</v>
      </c>
      <c r="F249" s="128">
        <v>1.0</v>
      </c>
      <c r="G249" s="129">
        <v>400.0</v>
      </c>
      <c r="H249" s="111">
        <f t="shared" si="2"/>
        <v>400</v>
      </c>
      <c r="I249" s="133">
        <v>44919.0</v>
      </c>
    </row>
    <row r="250">
      <c r="E250" s="127" t="s">
        <v>244</v>
      </c>
      <c r="F250" s="128">
        <v>2.0</v>
      </c>
      <c r="G250" s="129">
        <v>200.0</v>
      </c>
      <c r="H250" s="111">
        <f t="shared" si="2"/>
        <v>400</v>
      </c>
      <c r="I250" s="133">
        <v>44919.0</v>
      </c>
    </row>
    <row r="251">
      <c r="E251" s="127" t="s">
        <v>262</v>
      </c>
      <c r="F251" s="128">
        <v>3.0</v>
      </c>
      <c r="G251" s="129">
        <v>180.0</v>
      </c>
      <c r="H251" s="111">
        <f t="shared" si="2"/>
        <v>540</v>
      </c>
      <c r="I251" s="133">
        <v>44919.0</v>
      </c>
    </row>
    <row r="252">
      <c r="E252" s="127" t="s">
        <v>263</v>
      </c>
      <c r="F252" s="128">
        <v>3.0</v>
      </c>
      <c r="G252" s="129">
        <v>180.0</v>
      </c>
      <c r="H252" s="111">
        <f t="shared" si="2"/>
        <v>540</v>
      </c>
      <c r="I252" s="133">
        <v>44919.0</v>
      </c>
    </row>
    <row r="253">
      <c r="E253" s="127" t="s">
        <v>264</v>
      </c>
      <c r="F253" s="128">
        <v>3.0</v>
      </c>
      <c r="G253" s="129">
        <v>150.0</v>
      </c>
      <c r="H253" s="111">
        <f t="shared" si="2"/>
        <v>450</v>
      </c>
      <c r="I253" s="133">
        <v>44919.0</v>
      </c>
    </row>
    <row r="254">
      <c r="E254" s="127" t="s">
        <v>246</v>
      </c>
      <c r="F254" s="128">
        <v>8.0</v>
      </c>
      <c r="G254" s="129">
        <v>50.0</v>
      </c>
      <c r="H254" s="111">
        <f t="shared" si="2"/>
        <v>400</v>
      </c>
      <c r="I254" s="133">
        <v>44919.0</v>
      </c>
    </row>
    <row r="255">
      <c r="E255" s="127" t="s">
        <v>265</v>
      </c>
      <c r="F255" s="128">
        <v>2.0</v>
      </c>
      <c r="G255" s="129">
        <v>300.0</v>
      </c>
      <c r="H255" s="111">
        <f t="shared" si="2"/>
        <v>600</v>
      </c>
      <c r="I255" s="133">
        <v>44919.0</v>
      </c>
    </row>
    <row r="256">
      <c r="E256" s="127" t="s">
        <v>79</v>
      </c>
      <c r="F256" s="128">
        <v>1.0</v>
      </c>
      <c r="G256" s="129">
        <v>2400.0</v>
      </c>
      <c r="H256" s="111">
        <f t="shared" si="2"/>
        <v>2400</v>
      </c>
      <c r="I256" s="133">
        <v>44914.0</v>
      </c>
    </row>
    <row r="257">
      <c r="E257" s="127" t="s">
        <v>90</v>
      </c>
      <c r="F257" s="128">
        <v>10.0</v>
      </c>
      <c r="G257" s="129">
        <v>100.0</v>
      </c>
      <c r="H257" s="111">
        <f t="shared" si="2"/>
        <v>1000</v>
      </c>
      <c r="I257" s="133">
        <v>44919.0</v>
      </c>
    </row>
    <row r="258">
      <c r="E258" s="127" t="s">
        <v>266</v>
      </c>
      <c r="F258" s="128">
        <v>20.0</v>
      </c>
      <c r="G258" s="129">
        <v>20.0</v>
      </c>
      <c r="H258" s="111">
        <f t="shared" si="2"/>
        <v>400</v>
      </c>
      <c r="I258" s="133">
        <v>44919.0</v>
      </c>
    </row>
    <row r="259">
      <c r="E259" s="127" t="s">
        <v>267</v>
      </c>
      <c r="F259" s="128">
        <v>1.0</v>
      </c>
      <c r="G259" s="129">
        <v>10000.0</v>
      </c>
      <c r="H259" s="111">
        <f t="shared" si="2"/>
        <v>10000</v>
      </c>
      <c r="I259" s="133">
        <v>44919.0</v>
      </c>
    </row>
    <row r="260">
      <c r="E260" s="127" t="s">
        <v>268</v>
      </c>
      <c r="F260" s="128">
        <v>7.0</v>
      </c>
      <c r="G260" s="129">
        <v>1000.0</v>
      </c>
      <c r="H260" s="111">
        <f t="shared" si="2"/>
        <v>7000</v>
      </c>
      <c r="I260" s="133">
        <v>44920.0</v>
      </c>
    </row>
    <row r="261">
      <c r="E261" s="134" t="s">
        <v>256</v>
      </c>
      <c r="F261" s="128">
        <v>4.0</v>
      </c>
      <c r="G261" s="129">
        <v>1200.0</v>
      </c>
      <c r="H261" s="111">
        <f t="shared" si="2"/>
        <v>4800</v>
      </c>
      <c r="I261" s="133">
        <v>44920.0</v>
      </c>
    </row>
    <row r="262">
      <c r="E262" s="148" t="s">
        <v>269</v>
      </c>
      <c r="F262" s="149">
        <v>50.0</v>
      </c>
      <c r="G262" s="150">
        <v>1200.0</v>
      </c>
      <c r="H262" s="151">
        <f t="shared" si="2"/>
        <v>60000</v>
      </c>
      <c r="I262" s="152">
        <v>44920.0</v>
      </c>
    </row>
    <row r="263">
      <c r="E263" s="127" t="s">
        <v>270</v>
      </c>
      <c r="F263" s="128">
        <v>1.0</v>
      </c>
      <c r="G263" s="129">
        <v>4000.0</v>
      </c>
      <c r="H263" s="111">
        <f t="shared" si="2"/>
        <v>4000</v>
      </c>
      <c r="I263" s="133">
        <v>44920.0</v>
      </c>
    </row>
    <row r="264">
      <c r="E264" s="127" t="s">
        <v>78</v>
      </c>
      <c r="F264" s="128">
        <v>10.0</v>
      </c>
      <c r="G264" s="129">
        <v>100.0</v>
      </c>
      <c r="H264" s="111">
        <f t="shared" si="2"/>
        <v>1000</v>
      </c>
      <c r="I264" s="133">
        <v>44921.0</v>
      </c>
    </row>
    <row r="265">
      <c r="E265" s="127" t="s">
        <v>265</v>
      </c>
      <c r="F265" s="128">
        <v>3.5</v>
      </c>
      <c r="G265" s="129">
        <v>300.0</v>
      </c>
      <c r="H265" s="111">
        <f t="shared" si="2"/>
        <v>1050</v>
      </c>
      <c r="I265" s="133">
        <v>44921.0</v>
      </c>
    </row>
    <row r="266">
      <c r="E266" s="127" t="s">
        <v>188</v>
      </c>
      <c r="F266" s="128">
        <v>5.0</v>
      </c>
      <c r="G266" s="129">
        <v>100.0</v>
      </c>
      <c r="H266" s="111">
        <f t="shared" si="2"/>
        <v>500</v>
      </c>
      <c r="I266" s="133">
        <v>44921.0</v>
      </c>
    </row>
    <row r="267">
      <c r="E267" s="127" t="s">
        <v>78</v>
      </c>
      <c r="F267" s="128">
        <v>10.0</v>
      </c>
      <c r="G267" s="129">
        <v>100.0</v>
      </c>
      <c r="H267" s="111">
        <f t="shared" si="2"/>
        <v>1000</v>
      </c>
      <c r="I267" s="133">
        <v>44922.0</v>
      </c>
    </row>
    <row r="268">
      <c r="E268" s="127" t="s">
        <v>271</v>
      </c>
      <c r="F268" s="128">
        <v>2.0</v>
      </c>
      <c r="G268" s="129">
        <v>700.0</v>
      </c>
      <c r="H268" s="111">
        <f t="shared" si="2"/>
        <v>1400</v>
      </c>
      <c r="I268" s="133">
        <v>44922.0</v>
      </c>
    </row>
    <row r="269">
      <c r="E269" s="127" t="s">
        <v>272</v>
      </c>
      <c r="F269" s="128">
        <v>11.0</v>
      </c>
      <c r="G269" s="129">
        <v>150.0</v>
      </c>
      <c r="H269" s="111">
        <f t="shared" si="2"/>
        <v>1650</v>
      </c>
      <c r="I269" s="133">
        <v>44923.0</v>
      </c>
    </row>
    <row r="270">
      <c r="E270" s="127" t="s">
        <v>78</v>
      </c>
      <c r="F270" s="128">
        <v>10.0</v>
      </c>
      <c r="G270" s="129">
        <v>120.0</v>
      </c>
      <c r="H270" s="111">
        <f t="shared" si="2"/>
        <v>1200</v>
      </c>
      <c r="I270" s="133">
        <v>44923.0</v>
      </c>
    </row>
    <row r="271">
      <c r="E271" s="127" t="s">
        <v>273</v>
      </c>
      <c r="F271" s="128">
        <v>2.0</v>
      </c>
      <c r="G271" s="129">
        <v>700.0</v>
      </c>
      <c r="H271" s="111">
        <f t="shared" si="2"/>
        <v>1400</v>
      </c>
      <c r="I271" s="133">
        <v>44923.0</v>
      </c>
    </row>
    <row r="272">
      <c r="E272" s="127" t="s">
        <v>274</v>
      </c>
      <c r="F272" s="128">
        <v>3.0</v>
      </c>
      <c r="G272" s="129">
        <v>300.0</v>
      </c>
      <c r="H272" s="111">
        <f t="shared" si="2"/>
        <v>900</v>
      </c>
      <c r="I272" s="133">
        <v>44923.0</v>
      </c>
    </row>
    <row r="273">
      <c r="E273" s="127" t="s">
        <v>275</v>
      </c>
      <c r="F273" s="128">
        <v>3.0</v>
      </c>
      <c r="G273" s="129">
        <v>230.0</v>
      </c>
      <c r="H273" s="111">
        <f t="shared" si="2"/>
        <v>690</v>
      </c>
      <c r="I273" s="133">
        <v>44923.0</v>
      </c>
    </row>
    <row r="274">
      <c r="E274" s="127" t="s">
        <v>276</v>
      </c>
      <c r="F274" s="128">
        <v>1.0</v>
      </c>
      <c r="G274" s="129">
        <v>250.0</v>
      </c>
      <c r="H274" s="111">
        <f t="shared" si="2"/>
        <v>250</v>
      </c>
      <c r="I274" s="133">
        <v>44923.0</v>
      </c>
    </row>
    <row r="275">
      <c r="E275" s="127" t="s">
        <v>188</v>
      </c>
      <c r="F275" s="128">
        <v>10.0</v>
      </c>
      <c r="G275" s="129">
        <v>100.0</v>
      </c>
      <c r="H275" s="111">
        <f t="shared" si="2"/>
        <v>1000</v>
      </c>
      <c r="I275" s="133">
        <v>44923.0</v>
      </c>
    </row>
    <row r="276">
      <c r="E276" s="127" t="s">
        <v>190</v>
      </c>
      <c r="F276" s="128">
        <v>3.0</v>
      </c>
      <c r="G276" s="129">
        <v>1800.0</v>
      </c>
      <c r="H276" s="111">
        <f t="shared" si="2"/>
        <v>5400</v>
      </c>
      <c r="I276" s="133">
        <v>44923.0</v>
      </c>
    </row>
    <row r="277">
      <c r="E277" s="127" t="s">
        <v>277</v>
      </c>
      <c r="F277" s="128">
        <v>16.0</v>
      </c>
      <c r="G277" s="129">
        <v>2250.0</v>
      </c>
      <c r="H277" s="111">
        <f t="shared" si="2"/>
        <v>36000</v>
      </c>
      <c r="I277" s="133">
        <v>44925.0</v>
      </c>
    </row>
    <row r="278">
      <c r="E278" s="127" t="s">
        <v>278</v>
      </c>
      <c r="F278" s="128">
        <v>3.0</v>
      </c>
      <c r="G278" s="129">
        <v>700.0</v>
      </c>
      <c r="H278" s="111">
        <f t="shared" si="2"/>
        <v>2100</v>
      </c>
      <c r="I278" s="133">
        <v>44925.0</v>
      </c>
    </row>
    <row r="279">
      <c r="E279" s="127" t="s">
        <v>279</v>
      </c>
      <c r="F279" s="128">
        <v>1.0</v>
      </c>
      <c r="G279" s="129">
        <v>9000.0</v>
      </c>
      <c r="H279" s="111">
        <f t="shared" si="2"/>
        <v>9000</v>
      </c>
      <c r="I279" s="133">
        <v>44925.0</v>
      </c>
    </row>
    <row r="280">
      <c r="E280" s="127" t="s">
        <v>275</v>
      </c>
      <c r="F280" s="128">
        <v>10.0</v>
      </c>
      <c r="G280" s="129">
        <v>200.0</v>
      </c>
      <c r="H280" s="111">
        <f t="shared" si="2"/>
        <v>2000</v>
      </c>
      <c r="I280" s="133">
        <v>44925.0</v>
      </c>
    </row>
    <row r="281">
      <c r="E281" s="127" t="s">
        <v>78</v>
      </c>
      <c r="F281" s="128">
        <v>20.0</v>
      </c>
      <c r="G281" s="129">
        <v>100.0</v>
      </c>
      <c r="H281" s="111">
        <f t="shared" si="2"/>
        <v>2000</v>
      </c>
      <c r="I281" s="133">
        <v>44925.0</v>
      </c>
    </row>
    <row r="282">
      <c r="E282" s="127" t="s">
        <v>188</v>
      </c>
      <c r="F282" s="128">
        <v>5.0</v>
      </c>
      <c r="G282" s="129">
        <v>100.0</v>
      </c>
      <c r="H282" s="111">
        <f t="shared" si="2"/>
        <v>500</v>
      </c>
      <c r="I282" s="133">
        <v>44925.0</v>
      </c>
    </row>
    <row r="283">
      <c r="E283" s="153" t="s">
        <v>280</v>
      </c>
      <c r="F283" s="154">
        <v>1.0</v>
      </c>
      <c r="G283" s="155">
        <v>2050.0</v>
      </c>
      <c r="H283" s="111">
        <f t="shared" si="2"/>
        <v>2050</v>
      </c>
      <c r="I283" s="156">
        <v>44920.0</v>
      </c>
    </row>
    <row r="284">
      <c r="E284" s="127" t="s">
        <v>281</v>
      </c>
      <c r="F284" s="128">
        <v>400.0</v>
      </c>
      <c r="G284" s="129">
        <v>50.0</v>
      </c>
      <c r="H284" s="111">
        <f t="shared" si="2"/>
        <v>20000</v>
      </c>
      <c r="I284" s="128" t="s">
        <v>282</v>
      </c>
    </row>
    <row r="285">
      <c r="E285" s="157"/>
      <c r="F285" s="138"/>
      <c r="G285" s="137"/>
      <c r="H285" s="111">
        <f t="shared" si="2"/>
        <v>0</v>
      </c>
      <c r="I285" s="138"/>
    </row>
    <row r="286">
      <c r="E286" s="157"/>
      <c r="F286" s="138"/>
      <c r="G286" s="137"/>
      <c r="H286" s="111">
        <f t="shared" si="2"/>
        <v>0</v>
      </c>
      <c r="I286" s="138"/>
    </row>
    <row r="287">
      <c r="E287" s="157"/>
      <c r="F287" s="138"/>
      <c r="G287" s="137"/>
      <c r="H287" s="111">
        <f t="shared" si="2"/>
        <v>0</v>
      </c>
      <c r="I287" s="138"/>
    </row>
    <row r="288">
      <c r="E288" s="157"/>
      <c r="F288" s="138"/>
      <c r="G288" s="137"/>
      <c r="H288" s="111">
        <f t="shared" si="2"/>
        <v>0</v>
      </c>
      <c r="I288" s="138"/>
    </row>
    <row r="289">
      <c r="E289" s="157"/>
      <c r="F289" s="138"/>
      <c r="G289" s="137"/>
      <c r="H289" s="111">
        <f t="shared" si="2"/>
        <v>0</v>
      </c>
      <c r="I289" s="138"/>
    </row>
    <row r="290">
      <c r="E290" s="157"/>
      <c r="F290" s="138"/>
      <c r="G290" s="137"/>
      <c r="H290" s="111">
        <f t="shared" si="2"/>
        <v>0</v>
      </c>
      <c r="I290" s="138"/>
    </row>
    <row r="291">
      <c r="E291" s="157"/>
      <c r="F291" s="138"/>
      <c r="G291" s="137"/>
      <c r="H291" s="111">
        <f t="shared" si="2"/>
        <v>0</v>
      </c>
      <c r="I291" s="138"/>
    </row>
    <row r="292">
      <c r="E292" s="157"/>
      <c r="F292" s="138"/>
      <c r="G292" s="137"/>
      <c r="H292" s="119">
        <v>0.0</v>
      </c>
      <c r="I292" s="138"/>
    </row>
    <row r="293">
      <c r="E293" s="127"/>
      <c r="F293" s="138"/>
      <c r="G293" s="137"/>
      <c r="H293" s="119"/>
      <c r="I293" s="138"/>
    </row>
    <row r="294">
      <c r="E294" s="157"/>
      <c r="F294" s="138"/>
      <c r="G294" s="1"/>
      <c r="H294" s="158">
        <f>SUM(H3:H293)</f>
        <v>793054</v>
      </c>
      <c r="I294" s="138"/>
    </row>
    <row r="295">
      <c r="E295" s="11"/>
      <c r="F295" s="11"/>
      <c r="G295" s="11"/>
      <c r="H295" s="11"/>
      <c r="I295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  <col customWidth="1" min="7" max="7" width="33.63"/>
    <col customWidth="1" min="8" max="10" width="28.13"/>
    <col customWidth="1" min="11" max="11" width="67.63"/>
  </cols>
  <sheetData>
    <row r="7">
      <c r="F7" s="159"/>
      <c r="G7" s="160" t="s">
        <v>283</v>
      </c>
      <c r="H7" s="160" t="s">
        <v>4</v>
      </c>
      <c r="I7" s="160" t="s">
        <v>284</v>
      </c>
      <c r="J7" s="161" t="s">
        <v>285</v>
      </c>
    </row>
    <row r="8">
      <c r="F8" s="157">
        <v>1.0</v>
      </c>
      <c r="G8" s="138" t="s">
        <v>286</v>
      </c>
      <c r="H8" s="123">
        <v>30000.0</v>
      </c>
      <c r="I8" s="123">
        <v>30000.0</v>
      </c>
      <c r="J8" s="124">
        <f t="shared" ref="J8:J24" si="1">H8-I8</f>
        <v>0</v>
      </c>
      <c r="K8" s="162" t="s">
        <v>287</v>
      </c>
    </row>
    <row r="9">
      <c r="F9" s="157">
        <v>2.0</v>
      </c>
      <c r="G9" s="138" t="s">
        <v>39</v>
      </c>
      <c r="H9" s="123">
        <v>30000.0</v>
      </c>
      <c r="I9" s="123">
        <v>30000.0</v>
      </c>
      <c r="J9" s="124">
        <f t="shared" si="1"/>
        <v>0</v>
      </c>
      <c r="K9" s="163"/>
    </row>
    <row r="10">
      <c r="F10" s="157">
        <v>3.0</v>
      </c>
      <c r="G10" s="128" t="s">
        <v>58</v>
      </c>
      <c r="H10" s="124">
        <f>Pointage!K35*1</f>
        <v>18500</v>
      </c>
      <c r="I10" s="123">
        <v>18500.0</v>
      </c>
      <c r="J10" s="124">
        <f t="shared" si="1"/>
        <v>0</v>
      </c>
      <c r="K10" s="163"/>
    </row>
    <row r="11">
      <c r="F11" s="157">
        <v>4.0</v>
      </c>
      <c r="G11" s="138" t="s">
        <v>51</v>
      </c>
      <c r="H11" s="124">
        <f>Pointage!D35*1</f>
        <v>37800</v>
      </c>
      <c r="I11" s="123">
        <v>38000.0</v>
      </c>
      <c r="J11" s="124">
        <f t="shared" si="1"/>
        <v>-200</v>
      </c>
      <c r="K11" s="162" t="s">
        <v>288</v>
      </c>
    </row>
    <row r="12">
      <c r="F12" s="157">
        <v>5.0</v>
      </c>
      <c r="G12" s="138" t="s">
        <v>52</v>
      </c>
      <c r="H12" s="124">
        <f>Pointage!E35*1</f>
        <v>38400</v>
      </c>
      <c r="I12" s="123">
        <v>38500.0</v>
      </c>
      <c r="J12" s="124">
        <f t="shared" si="1"/>
        <v>-100</v>
      </c>
      <c r="K12" s="163"/>
    </row>
    <row r="13">
      <c r="F13" s="157">
        <v>6.0</v>
      </c>
      <c r="G13" s="128" t="s">
        <v>289</v>
      </c>
      <c r="H13" s="124">
        <f>Pointage!F35*1</f>
        <v>21500</v>
      </c>
      <c r="I13" s="123">
        <v>21500.0</v>
      </c>
      <c r="J13" s="124">
        <f t="shared" si="1"/>
        <v>0</v>
      </c>
      <c r="K13" s="163"/>
    </row>
    <row r="14">
      <c r="F14" s="157">
        <v>7.0</v>
      </c>
      <c r="G14" s="138" t="s">
        <v>290</v>
      </c>
      <c r="H14" s="124">
        <f>Pointage!G35*1</f>
        <v>28800</v>
      </c>
      <c r="I14" s="123">
        <v>29000.0</v>
      </c>
      <c r="J14" s="124">
        <f t="shared" si="1"/>
        <v>-200</v>
      </c>
      <c r="K14" s="163"/>
    </row>
    <row r="15">
      <c r="F15" s="157">
        <v>8.0</v>
      </c>
      <c r="G15" s="128" t="s">
        <v>291</v>
      </c>
      <c r="H15" s="124">
        <f>Pointage!H35*1</f>
        <v>9500</v>
      </c>
      <c r="I15" s="123">
        <v>9500.0</v>
      </c>
      <c r="J15" s="124">
        <f t="shared" si="1"/>
        <v>0</v>
      </c>
      <c r="K15" s="163"/>
    </row>
    <row r="16">
      <c r="F16" s="157">
        <v>9.0</v>
      </c>
      <c r="G16" s="138" t="s">
        <v>292</v>
      </c>
      <c r="H16" s="124">
        <f>Pointage!I35*1</f>
        <v>26450</v>
      </c>
      <c r="I16" s="123">
        <v>26500.0</v>
      </c>
      <c r="J16" s="124">
        <f t="shared" si="1"/>
        <v>-50</v>
      </c>
      <c r="K16" s="162" t="s">
        <v>293</v>
      </c>
    </row>
    <row r="17">
      <c r="F17" s="157">
        <v>10.0</v>
      </c>
      <c r="G17" s="138" t="s">
        <v>294</v>
      </c>
      <c r="H17" s="124">
        <f>Pointage!J35*1</f>
        <v>40500</v>
      </c>
      <c r="I17" s="123">
        <v>40500.0</v>
      </c>
      <c r="J17" s="124">
        <f t="shared" si="1"/>
        <v>0</v>
      </c>
      <c r="K17" s="163"/>
    </row>
    <row r="18">
      <c r="F18" s="157">
        <v>11.0</v>
      </c>
      <c r="G18" s="128" t="s">
        <v>61</v>
      </c>
      <c r="H18" s="124">
        <f>Pointage!N35*1</f>
        <v>13200</v>
      </c>
      <c r="I18" s="123">
        <v>5000.0</v>
      </c>
      <c r="J18" s="124">
        <f t="shared" si="1"/>
        <v>8200</v>
      </c>
      <c r="K18" s="163"/>
    </row>
    <row r="19">
      <c r="F19" s="157">
        <v>12.0</v>
      </c>
      <c r="G19" s="138" t="s">
        <v>295</v>
      </c>
      <c r="H19" s="124">
        <f>Pointage!M35*1</f>
        <v>31000</v>
      </c>
      <c r="I19" s="123">
        <v>31000.0</v>
      </c>
      <c r="J19" s="124">
        <f t="shared" si="1"/>
        <v>0</v>
      </c>
      <c r="K19" s="162" t="s">
        <v>296</v>
      </c>
    </row>
    <row r="20">
      <c r="F20" s="157">
        <v>13.0</v>
      </c>
      <c r="G20" s="138" t="s">
        <v>297</v>
      </c>
      <c r="H20" s="124">
        <f>Pointage!L35*1</f>
        <v>28800</v>
      </c>
      <c r="I20" s="123">
        <v>29000.0</v>
      </c>
      <c r="J20" s="124">
        <f t="shared" si="1"/>
        <v>-200</v>
      </c>
      <c r="K20" s="163"/>
    </row>
    <row r="21">
      <c r="F21" s="127">
        <v>14.0</v>
      </c>
      <c r="G21" s="138" t="s">
        <v>62</v>
      </c>
      <c r="H21" s="124">
        <f>Pointage!O35*1</f>
        <v>18500</v>
      </c>
      <c r="I21" s="123">
        <v>18500.0</v>
      </c>
      <c r="J21" s="124">
        <f t="shared" si="1"/>
        <v>0</v>
      </c>
      <c r="K21" s="163"/>
    </row>
    <row r="22">
      <c r="F22" s="127">
        <v>15.0</v>
      </c>
      <c r="G22" s="128" t="s">
        <v>50</v>
      </c>
      <c r="H22" s="124">
        <f>Pointage!C35*1</f>
        <v>10000</v>
      </c>
      <c r="I22" s="123">
        <v>10000.0</v>
      </c>
      <c r="J22" s="124">
        <f t="shared" si="1"/>
        <v>0</v>
      </c>
      <c r="K22" s="162"/>
    </row>
    <row r="23">
      <c r="F23" s="127">
        <v>16.0</v>
      </c>
      <c r="G23" s="128" t="s">
        <v>63</v>
      </c>
      <c r="H23" s="124">
        <f>Pointage!P35*1</f>
        <v>12600</v>
      </c>
      <c r="I23" s="123">
        <v>13000.0</v>
      </c>
      <c r="J23" s="124">
        <f t="shared" si="1"/>
        <v>-400</v>
      </c>
      <c r="K23" s="162"/>
    </row>
    <row r="24">
      <c r="F24" s="127">
        <v>17.0</v>
      </c>
      <c r="G24" s="138" t="s">
        <v>64</v>
      </c>
      <c r="H24" s="124">
        <f>Pointage!Q35*1</f>
        <v>5000</v>
      </c>
      <c r="I24" s="123">
        <v>5000.0</v>
      </c>
      <c r="J24" s="124">
        <f t="shared" si="1"/>
        <v>0</v>
      </c>
      <c r="K24" s="162" t="s">
        <v>298</v>
      </c>
    </row>
    <row r="25">
      <c r="F25" s="164"/>
      <c r="G25" s="165" t="s">
        <v>299</v>
      </c>
      <c r="H25" s="137">
        <f t="shared" ref="H25:J25" si="2">SUM(H8:H24)</f>
        <v>400550</v>
      </c>
      <c r="I25" s="166">
        <f t="shared" si="2"/>
        <v>393500</v>
      </c>
      <c r="J25" s="24">
        <f t="shared" si="2"/>
        <v>7050</v>
      </c>
    </row>
    <row r="26">
      <c r="F26" s="164"/>
      <c r="G26" s="167">
        <f>H25-I25</f>
        <v>7050</v>
      </c>
      <c r="H26" s="168"/>
      <c r="I26" s="168"/>
      <c r="J26" s="169">
        <f>H26-I26</f>
        <v>0</v>
      </c>
    </row>
    <row r="27">
      <c r="F27" s="11"/>
      <c r="G27" s="11"/>
      <c r="H27" s="11"/>
      <c r="I27" s="11"/>
      <c r="J27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