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<sst xmlns="http://schemas.openxmlformats.org/spreadsheetml/2006/main" count="505" uniqueCount="322">
  <si>
    <t>Date</t>
  </si>
  <si>
    <t>Mars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</si>
  <si>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</si>
  <si>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</si>
  <si>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</si>
  <si>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</si>
  <si>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</si>
  <si>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</si>
  <si>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</si>
  <si>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Lundi</t>
  </si>
  <si>
    <t>Mardi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</si>
  <si>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</si>
  <si>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</si>
  <si>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</si>
  <si>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</si>
  <si>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Mercredi</t>
  </si>
  <si>
    <t>Jeudi</t>
  </si>
  <si>
    <t>Vendredi</t>
  </si>
  <si>
    <t xml:space="preserve">Moyenne des charges par jour </t>
  </si>
  <si>
    <t xml:space="preserve">Objectif </t>
  </si>
  <si>
    <t>Samedi</t>
  </si>
  <si>
    <t>Dimanche</t>
  </si>
  <si>
    <t>²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</si>
  <si>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</si>
  <si>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</si>
  <si>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</si>
  <si>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</si>
  <si>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</si>
  <si>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Demain je prends de la caisse: 22000Da </t>
  </si>
  <si>
    <t>Salim: 7000</t>
  </si>
  <si>
    <t xml:space="preserve">Monnie : </t>
  </si>
  <si>
    <t>ccp:30000Da</t>
  </si>
  <si>
    <t xml:space="preserve">Che7i7a: 12000Da </t>
  </si>
  <si>
    <t xml:space="preserve">Différence mois de Février </t>
  </si>
  <si>
    <t xml:space="preserve">la vraie caisse:  22000 Da </t>
  </si>
  <si>
    <t xml:space="preserve">Différence objectif </t>
  </si>
  <si>
    <t>réparation Tabouna</t>
  </si>
  <si>
    <t>Torchons</t>
  </si>
  <si>
    <t xml:space="preserve">Différence du Totale </t>
  </si>
  <si>
    <t>poelle</t>
  </si>
  <si>
    <t xml:space="preserve">Les vendredis </t>
  </si>
  <si>
    <t xml:space="preserve">Lynda </t>
  </si>
  <si>
    <t xml:space="preserve">Hafida </t>
  </si>
  <si>
    <t>Yasmine Sidi Abd Allah</t>
  </si>
  <si>
    <t>Kenza</t>
  </si>
  <si>
    <t>Yasmine Dely Brahim</t>
  </si>
  <si>
    <t>Fouzia</t>
  </si>
  <si>
    <t>Nadjet</t>
  </si>
  <si>
    <t>Fatiha</t>
  </si>
  <si>
    <t>Samira</t>
  </si>
  <si>
    <t>Zohra</t>
  </si>
  <si>
    <t>Sarah</t>
  </si>
  <si>
    <t xml:space="preserve">Nesrine </t>
  </si>
  <si>
    <t>Ilhem</t>
  </si>
  <si>
    <t xml:space="preserve">Chiraz </t>
  </si>
  <si>
    <t>Romaissa</t>
  </si>
  <si>
    <t>Fouzia 50 3arayech  et Sarah base de sablés</t>
  </si>
  <si>
    <t xml:space="preserve">Fouzia mechewek elrouz et deziryates  et Sarah base des russes </t>
  </si>
  <si>
    <t xml:space="preserve">Lynda ma djatech mais daret bakelawa et makrout elkoucha </t>
  </si>
  <si>
    <t>Produit</t>
  </si>
  <si>
    <t>Quantité</t>
  </si>
  <si>
    <t xml:space="preserve">Prix unitaire </t>
  </si>
  <si>
    <t>Prix</t>
  </si>
  <si>
    <t>Date d'achat</t>
  </si>
  <si>
    <t>levure chimique</t>
  </si>
  <si>
    <t xml:space="preserve">quissetes </t>
  </si>
  <si>
    <t>cheddar</t>
  </si>
  <si>
    <t>Cheddar</t>
  </si>
  <si>
    <t>Fromage spéciale pizza Napoli</t>
  </si>
  <si>
    <t>Khel</t>
  </si>
  <si>
    <t>Fromage Bidon BV</t>
  </si>
  <si>
    <t>Fromage Bidon Mont D'Or 3,8kg</t>
  </si>
  <si>
    <t xml:space="preserve">quissettes cigares </t>
  </si>
  <si>
    <t>sachet de congelation 3kg</t>
  </si>
  <si>
    <t>cerise confit</t>
  </si>
  <si>
    <t>pistache</t>
  </si>
  <si>
    <t>Thon 2kg</t>
  </si>
  <si>
    <t>Farine SIM 1Kg</t>
  </si>
  <si>
    <t>Maiis</t>
  </si>
  <si>
    <t>Crème liquide Soummam 500cl</t>
  </si>
  <si>
    <t>Tomtate conserve Kingtom 1kg</t>
  </si>
  <si>
    <t xml:space="preserve">Maa zehar zahia </t>
  </si>
  <si>
    <t>Sucre cristalisé</t>
  </si>
  <si>
    <t>Margarine Fleurial 500g</t>
  </si>
  <si>
    <t>Semen Madina 1,8kg</t>
  </si>
  <si>
    <t>Margarine Fleurial 250g</t>
  </si>
  <si>
    <t xml:space="preserve">Huile Elio 5 litres </t>
  </si>
  <si>
    <t xml:space="preserve">Huile Elio 2 Litres </t>
  </si>
  <si>
    <t>Semoule Fine Sahel 25kg</t>
  </si>
  <si>
    <t>Semoule Moyenne Moula 2kg</t>
  </si>
  <si>
    <t>Semoule Moyenne Sim 10kg</t>
  </si>
  <si>
    <t>semoule gros moula 10kg</t>
  </si>
  <si>
    <t>Farine complete 1kg</t>
  </si>
  <si>
    <t>Farine Sousimie 10kg</t>
  </si>
  <si>
    <t xml:space="preserve">Djeledjlane </t>
  </si>
  <si>
    <t>amandes éfilet</t>
  </si>
  <si>
    <t>Amande marron</t>
  </si>
  <si>
    <t>Amande moulu</t>
  </si>
  <si>
    <t>Amandes blanc</t>
  </si>
  <si>
    <t>Confiture 1 kg</t>
  </si>
  <si>
    <t>Levure Boulangère</t>
  </si>
  <si>
    <t>chocolat wedjedane Noisette</t>
  </si>
  <si>
    <t>chocolat wedjedane au lait</t>
  </si>
  <si>
    <t>chocolat wedjedane Noir</t>
  </si>
  <si>
    <t>chocolat wedjedane Blanc</t>
  </si>
  <si>
    <t>Lait en poudre</t>
  </si>
  <si>
    <t>pate arome citron</t>
  </si>
  <si>
    <t>pate d'arome beurre vanille</t>
  </si>
  <si>
    <t>Gherss Ghazala sous vide</t>
  </si>
  <si>
    <t>Sucre glace Fabalco</t>
  </si>
  <si>
    <t>Sel</t>
  </si>
  <si>
    <t>quissetes 12</t>
  </si>
  <si>
    <t xml:space="preserve">blanc sucre glace </t>
  </si>
  <si>
    <t>huile d'olive</t>
  </si>
  <si>
    <t>sac poubelle</t>
  </si>
  <si>
    <t>herbes de province</t>
  </si>
  <si>
    <t>plateaux oeuf</t>
  </si>
  <si>
    <t>fromge slices</t>
  </si>
  <si>
    <t>transfert 3id</t>
  </si>
  <si>
    <t>amande éffilet</t>
  </si>
  <si>
    <t>Fleurs de décoration</t>
  </si>
  <si>
    <t>cuisses de poulet</t>
  </si>
  <si>
    <t>3akeri</t>
  </si>
  <si>
    <t>épice poulet</t>
  </si>
  <si>
    <t>couscous</t>
  </si>
  <si>
    <t>pate feuillté</t>
  </si>
  <si>
    <t>Hamissa</t>
  </si>
  <si>
    <t>raisins sec</t>
  </si>
  <si>
    <t>poulet haché + blanc de poulet</t>
  </si>
  <si>
    <t>viande hachée</t>
  </si>
  <si>
    <t>olive dényauté</t>
  </si>
  <si>
    <t>9etayef</t>
  </si>
  <si>
    <t>deyoul</t>
  </si>
  <si>
    <t>fruits secs</t>
  </si>
  <si>
    <t>poivre +ppivron</t>
  </si>
  <si>
    <t>tomate fraiche</t>
  </si>
  <si>
    <t>miel Mordjane 5kg</t>
  </si>
  <si>
    <t xml:space="preserve">Noix  </t>
  </si>
  <si>
    <t>colorant rouge et blanc</t>
  </si>
  <si>
    <t>cacao</t>
  </si>
  <si>
    <t>chocolat à tartiner 10kg</t>
  </si>
  <si>
    <t xml:space="preserve">Nacré </t>
  </si>
  <si>
    <t>barquettes carée</t>
  </si>
  <si>
    <t>dentelle célophane</t>
  </si>
  <si>
    <t xml:space="preserve">rechta </t>
  </si>
  <si>
    <t>Deyoul</t>
  </si>
  <si>
    <t>chaplure</t>
  </si>
  <si>
    <t xml:space="preserve">salade </t>
  </si>
  <si>
    <t>olive efillet</t>
  </si>
  <si>
    <t>les fleurs de décoration</t>
  </si>
  <si>
    <t>Boite 48/10</t>
  </si>
  <si>
    <t>Boite 48/07</t>
  </si>
  <si>
    <t>Boite 36</t>
  </si>
  <si>
    <t>Boite 24</t>
  </si>
  <si>
    <t>Boite 08</t>
  </si>
  <si>
    <t>Magarine 500g</t>
  </si>
  <si>
    <t>Nétoyage vitres</t>
  </si>
  <si>
    <t>Fromage + deyoul</t>
  </si>
  <si>
    <t>citron</t>
  </si>
  <si>
    <t>fromage slices</t>
  </si>
  <si>
    <t xml:space="preserve">poulet haché  </t>
  </si>
  <si>
    <t>huile 5 litres</t>
  </si>
  <si>
    <t>crème liquide Maitre culinaire 1 litre</t>
  </si>
  <si>
    <t>Miel Mordjane 5kg</t>
  </si>
  <si>
    <t>Poulet haché</t>
  </si>
  <si>
    <t>bessel</t>
  </si>
  <si>
    <t>Quissettes Baklawa</t>
  </si>
  <si>
    <t>Dentelles blanc et sélophane</t>
  </si>
  <si>
    <t>Fleur rouge de décoration</t>
  </si>
  <si>
    <t xml:space="preserve">couscous </t>
  </si>
  <si>
    <t>viande morceaux</t>
  </si>
  <si>
    <t>Djeldjelan</t>
  </si>
  <si>
    <t>Miel Madina 5 kg</t>
  </si>
  <si>
    <t>chakhechoukha + metelou3</t>
  </si>
  <si>
    <t>nakkache</t>
  </si>
  <si>
    <t>Thouma + dattes fourées</t>
  </si>
  <si>
    <t>les fruits</t>
  </si>
  <si>
    <t>Boite demie plateau</t>
  </si>
  <si>
    <t>curdent</t>
  </si>
  <si>
    <t>Farine Yara 1 kg</t>
  </si>
  <si>
    <t>sac croissant</t>
  </si>
  <si>
    <t>papier serviette</t>
  </si>
  <si>
    <t>sachet blanc 5kg</t>
  </si>
  <si>
    <t>sachet transparents</t>
  </si>
  <si>
    <t>colorant  blanc</t>
  </si>
  <si>
    <t>plateaux oeuf*</t>
  </si>
  <si>
    <t>blanc de poulet + poulet haché</t>
  </si>
  <si>
    <t>sel</t>
  </si>
  <si>
    <t>Tomate Conserve Kingtom</t>
  </si>
  <si>
    <t>Fromage speciale pizza</t>
  </si>
  <si>
    <t xml:space="preserve">Fromage slices </t>
  </si>
  <si>
    <t>amandes blanc</t>
  </si>
  <si>
    <t xml:space="preserve">poulet haché </t>
  </si>
  <si>
    <t xml:space="preserve">poulet haché + blanc de poulet </t>
  </si>
  <si>
    <t xml:space="preserve">Tomate fraîche </t>
  </si>
  <si>
    <t xml:space="preserve">épinards </t>
  </si>
  <si>
    <t xml:space="preserve">crème fraîche </t>
  </si>
  <si>
    <t>isis</t>
  </si>
  <si>
    <t xml:space="preserve">piment </t>
  </si>
  <si>
    <t xml:space="preserve">sofiane chats </t>
  </si>
  <si>
    <t>rechta</t>
  </si>
  <si>
    <t>épinards + salade</t>
  </si>
  <si>
    <t xml:space="preserve">légumes </t>
  </si>
  <si>
    <t xml:space="preserve">piment rouge </t>
  </si>
  <si>
    <t xml:space="preserve">épices poulet </t>
  </si>
  <si>
    <t>viande</t>
  </si>
  <si>
    <t>Bessel</t>
  </si>
  <si>
    <t>olive noir</t>
  </si>
  <si>
    <t xml:space="preserve">crème liquide </t>
  </si>
  <si>
    <t>Djeldjelane</t>
  </si>
  <si>
    <t xml:space="preserve">boite </t>
  </si>
  <si>
    <t>ail</t>
  </si>
  <si>
    <t>piment moulu</t>
  </si>
  <si>
    <t>poulet hachée</t>
  </si>
  <si>
    <t>ze3itera</t>
  </si>
  <si>
    <t>achats kamel</t>
  </si>
  <si>
    <t>escalope</t>
  </si>
  <si>
    <t>omo</t>
  </si>
  <si>
    <t xml:space="preserve">Néo </t>
  </si>
  <si>
    <t xml:space="preserve">prise </t>
  </si>
  <si>
    <t>crème légère</t>
  </si>
  <si>
    <t>vinigrette</t>
  </si>
  <si>
    <t xml:space="preserve">olive </t>
  </si>
  <si>
    <t>Betrave</t>
  </si>
  <si>
    <t>jingembre</t>
  </si>
  <si>
    <t>poivre noir</t>
  </si>
  <si>
    <t>ail moulu</t>
  </si>
  <si>
    <t>kheyar</t>
  </si>
  <si>
    <t>persil</t>
  </si>
  <si>
    <t xml:space="preserve">tomate cerise </t>
  </si>
  <si>
    <t xml:space="preserve">pomme de terre </t>
  </si>
  <si>
    <t>aricot vert</t>
  </si>
  <si>
    <t>cuièllre + fourchette</t>
  </si>
  <si>
    <t>petite barquette</t>
  </si>
  <si>
    <t>barquettes 1065</t>
  </si>
  <si>
    <t>yaourt</t>
  </si>
  <si>
    <t>dette brahim</t>
  </si>
  <si>
    <t>eau</t>
  </si>
  <si>
    <t>jus</t>
  </si>
  <si>
    <t>pain</t>
  </si>
  <si>
    <t xml:space="preserve">fromage bidon </t>
  </si>
  <si>
    <t>bessel vert</t>
  </si>
  <si>
    <t>plateaux oeufs</t>
  </si>
  <si>
    <t>Rechta</t>
  </si>
  <si>
    <t>poulet haché</t>
  </si>
  <si>
    <t>barquette 1380</t>
  </si>
  <si>
    <t>hamissa</t>
  </si>
  <si>
    <t xml:space="preserve">épices  </t>
  </si>
  <si>
    <t>Tomate fraiche</t>
  </si>
  <si>
    <t xml:space="preserve">Boite </t>
  </si>
  <si>
    <t xml:space="preserve">Kamel supérette </t>
  </si>
  <si>
    <t>Tomate Fraiche</t>
  </si>
  <si>
    <t>chakhechoukhate dhefer + Terida</t>
  </si>
  <si>
    <t>Lavette + brequets</t>
  </si>
  <si>
    <t xml:space="preserve">Tomate cerise </t>
  </si>
  <si>
    <t>épinards</t>
  </si>
  <si>
    <t>Crème fraiche</t>
  </si>
  <si>
    <t>Netoyage vitre</t>
  </si>
  <si>
    <t>Fromage slices</t>
  </si>
  <si>
    <t xml:space="preserve">olive noir </t>
  </si>
  <si>
    <t>livraison</t>
  </si>
  <si>
    <t xml:space="preserve">piles </t>
  </si>
  <si>
    <t>crevette</t>
  </si>
  <si>
    <t>zthym</t>
  </si>
  <si>
    <t>Assurence des employées</t>
  </si>
  <si>
    <t>Ka3ek Nakkach</t>
  </si>
  <si>
    <t>quissetes blanc num 12</t>
  </si>
  <si>
    <t>Barquette 1185</t>
  </si>
  <si>
    <t>Boite transparent 500ccl</t>
  </si>
  <si>
    <t>les crilles 40/60</t>
  </si>
  <si>
    <t>Boites 18</t>
  </si>
  <si>
    <t>barquettes 1056</t>
  </si>
  <si>
    <t>Bouteille bouchon charbet</t>
  </si>
  <si>
    <t>chalumeau+gaz</t>
  </si>
  <si>
    <t>couteaux</t>
  </si>
  <si>
    <t>Totale</t>
  </si>
  <si>
    <t xml:space="preserve">Mama </t>
  </si>
  <si>
    <t>coffret Biolina</t>
  </si>
  <si>
    <t>viande +sardine</t>
  </si>
  <si>
    <t>Baterie</t>
  </si>
  <si>
    <t>Hidjama</t>
  </si>
  <si>
    <t xml:space="preserve">Séances </t>
  </si>
  <si>
    <t>Acces Bars</t>
  </si>
  <si>
    <t>Formation</t>
  </si>
  <si>
    <t>pneux</t>
  </si>
  <si>
    <t xml:space="preserve">pyjama </t>
  </si>
  <si>
    <t xml:space="preserve">pulles </t>
  </si>
  <si>
    <t>pantalon</t>
  </si>
  <si>
    <t>pyjama</t>
  </si>
  <si>
    <t xml:space="preserve">chaussures </t>
  </si>
  <si>
    <t>robe</t>
  </si>
  <si>
    <t>papa</t>
  </si>
  <si>
    <t>nadjet Djeba+caba</t>
  </si>
  <si>
    <t>caba</t>
  </si>
  <si>
    <t>Maria sac</t>
  </si>
  <si>
    <t>Maria et Allaa vetement</t>
  </si>
  <si>
    <t>scanner + scintigraphie</t>
  </si>
  <si>
    <t>islem</t>
  </si>
  <si>
    <t>Mama</t>
  </si>
  <si>
    <t>médoc mama</t>
  </si>
  <si>
    <t>sandale</t>
  </si>
  <si>
    <t xml:space="preserve">Nom </t>
  </si>
  <si>
    <t>Avance</t>
  </si>
  <si>
    <t xml:space="preserve">Salaire à payer </t>
  </si>
  <si>
    <t xml:space="preserve">Sofiane </t>
  </si>
  <si>
    <t>3000Da salaires + 5000Da Fetour +30k</t>
  </si>
  <si>
    <t>Amel</t>
  </si>
  <si>
    <t>Lynda</t>
  </si>
  <si>
    <t>Romayssa</t>
  </si>
  <si>
    <t>Yasmine  Dely Brahim</t>
  </si>
  <si>
    <t>1000+10000+3000+6500</t>
  </si>
  <si>
    <t>5000+</t>
  </si>
  <si>
    <t>Chiraz</t>
  </si>
  <si>
    <t>Nesrine 1</t>
  </si>
  <si>
    <t>Nesrine 2</t>
  </si>
  <si>
    <t>TOTAL</t>
  </si>
  <si>
    <t xml:space="preserve">Mois de Janvier </t>
  </si>
  <si>
    <t xml:space="preserve">Mois de Février </t>
  </si>
  <si>
    <t>Mois de Mars</t>
  </si>
  <si>
    <t>Mois d'Avril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</si>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</sst>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#,##0.00\ [$€-1]"/>
    <numFmt numFmtId="167" formatCode="d/m/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b/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20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sz val="23.0"/>
      <color theme="1"/>
      <name val="Arial"/>
    </font>
    <font>
      <color theme="1"/>
      <name val="Arial"/>
      <scheme val="minor"/>
    </font>
    <font>
      <b/>
      <sz val="24.0"/>
      <color theme="1"/>
      <name val="Arial"/>
    </font>
    <font>
      <sz val="18.0"/>
      <color theme="1"/>
      <name val="Arial"/>
      <scheme val="minor"/>
    </font>
    <font>
      <sz val="14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3" fillId="6" fontId="3" numFmtId="166" xfId="0" applyAlignment="1" applyBorder="1" applyFill="1" applyFont="1" applyNumberFormat="1">
      <alignment horizontal="center" vertical="bottom"/>
    </xf>
    <xf borderId="4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4" fillId="5" fontId="3" numFmtId="166" xfId="0" applyAlignment="1" applyBorder="1" applyFont="1" applyNumberFormat="1">
      <alignment horizontal="center" vertical="bottom"/>
    </xf>
    <xf borderId="5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4" fillId="6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4" fillId="6" fontId="3" numFmtId="166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5" fontId="3" numFmtId="166" xfId="0" applyAlignment="1" applyBorder="1" applyFont="1" applyNumberFormat="1">
      <alignment horizontal="center"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5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5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horizontal="center" readingOrder="0" vertical="bottom"/>
    </xf>
    <xf borderId="5" fillId="0" fontId="1" numFmtId="166" xfId="0" applyAlignment="1" applyBorder="1" applyFont="1" applyNumberFormat="1">
      <alignment vertical="bottom"/>
    </xf>
    <xf borderId="0" fillId="5" fontId="6" numFmtId="166" xfId="0" applyAlignment="1" applyFont="1" applyNumberFormat="1">
      <alignment horizontal="right" readingOrder="0" vertical="bottom"/>
    </xf>
    <xf borderId="5" fillId="7" fontId="7" numFmtId="166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horizontal="right" readingOrder="0" vertical="bottom"/>
    </xf>
    <xf borderId="1" fillId="9" fontId="8" numFmtId="0" xfId="0" applyAlignment="1" applyBorder="1" applyFill="1" applyFont="1">
      <alignment horizontal="center" vertical="bottom"/>
    </xf>
    <xf borderId="6" fillId="0" fontId="1" numFmtId="166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5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1" fillId="8" fontId="1" numFmtId="0" xfId="0" applyAlignment="1" applyBorder="1" applyFont="1">
      <alignment vertical="bottom"/>
    </xf>
    <xf borderId="4" fillId="5" fontId="3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vertical="bottom"/>
    </xf>
    <xf borderId="4" fillId="5" fontId="1" numFmtId="0" xfId="0" applyAlignment="1" applyBorder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right"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0" fontId="3" numFmtId="166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5" fillId="0" fontId="1" numFmtId="0" xfId="0" applyAlignment="1" applyBorder="1" applyFont="1">
      <alignment vertical="bottom"/>
    </xf>
    <xf borderId="1" fillId="0" fontId="2" numFmtId="166" xfId="0" applyAlignment="1" applyBorder="1" applyFont="1" applyNumberFormat="1">
      <alignment horizontal="right" vertical="bottom"/>
    </xf>
    <xf borderId="4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11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1" fillId="6" fontId="9" numFmtId="0" xfId="0" applyAlignment="1" applyBorder="1" applyFont="1">
      <alignment readingOrder="0" vertical="bottom"/>
    </xf>
    <xf borderId="1" fillId="5" fontId="9" numFmtId="0" xfId="0" applyAlignment="1" applyBorder="1" applyFont="1">
      <alignment readingOrder="0" vertical="bottom"/>
    </xf>
    <xf borderId="5" fillId="5" fontId="9" numFmtId="0" xfId="0" applyAlignment="1" applyBorder="1" applyFont="1">
      <alignment readingOrder="0" shrinkToFit="0" vertical="bottom" wrapText="0"/>
    </xf>
    <xf borderId="1" fillId="5" fontId="9" numFmtId="0" xfId="0" applyAlignment="1" applyBorder="1" applyFont="1">
      <alignment vertical="bottom"/>
    </xf>
    <xf borderId="4" fillId="12" fontId="3" numFmtId="0" xfId="0" applyAlignment="1" applyBorder="1" applyFill="1" applyFont="1">
      <alignment horizontal="center" vertical="bottom"/>
    </xf>
    <xf borderId="1" fillId="12" fontId="3" numFmtId="165" xfId="0" applyAlignment="1" applyBorder="1" applyFont="1" applyNumberFormat="1">
      <alignment horizontal="center" readingOrder="0" vertical="bottom"/>
    </xf>
    <xf borderId="4" fillId="12" fontId="3" numFmtId="0" xfId="0" applyAlignment="1" applyBorder="1" applyFont="1">
      <alignment horizontal="center" readingOrder="0" vertical="bottom"/>
    </xf>
    <xf borderId="1" fillId="12" fontId="3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readingOrder="0" vertical="bottom"/>
    </xf>
    <xf borderId="4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vertical="bottom"/>
    </xf>
    <xf borderId="1" fillId="9" fontId="10" numFmtId="0" xfId="0" applyAlignment="1" applyBorder="1" applyFont="1">
      <alignment horizontal="center" readingOrder="0" vertical="bottom"/>
    </xf>
    <xf borderId="3" fillId="5" fontId="11" numFmtId="0" xfId="0" applyAlignment="1" applyBorder="1" applyFont="1">
      <alignment horizontal="center" readingOrder="0" vertical="bottom"/>
    </xf>
    <xf borderId="3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6" fillId="5" fontId="11" numFmtId="166" xfId="0" applyAlignment="1" applyBorder="1" applyFont="1" applyNumberFormat="1">
      <alignment horizontal="center" vertical="bottom"/>
    </xf>
    <xf borderId="1" fillId="5" fontId="11" numFmtId="166" xfId="0" applyAlignment="1" applyBorder="1" applyFont="1" applyNumberFormat="1">
      <alignment horizontal="center" vertical="bottom"/>
    </xf>
    <xf borderId="1" fillId="5" fontId="6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1" fillId="0" fontId="5" numFmtId="166" xfId="0" applyAlignment="1" applyBorder="1" applyFont="1" applyNumberFormat="1">
      <alignment horizontal="right" vertical="bottom"/>
    </xf>
    <xf borderId="1" fillId="0" fontId="5" numFmtId="166" xfId="0" applyAlignment="1" applyBorder="1" applyFont="1" applyNumberFormat="1">
      <alignment horizontal="right" readingOrder="0" vertical="bottom"/>
    </xf>
    <xf borderId="1" fillId="10" fontId="12" numFmtId="166" xfId="0" applyAlignment="1" applyBorder="1" applyFont="1" applyNumberFormat="1">
      <alignment horizontal="center" vertical="bottom"/>
    </xf>
    <xf borderId="1" fillId="10" fontId="6" numFmtId="166" xfId="0" applyAlignment="1" applyBorder="1" applyFont="1" applyNumberFormat="1">
      <alignment horizontal="right" vertical="bottom"/>
    </xf>
    <xf borderId="1" fillId="10" fontId="5" numFmtId="166" xfId="0" applyAlignment="1" applyBorder="1" applyFont="1" applyNumberFormat="1">
      <alignment horizontal="right" vertical="bottom"/>
    </xf>
    <xf borderId="1" fillId="10" fontId="13" numFmtId="166" xfId="0" applyAlignment="1" applyBorder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5" fillId="0" fontId="9" numFmtId="166" xfId="0" applyAlignment="1" applyBorder="1" applyFont="1" applyNumberFormat="1">
      <alignment horizontal="right" vertical="bottom"/>
    </xf>
    <xf borderId="5" fillId="0" fontId="14" numFmtId="166" xfId="0" applyAlignment="1" applyBorder="1" applyFont="1" applyNumberFormat="1">
      <alignment horizontal="right" vertical="bottom"/>
    </xf>
    <xf borderId="1" fillId="0" fontId="9" numFmtId="166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/>
    </xf>
    <xf borderId="1" fillId="10" fontId="16" numFmtId="0" xfId="0" applyAlignment="1" applyBorder="1" applyFont="1">
      <alignment horizontal="center" vertical="bottom"/>
    </xf>
    <xf borderId="2" fillId="10" fontId="16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2" fillId="5" fontId="3" numFmtId="165" xfId="0" applyAlignment="1" applyBorder="1" applyFont="1" applyNumberFormat="1">
      <alignment horizontal="center" readingOrder="0" vertical="bottom"/>
    </xf>
    <xf borderId="3" fillId="5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vertical="bottom"/>
    </xf>
    <xf borderId="2" fillId="5" fontId="3" numFmtId="166" xfId="0" applyAlignment="1" applyBorder="1" applyFont="1" applyNumberFormat="1">
      <alignment horizontal="center" readingOrder="0" vertical="bottom"/>
    </xf>
    <xf borderId="3" fillId="5" fontId="5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vertical="bottom"/>
    </xf>
    <xf borderId="2" fillId="5" fontId="5" numFmtId="166" xfId="0" applyAlignment="1" applyBorder="1" applyFont="1" applyNumberFormat="1">
      <alignment horizontal="center" vertical="bottom"/>
    </xf>
    <xf borderId="4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166" xfId="0" applyAlignment="1" applyBorder="1" applyFont="1" applyNumberFormat="1">
      <alignment horizontal="center" vertical="bottom"/>
    </xf>
    <xf borderId="4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1" fillId="8" fontId="3" numFmtId="166" xfId="0" applyAlignment="1" applyBorder="1" applyFont="1" applyNumberFormat="1">
      <alignment horizontal="center" readingOrder="0" vertical="bottom"/>
    </xf>
    <xf borderId="4" fillId="13" fontId="3" numFmtId="0" xfId="0" applyAlignment="1" applyBorder="1" applyFill="1" applyFont="1">
      <alignment horizontal="center" readingOrder="0" vertical="bottom"/>
    </xf>
    <xf borderId="1" fillId="13" fontId="3" numFmtId="0" xfId="0" applyAlignment="1" applyBorder="1" applyFont="1">
      <alignment horizontal="center" readingOrder="0" vertical="bottom"/>
    </xf>
    <xf borderId="1" fillId="13" fontId="3" numFmtId="166" xfId="0" applyAlignment="1" applyBorder="1" applyFont="1" applyNumberFormat="1">
      <alignment horizontal="center" readingOrder="0" vertical="bottom"/>
    </xf>
    <xf borderId="1" fillId="13" fontId="3" numFmtId="166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horizontal="center" vertical="bottom"/>
    </xf>
    <xf borderId="3" fillId="8" fontId="3" numFmtId="0" xfId="0" applyAlignment="1" applyBorder="1" applyFont="1">
      <alignment horizontal="center" vertical="bottom"/>
    </xf>
    <xf borderId="2" fillId="8" fontId="3" numFmtId="0" xfId="0" applyAlignment="1" applyBorder="1" applyFont="1">
      <alignment horizontal="center" readingOrder="0" vertical="bottom"/>
    </xf>
    <xf borderId="2" fillId="8" fontId="3" numFmtId="166" xfId="0" applyAlignment="1" applyBorder="1" applyFont="1" applyNumberFormat="1">
      <alignment horizontal="center" vertical="bottom"/>
    </xf>
    <xf borderId="2" fillId="8" fontId="3" numFmtId="167" xfId="0" applyAlignment="1" applyBorder="1" applyFont="1" applyNumberFormat="1">
      <alignment horizontal="center" vertical="bottom"/>
    </xf>
    <xf borderId="3" fillId="0" fontId="16" numFmtId="0" xfId="0" applyAlignment="1" applyBorder="1" applyFont="1">
      <alignment horizontal="center" vertical="bottom"/>
    </xf>
    <xf borderId="2" fillId="0" fontId="1" numFmtId="166" xfId="0" applyAlignment="1" applyBorder="1" applyFont="1" applyNumberFormat="1">
      <alignment vertical="bottom"/>
    </xf>
    <xf borderId="2" fillId="0" fontId="16" numFmtId="166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6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5" fillId="7" fontId="2" numFmtId="0" xfId="0" applyAlignment="1" applyBorder="1" applyFon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15" numFmtId="166" xfId="0" applyFont="1" applyNumberFormat="1"/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1" fillId="3" fontId="3" numFmtId="166" xfId="0" applyAlignment="1" applyBorder="1" applyFont="1" applyNumberFormat="1">
      <alignment horizontal="center" vertical="bottom"/>
    </xf>
    <xf borderId="1" fillId="8" fontId="2" numFmtId="166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1" fillId="10" fontId="2" numFmtId="0" xfId="0" applyAlignment="1" applyBorder="1" applyFont="1">
      <alignment horizontal="center" vertical="bottom"/>
    </xf>
    <xf borderId="3" fillId="10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readingOrder="0" vertical="bottom"/>
    </xf>
    <xf borderId="1" fillId="14" fontId="2" numFmtId="0" xfId="0" applyAlignment="1" applyBorder="1" applyFill="1" applyFont="1">
      <alignment horizontal="center" vertical="bottom"/>
    </xf>
    <xf borderId="3" fillId="0" fontId="3" numFmtId="166" xfId="0" applyAlignment="1" applyBorder="1" applyFont="1" applyNumberFormat="1">
      <alignment horizontal="center" readingOrder="0" vertical="bottom"/>
    </xf>
    <xf borderId="3" fillId="14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3.38"/>
    <col customWidth="1" min="3" max="3" width="18.63"/>
    <col customWidth="1" min="4" max="4" width="19.88"/>
    <col customWidth="1" min="5" max="5" width="19.13"/>
    <col customWidth="1" min="6" max="6" width="19.38"/>
    <col customWidth="1" min="7" max="7" width="19.63"/>
    <col customWidth="1" min="8" max="8" width="20.13"/>
    <col customWidth="1" min="9" max="9" width="19.63"/>
    <col customWidth="1" min="11" max="11" width="23.63"/>
    <col customWidth="1" min="12" max="12" width="24.63"/>
    <col customWidth="1" min="13" max="13" width="48.88"/>
    <col customWidth="1" min="14" max="14" width="30.38"/>
    <col customWidth="1" min="15" max="15" width="30.63"/>
    <col customWidth="1" min="16" max="16" width="67.13"/>
    <col customWidth="1" min="17" max="17" width="22.88"/>
    <col customWidth="1" min="18" max="18" width="20.8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>
        <v>45352.0</v>
      </c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8" t="s">
        <v>9</v>
      </c>
      <c r="B2" s="9">
        <v>45383.0</v>
      </c>
      <c r="C2" s="10">
        <v>63000.0</v>
      </c>
      <c r="D2" s="10">
        <v>74000.0</v>
      </c>
      <c r="E2" s="11"/>
      <c r="F2" s="11"/>
      <c r="G2" s="11"/>
      <c r="H2" s="11"/>
      <c r="I2" s="12">
        <v>1.0</v>
      </c>
      <c r="J2" s="13"/>
      <c r="K2" s="14"/>
      <c r="L2" s="15">
        <v>63000.0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16" t="s">
        <v>10</v>
      </c>
      <c r="B3" s="9">
        <v>45384.0</v>
      </c>
      <c r="C3" s="10">
        <v>32000.0</v>
      </c>
      <c r="D3" s="10">
        <v>37000.0</v>
      </c>
      <c r="E3" s="11"/>
      <c r="F3" s="11"/>
      <c r="G3" s="11"/>
      <c r="H3" s="11"/>
      <c r="I3" s="17">
        <v>1.0</v>
      </c>
      <c r="J3" s="13"/>
      <c r="K3" s="14"/>
      <c r="L3" s="18">
        <v>32000.0</v>
      </c>
      <c r="M3" s="19" t="s">
        <v>11</v>
      </c>
      <c r="N3" s="19" t="s">
        <v>12</v>
      </c>
      <c r="O3" s="20" t="s">
        <v>13</v>
      </c>
      <c r="P3" s="21" t="s">
        <v>14</v>
      </c>
      <c r="Q3" s="5"/>
      <c r="R3" s="5"/>
      <c r="S3" s="5"/>
      <c r="T3" s="5"/>
      <c r="U3" s="5"/>
      <c r="V3" s="5"/>
    </row>
    <row r="4">
      <c r="A4" s="16" t="s">
        <v>15</v>
      </c>
      <c r="B4" s="9">
        <v>45385.0</v>
      </c>
      <c r="C4" s="10">
        <v>45000.0</v>
      </c>
      <c r="D4" s="10">
        <v>62000.0</v>
      </c>
      <c r="E4" s="11"/>
      <c r="F4" s="11"/>
      <c r="G4" s="11"/>
      <c r="H4" s="11"/>
      <c r="I4" s="17">
        <v>1.0</v>
      </c>
      <c r="J4" s="13"/>
      <c r="K4" s="14"/>
      <c r="L4" s="18">
        <v>45000.0</v>
      </c>
      <c r="M4" s="22">
        <f>H32/I32</f>
        <v>27210.83314</v>
      </c>
      <c r="N4" s="22">
        <f>D32/I32</f>
        <v>76400</v>
      </c>
      <c r="O4" s="23"/>
      <c r="P4" s="24">
        <f>F32/D32</f>
        <v>0.1808178908</v>
      </c>
      <c r="Q4" s="5"/>
      <c r="R4" s="5"/>
      <c r="S4" s="5"/>
      <c r="T4" s="5"/>
      <c r="U4" s="5"/>
      <c r="V4" s="5"/>
    </row>
    <row r="5">
      <c r="A5" s="16" t="s">
        <v>16</v>
      </c>
      <c r="B5" s="9">
        <v>45386.0</v>
      </c>
      <c r="C5" s="10">
        <v>73000.0</v>
      </c>
      <c r="D5" s="10">
        <v>62000.0</v>
      </c>
      <c r="E5" s="11"/>
      <c r="F5" s="11"/>
      <c r="G5" s="11"/>
      <c r="H5" s="11"/>
      <c r="I5" s="17">
        <v>1.0</v>
      </c>
      <c r="J5" s="13"/>
      <c r="K5" s="14"/>
      <c r="L5" s="18">
        <v>73000.0</v>
      </c>
      <c r="M5" s="1"/>
      <c r="N5" s="1"/>
      <c r="O5" s="5"/>
      <c r="P5" s="25"/>
      <c r="Q5" s="5"/>
      <c r="R5" s="5"/>
      <c r="S5" s="5"/>
      <c r="T5" s="5"/>
      <c r="U5" s="5"/>
      <c r="V5" s="5"/>
    </row>
    <row r="6">
      <c r="A6" s="26" t="s">
        <v>17</v>
      </c>
      <c r="B6" s="9">
        <v>45387.0</v>
      </c>
      <c r="C6" s="10">
        <v>65000.0</v>
      </c>
      <c r="D6" s="10">
        <v>21000.0</v>
      </c>
      <c r="E6" s="11"/>
      <c r="F6" s="11"/>
      <c r="G6" s="11"/>
      <c r="H6" s="11"/>
      <c r="I6" s="17">
        <v>1.0</v>
      </c>
      <c r="J6" s="13"/>
      <c r="K6" s="14"/>
      <c r="L6" s="18">
        <v>65000.0</v>
      </c>
      <c r="M6" s="27" t="s">
        <v>18</v>
      </c>
      <c r="N6" s="28" t="s">
        <v>19</v>
      </c>
      <c r="O6" s="5"/>
      <c r="P6" s="1"/>
      <c r="Q6" s="5"/>
      <c r="R6" s="5"/>
      <c r="S6" s="5"/>
      <c r="T6" s="5"/>
      <c r="U6" s="5"/>
      <c r="V6" s="5"/>
    </row>
    <row r="7">
      <c r="A7" s="16" t="s">
        <v>20</v>
      </c>
      <c r="B7" s="9">
        <v>45388.0</v>
      </c>
      <c r="C7" s="10">
        <v>62000.0</v>
      </c>
      <c r="D7" s="10">
        <v>33000.0</v>
      </c>
      <c r="E7" s="11"/>
      <c r="F7" s="11"/>
      <c r="G7" s="11"/>
      <c r="H7" s="11"/>
      <c r="I7" s="17">
        <v>1.0</v>
      </c>
      <c r="J7" s="13"/>
      <c r="K7" s="14"/>
      <c r="L7" s="18">
        <v>62000.0</v>
      </c>
      <c r="M7" s="29">
        <f>E32/I32</f>
        <v>29774.68</v>
      </c>
      <c r="N7" s="29">
        <v>100000.0</v>
      </c>
      <c r="O7" s="1"/>
      <c r="P7" s="1"/>
      <c r="Q7" s="5"/>
      <c r="R7" s="5"/>
      <c r="S7" s="5"/>
      <c r="T7" s="5"/>
      <c r="U7" s="5"/>
      <c r="V7" s="5"/>
    </row>
    <row r="8">
      <c r="A8" s="16" t="s">
        <v>21</v>
      </c>
      <c r="B8" s="9">
        <v>45389.0</v>
      </c>
      <c r="C8" s="10">
        <v>70000.0</v>
      </c>
      <c r="D8" s="10">
        <v>500000.0</v>
      </c>
      <c r="E8" s="11"/>
      <c r="F8" s="11"/>
      <c r="G8" s="11"/>
      <c r="H8" s="11"/>
      <c r="I8" s="17">
        <v>1.0</v>
      </c>
      <c r="J8" s="13"/>
      <c r="K8" s="14"/>
      <c r="L8" s="18">
        <v>70000.0</v>
      </c>
      <c r="M8" s="1" t="s">
        <v>22</v>
      </c>
      <c r="N8" s="1"/>
      <c r="O8" s="1"/>
      <c r="P8" s="1"/>
      <c r="Q8" s="5"/>
      <c r="R8" s="5"/>
      <c r="S8" s="5"/>
      <c r="T8" s="5"/>
      <c r="U8" s="5"/>
      <c r="V8" s="5"/>
    </row>
    <row r="9">
      <c r="A9" s="16" t="s">
        <v>9</v>
      </c>
      <c r="B9" s="9">
        <v>45390.0</v>
      </c>
      <c r="C9" s="10">
        <v>43000.0</v>
      </c>
      <c r="D9" s="10">
        <v>240000.0</v>
      </c>
      <c r="E9" s="11"/>
      <c r="F9" s="11"/>
      <c r="G9" s="11"/>
      <c r="H9" s="11"/>
      <c r="I9" s="17">
        <v>1.0</v>
      </c>
      <c r="J9" s="13"/>
      <c r="K9" s="14"/>
      <c r="L9" s="30">
        <v>43000.0</v>
      </c>
      <c r="M9" s="1"/>
      <c r="N9" s="1"/>
      <c r="O9" s="1"/>
      <c r="P9" s="1"/>
      <c r="Q9" s="5"/>
      <c r="R9" s="5"/>
      <c r="S9" s="5"/>
      <c r="T9" s="5"/>
      <c r="U9" s="5"/>
      <c r="V9" s="5"/>
    </row>
    <row r="10">
      <c r="A10" s="16" t="s">
        <v>10</v>
      </c>
      <c r="B10" s="9">
        <v>45391.0</v>
      </c>
      <c r="C10" s="10">
        <v>85000.0</v>
      </c>
      <c r="D10" s="10">
        <v>0.0</v>
      </c>
      <c r="E10" s="11"/>
      <c r="F10" s="11"/>
      <c r="G10" s="11"/>
      <c r="H10" s="11"/>
      <c r="I10" s="17">
        <v>0.0</v>
      </c>
      <c r="J10" s="13"/>
      <c r="K10" s="14"/>
      <c r="L10" s="18">
        <v>85000.0</v>
      </c>
      <c r="M10" s="31" t="s">
        <v>23</v>
      </c>
      <c r="N10" s="31" t="s">
        <v>24</v>
      </c>
      <c r="O10" s="32" t="s">
        <v>25</v>
      </c>
      <c r="P10" s="33" t="s">
        <v>26</v>
      </c>
      <c r="Q10" s="5"/>
      <c r="R10" s="5"/>
      <c r="S10" s="5"/>
      <c r="T10" s="5"/>
      <c r="U10" s="5"/>
      <c r="V10" s="5"/>
    </row>
    <row r="11">
      <c r="A11" s="16" t="s">
        <v>15</v>
      </c>
      <c r="B11" s="9">
        <v>45392.0</v>
      </c>
      <c r="C11" s="10">
        <v>100000.0</v>
      </c>
      <c r="D11" s="10">
        <v>0.0</v>
      </c>
      <c r="E11" s="11"/>
      <c r="F11" s="11"/>
      <c r="G11" s="11"/>
      <c r="H11" s="11"/>
      <c r="I11" s="17">
        <v>0.0</v>
      </c>
      <c r="J11" s="13"/>
      <c r="K11" s="14"/>
      <c r="L11" s="18">
        <v>100000.0</v>
      </c>
      <c r="M11" s="34">
        <f>M14+D32-E32-N11-Salaires!M31</f>
        <v>1097633</v>
      </c>
      <c r="N11" s="35">
        <v>49000.0</v>
      </c>
      <c r="O11" s="36">
        <v>887000.0</v>
      </c>
      <c r="P11" s="29">
        <f>M11-O11</f>
        <v>210633</v>
      </c>
      <c r="Q11" s="5"/>
      <c r="R11" s="5"/>
      <c r="S11" s="5"/>
      <c r="T11" s="5"/>
      <c r="U11" s="5"/>
      <c r="V11" s="5"/>
    </row>
    <row r="12">
      <c r="A12" s="16" t="s">
        <v>16</v>
      </c>
      <c r="B12" s="9">
        <v>45393.0</v>
      </c>
      <c r="C12" s="10">
        <v>55000.0</v>
      </c>
      <c r="D12" s="10">
        <v>0.0</v>
      </c>
      <c r="E12" s="11"/>
      <c r="F12" s="11"/>
      <c r="G12" s="11"/>
      <c r="H12" s="11"/>
      <c r="I12" s="17">
        <v>0.0</v>
      </c>
      <c r="J12" s="13"/>
      <c r="K12" s="14"/>
      <c r="L12" s="18">
        <v>55000.0</v>
      </c>
      <c r="M12" s="1"/>
      <c r="N12" s="1"/>
      <c r="O12" s="37"/>
      <c r="P12" s="37"/>
      <c r="Q12" s="5"/>
      <c r="R12" s="5"/>
      <c r="S12" s="5"/>
      <c r="T12" s="5"/>
      <c r="U12" s="5"/>
      <c r="V12" s="5"/>
    </row>
    <row r="13">
      <c r="A13" s="26" t="s">
        <v>17</v>
      </c>
      <c r="B13" s="9">
        <v>45394.0</v>
      </c>
      <c r="C13" s="10">
        <v>70000.0</v>
      </c>
      <c r="D13" s="10">
        <v>0.0</v>
      </c>
      <c r="E13" s="11"/>
      <c r="F13" s="11"/>
      <c r="G13" s="11"/>
      <c r="H13" s="11"/>
      <c r="I13" s="17">
        <v>0.0</v>
      </c>
      <c r="J13" s="13"/>
      <c r="K13" s="14"/>
      <c r="L13" s="18">
        <v>70000.0</v>
      </c>
      <c r="M13" s="32" t="s">
        <v>27</v>
      </c>
      <c r="N13" s="37"/>
      <c r="O13" s="5"/>
      <c r="P13" s="37"/>
      <c r="Q13" s="5"/>
      <c r="R13" s="5"/>
      <c r="S13" s="13"/>
      <c r="T13" s="13"/>
      <c r="U13" s="5"/>
      <c r="V13" s="5"/>
    </row>
    <row r="14">
      <c r="A14" s="16" t="s">
        <v>20</v>
      </c>
      <c r="B14" s="9">
        <v>45395.0</v>
      </c>
      <c r="C14" s="10">
        <v>60000.0</v>
      </c>
      <c r="D14" s="10">
        <v>30000.0</v>
      </c>
      <c r="E14" s="11"/>
      <c r="F14" s="11"/>
      <c r="G14" s="11"/>
      <c r="H14" s="11"/>
      <c r="I14" s="17">
        <v>0.0</v>
      </c>
      <c r="J14" s="13"/>
      <c r="K14" s="14"/>
      <c r="L14" s="18">
        <v>60000.0</v>
      </c>
      <c r="M14" s="38">
        <v>330000.0</v>
      </c>
      <c r="N14" s="37"/>
      <c r="O14" s="5"/>
      <c r="P14" s="39" t="s">
        <v>28</v>
      </c>
      <c r="Q14" s="5"/>
      <c r="R14" s="5"/>
      <c r="S14" s="13"/>
      <c r="T14" s="13"/>
      <c r="U14" s="5"/>
      <c r="V14" s="5"/>
    </row>
    <row r="15">
      <c r="A15" s="16" t="s">
        <v>21</v>
      </c>
      <c r="B15" s="9">
        <v>45396.0</v>
      </c>
      <c r="C15" s="10">
        <v>80000.0</v>
      </c>
      <c r="D15" s="10">
        <v>40000.0</v>
      </c>
      <c r="E15" s="11"/>
      <c r="F15" s="11"/>
      <c r="G15" s="11"/>
      <c r="H15" s="11"/>
      <c r="I15" s="17">
        <v>1.0</v>
      </c>
      <c r="J15" s="13"/>
      <c r="K15" s="14"/>
      <c r="L15" s="18">
        <v>80000.0</v>
      </c>
      <c r="M15" s="23"/>
      <c r="N15" s="23"/>
      <c r="O15" s="13"/>
      <c r="P15" s="40" t="s">
        <v>29</v>
      </c>
      <c r="Q15" s="5"/>
      <c r="R15" s="5"/>
      <c r="S15" s="13"/>
      <c r="T15" s="41"/>
      <c r="U15" s="5"/>
      <c r="V15" s="5"/>
    </row>
    <row r="16">
      <c r="A16" s="16" t="s">
        <v>9</v>
      </c>
      <c r="B16" s="9">
        <v>45397.0</v>
      </c>
      <c r="C16" s="10">
        <v>52000.0</v>
      </c>
      <c r="D16" s="10">
        <v>45000.0</v>
      </c>
      <c r="E16" s="11"/>
      <c r="F16" s="11"/>
      <c r="G16" s="11"/>
      <c r="H16" s="11"/>
      <c r="I16" s="17">
        <v>1.0</v>
      </c>
      <c r="J16" s="13"/>
      <c r="K16" s="14"/>
      <c r="L16" s="30">
        <v>52000.0</v>
      </c>
      <c r="M16" s="23"/>
      <c r="N16" s="23"/>
      <c r="O16" s="42">
        <v>853000.0</v>
      </c>
      <c r="P16" s="40" t="s">
        <v>30</v>
      </c>
      <c r="Q16" s="5"/>
      <c r="R16" s="5"/>
      <c r="S16" s="13"/>
      <c r="T16" s="41"/>
      <c r="U16" s="5"/>
      <c r="V16" s="5"/>
    </row>
    <row r="17">
      <c r="A17" s="16" t="s">
        <v>10</v>
      </c>
      <c r="B17" s="9">
        <v>45398.0</v>
      </c>
      <c r="C17" s="10">
        <v>54000.0</v>
      </c>
      <c r="D17" s="10">
        <v>45000.0</v>
      </c>
      <c r="E17" s="11"/>
      <c r="F17" s="11"/>
      <c r="G17" s="11"/>
      <c r="H17" s="11"/>
      <c r="I17" s="17">
        <v>1.0</v>
      </c>
      <c r="J17" s="13"/>
      <c r="K17" s="14"/>
      <c r="L17" s="18">
        <v>54000.0</v>
      </c>
      <c r="M17" s="41"/>
      <c r="N17" s="23"/>
      <c r="O17" s="23"/>
      <c r="P17" s="39" t="s">
        <v>31</v>
      </c>
      <c r="Q17" s="5"/>
      <c r="R17" s="5"/>
      <c r="S17" s="13"/>
      <c r="T17" s="41"/>
      <c r="U17" s="5"/>
      <c r="V17" s="5"/>
    </row>
    <row r="18">
      <c r="A18" s="16" t="s">
        <v>15</v>
      </c>
      <c r="B18" s="9">
        <v>45399.0</v>
      </c>
      <c r="C18" s="10">
        <v>52000.0</v>
      </c>
      <c r="D18" s="10">
        <v>49000.0</v>
      </c>
      <c r="E18" s="11"/>
      <c r="F18" s="11"/>
      <c r="G18" s="11"/>
      <c r="H18" s="11"/>
      <c r="I18" s="17">
        <v>1.0</v>
      </c>
      <c r="J18" s="13"/>
      <c r="K18" s="14"/>
      <c r="L18" s="18">
        <v>52000.0</v>
      </c>
      <c r="M18" s="43"/>
      <c r="N18" s="23"/>
      <c r="O18" s="44" t="s">
        <v>32</v>
      </c>
      <c r="P18" s="36"/>
      <c r="Q18" s="5"/>
      <c r="R18" s="5"/>
      <c r="S18" s="13"/>
      <c r="T18" s="41"/>
      <c r="U18" s="5"/>
      <c r="V18" s="5"/>
    </row>
    <row r="19">
      <c r="A19" s="16" t="s">
        <v>16</v>
      </c>
      <c r="B19" s="9">
        <v>45400.0</v>
      </c>
      <c r="C19" s="10">
        <v>50000.0</v>
      </c>
      <c r="D19" s="10">
        <v>85000.0</v>
      </c>
      <c r="E19" s="11"/>
      <c r="F19" s="11"/>
      <c r="G19" s="11"/>
      <c r="H19" s="11"/>
      <c r="I19" s="17">
        <v>1.0</v>
      </c>
      <c r="J19" s="13"/>
      <c r="K19" s="14"/>
      <c r="L19" s="18">
        <v>50000.0</v>
      </c>
      <c r="M19" s="45" t="s">
        <v>33</v>
      </c>
      <c r="N19" s="23"/>
      <c r="O19" s="23"/>
      <c r="P19" s="46" t="s">
        <v>34</v>
      </c>
      <c r="Q19" s="5"/>
      <c r="R19" s="5"/>
      <c r="S19" s="13"/>
      <c r="T19" s="41"/>
      <c r="U19" s="5"/>
      <c r="V19" s="5"/>
    </row>
    <row r="20">
      <c r="A20" s="26" t="s">
        <v>17</v>
      </c>
      <c r="B20" s="9">
        <v>45401.0</v>
      </c>
      <c r="C20" s="10">
        <v>50000.0</v>
      </c>
      <c r="D20" s="10">
        <v>40000.0</v>
      </c>
      <c r="E20" s="11"/>
      <c r="F20" s="11"/>
      <c r="G20" s="11"/>
      <c r="H20" s="11"/>
      <c r="I20" s="17">
        <v>1.0</v>
      </c>
      <c r="J20" s="13"/>
      <c r="K20" s="14"/>
      <c r="L20" s="18">
        <v>50000.0</v>
      </c>
      <c r="M20" s="34">
        <f>D32-C32</f>
        <v>12000</v>
      </c>
      <c r="N20" s="23"/>
      <c r="O20" s="5"/>
      <c r="P20" s="41"/>
      <c r="Q20" s="5"/>
      <c r="R20" s="5"/>
      <c r="S20" s="13"/>
      <c r="T20" s="41"/>
      <c r="U20" s="5"/>
      <c r="V20" s="5"/>
    </row>
    <row r="21">
      <c r="A21" s="16" t="s">
        <v>20</v>
      </c>
      <c r="B21" s="9">
        <v>45402.0</v>
      </c>
      <c r="C21" s="10">
        <v>54000.0</v>
      </c>
      <c r="D21" s="10">
        <v>42000.0</v>
      </c>
      <c r="E21" s="11"/>
      <c r="F21" s="11"/>
      <c r="G21" s="11"/>
      <c r="H21" s="11"/>
      <c r="I21" s="17">
        <v>1.0</v>
      </c>
      <c r="J21" s="13"/>
      <c r="K21" s="14"/>
      <c r="L21" s="18">
        <v>54000.0</v>
      </c>
      <c r="M21" s="47" t="s">
        <v>35</v>
      </c>
      <c r="N21" s="48"/>
      <c r="O21" s="49" t="s">
        <v>36</v>
      </c>
      <c r="P21" s="49">
        <v>1.0</v>
      </c>
      <c r="Q21" s="34">
        <v>8800.0</v>
      </c>
      <c r="R21" s="34">
        <f>P21*Q21</f>
        <v>8800</v>
      </c>
      <c r="S21" s="13"/>
      <c r="T21" s="41"/>
      <c r="U21" s="5"/>
      <c r="V21" s="5"/>
    </row>
    <row r="22">
      <c r="A22" s="16" t="s">
        <v>21</v>
      </c>
      <c r="B22" s="9">
        <v>45403.0</v>
      </c>
      <c r="C22" s="10">
        <v>70000.0</v>
      </c>
      <c r="D22" s="10">
        <v>43000.0</v>
      </c>
      <c r="E22" s="11"/>
      <c r="F22" s="11"/>
      <c r="G22" s="11"/>
      <c r="H22" s="11"/>
      <c r="I22" s="17">
        <v>1.0</v>
      </c>
      <c r="J22" s="13"/>
      <c r="K22" s="14"/>
      <c r="L22" s="18">
        <v>70000.0</v>
      </c>
      <c r="M22" s="29">
        <f>K35-E35</f>
        <v>0</v>
      </c>
      <c r="N22" s="48"/>
      <c r="O22" s="49" t="s">
        <v>37</v>
      </c>
      <c r="P22" s="49">
        <v>4.0</v>
      </c>
      <c r="Q22" s="34">
        <v>400.0</v>
      </c>
      <c r="R22" s="34">
        <v>600.0</v>
      </c>
      <c r="S22" s="13"/>
      <c r="T22" s="41"/>
      <c r="U22" s="5"/>
      <c r="V22" s="5"/>
    </row>
    <row r="23">
      <c r="A23" s="16" t="s">
        <v>9</v>
      </c>
      <c r="B23" s="9">
        <v>45404.0</v>
      </c>
      <c r="C23" s="10">
        <v>76000.0</v>
      </c>
      <c r="D23" s="10">
        <v>60000.0</v>
      </c>
      <c r="E23" s="11"/>
      <c r="F23" s="11"/>
      <c r="G23" s="11"/>
      <c r="H23" s="11"/>
      <c r="I23" s="17">
        <v>1.0</v>
      </c>
      <c r="J23" s="13"/>
      <c r="K23" s="14"/>
      <c r="L23" s="30">
        <v>76000.0</v>
      </c>
      <c r="M23" s="50" t="s">
        <v>38</v>
      </c>
      <c r="N23" s="48"/>
      <c r="O23" s="49" t="s">
        <v>39</v>
      </c>
      <c r="P23" s="49">
        <v>1.0</v>
      </c>
      <c r="Q23" s="34">
        <v>2800.0</v>
      </c>
      <c r="R23" s="34">
        <f>P23*Q23</f>
        <v>2800</v>
      </c>
      <c r="S23" s="13"/>
      <c r="T23" s="41"/>
      <c r="U23" s="5"/>
      <c r="V23" s="5"/>
    </row>
    <row r="24">
      <c r="A24" s="16" t="s">
        <v>10</v>
      </c>
      <c r="B24" s="9">
        <v>45405.0</v>
      </c>
      <c r="C24" s="10">
        <v>63000.0</v>
      </c>
      <c r="D24" s="10">
        <v>54000.0</v>
      </c>
      <c r="E24" s="11"/>
      <c r="F24" s="11"/>
      <c r="G24" s="11"/>
      <c r="H24" s="11"/>
      <c r="I24" s="17">
        <v>1.0</v>
      </c>
      <c r="J24" s="13"/>
      <c r="K24" s="14"/>
      <c r="L24" s="18">
        <v>63000.0</v>
      </c>
      <c r="M24" s="51">
        <f>D32-C32</f>
        <v>12000</v>
      </c>
      <c r="N24" s="23"/>
      <c r="O24" s="5"/>
      <c r="P24" s="41"/>
      <c r="Q24" s="5"/>
      <c r="R24" s="52">
        <f>SUM(R21:R23)</f>
        <v>12200</v>
      </c>
      <c r="S24" s="13"/>
      <c r="T24" s="13"/>
      <c r="U24" s="5"/>
      <c r="V24" s="5"/>
    </row>
    <row r="25">
      <c r="A25" s="16" t="s">
        <v>15</v>
      </c>
      <c r="B25" s="9">
        <v>45406.0</v>
      </c>
      <c r="C25" s="10">
        <v>90000.0</v>
      </c>
      <c r="D25" s="10">
        <v>65000.0</v>
      </c>
      <c r="E25" s="11"/>
      <c r="F25" s="11"/>
      <c r="G25" s="11"/>
      <c r="H25" s="11"/>
      <c r="I25" s="17">
        <v>1.0</v>
      </c>
      <c r="J25" s="13"/>
      <c r="K25" s="14"/>
      <c r="L25" s="18">
        <v>90000.0</v>
      </c>
      <c r="M25" s="32" t="s">
        <v>40</v>
      </c>
      <c r="N25" s="23"/>
      <c r="O25" s="5"/>
      <c r="P25" s="23"/>
      <c r="Q25" s="5"/>
      <c r="R25" s="5"/>
      <c r="S25" s="13"/>
      <c r="T25" s="13"/>
      <c r="U25" s="5"/>
      <c r="V25" s="5"/>
    </row>
    <row r="26">
      <c r="A26" s="16" t="s">
        <v>16</v>
      </c>
      <c r="B26" s="9">
        <v>45407.0</v>
      </c>
      <c r="C26" s="10">
        <v>66000.0</v>
      </c>
      <c r="D26" s="10">
        <v>92000.0</v>
      </c>
      <c r="E26" s="11"/>
      <c r="F26" s="11"/>
      <c r="G26" s="11"/>
      <c r="H26" s="11"/>
      <c r="I26" s="17">
        <v>1.0</v>
      </c>
      <c r="J26" s="13"/>
      <c r="K26" s="14"/>
      <c r="L26" s="18">
        <v>66000.0</v>
      </c>
      <c r="M26" s="29">
        <f>D2+D9+D16+D23+D30</f>
        <v>459000</v>
      </c>
      <c r="N26" s="5"/>
      <c r="O26" s="5"/>
      <c r="P26" s="23"/>
      <c r="Q26" s="5"/>
      <c r="R26" s="5"/>
      <c r="S26" s="5"/>
      <c r="T26" s="5"/>
      <c r="U26" s="5"/>
      <c r="V26" s="5"/>
    </row>
    <row r="27">
      <c r="A27" s="26" t="s">
        <v>17</v>
      </c>
      <c r="B27" s="9">
        <v>45408.0</v>
      </c>
      <c r="C27" s="10">
        <v>83000.0</v>
      </c>
      <c r="D27" s="10">
        <v>26000.0</v>
      </c>
      <c r="E27" s="11"/>
      <c r="F27" s="11"/>
      <c r="G27" s="11"/>
      <c r="H27" s="11"/>
      <c r="I27" s="17">
        <v>1.0</v>
      </c>
      <c r="J27" s="13"/>
      <c r="K27" s="14"/>
      <c r="L27" s="18">
        <v>83000.0</v>
      </c>
      <c r="M27" s="37"/>
      <c r="N27" s="5"/>
      <c r="O27" s="5"/>
      <c r="P27" s="23"/>
      <c r="Q27" s="5"/>
      <c r="R27" s="5"/>
      <c r="S27" s="5"/>
      <c r="T27" s="5"/>
      <c r="U27" s="5"/>
      <c r="V27" s="5"/>
    </row>
    <row r="28">
      <c r="A28" s="16" t="s">
        <v>20</v>
      </c>
      <c r="B28" s="9">
        <v>45409.0</v>
      </c>
      <c r="C28" s="10">
        <v>52000.0</v>
      </c>
      <c r="D28" s="10">
        <v>41000.0</v>
      </c>
      <c r="E28" s="11"/>
      <c r="F28" s="11"/>
      <c r="G28" s="11"/>
      <c r="H28" s="11"/>
      <c r="I28" s="17">
        <v>1.0</v>
      </c>
      <c r="J28" s="13"/>
      <c r="K28" s="14"/>
      <c r="L28" s="18">
        <v>52000.0</v>
      </c>
      <c r="M28" s="53"/>
      <c r="N28" s="5"/>
      <c r="O28" s="23"/>
      <c r="P28" s="23"/>
      <c r="Q28" s="5"/>
      <c r="R28" s="5"/>
      <c r="S28" s="5"/>
      <c r="T28" s="5"/>
      <c r="U28" s="5"/>
      <c r="V28" s="5"/>
    </row>
    <row r="29">
      <c r="A29" s="16" t="s">
        <v>21</v>
      </c>
      <c r="B29" s="9">
        <v>45410.0</v>
      </c>
      <c r="C29" s="10">
        <v>72000.0</v>
      </c>
      <c r="D29" s="10">
        <v>38000.0</v>
      </c>
      <c r="E29" s="11"/>
      <c r="F29" s="11"/>
      <c r="G29" s="11"/>
      <c r="H29" s="11"/>
      <c r="I29" s="17">
        <v>1.0</v>
      </c>
      <c r="J29" s="13"/>
      <c r="K29" s="14"/>
      <c r="L29" s="18">
        <v>72000.0</v>
      </c>
      <c r="M29" s="37"/>
      <c r="N29" s="23"/>
      <c r="O29" s="23"/>
      <c r="P29" s="5"/>
      <c r="Q29" s="5"/>
      <c r="R29" s="5"/>
      <c r="S29" s="5"/>
      <c r="T29" s="5"/>
      <c r="U29" s="5"/>
      <c r="V29" s="5"/>
    </row>
    <row r="30">
      <c r="A30" s="54" t="s">
        <v>9</v>
      </c>
      <c r="B30" s="9">
        <v>45411.0</v>
      </c>
      <c r="C30" s="10">
        <v>41000.0</v>
      </c>
      <c r="D30" s="10">
        <v>40000.0</v>
      </c>
      <c r="E30" s="11"/>
      <c r="F30" s="11"/>
      <c r="G30" s="11"/>
      <c r="H30" s="11"/>
      <c r="I30" s="17">
        <v>1.0</v>
      </c>
      <c r="J30" s="13"/>
      <c r="K30" s="14"/>
      <c r="L30" s="30">
        <v>41000.0</v>
      </c>
      <c r="M30" s="55"/>
      <c r="N30" s="5"/>
      <c r="O30" s="23"/>
      <c r="P30" s="5"/>
      <c r="Q30" s="5"/>
      <c r="R30" s="5"/>
      <c r="S30" s="5"/>
      <c r="T30" s="5"/>
      <c r="U30" s="5"/>
      <c r="V30" s="5"/>
    </row>
    <row r="31">
      <c r="A31" s="54" t="s">
        <v>10</v>
      </c>
      <c r="B31" s="9">
        <v>45412.0</v>
      </c>
      <c r="C31" s="10">
        <v>70000.0</v>
      </c>
      <c r="D31" s="10">
        <v>46000.0</v>
      </c>
      <c r="E31" s="11"/>
      <c r="F31" s="11"/>
      <c r="G31" s="11"/>
      <c r="H31" s="11"/>
      <c r="I31" s="17">
        <v>1.0</v>
      </c>
      <c r="J31" s="13"/>
      <c r="K31" s="14"/>
      <c r="L31" s="18">
        <v>70000.0</v>
      </c>
      <c r="M31" s="37"/>
      <c r="N31" s="5"/>
      <c r="O31" s="23"/>
      <c r="P31" s="5"/>
      <c r="Q31" s="5"/>
      <c r="R31" s="5"/>
      <c r="S31" s="5"/>
      <c r="T31" s="5"/>
      <c r="U31" s="5"/>
      <c r="V31" s="5"/>
    </row>
    <row r="32">
      <c r="A32" s="56"/>
      <c r="B32" s="57"/>
      <c r="C32" s="58">
        <f t="shared" ref="C32:D32" si="1">SUM(C2:C31)</f>
        <v>1898000</v>
      </c>
      <c r="D32" s="59">
        <f t="shared" si="1"/>
        <v>1910000</v>
      </c>
      <c r="E32" s="58">
        <f>'Les Charges '!G345</f>
        <v>744367</v>
      </c>
      <c r="F32" s="58">
        <f>Salaires!L31</f>
        <v>345362.1715</v>
      </c>
      <c r="G32" s="58">
        <v>140000.0</v>
      </c>
      <c r="H32" s="58">
        <f>D32-E32-F32-G32</f>
        <v>680270.8285</v>
      </c>
      <c r="I32" s="60">
        <f>SUM(I2:I31)</f>
        <v>25</v>
      </c>
      <c r="J32" s="5"/>
      <c r="K32" s="14"/>
      <c r="L32" s="61">
        <f>SUM(L2:L31)</f>
        <v>1898000</v>
      </c>
      <c r="M32" s="37"/>
      <c r="N32" s="23"/>
      <c r="O32" s="23"/>
      <c r="P32" s="5"/>
      <c r="Q32" s="5"/>
      <c r="R32" s="5"/>
      <c r="S32" s="5"/>
      <c r="T32" s="5"/>
      <c r="U32" s="5"/>
      <c r="V32" s="5"/>
    </row>
    <row r="33">
      <c r="A33" s="5"/>
      <c r="B33" s="62"/>
      <c r="C33" s="23"/>
      <c r="D33" s="43"/>
      <c r="E33" s="63"/>
      <c r="F33" s="63"/>
      <c r="G33" s="63"/>
      <c r="H33" s="63"/>
      <c r="I33" s="63"/>
      <c r="J33" s="5"/>
      <c r="K33" s="23"/>
      <c r="L33" s="23"/>
      <c r="M33" s="37"/>
      <c r="N33" s="23"/>
      <c r="O33" s="23"/>
      <c r="P33" s="5"/>
      <c r="Q33" s="5"/>
      <c r="R33" s="5"/>
      <c r="S33" s="5"/>
      <c r="T33" s="5"/>
      <c r="U33" s="5"/>
      <c r="V33" s="5"/>
    </row>
    <row r="34">
      <c r="A34" s="5"/>
      <c r="B34" s="62"/>
      <c r="C34" s="48"/>
      <c r="D34" s="64">
        <v>2274000.0</v>
      </c>
      <c r="E34" s="64">
        <v>914000.0</v>
      </c>
      <c r="F34" s="64">
        <v>410000.0</v>
      </c>
      <c r="G34" s="64">
        <v>140000.0</v>
      </c>
      <c r="H34" s="64">
        <v>810000.0</v>
      </c>
      <c r="I34" s="37"/>
      <c r="J34" s="5"/>
      <c r="K34" s="23"/>
      <c r="L34" s="23"/>
      <c r="M34" s="29">
        <f>M11-M29-M33</f>
        <v>1097633</v>
      </c>
      <c r="N34" s="5"/>
      <c r="O34" s="23"/>
      <c r="P34" s="5"/>
      <c r="Q34" s="5"/>
      <c r="R34" s="5"/>
      <c r="S34" s="5"/>
      <c r="T34" s="5"/>
      <c r="U34" s="5"/>
      <c r="V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2.88"/>
    <col customWidth="1" min="3" max="3" width="19.88"/>
    <col customWidth="1" min="4" max="4" width="19.13"/>
    <col customWidth="1" min="5" max="5" width="39.13"/>
    <col customWidth="1" min="6" max="6" width="18.63"/>
    <col customWidth="1" min="7" max="7" width="35.88"/>
    <col customWidth="1" min="8" max="8" width="18.88"/>
    <col customWidth="1" min="9" max="11" width="19.63"/>
    <col customWidth="1" min="12" max="12" width="19.13"/>
    <col customWidth="1" min="13" max="13" width="18.63"/>
    <col customWidth="1" min="14" max="17" width="19.13"/>
    <col customWidth="1" min="18" max="18" width="18.88"/>
    <col customWidth="1" min="19" max="19" width="99.38"/>
  </cols>
  <sheetData>
    <row r="1">
      <c r="A1" s="1"/>
      <c r="B1" s="2" t="s">
        <v>0</v>
      </c>
      <c r="C1" s="65" t="s">
        <v>41</v>
      </c>
      <c r="D1" s="66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67" t="s">
        <v>50</v>
      </c>
      <c r="M1" s="4" t="s">
        <v>51</v>
      </c>
      <c r="N1" s="68" t="s">
        <v>52</v>
      </c>
      <c r="O1" s="68" t="s">
        <v>52</v>
      </c>
      <c r="P1" s="68" t="s">
        <v>53</v>
      </c>
      <c r="Q1" s="69" t="s">
        <v>54</v>
      </c>
      <c r="R1" s="69" t="s">
        <v>55</v>
      </c>
      <c r="S1" s="70"/>
      <c r="T1" s="5"/>
      <c r="U1" s="5"/>
    </row>
    <row r="2">
      <c r="A2" s="8" t="s">
        <v>9</v>
      </c>
      <c r="B2" s="9">
        <v>45383.0</v>
      </c>
      <c r="C2" s="54">
        <v>1.0</v>
      </c>
      <c r="D2" s="17">
        <v>1.0</v>
      </c>
      <c r="E2" s="17">
        <v>0.0</v>
      </c>
      <c r="F2" s="17">
        <v>0.0</v>
      </c>
      <c r="G2" s="17">
        <v>0.0</v>
      </c>
      <c r="H2" s="17">
        <v>2.0</v>
      </c>
      <c r="I2" s="17">
        <v>1.0</v>
      </c>
      <c r="J2" s="17">
        <v>1.0</v>
      </c>
      <c r="K2" s="17">
        <v>1.0</v>
      </c>
      <c r="L2" s="17">
        <v>1.0</v>
      </c>
      <c r="M2" s="17">
        <v>1.5</v>
      </c>
      <c r="N2" s="17">
        <v>0.0</v>
      </c>
      <c r="O2" s="17">
        <v>0.0</v>
      </c>
      <c r="P2" s="17">
        <v>0.0</v>
      </c>
      <c r="Q2" s="17">
        <v>1.0</v>
      </c>
      <c r="R2" s="17">
        <v>1.0</v>
      </c>
      <c r="S2" s="71" t="s">
        <v>56</v>
      </c>
      <c r="T2" s="5"/>
      <c r="U2" s="5"/>
    </row>
    <row r="3">
      <c r="A3" s="16" t="s">
        <v>10</v>
      </c>
      <c r="B3" s="9">
        <v>45384.0</v>
      </c>
      <c r="C3" s="54">
        <v>2.0</v>
      </c>
      <c r="D3" s="17">
        <v>1.0</v>
      </c>
      <c r="E3" s="17">
        <v>1.0</v>
      </c>
      <c r="F3" s="17">
        <v>0.0</v>
      </c>
      <c r="G3" s="17">
        <v>0.0</v>
      </c>
      <c r="H3" s="17">
        <v>2.0</v>
      </c>
      <c r="I3" s="17">
        <v>1.0</v>
      </c>
      <c r="J3" s="17">
        <v>1.0</v>
      </c>
      <c r="K3" s="17">
        <v>1.0</v>
      </c>
      <c r="L3" s="17">
        <v>0.0</v>
      </c>
      <c r="M3" s="17">
        <v>1.5</v>
      </c>
      <c r="N3" s="17">
        <v>1.0</v>
      </c>
      <c r="O3" s="17">
        <v>1.0</v>
      </c>
      <c r="P3" s="17">
        <v>0.0</v>
      </c>
      <c r="Q3" s="17">
        <v>1.0</v>
      </c>
      <c r="R3" s="17">
        <v>1.0</v>
      </c>
      <c r="S3" s="72" t="s">
        <v>57</v>
      </c>
      <c r="T3" s="5"/>
      <c r="U3" s="5"/>
    </row>
    <row r="4">
      <c r="A4" s="16" t="s">
        <v>15</v>
      </c>
      <c r="B4" s="9">
        <v>45385.0</v>
      </c>
      <c r="C4" s="54">
        <v>1.0</v>
      </c>
      <c r="D4" s="17">
        <v>1.0</v>
      </c>
      <c r="E4" s="17">
        <v>1.0</v>
      </c>
      <c r="F4" s="17">
        <v>1.5</v>
      </c>
      <c r="G4" s="17">
        <v>1.5</v>
      </c>
      <c r="H4" s="17">
        <v>1.0</v>
      </c>
      <c r="I4" s="17">
        <v>1.0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0.0</v>
      </c>
      <c r="Q4" s="17">
        <v>1.5</v>
      </c>
      <c r="R4" s="17">
        <v>1.0</v>
      </c>
      <c r="S4" s="73" t="s">
        <v>58</v>
      </c>
      <c r="T4" s="5"/>
      <c r="U4" s="5"/>
    </row>
    <row r="5">
      <c r="A5" s="16" t="s">
        <v>16</v>
      </c>
      <c r="B5" s="9">
        <v>45386.0</v>
      </c>
      <c r="C5" s="54">
        <v>2.0</v>
      </c>
      <c r="D5" s="17">
        <v>1.0</v>
      </c>
      <c r="E5" s="17">
        <v>1.0</v>
      </c>
      <c r="F5" s="17">
        <v>1.25</v>
      </c>
      <c r="G5" s="17">
        <v>1.25</v>
      </c>
      <c r="H5" s="17">
        <v>1.0</v>
      </c>
      <c r="I5" s="17">
        <v>1.0</v>
      </c>
      <c r="J5" s="17">
        <v>1.0</v>
      </c>
      <c r="K5" s="17">
        <v>1.0</v>
      </c>
      <c r="L5" s="17">
        <v>0.0</v>
      </c>
      <c r="M5" s="17">
        <v>1.0</v>
      </c>
      <c r="N5" s="17">
        <v>1.0</v>
      </c>
      <c r="O5" s="17">
        <v>1.0</v>
      </c>
      <c r="P5" s="17">
        <v>0.0</v>
      </c>
      <c r="Q5" s="17">
        <v>2.0</v>
      </c>
      <c r="R5" s="17">
        <v>0.0</v>
      </c>
      <c r="S5" s="74"/>
      <c r="T5" s="5"/>
      <c r="U5" s="5"/>
    </row>
    <row r="6">
      <c r="A6" s="75" t="s">
        <v>17</v>
      </c>
      <c r="B6" s="76">
        <v>45387.0</v>
      </c>
      <c r="C6" s="77">
        <v>1.0</v>
      </c>
      <c r="D6" s="78">
        <v>1.0</v>
      </c>
      <c r="E6" s="78">
        <v>2.0</v>
      </c>
      <c r="F6" s="78">
        <v>1.25</v>
      </c>
      <c r="G6" s="78">
        <v>1.0</v>
      </c>
      <c r="H6" s="78">
        <v>1.0</v>
      </c>
      <c r="I6" s="78">
        <v>1.0</v>
      </c>
      <c r="J6" s="78">
        <v>1.0</v>
      </c>
      <c r="K6" s="78">
        <v>1.0</v>
      </c>
      <c r="L6" s="78">
        <v>0.0</v>
      </c>
      <c r="M6" s="79">
        <v>0.0</v>
      </c>
      <c r="N6" s="78">
        <v>1.0</v>
      </c>
      <c r="O6" s="78">
        <v>1.0</v>
      </c>
      <c r="P6" s="78">
        <v>0.0</v>
      </c>
      <c r="Q6" s="78">
        <v>1.5</v>
      </c>
      <c r="R6" s="78">
        <v>1.0</v>
      </c>
      <c r="S6" s="74"/>
      <c r="T6" s="5"/>
      <c r="U6" s="5"/>
    </row>
    <row r="7">
      <c r="A7" s="16" t="s">
        <v>20</v>
      </c>
      <c r="B7" s="9">
        <v>45388.0</v>
      </c>
      <c r="C7" s="54">
        <v>2.0</v>
      </c>
      <c r="D7" s="17">
        <v>1.0</v>
      </c>
      <c r="E7" s="17">
        <v>1.0</v>
      </c>
      <c r="F7" s="17">
        <v>0.0</v>
      </c>
      <c r="G7" s="17">
        <v>1.0</v>
      </c>
      <c r="H7" s="17">
        <v>2.0</v>
      </c>
      <c r="I7" s="17">
        <v>1.0</v>
      </c>
      <c r="J7" s="17">
        <v>1.0</v>
      </c>
      <c r="K7" s="17">
        <v>1.0</v>
      </c>
      <c r="L7" s="17">
        <v>0.0</v>
      </c>
      <c r="M7" s="79">
        <v>0.0</v>
      </c>
      <c r="N7" s="17">
        <v>1.0</v>
      </c>
      <c r="O7" s="17">
        <v>1.0</v>
      </c>
      <c r="P7" s="17">
        <v>0.0</v>
      </c>
      <c r="Q7" s="17">
        <v>1.5</v>
      </c>
      <c r="R7" s="17">
        <v>1.0</v>
      </c>
      <c r="S7" s="74"/>
      <c r="T7" s="5"/>
      <c r="U7" s="5"/>
    </row>
    <row r="8">
      <c r="A8" s="16" t="s">
        <v>21</v>
      </c>
      <c r="B8" s="9">
        <v>45389.0</v>
      </c>
      <c r="C8" s="54">
        <v>2.0</v>
      </c>
      <c r="D8" s="17">
        <v>1.0</v>
      </c>
      <c r="E8" s="17">
        <v>2.0</v>
      </c>
      <c r="F8" s="17">
        <v>0.0</v>
      </c>
      <c r="G8" s="17">
        <v>1.0</v>
      </c>
      <c r="H8" s="17">
        <v>1.0</v>
      </c>
      <c r="I8" s="17">
        <v>1.0</v>
      </c>
      <c r="J8" s="17">
        <v>1.0</v>
      </c>
      <c r="K8" s="17">
        <v>1.0</v>
      </c>
      <c r="L8" s="17">
        <v>0.0</v>
      </c>
      <c r="M8" s="79">
        <v>0.0</v>
      </c>
      <c r="N8" s="17">
        <v>1.0</v>
      </c>
      <c r="O8" s="17">
        <v>1.0</v>
      </c>
      <c r="P8" s="17">
        <v>0.0</v>
      </c>
      <c r="Q8" s="17">
        <v>1.0</v>
      </c>
      <c r="R8" s="17">
        <v>1.0</v>
      </c>
      <c r="S8" s="74"/>
      <c r="T8" s="5"/>
      <c r="U8" s="5"/>
    </row>
    <row r="9">
      <c r="A9" s="16" t="s">
        <v>9</v>
      </c>
      <c r="B9" s="9">
        <v>45390.0</v>
      </c>
      <c r="C9" s="54">
        <v>0.0</v>
      </c>
      <c r="D9" s="17">
        <v>0.0</v>
      </c>
      <c r="E9" s="17">
        <v>0.0</v>
      </c>
      <c r="F9" s="17">
        <v>0.0</v>
      </c>
      <c r="G9" s="17">
        <v>0.0</v>
      </c>
      <c r="H9" s="17">
        <v>0.0</v>
      </c>
      <c r="I9" s="17">
        <v>0.0</v>
      </c>
      <c r="J9" s="17">
        <v>1.0</v>
      </c>
      <c r="K9" s="17">
        <v>0.0</v>
      </c>
      <c r="L9" s="17">
        <v>0.0</v>
      </c>
      <c r="M9" s="79">
        <v>0.0</v>
      </c>
      <c r="N9" s="17">
        <v>0.0</v>
      </c>
      <c r="O9" s="17">
        <v>0.0</v>
      </c>
      <c r="P9" s="17">
        <v>0.0</v>
      </c>
      <c r="Q9" s="17">
        <v>1.0</v>
      </c>
      <c r="R9" s="17">
        <v>0.0</v>
      </c>
      <c r="S9" s="74"/>
      <c r="T9" s="5"/>
      <c r="U9" s="5"/>
    </row>
    <row r="10">
      <c r="A10" s="16" t="s">
        <v>10</v>
      </c>
      <c r="B10" s="9">
        <v>45391.0</v>
      </c>
      <c r="C10" s="54">
        <v>0.0</v>
      </c>
      <c r="D10" s="17">
        <v>0.0</v>
      </c>
      <c r="E10" s="17">
        <v>0.0</v>
      </c>
      <c r="F10" s="17">
        <v>0.0</v>
      </c>
      <c r="G10" s="17">
        <v>0.0</v>
      </c>
      <c r="H10" s="17">
        <v>0.0</v>
      </c>
      <c r="I10" s="17">
        <v>0.0</v>
      </c>
      <c r="J10" s="17">
        <v>0.0</v>
      </c>
      <c r="K10" s="17">
        <v>0.0</v>
      </c>
      <c r="L10" s="17">
        <v>0.0</v>
      </c>
      <c r="M10" s="79">
        <v>0.0</v>
      </c>
      <c r="N10" s="17">
        <v>0.0</v>
      </c>
      <c r="O10" s="17">
        <v>0.0</v>
      </c>
      <c r="P10" s="17">
        <v>0.0</v>
      </c>
      <c r="Q10" s="17">
        <v>0.0</v>
      </c>
      <c r="R10" s="17">
        <v>0.0</v>
      </c>
      <c r="S10" s="74"/>
      <c r="T10" s="5"/>
      <c r="U10" s="5"/>
    </row>
    <row r="11">
      <c r="A11" s="16" t="s">
        <v>15</v>
      </c>
      <c r="B11" s="9">
        <v>45392.0</v>
      </c>
      <c r="C11" s="54">
        <v>0.0</v>
      </c>
      <c r="D11" s="17">
        <v>0.0</v>
      </c>
      <c r="E11" s="17">
        <v>0.0</v>
      </c>
      <c r="F11" s="17">
        <v>0.0</v>
      </c>
      <c r="G11" s="17">
        <v>0.0</v>
      </c>
      <c r="H11" s="17">
        <v>0.0</v>
      </c>
      <c r="I11" s="17">
        <v>0.0</v>
      </c>
      <c r="J11" s="17">
        <v>0.0</v>
      </c>
      <c r="K11" s="17">
        <v>0.0</v>
      </c>
      <c r="L11" s="17">
        <v>0.0</v>
      </c>
      <c r="M11" s="79">
        <v>0.0</v>
      </c>
      <c r="N11" s="17">
        <v>0.0</v>
      </c>
      <c r="O11" s="17">
        <v>0.0</v>
      </c>
      <c r="P11" s="17">
        <v>0.0</v>
      </c>
      <c r="Q11" s="17">
        <v>0.0</v>
      </c>
      <c r="R11" s="17">
        <v>0.0</v>
      </c>
      <c r="S11" s="74"/>
      <c r="T11" s="5"/>
      <c r="U11" s="5"/>
    </row>
    <row r="12">
      <c r="A12" s="16" t="s">
        <v>16</v>
      </c>
      <c r="B12" s="9">
        <v>45393.0</v>
      </c>
      <c r="C12" s="54">
        <v>0.0</v>
      </c>
      <c r="D12" s="17">
        <v>0.0</v>
      </c>
      <c r="E12" s="17">
        <v>0.0</v>
      </c>
      <c r="F12" s="17">
        <v>0.0</v>
      </c>
      <c r="G12" s="17">
        <v>0.0</v>
      </c>
      <c r="H12" s="17">
        <v>0.0</v>
      </c>
      <c r="I12" s="17">
        <v>0.0</v>
      </c>
      <c r="J12" s="17">
        <v>0.0</v>
      </c>
      <c r="K12" s="17">
        <v>0.0</v>
      </c>
      <c r="L12" s="17">
        <v>0.0</v>
      </c>
      <c r="M12" s="79">
        <v>0.0</v>
      </c>
      <c r="N12" s="17">
        <v>0.0</v>
      </c>
      <c r="O12" s="17">
        <v>0.0</v>
      </c>
      <c r="P12" s="17">
        <v>0.0</v>
      </c>
      <c r="Q12" s="17">
        <v>0.0</v>
      </c>
      <c r="R12" s="17">
        <v>0.0</v>
      </c>
      <c r="S12" s="74"/>
      <c r="T12" s="5"/>
      <c r="U12" s="5"/>
    </row>
    <row r="13">
      <c r="A13" s="75" t="s">
        <v>17</v>
      </c>
      <c r="B13" s="76">
        <v>45394.0</v>
      </c>
      <c r="C13" s="77">
        <v>0.0</v>
      </c>
      <c r="D13" s="78">
        <v>0.0</v>
      </c>
      <c r="E13" s="78">
        <v>0.0</v>
      </c>
      <c r="F13" s="78">
        <v>0.0</v>
      </c>
      <c r="G13" s="78">
        <v>0.0</v>
      </c>
      <c r="H13" s="78">
        <v>0.0</v>
      </c>
      <c r="I13" s="78">
        <v>0.0</v>
      </c>
      <c r="J13" s="78">
        <v>0.0</v>
      </c>
      <c r="K13" s="78">
        <v>0.0</v>
      </c>
      <c r="L13" s="78">
        <v>0.0</v>
      </c>
      <c r="M13" s="79">
        <v>0.0</v>
      </c>
      <c r="N13" s="78">
        <v>0.0</v>
      </c>
      <c r="O13" s="78">
        <v>0.0</v>
      </c>
      <c r="P13" s="78">
        <v>0.0</v>
      </c>
      <c r="Q13" s="78">
        <v>0.0</v>
      </c>
      <c r="R13" s="78">
        <v>0.0</v>
      </c>
      <c r="S13" s="74"/>
      <c r="T13" s="5"/>
      <c r="U13" s="5"/>
    </row>
    <row r="14">
      <c r="A14" s="16" t="s">
        <v>20</v>
      </c>
      <c r="B14" s="9">
        <v>45395.0</v>
      </c>
      <c r="C14" s="54">
        <v>0.0</v>
      </c>
      <c r="D14" s="17">
        <v>1.0</v>
      </c>
      <c r="E14" s="17">
        <v>1.0</v>
      </c>
      <c r="F14" s="17">
        <v>0.0</v>
      </c>
      <c r="G14" s="17">
        <v>0.0</v>
      </c>
      <c r="H14" s="17">
        <v>1.0</v>
      </c>
      <c r="I14" s="17">
        <v>0.0</v>
      </c>
      <c r="J14" s="17">
        <v>1.0</v>
      </c>
      <c r="K14" s="17">
        <v>1.0</v>
      </c>
      <c r="L14" s="17">
        <v>1.0</v>
      </c>
      <c r="M14" s="79">
        <v>0.0</v>
      </c>
      <c r="N14" s="17">
        <v>0.5</v>
      </c>
      <c r="O14" s="17">
        <v>0.5</v>
      </c>
      <c r="P14" s="17">
        <v>0.0</v>
      </c>
      <c r="Q14" s="17">
        <v>1.0</v>
      </c>
      <c r="R14" s="17">
        <v>1.0</v>
      </c>
      <c r="S14" s="74"/>
      <c r="T14" s="5"/>
      <c r="U14" s="5"/>
    </row>
    <row r="15">
      <c r="A15" s="16" t="s">
        <v>21</v>
      </c>
      <c r="B15" s="9">
        <v>45396.0</v>
      </c>
      <c r="C15" s="54">
        <v>0.0</v>
      </c>
      <c r="D15" s="17">
        <v>1.0</v>
      </c>
      <c r="E15" s="17">
        <v>1.0</v>
      </c>
      <c r="F15" s="17">
        <v>0.0</v>
      </c>
      <c r="G15" s="17">
        <v>0.0</v>
      </c>
      <c r="H15" s="17">
        <v>1.0</v>
      </c>
      <c r="I15" s="17">
        <v>0.0</v>
      </c>
      <c r="J15" s="17">
        <v>1.0</v>
      </c>
      <c r="K15" s="17">
        <v>1.0</v>
      </c>
      <c r="L15" s="17">
        <v>0.0</v>
      </c>
      <c r="M15" s="79">
        <v>0.0</v>
      </c>
      <c r="N15" s="79">
        <v>0.0</v>
      </c>
      <c r="O15" s="79">
        <v>0.0</v>
      </c>
      <c r="P15" s="17">
        <v>0.0</v>
      </c>
      <c r="Q15" s="17">
        <v>1.0</v>
      </c>
      <c r="R15" s="17">
        <v>1.0</v>
      </c>
      <c r="S15" s="74"/>
      <c r="T15" s="5"/>
      <c r="U15" s="5"/>
    </row>
    <row r="16">
      <c r="A16" s="16" t="s">
        <v>9</v>
      </c>
      <c r="B16" s="9">
        <v>45397.0</v>
      </c>
      <c r="C16" s="80">
        <v>0.0</v>
      </c>
      <c r="D16" s="81">
        <v>1.0</v>
      </c>
      <c r="E16" s="81">
        <v>1.0</v>
      </c>
      <c r="F16" s="81">
        <v>0.0</v>
      </c>
      <c r="G16" s="81">
        <v>0.0</v>
      </c>
      <c r="H16" s="81">
        <v>1.0</v>
      </c>
      <c r="I16" s="81">
        <v>0.0</v>
      </c>
      <c r="J16" s="17">
        <v>1.0</v>
      </c>
      <c r="K16" s="81">
        <v>0.0</v>
      </c>
      <c r="L16" s="17">
        <v>1.0</v>
      </c>
      <c r="M16" s="79">
        <v>0.0</v>
      </c>
      <c r="N16" s="79">
        <v>0.0</v>
      </c>
      <c r="O16" s="79">
        <v>0.0</v>
      </c>
      <c r="P16" s="17">
        <v>0.0</v>
      </c>
      <c r="Q16" s="17">
        <v>0.5</v>
      </c>
      <c r="R16" s="17">
        <v>1.0</v>
      </c>
      <c r="S16" s="82"/>
      <c r="T16" s="5"/>
      <c r="U16" s="5"/>
    </row>
    <row r="17">
      <c r="A17" s="16" t="s">
        <v>10</v>
      </c>
      <c r="B17" s="9">
        <v>45398.0</v>
      </c>
      <c r="C17" s="54">
        <v>0.0</v>
      </c>
      <c r="D17" s="17">
        <v>1.0</v>
      </c>
      <c r="E17" s="17">
        <v>0.0</v>
      </c>
      <c r="F17" s="17">
        <v>0.0</v>
      </c>
      <c r="G17" s="17">
        <v>0.0</v>
      </c>
      <c r="H17" s="17">
        <v>1.0</v>
      </c>
      <c r="I17" s="17">
        <v>1.0</v>
      </c>
      <c r="J17" s="17">
        <v>1.0</v>
      </c>
      <c r="K17" s="17">
        <v>1.0</v>
      </c>
      <c r="L17" s="17">
        <v>0.0</v>
      </c>
      <c r="M17" s="79">
        <v>0.0</v>
      </c>
      <c r="N17" s="79">
        <v>0.0</v>
      </c>
      <c r="O17" s="79">
        <v>0.0</v>
      </c>
      <c r="P17" s="17">
        <v>0.0</v>
      </c>
      <c r="Q17" s="17">
        <v>0.0</v>
      </c>
      <c r="R17" s="17">
        <v>1.0</v>
      </c>
      <c r="S17" s="74"/>
      <c r="T17" s="5"/>
      <c r="U17" s="5"/>
    </row>
    <row r="18">
      <c r="A18" s="16" t="s">
        <v>15</v>
      </c>
      <c r="B18" s="9">
        <v>45399.0</v>
      </c>
      <c r="C18" s="54">
        <v>0.0</v>
      </c>
      <c r="D18" s="17">
        <v>1.0</v>
      </c>
      <c r="E18" s="17">
        <v>1.0</v>
      </c>
      <c r="F18" s="17">
        <v>0.0</v>
      </c>
      <c r="G18" s="17">
        <v>0.0</v>
      </c>
      <c r="H18" s="17">
        <v>1.0</v>
      </c>
      <c r="I18" s="17">
        <v>1.0</v>
      </c>
      <c r="J18" s="17">
        <v>1.0</v>
      </c>
      <c r="K18" s="17">
        <v>0.0</v>
      </c>
      <c r="L18" s="17">
        <v>0.0</v>
      </c>
      <c r="M18" s="79">
        <v>0.0</v>
      </c>
      <c r="N18" s="79">
        <v>0.0</v>
      </c>
      <c r="O18" s="79">
        <v>0.0</v>
      </c>
      <c r="P18" s="17">
        <v>0.0</v>
      </c>
      <c r="Q18" s="17">
        <v>1.0</v>
      </c>
      <c r="R18" s="17">
        <v>0.0</v>
      </c>
      <c r="S18" s="74"/>
      <c r="T18" s="5"/>
      <c r="U18" s="5"/>
    </row>
    <row r="19">
      <c r="A19" s="16" t="s">
        <v>16</v>
      </c>
      <c r="B19" s="9">
        <v>45400.0</v>
      </c>
      <c r="C19" s="54">
        <v>0.0</v>
      </c>
      <c r="D19" s="17">
        <v>1.2</v>
      </c>
      <c r="E19" s="17">
        <v>1.0</v>
      </c>
      <c r="F19" s="17">
        <v>0.0</v>
      </c>
      <c r="G19" s="17">
        <v>0.0</v>
      </c>
      <c r="H19" s="17">
        <v>0.5</v>
      </c>
      <c r="I19" s="17">
        <v>1.2</v>
      </c>
      <c r="J19" s="17">
        <v>1.2</v>
      </c>
      <c r="K19" s="17">
        <v>0.0</v>
      </c>
      <c r="L19" s="17">
        <v>0.0</v>
      </c>
      <c r="M19" s="79">
        <v>0.0</v>
      </c>
      <c r="N19" s="79">
        <v>0.0</v>
      </c>
      <c r="O19" s="79">
        <v>0.0</v>
      </c>
      <c r="P19" s="17">
        <v>1.0</v>
      </c>
      <c r="Q19" s="17">
        <v>1.0</v>
      </c>
      <c r="R19" s="17">
        <v>1.2</v>
      </c>
      <c r="S19" s="74"/>
      <c r="T19" s="5"/>
      <c r="U19" s="5"/>
    </row>
    <row r="20">
      <c r="A20" s="75" t="s">
        <v>17</v>
      </c>
      <c r="B20" s="76">
        <v>45401.0</v>
      </c>
      <c r="C20" s="77">
        <v>0.0</v>
      </c>
      <c r="D20" s="78">
        <v>0.0</v>
      </c>
      <c r="E20" s="78">
        <v>1.0</v>
      </c>
      <c r="F20" s="78">
        <v>0.0</v>
      </c>
      <c r="G20" s="78">
        <v>0.0</v>
      </c>
      <c r="H20" s="78">
        <v>0.0</v>
      </c>
      <c r="I20" s="78">
        <v>0.0</v>
      </c>
      <c r="J20" s="78">
        <v>0.0</v>
      </c>
      <c r="K20" s="78">
        <v>0.0</v>
      </c>
      <c r="L20" s="78">
        <v>0.0</v>
      </c>
      <c r="M20" s="79">
        <v>0.0</v>
      </c>
      <c r="N20" s="79">
        <v>0.0</v>
      </c>
      <c r="O20" s="79">
        <v>0.0</v>
      </c>
      <c r="P20" s="78">
        <v>0.0</v>
      </c>
      <c r="Q20" s="78">
        <v>1.0</v>
      </c>
      <c r="R20" s="78">
        <v>1.0</v>
      </c>
      <c r="S20" s="74"/>
      <c r="T20" s="5"/>
      <c r="U20" s="5"/>
    </row>
    <row r="21">
      <c r="A21" s="16" t="s">
        <v>20</v>
      </c>
      <c r="B21" s="9">
        <v>45402.0</v>
      </c>
      <c r="C21" s="54">
        <v>0.0</v>
      </c>
      <c r="D21" s="17">
        <v>1.0</v>
      </c>
      <c r="E21" s="17">
        <v>1.0</v>
      </c>
      <c r="F21" s="17">
        <v>0.0</v>
      </c>
      <c r="G21" s="17">
        <v>0.0</v>
      </c>
      <c r="H21" s="17">
        <v>0.0</v>
      </c>
      <c r="I21" s="17">
        <v>1.0</v>
      </c>
      <c r="J21" s="17">
        <v>1.0</v>
      </c>
      <c r="K21" s="17">
        <v>0.0</v>
      </c>
      <c r="L21" s="17">
        <v>0.0</v>
      </c>
      <c r="M21" s="79">
        <v>0.0</v>
      </c>
      <c r="N21" s="79">
        <v>0.0</v>
      </c>
      <c r="O21" s="79">
        <v>0.0</v>
      </c>
      <c r="P21" s="17">
        <v>1.0</v>
      </c>
      <c r="Q21" s="17">
        <v>1.0</v>
      </c>
      <c r="R21" s="17">
        <v>1.0</v>
      </c>
      <c r="S21" s="74"/>
      <c r="T21" s="5"/>
      <c r="U21" s="5"/>
    </row>
    <row r="22">
      <c r="A22" s="16" t="s">
        <v>21</v>
      </c>
      <c r="B22" s="9">
        <v>45403.0</v>
      </c>
      <c r="C22" s="54">
        <v>0.0</v>
      </c>
      <c r="D22" s="17">
        <v>1.0</v>
      </c>
      <c r="E22" s="17">
        <v>1.0</v>
      </c>
      <c r="F22" s="17">
        <v>0.0</v>
      </c>
      <c r="G22" s="17">
        <v>0.0</v>
      </c>
      <c r="H22" s="17">
        <v>1.0</v>
      </c>
      <c r="I22" s="17">
        <v>1.0</v>
      </c>
      <c r="J22" s="17">
        <v>1.0</v>
      </c>
      <c r="K22" s="17">
        <v>0.5</v>
      </c>
      <c r="L22" s="17">
        <v>0.0</v>
      </c>
      <c r="M22" s="79">
        <v>0.0</v>
      </c>
      <c r="N22" s="79">
        <v>0.0</v>
      </c>
      <c r="O22" s="79">
        <v>0.0</v>
      </c>
      <c r="P22" s="17">
        <v>1.0</v>
      </c>
      <c r="Q22" s="17">
        <v>1.0</v>
      </c>
      <c r="R22" s="17">
        <v>1.0</v>
      </c>
      <c r="S22" s="74"/>
      <c r="T22" s="5"/>
      <c r="U22" s="5"/>
    </row>
    <row r="23">
      <c r="A23" s="16" t="s">
        <v>9</v>
      </c>
      <c r="B23" s="9">
        <v>45404.0</v>
      </c>
      <c r="C23" s="54">
        <v>0.0</v>
      </c>
      <c r="D23" s="17">
        <v>1.0</v>
      </c>
      <c r="E23" s="17">
        <v>1.0</v>
      </c>
      <c r="F23" s="17">
        <v>0.0</v>
      </c>
      <c r="G23" s="17">
        <v>0.0</v>
      </c>
      <c r="H23" s="17">
        <v>1.0</v>
      </c>
      <c r="I23" s="17">
        <v>0.0</v>
      </c>
      <c r="J23" s="17">
        <v>1.0</v>
      </c>
      <c r="K23" s="17">
        <v>0.5</v>
      </c>
      <c r="L23" s="17">
        <v>1.0</v>
      </c>
      <c r="M23" s="79">
        <v>0.0</v>
      </c>
      <c r="N23" s="79">
        <v>0.0</v>
      </c>
      <c r="O23" s="79">
        <v>0.0</v>
      </c>
      <c r="P23" s="17">
        <v>1.0</v>
      </c>
      <c r="Q23" s="17">
        <v>1.0</v>
      </c>
      <c r="R23" s="17">
        <v>1.0</v>
      </c>
      <c r="S23" s="82"/>
      <c r="T23" s="5"/>
      <c r="U23" s="5"/>
    </row>
    <row r="24">
      <c r="A24" s="16" t="s">
        <v>10</v>
      </c>
      <c r="B24" s="9">
        <v>45405.0</v>
      </c>
      <c r="C24" s="54">
        <v>0.0</v>
      </c>
      <c r="D24" s="17">
        <v>1.0</v>
      </c>
      <c r="E24" s="17">
        <v>1.0</v>
      </c>
      <c r="F24" s="17">
        <v>0.0</v>
      </c>
      <c r="G24" s="17">
        <v>0.0</v>
      </c>
      <c r="H24" s="17">
        <v>0.5</v>
      </c>
      <c r="I24" s="17">
        <v>0.0</v>
      </c>
      <c r="J24" s="17">
        <v>1.0</v>
      </c>
      <c r="K24" s="17">
        <v>0.0</v>
      </c>
      <c r="L24" s="17">
        <v>0.0</v>
      </c>
      <c r="M24" s="79">
        <v>0.0</v>
      </c>
      <c r="N24" s="79">
        <v>0.0</v>
      </c>
      <c r="O24" s="79">
        <v>0.0</v>
      </c>
      <c r="P24" s="17">
        <v>1.0</v>
      </c>
      <c r="Q24" s="17">
        <v>0.0</v>
      </c>
      <c r="R24" s="17">
        <v>0.0</v>
      </c>
      <c r="S24" s="74"/>
      <c r="T24" s="5"/>
      <c r="U24" s="5"/>
    </row>
    <row r="25">
      <c r="A25" s="16" t="s">
        <v>15</v>
      </c>
      <c r="B25" s="9">
        <v>45406.0</v>
      </c>
      <c r="C25" s="80">
        <v>0.0</v>
      </c>
      <c r="D25" s="81">
        <v>1.0</v>
      </c>
      <c r="E25" s="81">
        <v>1.0</v>
      </c>
      <c r="F25" s="81">
        <v>0.0</v>
      </c>
      <c r="G25" s="81">
        <v>0.0</v>
      </c>
      <c r="H25" s="81">
        <v>1.0</v>
      </c>
      <c r="I25" s="81">
        <v>1.2</v>
      </c>
      <c r="J25" s="81">
        <v>1.0</v>
      </c>
      <c r="K25" s="81">
        <v>1.0</v>
      </c>
      <c r="L25" s="81">
        <v>1.0</v>
      </c>
      <c r="M25" s="83">
        <v>0.0</v>
      </c>
      <c r="N25" s="83">
        <v>0.0</v>
      </c>
      <c r="O25" s="83">
        <v>0.0</v>
      </c>
      <c r="P25" s="81">
        <v>1.0</v>
      </c>
      <c r="Q25" s="81">
        <v>1.0</v>
      </c>
      <c r="R25" s="81">
        <v>1.0</v>
      </c>
      <c r="S25" s="74"/>
      <c r="T25" s="5"/>
      <c r="U25" s="5"/>
    </row>
    <row r="26">
      <c r="A26" s="16" t="s">
        <v>16</v>
      </c>
      <c r="B26" s="9">
        <v>45407.0</v>
      </c>
      <c r="C26" s="54">
        <v>0.0</v>
      </c>
      <c r="D26" s="17">
        <v>1.0</v>
      </c>
      <c r="E26" s="17">
        <v>1.0</v>
      </c>
      <c r="F26" s="17">
        <v>0.0</v>
      </c>
      <c r="G26" s="17">
        <v>0.0</v>
      </c>
      <c r="H26" s="17">
        <v>1.0</v>
      </c>
      <c r="I26" s="17">
        <v>1.0</v>
      </c>
      <c r="J26" s="17">
        <v>1.0</v>
      </c>
      <c r="K26" s="17">
        <v>1.0</v>
      </c>
      <c r="L26" s="17">
        <v>0.0</v>
      </c>
      <c r="M26" s="79">
        <v>0.0</v>
      </c>
      <c r="N26" s="79">
        <v>0.0</v>
      </c>
      <c r="O26" s="79">
        <v>0.0</v>
      </c>
      <c r="P26" s="17">
        <v>1.0</v>
      </c>
      <c r="Q26" s="17">
        <v>1.0</v>
      </c>
      <c r="R26" s="17">
        <v>0.0</v>
      </c>
      <c r="S26" s="74"/>
      <c r="T26" s="5"/>
      <c r="U26" s="5"/>
    </row>
    <row r="27">
      <c r="A27" s="75" t="s">
        <v>17</v>
      </c>
      <c r="B27" s="76">
        <v>45408.0</v>
      </c>
      <c r="C27" s="77">
        <v>1.0</v>
      </c>
      <c r="D27" s="78">
        <v>1.0</v>
      </c>
      <c r="E27" s="78">
        <v>1.0</v>
      </c>
      <c r="F27" s="78">
        <v>1.0</v>
      </c>
      <c r="G27" s="78">
        <v>1.0</v>
      </c>
      <c r="H27" s="78">
        <v>0.0</v>
      </c>
      <c r="I27" s="78">
        <v>0.0</v>
      </c>
      <c r="J27" s="78">
        <v>0.0</v>
      </c>
      <c r="K27" s="78">
        <v>1.0</v>
      </c>
      <c r="L27" s="78">
        <v>0.0</v>
      </c>
      <c r="M27" s="79">
        <v>0.0</v>
      </c>
      <c r="N27" s="79">
        <v>0.0</v>
      </c>
      <c r="O27" s="79">
        <v>0.0</v>
      </c>
      <c r="P27" s="78">
        <v>0.0</v>
      </c>
      <c r="Q27" s="78">
        <v>1.0</v>
      </c>
      <c r="R27" s="78">
        <v>0.0</v>
      </c>
      <c r="S27" s="74"/>
      <c r="T27" s="5"/>
      <c r="U27" s="5"/>
    </row>
    <row r="28">
      <c r="A28" s="16" t="s">
        <v>20</v>
      </c>
      <c r="B28" s="9">
        <v>45409.0</v>
      </c>
      <c r="C28" s="54">
        <v>1.0</v>
      </c>
      <c r="D28" s="17">
        <v>0.0</v>
      </c>
      <c r="E28" s="17">
        <v>1.0</v>
      </c>
      <c r="F28" s="17">
        <v>0.0</v>
      </c>
      <c r="G28" s="17">
        <v>0.0</v>
      </c>
      <c r="H28" s="17">
        <v>0.0</v>
      </c>
      <c r="I28" s="17">
        <v>1.0</v>
      </c>
      <c r="J28" s="17">
        <v>1.0</v>
      </c>
      <c r="K28" s="17">
        <v>1.0</v>
      </c>
      <c r="L28" s="17">
        <v>0.0</v>
      </c>
      <c r="M28" s="79">
        <v>0.0</v>
      </c>
      <c r="N28" s="79">
        <v>0.0</v>
      </c>
      <c r="O28" s="79">
        <v>0.0</v>
      </c>
      <c r="P28" s="17">
        <v>1.0</v>
      </c>
      <c r="Q28" s="17">
        <v>1.0</v>
      </c>
      <c r="R28" s="17">
        <v>0.0</v>
      </c>
      <c r="S28" s="74"/>
      <c r="T28" s="5"/>
      <c r="U28" s="5"/>
    </row>
    <row r="29">
      <c r="A29" s="16" t="s">
        <v>21</v>
      </c>
      <c r="B29" s="9">
        <v>45410.0</v>
      </c>
      <c r="C29" s="54">
        <v>0.0</v>
      </c>
      <c r="D29" s="17">
        <v>1.0</v>
      </c>
      <c r="E29" s="17">
        <v>1.0</v>
      </c>
      <c r="F29" s="17">
        <v>0.0</v>
      </c>
      <c r="G29" s="17">
        <v>0.0</v>
      </c>
      <c r="H29" s="17">
        <v>0.0</v>
      </c>
      <c r="I29" s="17">
        <v>0.0</v>
      </c>
      <c r="J29" s="17">
        <v>1.0</v>
      </c>
      <c r="K29" s="17">
        <v>0.5</v>
      </c>
      <c r="L29" s="17">
        <v>0.0</v>
      </c>
      <c r="M29" s="79">
        <v>0.0</v>
      </c>
      <c r="N29" s="79">
        <v>0.0</v>
      </c>
      <c r="O29" s="79">
        <v>0.0</v>
      </c>
      <c r="P29" s="17">
        <v>1.0</v>
      </c>
      <c r="Q29" s="17">
        <v>1.0</v>
      </c>
      <c r="R29" s="17">
        <v>0.0</v>
      </c>
      <c r="S29" s="74"/>
      <c r="T29" s="5"/>
      <c r="U29" s="5"/>
    </row>
    <row r="30">
      <c r="A30" s="54" t="s">
        <v>9</v>
      </c>
      <c r="B30" s="9">
        <v>45411.0</v>
      </c>
      <c r="C30" s="54">
        <v>0.0</v>
      </c>
      <c r="D30" s="17">
        <v>1.0</v>
      </c>
      <c r="E30" s="17">
        <v>1.0</v>
      </c>
      <c r="F30" s="17">
        <v>0.0</v>
      </c>
      <c r="G30" s="17">
        <v>0.0</v>
      </c>
      <c r="H30" s="17">
        <v>1.0</v>
      </c>
      <c r="I30" s="17">
        <v>0.0</v>
      </c>
      <c r="J30" s="17">
        <v>1.0</v>
      </c>
      <c r="K30" s="17">
        <v>1.0</v>
      </c>
      <c r="L30" s="17">
        <v>1.0</v>
      </c>
      <c r="M30" s="79">
        <v>0.0</v>
      </c>
      <c r="N30" s="79">
        <v>0.0</v>
      </c>
      <c r="O30" s="79">
        <v>0.0</v>
      </c>
      <c r="P30" s="17">
        <v>1.0</v>
      </c>
      <c r="Q30" s="17">
        <v>1.0</v>
      </c>
      <c r="R30" s="17">
        <v>0.0</v>
      </c>
      <c r="S30" s="82"/>
      <c r="T30" s="5"/>
      <c r="U30" s="5"/>
    </row>
    <row r="31">
      <c r="A31" s="54" t="s">
        <v>10</v>
      </c>
      <c r="B31" s="9">
        <v>45412.0</v>
      </c>
      <c r="C31" s="84">
        <v>0.0</v>
      </c>
      <c r="D31" s="81">
        <v>1.0</v>
      </c>
      <c r="E31" s="81">
        <v>1.0</v>
      </c>
      <c r="F31" s="81">
        <v>0.0</v>
      </c>
      <c r="G31" s="81">
        <v>0.0</v>
      </c>
      <c r="H31" s="81">
        <v>0.0</v>
      </c>
      <c r="I31" s="81">
        <v>0.0</v>
      </c>
      <c r="J31" s="81">
        <v>1.0</v>
      </c>
      <c r="K31" s="81">
        <v>0.5</v>
      </c>
      <c r="L31" s="81">
        <v>0.0</v>
      </c>
      <c r="M31" s="83">
        <v>0.0</v>
      </c>
      <c r="N31" s="83">
        <v>0.0</v>
      </c>
      <c r="O31" s="83">
        <v>0.0</v>
      </c>
      <c r="P31" s="81">
        <v>1.0</v>
      </c>
      <c r="Q31" s="81">
        <v>0.0</v>
      </c>
      <c r="R31" s="81">
        <v>0.0</v>
      </c>
      <c r="S31" s="74"/>
      <c r="T31" s="5"/>
      <c r="U31" s="5"/>
    </row>
    <row r="32">
      <c r="C32" s="85">
        <f t="shared" ref="C32:R32" si="1">SUM(C2:C31)</f>
        <v>13</v>
      </c>
      <c r="D32" s="86">
        <f t="shared" si="1"/>
        <v>23.2</v>
      </c>
      <c r="E32" s="86">
        <f t="shared" si="1"/>
        <v>25</v>
      </c>
      <c r="F32" s="86">
        <f t="shared" si="1"/>
        <v>5</v>
      </c>
      <c r="G32" s="86">
        <f t="shared" si="1"/>
        <v>6.75</v>
      </c>
      <c r="H32" s="86">
        <f t="shared" si="1"/>
        <v>21</v>
      </c>
      <c r="I32" s="86">
        <f t="shared" si="1"/>
        <v>15.4</v>
      </c>
      <c r="J32" s="86">
        <f t="shared" si="1"/>
        <v>24.2</v>
      </c>
      <c r="K32" s="86">
        <f t="shared" si="1"/>
        <v>17</v>
      </c>
      <c r="L32" s="32">
        <f t="shared" si="1"/>
        <v>7</v>
      </c>
      <c r="M32" s="87">
        <f t="shared" si="1"/>
        <v>5</v>
      </c>
      <c r="N32" s="88">
        <f t="shared" si="1"/>
        <v>6.5</v>
      </c>
      <c r="O32" s="88">
        <f t="shared" si="1"/>
        <v>6.5</v>
      </c>
      <c r="P32" s="88">
        <f t="shared" si="1"/>
        <v>11</v>
      </c>
      <c r="Q32" s="88">
        <f t="shared" si="1"/>
        <v>25</v>
      </c>
      <c r="R32" s="88">
        <f t="shared" si="1"/>
        <v>16.2</v>
      </c>
      <c r="S32" s="89"/>
      <c r="T32" s="5"/>
      <c r="U32" s="5"/>
    </row>
    <row r="33">
      <c r="C33" s="90">
        <v>1384.62</v>
      </c>
      <c r="D33" s="91">
        <v>1384.62</v>
      </c>
      <c r="E33" s="91">
        <v>1153.85</v>
      </c>
      <c r="F33" s="91">
        <v>1153.85</v>
      </c>
      <c r="G33" s="91">
        <v>1153.85</v>
      </c>
      <c r="H33" s="92">
        <v>1384.62</v>
      </c>
      <c r="I33" s="92">
        <v>1500.0</v>
      </c>
      <c r="J33" s="92">
        <v>1076.93</v>
      </c>
      <c r="K33" s="92">
        <v>1153.85</v>
      </c>
      <c r="L33" s="93">
        <v>1200.0</v>
      </c>
      <c r="M33" s="94">
        <v>1230.77</v>
      </c>
      <c r="N33" s="95">
        <v>1000.0</v>
      </c>
      <c r="O33" s="95">
        <v>1000.0</v>
      </c>
      <c r="P33" s="95">
        <v>1250.0</v>
      </c>
      <c r="Q33" s="94">
        <v>1153.85</v>
      </c>
      <c r="R33" s="95">
        <v>1153.85</v>
      </c>
      <c r="S33" s="5"/>
      <c r="T33" s="5"/>
      <c r="U33" s="5"/>
    </row>
    <row r="34">
      <c r="C34" s="96">
        <f>C32*C33</f>
        <v>18000.06</v>
      </c>
      <c r="D34" s="96">
        <f t="shared" ref="D34:G34" si="2">D33*D32</f>
        <v>32123.184</v>
      </c>
      <c r="E34" s="96">
        <f t="shared" si="2"/>
        <v>28846.25</v>
      </c>
      <c r="F34" s="96">
        <f t="shared" si="2"/>
        <v>5769.25</v>
      </c>
      <c r="G34" s="96">
        <f t="shared" si="2"/>
        <v>7788.4875</v>
      </c>
      <c r="H34" s="97">
        <f t="shared" ref="H34:J34" si="3">H32*H33</f>
        <v>29077.02</v>
      </c>
      <c r="I34" s="97">
        <f t="shared" si="3"/>
        <v>23100</v>
      </c>
      <c r="J34" s="97">
        <f t="shared" si="3"/>
        <v>26061.706</v>
      </c>
      <c r="K34" s="97">
        <f t="shared" ref="K34:L34" si="4">K33*K32</f>
        <v>19615.45</v>
      </c>
      <c r="L34" s="61">
        <f t="shared" si="4"/>
        <v>8400</v>
      </c>
      <c r="M34" s="98">
        <f t="shared" ref="M34:N34" si="5">M32*M33</f>
        <v>6153.85</v>
      </c>
      <c r="N34" s="99">
        <f t="shared" si="5"/>
        <v>6500</v>
      </c>
      <c r="O34" s="99">
        <f>O33*O32</f>
        <v>6500</v>
      </c>
      <c r="P34" s="99">
        <f t="shared" ref="P34:R34" si="6">P32*P33</f>
        <v>13750</v>
      </c>
      <c r="Q34" s="99">
        <f t="shared" si="6"/>
        <v>28846.25</v>
      </c>
      <c r="R34" s="99">
        <f t="shared" si="6"/>
        <v>18692.37</v>
      </c>
      <c r="S34" s="100">
        <f>SUM(C32:M32)</f>
        <v>162.55</v>
      </c>
      <c r="T34" s="5"/>
      <c r="U34" s="5"/>
    </row>
    <row r="35">
      <c r="C35" s="101">
        <v>36000.0</v>
      </c>
      <c r="D35" s="101">
        <v>36000.0</v>
      </c>
      <c r="E35" s="101">
        <v>30000.0</v>
      </c>
      <c r="F35" s="101">
        <v>30000.0</v>
      </c>
      <c r="G35" s="101">
        <v>30000.0</v>
      </c>
      <c r="H35" s="101">
        <v>36000.0</v>
      </c>
      <c r="I35" s="43"/>
      <c r="J35" s="102">
        <v>28000.0</v>
      </c>
      <c r="K35" s="103">
        <v>30000.0</v>
      </c>
      <c r="L35" s="29"/>
      <c r="M35" s="94">
        <v>32000.0</v>
      </c>
      <c r="N35" s="88"/>
      <c r="O35" s="88"/>
      <c r="P35" s="104">
        <v>32000.0</v>
      </c>
      <c r="Q35" s="88">
        <v>30000.0</v>
      </c>
      <c r="R35" s="104">
        <v>30000.0</v>
      </c>
      <c r="S35" s="5"/>
      <c r="T35" s="5"/>
      <c r="U35" s="5"/>
    </row>
    <row r="48">
      <c r="S48" s="105">
        <v>1111111.0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3.63"/>
    <col customWidth="1" min="5" max="5" width="22.63"/>
    <col customWidth="1" min="6" max="6" width="25.63"/>
    <col customWidth="1" min="7" max="7" width="25.13"/>
    <col customWidth="1" min="8" max="8" width="30.38"/>
    <col customWidth="1" min="11" max="11" width="24.13"/>
  </cols>
  <sheetData>
    <row r="3">
      <c r="D3" s="106" t="s">
        <v>59</v>
      </c>
      <c r="E3" s="107" t="s">
        <v>60</v>
      </c>
      <c r="F3" s="107" t="s">
        <v>61</v>
      </c>
      <c r="G3" s="107" t="s">
        <v>62</v>
      </c>
      <c r="H3" s="107" t="s">
        <v>63</v>
      </c>
    </row>
    <row r="4">
      <c r="D4" s="8" t="s">
        <v>64</v>
      </c>
      <c r="E4" s="108">
        <v>100.0</v>
      </c>
      <c r="F4" s="109">
        <v>6.5</v>
      </c>
      <c r="G4" s="109">
        <f t="shared" ref="G4:G49" si="1">E4*F4</f>
        <v>650</v>
      </c>
      <c r="H4" s="110">
        <v>45383.0</v>
      </c>
    </row>
    <row r="5">
      <c r="D5" s="16" t="s">
        <v>65</v>
      </c>
      <c r="E5" s="49">
        <v>5.0</v>
      </c>
      <c r="F5" s="34">
        <v>30.0</v>
      </c>
      <c r="G5" s="34">
        <f t="shared" si="1"/>
        <v>150</v>
      </c>
      <c r="H5" s="49"/>
    </row>
    <row r="6">
      <c r="D6" s="16" t="s">
        <v>66</v>
      </c>
      <c r="E6" s="49">
        <v>0.75</v>
      </c>
      <c r="F6" s="34">
        <v>2000.0</v>
      </c>
      <c r="G6" s="34">
        <f t="shared" si="1"/>
        <v>1500</v>
      </c>
      <c r="H6" s="49"/>
    </row>
    <row r="7">
      <c r="D7" s="54" t="s">
        <v>67</v>
      </c>
      <c r="E7" s="17">
        <v>3.6</v>
      </c>
      <c r="F7" s="10">
        <v>1600.0</v>
      </c>
      <c r="G7" s="34">
        <f t="shared" si="1"/>
        <v>5760</v>
      </c>
      <c r="H7" s="49"/>
    </row>
    <row r="8">
      <c r="D8" s="54" t="s">
        <v>68</v>
      </c>
      <c r="E8" s="17">
        <v>2.0</v>
      </c>
      <c r="F8" s="10">
        <v>350.0</v>
      </c>
      <c r="G8" s="34">
        <f t="shared" si="1"/>
        <v>700</v>
      </c>
      <c r="H8" s="49"/>
    </row>
    <row r="9">
      <c r="D9" s="54" t="s">
        <v>69</v>
      </c>
      <c r="E9" s="17">
        <v>0.0</v>
      </c>
      <c r="F9" s="10">
        <v>85.0</v>
      </c>
      <c r="G9" s="34">
        <f t="shared" si="1"/>
        <v>0</v>
      </c>
      <c r="H9" s="49"/>
    </row>
    <row r="10">
      <c r="D10" s="54" t="s">
        <v>70</v>
      </c>
      <c r="E10" s="17">
        <v>4.0</v>
      </c>
      <c r="F10" s="10">
        <v>720.0</v>
      </c>
      <c r="G10" s="34">
        <f t="shared" si="1"/>
        <v>2880</v>
      </c>
      <c r="H10" s="49"/>
    </row>
    <row r="11">
      <c r="D11" s="54" t="s">
        <v>71</v>
      </c>
      <c r="E11" s="17">
        <v>3.0</v>
      </c>
      <c r="F11" s="10">
        <v>1360.0</v>
      </c>
      <c r="G11" s="34">
        <f t="shared" si="1"/>
        <v>4080</v>
      </c>
      <c r="H11" s="49"/>
    </row>
    <row r="12">
      <c r="D12" s="54" t="s">
        <v>72</v>
      </c>
      <c r="E12" s="17">
        <v>10.0</v>
      </c>
      <c r="F12" s="10">
        <v>30.0</v>
      </c>
      <c r="G12" s="34">
        <f t="shared" si="1"/>
        <v>300</v>
      </c>
      <c r="H12" s="49"/>
    </row>
    <row r="13">
      <c r="D13" s="54" t="s">
        <v>73</v>
      </c>
      <c r="E13" s="17">
        <v>3.0</v>
      </c>
      <c r="F13" s="10">
        <v>50.0</v>
      </c>
      <c r="G13" s="34">
        <f t="shared" si="1"/>
        <v>150</v>
      </c>
      <c r="H13" s="49"/>
    </row>
    <row r="14">
      <c r="D14" s="111" t="s">
        <v>74</v>
      </c>
      <c r="E14" s="112">
        <v>1.0</v>
      </c>
      <c r="F14" s="113">
        <v>1900.0</v>
      </c>
      <c r="G14" s="109">
        <f t="shared" si="1"/>
        <v>1900</v>
      </c>
      <c r="H14" s="108"/>
    </row>
    <row r="15">
      <c r="D15" s="54" t="s">
        <v>75</v>
      </c>
      <c r="E15" s="17">
        <v>0.25</v>
      </c>
      <c r="F15" s="10">
        <v>4000.0</v>
      </c>
      <c r="G15" s="34">
        <f t="shared" si="1"/>
        <v>1000</v>
      </c>
      <c r="H15" s="49"/>
    </row>
    <row r="16">
      <c r="D16" s="54" t="s">
        <v>76</v>
      </c>
      <c r="E16" s="17">
        <v>3.0</v>
      </c>
      <c r="F16" s="10">
        <v>1800.0</v>
      </c>
      <c r="G16" s="34">
        <f t="shared" si="1"/>
        <v>5400</v>
      </c>
      <c r="H16" s="49"/>
    </row>
    <row r="17">
      <c r="D17" s="54" t="s">
        <v>77</v>
      </c>
      <c r="E17" s="17">
        <v>27.0</v>
      </c>
      <c r="F17" s="10">
        <v>84.0</v>
      </c>
      <c r="G17" s="34">
        <f t="shared" si="1"/>
        <v>2268</v>
      </c>
      <c r="H17" s="49"/>
    </row>
    <row r="18">
      <c r="D18" s="54" t="s">
        <v>78</v>
      </c>
      <c r="E18" s="17">
        <v>13.0</v>
      </c>
      <c r="F18" s="10">
        <v>240.0</v>
      </c>
      <c r="G18" s="34">
        <f t="shared" si="1"/>
        <v>3120</v>
      </c>
      <c r="H18" s="49"/>
    </row>
    <row r="19">
      <c r="D19" s="54" t="s">
        <v>79</v>
      </c>
      <c r="E19" s="17">
        <v>9.0</v>
      </c>
      <c r="F19" s="10">
        <v>220.0</v>
      </c>
      <c r="G19" s="34">
        <f t="shared" si="1"/>
        <v>1980</v>
      </c>
      <c r="H19" s="49"/>
    </row>
    <row r="20">
      <c r="D20" s="54" t="s">
        <v>80</v>
      </c>
      <c r="E20" s="17">
        <v>0.0</v>
      </c>
      <c r="F20" s="10">
        <v>320.0</v>
      </c>
      <c r="G20" s="34">
        <f t="shared" si="1"/>
        <v>0</v>
      </c>
      <c r="H20" s="49"/>
    </row>
    <row r="21">
      <c r="D21" s="54" t="s">
        <v>81</v>
      </c>
      <c r="E21" s="17">
        <v>4.0</v>
      </c>
      <c r="F21" s="10">
        <v>65.0</v>
      </c>
      <c r="G21" s="34">
        <f t="shared" si="1"/>
        <v>260</v>
      </c>
      <c r="H21" s="49"/>
    </row>
    <row r="22">
      <c r="D22" s="8" t="s">
        <v>82</v>
      </c>
      <c r="E22" s="112">
        <v>40.0</v>
      </c>
      <c r="F22" s="109">
        <v>104.0</v>
      </c>
      <c r="G22" s="109">
        <f t="shared" si="1"/>
        <v>4160</v>
      </c>
      <c r="H22" s="49"/>
    </row>
    <row r="23">
      <c r="D23" s="54" t="s">
        <v>83</v>
      </c>
      <c r="E23" s="49">
        <v>32.0</v>
      </c>
      <c r="F23" s="34">
        <v>180.0</v>
      </c>
      <c r="G23" s="34">
        <f t="shared" si="1"/>
        <v>5760</v>
      </c>
      <c r="H23" s="49"/>
    </row>
    <row r="24">
      <c r="D24" s="111" t="s">
        <v>83</v>
      </c>
      <c r="E24" s="112">
        <v>28.0</v>
      </c>
      <c r="F24" s="109">
        <v>195.0</v>
      </c>
      <c r="G24" s="109">
        <f t="shared" si="1"/>
        <v>5460</v>
      </c>
      <c r="H24" s="49"/>
    </row>
    <row r="25">
      <c r="D25" s="54" t="s">
        <v>84</v>
      </c>
      <c r="E25" s="49">
        <v>16.0</v>
      </c>
      <c r="F25" s="34">
        <v>790.0</v>
      </c>
      <c r="G25" s="34">
        <f t="shared" si="1"/>
        <v>12640</v>
      </c>
      <c r="H25" s="49"/>
    </row>
    <row r="26">
      <c r="D26" s="108" t="s">
        <v>84</v>
      </c>
      <c r="E26" s="112">
        <v>9.0</v>
      </c>
      <c r="F26" s="109">
        <v>810.0</v>
      </c>
      <c r="G26" s="109">
        <f t="shared" si="1"/>
        <v>7290</v>
      </c>
      <c r="H26" s="49"/>
    </row>
    <row r="27">
      <c r="D27" s="111" t="s">
        <v>85</v>
      </c>
      <c r="E27" s="112">
        <v>26.0</v>
      </c>
      <c r="F27" s="109">
        <v>80.0</v>
      </c>
      <c r="G27" s="109">
        <f t="shared" si="1"/>
        <v>2080</v>
      </c>
      <c r="H27" s="49"/>
    </row>
    <row r="28">
      <c r="D28" s="111" t="s">
        <v>86</v>
      </c>
      <c r="E28" s="112">
        <v>8.0</v>
      </c>
      <c r="F28" s="109">
        <v>600.0</v>
      </c>
      <c r="G28" s="109">
        <f t="shared" si="1"/>
        <v>4800</v>
      </c>
      <c r="H28" s="108"/>
    </row>
    <row r="29">
      <c r="D29" s="54" t="s">
        <v>87</v>
      </c>
      <c r="E29" s="17">
        <v>6.0</v>
      </c>
      <c r="F29" s="10">
        <v>236.0</v>
      </c>
      <c r="G29" s="34">
        <f t="shared" si="1"/>
        <v>1416</v>
      </c>
      <c r="H29" s="49"/>
    </row>
    <row r="30">
      <c r="D30" s="54" t="s">
        <v>88</v>
      </c>
      <c r="E30" s="17">
        <v>18.0</v>
      </c>
      <c r="F30" s="10">
        <v>1000.0</v>
      </c>
      <c r="G30" s="34">
        <f t="shared" si="1"/>
        <v>18000</v>
      </c>
      <c r="H30" s="49"/>
    </row>
    <row r="31">
      <c r="D31" s="8" t="s">
        <v>89</v>
      </c>
      <c r="E31" s="112">
        <v>14.0</v>
      </c>
      <c r="F31" s="109">
        <v>250.0</v>
      </c>
      <c r="G31" s="109">
        <f t="shared" si="1"/>
        <v>3500</v>
      </c>
      <c r="H31" s="49"/>
    </row>
    <row r="32">
      <c r="D32" s="8" t="s">
        <v>90</v>
      </c>
      <c r="E32" s="112">
        <v>1.0</v>
      </c>
      <c r="F32" s="109">
        <v>450.0</v>
      </c>
      <c r="G32" s="109">
        <f t="shared" si="1"/>
        <v>450</v>
      </c>
      <c r="H32" s="49"/>
    </row>
    <row r="33">
      <c r="D33" s="8" t="s">
        <v>91</v>
      </c>
      <c r="E33" s="108">
        <v>2.0</v>
      </c>
      <c r="F33" s="109">
        <v>1400.0</v>
      </c>
      <c r="G33" s="109">
        <f t="shared" si="1"/>
        <v>2800</v>
      </c>
      <c r="H33" s="49"/>
    </row>
    <row r="34">
      <c r="D34" s="8" t="s">
        <v>92</v>
      </c>
      <c r="E34" s="112">
        <v>4.0</v>
      </c>
      <c r="F34" s="109">
        <v>70.0</v>
      </c>
      <c r="G34" s="109">
        <f t="shared" si="1"/>
        <v>280</v>
      </c>
      <c r="H34" s="49"/>
    </row>
    <row r="35">
      <c r="D35" s="111" t="s">
        <v>93</v>
      </c>
      <c r="E35" s="112">
        <v>15.0</v>
      </c>
      <c r="F35" s="109">
        <v>600.0</v>
      </c>
      <c r="G35" s="109">
        <f t="shared" si="1"/>
        <v>9000</v>
      </c>
      <c r="H35" s="49"/>
    </row>
    <row r="36">
      <c r="D36" s="8" t="s">
        <v>94</v>
      </c>
      <c r="E36" s="108">
        <v>1.0</v>
      </c>
      <c r="F36" s="109">
        <v>900.0</v>
      </c>
      <c r="G36" s="109">
        <f t="shared" si="1"/>
        <v>900</v>
      </c>
      <c r="H36" s="49"/>
    </row>
    <row r="37">
      <c r="D37" s="16" t="s">
        <v>95</v>
      </c>
      <c r="E37" s="49">
        <v>0.5</v>
      </c>
      <c r="F37" s="34">
        <v>2000.0</v>
      </c>
      <c r="G37" s="34">
        <f t="shared" si="1"/>
        <v>1000</v>
      </c>
      <c r="H37" s="49"/>
    </row>
    <row r="38">
      <c r="D38" s="8" t="s">
        <v>96</v>
      </c>
      <c r="E38" s="108">
        <v>1.0</v>
      </c>
      <c r="F38" s="109">
        <v>1600.0</v>
      </c>
      <c r="G38" s="109">
        <f t="shared" si="1"/>
        <v>1600</v>
      </c>
      <c r="H38" s="49"/>
    </row>
    <row r="39">
      <c r="D39" s="8" t="s">
        <v>97</v>
      </c>
      <c r="E39" s="112">
        <v>30.0</v>
      </c>
      <c r="F39" s="109">
        <v>1300.0</v>
      </c>
      <c r="G39" s="109">
        <f t="shared" si="1"/>
        <v>39000</v>
      </c>
      <c r="H39" s="49"/>
    </row>
    <row r="40">
      <c r="D40" s="16" t="s">
        <v>98</v>
      </c>
      <c r="E40" s="17">
        <v>14.0</v>
      </c>
      <c r="F40" s="10">
        <v>1750.0</v>
      </c>
      <c r="G40" s="34">
        <f t="shared" si="1"/>
        <v>24500</v>
      </c>
      <c r="H40" s="49"/>
    </row>
    <row r="41">
      <c r="D41" s="8" t="s">
        <v>99</v>
      </c>
      <c r="E41" s="112">
        <v>5.0</v>
      </c>
      <c r="F41" s="109">
        <v>240.0</v>
      </c>
      <c r="G41" s="109">
        <f t="shared" si="1"/>
        <v>1200</v>
      </c>
      <c r="H41" s="49"/>
    </row>
    <row r="42">
      <c r="D42" s="16" t="s">
        <v>100</v>
      </c>
      <c r="E42" s="17">
        <v>20.0</v>
      </c>
      <c r="F42" s="34">
        <v>390.0</v>
      </c>
      <c r="G42" s="34">
        <f t="shared" si="1"/>
        <v>7800</v>
      </c>
      <c r="H42" s="49"/>
    </row>
    <row r="43">
      <c r="D43" s="8" t="s">
        <v>101</v>
      </c>
      <c r="E43" s="112">
        <v>6.0</v>
      </c>
      <c r="F43" s="109">
        <v>235.0</v>
      </c>
      <c r="G43" s="109">
        <f t="shared" si="1"/>
        <v>1410</v>
      </c>
      <c r="H43" s="49"/>
    </row>
    <row r="44">
      <c r="D44" s="16" t="s">
        <v>102</v>
      </c>
      <c r="E44" s="17">
        <v>8.0</v>
      </c>
      <c r="F44" s="34">
        <v>235.0</v>
      </c>
      <c r="G44" s="34">
        <f t="shared" si="1"/>
        <v>1880</v>
      </c>
      <c r="H44" s="49"/>
    </row>
    <row r="45">
      <c r="D45" s="16" t="s">
        <v>103</v>
      </c>
      <c r="E45" s="17">
        <v>17.0</v>
      </c>
      <c r="F45" s="34">
        <v>235.0</v>
      </c>
      <c r="G45" s="34">
        <f t="shared" si="1"/>
        <v>3995</v>
      </c>
      <c r="H45" s="108"/>
    </row>
    <row r="46">
      <c r="D46" s="16" t="s">
        <v>104</v>
      </c>
      <c r="E46" s="17">
        <v>15.0</v>
      </c>
      <c r="F46" s="34">
        <v>235.0</v>
      </c>
      <c r="G46" s="34">
        <f t="shared" si="1"/>
        <v>3525</v>
      </c>
      <c r="H46" s="49"/>
    </row>
    <row r="47">
      <c r="D47" s="16" t="s">
        <v>105</v>
      </c>
      <c r="E47" s="17">
        <v>8.0</v>
      </c>
      <c r="F47" s="34">
        <v>480.0</v>
      </c>
      <c r="G47" s="34">
        <f t="shared" si="1"/>
        <v>3840</v>
      </c>
      <c r="H47" s="49"/>
    </row>
    <row r="48">
      <c r="D48" s="114" t="s">
        <v>106</v>
      </c>
      <c r="E48" s="115">
        <v>1.0</v>
      </c>
      <c r="F48" s="116">
        <v>800.0</v>
      </c>
      <c r="G48" s="109">
        <f t="shared" si="1"/>
        <v>800</v>
      </c>
      <c r="H48" s="49"/>
    </row>
    <row r="49">
      <c r="D49" s="117" t="s">
        <v>107</v>
      </c>
      <c r="E49" s="118">
        <v>1.0</v>
      </c>
      <c r="F49" s="119">
        <v>950.0</v>
      </c>
      <c r="G49" s="119">
        <f t="shared" si="1"/>
        <v>950</v>
      </c>
      <c r="H49" s="49"/>
    </row>
    <row r="50">
      <c r="D50" s="49"/>
      <c r="E50" s="49"/>
      <c r="F50" s="34"/>
      <c r="G50" s="34"/>
      <c r="H50" s="49"/>
    </row>
    <row r="51">
      <c r="D51" s="49" t="s">
        <v>108</v>
      </c>
      <c r="E51" s="17">
        <v>17.0</v>
      </c>
      <c r="F51" s="34">
        <v>250.0</v>
      </c>
      <c r="G51" s="34">
        <f t="shared" ref="G51:G53" si="2">E51*F51</f>
        <v>4250</v>
      </c>
      <c r="H51" s="49"/>
    </row>
    <row r="52">
      <c r="D52" s="112" t="s">
        <v>109</v>
      </c>
      <c r="E52" s="112">
        <v>10.0</v>
      </c>
      <c r="F52" s="109">
        <v>115.0</v>
      </c>
      <c r="G52" s="109">
        <f t="shared" si="2"/>
        <v>1150</v>
      </c>
      <c r="H52" s="49"/>
    </row>
    <row r="53">
      <c r="D53" s="8" t="s">
        <v>110</v>
      </c>
      <c r="E53" s="108">
        <v>20.0</v>
      </c>
      <c r="F53" s="109">
        <v>20.0</v>
      </c>
      <c r="G53" s="109">
        <f t="shared" si="2"/>
        <v>400</v>
      </c>
      <c r="H53" s="49"/>
    </row>
    <row r="54">
      <c r="D54" s="8"/>
      <c r="E54" s="108"/>
      <c r="F54" s="109"/>
      <c r="G54" s="109"/>
      <c r="H54" s="49"/>
    </row>
    <row r="55">
      <c r="D55" s="8" t="s">
        <v>111</v>
      </c>
      <c r="E55" s="108">
        <v>15.0</v>
      </c>
      <c r="F55" s="109">
        <v>60.0</v>
      </c>
      <c r="G55" s="109">
        <f t="shared" ref="G55:G84" si="3">E55*F55</f>
        <v>900</v>
      </c>
      <c r="H55" s="49"/>
    </row>
    <row r="56">
      <c r="D56" s="111" t="s">
        <v>112</v>
      </c>
      <c r="E56" s="112">
        <v>32.0</v>
      </c>
      <c r="F56" s="113">
        <v>120.0</v>
      </c>
      <c r="G56" s="109">
        <f t="shared" si="3"/>
        <v>3840</v>
      </c>
      <c r="H56" s="49"/>
    </row>
    <row r="57">
      <c r="D57" s="54" t="s">
        <v>113</v>
      </c>
      <c r="E57" s="17">
        <v>1.0</v>
      </c>
      <c r="F57" s="10">
        <v>1100.0</v>
      </c>
      <c r="G57" s="109">
        <f t="shared" si="3"/>
        <v>1100</v>
      </c>
      <c r="H57" s="49"/>
    </row>
    <row r="58">
      <c r="D58" s="54" t="s">
        <v>114</v>
      </c>
      <c r="E58" s="17">
        <v>1.0</v>
      </c>
      <c r="F58" s="10">
        <v>400.0</v>
      </c>
      <c r="G58" s="34">
        <f t="shared" si="3"/>
        <v>400</v>
      </c>
      <c r="H58" s="49"/>
    </row>
    <row r="59">
      <c r="D59" s="54" t="s">
        <v>115</v>
      </c>
      <c r="E59" s="17">
        <v>1.0</v>
      </c>
      <c r="F59" s="10">
        <v>400.0</v>
      </c>
      <c r="G59" s="34">
        <f t="shared" si="3"/>
        <v>400</v>
      </c>
      <c r="H59" s="49"/>
    </row>
    <row r="60">
      <c r="D60" s="54" t="s">
        <v>116</v>
      </c>
      <c r="E60" s="17">
        <v>3.0</v>
      </c>
      <c r="F60" s="10">
        <v>460.0</v>
      </c>
      <c r="G60" s="34">
        <f t="shared" si="3"/>
        <v>1380</v>
      </c>
      <c r="H60" s="49"/>
    </row>
    <row r="61">
      <c r="D61" s="54" t="s">
        <v>117</v>
      </c>
      <c r="E61" s="17">
        <v>10.0</v>
      </c>
      <c r="F61" s="10">
        <v>200.0</v>
      </c>
      <c r="G61" s="34">
        <f t="shared" si="3"/>
        <v>2000</v>
      </c>
      <c r="H61" s="49"/>
    </row>
    <row r="62">
      <c r="D62" s="54" t="s">
        <v>118</v>
      </c>
      <c r="E62" s="17">
        <v>4.0</v>
      </c>
      <c r="F62" s="10">
        <v>250.0</v>
      </c>
      <c r="G62" s="34">
        <f t="shared" si="3"/>
        <v>1000</v>
      </c>
      <c r="H62" s="49"/>
    </row>
    <row r="63">
      <c r="D63" s="54" t="s">
        <v>75</v>
      </c>
      <c r="E63" s="17">
        <v>0.5</v>
      </c>
      <c r="F63" s="10">
        <v>4000.0</v>
      </c>
      <c r="G63" s="34">
        <f t="shared" si="3"/>
        <v>2000</v>
      </c>
      <c r="H63" s="49"/>
    </row>
    <row r="64">
      <c r="D64" s="54" t="s">
        <v>119</v>
      </c>
      <c r="E64" s="17">
        <v>0.5</v>
      </c>
      <c r="F64" s="10">
        <v>2000.0</v>
      </c>
      <c r="G64" s="34">
        <f t="shared" si="3"/>
        <v>1000</v>
      </c>
      <c r="H64" s="49"/>
    </row>
    <row r="65">
      <c r="D65" s="54" t="s">
        <v>120</v>
      </c>
      <c r="E65" s="17">
        <v>7.0</v>
      </c>
      <c r="F65" s="10">
        <v>350.0</v>
      </c>
      <c r="G65" s="34">
        <f t="shared" si="3"/>
        <v>2450</v>
      </c>
      <c r="H65" s="49"/>
    </row>
    <row r="66">
      <c r="D66" s="54" t="s">
        <v>121</v>
      </c>
      <c r="E66" s="17">
        <v>15.0</v>
      </c>
      <c r="F66" s="10">
        <v>250.0</v>
      </c>
      <c r="G66" s="34">
        <f t="shared" si="3"/>
        <v>3750</v>
      </c>
      <c r="H66" s="49"/>
    </row>
    <row r="67">
      <c r="D67" s="54" t="s">
        <v>122</v>
      </c>
      <c r="E67" s="17">
        <v>1.0</v>
      </c>
      <c r="F67" s="10">
        <v>400.0</v>
      </c>
      <c r="G67" s="34">
        <f t="shared" si="3"/>
        <v>400</v>
      </c>
      <c r="H67" s="49"/>
    </row>
    <row r="68">
      <c r="D68" s="54" t="s">
        <v>123</v>
      </c>
      <c r="E68" s="17">
        <v>1.0</v>
      </c>
      <c r="F68" s="10">
        <v>500.0</v>
      </c>
      <c r="G68" s="34">
        <f t="shared" si="3"/>
        <v>500</v>
      </c>
      <c r="H68" s="49"/>
    </row>
    <row r="69">
      <c r="D69" s="54" t="s">
        <v>124</v>
      </c>
      <c r="E69" s="17">
        <v>5.0</v>
      </c>
      <c r="F69" s="10">
        <v>140.0</v>
      </c>
      <c r="G69" s="34">
        <f t="shared" si="3"/>
        <v>700</v>
      </c>
      <c r="H69" s="49"/>
    </row>
    <row r="70">
      <c r="D70" s="111" t="s">
        <v>125</v>
      </c>
      <c r="E70" s="112">
        <v>2.0</v>
      </c>
      <c r="F70" s="113">
        <v>400.0</v>
      </c>
      <c r="G70" s="34">
        <f t="shared" si="3"/>
        <v>800</v>
      </c>
      <c r="H70" s="49"/>
    </row>
    <row r="71">
      <c r="D71" s="54" t="s">
        <v>126</v>
      </c>
      <c r="E71" s="17">
        <v>5.0</v>
      </c>
      <c r="F71" s="10">
        <v>220.0</v>
      </c>
      <c r="G71" s="34">
        <f t="shared" si="3"/>
        <v>1100</v>
      </c>
      <c r="H71" s="49"/>
    </row>
    <row r="72">
      <c r="D72" s="54" t="s">
        <v>127</v>
      </c>
      <c r="E72" s="17">
        <v>1.5</v>
      </c>
      <c r="F72" s="10">
        <v>1200.0</v>
      </c>
      <c r="G72" s="34">
        <f t="shared" si="3"/>
        <v>1800</v>
      </c>
      <c r="H72" s="49"/>
    </row>
    <row r="73">
      <c r="D73" s="54" t="s">
        <v>128</v>
      </c>
      <c r="E73" s="17">
        <v>4.0</v>
      </c>
      <c r="F73" s="10">
        <v>1000.0</v>
      </c>
      <c r="G73" s="34">
        <f t="shared" si="3"/>
        <v>4000</v>
      </c>
      <c r="H73" s="49"/>
    </row>
    <row r="74">
      <c r="D74" s="54" t="s">
        <v>129</v>
      </c>
      <c r="E74" s="17">
        <v>0.5</v>
      </c>
      <c r="F74" s="10">
        <v>2000.0</v>
      </c>
      <c r="G74" s="34">
        <f t="shared" si="3"/>
        <v>1000</v>
      </c>
      <c r="H74" s="49"/>
    </row>
    <row r="75">
      <c r="D75" s="54" t="s">
        <v>130</v>
      </c>
      <c r="E75" s="17">
        <v>1.5</v>
      </c>
      <c r="F75" s="10">
        <v>600.0</v>
      </c>
      <c r="G75" s="34">
        <f t="shared" si="3"/>
        <v>900</v>
      </c>
      <c r="H75" s="49"/>
    </row>
    <row r="76">
      <c r="D76" s="54" t="s">
        <v>131</v>
      </c>
      <c r="E76" s="17">
        <v>10.0</v>
      </c>
      <c r="F76" s="10">
        <v>70.0</v>
      </c>
      <c r="G76" s="34">
        <f t="shared" si="3"/>
        <v>700</v>
      </c>
      <c r="H76" s="49"/>
    </row>
    <row r="77">
      <c r="D77" s="54" t="s">
        <v>132</v>
      </c>
      <c r="E77" s="17">
        <v>10.0</v>
      </c>
      <c r="F77" s="10">
        <v>100.0</v>
      </c>
      <c r="G77" s="34">
        <f t="shared" si="3"/>
        <v>1000</v>
      </c>
      <c r="H77" s="49"/>
    </row>
    <row r="78">
      <c r="D78" s="54" t="s">
        <v>133</v>
      </c>
      <c r="E78" s="17">
        <v>400.0</v>
      </c>
      <c r="F78" s="10">
        <v>1.0</v>
      </c>
      <c r="G78" s="34">
        <f t="shared" si="3"/>
        <v>400</v>
      </c>
      <c r="H78" s="49"/>
    </row>
    <row r="79">
      <c r="D79" s="54" t="s">
        <v>134</v>
      </c>
      <c r="E79" s="17">
        <v>2.0</v>
      </c>
      <c r="F79" s="10">
        <v>50.0</v>
      </c>
      <c r="G79" s="34">
        <f t="shared" si="3"/>
        <v>100</v>
      </c>
      <c r="H79" s="49"/>
    </row>
    <row r="80">
      <c r="D80" s="54" t="s">
        <v>135</v>
      </c>
      <c r="E80" s="17">
        <v>3.0</v>
      </c>
      <c r="F80" s="10">
        <v>100.0</v>
      </c>
      <c r="G80" s="34">
        <f t="shared" si="3"/>
        <v>300</v>
      </c>
      <c r="H80" s="49"/>
    </row>
    <row r="81">
      <c r="D81" s="54" t="s">
        <v>129</v>
      </c>
      <c r="E81" s="17">
        <v>1.0</v>
      </c>
      <c r="F81" s="10">
        <v>2000.0</v>
      </c>
      <c r="G81" s="34">
        <f t="shared" si="3"/>
        <v>2000</v>
      </c>
      <c r="H81" s="49"/>
    </row>
    <row r="82">
      <c r="D82" s="54" t="s">
        <v>128</v>
      </c>
      <c r="E82" s="17">
        <v>3.0</v>
      </c>
      <c r="F82" s="10">
        <v>1000.0</v>
      </c>
      <c r="G82" s="34">
        <f t="shared" si="3"/>
        <v>3000</v>
      </c>
      <c r="H82" s="49"/>
    </row>
    <row r="83">
      <c r="D83" s="54" t="s">
        <v>116</v>
      </c>
      <c r="E83" s="17">
        <v>2.0</v>
      </c>
      <c r="F83" s="10">
        <v>450.0</v>
      </c>
      <c r="G83" s="34">
        <f t="shared" si="3"/>
        <v>900</v>
      </c>
      <c r="H83" s="49"/>
    </row>
    <row r="84">
      <c r="D84" s="54"/>
      <c r="E84" s="17"/>
      <c r="F84" s="10"/>
      <c r="G84" s="34">
        <f t="shared" si="3"/>
        <v>0</v>
      </c>
      <c r="H84" s="49"/>
    </row>
    <row r="85">
      <c r="D85" s="54"/>
      <c r="E85" s="17"/>
      <c r="F85" s="10"/>
      <c r="G85" s="34"/>
      <c r="H85" s="49"/>
    </row>
    <row r="86">
      <c r="D86" s="54" t="s">
        <v>131</v>
      </c>
      <c r="E86" s="17">
        <v>5.0</v>
      </c>
      <c r="F86" s="10">
        <v>70.0</v>
      </c>
      <c r="G86" s="34">
        <f t="shared" ref="G86:G87" si="4">E86*F86</f>
        <v>350</v>
      </c>
      <c r="H86" s="49"/>
    </row>
    <row r="87">
      <c r="D87" s="54" t="s">
        <v>132</v>
      </c>
      <c r="E87" s="17">
        <v>10.0</v>
      </c>
      <c r="F87" s="10">
        <v>100.0</v>
      </c>
      <c r="G87" s="34">
        <f t="shared" si="4"/>
        <v>1000</v>
      </c>
      <c r="H87" s="49"/>
    </row>
    <row r="88">
      <c r="D88" s="54"/>
      <c r="E88" s="17"/>
      <c r="F88" s="10"/>
      <c r="G88" s="34"/>
      <c r="H88" s="49"/>
    </row>
    <row r="89">
      <c r="D89" s="54" t="s">
        <v>77</v>
      </c>
      <c r="E89" s="17">
        <v>45.0</v>
      </c>
      <c r="F89" s="10">
        <v>90.0</v>
      </c>
      <c r="G89" s="34">
        <f t="shared" ref="G89:G92" si="5">E89*F89</f>
        <v>4050</v>
      </c>
      <c r="H89" s="49"/>
    </row>
    <row r="90">
      <c r="D90" s="8" t="s">
        <v>101</v>
      </c>
      <c r="E90" s="112">
        <v>8.0</v>
      </c>
      <c r="F90" s="113">
        <v>250.0</v>
      </c>
      <c r="G90" s="109">
        <f t="shared" si="5"/>
        <v>2000</v>
      </c>
      <c r="H90" s="49"/>
    </row>
    <row r="91">
      <c r="D91" s="16" t="s">
        <v>102</v>
      </c>
      <c r="E91" s="17">
        <v>16.0</v>
      </c>
      <c r="F91" s="34">
        <v>235.0</v>
      </c>
      <c r="G91" s="34">
        <f t="shared" si="5"/>
        <v>3760</v>
      </c>
      <c r="H91" s="49"/>
    </row>
    <row r="92">
      <c r="D92" s="16" t="s">
        <v>104</v>
      </c>
      <c r="E92" s="17">
        <v>5.0</v>
      </c>
      <c r="F92" s="34">
        <v>235.0</v>
      </c>
      <c r="G92" s="34">
        <f t="shared" si="5"/>
        <v>1175</v>
      </c>
      <c r="H92" s="49"/>
    </row>
    <row r="93">
      <c r="D93" s="54"/>
      <c r="E93" s="17"/>
      <c r="F93" s="10"/>
      <c r="G93" s="34"/>
      <c r="H93" s="49"/>
    </row>
    <row r="94">
      <c r="D94" s="54" t="s">
        <v>136</v>
      </c>
      <c r="E94" s="17">
        <v>3.0</v>
      </c>
      <c r="F94" s="10">
        <v>790.0</v>
      </c>
      <c r="G94" s="34">
        <f t="shared" ref="G94:G95" si="6">E94*F94</f>
        <v>2370</v>
      </c>
      <c r="H94" s="49"/>
    </row>
    <row r="95">
      <c r="D95" s="54" t="s">
        <v>81</v>
      </c>
      <c r="E95" s="17">
        <v>24.0</v>
      </c>
      <c r="F95" s="10">
        <v>60.0</v>
      </c>
      <c r="G95" s="34">
        <f t="shared" si="6"/>
        <v>1440</v>
      </c>
      <c r="H95" s="49"/>
    </row>
    <row r="96">
      <c r="D96" s="54"/>
      <c r="E96" s="17"/>
      <c r="F96" s="10"/>
      <c r="G96" s="34"/>
      <c r="H96" s="49"/>
    </row>
    <row r="97">
      <c r="D97" s="54">
        <v>1.0</v>
      </c>
      <c r="E97" s="17">
        <v>0.5</v>
      </c>
      <c r="F97" s="10">
        <v>4100.0</v>
      </c>
      <c r="G97" s="34">
        <f t="shared" ref="G97:G98" si="7">E97*F97</f>
        <v>2050</v>
      </c>
      <c r="H97" s="49"/>
    </row>
    <row r="98">
      <c r="D98" s="54" t="s">
        <v>137</v>
      </c>
      <c r="E98" s="17">
        <v>2.0</v>
      </c>
      <c r="F98" s="10">
        <v>1200.0</v>
      </c>
      <c r="G98" s="34">
        <f t="shared" si="7"/>
        <v>2400</v>
      </c>
      <c r="H98" s="49"/>
    </row>
    <row r="99">
      <c r="D99" s="54"/>
      <c r="E99" s="17"/>
      <c r="F99" s="10"/>
      <c r="G99" s="34"/>
      <c r="H99" s="49"/>
    </row>
    <row r="100">
      <c r="D100" s="54"/>
      <c r="E100" s="17"/>
      <c r="F100" s="10"/>
      <c r="G100" s="34"/>
      <c r="H100" s="49"/>
    </row>
    <row r="101">
      <c r="D101" s="54" t="s">
        <v>138</v>
      </c>
      <c r="E101" s="17">
        <v>2.0</v>
      </c>
      <c r="F101" s="10">
        <v>130.0</v>
      </c>
      <c r="G101" s="34">
        <f t="shared" ref="G101:G317" si="8">E101*F101</f>
        <v>260</v>
      </c>
      <c r="H101" s="49"/>
    </row>
    <row r="102">
      <c r="D102" s="54" t="s">
        <v>139</v>
      </c>
      <c r="E102" s="17">
        <v>0.5</v>
      </c>
      <c r="F102" s="10">
        <v>1200.0</v>
      </c>
      <c r="G102" s="34">
        <f t="shared" si="8"/>
        <v>600</v>
      </c>
      <c r="H102" s="49"/>
    </row>
    <row r="103">
      <c r="D103" s="54" t="s">
        <v>140</v>
      </c>
      <c r="E103" s="17">
        <v>0.5</v>
      </c>
      <c r="F103" s="10">
        <v>3450.0</v>
      </c>
      <c r="G103" s="34">
        <f t="shared" si="8"/>
        <v>1725</v>
      </c>
      <c r="H103" s="49"/>
    </row>
    <row r="104">
      <c r="D104" s="54" t="s">
        <v>141</v>
      </c>
      <c r="E104" s="17">
        <v>1.0</v>
      </c>
      <c r="F104" s="10">
        <v>450.0</v>
      </c>
      <c r="G104" s="34">
        <f t="shared" si="8"/>
        <v>450</v>
      </c>
      <c r="H104" s="49"/>
    </row>
    <row r="105">
      <c r="D105" s="54" t="s">
        <v>142</v>
      </c>
      <c r="E105" s="17">
        <v>2.0</v>
      </c>
      <c r="F105" s="10">
        <v>450.0</v>
      </c>
      <c r="G105" s="34">
        <f t="shared" si="8"/>
        <v>900</v>
      </c>
      <c r="H105" s="49"/>
    </row>
    <row r="106">
      <c r="D106" s="54" t="s">
        <v>143</v>
      </c>
      <c r="E106" s="17">
        <v>10.0</v>
      </c>
      <c r="F106" s="10">
        <v>110.0</v>
      </c>
      <c r="G106" s="34">
        <f t="shared" si="8"/>
        <v>1100</v>
      </c>
      <c r="H106" s="49"/>
    </row>
    <row r="107">
      <c r="D107" s="54" t="s">
        <v>144</v>
      </c>
      <c r="E107" s="17">
        <v>10.0</v>
      </c>
      <c r="F107" s="10">
        <v>120.0</v>
      </c>
      <c r="G107" s="34">
        <f t="shared" si="8"/>
        <v>1200</v>
      </c>
      <c r="H107" s="49"/>
    </row>
    <row r="108">
      <c r="D108" s="54" t="s">
        <v>145</v>
      </c>
      <c r="E108" s="17">
        <v>45.0</v>
      </c>
      <c r="F108" s="10">
        <v>120.0</v>
      </c>
      <c r="G108" s="34">
        <f t="shared" si="8"/>
        <v>5400</v>
      </c>
      <c r="H108" s="9">
        <v>45384.0</v>
      </c>
    </row>
    <row r="109">
      <c r="D109" s="54" t="s">
        <v>144</v>
      </c>
      <c r="E109" s="17">
        <v>25.0</v>
      </c>
      <c r="F109" s="10">
        <v>120.0</v>
      </c>
      <c r="G109" s="34">
        <f t="shared" si="8"/>
        <v>3000</v>
      </c>
      <c r="H109" s="49"/>
    </row>
    <row r="110">
      <c r="D110" s="54" t="s">
        <v>116</v>
      </c>
      <c r="E110" s="17">
        <v>13.0</v>
      </c>
      <c r="F110" s="10">
        <v>450.0</v>
      </c>
      <c r="G110" s="34">
        <f t="shared" si="8"/>
        <v>5850</v>
      </c>
      <c r="H110" s="49"/>
    </row>
    <row r="111">
      <c r="D111" s="54" t="s">
        <v>134</v>
      </c>
      <c r="E111" s="17">
        <v>2.0</v>
      </c>
      <c r="F111" s="10">
        <v>200.0</v>
      </c>
      <c r="G111" s="34">
        <f t="shared" si="8"/>
        <v>400</v>
      </c>
      <c r="H111" s="49"/>
    </row>
    <row r="112">
      <c r="D112" s="54" t="s">
        <v>135</v>
      </c>
      <c r="E112" s="17">
        <v>1.0</v>
      </c>
      <c r="F112" s="10">
        <v>100.0</v>
      </c>
      <c r="G112" s="34">
        <f t="shared" si="8"/>
        <v>100</v>
      </c>
      <c r="H112" s="49"/>
    </row>
    <row r="113">
      <c r="D113" s="54" t="s">
        <v>129</v>
      </c>
      <c r="E113" s="17">
        <v>1.5</v>
      </c>
      <c r="F113" s="10">
        <v>1500.0</v>
      </c>
      <c r="G113" s="34">
        <f t="shared" si="8"/>
        <v>2250</v>
      </c>
      <c r="H113" s="49"/>
    </row>
    <row r="114">
      <c r="D114" s="54" t="s">
        <v>128</v>
      </c>
      <c r="E114" s="17">
        <v>8.0</v>
      </c>
      <c r="F114" s="10">
        <v>1000.0</v>
      </c>
      <c r="G114" s="34">
        <f t="shared" si="8"/>
        <v>8000</v>
      </c>
      <c r="H114" s="49"/>
    </row>
    <row r="115">
      <c r="D115" s="54" t="s">
        <v>146</v>
      </c>
      <c r="E115" s="17">
        <v>1.0</v>
      </c>
      <c r="F115" s="10">
        <v>120.0</v>
      </c>
      <c r="G115" s="10">
        <f t="shared" si="8"/>
        <v>120</v>
      </c>
      <c r="H115" s="17"/>
    </row>
    <row r="116">
      <c r="D116" s="54" t="s">
        <v>147</v>
      </c>
      <c r="E116" s="17">
        <v>2.0</v>
      </c>
      <c r="F116" s="10">
        <v>50.0</v>
      </c>
      <c r="G116" s="34">
        <f t="shared" si="8"/>
        <v>100</v>
      </c>
      <c r="H116" s="49"/>
    </row>
    <row r="117">
      <c r="D117" s="54" t="s">
        <v>148</v>
      </c>
      <c r="E117" s="17">
        <v>1.0</v>
      </c>
      <c r="F117" s="10">
        <v>600.0</v>
      </c>
      <c r="G117" s="34">
        <f t="shared" si="8"/>
        <v>600</v>
      </c>
      <c r="H117" s="49"/>
    </row>
    <row r="118">
      <c r="D118" s="54" t="s">
        <v>131</v>
      </c>
      <c r="E118" s="17">
        <v>15.0</v>
      </c>
      <c r="F118" s="10">
        <v>70.0</v>
      </c>
      <c r="G118" s="34">
        <f t="shared" si="8"/>
        <v>1050</v>
      </c>
      <c r="H118" s="49"/>
    </row>
    <row r="119">
      <c r="D119" s="120" t="s">
        <v>149</v>
      </c>
      <c r="E119" s="121">
        <v>19.0</v>
      </c>
      <c r="F119" s="122">
        <v>160.0</v>
      </c>
      <c r="G119" s="28">
        <f t="shared" si="8"/>
        <v>3040</v>
      </c>
      <c r="H119" s="49"/>
    </row>
    <row r="120">
      <c r="D120" s="54" t="s">
        <v>150</v>
      </c>
      <c r="E120" s="17">
        <v>3.0</v>
      </c>
      <c r="F120" s="10">
        <v>1650.0</v>
      </c>
      <c r="G120" s="34">
        <f t="shared" si="8"/>
        <v>4950</v>
      </c>
      <c r="H120" s="49"/>
    </row>
    <row r="121">
      <c r="D121" s="54" t="s">
        <v>151</v>
      </c>
      <c r="E121" s="17">
        <v>3.0</v>
      </c>
      <c r="F121" s="10">
        <v>1350.0</v>
      </c>
      <c r="G121" s="34">
        <f t="shared" si="8"/>
        <v>4050</v>
      </c>
      <c r="H121" s="49"/>
    </row>
    <row r="122">
      <c r="D122" s="54" t="s">
        <v>152</v>
      </c>
      <c r="E122" s="17">
        <v>3.0</v>
      </c>
      <c r="F122" s="10">
        <v>1050.0</v>
      </c>
      <c r="G122" s="34">
        <f t="shared" si="8"/>
        <v>3150</v>
      </c>
      <c r="H122" s="49"/>
    </row>
    <row r="123">
      <c r="D123" s="54" t="s">
        <v>153</v>
      </c>
      <c r="E123" s="17">
        <v>2.0</v>
      </c>
      <c r="F123" s="10">
        <v>1000.0</v>
      </c>
      <c r="G123" s="34">
        <f t="shared" si="8"/>
        <v>2000</v>
      </c>
      <c r="H123" s="49"/>
    </row>
    <row r="124">
      <c r="D124" s="54" t="s">
        <v>154</v>
      </c>
      <c r="E124" s="17">
        <v>1.0</v>
      </c>
      <c r="F124" s="10">
        <v>900.0</v>
      </c>
      <c r="G124" s="34">
        <f t="shared" si="8"/>
        <v>900</v>
      </c>
      <c r="H124" s="49"/>
    </row>
    <row r="125">
      <c r="D125" s="54" t="s">
        <v>155</v>
      </c>
      <c r="E125" s="17">
        <v>32.0</v>
      </c>
      <c r="F125" s="10">
        <v>181.0</v>
      </c>
      <c r="G125" s="34">
        <f t="shared" si="8"/>
        <v>5792</v>
      </c>
      <c r="H125" s="49"/>
    </row>
    <row r="126">
      <c r="D126" s="54" t="s">
        <v>79</v>
      </c>
      <c r="E126" s="17">
        <v>4.0</v>
      </c>
      <c r="F126" s="10">
        <v>250.0</v>
      </c>
      <c r="G126" s="34">
        <f t="shared" si="8"/>
        <v>1000</v>
      </c>
      <c r="H126" s="49"/>
    </row>
    <row r="127">
      <c r="D127" s="54" t="s">
        <v>156</v>
      </c>
      <c r="E127" s="17">
        <v>1.0</v>
      </c>
      <c r="F127" s="10">
        <v>1000.0</v>
      </c>
      <c r="G127" s="34">
        <f t="shared" si="8"/>
        <v>1000</v>
      </c>
      <c r="H127" s="49"/>
    </row>
    <row r="128">
      <c r="D128" s="54" t="s">
        <v>157</v>
      </c>
      <c r="E128" s="17">
        <v>1.0</v>
      </c>
      <c r="F128" s="10">
        <v>2500.0</v>
      </c>
      <c r="G128" s="34">
        <f t="shared" si="8"/>
        <v>2500</v>
      </c>
      <c r="H128" s="49"/>
    </row>
    <row r="129">
      <c r="D129" s="54" t="s">
        <v>129</v>
      </c>
      <c r="E129" s="17">
        <v>0.5</v>
      </c>
      <c r="F129" s="10">
        <v>1600.0</v>
      </c>
      <c r="G129" s="34">
        <f t="shared" si="8"/>
        <v>800</v>
      </c>
      <c r="H129" s="49"/>
    </row>
    <row r="130">
      <c r="D130" s="54" t="s">
        <v>124</v>
      </c>
      <c r="E130" s="17">
        <v>1.0</v>
      </c>
      <c r="F130" s="10">
        <v>200.0</v>
      </c>
      <c r="G130" s="34">
        <f t="shared" si="8"/>
        <v>200</v>
      </c>
      <c r="H130" s="49"/>
    </row>
    <row r="131">
      <c r="D131" s="54" t="s">
        <v>147</v>
      </c>
      <c r="E131" s="17">
        <v>1.0</v>
      </c>
      <c r="F131" s="10">
        <v>50.0</v>
      </c>
      <c r="G131" s="34">
        <f t="shared" si="8"/>
        <v>50</v>
      </c>
      <c r="H131" s="49"/>
    </row>
    <row r="132">
      <c r="D132" s="54" t="s">
        <v>158</v>
      </c>
      <c r="E132" s="17">
        <v>2.5</v>
      </c>
      <c r="F132" s="10">
        <v>120.0</v>
      </c>
      <c r="G132" s="34">
        <f t="shared" si="8"/>
        <v>300</v>
      </c>
      <c r="H132" s="49"/>
    </row>
    <row r="133">
      <c r="D133" s="54" t="s">
        <v>144</v>
      </c>
      <c r="E133" s="17">
        <v>5.0</v>
      </c>
      <c r="F133" s="10">
        <v>120.0</v>
      </c>
      <c r="G133" s="34">
        <f t="shared" si="8"/>
        <v>600</v>
      </c>
      <c r="H133" s="49"/>
    </row>
    <row r="134">
      <c r="D134" s="54" t="s">
        <v>116</v>
      </c>
      <c r="E134" s="17">
        <v>5.0</v>
      </c>
      <c r="F134" s="10">
        <v>430.0</v>
      </c>
      <c r="G134" s="34">
        <f t="shared" si="8"/>
        <v>2150</v>
      </c>
      <c r="H134" s="49"/>
    </row>
    <row r="135">
      <c r="D135" s="54" t="s">
        <v>159</v>
      </c>
      <c r="E135" s="17">
        <v>4.0</v>
      </c>
      <c r="F135" s="10">
        <v>220.0</v>
      </c>
      <c r="G135" s="34">
        <f t="shared" si="8"/>
        <v>880</v>
      </c>
      <c r="H135" s="49"/>
    </row>
    <row r="136">
      <c r="D136" s="54" t="s">
        <v>145</v>
      </c>
      <c r="E136" s="17">
        <v>10.0</v>
      </c>
      <c r="F136" s="10">
        <v>100.0</v>
      </c>
      <c r="G136" s="34">
        <f t="shared" si="8"/>
        <v>1000</v>
      </c>
      <c r="H136" s="49"/>
    </row>
    <row r="137">
      <c r="D137" s="54" t="s">
        <v>160</v>
      </c>
      <c r="E137" s="17">
        <v>1.5</v>
      </c>
      <c r="F137" s="10">
        <v>900.0</v>
      </c>
      <c r="G137" s="34">
        <f t="shared" si="8"/>
        <v>1350</v>
      </c>
      <c r="H137" s="49"/>
    </row>
    <row r="138">
      <c r="D138" s="54" t="s">
        <v>161</v>
      </c>
      <c r="E138" s="17">
        <v>4.0</v>
      </c>
      <c r="F138" s="10">
        <v>620.0</v>
      </c>
      <c r="G138" s="34">
        <f t="shared" si="8"/>
        <v>2480</v>
      </c>
      <c r="H138" s="49"/>
    </row>
    <row r="139">
      <c r="D139" s="54" t="s">
        <v>66</v>
      </c>
      <c r="E139" s="17">
        <v>1.0</v>
      </c>
      <c r="F139" s="10">
        <v>450.0</v>
      </c>
      <c r="G139" s="34">
        <f t="shared" si="8"/>
        <v>450</v>
      </c>
      <c r="H139" s="49"/>
    </row>
    <row r="140">
      <c r="D140" s="54" t="s">
        <v>162</v>
      </c>
      <c r="E140" s="17">
        <v>4.0</v>
      </c>
      <c r="F140" s="10">
        <v>450.0</v>
      </c>
      <c r="G140" s="34">
        <f t="shared" si="8"/>
        <v>1800</v>
      </c>
      <c r="H140" s="49"/>
    </row>
    <row r="141">
      <c r="D141" s="54" t="s">
        <v>163</v>
      </c>
      <c r="E141" s="17">
        <v>6.0</v>
      </c>
      <c r="F141" s="10">
        <v>850.0</v>
      </c>
      <c r="G141" s="34">
        <f t="shared" si="8"/>
        <v>5100</v>
      </c>
      <c r="H141" s="49"/>
    </row>
    <row r="142">
      <c r="D142" s="54" t="s">
        <v>164</v>
      </c>
      <c r="E142" s="17">
        <v>5.0</v>
      </c>
      <c r="F142" s="10">
        <v>1000.0</v>
      </c>
      <c r="G142" s="34">
        <f t="shared" si="8"/>
        <v>5000</v>
      </c>
      <c r="H142" s="49"/>
    </row>
    <row r="143">
      <c r="D143" s="54" t="s">
        <v>135</v>
      </c>
      <c r="E143" s="17">
        <v>5.0</v>
      </c>
      <c r="F143" s="10">
        <v>100.0</v>
      </c>
      <c r="G143" s="34">
        <f t="shared" si="8"/>
        <v>500</v>
      </c>
      <c r="H143" s="49"/>
    </row>
    <row r="144">
      <c r="D144" s="54" t="s">
        <v>134</v>
      </c>
      <c r="E144" s="17">
        <v>2.0</v>
      </c>
      <c r="F144" s="10">
        <v>200.0</v>
      </c>
      <c r="G144" s="34">
        <f t="shared" si="8"/>
        <v>400</v>
      </c>
      <c r="H144" s="49"/>
    </row>
    <row r="145">
      <c r="D145" s="54" t="s">
        <v>131</v>
      </c>
      <c r="E145" s="17">
        <v>10.0</v>
      </c>
      <c r="F145" s="10">
        <v>70.0</v>
      </c>
      <c r="G145" s="34">
        <f t="shared" si="8"/>
        <v>700</v>
      </c>
      <c r="H145" s="49"/>
    </row>
    <row r="146">
      <c r="D146" s="54" t="s">
        <v>145</v>
      </c>
      <c r="E146" s="17">
        <v>30.0</v>
      </c>
      <c r="F146" s="10">
        <v>120.0</v>
      </c>
      <c r="G146" s="34">
        <f t="shared" si="8"/>
        <v>3600</v>
      </c>
      <c r="H146" s="49"/>
    </row>
    <row r="147">
      <c r="D147" s="54" t="s">
        <v>165</v>
      </c>
      <c r="E147" s="17">
        <v>8.0</v>
      </c>
      <c r="F147" s="10">
        <v>90.0</v>
      </c>
      <c r="G147" s="34">
        <f t="shared" si="8"/>
        <v>720</v>
      </c>
      <c r="H147" s="49"/>
    </row>
    <row r="148">
      <c r="D148" s="54" t="s">
        <v>77</v>
      </c>
      <c r="E148" s="17">
        <v>27.0</v>
      </c>
      <c r="F148" s="10">
        <v>100.0</v>
      </c>
      <c r="G148" s="34">
        <f t="shared" si="8"/>
        <v>2700</v>
      </c>
      <c r="H148" s="49"/>
    </row>
    <row r="149">
      <c r="D149" s="54" t="s">
        <v>166</v>
      </c>
      <c r="E149" s="17">
        <v>4.0</v>
      </c>
      <c r="F149" s="10">
        <v>250.0</v>
      </c>
      <c r="G149" s="34">
        <f t="shared" si="8"/>
        <v>1000</v>
      </c>
      <c r="H149" s="49"/>
    </row>
    <row r="150">
      <c r="D150" s="54" t="s">
        <v>167</v>
      </c>
      <c r="E150" s="17">
        <v>9.0</v>
      </c>
      <c r="F150" s="10">
        <v>150.0</v>
      </c>
      <c r="G150" s="34">
        <f t="shared" si="8"/>
        <v>1350</v>
      </c>
      <c r="H150" s="49"/>
    </row>
    <row r="151">
      <c r="D151" s="54" t="s">
        <v>168</v>
      </c>
      <c r="E151" s="17">
        <v>3.0</v>
      </c>
      <c r="F151" s="10">
        <v>200.0</v>
      </c>
      <c r="G151" s="34">
        <f t="shared" si="8"/>
        <v>600</v>
      </c>
      <c r="H151" s="49"/>
    </row>
    <row r="152">
      <c r="D152" s="54" t="s">
        <v>169</v>
      </c>
      <c r="E152" s="17">
        <v>3.0</v>
      </c>
      <c r="F152" s="10">
        <v>150.0</v>
      </c>
      <c r="G152" s="34">
        <f t="shared" si="8"/>
        <v>450</v>
      </c>
      <c r="H152" s="49"/>
    </row>
    <row r="153">
      <c r="D153" s="54" t="s">
        <v>125</v>
      </c>
      <c r="E153" s="17">
        <v>2.0</v>
      </c>
      <c r="F153" s="10">
        <v>200.0</v>
      </c>
      <c r="G153" s="34">
        <f t="shared" si="8"/>
        <v>400</v>
      </c>
      <c r="H153" s="49"/>
    </row>
    <row r="154">
      <c r="D154" s="54" t="s">
        <v>144</v>
      </c>
      <c r="E154" s="17">
        <v>60.0</v>
      </c>
      <c r="F154" s="10">
        <v>100.0</v>
      </c>
      <c r="G154" s="34">
        <f t="shared" si="8"/>
        <v>6000</v>
      </c>
      <c r="H154" s="49"/>
    </row>
    <row r="155">
      <c r="D155" s="54" t="s">
        <v>144</v>
      </c>
      <c r="E155" s="17">
        <v>80.0</v>
      </c>
      <c r="F155" s="10">
        <v>120.0</v>
      </c>
      <c r="G155" s="34">
        <f t="shared" si="8"/>
        <v>9600</v>
      </c>
      <c r="H155" s="49"/>
    </row>
    <row r="156">
      <c r="D156" s="54" t="s">
        <v>145</v>
      </c>
      <c r="E156" s="17">
        <v>17.0</v>
      </c>
      <c r="F156" s="10">
        <v>100.0</v>
      </c>
      <c r="G156" s="34">
        <f t="shared" si="8"/>
        <v>1700</v>
      </c>
      <c r="H156" s="49"/>
    </row>
    <row r="157">
      <c r="D157" s="54" t="s">
        <v>170</v>
      </c>
      <c r="E157" s="17">
        <v>1.0</v>
      </c>
      <c r="F157" s="10">
        <v>1400.0</v>
      </c>
      <c r="G157" s="34">
        <f t="shared" si="8"/>
        <v>1400</v>
      </c>
      <c r="H157" s="49"/>
    </row>
    <row r="158">
      <c r="D158" s="54" t="s">
        <v>121</v>
      </c>
      <c r="E158" s="17">
        <v>10.0</v>
      </c>
      <c r="F158" s="10">
        <v>250.0</v>
      </c>
      <c r="G158" s="34">
        <f t="shared" si="8"/>
        <v>2500</v>
      </c>
      <c r="H158" s="49"/>
    </row>
    <row r="159">
      <c r="D159" s="54" t="s">
        <v>109</v>
      </c>
      <c r="E159" s="17">
        <v>21.0</v>
      </c>
      <c r="F159" s="10">
        <v>130.0</v>
      </c>
      <c r="G159" s="34">
        <f t="shared" si="8"/>
        <v>2730</v>
      </c>
      <c r="H159" s="49"/>
    </row>
    <row r="160">
      <c r="D160" s="54" t="s">
        <v>86</v>
      </c>
      <c r="E160" s="17">
        <v>4.0</v>
      </c>
      <c r="F160" s="10">
        <v>620.0</v>
      </c>
      <c r="G160" s="34">
        <f t="shared" si="8"/>
        <v>2480</v>
      </c>
      <c r="H160" s="49"/>
    </row>
    <row r="161">
      <c r="D161" s="54" t="s">
        <v>171</v>
      </c>
      <c r="E161" s="17">
        <v>1.0</v>
      </c>
      <c r="F161" s="10">
        <v>900.0</v>
      </c>
      <c r="G161" s="34">
        <f t="shared" si="8"/>
        <v>900</v>
      </c>
      <c r="H161" s="49"/>
    </row>
    <row r="162">
      <c r="D162" s="54" t="s">
        <v>132</v>
      </c>
      <c r="E162" s="17">
        <v>12.0</v>
      </c>
      <c r="F162" s="10">
        <v>100.0</v>
      </c>
      <c r="G162" s="34">
        <f t="shared" si="8"/>
        <v>1200</v>
      </c>
      <c r="H162" s="49"/>
    </row>
    <row r="163">
      <c r="D163" s="54" t="s">
        <v>86</v>
      </c>
      <c r="E163" s="17">
        <v>10.0</v>
      </c>
      <c r="F163" s="10">
        <v>600.0</v>
      </c>
      <c r="G163" s="34">
        <f t="shared" si="8"/>
        <v>6000</v>
      </c>
      <c r="H163" s="49"/>
    </row>
    <row r="164">
      <c r="D164" s="54" t="s">
        <v>172</v>
      </c>
      <c r="E164" s="17">
        <v>1.0</v>
      </c>
      <c r="F164" s="10">
        <v>820.0</v>
      </c>
      <c r="G164" s="34">
        <f t="shared" si="8"/>
        <v>820</v>
      </c>
      <c r="H164" s="49"/>
    </row>
    <row r="165">
      <c r="D165" s="54" t="s">
        <v>116</v>
      </c>
      <c r="E165" s="17">
        <v>5.0</v>
      </c>
      <c r="F165" s="10">
        <v>450.0</v>
      </c>
      <c r="G165" s="34">
        <f t="shared" si="8"/>
        <v>2250</v>
      </c>
      <c r="H165" s="49"/>
    </row>
    <row r="166">
      <c r="D166" s="54" t="s">
        <v>173</v>
      </c>
      <c r="E166" s="17">
        <v>1.0</v>
      </c>
      <c r="F166" s="10">
        <v>5500.0</v>
      </c>
      <c r="G166" s="34">
        <f t="shared" si="8"/>
        <v>5500</v>
      </c>
      <c r="H166" s="49"/>
    </row>
    <row r="167">
      <c r="D167" s="54" t="s">
        <v>174</v>
      </c>
      <c r="E167" s="17">
        <v>10.0</v>
      </c>
      <c r="F167" s="10">
        <v>100.0</v>
      </c>
      <c r="G167" s="34">
        <f t="shared" si="8"/>
        <v>1000</v>
      </c>
      <c r="H167" s="49"/>
    </row>
    <row r="168">
      <c r="D168" s="54" t="s">
        <v>175</v>
      </c>
      <c r="E168" s="17">
        <v>1.0</v>
      </c>
      <c r="F168" s="10">
        <v>3000.0</v>
      </c>
      <c r="G168" s="34">
        <f t="shared" si="8"/>
        <v>3000</v>
      </c>
      <c r="H168" s="49"/>
    </row>
    <row r="169">
      <c r="D169" s="54" t="s">
        <v>176</v>
      </c>
      <c r="E169" s="17">
        <v>50.0</v>
      </c>
      <c r="F169" s="10">
        <v>120.0</v>
      </c>
      <c r="G169" s="34">
        <f t="shared" si="8"/>
        <v>6000</v>
      </c>
      <c r="H169" s="49"/>
    </row>
    <row r="170">
      <c r="D170" s="54" t="s">
        <v>177</v>
      </c>
      <c r="E170" s="17">
        <v>2.0</v>
      </c>
      <c r="F170" s="10">
        <v>170.0</v>
      </c>
      <c r="G170" s="34">
        <f t="shared" si="8"/>
        <v>340</v>
      </c>
      <c r="H170" s="49"/>
    </row>
    <row r="171">
      <c r="D171" s="54" t="s">
        <v>66</v>
      </c>
      <c r="E171" s="17">
        <v>0.5</v>
      </c>
      <c r="F171" s="10">
        <v>2000.0</v>
      </c>
      <c r="G171" s="34">
        <f t="shared" si="8"/>
        <v>1000</v>
      </c>
      <c r="H171" s="49"/>
    </row>
    <row r="172">
      <c r="D172" s="54" t="s">
        <v>159</v>
      </c>
      <c r="E172" s="17">
        <v>4.0</v>
      </c>
      <c r="F172" s="10">
        <v>200.0</v>
      </c>
      <c r="G172" s="34">
        <f t="shared" si="8"/>
        <v>800</v>
      </c>
      <c r="H172" s="49"/>
    </row>
    <row r="173">
      <c r="D173" s="54" t="s">
        <v>178</v>
      </c>
      <c r="E173" s="17">
        <v>1.0</v>
      </c>
      <c r="F173" s="10">
        <v>50.0</v>
      </c>
      <c r="G173" s="34">
        <f t="shared" si="8"/>
        <v>50</v>
      </c>
      <c r="H173" s="49"/>
    </row>
    <row r="174">
      <c r="D174" s="54" t="s">
        <v>68</v>
      </c>
      <c r="E174" s="17">
        <v>3.0</v>
      </c>
      <c r="F174" s="10">
        <v>120.0</v>
      </c>
      <c r="G174" s="34">
        <f t="shared" si="8"/>
        <v>360</v>
      </c>
      <c r="H174" s="49"/>
    </row>
    <row r="175">
      <c r="D175" s="54" t="s">
        <v>77</v>
      </c>
      <c r="E175" s="17">
        <v>4.0</v>
      </c>
      <c r="F175" s="10">
        <v>100.0</v>
      </c>
      <c r="G175" s="34">
        <f t="shared" si="8"/>
        <v>400</v>
      </c>
      <c r="H175" s="49"/>
    </row>
    <row r="176">
      <c r="D176" s="54" t="s">
        <v>165</v>
      </c>
      <c r="E176" s="17">
        <v>35.0</v>
      </c>
      <c r="F176" s="10">
        <v>90.0</v>
      </c>
      <c r="G176" s="34">
        <f t="shared" si="8"/>
        <v>3150</v>
      </c>
      <c r="H176" s="49"/>
    </row>
    <row r="177">
      <c r="D177" s="54" t="s">
        <v>108</v>
      </c>
      <c r="E177" s="17">
        <v>3.0</v>
      </c>
      <c r="F177" s="10">
        <v>250.0</v>
      </c>
      <c r="G177" s="34">
        <f t="shared" si="8"/>
        <v>750</v>
      </c>
      <c r="H177" s="49"/>
    </row>
    <row r="178">
      <c r="D178" s="54" t="s">
        <v>88</v>
      </c>
      <c r="E178" s="17">
        <v>15.0</v>
      </c>
      <c r="F178" s="10">
        <v>1000.0</v>
      </c>
      <c r="G178" s="34">
        <f t="shared" si="8"/>
        <v>15000</v>
      </c>
      <c r="H178" s="49"/>
    </row>
    <row r="179">
      <c r="D179" s="54" t="s">
        <v>179</v>
      </c>
      <c r="E179" s="17">
        <v>25.0</v>
      </c>
      <c r="F179" s="10">
        <v>56.0</v>
      </c>
      <c r="G179" s="34">
        <f t="shared" si="8"/>
        <v>1400</v>
      </c>
      <c r="H179" s="49"/>
    </row>
    <row r="180">
      <c r="D180" s="54" t="s">
        <v>180</v>
      </c>
      <c r="E180" s="17">
        <v>2.0</v>
      </c>
      <c r="F180" s="10">
        <v>1250.0</v>
      </c>
      <c r="G180" s="34">
        <f t="shared" si="8"/>
        <v>2500</v>
      </c>
      <c r="H180" s="49"/>
    </row>
    <row r="181">
      <c r="D181" s="54" t="s">
        <v>181</v>
      </c>
      <c r="E181" s="17">
        <v>1.0</v>
      </c>
      <c r="F181" s="10">
        <v>1000.0</v>
      </c>
      <c r="G181" s="34">
        <f t="shared" si="8"/>
        <v>1000</v>
      </c>
      <c r="H181" s="49"/>
    </row>
    <row r="182">
      <c r="D182" s="54" t="s">
        <v>182</v>
      </c>
      <c r="E182" s="17">
        <v>1.0</v>
      </c>
      <c r="F182" s="10">
        <v>1200.0</v>
      </c>
      <c r="G182" s="34">
        <f t="shared" si="8"/>
        <v>1200</v>
      </c>
      <c r="H182" s="49"/>
    </row>
    <row r="183">
      <c r="D183" s="54" t="s">
        <v>183</v>
      </c>
      <c r="E183" s="17">
        <v>1.0</v>
      </c>
      <c r="F183" s="10">
        <v>1150.0</v>
      </c>
      <c r="G183" s="34">
        <f t="shared" si="8"/>
        <v>1150</v>
      </c>
      <c r="H183" s="49"/>
    </row>
    <row r="184">
      <c r="D184" s="54" t="s">
        <v>184</v>
      </c>
      <c r="E184" s="17">
        <v>4.0</v>
      </c>
      <c r="F184" s="10">
        <v>250.0</v>
      </c>
      <c r="G184" s="34">
        <f t="shared" si="8"/>
        <v>1000</v>
      </c>
      <c r="H184" s="49"/>
    </row>
    <row r="185">
      <c r="D185" s="54" t="s">
        <v>116</v>
      </c>
      <c r="E185" s="17">
        <v>5.0</v>
      </c>
      <c r="F185" s="10">
        <v>380.0</v>
      </c>
      <c r="G185" s="34">
        <f t="shared" si="8"/>
        <v>1900</v>
      </c>
      <c r="H185" s="49"/>
    </row>
    <row r="186">
      <c r="D186" s="54" t="s">
        <v>185</v>
      </c>
      <c r="E186" s="17">
        <v>2.0</v>
      </c>
      <c r="F186" s="10">
        <v>450.0</v>
      </c>
      <c r="G186" s="34">
        <f t="shared" si="8"/>
        <v>900</v>
      </c>
      <c r="H186" s="49"/>
    </row>
    <row r="187">
      <c r="D187" s="54" t="s">
        <v>186</v>
      </c>
      <c r="E187" s="17">
        <v>1.5</v>
      </c>
      <c r="F187" s="10">
        <v>1000.0</v>
      </c>
      <c r="G187" s="34">
        <f t="shared" si="8"/>
        <v>1500</v>
      </c>
      <c r="H187" s="49"/>
    </row>
    <row r="188">
      <c r="D188" s="54" t="s">
        <v>187</v>
      </c>
      <c r="E188" s="17">
        <v>8.0</v>
      </c>
      <c r="F188" s="10">
        <v>27.0</v>
      </c>
      <c r="G188" s="34">
        <f t="shared" si="8"/>
        <v>216</v>
      </c>
      <c r="H188" s="49"/>
    </row>
    <row r="189">
      <c r="D189" s="54" t="s">
        <v>108</v>
      </c>
      <c r="E189" s="17">
        <v>12.0</v>
      </c>
      <c r="F189" s="10">
        <v>240.0</v>
      </c>
      <c r="G189" s="34">
        <f t="shared" si="8"/>
        <v>2880</v>
      </c>
      <c r="H189" s="49"/>
    </row>
    <row r="190">
      <c r="D190" s="54" t="s">
        <v>188</v>
      </c>
      <c r="E190" s="17">
        <v>12.0</v>
      </c>
      <c r="F190" s="10">
        <v>325.0</v>
      </c>
      <c r="G190" s="34">
        <f t="shared" si="8"/>
        <v>3900</v>
      </c>
      <c r="H190" s="49"/>
    </row>
    <row r="191">
      <c r="D191" s="54" t="s">
        <v>84</v>
      </c>
      <c r="E191" s="17">
        <v>2.0</v>
      </c>
      <c r="F191" s="10">
        <v>790.0</v>
      </c>
      <c r="G191" s="34">
        <f t="shared" si="8"/>
        <v>1580</v>
      </c>
      <c r="H191" s="49"/>
    </row>
    <row r="192">
      <c r="D192" s="54" t="s">
        <v>189</v>
      </c>
      <c r="E192" s="17">
        <v>2.0</v>
      </c>
      <c r="F192" s="10">
        <v>200.0</v>
      </c>
      <c r="G192" s="34">
        <f t="shared" si="8"/>
        <v>400</v>
      </c>
      <c r="H192" s="49"/>
    </row>
    <row r="193">
      <c r="D193" s="54" t="s">
        <v>190</v>
      </c>
      <c r="E193" s="17">
        <v>14.0</v>
      </c>
      <c r="F193" s="10">
        <v>190.0</v>
      </c>
      <c r="G193" s="34">
        <f t="shared" si="8"/>
        <v>2660</v>
      </c>
      <c r="H193" s="49"/>
    </row>
    <row r="194">
      <c r="D194" s="54" t="s">
        <v>67</v>
      </c>
      <c r="E194" s="17">
        <v>3.6</v>
      </c>
      <c r="F194" s="10">
        <v>1900.0</v>
      </c>
      <c r="G194" s="34">
        <f t="shared" si="8"/>
        <v>6840</v>
      </c>
      <c r="H194" s="49"/>
    </row>
    <row r="195">
      <c r="D195" s="54" t="s">
        <v>178</v>
      </c>
      <c r="E195" s="17">
        <v>10.0</v>
      </c>
      <c r="F195" s="10">
        <v>50.0</v>
      </c>
      <c r="G195" s="34">
        <f t="shared" si="8"/>
        <v>500</v>
      </c>
      <c r="H195" s="49"/>
    </row>
    <row r="196">
      <c r="D196" s="54" t="s">
        <v>191</v>
      </c>
      <c r="E196" s="17">
        <v>10.0</v>
      </c>
      <c r="F196" s="10">
        <v>1680.0</v>
      </c>
      <c r="G196" s="34">
        <f t="shared" si="8"/>
        <v>16800</v>
      </c>
      <c r="H196" s="49"/>
    </row>
    <row r="197">
      <c r="D197" s="54" t="s">
        <v>192</v>
      </c>
      <c r="E197" s="17">
        <v>1.0</v>
      </c>
      <c r="F197" s="10">
        <v>900.0</v>
      </c>
      <c r="G197" s="34">
        <f t="shared" si="8"/>
        <v>900</v>
      </c>
      <c r="H197" s="49"/>
    </row>
    <row r="198">
      <c r="D198" s="54" t="s">
        <v>193</v>
      </c>
      <c r="E198" s="17">
        <v>1.5</v>
      </c>
      <c r="F198" s="10">
        <v>1000.0</v>
      </c>
      <c r="G198" s="34">
        <f t="shared" si="8"/>
        <v>1500</v>
      </c>
      <c r="H198" s="49"/>
    </row>
    <row r="199">
      <c r="D199" s="54" t="s">
        <v>194</v>
      </c>
      <c r="E199" s="17">
        <v>6.0</v>
      </c>
      <c r="F199" s="10">
        <v>100.0</v>
      </c>
      <c r="G199" s="34">
        <f t="shared" si="8"/>
        <v>600</v>
      </c>
      <c r="H199" s="49"/>
    </row>
    <row r="200">
      <c r="D200" s="54" t="s">
        <v>165</v>
      </c>
      <c r="E200" s="17">
        <v>13.0</v>
      </c>
      <c r="F200" s="10">
        <v>150.0</v>
      </c>
      <c r="G200" s="34">
        <f t="shared" si="8"/>
        <v>1950</v>
      </c>
      <c r="H200" s="49"/>
    </row>
    <row r="201">
      <c r="D201" s="54" t="s">
        <v>195</v>
      </c>
      <c r="E201" s="17">
        <v>3.0</v>
      </c>
      <c r="F201" s="10">
        <v>40.0</v>
      </c>
      <c r="G201" s="34">
        <f t="shared" si="8"/>
        <v>120</v>
      </c>
      <c r="H201" s="49"/>
    </row>
    <row r="202">
      <c r="D202" s="54" t="s">
        <v>196</v>
      </c>
      <c r="E202" s="17">
        <v>4.0</v>
      </c>
      <c r="F202" s="10">
        <v>270.0</v>
      </c>
      <c r="G202" s="34">
        <f t="shared" si="8"/>
        <v>1080</v>
      </c>
      <c r="H202" s="49"/>
    </row>
    <row r="203">
      <c r="D203" s="54" t="s">
        <v>197</v>
      </c>
      <c r="E203" s="17">
        <v>2.0</v>
      </c>
      <c r="F203" s="10">
        <v>250.0</v>
      </c>
      <c r="G203" s="34">
        <f t="shared" si="8"/>
        <v>500</v>
      </c>
      <c r="H203" s="49"/>
    </row>
    <row r="204">
      <c r="D204" s="54" t="s">
        <v>198</v>
      </c>
      <c r="E204" s="17">
        <v>1.0</v>
      </c>
      <c r="F204" s="10">
        <v>100.0</v>
      </c>
      <c r="G204" s="34">
        <f t="shared" si="8"/>
        <v>100</v>
      </c>
      <c r="H204" s="49"/>
    </row>
    <row r="205">
      <c r="D205" s="54" t="s">
        <v>199</v>
      </c>
      <c r="E205" s="17">
        <v>1.0</v>
      </c>
      <c r="F205" s="10">
        <v>500.0</v>
      </c>
      <c r="G205" s="34">
        <f t="shared" si="8"/>
        <v>500</v>
      </c>
      <c r="H205" s="49"/>
    </row>
    <row r="206">
      <c r="D206" s="54" t="s">
        <v>165</v>
      </c>
      <c r="E206" s="17">
        <v>30.0</v>
      </c>
      <c r="F206" s="10">
        <v>110.0</v>
      </c>
      <c r="G206" s="34">
        <f t="shared" si="8"/>
        <v>3300</v>
      </c>
      <c r="H206" s="49"/>
    </row>
    <row r="207">
      <c r="D207" s="54" t="s">
        <v>193</v>
      </c>
      <c r="E207" s="17">
        <v>1.5</v>
      </c>
      <c r="F207" s="10">
        <v>900.0</v>
      </c>
      <c r="G207" s="34">
        <f t="shared" si="8"/>
        <v>1350</v>
      </c>
      <c r="H207" s="49"/>
    </row>
    <row r="208">
      <c r="D208" s="54" t="s">
        <v>200</v>
      </c>
      <c r="E208" s="17">
        <v>11.0</v>
      </c>
      <c r="F208" s="10">
        <v>120.0</v>
      </c>
      <c r="G208" s="34">
        <f t="shared" si="8"/>
        <v>1320</v>
      </c>
      <c r="H208" s="49"/>
    </row>
    <row r="209">
      <c r="D209" s="54" t="s">
        <v>201</v>
      </c>
      <c r="E209" s="17">
        <v>1.0</v>
      </c>
      <c r="F209" s="10">
        <v>300.0</v>
      </c>
      <c r="G209" s="34">
        <f t="shared" si="8"/>
        <v>300</v>
      </c>
      <c r="H209" s="49"/>
    </row>
    <row r="210">
      <c r="D210" s="54" t="s">
        <v>200</v>
      </c>
      <c r="E210" s="17">
        <v>10.0</v>
      </c>
      <c r="F210" s="10">
        <v>120.0</v>
      </c>
      <c r="G210" s="34">
        <f t="shared" si="8"/>
        <v>1200</v>
      </c>
      <c r="H210" s="9">
        <v>45399.0</v>
      </c>
    </row>
    <row r="211">
      <c r="D211" s="54" t="s">
        <v>193</v>
      </c>
      <c r="E211" s="17">
        <v>1.5</v>
      </c>
      <c r="F211" s="10">
        <v>900.0</v>
      </c>
      <c r="G211" s="34">
        <f t="shared" si="8"/>
        <v>1350</v>
      </c>
      <c r="H211" s="49"/>
    </row>
    <row r="212">
      <c r="D212" s="54" t="s">
        <v>202</v>
      </c>
      <c r="E212" s="17">
        <v>2.0</v>
      </c>
      <c r="F212" s="10">
        <v>150.0</v>
      </c>
      <c r="G212" s="34">
        <f t="shared" si="8"/>
        <v>300</v>
      </c>
      <c r="H212" s="49"/>
    </row>
    <row r="213">
      <c r="D213" s="54" t="s">
        <v>203</v>
      </c>
      <c r="E213" s="17">
        <v>1.0</v>
      </c>
      <c r="F213" s="10">
        <v>100.0</v>
      </c>
      <c r="G213" s="34">
        <f t="shared" si="8"/>
        <v>100</v>
      </c>
      <c r="H213" s="49"/>
    </row>
    <row r="214">
      <c r="D214" s="54" t="s">
        <v>204</v>
      </c>
      <c r="E214" s="17">
        <v>1.0</v>
      </c>
      <c r="F214" s="10">
        <v>500.0</v>
      </c>
      <c r="G214" s="34">
        <f t="shared" si="8"/>
        <v>500</v>
      </c>
      <c r="H214" s="49"/>
    </row>
    <row r="215">
      <c r="D215" s="54" t="s">
        <v>205</v>
      </c>
      <c r="E215" s="17">
        <v>1.0</v>
      </c>
      <c r="F215" s="10">
        <v>2000.0</v>
      </c>
      <c r="G215" s="34">
        <f t="shared" si="8"/>
        <v>2000</v>
      </c>
      <c r="H215" s="49"/>
    </row>
    <row r="216">
      <c r="D216" s="54" t="s">
        <v>206</v>
      </c>
      <c r="E216" s="17">
        <v>20.0</v>
      </c>
      <c r="F216" s="10">
        <v>110.0</v>
      </c>
      <c r="G216" s="34">
        <f t="shared" si="8"/>
        <v>2200</v>
      </c>
      <c r="H216" s="9">
        <v>45400.0</v>
      </c>
    </row>
    <row r="217">
      <c r="D217" s="54" t="s">
        <v>193</v>
      </c>
      <c r="E217" s="17">
        <v>2.0</v>
      </c>
      <c r="F217" s="10">
        <v>800.0</v>
      </c>
      <c r="G217" s="34">
        <f t="shared" si="8"/>
        <v>1600</v>
      </c>
      <c r="H217" s="49"/>
    </row>
    <row r="218">
      <c r="D218" s="54" t="s">
        <v>200</v>
      </c>
      <c r="E218" s="17">
        <v>10.0</v>
      </c>
      <c r="F218" s="10">
        <v>120.0</v>
      </c>
      <c r="G218" s="34">
        <f t="shared" si="8"/>
        <v>1200</v>
      </c>
      <c r="H218" s="49"/>
    </row>
    <row r="219">
      <c r="D219" s="54" t="s">
        <v>68</v>
      </c>
      <c r="E219" s="17">
        <v>6.0</v>
      </c>
      <c r="F219" s="10">
        <v>350.0</v>
      </c>
      <c r="G219" s="34">
        <f t="shared" si="8"/>
        <v>2100</v>
      </c>
      <c r="H219" s="49"/>
    </row>
    <row r="220">
      <c r="D220" s="54" t="s">
        <v>132</v>
      </c>
      <c r="E220" s="17">
        <v>2.0</v>
      </c>
      <c r="F220" s="10">
        <v>120.0</v>
      </c>
      <c r="G220" s="34">
        <f t="shared" si="8"/>
        <v>240</v>
      </c>
      <c r="H220" s="49"/>
    </row>
    <row r="221">
      <c r="D221" s="54" t="s">
        <v>192</v>
      </c>
      <c r="E221" s="17">
        <v>2.0</v>
      </c>
      <c r="F221" s="10">
        <v>850.0</v>
      </c>
      <c r="G221" s="34">
        <f t="shared" si="8"/>
        <v>1700</v>
      </c>
      <c r="H221" s="9">
        <v>45401.0</v>
      </c>
    </row>
    <row r="222">
      <c r="D222" s="54" t="s">
        <v>200</v>
      </c>
      <c r="E222" s="17">
        <v>5.0</v>
      </c>
      <c r="F222" s="10">
        <v>100.0</v>
      </c>
      <c r="G222" s="34">
        <f t="shared" si="8"/>
        <v>500</v>
      </c>
      <c r="H222" s="49"/>
    </row>
    <row r="223">
      <c r="D223" s="54" t="s">
        <v>165</v>
      </c>
      <c r="E223" s="17">
        <v>25.0</v>
      </c>
      <c r="F223" s="10">
        <v>110.0</v>
      </c>
      <c r="G223" s="34">
        <f t="shared" si="8"/>
        <v>2750</v>
      </c>
      <c r="H223" s="49"/>
    </row>
    <row r="224">
      <c r="D224" s="54" t="s">
        <v>130</v>
      </c>
      <c r="E224" s="17">
        <v>1.0</v>
      </c>
      <c r="F224" s="10">
        <v>600.0</v>
      </c>
      <c r="G224" s="34">
        <f t="shared" si="8"/>
        <v>600</v>
      </c>
      <c r="H224" s="49"/>
    </row>
    <row r="225">
      <c r="D225" s="54" t="s">
        <v>207</v>
      </c>
      <c r="E225" s="17">
        <v>0.5</v>
      </c>
      <c r="F225" s="10">
        <v>400.0</v>
      </c>
      <c r="G225" s="34">
        <f t="shared" si="8"/>
        <v>200</v>
      </c>
      <c r="H225" s="49"/>
    </row>
    <row r="226">
      <c r="D226" s="54" t="s">
        <v>208</v>
      </c>
      <c r="E226" s="17">
        <v>3.0</v>
      </c>
      <c r="F226" s="10">
        <v>250.0</v>
      </c>
      <c r="G226" s="34">
        <f t="shared" si="8"/>
        <v>750</v>
      </c>
      <c r="H226" s="49"/>
    </row>
    <row r="227">
      <c r="D227" s="54" t="s">
        <v>209</v>
      </c>
      <c r="E227" s="17">
        <v>1.0</v>
      </c>
      <c r="F227" s="10">
        <v>900.0</v>
      </c>
      <c r="G227" s="34">
        <f t="shared" si="8"/>
        <v>900</v>
      </c>
      <c r="H227" s="49"/>
    </row>
    <row r="228">
      <c r="D228" s="54" t="s">
        <v>210</v>
      </c>
      <c r="E228" s="17">
        <v>1.0</v>
      </c>
      <c r="F228" s="10">
        <v>750.0</v>
      </c>
      <c r="G228" s="34">
        <f t="shared" si="8"/>
        <v>750</v>
      </c>
      <c r="H228" s="49"/>
    </row>
    <row r="229">
      <c r="D229" s="54" t="s">
        <v>135</v>
      </c>
      <c r="E229" s="17">
        <v>3.0</v>
      </c>
      <c r="F229" s="10">
        <v>100.0</v>
      </c>
      <c r="G229" s="34">
        <f t="shared" si="8"/>
        <v>300</v>
      </c>
      <c r="H229" s="49"/>
    </row>
    <row r="230">
      <c r="D230" s="54" t="s">
        <v>147</v>
      </c>
      <c r="E230" s="17">
        <v>1.0</v>
      </c>
      <c r="F230" s="10">
        <v>50.0</v>
      </c>
      <c r="G230" s="34">
        <f t="shared" si="8"/>
        <v>50</v>
      </c>
      <c r="H230" s="49"/>
    </row>
    <row r="231">
      <c r="D231" s="54" t="s">
        <v>211</v>
      </c>
      <c r="E231" s="17">
        <v>2.0</v>
      </c>
      <c r="F231" s="10">
        <v>50.0</v>
      </c>
      <c r="G231" s="34">
        <f t="shared" si="8"/>
        <v>100</v>
      </c>
      <c r="H231" s="49"/>
    </row>
    <row r="232">
      <c r="D232" s="54" t="s">
        <v>212</v>
      </c>
      <c r="E232" s="17">
        <v>0.5</v>
      </c>
      <c r="F232" s="10">
        <v>1000.0</v>
      </c>
      <c r="G232" s="34">
        <f t="shared" si="8"/>
        <v>500</v>
      </c>
      <c r="H232" s="49"/>
    </row>
    <row r="233">
      <c r="D233" s="54" t="s">
        <v>200</v>
      </c>
      <c r="E233" s="17">
        <v>5.0</v>
      </c>
      <c r="F233" s="10">
        <v>100.0</v>
      </c>
      <c r="G233" s="34">
        <f t="shared" si="8"/>
        <v>500</v>
      </c>
      <c r="H233" s="49"/>
    </row>
    <row r="234">
      <c r="D234" s="54" t="s">
        <v>213</v>
      </c>
      <c r="E234" s="17">
        <v>2.0</v>
      </c>
      <c r="F234" s="10">
        <v>900.0</v>
      </c>
      <c r="G234" s="34">
        <f t="shared" si="8"/>
        <v>1800</v>
      </c>
      <c r="H234" s="49"/>
    </row>
    <row r="235">
      <c r="D235" s="54" t="s">
        <v>214</v>
      </c>
      <c r="E235" s="17">
        <v>5.0</v>
      </c>
      <c r="F235" s="10">
        <v>50.0</v>
      </c>
      <c r="G235" s="34">
        <f t="shared" si="8"/>
        <v>250</v>
      </c>
      <c r="H235" s="49"/>
    </row>
    <row r="236">
      <c r="D236" s="54" t="s">
        <v>206</v>
      </c>
      <c r="E236" s="17">
        <v>20.0</v>
      </c>
      <c r="F236" s="10">
        <v>120.0</v>
      </c>
      <c r="G236" s="34">
        <f t="shared" si="8"/>
        <v>2400</v>
      </c>
      <c r="H236" s="49"/>
    </row>
    <row r="237">
      <c r="D237" s="54" t="s">
        <v>206</v>
      </c>
      <c r="E237" s="17">
        <v>10.0</v>
      </c>
      <c r="F237" s="10">
        <v>130.0</v>
      </c>
      <c r="G237" s="34">
        <f t="shared" si="8"/>
        <v>1300</v>
      </c>
      <c r="H237" s="49"/>
    </row>
    <row r="238">
      <c r="D238" s="54" t="s">
        <v>147</v>
      </c>
      <c r="E238" s="17">
        <v>1.0</v>
      </c>
      <c r="F238" s="10">
        <v>50.0</v>
      </c>
      <c r="G238" s="34">
        <f t="shared" si="8"/>
        <v>50</v>
      </c>
      <c r="H238" s="49"/>
    </row>
    <row r="239">
      <c r="D239" s="54" t="s">
        <v>215</v>
      </c>
      <c r="E239" s="17">
        <v>1.0</v>
      </c>
      <c r="F239" s="10">
        <v>2000.0</v>
      </c>
      <c r="G239" s="34">
        <f t="shared" si="8"/>
        <v>2000</v>
      </c>
      <c r="H239" s="49"/>
    </row>
    <row r="240">
      <c r="D240" s="54" t="s">
        <v>216</v>
      </c>
      <c r="E240" s="17">
        <v>1.0</v>
      </c>
      <c r="F240" s="10">
        <v>1000.0</v>
      </c>
      <c r="G240" s="34">
        <f t="shared" si="8"/>
        <v>1000</v>
      </c>
      <c r="H240" s="49"/>
    </row>
    <row r="241">
      <c r="D241" s="54" t="s">
        <v>86</v>
      </c>
      <c r="E241" s="17">
        <v>2.0</v>
      </c>
      <c r="F241" s="10">
        <v>650.0</v>
      </c>
      <c r="G241" s="34">
        <f t="shared" si="8"/>
        <v>1300</v>
      </c>
      <c r="H241" s="49"/>
    </row>
    <row r="242">
      <c r="D242" s="54" t="s">
        <v>197</v>
      </c>
      <c r="E242" s="17">
        <v>1.0</v>
      </c>
      <c r="F242" s="10">
        <v>300.0</v>
      </c>
      <c r="G242" s="34">
        <f t="shared" si="8"/>
        <v>300</v>
      </c>
      <c r="H242" s="49"/>
    </row>
    <row r="243">
      <c r="D243" s="54" t="s">
        <v>217</v>
      </c>
      <c r="E243" s="17">
        <v>1.0</v>
      </c>
      <c r="F243" s="10">
        <v>250.0</v>
      </c>
      <c r="G243" s="34">
        <f t="shared" si="8"/>
        <v>250</v>
      </c>
      <c r="H243" s="49"/>
    </row>
    <row r="244">
      <c r="D244" s="54" t="s">
        <v>218</v>
      </c>
      <c r="E244" s="17">
        <v>2.0</v>
      </c>
      <c r="F244" s="10">
        <v>200.0</v>
      </c>
      <c r="G244" s="34">
        <f t="shared" si="8"/>
        <v>400</v>
      </c>
      <c r="H244" s="49"/>
    </row>
    <row r="245">
      <c r="D245" s="54" t="s">
        <v>219</v>
      </c>
      <c r="E245" s="17">
        <v>1.0</v>
      </c>
      <c r="F245" s="10">
        <v>150.0</v>
      </c>
      <c r="G245" s="34">
        <f t="shared" si="8"/>
        <v>150</v>
      </c>
      <c r="H245" s="49"/>
    </row>
    <row r="246">
      <c r="D246" s="54" t="s">
        <v>220</v>
      </c>
      <c r="E246" s="17">
        <v>5.0</v>
      </c>
      <c r="F246" s="10">
        <v>250.0</v>
      </c>
      <c r="G246" s="34">
        <f t="shared" si="8"/>
        <v>1250</v>
      </c>
      <c r="H246" s="49"/>
    </row>
    <row r="247">
      <c r="D247" s="54" t="s">
        <v>221</v>
      </c>
      <c r="E247" s="17">
        <v>1.0</v>
      </c>
      <c r="F247" s="10">
        <v>210.0</v>
      </c>
      <c r="G247" s="34">
        <f t="shared" si="8"/>
        <v>210</v>
      </c>
      <c r="H247" s="49"/>
    </row>
    <row r="248">
      <c r="D248" s="54" t="s">
        <v>222</v>
      </c>
      <c r="E248" s="17">
        <v>2.0</v>
      </c>
      <c r="F248" s="10">
        <v>50.0</v>
      </c>
      <c r="G248" s="34">
        <f t="shared" si="8"/>
        <v>100</v>
      </c>
      <c r="H248" s="49"/>
    </row>
    <row r="249">
      <c r="D249" s="54" t="s">
        <v>207</v>
      </c>
      <c r="E249" s="17">
        <v>0.5</v>
      </c>
      <c r="F249" s="10">
        <v>400.0</v>
      </c>
      <c r="G249" s="34">
        <f t="shared" si="8"/>
        <v>200</v>
      </c>
      <c r="H249" s="49"/>
    </row>
    <row r="250">
      <c r="D250" s="54" t="s">
        <v>223</v>
      </c>
      <c r="E250" s="17">
        <v>5.0</v>
      </c>
      <c r="F250" s="10">
        <v>100.0</v>
      </c>
      <c r="G250" s="34">
        <f t="shared" si="8"/>
        <v>500</v>
      </c>
      <c r="H250" s="49"/>
    </row>
    <row r="251">
      <c r="D251" s="54" t="s">
        <v>212</v>
      </c>
      <c r="E251" s="17">
        <v>0.75</v>
      </c>
      <c r="F251" s="10">
        <v>1500.0</v>
      </c>
      <c r="G251" s="34">
        <f t="shared" si="8"/>
        <v>1125</v>
      </c>
      <c r="H251" s="49"/>
    </row>
    <row r="252">
      <c r="D252" s="54" t="s">
        <v>224</v>
      </c>
      <c r="E252" s="17">
        <v>1.0</v>
      </c>
      <c r="F252" s="10">
        <v>150.0</v>
      </c>
      <c r="G252" s="34">
        <f t="shared" si="8"/>
        <v>150</v>
      </c>
      <c r="H252" s="49"/>
    </row>
    <row r="253">
      <c r="D253" s="54" t="s">
        <v>225</v>
      </c>
      <c r="E253" s="17">
        <v>1.0</v>
      </c>
      <c r="F253" s="10">
        <v>200.0</v>
      </c>
      <c r="G253" s="34">
        <f t="shared" si="8"/>
        <v>200</v>
      </c>
      <c r="H253" s="49"/>
    </row>
    <row r="254">
      <c r="D254" s="54" t="s">
        <v>226</v>
      </c>
      <c r="E254" s="17">
        <v>1.0</v>
      </c>
      <c r="F254" s="10">
        <v>200.0</v>
      </c>
      <c r="G254" s="34">
        <f t="shared" si="8"/>
        <v>200</v>
      </c>
      <c r="H254" s="49"/>
    </row>
    <row r="255">
      <c r="D255" s="54" t="s">
        <v>227</v>
      </c>
      <c r="E255" s="17">
        <v>1.0</v>
      </c>
      <c r="F255" s="10">
        <v>50.0</v>
      </c>
      <c r="G255" s="34">
        <f t="shared" si="8"/>
        <v>50</v>
      </c>
      <c r="H255" s="49"/>
    </row>
    <row r="256">
      <c r="D256" s="54" t="s">
        <v>228</v>
      </c>
      <c r="E256" s="17">
        <v>3.0</v>
      </c>
      <c r="F256" s="10">
        <v>30.0</v>
      </c>
      <c r="G256" s="34">
        <f t="shared" si="8"/>
        <v>90</v>
      </c>
      <c r="H256" s="49"/>
    </row>
    <row r="257">
      <c r="D257" s="54" t="s">
        <v>229</v>
      </c>
      <c r="E257" s="17">
        <v>1.0</v>
      </c>
      <c r="F257" s="10">
        <v>300.0</v>
      </c>
      <c r="G257" s="34">
        <f t="shared" si="8"/>
        <v>300</v>
      </c>
      <c r="H257" s="49"/>
    </row>
    <row r="258">
      <c r="D258" s="54" t="s">
        <v>230</v>
      </c>
      <c r="E258" s="17">
        <v>10.0</v>
      </c>
      <c r="F258" s="10">
        <v>50.0</v>
      </c>
      <c r="G258" s="34">
        <f t="shared" si="8"/>
        <v>500</v>
      </c>
      <c r="H258" s="49"/>
    </row>
    <row r="259">
      <c r="D259" s="54" t="s">
        <v>231</v>
      </c>
      <c r="E259" s="17">
        <v>1.5</v>
      </c>
      <c r="F259" s="10">
        <v>350.0</v>
      </c>
      <c r="G259" s="34">
        <f t="shared" si="8"/>
        <v>525</v>
      </c>
      <c r="H259" s="49"/>
    </row>
    <row r="260">
      <c r="D260" s="54" t="s">
        <v>232</v>
      </c>
      <c r="E260" s="17">
        <v>2.0</v>
      </c>
      <c r="F260" s="10">
        <v>100.0</v>
      </c>
      <c r="G260" s="34">
        <f t="shared" si="8"/>
        <v>200</v>
      </c>
      <c r="H260" s="49"/>
    </row>
    <row r="261">
      <c r="D261" s="54" t="s">
        <v>233</v>
      </c>
      <c r="E261" s="17">
        <v>1.0</v>
      </c>
      <c r="F261" s="10">
        <v>350.0</v>
      </c>
      <c r="G261" s="34">
        <f t="shared" si="8"/>
        <v>350</v>
      </c>
      <c r="H261" s="49"/>
    </row>
    <row r="262">
      <c r="D262" s="54" t="s">
        <v>234</v>
      </c>
      <c r="E262" s="17">
        <v>19.0</v>
      </c>
      <c r="F262" s="10">
        <v>25.0</v>
      </c>
      <c r="G262" s="34">
        <f t="shared" si="8"/>
        <v>475</v>
      </c>
      <c r="H262" s="49"/>
    </row>
    <row r="263">
      <c r="D263" s="54" t="s">
        <v>147</v>
      </c>
      <c r="E263" s="17">
        <v>1.0</v>
      </c>
      <c r="F263" s="10">
        <v>120.0</v>
      </c>
      <c r="G263" s="34">
        <f t="shared" si="8"/>
        <v>120</v>
      </c>
      <c r="H263" s="49"/>
    </row>
    <row r="264">
      <c r="D264" s="54" t="s">
        <v>211</v>
      </c>
      <c r="E264" s="17">
        <v>5.0</v>
      </c>
      <c r="F264" s="10">
        <v>60.0</v>
      </c>
      <c r="G264" s="34">
        <f t="shared" si="8"/>
        <v>300</v>
      </c>
      <c r="H264" s="49"/>
    </row>
    <row r="265">
      <c r="D265" s="54" t="s">
        <v>165</v>
      </c>
      <c r="E265" s="17">
        <v>60.0</v>
      </c>
      <c r="F265" s="10">
        <v>75.0</v>
      </c>
      <c r="G265" s="34">
        <f t="shared" si="8"/>
        <v>4500</v>
      </c>
      <c r="H265" s="49"/>
    </row>
    <row r="266">
      <c r="D266" s="54" t="s">
        <v>86</v>
      </c>
      <c r="E266" s="17">
        <v>6.0</v>
      </c>
      <c r="F266" s="10">
        <v>650.0</v>
      </c>
      <c r="G266" s="34">
        <f t="shared" si="8"/>
        <v>3900</v>
      </c>
      <c r="H266" s="49"/>
    </row>
    <row r="267">
      <c r="D267" s="54" t="s">
        <v>235</v>
      </c>
      <c r="E267" s="17">
        <v>12.0</v>
      </c>
      <c r="F267" s="10">
        <v>25.0</v>
      </c>
      <c r="G267" s="34">
        <f t="shared" si="8"/>
        <v>300</v>
      </c>
      <c r="H267" s="49"/>
    </row>
    <row r="268">
      <c r="D268" s="54" t="s">
        <v>236</v>
      </c>
      <c r="E268" s="17">
        <v>1.0</v>
      </c>
      <c r="F268" s="10">
        <v>920.0</v>
      </c>
      <c r="G268" s="34">
        <f t="shared" si="8"/>
        <v>920</v>
      </c>
      <c r="H268" s="49"/>
    </row>
    <row r="269">
      <c r="D269" s="54" t="s">
        <v>237</v>
      </c>
      <c r="E269" s="17">
        <v>1.0</v>
      </c>
      <c r="F269" s="10">
        <v>210.0</v>
      </c>
      <c r="G269" s="34">
        <f t="shared" si="8"/>
        <v>210</v>
      </c>
      <c r="H269" s="49"/>
    </row>
    <row r="270">
      <c r="D270" s="54" t="s">
        <v>238</v>
      </c>
      <c r="E270" s="17">
        <v>1.0</v>
      </c>
      <c r="F270" s="10">
        <v>560.0</v>
      </c>
      <c r="G270" s="34">
        <f t="shared" si="8"/>
        <v>560</v>
      </c>
      <c r="H270" s="49"/>
    </row>
    <row r="271">
      <c r="D271" s="54" t="s">
        <v>239</v>
      </c>
      <c r="E271" s="17">
        <v>5.0</v>
      </c>
      <c r="F271" s="10">
        <v>30.0</v>
      </c>
      <c r="G271" s="34">
        <f t="shared" si="8"/>
        <v>150</v>
      </c>
      <c r="H271" s="49"/>
    </row>
    <row r="272">
      <c r="D272" s="54" t="s">
        <v>128</v>
      </c>
      <c r="E272" s="17">
        <v>8.0</v>
      </c>
      <c r="F272" s="10">
        <v>800.0</v>
      </c>
      <c r="G272" s="34">
        <f t="shared" si="8"/>
        <v>6400</v>
      </c>
      <c r="H272" s="49"/>
    </row>
    <row r="273">
      <c r="D273" s="54" t="s">
        <v>129</v>
      </c>
      <c r="E273" s="17">
        <v>0.5</v>
      </c>
      <c r="F273" s="10">
        <v>1200.0</v>
      </c>
      <c r="G273" s="34">
        <f t="shared" si="8"/>
        <v>600</v>
      </c>
      <c r="H273" s="49"/>
    </row>
    <row r="274">
      <c r="D274" s="54" t="s">
        <v>240</v>
      </c>
      <c r="E274" s="17">
        <v>1.0</v>
      </c>
      <c r="F274" s="10">
        <v>750.0</v>
      </c>
      <c r="G274" s="34">
        <f t="shared" si="8"/>
        <v>750</v>
      </c>
      <c r="H274" s="49"/>
    </row>
    <row r="275">
      <c r="D275" s="54" t="s">
        <v>241</v>
      </c>
      <c r="E275" s="17">
        <v>1.0</v>
      </c>
      <c r="F275" s="10">
        <v>100.0</v>
      </c>
      <c r="G275" s="34">
        <f t="shared" si="8"/>
        <v>100</v>
      </c>
      <c r="H275" s="49"/>
    </row>
    <row r="276">
      <c r="D276" s="54" t="s">
        <v>86</v>
      </c>
      <c r="E276" s="17">
        <v>16.0</v>
      </c>
      <c r="F276" s="10">
        <v>600.0</v>
      </c>
      <c r="G276" s="34">
        <f t="shared" si="8"/>
        <v>9600</v>
      </c>
      <c r="H276" s="49"/>
    </row>
    <row r="277">
      <c r="D277" s="54" t="s">
        <v>188</v>
      </c>
      <c r="E277" s="17">
        <v>4.0</v>
      </c>
      <c r="F277" s="10">
        <v>320.0</v>
      </c>
      <c r="G277" s="34">
        <f t="shared" si="8"/>
        <v>1280</v>
      </c>
      <c r="H277" s="49"/>
    </row>
    <row r="278">
      <c r="D278" s="54" t="s">
        <v>81</v>
      </c>
      <c r="E278" s="17">
        <v>24.0</v>
      </c>
      <c r="F278" s="10">
        <v>65.0</v>
      </c>
      <c r="G278" s="34">
        <f t="shared" si="8"/>
        <v>1560</v>
      </c>
      <c r="H278" s="49"/>
    </row>
    <row r="279">
      <c r="D279" s="54" t="s">
        <v>242</v>
      </c>
      <c r="E279" s="17">
        <v>5.0</v>
      </c>
      <c r="F279" s="10">
        <v>400.0</v>
      </c>
      <c r="G279" s="34">
        <f t="shared" si="8"/>
        <v>2000</v>
      </c>
      <c r="H279" s="49"/>
    </row>
    <row r="280">
      <c r="D280" s="54" t="s">
        <v>243</v>
      </c>
      <c r="E280" s="17">
        <v>10.0</v>
      </c>
      <c r="F280" s="10">
        <v>120.0</v>
      </c>
      <c r="G280" s="34">
        <f t="shared" si="8"/>
        <v>1200</v>
      </c>
      <c r="H280" s="49"/>
    </row>
    <row r="281">
      <c r="D281" s="54" t="s">
        <v>170</v>
      </c>
      <c r="E281" s="17">
        <v>2.0</v>
      </c>
      <c r="F281" s="10">
        <v>1300.0</v>
      </c>
      <c r="G281" s="34">
        <f t="shared" si="8"/>
        <v>2600</v>
      </c>
      <c r="H281" s="49"/>
    </row>
    <row r="282">
      <c r="D282" s="54" t="s">
        <v>244</v>
      </c>
      <c r="E282" s="17">
        <v>2.5</v>
      </c>
      <c r="F282" s="10">
        <v>800.0</v>
      </c>
      <c r="G282" s="34">
        <f t="shared" si="8"/>
        <v>2000</v>
      </c>
      <c r="H282" s="49"/>
    </row>
    <row r="283">
      <c r="D283" s="54" t="s">
        <v>245</v>
      </c>
      <c r="E283" s="17">
        <v>2.0</v>
      </c>
      <c r="F283" s="10">
        <v>80.0</v>
      </c>
      <c r="G283" s="34">
        <f t="shared" si="8"/>
        <v>160</v>
      </c>
      <c r="H283" s="49"/>
    </row>
    <row r="284">
      <c r="D284" s="54" t="s">
        <v>246</v>
      </c>
      <c r="E284" s="17">
        <v>1.0</v>
      </c>
      <c r="F284" s="10">
        <v>200.0</v>
      </c>
      <c r="G284" s="34">
        <f t="shared" si="8"/>
        <v>200</v>
      </c>
      <c r="H284" s="49"/>
    </row>
    <row r="285">
      <c r="D285" s="54" t="s">
        <v>247</v>
      </c>
      <c r="E285" s="17">
        <v>2.0</v>
      </c>
      <c r="F285" s="10">
        <v>100.0</v>
      </c>
      <c r="G285" s="34">
        <f t="shared" si="8"/>
        <v>200</v>
      </c>
      <c r="H285" s="49"/>
    </row>
    <row r="286">
      <c r="D286" s="54" t="s">
        <v>202</v>
      </c>
      <c r="E286" s="17">
        <v>1.0</v>
      </c>
      <c r="F286" s="10">
        <v>500.0</v>
      </c>
      <c r="G286" s="34">
        <f t="shared" si="8"/>
        <v>500</v>
      </c>
      <c r="H286" s="49"/>
    </row>
    <row r="287">
      <c r="D287" s="54" t="s">
        <v>248</v>
      </c>
      <c r="E287" s="17">
        <v>3.0</v>
      </c>
      <c r="F287" s="10">
        <v>100.0</v>
      </c>
      <c r="G287" s="34">
        <f t="shared" si="8"/>
        <v>300</v>
      </c>
      <c r="H287" s="49"/>
    </row>
    <row r="288">
      <c r="D288" s="54" t="s">
        <v>147</v>
      </c>
      <c r="E288" s="17">
        <v>1.0</v>
      </c>
      <c r="F288" s="10">
        <v>100.0</v>
      </c>
      <c r="G288" s="34">
        <f t="shared" si="8"/>
        <v>100</v>
      </c>
      <c r="H288" s="49"/>
    </row>
    <row r="289">
      <c r="D289" s="54" t="s">
        <v>249</v>
      </c>
      <c r="E289" s="17">
        <v>1.0</v>
      </c>
      <c r="F289" s="10">
        <v>150.0</v>
      </c>
      <c r="G289" s="34">
        <f t="shared" si="8"/>
        <v>150</v>
      </c>
      <c r="H289" s="49"/>
    </row>
    <row r="290">
      <c r="D290" s="54" t="s">
        <v>250</v>
      </c>
      <c r="E290" s="17">
        <v>1.0</v>
      </c>
      <c r="F290" s="10">
        <v>1650.0</v>
      </c>
      <c r="G290" s="34">
        <f t="shared" si="8"/>
        <v>1650</v>
      </c>
      <c r="H290" s="9">
        <v>45407.0</v>
      </c>
    </row>
    <row r="291">
      <c r="D291" s="54" t="s">
        <v>128</v>
      </c>
      <c r="E291" s="17">
        <v>2.0</v>
      </c>
      <c r="F291" s="10">
        <v>800.0</v>
      </c>
      <c r="G291" s="34">
        <f t="shared" si="8"/>
        <v>1600</v>
      </c>
      <c r="H291" s="49"/>
    </row>
    <row r="292">
      <c r="D292" s="54" t="s">
        <v>200</v>
      </c>
      <c r="E292" s="17">
        <v>20.0</v>
      </c>
      <c r="F292" s="10">
        <v>120.0</v>
      </c>
      <c r="G292" s="34">
        <f t="shared" si="8"/>
        <v>2400</v>
      </c>
      <c r="H292" s="49"/>
    </row>
    <row r="293">
      <c r="D293" s="54" t="s">
        <v>251</v>
      </c>
      <c r="E293" s="17">
        <v>7.0</v>
      </c>
      <c r="F293" s="10">
        <v>75.0</v>
      </c>
      <c r="G293" s="34">
        <f t="shared" si="8"/>
        <v>525</v>
      </c>
      <c r="H293" s="49"/>
    </row>
    <row r="294">
      <c r="D294" s="54" t="s">
        <v>252</v>
      </c>
      <c r="E294" s="17">
        <v>2.0</v>
      </c>
      <c r="F294" s="10">
        <v>150.0</v>
      </c>
      <c r="G294" s="34">
        <f t="shared" si="8"/>
        <v>300</v>
      </c>
      <c r="H294" s="49"/>
    </row>
    <row r="295">
      <c r="D295" s="54" t="s">
        <v>253</v>
      </c>
      <c r="E295" s="17">
        <v>1.0</v>
      </c>
      <c r="F295" s="10">
        <v>700.0</v>
      </c>
      <c r="G295" s="34">
        <f t="shared" si="8"/>
        <v>700</v>
      </c>
      <c r="H295" s="49"/>
    </row>
    <row r="296">
      <c r="D296" s="54" t="s">
        <v>145</v>
      </c>
      <c r="E296" s="17">
        <v>5.0</v>
      </c>
      <c r="F296" s="10">
        <v>100.0</v>
      </c>
      <c r="G296" s="34">
        <f t="shared" si="8"/>
        <v>500</v>
      </c>
      <c r="H296" s="49"/>
    </row>
    <row r="297">
      <c r="D297" s="54" t="s">
        <v>147</v>
      </c>
      <c r="E297" s="17">
        <v>1.0</v>
      </c>
      <c r="F297" s="10">
        <v>100.0</v>
      </c>
      <c r="G297" s="34">
        <f t="shared" si="8"/>
        <v>100</v>
      </c>
      <c r="H297" s="49"/>
    </row>
    <row r="298">
      <c r="D298" s="54" t="s">
        <v>254</v>
      </c>
      <c r="E298" s="17">
        <v>2.0</v>
      </c>
      <c r="F298" s="10">
        <v>250.0</v>
      </c>
      <c r="G298" s="34">
        <f t="shared" si="8"/>
        <v>500</v>
      </c>
      <c r="H298" s="49"/>
    </row>
    <row r="299">
      <c r="D299" s="54" t="s">
        <v>125</v>
      </c>
      <c r="E299" s="17">
        <v>2.0</v>
      </c>
      <c r="F299" s="10">
        <v>400.0</v>
      </c>
      <c r="G299" s="34">
        <f t="shared" si="8"/>
        <v>800</v>
      </c>
      <c r="H299" s="49"/>
    </row>
    <row r="300">
      <c r="D300" s="54" t="s">
        <v>255</v>
      </c>
      <c r="E300" s="17">
        <v>3.0</v>
      </c>
      <c r="F300" s="10">
        <v>30.0</v>
      </c>
      <c r="G300" s="34">
        <f t="shared" si="8"/>
        <v>90</v>
      </c>
      <c r="H300" s="49"/>
    </row>
    <row r="301">
      <c r="D301" s="54" t="s">
        <v>256</v>
      </c>
      <c r="E301" s="17">
        <v>1.0</v>
      </c>
      <c r="F301" s="10">
        <v>250.0</v>
      </c>
      <c r="G301" s="34">
        <f t="shared" si="8"/>
        <v>250</v>
      </c>
      <c r="H301" s="49"/>
    </row>
    <row r="302">
      <c r="D302" s="54" t="s">
        <v>257</v>
      </c>
      <c r="E302" s="17">
        <v>2.0</v>
      </c>
      <c r="F302" s="10">
        <v>1000.0</v>
      </c>
      <c r="G302" s="34">
        <f t="shared" si="8"/>
        <v>2000</v>
      </c>
      <c r="H302" s="49"/>
    </row>
    <row r="303">
      <c r="D303" s="54" t="s">
        <v>258</v>
      </c>
      <c r="E303" s="17">
        <v>5.0</v>
      </c>
      <c r="F303" s="10">
        <v>200.0</v>
      </c>
      <c r="G303" s="34">
        <f t="shared" si="8"/>
        <v>1000</v>
      </c>
      <c r="H303" s="49"/>
    </row>
    <row r="304">
      <c r="D304" s="54" t="s">
        <v>128</v>
      </c>
      <c r="E304" s="17">
        <v>2.5</v>
      </c>
      <c r="F304" s="10">
        <v>800.0</v>
      </c>
      <c r="G304" s="34">
        <f t="shared" si="8"/>
        <v>2000</v>
      </c>
      <c r="H304" s="49"/>
    </row>
    <row r="305">
      <c r="D305" s="54" t="s">
        <v>165</v>
      </c>
      <c r="E305" s="17">
        <v>30.0</v>
      </c>
      <c r="F305" s="10">
        <v>50.0</v>
      </c>
      <c r="G305" s="34">
        <f t="shared" si="8"/>
        <v>1500</v>
      </c>
      <c r="H305" s="49"/>
    </row>
    <row r="306">
      <c r="D306" s="54" t="s">
        <v>259</v>
      </c>
      <c r="E306" s="17">
        <v>0.5</v>
      </c>
      <c r="F306" s="10">
        <v>400.0</v>
      </c>
      <c r="G306" s="34">
        <f t="shared" si="8"/>
        <v>200</v>
      </c>
      <c r="H306" s="49"/>
    </row>
    <row r="307">
      <c r="D307" s="54" t="s">
        <v>260</v>
      </c>
      <c r="E307" s="17">
        <v>1.0</v>
      </c>
      <c r="F307" s="10">
        <v>200.0</v>
      </c>
      <c r="G307" s="34">
        <f t="shared" si="8"/>
        <v>200</v>
      </c>
      <c r="H307" s="49"/>
    </row>
    <row r="308">
      <c r="D308" s="54" t="s">
        <v>261</v>
      </c>
      <c r="E308" s="17">
        <v>3.0</v>
      </c>
      <c r="F308" s="10">
        <v>50.0</v>
      </c>
      <c r="G308" s="34">
        <f t="shared" si="8"/>
        <v>150</v>
      </c>
      <c r="H308" s="49"/>
    </row>
    <row r="309">
      <c r="D309" s="54" t="s">
        <v>189</v>
      </c>
      <c r="E309" s="17">
        <v>6.0</v>
      </c>
      <c r="F309" s="10">
        <v>350.0</v>
      </c>
      <c r="G309" s="34">
        <f t="shared" si="8"/>
        <v>2100</v>
      </c>
      <c r="H309" s="49"/>
    </row>
    <row r="310">
      <c r="D310" s="54" t="s">
        <v>262</v>
      </c>
      <c r="E310" s="17">
        <v>1.0</v>
      </c>
      <c r="F310" s="10">
        <v>1200.0</v>
      </c>
      <c r="G310" s="34">
        <f t="shared" si="8"/>
        <v>1200</v>
      </c>
      <c r="H310" s="49"/>
    </row>
    <row r="311">
      <c r="D311" s="54" t="s">
        <v>248</v>
      </c>
      <c r="E311" s="17">
        <v>4.0</v>
      </c>
      <c r="F311" s="10">
        <v>60.0</v>
      </c>
      <c r="G311" s="34">
        <f t="shared" si="8"/>
        <v>240</v>
      </c>
      <c r="H311" s="49"/>
    </row>
    <row r="312">
      <c r="D312" s="54" t="s">
        <v>64</v>
      </c>
      <c r="E312" s="17">
        <v>100.0</v>
      </c>
      <c r="F312" s="10">
        <v>6.5</v>
      </c>
      <c r="G312" s="34">
        <f t="shared" si="8"/>
        <v>650</v>
      </c>
      <c r="H312" s="49"/>
    </row>
    <row r="313">
      <c r="D313" s="54" t="s">
        <v>147</v>
      </c>
      <c r="E313" s="17">
        <v>1.0</v>
      </c>
      <c r="F313" s="10">
        <v>120.0</v>
      </c>
      <c r="G313" s="34">
        <f t="shared" si="8"/>
        <v>120</v>
      </c>
      <c r="H313" s="49"/>
    </row>
    <row r="314">
      <c r="D314" s="54" t="s">
        <v>263</v>
      </c>
      <c r="E314" s="17">
        <v>5.0</v>
      </c>
      <c r="F314" s="10">
        <v>50.0</v>
      </c>
      <c r="G314" s="34">
        <f t="shared" si="8"/>
        <v>250</v>
      </c>
      <c r="H314" s="49"/>
    </row>
    <row r="315">
      <c r="D315" s="54" t="s">
        <v>125</v>
      </c>
      <c r="E315" s="17">
        <v>1.0</v>
      </c>
      <c r="F315" s="10">
        <v>400.0</v>
      </c>
      <c r="G315" s="34">
        <f t="shared" si="8"/>
        <v>400</v>
      </c>
      <c r="H315" s="49"/>
    </row>
    <row r="316">
      <c r="D316" s="54" t="s">
        <v>200</v>
      </c>
      <c r="E316" s="17">
        <v>20.0</v>
      </c>
      <c r="F316" s="10">
        <v>100.0</v>
      </c>
      <c r="G316" s="34">
        <f t="shared" si="8"/>
        <v>2000</v>
      </c>
      <c r="H316" s="49"/>
    </row>
    <row r="317">
      <c r="D317" s="54" t="s">
        <v>165</v>
      </c>
      <c r="E317" s="17">
        <v>20.0</v>
      </c>
      <c r="F317" s="10">
        <v>50.0</v>
      </c>
      <c r="G317" s="34">
        <f t="shared" si="8"/>
        <v>1000</v>
      </c>
      <c r="H317" s="49"/>
    </row>
    <row r="318">
      <c r="D318" s="54"/>
      <c r="E318" s="17"/>
      <c r="F318" s="10"/>
      <c r="G318" s="34"/>
      <c r="H318" s="49"/>
    </row>
    <row r="319">
      <c r="D319" s="54"/>
      <c r="E319" s="17"/>
      <c r="F319" s="10"/>
      <c r="G319" s="34"/>
      <c r="H319" s="49"/>
    </row>
    <row r="320">
      <c r="D320" s="54"/>
      <c r="E320" s="17"/>
      <c r="F320" s="10"/>
      <c r="G320" s="34"/>
      <c r="H320" s="49"/>
    </row>
    <row r="321">
      <c r="D321" s="54"/>
      <c r="E321" s="17"/>
      <c r="F321" s="10"/>
      <c r="G321" s="34"/>
      <c r="H321" s="49"/>
    </row>
    <row r="322">
      <c r="D322" s="54"/>
      <c r="E322" s="17"/>
      <c r="F322" s="10"/>
      <c r="G322" s="34"/>
      <c r="H322" s="49"/>
    </row>
    <row r="323">
      <c r="D323" s="54"/>
      <c r="E323" s="17"/>
      <c r="F323" s="10"/>
      <c r="G323" s="34"/>
      <c r="H323" s="49"/>
    </row>
    <row r="324">
      <c r="D324" s="16"/>
      <c r="E324" s="49"/>
      <c r="F324" s="34"/>
      <c r="G324" s="34">
        <f t="shared" ref="G324:G343" si="9">E324*F324</f>
        <v>0</v>
      </c>
      <c r="H324" s="49"/>
    </row>
    <row r="325">
      <c r="D325" s="16"/>
      <c r="E325" s="49"/>
      <c r="F325" s="34"/>
      <c r="G325" s="34">
        <f t="shared" si="9"/>
        <v>0</v>
      </c>
      <c r="H325" s="49"/>
    </row>
    <row r="326">
      <c r="D326" s="16"/>
      <c r="E326" s="49"/>
      <c r="F326" s="34"/>
      <c r="G326" s="34">
        <f t="shared" si="9"/>
        <v>0</v>
      </c>
      <c r="H326" s="49"/>
    </row>
    <row r="327">
      <c r="D327" s="16"/>
      <c r="E327" s="49"/>
      <c r="F327" s="34"/>
      <c r="G327" s="34">
        <f t="shared" si="9"/>
        <v>0</v>
      </c>
      <c r="H327" s="49"/>
    </row>
    <row r="328">
      <c r="D328" s="16"/>
      <c r="E328" s="49"/>
      <c r="F328" s="34"/>
      <c r="G328" s="34">
        <f t="shared" si="9"/>
        <v>0</v>
      </c>
      <c r="H328" s="49"/>
    </row>
    <row r="329">
      <c r="D329" s="16"/>
      <c r="E329" s="49"/>
      <c r="F329" s="34"/>
      <c r="G329" s="34">
        <f t="shared" si="9"/>
        <v>0</v>
      </c>
      <c r="H329" s="49"/>
    </row>
    <row r="330">
      <c r="D330" s="123" t="s">
        <v>264</v>
      </c>
      <c r="E330" s="124">
        <v>1.0</v>
      </c>
      <c r="F330" s="125">
        <v>27000.0</v>
      </c>
      <c r="G330" s="126">
        <f t="shared" si="9"/>
        <v>27000</v>
      </c>
      <c r="H330" s="127"/>
    </row>
    <row r="331">
      <c r="D331" s="54" t="s">
        <v>265</v>
      </c>
      <c r="E331" s="17">
        <v>1000.0</v>
      </c>
      <c r="F331" s="10">
        <v>60.0</v>
      </c>
      <c r="G331" s="34">
        <f t="shared" si="9"/>
        <v>60000</v>
      </c>
      <c r="H331" s="9">
        <v>45397.0</v>
      </c>
    </row>
    <row r="332">
      <c r="D332" s="54" t="s">
        <v>265</v>
      </c>
      <c r="E332" s="17">
        <v>435.0</v>
      </c>
      <c r="F332" s="10">
        <v>60.0</v>
      </c>
      <c r="G332" s="34">
        <f t="shared" si="9"/>
        <v>26100</v>
      </c>
      <c r="H332" s="49"/>
    </row>
    <row r="333">
      <c r="D333" s="8" t="s">
        <v>266</v>
      </c>
      <c r="E333" s="108">
        <v>1.0</v>
      </c>
      <c r="F333" s="109">
        <v>875.0</v>
      </c>
      <c r="G333" s="109">
        <f t="shared" si="9"/>
        <v>875</v>
      </c>
      <c r="H333" s="49"/>
    </row>
    <row r="334">
      <c r="D334" s="54" t="s">
        <v>267</v>
      </c>
      <c r="E334" s="17">
        <v>100.0</v>
      </c>
      <c r="F334" s="10">
        <v>45.0</v>
      </c>
      <c r="G334" s="34">
        <f t="shared" si="9"/>
        <v>4500</v>
      </c>
      <c r="H334" s="49"/>
    </row>
    <row r="335">
      <c r="D335" s="8" t="s">
        <v>268</v>
      </c>
      <c r="E335" s="112">
        <v>100.0</v>
      </c>
      <c r="F335" s="109">
        <v>11.5</v>
      </c>
      <c r="G335" s="109">
        <f t="shared" si="9"/>
        <v>1150</v>
      </c>
      <c r="H335" s="49"/>
    </row>
    <row r="336">
      <c r="D336" s="16" t="s">
        <v>151</v>
      </c>
      <c r="E336" s="17">
        <v>2.0</v>
      </c>
      <c r="F336" s="34">
        <v>1450.0</v>
      </c>
      <c r="G336" s="34">
        <f t="shared" si="9"/>
        <v>2900</v>
      </c>
      <c r="H336" s="49"/>
    </row>
    <row r="337">
      <c r="D337" s="54" t="s">
        <v>153</v>
      </c>
      <c r="E337" s="17">
        <v>2.0</v>
      </c>
      <c r="F337" s="10">
        <v>1100.0</v>
      </c>
      <c r="G337" s="34">
        <f t="shared" si="9"/>
        <v>2200</v>
      </c>
      <c r="H337" s="49"/>
    </row>
    <row r="338">
      <c r="D338" s="8" t="s">
        <v>269</v>
      </c>
      <c r="E338" s="108">
        <v>4.0</v>
      </c>
      <c r="F338" s="109">
        <v>850.0</v>
      </c>
      <c r="G338" s="109">
        <f t="shared" si="9"/>
        <v>3400</v>
      </c>
      <c r="H338" s="49"/>
    </row>
    <row r="339">
      <c r="D339" s="16" t="s">
        <v>270</v>
      </c>
      <c r="E339" s="17">
        <v>1.0</v>
      </c>
      <c r="F339" s="34">
        <v>1370.0</v>
      </c>
      <c r="G339" s="34">
        <f t="shared" si="9"/>
        <v>1370</v>
      </c>
      <c r="H339" s="49"/>
    </row>
    <row r="340">
      <c r="D340" s="8" t="s">
        <v>271</v>
      </c>
      <c r="E340" s="112">
        <v>30.0</v>
      </c>
      <c r="F340" s="109">
        <v>20.0</v>
      </c>
      <c r="G340" s="109">
        <f t="shared" si="9"/>
        <v>600</v>
      </c>
      <c r="H340" s="49"/>
    </row>
    <row r="341">
      <c r="D341" s="8" t="s">
        <v>272</v>
      </c>
      <c r="E341" s="112">
        <v>140.0</v>
      </c>
      <c r="F341" s="109">
        <v>17.0</v>
      </c>
      <c r="G341" s="109">
        <f t="shared" si="9"/>
        <v>2380</v>
      </c>
      <c r="H341" s="49"/>
    </row>
    <row r="342">
      <c r="D342" s="54" t="s">
        <v>273</v>
      </c>
      <c r="E342" s="17">
        <v>1.0</v>
      </c>
      <c r="F342" s="10">
        <v>2000.0</v>
      </c>
      <c r="G342" s="34">
        <f t="shared" si="9"/>
        <v>2000</v>
      </c>
      <c r="H342" s="49"/>
    </row>
    <row r="343">
      <c r="D343" s="54" t="s">
        <v>274</v>
      </c>
      <c r="E343" s="17">
        <v>5.0</v>
      </c>
      <c r="F343" s="10">
        <v>120.0</v>
      </c>
      <c r="G343" s="34">
        <f t="shared" si="9"/>
        <v>600</v>
      </c>
      <c r="H343" s="49"/>
    </row>
    <row r="344">
      <c r="D344" s="128" t="s">
        <v>158</v>
      </c>
      <c r="E344" s="129">
        <v>20.0</v>
      </c>
      <c r="F344" s="130">
        <v>150.0</v>
      </c>
      <c r="G344" s="130">
        <f>F344*E344</f>
        <v>3000</v>
      </c>
      <c r="H344" s="131">
        <v>45282.0</v>
      </c>
    </row>
    <row r="345">
      <c r="D345" s="132" t="s">
        <v>275</v>
      </c>
      <c r="E345" s="70"/>
      <c r="F345" s="133"/>
      <c r="G345" s="134">
        <f>SUM(G4:G344)</f>
        <v>744367</v>
      </c>
      <c r="H345" s="135"/>
      <c r="K345" s="105" t="s">
        <v>276</v>
      </c>
      <c r="L345" s="105">
        <v>4000.0</v>
      </c>
    </row>
    <row r="346">
      <c r="K346" s="105" t="s">
        <v>277</v>
      </c>
      <c r="L346" s="105">
        <v>7500.0</v>
      </c>
    </row>
    <row r="347">
      <c r="K347" s="105" t="s">
        <v>278</v>
      </c>
      <c r="L347" s="105">
        <v>5000.0</v>
      </c>
    </row>
    <row r="348">
      <c r="K348" s="136" t="s">
        <v>279</v>
      </c>
      <c r="L348" s="136">
        <v>10000.0</v>
      </c>
    </row>
    <row r="349">
      <c r="K349" s="137" t="s">
        <v>280</v>
      </c>
      <c r="L349" s="137">
        <v>3000.0</v>
      </c>
    </row>
    <row r="350">
      <c r="K350" s="137" t="s">
        <v>281</v>
      </c>
      <c r="L350" s="137">
        <v>9000.0</v>
      </c>
    </row>
    <row r="351">
      <c r="K351" s="137" t="s">
        <v>282</v>
      </c>
      <c r="L351" s="137">
        <v>12000.0</v>
      </c>
    </row>
    <row r="352">
      <c r="K352" s="137" t="s">
        <v>283</v>
      </c>
      <c r="L352" s="137">
        <v>25000.0</v>
      </c>
    </row>
    <row r="353">
      <c r="K353" s="137" t="s">
        <v>284</v>
      </c>
      <c r="L353" s="137">
        <v>8600.0</v>
      </c>
    </row>
    <row r="354">
      <c r="K354" s="137" t="s">
        <v>285</v>
      </c>
      <c r="L354" s="137">
        <v>1850.0</v>
      </c>
    </row>
    <row r="355">
      <c r="K355" s="137" t="s">
        <v>286</v>
      </c>
      <c r="L355" s="137">
        <v>1800.0</v>
      </c>
    </row>
    <row r="356">
      <c r="K356" s="137" t="s">
        <v>287</v>
      </c>
      <c r="L356" s="137">
        <v>2400.0</v>
      </c>
    </row>
    <row r="357">
      <c r="K357" s="137" t="s">
        <v>288</v>
      </c>
      <c r="L357" s="137">
        <v>1950.0</v>
      </c>
    </row>
    <row r="358">
      <c r="K358" s="137" t="s">
        <v>289</v>
      </c>
      <c r="L358" s="137">
        <v>4000.0</v>
      </c>
    </row>
    <row r="359">
      <c r="K359" s="137" t="s">
        <v>290</v>
      </c>
      <c r="L359" s="137">
        <v>1400.0</v>
      </c>
    </row>
    <row r="360">
      <c r="K360" s="137" t="s">
        <v>291</v>
      </c>
      <c r="L360" s="137">
        <v>6000.0</v>
      </c>
    </row>
    <row r="361">
      <c r="K361" s="137" t="s">
        <v>292</v>
      </c>
      <c r="L361" s="137">
        <v>3800.0</v>
      </c>
    </row>
    <row r="362">
      <c r="K362" s="137" t="s">
        <v>293</v>
      </c>
      <c r="L362" s="137">
        <v>1800.0</v>
      </c>
    </row>
    <row r="363">
      <c r="K363" s="137" t="s">
        <v>294</v>
      </c>
      <c r="L363" s="137">
        <v>800.0</v>
      </c>
    </row>
    <row r="364">
      <c r="K364" s="137" t="s">
        <v>295</v>
      </c>
      <c r="L364" s="137">
        <v>2000.0</v>
      </c>
    </row>
    <row r="365">
      <c r="K365" s="137" t="s">
        <v>296</v>
      </c>
      <c r="L365" s="137">
        <v>8000.0</v>
      </c>
    </row>
    <row r="366">
      <c r="K366" s="137" t="s">
        <v>297</v>
      </c>
      <c r="L366" s="137">
        <v>10000.0</v>
      </c>
    </row>
    <row r="367">
      <c r="K367" s="137" t="s">
        <v>298</v>
      </c>
      <c r="L367" s="137">
        <v>3000.0</v>
      </c>
    </row>
    <row r="368">
      <c r="K368" s="137" t="s">
        <v>299</v>
      </c>
      <c r="L368" s="137">
        <v>10000.0</v>
      </c>
    </row>
    <row r="369">
      <c r="K369" s="137" t="s">
        <v>300</v>
      </c>
      <c r="L369" s="137">
        <v>4000.0</v>
      </c>
    </row>
    <row r="370">
      <c r="K370" s="138"/>
      <c r="L370" s="138">
        <f>SUM(L340:L369)</f>
        <v>146900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38"/>
    <col customWidth="1" min="11" max="11" width="37.63"/>
    <col customWidth="1" min="12" max="12" width="24.88"/>
    <col customWidth="1" min="13" max="13" width="23.13"/>
    <col customWidth="1" min="14" max="14" width="28.88"/>
    <col customWidth="1" min="15" max="15" width="93.38"/>
  </cols>
  <sheetData>
    <row r="11">
      <c r="I11" s="5"/>
      <c r="J11" s="63"/>
      <c r="K11" s="63"/>
      <c r="L11" s="63"/>
      <c r="M11" s="63"/>
      <c r="N11" s="63"/>
      <c r="O11" s="5"/>
    </row>
    <row r="12">
      <c r="I12" s="139"/>
      <c r="J12" s="1"/>
      <c r="K12" s="140" t="s">
        <v>301</v>
      </c>
      <c r="L12" s="140" t="s">
        <v>4</v>
      </c>
      <c r="M12" s="140" t="s">
        <v>302</v>
      </c>
      <c r="N12" s="141" t="s">
        <v>303</v>
      </c>
      <c r="O12" s="5"/>
    </row>
    <row r="13">
      <c r="I13" s="139"/>
      <c r="J13" s="1"/>
      <c r="K13" s="32" t="s">
        <v>304</v>
      </c>
      <c r="L13" s="34">
        <v>30000.0</v>
      </c>
      <c r="M13" s="142">
        <v>30000.0</v>
      </c>
      <c r="N13" s="34">
        <f t="shared" ref="N13:N30" si="1">L13-M13</f>
        <v>0</v>
      </c>
      <c r="O13" s="143" t="s">
        <v>305</v>
      </c>
    </row>
    <row r="14">
      <c r="I14" s="139"/>
      <c r="J14" s="1"/>
      <c r="K14" s="32" t="s">
        <v>306</v>
      </c>
      <c r="L14" s="34">
        <v>30000.0</v>
      </c>
      <c r="M14" s="142">
        <v>30000.0</v>
      </c>
      <c r="N14" s="34">
        <f t="shared" si="1"/>
        <v>0</v>
      </c>
      <c r="O14" s="5"/>
    </row>
    <row r="15">
      <c r="I15" s="139"/>
      <c r="J15" s="32">
        <v>1.0</v>
      </c>
      <c r="K15" s="32" t="s">
        <v>307</v>
      </c>
      <c r="L15" s="34">
        <f>Pointage!C34</f>
        <v>18000.06</v>
      </c>
      <c r="M15" s="10">
        <v>18000.0</v>
      </c>
      <c r="N15" s="34">
        <f t="shared" si="1"/>
        <v>0.06</v>
      </c>
      <c r="O15" s="5"/>
    </row>
    <row r="16">
      <c r="I16" s="144">
        <v>36000.0</v>
      </c>
      <c r="J16" s="32">
        <v>2.0</v>
      </c>
      <c r="K16" s="32" t="s">
        <v>42</v>
      </c>
      <c r="L16" s="34">
        <f>Pointage!D34</f>
        <v>32123.184</v>
      </c>
      <c r="M16" s="10">
        <v>32500.0</v>
      </c>
      <c r="N16" s="34">
        <f t="shared" si="1"/>
        <v>-376.816</v>
      </c>
      <c r="O16" s="40">
        <v>5000.0</v>
      </c>
    </row>
    <row r="17">
      <c r="I17" s="139"/>
      <c r="J17" s="32">
        <v>3.0</v>
      </c>
      <c r="K17" s="32" t="s">
        <v>308</v>
      </c>
      <c r="L17" s="34">
        <f>Pointage!R34</f>
        <v>18692.37</v>
      </c>
      <c r="M17" s="10">
        <v>19000.0</v>
      </c>
      <c r="N17" s="34">
        <f t="shared" si="1"/>
        <v>-307.63</v>
      </c>
      <c r="O17" s="5"/>
    </row>
    <row r="18">
      <c r="I18" s="139"/>
      <c r="J18" s="145">
        <v>4.0</v>
      </c>
      <c r="K18" s="32" t="s">
        <v>43</v>
      </c>
      <c r="L18" s="34">
        <f>P18+Q18</f>
        <v>33846.25</v>
      </c>
      <c r="M18" s="10">
        <v>34000.0</v>
      </c>
      <c r="N18" s="34">
        <f t="shared" si="1"/>
        <v>-153.75</v>
      </c>
      <c r="O18" s="5"/>
      <c r="P18" s="146">
        <f>Pointage!E34</f>
        <v>28846.25</v>
      </c>
      <c r="Q18" s="105">
        <v>5000.0</v>
      </c>
    </row>
    <row r="19">
      <c r="I19" s="139"/>
      <c r="J19" s="145">
        <v>5.0</v>
      </c>
      <c r="K19" s="32" t="s">
        <v>44</v>
      </c>
      <c r="L19" s="34">
        <f>Pointage!F34</f>
        <v>5769.25</v>
      </c>
      <c r="M19" s="10">
        <v>6000.0</v>
      </c>
      <c r="N19" s="34">
        <f t="shared" si="1"/>
        <v>-230.75</v>
      </c>
      <c r="O19" s="5"/>
    </row>
    <row r="20">
      <c r="I20" s="139"/>
      <c r="J20" s="145">
        <v>6.0</v>
      </c>
      <c r="K20" s="32" t="s">
        <v>309</v>
      </c>
      <c r="L20" s="34">
        <f>Pointage!G34*1</f>
        <v>7788.4875</v>
      </c>
      <c r="M20" s="10">
        <v>8000.0</v>
      </c>
      <c r="N20" s="34">
        <f t="shared" si="1"/>
        <v>-211.5125</v>
      </c>
      <c r="O20" s="5"/>
    </row>
    <row r="21">
      <c r="I21" s="139"/>
      <c r="J21" s="145">
        <v>7.0</v>
      </c>
      <c r="K21" s="32" t="s">
        <v>47</v>
      </c>
      <c r="L21" s="34">
        <f>Pointage!I34</f>
        <v>23100</v>
      </c>
      <c r="M21" s="10">
        <v>23500.0</v>
      </c>
      <c r="N21" s="34">
        <f t="shared" si="1"/>
        <v>-400</v>
      </c>
      <c r="O21" s="40" t="s">
        <v>310</v>
      </c>
    </row>
    <row r="22">
      <c r="I22" s="139"/>
      <c r="J22" s="145">
        <v>8.0</v>
      </c>
      <c r="K22" s="32" t="s">
        <v>49</v>
      </c>
      <c r="L22" s="34">
        <f>Pointage!K34</f>
        <v>19615.45</v>
      </c>
      <c r="M22" s="10">
        <v>20000.0</v>
      </c>
      <c r="N22" s="34">
        <f t="shared" si="1"/>
        <v>-384.55</v>
      </c>
      <c r="O22" s="147">
        <v>1000.0</v>
      </c>
    </row>
    <row r="23">
      <c r="I23" s="139"/>
      <c r="J23" s="145">
        <v>9.0</v>
      </c>
      <c r="K23" s="32" t="s">
        <v>48</v>
      </c>
      <c r="L23" s="10">
        <v>26000.0</v>
      </c>
      <c r="M23" s="10">
        <v>26000.0</v>
      </c>
      <c r="N23" s="34">
        <f t="shared" si="1"/>
        <v>0</v>
      </c>
      <c r="O23" s="5"/>
    </row>
    <row r="24">
      <c r="I24" s="139"/>
      <c r="J24" s="145">
        <v>10.0</v>
      </c>
      <c r="K24" s="32" t="s">
        <v>50</v>
      </c>
      <c r="L24" s="10">
        <v>9600.0</v>
      </c>
      <c r="M24" s="10">
        <v>10000.0</v>
      </c>
      <c r="N24" s="34">
        <f t="shared" si="1"/>
        <v>-400</v>
      </c>
      <c r="O24" s="148" t="s">
        <v>311</v>
      </c>
    </row>
    <row r="25">
      <c r="I25" s="139"/>
      <c r="J25" s="145">
        <v>11.0</v>
      </c>
      <c r="K25" s="32" t="s">
        <v>51</v>
      </c>
      <c r="L25" s="34">
        <f>Pointage!M34</f>
        <v>6153.85</v>
      </c>
      <c r="M25" s="10">
        <v>6500.0</v>
      </c>
      <c r="N25" s="34">
        <f t="shared" si="1"/>
        <v>-346.15</v>
      </c>
      <c r="O25" s="21"/>
    </row>
    <row r="26">
      <c r="I26" s="139"/>
      <c r="J26" s="145">
        <v>12.0</v>
      </c>
      <c r="K26" s="32" t="s">
        <v>312</v>
      </c>
      <c r="L26" s="34">
        <f>Pointage!Q34</f>
        <v>28846.25</v>
      </c>
      <c r="M26" s="10">
        <v>29000.0</v>
      </c>
      <c r="N26" s="34">
        <f t="shared" si="1"/>
        <v>-153.75</v>
      </c>
      <c r="O26" s="5"/>
    </row>
    <row r="27">
      <c r="I27" s="139"/>
      <c r="J27" s="145">
        <v>13.0</v>
      </c>
      <c r="K27" s="145" t="s">
        <v>53</v>
      </c>
      <c r="L27" s="34">
        <f>Pointage!P34</f>
        <v>13750</v>
      </c>
      <c r="M27" s="10">
        <v>14000.0</v>
      </c>
      <c r="N27" s="34">
        <f t="shared" si="1"/>
        <v>-250</v>
      </c>
      <c r="O27" s="5"/>
    </row>
    <row r="28">
      <c r="I28" s="139"/>
      <c r="J28" s="145">
        <v>14.0</v>
      </c>
      <c r="K28" s="145" t="s">
        <v>313</v>
      </c>
      <c r="L28" s="34">
        <f>Pointage!N34*1</f>
        <v>6500</v>
      </c>
      <c r="M28" s="10">
        <v>6500.0</v>
      </c>
      <c r="N28" s="34">
        <f t="shared" si="1"/>
        <v>0</v>
      </c>
      <c r="O28" s="5"/>
    </row>
    <row r="29">
      <c r="I29" s="139"/>
      <c r="J29" s="145">
        <v>15.0</v>
      </c>
      <c r="K29" s="145" t="s">
        <v>314</v>
      </c>
      <c r="L29" s="34">
        <f>Pointage!O34</f>
        <v>6500</v>
      </c>
      <c r="M29" s="10">
        <v>6500.0</v>
      </c>
      <c r="N29" s="34">
        <f t="shared" si="1"/>
        <v>0</v>
      </c>
      <c r="O29" s="5"/>
    </row>
    <row r="30">
      <c r="I30" s="149">
        <v>34000.0</v>
      </c>
      <c r="J30" s="145">
        <v>16.0</v>
      </c>
      <c r="K30" s="32" t="s">
        <v>46</v>
      </c>
      <c r="L30" s="34">
        <f>Pointage!H34</f>
        <v>29077.02</v>
      </c>
      <c r="M30" s="10">
        <v>29500.0</v>
      </c>
      <c r="N30" s="34">
        <f t="shared" si="1"/>
        <v>-422.98</v>
      </c>
      <c r="O30" s="40">
        <v>10000.0</v>
      </c>
    </row>
    <row r="31">
      <c r="I31" s="139"/>
      <c r="J31" s="1"/>
      <c r="K31" s="27" t="s">
        <v>315</v>
      </c>
      <c r="L31" s="29">
        <f t="shared" ref="L31:N31" si="2">SUM(L13:L30)</f>
        <v>345362.1715</v>
      </c>
      <c r="M31" s="150">
        <f t="shared" si="2"/>
        <v>349000</v>
      </c>
      <c r="N31" s="151">
        <f t="shared" si="2"/>
        <v>-3637.8285</v>
      </c>
      <c r="O31" s="5"/>
    </row>
    <row r="32">
      <c r="I32" s="139"/>
      <c r="J32" s="1"/>
      <c r="K32" s="152">
        <f>L31-M31</f>
        <v>-3637.8285</v>
      </c>
      <c r="L32" s="1"/>
      <c r="M32" s="1"/>
      <c r="N32" s="28">
        <f>L32-M32</f>
        <v>0</v>
      </c>
      <c r="O32" s="5"/>
    </row>
    <row r="33">
      <c r="I33" s="5"/>
      <c r="J33" s="5"/>
      <c r="K33" s="5"/>
      <c r="L33" s="5"/>
      <c r="M33" s="5"/>
      <c r="N33" s="5"/>
      <c r="O33" s="5"/>
    </row>
    <row r="34">
      <c r="I34" s="5"/>
      <c r="J34" s="5"/>
      <c r="K34" s="5"/>
      <c r="L34" s="5"/>
      <c r="M34" s="5"/>
      <c r="N34" s="5"/>
      <c r="O34" s="5"/>
    </row>
    <row r="35">
      <c r="I35" s="5"/>
      <c r="J35" s="5"/>
      <c r="K35" s="5"/>
      <c r="L35" s="5"/>
      <c r="M35" s="5"/>
      <c r="N35" s="5"/>
      <c r="O3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25.13"/>
    <col customWidth="1" min="5" max="5" width="25.38"/>
    <col customWidth="1" min="6" max="6" width="25.13"/>
    <col customWidth="1" min="7" max="7" width="26.38"/>
    <col customWidth="1" min="8" max="8" width="25.88"/>
    <col customWidth="1" min="10" max="10" width="26.63"/>
    <col customWidth="1" min="11" max="11" width="25.13"/>
  </cols>
  <sheetData>
    <row r="20">
      <c r="C20" s="5"/>
      <c r="D20" s="63"/>
      <c r="E20" s="63"/>
      <c r="F20" s="63"/>
      <c r="G20" s="63"/>
      <c r="H20" s="5"/>
      <c r="I20" s="5"/>
      <c r="J20" s="5"/>
      <c r="K20" s="63"/>
      <c r="L20" s="5"/>
    </row>
    <row r="21">
      <c r="C21" s="139"/>
      <c r="D21" s="63"/>
      <c r="E21" s="153" t="s">
        <v>316</v>
      </c>
      <c r="F21" s="153" t="s">
        <v>317</v>
      </c>
      <c r="G21" s="153" t="s">
        <v>318</v>
      </c>
      <c r="H21" s="154" t="s">
        <v>319</v>
      </c>
      <c r="I21" s="5"/>
      <c r="J21" s="1"/>
      <c r="K21" s="155" t="s">
        <v>319</v>
      </c>
      <c r="L21" s="5"/>
    </row>
    <row r="22">
      <c r="C22" s="139"/>
      <c r="D22" s="156" t="s">
        <v>2</v>
      </c>
      <c r="E22" s="29">
        <v>1756000.0</v>
      </c>
      <c r="F22" s="29">
        <v>2274000.0</v>
      </c>
      <c r="G22" s="93">
        <v>1984000.0</v>
      </c>
      <c r="H22" s="157">
        <v>1910000.0</v>
      </c>
      <c r="I22" s="5"/>
      <c r="J22" s="158" t="s">
        <v>2</v>
      </c>
      <c r="K22" s="93">
        <v>1910000.0</v>
      </c>
      <c r="L22" s="5"/>
    </row>
    <row r="23">
      <c r="C23" s="139"/>
      <c r="D23" s="156" t="s">
        <v>3</v>
      </c>
      <c r="E23" s="29">
        <v>920000.0</v>
      </c>
      <c r="F23" s="29">
        <v>914000.0</v>
      </c>
      <c r="G23" s="93">
        <v>928000.0</v>
      </c>
      <c r="H23" s="157">
        <v>744000.0</v>
      </c>
      <c r="I23" s="5"/>
      <c r="J23" s="158" t="s">
        <v>3</v>
      </c>
      <c r="K23" s="93">
        <v>744000.0</v>
      </c>
      <c r="L23" s="5"/>
    </row>
    <row r="24">
      <c r="C24" s="139"/>
      <c r="D24" s="156" t="s">
        <v>320</v>
      </c>
      <c r="E24" s="29">
        <v>349000.0</v>
      </c>
      <c r="F24" s="29">
        <v>410000.0</v>
      </c>
      <c r="G24" s="93">
        <v>406000.0</v>
      </c>
      <c r="H24" s="157">
        <v>344000.0</v>
      </c>
      <c r="I24" s="5"/>
      <c r="J24" s="158" t="s">
        <v>320</v>
      </c>
      <c r="K24" s="93">
        <v>344000.0</v>
      </c>
      <c r="L24" s="5"/>
    </row>
    <row r="25">
      <c r="C25" s="139"/>
      <c r="D25" s="156" t="s">
        <v>5</v>
      </c>
      <c r="E25" s="29">
        <v>140000.0</v>
      </c>
      <c r="F25" s="29">
        <v>140000.0</v>
      </c>
      <c r="G25" s="29">
        <v>140000.0</v>
      </c>
      <c r="H25" s="157">
        <v>140000.0</v>
      </c>
      <c r="I25" s="5"/>
      <c r="J25" s="158" t="s">
        <v>5</v>
      </c>
      <c r="K25" s="29">
        <v>140000.0</v>
      </c>
      <c r="L25" s="5"/>
    </row>
    <row r="26">
      <c r="C26" s="139"/>
      <c r="D26" s="156" t="s">
        <v>321</v>
      </c>
      <c r="E26" s="29">
        <f t="shared" ref="E26:G26" si="1">E22-E23-E24-E25</f>
        <v>347000</v>
      </c>
      <c r="F26" s="29">
        <f t="shared" si="1"/>
        <v>810000</v>
      </c>
      <c r="G26" s="29">
        <f t="shared" si="1"/>
        <v>510000</v>
      </c>
      <c r="H26" s="157">
        <v>680000.0</v>
      </c>
      <c r="I26" s="5"/>
      <c r="J26" s="158" t="s">
        <v>321</v>
      </c>
      <c r="K26" s="93">
        <v>680000.0</v>
      </c>
      <c r="L26" s="5"/>
    </row>
    <row r="27">
      <c r="C27" s="5"/>
      <c r="D27" s="5"/>
      <c r="E27" s="5"/>
      <c r="F27" s="5"/>
      <c r="G27" s="5"/>
      <c r="H27" s="5"/>
      <c r="I27" s="5"/>
      <c r="J27" s="5"/>
      <c r="K27" s="5"/>
      <c r="L27" s="5"/>
    </row>
    <row r="28">
      <c r="C28" s="5"/>
      <c r="D28" s="5"/>
      <c r="E28" s="5"/>
      <c r="F28" s="5"/>
      <c r="G28" s="5"/>
      <c r="H28" s="5"/>
      <c r="I28" s="5"/>
      <c r="J28" s="5"/>
      <c r="K28" s="5"/>
      <c r="L28" s="5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C30" s="5"/>
      <c r="D30" s="5"/>
      <c r="E30" s="5"/>
      <c r="F30" s="5"/>
      <c r="G30" s="5"/>
      <c r="H30" s="5"/>
      <c r="I30" s="5"/>
      <c r="J30" s="5"/>
      <c r="K30" s="5"/>
      <c r="L30" s="5"/>
    </row>
  </sheetData>
  <drawing r:id="rId1"/>
</worksheet>
</file>