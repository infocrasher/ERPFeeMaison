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Salaires" sheetId="4" r:id="rId7"/>
    <sheet state="visible" name="RECAP Mentuel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<sst xmlns="http://schemas.openxmlformats.org/spreadsheetml/2006/main" count="433" uniqueCount="266">
  <si>
    <t>Date</t>
  </si>
  <si>
    <t>Recette juin  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</si>
  <si>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</si>
  <si>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</si>
  <si>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</si>
  <si>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</si>
  <si>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</si>
  <si>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</si>
  <si>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</si>
  <si>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Mai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</si>
  <si>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</si>
  <si>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</si>
  <si>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</si>
  <si>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</si>
  <si>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Samedi</t>
  </si>
  <si>
    <t>dimanche</t>
  </si>
  <si>
    <t>lundi</t>
  </si>
  <si>
    <t xml:space="preserve">Moyenne des charges par jour </t>
  </si>
  <si>
    <t xml:space="preserve">Objectif </t>
  </si>
  <si>
    <t>mardi</t>
  </si>
  <si>
    <t>mercredi</t>
  </si>
  <si>
    <t>²</t>
  </si>
  <si>
    <t>jeudi</t>
  </si>
  <si>
    <t>vendredi</t>
  </si>
  <si>
    <t xml:space="preserve">Cash restant </t>
  </si>
  <si>
    <t>Magasin</t>
  </si>
  <si>
    <t>samedi</t>
  </si>
  <si>
    <t xml:space="preserve"> </t>
  </si>
  <si>
    <t>loyer</t>
  </si>
  <si>
    <t xml:space="preserve">La caisse :  15000 Da </t>
  </si>
  <si>
    <t xml:space="preserve">Sofiane 64000Da </t>
  </si>
  <si>
    <t xml:space="preserve">VMR MAGHREB: 24000Da </t>
  </si>
  <si>
    <t xml:space="preserve">che7i7a: 7000Da +11000Da </t>
  </si>
  <si>
    <t xml:space="preserve">Différence mois de Juin </t>
  </si>
  <si>
    <t xml:space="preserve">Différence objectif </t>
  </si>
  <si>
    <t xml:space="preserve">Différence du Totale </t>
  </si>
  <si>
    <t xml:space="preserve">Les vendredis </t>
  </si>
  <si>
    <t>Cash réel</t>
  </si>
  <si>
    <t>AADL / 20000Da</t>
  </si>
  <si>
    <t>rest à payer</t>
  </si>
  <si>
    <t>Sousou: 20000a</t>
  </si>
  <si>
    <t>Nadjet : 30000Da</t>
  </si>
  <si>
    <t xml:space="preserve">Islem : 24000 Da </t>
  </si>
  <si>
    <t>Produit</t>
  </si>
  <si>
    <t>Quantité</t>
  </si>
  <si>
    <t xml:space="preserve">Prix unitaire </t>
  </si>
  <si>
    <t>Prix</t>
  </si>
  <si>
    <t>Date d'achat</t>
  </si>
  <si>
    <t>sac croissant 23+18</t>
  </si>
  <si>
    <t>Canette Coca et Fanta</t>
  </si>
  <si>
    <t>nacré</t>
  </si>
  <si>
    <t>feuilltine</t>
  </si>
  <si>
    <t>sucre glace Houda</t>
  </si>
  <si>
    <t>les quissetes 08</t>
  </si>
  <si>
    <t>dentelle 4,5</t>
  </si>
  <si>
    <t>dentelle 5,5</t>
  </si>
  <si>
    <t xml:space="preserve">Tomate conserve </t>
  </si>
  <si>
    <t xml:space="preserve">Maa zehar </t>
  </si>
  <si>
    <t xml:space="preserve">chocolat a tartiner </t>
  </si>
  <si>
    <t>14/06/2023</t>
  </si>
  <si>
    <t>Quissetes blanc 10</t>
  </si>
  <si>
    <t>Quissetes blanc 12</t>
  </si>
  <si>
    <t>Maiizina</t>
  </si>
  <si>
    <t>13/06/2023</t>
  </si>
  <si>
    <t>amandes éfilet</t>
  </si>
  <si>
    <t>Noix</t>
  </si>
  <si>
    <t xml:space="preserve">Smail arome fleur d'oranger </t>
  </si>
  <si>
    <t>Pate d'arome citron</t>
  </si>
  <si>
    <t xml:space="preserve">boites demie plateaux </t>
  </si>
  <si>
    <t xml:space="preserve">Lait en poudre </t>
  </si>
  <si>
    <t>Boites 48/10</t>
  </si>
  <si>
    <t>Boites 48/07</t>
  </si>
  <si>
    <t>Boites 36/07</t>
  </si>
  <si>
    <t>Boite 08</t>
  </si>
  <si>
    <t>018/07/2023</t>
  </si>
  <si>
    <t>eau mineral 1,5 lire</t>
  </si>
  <si>
    <t>Eau mineral 0,5 litre</t>
  </si>
  <si>
    <t>Semen Madina</t>
  </si>
  <si>
    <t>Margarine Fleurial 500</t>
  </si>
  <si>
    <t>chocolat wedjedene noisette</t>
  </si>
  <si>
    <t>21/01/2023</t>
  </si>
  <si>
    <t>chocolat wedjedane blanc ,au lait et noir</t>
  </si>
  <si>
    <t>vitres</t>
  </si>
  <si>
    <t>oeufs</t>
  </si>
  <si>
    <t>bessel</t>
  </si>
  <si>
    <t>felexy</t>
  </si>
  <si>
    <t>Coca et Fanta 33cl</t>
  </si>
  <si>
    <t xml:space="preserve">Soda Slim  33cl </t>
  </si>
  <si>
    <t>Huile Elio 5 litres</t>
  </si>
  <si>
    <t>miel 5kg</t>
  </si>
  <si>
    <t>pistache</t>
  </si>
  <si>
    <t>leveure boulangère</t>
  </si>
  <si>
    <t xml:space="preserve">sel </t>
  </si>
  <si>
    <t>Harrisa</t>
  </si>
  <si>
    <t>semoule Moula  1kg</t>
  </si>
  <si>
    <t>semoule Gros Moula 2kg</t>
  </si>
  <si>
    <t>Margarine Fleurial 250g 40 boites</t>
  </si>
  <si>
    <t>semoule gros Moula 10kg</t>
  </si>
  <si>
    <t>Semoule Moyenne Mama 25kg</t>
  </si>
  <si>
    <t xml:space="preserve">Amandes blanc </t>
  </si>
  <si>
    <t>Farine Sim 1kg</t>
  </si>
  <si>
    <t xml:space="preserve">Levure chimique </t>
  </si>
  <si>
    <t>Gherss</t>
  </si>
  <si>
    <t>Confiture</t>
  </si>
  <si>
    <t xml:space="preserve">Fromage Slices </t>
  </si>
  <si>
    <t xml:space="preserve">Sac poubelle </t>
  </si>
  <si>
    <t>Papier aluminium</t>
  </si>
  <si>
    <t>Papier cuisson</t>
  </si>
  <si>
    <t>Thon 1,8kg</t>
  </si>
  <si>
    <t>Maiis</t>
  </si>
  <si>
    <t>barquette 1185</t>
  </si>
  <si>
    <t>Tofia caramel</t>
  </si>
  <si>
    <t xml:space="preserve">Salade +tomate fraiche </t>
  </si>
  <si>
    <t>Brahim achats</t>
  </si>
  <si>
    <t xml:space="preserve">sachets pain </t>
  </si>
  <si>
    <t>boites mekiret 500cc</t>
  </si>
  <si>
    <t>poulet</t>
  </si>
  <si>
    <t>fromage bidon 1,8kg</t>
  </si>
  <si>
    <t>cafaricide</t>
  </si>
  <si>
    <t>papier cuisson</t>
  </si>
  <si>
    <t>semoule moula grosse 2kg</t>
  </si>
  <si>
    <t xml:space="preserve">gherss </t>
  </si>
  <si>
    <t>sucre glace fabalco</t>
  </si>
  <si>
    <t>cheddar</t>
  </si>
  <si>
    <t>fromge</t>
  </si>
  <si>
    <t>cacao</t>
  </si>
  <si>
    <t>facture eau</t>
  </si>
  <si>
    <t>Storm  magasin+ internet caméra</t>
  </si>
  <si>
    <t xml:space="preserve">poulet haché + poulet </t>
  </si>
  <si>
    <t xml:space="preserve">olive coupé+ noir + dényauté </t>
  </si>
  <si>
    <t>rechta</t>
  </si>
  <si>
    <t>margarine fleuriel 500g</t>
  </si>
  <si>
    <t>miel Madina 5kg</t>
  </si>
  <si>
    <t>jus tchina 33cl</t>
  </si>
  <si>
    <t>épinards+ salde</t>
  </si>
  <si>
    <t>les gants</t>
  </si>
  <si>
    <t>javel moussant</t>
  </si>
  <si>
    <t>décapant</t>
  </si>
  <si>
    <t>anticafard</t>
  </si>
  <si>
    <t>anticafard sachet</t>
  </si>
  <si>
    <t>sucre cristalisé 25kg</t>
  </si>
  <si>
    <t>semoule Fine Bousmail 25kg</t>
  </si>
  <si>
    <t xml:space="preserve">poulet haché  </t>
  </si>
  <si>
    <t>isis</t>
  </si>
  <si>
    <t>pate a filo</t>
  </si>
  <si>
    <t>fromage bidon</t>
  </si>
  <si>
    <t>salade   + citron+carrote</t>
  </si>
  <si>
    <t>tacos</t>
  </si>
  <si>
    <t xml:space="preserve">blanc de poulet </t>
  </si>
  <si>
    <t>viande hachée</t>
  </si>
  <si>
    <t>poulet haché-+ blanc de poulet</t>
  </si>
  <si>
    <t>poulet haché</t>
  </si>
  <si>
    <t>deyoul</t>
  </si>
  <si>
    <t>olive dénoyauté</t>
  </si>
  <si>
    <t>plataeau</t>
  </si>
  <si>
    <t>tomate fraiche</t>
  </si>
  <si>
    <t xml:space="preserve">fromage </t>
  </si>
  <si>
    <t>isis+ chiffons + ,,,</t>
  </si>
  <si>
    <t>cuisses de poulet</t>
  </si>
  <si>
    <t>légumes</t>
  </si>
  <si>
    <t xml:space="preserve">olive </t>
  </si>
  <si>
    <t xml:space="preserve">tomate </t>
  </si>
  <si>
    <t xml:space="preserve">emballage Amira </t>
  </si>
  <si>
    <t xml:space="preserve">décoration baklawa </t>
  </si>
  <si>
    <t>moul moskoutchou</t>
  </si>
  <si>
    <t xml:space="preserve">Amina Baghrir </t>
  </si>
  <si>
    <t>viande morceaux</t>
  </si>
  <si>
    <t xml:space="preserve">poulet haché et blanc de poulet </t>
  </si>
  <si>
    <t xml:space="preserve">les herbes </t>
  </si>
  <si>
    <t>les légumes</t>
  </si>
  <si>
    <t xml:space="preserve">chakhechoukhate dhefer </t>
  </si>
  <si>
    <t>15/07/2023</t>
  </si>
  <si>
    <t>rzchta</t>
  </si>
  <si>
    <t>pain tacos</t>
  </si>
  <si>
    <t>16/07/2023</t>
  </si>
  <si>
    <t>Slimane viande poulet</t>
  </si>
  <si>
    <t>nakach</t>
  </si>
  <si>
    <t>blanc de poulet + poulet haché</t>
  </si>
  <si>
    <t>tomate + poivron</t>
  </si>
  <si>
    <t>1707/2023</t>
  </si>
  <si>
    <t>olive</t>
  </si>
  <si>
    <t>CNAS</t>
  </si>
  <si>
    <t xml:space="preserve">viande </t>
  </si>
  <si>
    <t>hamissa</t>
  </si>
  <si>
    <t>blanc de poulet</t>
  </si>
  <si>
    <t>tomate cerise+ citon</t>
  </si>
  <si>
    <t xml:space="preserve">vitres </t>
  </si>
  <si>
    <t>sucre glace</t>
  </si>
  <si>
    <t>sanoudj</t>
  </si>
  <si>
    <t xml:space="preserve">javel + isis + omo </t>
  </si>
  <si>
    <t>chakhechoukhate defer</t>
  </si>
  <si>
    <t>les assietes</t>
  </si>
  <si>
    <t>les boites</t>
  </si>
  <si>
    <t>1907/2023</t>
  </si>
  <si>
    <t>semen Madina 1,8kg</t>
  </si>
  <si>
    <t xml:space="preserve">les fleurs de décoration </t>
  </si>
  <si>
    <t xml:space="preserve">poulet </t>
  </si>
  <si>
    <t>salade</t>
  </si>
  <si>
    <t>couscous+ berkoukess</t>
  </si>
  <si>
    <t>hachoir</t>
  </si>
  <si>
    <t>déteregnts</t>
  </si>
  <si>
    <t>terida</t>
  </si>
  <si>
    <t>Morad cheraga</t>
  </si>
  <si>
    <t>navet + courgette</t>
  </si>
  <si>
    <t>poulet haché+ blanc de poulet</t>
  </si>
  <si>
    <t>herebes</t>
  </si>
  <si>
    <t>pomme de terre</t>
  </si>
  <si>
    <t xml:space="preserve">boites alimentaire 10 litres </t>
  </si>
  <si>
    <t>kabouya</t>
  </si>
  <si>
    <t>pain tacos +sachets</t>
  </si>
  <si>
    <t>viande ghenemi</t>
  </si>
  <si>
    <t xml:space="preserve">navet + nectarine </t>
  </si>
  <si>
    <t>Totale</t>
  </si>
  <si>
    <t xml:space="preserve">Lynda </t>
  </si>
  <si>
    <t xml:space="preserve">Hafida </t>
  </si>
  <si>
    <t>Djamila</t>
  </si>
  <si>
    <t>Samira Malawi</t>
  </si>
  <si>
    <t>Youssera</t>
  </si>
  <si>
    <t>Thiziri</t>
  </si>
  <si>
    <t>Kenza</t>
  </si>
  <si>
    <t>Yasmine</t>
  </si>
  <si>
    <t>Nadia</t>
  </si>
  <si>
    <t>Fadhila</t>
  </si>
  <si>
    <t>Farida</t>
  </si>
  <si>
    <t>Samia</t>
  </si>
  <si>
    <t>Nora</t>
  </si>
  <si>
    <t>Fouzia</t>
  </si>
  <si>
    <t>Remarque</t>
  </si>
  <si>
    <t>1,5</t>
  </si>
  <si>
    <t>il y'avait pas de travaille Hafida ra7et lel dentiste à 12h et les autres kharedjou à 14h30</t>
  </si>
  <si>
    <t xml:space="preserve">le magasin: il y'avait pas beaucoup de travaille elles sont sortis à 15h autorisé  le locale : youssera kharedjet à 13h 30 et lynda et kenza 9a3edou darou ménage </t>
  </si>
  <si>
    <t>Samira djate en retard + les autres employées khalitehom yekhoredjou bekeri à 16h</t>
  </si>
  <si>
    <t xml:space="preserve">kharedjou ga3 à 14h30 max </t>
  </si>
  <si>
    <t>kharedjou entre 14h 30 à 15h30  , youssera kharedjet à 11h sans autorisation normalement tokhredj à 12h</t>
  </si>
  <si>
    <t xml:space="preserve">djaw bekeri et kharedjou à 15h30 max mais on avais une commande de 200 pièces et kharedjouha avant midi </t>
  </si>
  <si>
    <t>0,5</t>
  </si>
  <si>
    <t xml:space="preserve">Hafida khaliteha toukhredj à 13h30 pour dentiste et les autres vers 15h et Lynda djate darte tchrak et 3arayech we ra7et </t>
  </si>
  <si>
    <t xml:space="preserve">keemlou bekeri mais zedetelhom fe salaire puisque 3ayaw bezaf fe sekhana et wedjedou ga3 les commandes </t>
  </si>
  <si>
    <t>djate Nora à 11h</t>
  </si>
  <si>
    <t>Nora djate à 11h et les autres kharedjou à 17h</t>
  </si>
  <si>
    <t>khardjou à 16h</t>
  </si>
  <si>
    <t>kharedjou à 15h30</t>
  </si>
  <si>
    <t xml:space="preserve">Nom </t>
  </si>
  <si>
    <t>Avance</t>
  </si>
  <si>
    <t xml:space="preserve">Salaire à payer </t>
  </si>
  <si>
    <t xml:space="preserve">Sofiane </t>
  </si>
  <si>
    <t>10000+17000</t>
  </si>
  <si>
    <t>Amel</t>
  </si>
  <si>
    <t>Lynda</t>
  </si>
  <si>
    <t>1000+28000</t>
  </si>
  <si>
    <t xml:space="preserve">Yasmine </t>
  </si>
  <si>
    <t>TOTAL</t>
  </si>
  <si>
    <t xml:space="preserve">Mois de Février </t>
  </si>
  <si>
    <t xml:space="preserve">Mois de Mars </t>
  </si>
  <si>
    <t>Mois d'Avril</t>
  </si>
  <si>
    <t>Mois de Mai</t>
  </si>
  <si>
    <t xml:space="preserve">Mois de Jiun </t>
  </si>
  <si>
    <t xml:space="preserve">Mois de Juillet </t>
  </si>
  <si>
    <t>Salaires</t>
  </si>
  <si>
    <t xml:space="preserve">Profit Net </t>
  </si>
  <si>
    <t xml:space="preserve">Bénéfice </t>
  </si>
  <si>
    <t xml:space="preserve">les charges </t>
  </si>
  <si>
    <t>CCp</t>
  </si>
  <si>
    <t>Cash</t>
  </si>
  <si>
    <t>Islem</t>
  </si>
  <si>
    <t>Nadjet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</si>
</sst>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mm/dd/yyyy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color theme="1"/>
      <name val="Arial"/>
      <scheme val="minor"/>
    </font>
    <font>
      <sz val="16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b/>
      <sz val="18.0"/>
      <color theme="1"/>
      <name val="Arial"/>
    </font>
    <font>
      <sz val="18.0"/>
      <color rgb="FFFFFF00"/>
      <name val="Arial"/>
    </font>
    <font>
      <sz val="19.0"/>
      <color theme="1"/>
      <name val="Arial"/>
    </font>
    <font>
      <sz val="15.0"/>
      <color theme="1"/>
      <name val="Arial"/>
    </font>
    <font>
      <b/>
      <sz val="24.0"/>
      <color theme="1"/>
      <name val="Arial"/>
    </font>
    <font>
      <b/>
      <sz val="18.0"/>
      <color rgb="FFFF0000"/>
      <name val="Arial"/>
    </font>
    <font>
      <sz val="18.0"/>
      <color rgb="FF00FFFF"/>
      <name val="Arial"/>
    </font>
    <font>
      <sz val="14.0"/>
      <color theme="1"/>
      <name val="Arial"/>
    </font>
    <font>
      <b/>
      <sz val="20.0"/>
      <color theme="1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18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4" fillId="7" fontId="3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8" fontId="3" numFmtId="165" xfId="0" applyAlignment="1" applyBorder="1" applyFill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readingOrder="0" vertical="bottom"/>
    </xf>
    <xf borderId="5" fillId="7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4" fillId="7" fontId="3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4" fillId="9" fontId="3" numFmtId="0" xfId="0" applyAlignment="1" applyBorder="1" applyFill="1" applyFont="1">
      <alignment horizontal="center" readingOrder="0" vertical="bottom"/>
    </xf>
    <xf borderId="1" fillId="9" fontId="3" numFmtId="164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7" fontId="1" numFmtId="165" xfId="0" applyAlignment="1" applyFont="1" applyNumberFormat="1">
      <alignment vertical="bottom"/>
    </xf>
    <xf borderId="0" fillId="0" fontId="6" numFmtId="165" xfId="0" applyAlignment="1" applyFont="1" applyNumberFormat="1">
      <alignment readingOrder="0" vertical="bottom"/>
    </xf>
    <xf borderId="3" fillId="0" fontId="1" numFmtId="165" xfId="0" applyAlignment="1" applyBorder="1" applyFont="1" applyNumberFormat="1">
      <alignment vertical="bottom"/>
    </xf>
    <xf borderId="0" fillId="0" fontId="6" numFmtId="0" xfId="0" applyAlignment="1" applyFont="1">
      <alignment readingOrder="0" vertical="bottom"/>
    </xf>
    <xf borderId="1" fillId="5" fontId="7" numFmtId="165" xfId="0" applyAlignment="1" applyBorder="1" applyFont="1" applyNumberFormat="1">
      <alignment horizontal="center" readingOrder="0" vertical="bottom"/>
    </xf>
    <xf borderId="0" fillId="0" fontId="8" numFmtId="165" xfId="0" applyAlignment="1" applyFont="1" applyNumberFormat="1">
      <alignment horizontal="center" readingOrder="0" vertical="bottom"/>
    </xf>
    <xf borderId="3" fillId="0" fontId="6" numFmtId="165" xfId="0" applyAlignment="1" applyBorder="1" applyFont="1" applyNumberFormat="1">
      <alignment readingOrder="0" vertical="bottom"/>
    </xf>
    <xf borderId="1" fillId="7" fontId="3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vertical="bottom"/>
    </xf>
    <xf borderId="1" fillId="8" fontId="9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11" numFmtId="165" xfId="0" applyAlignment="1" applyFont="1" applyNumberFormat="1">
      <alignment readingOrder="0" vertical="bottom"/>
    </xf>
    <xf borderId="1" fillId="8" fontId="3" numFmtId="0" xfId="0" applyAlignment="1" applyBorder="1" applyFont="1">
      <alignment horizontal="center" vertical="bottom"/>
    </xf>
    <xf borderId="0" fillId="0" fontId="11" numFmtId="0" xfId="0" applyAlignment="1" applyFont="1">
      <alignment readingOrder="0" vertical="bottom"/>
    </xf>
    <xf borderId="1" fillId="9" fontId="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vertical="bottom"/>
    </xf>
    <xf borderId="4" fillId="7" fontId="1" numFmtId="165" xfId="0" applyAlignment="1" applyBorder="1" applyFont="1" applyNumberFormat="1">
      <alignment vertical="bottom"/>
    </xf>
    <xf borderId="4" fillId="7" fontId="1" numFmtId="0" xfId="0" applyAlignment="1" applyBorder="1" applyFont="1">
      <alignment vertical="bottom"/>
    </xf>
    <xf borderId="1" fillId="7" fontId="1" numFmtId="164" xfId="0" applyAlignment="1" applyBorder="1" applyFont="1" applyNumberFormat="1">
      <alignment vertical="bottom"/>
    </xf>
    <xf borderId="1" fillId="7" fontId="8" numFmtId="165" xfId="0" applyAlignment="1" applyBorder="1" applyFont="1" applyNumberFormat="1">
      <alignment vertical="bottom"/>
    </xf>
    <xf borderId="1" fillId="7" fontId="8" numFmtId="165" xfId="0" applyAlignment="1" applyBorder="1" applyFont="1" applyNumberFormat="1">
      <alignment horizontal="center" vertical="bottom"/>
    </xf>
    <xf borderId="1" fillId="7" fontId="8" numFmtId="165" xfId="0" applyAlignment="1" applyBorder="1" applyFont="1" applyNumberFormat="1">
      <alignment horizontal="right" vertical="bottom"/>
    </xf>
    <xf borderId="1" fillId="7" fontId="8" numFmtId="0" xfId="0" applyAlignment="1" applyBorder="1" applyFont="1">
      <alignment horizontal="center" vertical="bottom"/>
    </xf>
    <xf borderId="1" fillId="7" fontId="1" numFmtId="165" xfId="0" applyAlignment="1" applyBorder="1" applyFont="1" applyNumberFormat="1">
      <alignment vertical="bottom"/>
    </xf>
    <xf borderId="1" fillId="9" fontId="3" numFmtId="165" xfId="0" applyAlignment="1" applyBorder="1" applyFont="1" applyNumberFormat="1">
      <alignment horizontal="center" vertical="bottom"/>
    </xf>
    <xf borderId="1" fillId="9" fontId="12" numFmtId="0" xfId="0" applyAlignment="1" applyBorder="1" applyFont="1">
      <alignment horizontal="center" vertical="bottom"/>
    </xf>
    <xf borderId="2" fillId="9" fontId="1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2" fillId="0" fontId="5" numFmtId="165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5" xfId="0" applyAlignment="1" applyBorder="1" applyFont="1" applyNumberForma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5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7" fontId="3" numFmtId="165" xfId="0" applyAlignment="1" applyBorder="1" applyFont="1" applyNumberFormat="1">
      <alignment horizontal="center" vertical="bottom"/>
    </xf>
    <xf borderId="2" fillId="7" fontId="3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164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readingOrder="0" vertical="bottom"/>
    </xf>
    <xf borderId="2" fillId="4" fontId="3" numFmtId="165" xfId="0" applyAlignment="1" applyBorder="1" applyFont="1" applyNumberFormat="1">
      <alignment horizontal="center" vertical="bottom"/>
    </xf>
    <xf borderId="2" fillId="4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4" fillId="7" fontId="3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 vertical="bottom"/>
    </xf>
    <xf borderId="4" fillId="4" fontId="3" numFmtId="0" xfId="0" applyAlignment="1" applyBorder="1" applyFon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4" fillId="0" fontId="12" numFmtId="0" xfId="0" applyAlignment="1" applyBorder="1" applyFont="1">
      <alignment horizontal="center" readingOrder="0" vertical="bottom"/>
    </xf>
    <xf borderId="1" fillId="0" fontId="12" numFmtId="165" xfId="0" applyAlignment="1" applyBorder="1" applyFont="1" applyNumberFormat="1">
      <alignment horizontal="center" vertical="bottom"/>
    </xf>
    <xf borderId="4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0" fillId="7" fontId="1" numFmtId="0" xfId="0" applyAlignment="1" applyFont="1">
      <alignment vertical="bottom"/>
    </xf>
    <xf borderId="0" fillId="7" fontId="4" numFmtId="0" xfId="0" applyFont="1"/>
    <xf borderId="1" fillId="7" fontId="13" numFmtId="0" xfId="0" applyAlignment="1" applyBorder="1" applyFont="1">
      <alignment horizontal="center" readingOrder="0" vertical="bottom"/>
    </xf>
    <xf borderId="3" fillId="7" fontId="1" numFmtId="0" xfId="0" applyAlignment="1" applyBorder="1" applyFont="1">
      <alignment readingOrder="0" shrinkToFit="0" vertical="bottom" wrapText="0"/>
    </xf>
    <xf borderId="1" fillId="7" fontId="14" numFmtId="0" xfId="0" applyAlignment="1" applyBorder="1" applyFont="1">
      <alignment horizontal="center" readingOrder="0" vertical="bottom"/>
    </xf>
    <xf borderId="0" fillId="9" fontId="1" numFmtId="0" xfId="0" applyAlignment="1" applyFont="1">
      <alignment vertical="bottom"/>
    </xf>
    <xf borderId="1" fillId="7" fontId="15" numFmtId="0" xfId="0" applyAlignment="1" applyBorder="1" applyFont="1">
      <alignment readingOrder="0" vertical="bottom"/>
    </xf>
    <xf borderId="1" fillId="7" fontId="11" numFmtId="0" xfId="0" applyAlignment="1" applyBorder="1" applyFont="1">
      <alignment readingOrder="0" vertical="bottom"/>
    </xf>
    <xf borderId="1" fillId="7" fontId="11" numFmtId="0" xfId="0" applyAlignment="1" applyBorder="1" applyFont="1">
      <alignment vertical="bottom"/>
    </xf>
    <xf borderId="1" fillId="9" fontId="11" numFmtId="0" xfId="0" applyAlignment="1" applyBorder="1" applyFont="1">
      <alignment vertical="bottom"/>
    </xf>
    <xf borderId="4" fillId="10" fontId="3" numFmtId="0" xfId="0" applyAlignment="1" applyBorder="1" applyFill="1" applyFont="1">
      <alignment horizontal="center" readingOrder="0" vertical="bottom"/>
    </xf>
    <xf borderId="1" fillId="10" fontId="3" numFmtId="164" xfId="0" applyAlignment="1" applyBorder="1" applyFont="1" applyNumberFormat="1">
      <alignment horizontal="center" readingOrder="0" vertical="bottom"/>
    </xf>
    <xf borderId="1" fillId="10" fontId="3" numFmtId="0" xfId="0" applyAlignment="1" applyBorder="1" applyFont="1">
      <alignment horizontal="center" readingOrder="0" vertical="bottom"/>
    </xf>
    <xf borderId="1" fillId="10" fontId="5" numFmtId="0" xfId="0" applyAlignment="1" applyBorder="1" applyFont="1">
      <alignment readingOrder="0" vertical="bottom"/>
    </xf>
    <xf borderId="1" fillId="7" fontId="5" numFmtId="0" xfId="0" applyAlignment="1" applyBorder="1" applyFont="1">
      <alignment readingOrder="0" vertical="bottom"/>
    </xf>
    <xf borderId="6" fillId="7" fontId="16" numFmtId="0" xfId="0" applyAlignment="1" applyBorder="1" applyFont="1">
      <alignment horizontal="center" vertical="bottom"/>
    </xf>
    <xf borderId="1" fillId="7" fontId="16" numFmtId="0" xfId="0" applyAlignment="1" applyBorder="1" applyFont="1">
      <alignment vertical="bottom"/>
    </xf>
    <xf borderId="0" fillId="7" fontId="16" numFmtId="0" xfId="0" applyAlignment="1" applyFont="1">
      <alignment vertical="bottom"/>
    </xf>
    <xf borderId="6" fillId="7" fontId="17" numFmtId="165" xfId="0" applyAlignment="1" applyBorder="1" applyFont="1" applyNumberFormat="1">
      <alignment horizontal="center" vertical="bottom"/>
    </xf>
    <xf borderId="1" fillId="7" fontId="17" numFmtId="165" xfId="0" applyAlignment="1" applyBorder="1" applyFont="1" applyNumberFormat="1">
      <alignment horizontal="center" readingOrder="0" vertical="bottom"/>
    </xf>
    <xf borderId="1" fillId="7" fontId="17" numFmtId="165" xfId="0" applyAlignment="1" applyBorder="1" applyFont="1" applyNumberFormat="1">
      <alignment horizontal="center" vertical="bottom"/>
    </xf>
    <xf borderId="1" fillId="7" fontId="16" numFmtId="165" xfId="0" applyAlignment="1" applyBorder="1" applyFont="1" applyNumberFormat="1">
      <alignment horizontal="center" vertical="bottom"/>
    </xf>
    <xf borderId="1" fillId="7" fontId="16" numFmtId="165" xfId="0" applyAlignment="1" applyBorder="1" applyFont="1" applyNumberFormat="1">
      <alignment horizontal="center" readingOrder="0" vertical="bottom"/>
    </xf>
    <xf borderId="1" fillId="7" fontId="16" numFmtId="165" xfId="0" applyAlignment="1" applyBorder="1" applyFont="1" applyNumberFormat="1">
      <alignment vertical="bottom"/>
    </xf>
    <xf borderId="6" fillId="6" fontId="18" numFmtId="165" xfId="0" applyAlignment="1" applyBorder="1" applyFont="1" applyNumberFormat="1">
      <alignment horizontal="center" vertical="bottom"/>
    </xf>
    <xf borderId="1" fillId="6" fontId="18" numFmtId="165" xfId="0" applyAlignment="1" applyBorder="1" applyFont="1" applyNumberFormat="1">
      <alignment horizontal="center" vertical="bottom"/>
    </xf>
    <xf borderId="1" fillId="6" fontId="16" numFmtId="165" xfId="0" applyAlignment="1" applyBorder="1" applyFont="1" applyNumberFormat="1">
      <alignment horizontal="right" vertical="bottom"/>
    </xf>
    <xf borderId="1" fillId="8" fontId="16" numFmtId="165" xfId="0" applyAlignment="1" applyBorder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5" fillId="0" fontId="1" numFmtId="0" xfId="0" applyAlignment="1" applyBorder="1" applyFont="1">
      <alignment vertical="bottom"/>
    </xf>
    <xf borderId="2" fillId="4" fontId="8" numFmtId="0" xfId="0" applyAlignment="1" applyBorder="1" applyFont="1">
      <alignment horizontal="center" vertical="bottom"/>
    </xf>
    <xf borderId="2" fillId="5" fontId="8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1" fillId="3" fontId="3" numFmtId="165" xfId="0" applyAlignment="1" applyBorder="1" applyFont="1" applyNumberFormat="1">
      <alignment horizontal="center" vertical="bottom"/>
    </xf>
    <xf borderId="1" fillId="6" fontId="8" numFmtId="165" xfId="0" applyAlignment="1" applyBorder="1" applyFont="1" applyNumberFormat="1">
      <alignment horizontal="center" vertical="bottom"/>
    </xf>
    <xf borderId="1" fillId="4" fontId="8" numFmtId="165" xfId="0" applyAlignment="1" applyBorder="1" applyFont="1" applyNumberFormat="1">
      <alignment horizontal="center" vertical="bottom"/>
    </xf>
    <xf borderId="2" fillId="11" fontId="8" numFmtId="0" xfId="0" applyAlignment="1" applyBorder="1" applyFill="1" applyFont="1">
      <alignment horizontal="center" vertical="bottom"/>
    </xf>
    <xf borderId="2" fillId="11" fontId="8" numFmtId="0" xfId="0" applyAlignment="1" applyBorder="1" applyFont="1">
      <alignment horizontal="center" readingOrder="0" vertical="bottom"/>
    </xf>
    <xf borderId="4" fillId="12" fontId="8" numFmtId="0" xfId="0" applyAlignment="1" applyBorder="1" applyFill="1" applyFont="1">
      <alignment horizontal="center" vertical="bottom"/>
    </xf>
    <xf borderId="5" fillId="0" fontId="19" numFmtId="0" xfId="0" applyAlignment="1" applyBorder="1" applyFont="1">
      <alignment readingOrder="0"/>
    </xf>
    <xf borderId="5" fillId="0" fontId="19" numFmtId="165" xfId="0" applyAlignment="1" applyBorder="1" applyFont="1" applyNumberFormat="1">
      <alignment readingOrder="0"/>
    </xf>
    <xf borderId="5" fillId="0" fontId="19" numFmtId="0" xfId="0" applyBorder="1" applyFont="1"/>
    <xf borderId="5" fillId="0" fontId="19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3.13"/>
    <col customWidth="1" min="3" max="3" width="26.63"/>
    <col customWidth="1" min="4" max="4" width="24.38"/>
    <col customWidth="1" min="5" max="5" width="25.13"/>
    <col customWidth="1" min="6" max="6" width="23.88"/>
    <col customWidth="1" min="7" max="8" width="25.88"/>
    <col customWidth="1" min="9" max="9" width="23.63"/>
    <col customWidth="1" min="11" max="11" width="25.88"/>
    <col customWidth="1" min="12" max="12" width="25.38"/>
    <col customWidth="1" min="13" max="13" width="38.88"/>
    <col customWidth="1" min="14" max="14" width="64.38"/>
    <col customWidth="1" min="15" max="15" width="117.13"/>
    <col customWidth="1" min="16" max="16" width="64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5" t="s">
        <v>8</v>
      </c>
      <c r="L1" s="6" t="s">
        <v>9</v>
      </c>
      <c r="M1" s="7" t="s">
        <v>10</v>
      </c>
      <c r="N1" s="7" t="s">
        <v>11</v>
      </c>
      <c r="O1" s="8" t="s">
        <v>12</v>
      </c>
      <c r="P1" s="9" t="s">
        <v>13</v>
      </c>
    </row>
    <row r="2">
      <c r="A2" s="10" t="s">
        <v>14</v>
      </c>
      <c r="B2" s="11">
        <v>45108.0</v>
      </c>
      <c r="C2" s="12">
        <v>120000.0</v>
      </c>
      <c r="D2" s="13">
        <v>20000.0</v>
      </c>
      <c r="E2" s="14"/>
      <c r="F2" s="14"/>
      <c r="G2" s="14"/>
      <c r="H2" s="14"/>
      <c r="I2" s="15">
        <v>1.0</v>
      </c>
      <c r="K2" s="16">
        <v>100000.0</v>
      </c>
      <c r="L2" s="17">
        <v>120000.0</v>
      </c>
      <c r="M2" s="18">
        <f>H33/I33</f>
        <v>16570.86452</v>
      </c>
      <c r="N2" s="18">
        <f>D33/I33</f>
        <v>60645.16129</v>
      </c>
      <c r="O2" s="19"/>
      <c r="P2" s="20">
        <f>O2/N2</f>
        <v>0</v>
      </c>
    </row>
    <row r="3">
      <c r="A3" s="10" t="s">
        <v>15</v>
      </c>
      <c r="B3" s="11">
        <v>45109.0</v>
      </c>
      <c r="C3" s="12">
        <v>85000.0</v>
      </c>
      <c r="D3" s="12">
        <v>30000.0</v>
      </c>
      <c r="E3" s="14"/>
      <c r="F3" s="14"/>
      <c r="G3" s="14"/>
      <c r="H3" s="14"/>
      <c r="I3" s="15">
        <v>1.0</v>
      </c>
      <c r="K3" s="16">
        <v>100000.0</v>
      </c>
      <c r="L3" s="21">
        <v>85000.0</v>
      </c>
      <c r="M3" s="1"/>
      <c r="N3" s="1"/>
      <c r="O3" s="22"/>
      <c r="P3" s="23"/>
    </row>
    <row r="4">
      <c r="A4" s="10" t="s">
        <v>16</v>
      </c>
      <c r="B4" s="11">
        <v>45110.0</v>
      </c>
      <c r="C4" s="12">
        <v>42000.0</v>
      </c>
      <c r="D4" s="12">
        <v>45000.0</v>
      </c>
      <c r="E4" s="14"/>
      <c r="F4" s="14"/>
      <c r="G4" s="14"/>
      <c r="H4" s="14"/>
      <c r="I4" s="15">
        <v>1.0</v>
      </c>
      <c r="K4" s="16">
        <v>100000.0</v>
      </c>
      <c r="L4" s="21">
        <v>42000.0</v>
      </c>
      <c r="M4" s="24" t="s">
        <v>17</v>
      </c>
      <c r="N4" s="25" t="s">
        <v>18</v>
      </c>
      <c r="O4" s="22"/>
      <c r="P4" s="1"/>
    </row>
    <row r="5">
      <c r="A5" s="10" t="s">
        <v>19</v>
      </c>
      <c r="B5" s="11">
        <v>45111.0</v>
      </c>
      <c r="C5" s="12">
        <v>38000.0</v>
      </c>
      <c r="D5" s="12">
        <v>48000.0</v>
      </c>
      <c r="E5" s="14"/>
      <c r="F5" s="14"/>
      <c r="G5" s="14"/>
      <c r="H5" s="14"/>
      <c r="I5" s="15">
        <v>1.0</v>
      </c>
      <c r="K5" s="16">
        <v>100000.0</v>
      </c>
      <c r="L5" s="21">
        <v>38000.0</v>
      </c>
      <c r="M5" s="26">
        <f>E33/I33</f>
        <v>26907.06452</v>
      </c>
      <c r="N5" s="26">
        <v>100000.0</v>
      </c>
      <c r="O5" s="1"/>
      <c r="P5" s="1"/>
    </row>
    <row r="6">
      <c r="A6" s="10" t="s">
        <v>20</v>
      </c>
      <c r="B6" s="11">
        <v>45112.0</v>
      </c>
      <c r="C6" s="12">
        <v>45000.0</v>
      </c>
      <c r="D6" s="12">
        <v>44000.0</v>
      </c>
      <c r="E6" s="14"/>
      <c r="F6" s="14"/>
      <c r="G6" s="14"/>
      <c r="H6" s="14"/>
      <c r="I6" s="15">
        <v>1.0</v>
      </c>
      <c r="K6" s="16">
        <v>100000.0</v>
      </c>
      <c r="L6" s="21">
        <v>45000.0</v>
      </c>
      <c r="M6" s="1" t="s">
        <v>21</v>
      </c>
      <c r="N6" s="1"/>
      <c r="O6" s="1"/>
      <c r="P6" s="1"/>
    </row>
    <row r="7">
      <c r="A7" s="10" t="s">
        <v>22</v>
      </c>
      <c r="B7" s="11">
        <v>45113.0</v>
      </c>
      <c r="C7" s="12">
        <v>40000.0</v>
      </c>
      <c r="D7" s="27">
        <v>100000.0</v>
      </c>
      <c r="E7" s="14"/>
      <c r="F7" s="14"/>
      <c r="G7" s="14"/>
      <c r="H7" s="14"/>
      <c r="I7" s="15">
        <v>1.0</v>
      </c>
      <c r="K7" s="16">
        <v>100000.0</v>
      </c>
      <c r="L7" s="21">
        <v>40000.0</v>
      </c>
      <c r="M7" s="1"/>
      <c r="N7" s="1"/>
      <c r="O7" s="1"/>
      <c r="P7" s="1"/>
    </row>
    <row r="8">
      <c r="A8" s="28" t="s">
        <v>23</v>
      </c>
      <c r="B8" s="29">
        <v>45114.0</v>
      </c>
      <c r="C8" s="30">
        <v>30000.0</v>
      </c>
      <c r="D8" s="12">
        <v>40000.0</v>
      </c>
      <c r="E8" s="31"/>
      <c r="F8" s="31"/>
      <c r="G8" s="31"/>
      <c r="H8" s="31"/>
      <c r="I8" s="32">
        <v>1.0</v>
      </c>
      <c r="K8" s="16">
        <v>100000.0</v>
      </c>
      <c r="L8" s="21">
        <v>30000.0</v>
      </c>
      <c r="M8" s="33" t="s">
        <v>24</v>
      </c>
      <c r="N8" s="33" t="s">
        <v>25</v>
      </c>
      <c r="O8" s="34"/>
      <c r="P8" s="35"/>
    </row>
    <row r="9">
      <c r="A9" s="10" t="s">
        <v>26</v>
      </c>
      <c r="B9" s="11">
        <v>45115.0</v>
      </c>
      <c r="C9" s="12">
        <v>60000.0</v>
      </c>
      <c r="D9" s="12">
        <v>42000.0</v>
      </c>
      <c r="E9" s="14"/>
      <c r="F9" s="14"/>
      <c r="G9" s="14"/>
      <c r="H9" s="14"/>
      <c r="I9" s="15">
        <v>1.0</v>
      </c>
      <c r="J9" s="36">
        <v>39000.0</v>
      </c>
      <c r="K9" s="16">
        <v>100000.0</v>
      </c>
      <c r="L9" s="21">
        <v>60000.0</v>
      </c>
      <c r="M9" s="25">
        <f>D33-E33-N9-Salaires!J23</f>
        <v>571881</v>
      </c>
      <c r="N9" s="18">
        <f>O9*1</f>
        <v>57000</v>
      </c>
      <c r="O9" s="37">
        <v>57000.0</v>
      </c>
      <c r="P9" s="38"/>
    </row>
    <row r="10">
      <c r="A10" s="10" t="s">
        <v>15</v>
      </c>
      <c r="B10" s="11">
        <v>45116.0</v>
      </c>
      <c r="C10" s="12">
        <v>38000.0</v>
      </c>
      <c r="D10" s="12">
        <v>31000.0</v>
      </c>
      <c r="E10" s="14"/>
      <c r="F10" s="14"/>
      <c r="G10" s="14"/>
      <c r="H10" s="14"/>
      <c r="I10" s="15">
        <v>1.0</v>
      </c>
      <c r="K10" s="16">
        <v>100000.0</v>
      </c>
      <c r="L10" s="21">
        <v>38000.0</v>
      </c>
      <c r="M10" s="1"/>
      <c r="N10" s="1" t="s">
        <v>27</v>
      </c>
      <c r="O10" s="38"/>
      <c r="P10" s="38"/>
    </row>
    <row r="11">
      <c r="A11" s="10" t="s">
        <v>16</v>
      </c>
      <c r="B11" s="11">
        <v>45117.0</v>
      </c>
      <c r="C11" s="12">
        <v>64000.0</v>
      </c>
      <c r="D11" s="12">
        <v>30000.0</v>
      </c>
      <c r="E11" s="14"/>
      <c r="F11" s="14"/>
      <c r="G11" s="14"/>
      <c r="H11" s="14"/>
      <c r="I11" s="15">
        <v>1.0</v>
      </c>
      <c r="K11" s="16">
        <v>100000.0</v>
      </c>
      <c r="L11" s="21">
        <v>64000.0</v>
      </c>
      <c r="M11" s="39" t="s">
        <v>28</v>
      </c>
      <c r="N11" s="26"/>
      <c r="O11" s="22"/>
      <c r="P11" s="38"/>
    </row>
    <row r="12">
      <c r="A12" s="10" t="s">
        <v>19</v>
      </c>
      <c r="B12" s="11">
        <v>45118.0</v>
      </c>
      <c r="C12" s="12">
        <v>24000.0</v>
      </c>
      <c r="D12" s="12">
        <v>48000.0</v>
      </c>
      <c r="E12" s="14"/>
      <c r="F12" s="14"/>
      <c r="G12" s="14"/>
      <c r="H12" s="14"/>
      <c r="I12" s="15">
        <v>1.0</v>
      </c>
      <c r="K12" s="16">
        <v>100000.0</v>
      </c>
      <c r="L12" s="21">
        <v>24000.0</v>
      </c>
      <c r="M12" s="38"/>
      <c r="N12" s="38"/>
      <c r="O12" s="40" t="s">
        <v>29</v>
      </c>
      <c r="P12" s="22"/>
    </row>
    <row r="13">
      <c r="A13" s="10" t="s">
        <v>20</v>
      </c>
      <c r="B13" s="11">
        <v>45119.0</v>
      </c>
      <c r="C13" s="12">
        <v>35000.0</v>
      </c>
      <c r="D13" s="41">
        <v>76000.0</v>
      </c>
      <c r="E13" s="14"/>
      <c r="F13" s="14"/>
      <c r="G13" s="14"/>
      <c r="H13" s="14"/>
      <c r="I13" s="15">
        <v>1.0</v>
      </c>
      <c r="K13" s="16">
        <v>100000.0</v>
      </c>
      <c r="L13" s="21">
        <v>35000.0</v>
      </c>
      <c r="M13" s="19"/>
      <c r="N13" s="42" t="s">
        <v>30</v>
      </c>
      <c r="O13" s="43" t="s">
        <v>31</v>
      </c>
      <c r="P13" s="22"/>
    </row>
    <row r="14">
      <c r="A14" s="10" t="s">
        <v>22</v>
      </c>
      <c r="B14" s="11">
        <v>45120.0</v>
      </c>
      <c r="C14" s="12">
        <v>80000.0</v>
      </c>
      <c r="D14" s="27">
        <v>100000.0</v>
      </c>
      <c r="E14" s="14"/>
      <c r="F14" s="14"/>
      <c r="G14" s="14"/>
      <c r="H14" s="14"/>
      <c r="I14" s="15">
        <v>1.0</v>
      </c>
      <c r="K14" s="16">
        <v>100000.0</v>
      </c>
      <c r="L14" s="21">
        <v>80000.0</v>
      </c>
      <c r="M14" s="19"/>
      <c r="N14" s="19"/>
      <c r="O14" s="43" t="s">
        <v>32</v>
      </c>
      <c r="P14" s="22"/>
    </row>
    <row r="15">
      <c r="A15" s="28" t="s">
        <v>23</v>
      </c>
      <c r="B15" s="29">
        <v>45121.0</v>
      </c>
      <c r="C15" s="30">
        <v>43000.0</v>
      </c>
      <c r="D15" s="41">
        <v>75000.0</v>
      </c>
      <c r="E15" s="31"/>
      <c r="F15" s="31"/>
      <c r="G15" s="31"/>
      <c r="H15" s="31"/>
      <c r="I15" s="32">
        <v>1.0</v>
      </c>
      <c r="K15" s="16">
        <v>100000.0</v>
      </c>
      <c r="L15" s="21">
        <v>43000.0</v>
      </c>
      <c r="M15" s="44"/>
      <c r="N15" s="19"/>
      <c r="O15" s="45"/>
      <c r="P15" s="22"/>
    </row>
    <row r="16">
      <c r="A16" s="10" t="s">
        <v>26</v>
      </c>
      <c r="B16" s="11">
        <v>45122.0</v>
      </c>
      <c r="C16" s="12">
        <v>80000.0</v>
      </c>
      <c r="D16" s="41">
        <v>93000.0</v>
      </c>
      <c r="E16" s="14"/>
      <c r="F16" s="14"/>
      <c r="G16" s="14"/>
      <c r="H16" s="14"/>
      <c r="I16" s="15">
        <v>1.0</v>
      </c>
      <c r="K16" s="16">
        <v>100000.0</v>
      </c>
      <c r="L16" s="21">
        <v>80000.0</v>
      </c>
      <c r="M16" s="46"/>
      <c r="N16" s="19"/>
      <c r="O16" s="47"/>
      <c r="P16" s="19"/>
    </row>
    <row r="17">
      <c r="A17" s="10" t="s">
        <v>15</v>
      </c>
      <c r="B17" s="11">
        <v>45123.0</v>
      </c>
      <c r="C17" s="12">
        <v>24000.0</v>
      </c>
      <c r="D17" s="12">
        <v>39000.0</v>
      </c>
      <c r="E17" s="14"/>
      <c r="F17" s="14"/>
      <c r="G17" s="14"/>
      <c r="H17" s="14"/>
      <c r="I17" s="15">
        <v>1.0</v>
      </c>
      <c r="K17" s="16">
        <v>100000.0</v>
      </c>
      <c r="L17" s="21">
        <v>24000.0</v>
      </c>
      <c r="M17" s="48" t="s">
        <v>33</v>
      </c>
      <c r="N17" s="49"/>
      <c r="O17" s="50"/>
      <c r="P17" s="46"/>
    </row>
    <row r="18">
      <c r="A18" s="10" t="s">
        <v>16</v>
      </c>
      <c r="B18" s="11">
        <v>45124.0</v>
      </c>
      <c r="C18" s="12">
        <v>66000.0</v>
      </c>
      <c r="D18" s="41">
        <v>50000.0</v>
      </c>
      <c r="E18" s="14"/>
      <c r="F18" s="14"/>
      <c r="G18" s="14"/>
      <c r="H18" s="14"/>
      <c r="I18" s="15">
        <v>1.0</v>
      </c>
      <c r="K18" s="16">
        <v>100000.0</v>
      </c>
      <c r="L18" s="21">
        <v>66000.0</v>
      </c>
      <c r="M18" s="51">
        <f>D33-C33</f>
        <v>303000</v>
      </c>
      <c r="N18" s="52"/>
      <c r="O18" s="39"/>
      <c r="P18" s="26"/>
    </row>
    <row r="19">
      <c r="A19" s="10" t="s">
        <v>19</v>
      </c>
      <c r="B19" s="11">
        <v>45125.0</v>
      </c>
      <c r="C19" s="12">
        <v>50000.0</v>
      </c>
      <c r="D19" s="41">
        <v>71000.0</v>
      </c>
      <c r="E19" s="14"/>
      <c r="F19" s="14"/>
      <c r="G19" s="14"/>
      <c r="H19" s="14"/>
      <c r="I19" s="15">
        <v>1.0</v>
      </c>
      <c r="K19" s="16">
        <v>100000.0</v>
      </c>
      <c r="L19" s="21">
        <v>50000.0</v>
      </c>
      <c r="M19" s="53" t="s">
        <v>34</v>
      </c>
      <c r="N19" s="52"/>
      <c r="O19" s="39"/>
      <c r="P19" s="26"/>
    </row>
    <row r="20">
      <c r="A20" s="10" t="s">
        <v>20</v>
      </c>
      <c r="B20" s="11">
        <v>45126.0</v>
      </c>
      <c r="C20" s="12">
        <v>12000.0</v>
      </c>
      <c r="D20" s="27">
        <v>120000.0</v>
      </c>
      <c r="E20" s="14"/>
      <c r="F20" s="14"/>
      <c r="G20" s="14"/>
      <c r="H20" s="14"/>
      <c r="I20" s="15">
        <v>1.0</v>
      </c>
      <c r="K20" s="16">
        <v>100000.0</v>
      </c>
      <c r="L20" s="21">
        <v>12000.0</v>
      </c>
      <c r="M20" s="26">
        <f>K34-E34</f>
        <v>0</v>
      </c>
      <c r="N20" s="52"/>
      <c r="O20" s="39"/>
      <c r="P20" s="26"/>
    </row>
    <row r="21">
      <c r="A21" s="10" t="s">
        <v>22</v>
      </c>
      <c r="B21" s="11">
        <v>45127.0</v>
      </c>
      <c r="C21" s="12">
        <v>28000.0</v>
      </c>
      <c r="D21" s="12">
        <v>49000.0</v>
      </c>
      <c r="E21" s="14"/>
      <c r="F21" s="14"/>
      <c r="G21" s="14"/>
      <c r="H21" s="14"/>
      <c r="I21" s="15">
        <v>1.0</v>
      </c>
      <c r="K21" s="16">
        <v>100000.0</v>
      </c>
      <c r="L21" s="21">
        <v>28000.0</v>
      </c>
      <c r="M21" s="54" t="s">
        <v>35</v>
      </c>
      <c r="N21" s="52"/>
      <c r="O21" s="39"/>
      <c r="P21" s="26"/>
    </row>
    <row r="22">
      <c r="A22" s="28" t="s">
        <v>23</v>
      </c>
      <c r="B22" s="29">
        <v>45128.0</v>
      </c>
      <c r="C22" s="30">
        <v>48000.0</v>
      </c>
      <c r="D22" s="12">
        <v>42000.0</v>
      </c>
      <c r="E22" s="31"/>
      <c r="F22" s="31"/>
      <c r="G22" s="31"/>
      <c r="H22" s="31"/>
      <c r="I22" s="32">
        <v>1.0</v>
      </c>
      <c r="K22" s="16">
        <v>100000.0</v>
      </c>
      <c r="L22" s="21">
        <v>48000.0</v>
      </c>
      <c r="M22" s="55">
        <f>D33-L33</f>
        <v>303000</v>
      </c>
      <c r="N22" s="52"/>
      <c r="O22" s="39"/>
      <c r="P22" s="26"/>
    </row>
    <row r="23">
      <c r="A23" s="10" t="s">
        <v>26</v>
      </c>
      <c r="B23" s="11">
        <v>45129.0</v>
      </c>
      <c r="C23" s="12">
        <v>39000.0</v>
      </c>
      <c r="D23" s="12">
        <v>35000.0</v>
      </c>
      <c r="E23" s="14"/>
      <c r="F23" s="14"/>
      <c r="G23" s="14"/>
      <c r="H23" s="14"/>
      <c r="I23" s="15">
        <v>1.0</v>
      </c>
      <c r="K23" s="16">
        <v>100000.0</v>
      </c>
      <c r="L23" s="21">
        <v>39000.0</v>
      </c>
      <c r="M23" s="39" t="s">
        <v>36</v>
      </c>
      <c r="N23" s="52"/>
      <c r="O23" s="39"/>
      <c r="P23" s="26"/>
    </row>
    <row r="24">
      <c r="A24" s="10" t="s">
        <v>15</v>
      </c>
      <c r="B24" s="11">
        <v>45130.0</v>
      </c>
      <c r="C24" s="12">
        <v>40000.0</v>
      </c>
      <c r="D24" s="41">
        <v>74000.0</v>
      </c>
      <c r="E24" s="14"/>
      <c r="F24" s="14"/>
      <c r="G24" s="14"/>
      <c r="H24" s="14"/>
      <c r="I24" s="15">
        <v>1.0</v>
      </c>
      <c r="K24" s="16">
        <v>100000.0</v>
      </c>
      <c r="L24" s="21">
        <v>40000.0</v>
      </c>
      <c r="M24" s="26">
        <f>E4+E11+E18+E25</f>
        <v>0</v>
      </c>
      <c r="N24" s="56"/>
      <c r="O24" s="39"/>
      <c r="P24" s="26"/>
    </row>
    <row r="25">
      <c r="A25" s="10" t="s">
        <v>16</v>
      </c>
      <c r="B25" s="11">
        <v>45131.0</v>
      </c>
      <c r="C25" s="12">
        <v>36000.0</v>
      </c>
      <c r="D25" s="12">
        <v>40000.0</v>
      </c>
      <c r="E25" s="14"/>
      <c r="F25" s="14"/>
      <c r="G25" s="14"/>
      <c r="H25" s="14"/>
      <c r="I25" s="15">
        <v>1.0</v>
      </c>
      <c r="K25" s="16">
        <v>100000.0</v>
      </c>
      <c r="L25" s="21">
        <v>36000.0</v>
      </c>
      <c r="M25" s="26"/>
      <c r="N25" s="56"/>
      <c r="O25" s="39"/>
      <c r="P25" s="26"/>
    </row>
    <row r="26">
      <c r="A26" s="10" t="s">
        <v>19</v>
      </c>
      <c r="B26" s="11">
        <v>45132.0</v>
      </c>
      <c r="C26" s="12">
        <v>50000.0</v>
      </c>
      <c r="D26" s="12">
        <v>40000.0</v>
      </c>
      <c r="E26" s="14"/>
      <c r="F26" s="14"/>
      <c r="G26" s="14"/>
      <c r="H26" s="14"/>
      <c r="I26" s="15">
        <v>1.0</v>
      </c>
      <c r="K26" s="16">
        <v>100000.0</v>
      </c>
      <c r="L26" s="21">
        <v>50000.0</v>
      </c>
      <c r="M26" s="24" t="s">
        <v>37</v>
      </c>
      <c r="N26" s="56"/>
      <c r="O26" s="26"/>
      <c r="P26" s="26"/>
    </row>
    <row r="27">
      <c r="A27" s="10" t="s">
        <v>20</v>
      </c>
      <c r="B27" s="11">
        <v>45133.0</v>
      </c>
      <c r="C27" s="12">
        <v>120000.0</v>
      </c>
      <c r="D27" s="41">
        <v>60000.0</v>
      </c>
      <c r="E27" s="14"/>
      <c r="F27" s="14"/>
      <c r="G27" s="14"/>
      <c r="H27" s="14"/>
      <c r="I27" s="15">
        <v>1.0</v>
      </c>
      <c r="K27" s="16">
        <v>100000.0</v>
      </c>
      <c r="L27" s="21">
        <v>120000.0</v>
      </c>
      <c r="M27" s="57">
        <v>320000.0</v>
      </c>
      <c r="N27" s="58" t="s">
        <v>38</v>
      </c>
      <c r="O27" s="19"/>
      <c r="P27" s="22"/>
    </row>
    <row r="28">
      <c r="A28" s="10" t="s">
        <v>22</v>
      </c>
      <c r="B28" s="11">
        <v>45134.0</v>
      </c>
      <c r="C28" s="12">
        <v>240000.0</v>
      </c>
      <c r="D28" s="27">
        <v>123000.0</v>
      </c>
      <c r="E28" s="14"/>
      <c r="F28" s="14"/>
      <c r="G28" s="14"/>
      <c r="H28" s="14"/>
      <c r="I28" s="15">
        <v>1.0</v>
      </c>
      <c r="K28" s="16">
        <v>100000.0</v>
      </c>
      <c r="L28" s="21">
        <v>240000.0</v>
      </c>
      <c r="M28" s="59" t="s">
        <v>39</v>
      </c>
      <c r="N28" s="60" t="s">
        <v>40</v>
      </c>
      <c r="O28" s="19"/>
      <c r="P28" s="22"/>
    </row>
    <row r="29">
      <c r="A29" s="28" t="s">
        <v>23</v>
      </c>
      <c r="B29" s="29">
        <v>45135.0</v>
      </c>
      <c r="C29" s="30">
        <v>0.0</v>
      </c>
      <c r="D29" s="27">
        <v>115000.0</v>
      </c>
      <c r="E29" s="31"/>
      <c r="F29" s="31"/>
      <c r="G29" s="31"/>
      <c r="H29" s="31"/>
      <c r="I29" s="61">
        <v>1.0</v>
      </c>
      <c r="K29" s="16">
        <v>100000.0</v>
      </c>
      <c r="L29" s="21">
        <v>0.0</v>
      </c>
      <c r="M29" s="26"/>
      <c r="N29" s="60" t="s">
        <v>41</v>
      </c>
      <c r="O29" s="19"/>
      <c r="P29" s="22"/>
    </row>
    <row r="30">
      <c r="A30" s="10" t="s">
        <v>26</v>
      </c>
      <c r="B30" s="11">
        <v>45136.0</v>
      </c>
      <c r="C30" s="12">
        <v>0.0</v>
      </c>
      <c r="D30" s="41">
        <v>70000.0</v>
      </c>
      <c r="E30" s="14"/>
      <c r="F30" s="14"/>
      <c r="G30" s="14"/>
      <c r="H30" s="14"/>
      <c r="I30" s="62">
        <v>1.0</v>
      </c>
      <c r="K30" s="16">
        <v>100000.0</v>
      </c>
      <c r="L30" s="21">
        <v>0.0</v>
      </c>
      <c r="M30" s="26"/>
      <c r="N30" s="60" t="s">
        <v>42</v>
      </c>
      <c r="O30" s="19"/>
      <c r="P30" s="22"/>
    </row>
    <row r="31">
      <c r="A31" s="10" t="s">
        <v>15</v>
      </c>
      <c r="B31" s="11">
        <v>45137.0</v>
      </c>
      <c r="C31" s="12">
        <v>0.0</v>
      </c>
      <c r="D31" s="41">
        <v>70000.0</v>
      </c>
      <c r="E31" s="14"/>
      <c r="F31" s="14"/>
      <c r="G31" s="14"/>
      <c r="H31" s="14"/>
      <c r="I31" s="62">
        <v>1.0</v>
      </c>
      <c r="K31" s="63"/>
      <c r="L31" s="21">
        <v>0.0</v>
      </c>
      <c r="M31" s="57">
        <v>94000.0</v>
      </c>
      <c r="N31" s="58">
        <v>94000.0</v>
      </c>
      <c r="O31" s="19"/>
      <c r="P31" s="22"/>
    </row>
    <row r="32">
      <c r="A32" s="10" t="s">
        <v>16</v>
      </c>
      <c r="B32" s="11">
        <v>45138.0</v>
      </c>
      <c r="C32" s="12">
        <v>0.0</v>
      </c>
      <c r="D32" s="41">
        <v>60000.0</v>
      </c>
      <c r="E32" s="14"/>
      <c r="F32" s="14"/>
      <c r="G32" s="14"/>
      <c r="H32" s="14"/>
      <c r="I32" s="62">
        <v>1.0</v>
      </c>
      <c r="K32" s="63"/>
      <c r="L32" s="64"/>
      <c r="M32" s="26"/>
      <c r="N32" s="22"/>
      <c r="O32" s="19"/>
      <c r="P32" s="22"/>
    </row>
    <row r="33">
      <c r="A33" s="65"/>
      <c r="B33" s="66"/>
      <c r="C33" s="67">
        <f t="shared" ref="C33:D33" si="1">SUM(C2:C32)</f>
        <v>1577000</v>
      </c>
      <c r="D33" s="68">
        <f t="shared" si="1"/>
        <v>1880000</v>
      </c>
      <c r="E33" s="69">
        <f>'Les Charges '!F243*1</f>
        <v>834119</v>
      </c>
      <c r="F33" s="69">
        <f>Salaires!I23*1</f>
        <v>422184.2</v>
      </c>
      <c r="G33" s="69">
        <v>110000.0</v>
      </c>
      <c r="H33" s="69">
        <f>D33-E33-F33-G33</f>
        <v>513696.8</v>
      </c>
      <c r="I33" s="70">
        <f>SUM(I2:I32)</f>
        <v>31</v>
      </c>
      <c r="K33" s="71"/>
      <c r="L33" s="72">
        <f>SUM(L2:L32)</f>
        <v>1577000</v>
      </c>
      <c r="M33" s="26">
        <f>M9-M27-M31</f>
        <v>157881</v>
      </c>
      <c r="N33" s="22"/>
      <c r="O33" s="19"/>
      <c r="P33" s="22"/>
    </row>
    <row r="34">
      <c r="A34" s="22"/>
      <c r="B34" s="22"/>
      <c r="C34" s="22"/>
      <c r="D34" s="22"/>
      <c r="E34" s="22"/>
      <c r="F34" s="22"/>
      <c r="G34" s="22"/>
      <c r="H34" s="22"/>
      <c r="I34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3.38"/>
    <col customWidth="1" min="4" max="4" width="38.38"/>
    <col customWidth="1" min="5" max="5" width="38.88"/>
    <col customWidth="1" min="6" max="6" width="37.13"/>
    <col customWidth="1" min="7" max="7" width="35.88"/>
  </cols>
  <sheetData>
    <row r="2">
      <c r="C2" s="73" t="s">
        <v>43</v>
      </c>
      <c r="D2" s="74" t="s">
        <v>44</v>
      </c>
      <c r="E2" s="74" t="s">
        <v>45</v>
      </c>
      <c r="F2" s="74" t="s">
        <v>46</v>
      </c>
      <c r="G2" s="74" t="s">
        <v>47</v>
      </c>
    </row>
    <row r="3">
      <c r="C3" s="75" t="s">
        <v>48</v>
      </c>
      <c r="D3" s="76">
        <v>1.0</v>
      </c>
      <c r="E3" s="77">
        <v>1500.0</v>
      </c>
      <c r="F3" s="77">
        <f t="shared" ref="F3:F4" si="1">E3*D3</f>
        <v>1500</v>
      </c>
      <c r="G3" s="78">
        <v>45078.0</v>
      </c>
    </row>
    <row r="4">
      <c r="C4" s="79" t="s">
        <v>49</v>
      </c>
      <c r="D4" s="39">
        <v>3.0</v>
      </c>
      <c r="E4" s="26">
        <v>1680.0</v>
      </c>
      <c r="F4" s="26">
        <f t="shared" si="1"/>
        <v>5040</v>
      </c>
      <c r="G4" s="80">
        <v>45078.0</v>
      </c>
    </row>
    <row r="5">
      <c r="C5" s="75" t="s">
        <v>50</v>
      </c>
      <c r="D5" s="76">
        <v>2.0</v>
      </c>
      <c r="E5" s="77">
        <v>550.0</v>
      </c>
      <c r="F5" s="81">
        <f t="shared" ref="F5:F18" si="2">D5*E5</f>
        <v>1100</v>
      </c>
      <c r="G5" s="78">
        <v>45102.0</v>
      </c>
    </row>
    <row r="6">
      <c r="C6" s="79" t="s">
        <v>51</v>
      </c>
      <c r="D6" s="39">
        <v>1.0</v>
      </c>
      <c r="E6" s="26">
        <v>500.0</v>
      </c>
      <c r="F6" s="82">
        <f t="shared" si="2"/>
        <v>500</v>
      </c>
      <c r="G6" s="80">
        <v>45102.0</v>
      </c>
    </row>
    <row r="7">
      <c r="C7" s="79" t="s">
        <v>52</v>
      </c>
      <c r="D7" s="39">
        <v>16.0</v>
      </c>
      <c r="E7" s="26">
        <v>110.0</v>
      </c>
      <c r="F7" s="82">
        <f t="shared" si="2"/>
        <v>1760</v>
      </c>
      <c r="G7" s="80">
        <v>45102.0</v>
      </c>
    </row>
    <row r="8">
      <c r="C8" s="79" t="s">
        <v>53</v>
      </c>
      <c r="D8" s="39">
        <v>8.0</v>
      </c>
      <c r="E8" s="26">
        <v>90.0</v>
      </c>
      <c r="F8" s="82">
        <f t="shared" si="2"/>
        <v>720</v>
      </c>
      <c r="G8" s="80">
        <v>45102.0</v>
      </c>
    </row>
    <row r="9">
      <c r="C9" s="79" t="s">
        <v>54</v>
      </c>
      <c r="D9" s="39">
        <v>20.0</v>
      </c>
      <c r="E9" s="26">
        <v>90.0</v>
      </c>
      <c r="F9" s="82">
        <f t="shared" si="2"/>
        <v>1800</v>
      </c>
      <c r="G9" s="80">
        <v>45102.0</v>
      </c>
    </row>
    <row r="10">
      <c r="C10" s="79" t="s">
        <v>55</v>
      </c>
      <c r="D10" s="39">
        <v>20.0</v>
      </c>
      <c r="E10" s="26">
        <v>100.0</v>
      </c>
      <c r="F10" s="82">
        <f t="shared" si="2"/>
        <v>2000</v>
      </c>
      <c r="G10" s="80">
        <v>45102.0</v>
      </c>
    </row>
    <row r="11">
      <c r="C11" s="79" t="s">
        <v>56</v>
      </c>
      <c r="D11" s="39">
        <v>12.0</v>
      </c>
      <c r="E11" s="26">
        <v>235.0</v>
      </c>
      <c r="F11" s="82">
        <f t="shared" si="2"/>
        <v>2820</v>
      </c>
      <c r="G11" s="80">
        <v>45102.0</v>
      </c>
    </row>
    <row r="12">
      <c r="C12" s="83" t="s">
        <v>57</v>
      </c>
      <c r="D12" s="84">
        <v>30.0</v>
      </c>
      <c r="E12" s="85">
        <v>70.0</v>
      </c>
      <c r="F12" s="77">
        <f t="shared" si="2"/>
        <v>2100</v>
      </c>
      <c r="G12" s="86">
        <v>45108.0</v>
      </c>
    </row>
    <row r="13">
      <c r="C13" s="75" t="s">
        <v>58</v>
      </c>
      <c r="D13" s="76">
        <v>1.0</v>
      </c>
      <c r="E13" s="77">
        <v>3450.0</v>
      </c>
      <c r="F13" s="81">
        <f t="shared" si="2"/>
        <v>3450</v>
      </c>
      <c r="G13" s="78" t="s">
        <v>59</v>
      </c>
    </row>
    <row r="14">
      <c r="C14" s="75" t="s">
        <v>60</v>
      </c>
      <c r="D14" s="76">
        <v>1.0</v>
      </c>
      <c r="E14" s="77">
        <v>1220.0</v>
      </c>
      <c r="F14" s="81">
        <f t="shared" si="2"/>
        <v>1220</v>
      </c>
      <c r="G14" s="78" t="s">
        <v>59</v>
      </c>
    </row>
    <row r="15">
      <c r="C15" s="79" t="s">
        <v>61</v>
      </c>
      <c r="D15" s="39">
        <v>1.0</v>
      </c>
      <c r="E15" s="26">
        <v>870.0</v>
      </c>
      <c r="F15" s="82">
        <f t="shared" si="2"/>
        <v>870</v>
      </c>
      <c r="G15" s="80" t="s">
        <v>59</v>
      </c>
    </row>
    <row r="16">
      <c r="C16" s="75" t="s">
        <v>62</v>
      </c>
      <c r="D16" s="84">
        <v>10.0</v>
      </c>
      <c r="E16" s="77">
        <v>180.0</v>
      </c>
      <c r="F16" s="81">
        <f t="shared" si="2"/>
        <v>1800</v>
      </c>
      <c r="G16" s="78" t="s">
        <v>63</v>
      </c>
    </row>
    <row r="17">
      <c r="C17" s="75" t="s">
        <v>64</v>
      </c>
      <c r="D17" s="76">
        <v>1.0</v>
      </c>
      <c r="E17" s="77">
        <v>1950.0</v>
      </c>
      <c r="F17" s="81">
        <f t="shared" si="2"/>
        <v>1950</v>
      </c>
      <c r="G17" s="78" t="s">
        <v>63</v>
      </c>
    </row>
    <row r="18">
      <c r="C18" s="75" t="s">
        <v>65</v>
      </c>
      <c r="D18" s="76">
        <v>1.0</v>
      </c>
      <c r="E18" s="77">
        <v>1280.0</v>
      </c>
      <c r="F18" s="81">
        <f t="shared" si="2"/>
        <v>1280</v>
      </c>
      <c r="G18" s="78" t="s">
        <v>63</v>
      </c>
    </row>
    <row r="19">
      <c r="C19" s="75" t="s">
        <v>66</v>
      </c>
      <c r="D19" s="76">
        <v>1.0</v>
      </c>
      <c r="E19" s="77">
        <v>800.0</v>
      </c>
      <c r="F19" s="77">
        <f t="shared" ref="F19:F23" si="3">E19*D19</f>
        <v>800</v>
      </c>
      <c r="G19" s="78">
        <v>45078.0</v>
      </c>
    </row>
    <row r="20">
      <c r="C20" s="79" t="s">
        <v>67</v>
      </c>
      <c r="D20" s="39">
        <v>1.0</v>
      </c>
      <c r="E20" s="26">
        <v>740.0</v>
      </c>
      <c r="F20" s="26">
        <f t="shared" si="3"/>
        <v>740</v>
      </c>
      <c r="G20" s="80">
        <v>45078.0</v>
      </c>
    </row>
    <row r="21">
      <c r="C21" s="75" t="s">
        <v>68</v>
      </c>
      <c r="D21" s="84">
        <v>25.0</v>
      </c>
      <c r="E21" s="77">
        <v>80.0</v>
      </c>
      <c r="F21" s="77">
        <f t="shared" si="3"/>
        <v>2000</v>
      </c>
      <c r="G21" s="78">
        <v>45078.0</v>
      </c>
    </row>
    <row r="22">
      <c r="C22" s="75" t="s">
        <v>69</v>
      </c>
      <c r="D22" s="84">
        <v>3.0</v>
      </c>
      <c r="E22" s="77">
        <v>530.0</v>
      </c>
      <c r="F22" s="77">
        <f t="shared" si="3"/>
        <v>1590</v>
      </c>
      <c r="G22" s="78">
        <v>45078.0</v>
      </c>
    </row>
    <row r="23">
      <c r="C23" s="87" t="s">
        <v>70</v>
      </c>
      <c r="D23" s="88">
        <v>4.0</v>
      </c>
      <c r="E23" s="89">
        <v>2050.0</v>
      </c>
      <c r="F23" s="89">
        <f t="shared" si="3"/>
        <v>8200</v>
      </c>
      <c r="G23" s="90">
        <v>44999.0</v>
      </c>
    </row>
    <row r="24">
      <c r="C24" s="91" t="s">
        <v>71</v>
      </c>
      <c r="D24" s="92">
        <v>2.0</v>
      </c>
      <c r="E24" s="57">
        <v>1550.0</v>
      </c>
      <c r="F24" s="26">
        <f t="shared" ref="F24:F28" si="4">D24*E24</f>
        <v>3100</v>
      </c>
      <c r="G24" s="93">
        <v>45108.0</v>
      </c>
    </row>
    <row r="25">
      <c r="C25" s="91" t="s">
        <v>72</v>
      </c>
      <c r="D25" s="92">
        <v>3.0</v>
      </c>
      <c r="E25" s="57">
        <v>1200.0</v>
      </c>
      <c r="F25" s="26">
        <f t="shared" si="4"/>
        <v>3600</v>
      </c>
      <c r="G25" s="93">
        <v>45108.0</v>
      </c>
    </row>
    <row r="26">
      <c r="C26" s="91" t="s">
        <v>73</v>
      </c>
      <c r="D26" s="92">
        <v>1.0</v>
      </c>
      <c r="E26" s="57">
        <v>1150.0</v>
      </c>
      <c r="F26" s="26">
        <f t="shared" si="4"/>
        <v>1150</v>
      </c>
      <c r="G26" s="92" t="s">
        <v>74</v>
      </c>
    </row>
    <row r="27">
      <c r="C27" s="94" t="s">
        <v>75</v>
      </c>
      <c r="D27" s="95">
        <v>12.0</v>
      </c>
      <c r="E27" s="81">
        <v>203.0</v>
      </c>
      <c r="F27" s="81">
        <f t="shared" si="4"/>
        <v>2436</v>
      </c>
      <c r="G27" s="96">
        <v>45041.0</v>
      </c>
    </row>
    <row r="28">
      <c r="C28" s="97" t="s">
        <v>76</v>
      </c>
      <c r="D28" s="98">
        <v>8.0</v>
      </c>
      <c r="E28" s="82">
        <v>200.0</v>
      </c>
      <c r="F28" s="82">
        <f t="shared" si="4"/>
        <v>1600</v>
      </c>
      <c r="G28" s="99">
        <v>45041.0</v>
      </c>
    </row>
    <row r="29">
      <c r="C29" s="75" t="s">
        <v>77</v>
      </c>
      <c r="D29" s="84">
        <v>8.0</v>
      </c>
      <c r="E29" s="77">
        <v>800.0</v>
      </c>
      <c r="F29" s="77">
        <f>E29*D29</f>
        <v>6400</v>
      </c>
      <c r="G29" s="78">
        <v>45069.0</v>
      </c>
    </row>
    <row r="30">
      <c r="C30" s="97" t="s">
        <v>78</v>
      </c>
      <c r="D30" s="98">
        <v>5.0</v>
      </c>
      <c r="E30" s="82">
        <v>202.0</v>
      </c>
      <c r="F30" s="82">
        <f>D30*E30</f>
        <v>1010</v>
      </c>
      <c r="G30" s="99">
        <v>45069.0</v>
      </c>
    </row>
    <row r="31">
      <c r="C31" s="100" t="s">
        <v>79</v>
      </c>
      <c r="D31" s="101">
        <v>8.0</v>
      </c>
      <c r="E31" s="102">
        <v>260.0</v>
      </c>
      <c r="F31" s="102">
        <f t="shared" ref="F31:F32" si="5">E31*D31</f>
        <v>2080</v>
      </c>
      <c r="G31" s="103" t="s">
        <v>80</v>
      </c>
    </row>
    <row r="32">
      <c r="C32" s="104" t="s">
        <v>81</v>
      </c>
      <c r="D32" s="54">
        <v>30.0</v>
      </c>
      <c r="E32" s="41">
        <v>225.0</v>
      </c>
      <c r="F32" s="18">
        <f t="shared" si="5"/>
        <v>6750</v>
      </c>
      <c r="G32" s="105">
        <v>44947.0</v>
      </c>
    </row>
    <row r="33">
      <c r="C33" s="75" t="s">
        <v>82</v>
      </c>
      <c r="D33" s="76">
        <v>1.0</v>
      </c>
      <c r="E33" s="77">
        <v>1000.0</v>
      </c>
      <c r="F33" s="81">
        <f t="shared" ref="F33:F37" si="6">D33*E33</f>
        <v>1000</v>
      </c>
      <c r="G33" s="78">
        <v>45102.0</v>
      </c>
    </row>
    <row r="34">
      <c r="C34" s="79" t="s">
        <v>83</v>
      </c>
      <c r="D34" s="92">
        <v>2.0</v>
      </c>
      <c r="E34" s="26">
        <v>550.0</v>
      </c>
      <c r="F34" s="82">
        <f t="shared" si="6"/>
        <v>1100</v>
      </c>
      <c r="G34" s="80">
        <v>45102.0</v>
      </c>
    </row>
    <row r="35">
      <c r="C35" s="75" t="s">
        <v>84</v>
      </c>
      <c r="D35" s="76">
        <v>40.0</v>
      </c>
      <c r="E35" s="77">
        <v>50.0</v>
      </c>
      <c r="F35" s="81">
        <f t="shared" si="6"/>
        <v>2000</v>
      </c>
      <c r="G35" s="78">
        <v>45103.0</v>
      </c>
    </row>
    <row r="36">
      <c r="C36" s="75" t="s">
        <v>84</v>
      </c>
      <c r="D36" s="76">
        <v>40.0</v>
      </c>
      <c r="E36" s="85">
        <v>55.0</v>
      </c>
      <c r="F36" s="81">
        <f t="shared" si="6"/>
        <v>2200</v>
      </c>
      <c r="G36" s="78">
        <v>45103.0</v>
      </c>
    </row>
    <row r="37">
      <c r="C37" s="75" t="s">
        <v>85</v>
      </c>
      <c r="D37" s="76">
        <v>1.0</v>
      </c>
      <c r="E37" s="77">
        <v>1500.0</v>
      </c>
      <c r="F37" s="81">
        <f t="shared" si="6"/>
        <v>1500</v>
      </c>
      <c r="G37" s="78">
        <v>45103.0</v>
      </c>
    </row>
    <row r="38">
      <c r="C38" s="75" t="s">
        <v>86</v>
      </c>
      <c r="D38" s="84">
        <v>3.0</v>
      </c>
      <c r="E38" s="77">
        <v>550.0</v>
      </c>
      <c r="F38" s="77">
        <f>E38*D38</f>
        <v>1650</v>
      </c>
      <c r="G38" s="78">
        <v>45083.0</v>
      </c>
    </row>
    <row r="39">
      <c r="C39" s="75" t="s">
        <v>87</v>
      </c>
      <c r="D39" s="84">
        <v>4.0</v>
      </c>
      <c r="E39" s="77">
        <v>420.0</v>
      </c>
      <c r="F39" s="81">
        <f t="shared" ref="F39:F42" si="7">D39*E39</f>
        <v>1680</v>
      </c>
      <c r="G39" s="78" t="s">
        <v>59</v>
      </c>
    </row>
    <row r="40">
      <c r="C40" s="75" t="s">
        <v>88</v>
      </c>
      <c r="D40" s="84">
        <v>10.0</v>
      </c>
      <c r="E40" s="77">
        <v>600.0</v>
      </c>
      <c r="F40" s="81">
        <f t="shared" si="7"/>
        <v>6000</v>
      </c>
      <c r="G40" s="78">
        <v>45084.0</v>
      </c>
    </row>
    <row r="41">
      <c r="C41" s="79" t="s">
        <v>89</v>
      </c>
      <c r="D41" s="92">
        <v>4.0</v>
      </c>
      <c r="E41" s="26">
        <v>780.0</v>
      </c>
      <c r="F41" s="82">
        <f t="shared" si="7"/>
        <v>3120</v>
      </c>
      <c r="G41" s="80">
        <v>45084.0</v>
      </c>
    </row>
    <row r="42">
      <c r="C42" s="94" t="s">
        <v>90</v>
      </c>
      <c r="D42" s="95">
        <v>0.5</v>
      </c>
      <c r="E42" s="81">
        <v>4400.0</v>
      </c>
      <c r="F42" s="81">
        <f t="shared" si="7"/>
        <v>2200</v>
      </c>
      <c r="G42" s="96">
        <v>45036.0</v>
      </c>
    </row>
    <row r="43">
      <c r="C43" s="75" t="s">
        <v>91</v>
      </c>
      <c r="D43" s="84">
        <v>2.0</v>
      </c>
      <c r="E43" s="77">
        <v>390.0</v>
      </c>
      <c r="F43" s="106">
        <f t="shared" ref="F43:F50" si="8">E43*D43</f>
        <v>780</v>
      </c>
      <c r="G43" s="78">
        <v>45057.0</v>
      </c>
    </row>
    <row r="44">
      <c r="C44" s="75" t="s">
        <v>92</v>
      </c>
      <c r="D44" s="84">
        <v>22.0</v>
      </c>
      <c r="E44" s="77">
        <v>25.0</v>
      </c>
      <c r="F44" s="77">
        <f t="shared" si="8"/>
        <v>550</v>
      </c>
      <c r="G44" s="78">
        <v>45078.0</v>
      </c>
    </row>
    <row r="45">
      <c r="C45" s="79" t="s">
        <v>93</v>
      </c>
      <c r="D45" s="92">
        <v>3.0</v>
      </c>
      <c r="E45" s="26">
        <v>180.0</v>
      </c>
      <c r="F45" s="26">
        <f t="shared" si="8"/>
        <v>540</v>
      </c>
      <c r="G45" s="80">
        <v>45078.0</v>
      </c>
    </row>
    <row r="46">
      <c r="C46" s="75" t="s">
        <v>94</v>
      </c>
      <c r="D46" s="84">
        <v>1.0</v>
      </c>
      <c r="E46" s="77">
        <v>1550.0</v>
      </c>
      <c r="F46" s="106">
        <f t="shared" si="8"/>
        <v>1550</v>
      </c>
      <c r="G46" s="78">
        <v>45057.0</v>
      </c>
    </row>
    <row r="47">
      <c r="C47" s="79" t="s">
        <v>95</v>
      </c>
      <c r="D47" s="92">
        <v>18.0</v>
      </c>
      <c r="E47" s="26">
        <v>250.0</v>
      </c>
      <c r="F47" s="26">
        <f t="shared" si="8"/>
        <v>4500</v>
      </c>
      <c r="G47" s="80">
        <v>45078.0</v>
      </c>
    </row>
    <row r="48">
      <c r="C48" s="87" t="s">
        <v>96</v>
      </c>
      <c r="D48" s="107">
        <v>30.0</v>
      </c>
      <c r="E48" s="89">
        <v>85.0</v>
      </c>
      <c r="F48" s="89">
        <f t="shared" si="8"/>
        <v>2550</v>
      </c>
      <c r="G48" s="90">
        <v>44999.0</v>
      </c>
    </row>
    <row r="49">
      <c r="C49" s="108" t="s">
        <v>97</v>
      </c>
      <c r="D49" s="15">
        <v>1.0</v>
      </c>
      <c r="E49" s="51">
        <v>1280.0</v>
      </c>
      <c r="F49" s="51">
        <f t="shared" si="8"/>
        <v>1280</v>
      </c>
      <c r="G49" s="109">
        <v>45004.0</v>
      </c>
    </row>
    <row r="50">
      <c r="C50" s="108" t="s">
        <v>98</v>
      </c>
      <c r="D50" s="15">
        <v>5.0</v>
      </c>
      <c r="E50" s="51">
        <v>1125.0</v>
      </c>
      <c r="F50" s="51">
        <f t="shared" si="8"/>
        <v>5625</v>
      </c>
      <c r="G50" s="109">
        <v>45005.0</v>
      </c>
    </row>
    <row r="51">
      <c r="C51" s="91" t="s">
        <v>99</v>
      </c>
      <c r="D51" s="92">
        <v>20.0</v>
      </c>
      <c r="E51" s="57">
        <v>1520.0</v>
      </c>
      <c r="F51" s="26">
        <f t="shared" ref="F51:F127" si="9">D51*E51</f>
        <v>30400</v>
      </c>
      <c r="G51" s="93">
        <v>45108.0</v>
      </c>
    </row>
    <row r="52">
      <c r="C52" s="91" t="s">
        <v>100</v>
      </c>
      <c r="D52" s="92">
        <v>18.0</v>
      </c>
      <c r="E52" s="57">
        <v>76.0</v>
      </c>
      <c r="F52" s="26">
        <f t="shared" si="9"/>
        <v>1368</v>
      </c>
      <c r="G52" s="93">
        <v>45108.0</v>
      </c>
    </row>
    <row r="53">
      <c r="C53" s="91" t="s">
        <v>101</v>
      </c>
      <c r="D53" s="92">
        <v>1.0</v>
      </c>
      <c r="E53" s="57">
        <v>600.0</v>
      </c>
      <c r="F53" s="26">
        <f t="shared" si="9"/>
        <v>600</v>
      </c>
      <c r="G53" s="93">
        <v>45108.0</v>
      </c>
    </row>
    <row r="54">
      <c r="C54" s="91" t="s">
        <v>102</v>
      </c>
      <c r="D54" s="92">
        <v>12.0</v>
      </c>
      <c r="E54" s="57">
        <v>235.0</v>
      </c>
      <c r="F54" s="26">
        <f t="shared" si="9"/>
        <v>2820</v>
      </c>
      <c r="G54" s="93">
        <v>45108.0</v>
      </c>
    </row>
    <row r="55">
      <c r="C55" s="91" t="s">
        <v>103</v>
      </c>
      <c r="D55" s="92">
        <v>4.0</v>
      </c>
      <c r="E55" s="57">
        <v>235.0</v>
      </c>
      <c r="F55" s="26">
        <f t="shared" si="9"/>
        <v>940</v>
      </c>
      <c r="G55" s="93">
        <v>45108.0</v>
      </c>
    </row>
    <row r="56">
      <c r="C56" s="91" t="s">
        <v>104</v>
      </c>
      <c r="D56" s="92">
        <v>9.0</v>
      </c>
      <c r="E56" s="57">
        <v>190.0</v>
      </c>
      <c r="F56" s="26">
        <f t="shared" si="9"/>
        <v>1710</v>
      </c>
      <c r="G56" s="93">
        <v>45108.0</v>
      </c>
    </row>
    <row r="57">
      <c r="C57" s="91" t="s">
        <v>105</v>
      </c>
      <c r="D57" s="92">
        <v>0.0</v>
      </c>
      <c r="E57" s="57">
        <v>250.0</v>
      </c>
      <c r="F57" s="26">
        <f t="shared" si="9"/>
        <v>0</v>
      </c>
      <c r="G57" s="93">
        <v>45108.0</v>
      </c>
    </row>
    <row r="58">
      <c r="C58" s="91" t="s">
        <v>106</v>
      </c>
      <c r="D58" s="92">
        <v>2.0</v>
      </c>
      <c r="E58" s="57">
        <v>950.0</v>
      </c>
      <c r="F58" s="26">
        <f t="shared" si="9"/>
        <v>1900</v>
      </c>
      <c r="G58" s="93">
        <v>45108.0</v>
      </c>
    </row>
    <row r="59">
      <c r="C59" s="91" t="s">
        <v>107</v>
      </c>
      <c r="D59" s="92">
        <v>0.0</v>
      </c>
      <c r="E59" s="57">
        <v>800.0</v>
      </c>
      <c r="F59" s="26">
        <f t="shared" si="9"/>
        <v>0</v>
      </c>
      <c r="G59" s="93">
        <v>45108.0</v>
      </c>
    </row>
    <row r="60">
      <c r="C60" s="91" t="s">
        <v>108</v>
      </c>
      <c r="D60" s="92">
        <v>5.0</v>
      </c>
      <c r="E60" s="57">
        <v>1900.0</v>
      </c>
      <c r="F60" s="26">
        <f t="shared" si="9"/>
        <v>9500</v>
      </c>
      <c r="G60" s="93">
        <v>45108.0</v>
      </c>
    </row>
    <row r="61">
      <c r="C61" s="91" t="s">
        <v>109</v>
      </c>
      <c r="D61" s="92">
        <v>8.0</v>
      </c>
      <c r="E61" s="57">
        <v>250.0</v>
      </c>
      <c r="F61" s="26">
        <f t="shared" si="9"/>
        <v>2000</v>
      </c>
      <c r="G61" s="93">
        <v>45108.0</v>
      </c>
    </row>
    <row r="62">
      <c r="C62" s="91" t="s">
        <v>110</v>
      </c>
      <c r="D62" s="92">
        <v>100.0</v>
      </c>
      <c r="E62" s="57">
        <v>45.0</v>
      </c>
      <c r="F62" s="26">
        <f t="shared" si="9"/>
        <v>4500</v>
      </c>
      <c r="G62" s="93">
        <v>45108.0</v>
      </c>
    </row>
    <row r="63">
      <c r="C63" s="91" t="s">
        <v>111</v>
      </c>
      <c r="D63" s="92">
        <v>1.0</v>
      </c>
      <c r="E63" s="57">
        <v>2050.0</v>
      </c>
      <c r="F63" s="26">
        <f t="shared" si="9"/>
        <v>2050</v>
      </c>
      <c r="G63" s="93">
        <v>45108.0</v>
      </c>
    </row>
    <row r="64">
      <c r="C64" s="91" t="s">
        <v>112</v>
      </c>
      <c r="D64" s="92">
        <v>2.0</v>
      </c>
      <c r="E64" s="57">
        <v>150.0</v>
      </c>
      <c r="F64" s="26">
        <f t="shared" si="9"/>
        <v>300</v>
      </c>
      <c r="G64" s="93">
        <v>45108.0</v>
      </c>
    </row>
    <row r="65">
      <c r="C65" s="91" t="s">
        <v>113</v>
      </c>
      <c r="D65" s="92">
        <v>1.0</v>
      </c>
      <c r="E65" s="57">
        <v>8000.0</v>
      </c>
      <c r="F65" s="26">
        <f t="shared" si="9"/>
        <v>8000</v>
      </c>
      <c r="G65" s="93">
        <v>45109.0</v>
      </c>
    </row>
    <row r="66">
      <c r="C66" s="91" t="s">
        <v>114</v>
      </c>
      <c r="D66" s="92">
        <v>1.0</v>
      </c>
      <c r="E66" s="57">
        <v>1000.0</v>
      </c>
      <c r="F66" s="26">
        <f t="shared" si="9"/>
        <v>1000</v>
      </c>
      <c r="G66" s="93">
        <v>45109.0</v>
      </c>
    </row>
    <row r="67">
      <c r="C67" s="91" t="s">
        <v>115</v>
      </c>
      <c r="D67" s="92">
        <v>1.0</v>
      </c>
      <c r="E67" s="57">
        <v>1150.0</v>
      </c>
      <c r="F67" s="26">
        <f t="shared" si="9"/>
        <v>1150</v>
      </c>
      <c r="G67" s="93">
        <v>45109.0</v>
      </c>
    </row>
    <row r="68">
      <c r="C68" s="91" t="s">
        <v>83</v>
      </c>
      <c r="D68" s="92">
        <v>5.0</v>
      </c>
      <c r="E68" s="57">
        <v>500.0</v>
      </c>
      <c r="F68" s="26">
        <f t="shared" si="9"/>
        <v>2500</v>
      </c>
      <c r="G68" s="93">
        <v>45109.0</v>
      </c>
    </row>
    <row r="69">
      <c r="C69" s="91" t="s">
        <v>84</v>
      </c>
      <c r="D69" s="92">
        <v>40.0</v>
      </c>
      <c r="E69" s="57">
        <v>50.0</v>
      </c>
      <c r="F69" s="26">
        <f t="shared" si="9"/>
        <v>2000</v>
      </c>
      <c r="G69" s="93">
        <v>45109.0</v>
      </c>
    </row>
    <row r="70">
      <c r="C70" s="91" t="s">
        <v>116</v>
      </c>
      <c r="D70" s="92">
        <v>3.0</v>
      </c>
      <c r="E70" s="57">
        <v>1000.0</v>
      </c>
      <c r="F70" s="26">
        <f t="shared" si="9"/>
        <v>3000</v>
      </c>
      <c r="G70" s="93">
        <v>45109.0</v>
      </c>
    </row>
    <row r="71">
      <c r="C71" s="91" t="s">
        <v>117</v>
      </c>
      <c r="D71" s="92">
        <v>1.0</v>
      </c>
      <c r="E71" s="57">
        <v>800.0</v>
      </c>
      <c r="F71" s="26">
        <f t="shared" si="9"/>
        <v>800</v>
      </c>
      <c r="G71" s="93">
        <v>45109.0</v>
      </c>
    </row>
    <row r="72">
      <c r="C72" s="91" t="s">
        <v>118</v>
      </c>
      <c r="D72" s="92">
        <v>1.0</v>
      </c>
      <c r="E72" s="57">
        <v>600.0</v>
      </c>
      <c r="F72" s="26">
        <f t="shared" si="9"/>
        <v>600</v>
      </c>
      <c r="G72" s="93">
        <v>45109.0</v>
      </c>
    </row>
    <row r="73">
      <c r="C73" s="91" t="s">
        <v>92</v>
      </c>
      <c r="D73" s="92">
        <v>1.0</v>
      </c>
      <c r="E73" s="57">
        <v>400.0</v>
      </c>
      <c r="F73" s="26">
        <f t="shared" si="9"/>
        <v>400</v>
      </c>
      <c r="G73" s="93">
        <v>45109.0</v>
      </c>
    </row>
    <row r="74">
      <c r="C74" s="91" t="s">
        <v>119</v>
      </c>
      <c r="D74" s="92">
        <v>1.0</v>
      </c>
      <c r="E74" s="57">
        <v>880.0</v>
      </c>
      <c r="F74" s="26">
        <f t="shared" si="9"/>
        <v>880</v>
      </c>
      <c r="G74" s="93">
        <v>45109.0</v>
      </c>
    </row>
    <row r="75">
      <c r="C75" s="91" t="s">
        <v>120</v>
      </c>
      <c r="D75" s="92">
        <v>3.0</v>
      </c>
      <c r="E75" s="57">
        <v>250.0</v>
      </c>
      <c r="F75" s="26">
        <f t="shared" si="9"/>
        <v>750</v>
      </c>
      <c r="G75" s="93">
        <v>45109.0</v>
      </c>
    </row>
    <row r="76">
      <c r="C76" s="91" t="s">
        <v>121</v>
      </c>
      <c r="D76" s="92">
        <v>3.0</v>
      </c>
      <c r="E76" s="57">
        <v>240.0</v>
      </c>
      <c r="F76" s="26">
        <f t="shared" si="9"/>
        <v>720</v>
      </c>
      <c r="G76" s="93">
        <v>45109.0</v>
      </c>
    </row>
    <row r="77">
      <c r="C77" s="91" t="s">
        <v>122</v>
      </c>
      <c r="D77" s="92">
        <v>16.0</v>
      </c>
      <c r="E77" s="57">
        <v>115.0</v>
      </c>
      <c r="F77" s="26">
        <f t="shared" si="9"/>
        <v>1840</v>
      </c>
      <c r="G77" s="93">
        <v>45109.0</v>
      </c>
    </row>
    <row r="78">
      <c r="C78" s="91" t="s">
        <v>100</v>
      </c>
      <c r="D78" s="92">
        <v>20.0</v>
      </c>
      <c r="E78" s="57">
        <v>75.0</v>
      </c>
      <c r="F78" s="26">
        <f t="shared" si="9"/>
        <v>1500</v>
      </c>
      <c r="G78" s="93">
        <v>45109.0</v>
      </c>
    </row>
    <row r="79">
      <c r="C79" s="91" t="s">
        <v>123</v>
      </c>
      <c r="D79" s="92">
        <v>1.0</v>
      </c>
      <c r="E79" s="57">
        <v>2120.0</v>
      </c>
      <c r="F79" s="26">
        <f t="shared" si="9"/>
        <v>2120</v>
      </c>
      <c r="G79" s="93">
        <v>45109.0</v>
      </c>
    </row>
    <row r="80">
      <c r="C80" s="91" t="s">
        <v>109</v>
      </c>
      <c r="D80" s="92">
        <v>2.0</v>
      </c>
      <c r="E80" s="57">
        <v>250.0</v>
      </c>
      <c r="F80" s="26">
        <f t="shared" si="9"/>
        <v>500</v>
      </c>
      <c r="G80" s="93">
        <v>45109.0</v>
      </c>
    </row>
    <row r="81">
      <c r="C81" s="91" t="s">
        <v>69</v>
      </c>
      <c r="D81" s="92">
        <v>2.0</v>
      </c>
      <c r="E81" s="57">
        <v>550.0</v>
      </c>
      <c r="F81" s="26">
        <f t="shared" si="9"/>
        <v>1100</v>
      </c>
      <c r="G81" s="93">
        <v>45109.0</v>
      </c>
    </row>
    <row r="82">
      <c r="C82" s="91" t="s">
        <v>124</v>
      </c>
      <c r="D82" s="92">
        <v>7.0</v>
      </c>
      <c r="E82" s="57">
        <v>190.0</v>
      </c>
      <c r="F82" s="26">
        <f t="shared" si="9"/>
        <v>1330</v>
      </c>
      <c r="G82" s="93">
        <v>45109.0</v>
      </c>
    </row>
    <row r="83">
      <c r="C83" s="91" t="s">
        <v>125</v>
      </c>
      <c r="D83" s="92">
        <v>1.0</v>
      </c>
      <c r="E83" s="57">
        <v>850.0</v>
      </c>
      <c r="F83" s="26">
        <f t="shared" si="9"/>
        <v>850</v>
      </c>
      <c r="G83" s="93">
        <v>45109.0</v>
      </c>
    </row>
    <row r="84">
      <c r="C84" s="91" t="s">
        <v>126</v>
      </c>
      <c r="D84" s="92">
        <v>1.0</v>
      </c>
      <c r="E84" s="57">
        <v>640.0</v>
      </c>
      <c r="F84" s="26">
        <f t="shared" si="9"/>
        <v>640</v>
      </c>
      <c r="G84" s="93">
        <v>45109.0</v>
      </c>
    </row>
    <row r="85">
      <c r="C85" s="91" t="s">
        <v>127</v>
      </c>
      <c r="D85" s="92">
        <v>1.0</v>
      </c>
      <c r="E85" s="57">
        <v>10000.0</v>
      </c>
      <c r="F85" s="26">
        <f t="shared" si="9"/>
        <v>10000</v>
      </c>
      <c r="G85" s="93">
        <v>45109.0</v>
      </c>
    </row>
    <row r="86">
      <c r="C86" s="91" t="s">
        <v>128</v>
      </c>
      <c r="D86" s="92">
        <v>3.0</v>
      </c>
      <c r="E86" s="57">
        <v>1000.0</v>
      </c>
      <c r="F86" s="26">
        <f t="shared" si="9"/>
        <v>3000</v>
      </c>
      <c r="G86" s="93">
        <v>45111.0</v>
      </c>
    </row>
    <row r="87">
      <c r="C87" s="91" t="s">
        <v>129</v>
      </c>
      <c r="D87" s="92">
        <v>3.0</v>
      </c>
      <c r="E87" s="57">
        <v>500.0</v>
      </c>
      <c r="F87" s="26">
        <f t="shared" si="9"/>
        <v>1500</v>
      </c>
      <c r="G87" s="93">
        <v>45111.0</v>
      </c>
    </row>
    <row r="88">
      <c r="C88" s="91" t="s">
        <v>130</v>
      </c>
      <c r="D88" s="92">
        <v>20.0</v>
      </c>
      <c r="E88" s="57">
        <v>100.0</v>
      </c>
      <c r="F88" s="26">
        <f t="shared" si="9"/>
        <v>2000</v>
      </c>
      <c r="G88" s="93">
        <v>45084.0</v>
      </c>
    </row>
    <row r="89">
      <c r="C89" s="91" t="s">
        <v>131</v>
      </c>
      <c r="D89" s="92">
        <v>48.0</v>
      </c>
      <c r="E89" s="57">
        <v>190.0</v>
      </c>
      <c r="F89" s="26">
        <f t="shared" si="9"/>
        <v>9120</v>
      </c>
      <c r="G89" s="93">
        <v>45084.0</v>
      </c>
    </row>
    <row r="90">
      <c r="C90" s="91" t="s">
        <v>88</v>
      </c>
      <c r="D90" s="92">
        <v>20.0</v>
      </c>
      <c r="E90" s="57">
        <v>600.0</v>
      </c>
      <c r="F90" s="26">
        <f t="shared" si="9"/>
        <v>12000</v>
      </c>
      <c r="G90" s="93">
        <v>45113.0</v>
      </c>
    </row>
    <row r="91">
      <c r="C91" s="91" t="s">
        <v>132</v>
      </c>
      <c r="D91" s="92">
        <v>10.0</v>
      </c>
      <c r="E91" s="57">
        <v>750.0</v>
      </c>
      <c r="F91" s="26">
        <f t="shared" si="9"/>
        <v>7500</v>
      </c>
      <c r="G91" s="93">
        <v>45084.0</v>
      </c>
    </row>
    <row r="92">
      <c r="C92" s="91" t="s">
        <v>133</v>
      </c>
      <c r="D92" s="92">
        <v>3.0</v>
      </c>
      <c r="E92" s="57">
        <v>500.0</v>
      </c>
      <c r="F92" s="26">
        <f t="shared" si="9"/>
        <v>1500</v>
      </c>
      <c r="G92" s="93">
        <v>45113.0</v>
      </c>
    </row>
    <row r="93">
      <c r="C93" s="91" t="s">
        <v>128</v>
      </c>
      <c r="D93" s="92">
        <v>4.0</v>
      </c>
      <c r="E93" s="57">
        <v>1000.0</v>
      </c>
      <c r="F93" s="26">
        <f t="shared" si="9"/>
        <v>4000</v>
      </c>
      <c r="G93" s="93">
        <v>45084.0</v>
      </c>
    </row>
    <row r="94">
      <c r="C94" s="91" t="s">
        <v>84</v>
      </c>
      <c r="D94" s="92">
        <v>40.0</v>
      </c>
      <c r="E94" s="57">
        <v>50.0</v>
      </c>
      <c r="F94" s="26">
        <f t="shared" si="9"/>
        <v>2000</v>
      </c>
      <c r="G94" s="93">
        <v>45084.0</v>
      </c>
    </row>
    <row r="95">
      <c r="C95" s="91" t="s">
        <v>134</v>
      </c>
      <c r="D95" s="92">
        <v>2.0</v>
      </c>
      <c r="E95" s="57">
        <v>200.0</v>
      </c>
      <c r="F95" s="26">
        <f t="shared" si="9"/>
        <v>400</v>
      </c>
      <c r="G95" s="93">
        <v>45084.0</v>
      </c>
    </row>
    <row r="96">
      <c r="C96" s="91" t="s">
        <v>118</v>
      </c>
      <c r="D96" s="92">
        <v>2.0</v>
      </c>
      <c r="E96" s="57">
        <v>250.0</v>
      </c>
      <c r="F96" s="26">
        <f t="shared" si="9"/>
        <v>500</v>
      </c>
      <c r="G96" s="110">
        <v>45084.0</v>
      </c>
      <c r="H96" s="36">
        <v>2.0</v>
      </c>
    </row>
    <row r="97">
      <c r="C97" s="91" t="s">
        <v>135</v>
      </c>
      <c r="D97" s="92">
        <v>1.0</v>
      </c>
      <c r="E97" s="57">
        <v>350.0</v>
      </c>
      <c r="F97" s="26">
        <f t="shared" si="9"/>
        <v>350</v>
      </c>
      <c r="G97" s="93">
        <v>45084.0</v>
      </c>
    </row>
    <row r="98">
      <c r="C98" s="91" t="s">
        <v>82</v>
      </c>
      <c r="D98" s="92">
        <v>1.0</v>
      </c>
      <c r="E98" s="57">
        <v>1000.0</v>
      </c>
      <c r="F98" s="26">
        <f t="shared" si="9"/>
        <v>1000</v>
      </c>
      <c r="G98" s="93">
        <v>45053.0</v>
      </c>
    </row>
    <row r="99">
      <c r="C99" s="91" t="s">
        <v>136</v>
      </c>
      <c r="D99" s="92">
        <v>1.0</v>
      </c>
      <c r="E99" s="57">
        <v>250.0</v>
      </c>
      <c r="F99" s="26">
        <f t="shared" si="9"/>
        <v>250</v>
      </c>
      <c r="G99" s="93">
        <v>45084.0</v>
      </c>
    </row>
    <row r="100">
      <c r="C100" s="91" t="s">
        <v>137</v>
      </c>
      <c r="D100" s="92">
        <v>2.0</v>
      </c>
      <c r="E100" s="57">
        <v>250.0</v>
      </c>
      <c r="F100" s="26">
        <f t="shared" si="9"/>
        <v>500</v>
      </c>
      <c r="G100" s="93">
        <v>45084.0</v>
      </c>
    </row>
    <row r="101">
      <c r="C101" s="91" t="s">
        <v>130</v>
      </c>
      <c r="D101" s="92">
        <v>15.0</v>
      </c>
      <c r="E101" s="57">
        <v>100.0</v>
      </c>
      <c r="F101" s="26">
        <f t="shared" si="9"/>
        <v>1500</v>
      </c>
      <c r="G101" s="93">
        <v>45114.0</v>
      </c>
    </row>
    <row r="102">
      <c r="C102" s="91" t="s">
        <v>137</v>
      </c>
      <c r="D102" s="92">
        <v>3.0</v>
      </c>
      <c r="E102" s="57">
        <v>200.0</v>
      </c>
      <c r="F102" s="26">
        <f t="shared" si="9"/>
        <v>600</v>
      </c>
      <c r="G102" s="93">
        <v>45115.0</v>
      </c>
    </row>
    <row r="103">
      <c r="C103" s="91" t="s">
        <v>138</v>
      </c>
      <c r="D103" s="92">
        <v>2.0</v>
      </c>
      <c r="E103" s="57">
        <v>600.0</v>
      </c>
      <c r="F103" s="26">
        <f t="shared" si="9"/>
        <v>1200</v>
      </c>
      <c r="G103" s="93">
        <v>45115.0</v>
      </c>
    </row>
    <row r="104">
      <c r="C104" s="91" t="s">
        <v>139</v>
      </c>
      <c r="D104" s="92">
        <v>1.0</v>
      </c>
      <c r="E104" s="57">
        <v>700.0</v>
      </c>
      <c r="F104" s="26">
        <f t="shared" si="9"/>
        <v>700</v>
      </c>
      <c r="G104" s="93">
        <v>45115.0</v>
      </c>
    </row>
    <row r="105">
      <c r="C105" s="91" t="s">
        <v>128</v>
      </c>
      <c r="D105" s="92">
        <v>2.0</v>
      </c>
      <c r="E105" s="57">
        <v>1000.0</v>
      </c>
      <c r="F105" s="26">
        <f t="shared" si="9"/>
        <v>2000</v>
      </c>
      <c r="G105" s="93">
        <v>45115.0</v>
      </c>
    </row>
    <row r="106">
      <c r="C106" s="91" t="s">
        <v>130</v>
      </c>
      <c r="D106" s="92">
        <v>15.0</v>
      </c>
      <c r="E106" s="57">
        <v>100.0</v>
      </c>
      <c r="F106" s="26">
        <f t="shared" si="9"/>
        <v>1500</v>
      </c>
      <c r="G106" s="93">
        <v>45115.0</v>
      </c>
    </row>
    <row r="107">
      <c r="C107" s="91" t="s">
        <v>140</v>
      </c>
      <c r="D107" s="92">
        <v>1.0</v>
      </c>
      <c r="E107" s="57">
        <v>2550.0</v>
      </c>
      <c r="F107" s="26">
        <f t="shared" si="9"/>
        <v>2550</v>
      </c>
      <c r="G107" s="93">
        <v>45115.0</v>
      </c>
    </row>
    <row r="108">
      <c r="C108" s="91" t="s">
        <v>141</v>
      </c>
      <c r="D108" s="92">
        <v>40.0</v>
      </c>
      <c r="E108" s="57">
        <v>1000.0</v>
      </c>
      <c r="F108" s="26">
        <f t="shared" si="9"/>
        <v>40000</v>
      </c>
      <c r="G108" s="93">
        <v>45116.0</v>
      </c>
    </row>
    <row r="109">
      <c r="C109" s="91" t="s">
        <v>84</v>
      </c>
      <c r="D109" s="92">
        <v>30.0</v>
      </c>
      <c r="E109" s="57">
        <v>50.0</v>
      </c>
      <c r="F109" s="26">
        <f t="shared" si="9"/>
        <v>1500</v>
      </c>
      <c r="G109" s="93">
        <v>45116.0</v>
      </c>
    </row>
    <row r="110">
      <c r="C110" s="91" t="s">
        <v>142</v>
      </c>
      <c r="D110" s="92">
        <v>1.0</v>
      </c>
      <c r="E110" s="57">
        <v>800.0</v>
      </c>
      <c r="F110" s="26">
        <f t="shared" si="9"/>
        <v>800</v>
      </c>
      <c r="G110" s="93">
        <v>45116.0</v>
      </c>
    </row>
    <row r="111">
      <c r="C111" s="91" t="s">
        <v>137</v>
      </c>
      <c r="D111" s="92">
        <v>1.0</v>
      </c>
      <c r="E111" s="57">
        <v>330.0</v>
      </c>
      <c r="F111" s="26">
        <f t="shared" si="9"/>
        <v>330</v>
      </c>
      <c r="G111" s="93">
        <v>45116.0</v>
      </c>
    </row>
    <row r="112">
      <c r="C112" s="91" t="s">
        <v>143</v>
      </c>
      <c r="D112" s="92">
        <v>1.0</v>
      </c>
      <c r="E112" s="57">
        <v>220.0</v>
      </c>
      <c r="F112" s="26">
        <f t="shared" si="9"/>
        <v>220</v>
      </c>
      <c r="G112" s="93">
        <v>45116.0</v>
      </c>
    </row>
    <row r="113">
      <c r="C113" s="91" t="s">
        <v>144</v>
      </c>
      <c r="D113" s="92">
        <v>1.0</v>
      </c>
      <c r="E113" s="57">
        <v>250.0</v>
      </c>
      <c r="F113" s="26">
        <f t="shared" si="9"/>
        <v>250</v>
      </c>
      <c r="G113" s="93">
        <v>45116.0</v>
      </c>
    </row>
    <row r="114">
      <c r="C114" s="91" t="s">
        <v>145</v>
      </c>
      <c r="D114" s="92">
        <v>1.0</v>
      </c>
      <c r="E114" s="57">
        <v>1600.0</v>
      </c>
      <c r="F114" s="26">
        <f t="shared" si="9"/>
        <v>1600</v>
      </c>
      <c r="G114" s="93">
        <v>45116.0</v>
      </c>
    </row>
    <row r="115">
      <c r="C115" s="91" t="s">
        <v>146</v>
      </c>
      <c r="D115" s="92">
        <v>1.0</v>
      </c>
      <c r="E115" s="57">
        <v>400.0</v>
      </c>
      <c r="F115" s="26">
        <f t="shared" si="9"/>
        <v>400</v>
      </c>
      <c r="G115" s="93">
        <v>45116.0</v>
      </c>
    </row>
    <row r="116">
      <c r="C116" s="91" t="s">
        <v>147</v>
      </c>
      <c r="D116" s="92">
        <v>2.0</v>
      </c>
      <c r="E116" s="57">
        <v>500.0</v>
      </c>
      <c r="F116" s="26">
        <f t="shared" si="9"/>
        <v>1000</v>
      </c>
      <c r="G116" s="93">
        <v>45117.0</v>
      </c>
    </row>
    <row r="117">
      <c r="C117" s="91" t="s">
        <v>148</v>
      </c>
      <c r="D117" s="92">
        <v>2.0</v>
      </c>
      <c r="E117" s="57">
        <v>900.0</v>
      </c>
      <c r="F117" s="26">
        <f t="shared" si="9"/>
        <v>1800</v>
      </c>
      <c r="G117" s="93">
        <v>45117.0</v>
      </c>
    </row>
    <row r="118">
      <c r="C118" s="91" t="s">
        <v>149</v>
      </c>
      <c r="D118" s="92">
        <v>1.0</v>
      </c>
      <c r="E118" s="57">
        <v>500.0</v>
      </c>
      <c r="F118" s="26">
        <f t="shared" si="9"/>
        <v>500</v>
      </c>
      <c r="G118" s="93">
        <v>45117.0</v>
      </c>
    </row>
    <row r="119">
      <c r="C119" s="91" t="s">
        <v>150</v>
      </c>
      <c r="D119" s="92">
        <v>2.0</v>
      </c>
      <c r="E119" s="57">
        <v>850.0</v>
      </c>
      <c r="F119" s="26">
        <f t="shared" si="9"/>
        <v>1700</v>
      </c>
      <c r="G119" s="93">
        <v>45117.0</v>
      </c>
    </row>
    <row r="120">
      <c r="C120" s="91" t="s">
        <v>84</v>
      </c>
      <c r="D120" s="92">
        <v>20.0</v>
      </c>
      <c r="E120" s="57">
        <v>50.0</v>
      </c>
      <c r="F120" s="26">
        <f t="shared" si="9"/>
        <v>1000</v>
      </c>
      <c r="G120" s="93">
        <v>45118.0</v>
      </c>
    </row>
    <row r="121">
      <c r="C121" s="91" t="s">
        <v>151</v>
      </c>
      <c r="D121" s="92">
        <v>1.0</v>
      </c>
      <c r="E121" s="57">
        <v>900.0</v>
      </c>
      <c r="F121" s="26">
        <f t="shared" si="9"/>
        <v>900</v>
      </c>
      <c r="G121" s="93">
        <v>45118.0</v>
      </c>
    </row>
    <row r="122">
      <c r="C122" s="91" t="s">
        <v>130</v>
      </c>
      <c r="D122" s="92">
        <v>6.0</v>
      </c>
      <c r="E122" s="57">
        <v>100.0</v>
      </c>
      <c r="F122" s="26">
        <f t="shared" si="9"/>
        <v>600</v>
      </c>
      <c r="G122" s="93">
        <v>45118.0</v>
      </c>
    </row>
    <row r="123">
      <c r="C123" s="91" t="s">
        <v>83</v>
      </c>
      <c r="D123" s="92">
        <v>2.0</v>
      </c>
      <c r="E123" s="57">
        <v>500.0</v>
      </c>
      <c r="F123" s="26">
        <f t="shared" si="9"/>
        <v>1000</v>
      </c>
      <c r="G123" s="93">
        <v>45118.0</v>
      </c>
    </row>
    <row r="124">
      <c r="C124" s="91" t="s">
        <v>149</v>
      </c>
      <c r="D124" s="92">
        <v>1.0</v>
      </c>
      <c r="E124" s="57">
        <v>1700.0</v>
      </c>
      <c r="F124" s="26">
        <f t="shared" si="9"/>
        <v>1700</v>
      </c>
      <c r="G124" s="93">
        <v>45118.0</v>
      </c>
    </row>
    <row r="125">
      <c r="C125" s="91" t="s">
        <v>152</v>
      </c>
      <c r="D125" s="92">
        <v>5.0</v>
      </c>
      <c r="E125" s="57">
        <v>100.0</v>
      </c>
      <c r="F125" s="26">
        <f t="shared" si="9"/>
        <v>500</v>
      </c>
      <c r="G125" s="93">
        <v>45118.0</v>
      </c>
    </row>
    <row r="126">
      <c r="C126" s="91" t="s">
        <v>153</v>
      </c>
      <c r="D126" s="92">
        <v>1.0</v>
      </c>
      <c r="E126" s="57">
        <v>500.0</v>
      </c>
      <c r="F126" s="26">
        <f t="shared" si="9"/>
        <v>500</v>
      </c>
      <c r="G126" s="93">
        <v>45118.0</v>
      </c>
    </row>
    <row r="127">
      <c r="C127" s="91" t="s">
        <v>154</v>
      </c>
      <c r="D127" s="92">
        <v>1.0</v>
      </c>
      <c r="E127" s="57">
        <v>400.0</v>
      </c>
      <c r="F127" s="26">
        <f t="shared" si="9"/>
        <v>400</v>
      </c>
      <c r="G127" s="93">
        <v>45118.0</v>
      </c>
    </row>
    <row r="128">
      <c r="C128" s="91" t="s">
        <v>155</v>
      </c>
      <c r="D128" s="92">
        <v>1.0</v>
      </c>
      <c r="E128" s="57">
        <v>1.0</v>
      </c>
      <c r="F128" s="57">
        <v>200.0</v>
      </c>
      <c r="G128" s="93">
        <v>45118.0</v>
      </c>
    </row>
    <row r="129">
      <c r="C129" s="91" t="s">
        <v>82</v>
      </c>
      <c r="D129" s="92">
        <v>1.0</v>
      </c>
      <c r="E129" s="57">
        <v>1000.0</v>
      </c>
      <c r="F129" s="26">
        <f t="shared" ref="F129:F242" si="10">D129*E129</f>
        <v>1000</v>
      </c>
      <c r="G129" s="93">
        <v>45118.0</v>
      </c>
    </row>
    <row r="130">
      <c r="C130" s="91" t="s">
        <v>156</v>
      </c>
      <c r="D130" s="92">
        <v>1.0</v>
      </c>
      <c r="E130" s="57">
        <v>750.0</v>
      </c>
      <c r="F130" s="26">
        <f t="shared" si="10"/>
        <v>750</v>
      </c>
      <c r="G130" s="93">
        <v>45118.0</v>
      </c>
    </row>
    <row r="131">
      <c r="C131" s="91" t="s">
        <v>157</v>
      </c>
      <c r="D131" s="92">
        <v>1.0</v>
      </c>
      <c r="E131" s="57">
        <v>1000.0</v>
      </c>
      <c r="F131" s="26">
        <f t="shared" si="10"/>
        <v>1000</v>
      </c>
      <c r="G131" s="93">
        <v>45118.0</v>
      </c>
    </row>
    <row r="132">
      <c r="C132" s="91" t="s">
        <v>128</v>
      </c>
      <c r="D132" s="92">
        <v>2.0</v>
      </c>
      <c r="E132" s="57">
        <v>800.0</v>
      </c>
      <c r="F132" s="26">
        <f t="shared" si="10"/>
        <v>1600</v>
      </c>
      <c r="G132" s="93">
        <v>45119.0</v>
      </c>
    </row>
    <row r="133">
      <c r="C133" s="91" t="s">
        <v>158</v>
      </c>
      <c r="D133" s="92">
        <v>11.0</v>
      </c>
      <c r="E133" s="57">
        <v>150.0</v>
      </c>
      <c r="F133" s="26">
        <f t="shared" si="10"/>
        <v>1650</v>
      </c>
      <c r="G133" s="93">
        <v>45119.0</v>
      </c>
    </row>
    <row r="134">
      <c r="C134" s="91" t="s">
        <v>159</v>
      </c>
      <c r="D134" s="92">
        <v>1.0</v>
      </c>
      <c r="E134" s="57">
        <v>1500.0</v>
      </c>
      <c r="F134" s="26">
        <f t="shared" si="10"/>
        <v>1500</v>
      </c>
      <c r="G134" s="93">
        <v>45119.0</v>
      </c>
    </row>
    <row r="135">
      <c r="C135" s="91" t="s">
        <v>160</v>
      </c>
      <c r="D135" s="92">
        <v>1.0</v>
      </c>
      <c r="E135" s="57">
        <v>600.0</v>
      </c>
      <c r="F135" s="26">
        <f t="shared" si="10"/>
        <v>600</v>
      </c>
      <c r="G135" s="93">
        <v>45119.0</v>
      </c>
    </row>
    <row r="136">
      <c r="C136" s="91" t="s">
        <v>84</v>
      </c>
      <c r="D136" s="92">
        <v>15.0</v>
      </c>
      <c r="E136" s="57">
        <v>60.0</v>
      </c>
      <c r="F136" s="26">
        <f t="shared" si="10"/>
        <v>900</v>
      </c>
      <c r="G136" s="93">
        <v>45119.0</v>
      </c>
    </row>
    <row r="137">
      <c r="C137" s="91" t="s">
        <v>161</v>
      </c>
      <c r="D137" s="92">
        <v>3.0</v>
      </c>
      <c r="E137" s="57">
        <v>60.0</v>
      </c>
      <c r="F137" s="26">
        <f t="shared" si="10"/>
        <v>180</v>
      </c>
      <c r="G137" s="93">
        <v>45119.0</v>
      </c>
    </row>
    <row r="138">
      <c r="C138" s="91" t="s">
        <v>134</v>
      </c>
      <c r="D138" s="92">
        <v>3.0</v>
      </c>
      <c r="E138" s="57">
        <v>30.0</v>
      </c>
      <c r="F138" s="26">
        <f t="shared" si="10"/>
        <v>90</v>
      </c>
      <c r="G138" s="93">
        <v>45119.0</v>
      </c>
    </row>
    <row r="139">
      <c r="C139" s="91" t="s">
        <v>162</v>
      </c>
      <c r="D139" s="92">
        <v>1.0</v>
      </c>
      <c r="E139" s="57">
        <v>9500.0</v>
      </c>
      <c r="F139" s="26">
        <f t="shared" si="10"/>
        <v>9500</v>
      </c>
      <c r="G139" s="93">
        <v>45119.0</v>
      </c>
    </row>
    <row r="140">
      <c r="C140" s="91" t="s">
        <v>163</v>
      </c>
      <c r="D140" s="92">
        <v>1.0</v>
      </c>
      <c r="E140" s="57">
        <v>200.0</v>
      </c>
      <c r="F140" s="26">
        <f t="shared" si="10"/>
        <v>200</v>
      </c>
      <c r="G140" s="93">
        <v>45119.0</v>
      </c>
    </row>
    <row r="141">
      <c r="C141" s="91" t="s">
        <v>164</v>
      </c>
      <c r="D141" s="92">
        <v>40.0</v>
      </c>
      <c r="E141" s="57">
        <v>50.0</v>
      </c>
      <c r="F141" s="26">
        <f t="shared" si="10"/>
        <v>2000</v>
      </c>
      <c r="G141" s="93">
        <v>45119.0</v>
      </c>
    </row>
    <row r="142">
      <c r="C142" s="91" t="s">
        <v>84</v>
      </c>
      <c r="D142" s="92">
        <v>20.0</v>
      </c>
      <c r="E142" s="57">
        <v>60.0</v>
      </c>
      <c r="F142" s="26">
        <f t="shared" si="10"/>
        <v>1200</v>
      </c>
      <c r="G142" s="93">
        <v>45120.0</v>
      </c>
    </row>
    <row r="143">
      <c r="C143" s="91" t="s">
        <v>83</v>
      </c>
      <c r="D143" s="92">
        <v>6.0</v>
      </c>
      <c r="E143" s="57">
        <v>400.0</v>
      </c>
      <c r="F143" s="26">
        <f t="shared" si="10"/>
        <v>2400</v>
      </c>
      <c r="G143" s="93">
        <v>45120.0</v>
      </c>
    </row>
    <row r="144">
      <c r="C144" s="91" t="s">
        <v>113</v>
      </c>
      <c r="D144" s="92">
        <v>1.0</v>
      </c>
      <c r="E144" s="57">
        <v>4200.0</v>
      </c>
      <c r="F144" s="26">
        <f t="shared" si="10"/>
        <v>4200</v>
      </c>
      <c r="G144" s="93">
        <v>45120.0</v>
      </c>
    </row>
    <row r="145">
      <c r="C145" s="91" t="s">
        <v>165</v>
      </c>
      <c r="D145" s="92">
        <v>900.0</v>
      </c>
      <c r="E145" s="57">
        <v>40.0</v>
      </c>
      <c r="F145" s="26">
        <f t="shared" si="10"/>
        <v>36000</v>
      </c>
      <c r="G145" s="93">
        <v>45120.0</v>
      </c>
    </row>
    <row r="146">
      <c r="C146" s="97" t="s">
        <v>76</v>
      </c>
      <c r="D146" s="98">
        <v>20.0</v>
      </c>
      <c r="E146" s="111">
        <v>204.0</v>
      </c>
      <c r="F146" s="82">
        <f t="shared" si="10"/>
        <v>4080</v>
      </c>
      <c r="G146" s="112">
        <v>45120.0</v>
      </c>
    </row>
    <row r="147">
      <c r="C147" s="91" t="s">
        <v>166</v>
      </c>
      <c r="D147" s="92">
        <v>12.0</v>
      </c>
      <c r="E147" s="57">
        <v>600.0</v>
      </c>
      <c r="F147" s="26">
        <f t="shared" si="10"/>
        <v>7200</v>
      </c>
      <c r="G147" s="93">
        <v>45121.0</v>
      </c>
    </row>
    <row r="148">
      <c r="C148" s="91" t="s">
        <v>84</v>
      </c>
      <c r="D148" s="92">
        <v>40.0</v>
      </c>
      <c r="E148" s="57">
        <v>50.0</v>
      </c>
      <c r="F148" s="26">
        <f t="shared" si="10"/>
        <v>2000</v>
      </c>
      <c r="G148" s="93">
        <v>45121.0</v>
      </c>
    </row>
    <row r="149">
      <c r="C149" s="91" t="s">
        <v>167</v>
      </c>
      <c r="D149" s="92">
        <v>2.0</v>
      </c>
      <c r="E149" s="57">
        <v>900.0</v>
      </c>
      <c r="F149" s="26">
        <f t="shared" si="10"/>
        <v>1800</v>
      </c>
      <c r="G149" s="93">
        <v>45121.0</v>
      </c>
    </row>
    <row r="150">
      <c r="C150" s="91" t="s">
        <v>158</v>
      </c>
      <c r="D150" s="92">
        <v>11.0</v>
      </c>
      <c r="E150" s="57">
        <v>150.0</v>
      </c>
      <c r="F150" s="26">
        <f t="shared" si="10"/>
        <v>1650</v>
      </c>
      <c r="G150" s="93">
        <v>45121.0</v>
      </c>
    </row>
    <row r="151">
      <c r="C151" s="91" t="s">
        <v>130</v>
      </c>
      <c r="D151" s="92">
        <v>5.0</v>
      </c>
      <c r="E151" s="57">
        <v>100.0</v>
      </c>
      <c r="F151" s="26">
        <f t="shared" si="10"/>
        <v>500</v>
      </c>
      <c r="G151" s="93">
        <v>45121.0</v>
      </c>
    </row>
    <row r="152">
      <c r="C152" s="91" t="s">
        <v>168</v>
      </c>
      <c r="D152" s="92">
        <v>1.0</v>
      </c>
      <c r="E152" s="57">
        <v>200.0</v>
      </c>
      <c r="F152" s="26">
        <f t="shared" si="10"/>
        <v>200</v>
      </c>
      <c r="G152" s="93">
        <v>45121.0</v>
      </c>
    </row>
    <row r="153">
      <c r="C153" s="91" t="s">
        <v>169</v>
      </c>
      <c r="D153" s="92">
        <v>1.0</v>
      </c>
      <c r="E153" s="57">
        <v>500.0</v>
      </c>
      <c r="F153" s="26">
        <f t="shared" si="10"/>
        <v>500</v>
      </c>
      <c r="G153" s="93">
        <v>45121.0</v>
      </c>
    </row>
    <row r="154">
      <c r="C154" s="91" t="s">
        <v>170</v>
      </c>
      <c r="D154" s="92">
        <v>10.0</v>
      </c>
      <c r="E154" s="57">
        <v>250.0</v>
      </c>
      <c r="F154" s="26">
        <f t="shared" si="10"/>
        <v>2500</v>
      </c>
      <c r="G154" s="92" t="s">
        <v>171</v>
      </c>
    </row>
    <row r="155">
      <c r="C155" s="91" t="s">
        <v>172</v>
      </c>
      <c r="D155" s="92">
        <v>6.0</v>
      </c>
      <c r="E155" s="57">
        <v>100.0</v>
      </c>
      <c r="F155" s="26">
        <f t="shared" si="10"/>
        <v>600</v>
      </c>
      <c r="G155" s="92" t="s">
        <v>171</v>
      </c>
    </row>
    <row r="156">
      <c r="C156" s="91" t="s">
        <v>151</v>
      </c>
      <c r="D156" s="92">
        <v>2.0</v>
      </c>
      <c r="E156" s="57">
        <v>800.0</v>
      </c>
      <c r="F156" s="26">
        <f t="shared" si="10"/>
        <v>1600</v>
      </c>
      <c r="G156" s="92" t="s">
        <v>171</v>
      </c>
    </row>
    <row r="157">
      <c r="C157" s="91" t="s">
        <v>88</v>
      </c>
      <c r="D157" s="92">
        <v>2.0</v>
      </c>
      <c r="E157" s="57">
        <v>650.0</v>
      </c>
      <c r="F157" s="26">
        <f t="shared" si="10"/>
        <v>1300</v>
      </c>
      <c r="G157" s="92" t="s">
        <v>171</v>
      </c>
    </row>
    <row r="158">
      <c r="C158" s="91" t="s">
        <v>173</v>
      </c>
      <c r="D158" s="92">
        <v>2.0</v>
      </c>
      <c r="E158" s="57">
        <v>250.0</v>
      </c>
      <c r="F158" s="26">
        <f t="shared" si="10"/>
        <v>500</v>
      </c>
      <c r="G158" s="92" t="s">
        <v>171</v>
      </c>
    </row>
    <row r="159">
      <c r="C159" s="91" t="s">
        <v>84</v>
      </c>
      <c r="D159" s="92">
        <v>30.0</v>
      </c>
      <c r="E159" s="57">
        <v>60.0</v>
      </c>
      <c r="F159" s="26">
        <f t="shared" si="10"/>
        <v>1800</v>
      </c>
      <c r="G159" s="92" t="s">
        <v>174</v>
      </c>
    </row>
    <row r="160">
      <c r="C160" s="91" t="s">
        <v>88</v>
      </c>
      <c r="D160" s="92">
        <v>5.0</v>
      </c>
      <c r="E160" s="57">
        <v>650.0</v>
      </c>
      <c r="F160" s="26">
        <f t="shared" si="10"/>
        <v>3250</v>
      </c>
      <c r="G160" s="92" t="s">
        <v>174</v>
      </c>
    </row>
    <row r="161">
      <c r="C161" s="91" t="s">
        <v>175</v>
      </c>
      <c r="D161" s="92">
        <v>1.0</v>
      </c>
      <c r="E161" s="57">
        <v>12000.0</v>
      </c>
      <c r="F161" s="26">
        <f t="shared" si="10"/>
        <v>12000</v>
      </c>
      <c r="G161" s="92" t="s">
        <v>174</v>
      </c>
    </row>
    <row r="162">
      <c r="C162" s="91" t="s">
        <v>176</v>
      </c>
      <c r="D162" s="92">
        <v>835.0</v>
      </c>
      <c r="E162" s="57">
        <v>60.0</v>
      </c>
      <c r="F162" s="26">
        <f t="shared" si="10"/>
        <v>50100</v>
      </c>
      <c r="G162" s="92" t="s">
        <v>174</v>
      </c>
    </row>
    <row r="163">
      <c r="C163" s="91" t="s">
        <v>130</v>
      </c>
      <c r="D163" s="92">
        <v>10.0</v>
      </c>
      <c r="E163" s="57">
        <v>100.0</v>
      </c>
      <c r="F163" s="26">
        <f t="shared" si="10"/>
        <v>1000</v>
      </c>
      <c r="G163" s="93">
        <v>45124.0</v>
      </c>
    </row>
    <row r="164">
      <c r="C164" s="91" t="s">
        <v>177</v>
      </c>
      <c r="D164" s="92">
        <v>3.0</v>
      </c>
      <c r="E164" s="57">
        <v>1000.0</v>
      </c>
      <c r="F164" s="26">
        <f t="shared" si="10"/>
        <v>3000</v>
      </c>
      <c r="G164" s="93">
        <v>45124.0</v>
      </c>
    </row>
    <row r="165">
      <c r="C165" s="91" t="s">
        <v>178</v>
      </c>
      <c r="D165" s="92">
        <v>1.0</v>
      </c>
      <c r="E165" s="57">
        <v>300.0</v>
      </c>
      <c r="F165" s="26">
        <f t="shared" si="10"/>
        <v>300</v>
      </c>
      <c r="G165" s="92" t="s">
        <v>179</v>
      </c>
    </row>
    <row r="166">
      <c r="C166" s="91" t="s">
        <v>180</v>
      </c>
      <c r="D166" s="92">
        <v>2.0</v>
      </c>
      <c r="E166" s="57">
        <v>500.0</v>
      </c>
      <c r="F166" s="26">
        <f t="shared" si="10"/>
        <v>1000</v>
      </c>
      <c r="G166" s="93">
        <v>45124.0</v>
      </c>
    </row>
    <row r="167">
      <c r="C167" s="113" t="s">
        <v>181</v>
      </c>
      <c r="D167" s="54">
        <v>1.0</v>
      </c>
      <c r="E167" s="41">
        <v>124000.0</v>
      </c>
      <c r="F167" s="18">
        <f t="shared" si="10"/>
        <v>124000</v>
      </c>
      <c r="G167" s="114">
        <v>45124.0</v>
      </c>
    </row>
    <row r="168">
      <c r="C168" s="91" t="s">
        <v>84</v>
      </c>
      <c r="D168" s="92">
        <v>40.0</v>
      </c>
      <c r="E168" s="57">
        <v>50.0</v>
      </c>
      <c r="F168" s="26">
        <f t="shared" si="10"/>
        <v>2000</v>
      </c>
      <c r="G168" s="93">
        <v>45125.0</v>
      </c>
    </row>
    <row r="169">
      <c r="C169" s="91" t="s">
        <v>130</v>
      </c>
      <c r="D169" s="92">
        <v>30.0</v>
      </c>
      <c r="E169" s="57">
        <v>100.0</v>
      </c>
      <c r="F169" s="26">
        <f t="shared" si="10"/>
        <v>3000</v>
      </c>
      <c r="G169" s="93">
        <v>45125.0</v>
      </c>
    </row>
    <row r="170">
      <c r="C170" s="91" t="s">
        <v>182</v>
      </c>
      <c r="D170" s="92">
        <v>3.0</v>
      </c>
      <c r="E170" s="57">
        <v>450.0</v>
      </c>
      <c r="F170" s="26">
        <f t="shared" si="10"/>
        <v>1350</v>
      </c>
      <c r="G170" s="93">
        <v>45125.0</v>
      </c>
    </row>
    <row r="171">
      <c r="C171" s="91" t="s">
        <v>158</v>
      </c>
      <c r="D171" s="92">
        <v>3.0</v>
      </c>
      <c r="E171" s="57">
        <v>150.0</v>
      </c>
      <c r="F171" s="26">
        <f t="shared" si="10"/>
        <v>450</v>
      </c>
      <c r="G171" s="93">
        <v>45125.0</v>
      </c>
    </row>
    <row r="172">
      <c r="C172" s="91" t="s">
        <v>159</v>
      </c>
      <c r="D172" s="92">
        <v>1.0</v>
      </c>
      <c r="E172" s="57">
        <v>600.0</v>
      </c>
      <c r="F172" s="26">
        <f t="shared" si="10"/>
        <v>600</v>
      </c>
      <c r="G172" s="93">
        <v>45125.0</v>
      </c>
    </row>
    <row r="173">
      <c r="C173" s="91" t="s">
        <v>183</v>
      </c>
      <c r="D173" s="92">
        <v>1.0</v>
      </c>
      <c r="E173" s="57">
        <v>200.0</v>
      </c>
      <c r="F173" s="26">
        <f t="shared" si="10"/>
        <v>200</v>
      </c>
      <c r="G173" s="93">
        <v>45125.0</v>
      </c>
    </row>
    <row r="174">
      <c r="C174" s="91" t="s">
        <v>173</v>
      </c>
      <c r="D174" s="92">
        <v>6.0</v>
      </c>
      <c r="E174" s="57">
        <v>200.0</v>
      </c>
      <c r="F174" s="26">
        <f t="shared" si="10"/>
        <v>1200</v>
      </c>
      <c r="G174" s="93">
        <v>45125.0</v>
      </c>
    </row>
    <row r="175">
      <c r="C175" s="91" t="s">
        <v>184</v>
      </c>
      <c r="D175" s="92">
        <v>2.0</v>
      </c>
      <c r="E175" s="57">
        <v>1000.0</v>
      </c>
      <c r="F175" s="26">
        <f t="shared" si="10"/>
        <v>2000</v>
      </c>
      <c r="G175" s="93">
        <v>45125.0</v>
      </c>
    </row>
    <row r="176">
      <c r="C176" s="91" t="s">
        <v>130</v>
      </c>
      <c r="D176" s="92">
        <v>3.0</v>
      </c>
      <c r="E176" s="57">
        <v>130.0</v>
      </c>
      <c r="F176" s="26">
        <f t="shared" si="10"/>
        <v>390</v>
      </c>
      <c r="G176" s="93">
        <v>45125.0</v>
      </c>
    </row>
    <row r="177">
      <c r="C177" s="91" t="s">
        <v>185</v>
      </c>
      <c r="D177" s="92">
        <v>2.0</v>
      </c>
      <c r="E177" s="57">
        <v>200.0</v>
      </c>
      <c r="F177" s="26">
        <f t="shared" si="10"/>
        <v>400</v>
      </c>
      <c r="G177" s="93">
        <v>45125.0</v>
      </c>
    </row>
    <row r="178">
      <c r="C178" s="91" t="s">
        <v>88</v>
      </c>
      <c r="D178" s="92">
        <v>5.0</v>
      </c>
      <c r="E178" s="57">
        <v>650.0</v>
      </c>
      <c r="F178" s="26">
        <f t="shared" si="10"/>
        <v>3250</v>
      </c>
      <c r="G178" s="93">
        <v>45125.0</v>
      </c>
    </row>
    <row r="179">
      <c r="C179" s="91" t="s">
        <v>186</v>
      </c>
      <c r="D179" s="92">
        <v>1.0</v>
      </c>
      <c r="E179" s="57">
        <v>1000.0</v>
      </c>
      <c r="F179" s="26">
        <f t="shared" si="10"/>
        <v>1000</v>
      </c>
      <c r="G179" s="93">
        <v>45125.0</v>
      </c>
    </row>
    <row r="180">
      <c r="C180" s="91" t="s">
        <v>83</v>
      </c>
      <c r="D180" s="92">
        <v>5.0</v>
      </c>
      <c r="E180" s="57">
        <v>400.0</v>
      </c>
      <c r="F180" s="26">
        <f t="shared" si="10"/>
        <v>2000</v>
      </c>
      <c r="G180" s="93">
        <v>45126.0</v>
      </c>
    </row>
    <row r="181">
      <c r="C181" s="91" t="s">
        <v>187</v>
      </c>
      <c r="D181" s="92">
        <v>9.0</v>
      </c>
      <c r="E181" s="57">
        <v>110.0</v>
      </c>
      <c r="F181" s="26">
        <f t="shared" si="10"/>
        <v>990</v>
      </c>
      <c r="G181" s="93">
        <v>45126.0</v>
      </c>
    </row>
    <row r="182">
      <c r="C182" s="91" t="s">
        <v>188</v>
      </c>
      <c r="D182" s="92">
        <v>1.0</v>
      </c>
      <c r="E182" s="57">
        <v>500.0</v>
      </c>
      <c r="F182" s="26">
        <f t="shared" si="10"/>
        <v>500</v>
      </c>
      <c r="G182" s="93">
        <v>45126.0</v>
      </c>
    </row>
    <row r="183">
      <c r="C183" s="91" t="s">
        <v>189</v>
      </c>
      <c r="D183" s="92">
        <v>1.0</v>
      </c>
      <c r="E183" s="57">
        <v>500.0</v>
      </c>
      <c r="F183" s="26">
        <f t="shared" si="10"/>
        <v>500</v>
      </c>
      <c r="G183" s="93">
        <v>45126.0</v>
      </c>
    </row>
    <row r="184">
      <c r="C184" s="91" t="s">
        <v>183</v>
      </c>
      <c r="D184" s="92">
        <v>6.0</v>
      </c>
      <c r="E184" s="57">
        <v>200.0</v>
      </c>
      <c r="F184" s="26">
        <f t="shared" si="10"/>
        <v>1200</v>
      </c>
      <c r="G184" s="93">
        <v>45126.0</v>
      </c>
    </row>
    <row r="185">
      <c r="C185" s="91" t="s">
        <v>190</v>
      </c>
      <c r="D185" s="92">
        <v>7.0</v>
      </c>
      <c r="E185" s="57">
        <v>250.0</v>
      </c>
      <c r="F185" s="26">
        <f t="shared" si="10"/>
        <v>1750</v>
      </c>
      <c r="G185" s="93">
        <v>45126.0</v>
      </c>
    </row>
    <row r="186">
      <c r="C186" s="91" t="s">
        <v>159</v>
      </c>
      <c r="D186" s="92">
        <v>1.0</v>
      </c>
      <c r="E186" s="57">
        <v>2700.0</v>
      </c>
      <c r="F186" s="26">
        <f t="shared" si="10"/>
        <v>2700</v>
      </c>
      <c r="G186" s="93">
        <v>45126.0</v>
      </c>
    </row>
    <row r="187">
      <c r="C187" s="91" t="s">
        <v>191</v>
      </c>
      <c r="D187" s="92">
        <v>3.0</v>
      </c>
      <c r="E187" s="57">
        <v>500.0</v>
      </c>
      <c r="F187" s="26">
        <f t="shared" si="10"/>
        <v>1500</v>
      </c>
      <c r="G187" s="93">
        <v>45126.0</v>
      </c>
    </row>
    <row r="188">
      <c r="C188" s="91" t="s">
        <v>191</v>
      </c>
      <c r="D188" s="92">
        <v>4.0</v>
      </c>
      <c r="E188" s="57">
        <v>250.0</v>
      </c>
      <c r="F188" s="26">
        <f t="shared" si="10"/>
        <v>1000</v>
      </c>
      <c r="G188" s="93">
        <v>45126.0</v>
      </c>
    </row>
    <row r="189">
      <c r="C189" s="91" t="s">
        <v>192</v>
      </c>
      <c r="D189" s="92">
        <v>3.0</v>
      </c>
      <c r="E189" s="57">
        <v>500.0</v>
      </c>
      <c r="F189" s="26">
        <f t="shared" si="10"/>
        <v>1500</v>
      </c>
      <c r="G189" s="92" t="s">
        <v>193</v>
      </c>
    </row>
    <row r="190">
      <c r="C190" s="91" t="s">
        <v>158</v>
      </c>
      <c r="D190" s="92">
        <v>23.0</v>
      </c>
      <c r="E190" s="57">
        <v>150.0</v>
      </c>
      <c r="F190" s="26">
        <f t="shared" si="10"/>
        <v>3450</v>
      </c>
      <c r="G190" s="93">
        <v>45126.0</v>
      </c>
    </row>
    <row r="191">
      <c r="C191" s="91" t="s">
        <v>167</v>
      </c>
      <c r="D191" s="92">
        <v>2.0</v>
      </c>
      <c r="E191" s="57">
        <v>1000.0</v>
      </c>
      <c r="F191" s="26">
        <f t="shared" si="10"/>
        <v>2000</v>
      </c>
      <c r="G191" s="93">
        <v>45126.0</v>
      </c>
    </row>
    <row r="192">
      <c r="C192" s="91" t="s">
        <v>130</v>
      </c>
      <c r="D192" s="92">
        <v>10.0</v>
      </c>
      <c r="E192" s="57">
        <v>100.0</v>
      </c>
      <c r="F192" s="26">
        <f t="shared" si="10"/>
        <v>1000</v>
      </c>
      <c r="G192" s="93">
        <v>45126.0</v>
      </c>
    </row>
    <row r="193">
      <c r="C193" s="91" t="s">
        <v>166</v>
      </c>
      <c r="D193" s="92">
        <v>37.0</v>
      </c>
      <c r="E193" s="57">
        <v>500.0</v>
      </c>
      <c r="F193" s="26">
        <f t="shared" si="10"/>
        <v>18500</v>
      </c>
      <c r="G193" s="93">
        <v>45126.0</v>
      </c>
    </row>
    <row r="194">
      <c r="C194" s="91" t="s">
        <v>88</v>
      </c>
      <c r="D194" s="92">
        <v>20.0</v>
      </c>
      <c r="E194" s="57">
        <v>600.0</v>
      </c>
      <c r="F194" s="26">
        <f t="shared" si="10"/>
        <v>12000</v>
      </c>
      <c r="G194" s="93">
        <v>45127.0</v>
      </c>
    </row>
    <row r="195">
      <c r="C195" s="91" t="s">
        <v>194</v>
      </c>
      <c r="D195" s="92">
        <v>3.0</v>
      </c>
      <c r="E195" s="57">
        <v>820.0</v>
      </c>
      <c r="F195" s="26">
        <f t="shared" si="10"/>
        <v>2460</v>
      </c>
      <c r="G195" s="93">
        <v>45127.0</v>
      </c>
    </row>
    <row r="196">
      <c r="C196" s="91" t="s">
        <v>195</v>
      </c>
      <c r="D196" s="92">
        <v>4.0</v>
      </c>
      <c r="E196" s="57">
        <v>200.0</v>
      </c>
      <c r="F196" s="26">
        <f t="shared" si="10"/>
        <v>800</v>
      </c>
      <c r="G196" s="93">
        <v>45127.0</v>
      </c>
    </row>
    <row r="197">
      <c r="C197" s="91" t="s">
        <v>196</v>
      </c>
      <c r="D197" s="92">
        <v>2.0</v>
      </c>
      <c r="E197" s="57">
        <v>1000.0</v>
      </c>
      <c r="F197" s="26">
        <f t="shared" si="10"/>
        <v>2000</v>
      </c>
      <c r="G197" s="93">
        <v>45128.0</v>
      </c>
    </row>
    <row r="198">
      <c r="C198" s="91" t="s">
        <v>180</v>
      </c>
      <c r="D198" s="92">
        <v>3.0</v>
      </c>
      <c r="E198" s="57">
        <v>500.0</v>
      </c>
      <c r="F198" s="26">
        <f t="shared" si="10"/>
        <v>1500</v>
      </c>
      <c r="G198" s="93">
        <v>45128.0</v>
      </c>
    </row>
    <row r="199">
      <c r="C199" s="91" t="s">
        <v>161</v>
      </c>
      <c r="D199" s="92">
        <v>3.0</v>
      </c>
      <c r="E199" s="57">
        <v>70.0</v>
      </c>
      <c r="F199" s="26">
        <f t="shared" si="10"/>
        <v>210</v>
      </c>
      <c r="G199" s="93">
        <v>45128.0</v>
      </c>
    </row>
    <row r="200">
      <c r="C200" s="91" t="s">
        <v>197</v>
      </c>
      <c r="D200" s="92">
        <v>1.0</v>
      </c>
      <c r="E200" s="57">
        <v>100.0</v>
      </c>
      <c r="F200" s="26">
        <f t="shared" si="10"/>
        <v>100</v>
      </c>
      <c r="G200" s="93">
        <v>45128.0</v>
      </c>
    </row>
    <row r="201">
      <c r="C201" s="91" t="s">
        <v>184</v>
      </c>
      <c r="D201" s="92">
        <v>2.0</v>
      </c>
      <c r="E201" s="57">
        <v>1000.0</v>
      </c>
      <c r="F201" s="26">
        <f t="shared" si="10"/>
        <v>2000</v>
      </c>
      <c r="G201" s="93">
        <v>45129.0</v>
      </c>
    </row>
    <row r="202">
      <c r="C202" s="91" t="s">
        <v>175</v>
      </c>
      <c r="D202" s="92">
        <v>1.0</v>
      </c>
      <c r="E202" s="57">
        <v>5000.0</v>
      </c>
      <c r="F202" s="26">
        <f t="shared" si="10"/>
        <v>5000</v>
      </c>
      <c r="G202" s="93">
        <v>45129.0</v>
      </c>
    </row>
    <row r="203">
      <c r="C203" s="91" t="s">
        <v>182</v>
      </c>
      <c r="D203" s="92">
        <v>7.0</v>
      </c>
      <c r="E203" s="57">
        <v>500.0</v>
      </c>
      <c r="F203" s="26">
        <f t="shared" si="10"/>
        <v>3500</v>
      </c>
      <c r="G203" s="93">
        <v>45129.0</v>
      </c>
    </row>
    <row r="204">
      <c r="C204" s="91" t="s">
        <v>84</v>
      </c>
      <c r="D204" s="92">
        <v>40.0</v>
      </c>
      <c r="E204" s="57">
        <v>45.0</v>
      </c>
      <c r="F204" s="26">
        <f t="shared" si="10"/>
        <v>1800</v>
      </c>
      <c r="G204" s="93">
        <v>45129.0</v>
      </c>
    </row>
    <row r="205">
      <c r="C205" s="91" t="s">
        <v>198</v>
      </c>
      <c r="D205" s="92">
        <v>3.0</v>
      </c>
      <c r="E205" s="57">
        <v>150.0</v>
      </c>
      <c r="F205" s="26">
        <f t="shared" si="10"/>
        <v>450</v>
      </c>
      <c r="G205" s="93">
        <v>45129.0</v>
      </c>
    </row>
    <row r="206">
      <c r="C206" s="91" t="s">
        <v>159</v>
      </c>
      <c r="D206" s="39"/>
      <c r="E206" s="26"/>
      <c r="F206" s="26">
        <f t="shared" si="10"/>
        <v>0</v>
      </c>
      <c r="G206" s="93">
        <v>45129.0</v>
      </c>
    </row>
    <row r="207">
      <c r="C207" s="91" t="s">
        <v>151</v>
      </c>
      <c r="D207" s="92">
        <v>3.0</v>
      </c>
      <c r="E207" s="57">
        <v>1000.0</v>
      </c>
      <c r="F207" s="26">
        <f t="shared" si="10"/>
        <v>3000</v>
      </c>
      <c r="G207" s="93">
        <v>45130.0</v>
      </c>
    </row>
    <row r="208">
      <c r="C208" s="91" t="s">
        <v>199</v>
      </c>
      <c r="D208" s="92">
        <v>1.0</v>
      </c>
      <c r="E208" s="57">
        <v>3000.0</v>
      </c>
      <c r="F208" s="26">
        <f t="shared" si="10"/>
        <v>3000</v>
      </c>
      <c r="G208" s="93">
        <v>45130.0</v>
      </c>
    </row>
    <row r="209">
      <c r="C209" s="91" t="s">
        <v>148</v>
      </c>
      <c r="D209" s="92">
        <v>2.0</v>
      </c>
      <c r="E209" s="57">
        <v>900.0</v>
      </c>
      <c r="F209" s="26">
        <f t="shared" si="10"/>
        <v>1800</v>
      </c>
      <c r="G209" s="93">
        <v>45132.0</v>
      </c>
    </row>
    <row r="210">
      <c r="C210" s="91" t="s">
        <v>84</v>
      </c>
      <c r="D210" s="92">
        <v>50.0</v>
      </c>
      <c r="E210" s="57">
        <v>40.0</v>
      </c>
      <c r="F210" s="26">
        <f t="shared" si="10"/>
        <v>2000</v>
      </c>
      <c r="G210" s="93">
        <v>45132.0</v>
      </c>
    </row>
    <row r="211">
      <c r="C211" s="91" t="s">
        <v>130</v>
      </c>
      <c r="D211" s="92">
        <v>10.0</v>
      </c>
      <c r="E211" s="57">
        <v>100.0</v>
      </c>
      <c r="F211" s="26">
        <f t="shared" si="10"/>
        <v>1000</v>
      </c>
      <c r="G211" s="80"/>
    </row>
    <row r="212">
      <c r="C212" s="91" t="s">
        <v>130</v>
      </c>
      <c r="D212" s="92">
        <v>10.0</v>
      </c>
      <c r="E212" s="57">
        <v>100.0</v>
      </c>
      <c r="F212" s="26">
        <f t="shared" si="10"/>
        <v>1000</v>
      </c>
      <c r="G212" s="93">
        <v>45133.0</v>
      </c>
    </row>
    <row r="213">
      <c r="C213" s="91" t="s">
        <v>200</v>
      </c>
      <c r="D213" s="92">
        <v>1.0</v>
      </c>
      <c r="E213" s="57">
        <v>1350.0</v>
      </c>
      <c r="F213" s="26">
        <f t="shared" si="10"/>
        <v>1350</v>
      </c>
      <c r="G213" s="93">
        <v>45133.0</v>
      </c>
    </row>
    <row r="214">
      <c r="C214" s="91" t="s">
        <v>152</v>
      </c>
      <c r="D214" s="92">
        <v>3.0</v>
      </c>
      <c r="E214" s="57">
        <v>100.0</v>
      </c>
      <c r="F214" s="26">
        <f t="shared" si="10"/>
        <v>300</v>
      </c>
      <c r="G214" s="93">
        <v>45133.0</v>
      </c>
    </row>
    <row r="215">
      <c r="C215" s="91" t="s">
        <v>201</v>
      </c>
      <c r="D215" s="92">
        <v>4.0</v>
      </c>
      <c r="E215" s="57">
        <v>300.0</v>
      </c>
      <c r="F215" s="26">
        <f t="shared" si="10"/>
        <v>1200</v>
      </c>
      <c r="G215" s="93">
        <v>45133.0</v>
      </c>
    </row>
    <row r="216">
      <c r="C216" s="91" t="s">
        <v>202</v>
      </c>
      <c r="D216" s="92">
        <v>1.0</v>
      </c>
      <c r="E216" s="57">
        <v>60000.0</v>
      </c>
      <c r="F216" s="26">
        <f t="shared" si="10"/>
        <v>60000</v>
      </c>
      <c r="G216" s="93">
        <v>45133.0</v>
      </c>
    </row>
    <row r="217">
      <c r="C217" s="91" t="s">
        <v>158</v>
      </c>
      <c r="D217" s="92">
        <v>40.0</v>
      </c>
      <c r="E217" s="57">
        <v>150.0</v>
      </c>
      <c r="F217" s="26">
        <f t="shared" si="10"/>
        <v>6000</v>
      </c>
      <c r="G217" s="93">
        <v>45134.0</v>
      </c>
    </row>
    <row r="218">
      <c r="C218" s="91" t="s">
        <v>203</v>
      </c>
      <c r="D218" s="92">
        <v>4.0</v>
      </c>
      <c r="E218" s="57">
        <v>150.0</v>
      </c>
      <c r="F218" s="26">
        <f t="shared" si="10"/>
        <v>600</v>
      </c>
      <c r="G218" s="93">
        <v>45134.0</v>
      </c>
    </row>
    <row r="219">
      <c r="C219" s="91" t="s">
        <v>130</v>
      </c>
      <c r="D219" s="92">
        <v>30.0</v>
      </c>
      <c r="E219" s="57">
        <v>100.0</v>
      </c>
      <c r="F219" s="26">
        <f t="shared" si="10"/>
        <v>3000</v>
      </c>
      <c r="G219" s="93">
        <v>45134.0</v>
      </c>
    </row>
    <row r="220">
      <c r="C220" s="91" t="s">
        <v>152</v>
      </c>
      <c r="D220" s="92">
        <v>4.0</v>
      </c>
      <c r="E220" s="57">
        <v>100.0</v>
      </c>
      <c r="F220" s="26">
        <f t="shared" si="10"/>
        <v>400</v>
      </c>
      <c r="G220" s="93">
        <v>45134.0</v>
      </c>
    </row>
    <row r="221">
      <c r="C221" s="91" t="s">
        <v>204</v>
      </c>
      <c r="D221" s="92">
        <v>4.0</v>
      </c>
      <c r="E221" s="57">
        <v>1000.0</v>
      </c>
      <c r="F221" s="26">
        <f t="shared" si="10"/>
        <v>4000</v>
      </c>
      <c r="G221" s="93">
        <v>45134.0</v>
      </c>
    </row>
    <row r="222">
      <c r="C222" s="91" t="s">
        <v>149</v>
      </c>
      <c r="D222" s="92">
        <v>1.0</v>
      </c>
      <c r="E222" s="57">
        <v>1000.0</v>
      </c>
      <c r="F222" s="26">
        <f t="shared" si="10"/>
        <v>1000</v>
      </c>
      <c r="G222" s="93">
        <v>45134.0</v>
      </c>
    </row>
    <row r="223">
      <c r="C223" s="91" t="s">
        <v>205</v>
      </c>
      <c r="D223" s="92">
        <v>1.0</v>
      </c>
      <c r="E223" s="57">
        <v>500.0</v>
      </c>
      <c r="F223" s="26">
        <f t="shared" si="10"/>
        <v>500</v>
      </c>
      <c r="G223" s="93">
        <v>45134.0</v>
      </c>
    </row>
    <row r="224">
      <c r="C224" s="91" t="s">
        <v>84</v>
      </c>
      <c r="D224" s="92">
        <v>20.0</v>
      </c>
      <c r="E224" s="57">
        <v>45.0</v>
      </c>
      <c r="F224" s="26">
        <f t="shared" si="10"/>
        <v>900</v>
      </c>
      <c r="G224" s="93">
        <v>45134.0</v>
      </c>
    </row>
    <row r="225">
      <c r="C225" s="91" t="s">
        <v>159</v>
      </c>
      <c r="D225" s="92">
        <v>20.0</v>
      </c>
      <c r="E225" s="57">
        <v>150.0</v>
      </c>
      <c r="F225" s="26">
        <f t="shared" si="10"/>
        <v>3000</v>
      </c>
      <c r="G225" s="93">
        <v>45043.0</v>
      </c>
    </row>
    <row r="226">
      <c r="C226" s="91" t="s">
        <v>84</v>
      </c>
      <c r="D226" s="92">
        <v>30.0</v>
      </c>
      <c r="E226" s="57">
        <v>50.0</v>
      </c>
      <c r="F226" s="26">
        <f t="shared" si="10"/>
        <v>1500</v>
      </c>
      <c r="G226" s="93">
        <v>45132.0</v>
      </c>
    </row>
    <row r="227">
      <c r="C227" s="91" t="s">
        <v>84</v>
      </c>
      <c r="D227" s="92">
        <v>30.0</v>
      </c>
      <c r="E227" s="57">
        <v>45.0</v>
      </c>
      <c r="F227" s="26">
        <f t="shared" si="10"/>
        <v>1350</v>
      </c>
      <c r="G227" s="93">
        <v>45132.0</v>
      </c>
    </row>
    <row r="228">
      <c r="C228" s="91" t="s">
        <v>206</v>
      </c>
      <c r="D228" s="92">
        <v>2.0</v>
      </c>
      <c r="E228" s="57">
        <v>50.0</v>
      </c>
      <c r="F228" s="26">
        <f t="shared" si="10"/>
        <v>100</v>
      </c>
      <c r="G228" s="93">
        <v>45135.0</v>
      </c>
    </row>
    <row r="229">
      <c r="C229" s="91" t="s">
        <v>130</v>
      </c>
      <c r="D229" s="92">
        <v>25.0</v>
      </c>
      <c r="E229" s="57">
        <v>100.0</v>
      </c>
      <c r="F229" s="26">
        <f t="shared" si="10"/>
        <v>2500</v>
      </c>
      <c r="G229" s="93">
        <v>45135.0</v>
      </c>
    </row>
    <row r="230">
      <c r="C230" s="91" t="s">
        <v>207</v>
      </c>
      <c r="D230" s="92">
        <v>3.0</v>
      </c>
      <c r="E230" s="57">
        <v>400.0</v>
      </c>
      <c r="F230" s="26">
        <f t="shared" si="10"/>
        <v>1200</v>
      </c>
      <c r="G230" s="93">
        <v>45135.0</v>
      </c>
    </row>
    <row r="231">
      <c r="C231" s="91" t="s">
        <v>208</v>
      </c>
      <c r="D231" s="92">
        <v>2.0</v>
      </c>
      <c r="E231" s="57">
        <v>150.0</v>
      </c>
      <c r="F231" s="26">
        <f t="shared" si="10"/>
        <v>300</v>
      </c>
      <c r="G231" s="93">
        <v>45135.0</v>
      </c>
    </row>
    <row r="232">
      <c r="C232" s="91" t="s">
        <v>149</v>
      </c>
      <c r="D232" s="92">
        <v>1.0</v>
      </c>
      <c r="E232" s="57">
        <v>600.0</v>
      </c>
      <c r="F232" s="26">
        <f t="shared" si="10"/>
        <v>600</v>
      </c>
      <c r="G232" s="93">
        <v>45136.0</v>
      </c>
    </row>
    <row r="233">
      <c r="C233" s="91" t="s">
        <v>130</v>
      </c>
      <c r="D233" s="92">
        <v>3.0</v>
      </c>
      <c r="E233" s="57">
        <v>130.0</v>
      </c>
      <c r="F233" s="26">
        <f t="shared" si="10"/>
        <v>390</v>
      </c>
      <c r="G233" s="93">
        <v>45136.0</v>
      </c>
    </row>
    <row r="234">
      <c r="C234" s="91" t="s">
        <v>209</v>
      </c>
      <c r="D234" s="92">
        <v>1.0</v>
      </c>
      <c r="E234" s="57">
        <v>1200.0</v>
      </c>
      <c r="F234" s="26">
        <f t="shared" si="10"/>
        <v>1200</v>
      </c>
      <c r="G234" s="93">
        <v>45136.0</v>
      </c>
    </row>
    <row r="235">
      <c r="C235" s="91" t="s">
        <v>210</v>
      </c>
      <c r="D235" s="92">
        <v>10.0</v>
      </c>
      <c r="E235" s="57">
        <v>2800.0</v>
      </c>
      <c r="F235" s="26">
        <f t="shared" si="10"/>
        <v>28000</v>
      </c>
      <c r="G235" s="93">
        <v>45137.0</v>
      </c>
    </row>
    <row r="236">
      <c r="C236" s="91" t="s">
        <v>158</v>
      </c>
      <c r="D236" s="92">
        <v>8.0</v>
      </c>
      <c r="E236" s="57">
        <v>200.0</v>
      </c>
      <c r="F236" s="26">
        <f t="shared" si="10"/>
        <v>1600</v>
      </c>
      <c r="G236" s="93">
        <v>45137.0</v>
      </c>
    </row>
    <row r="237">
      <c r="C237" s="91" t="s">
        <v>211</v>
      </c>
      <c r="D237" s="92">
        <v>1.0</v>
      </c>
      <c r="E237" s="57">
        <v>2000.0</v>
      </c>
      <c r="F237" s="26">
        <f t="shared" si="10"/>
        <v>2000</v>
      </c>
      <c r="G237" s="93">
        <v>45137.0</v>
      </c>
    </row>
    <row r="238">
      <c r="C238" s="91" t="s">
        <v>158</v>
      </c>
      <c r="D238" s="92">
        <v>16.0</v>
      </c>
      <c r="E238" s="57">
        <v>150.0</v>
      </c>
      <c r="F238" s="26">
        <f t="shared" si="10"/>
        <v>2400</v>
      </c>
      <c r="G238" s="93">
        <v>45138.0</v>
      </c>
    </row>
    <row r="239">
      <c r="C239" s="91" t="s">
        <v>206</v>
      </c>
      <c r="D239" s="92">
        <v>5.0</v>
      </c>
      <c r="E239" s="57">
        <v>40.0</v>
      </c>
      <c r="F239" s="26">
        <f t="shared" si="10"/>
        <v>200</v>
      </c>
      <c r="G239" s="93">
        <v>45138.0</v>
      </c>
    </row>
    <row r="240">
      <c r="C240" s="91" t="s">
        <v>130</v>
      </c>
      <c r="D240" s="92">
        <v>10.0</v>
      </c>
      <c r="E240" s="57">
        <v>100.0</v>
      </c>
      <c r="F240" s="26">
        <f t="shared" si="10"/>
        <v>1000</v>
      </c>
      <c r="G240" s="93">
        <v>45138.0</v>
      </c>
    </row>
    <row r="241">
      <c r="C241" s="91" t="s">
        <v>159</v>
      </c>
      <c r="D241" s="92">
        <v>1.0</v>
      </c>
      <c r="E241" s="57">
        <v>300.0</v>
      </c>
      <c r="F241" s="26">
        <f t="shared" si="10"/>
        <v>300</v>
      </c>
      <c r="G241" s="93">
        <v>45138.0</v>
      </c>
    </row>
    <row r="242">
      <c r="C242" s="91"/>
      <c r="D242" s="92"/>
      <c r="E242" s="57"/>
      <c r="F242" s="26">
        <f t="shared" si="10"/>
        <v>0</v>
      </c>
      <c r="G242" s="80"/>
    </row>
    <row r="243">
      <c r="C243" s="115" t="s">
        <v>212</v>
      </c>
      <c r="D243" s="39"/>
      <c r="E243" s="26"/>
      <c r="F243" s="116">
        <f>SUM(F3:F242)</f>
        <v>834119</v>
      </c>
      <c r="G243" s="8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5.38"/>
    <col customWidth="1" min="3" max="3" width="19.13"/>
    <col customWidth="1" min="4" max="4" width="18.88"/>
    <col customWidth="1" min="5" max="5" width="19.13"/>
    <col customWidth="1" min="6" max="7" width="19.38"/>
    <col customWidth="1" min="8" max="8" width="20.13"/>
    <col customWidth="1" min="9" max="9" width="19.88"/>
    <col customWidth="1" min="10" max="10" width="20.13"/>
    <col customWidth="1" min="11" max="11" width="20.88"/>
    <col customWidth="1" min="12" max="12" width="22.13"/>
    <col customWidth="1" min="13" max="13" width="19.63"/>
    <col customWidth="1" min="14" max="16" width="19.38"/>
    <col customWidth="1" min="17" max="17" width="153.88"/>
  </cols>
  <sheetData>
    <row r="1">
      <c r="A1" s="1"/>
      <c r="B1" s="2" t="s">
        <v>0</v>
      </c>
      <c r="C1" s="117" t="s">
        <v>213</v>
      </c>
      <c r="D1" s="118" t="s">
        <v>214</v>
      </c>
      <c r="E1" s="4" t="s">
        <v>215</v>
      </c>
      <c r="F1" s="4" t="s">
        <v>216</v>
      </c>
      <c r="G1" s="4" t="s">
        <v>217</v>
      </c>
      <c r="H1" s="3" t="s">
        <v>218</v>
      </c>
      <c r="I1" s="4" t="s">
        <v>219</v>
      </c>
      <c r="J1" s="4" t="s">
        <v>220</v>
      </c>
      <c r="K1" s="3" t="s">
        <v>221</v>
      </c>
      <c r="L1" s="4" t="s">
        <v>222</v>
      </c>
      <c r="M1" s="4" t="s">
        <v>223</v>
      </c>
      <c r="N1" s="3" t="s">
        <v>224</v>
      </c>
      <c r="O1" s="3" t="s">
        <v>225</v>
      </c>
      <c r="P1" s="4" t="s">
        <v>226</v>
      </c>
      <c r="Q1" s="4" t="s">
        <v>227</v>
      </c>
      <c r="R1" s="22"/>
      <c r="S1" s="22"/>
    </row>
    <row r="2">
      <c r="A2" s="10" t="s">
        <v>14</v>
      </c>
      <c r="B2" s="11">
        <v>45108.0</v>
      </c>
      <c r="C2" s="10">
        <v>1.0</v>
      </c>
      <c r="D2" s="15">
        <v>0.0</v>
      </c>
      <c r="E2" s="15">
        <v>0.0</v>
      </c>
      <c r="F2" s="15">
        <v>1.0</v>
      </c>
      <c r="G2" s="15">
        <v>1.0</v>
      </c>
      <c r="H2" s="15">
        <v>1.0</v>
      </c>
      <c r="I2" s="15">
        <v>0.0</v>
      </c>
      <c r="J2" s="15">
        <v>1.0</v>
      </c>
      <c r="K2" s="15">
        <v>1.0</v>
      </c>
      <c r="L2" s="15">
        <v>1.0</v>
      </c>
      <c r="M2" s="15">
        <v>0.0</v>
      </c>
      <c r="N2" s="15">
        <v>0.0</v>
      </c>
      <c r="O2" s="15">
        <v>0.0</v>
      </c>
      <c r="P2" s="15">
        <v>0.0</v>
      </c>
      <c r="Q2" s="14"/>
      <c r="R2" s="119"/>
      <c r="S2" s="119"/>
      <c r="T2" s="120"/>
      <c r="U2" s="120"/>
      <c r="V2" s="120"/>
    </row>
    <row r="3">
      <c r="A3" s="10" t="s">
        <v>15</v>
      </c>
      <c r="B3" s="11">
        <v>45109.0</v>
      </c>
      <c r="C3" s="10">
        <v>1.0</v>
      </c>
      <c r="D3" s="15">
        <v>1.0</v>
      </c>
      <c r="E3" s="15">
        <v>0.0</v>
      </c>
      <c r="F3" s="15">
        <v>1.0</v>
      </c>
      <c r="G3" s="15">
        <v>1.0</v>
      </c>
      <c r="H3" s="15">
        <v>1.0</v>
      </c>
      <c r="I3" s="15">
        <v>0.0</v>
      </c>
      <c r="J3" s="15">
        <v>0.0</v>
      </c>
      <c r="K3" s="15">
        <v>1.0</v>
      </c>
      <c r="L3" s="15">
        <v>1.0</v>
      </c>
      <c r="M3" s="15">
        <v>0.0</v>
      </c>
      <c r="N3" s="15">
        <v>0.0</v>
      </c>
      <c r="O3" s="15">
        <v>0.0</v>
      </c>
      <c r="P3" s="15">
        <v>1.0</v>
      </c>
      <c r="Q3" s="14"/>
      <c r="R3" s="119"/>
      <c r="S3" s="119"/>
      <c r="T3" s="120"/>
      <c r="U3" s="120"/>
      <c r="V3" s="120"/>
    </row>
    <row r="4">
      <c r="A4" s="10" t="s">
        <v>16</v>
      </c>
      <c r="B4" s="11">
        <v>45110.0</v>
      </c>
      <c r="C4" s="10">
        <v>1.5</v>
      </c>
      <c r="D4" s="15">
        <v>1.0</v>
      </c>
      <c r="E4" s="121">
        <v>0.0</v>
      </c>
      <c r="F4" s="15">
        <v>0.0</v>
      </c>
      <c r="G4" s="15">
        <v>1.0</v>
      </c>
      <c r="H4" s="15">
        <v>1.0</v>
      </c>
      <c r="I4" s="121">
        <v>1.0</v>
      </c>
      <c r="J4" s="15">
        <v>1.0</v>
      </c>
      <c r="K4" s="15">
        <v>1.0</v>
      </c>
      <c r="L4" s="15">
        <v>1.0</v>
      </c>
      <c r="M4" s="15">
        <v>0.0</v>
      </c>
      <c r="N4" s="15">
        <v>0.0</v>
      </c>
      <c r="O4" s="15">
        <v>0.0</v>
      </c>
      <c r="P4" s="15">
        <v>1.0</v>
      </c>
      <c r="Q4" s="14"/>
      <c r="R4" s="119"/>
      <c r="S4" s="119"/>
      <c r="T4" s="120"/>
      <c r="U4" s="120"/>
      <c r="V4" s="120"/>
    </row>
    <row r="5">
      <c r="A5" s="10" t="s">
        <v>19</v>
      </c>
      <c r="B5" s="11">
        <v>45111.0</v>
      </c>
      <c r="C5" s="10">
        <v>1.0</v>
      </c>
      <c r="D5" s="15">
        <v>1.0</v>
      </c>
      <c r="E5" s="15">
        <v>0.0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0.0</v>
      </c>
      <c r="O5" s="15">
        <v>0.0</v>
      </c>
      <c r="P5" s="15">
        <v>1.0</v>
      </c>
      <c r="Q5" s="14"/>
      <c r="R5" s="119"/>
      <c r="S5" s="119"/>
      <c r="T5" s="120"/>
      <c r="U5" s="120"/>
      <c r="V5" s="120"/>
    </row>
    <row r="6">
      <c r="A6" s="10" t="s">
        <v>20</v>
      </c>
      <c r="B6" s="11">
        <v>45112.0</v>
      </c>
      <c r="C6" s="10">
        <v>1.0</v>
      </c>
      <c r="D6" s="15">
        <v>1.0</v>
      </c>
      <c r="E6" s="15">
        <v>0.0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0.0</v>
      </c>
      <c r="O6" s="15">
        <v>0.0</v>
      </c>
      <c r="P6" s="15">
        <v>1.0</v>
      </c>
      <c r="Q6" s="122">
        <v>1.0</v>
      </c>
      <c r="R6" s="119"/>
      <c r="S6" s="119"/>
      <c r="T6" s="120"/>
      <c r="U6" s="120"/>
      <c r="V6" s="120"/>
    </row>
    <row r="7">
      <c r="A7" s="10" t="s">
        <v>22</v>
      </c>
      <c r="B7" s="11">
        <v>45113.0</v>
      </c>
      <c r="C7" s="10">
        <v>2.0</v>
      </c>
      <c r="D7" s="15">
        <v>2.0</v>
      </c>
      <c r="E7" s="15">
        <v>0.0</v>
      </c>
      <c r="F7" s="15">
        <v>2.0</v>
      </c>
      <c r="G7" s="15">
        <v>0.0</v>
      </c>
      <c r="H7" s="15">
        <v>1.0</v>
      </c>
      <c r="I7" s="15" t="s">
        <v>228</v>
      </c>
      <c r="J7" s="123">
        <v>1.0</v>
      </c>
      <c r="K7" s="15">
        <v>1.0</v>
      </c>
      <c r="L7" s="15">
        <v>0.0</v>
      </c>
      <c r="M7" s="15">
        <v>2.0</v>
      </c>
      <c r="N7" s="15">
        <v>0.0</v>
      </c>
      <c r="O7" s="15">
        <v>0.0</v>
      </c>
      <c r="P7" s="15">
        <v>2.0</v>
      </c>
      <c r="Q7" s="14"/>
      <c r="R7" s="119"/>
      <c r="S7" s="119"/>
      <c r="T7" s="120"/>
      <c r="U7" s="120"/>
      <c r="V7" s="120"/>
    </row>
    <row r="8">
      <c r="A8" s="28" t="s">
        <v>23</v>
      </c>
      <c r="B8" s="29">
        <v>45114.0</v>
      </c>
      <c r="C8" s="28">
        <v>1.0</v>
      </c>
      <c r="D8" s="32">
        <v>1.0</v>
      </c>
      <c r="E8" s="32">
        <v>0.0</v>
      </c>
      <c r="F8" s="32">
        <v>1.0</v>
      </c>
      <c r="G8" s="32">
        <v>0.0</v>
      </c>
      <c r="H8" s="32">
        <v>1.0</v>
      </c>
      <c r="I8" s="32">
        <v>1.0</v>
      </c>
      <c r="J8" s="32">
        <v>1.0</v>
      </c>
      <c r="K8" s="32">
        <v>0.0</v>
      </c>
      <c r="L8" s="32">
        <v>0.0</v>
      </c>
      <c r="M8" s="32">
        <v>1.0</v>
      </c>
      <c r="N8" s="32">
        <v>0.0</v>
      </c>
      <c r="O8" s="32">
        <v>0.0</v>
      </c>
      <c r="P8" s="32">
        <v>0.0</v>
      </c>
      <c r="Q8" s="31"/>
      <c r="R8" s="124"/>
      <c r="S8" s="119"/>
      <c r="T8" s="120"/>
      <c r="U8" s="120"/>
      <c r="V8" s="120"/>
    </row>
    <row r="9">
      <c r="A9" s="10" t="s">
        <v>26</v>
      </c>
      <c r="B9" s="11">
        <v>45115.0</v>
      </c>
      <c r="C9" s="10">
        <v>1.0</v>
      </c>
      <c r="D9" s="15">
        <v>0.5</v>
      </c>
      <c r="E9" s="15">
        <v>0.0</v>
      </c>
      <c r="F9" s="15">
        <v>1.0</v>
      </c>
      <c r="G9" s="15">
        <v>1.0</v>
      </c>
      <c r="H9" s="15">
        <v>0.0</v>
      </c>
      <c r="I9" s="15">
        <v>1.0</v>
      </c>
      <c r="J9" s="15">
        <v>1.0</v>
      </c>
      <c r="K9" s="15">
        <v>1.0</v>
      </c>
      <c r="L9" s="15">
        <v>0.0</v>
      </c>
      <c r="M9" s="15">
        <v>1.0</v>
      </c>
      <c r="N9" s="15">
        <v>0.0</v>
      </c>
      <c r="O9" s="15">
        <v>1.0</v>
      </c>
      <c r="P9" s="15">
        <v>0.0</v>
      </c>
      <c r="Q9" s="125" t="s">
        <v>229</v>
      </c>
      <c r="R9" s="119"/>
      <c r="S9" s="119"/>
      <c r="T9" s="120"/>
      <c r="U9" s="120"/>
      <c r="V9" s="120"/>
    </row>
    <row r="10">
      <c r="A10" s="10" t="s">
        <v>15</v>
      </c>
      <c r="B10" s="11">
        <v>45116.0</v>
      </c>
      <c r="C10" s="10">
        <v>1.5</v>
      </c>
      <c r="D10" s="15">
        <v>1.0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0.0</v>
      </c>
      <c r="M10" s="15">
        <v>1.0</v>
      </c>
      <c r="N10" s="15">
        <v>1.0</v>
      </c>
      <c r="O10" s="15">
        <v>1.0</v>
      </c>
      <c r="P10" s="15">
        <v>1.0</v>
      </c>
      <c r="Q10" s="126" t="s">
        <v>230</v>
      </c>
      <c r="R10" s="119"/>
      <c r="S10" s="119"/>
      <c r="T10" s="120"/>
      <c r="U10" s="120"/>
      <c r="V10" s="120"/>
    </row>
    <row r="11">
      <c r="A11" s="10" t="s">
        <v>16</v>
      </c>
      <c r="B11" s="11">
        <v>45117.0</v>
      </c>
      <c r="C11" s="10">
        <v>1.0</v>
      </c>
      <c r="D11" s="15">
        <v>1.0</v>
      </c>
      <c r="E11" s="15">
        <v>1.0</v>
      </c>
      <c r="F11" s="15">
        <v>0.5</v>
      </c>
      <c r="G11" s="15">
        <v>1.0</v>
      </c>
      <c r="H11" s="15">
        <v>1.0</v>
      </c>
      <c r="I11" s="15">
        <v>1.0</v>
      </c>
      <c r="J11" s="15">
        <v>0.0</v>
      </c>
      <c r="K11" s="15">
        <v>1.0</v>
      </c>
      <c r="L11" s="15">
        <v>0.0</v>
      </c>
      <c r="M11" s="15">
        <v>0.0</v>
      </c>
      <c r="N11" s="15">
        <v>1.0</v>
      </c>
      <c r="O11" s="15">
        <v>1.0</v>
      </c>
      <c r="P11" s="15">
        <v>0.0</v>
      </c>
      <c r="Q11" s="126" t="s">
        <v>231</v>
      </c>
      <c r="R11" s="119"/>
      <c r="S11" s="119"/>
      <c r="T11" s="120"/>
      <c r="U11" s="120"/>
      <c r="V11" s="120"/>
    </row>
    <row r="12">
      <c r="A12" s="10" t="s">
        <v>19</v>
      </c>
      <c r="B12" s="11">
        <v>45118.0</v>
      </c>
      <c r="C12" s="10">
        <v>1.5</v>
      </c>
      <c r="D12" s="15">
        <v>1.0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0.0</v>
      </c>
      <c r="M12" s="15">
        <v>1.0</v>
      </c>
      <c r="N12" s="15">
        <v>1.0</v>
      </c>
      <c r="O12" s="15">
        <v>1.0</v>
      </c>
      <c r="P12" s="15">
        <v>0.0</v>
      </c>
      <c r="Q12" s="126" t="s">
        <v>232</v>
      </c>
      <c r="R12" s="119"/>
      <c r="S12" s="119"/>
      <c r="T12" s="120"/>
      <c r="U12" s="120"/>
      <c r="V12" s="120"/>
    </row>
    <row r="13">
      <c r="A13" s="10" t="s">
        <v>20</v>
      </c>
      <c r="B13" s="11">
        <v>45119.0</v>
      </c>
      <c r="C13" s="10">
        <v>2.0</v>
      </c>
      <c r="D13" s="15">
        <v>1.0</v>
      </c>
      <c r="E13" s="15">
        <v>1.0</v>
      </c>
      <c r="F13" s="15">
        <v>0.0</v>
      </c>
      <c r="G13" s="15">
        <v>0.4</v>
      </c>
      <c r="H13" s="15">
        <v>1.0</v>
      </c>
      <c r="I13" s="15">
        <v>2.0</v>
      </c>
      <c r="J13" s="15">
        <v>1.0</v>
      </c>
      <c r="K13" s="15">
        <v>1.0</v>
      </c>
      <c r="L13" s="15">
        <v>0.0</v>
      </c>
      <c r="M13" s="15">
        <v>1.0</v>
      </c>
      <c r="N13" s="15">
        <v>1.0</v>
      </c>
      <c r="O13" s="15">
        <v>1.0</v>
      </c>
      <c r="P13" s="15">
        <v>0.0</v>
      </c>
      <c r="Q13" s="126" t="s">
        <v>233</v>
      </c>
      <c r="R13" s="119"/>
      <c r="S13" s="119"/>
      <c r="T13" s="120"/>
      <c r="U13" s="120"/>
      <c r="V13" s="120"/>
    </row>
    <row r="14">
      <c r="A14" s="10" t="s">
        <v>22</v>
      </c>
      <c r="B14" s="11">
        <v>45120.0</v>
      </c>
      <c r="C14" s="10">
        <v>2.0</v>
      </c>
      <c r="D14" s="15">
        <v>1.0</v>
      </c>
      <c r="E14" s="15">
        <v>1.0</v>
      </c>
      <c r="F14" s="15">
        <v>1.0</v>
      </c>
      <c r="G14" s="15">
        <v>0.0</v>
      </c>
      <c r="H14" s="15">
        <v>1.0</v>
      </c>
      <c r="I14" s="15">
        <v>2.0</v>
      </c>
      <c r="J14" s="15">
        <v>1.0</v>
      </c>
      <c r="K14" s="15">
        <v>1.0</v>
      </c>
      <c r="L14" s="15">
        <v>0.0</v>
      </c>
      <c r="M14" s="15">
        <v>1.0</v>
      </c>
      <c r="N14" s="15">
        <v>1.0</v>
      </c>
      <c r="O14" s="15">
        <v>1.0</v>
      </c>
      <c r="P14" s="15">
        <v>1.0</v>
      </c>
      <c r="Q14" s="127"/>
      <c r="R14" s="119"/>
      <c r="S14" s="119"/>
      <c r="T14" s="120"/>
      <c r="U14" s="120"/>
      <c r="V14" s="120"/>
    </row>
    <row r="15">
      <c r="A15" s="28" t="s">
        <v>23</v>
      </c>
      <c r="B15" s="29">
        <v>45121.0</v>
      </c>
      <c r="C15" s="28">
        <v>0.0</v>
      </c>
      <c r="D15" s="32">
        <v>1.0</v>
      </c>
      <c r="E15" s="32">
        <v>1.0</v>
      </c>
      <c r="F15" s="32">
        <v>1.0</v>
      </c>
      <c r="G15" s="32">
        <v>0.0</v>
      </c>
      <c r="H15" s="32">
        <v>1.0</v>
      </c>
      <c r="I15" s="32">
        <v>1.0</v>
      </c>
      <c r="J15" s="32">
        <v>1.0</v>
      </c>
      <c r="K15" s="32">
        <v>0.0</v>
      </c>
      <c r="L15" s="32">
        <v>0.0</v>
      </c>
      <c r="M15" s="32">
        <v>1.0</v>
      </c>
      <c r="N15" s="32">
        <v>0.0</v>
      </c>
      <c r="O15" s="32">
        <v>1.0</v>
      </c>
      <c r="P15" s="32">
        <v>0.0</v>
      </c>
      <c r="Q15" s="128"/>
      <c r="R15" s="119"/>
      <c r="S15" s="119"/>
      <c r="T15" s="120"/>
      <c r="U15" s="120"/>
      <c r="V15" s="120"/>
    </row>
    <row r="16">
      <c r="A16" s="10" t="s">
        <v>26</v>
      </c>
      <c r="B16" s="11">
        <v>45122.0</v>
      </c>
      <c r="C16" s="10">
        <v>1.25</v>
      </c>
      <c r="D16" s="15">
        <v>1.0</v>
      </c>
      <c r="E16" s="15">
        <v>1.25</v>
      </c>
      <c r="F16" s="15">
        <v>1.0</v>
      </c>
      <c r="G16" s="15">
        <v>1.0</v>
      </c>
      <c r="H16" s="15">
        <v>1.0</v>
      </c>
      <c r="I16" s="15">
        <v>0.0</v>
      </c>
      <c r="J16" s="15">
        <v>1.0</v>
      </c>
      <c r="K16" s="15">
        <v>1.0</v>
      </c>
      <c r="L16" s="15">
        <v>0.0</v>
      </c>
      <c r="M16" s="15">
        <v>1.25</v>
      </c>
      <c r="N16" s="15">
        <v>1.0</v>
      </c>
      <c r="O16" s="15">
        <v>0.0</v>
      </c>
      <c r="P16" s="15">
        <v>0.0</v>
      </c>
      <c r="Q16" s="126" t="s">
        <v>234</v>
      </c>
      <c r="R16" s="119"/>
      <c r="S16" s="119"/>
      <c r="T16" s="120"/>
      <c r="U16" s="120"/>
      <c r="V16" s="120"/>
    </row>
    <row r="17">
      <c r="A17" s="10" t="s">
        <v>15</v>
      </c>
      <c r="B17" s="11">
        <v>45123.0</v>
      </c>
      <c r="C17" s="10" t="s">
        <v>235</v>
      </c>
      <c r="D17" s="15">
        <v>1.25</v>
      </c>
      <c r="E17" s="15">
        <v>1.0</v>
      </c>
      <c r="F17" s="15">
        <v>0.0</v>
      </c>
      <c r="G17" s="15">
        <v>0.0</v>
      </c>
      <c r="H17" s="15">
        <v>1.0</v>
      </c>
      <c r="I17" s="15">
        <v>0.0</v>
      </c>
      <c r="J17" s="15">
        <v>1.0</v>
      </c>
      <c r="K17" s="15">
        <v>1.0</v>
      </c>
      <c r="L17" s="15">
        <v>0.0</v>
      </c>
      <c r="M17" s="15">
        <v>1.0</v>
      </c>
      <c r="N17" s="15">
        <v>1.0</v>
      </c>
      <c r="O17" s="15">
        <v>1.0</v>
      </c>
      <c r="P17" s="15">
        <v>0.0</v>
      </c>
      <c r="Q17" s="126" t="s">
        <v>236</v>
      </c>
      <c r="R17" s="119"/>
      <c r="S17" s="119"/>
      <c r="T17" s="120"/>
      <c r="U17" s="120"/>
      <c r="V17" s="120"/>
    </row>
    <row r="18">
      <c r="A18" s="10" t="s">
        <v>16</v>
      </c>
      <c r="B18" s="11">
        <v>45124.0</v>
      </c>
      <c r="C18" s="10">
        <v>1.0</v>
      </c>
      <c r="D18" s="15">
        <v>1.0</v>
      </c>
      <c r="E18" s="15">
        <v>1.0</v>
      </c>
      <c r="F18" s="15">
        <v>1.0</v>
      </c>
      <c r="G18" s="15">
        <v>1.0</v>
      </c>
      <c r="H18" s="15">
        <v>0.0</v>
      </c>
      <c r="I18" s="15">
        <v>1.0</v>
      </c>
      <c r="J18" s="15">
        <v>1.0</v>
      </c>
      <c r="K18" s="15">
        <v>1.0</v>
      </c>
      <c r="L18" s="15">
        <v>0.0</v>
      </c>
      <c r="M18" s="15">
        <v>1.0</v>
      </c>
      <c r="N18" s="15">
        <v>1.5</v>
      </c>
      <c r="O18" s="15">
        <v>1.0</v>
      </c>
      <c r="P18" s="15">
        <v>0.0</v>
      </c>
      <c r="Q18" s="127"/>
      <c r="R18" s="119"/>
      <c r="S18" s="119"/>
      <c r="T18" s="120"/>
      <c r="U18" s="120"/>
      <c r="V18" s="120"/>
    </row>
    <row r="19">
      <c r="A19" s="10" t="s">
        <v>19</v>
      </c>
      <c r="B19" s="11">
        <v>45125.0</v>
      </c>
      <c r="C19" s="10">
        <v>1.5</v>
      </c>
      <c r="D19" s="15">
        <v>1.5</v>
      </c>
      <c r="E19" s="15">
        <v>0.0</v>
      </c>
      <c r="F19" s="15">
        <v>1.5</v>
      </c>
      <c r="G19" s="15">
        <v>0.75</v>
      </c>
      <c r="H19" s="15">
        <v>1.0</v>
      </c>
      <c r="I19" s="15">
        <v>1.0</v>
      </c>
      <c r="J19" s="15">
        <v>1.5</v>
      </c>
      <c r="K19" s="15">
        <v>1.0</v>
      </c>
      <c r="L19" s="15">
        <v>0.0</v>
      </c>
      <c r="M19" s="15">
        <v>1.5</v>
      </c>
      <c r="N19" s="15">
        <v>1.5</v>
      </c>
      <c r="O19" s="15">
        <v>1.5</v>
      </c>
      <c r="P19" s="15">
        <v>0.0</v>
      </c>
      <c r="Q19" s="126" t="s">
        <v>237</v>
      </c>
      <c r="R19" s="119"/>
      <c r="S19" s="119"/>
      <c r="T19" s="120"/>
      <c r="U19" s="120"/>
      <c r="V19" s="120"/>
    </row>
    <row r="20">
      <c r="A20" s="10" t="s">
        <v>20</v>
      </c>
      <c r="B20" s="11">
        <v>45126.0</v>
      </c>
      <c r="C20" s="10">
        <v>1.0</v>
      </c>
      <c r="D20" s="15">
        <v>1.0</v>
      </c>
      <c r="E20" s="15">
        <v>0.0</v>
      </c>
      <c r="F20" s="15">
        <v>1.0</v>
      </c>
      <c r="G20" s="15">
        <v>0.0</v>
      </c>
      <c r="H20" s="15">
        <v>1.0</v>
      </c>
      <c r="I20" s="15">
        <v>1.0</v>
      </c>
      <c r="J20" s="15">
        <v>1.0</v>
      </c>
      <c r="K20" s="15">
        <v>1.0</v>
      </c>
      <c r="L20" s="15">
        <v>0.0</v>
      </c>
      <c r="M20" s="15">
        <v>1.0</v>
      </c>
      <c r="N20" s="15">
        <v>1.25</v>
      </c>
      <c r="O20" s="15">
        <v>1.0</v>
      </c>
      <c r="P20" s="15">
        <v>0.0</v>
      </c>
      <c r="Q20" s="127"/>
      <c r="R20" s="119"/>
      <c r="S20" s="119"/>
      <c r="T20" s="120"/>
      <c r="U20" s="120"/>
      <c r="V20" s="120"/>
    </row>
    <row r="21">
      <c r="A21" s="10" t="s">
        <v>22</v>
      </c>
      <c r="B21" s="11">
        <v>45127.0</v>
      </c>
      <c r="C21" s="10">
        <v>2.0</v>
      </c>
      <c r="D21" s="15">
        <v>1.0</v>
      </c>
      <c r="E21" s="15">
        <v>1.0</v>
      </c>
      <c r="F21" s="15">
        <v>1.0</v>
      </c>
      <c r="G21" s="15">
        <v>0.0</v>
      </c>
      <c r="H21" s="15">
        <v>1.0</v>
      </c>
      <c r="I21" s="15">
        <v>1.5</v>
      </c>
      <c r="J21" s="15">
        <v>0.0</v>
      </c>
      <c r="K21" s="15">
        <v>1.0</v>
      </c>
      <c r="L21" s="15">
        <v>0.0</v>
      </c>
      <c r="M21" s="15">
        <v>1.0</v>
      </c>
      <c r="N21" s="15">
        <v>1.0</v>
      </c>
      <c r="O21" s="15">
        <v>1.0</v>
      </c>
      <c r="P21" s="15">
        <v>0.0</v>
      </c>
      <c r="Q21" s="127"/>
      <c r="R21" s="119"/>
      <c r="S21" s="119"/>
      <c r="T21" s="120"/>
      <c r="U21" s="120"/>
      <c r="V21" s="120"/>
    </row>
    <row r="22">
      <c r="A22" s="28" t="s">
        <v>23</v>
      </c>
      <c r="B22" s="29">
        <v>45128.0</v>
      </c>
      <c r="C22" s="28">
        <v>1.0</v>
      </c>
      <c r="D22" s="32">
        <v>1.0</v>
      </c>
      <c r="E22" s="32">
        <v>1.0</v>
      </c>
      <c r="F22" s="32">
        <v>1.0</v>
      </c>
      <c r="G22" s="32">
        <v>0.0</v>
      </c>
      <c r="H22" s="32">
        <v>2.0</v>
      </c>
      <c r="I22" s="32">
        <v>2.0</v>
      </c>
      <c r="J22" s="32">
        <v>2.0</v>
      </c>
      <c r="K22" s="32">
        <v>0.0</v>
      </c>
      <c r="L22" s="32">
        <v>0.0</v>
      </c>
      <c r="M22" s="32">
        <v>1.0</v>
      </c>
      <c r="N22" s="32">
        <v>1.0</v>
      </c>
      <c r="O22" s="32">
        <v>1.0</v>
      </c>
      <c r="P22" s="32">
        <v>0.0</v>
      </c>
      <c r="Q22" s="128"/>
      <c r="R22" s="119"/>
      <c r="S22" s="119"/>
      <c r="T22" s="120"/>
      <c r="U22" s="120"/>
      <c r="V22" s="120"/>
    </row>
    <row r="23">
      <c r="A23" s="10" t="s">
        <v>26</v>
      </c>
      <c r="B23" s="11">
        <v>45129.0</v>
      </c>
      <c r="C23" s="10">
        <v>0.0</v>
      </c>
      <c r="D23" s="15">
        <v>0.5</v>
      </c>
      <c r="E23" s="15">
        <v>1.0</v>
      </c>
      <c r="F23" s="15">
        <v>1.0</v>
      </c>
      <c r="G23" s="15">
        <v>0.0</v>
      </c>
      <c r="H23" s="15">
        <v>1.0</v>
      </c>
      <c r="I23" s="15">
        <v>1.0</v>
      </c>
      <c r="J23" s="15">
        <v>0.0</v>
      </c>
      <c r="K23" s="15">
        <v>1.0</v>
      </c>
      <c r="L23" s="15">
        <v>0.0</v>
      </c>
      <c r="M23" s="15">
        <v>1.0</v>
      </c>
      <c r="N23" s="15">
        <v>0.0</v>
      </c>
      <c r="O23" s="15">
        <v>1.0</v>
      </c>
      <c r="P23" s="15">
        <v>0.0</v>
      </c>
      <c r="Q23" s="127"/>
      <c r="R23" s="119"/>
      <c r="S23" s="119"/>
      <c r="T23" s="120"/>
      <c r="U23" s="120"/>
      <c r="V23" s="120"/>
    </row>
    <row r="24">
      <c r="A24" s="10" t="s">
        <v>15</v>
      </c>
      <c r="B24" s="11">
        <v>45130.0</v>
      </c>
      <c r="C24" s="10">
        <v>1.0</v>
      </c>
      <c r="D24" s="15">
        <v>1.0</v>
      </c>
      <c r="E24" s="15">
        <v>1.0</v>
      </c>
      <c r="F24" s="15">
        <v>1.0</v>
      </c>
      <c r="G24" s="15">
        <v>0.0</v>
      </c>
      <c r="H24" s="15">
        <v>1.0</v>
      </c>
      <c r="I24" s="15">
        <v>1.0</v>
      </c>
      <c r="J24" s="15">
        <v>1.0</v>
      </c>
      <c r="K24" s="15">
        <v>1.0</v>
      </c>
      <c r="L24" s="15">
        <v>0.0</v>
      </c>
      <c r="M24" s="15">
        <v>1.0</v>
      </c>
      <c r="N24" s="15">
        <v>1.0</v>
      </c>
      <c r="O24" s="15">
        <v>1.0</v>
      </c>
      <c r="P24" s="15">
        <v>0.0</v>
      </c>
      <c r="Q24" s="127"/>
      <c r="R24" s="119"/>
      <c r="S24" s="119"/>
      <c r="T24" s="120"/>
      <c r="U24" s="120"/>
      <c r="V24" s="120"/>
    </row>
    <row r="25">
      <c r="A25" s="10" t="s">
        <v>16</v>
      </c>
      <c r="B25" s="11">
        <v>45131.0</v>
      </c>
      <c r="C25" s="10">
        <v>1.0</v>
      </c>
      <c r="D25" s="15">
        <v>1.0</v>
      </c>
      <c r="E25" s="15">
        <v>1.0</v>
      </c>
      <c r="F25" s="15">
        <v>0.0</v>
      </c>
      <c r="G25" s="15">
        <v>0.0</v>
      </c>
      <c r="H25" s="15">
        <v>1.0</v>
      </c>
      <c r="I25" s="15">
        <v>1.0</v>
      </c>
      <c r="J25" s="15">
        <v>1.0</v>
      </c>
      <c r="K25" s="15">
        <v>0.0</v>
      </c>
      <c r="L25" s="15">
        <v>0.0</v>
      </c>
      <c r="M25" s="15">
        <v>1.0</v>
      </c>
      <c r="N25" s="15">
        <v>1.0</v>
      </c>
      <c r="O25" s="15">
        <v>1.0</v>
      </c>
      <c r="P25" s="15">
        <v>0.0</v>
      </c>
      <c r="Q25" s="127"/>
      <c r="R25" s="119"/>
      <c r="S25" s="119"/>
      <c r="T25" s="120"/>
      <c r="U25" s="120"/>
      <c r="V25" s="120"/>
    </row>
    <row r="26">
      <c r="A26" s="10" t="s">
        <v>19</v>
      </c>
      <c r="B26" s="11">
        <v>45132.0</v>
      </c>
      <c r="C26" s="10">
        <v>1.5</v>
      </c>
      <c r="D26" s="15">
        <v>1.0</v>
      </c>
      <c r="E26" s="15">
        <v>1.0</v>
      </c>
      <c r="F26" s="15">
        <v>1.0</v>
      </c>
      <c r="G26" s="15">
        <v>0.0</v>
      </c>
      <c r="H26" s="15">
        <v>0.0</v>
      </c>
      <c r="I26" s="15">
        <v>1.0</v>
      </c>
      <c r="J26" s="15">
        <v>1.0</v>
      </c>
      <c r="K26" s="15">
        <v>1.0</v>
      </c>
      <c r="L26" s="15">
        <v>0.0</v>
      </c>
      <c r="M26" s="15">
        <v>1.0</v>
      </c>
      <c r="N26" s="15">
        <v>1.0</v>
      </c>
      <c r="O26" s="15">
        <v>1.0</v>
      </c>
      <c r="P26" s="15">
        <v>0.0</v>
      </c>
      <c r="Q26" s="127"/>
      <c r="R26" s="119"/>
      <c r="S26" s="119"/>
      <c r="T26" s="120"/>
      <c r="U26" s="120"/>
      <c r="V26" s="120"/>
    </row>
    <row r="27">
      <c r="A27" s="10" t="s">
        <v>20</v>
      </c>
      <c r="B27" s="11">
        <v>45133.0</v>
      </c>
      <c r="C27" s="10">
        <v>1.0</v>
      </c>
      <c r="D27" s="15">
        <v>1.0</v>
      </c>
      <c r="E27" s="15">
        <v>1.0</v>
      </c>
      <c r="F27" s="15">
        <v>1.0</v>
      </c>
      <c r="G27" s="15">
        <v>0.0</v>
      </c>
      <c r="H27" s="15">
        <v>1.0</v>
      </c>
      <c r="I27" s="15">
        <v>1.0</v>
      </c>
      <c r="J27" s="15">
        <v>1.0</v>
      </c>
      <c r="K27" s="15">
        <v>1.0</v>
      </c>
      <c r="L27" s="15">
        <v>0.0</v>
      </c>
      <c r="M27" s="15">
        <v>1.0</v>
      </c>
      <c r="N27" s="15">
        <v>1.0</v>
      </c>
      <c r="O27" s="15">
        <v>1.0</v>
      </c>
      <c r="P27" s="15">
        <v>0.0</v>
      </c>
      <c r="Q27" s="127"/>
      <c r="R27" s="119"/>
      <c r="S27" s="119"/>
      <c r="T27" s="120"/>
      <c r="U27" s="120"/>
      <c r="V27" s="120"/>
    </row>
    <row r="28">
      <c r="A28" s="10" t="s">
        <v>22</v>
      </c>
      <c r="B28" s="11">
        <v>45134.0</v>
      </c>
      <c r="C28" s="10">
        <v>1.0</v>
      </c>
      <c r="D28" s="15">
        <v>1.0</v>
      </c>
      <c r="E28" s="15">
        <v>1.0</v>
      </c>
      <c r="F28" s="15">
        <v>1.0</v>
      </c>
      <c r="G28" s="15">
        <v>0.0</v>
      </c>
      <c r="H28" s="15">
        <v>1.0</v>
      </c>
      <c r="I28" s="15">
        <v>1.0</v>
      </c>
      <c r="J28" s="15">
        <v>1.0</v>
      </c>
      <c r="K28" s="15">
        <v>1.0</v>
      </c>
      <c r="L28" s="15">
        <v>0.0</v>
      </c>
      <c r="M28" s="15">
        <v>1.0</v>
      </c>
      <c r="N28" s="15">
        <v>1.0</v>
      </c>
      <c r="O28" s="15">
        <v>0.5</v>
      </c>
      <c r="P28" s="15">
        <v>0.0</v>
      </c>
      <c r="Q28" s="126" t="s">
        <v>238</v>
      </c>
      <c r="R28" s="119"/>
      <c r="S28" s="119"/>
      <c r="T28" s="120"/>
      <c r="U28" s="120"/>
      <c r="V28" s="120"/>
    </row>
    <row r="29">
      <c r="A29" s="129" t="s">
        <v>23</v>
      </c>
      <c r="B29" s="130">
        <v>45135.0</v>
      </c>
      <c r="C29" s="129">
        <v>0.0</v>
      </c>
      <c r="D29" s="131">
        <v>1.5</v>
      </c>
      <c r="E29" s="131">
        <v>1.5</v>
      </c>
      <c r="F29" s="131">
        <v>1.0</v>
      </c>
      <c r="G29" s="131">
        <v>0.0</v>
      </c>
      <c r="H29" s="131">
        <v>1.0</v>
      </c>
      <c r="I29" s="131">
        <v>1.0</v>
      </c>
      <c r="J29" s="131">
        <v>1.0</v>
      </c>
      <c r="K29" s="131">
        <v>0.0</v>
      </c>
      <c r="L29" s="131">
        <v>0.0</v>
      </c>
      <c r="M29" s="131">
        <v>0.0</v>
      </c>
      <c r="N29" s="131">
        <v>0.0</v>
      </c>
      <c r="O29" s="131">
        <v>0.5</v>
      </c>
      <c r="P29" s="131">
        <v>0.0</v>
      </c>
      <c r="Q29" s="132" t="s">
        <v>239</v>
      </c>
      <c r="R29" s="119"/>
      <c r="S29" s="119"/>
      <c r="T29" s="120"/>
      <c r="U29" s="120"/>
      <c r="V29" s="120"/>
    </row>
    <row r="30">
      <c r="A30" s="10" t="s">
        <v>26</v>
      </c>
      <c r="B30" s="11">
        <v>45136.0</v>
      </c>
      <c r="C30" s="10">
        <v>1.5</v>
      </c>
      <c r="D30" s="15">
        <v>1.0</v>
      </c>
      <c r="E30" s="15">
        <v>1.0</v>
      </c>
      <c r="F30" s="15">
        <v>1.0</v>
      </c>
      <c r="G30" s="15">
        <v>0.0</v>
      </c>
      <c r="H30" s="15">
        <v>1.0</v>
      </c>
      <c r="I30" s="15">
        <v>1.25</v>
      </c>
      <c r="J30" s="15">
        <v>1.0</v>
      </c>
      <c r="K30" s="15">
        <v>1.0</v>
      </c>
      <c r="L30" s="15">
        <v>0.0</v>
      </c>
      <c r="M30" s="15">
        <v>1.0</v>
      </c>
      <c r="N30" s="15">
        <v>1.0</v>
      </c>
      <c r="O30" s="15">
        <v>0.0</v>
      </c>
      <c r="P30" s="15">
        <v>0.0</v>
      </c>
      <c r="Q30" s="133" t="s">
        <v>240</v>
      </c>
      <c r="R30" s="119"/>
      <c r="S30" s="119"/>
      <c r="T30" s="120"/>
      <c r="U30" s="120"/>
      <c r="V30" s="120"/>
    </row>
    <row r="31">
      <c r="A31" s="10" t="s">
        <v>15</v>
      </c>
      <c r="B31" s="11">
        <v>45137.0</v>
      </c>
      <c r="C31" s="10">
        <v>1.5</v>
      </c>
      <c r="D31" s="15">
        <v>1.0</v>
      </c>
      <c r="E31" s="15">
        <v>1.0</v>
      </c>
      <c r="F31" s="15">
        <v>1.0</v>
      </c>
      <c r="G31" s="15">
        <v>0.0</v>
      </c>
      <c r="H31" s="15">
        <v>1.0</v>
      </c>
      <c r="I31" s="15">
        <v>1.0</v>
      </c>
      <c r="J31" s="15">
        <v>1.0</v>
      </c>
      <c r="K31" s="15">
        <v>1.0</v>
      </c>
      <c r="L31" s="15">
        <v>0.0</v>
      </c>
      <c r="M31" s="15">
        <v>1.0</v>
      </c>
      <c r="N31" s="15">
        <v>1.0</v>
      </c>
      <c r="O31" s="15">
        <v>1.0</v>
      </c>
      <c r="P31" s="15">
        <v>0.0</v>
      </c>
      <c r="Q31" s="133" t="s">
        <v>241</v>
      </c>
      <c r="R31" s="119"/>
      <c r="S31" s="119"/>
      <c r="T31" s="120"/>
      <c r="U31" s="120"/>
      <c r="V31" s="120"/>
    </row>
    <row r="32">
      <c r="A32" s="10" t="s">
        <v>16</v>
      </c>
      <c r="B32" s="11">
        <v>45138.0</v>
      </c>
      <c r="C32" s="10">
        <v>1.0</v>
      </c>
      <c r="D32" s="15">
        <v>1.0</v>
      </c>
      <c r="E32" s="15">
        <v>1.0</v>
      </c>
      <c r="F32" s="15">
        <v>1.0</v>
      </c>
      <c r="G32" s="15">
        <v>0.0</v>
      </c>
      <c r="H32" s="15">
        <v>1.0</v>
      </c>
      <c r="I32" s="15">
        <v>1.0</v>
      </c>
      <c r="J32" s="15">
        <v>1.0</v>
      </c>
      <c r="K32" s="15">
        <v>1.0</v>
      </c>
      <c r="L32" s="15">
        <v>0.0</v>
      </c>
      <c r="M32" s="15">
        <v>1.0</v>
      </c>
      <c r="N32" s="15">
        <v>1.0</v>
      </c>
      <c r="O32" s="15">
        <v>1.0</v>
      </c>
      <c r="P32" s="15">
        <v>0.0</v>
      </c>
      <c r="Q32" s="133" t="s">
        <v>241</v>
      </c>
      <c r="R32" s="119"/>
      <c r="S32" s="119"/>
      <c r="T32" s="120"/>
      <c r="U32" s="120"/>
      <c r="V32" s="120"/>
    </row>
    <row r="33">
      <c r="C33" s="134">
        <f t="shared" ref="C33:P33" si="1">SUM(C2:C32)</f>
        <v>34.75</v>
      </c>
      <c r="D33" s="135">
        <f t="shared" si="1"/>
        <v>31.25</v>
      </c>
      <c r="E33" s="135">
        <f t="shared" si="1"/>
        <v>21.75</v>
      </c>
      <c r="F33" s="135">
        <f t="shared" si="1"/>
        <v>28</v>
      </c>
      <c r="G33" s="135">
        <f t="shared" si="1"/>
        <v>12.15</v>
      </c>
      <c r="H33" s="135">
        <f t="shared" si="1"/>
        <v>29</v>
      </c>
      <c r="I33" s="135">
        <f t="shared" si="1"/>
        <v>29.75</v>
      </c>
      <c r="J33" s="135">
        <f t="shared" si="1"/>
        <v>28.5</v>
      </c>
      <c r="K33" s="135">
        <f t="shared" si="1"/>
        <v>26</v>
      </c>
      <c r="L33" s="135">
        <f t="shared" si="1"/>
        <v>5</v>
      </c>
      <c r="M33" s="135">
        <f t="shared" si="1"/>
        <v>27.75</v>
      </c>
      <c r="N33" s="135">
        <f t="shared" si="1"/>
        <v>21.25</v>
      </c>
      <c r="O33" s="135">
        <f t="shared" si="1"/>
        <v>21.5</v>
      </c>
      <c r="P33" s="135">
        <f t="shared" si="1"/>
        <v>8</v>
      </c>
      <c r="Q33" s="135"/>
      <c r="R33" s="136"/>
      <c r="S33" s="136"/>
    </row>
    <row r="34">
      <c r="C34" s="137">
        <v>1223.0</v>
      </c>
      <c r="D34" s="138">
        <v>1300.0</v>
      </c>
      <c r="E34" s="139">
        <v>1223.0</v>
      </c>
      <c r="F34" s="139">
        <v>1037.0</v>
      </c>
      <c r="G34" s="139">
        <v>1223.0</v>
      </c>
      <c r="H34" s="139">
        <v>1000.0</v>
      </c>
      <c r="I34" s="139">
        <v>1037.0</v>
      </c>
      <c r="J34" s="139">
        <v>1037.0</v>
      </c>
      <c r="K34" s="140">
        <v>1000.0</v>
      </c>
      <c r="L34" s="140">
        <v>1000.0</v>
      </c>
      <c r="M34" s="141">
        <v>1300.0</v>
      </c>
      <c r="N34" s="141">
        <v>1100.0</v>
      </c>
      <c r="O34" s="141">
        <v>926.0</v>
      </c>
      <c r="P34" s="141">
        <v>1100.0</v>
      </c>
      <c r="Q34" s="142"/>
      <c r="R34" s="136"/>
      <c r="S34" s="136"/>
    </row>
    <row r="35">
      <c r="C35" s="143">
        <f>C33*C34</f>
        <v>42499.25</v>
      </c>
      <c r="D35" s="144">
        <f t="shared" ref="D35:L35" si="2">D34*D33</f>
        <v>40625</v>
      </c>
      <c r="E35" s="144">
        <f t="shared" si="2"/>
        <v>26600.25</v>
      </c>
      <c r="F35" s="144">
        <f t="shared" si="2"/>
        <v>29036</v>
      </c>
      <c r="G35" s="144">
        <f t="shared" si="2"/>
        <v>14859.45</v>
      </c>
      <c r="H35" s="144">
        <f t="shared" si="2"/>
        <v>29000</v>
      </c>
      <c r="I35" s="144">
        <f t="shared" si="2"/>
        <v>30850.75</v>
      </c>
      <c r="J35" s="144">
        <f t="shared" si="2"/>
        <v>29554.5</v>
      </c>
      <c r="K35" s="145">
        <f t="shared" si="2"/>
        <v>26000</v>
      </c>
      <c r="L35" s="145">
        <f t="shared" si="2"/>
        <v>5000</v>
      </c>
      <c r="M35" s="145">
        <f t="shared" ref="M35:P35" si="3">M33*M34</f>
        <v>36075</v>
      </c>
      <c r="N35" s="145">
        <f t="shared" si="3"/>
        <v>23375</v>
      </c>
      <c r="O35" s="145">
        <f t="shared" si="3"/>
        <v>19909</v>
      </c>
      <c r="P35" s="145">
        <f t="shared" si="3"/>
        <v>8800</v>
      </c>
      <c r="Q35" s="146">
        <f>SUM(D35:J35)</f>
        <v>200525.95</v>
      </c>
      <c r="R35" s="147"/>
      <c r="S35" s="147"/>
    </row>
    <row r="36">
      <c r="C36" s="147"/>
      <c r="D36" s="147"/>
      <c r="E36" s="148">
        <v>2175.0</v>
      </c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</row>
    <row r="37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63"/>
    <col customWidth="1" min="9" max="9" width="27.38"/>
    <col customWidth="1" min="10" max="10" width="25.38"/>
    <col customWidth="1" min="11" max="11" width="29.13"/>
  </cols>
  <sheetData>
    <row r="1">
      <c r="A1" s="36">
        <v>86000.0</v>
      </c>
    </row>
    <row r="6">
      <c r="G6" s="149"/>
      <c r="H6" s="150" t="s">
        <v>242</v>
      </c>
      <c r="I6" s="150" t="s">
        <v>4</v>
      </c>
      <c r="J6" s="150" t="s">
        <v>243</v>
      </c>
      <c r="K6" s="151" t="s">
        <v>244</v>
      </c>
    </row>
    <row r="7">
      <c r="G7" s="79">
        <v>1.0</v>
      </c>
      <c r="H7" s="39" t="s">
        <v>245</v>
      </c>
      <c r="I7" s="51">
        <v>30000.0</v>
      </c>
      <c r="J7" s="12">
        <v>30000.0</v>
      </c>
      <c r="K7" s="51">
        <f t="shared" ref="K7:K22" si="1">I7-J7</f>
        <v>0</v>
      </c>
      <c r="L7" s="36" t="s">
        <v>246</v>
      </c>
    </row>
    <row r="8">
      <c r="G8" s="79">
        <v>2.0</v>
      </c>
      <c r="H8" s="39" t="s">
        <v>247</v>
      </c>
      <c r="I8" s="51">
        <v>30000.0</v>
      </c>
      <c r="J8" s="12">
        <v>30000.0</v>
      </c>
      <c r="K8" s="51">
        <f t="shared" si="1"/>
        <v>0</v>
      </c>
    </row>
    <row r="9">
      <c r="G9" s="79">
        <v>3.0</v>
      </c>
      <c r="H9" s="39" t="s">
        <v>248</v>
      </c>
      <c r="I9" s="51">
        <f>Pointage!C35*1</f>
        <v>42499.25</v>
      </c>
      <c r="J9" s="12">
        <v>41000.0</v>
      </c>
      <c r="K9" s="51">
        <f t="shared" si="1"/>
        <v>1499.25</v>
      </c>
    </row>
    <row r="10">
      <c r="G10" s="91">
        <v>4.0</v>
      </c>
      <c r="H10" s="39" t="s">
        <v>214</v>
      </c>
      <c r="I10" s="51">
        <f>Pointage!D35*1</f>
        <v>40625</v>
      </c>
      <c r="J10" s="12">
        <v>39000.0</v>
      </c>
      <c r="K10" s="51">
        <f t="shared" si="1"/>
        <v>1625</v>
      </c>
    </row>
    <row r="11">
      <c r="G11" s="91">
        <v>5.0</v>
      </c>
      <c r="H11" s="39" t="s">
        <v>215</v>
      </c>
      <c r="I11" s="51">
        <f>Pointage!E35*1</f>
        <v>26600.25</v>
      </c>
      <c r="J11" s="12">
        <v>25000.0</v>
      </c>
      <c r="K11" s="51">
        <f t="shared" si="1"/>
        <v>1600.25</v>
      </c>
    </row>
    <row r="12">
      <c r="G12" s="91">
        <v>6.0</v>
      </c>
      <c r="H12" s="39" t="s">
        <v>216</v>
      </c>
      <c r="I12" s="51">
        <f>Pointage!F35*1</f>
        <v>29036</v>
      </c>
      <c r="J12" s="12">
        <v>29000.0</v>
      </c>
      <c r="K12" s="51">
        <f t="shared" si="1"/>
        <v>36</v>
      </c>
      <c r="L12" s="36" t="s">
        <v>249</v>
      </c>
    </row>
    <row r="13">
      <c r="G13" s="91">
        <v>7.0</v>
      </c>
      <c r="H13" s="39" t="s">
        <v>217</v>
      </c>
      <c r="I13" s="51">
        <f>Pointage!G35*1</f>
        <v>14859.45</v>
      </c>
      <c r="J13" s="12">
        <v>15000.0</v>
      </c>
      <c r="K13" s="51">
        <f t="shared" si="1"/>
        <v>-140.55</v>
      </c>
    </row>
    <row r="14">
      <c r="G14" s="91">
        <v>8.0</v>
      </c>
      <c r="H14" s="92" t="s">
        <v>218</v>
      </c>
      <c r="I14" s="51">
        <f>Pointage!H35*1</f>
        <v>29000</v>
      </c>
      <c r="J14" s="12">
        <v>29000.0</v>
      </c>
      <c r="K14" s="51">
        <f t="shared" si="1"/>
        <v>0</v>
      </c>
    </row>
    <row r="15">
      <c r="G15" s="91">
        <v>9.0</v>
      </c>
      <c r="H15" s="39" t="s">
        <v>219</v>
      </c>
      <c r="I15" s="51">
        <f>Pointage!I35*1</f>
        <v>30850.75</v>
      </c>
      <c r="J15" s="12">
        <v>31000.0</v>
      </c>
      <c r="K15" s="51">
        <f t="shared" si="1"/>
        <v>-149.25</v>
      </c>
    </row>
    <row r="16">
      <c r="G16" s="91">
        <v>10.0</v>
      </c>
      <c r="H16" s="39" t="s">
        <v>250</v>
      </c>
      <c r="I16" s="51">
        <f>Pointage!J35*1</f>
        <v>29554.5</v>
      </c>
      <c r="J16" s="12">
        <v>30000.0</v>
      </c>
      <c r="K16" s="51">
        <f t="shared" si="1"/>
        <v>-445.5</v>
      </c>
    </row>
    <row r="17">
      <c r="G17" s="91">
        <v>11.0</v>
      </c>
      <c r="H17" s="92" t="s">
        <v>221</v>
      </c>
      <c r="I17" s="51">
        <f>Pointage!K35*1</f>
        <v>26000</v>
      </c>
      <c r="J17" s="12">
        <v>26000.0</v>
      </c>
      <c r="K17" s="51">
        <f t="shared" si="1"/>
        <v>0</v>
      </c>
    </row>
    <row r="18">
      <c r="G18" s="91">
        <v>12.0</v>
      </c>
      <c r="H18" s="39" t="s">
        <v>222</v>
      </c>
      <c r="I18" s="51">
        <f>Pointage!L35*1</f>
        <v>5000</v>
      </c>
      <c r="J18" s="12">
        <v>5000.0</v>
      </c>
      <c r="K18" s="51">
        <f t="shared" si="1"/>
        <v>0</v>
      </c>
    </row>
    <row r="19">
      <c r="G19" s="91">
        <v>13.0</v>
      </c>
      <c r="H19" s="39" t="s">
        <v>223</v>
      </c>
      <c r="I19" s="51">
        <f>Pointage!M35*1</f>
        <v>36075</v>
      </c>
      <c r="J19" s="12">
        <v>34500.0</v>
      </c>
      <c r="K19" s="51">
        <f t="shared" si="1"/>
        <v>1575</v>
      </c>
    </row>
    <row r="20">
      <c r="G20" s="91">
        <v>14.0</v>
      </c>
      <c r="H20" s="92" t="s">
        <v>224</v>
      </c>
      <c r="I20" s="51">
        <f>Pointage!N35*1</f>
        <v>23375</v>
      </c>
      <c r="J20" s="12">
        <v>23500.0</v>
      </c>
      <c r="K20" s="51">
        <f t="shared" si="1"/>
        <v>-125</v>
      </c>
    </row>
    <row r="21">
      <c r="G21" s="91">
        <v>15.0</v>
      </c>
      <c r="H21" s="92" t="s">
        <v>225</v>
      </c>
      <c r="I21" s="51">
        <f>Pointage!O35*1</f>
        <v>19909</v>
      </c>
      <c r="J21" s="12">
        <v>20000.0</v>
      </c>
      <c r="K21" s="51">
        <f t="shared" si="1"/>
        <v>-91</v>
      </c>
    </row>
    <row r="22">
      <c r="G22" s="91">
        <v>16.0</v>
      </c>
      <c r="H22" s="39" t="s">
        <v>226</v>
      </c>
      <c r="I22" s="51">
        <f>Pointage!P35*1</f>
        <v>8800</v>
      </c>
      <c r="J22" s="12">
        <v>9000.0</v>
      </c>
      <c r="K22" s="51">
        <f t="shared" si="1"/>
        <v>-200</v>
      </c>
    </row>
    <row r="23">
      <c r="G23" s="152"/>
      <c r="H23" s="24" t="s">
        <v>251</v>
      </c>
      <c r="I23" s="26">
        <f t="shared" ref="I23:K23" si="2">SUM(I7:I22)</f>
        <v>422184.2</v>
      </c>
      <c r="J23" s="153">
        <f t="shared" si="2"/>
        <v>417000</v>
      </c>
      <c r="K23" s="154">
        <f t="shared" si="2"/>
        <v>5184.2</v>
      </c>
    </row>
    <row r="24">
      <c r="G24" s="152"/>
      <c r="H24" s="155">
        <f>I23-J23</f>
        <v>5184.2</v>
      </c>
      <c r="I24" s="1"/>
      <c r="J24" s="1"/>
      <c r="K24" s="25">
        <f>I24-J24</f>
        <v>0</v>
      </c>
    </row>
    <row r="25">
      <c r="G25" s="22"/>
      <c r="H25" s="22"/>
      <c r="I25" s="22"/>
      <c r="J25" s="22"/>
      <c r="K25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13"/>
    <col customWidth="1" min="8" max="8" width="25.38"/>
    <col customWidth="1" min="9" max="9" width="24.88"/>
    <col customWidth="1" min="10" max="10" width="25.88"/>
    <col customWidth="1" min="11" max="11" width="25.38"/>
    <col customWidth="1" min="12" max="12" width="25.88"/>
    <col customWidth="1" min="13" max="13" width="26.38"/>
  </cols>
  <sheetData>
    <row r="10">
      <c r="G10" s="149"/>
      <c r="H10" s="156" t="s">
        <v>252</v>
      </c>
      <c r="I10" s="156" t="s">
        <v>253</v>
      </c>
      <c r="J10" s="156" t="s">
        <v>254</v>
      </c>
      <c r="K10" s="156" t="s">
        <v>255</v>
      </c>
      <c r="L10" s="156" t="s">
        <v>256</v>
      </c>
      <c r="M10" s="157" t="s">
        <v>257</v>
      </c>
    </row>
    <row r="11">
      <c r="G11" s="158" t="s">
        <v>2</v>
      </c>
      <c r="H11" s="26">
        <v>1400000.0</v>
      </c>
      <c r="I11" s="26">
        <v>1928000.0</v>
      </c>
      <c r="J11" s="26">
        <v>1488000.0</v>
      </c>
      <c r="K11" s="26">
        <v>1540000.0</v>
      </c>
      <c r="L11" s="26">
        <v>1577000.0</v>
      </c>
      <c r="M11" s="26">
        <f>RECAP!D33</f>
        <v>1880000</v>
      </c>
    </row>
    <row r="12">
      <c r="G12" s="158" t="s">
        <v>3</v>
      </c>
      <c r="H12" s="26">
        <v>597000.0</v>
      </c>
      <c r="I12" s="26">
        <v>938000.0</v>
      </c>
      <c r="J12" s="26">
        <v>670000.0</v>
      </c>
      <c r="K12" s="26">
        <v>753000.0</v>
      </c>
      <c r="L12" s="26">
        <v>716000.0</v>
      </c>
      <c r="M12" s="57">
        <v>834000.0</v>
      </c>
    </row>
    <row r="13">
      <c r="G13" s="158" t="s">
        <v>258</v>
      </c>
      <c r="H13" s="26">
        <v>413000.0</v>
      </c>
      <c r="I13" s="26">
        <v>360000.0</v>
      </c>
      <c r="J13" s="26">
        <v>335000.0</v>
      </c>
      <c r="K13" s="26">
        <v>347000.0</v>
      </c>
      <c r="L13" s="26">
        <v>331000.0</v>
      </c>
      <c r="M13" s="57">
        <v>416000.0</v>
      </c>
    </row>
    <row r="14">
      <c r="G14" s="158" t="s">
        <v>5</v>
      </c>
      <c r="H14" s="26">
        <v>110000.0</v>
      </c>
      <c r="I14" s="26">
        <v>110000.0</v>
      </c>
      <c r="J14" s="26">
        <v>110000.0</v>
      </c>
      <c r="K14" s="26">
        <v>110000.0</v>
      </c>
      <c r="L14" s="26">
        <v>110000.0</v>
      </c>
      <c r="M14" s="26">
        <v>110000.0</v>
      </c>
    </row>
    <row r="15">
      <c r="G15" s="158" t="s">
        <v>259</v>
      </c>
      <c r="H15" s="26">
        <v>280000.0</v>
      </c>
      <c r="I15" s="26">
        <v>520000.0</v>
      </c>
      <c r="J15" s="26">
        <v>370000.0</v>
      </c>
      <c r="K15" s="26">
        <f t="shared" ref="K15:M15" si="1">K11-K12-K13-K14</f>
        <v>330000</v>
      </c>
      <c r="L15" s="26">
        <f t="shared" si="1"/>
        <v>420000</v>
      </c>
      <c r="M15" s="26">
        <f t="shared" si="1"/>
        <v>520000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88"/>
    <col customWidth="1" min="12" max="12" width="26.63"/>
  </cols>
  <sheetData>
    <row r="6">
      <c r="K6" s="159" t="s">
        <v>260</v>
      </c>
      <c r="L6" s="160">
        <v>420000.0</v>
      </c>
    </row>
    <row r="7">
      <c r="K7" s="159" t="s">
        <v>261</v>
      </c>
      <c r="L7" s="160">
        <v>154000.0</v>
      </c>
    </row>
    <row r="8">
      <c r="K8" s="159" t="s">
        <v>262</v>
      </c>
      <c r="L8" s="160">
        <v>75000.0</v>
      </c>
    </row>
    <row r="9">
      <c r="K9" s="159" t="s">
        <v>263</v>
      </c>
      <c r="L9" s="160">
        <v>56000.0</v>
      </c>
    </row>
    <row r="10">
      <c r="K10" s="159" t="s">
        <v>264</v>
      </c>
      <c r="L10" s="160">
        <v>31000.0</v>
      </c>
    </row>
    <row r="11">
      <c r="K11" s="159" t="s">
        <v>265</v>
      </c>
      <c r="L11" s="160">
        <v>34000.0</v>
      </c>
    </row>
    <row r="12">
      <c r="K12" s="161"/>
      <c r="L12" s="162"/>
    </row>
    <row r="13">
      <c r="K13" s="161"/>
      <c r="L13" s="162"/>
    </row>
    <row r="14">
      <c r="K14" s="161"/>
      <c r="L14" s="162"/>
    </row>
    <row r="15">
      <c r="K15" s="161"/>
      <c r="L15" s="162"/>
    </row>
    <row r="16">
      <c r="K16" s="161"/>
      <c r="L16" s="162"/>
    </row>
    <row r="17">
      <c r="K17" s="161"/>
      <c r="L17" s="162"/>
    </row>
    <row r="18">
      <c r="K18" s="161"/>
      <c r="L18" s="162"/>
    </row>
    <row r="19">
      <c r="K19" s="161"/>
      <c r="L19" s="162"/>
    </row>
    <row r="20">
      <c r="K20" s="161"/>
      <c r="L20" s="162">
        <f>L6-L7-L8-L9-L10-L11</f>
        <v>70000</v>
      </c>
    </row>
  </sheetData>
  <drawing r:id="rId1"/>
</worksheet>
</file>