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Salaires 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<sst xmlns="http://schemas.openxmlformats.org/spreadsheetml/2006/main" count="211" uniqueCount="129">
  <si>
    <t>Date</t>
  </si>
  <si>
    <t>Recette</t>
  </si>
  <si>
    <t>Charges</t>
  </si>
  <si>
    <t>Salaire</t>
  </si>
  <si>
    <t>Loyer</t>
  </si>
  <si>
    <t>Net Profit</t>
  </si>
  <si>
    <t>Mardi</t>
  </si>
  <si>
    <t>Mercredi</t>
  </si>
  <si>
    <t>Jeudi</t>
  </si>
  <si>
    <t>Vendredi</t>
  </si>
  <si>
    <t>Samedi</t>
  </si>
  <si>
    <t>Dimanche</t>
  </si>
  <si>
    <t>Lundi</t>
  </si>
  <si>
    <t>TOTAL</t>
  </si>
  <si>
    <t>Produit</t>
  </si>
  <si>
    <t>Quantité</t>
  </si>
  <si>
    <t>Prix</t>
  </si>
  <si>
    <t>Date d'achat</t>
  </si>
  <si>
    <t>Semoule Moyenne Extra Ben Hamadi 10kg</t>
  </si>
  <si>
    <t xml:space="preserve">30 Sachets </t>
  </si>
  <si>
    <t>Margarine Mani</t>
  </si>
  <si>
    <t xml:space="preserve">5 cartons </t>
  </si>
  <si>
    <t>Harissa</t>
  </si>
  <si>
    <t>1 carton</t>
  </si>
  <si>
    <t xml:space="preserve">Levure de bièrre </t>
  </si>
  <si>
    <t>Javel Oz</t>
  </si>
  <si>
    <t xml:space="preserve">1 Bidon 5 litres </t>
  </si>
  <si>
    <t xml:space="preserve">Fromage spéciale Pizza </t>
  </si>
  <si>
    <t>6 kg</t>
  </si>
  <si>
    <t>Cheddar</t>
  </si>
  <si>
    <t>1.6 kg</t>
  </si>
  <si>
    <t xml:space="preserve">Lait en poudre </t>
  </si>
  <si>
    <t>2 kg</t>
  </si>
  <si>
    <t xml:space="preserve">savon liquide </t>
  </si>
  <si>
    <t>2.5 litres</t>
  </si>
  <si>
    <t>Gruyère</t>
  </si>
  <si>
    <t>400g</t>
  </si>
  <si>
    <t>Sanouj</t>
  </si>
  <si>
    <t>1 kg</t>
  </si>
  <si>
    <t xml:space="preserve">huile de 10 litres </t>
  </si>
  <si>
    <t xml:space="preserve">10 Bidons </t>
  </si>
  <si>
    <t xml:space="preserve">Bassines </t>
  </si>
  <si>
    <t>3akeri</t>
  </si>
  <si>
    <t>Papier aluminium</t>
  </si>
  <si>
    <t>1 boite</t>
  </si>
  <si>
    <t xml:space="preserve">sac poubelle +sachets de congelation </t>
  </si>
  <si>
    <t xml:space="preserve">les gants </t>
  </si>
  <si>
    <t xml:space="preserve">1 boite </t>
  </si>
  <si>
    <t>bessel</t>
  </si>
  <si>
    <t xml:space="preserve">100kg </t>
  </si>
  <si>
    <t>chedar</t>
  </si>
  <si>
    <t>3 kg</t>
  </si>
  <si>
    <t>Spécial pizza</t>
  </si>
  <si>
    <t>12.8kg</t>
  </si>
  <si>
    <t>boites 40/10 36/7</t>
  </si>
  <si>
    <t xml:space="preserve">4 cartons </t>
  </si>
  <si>
    <t>Goblets</t>
  </si>
  <si>
    <t>vanille</t>
  </si>
  <si>
    <t>/</t>
  </si>
  <si>
    <t>Tomate fraiche</t>
  </si>
  <si>
    <t>30kg</t>
  </si>
  <si>
    <t>cartes visite</t>
  </si>
  <si>
    <t xml:space="preserve">6 boites </t>
  </si>
  <si>
    <t>baghrir</t>
  </si>
  <si>
    <t>gherss</t>
  </si>
  <si>
    <t>40kg</t>
  </si>
  <si>
    <t xml:space="preserve">bessel </t>
  </si>
  <si>
    <t>100kg</t>
  </si>
  <si>
    <t xml:space="preserve">coca 1/2 litre </t>
  </si>
  <si>
    <t>2 fardeaux</t>
  </si>
  <si>
    <t xml:space="preserve">canette coca </t>
  </si>
  <si>
    <t>1 fardeau</t>
  </si>
  <si>
    <t>eau</t>
  </si>
  <si>
    <t>6 fardeaux</t>
  </si>
  <si>
    <t>IFRUIT</t>
  </si>
  <si>
    <t>3 FARDEAUX</t>
  </si>
  <si>
    <t>Aliminium</t>
  </si>
  <si>
    <t>900g</t>
  </si>
  <si>
    <t xml:space="preserve">Bessel </t>
  </si>
  <si>
    <t>sel</t>
  </si>
  <si>
    <t>fardeau</t>
  </si>
  <si>
    <t>Yassir</t>
  </si>
  <si>
    <t>Storme</t>
  </si>
  <si>
    <t>Semoule extra fine Amor Ben Amor</t>
  </si>
  <si>
    <t>4 sachets de 10kg</t>
  </si>
  <si>
    <t xml:space="preserve">Amina Baghrir </t>
  </si>
  <si>
    <t xml:space="preserve">Facture d'eau </t>
  </si>
  <si>
    <t xml:space="preserve">3 mois </t>
  </si>
  <si>
    <t>1.4kg</t>
  </si>
  <si>
    <t xml:space="preserve">Semoule </t>
  </si>
  <si>
    <t>4 sachets de 10 kg</t>
  </si>
  <si>
    <t xml:space="preserve">Tansport </t>
  </si>
  <si>
    <t xml:space="preserve">Boite 36/7+ embalage +eau+pille </t>
  </si>
  <si>
    <t>Robinet+Serrure + clé</t>
  </si>
  <si>
    <t xml:space="preserve">Conception des flyers </t>
  </si>
  <si>
    <t xml:space="preserve">Semoule Amor Ben Amor </t>
  </si>
  <si>
    <t>15 sachets des 10 kg</t>
  </si>
  <si>
    <t xml:space="preserve">na3ena3 yabess </t>
  </si>
  <si>
    <t>500g</t>
  </si>
  <si>
    <t>Détergents</t>
  </si>
  <si>
    <t>Bessel</t>
  </si>
  <si>
    <t>80kg</t>
  </si>
  <si>
    <t>Baghrir</t>
  </si>
  <si>
    <t>herbes</t>
  </si>
  <si>
    <t xml:space="preserve">Somme initiale </t>
  </si>
  <si>
    <t>Rest</t>
  </si>
  <si>
    <t>3333333333333333333333333333333333+++</t>
  </si>
  <si>
    <t>666666666666666666666666666666666--------------------</t>
  </si>
  <si>
    <t>Zehor</t>
  </si>
  <si>
    <t>Malika</t>
  </si>
  <si>
    <t>Souad</t>
  </si>
  <si>
    <t>Ghania</t>
  </si>
  <si>
    <t>Ibtissam</t>
  </si>
  <si>
    <t>Nabila</t>
  </si>
  <si>
    <t>Wahiba</t>
  </si>
  <si>
    <t>Loubna</t>
  </si>
  <si>
    <t>Zahida</t>
  </si>
  <si>
    <t>Remarque</t>
  </si>
  <si>
    <t xml:space="preserve">Reste à payer  </t>
  </si>
  <si>
    <t>Salaire/jour</t>
  </si>
  <si>
    <t>SALAIRES</t>
  </si>
  <si>
    <t xml:space="preserve">Nom </t>
  </si>
  <si>
    <t xml:space="preserve">La Date </t>
  </si>
  <si>
    <t>wahiba</t>
  </si>
  <si>
    <t>Bénifice mois d'Octobre    220000 Da</t>
  </si>
  <si>
    <t xml:space="preserve">Sofiane </t>
  </si>
  <si>
    <t>Amel</t>
  </si>
  <si>
    <t>Saida</t>
  </si>
  <si>
    <t xml:space="preserve">Magasin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</si>
</sst>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/m/yyyy"/>
  </numFmts>
  <fonts count="1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8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4.0"/>
      <color rgb="FFFF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theme="1"/>
      <name val="Arial"/>
      <scheme val="minor"/>
    </font>
    <font>
      <b/>
      <sz val="12.0"/>
      <color rgb="FF0000FF"/>
      <name val="Arial"/>
    </font>
    <font>
      <sz val="12.0"/>
      <color rgb="FF000000"/>
      <name val="Arial"/>
    </font>
    <font>
      <b/>
      <sz val="12.0"/>
      <color rgb="FFFF0000"/>
      <name val="Arial"/>
      <scheme val="minor"/>
    </font>
    <font>
      <b/>
      <sz val="14.0"/>
      <color rgb="FF1C4587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readingOrder="0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3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3" fillId="4" fontId="2" numFmtId="0" xfId="0" applyAlignment="1" applyBorder="1" applyFill="1" applyFont="1">
      <alignment horizontal="center" readingOrder="0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4" fontId="3" numFmtId="3" xfId="0" applyAlignment="1" applyBorder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4" fontId="3" numFmtId="3" xfId="0" applyAlignment="1" applyBorder="1" applyFont="1" applyNumberFormat="1">
      <alignment horizontal="center" vertical="bottom"/>
    </xf>
    <xf borderId="4" fillId="0" fontId="5" numFmtId="165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/>
    </xf>
    <xf borderId="4" fillId="3" fontId="3" numFmtId="164" xfId="0" applyAlignment="1" applyBorder="1" applyFont="1" applyNumberFormat="1">
      <alignment horizontal="center" readingOrder="0" vertical="bottom"/>
    </xf>
    <xf borderId="4" fillId="3" fontId="7" numFmtId="3" xfId="0" applyAlignment="1" applyBorder="1" applyFont="1" applyNumberFormat="1">
      <alignment horizontal="center" readingOrder="0"/>
    </xf>
    <xf borderId="4" fillId="3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4" fillId="5" fontId="7" numFmtId="3" xfId="0" applyAlignment="1" applyBorder="1" applyFill="1" applyFont="1" applyNumberFormat="1">
      <alignment horizontal="center"/>
    </xf>
    <xf borderId="4" fillId="6" fontId="7" numFmtId="3" xfId="0" applyAlignment="1" applyBorder="1" applyFill="1" applyFont="1" applyNumberFormat="1">
      <alignment horizontal="center"/>
    </xf>
    <xf borderId="4" fillId="7" fontId="7" numFmtId="3" xfId="0" applyAlignment="1" applyBorder="1" applyFill="1" applyFont="1" applyNumberFormat="1">
      <alignment horizontal="center"/>
    </xf>
    <xf borderId="4" fillId="4" fontId="7" numFmtId="3" xfId="0" applyAlignment="1" applyBorder="1" applyFont="1" applyNumberFormat="1">
      <alignment horizontal="center" readingOrder="0"/>
    </xf>
    <xf borderId="4" fillId="8" fontId="7" numFmtId="3" xfId="0" applyAlignment="1" applyBorder="1" applyFill="1" applyFont="1" applyNumberFormat="1">
      <alignment horizontal="center"/>
    </xf>
    <xf borderId="0" fillId="0" fontId="9" numFmtId="0" xfId="0" applyAlignment="1" applyFont="1">
      <alignment readingOrder="0"/>
    </xf>
    <xf borderId="4" fillId="5" fontId="10" numFmtId="0" xfId="0" applyAlignment="1" applyBorder="1" applyFont="1">
      <alignment horizontal="center" vertical="bottom"/>
    </xf>
    <xf borderId="2" fillId="5" fontId="10" numFmtId="0" xfId="0" applyAlignment="1" applyBorder="1" applyFont="1">
      <alignment horizontal="center" vertical="bottom"/>
    </xf>
    <xf borderId="4" fillId="0" fontId="5" numFmtId="165" xfId="0" applyAlignment="1" applyBorder="1" applyFont="1" applyNumberFormat="1">
      <alignment horizontal="center" readingOrder="0"/>
    </xf>
    <xf borderId="4" fillId="0" fontId="5" numFmtId="164" xfId="0" applyAlignment="1" applyBorder="1" applyFont="1" applyNumberFormat="1">
      <alignment horizontal="center" readingOrder="0"/>
    </xf>
    <xf borderId="4" fillId="0" fontId="5" numFmtId="166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/>
    </xf>
    <xf borderId="4" fillId="4" fontId="8" numFmtId="0" xfId="0" applyAlignment="1" applyBorder="1" applyFont="1">
      <alignment horizontal="center" readingOrder="0"/>
    </xf>
    <xf borderId="4" fillId="6" fontId="11" numFmtId="165" xfId="0" applyAlignment="1" applyBorder="1" applyFont="1" applyNumberFormat="1">
      <alignment horizontal="center"/>
    </xf>
    <xf borderId="4" fillId="8" fontId="11" numFmtId="165" xfId="0" applyAlignment="1" applyBorder="1" applyFont="1" applyNumberFormat="1">
      <alignment horizontal="center" readingOrder="0"/>
    </xf>
    <xf borderId="4" fillId="5" fontId="11" numFmtId="165" xfId="0" applyAlignment="1" applyBorder="1" applyFont="1" applyNumberFormat="1">
      <alignment horizontal="center"/>
    </xf>
    <xf borderId="0" fillId="0" fontId="5" numFmtId="0" xfId="0" applyFont="1"/>
    <xf borderId="2" fillId="8" fontId="2" numFmtId="0" xfId="0" applyAlignment="1" applyBorder="1" applyFont="1">
      <alignment horizontal="center" vertical="bottom"/>
    </xf>
    <xf borderId="4" fillId="8" fontId="12" numFmtId="0" xfId="0" applyAlignment="1" applyBorder="1" applyFont="1">
      <alignment horizontal="center" vertical="bottom"/>
    </xf>
    <xf borderId="2" fillId="8" fontId="12" numFmtId="0" xfId="0" applyAlignment="1" applyBorder="1" applyFont="1">
      <alignment horizontal="center" readingOrder="0" vertical="bottom"/>
    </xf>
    <xf borderId="2" fillId="8" fontId="12" numFmtId="0" xfId="0" applyAlignment="1" applyBorder="1" applyFont="1">
      <alignment horizontal="center" vertical="bottom"/>
    </xf>
    <xf borderId="4" fillId="5" fontId="11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right" readingOrder="0" vertical="bottom"/>
    </xf>
    <xf borderId="0" fillId="3" fontId="1" numFmtId="0" xfId="0" applyAlignment="1" applyFont="1">
      <alignment vertical="bottom"/>
    </xf>
    <xf borderId="3" fillId="4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vertical="bottom"/>
    </xf>
    <xf borderId="1" fillId="6" fontId="3" numFmtId="0" xfId="0" applyAlignment="1" applyBorder="1" applyFont="1">
      <alignment horizontal="right" vertical="bottom"/>
    </xf>
    <xf borderId="3" fillId="3" fontId="13" numFmtId="0" xfId="0" applyAlignment="1" applyBorder="1" applyFont="1">
      <alignment horizontal="right" readingOrder="0" vertical="bottom"/>
    </xf>
    <xf borderId="1" fillId="3" fontId="13" numFmtId="0" xfId="0" applyAlignment="1" applyBorder="1" applyFont="1">
      <alignment horizontal="right" readingOrder="0" vertical="bottom"/>
    </xf>
    <xf borderId="1" fillId="6" fontId="13" numFmtId="0" xfId="0" applyAlignment="1" applyBorder="1" applyFont="1">
      <alignment horizontal="right" vertical="bottom"/>
    </xf>
    <xf borderId="1" fillId="6" fontId="3" numFmtId="0" xfId="0" applyAlignment="1" applyBorder="1" applyFont="1">
      <alignment horizontal="right" readingOrder="0" vertical="bottom"/>
    </xf>
    <xf borderId="1" fillId="6" fontId="1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right" vertical="bottom"/>
    </xf>
    <xf borderId="4" fillId="5" fontId="8" numFmtId="0" xfId="0" applyAlignment="1" applyBorder="1" applyFont="1">
      <alignment horizontal="center" readingOrder="0"/>
    </xf>
    <xf borderId="4" fillId="5" fontId="14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4" fillId="0" fontId="7" numFmtId="165" xfId="0" applyAlignment="1" applyBorder="1" applyFont="1" applyNumberFormat="1">
      <alignment horizontal="center" readingOrder="0"/>
    </xf>
    <xf borderId="0" fillId="0" fontId="6" numFmtId="165" xfId="0" applyAlignment="1" applyFont="1" applyNumberFormat="1">
      <alignment horizontal="center"/>
    </xf>
    <xf borderId="4" fillId="5" fontId="15" numFmtId="0" xfId="0" applyAlignment="1" applyBorder="1" applyFont="1">
      <alignment horizontal="center" readingOrder="0"/>
    </xf>
    <xf borderId="4" fillId="5" fontId="15" numFmtId="165" xfId="0" applyAlignment="1" applyBorder="1" applyFont="1" applyNumberFormat="1">
      <alignment horizontal="center"/>
    </xf>
    <xf borderId="0" fillId="4" fontId="6" numFmtId="165" xfId="0" applyAlignment="1" applyFont="1" applyNumberFormat="1">
      <alignment horizontal="center"/>
    </xf>
    <xf borderId="4" fillId="0" fontId="11" numFmtId="165" xfId="0" applyAlignment="1" applyBorder="1" applyFont="1" applyNumberFormat="1">
      <alignment horizontal="center" readingOrder="0"/>
    </xf>
    <xf borderId="4" fillId="0" fontId="11" numFmtId="165" xfId="0" applyAlignment="1" applyBorder="1" applyFont="1" applyNumberFormat="1">
      <alignment horizontal="center"/>
    </xf>
    <xf borderId="4" fillId="0" fontId="5" numFmtId="0" xfId="0" applyBorder="1" applyFont="1"/>
    <xf borderId="4" fillId="4" fontId="5" numFmtId="0" xfId="0" applyAlignment="1" applyBorder="1" applyFont="1">
      <alignment horizontal="center" readingOrder="0"/>
    </xf>
    <xf borderId="4" fillId="4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5" numFmtId="165" xfId="0" applyBorder="1" applyFont="1" applyNumberFormat="1"/>
    <xf borderId="4" fillId="5" fontId="4" numFmtId="0" xfId="0" applyAlignment="1" applyBorder="1" applyFont="1">
      <alignment horizontal="center" readingOrder="0"/>
    </xf>
    <xf borderId="4" fillId="5" fontId="4" numFmtId="165" xfId="0" applyBorder="1" applyFont="1" applyNumberFormat="1"/>
    <xf borderId="5" fillId="5" fontId="4" numFmtId="0" xfId="0" applyAlignment="1" applyBorder="1" applyFont="1">
      <alignment horizontal="center" readingOrder="0"/>
    </xf>
    <xf borderId="2" fillId="0" fontId="16" numFmtId="0" xfId="0" applyBorder="1" applyFont="1"/>
    <xf borderId="4" fillId="0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Recette par rapport à 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RECAP!$C$1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RECAP!$A$2:$A$32</c:f>
            </c:strRef>
          </c:cat>
          <c:val>
            <c:numRef>
              <c:f>RECAP!$C$2:$C$32</c:f>
              <c:numCache/>
            </c:numRef>
          </c:val>
        </c:ser>
        <c:axId val="1833005249"/>
        <c:axId val="1016184686"/>
      </c:areaChart>
      <c:catAx>
        <c:axId val="1833005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184686"/>
      </c:catAx>
      <c:valAx>
        <c:axId val="1016184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Recette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005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8143875" cy="538162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6.63"/>
    <col customWidth="1" min="20" max="20" width="18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43739.0</v>
      </c>
      <c r="C2" s="5">
        <v>24000.0</v>
      </c>
      <c r="D2" s="6"/>
      <c r="E2" s="6"/>
      <c r="F2" s="6"/>
      <c r="G2" s="6"/>
    </row>
    <row r="3">
      <c r="A3" s="3" t="s">
        <v>7</v>
      </c>
      <c r="B3" s="4">
        <v>43740.0</v>
      </c>
      <c r="C3" s="5">
        <v>22000.0</v>
      </c>
      <c r="D3" s="6"/>
      <c r="E3" s="6"/>
      <c r="F3" s="6"/>
      <c r="G3" s="6"/>
    </row>
    <row r="4">
      <c r="A4" s="3" t="s">
        <v>8</v>
      </c>
      <c r="B4" s="4">
        <v>43741.0</v>
      </c>
      <c r="C4" s="5">
        <v>30000.0</v>
      </c>
      <c r="D4" s="6"/>
      <c r="E4" s="6"/>
      <c r="F4" s="6"/>
      <c r="G4" s="6"/>
    </row>
    <row r="5">
      <c r="A5" s="7" t="s">
        <v>9</v>
      </c>
      <c r="B5" s="8">
        <v>43742.0</v>
      </c>
      <c r="C5" s="9">
        <v>0.0</v>
      </c>
      <c r="D5" s="10"/>
      <c r="E5" s="10"/>
      <c r="F5" s="10"/>
      <c r="G5" s="10"/>
      <c r="T5" s="11"/>
    </row>
    <row r="6">
      <c r="A6" s="3" t="s">
        <v>10</v>
      </c>
      <c r="B6" s="4">
        <v>43743.0</v>
      </c>
      <c r="C6" s="5">
        <v>15000.0</v>
      </c>
      <c r="D6" s="6"/>
      <c r="E6" s="6"/>
      <c r="F6" s="6"/>
      <c r="G6" s="6"/>
      <c r="T6" s="11"/>
    </row>
    <row r="7">
      <c r="A7" s="3" t="s">
        <v>11</v>
      </c>
      <c r="B7" s="4">
        <v>43744.0</v>
      </c>
      <c r="C7" s="5">
        <v>22000.0</v>
      </c>
      <c r="D7" s="6"/>
      <c r="E7" s="6"/>
      <c r="F7" s="6"/>
      <c r="G7" s="6"/>
      <c r="T7" s="11"/>
    </row>
    <row r="8">
      <c r="A8" s="3" t="s">
        <v>12</v>
      </c>
      <c r="B8" s="4">
        <v>43745.0</v>
      </c>
      <c r="C8" s="5">
        <v>26000.0</v>
      </c>
      <c r="D8" s="6"/>
      <c r="E8" s="6"/>
      <c r="F8" s="6"/>
      <c r="G8" s="6"/>
      <c r="T8" s="12"/>
    </row>
    <row r="9">
      <c r="A9" s="3" t="s">
        <v>6</v>
      </c>
      <c r="B9" s="4">
        <v>43746.0</v>
      </c>
      <c r="C9" s="5">
        <v>19000.0</v>
      </c>
      <c r="D9" s="6"/>
      <c r="E9" s="6"/>
      <c r="F9" s="6"/>
      <c r="G9" s="6"/>
      <c r="T9" s="12"/>
    </row>
    <row r="10">
      <c r="A10" s="3" t="s">
        <v>7</v>
      </c>
      <c r="B10" s="4">
        <v>43747.0</v>
      </c>
      <c r="C10" s="5">
        <v>21000.0</v>
      </c>
      <c r="D10" s="6"/>
      <c r="E10" s="6"/>
      <c r="F10" s="6"/>
      <c r="G10" s="6"/>
      <c r="T10" s="12"/>
    </row>
    <row r="11">
      <c r="A11" s="3" t="s">
        <v>8</v>
      </c>
      <c r="B11" s="4">
        <v>43748.0</v>
      </c>
      <c r="C11" s="5">
        <v>21000.0</v>
      </c>
      <c r="D11" s="6"/>
      <c r="E11" s="6"/>
      <c r="F11" s="6"/>
      <c r="G11" s="6"/>
      <c r="T11" s="12"/>
    </row>
    <row r="12">
      <c r="A12" s="7" t="s">
        <v>9</v>
      </c>
      <c r="B12" s="8">
        <v>43749.0</v>
      </c>
      <c r="C12" s="13">
        <v>0.0</v>
      </c>
      <c r="D12" s="10"/>
      <c r="E12" s="10"/>
      <c r="F12" s="10"/>
      <c r="G12" s="10"/>
      <c r="T12" s="12"/>
    </row>
    <row r="13">
      <c r="A13" s="3" t="s">
        <v>10</v>
      </c>
      <c r="B13" s="4">
        <v>43750.0</v>
      </c>
      <c r="C13" s="5">
        <v>18000.0</v>
      </c>
      <c r="D13" s="6"/>
      <c r="E13" s="6"/>
      <c r="F13" s="6"/>
      <c r="G13" s="6"/>
      <c r="T13" s="12"/>
    </row>
    <row r="14">
      <c r="A14" s="3" t="s">
        <v>11</v>
      </c>
      <c r="B14" s="4">
        <v>43751.0</v>
      </c>
      <c r="C14" s="5">
        <v>23000.0</v>
      </c>
      <c r="D14" s="6"/>
      <c r="E14" s="6"/>
      <c r="F14" s="6"/>
      <c r="G14" s="6"/>
      <c r="T14" s="12"/>
    </row>
    <row r="15">
      <c r="A15" s="3" t="s">
        <v>12</v>
      </c>
      <c r="B15" s="4">
        <v>43752.0</v>
      </c>
      <c r="C15" s="5">
        <v>16000.0</v>
      </c>
      <c r="D15" s="6"/>
      <c r="E15" s="6"/>
      <c r="F15" s="6"/>
      <c r="G15" s="6"/>
      <c r="T15" s="12"/>
    </row>
    <row r="16">
      <c r="A16" s="3" t="s">
        <v>6</v>
      </c>
      <c r="B16" s="4">
        <v>43753.0</v>
      </c>
      <c r="C16" s="5">
        <v>21000.0</v>
      </c>
      <c r="D16" s="6"/>
      <c r="E16" s="6"/>
      <c r="F16" s="6"/>
      <c r="G16" s="6"/>
      <c r="T16" s="12"/>
    </row>
    <row r="17">
      <c r="A17" s="3" t="s">
        <v>7</v>
      </c>
      <c r="B17" s="4">
        <v>43754.0</v>
      </c>
      <c r="C17" s="5">
        <v>20000.0</v>
      </c>
      <c r="D17" s="6"/>
      <c r="E17" s="6"/>
      <c r="F17" s="6"/>
      <c r="G17" s="6"/>
      <c r="T17" s="12"/>
    </row>
    <row r="18">
      <c r="A18" s="3" t="s">
        <v>8</v>
      </c>
      <c r="B18" s="4">
        <v>43755.0</v>
      </c>
      <c r="C18" s="5">
        <v>32000.0</v>
      </c>
      <c r="D18" s="6"/>
      <c r="E18" s="6"/>
      <c r="F18" s="6"/>
      <c r="G18" s="6"/>
      <c r="T18" s="12"/>
    </row>
    <row r="19">
      <c r="A19" s="7" t="s">
        <v>9</v>
      </c>
      <c r="B19" s="8">
        <v>43756.0</v>
      </c>
      <c r="C19" s="9">
        <v>0.0</v>
      </c>
      <c r="D19" s="10"/>
      <c r="E19" s="10"/>
      <c r="F19" s="10"/>
      <c r="G19" s="10"/>
    </row>
    <row r="20">
      <c r="A20" s="3" t="s">
        <v>10</v>
      </c>
      <c r="B20" s="4">
        <v>43757.0</v>
      </c>
      <c r="C20" s="5">
        <v>18500.0</v>
      </c>
      <c r="D20" s="6"/>
      <c r="E20" s="6"/>
      <c r="F20" s="6"/>
      <c r="G20" s="6"/>
    </row>
    <row r="21">
      <c r="A21" s="3" t="s">
        <v>11</v>
      </c>
      <c r="B21" s="4">
        <v>43758.0</v>
      </c>
      <c r="C21" s="5">
        <v>16500.0</v>
      </c>
      <c r="D21" s="6"/>
      <c r="E21" s="6"/>
      <c r="F21" s="6"/>
      <c r="G21" s="6"/>
    </row>
    <row r="22">
      <c r="A22" s="3" t="s">
        <v>12</v>
      </c>
      <c r="B22" s="4">
        <v>43759.0</v>
      </c>
      <c r="C22" s="5">
        <v>19000.0</v>
      </c>
      <c r="D22" s="6"/>
      <c r="E22" s="6"/>
      <c r="F22" s="6"/>
      <c r="G22" s="6"/>
    </row>
    <row r="23">
      <c r="A23" s="3" t="s">
        <v>6</v>
      </c>
      <c r="B23" s="4">
        <v>43760.0</v>
      </c>
      <c r="C23" s="5">
        <v>24000.0</v>
      </c>
      <c r="D23" s="6"/>
      <c r="E23" s="6"/>
      <c r="F23" s="6"/>
      <c r="G23" s="6"/>
    </row>
    <row r="24">
      <c r="A24" s="3" t="s">
        <v>7</v>
      </c>
      <c r="B24" s="4">
        <v>43761.0</v>
      </c>
      <c r="C24" s="5">
        <v>21000.0</v>
      </c>
      <c r="D24" s="6"/>
      <c r="E24" s="6"/>
      <c r="F24" s="6"/>
      <c r="G24" s="6"/>
    </row>
    <row r="25">
      <c r="A25" s="3" t="s">
        <v>8</v>
      </c>
      <c r="B25" s="4">
        <v>43762.0</v>
      </c>
      <c r="C25" s="5">
        <v>22000.0</v>
      </c>
      <c r="D25" s="6"/>
      <c r="E25" s="6"/>
      <c r="F25" s="6"/>
      <c r="G25" s="6"/>
    </row>
    <row r="26">
      <c r="A26" s="7" t="s">
        <v>9</v>
      </c>
      <c r="B26" s="8">
        <v>43763.0</v>
      </c>
      <c r="C26" s="13">
        <v>0.0</v>
      </c>
      <c r="D26" s="10"/>
      <c r="E26" s="10"/>
      <c r="F26" s="10"/>
      <c r="G26" s="10"/>
    </row>
    <row r="27">
      <c r="A27" s="3" t="s">
        <v>10</v>
      </c>
      <c r="B27" s="4">
        <v>43764.0</v>
      </c>
      <c r="C27" s="5">
        <v>29000.0</v>
      </c>
      <c r="D27" s="6"/>
      <c r="E27" s="6"/>
      <c r="F27" s="6"/>
      <c r="G27" s="6"/>
    </row>
    <row r="28">
      <c r="A28" s="3" t="s">
        <v>11</v>
      </c>
      <c r="B28" s="4">
        <v>43765.0</v>
      </c>
      <c r="C28" s="5">
        <v>14000.0</v>
      </c>
      <c r="D28" s="6"/>
      <c r="E28" s="6"/>
      <c r="F28" s="6"/>
      <c r="G28" s="6"/>
    </row>
    <row r="29">
      <c r="A29" s="3" t="s">
        <v>12</v>
      </c>
      <c r="B29" s="4">
        <v>43766.0</v>
      </c>
      <c r="C29" s="5">
        <v>18000.0</v>
      </c>
      <c r="D29" s="6"/>
      <c r="E29" s="6"/>
      <c r="F29" s="6"/>
      <c r="G29" s="6"/>
    </row>
    <row r="30">
      <c r="A30" s="3" t="s">
        <v>6</v>
      </c>
      <c r="B30" s="4">
        <v>43767.0</v>
      </c>
      <c r="C30" s="5">
        <v>27000.0</v>
      </c>
      <c r="D30" s="6"/>
      <c r="E30" s="6"/>
      <c r="F30" s="6"/>
      <c r="G30" s="6"/>
      <c r="R30" s="14">
        <f>C33*1</f>
        <v>584500</v>
      </c>
      <c r="S30" s="15">
        <f>Pointage!C33*1</f>
        <v>27</v>
      </c>
      <c r="T30" s="14">
        <f>R30/S30</f>
        <v>21648.14815</v>
      </c>
    </row>
    <row r="31">
      <c r="A31" s="3" t="s">
        <v>7</v>
      </c>
      <c r="B31" s="4">
        <v>43768.0</v>
      </c>
      <c r="C31" s="5">
        <v>22000.0</v>
      </c>
      <c r="D31" s="6"/>
      <c r="E31" s="6"/>
      <c r="F31" s="6"/>
      <c r="G31" s="6"/>
    </row>
    <row r="32">
      <c r="A32" s="16" t="s">
        <v>8</v>
      </c>
      <c r="B32" s="17">
        <v>43769.0</v>
      </c>
      <c r="C32" s="18">
        <v>23500.0</v>
      </c>
      <c r="D32" s="19"/>
      <c r="E32" s="19"/>
      <c r="F32" s="19"/>
      <c r="G32" s="19"/>
    </row>
    <row r="33">
      <c r="A33" s="20"/>
      <c r="B33" s="21" t="s">
        <v>13</v>
      </c>
      <c r="C33" s="22">
        <f>SUM(C2:C32)</f>
        <v>584500</v>
      </c>
      <c r="D33" s="23">
        <f>'Les Charges '!D58*1</f>
        <v>157460</v>
      </c>
      <c r="E33" s="24">
        <f>Pointage!L35*1</f>
        <v>166994</v>
      </c>
      <c r="F33" s="25">
        <v>40000.0</v>
      </c>
      <c r="G33" s="26">
        <f>C33-D33-E33-F33</f>
        <v>220046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3" max="3" width="25.13"/>
    <col customWidth="1" min="5" max="5" width="20.25"/>
  </cols>
  <sheetData>
    <row r="1">
      <c r="A1" s="27">
        <v>6.0</v>
      </c>
    </row>
    <row r="2">
      <c r="B2" s="28" t="s">
        <v>14</v>
      </c>
      <c r="C2" s="29" t="s">
        <v>15</v>
      </c>
      <c r="D2" s="29" t="s">
        <v>16</v>
      </c>
      <c r="E2" s="29" t="s">
        <v>17</v>
      </c>
    </row>
    <row r="3">
      <c r="B3" s="15" t="s">
        <v>18</v>
      </c>
      <c r="C3" s="15" t="s">
        <v>19</v>
      </c>
      <c r="D3" s="30">
        <v>17100.0</v>
      </c>
      <c r="E3" s="31">
        <v>43739.0</v>
      </c>
    </row>
    <row r="4">
      <c r="B4" s="15" t="s">
        <v>20</v>
      </c>
      <c r="C4" s="15" t="s">
        <v>21</v>
      </c>
      <c r="D4" s="30">
        <v>13800.0</v>
      </c>
      <c r="E4" s="31">
        <v>43739.0</v>
      </c>
    </row>
    <row r="5">
      <c r="B5" s="15" t="s">
        <v>22</v>
      </c>
      <c r="C5" s="15" t="s">
        <v>23</v>
      </c>
      <c r="D5" s="30">
        <v>2640.0</v>
      </c>
      <c r="E5" s="31">
        <v>43739.0</v>
      </c>
    </row>
    <row r="6">
      <c r="B6" s="15" t="s">
        <v>24</v>
      </c>
      <c r="C6" s="15" t="s">
        <v>23</v>
      </c>
      <c r="D6" s="30">
        <v>4800.0</v>
      </c>
      <c r="E6" s="31">
        <v>43739.0</v>
      </c>
    </row>
    <row r="7">
      <c r="B7" s="15" t="s">
        <v>25</v>
      </c>
      <c r="C7" s="15" t="s">
        <v>26</v>
      </c>
      <c r="D7" s="30">
        <v>280.0</v>
      </c>
      <c r="E7" s="31">
        <v>43739.0</v>
      </c>
    </row>
    <row r="8">
      <c r="B8" s="15" t="s">
        <v>27</v>
      </c>
      <c r="C8" s="15" t="s">
        <v>28</v>
      </c>
      <c r="D8" s="30">
        <v>1500.0</v>
      </c>
      <c r="E8" s="31">
        <v>43739.0</v>
      </c>
    </row>
    <row r="9">
      <c r="B9" s="15" t="s">
        <v>29</v>
      </c>
      <c r="C9" s="15" t="s">
        <v>30</v>
      </c>
      <c r="D9" s="30">
        <v>1850.0</v>
      </c>
      <c r="E9" s="31">
        <v>43739.0</v>
      </c>
    </row>
    <row r="10">
      <c r="B10" s="15" t="s">
        <v>31</v>
      </c>
      <c r="C10" s="15" t="s">
        <v>32</v>
      </c>
      <c r="D10" s="30">
        <v>1400.0</v>
      </c>
      <c r="E10" s="31">
        <v>43739.0</v>
      </c>
    </row>
    <row r="11">
      <c r="B11" s="15" t="s">
        <v>33</v>
      </c>
      <c r="C11" s="15" t="s">
        <v>34</v>
      </c>
      <c r="D11" s="30">
        <v>500.0</v>
      </c>
      <c r="E11" s="31">
        <v>43739.0</v>
      </c>
    </row>
    <row r="12">
      <c r="B12" s="15" t="s">
        <v>35</v>
      </c>
      <c r="C12" s="15" t="s">
        <v>36</v>
      </c>
      <c r="D12" s="30">
        <v>580.0</v>
      </c>
      <c r="E12" s="31">
        <v>43739.0</v>
      </c>
    </row>
    <row r="13">
      <c r="B13" s="15" t="s">
        <v>37</v>
      </c>
      <c r="C13" s="15" t="s">
        <v>38</v>
      </c>
      <c r="D13" s="30">
        <v>700.0</v>
      </c>
      <c r="E13" s="31">
        <v>43739.0</v>
      </c>
    </row>
    <row r="14">
      <c r="B14" s="15" t="s">
        <v>39</v>
      </c>
      <c r="C14" s="15" t="s">
        <v>40</v>
      </c>
      <c r="D14" s="30">
        <v>10550.0</v>
      </c>
      <c r="E14" s="31">
        <v>43741.0</v>
      </c>
    </row>
    <row r="15">
      <c r="B15" s="15" t="s">
        <v>35</v>
      </c>
      <c r="C15" s="15" t="s">
        <v>30</v>
      </c>
      <c r="D15" s="30">
        <v>1900.0</v>
      </c>
      <c r="E15" s="31">
        <v>43743.0</v>
      </c>
    </row>
    <row r="16">
      <c r="B16" s="15" t="s">
        <v>41</v>
      </c>
      <c r="C16" s="15">
        <v>2.0</v>
      </c>
      <c r="D16" s="30">
        <v>500.0</v>
      </c>
      <c r="E16" s="31">
        <v>43743.0</v>
      </c>
    </row>
    <row r="17">
      <c r="B17" s="15" t="s">
        <v>42</v>
      </c>
      <c r="C17" s="15" t="s">
        <v>38</v>
      </c>
      <c r="D17" s="30">
        <v>950.0</v>
      </c>
      <c r="E17" s="31">
        <v>43743.0</v>
      </c>
    </row>
    <row r="18">
      <c r="B18" s="15" t="s">
        <v>43</v>
      </c>
      <c r="C18" s="15" t="s">
        <v>44</v>
      </c>
      <c r="D18" s="30">
        <v>900.0</v>
      </c>
      <c r="E18" s="31">
        <v>43743.0</v>
      </c>
    </row>
    <row r="19">
      <c r="B19" s="15" t="s">
        <v>45</v>
      </c>
      <c r="C19" s="15">
        <v>4.0</v>
      </c>
      <c r="D19" s="30">
        <v>500.0</v>
      </c>
      <c r="E19" s="31">
        <v>43743.0</v>
      </c>
    </row>
    <row r="20">
      <c r="B20" s="15" t="s">
        <v>46</v>
      </c>
      <c r="C20" s="15" t="s">
        <v>47</v>
      </c>
      <c r="D20" s="30">
        <v>780.0</v>
      </c>
      <c r="E20" s="31">
        <v>43744.0</v>
      </c>
    </row>
    <row r="21">
      <c r="B21" s="15" t="s">
        <v>48</v>
      </c>
      <c r="C21" s="15" t="s">
        <v>49</v>
      </c>
      <c r="D21" s="30">
        <v>2500.0</v>
      </c>
      <c r="E21" s="31">
        <v>43744.0</v>
      </c>
    </row>
    <row r="22">
      <c r="B22" s="15" t="s">
        <v>50</v>
      </c>
      <c r="C22" s="15" t="s">
        <v>51</v>
      </c>
      <c r="D22" s="30">
        <v>3600.0</v>
      </c>
      <c r="E22" s="31">
        <v>43746.0</v>
      </c>
    </row>
    <row r="23">
      <c r="B23" s="15" t="s">
        <v>52</v>
      </c>
      <c r="C23" s="15" t="s">
        <v>53</v>
      </c>
      <c r="D23" s="30">
        <v>3200.0</v>
      </c>
      <c r="E23" s="31">
        <v>43746.0</v>
      </c>
    </row>
    <row r="24">
      <c r="B24" s="15" t="s">
        <v>54</v>
      </c>
      <c r="C24" s="15" t="s">
        <v>55</v>
      </c>
      <c r="D24" s="30">
        <v>4500.0</v>
      </c>
      <c r="E24" s="31">
        <v>43746.0</v>
      </c>
    </row>
    <row r="25">
      <c r="B25" s="15" t="s">
        <v>56</v>
      </c>
      <c r="C25" s="15">
        <v>150.0</v>
      </c>
      <c r="D25" s="30">
        <v>2500.0</v>
      </c>
      <c r="E25" s="31">
        <v>43746.0</v>
      </c>
    </row>
    <row r="26">
      <c r="B26" s="15" t="s">
        <v>57</v>
      </c>
      <c r="C26" s="15" t="s">
        <v>58</v>
      </c>
      <c r="D26" s="30">
        <v>100.0</v>
      </c>
      <c r="E26" s="31">
        <v>43746.0</v>
      </c>
    </row>
    <row r="27">
      <c r="B27" s="15" t="s">
        <v>59</v>
      </c>
      <c r="C27" s="15" t="s">
        <v>60</v>
      </c>
      <c r="D27" s="30">
        <v>1800.0</v>
      </c>
      <c r="E27" s="31">
        <v>43746.0</v>
      </c>
    </row>
    <row r="28">
      <c r="B28" s="15" t="s">
        <v>61</v>
      </c>
      <c r="C28" s="15" t="s">
        <v>62</v>
      </c>
      <c r="D28" s="30">
        <v>7200.0</v>
      </c>
      <c r="E28" s="32">
        <v>43748.0</v>
      </c>
    </row>
    <row r="29">
      <c r="B29" s="15" t="s">
        <v>63</v>
      </c>
      <c r="C29" s="33"/>
      <c r="D29" s="30">
        <v>6000.0</v>
      </c>
      <c r="E29" s="32">
        <v>43750.0</v>
      </c>
    </row>
    <row r="30">
      <c r="B30" s="15" t="s">
        <v>64</v>
      </c>
      <c r="C30" s="15" t="s">
        <v>65</v>
      </c>
      <c r="D30" s="30">
        <v>6800.0</v>
      </c>
      <c r="E30" s="32">
        <v>43750.0</v>
      </c>
    </row>
    <row r="31">
      <c r="B31" s="15" t="s">
        <v>66</v>
      </c>
      <c r="C31" s="15" t="s">
        <v>67</v>
      </c>
      <c r="D31" s="30">
        <v>2500.0</v>
      </c>
      <c r="E31" s="32">
        <v>43751.0</v>
      </c>
    </row>
    <row r="32">
      <c r="B32" s="15" t="s">
        <v>68</v>
      </c>
      <c r="C32" s="15" t="s">
        <v>69</v>
      </c>
      <c r="D32" s="30">
        <v>1300.0</v>
      </c>
      <c r="E32" s="32">
        <v>43755.0</v>
      </c>
    </row>
    <row r="33">
      <c r="B33" s="15" t="s">
        <v>70</v>
      </c>
      <c r="C33" s="15" t="s">
        <v>71</v>
      </c>
      <c r="D33" s="30">
        <v>1500.0</v>
      </c>
      <c r="E33" s="32">
        <v>43755.0</v>
      </c>
    </row>
    <row r="34">
      <c r="B34" s="15" t="s">
        <v>72</v>
      </c>
      <c r="C34" s="15" t="s">
        <v>73</v>
      </c>
      <c r="D34" s="30">
        <v>1080.0</v>
      </c>
      <c r="E34" s="32">
        <v>43755.0</v>
      </c>
    </row>
    <row r="35">
      <c r="B35" s="15" t="s">
        <v>74</v>
      </c>
      <c r="C35" s="15" t="s">
        <v>75</v>
      </c>
      <c r="D35" s="30">
        <v>1650.0</v>
      </c>
      <c r="E35" s="32">
        <v>43755.0</v>
      </c>
    </row>
    <row r="36">
      <c r="B36" s="15" t="s">
        <v>76</v>
      </c>
      <c r="C36" s="15">
        <v>1.0</v>
      </c>
      <c r="D36" s="30">
        <v>850.0</v>
      </c>
      <c r="E36" s="32">
        <v>43755.0</v>
      </c>
    </row>
    <row r="37">
      <c r="B37" s="15" t="s">
        <v>35</v>
      </c>
      <c r="C37" s="15" t="s">
        <v>77</v>
      </c>
      <c r="D37" s="30">
        <v>1300.0</v>
      </c>
      <c r="E37" s="32">
        <v>43755.0</v>
      </c>
    </row>
    <row r="38">
      <c r="B38" s="15" t="s">
        <v>78</v>
      </c>
      <c r="C38" s="15" t="s">
        <v>67</v>
      </c>
      <c r="D38" s="30">
        <v>2500.0</v>
      </c>
      <c r="E38" s="32">
        <v>43758.0</v>
      </c>
    </row>
    <row r="39">
      <c r="B39" s="15" t="s">
        <v>79</v>
      </c>
      <c r="C39" s="15" t="s">
        <v>80</v>
      </c>
      <c r="D39" s="30">
        <v>350.0</v>
      </c>
      <c r="E39" s="32">
        <v>43759.0</v>
      </c>
    </row>
    <row r="40">
      <c r="B40" s="15" t="s">
        <v>81</v>
      </c>
      <c r="C40" s="15" t="s">
        <v>58</v>
      </c>
      <c r="D40" s="30">
        <v>1000.0</v>
      </c>
      <c r="E40" s="32">
        <v>43759.0</v>
      </c>
    </row>
    <row r="41">
      <c r="B41" s="15" t="s">
        <v>82</v>
      </c>
      <c r="C41" s="15" t="s">
        <v>58</v>
      </c>
      <c r="D41" s="30">
        <v>1000.0</v>
      </c>
      <c r="E41" s="32">
        <v>43759.0</v>
      </c>
    </row>
    <row r="42">
      <c r="B42" s="15" t="s">
        <v>83</v>
      </c>
      <c r="C42" s="15" t="s">
        <v>84</v>
      </c>
      <c r="D42" s="30">
        <v>2500.0</v>
      </c>
      <c r="E42" s="32">
        <v>43758.0</v>
      </c>
    </row>
    <row r="43">
      <c r="B43" s="15" t="s">
        <v>85</v>
      </c>
      <c r="C43" s="33"/>
      <c r="D43" s="30">
        <v>5200.0</v>
      </c>
      <c r="E43" s="32">
        <v>43759.0</v>
      </c>
    </row>
    <row r="44">
      <c r="B44" s="15" t="s">
        <v>86</v>
      </c>
      <c r="C44" s="15" t="s">
        <v>87</v>
      </c>
      <c r="D44" s="30">
        <v>3400.0</v>
      </c>
      <c r="E44" s="32">
        <v>43760.0</v>
      </c>
    </row>
    <row r="45">
      <c r="B45" s="15" t="s">
        <v>35</v>
      </c>
      <c r="C45" s="15" t="s">
        <v>88</v>
      </c>
      <c r="D45" s="30">
        <v>1900.0</v>
      </c>
      <c r="E45" s="32">
        <v>43760.0</v>
      </c>
    </row>
    <row r="46">
      <c r="B46" s="15" t="s">
        <v>89</v>
      </c>
      <c r="C46" s="15" t="s">
        <v>90</v>
      </c>
      <c r="D46" s="30">
        <v>2400.0</v>
      </c>
      <c r="E46" s="32">
        <v>43760.0</v>
      </c>
    </row>
    <row r="47">
      <c r="B47" s="15" t="s">
        <v>91</v>
      </c>
      <c r="C47" s="15">
        <v>1.0</v>
      </c>
      <c r="D47" s="30">
        <v>500.0</v>
      </c>
      <c r="E47" s="32">
        <v>43760.0</v>
      </c>
    </row>
    <row r="48">
      <c r="B48" s="15" t="s">
        <v>92</v>
      </c>
      <c r="C48" s="15" t="s">
        <v>58</v>
      </c>
      <c r="D48" s="30">
        <v>2000.0</v>
      </c>
      <c r="E48" s="32">
        <v>43761.0</v>
      </c>
    </row>
    <row r="49">
      <c r="B49" s="15" t="s">
        <v>93</v>
      </c>
      <c r="C49" s="15" t="s">
        <v>58</v>
      </c>
      <c r="D49" s="30">
        <v>4000.0</v>
      </c>
      <c r="E49" s="32">
        <v>43761.0</v>
      </c>
    </row>
    <row r="50">
      <c r="B50" s="15" t="s">
        <v>94</v>
      </c>
      <c r="C50" s="15" t="s">
        <v>58</v>
      </c>
      <c r="D50" s="30">
        <v>6000.0</v>
      </c>
      <c r="E50" s="32">
        <v>43761.0</v>
      </c>
    </row>
    <row r="51">
      <c r="B51" s="15" t="s">
        <v>95</v>
      </c>
      <c r="C51" s="15" t="s">
        <v>96</v>
      </c>
      <c r="D51" s="30">
        <v>7500.0</v>
      </c>
      <c r="E51" s="32">
        <v>43762.0</v>
      </c>
    </row>
    <row r="52">
      <c r="B52" s="15" t="s">
        <v>97</v>
      </c>
      <c r="C52" s="15" t="s">
        <v>98</v>
      </c>
      <c r="D52" s="30">
        <v>500.0</v>
      </c>
      <c r="E52" s="32">
        <v>43762.0</v>
      </c>
    </row>
    <row r="53">
      <c r="B53" s="15" t="s">
        <v>99</v>
      </c>
      <c r="C53" s="15" t="s">
        <v>58</v>
      </c>
      <c r="D53" s="30">
        <v>500.0</v>
      </c>
      <c r="E53" s="32">
        <v>43764.0</v>
      </c>
    </row>
    <row r="54">
      <c r="B54" s="15" t="s">
        <v>100</v>
      </c>
      <c r="C54" s="15" t="s">
        <v>101</v>
      </c>
      <c r="D54" s="30">
        <v>2400.0</v>
      </c>
      <c r="E54" s="32">
        <v>43764.0</v>
      </c>
    </row>
    <row r="55">
      <c r="B55" s="15" t="s">
        <v>102</v>
      </c>
      <c r="C55" s="15" t="s">
        <v>58</v>
      </c>
      <c r="D55" s="30">
        <v>4000.0</v>
      </c>
      <c r="E55" s="32">
        <v>43765.0</v>
      </c>
    </row>
    <row r="56">
      <c r="B56" s="15" t="s">
        <v>103</v>
      </c>
      <c r="C56" s="15" t="s">
        <v>58</v>
      </c>
      <c r="D56" s="30">
        <v>200.0</v>
      </c>
      <c r="E56" s="32">
        <v>43766.0</v>
      </c>
    </row>
    <row r="57">
      <c r="B57" s="33"/>
      <c r="C57" s="33"/>
      <c r="D57" s="30"/>
      <c r="E57" s="33"/>
    </row>
    <row r="58">
      <c r="B58" s="34" t="s">
        <v>13</v>
      </c>
      <c r="C58" s="33"/>
      <c r="D58" s="35">
        <f>SUM(D3:D57)</f>
        <v>157460</v>
      </c>
      <c r="E58" s="33"/>
    </row>
    <row r="59">
      <c r="B59" s="34" t="s">
        <v>104</v>
      </c>
      <c r="C59" s="33"/>
      <c r="D59" s="36">
        <v>80000.0</v>
      </c>
      <c r="E59" s="33"/>
    </row>
    <row r="60">
      <c r="B60" s="34" t="s">
        <v>105</v>
      </c>
      <c r="C60" s="33"/>
      <c r="D60" s="37">
        <f>D59-D58</f>
        <v>-77460</v>
      </c>
      <c r="E60" s="33"/>
    </row>
    <row r="61">
      <c r="B61" s="38"/>
      <c r="C61" s="38"/>
      <c r="D61" s="38"/>
      <c r="E61" s="38"/>
    </row>
    <row r="120">
      <c r="A120" s="27" t="s">
        <v>106</v>
      </c>
    </row>
    <row r="136">
      <c r="A136" s="27" t="s">
        <v>107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5.75"/>
    <col customWidth="1" min="13" max="13" width="27.5"/>
  </cols>
  <sheetData>
    <row r="1">
      <c r="A1" s="1"/>
      <c r="B1" s="39" t="s">
        <v>0</v>
      </c>
      <c r="C1" s="40" t="s">
        <v>108</v>
      </c>
      <c r="D1" s="41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  <c r="I1" s="41" t="s">
        <v>114</v>
      </c>
      <c r="J1" s="41" t="s">
        <v>115</v>
      </c>
      <c r="K1" s="42" t="s">
        <v>116</v>
      </c>
      <c r="L1" s="28" t="s">
        <v>117</v>
      </c>
      <c r="M1" s="43" t="s">
        <v>118</v>
      </c>
    </row>
    <row r="2">
      <c r="A2" s="3" t="s">
        <v>6</v>
      </c>
      <c r="B2" s="4">
        <v>43739.0</v>
      </c>
      <c r="C2" s="44">
        <v>1.0</v>
      </c>
      <c r="D2" s="45">
        <v>0.0</v>
      </c>
      <c r="E2" s="45">
        <v>1.0</v>
      </c>
      <c r="F2" s="45">
        <v>0.0</v>
      </c>
      <c r="G2" s="45">
        <v>1.0</v>
      </c>
      <c r="H2" s="45">
        <v>1.0</v>
      </c>
      <c r="I2" s="45">
        <v>0.0</v>
      </c>
      <c r="J2" s="45">
        <v>0.0</v>
      </c>
      <c r="K2" s="45">
        <v>1.0</v>
      </c>
      <c r="L2" s="46"/>
    </row>
    <row r="3">
      <c r="A3" s="3" t="s">
        <v>7</v>
      </c>
      <c r="B3" s="4">
        <v>43740.0</v>
      </c>
      <c r="C3" s="44">
        <v>1.0</v>
      </c>
      <c r="D3" s="45">
        <v>0.0</v>
      </c>
      <c r="E3" s="45">
        <v>1.0</v>
      </c>
      <c r="F3" s="45">
        <v>1.0</v>
      </c>
      <c r="G3" s="45">
        <v>1.0</v>
      </c>
      <c r="H3" s="45">
        <v>1.0</v>
      </c>
      <c r="I3" s="45">
        <v>0.0</v>
      </c>
      <c r="J3" s="45">
        <v>0.0</v>
      </c>
      <c r="K3" s="45">
        <v>1.0</v>
      </c>
      <c r="L3" s="46"/>
    </row>
    <row r="4">
      <c r="A4" s="3" t="s">
        <v>8</v>
      </c>
      <c r="B4" s="4">
        <v>43741.0</v>
      </c>
      <c r="C4" s="44">
        <v>1.0</v>
      </c>
      <c r="D4" s="45">
        <v>0.0</v>
      </c>
      <c r="E4" s="45">
        <v>1.0</v>
      </c>
      <c r="F4" s="45">
        <v>1.0</v>
      </c>
      <c r="G4" s="45">
        <v>1.0</v>
      </c>
      <c r="H4" s="45">
        <v>1.0</v>
      </c>
      <c r="I4" s="45">
        <v>0.0</v>
      </c>
      <c r="J4" s="45">
        <v>0.0</v>
      </c>
      <c r="K4" s="45">
        <v>1.0</v>
      </c>
      <c r="L4" s="46"/>
    </row>
    <row r="5">
      <c r="A5" s="7" t="s">
        <v>9</v>
      </c>
      <c r="B5" s="8">
        <v>43742.0</v>
      </c>
      <c r="C5" s="47">
        <v>0.0</v>
      </c>
      <c r="D5" s="48">
        <v>0.0</v>
      </c>
      <c r="E5" s="48">
        <v>0.0</v>
      </c>
      <c r="F5" s="49">
        <v>0.0</v>
      </c>
      <c r="G5" s="50">
        <v>0.0</v>
      </c>
      <c r="H5" s="49">
        <v>0.0</v>
      </c>
      <c r="I5" s="48">
        <v>0.0</v>
      </c>
      <c r="J5" s="48">
        <v>0.0</v>
      </c>
      <c r="K5" s="49">
        <v>0.0</v>
      </c>
      <c r="L5" s="46"/>
    </row>
    <row r="6">
      <c r="A6" s="3" t="s">
        <v>10</v>
      </c>
      <c r="B6" s="4">
        <v>43743.0</v>
      </c>
      <c r="C6" s="44">
        <v>1.0</v>
      </c>
      <c r="D6" s="45">
        <v>0.0</v>
      </c>
      <c r="E6" s="45">
        <v>1.0</v>
      </c>
      <c r="F6" s="45">
        <v>1.0</v>
      </c>
      <c r="G6" s="50">
        <v>0.0</v>
      </c>
      <c r="H6" s="45">
        <v>1.0</v>
      </c>
      <c r="I6" s="45">
        <v>0.0</v>
      </c>
      <c r="J6" s="45">
        <v>0.0</v>
      </c>
      <c r="K6" s="45">
        <v>1.0</v>
      </c>
      <c r="L6" s="46"/>
    </row>
    <row r="7">
      <c r="A7" s="3" t="s">
        <v>11</v>
      </c>
      <c r="B7" s="4">
        <v>43744.0</v>
      </c>
      <c r="C7" s="44">
        <v>1.0</v>
      </c>
      <c r="D7" s="45">
        <v>0.0</v>
      </c>
      <c r="E7" s="45">
        <v>1.0</v>
      </c>
      <c r="F7" s="45">
        <v>1.0</v>
      </c>
      <c r="G7" s="50">
        <v>0.0</v>
      </c>
      <c r="H7" s="45">
        <v>1.0</v>
      </c>
      <c r="I7" s="45">
        <v>0.0</v>
      </c>
      <c r="J7" s="45">
        <v>0.0</v>
      </c>
      <c r="K7" s="45">
        <v>1.0</v>
      </c>
      <c r="L7" s="46"/>
    </row>
    <row r="8">
      <c r="A8" s="3" t="s">
        <v>12</v>
      </c>
      <c r="B8" s="4">
        <v>43745.0</v>
      </c>
      <c r="C8" s="44">
        <v>1.0</v>
      </c>
      <c r="D8" s="45">
        <v>1.0</v>
      </c>
      <c r="E8" s="45">
        <v>1.0</v>
      </c>
      <c r="F8" s="45">
        <v>1.0</v>
      </c>
      <c r="G8" s="50">
        <v>0.0</v>
      </c>
      <c r="H8" s="45">
        <v>1.0</v>
      </c>
      <c r="I8" s="45">
        <v>0.0</v>
      </c>
      <c r="J8" s="45">
        <v>0.0</v>
      </c>
      <c r="K8" s="45">
        <v>1.0</v>
      </c>
      <c r="L8" s="46"/>
    </row>
    <row r="9">
      <c r="A9" s="3" t="s">
        <v>6</v>
      </c>
      <c r="B9" s="4">
        <v>43746.0</v>
      </c>
      <c r="C9" s="51">
        <v>1.0</v>
      </c>
      <c r="D9" s="52">
        <v>1.0</v>
      </c>
      <c r="E9" s="52">
        <v>1.0</v>
      </c>
      <c r="F9" s="52">
        <v>0.0</v>
      </c>
      <c r="G9" s="53">
        <v>0.0</v>
      </c>
      <c r="H9" s="52">
        <v>0.0</v>
      </c>
      <c r="I9" s="52">
        <v>0.0</v>
      </c>
      <c r="J9" s="52">
        <v>0.0</v>
      </c>
      <c r="K9" s="52">
        <v>0.0</v>
      </c>
      <c r="L9" s="46"/>
    </row>
    <row r="10">
      <c r="A10" s="3" t="s">
        <v>7</v>
      </c>
      <c r="B10" s="4">
        <v>43747.0</v>
      </c>
      <c r="C10" s="44">
        <v>1.0</v>
      </c>
      <c r="D10" s="45">
        <v>1.0</v>
      </c>
      <c r="E10" s="45">
        <v>1.0</v>
      </c>
      <c r="F10" s="45">
        <v>1.0</v>
      </c>
      <c r="G10" s="50">
        <v>0.0</v>
      </c>
      <c r="H10" s="45">
        <v>1.0</v>
      </c>
      <c r="I10" s="45">
        <v>0.0</v>
      </c>
      <c r="J10" s="45">
        <v>0.0</v>
      </c>
      <c r="K10" s="45">
        <v>1.0</v>
      </c>
      <c r="L10" s="46"/>
    </row>
    <row r="11">
      <c r="A11" s="3" t="s">
        <v>8</v>
      </c>
      <c r="B11" s="4">
        <v>43748.0</v>
      </c>
      <c r="C11" s="44">
        <v>1.0</v>
      </c>
      <c r="D11" s="45">
        <v>1.0</v>
      </c>
      <c r="E11" s="45">
        <v>1.0</v>
      </c>
      <c r="F11" s="45">
        <v>1.0</v>
      </c>
      <c r="G11" s="50">
        <v>0.0</v>
      </c>
      <c r="H11" s="45">
        <v>1.0</v>
      </c>
      <c r="I11" s="45">
        <v>0.0</v>
      </c>
      <c r="J11" s="45">
        <v>0.0</v>
      </c>
      <c r="K11" s="45">
        <v>1.0</v>
      </c>
      <c r="L11" s="46"/>
    </row>
    <row r="12">
      <c r="A12" s="7" t="s">
        <v>9</v>
      </c>
      <c r="B12" s="8">
        <v>43749.0</v>
      </c>
      <c r="C12" s="47">
        <v>0.0</v>
      </c>
      <c r="D12" s="48">
        <v>0.0</v>
      </c>
      <c r="E12" s="48">
        <v>0.0</v>
      </c>
      <c r="F12" s="54">
        <v>0.0</v>
      </c>
      <c r="G12" s="50">
        <v>0.0</v>
      </c>
      <c r="H12" s="49">
        <v>0.0</v>
      </c>
      <c r="I12" s="48">
        <v>0.0</v>
      </c>
      <c r="J12" s="48">
        <v>0.0</v>
      </c>
      <c r="K12" s="49">
        <v>0.0</v>
      </c>
      <c r="L12" s="46"/>
    </row>
    <row r="13">
      <c r="A13" s="3" t="s">
        <v>10</v>
      </c>
      <c r="B13" s="4">
        <v>43750.0</v>
      </c>
      <c r="C13" s="44">
        <v>1.0</v>
      </c>
      <c r="D13" s="45">
        <v>1.0</v>
      </c>
      <c r="E13" s="45">
        <v>1.0</v>
      </c>
      <c r="F13" s="54">
        <v>0.0</v>
      </c>
      <c r="G13" s="50">
        <v>0.0</v>
      </c>
      <c r="H13" s="45">
        <v>1.0</v>
      </c>
      <c r="I13" s="45">
        <v>0.0</v>
      </c>
      <c r="J13" s="45">
        <v>0.0</v>
      </c>
      <c r="K13" s="45">
        <v>1.0</v>
      </c>
      <c r="L13" s="46"/>
    </row>
    <row r="14">
      <c r="A14" s="3" t="s">
        <v>11</v>
      </c>
      <c r="B14" s="4">
        <v>43751.0</v>
      </c>
      <c r="C14" s="44">
        <v>1.0</v>
      </c>
      <c r="D14" s="45">
        <v>1.0</v>
      </c>
      <c r="E14" s="45">
        <v>1.0</v>
      </c>
      <c r="F14" s="50">
        <v>0.0</v>
      </c>
      <c r="G14" s="50">
        <v>0.0</v>
      </c>
      <c r="H14" s="45">
        <v>1.0</v>
      </c>
      <c r="I14" s="45">
        <v>0.0</v>
      </c>
      <c r="J14" s="45">
        <v>0.0</v>
      </c>
      <c r="K14" s="45">
        <v>1.0</v>
      </c>
      <c r="L14" s="46"/>
    </row>
    <row r="15">
      <c r="A15" s="3" t="s">
        <v>12</v>
      </c>
      <c r="B15" s="4">
        <v>43752.0</v>
      </c>
      <c r="C15" s="44">
        <v>1.0</v>
      </c>
      <c r="D15" s="45">
        <v>1.0</v>
      </c>
      <c r="E15" s="45">
        <v>0.0</v>
      </c>
      <c r="F15" s="54">
        <v>0.0</v>
      </c>
      <c r="G15" s="50">
        <v>0.0</v>
      </c>
      <c r="H15" s="45">
        <v>1.0</v>
      </c>
      <c r="I15" s="45">
        <v>0.0</v>
      </c>
      <c r="J15" s="45">
        <v>0.0</v>
      </c>
      <c r="K15" s="45">
        <v>1.0</v>
      </c>
      <c r="L15" s="46"/>
    </row>
    <row r="16">
      <c r="A16" s="3" t="s">
        <v>6</v>
      </c>
      <c r="B16" s="4">
        <v>43753.0</v>
      </c>
      <c r="C16" s="51">
        <v>1.0</v>
      </c>
      <c r="D16" s="52">
        <v>1.0</v>
      </c>
      <c r="E16" s="52">
        <v>1.0</v>
      </c>
      <c r="F16" s="55">
        <v>0.0</v>
      </c>
      <c r="G16" s="53">
        <v>0.0</v>
      </c>
      <c r="H16" s="52">
        <v>1.0</v>
      </c>
      <c r="I16" s="52">
        <v>0.0</v>
      </c>
      <c r="J16" s="52">
        <v>0.0</v>
      </c>
      <c r="K16" s="52">
        <v>1.0</v>
      </c>
      <c r="L16" s="46"/>
    </row>
    <row r="17">
      <c r="A17" s="3" t="s">
        <v>7</v>
      </c>
      <c r="B17" s="4">
        <v>43754.0</v>
      </c>
      <c r="C17" s="44">
        <v>1.0</v>
      </c>
      <c r="D17" s="45">
        <v>1.0</v>
      </c>
      <c r="E17" s="45">
        <v>1.0</v>
      </c>
      <c r="F17" s="54">
        <v>0.0</v>
      </c>
      <c r="G17" s="50">
        <v>0.0</v>
      </c>
      <c r="H17" s="45">
        <v>1.0</v>
      </c>
      <c r="I17" s="45">
        <v>0.0</v>
      </c>
      <c r="J17" s="45">
        <v>0.0</v>
      </c>
      <c r="K17" s="45">
        <v>1.0</v>
      </c>
      <c r="L17" s="46"/>
    </row>
    <row r="18">
      <c r="A18" s="3" t="s">
        <v>8</v>
      </c>
      <c r="B18" s="4">
        <v>43755.0</v>
      </c>
      <c r="C18" s="44">
        <v>1.0</v>
      </c>
      <c r="D18" s="45">
        <v>1.0</v>
      </c>
      <c r="E18" s="45">
        <v>1.0</v>
      </c>
      <c r="F18" s="54">
        <v>0.0</v>
      </c>
      <c r="G18" s="54">
        <v>0.0</v>
      </c>
      <c r="H18" s="45">
        <v>1.0</v>
      </c>
      <c r="I18" s="45">
        <v>0.0</v>
      </c>
      <c r="J18" s="45">
        <v>0.0</v>
      </c>
      <c r="K18" s="45">
        <v>1.0</v>
      </c>
      <c r="L18" s="46"/>
    </row>
    <row r="19">
      <c r="A19" s="7" t="s">
        <v>9</v>
      </c>
      <c r="B19" s="8">
        <v>43756.0</v>
      </c>
      <c r="C19" s="47">
        <v>0.0</v>
      </c>
      <c r="D19" s="48">
        <v>0.0</v>
      </c>
      <c r="E19" s="48">
        <v>0.0</v>
      </c>
      <c r="F19" s="54">
        <v>0.0</v>
      </c>
      <c r="G19" s="54">
        <v>0.0</v>
      </c>
      <c r="H19" s="48">
        <v>0.0</v>
      </c>
      <c r="I19" s="48">
        <v>0.0</v>
      </c>
      <c r="J19" s="48">
        <v>0.0</v>
      </c>
      <c r="K19" s="48">
        <v>0.0</v>
      </c>
      <c r="L19" s="46"/>
    </row>
    <row r="20">
      <c r="A20" s="3" t="s">
        <v>10</v>
      </c>
      <c r="B20" s="4">
        <v>43757.0</v>
      </c>
      <c r="C20" s="44">
        <v>1.0</v>
      </c>
      <c r="D20" s="45">
        <v>1.0</v>
      </c>
      <c r="E20" s="45">
        <v>1.0</v>
      </c>
      <c r="F20" s="54">
        <v>0.0</v>
      </c>
      <c r="G20" s="54">
        <v>0.0</v>
      </c>
      <c r="H20" s="45">
        <v>1.0</v>
      </c>
      <c r="I20" s="45">
        <v>0.0</v>
      </c>
      <c r="J20" s="45">
        <v>0.0</v>
      </c>
      <c r="K20" s="45">
        <v>1.0</v>
      </c>
      <c r="L20" s="46"/>
    </row>
    <row r="21">
      <c r="A21" s="3" t="s">
        <v>11</v>
      </c>
      <c r="B21" s="4">
        <v>43758.0</v>
      </c>
      <c r="C21" s="44">
        <v>1.0</v>
      </c>
      <c r="D21" s="45">
        <v>1.0</v>
      </c>
      <c r="E21" s="45">
        <v>1.0</v>
      </c>
      <c r="F21" s="50">
        <v>0.0</v>
      </c>
      <c r="G21" s="54">
        <v>0.0</v>
      </c>
      <c r="H21" s="45">
        <v>1.0</v>
      </c>
      <c r="I21" s="45">
        <v>0.0</v>
      </c>
      <c r="J21" s="45">
        <v>0.0</v>
      </c>
      <c r="K21" s="45">
        <v>1.0</v>
      </c>
      <c r="L21" s="46"/>
    </row>
    <row r="22">
      <c r="A22" s="3" t="s">
        <v>12</v>
      </c>
      <c r="B22" s="4">
        <v>43759.0</v>
      </c>
      <c r="C22" s="44">
        <v>1.0</v>
      </c>
      <c r="D22" s="45">
        <v>1.0</v>
      </c>
      <c r="E22" s="45">
        <v>1.0</v>
      </c>
      <c r="F22" s="54">
        <v>0.0</v>
      </c>
      <c r="G22" s="54">
        <v>0.0</v>
      </c>
      <c r="H22" s="45">
        <v>1.0</v>
      </c>
      <c r="I22" s="45">
        <v>1.0</v>
      </c>
      <c r="J22" s="45">
        <v>0.0</v>
      </c>
      <c r="K22" s="45">
        <v>1.0</v>
      </c>
      <c r="L22" s="46"/>
    </row>
    <row r="23">
      <c r="A23" s="3" t="s">
        <v>6</v>
      </c>
      <c r="B23" s="4">
        <v>43760.0</v>
      </c>
      <c r="C23" s="51">
        <v>1.0</v>
      </c>
      <c r="D23" s="52">
        <v>1.0</v>
      </c>
      <c r="E23" s="52">
        <v>1.0</v>
      </c>
      <c r="F23" s="55">
        <v>0.0</v>
      </c>
      <c r="G23" s="55">
        <v>0.0</v>
      </c>
      <c r="H23" s="52">
        <v>1.0</v>
      </c>
      <c r="I23" s="52">
        <v>1.0</v>
      </c>
      <c r="J23" s="52">
        <v>0.0</v>
      </c>
      <c r="K23" s="52">
        <v>1.0</v>
      </c>
      <c r="L23" s="46"/>
    </row>
    <row r="24">
      <c r="A24" s="3" t="s">
        <v>7</v>
      </c>
      <c r="B24" s="4">
        <v>43761.0</v>
      </c>
      <c r="C24" s="44">
        <v>1.0</v>
      </c>
      <c r="D24" s="45">
        <v>1.0</v>
      </c>
      <c r="E24" s="45">
        <v>1.0</v>
      </c>
      <c r="F24" s="54">
        <v>0.0</v>
      </c>
      <c r="G24" s="54">
        <v>0.0</v>
      </c>
      <c r="H24" s="45">
        <v>1.0</v>
      </c>
      <c r="I24" s="45">
        <v>1.0</v>
      </c>
      <c r="J24" s="45">
        <v>0.0</v>
      </c>
      <c r="K24" s="45">
        <v>1.0</v>
      </c>
      <c r="L24" s="46"/>
    </row>
    <row r="25">
      <c r="A25" s="3" t="s">
        <v>8</v>
      </c>
      <c r="B25" s="4">
        <v>43762.0</v>
      </c>
      <c r="C25" s="44">
        <v>1.0</v>
      </c>
      <c r="D25" s="54">
        <v>0.0</v>
      </c>
      <c r="E25" s="45">
        <v>1.0</v>
      </c>
      <c r="F25" s="54">
        <v>0.0</v>
      </c>
      <c r="G25" s="54">
        <v>0.0</v>
      </c>
      <c r="H25" s="45">
        <v>1.0</v>
      </c>
      <c r="I25" s="45">
        <v>1.0</v>
      </c>
      <c r="J25" s="45">
        <v>0.0</v>
      </c>
      <c r="K25" s="45">
        <v>1.0</v>
      </c>
      <c r="L25" s="46"/>
    </row>
    <row r="26">
      <c r="A26" s="7" t="s">
        <v>9</v>
      </c>
      <c r="B26" s="8">
        <v>43763.0</v>
      </c>
      <c r="C26" s="47">
        <v>0.0</v>
      </c>
      <c r="D26" s="54">
        <v>0.0</v>
      </c>
      <c r="E26" s="48">
        <v>0.0</v>
      </c>
      <c r="F26" s="54">
        <v>0.0</v>
      </c>
      <c r="G26" s="54">
        <v>0.0</v>
      </c>
      <c r="H26" s="48">
        <v>0.0</v>
      </c>
      <c r="I26" s="48">
        <v>0.0</v>
      </c>
      <c r="J26" s="48">
        <v>0.0</v>
      </c>
      <c r="K26" s="48">
        <v>0.0</v>
      </c>
      <c r="L26" s="46"/>
    </row>
    <row r="27">
      <c r="A27" s="3" t="s">
        <v>10</v>
      </c>
      <c r="B27" s="4">
        <v>43764.0</v>
      </c>
      <c r="C27" s="44">
        <v>1.0</v>
      </c>
      <c r="D27" s="54">
        <v>0.0</v>
      </c>
      <c r="E27" s="45">
        <v>1.0</v>
      </c>
      <c r="F27" s="54">
        <v>0.0</v>
      </c>
      <c r="G27" s="54">
        <v>0.0</v>
      </c>
      <c r="H27" s="45">
        <v>1.0</v>
      </c>
      <c r="I27" s="45">
        <v>1.0</v>
      </c>
      <c r="J27" s="45">
        <v>0.0</v>
      </c>
      <c r="K27" s="45">
        <v>1.0</v>
      </c>
      <c r="L27" s="46"/>
    </row>
    <row r="28">
      <c r="A28" s="3" t="s">
        <v>11</v>
      </c>
      <c r="B28" s="4">
        <v>43765.0</v>
      </c>
      <c r="C28" s="44">
        <v>1.0</v>
      </c>
      <c r="D28" s="54">
        <v>0.0</v>
      </c>
      <c r="E28" s="45">
        <v>1.0</v>
      </c>
      <c r="F28" s="50">
        <v>0.0</v>
      </c>
      <c r="G28" s="50">
        <v>0.0</v>
      </c>
      <c r="H28" s="56">
        <v>0.0</v>
      </c>
      <c r="I28" s="45">
        <v>1.0</v>
      </c>
      <c r="J28" s="45">
        <v>0.0</v>
      </c>
      <c r="K28" s="45">
        <v>1.0</v>
      </c>
      <c r="L28" s="46"/>
    </row>
    <row r="29">
      <c r="A29" s="3" t="s">
        <v>12</v>
      </c>
      <c r="B29" s="4">
        <v>43766.0</v>
      </c>
      <c r="C29" s="44">
        <v>1.0</v>
      </c>
      <c r="D29" s="54">
        <v>0.0</v>
      </c>
      <c r="E29" s="45">
        <v>1.0</v>
      </c>
      <c r="F29" s="54">
        <v>0.0</v>
      </c>
      <c r="G29" s="54">
        <v>0.0</v>
      </c>
      <c r="H29" s="45">
        <v>1.0</v>
      </c>
      <c r="I29" s="45">
        <v>1.0</v>
      </c>
      <c r="J29" s="45">
        <v>1.0</v>
      </c>
      <c r="K29" s="45">
        <v>1.0</v>
      </c>
      <c r="L29" s="46"/>
    </row>
    <row r="30">
      <c r="A30" s="3" t="s">
        <v>6</v>
      </c>
      <c r="B30" s="4">
        <v>43767.0</v>
      </c>
      <c r="C30" s="51">
        <v>1.0</v>
      </c>
      <c r="D30" s="55">
        <v>0.0</v>
      </c>
      <c r="E30" s="52">
        <v>1.0</v>
      </c>
      <c r="F30" s="55">
        <v>0.0</v>
      </c>
      <c r="G30" s="55">
        <v>0.0</v>
      </c>
      <c r="H30" s="52">
        <v>1.0</v>
      </c>
      <c r="I30" s="55">
        <v>0.0</v>
      </c>
      <c r="J30" s="52">
        <v>1.0</v>
      </c>
      <c r="K30" s="52">
        <v>1.0</v>
      </c>
      <c r="L30" s="46"/>
    </row>
    <row r="31">
      <c r="A31" s="3" t="s">
        <v>7</v>
      </c>
      <c r="B31" s="4">
        <v>43768.0</v>
      </c>
      <c r="C31" s="44">
        <v>1.0</v>
      </c>
      <c r="D31" s="54">
        <v>0.0</v>
      </c>
      <c r="E31" s="45">
        <v>1.0</v>
      </c>
      <c r="F31" s="54">
        <v>0.0</v>
      </c>
      <c r="G31" s="54">
        <v>0.0</v>
      </c>
      <c r="H31" s="45">
        <v>1.0</v>
      </c>
      <c r="I31" s="54">
        <v>0.0</v>
      </c>
      <c r="J31" s="45">
        <v>1.0</v>
      </c>
      <c r="K31" s="45">
        <v>1.0</v>
      </c>
      <c r="L31" s="46"/>
    </row>
    <row r="32">
      <c r="A32" s="16" t="s">
        <v>8</v>
      </c>
      <c r="B32" s="17">
        <v>43769.0</v>
      </c>
      <c r="C32" s="51">
        <v>1.0</v>
      </c>
      <c r="D32" s="55">
        <v>0.0</v>
      </c>
      <c r="E32" s="52">
        <v>1.0</v>
      </c>
      <c r="F32" s="55">
        <v>0.0</v>
      </c>
      <c r="G32" s="55">
        <v>0.0</v>
      </c>
      <c r="H32" s="52">
        <v>1.0</v>
      </c>
      <c r="I32" s="55">
        <v>0.0</v>
      </c>
      <c r="J32" s="52">
        <v>0.0</v>
      </c>
      <c r="K32" s="52">
        <v>1.0</v>
      </c>
      <c r="L32" s="46"/>
    </row>
    <row r="33">
      <c r="A33" s="20"/>
      <c r="B33" s="57" t="s">
        <v>13</v>
      </c>
      <c r="C33" s="58">
        <f t="shared" ref="C33:K33" si="1">SUM(C2:C32)</f>
        <v>27</v>
      </c>
      <c r="D33" s="58">
        <f t="shared" si="1"/>
        <v>15</v>
      </c>
      <c r="E33" s="58">
        <f t="shared" si="1"/>
        <v>26</v>
      </c>
      <c r="F33" s="58">
        <f t="shared" si="1"/>
        <v>7</v>
      </c>
      <c r="G33" s="58">
        <f t="shared" si="1"/>
        <v>3</v>
      </c>
      <c r="H33" s="58">
        <f t="shared" si="1"/>
        <v>25</v>
      </c>
      <c r="I33" s="58">
        <f t="shared" si="1"/>
        <v>7</v>
      </c>
      <c r="J33" s="58">
        <f t="shared" si="1"/>
        <v>3</v>
      </c>
      <c r="K33" s="58">
        <f t="shared" si="1"/>
        <v>26</v>
      </c>
    </row>
    <row r="34">
      <c r="A34" s="20"/>
      <c r="B34" s="59" t="s">
        <v>119</v>
      </c>
      <c r="C34" s="60">
        <v>1850.0</v>
      </c>
      <c r="D34" s="60">
        <v>1700.0</v>
      </c>
      <c r="E34" s="60">
        <v>1111.0</v>
      </c>
      <c r="F34" s="60">
        <v>740.0</v>
      </c>
      <c r="G34" s="60">
        <v>926.0</v>
      </c>
      <c r="H34" s="60">
        <v>926.0</v>
      </c>
      <c r="I34" s="60">
        <v>555.0</v>
      </c>
      <c r="J34" s="60">
        <v>555.0</v>
      </c>
      <c r="K34" s="60">
        <v>1000.0</v>
      </c>
      <c r="L34" s="61">
        <f t="shared" ref="L34:L35" si="4">SUM(C34:K34)</f>
        <v>9363</v>
      </c>
    </row>
    <row r="35">
      <c r="A35" s="20"/>
      <c r="B35" s="62" t="s">
        <v>120</v>
      </c>
      <c r="C35" s="63">
        <f t="shared" ref="C35:H35" si="2">C33*C34</f>
        <v>49950</v>
      </c>
      <c r="D35" s="63">
        <f t="shared" si="2"/>
        <v>25500</v>
      </c>
      <c r="E35" s="63">
        <f t="shared" si="2"/>
        <v>28886</v>
      </c>
      <c r="F35" s="63">
        <f t="shared" si="2"/>
        <v>5180</v>
      </c>
      <c r="G35" s="63">
        <f t="shared" si="2"/>
        <v>2778</v>
      </c>
      <c r="H35" s="63">
        <f t="shared" si="2"/>
        <v>23150</v>
      </c>
      <c r="I35" s="63">
        <f t="shared" ref="I35:J35" si="3">I34*I33</f>
        <v>3885</v>
      </c>
      <c r="J35" s="63">
        <f t="shared" si="3"/>
        <v>1665</v>
      </c>
      <c r="K35" s="63">
        <f>K33*K34</f>
        <v>26000</v>
      </c>
      <c r="L35" s="35">
        <f t="shared" si="4"/>
        <v>166994</v>
      </c>
      <c r="M35" s="64">
        <f>L35-I35-G35-F35-D35</f>
        <v>129651</v>
      </c>
    </row>
    <row r="37">
      <c r="C37" s="65">
        <v>50000.0</v>
      </c>
      <c r="D37" s="65">
        <v>24000.0</v>
      </c>
      <c r="E37" s="65">
        <v>27600.0</v>
      </c>
      <c r="F37" s="65">
        <v>5200.0</v>
      </c>
      <c r="G37" s="65">
        <v>2800.0</v>
      </c>
      <c r="H37" s="65">
        <v>24000.0</v>
      </c>
      <c r="I37" s="65">
        <v>4000.0</v>
      </c>
      <c r="J37" s="65">
        <v>1700.0</v>
      </c>
      <c r="K37" s="65">
        <v>27000.0</v>
      </c>
      <c r="L37" s="66">
        <f>SUM(C37:K37)</f>
        <v>166300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  <col customWidth="1" min="5" max="5" width="6.63"/>
    <col customWidth="1" min="6" max="6" width="22.0"/>
    <col customWidth="1" min="7" max="7" width="26.25"/>
    <col customWidth="1" min="8" max="8" width="25.63"/>
  </cols>
  <sheetData>
    <row r="3">
      <c r="E3" s="67"/>
      <c r="F3" s="68" t="s">
        <v>121</v>
      </c>
      <c r="G3" s="69" t="s">
        <v>3</v>
      </c>
      <c r="H3" s="68" t="s">
        <v>122</v>
      </c>
    </row>
    <row r="4">
      <c r="E4" s="70">
        <v>1.0</v>
      </c>
      <c r="F4" s="15" t="s">
        <v>108</v>
      </c>
      <c r="G4" s="71">
        <f>Pointage!C35*1</f>
        <v>49950</v>
      </c>
      <c r="H4" s="33"/>
    </row>
    <row r="5">
      <c r="E5" s="70">
        <v>2.0</v>
      </c>
      <c r="F5" s="15" t="s">
        <v>109</v>
      </c>
      <c r="G5" s="71">
        <f>Pointage!D35*1</f>
        <v>25500</v>
      </c>
      <c r="H5" s="31">
        <v>43745.0</v>
      </c>
    </row>
    <row r="6">
      <c r="E6" s="70">
        <v>3.0</v>
      </c>
      <c r="F6" s="15" t="s">
        <v>110</v>
      </c>
      <c r="G6" s="71">
        <f>Pointage!E35*1</f>
        <v>28886</v>
      </c>
      <c r="H6" s="33"/>
    </row>
    <row r="7">
      <c r="E7" s="70">
        <v>4.0</v>
      </c>
      <c r="F7" s="15" t="s">
        <v>112</v>
      </c>
      <c r="G7" s="71">
        <f>Pointage!G35*1</f>
        <v>2778</v>
      </c>
      <c r="H7" s="33"/>
    </row>
    <row r="8">
      <c r="E8" s="70">
        <v>5.0</v>
      </c>
      <c r="F8" s="15" t="s">
        <v>113</v>
      </c>
      <c r="G8" s="71">
        <f>Pointage!H35*1</f>
        <v>23150</v>
      </c>
      <c r="H8" s="33"/>
    </row>
    <row r="9">
      <c r="E9" s="70">
        <v>6.0</v>
      </c>
      <c r="F9" s="15" t="s">
        <v>111</v>
      </c>
      <c r="G9" s="71">
        <f>Pointage!F35*1</f>
        <v>5180</v>
      </c>
      <c r="H9" s="33"/>
    </row>
    <row r="10">
      <c r="E10" s="70">
        <v>7.0</v>
      </c>
      <c r="F10" s="15" t="s">
        <v>123</v>
      </c>
      <c r="G10" s="71">
        <f>Pointage!I35*1</f>
        <v>3885</v>
      </c>
      <c r="H10" s="32">
        <v>43759.0</v>
      </c>
    </row>
    <row r="11">
      <c r="E11" s="70">
        <v>8.0</v>
      </c>
      <c r="F11" s="15" t="s">
        <v>116</v>
      </c>
      <c r="G11" s="71">
        <f>Pointage!K35*1</f>
        <v>26000</v>
      </c>
      <c r="H11" s="33"/>
    </row>
    <row r="12">
      <c r="F12" s="72" t="s">
        <v>13</v>
      </c>
      <c r="G12" s="73">
        <f>SUM(G4:G11)</f>
        <v>165329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6.25"/>
    <col customWidth="1" min="10" max="10" width="25.25"/>
  </cols>
  <sheetData>
    <row r="3" ht="36.0" customHeight="1">
      <c r="I3" s="74" t="s">
        <v>124</v>
      </c>
      <c r="J3" s="75"/>
    </row>
    <row r="4">
      <c r="I4" s="76" t="s">
        <v>125</v>
      </c>
      <c r="J4" s="30">
        <v>55000.0</v>
      </c>
    </row>
    <row r="5">
      <c r="I5" s="76" t="s">
        <v>126</v>
      </c>
      <c r="J5" s="30">
        <v>55000.0</v>
      </c>
    </row>
    <row r="6">
      <c r="I6" s="76" t="s">
        <v>127</v>
      </c>
      <c r="J6" s="30">
        <v>55000.0</v>
      </c>
    </row>
    <row r="7">
      <c r="I7" s="76" t="s">
        <v>128</v>
      </c>
      <c r="J7" s="30">
        <v>55000.0</v>
      </c>
    </row>
  </sheetData>
  <mergeCells count="1">
    <mergeCell ref="I3:J3"/>
  </mergeCells>
  <drawing r:id="rId1"/>
</worksheet>
</file>