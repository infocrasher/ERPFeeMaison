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Feuille 5" sheetId="4" r:id="rId7"/>
    <sheet state="visible" name="Salaires" sheetId="5" r:id="rId8"/>
    <sheet state="visible" name="Compta du 23 au 29" sheetId="6" r:id="rId9"/>
    <sheet state="visible" name="Feuille 7" sheetId="7" r:id="rId10"/>
    <sheet state="visible" name="Feuille 8" sheetId="8" r:id="rId11"/>
  </sheets>
  <definedNames/>
  <calcPr/>
</workbook>
</file>

<file path=xl/sharedStrings.xml><?xml version="1.0" encoding="utf-8"?>
<sst xmlns="http://schemas.openxmlformats.org/spreadsheetml/2006/main" count="967" uniqueCount="447">
  <si>
    <t>Date</t>
  </si>
  <si>
    <t>Recette Octobre 2024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</si>
  <si>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</si>
  <si>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</si>
  <si>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</si>
  <si>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</si>
  <si>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</si>
  <si>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</si>
  <si>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</si>
  <si>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</si>
  <si>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de Septembre  2024</t>
  </si>
  <si>
    <t>vendredi</t>
  </si>
  <si>
    <t>samedi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</si>
  <si>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</si>
  <si>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</si>
  <si>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</si>
  <si>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</si>
  <si>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dimanche</t>
  </si>
  <si>
    <t>lundi</t>
  </si>
  <si>
    <t>mardi</t>
  </si>
  <si>
    <t xml:space="preserve">Moyenne des charges par jour </t>
  </si>
  <si>
    <t xml:space="preserve">Objectif </t>
  </si>
  <si>
    <t>mercredi</t>
  </si>
  <si>
    <t>jeudi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</si>
  <si>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</si>
  <si>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</si>
  <si>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</si>
  <si>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</si>
  <si>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</si>
  <si>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</si>
  <si>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</si>
  <si>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Bénéfice Sept + loyer </t>
  </si>
  <si>
    <t xml:space="preserve">Cash réel : </t>
  </si>
  <si>
    <t>Sofiane : 4300Da</t>
  </si>
  <si>
    <t xml:space="preserve">Le reste du paiement CNASet pénalité  pour mois de Décembre </t>
  </si>
  <si>
    <t>Différence mois d'Aout</t>
  </si>
  <si>
    <t xml:space="preserve">la vraie caisse:       17000DA                  </t>
  </si>
  <si>
    <t>Porte Monnie Magasin:  21000</t>
  </si>
  <si>
    <t xml:space="preserve">Différence objectif </t>
  </si>
  <si>
    <t>réparation Tabouna</t>
  </si>
  <si>
    <t>Torchons</t>
  </si>
  <si>
    <t xml:space="preserve">Différence du Totale </t>
  </si>
  <si>
    <t>poelle</t>
  </si>
  <si>
    <t>Achoire</t>
  </si>
  <si>
    <t xml:space="preserve">Les vendredis </t>
  </si>
  <si>
    <t xml:space="preserve">Cash chez Sofiane </t>
  </si>
  <si>
    <t>Les étagères pour locale</t>
  </si>
  <si>
    <t>rest à payer</t>
  </si>
  <si>
    <t>-</t>
  </si>
  <si>
    <t>Colonne 1</t>
  </si>
  <si>
    <t>Nadjet</t>
  </si>
  <si>
    <t>N/J</t>
  </si>
  <si>
    <t>Yasmine</t>
  </si>
  <si>
    <t>Column 18</t>
  </si>
  <si>
    <t xml:space="preserve">Saida </t>
  </si>
  <si>
    <t>Column 20</t>
  </si>
  <si>
    <t>Ahlem</t>
  </si>
  <si>
    <t>Column 21</t>
  </si>
  <si>
    <t>Nour ElHouda</t>
  </si>
  <si>
    <t>Column 22</t>
  </si>
  <si>
    <t>Amina</t>
  </si>
  <si>
    <t>Column 23</t>
  </si>
  <si>
    <t>Selma</t>
  </si>
  <si>
    <t>Column 24</t>
  </si>
  <si>
    <t>Zohra</t>
  </si>
  <si>
    <t>Column 25</t>
  </si>
  <si>
    <t xml:space="preserve">Nora </t>
  </si>
  <si>
    <t>Column 26</t>
  </si>
  <si>
    <t>Ikram</t>
  </si>
  <si>
    <t>Column 27</t>
  </si>
  <si>
    <t xml:space="preserve">Rayan </t>
  </si>
  <si>
    <t>Column 28</t>
  </si>
  <si>
    <t>Karima</t>
  </si>
  <si>
    <t>Column 29</t>
  </si>
  <si>
    <t>Sihem</t>
  </si>
  <si>
    <t>Column 30</t>
  </si>
  <si>
    <t>Fatiha</t>
  </si>
  <si>
    <t>Column 31</t>
  </si>
  <si>
    <t>Remarque</t>
  </si>
  <si>
    <t>Salaire/Jour</t>
  </si>
  <si>
    <t xml:space="preserve">Dimanche </t>
  </si>
  <si>
    <t>Lundi</t>
  </si>
  <si>
    <t>Mardi</t>
  </si>
  <si>
    <t>Mercredi</t>
  </si>
  <si>
    <t>Jeudi</t>
  </si>
  <si>
    <t>Vendredi</t>
  </si>
  <si>
    <t xml:space="preserve">Samedi </t>
  </si>
  <si>
    <t>Dimanche</t>
  </si>
  <si>
    <t xml:space="preserve">Commande de Dar ElBidha </t>
  </si>
  <si>
    <t>Samedi</t>
  </si>
  <si>
    <t>m</t>
  </si>
  <si>
    <t xml:space="preserve">Over Time </t>
  </si>
  <si>
    <t>Produit</t>
  </si>
  <si>
    <t>Quantité</t>
  </si>
  <si>
    <t xml:space="preserve">Prix unitaire </t>
  </si>
  <si>
    <t>Prix</t>
  </si>
  <si>
    <t>Date d'achat</t>
  </si>
  <si>
    <t>Semoule Moyenne 25kg</t>
  </si>
  <si>
    <t xml:space="preserve">Semoule Fine 25kg </t>
  </si>
  <si>
    <t xml:space="preserve">Semoule Fine Sosimie 10kg </t>
  </si>
  <si>
    <t xml:space="preserve">Semoule Fine 5 kg </t>
  </si>
  <si>
    <t>semoule Fine  Moula 10kg</t>
  </si>
  <si>
    <t>Levure boulangère</t>
  </si>
  <si>
    <t>levure chimique</t>
  </si>
  <si>
    <t>margarine Fleuriel 500g</t>
  </si>
  <si>
    <t xml:space="preserve">Harrissa 1kg </t>
  </si>
  <si>
    <t>Tomate conserve 1kg</t>
  </si>
  <si>
    <t>huile 5 litre</t>
  </si>
  <si>
    <t>terida</t>
  </si>
  <si>
    <t>felfel deriss</t>
  </si>
  <si>
    <t>3akeri</t>
  </si>
  <si>
    <t>eau minirale 0,5</t>
  </si>
  <si>
    <t>eau mineral 1,5 litre</t>
  </si>
  <si>
    <t xml:space="preserve">canette coca  </t>
  </si>
  <si>
    <t>jus tchina 33cl</t>
  </si>
  <si>
    <t>canette tchina</t>
  </si>
  <si>
    <t xml:space="preserve">Canette Fanta </t>
  </si>
  <si>
    <t>7abet halawa</t>
  </si>
  <si>
    <t>Maiis</t>
  </si>
  <si>
    <t>Gherss 1kg</t>
  </si>
  <si>
    <t>sucre cristalisé 1kg</t>
  </si>
  <si>
    <t>sucre glace  700g</t>
  </si>
  <si>
    <t>Chocolat wedjedane au lait</t>
  </si>
  <si>
    <t>Chocolat wedjedane noir</t>
  </si>
  <si>
    <t>chocolat wedjedane noisette</t>
  </si>
  <si>
    <t xml:space="preserve">chocolat wedjdane Blanc </t>
  </si>
  <si>
    <t>Farine SIM 1kg</t>
  </si>
  <si>
    <t>cacao</t>
  </si>
  <si>
    <t xml:space="preserve">Fromage slices </t>
  </si>
  <si>
    <t xml:space="preserve">crème liquide </t>
  </si>
  <si>
    <t>fromage blanc 1,5</t>
  </si>
  <si>
    <t>Fromage Bidon 3,8kg</t>
  </si>
  <si>
    <t>cheddar</t>
  </si>
  <si>
    <t>thon 1kg</t>
  </si>
  <si>
    <t>Oeuf</t>
  </si>
  <si>
    <t xml:space="preserve">Amande blanc </t>
  </si>
  <si>
    <t xml:space="preserve">Amande moulu </t>
  </si>
  <si>
    <t>Tofia caramel 2kg</t>
  </si>
  <si>
    <t>Optella  10kg</t>
  </si>
  <si>
    <t>Viande hachée</t>
  </si>
  <si>
    <t>Blanc de poulet</t>
  </si>
  <si>
    <t xml:space="preserve">éscalope de poulet </t>
  </si>
  <si>
    <t>poulet haché</t>
  </si>
  <si>
    <t>Farine Sousimie 5kg</t>
  </si>
  <si>
    <t>Confiture</t>
  </si>
  <si>
    <t>Semen Madina 1,8kg</t>
  </si>
  <si>
    <t>riz Basmati</t>
  </si>
  <si>
    <t>Noix</t>
  </si>
  <si>
    <t>couscous</t>
  </si>
  <si>
    <t xml:space="preserve">menth seche </t>
  </si>
  <si>
    <t xml:space="preserve">épice fromage </t>
  </si>
  <si>
    <t>olive dényauté</t>
  </si>
  <si>
    <t>olive éfillé</t>
  </si>
  <si>
    <t>pain tacos 10 pièces dans chaque</t>
  </si>
  <si>
    <t xml:space="preserve">fromage spéciale pizza </t>
  </si>
  <si>
    <t>ail</t>
  </si>
  <si>
    <t>Maa zehar</t>
  </si>
  <si>
    <t>sanoudj</t>
  </si>
  <si>
    <t>Semoule Grosse 2kg</t>
  </si>
  <si>
    <t>miel 5kg</t>
  </si>
  <si>
    <t>cerise confit</t>
  </si>
  <si>
    <t>épice poulet</t>
  </si>
  <si>
    <t>semoule Moula moyenne 10kg</t>
  </si>
  <si>
    <t>deyoul</t>
  </si>
  <si>
    <t>bessel</t>
  </si>
  <si>
    <t>gingembre</t>
  </si>
  <si>
    <t>ail en poudre</t>
  </si>
  <si>
    <t>thym</t>
  </si>
  <si>
    <t xml:space="preserve">carotte </t>
  </si>
  <si>
    <t xml:space="preserve">concombre </t>
  </si>
  <si>
    <t xml:space="preserve">poivre  </t>
  </si>
  <si>
    <t>Tomate fraiche</t>
  </si>
  <si>
    <t>citron</t>
  </si>
  <si>
    <t>salade</t>
  </si>
  <si>
    <t>persil</t>
  </si>
  <si>
    <t>coriandre</t>
  </si>
  <si>
    <t>menth frais</t>
  </si>
  <si>
    <t>rechta</t>
  </si>
  <si>
    <t>oeufs</t>
  </si>
  <si>
    <t>ferik</t>
  </si>
  <si>
    <t>hamissa</t>
  </si>
  <si>
    <t>épice choreba</t>
  </si>
  <si>
    <t>rasse elhanout</t>
  </si>
  <si>
    <t>boite 1000cc</t>
  </si>
  <si>
    <t>demie blanc</t>
  </si>
  <si>
    <t>demie cuisses</t>
  </si>
  <si>
    <t>barquettes 1320</t>
  </si>
  <si>
    <t>Boite pour sauce</t>
  </si>
  <si>
    <t>viande hachée</t>
  </si>
  <si>
    <t>viande d'agneau</t>
  </si>
  <si>
    <t>olive noir</t>
  </si>
  <si>
    <t xml:space="preserve">bétrave pour salade </t>
  </si>
  <si>
    <t>mélange olive</t>
  </si>
  <si>
    <t xml:space="preserve">champignon </t>
  </si>
  <si>
    <t>maiis</t>
  </si>
  <si>
    <t xml:space="preserve">les rubons </t>
  </si>
  <si>
    <t>célophane</t>
  </si>
  <si>
    <t>yassir yasmine</t>
  </si>
  <si>
    <t xml:space="preserve">Manutention semoule </t>
  </si>
  <si>
    <t>metelou3</t>
  </si>
  <si>
    <t>isis</t>
  </si>
  <si>
    <t>sel</t>
  </si>
  <si>
    <t xml:space="preserve">rechta </t>
  </si>
  <si>
    <t>livraison idir</t>
  </si>
  <si>
    <t>Djeldjelane</t>
  </si>
  <si>
    <t>menthe</t>
  </si>
  <si>
    <t>storm magasin</t>
  </si>
  <si>
    <t>7abet 7alawa</t>
  </si>
  <si>
    <t>olive éffilé</t>
  </si>
  <si>
    <t>épinards</t>
  </si>
  <si>
    <t>Farine 1kg</t>
  </si>
  <si>
    <t>Yassir Houda</t>
  </si>
  <si>
    <t>livraison Nakkach</t>
  </si>
  <si>
    <t xml:space="preserve">poivre </t>
  </si>
  <si>
    <t>torechi</t>
  </si>
  <si>
    <t>arachide</t>
  </si>
  <si>
    <t>Lait en poudre 1kg</t>
  </si>
  <si>
    <t>Semoule moyenne  5kg</t>
  </si>
  <si>
    <t>Canette Coca Cola 24cl</t>
  </si>
  <si>
    <t xml:space="preserve">Canette Schweps </t>
  </si>
  <si>
    <t xml:space="preserve">Canettes Sprit </t>
  </si>
  <si>
    <t>Canette IZEM</t>
  </si>
  <si>
    <t xml:space="preserve">Farine 25kg </t>
  </si>
  <si>
    <t>tomate fraiche</t>
  </si>
  <si>
    <t>soda Hamoud 25 cl</t>
  </si>
  <si>
    <t>Semoul moyenne Moula 10kg</t>
  </si>
  <si>
    <t>Semoule Grosse Moula 10kg</t>
  </si>
  <si>
    <t>Deyoul</t>
  </si>
  <si>
    <t>Demie cuisses</t>
  </si>
  <si>
    <t>légumes couscous</t>
  </si>
  <si>
    <t>Hamissa</t>
  </si>
  <si>
    <t>Flitox</t>
  </si>
  <si>
    <t>Bessel</t>
  </si>
  <si>
    <t xml:space="preserve">sauce fromage </t>
  </si>
  <si>
    <t>sauce tomate</t>
  </si>
  <si>
    <t>Werd chouche</t>
  </si>
  <si>
    <t>pistache</t>
  </si>
  <si>
    <t>Yasmine Yassir</t>
  </si>
  <si>
    <t>papier aluminium</t>
  </si>
  <si>
    <t>Netoyage vitre</t>
  </si>
  <si>
    <t>Tomate conserve</t>
  </si>
  <si>
    <t>plateau oeufs</t>
  </si>
  <si>
    <t>Thon 2kg</t>
  </si>
  <si>
    <t>Harrissa</t>
  </si>
  <si>
    <t>Sucre cristalisé</t>
  </si>
  <si>
    <t>sac poubelle</t>
  </si>
  <si>
    <t>isis 2 litres</t>
  </si>
  <si>
    <t>Farine 5kg</t>
  </si>
  <si>
    <t>Livraison Rechta</t>
  </si>
  <si>
    <t>Thym</t>
  </si>
  <si>
    <t>persil coriandre</t>
  </si>
  <si>
    <t>Salade</t>
  </si>
  <si>
    <t>Sac croissant Num 24</t>
  </si>
  <si>
    <t xml:space="preserve">Sachets transparent </t>
  </si>
  <si>
    <t>Sachets de congélation</t>
  </si>
  <si>
    <t>Rechta</t>
  </si>
  <si>
    <t>Javel Sidhom 2 l</t>
  </si>
  <si>
    <t>Bingo</t>
  </si>
  <si>
    <t>isis 1 litre</t>
  </si>
  <si>
    <t>Jus Tchina 33 cl</t>
  </si>
  <si>
    <t xml:space="preserve">Boite 14 litres </t>
  </si>
  <si>
    <t xml:space="preserve">Torechi </t>
  </si>
  <si>
    <t xml:space="preserve">Poivre </t>
  </si>
  <si>
    <t>caroote</t>
  </si>
  <si>
    <t xml:space="preserve">Courgette </t>
  </si>
  <si>
    <t>Tomate cerise</t>
  </si>
  <si>
    <t xml:space="preserve">Coriandre  </t>
  </si>
  <si>
    <t>menth</t>
  </si>
  <si>
    <t>celerie</t>
  </si>
  <si>
    <t>kerwia</t>
  </si>
  <si>
    <t>corcumin</t>
  </si>
  <si>
    <t>Transport marchandise</t>
  </si>
  <si>
    <t>Boite leben</t>
  </si>
  <si>
    <t>Glucose</t>
  </si>
  <si>
    <t>Boite motif</t>
  </si>
  <si>
    <t>Chantlly en poudre</t>
  </si>
  <si>
    <t>Viande morceaux</t>
  </si>
  <si>
    <t>sachets blanc 5kg</t>
  </si>
  <si>
    <t>La croix</t>
  </si>
  <si>
    <t>carotte</t>
  </si>
  <si>
    <t>concombre</t>
  </si>
  <si>
    <t>haricot vert</t>
  </si>
  <si>
    <t>olive</t>
  </si>
  <si>
    <t>paté fromage</t>
  </si>
  <si>
    <t>pate</t>
  </si>
  <si>
    <t>camembert</t>
  </si>
  <si>
    <t>barquettes double compartiment</t>
  </si>
  <si>
    <t>piques</t>
  </si>
  <si>
    <t>Yassir Selma</t>
  </si>
  <si>
    <t>pomme de terre</t>
  </si>
  <si>
    <t>Lavette</t>
  </si>
  <si>
    <t>huile d'olive 1 litre</t>
  </si>
  <si>
    <t>vinigrette</t>
  </si>
  <si>
    <t>idir livraison</t>
  </si>
  <si>
    <t>Selma et Amina Yassir</t>
  </si>
  <si>
    <t>Poulet haché</t>
  </si>
  <si>
    <t>Escalope</t>
  </si>
  <si>
    <t>Boîte Hmissa (Mechamkha)</t>
  </si>
  <si>
    <t>Pommes de terre</t>
  </si>
  <si>
    <t>Cuisse entière de poulet</t>
  </si>
  <si>
    <t>Épinards</t>
  </si>
  <si>
    <t>Bidoune fromage (Topla)</t>
  </si>
  <si>
    <t>9arfa poudre</t>
  </si>
  <si>
    <t>Rabta Kesber</t>
  </si>
  <si>
    <t>Rabta Ma3adnous</t>
  </si>
  <si>
    <t>Force express</t>
  </si>
  <si>
    <t>Microfibre</t>
  </si>
  <si>
    <t>Reparation verre</t>
  </si>
  <si>
    <t>Rabta persil</t>
  </si>
  <si>
    <t>Carotte</t>
  </si>
  <si>
    <t>Brocoli</t>
  </si>
  <si>
    <t>Chehma</t>
  </si>
  <si>
    <t>Œufs</t>
  </si>
  <si>
    <t>Tomate</t>
  </si>
  <si>
    <t>Navet</t>
  </si>
  <si>
    <t>Courgette</t>
  </si>
  <si>
    <t>Cuisses de poulet (grandes)</t>
  </si>
  <si>
    <t>Eau de rose</t>
  </si>
  <si>
    <t>Dyoul</t>
  </si>
  <si>
    <t>Boîte plastique</t>
  </si>
  <si>
    <t>Fromage pizza Napoli</t>
  </si>
  <si>
    <t>Fromage bidoune</t>
  </si>
  <si>
    <t>Tomate (pour sauce)</t>
  </si>
  <si>
    <t>quissete ma9rout</t>
  </si>
  <si>
    <t>coloron blanc</t>
  </si>
  <si>
    <t>Achat Islam 24/11</t>
  </si>
  <si>
    <t>Felfel hlou</t>
  </si>
  <si>
    <t>Salade verte</t>
  </si>
  <si>
    <t>Thom (ail)</t>
  </si>
  <si>
    <t>dyoul taille normal</t>
  </si>
  <si>
    <t xml:space="preserve">Tomate conserve </t>
  </si>
  <si>
    <t xml:space="preserve">gherss </t>
  </si>
  <si>
    <t>Slimane</t>
  </si>
  <si>
    <t>Réparation achoir</t>
  </si>
  <si>
    <t>plateau pour présentoir</t>
  </si>
  <si>
    <t>Tabliers</t>
  </si>
  <si>
    <t>moul silicone</t>
  </si>
  <si>
    <t xml:space="preserve">Nkkach </t>
  </si>
  <si>
    <t>plateau</t>
  </si>
  <si>
    <t>9adera we kessekass</t>
  </si>
  <si>
    <t xml:space="preserve">les piques </t>
  </si>
  <si>
    <t xml:space="preserve">la pompe </t>
  </si>
  <si>
    <t>Réparation Pétrin</t>
  </si>
  <si>
    <t>barquettes 1065</t>
  </si>
  <si>
    <t>moule moskoutchou</t>
  </si>
  <si>
    <t xml:space="preserve">Amina Baghrir Mois d'Octobre </t>
  </si>
  <si>
    <t>Boite 48/10</t>
  </si>
  <si>
    <t>Boite48/07</t>
  </si>
  <si>
    <t>Boite 36</t>
  </si>
  <si>
    <t>Boite 24</t>
  </si>
  <si>
    <t>Boite 18</t>
  </si>
  <si>
    <t>Boite 12</t>
  </si>
  <si>
    <t>Boite 08</t>
  </si>
  <si>
    <t xml:space="preserve">boites décoration pate à sucre </t>
  </si>
  <si>
    <t>barquettes 1185</t>
  </si>
  <si>
    <t>sac croissant 23</t>
  </si>
  <si>
    <t>sac croissant 18</t>
  </si>
  <si>
    <t>cure-dent</t>
  </si>
  <si>
    <t>Aluminium</t>
  </si>
  <si>
    <t xml:space="preserve">le coplément des salaires mois d'Octobre </t>
  </si>
  <si>
    <t>Pénalité CNAS</t>
  </si>
  <si>
    <t>Cnas+ Pénalité CNAS</t>
  </si>
  <si>
    <t xml:space="preserve">RESTE 18000 Da pour mois de décembre </t>
  </si>
  <si>
    <t xml:space="preserve">serviette en papier </t>
  </si>
  <si>
    <t>serplliere</t>
  </si>
  <si>
    <t>BOITE 48/10</t>
  </si>
  <si>
    <t>Boite 48/07</t>
  </si>
  <si>
    <t>boite demie plateau</t>
  </si>
  <si>
    <t>boites plateau</t>
  </si>
  <si>
    <t>Totale</t>
  </si>
  <si>
    <t xml:space="preserve">Nom </t>
  </si>
  <si>
    <t>Avance</t>
  </si>
  <si>
    <t xml:space="preserve">Salaire à payer </t>
  </si>
  <si>
    <t xml:space="preserve">Sofiane </t>
  </si>
  <si>
    <t xml:space="preserve">les repas </t>
  </si>
  <si>
    <t>Amel</t>
  </si>
  <si>
    <t>Saida</t>
  </si>
  <si>
    <t xml:space="preserve">Amina </t>
  </si>
  <si>
    <t xml:space="preserve">Selma </t>
  </si>
  <si>
    <t>5000+2000</t>
  </si>
  <si>
    <t xml:space="preserve">Zohra </t>
  </si>
  <si>
    <t>Rayan</t>
  </si>
  <si>
    <t xml:space="preserve">Ikram  </t>
  </si>
  <si>
    <t>Nora</t>
  </si>
  <si>
    <t xml:space="preserve">5000 Da +4000 Da </t>
  </si>
  <si>
    <t>20000+2000+500</t>
  </si>
  <si>
    <t>TOTAL</t>
  </si>
  <si>
    <t>PU</t>
  </si>
  <si>
    <t>Prix total</t>
  </si>
  <si>
    <t>Total Achat</t>
  </si>
  <si>
    <t xml:space="preserve">Ouverture Caisse </t>
  </si>
  <si>
    <t xml:space="preserve">Date </t>
  </si>
  <si>
    <t>Montant</t>
  </si>
  <si>
    <t>12 kg</t>
  </si>
  <si>
    <t>2 kg</t>
  </si>
  <si>
    <t>Caisse de départ</t>
  </si>
  <si>
    <t>1 kg</t>
  </si>
  <si>
    <t>1 unité</t>
  </si>
  <si>
    <t>Recette du 23 au 29</t>
  </si>
  <si>
    <t>3.2 kg</t>
  </si>
  <si>
    <t>3.5 kg</t>
  </si>
  <si>
    <t>2.5 kg</t>
  </si>
  <si>
    <t xml:space="preserve">Reste caisse </t>
  </si>
  <si>
    <t>4 plateaux</t>
  </si>
  <si>
    <t>Olives vertes</t>
  </si>
  <si>
    <t>Olives coupées</t>
  </si>
  <si>
    <t>Carton d’olives noires</t>
  </si>
  <si>
    <t>5kg</t>
  </si>
  <si>
    <t>1 boîte</t>
  </si>
  <si>
    <t>6 rabtat</t>
  </si>
  <si>
    <t>3.8 kg</t>
  </si>
  <si>
    <t>5 kg</t>
  </si>
  <si>
    <t>1.2 kg</t>
  </si>
  <si>
    <t>2 rabtat</t>
  </si>
  <si>
    <t>10 kg</t>
  </si>
  <si>
    <t>2 plateaux</t>
  </si>
  <si>
    <t>0.5 kg</t>
  </si>
  <si>
    <t>4 kg</t>
  </si>
  <si>
    <t>5 unités</t>
  </si>
  <si>
    <t>381.58</t>
  </si>
  <si>
    <t xml:space="preserve">Farine </t>
  </si>
  <si>
    <t xml:space="preserve">Civital </t>
  </si>
  <si>
    <t xml:space="preserve">3ekri </t>
  </si>
  <si>
    <t>gants</t>
  </si>
  <si>
    <t xml:space="preserve">poche a douille </t>
  </si>
  <si>
    <t>Tablier</t>
  </si>
  <si>
    <t>Sachet de congélation 1kg</t>
  </si>
  <si>
    <t>sachet 5kg</t>
  </si>
  <si>
    <t>Avance Fatiha</t>
  </si>
  <si>
    <t>Avance Selma</t>
  </si>
  <si>
    <t>1 carton</t>
  </si>
  <si>
    <t>0.2 kg</t>
  </si>
  <si>
    <t xml:space="preserve">Mois de Janvier </t>
  </si>
  <si>
    <t xml:space="preserve">Mois de Février </t>
  </si>
  <si>
    <t>Mois de Mars</t>
  </si>
  <si>
    <t>Mois d'Avril</t>
  </si>
  <si>
    <t>Mois de Mai</t>
  </si>
  <si>
    <t xml:space="preserve">Mois de Jiun </t>
  </si>
  <si>
    <t>Mois de Juillet</t>
  </si>
  <si>
    <t>Mois d'Aout</t>
  </si>
  <si>
    <t>Mois de Septembre</t>
  </si>
  <si>
    <t xml:space="preserve">Mois d'Octobre </t>
  </si>
  <si>
    <t>Mois de Novembre</t>
  </si>
  <si>
    <t xml:space="preserve">Mois d'Novembre </t>
  </si>
  <si>
    <t>Salaires</t>
  </si>
  <si>
    <t xml:space="preserve">Che7i7a 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</si>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</sst>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\ [$€-1]"/>
    <numFmt numFmtId="165" formatCode="dd/mm/yyyy"/>
    <numFmt numFmtId="166" formatCode="#,##0.00\ [$€-1]"/>
    <numFmt numFmtId="167" formatCode="d/m/yyyy"/>
    <numFmt numFmtId="168" formatCode="dd/MM/yyyy"/>
    <numFmt numFmtId="169" formatCode="d/m"/>
  </numFmts>
  <fonts count="2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22.0"/>
      <color theme="1"/>
      <name val="Arial"/>
    </font>
    <font>
      <sz val="18.0"/>
      <color rgb="FFFFFF00"/>
      <name val="Arial"/>
    </font>
    <font>
      <sz val="20.0"/>
      <color theme="1"/>
      <name val="Arial"/>
    </font>
    <font>
      <sz val="21.0"/>
      <color theme="1"/>
      <name val="Arial"/>
    </font>
    <font>
      <b/>
      <sz val="20.0"/>
      <color theme="1"/>
      <name val="Arial"/>
    </font>
    <font>
      <color theme="1"/>
      <name val="Arial"/>
      <scheme val="minor"/>
    </font>
    <font>
      <sz val="14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1.0"/>
      <color rgb="FF434343"/>
      <name val="Arial"/>
    </font>
    <font>
      <b/>
      <sz val="21.0"/>
      <color theme="1"/>
      <name val="Arial"/>
    </font>
    <font>
      <b/>
      <sz val="21.0"/>
      <color rgb="FF1C4587"/>
      <name val="Arial"/>
    </font>
    <font>
      <sz val="17.0"/>
      <color rgb="FF434343"/>
      <name val="Roboto"/>
    </font>
    <font>
      <sz val="16.0"/>
      <color theme="1"/>
      <name val="Arial"/>
      <scheme val="minor"/>
    </font>
    <font>
      <sz val="16.0"/>
      <color theme="1"/>
      <name val="Arial"/>
    </font>
    <font>
      <sz val="25.0"/>
      <color theme="1"/>
      <name val="Arial"/>
    </font>
    <font>
      <sz val="18.0"/>
      <color theme="1"/>
      <name val="Arial"/>
      <scheme val="minor"/>
    </font>
    <font>
      <b/>
      <sz val="24.0"/>
      <color theme="1"/>
      <name val="Arial"/>
    </font>
    <font>
      <b/>
      <color theme="1"/>
      <name val="Arial"/>
      <scheme val="minor"/>
    </font>
    <font/>
    <font>
      <b/>
      <sz val="20.0"/>
      <color theme="1"/>
      <name val="Arial"/>
      <scheme val="minor"/>
    </font>
    <font>
      <b/>
      <sz val="19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vertical="bottom"/>
    </xf>
    <xf borderId="0" fillId="6" fontId="1" numFmtId="0" xfId="0" applyAlignment="1" applyFill="1" applyFont="1">
      <alignment vertical="bottom"/>
    </xf>
    <xf borderId="1" fillId="6" fontId="1" numFmtId="166" xfId="0" applyAlignment="1" applyBorder="1" applyFont="1" applyNumberFormat="1">
      <alignment vertical="bottom"/>
    </xf>
    <xf borderId="1" fillId="6" fontId="3" numFmtId="166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readingOrder="0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6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1" fillId="9" fontId="3" numFmtId="166" xfId="0" applyAlignment="1" applyBorder="1" applyFill="1" applyFont="1" applyNumberFormat="1">
      <alignment horizontal="center" readingOrder="0" vertical="bottom"/>
    </xf>
    <xf borderId="1" fillId="9" fontId="1" numFmtId="0" xfId="0" applyAlignment="1" applyBorder="1" applyFont="1">
      <alignment vertical="bottom"/>
    </xf>
    <xf borderId="1" fillId="9" fontId="3" numFmtId="164" xfId="0" applyAlignment="1" applyBorder="1" applyFont="1" applyNumberFormat="1">
      <alignment vertical="bottom"/>
    </xf>
    <xf borderId="1" fillId="9" fontId="3" numFmtId="0" xfId="0" applyAlignment="1" applyBorder="1" applyFont="1">
      <alignment horizontal="center" readingOrder="0" vertical="bottom"/>
    </xf>
    <xf borderId="4" fillId="0" fontId="1" numFmtId="166" xfId="0" applyAlignment="1" applyBorder="1" applyFont="1" applyNumberFormat="1">
      <alignment vertical="bottom"/>
    </xf>
    <xf borderId="0" fillId="6" fontId="1" numFmtId="166" xfId="0" applyAlignment="1" applyFont="1" applyNumberFormat="1">
      <alignment vertical="bottom"/>
    </xf>
    <xf borderId="0" fillId="0" fontId="4" numFmtId="167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4" fillId="7" fontId="6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horizontal="right" readingOrder="0" vertical="bottom"/>
    </xf>
    <xf borderId="0" fillId="6" fontId="3" numFmtId="166" xfId="0" applyAlignment="1" applyFont="1" applyNumberFormat="1">
      <alignment readingOrder="0" vertical="bottom"/>
    </xf>
    <xf borderId="1" fillId="10" fontId="8" numFmtId="0" xfId="0" applyAlignment="1" applyBorder="1" applyFill="1" applyFont="1">
      <alignment horizontal="center" vertical="bottom"/>
    </xf>
    <xf borderId="5" fillId="0" fontId="1" numFmtId="166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vertical="bottom"/>
    </xf>
    <xf borderId="1" fillId="9" fontId="3" numFmtId="166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6" fontId="1" numFmtId="166" xfId="0" applyAlignment="1" applyBorder="1" applyFont="1" applyNumberFormat="1">
      <alignment vertical="bottom"/>
    </xf>
    <xf borderId="1" fillId="11" fontId="9" numFmtId="0" xfId="0" applyAlignment="1" applyBorder="1" applyFill="1" applyFont="1">
      <alignment horizontal="center" vertical="bottom"/>
    </xf>
    <xf borderId="1" fillId="11" fontId="9" numFmtId="166" xfId="0" applyAlignment="1" applyBorder="1" applyFont="1" applyNumberFormat="1">
      <alignment horizontal="center" vertical="bottom"/>
    </xf>
    <xf borderId="2" fillId="11" fontId="9" numFmtId="166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11" fontId="1" numFmtId="0" xfId="0" applyAlignment="1" applyBorder="1" applyFont="1">
      <alignment vertical="bottom"/>
    </xf>
    <xf borderId="1" fillId="11" fontId="1" numFmtId="166" xfId="0" applyAlignment="1" applyBorder="1" applyFont="1" applyNumberFormat="1">
      <alignment vertical="bottom"/>
    </xf>
    <xf borderId="2" fillId="11" fontId="1" numFmtId="166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1" fillId="10" fontId="3" numFmtId="0" xfId="0" applyAlignment="1" applyBorder="1" applyFont="1">
      <alignment horizontal="center" vertical="bottom"/>
    </xf>
    <xf borderId="1" fillId="6" fontId="5" numFmtId="166" xfId="0" applyAlignment="1" applyBorder="1" applyFont="1" applyNumberFormat="1">
      <alignment horizontal="center" readingOrder="0" vertical="bottom"/>
    </xf>
    <xf borderId="1" fillId="6" fontId="10" numFmtId="166" xfId="0" applyAlignment="1" applyBorder="1" applyFont="1" applyNumberFormat="1">
      <alignment horizontal="center" vertical="bottom"/>
    </xf>
    <xf borderId="1" fillId="6" fontId="1" numFmtId="164" xfId="0" applyAlignment="1" applyBorder="1" applyFont="1" applyNumberFormat="1">
      <alignment vertical="bottom"/>
    </xf>
    <xf borderId="1" fillId="0" fontId="11" numFmtId="166" xfId="0" applyAlignment="1" applyBorder="1" applyFont="1" applyNumberFormat="1">
      <alignment horizontal="right" vertical="bottom"/>
    </xf>
    <xf borderId="1" fillId="6" fontId="1" numFmtId="165" xfId="0" applyAlignment="1" applyBorder="1" applyFont="1" applyNumberFormat="1">
      <alignment vertical="bottom"/>
    </xf>
    <xf borderId="1" fillId="6" fontId="2" numFmtId="166" xfId="0" applyAlignment="1" applyBorder="1" applyFont="1" applyNumberFormat="1">
      <alignment horizontal="center" vertical="bottom"/>
    </xf>
    <xf borderId="1" fillId="6" fontId="2" numFmtId="16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12" fontId="3" numFmtId="166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2" numFmtId="164" xfId="0" applyFont="1" applyNumberFormat="1"/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3" fillId="5" fontId="3" numFmtId="0" xfId="0" applyAlignment="1" applyBorder="1" applyFont="1">
      <alignment horizontal="center" readingOrder="0" shrinkToFit="0" vertical="bottom" wrapText="0"/>
    </xf>
    <xf borderId="1" fillId="5" fontId="3" numFmtId="165" xfId="0" applyAlignment="1" applyBorder="1" applyFont="1" applyNumberFormat="1">
      <alignment horizontal="center"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shrinkToFit="0" vertical="bottom" wrapText="0"/>
    </xf>
    <xf borderId="0" fillId="5" fontId="3" numFmtId="164" xfId="0" applyAlignment="1" applyFont="1" applyNumberFormat="1">
      <alignment shrinkToFit="0" vertical="bottom" wrapText="0"/>
    </xf>
    <xf borderId="3" fillId="6" fontId="3" numFmtId="0" xfId="0" applyAlignment="1" applyBorder="1" applyFont="1">
      <alignment horizontal="center" readingOrder="0" shrinkToFit="0" vertical="bottom" wrapText="0"/>
    </xf>
    <xf borderId="1" fillId="6" fontId="3" numFmtId="165" xfId="0" applyAlignment="1" applyBorder="1" applyFont="1" applyNumberForma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13" fontId="3" numFmtId="0" xfId="0" applyAlignment="1" applyBorder="1" applyFill="1" applyFont="1">
      <alignment horizontal="center" readingOrder="0" shrinkToFit="0" vertical="bottom" wrapText="0"/>
    </xf>
    <xf borderId="1" fillId="13" fontId="3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shrinkToFit="0" vertical="bottom" wrapText="0"/>
    </xf>
    <xf borderId="0" fillId="6" fontId="3" numFmtId="164" xfId="0" applyAlignment="1" applyFont="1" applyNumberFormat="1">
      <alignment shrinkToFit="0" vertical="bottom" wrapText="0"/>
    </xf>
    <xf borderId="4" fillId="6" fontId="3" numFmtId="0" xfId="0" applyAlignment="1" applyBorder="1" applyFont="1">
      <alignment horizontal="center" readingOrder="0" shrinkToFit="0" vertical="bottom" wrapText="0"/>
    </xf>
    <xf borderId="4" fillId="6" fontId="1" numFmtId="0" xfId="0" applyAlignment="1" applyBorder="1" applyFont="1">
      <alignment shrinkToFit="0" vertical="bottom" wrapText="0"/>
    </xf>
    <xf borderId="1" fillId="6" fontId="13" numFmtId="0" xfId="0" applyAlignment="1" applyBorder="1" applyFont="1">
      <alignment readingOrder="0" shrinkToFit="0" vertical="bottom" wrapText="0"/>
    </xf>
    <xf borderId="0" fillId="6" fontId="3" numFmtId="164" xfId="0" applyAlignment="1" applyFont="1" applyNumberFormat="1">
      <alignment readingOrder="0" shrinkToFit="0" vertical="bottom" wrapText="0"/>
    </xf>
    <xf borderId="1" fillId="6" fontId="1" numFmtId="0" xfId="0" applyAlignment="1" applyBorder="1" applyFont="1">
      <alignment readingOrder="0" shrinkToFit="0" vertical="bottom" wrapText="0"/>
    </xf>
    <xf borderId="3" fillId="5" fontId="14" numFmtId="0" xfId="0" applyAlignment="1" applyBorder="1" applyFont="1">
      <alignment horizontal="center" readingOrder="0" shrinkToFit="0" vertical="bottom" wrapText="0"/>
    </xf>
    <xf borderId="1" fillId="5" fontId="14" numFmtId="0" xfId="0" applyAlignment="1" applyBorder="1" applyFont="1">
      <alignment horizontal="center" readingOrder="0" shrinkToFit="0" vertical="bottom" wrapText="0"/>
    </xf>
    <xf borderId="1" fillId="5" fontId="14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shrinkToFit="0" vertical="bottom" wrapText="0"/>
    </xf>
    <xf borderId="3" fillId="6" fontId="14" numFmtId="0" xfId="0" applyAlignment="1" applyBorder="1" applyFont="1">
      <alignment horizontal="center" readingOrder="0" shrinkToFit="0" vertical="bottom" wrapText="0"/>
    </xf>
    <xf borderId="1" fillId="6" fontId="14" numFmtId="0" xfId="0" applyAlignment="1" applyBorder="1" applyFont="1">
      <alignment horizontal="center" readingOrder="0" shrinkToFit="0" vertical="bottom" wrapText="0"/>
    </xf>
    <xf borderId="1" fillId="6" fontId="14" numFmtId="0" xfId="0" applyAlignment="1" applyBorder="1" applyFont="1">
      <alignment horizontal="center" readingOrder="0" shrinkToFit="0" vertical="bottom" wrapText="0"/>
    </xf>
    <xf borderId="1" fillId="6" fontId="14" numFmtId="0" xfId="0" applyAlignment="1" applyBorder="1" applyFont="1">
      <alignment horizontal="center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3" fillId="5" fontId="14" numFmtId="0" xfId="0" applyAlignment="1" applyBorder="1" applyFont="1">
      <alignment horizontal="center" readingOrder="0" shrinkToFit="0" vertical="bottom" wrapText="0"/>
    </xf>
    <xf borderId="1" fillId="5" fontId="14" numFmtId="0" xfId="0" applyAlignment="1" applyBorder="1" applyFont="1">
      <alignment horizontal="center" shrinkToFit="0" vertical="bottom" wrapText="0"/>
    </xf>
    <xf borderId="3" fillId="6" fontId="15" numFmtId="0" xfId="0" applyAlignment="1" applyBorder="1" applyFont="1">
      <alignment horizontal="center" readingOrder="0" shrinkToFit="0" vertical="bottom" wrapText="0"/>
    </xf>
    <xf borderId="1" fillId="6" fontId="15" numFmtId="0" xfId="0" applyAlignment="1" applyBorder="1" applyFont="1">
      <alignment horizontal="center" shrinkToFit="0" vertical="bottom" wrapText="0"/>
    </xf>
    <xf borderId="3" fillId="9" fontId="3" numFmtId="0" xfId="0" applyAlignment="1" applyBorder="1" applyFont="1">
      <alignment horizontal="center" readingOrder="0" shrinkToFit="0" vertical="bottom" wrapText="0"/>
    </xf>
    <xf borderId="1" fillId="9" fontId="3" numFmtId="165" xfId="0" applyAlignment="1" applyBorder="1" applyFont="1" applyNumberFormat="1">
      <alignment horizontal="center" readingOrder="0" shrinkToFit="0" vertical="bottom" wrapText="0"/>
    </xf>
    <xf borderId="3" fillId="9" fontId="3" numFmtId="0" xfId="0" applyAlignment="1" applyBorder="1" applyFont="1">
      <alignment horizontal="center" shrinkToFit="0" vertical="bottom" wrapText="0"/>
    </xf>
    <xf borderId="1" fillId="9" fontId="3" numFmtId="0" xfId="0" applyAlignment="1" applyBorder="1" applyFont="1">
      <alignment horizontal="center" shrinkToFit="0" vertical="bottom" wrapText="0"/>
    </xf>
    <xf borderId="1" fillId="9" fontId="3" numFmtId="0" xfId="0" applyAlignment="1" applyBorder="1" applyFont="1">
      <alignment horizontal="center" readingOrder="0" shrinkToFit="0" vertical="bottom" wrapText="0"/>
    </xf>
    <xf borderId="1" fillId="9" fontId="3" numFmtId="0" xfId="0" applyAlignment="1" applyBorder="1" applyFont="1">
      <alignment horizontal="center" shrinkToFit="0" vertical="bottom" wrapText="0"/>
    </xf>
    <xf borderId="1" fillId="9" fontId="1" numFmtId="0" xfId="0" applyAlignment="1" applyBorder="1" applyFont="1">
      <alignment shrinkToFit="0" vertical="bottom" wrapText="0"/>
    </xf>
    <xf borderId="0" fillId="0" fontId="12" numFmtId="168" xfId="0" applyAlignment="1" applyFont="1" applyNumberFormat="1">
      <alignment shrinkToFit="0" vertical="center" wrapText="0"/>
    </xf>
    <xf borderId="3" fillId="6" fontId="11" numFmtId="0" xfId="0" applyAlignment="1" applyBorder="1" applyFont="1">
      <alignment horizontal="center" shrinkToFit="0" vertical="bottom" wrapText="0"/>
    </xf>
    <xf borderId="3" fillId="6" fontId="11" numFmtId="0" xfId="0" applyAlignment="1" applyBorder="1" applyFont="1">
      <alignment horizontal="center" shrinkToFit="0" vertical="bottom" wrapText="0"/>
    </xf>
    <xf borderId="3" fillId="6" fontId="11" numFmtId="0" xfId="0" applyAlignment="1" applyBorder="1" applyFont="1">
      <alignment horizontal="center" readingOrder="0" shrinkToFit="0" vertical="bottom" wrapText="0"/>
    </xf>
    <xf borderId="3" fillId="6" fontId="2" numFmtId="0" xfId="0" applyAlignment="1" applyBorder="1" applyFont="1">
      <alignment horizontal="center" shrinkToFit="0" vertical="bottom" wrapText="0"/>
    </xf>
    <xf borderId="3" fillId="6" fontId="2" numFmtId="0" xfId="0" applyAlignment="1" applyBorder="1" applyFont="1">
      <alignment horizontal="center" shrinkToFit="0" vertical="bottom" wrapText="0"/>
    </xf>
    <xf borderId="1" fillId="6" fontId="11" numFmtId="0" xfId="0" applyAlignment="1" applyBorder="1" applyFont="1">
      <alignment horizontal="center" shrinkToFit="0" vertical="bottom" wrapText="0"/>
    </xf>
    <xf borderId="6" fillId="6" fontId="16" numFmtId="166" xfId="0" applyAlignment="1" applyBorder="1" applyFont="1" applyNumberFormat="1">
      <alignment horizontal="center" shrinkToFit="0" vertical="bottom" wrapText="0"/>
    </xf>
    <xf borderId="6" fillId="6" fontId="16" numFmtId="0" xfId="0" applyAlignment="1" applyBorder="1" applyFont="1">
      <alignment horizontal="center" shrinkToFit="0" vertical="bottom" wrapText="0"/>
    </xf>
    <xf borderId="6" fillId="6" fontId="17" numFmtId="166" xfId="0" applyAlignment="1" applyBorder="1" applyFont="1" applyNumberFormat="1">
      <alignment horizontal="center" shrinkToFit="0" vertical="bottom" wrapText="0"/>
    </xf>
    <xf borderId="6" fillId="6" fontId="17" numFmtId="0" xfId="0" applyAlignment="1" applyBorder="1" applyFont="1">
      <alignment horizontal="center" shrinkToFit="0" vertical="bottom" wrapText="0"/>
    </xf>
    <xf borderId="6" fillId="6" fontId="10" numFmtId="166" xfId="0" applyAlignment="1" applyBorder="1" applyFont="1" applyNumberFormat="1">
      <alignment horizontal="right" shrinkToFit="0" vertical="bottom" wrapText="0"/>
    </xf>
    <xf borderId="6" fillId="6" fontId="10" numFmtId="0" xfId="0" applyAlignment="1" applyBorder="1" applyFont="1">
      <alignment horizontal="right" shrinkToFit="0" vertical="bottom" wrapText="0"/>
    </xf>
    <xf borderId="6" fillId="6" fontId="3" numFmtId="166" xfId="0" applyAlignment="1" applyBorder="1" applyFont="1" applyNumberFormat="1">
      <alignment horizontal="right" readingOrder="0" shrinkToFit="0" vertical="bottom" wrapText="0"/>
    </xf>
    <xf borderId="6" fillId="6" fontId="3" numFmtId="0" xfId="0" applyAlignment="1" applyBorder="1" applyFont="1">
      <alignment horizontal="right" readingOrder="0" shrinkToFit="0" vertical="bottom" wrapText="0"/>
    </xf>
    <xf borderId="0" fillId="6" fontId="3" numFmtId="166" xfId="0" applyAlignment="1" applyFont="1" applyNumberFormat="1">
      <alignment horizontal="right" shrinkToFit="0" vertical="bottom" wrapText="0"/>
    </xf>
    <xf borderId="0" fillId="6" fontId="1" numFmtId="0" xfId="0" applyAlignment="1" applyFont="1">
      <alignment shrinkToFit="0" vertical="bottom" wrapText="0"/>
    </xf>
    <xf borderId="6" fillId="6" fontId="18" numFmtId="166" xfId="0" applyAlignment="1" applyBorder="1" applyFont="1" applyNumberFormat="1">
      <alignment horizontal="center" shrinkToFit="0" vertical="bottom" wrapText="0"/>
    </xf>
    <xf borderId="6" fillId="6" fontId="18" numFmtId="0" xfId="0" applyAlignment="1" applyBorder="1" applyFont="1">
      <alignment horizontal="center" shrinkToFit="0" vertical="bottom" wrapText="0"/>
    </xf>
    <xf borderId="0" fillId="6" fontId="18" numFmtId="166" xfId="0" applyAlignment="1" applyFont="1" applyNumberFormat="1">
      <alignment horizontal="center" shrinkToFit="0" vertical="bottom" wrapText="0"/>
    </xf>
    <xf borderId="0" fillId="6" fontId="1" numFmtId="166" xfId="0" applyAlignment="1" applyFont="1" applyNumberFormat="1">
      <alignment shrinkToFit="0" vertical="bottom" wrapText="0"/>
    </xf>
    <xf borderId="6" fillId="6" fontId="1" numFmtId="166" xfId="0" applyAlignment="1" applyBorder="1" applyFont="1" applyNumberFormat="1">
      <alignment shrinkToFit="0" vertical="bottom" wrapText="0"/>
    </xf>
    <xf borderId="6" fillId="6" fontId="1" numFmtId="0" xfId="0" applyAlignment="1" applyBorder="1" applyFont="1">
      <alignment shrinkToFit="0" vertical="bottom" wrapText="0"/>
    </xf>
    <xf borderId="1" fillId="12" fontId="11" numFmtId="0" xfId="0" applyAlignment="1" applyBorder="1" applyFont="1">
      <alignment horizontal="center" vertical="bottom"/>
    </xf>
    <xf borderId="2" fillId="12" fontId="11" numFmtId="0" xfId="0" applyAlignment="1" applyBorder="1" applyFont="1">
      <alignment horizontal="center" vertical="bottom"/>
    </xf>
    <xf borderId="6" fillId="6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readingOrder="0" vertical="bottom"/>
    </xf>
    <xf borderId="2" fillId="6" fontId="5" numFmtId="166" xfId="0" applyAlignment="1" applyBorder="1" applyFont="1" applyNumberFormat="1">
      <alignment horizontal="center" readingOrder="0" vertical="bottom"/>
    </xf>
    <xf borderId="2" fillId="6" fontId="5" numFmtId="166" xfId="0" applyAlignment="1" applyBorder="1" applyFont="1" applyNumberFormat="1">
      <alignment horizontal="center" vertical="bottom"/>
    </xf>
    <xf borderId="1" fillId="6" fontId="5" numFmtId="0" xfId="0" applyAlignment="1" applyBorder="1" applyFont="1">
      <alignment horizontal="center" vertical="bottom"/>
    </xf>
    <xf borderId="3" fillId="6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1" fillId="6" fontId="5" numFmtId="166" xfId="0" applyAlignment="1" applyBorder="1" applyFont="1" applyNumberFormat="1">
      <alignment horizontal="center" vertical="bottom"/>
    </xf>
    <xf borderId="2" fillId="6" fontId="5" numFmtId="0" xfId="0" applyAlignment="1" applyBorder="1" applyFont="1">
      <alignment horizontal="center" vertical="bottom"/>
    </xf>
    <xf borderId="3" fillId="6" fontId="5" numFmtId="0" xfId="0" applyAlignment="1" applyBorder="1" applyFont="1">
      <alignment horizontal="center" vertical="bottom"/>
    </xf>
    <xf borderId="2" fillId="6" fontId="5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readingOrder="0" vertical="bottom"/>
    </xf>
    <xf borderId="1" fillId="6" fontId="5" numFmtId="165" xfId="0" applyAlignment="1" applyBorder="1" applyFont="1" applyNumberFormat="1">
      <alignment horizontal="center" vertical="bottom"/>
    </xf>
    <xf borderId="2" fillId="6" fontId="3" numFmtId="166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6" fillId="6" fontId="3" numFmtId="0" xfId="0" applyAlignment="1" applyBorder="1" applyFont="1">
      <alignment horizontal="center" vertical="bottom"/>
    </xf>
    <xf borderId="1" fillId="6" fontId="9" numFmtId="0" xfId="0" applyAlignment="1" applyBorder="1" applyFont="1">
      <alignment horizontal="center" readingOrder="0" vertical="bottom"/>
    </xf>
    <xf borderId="1" fillId="6" fontId="9" numFmtId="166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2" fillId="6" fontId="9" numFmtId="166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1" fillId="6" fontId="9" numFmtId="166" xfId="0" applyAlignment="1" applyBorder="1" applyFont="1" applyNumberFormat="1">
      <alignment horizontal="center" readingOrder="0" vertical="bottom"/>
    </xf>
    <xf borderId="1" fillId="6" fontId="9" numFmtId="0" xfId="0" applyAlignment="1" applyBorder="1" applyFont="1">
      <alignment horizontal="center" vertical="bottom"/>
    </xf>
    <xf borderId="3" fillId="6" fontId="9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readingOrder="0" vertical="bottom"/>
    </xf>
    <xf borderId="0" fillId="10" fontId="12" numFmtId="0" xfId="0" applyFont="1"/>
    <xf borderId="1" fillId="10" fontId="4" numFmtId="0" xfId="0" applyAlignment="1" applyBorder="1" applyFont="1">
      <alignment horizontal="center" vertical="bottom"/>
    </xf>
    <xf borderId="1" fillId="10" fontId="9" numFmtId="0" xfId="0" applyAlignment="1" applyBorder="1" applyFont="1">
      <alignment horizontal="center" readingOrder="0" vertical="bottom"/>
    </xf>
    <xf borderId="1" fillId="10" fontId="9" numFmtId="166" xfId="0" applyAlignment="1" applyBorder="1" applyFont="1" applyNumberFormat="1">
      <alignment horizontal="center" vertical="bottom"/>
    </xf>
    <xf borderId="2" fillId="10" fontId="9" numFmtId="166" xfId="0" applyAlignment="1" applyBorder="1" applyFont="1" applyNumberFormat="1">
      <alignment horizontal="center" vertical="bottom"/>
    </xf>
    <xf borderId="1" fillId="10" fontId="5" numFmtId="165" xfId="0" applyAlignment="1" applyBorder="1" applyFont="1" applyNumberFormat="1">
      <alignment horizontal="center" vertical="bottom"/>
    </xf>
    <xf borderId="1" fillId="6" fontId="5" numFmtId="165" xfId="0" applyAlignment="1" applyBorder="1" applyFont="1" applyNumberFormat="1">
      <alignment horizontal="center" readingOrder="0" vertical="bottom"/>
    </xf>
    <xf borderId="1" fillId="10" fontId="5" numFmtId="0" xfId="0" applyAlignment="1" applyBorder="1" applyFont="1">
      <alignment horizontal="center" readingOrder="0" vertical="bottom"/>
    </xf>
    <xf borderId="1" fillId="10" fontId="5" numFmtId="166" xfId="0" applyAlignment="1" applyBorder="1" applyFont="1" applyNumberFormat="1">
      <alignment horizontal="center" readingOrder="0" vertical="bottom"/>
    </xf>
    <xf borderId="2" fillId="10" fontId="3" numFmtId="166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166" xfId="0" applyAlignment="1" applyBorder="1" applyFont="1" applyNumberFormat="1">
      <alignment horizontal="center" readingOrder="0" vertical="bottom"/>
    </xf>
    <xf borderId="2" fillId="0" fontId="3" numFmtId="166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readingOrder="0" vertical="bottom"/>
    </xf>
    <xf borderId="1" fillId="4" fontId="5" numFmtId="166" xfId="0" applyAlignment="1" applyBorder="1" applyFont="1" applyNumberFormat="1">
      <alignment horizontal="center" readingOrder="0" vertical="bottom"/>
    </xf>
    <xf borderId="2" fillId="4" fontId="3" numFmtId="166" xfId="0" applyAlignment="1" applyBorder="1" applyFont="1" applyNumberFormat="1">
      <alignment horizontal="center" vertical="bottom"/>
    </xf>
    <xf borderId="1" fillId="4" fontId="5" numFmtId="165" xfId="0" applyAlignment="1" applyBorder="1" applyFont="1" applyNumberFormat="1">
      <alignment horizontal="center" vertical="bottom"/>
    </xf>
    <xf borderId="1" fillId="14" fontId="5" numFmtId="0" xfId="0" applyAlignment="1" applyBorder="1" applyFill="1" applyFont="1">
      <alignment horizontal="center" readingOrder="0" vertical="bottom"/>
    </xf>
    <xf borderId="1" fillId="14" fontId="5" numFmtId="166" xfId="0" applyAlignment="1" applyBorder="1" applyFont="1" applyNumberFormat="1">
      <alignment horizontal="center" readingOrder="0" vertical="bottom"/>
    </xf>
    <xf borderId="2" fillId="14" fontId="3" numFmtId="166" xfId="0" applyAlignment="1" applyBorder="1" applyFont="1" applyNumberFormat="1">
      <alignment horizontal="center" vertical="bottom"/>
    </xf>
    <xf borderId="1" fillId="14" fontId="5" numFmtId="165" xfId="0" applyAlignment="1" applyBorder="1" applyFont="1" applyNumberFormat="1">
      <alignment horizontal="center" readingOrder="0" vertical="bottom"/>
    </xf>
    <xf borderId="1" fillId="14" fontId="5" numFmtId="165" xfId="0" applyAlignment="1" applyBorder="1" applyFont="1" applyNumberFormat="1">
      <alignment horizontal="center" vertical="bottom"/>
    </xf>
    <xf borderId="6" fillId="14" fontId="19" numFmtId="0" xfId="0" applyAlignment="1" applyBorder="1" applyFont="1">
      <alignment horizontal="center" shrinkToFit="0" wrapText="0"/>
    </xf>
    <xf borderId="6" fillId="14" fontId="19" numFmtId="0" xfId="0" applyAlignment="1" applyBorder="1" applyFont="1">
      <alignment horizontal="center" readingOrder="0" shrinkToFit="0" wrapText="0"/>
    </xf>
    <xf borderId="6" fillId="14" fontId="19" numFmtId="0" xfId="0" applyAlignment="1" applyBorder="1" applyFont="1">
      <alignment horizontal="center" shrinkToFit="0" wrapText="0"/>
    </xf>
    <xf borderId="6" fillId="14" fontId="20" numFmtId="0" xfId="0" applyAlignment="1" applyBorder="1" applyFont="1">
      <alignment horizontal="center" readingOrder="0"/>
    </xf>
    <xf borderId="6" fillId="14" fontId="20" numFmtId="0" xfId="0" applyAlignment="1" applyBorder="1" applyFont="1">
      <alignment horizontal="center" readingOrder="0"/>
    </xf>
    <xf borderId="1" fillId="14" fontId="21" numFmtId="0" xfId="0" applyAlignment="1" applyBorder="1" applyFont="1">
      <alignment horizontal="center" readingOrder="0" vertical="bottom"/>
    </xf>
    <xf borderId="1" fillId="14" fontId="21" numFmtId="166" xfId="0" applyAlignment="1" applyBorder="1" applyFont="1" applyNumberFormat="1">
      <alignment horizontal="center" readingOrder="0" vertical="bottom"/>
    </xf>
    <xf borderId="1" fillId="14" fontId="5" numFmtId="0" xfId="0" applyAlignment="1" applyBorder="1" applyFont="1">
      <alignment horizontal="center" vertical="bottom"/>
    </xf>
    <xf borderId="1" fillId="14" fontId="5" numFmtId="166" xfId="0" applyAlignment="1" applyBorder="1" applyFont="1" applyNumberFormat="1">
      <alignment horizontal="center" vertical="bottom"/>
    </xf>
    <xf borderId="1" fillId="4" fontId="9" numFmtId="166" xfId="0" applyAlignment="1" applyBorder="1" applyFont="1" applyNumberFormat="1">
      <alignment horizontal="center" readingOrder="0" vertical="bottom"/>
    </xf>
    <xf borderId="1" fillId="6" fontId="22" numFmtId="165" xfId="0" applyAlignment="1" applyBorder="1" applyFont="1" applyNumberFormat="1">
      <alignment horizontal="center" readingOrder="0" vertical="bottom"/>
    </xf>
    <xf borderId="0" fillId="0" fontId="23" numFmtId="0" xfId="0" applyAlignment="1" applyFont="1">
      <alignment readingOrder="0"/>
    </xf>
    <xf borderId="1" fillId="4" fontId="9" numFmtId="0" xfId="0" applyAlignment="1" applyBorder="1" applyFont="1">
      <alignment horizontal="center" vertical="bottom"/>
    </xf>
    <xf borderId="1" fillId="4" fontId="9" numFmtId="166" xfId="0" applyAlignment="1" applyBorder="1" applyFont="1" applyNumberFormat="1">
      <alignment horizontal="center" vertical="bottom"/>
    </xf>
    <xf borderId="1" fillId="6" fontId="22" numFmtId="165" xfId="0" applyAlignment="1" applyBorder="1" applyFont="1" applyNumberFormat="1">
      <alignment horizontal="center" vertical="bottom"/>
    </xf>
    <xf borderId="2" fillId="6" fontId="5" numFmtId="165" xfId="0" applyAlignment="1" applyBorder="1" applyFont="1" applyNumberFormat="1">
      <alignment horizontal="center" vertical="bottom"/>
    </xf>
    <xf borderId="6" fillId="0" fontId="24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24" numFmtId="166" xfId="0" applyAlignment="1" applyBorder="1" applyFont="1" applyNumberFormat="1">
      <alignment horizontal="center" vertical="bottom"/>
    </xf>
    <xf borderId="2" fillId="0" fontId="1" numFmtId="165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7" fontId="2" numFmtId="0" xfId="0" applyAlignment="1" applyBorder="1" applyFont="1">
      <alignment horizontal="center" vertical="bottom"/>
    </xf>
    <xf borderId="1" fillId="6" fontId="2" numFmtId="166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1" fillId="3" fontId="3" numFmtId="166" xfId="0" applyAlignment="1" applyBorder="1" applyFont="1" applyNumberFormat="1">
      <alignment horizontal="center" vertical="bottom"/>
    </xf>
    <xf borderId="1" fillId="8" fontId="2" numFmtId="166" xfId="0" applyAlignment="1" applyBorder="1" applyFont="1" applyNumberFormat="1">
      <alignment horizontal="center" vertical="bottom"/>
    </xf>
    <xf borderId="1" fillId="4" fontId="1" numFmtId="166" xfId="0" applyAlignment="1" applyBorder="1" applyFont="1" applyNumberFormat="1">
      <alignment vertical="bottom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shrinkToFit="0" vertical="center" wrapText="0"/>
    </xf>
    <xf borderId="7" fillId="15" fontId="25" numFmtId="0" xfId="0" applyAlignment="1" applyBorder="1" applyFill="1" applyFont="1">
      <alignment horizontal="center" readingOrder="0" vertical="center"/>
    </xf>
    <xf borderId="2" fillId="0" fontId="26" numFmtId="0" xfId="0" applyBorder="1" applyFont="1"/>
    <xf borderId="7" fillId="16" fontId="25" numFmtId="0" xfId="0" applyAlignment="1" applyBorder="1" applyFill="1" applyFont="1">
      <alignment horizontal="center" readingOrder="0" vertical="center"/>
    </xf>
    <xf borderId="6" fillId="6" fontId="12" numFmtId="0" xfId="0" applyAlignment="1" applyBorder="1" applyFont="1">
      <alignment horizontal="left" readingOrder="0" shrinkToFit="0" vertical="center" wrapText="0"/>
    </xf>
    <xf borderId="6" fillId="6" fontId="12" numFmtId="0" xfId="0" applyAlignment="1" applyBorder="1" applyFont="1">
      <alignment readingOrder="0" shrinkToFit="0" vertical="center" wrapText="0"/>
    </xf>
    <xf borderId="8" fillId="2" fontId="25" numFmtId="3" xfId="0" applyAlignment="1" applyBorder="1" applyFont="1" applyNumberFormat="1">
      <alignment horizontal="center" vertical="center"/>
    </xf>
    <xf borderId="9" fillId="0" fontId="26" numFmtId="0" xfId="0" applyBorder="1" applyFont="1"/>
    <xf borderId="6" fillId="16" fontId="25" numFmtId="0" xfId="0" applyAlignment="1" applyBorder="1" applyFont="1">
      <alignment horizontal="center" readingOrder="0" vertical="center"/>
    </xf>
    <xf borderId="6" fillId="6" fontId="12" numFmtId="0" xfId="0" applyAlignment="1" applyBorder="1" applyFont="1">
      <alignment readingOrder="0" shrinkToFit="0" vertical="center" wrapText="0"/>
    </xf>
    <xf borderId="10" fillId="0" fontId="26" numFmtId="0" xfId="0" applyBorder="1" applyFont="1"/>
    <xf borderId="1" fillId="0" fontId="26" numFmtId="0" xfId="0" applyBorder="1" applyFont="1"/>
    <xf borderId="6" fillId="0" fontId="12" numFmtId="169" xfId="0" applyAlignment="1" applyBorder="1" applyFont="1" applyNumberFormat="1">
      <alignment horizontal="center" readingOrder="0" vertical="center"/>
    </xf>
    <xf borderId="6" fillId="0" fontId="12" numFmtId="3" xfId="0" applyAlignment="1" applyBorder="1" applyFont="1" applyNumberFormat="1">
      <alignment horizontal="center" readingOrder="0" vertical="center"/>
    </xf>
    <xf borderId="8" fillId="2" fontId="25" numFmtId="3" xfId="0" applyAlignment="1" applyBorder="1" applyFont="1" applyNumberFormat="1">
      <alignment horizontal="center" readingOrder="0" vertical="center"/>
    </xf>
    <xf borderId="8" fillId="2" fontId="25" numFmtId="166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left"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6" fillId="12" fontId="12" numFmtId="0" xfId="0" applyAlignment="1" applyBorder="1" applyFont="1">
      <alignment horizontal="left" readingOrder="0" shrinkToFit="0" vertical="center" wrapText="0"/>
    </xf>
    <xf borderId="6" fillId="12" fontId="12" numFmtId="0" xfId="0" applyAlignment="1" applyBorder="1" applyFont="1">
      <alignment readingOrder="0" shrinkToFit="0" vertical="center" wrapText="0"/>
    </xf>
    <xf borderId="6" fillId="0" fontId="12" numFmtId="0" xfId="0" applyAlignment="1" applyBorder="1" applyFont="1">
      <alignment horizontal="left" readingOrder="0" shrinkToFit="0" vertical="center" wrapText="0"/>
    </xf>
    <xf borderId="6" fillId="0" fontId="12" numFmtId="0" xfId="0" applyAlignment="1" applyBorder="1" applyFont="1">
      <alignment readingOrder="0" shrinkToFit="0" vertical="center" wrapText="0"/>
    </xf>
    <xf borderId="1" fillId="12" fontId="2" numFmtId="0" xfId="0" applyAlignment="1" applyBorder="1" applyFont="1">
      <alignment horizontal="center" vertical="bottom"/>
    </xf>
    <xf borderId="6" fillId="12" fontId="2" numFmtId="0" xfId="0" applyAlignment="1" applyBorder="1" applyFont="1">
      <alignment horizontal="center" vertical="bottom"/>
    </xf>
    <xf borderId="6" fillId="12" fontId="11" numFmtId="0" xfId="0" applyAlignment="1" applyBorder="1" applyFont="1">
      <alignment horizontal="center" vertical="bottom"/>
    </xf>
    <xf borderId="6" fillId="12" fontId="3" numFmtId="0" xfId="0" applyAlignment="1" applyBorder="1" applyFont="1">
      <alignment horizontal="center" vertical="bottom"/>
    </xf>
    <xf borderId="6" fillId="12" fontId="3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1" fillId="17" fontId="2" numFmtId="0" xfId="0" applyAlignment="1" applyBorder="1" applyFill="1" applyFont="1">
      <alignment horizontal="center" vertical="bottom"/>
    </xf>
    <xf borderId="6" fillId="0" fontId="3" numFmtId="166" xfId="0" applyAlignment="1" applyBorder="1" applyFont="1" applyNumberFormat="1">
      <alignment horizontal="center" vertical="bottom"/>
    </xf>
    <xf borderId="6" fillId="0" fontId="9" numFmtId="166" xfId="0" applyAlignment="1" applyBorder="1" applyFont="1" applyNumberFormat="1">
      <alignment horizontal="center" vertical="bottom"/>
    </xf>
    <xf borderId="6" fillId="0" fontId="3" numFmtId="166" xfId="0" applyAlignment="1" applyBorder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17" fontId="2" numFmtId="0" xfId="0" applyAlignment="1" applyBorder="1" applyFont="1">
      <alignment horizontal="center" readingOrder="0" vertical="bottom"/>
    </xf>
    <xf borderId="0" fillId="0" fontId="27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1" fillId="6" fontId="3" numFmtId="0" xfId="0" applyAlignment="1" applyBorder="1" applyFont="1">
      <alignment horizontal="center" readingOrder="0" vertical="bottom"/>
    </xf>
    <xf borderId="1" fillId="5" fontId="14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horizontal="center" readingOrder="0" vertical="bottom"/>
    </xf>
    <xf borderId="3" fillId="9" fontId="3" numFmtId="0" xfId="0" applyAlignment="1" applyBorder="1" applyFon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readingOrder="0" vertical="bottom"/>
    </xf>
    <xf borderId="3" fillId="6" fontId="11" numFmtId="0" xfId="0" applyAlignment="1" applyBorder="1" applyFont="1">
      <alignment horizontal="center" vertical="bottom"/>
    </xf>
    <xf borderId="3" fillId="6" fontId="2" numFmtId="0" xfId="0" applyAlignment="1" applyBorder="1" applyFont="1">
      <alignment horizontal="center" vertical="bottom"/>
    </xf>
    <xf borderId="6" fillId="6" fontId="16" numFmtId="166" xfId="0" applyAlignment="1" applyBorder="1" applyFont="1" applyNumberFormat="1">
      <alignment horizontal="center" vertical="bottom"/>
    </xf>
    <xf borderId="6" fillId="6" fontId="10" numFmtId="166" xfId="0" applyAlignment="1" applyBorder="1" applyFont="1" applyNumberFormat="1">
      <alignment horizontal="right" vertical="bottom"/>
    </xf>
    <xf borderId="6" fillId="6" fontId="3" numFmtId="166" xfId="0" applyAlignment="1" applyBorder="1" applyFont="1" applyNumberFormat="1">
      <alignment horizontal="right" readingOrder="0" vertical="bottom"/>
    </xf>
    <xf borderId="6" fillId="6" fontId="18" numFmtId="166" xfId="0" applyAlignment="1" applyBorder="1" applyFont="1" applyNumberFormat="1">
      <alignment horizontal="center" vertical="bottom"/>
    </xf>
    <xf borderId="6" fillId="6" fontId="1" numFmtId="166" xfId="0" applyAlignment="1" applyBorder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Point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es charges -style">
      <tableStyleElement dxfId="3" type="firstRowStripe"/>
      <tableStyleElement dxfId="2" type="secondRowStripe"/>
    </tableStyle>
    <tableStyle count="2" pivot="0" name="Les charges -style 2">
      <tableStyleElement dxfId="2" type="firstRowStripe"/>
      <tableStyleElement dxfId="3" type="secondRowStripe"/>
    </tableStyle>
    <tableStyle count="2" pivot="0" name="Les charges -style 3">
      <tableStyleElement dxfId="3" type="firstRowStripe"/>
      <tableStyleElement dxfId="2" type="secondRowStripe"/>
    </tableStyle>
    <tableStyle count="2" pivot="0" name="Les charges -style 4">
      <tableStyleElement dxfId="3" type="firstRowStripe"/>
      <tableStyleElement dxfId="2" type="secondRowStripe"/>
    </tableStyle>
    <tableStyle count="2" pivot="0" name="Les charges -style 5">
      <tableStyleElement dxfId="3" type="firstRowStripe"/>
      <tableStyleElement dxfId="2" type="secondRowStripe"/>
    </tableStyle>
    <tableStyle count="4" pivot="0" name="Compta du 23 au 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ta du 23 au 29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uille 8-style">
      <tableStyleElement dxfId="2" type="firstRowStripe"/>
      <tableStyleElement dxfId="3" type="secondRowStripe"/>
    </tableStyle>
    <tableStyle count="2" pivot="0" name="Feuille 8-style 2">
      <tableStyleElement dxfId="2" type="firstRowStripe"/>
      <tableStyleElement dxfId="3" type="secondRowStripe"/>
    </tableStyle>
    <tableStyle count="2" pivot="0" name="Feuille 8-style 3">
      <tableStyleElement dxfId="2" type="firstRowStripe"/>
      <tableStyleElement dxfId="3" type="secondRowStripe"/>
    </tableStyle>
    <tableStyle count="2" pivot="0" name="Feuille 8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F36" displayName="Tableau2" name="Tableau2" id="1">
  <tableColumns count="32">
    <tableColumn name="Colonne 1" id="1"/>
    <tableColumn name="Date" id="2"/>
    <tableColumn name="Nadjet" id="3"/>
    <tableColumn name="N/J" id="4"/>
    <tableColumn name="Yasmine" id="5"/>
    <tableColumn name="Column 18" id="6"/>
    <tableColumn name="Saida " id="7"/>
    <tableColumn name="Column 20" id="8"/>
    <tableColumn name="Ahlem" id="9"/>
    <tableColumn name="Column 21" id="10"/>
    <tableColumn name="Nour ElHouda" id="11"/>
    <tableColumn name="Column 22" id="12"/>
    <tableColumn name="Amina" id="13"/>
    <tableColumn name="Column 23" id="14"/>
    <tableColumn name="Selma" id="15"/>
    <tableColumn name="Column 24" id="16"/>
    <tableColumn name="Zohra" id="17"/>
    <tableColumn name="Column 25" id="18"/>
    <tableColumn name="Nora " id="19"/>
    <tableColumn name="Column 26" id="20"/>
    <tableColumn name="Ikram" id="21"/>
    <tableColumn name="Column 27" id="22"/>
    <tableColumn name="Rayan " id="23"/>
    <tableColumn name="Column 28" id="24"/>
    <tableColumn name="Karima" id="25"/>
    <tableColumn name="Column 29" id="26"/>
    <tableColumn name="Sihem" id="27"/>
    <tableColumn name="Column 30" id="28"/>
    <tableColumn name="Fatiha" id="29"/>
    <tableColumn name="Column 31" id="30"/>
    <tableColumn name="Remarque" id="31"/>
    <tableColumn name="Salaire/Jour" id="32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C313:F315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Les charges -style" showColumnStripes="0" showFirstColumn="1" showLastColumn="1" showRowStripes="1"/>
</table>
</file>

<file path=xl/tables/table3.xml><?xml version="1.0" encoding="utf-8"?>
<table xmlns="http://schemas.openxmlformats.org/spreadsheetml/2006/main" headerRowCount="0" ref="C316:F327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Les charges 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8:F351" displayName="Table_3" name="Table_3" id="4">
  <tableColumns count="4">
    <tableColumn name="Column1" id="1"/>
    <tableColumn name="Column2" id="2"/>
    <tableColumn name="Column3" id="3"/>
    <tableColumn name="Column4" id="4"/>
  </tableColumns>
  <tableStyleInfo name="Les charges 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52:F352" displayName="Table_4" name="Table_4" id="5">
  <tableColumns count="4">
    <tableColumn name="Column1" id="1"/>
    <tableColumn name="Column2" id="2"/>
    <tableColumn name="Column3" id="3"/>
    <tableColumn name="Column4" id="4"/>
  </tableColumns>
  <tableStyleInfo name="Les charges 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53:F360" displayName="Table_5" name="Table_5" id="6">
  <tableColumns count="4">
    <tableColumn name="Column1" id="1"/>
    <tableColumn name="Column2" id="2"/>
    <tableColumn name="Column3" id="3"/>
    <tableColumn name="Column4" id="4"/>
  </tableColumns>
  <tableStyleInfo name="Les charges -style 5" showColumnStripes="0" showFirstColumn="1" showLastColumn="1" showRowStripes="1"/>
</table>
</file>

<file path=xl/tables/table7.xml><?xml version="1.0" encoding="utf-8"?>
<table xmlns="http://schemas.openxmlformats.org/spreadsheetml/2006/main" ref="C12:F78" displayName="Tableau1" name="Tableau1" id="7">
  <tableColumns count="4">
    <tableColumn name="Produit" id="1"/>
    <tableColumn name="Quantité" id="2"/>
    <tableColumn name="PU" id="3"/>
    <tableColumn name="Prix total" id="4"/>
  </tableColumns>
  <tableStyleInfo name="Compta du 23 au 29-style" showColumnStripes="0" showFirstColumn="1" showLastColumn="1" showRowStripes="1"/>
</table>
</file>

<file path=xl/tables/table8.xml><?xml version="1.0" encoding="utf-8"?>
<table xmlns="http://schemas.openxmlformats.org/spreadsheetml/2006/main" ref="Q75:T141" displayName="Tableau3" name="Tableau3" id="8">
  <tableColumns count="4">
    <tableColumn name="Produit" id="1"/>
    <tableColumn name="Quantité" id="2"/>
    <tableColumn name="PU" id="3"/>
    <tableColumn name="Prix total" id="4"/>
  </tableColumns>
  <tableStyleInfo name="Compta du 23 au 29-style 2" showColumnStripes="0" showFirstColumn="1" showLastColumn="1" showRowStripes="1"/>
</table>
</file>

<file path=xl/tables/table9.xml><?xml version="1.0" encoding="utf-8"?>
<table xmlns="http://schemas.openxmlformats.org/spreadsheetml/2006/main" headerRowCount="0" ref="A2:C36" displayName="Table_6" name="Table_6" id="9">
  <tableColumns count="3">
    <tableColumn name="Column1" id="1"/>
    <tableColumn name="Column2" id="2"/>
    <tableColumn name="Column3" id="3"/>
  </tableColumns>
  <tableStyleInfo name="Feuille 8-style" showColumnStripes="0" showFirstColumn="1" showLastColumn="1" showRowStripes="1"/>
</table>
</file>

<file path=xl/tables/table10.xml><?xml version="1.0" encoding="utf-8"?>
<table xmlns="http://schemas.openxmlformats.org/spreadsheetml/2006/main" headerRowCount="0" ref="E2:G36" displayName="Table_7" name="Table_7" id="10">
  <tableColumns count="3">
    <tableColumn name="Column1" id="1"/>
    <tableColumn name="Column2" id="2"/>
    <tableColumn name="Column3" id="3"/>
  </tableColumns>
  <tableStyleInfo name="Feuille 8-style 2" showColumnStripes="0" showFirstColumn="1" showLastColumn="1" showRowStripes="1"/>
</table>
</file>

<file path=xl/tables/table11.xml><?xml version="1.0" encoding="utf-8"?>
<table xmlns="http://schemas.openxmlformats.org/spreadsheetml/2006/main" headerRowCount="0" ref="I2:K36" displayName="Table_8" name="Table_8" id="11">
  <tableColumns count="3">
    <tableColumn name="Column1" id="1"/>
    <tableColumn name="Column2" id="2"/>
    <tableColumn name="Column3" id="3"/>
  </tableColumns>
  <tableStyleInfo name="Feuille 8-style 3" showColumnStripes="0" showFirstColumn="1" showLastColumn="1" showRowStripes="1"/>
</table>
</file>

<file path=xl/tables/table12.xml><?xml version="1.0" encoding="utf-8"?>
<table xmlns="http://schemas.openxmlformats.org/spreadsheetml/2006/main" headerRowCount="0" ref="M2:O36" displayName="Table_9" name="Table_9" id="12">
  <tableColumns count="3">
    <tableColumn name="Column1" id="1"/>
    <tableColumn name="Column2" id="2"/>
    <tableColumn name="Column3" id="3"/>
  </tableColumns>
  <tableStyleInfo name="Feuille 8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5.63"/>
    <col customWidth="1" min="3" max="3" width="35.38"/>
    <col customWidth="1" min="4" max="4" width="26.75"/>
    <col customWidth="1" min="5" max="6" width="24.88"/>
    <col customWidth="1" min="7" max="8" width="26.38"/>
    <col customWidth="1" min="9" max="9" width="24.88"/>
    <col customWidth="1" min="10" max="10" width="28.63"/>
    <col customWidth="1" min="12" max="12" width="32.75"/>
    <col customWidth="1" min="13" max="13" width="68.75"/>
    <col customWidth="1" min="14" max="14" width="38.75"/>
    <col customWidth="1" min="15" max="15" width="35.0"/>
    <col customWidth="1" min="16" max="16" width="42.88"/>
    <col customWidth="1" min="17" max="17" width="45.13"/>
    <col customWidth="1" min="18" max="18" width="34.63"/>
    <col customWidth="1" min="19" max="19" width="101.75"/>
    <col customWidth="1" min="20" max="20" width="26.75"/>
    <col customWidth="1" min="21" max="21" width="42.5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9" t="s">
        <v>11</v>
      </c>
      <c r="B2" s="10">
        <v>45597.0</v>
      </c>
      <c r="C2" s="11">
        <v>85000.0</v>
      </c>
      <c r="D2" s="11">
        <v>139000.0</v>
      </c>
      <c r="E2" s="12"/>
      <c r="F2" s="13">
        <f>Pointage!AF2</f>
        <v>11760</v>
      </c>
      <c r="G2" s="11">
        <v>2000.0</v>
      </c>
      <c r="H2" s="12"/>
      <c r="I2" s="12"/>
      <c r="J2" s="14">
        <v>1.0</v>
      </c>
      <c r="K2" s="15"/>
      <c r="L2" s="16"/>
      <c r="M2" s="17">
        <v>85000.0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18" t="s">
        <v>12</v>
      </c>
      <c r="B3" s="19">
        <v>45598.0</v>
      </c>
      <c r="C3" s="20">
        <v>35000.0</v>
      </c>
      <c r="D3" s="20">
        <v>48000.0</v>
      </c>
      <c r="E3" s="21"/>
      <c r="F3" s="22">
        <f>Pointage!AF3</f>
        <v>11196</v>
      </c>
      <c r="G3" s="20">
        <v>2000.0</v>
      </c>
      <c r="H3" s="21"/>
      <c r="I3" s="21"/>
      <c r="J3" s="23">
        <v>1.0</v>
      </c>
      <c r="K3" s="15"/>
      <c r="L3" s="16"/>
      <c r="M3" s="17">
        <v>35000.0</v>
      </c>
      <c r="N3" s="24" t="s">
        <v>13</v>
      </c>
      <c r="O3" s="24" t="s">
        <v>14</v>
      </c>
      <c r="P3" s="25" t="s">
        <v>15</v>
      </c>
      <c r="Q3" s="26" t="s">
        <v>16</v>
      </c>
      <c r="R3" s="6"/>
      <c r="S3" s="6"/>
      <c r="T3" s="6"/>
      <c r="U3" s="6"/>
      <c r="V3" s="6"/>
      <c r="W3" s="6"/>
    </row>
    <row r="4">
      <c r="A4" s="18" t="s">
        <v>17</v>
      </c>
      <c r="B4" s="19">
        <v>45599.0</v>
      </c>
      <c r="C4" s="20">
        <v>60000.0</v>
      </c>
      <c r="D4" s="20">
        <v>60000.0</v>
      </c>
      <c r="E4" s="21"/>
      <c r="F4" s="22">
        <f>Pointage!AF4</f>
        <v>11284</v>
      </c>
      <c r="G4" s="20">
        <v>2000.0</v>
      </c>
      <c r="H4" s="21"/>
      <c r="I4" s="21"/>
      <c r="J4" s="23">
        <v>1.0</v>
      </c>
      <c r="K4" s="15"/>
      <c r="L4" s="16"/>
      <c r="M4" s="17">
        <v>60000.0</v>
      </c>
      <c r="N4" s="27">
        <f>I33/J33</f>
        <v>5227.552174</v>
      </c>
      <c r="O4" s="27">
        <f>D33/J33</f>
        <v>57739.13043</v>
      </c>
      <c r="P4" s="28"/>
      <c r="Q4" s="29">
        <f>P4/O4</f>
        <v>0</v>
      </c>
      <c r="R4" s="6"/>
      <c r="S4" s="6"/>
      <c r="T4" s="6"/>
      <c r="U4" s="6"/>
      <c r="V4" s="6"/>
      <c r="W4" s="6"/>
    </row>
    <row r="5">
      <c r="A5" s="18" t="s">
        <v>18</v>
      </c>
      <c r="B5" s="19">
        <v>45600.0</v>
      </c>
      <c r="C5" s="20">
        <v>56000.0</v>
      </c>
      <c r="D5" s="20">
        <v>50000.0</v>
      </c>
      <c r="E5" s="21"/>
      <c r="F5" s="22">
        <f>Pointage!AF5</f>
        <v>12946</v>
      </c>
      <c r="G5" s="20">
        <v>2000.0</v>
      </c>
      <c r="H5" s="21"/>
      <c r="I5" s="21"/>
      <c r="J5" s="23">
        <v>1.0</v>
      </c>
      <c r="K5" s="15"/>
      <c r="L5" s="16"/>
      <c r="M5" s="17">
        <v>56000.0</v>
      </c>
      <c r="N5" s="1"/>
      <c r="O5" s="1"/>
      <c r="P5" s="6"/>
      <c r="Q5" s="30"/>
      <c r="R5" s="6"/>
      <c r="S5" s="6"/>
      <c r="T5" s="6"/>
      <c r="U5" s="6"/>
      <c r="V5" s="6"/>
      <c r="W5" s="6"/>
    </row>
    <row r="6">
      <c r="A6" s="18" t="s">
        <v>19</v>
      </c>
      <c r="B6" s="19">
        <v>45601.0</v>
      </c>
      <c r="C6" s="20">
        <v>85000.0</v>
      </c>
      <c r="D6" s="20">
        <v>49000.0</v>
      </c>
      <c r="E6" s="21"/>
      <c r="F6" s="22">
        <f>Pointage!AF6</f>
        <v>13718.4</v>
      </c>
      <c r="G6" s="20">
        <v>2000.0</v>
      </c>
      <c r="H6" s="21"/>
      <c r="I6" s="21"/>
      <c r="J6" s="23">
        <v>1.0</v>
      </c>
      <c r="K6" s="15"/>
      <c r="L6" s="16"/>
      <c r="M6" s="17">
        <v>85000.0</v>
      </c>
      <c r="N6" s="31" t="s">
        <v>20</v>
      </c>
      <c r="O6" s="32" t="s">
        <v>21</v>
      </c>
      <c r="P6" s="6"/>
      <c r="Q6" s="1"/>
      <c r="R6" s="6"/>
      <c r="S6" s="6"/>
      <c r="T6" s="6"/>
      <c r="U6" s="6"/>
      <c r="V6" s="6"/>
      <c r="W6" s="6"/>
    </row>
    <row r="7">
      <c r="A7" s="18" t="s">
        <v>22</v>
      </c>
      <c r="B7" s="19">
        <v>45602.0</v>
      </c>
      <c r="C7" s="20">
        <v>26000.0</v>
      </c>
      <c r="D7" s="20">
        <v>48000.0</v>
      </c>
      <c r="E7" s="21"/>
      <c r="F7" s="22">
        <f>Pointage!AF7</f>
        <v>12945.2</v>
      </c>
      <c r="G7" s="20">
        <v>2000.0</v>
      </c>
      <c r="H7" s="21"/>
      <c r="I7" s="21"/>
      <c r="J7" s="23">
        <v>1.0</v>
      </c>
      <c r="K7" s="15"/>
      <c r="L7" s="16"/>
      <c r="M7" s="17">
        <v>26000.0</v>
      </c>
      <c r="N7" s="33">
        <f>E33/J33</f>
        <v>28048.88261</v>
      </c>
      <c r="O7" s="33">
        <v>100000.0</v>
      </c>
      <c r="P7" s="1"/>
      <c r="Q7" s="1"/>
      <c r="R7" s="6"/>
      <c r="S7" s="6"/>
      <c r="T7" s="6"/>
      <c r="U7" s="6"/>
      <c r="V7" s="6"/>
      <c r="W7" s="6"/>
    </row>
    <row r="8">
      <c r="A8" s="18" t="s">
        <v>23</v>
      </c>
      <c r="B8" s="19">
        <v>45603.0</v>
      </c>
      <c r="C8" s="20">
        <v>32000.0</v>
      </c>
      <c r="D8" s="20">
        <v>72000.0</v>
      </c>
      <c r="E8" s="21"/>
      <c r="F8" s="22">
        <f>Pointage!AF8</f>
        <v>12772</v>
      </c>
      <c r="G8" s="20">
        <v>2000.0</v>
      </c>
      <c r="H8" s="21"/>
      <c r="I8" s="21"/>
      <c r="J8" s="23">
        <v>1.0</v>
      </c>
      <c r="K8" s="15"/>
      <c r="L8" s="16"/>
      <c r="M8" s="17">
        <v>32000.0</v>
      </c>
      <c r="N8" s="1" t="s">
        <v>24</v>
      </c>
      <c r="O8" s="1"/>
      <c r="P8" s="1"/>
      <c r="Q8" s="1"/>
      <c r="R8" s="6"/>
      <c r="S8" s="6" t="s">
        <v>25</v>
      </c>
      <c r="T8" s="6"/>
      <c r="U8" s="6"/>
      <c r="V8" s="6"/>
      <c r="W8" s="6"/>
    </row>
    <row r="9">
      <c r="A9" s="9" t="s">
        <v>11</v>
      </c>
      <c r="B9" s="10">
        <v>45604.0</v>
      </c>
      <c r="C9" s="11">
        <v>26000.0</v>
      </c>
      <c r="D9" s="11">
        <v>57000.0</v>
      </c>
      <c r="E9" s="12"/>
      <c r="F9" s="13">
        <f>Pointage!AF9</f>
        <v>9448</v>
      </c>
      <c r="G9" s="11">
        <v>2000.0</v>
      </c>
      <c r="H9" s="12"/>
      <c r="I9" s="12"/>
      <c r="J9" s="34">
        <v>1.0</v>
      </c>
      <c r="K9" s="15"/>
      <c r="L9" s="16"/>
      <c r="M9" s="17">
        <v>26000.0</v>
      </c>
      <c r="N9" s="1"/>
      <c r="O9" s="1"/>
      <c r="P9" s="1"/>
      <c r="Q9" s="1"/>
      <c r="R9" s="6"/>
      <c r="S9" s="6"/>
      <c r="T9" s="6"/>
      <c r="U9" s="6"/>
      <c r="V9" s="6"/>
      <c r="W9" s="6"/>
    </row>
    <row r="10">
      <c r="A10" s="18" t="s">
        <v>12</v>
      </c>
      <c r="B10" s="19">
        <v>45605.0</v>
      </c>
      <c r="C10" s="20">
        <v>28000.0</v>
      </c>
      <c r="D10" s="20">
        <v>62000.0</v>
      </c>
      <c r="E10" s="21"/>
      <c r="F10" s="22">
        <f>Pointage!AF10</f>
        <v>11196</v>
      </c>
      <c r="G10" s="20">
        <v>2000.0</v>
      </c>
      <c r="H10" s="21"/>
      <c r="I10" s="21"/>
      <c r="J10" s="23">
        <v>1.0</v>
      </c>
      <c r="K10" s="15"/>
      <c r="L10" s="16"/>
      <c r="M10" s="17">
        <v>28000.0</v>
      </c>
      <c r="N10" s="35" t="s">
        <v>26</v>
      </c>
      <c r="O10" s="35" t="s">
        <v>27</v>
      </c>
      <c r="P10" s="36" t="s">
        <v>28</v>
      </c>
      <c r="Q10" s="37" t="s">
        <v>29</v>
      </c>
      <c r="R10" s="6"/>
      <c r="S10" s="6"/>
      <c r="T10" s="6"/>
      <c r="U10" s="6"/>
      <c r="V10" s="6"/>
      <c r="W10" s="6"/>
    </row>
    <row r="11">
      <c r="A11" s="18" t="s">
        <v>17</v>
      </c>
      <c r="B11" s="19">
        <v>45606.0</v>
      </c>
      <c r="C11" s="20">
        <v>52000.0</v>
      </c>
      <c r="D11" s="20">
        <v>31000.0</v>
      </c>
      <c r="E11" s="21"/>
      <c r="F11" s="22">
        <f>Pointage!AF11</f>
        <v>13884</v>
      </c>
      <c r="G11" s="20">
        <v>2000.0</v>
      </c>
      <c r="H11" s="21"/>
      <c r="I11" s="21"/>
      <c r="J11" s="23">
        <v>1.0</v>
      </c>
      <c r="K11" s="15"/>
      <c r="L11" s="16"/>
      <c r="M11" s="17">
        <v>52000.0</v>
      </c>
      <c r="N11" s="17">
        <f>N14+D33-E33-Salaires!G24-R19-O11-G33</f>
        <v>572375.7</v>
      </c>
      <c r="O11" s="38">
        <v>25000.0</v>
      </c>
      <c r="P11" s="39">
        <v>300000.0</v>
      </c>
      <c r="Q11" s="33">
        <f>N11-P11</f>
        <v>272375.7</v>
      </c>
      <c r="R11" s="6"/>
      <c r="S11" s="6"/>
      <c r="T11" s="6"/>
      <c r="U11" s="6"/>
      <c r="V11" s="6"/>
      <c r="W11" s="6"/>
    </row>
    <row r="12">
      <c r="A12" s="18" t="s">
        <v>18</v>
      </c>
      <c r="B12" s="19">
        <v>45607.0</v>
      </c>
      <c r="C12" s="20">
        <v>38000.0</v>
      </c>
      <c r="D12" s="20">
        <v>62000.0</v>
      </c>
      <c r="E12" s="21"/>
      <c r="F12" s="22">
        <f>Pointage!AF12</f>
        <v>14996</v>
      </c>
      <c r="G12" s="20">
        <v>2000.0</v>
      </c>
      <c r="H12" s="21"/>
      <c r="I12" s="21"/>
      <c r="J12" s="23">
        <v>1.0</v>
      </c>
      <c r="K12" s="15"/>
      <c r="L12" s="16"/>
      <c r="M12" s="17">
        <v>38000.0</v>
      </c>
      <c r="N12" s="1"/>
      <c r="O12" s="1"/>
      <c r="P12" s="40"/>
      <c r="Q12" s="40"/>
      <c r="R12" s="6"/>
      <c r="S12" s="6"/>
      <c r="T12" s="6"/>
      <c r="U12" s="6"/>
      <c r="V12" s="6"/>
      <c r="W12" s="6"/>
    </row>
    <row r="13">
      <c r="A13" s="18" t="s">
        <v>19</v>
      </c>
      <c r="B13" s="19">
        <v>45608.0</v>
      </c>
      <c r="C13" s="20">
        <v>40000.0</v>
      </c>
      <c r="D13" s="20">
        <v>35000.0</v>
      </c>
      <c r="E13" s="21"/>
      <c r="F13" s="22">
        <f>Pointage!AF13</f>
        <v>13496</v>
      </c>
      <c r="G13" s="20">
        <v>2000.0</v>
      </c>
      <c r="H13" s="21"/>
      <c r="I13" s="21"/>
      <c r="J13" s="23">
        <v>1.0</v>
      </c>
      <c r="K13" s="15"/>
      <c r="L13" s="16"/>
      <c r="M13" s="17">
        <v>40000.0</v>
      </c>
      <c r="N13" s="36" t="s">
        <v>30</v>
      </c>
      <c r="O13" s="40"/>
      <c r="P13" s="6"/>
      <c r="Q13" s="40"/>
      <c r="R13" s="6"/>
      <c r="S13" s="6"/>
      <c r="T13" s="15"/>
      <c r="U13" s="6"/>
      <c r="V13" s="6"/>
      <c r="W13" s="6"/>
    </row>
    <row r="14">
      <c r="A14" s="18" t="s">
        <v>22</v>
      </c>
      <c r="B14" s="19">
        <v>45609.0</v>
      </c>
      <c r="C14" s="20">
        <v>24000.0</v>
      </c>
      <c r="D14" s="20">
        <v>71000.0</v>
      </c>
      <c r="E14" s="21"/>
      <c r="F14" s="22">
        <f>Pointage!AF14</f>
        <v>13606</v>
      </c>
      <c r="G14" s="20">
        <v>2000.0</v>
      </c>
      <c r="H14" s="21"/>
      <c r="I14" s="21"/>
      <c r="J14" s="23">
        <v>1.0</v>
      </c>
      <c r="K14" s="15"/>
      <c r="L14" s="16"/>
      <c r="M14" s="17">
        <v>24000.0</v>
      </c>
      <c r="N14" s="41">
        <v>330000.0</v>
      </c>
      <c r="O14" s="40"/>
      <c r="P14" s="6"/>
      <c r="Q14" s="28"/>
      <c r="R14" s="6"/>
      <c r="S14" s="6"/>
      <c r="T14" s="15"/>
      <c r="U14" s="6"/>
      <c r="V14" s="6"/>
      <c r="W14" s="6"/>
    </row>
    <row r="15">
      <c r="A15" s="18" t="s">
        <v>23</v>
      </c>
      <c r="B15" s="19">
        <v>45610.0</v>
      </c>
      <c r="C15" s="20">
        <v>164000.0</v>
      </c>
      <c r="D15" s="20">
        <v>80000.0</v>
      </c>
      <c r="E15" s="21"/>
      <c r="F15" s="22">
        <f>Pointage!AF15</f>
        <v>11084</v>
      </c>
      <c r="G15" s="20">
        <v>2000.0</v>
      </c>
      <c r="H15" s="21"/>
      <c r="I15" s="21"/>
      <c r="J15" s="23">
        <v>1.0</v>
      </c>
      <c r="K15" s="15"/>
      <c r="L15" s="16"/>
      <c r="M15" s="17">
        <v>164000.0</v>
      </c>
      <c r="N15" s="28"/>
      <c r="O15" s="28"/>
      <c r="P15" s="15"/>
      <c r="Q15" s="6"/>
      <c r="R15" s="6"/>
      <c r="S15" s="6"/>
      <c r="T15" s="15"/>
      <c r="U15" s="6"/>
      <c r="V15" s="6"/>
      <c r="W15" s="6"/>
    </row>
    <row r="16">
      <c r="A16" s="9" t="s">
        <v>11</v>
      </c>
      <c r="B16" s="10">
        <v>45611.0</v>
      </c>
      <c r="C16" s="11">
        <v>21000.0</v>
      </c>
      <c r="D16" s="11">
        <v>82000.0</v>
      </c>
      <c r="E16" s="12"/>
      <c r="F16" s="13">
        <f>Pointage!AF16</f>
        <v>9528</v>
      </c>
      <c r="G16" s="11">
        <v>2000.0</v>
      </c>
      <c r="H16" s="12"/>
      <c r="I16" s="12"/>
      <c r="J16" s="34">
        <v>1.0</v>
      </c>
      <c r="K16" s="15"/>
      <c r="L16" s="16"/>
      <c r="M16" s="17">
        <v>21000.0</v>
      </c>
      <c r="N16" s="42" t="s">
        <v>31</v>
      </c>
      <c r="O16" s="28"/>
      <c r="P16" s="28"/>
      <c r="Q16" s="26" t="s">
        <v>32</v>
      </c>
      <c r="R16" s="43"/>
      <c r="S16" s="6"/>
      <c r="T16" s="15"/>
      <c r="U16" s="6"/>
      <c r="V16" s="6"/>
      <c r="W16" s="6"/>
    </row>
    <row r="17">
      <c r="A17" s="18" t="s">
        <v>12</v>
      </c>
      <c r="B17" s="19">
        <v>45612.0</v>
      </c>
      <c r="C17" s="20">
        <v>107000.0</v>
      </c>
      <c r="D17" s="20">
        <v>11000.0</v>
      </c>
      <c r="E17" s="21"/>
      <c r="F17" s="22">
        <f>Pointage!AF17</f>
        <v>0</v>
      </c>
      <c r="G17" s="20">
        <v>2000.0</v>
      </c>
      <c r="H17" s="21"/>
      <c r="I17" s="21"/>
      <c r="J17" s="23">
        <v>0.0</v>
      </c>
      <c r="K17" s="15"/>
      <c r="L17" s="16"/>
      <c r="M17" s="17">
        <v>107000.0</v>
      </c>
      <c r="N17" s="44">
        <v>0.0</v>
      </c>
      <c r="O17" s="28"/>
      <c r="P17" s="28"/>
      <c r="Q17" s="45" t="s">
        <v>33</v>
      </c>
      <c r="R17" s="6"/>
      <c r="S17" s="6"/>
      <c r="T17" s="15"/>
      <c r="U17" s="6"/>
      <c r="V17" s="6"/>
      <c r="W17" s="6"/>
    </row>
    <row r="18">
      <c r="A18" s="18" t="s">
        <v>17</v>
      </c>
      <c r="B18" s="19">
        <v>45613.0</v>
      </c>
      <c r="C18" s="46">
        <v>65000.0</v>
      </c>
      <c r="D18" s="46">
        <v>0.0</v>
      </c>
      <c r="E18" s="47"/>
      <c r="F18" s="48">
        <f>Pointage!AF18</f>
        <v>0</v>
      </c>
      <c r="G18" s="46">
        <v>0.0</v>
      </c>
      <c r="H18" s="47"/>
      <c r="I18" s="47"/>
      <c r="J18" s="49">
        <v>0.0</v>
      </c>
      <c r="K18" s="15"/>
      <c r="L18" s="16"/>
      <c r="M18" s="17">
        <v>65000.0</v>
      </c>
      <c r="N18" s="50"/>
      <c r="O18" s="28"/>
      <c r="P18" s="51"/>
      <c r="Q18" s="28"/>
      <c r="R18" s="52">
        <v>45582.0</v>
      </c>
      <c r="S18" s="53" t="s">
        <v>34</v>
      </c>
      <c r="T18" s="15"/>
      <c r="U18" s="6"/>
      <c r="V18" s="6"/>
      <c r="W18" s="6"/>
    </row>
    <row r="19">
      <c r="A19" s="18" t="s">
        <v>18</v>
      </c>
      <c r="B19" s="19">
        <v>45614.0</v>
      </c>
      <c r="C19" s="46">
        <v>60000.0</v>
      </c>
      <c r="D19" s="46">
        <v>0.0</v>
      </c>
      <c r="E19" s="47"/>
      <c r="F19" s="48">
        <f>Pointage!AF19</f>
        <v>0</v>
      </c>
      <c r="G19" s="46">
        <v>0.0</v>
      </c>
      <c r="H19" s="47"/>
      <c r="I19" s="47"/>
      <c r="J19" s="49">
        <v>0.0</v>
      </c>
      <c r="K19" s="15"/>
      <c r="L19" s="16"/>
      <c r="M19" s="17">
        <v>60000.0</v>
      </c>
      <c r="N19" s="54" t="s">
        <v>35</v>
      </c>
      <c r="O19" s="28"/>
      <c r="P19" s="28"/>
      <c r="Q19" s="55" t="s">
        <v>36</v>
      </c>
      <c r="R19" s="56"/>
      <c r="S19" s="39">
        <v>18000.0</v>
      </c>
      <c r="T19" s="15"/>
      <c r="U19" s="6"/>
      <c r="V19" s="6"/>
      <c r="W19" s="6"/>
    </row>
    <row r="20">
      <c r="A20" s="18" t="s">
        <v>19</v>
      </c>
      <c r="B20" s="19">
        <v>45615.0</v>
      </c>
      <c r="C20" s="46">
        <v>23000.0</v>
      </c>
      <c r="D20" s="46">
        <v>0.0</v>
      </c>
      <c r="E20" s="47"/>
      <c r="F20" s="48">
        <f>Pointage!AF20</f>
        <v>0</v>
      </c>
      <c r="G20" s="46">
        <v>0.0</v>
      </c>
      <c r="H20" s="47"/>
      <c r="I20" s="47"/>
      <c r="J20" s="49">
        <v>0.0</v>
      </c>
      <c r="K20" s="15"/>
      <c r="L20" s="16"/>
      <c r="M20" s="17">
        <v>23000.0</v>
      </c>
      <c r="N20" s="17">
        <f>D33-C33</f>
        <v>-292000</v>
      </c>
      <c r="O20" s="28"/>
      <c r="P20" s="6"/>
      <c r="Q20" s="57" t="s">
        <v>37</v>
      </c>
      <c r="R20" s="6"/>
      <c r="S20" s="6"/>
      <c r="T20" s="15"/>
      <c r="U20" s="6"/>
      <c r="V20" s="6"/>
      <c r="W20" s="6"/>
    </row>
    <row r="21">
      <c r="A21" s="18" t="s">
        <v>22</v>
      </c>
      <c r="B21" s="19">
        <v>45616.0</v>
      </c>
      <c r="C21" s="46">
        <v>28000.0</v>
      </c>
      <c r="D21" s="46">
        <v>0.0</v>
      </c>
      <c r="E21" s="47"/>
      <c r="F21" s="48">
        <f>Pointage!AF21</f>
        <v>4536</v>
      </c>
      <c r="G21" s="46">
        <v>0.0</v>
      </c>
      <c r="H21" s="47"/>
      <c r="I21" s="47"/>
      <c r="J21" s="49">
        <v>0.0</v>
      </c>
      <c r="K21" s="15"/>
      <c r="L21" s="16"/>
      <c r="M21" s="17">
        <v>28000.0</v>
      </c>
      <c r="N21" s="58" t="s">
        <v>38</v>
      </c>
      <c r="O21" s="59"/>
      <c r="P21" s="60" t="s">
        <v>39</v>
      </c>
      <c r="Q21" s="17">
        <v>1.0</v>
      </c>
      <c r="R21" s="17">
        <v>8800.0</v>
      </c>
      <c r="S21" s="17">
        <f>Q21*R21</f>
        <v>8800</v>
      </c>
      <c r="T21" s="15"/>
      <c r="U21" s="6"/>
      <c r="V21" s="6"/>
      <c r="W21" s="6"/>
    </row>
    <row r="22">
      <c r="A22" s="18" t="s">
        <v>23</v>
      </c>
      <c r="B22" s="19">
        <v>45617.0</v>
      </c>
      <c r="C22" s="46">
        <v>40000.0</v>
      </c>
      <c r="D22" s="46">
        <v>0.0</v>
      </c>
      <c r="E22" s="47"/>
      <c r="F22" s="48">
        <f>Pointage!AF22</f>
        <v>3424</v>
      </c>
      <c r="G22" s="46">
        <v>0.0</v>
      </c>
      <c r="H22" s="47"/>
      <c r="I22" s="47"/>
      <c r="J22" s="49">
        <v>0.0</v>
      </c>
      <c r="K22" s="15"/>
      <c r="L22" s="16"/>
      <c r="M22" s="17">
        <v>40000.0</v>
      </c>
      <c r="N22" s="33">
        <f>L36-E36</f>
        <v>0</v>
      </c>
      <c r="O22" s="59"/>
      <c r="P22" s="60" t="s">
        <v>40</v>
      </c>
      <c r="Q22" s="17">
        <v>4.0</v>
      </c>
      <c r="R22" s="17">
        <v>400.0</v>
      </c>
      <c r="S22" s="17">
        <v>600.0</v>
      </c>
      <c r="T22" s="15"/>
      <c r="U22" s="6"/>
      <c r="V22" s="6"/>
      <c r="W22" s="6"/>
    </row>
    <row r="23">
      <c r="A23" s="9" t="s">
        <v>11</v>
      </c>
      <c r="B23" s="10">
        <v>45618.0</v>
      </c>
      <c r="C23" s="61">
        <v>37000.0</v>
      </c>
      <c r="D23" s="46">
        <v>0.0</v>
      </c>
      <c r="E23" s="47"/>
      <c r="F23" s="48">
        <f>Pointage!AF23</f>
        <v>5548</v>
      </c>
      <c r="G23" s="46">
        <v>0.0</v>
      </c>
      <c r="H23" s="47"/>
      <c r="I23" s="47"/>
      <c r="J23" s="49">
        <v>0.0</v>
      </c>
      <c r="K23" s="15"/>
      <c r="L23" s="16"/>
      <c r="M23" s="17">
        <v>37000.0</v>
      </c>
      <c r="N23" s="62" t="s">
        <v>41</v>
      </c>
      <c r="O23" s="59"/>
      <c r="P23" s="60" t="s">
        <v>42</v>
      </c>
      <c r="Q23" s="17">
        <v>1.0</v>
      </c>
      <c r="R23" s="17">
        <v>2800.0</v>
      </c>
      <c r="S23" s="17">
        <f>Q23*R23</f>
        <v>2800</v>
      </c>
      <c r="T23" s="15"/>
      <c r="U23" s="6"/>
      <c r="V23" s="6"/>
      <c r="W23" s="6"/>
    </row>
    <row r="24">
      <c r="A24" s="18" t="s">
        <v>12</v>
      </c>
      <c r="B24" s="19">
        <v>45619.0</v>
      </c>
      <c r="C24" s="17">
        <v>47000.0</v>
      </c>
      <c r="D24" s="20">
        <v>45000.0</v>
      </c>
      <c r="E24" s="21"/>
      <c r="F24" s="22">
        <f>Pointage!AF24</f>
        <v>13896</v>
      </c>
      <c r="G24" s="20">
        <v>2000.0</v>
      </c>
      <c r="H24" s="21"/>
      <c r="I24" s="21"/>
      <c r="J24" s="23">
        <v>1.0</v>
      </c>
      <c r="K24" s="15"/>
      <c r="L24" s="16"/>
      <c r="M24" s="17">
        <v>47000.0</v>
      </c>
      <c r="N24" s="41">
        <f>D33-C33</f>
        <v>-292000</v>
      </c>
      <c r="O24" s="28"/>
      <c r="P24" s="63"/>
      <c r="Q24" s="64"/>
      <c r="R24" s="65" t="s">
        <v>43</v>
      </c>
      <c r="S24" s="65">
        <v>1.0</v>
      </c>
      <c r="T24" s="66">
        <v>1800.0</v>
      </c>
      <c r="U24" s="67">
        <f>S24*T24</f>
        <v>1800</v>
      </c>
      <c r="V24" s="6"/>
      <c r="W24" s="6"/>
    </row>
    <row r="25">
      <c r="A25" s="18" t="s">
        <v>17</v>
      </c>
      <c r="B25" s="19">
        <v>45620.0</v>
      </c>
      <c r="C25" s="17">
        <v>43000.0</v>
      </c>
      <c r="D25" s="20">
        <v>55000.0</v>
      </c>
      <c r="E25" s="21"/>
      <c r="F25" s="22">
        <f>Pointage!AF25</f>
        <v>11746</v>
      </c>
      <c r="G25" s="20">
        <v>2000.0</v>
      </c>
      <c r="H25" s="21"/>
      <c r="I25" s="21"/>
      <c r="J25" s="23">
        <v>1.0</v>
      </c>
      <c r="K25" s="15"/>
      <c r="L25" s="16"/>
      <c r="M25" s="17">
        <v>43000.0</v>
      </c>
      <c r="N25" s="36" t="s">
        <v>44</v>
      </c>
      <c r="O25" s="59"/>
      <c r="P25" s="68" t="s">
        <v>45</v>
      </c>
      <c r="Q25" s="40"/>
      <c r="R25" s="69"/>
      <c r="S25" s="69"/>
      <c r="T25" s="70"/>
      <c r="U25" s="71"/>
      <c r="V25" s="6"/>
      <c r="W25" s="6"/>
    </row>
    <row r="26">
      <c r="A26" s="18" t="s">
        <v>18</v>
      </c>
      <c r="B26" s="19">
        <v>45621.0</v>
      </c>
      <c r="C26" s="17">
        <v>104000.0</v>
      </c>
      <c r="D26" s="20">
        <v>45000.0</v>
      </c>
      <c r="E26" s="21"/>
      <c r="F26" s="22">
        <f>Pointage!AF26</f>
        <v>13134</v>
      </c>
      <c r="G26" s="20">
        <v>2000.0</v>
      </c>
      <c r="H26" s="21"/>
      <c r="I26" s="21"/>
      <c r="J26" s="23">
        <v>1.0</v>
      </c>
      <c r="K26" s="15"/>
      <c r="L26" s="16"/>
      <c r="M26" s="17">
        <v>104000.0</v>
      </c>
      <c r="N26" s="33">
        <f>D9+D16+D23+D30</f>
        <v>179000</v>
      </c>
      <c r="O26" s="72"/>
      <c r="P26" s="21"/>
      <c r="Q26" s="16"/>
      <c r="R26" s="65" t="s">
        <v>46</v>
      </c>
      <c r="S26" s="65">
        <v>1.0</v>
      </c>
      <c r="T26" s="66">
        <v>21000.0</v>
      </c>
      <c r="U26" s="67">
        <f>S26*T26</f>
        <v>21000</v>
      </c>
      <c r="V26" s="6"/>
      <c r="W26" s="6"/>
    </row>
    <row r="27">
      <c r="A27" s="18" t="s">
        <v>19</v>
      </c>
      <c r="B27" s="19">
        <v>45622.0</v>
      </c>
      <c r="C27" s="17">
        <v>59000.0</v>
      </c>
      <c r="D27" s="20">
        <v>40000.0</v>
      </c>
      <c r="E27" s="21"/>
      <c r="F27" s="22">
        <f>Pointage!AF27</f>
        <v>12852</v>
      </c>
      <c r="G27" s="20">
        <v>2000.0</v>
      </c>
      <c r="H27" s="21"/>
      <c r="I27" s="21"/>
      <c r="J27" s="23">
        <v>1.0</v>
      </c>
      <c r="K27" s="15"/>
      <c r="L27" s="16"/>
      <c r="M27" s="17">
        <v>59000.0</v>
      </c>
      <c r="N27" s="40"/>
      <c r="O27" s="72"/>
      <c r="P27" s="21"/>
      <c r="Q27" s="16"/>
      <c r="R27" s="6"/>
      <c r="S27" s="6"/>
      <c r="T27" s="6"/>
      <c r="U27" s="6"/>
      <c r="V27" s="6"/>
      <c r="W27" s="6"/>
    </row>
    <row r="28">
      <c r="A28" s="18" t="s">
        <v>22</v>
      </c>
      <c r="B28" s="19">
        <v>45623.0</v>
      </c>
      <c r="C28" s="17">
        <v>53000.0</v>
      </c>
      <c r="D28" s="20">
        <v>36000.0</v>
      </c>
      <c r="E28" s="21"/>
      <c r="F28" s="22">
        <f>Pointage!AF28</f>
        <v>14440</v>
      </c>
      <c r="G28" s="20">
        <v>2000.0</v>
      </c>
      <c r="H28" s="21"/>
      <c r="I28" s="21"/>
      <c r="J28" s="23">
        <v>1.0</v>
      </c>
      <c r="K28" s="15"/>
      <c r="L28" s="16"/>
      <c r="M28" s="17">
        <v>53000.0</v>
      </c>
      <c r="N28" s="31" t="s">
        <v>28</v>
      </c>
      <c r="O28" s="72"/>
      <c r="P28" s="21"/>
      <c r="Q28" s="16"/>
      <c r="R28" s="6"/>
      <c r="S28" s="6"/>
      <c r="T28" s="6"/>
      <c r="U28" s="6"/>
      <c r="V28" s="6"/>
      <c r="W28" s="6"/>
    </row>
    <row r="29">
      <c r="A29" s="18" t="s">
        <v>23</v>
      </c>
      <c r="B29" s="19">
        <v>45624.0</v>
      </c>
      <c r="C29" s="17">
        <v>38000.0</v>
      </c>
      <c r="D29" s="20">
        <v>69000.0</v>
      </c>
      <c r="E29" s="21"/>
      <c r="F29" s="22">
        <f>Pointage!AF29</f>
        <v>12684</v>
      </c>
      <c r="G29" s="20">
        <v>2000.0</v>
      </c>
      <c r="H29" s="21"/>
      <c r="I29" s="21"/>
      <c r="J29" s="23">
        <v>1.0</v>
      </c>
      <c r="K29" s="15"/>
      <c r="L29" s="16"/>
      <c r="M29" s="17">
        <v>38000.0</v>
      </c>
      <c r="N29" s="33">
        <v>51000.0</v>
      </c>
      <c r="O29" s="59"/>
      <c r="P29" s="21"/>
      <c r="Q29" s="16"/>
      <c r="R29" s="6"/>
      <c r="S29" s="6"/>
      <c r="T29" s="6"/>
      <c r="U29" s="6"/>
      <c r="V29" s="6"/>
      <c r="W29" s="6"/>
    </row>
    <row r="30">
      <c r="A30" s="9" t="s">
        <v>11</v>
      </c>
      <c r="B30" s="10">
        <v>45625.0</v>
      </c>
      <c r="C30" s="17">
        <v>43000.0</v>
      </c>
      <c r="D30" s="11">
        <v>40000.0</v>
      </c>
      <c r="E30" s="12"/>
      <c r="F30" s="13">
        <f>Pointage!AF30</f>
        <v>6748</v>
      </c>
      <c r="G30" s="11">
        <v>2000.0</v>
      </c>
      <c r="H30" s="12"/>
      <c r="I30" s="12"/>
      <c r="J30" s="34">
        <v>1.0</v>
      </c>
      <c r="K30" s="15"/>
      <c r="L30" s="16"/>
      <c r="M30" s="17">
        <v>43000.0</v>
      </c>
      <c r="N30" s="73" t="s">
        <v>47</v>
      </c>
      <c r="O30" s="72"/>
      <c r="P30" s="21"/>
      <c r="Q30" s="16"/>
      <c r="R30" s="6"/>
      <c r="S30" s="6"/>
      <c r="T30" s="6"/>
      <c r="U30" s="6"/>
      <c r="V30" s="6"/>
      <c r="W30" s="6"/>
    </row>
    <row r="31">
      <c r="A31" s="18" t="s">
        <v>12</v>
      </c>
      <c r="B31" s="19">
        <v>45626.0</v>
      </c>
      <c r="C31" s="17">
        <v>49000.0</v>
      </c>
      <c r="D31" s="20">
        <v>41000.0</v>
      </c>
      <c r="E31" s="21"/>
      <c r="F31" s="22">
        <f>Pointage!AF31</f>
        <v>8328</v>
      </c>
      <c r="G31" s="20">
        <v>2000.0</v>
      </c>
      <c r="H31" s="21"/>
      <c r="I31" s="21"/>
      <c r="J31" s="23">
        <v>1.0</v>
      </c>
      <c r="K31" s="15"/>
      <c r="L31" s="16"/>
      <c r="M31" s="17">
        <v>49000.0</v>
      </c>
      <c r="N31" s="40"/>
      <c r="O31" s="72"/>
      <c r="P31" s="16"/>
      <c r="Q31" s="21"/>
      <c r="R31" s="6"/>
      <c r="S31" s="6"/>
      <c r="T31" s="6"/>
      <c r="U31" s="6"/>
      <c r="V31" s="6"/>
      <c r="W31" s="6"/>
    </row>
    <row r="32">
      <c r="A32" s="18"/>
      <c r="B32" s="19"/>
      <c r="C32" s="74">
        <v>52000.0</v>
      </c>
      <c r="D32" s="75"/>
      <c r="E32" s="21"/>
      <c r="F32" s="76"/>
      <c r="G32" s="17"/>
      <c r="H32" s="21"/>
      <c r="I32" s="21"/>
      <c r="J32" s="60"/>
      <c r="K32" s="15"/>
      <c r="L32" s="16"/>
      <c r="M32" s="75">
        <v>52000.0</v>
      </c>
      <c r="N32" s="40"/>
      <c r="O32" s="72"/>
      <c r="P32" s="40"/>
      <c r="Q32" s="77">
        <f>SUM(Q26:Q31)</f>
        <v>0</v>
      </c>
      <c r="R32" s="6"/>
      <c r="S32" s="6"/>
      <c r="T32" s="6"/>
      <c r="U32" s="6"/>
      <c r="V32" s="6"/>
      <c r="W32" s="6"/>
    </row>
    <row r="33">
      <c r="A33" s="6"/>
      <c r="B33" s="78"/>
      <c r="C33" s="79">
        <f t="shared" ref="C33:D33" si="1">SUM(C2:C32)</f>
        <v>1620000</v>
      </c>
      <c r="D33" s="79">
        <f t="shared" si="1"/>
        <v>1328000</v>
      </c>
      <c r="E33" s="79">
        <f>'Les charges '!F415</f>
        <v>645124.3</v>
      </c>
      <c r="F33" s="80">
        <f>Salaires!F24</f>
        <v>364642</v>
      </c>
      <c r="G33" s="79">
        <f>SUM(G2:G32)</f>
        <v>48000</v>
      </c>
      <c r="H33" s="79">
        <v>150000.0</v>
      </c>
      <c r="I33" s="79">
        <f>D33-E33-F33-G33-H33</f>
        <v>120233.7</v>
      </c>
      <c r="J33" s="81">
        <f>SUM(J2:J32)</f>
        <v>23</v>
      </c>
      <c r="K33" s="6"/>
      <c r="L33" s="16"/>
      <c r="M33" s="82">
        <f>SUM(M2:M32)</f>
        <v>1620000</v>
      </c>
      <c r="N33" s="40"/>
      <c r="O33" s="28"/>
      <c r="P33" s="28"/>
      <c r="Q33" s="28"/>
      <c r="R33" s="6"/>
      <c r="S33" s="6"/>
      <c r="T33" s="6"/>
      <c r="U33" s="6"/>
      <c r="V33" s="6"/>
      <c r="W33" s="6"/>
    </row>
    <row r="34">
      <c r="A34" s="6"/>
      <c r="B34" s="83"/>
      <c r="C34" s="28"/>
      <c r="D34" s="28"/>
      <c r="E34" s="6"/>
      <c r="F34" s="84"/>
      <c r="G34" s="6"/>
      <c r="H34" s="6"/>
      <c r="I34" s="6"/>
      <c r="J34" s="6"/>
      <c r="K34" s="6"/>
      <c r="L34" s="28"/>
      <c r="M34" s="28"/>
      <c r="N34" s="40"/>
      <c r="O34" s="28"/>
      <c r="P34" s="28"/>
      <c r="Q34" s="6"/>
      <c r="R34" s="6"/>
      <c r="S34" s="6"/>
      <c r="T34" s="6"/>
      <c r="U34" s="6"/>
      <c r="V34" s="6"/>
      <c r="W34" s="6"/>
    </row>
    <row r="35">
      <c r="A35" s="6"/>
      <c r="B35" s="83"/>
      <c r="C35" s="28"/>
      <c r="D35" s="28"/>
      <c r="E35" s="28"/>
      <c r="F35" s="84"/>
      <c r="G35" s="28"/>
      <c r="H35" s="28"/>
      <c r="I35" s="28"/>
      <c r="J35" s="6"/>
      <c r="K35" s="6"/>
      <c r="L35" s="28"/>
      <c r="M35" s="28"/>
      <c r="N35" s="33">
        <f>N11-N29-N34</f>
        <v>521375.7</v>
      </c>
      <c r="O35" s="6"/>
      <c r="P35" s="28"/>
      <c r="Q35" s="6"/>
      <c r="R35" s="6"/>
      <c r="S35" s="6"/>
      <c r="T35" s="6"/>
      <c r="U35" s="6"/>
      <c r="V35" s="6"/>
      <c r="W35" s="6"/>
    </row>
    <row r="36">
      <c r="A36" s="6"/>
      <c r="B36" s="6"/>
      <c r="C36" s="6"/>
      <c r="D36" s="6"/>
      <c r="E36" s="6"/>
      <c r="F36" s="8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6"/>
      <c r="B37" s="6"/>
      <c r="C37" s="6"/>
      <c r="D37" s="6"/>
      <c r="E37" s="6"/>
      <c r="F37" s="8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6"/>
      <c r="B38" s="6"/>
      <c r="C38" s="6"/>
      <c r="D38" s="6" t="s">
        <v>48</v>
      </c>
      <c r="E38" s="6"/>
      <c r="F38" s="8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6"/>
      <c r="B39" s="6"/>
      <c r="C39" s="6"/>
      <c r="D39" s="6"/>
      <c r="E39" s="6"/>
      <c r="F39" s="8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F40" s="85"/>
    </row>
    <row r="41">
      <c r="F41" s="85"/>
    </row>
    <row r="42">
      <c r="F42" s="85"/>
    </row>
    <row r="43">
      <c r="F43" s="85"/>
    </row>
    <row r="44">
      <c r="F44" s="85"/>
    </row>
    <row r="45">
      <c r="F45" s="85"/>
    </row>
    <row r="46">
      <c r="F46" s="85"/>
    </row>
    <row r="47">
      <c r="F47" s="85"/>
    </row>
    <row r="48">
      <c r="F48" s="85"/>
    </row>
    <row r="49">
      <c r="F49" s="85"/>
    </row>
    <row r="50">
      <c r="F50" s="85"/>
    </row>
    <row r="51">
      <c r="F51" s="85"/>
    </row>
    <row r="52">
      <c r="F52" s="85"/>
    </row>
    <row r="53">
      <c r="F53" s="85"/>
    </row>
    <row r="54">
      <c r="F54" s="85"/>
    </row>
    <row r="55">
      <c r="F55" s="85"/>
    </row>
    <row r="56">
      <c r="F56" s="85"/>
    </row>
    <row r="57">
      <c r="F57" s="85"/>
    </row>
    <row r="58">
      <c r="F58" s="85"/>
    </row>
    <row r="59">
      <c r="F59" s="85"/>
    </row>
    <row r="60">
      <c r="F60" s="85"/>
    </row>
    <row r="61">
      <c r="F61" s="85"/>
    </row>
    <row r="62">
      <c r="F62" s="85"/>
    </row>
    <row r="63">
      <c r="F63" s="85"/>
    </row>
    <row r="64">
      <c r="F64" s="85"/>
    </row>
    <row r="65">
      <c r="F65" s="85"/>
    </row>
    <row r="66">
      <c r="F66" s="85"/>
    </row>
    <row r="67">
      <c r="F67" s="85"/>
    </row>
    <row r="68">
      <c r="F68" s="85"/>
    </row>
    <row r="69">
      <c r="F69" s="85"/>
    </row>
    <row r="70">
      <c r="F70" s="85"/>
    </row>
    <row r="71">
      <c r="F71" s="85"/>
    </row>
    <row r="72">
      <c r="F72" s="85"/>
    </row>
    <row r="73">
      <c r="F73" s="85"/>
    </row>
    <row r="74">
      <c r="F74" s="85"/>
    </row>
    <row r="75">
      <c r="F75" s="85"/>
    </row>
    <row r="76">
      <c r="F76" s="85"/>
    </row>
    <row r="77">
      <c r="F77" s="85"/>
    </row>
    <row r="78">
      <c r="F78" s="85"/>
    </row>
    <row r="79">
      <c r="F79" s="85"/>
    </row>
    <row r="80">
      <c r="F80" s="85"/>
    </row>
    <row r="81">
      <c r="F81" s="85"/>
    </row>
    <row r="82">
      <c r="F82" s="85"/>
    </row>
    <row r="83">
      <c r="F83" s="85"/>
    </row>
    <row r="84">
      <c r="F84" s="85"/>
    </row>
    <row r="85">
      <c r="F85" s="85"/>
    </row>
    <row r="86">
      <c r="F86" s="85"/>
    </row>
    <row r="87">
      <c r="F87" s="85"/>
    </row>
    <row r="88">
      <c r="F88" s="85"/>
    </row>
    <row r="89">
      <c r="F89" s="85"/>
    </row>
    <row r="90">
      <c r="F90" s="85"/>
    </row>
    <row r="91">
      <c r="F91" s="85"/>
    </row>
    <row r="92">
      <c r="F92" s="85"/>
    </row>
    <row r="93">
      <c r="F93" s="85"/>
    </row>
    <row r="94">
      <c r="F94" s="85"/>
    </row>
    <row r="95">
      <c r="F95" s="85"/>
    </row>
    <row r="96">
      <c r="F96" s="85"/>
    </row>
    <row r="97">
      <c r="F97" s="85"/>
    </row>
    <row r="98">
      <c r="F98" s="85"/>
    </row>
    <row r="99">
      <c r="F99" s="85"/>
    </row>
    <row r="100">
      <c r="F100" s="85"/>
    </row>
    <row r="101">
      <c r="F101" s="85"/>
    </row>
    <row r="102">
      <c r="F102" s="85"/>
    </row>
    <row r="103">
      <c r="F103" s="85"/>
    </row>
    <row r="104">
      <c r="F104" s="85"/>
    </row>
    <row r="105">
      <c r="F105" s="85"/>
    </row>
    <row r="106">
      <c r="F106" s="85"/>
    </row>
    <row r="107">
      <c r="F107" s="85"/>
    </row>
    <row r="108">
      <c r="F108" s="85"/>
    </row>
    <row r="109">
      <c r="F109" s="85"/>
    </row>
    <row r="110">
      <c r="F110" s="85"/>
    </row>
    <row r="111">
      <c r="F111" s="85"/>
    </row>
    <row r="112">
      <c r="F112" s="85"/>
    </row>
    <row r="113">
      <c r="F113" s="85"/>
    </row>
    <row r="114">
      <c r="F114" s="85"/>
    </row>
    <row r="115">
      <c r="F115" s="85"/>
    </row>
    <row r="116">
      <c r="F116" s="85"/>
    </row>
    <row r="117">
      <c r="F117" s="85"/>
    </row>
    <row r="118">
      <c r="F118" s="85"/>
    </row>
    <row r="119">
      <c r="F119" s="85"/>
    </row>
    <row r="120">
      <c r="F120" s="85"/>
    </row>
    <row r="121">
      <c r="F121" s="85"/>
    </row>
    <row r="122">
      <c r="F122" s="85"/>
    </row>
    <row r="123">
      <c r="F123" s="85"/>
    </row>
    <row r="124">
      <c r="F124" s="85"/>
    </row>
    <row r="125">
      <c r="F125" s="85"/>
    </row>
    <row r="126">
      <c r="F126" s="85"/>
    </row>
    <row r="127">
      <c r="F127" s="85"/>
    </row>
    <row r="128">
      <c r="F128" s="85"/>
    </row>
    <row r="129">
      <c r="F129" s="85"/>
    </row>
    <row r="130">
      <c r="F130" s="85"/>
    </row>
    <row r="131">
      <c r="F131" s="85"/>
    </row>
    <row r="132">
      <c r="F132" s="85"/>
    </row>
    <row r="133">
      <c r="F133" s="85"/>
    </row>
    <row r="134">
      <c r="F134" s="85"/>
    </row>
    <row r="135">
      <c r="F135" s="85"/>
    </row>
    <row r="136">
      <c r="F136" s="85"/>
    </row>
    <row r="137">
      <c r="F137" s="85"/>
    </row>
    <row r="138">
      <c r="F138" s="85"/>
    </row>
    <row r="139">
      <c r="F139" s="85"/>
    </row>
    <row r="140">
      <c r="F140" s="85"/>
    </row>
    <row r="141">
      <c r="F141" s="85"/>
    </row>
    <row r="142">
      <c r="F142" s="85"/>
    </row>
    <row r="143">
      <c r="F143" s="85"/>
    </row>
    <row r="144">
      <c r="F144" s="85"/>
    </row>
    <row r="145">
      <c r="F145" s="85"/>
    </row>
    <row r="146">
      <c r="F146" s="85"/>
    </row>
    <row r="147">
      <c r="F147" s="85"/>
    </row>
    <row r="148">
      <c r="F148" s="85"/>
    </row>
    <row r="149">
      <c r="F149" s="85"/>
    </row>
    <row r="150">
      <c r="F150" s="85"/>
    </row>
    <row r="151">
      <c r="F151" s="85"/>
    </row>
    <row r="152">
      <c r="F152" s="85"/>
    </row>
    <row r="153">
      <c r="F153" s="85"/>
    </row>
    <row r="154">
      <c r="F154" s="85"/>
    </row>
    <row r="155">
      <c r="F155" s="85"/>
    </row>
    <row r="156">
      <c r="F156" s="85"/>
    </row>
    <row r="157">
      <c r="F157" s="85"/>
    </row>
    <row r="158">
      <c r="F158" s="85"/>
    </row>
    <row r="159">
      <c r="F159" s="85"/>
    </row>
    <row r="160">
      <c r="F160" s="85"/>
    </row>
    <row r="161">
      <c r="F161" s="85"/>
    </row>
    <row r="162">
      <c r="F162" s="85"/>
    </row>
    <row r="163">
      <c r="F163" s="85"/>
    </row>
    <row r="164">
      <c r="F164" s="85"/>
    </row>
    <row r="165">
      <c r="F165" s="85"/>
    </row>
    <row r="166">
      <c r="F166" s="85"/>
    </row>
    <row r="167">
      <c r="F167" s="85"/>
    </row>
    <row r="168">
      <c r="F168" s="85"/>
    </row>
    <row r="169">
      <c r="F169" s="85"/>
    </row>
    <row r="170">
      <c r="F170" s="85"/>
    </row>
    <row r="171">
      <c r="F171" s="85"/>
    </row>
    <row r="172">
      <c r="F172" s="85"/>
    </row>
    <row r="173">
      <c r="F173" s="85"/>
    </row>
    <row r="174">
      <c r="F174" s="85"/>
    </row>
    <row r="175">
      <c r="F175" s="85"/>
    </row>
    <row r="176">
      <c r="F176" s="85"/>
    </row>
    <row r="177">
      <c r="F177" s="85"/>
    </row>
    <row r="178">
      <c r="F178" s="85"/>
    </row>
    <row r="179">
      <c r="F179" s="85"/>
    </row>
    <row r="180">
      <c r="F180" s="85"/>
    </row>
    <row r="181">
      <c r="F181" s="85"/>
    </row>
    <row r="182">
      <c r="F182" s="85"/>
    </row>
    <row r="183">
      <c r="F183" s="85"/>
    </row>
    <row r="184">
      <c r="F184" s="85"/>
    </row>
    <row r="185">
      <c r="F185" s="85"/>
    </row>
    <row r="186">
      <c r="F186" s="85"/>
    </row>
    <row r="187">
      <c r="F187" s="85"/>
    </row>
    <row r="188">
      <c r="F188" s="85"/>
    </row>
    <row r="189">
      <c r="F189" s="85"/>
    </row>
    <row r="190">
      <c r="F190" s="85"/>
    </row>
    <row r="191">
      <c r="F191" s="85"/>
    </row>
    <row r="192">
      <c r="F192" s="85"/>
    </row>
    <row r="193">
      <c r="F193" s="85"/>
    </row>
    <row r="194">
      <c r="F194" s="85"/>
    </row>
    <row r="195">
      <c r="F195" s="85"/>
    </row>
    <row r="196">
      <c r="F196" s="85"/>
    </row>
    <row r="197">
      <c r="F197" s="85"/>
    </row>
    <row r="198">
      <c r="F198" s="85"/>
    </row>
    <row r="199">
      <c r="F199" s="85"/>
    </row>
    <row r="200">
      <c r="F200" s="85"/>
    </row>
    <row r="201">
      <c r="F201" s="85"/>
    </row>
    <row r="202">
      <c r="F202" s="85"/>
    </row>
    <row r="203">
      <c r="F203" s="85"/>
    </row>
    <row r="204">
      <c r="F204" s="85"/>
    </row>
    <row r="205">
      <c r="F205" s="85"/>
    </row>
    <row r="206">
      <c r="F206" s="85"/>
    </row>
    <row r="207">
      <c r="F207" s="85"/>
    </row>
    <row r="208">
      <c r="F208" s="85"/>
    </row>
    <row r="209">
      <c r="F209" s="85"/>
    </row>
    <row r="210">
      <c r="F210" s="85"/>
    </row>
    <row r="211">
      <c r="F211" s="85"/>
    </row>
    <row r="212">
      <c r="F212" s="85"/>
    </row>
    <row r="213">
      <c r="F213" s="85"/>
    </row>
    <row r="214">
      <c r="F214" s="85"/>
    </row>
    <row r="215">
      <c r="F215" s="85"/>
    </row>
    <row r="216">
      <c r="F216" s="85"/>
    </row>
    <row r="217">
      <c r="F217" s="85"/>
    </row>
    <row r="218">
      <c r="F218" s="85"/>
    </row>
    <row r="219">
      <c r="F219" s="85"/>
    </row>
    <row r="220">
      <c r="F220" s="85"/>
    </row>
    <row r="221">
      <c r="F221" s="85"/>
    </row>
    <row r="222">
      <c r="F222" s="85"/>
    </row>
    <row r="223">
      <c r="F223" s="85"/>
    </row>
    <row r="224">
      <c r="F224" s="85"/>
    </row>
    <row r="225">
      <c r="F225" s="85"/>
    </row>
    <row r="226">
      <c r="F226" s="85"/>
    </row>
    <row r="227">
      <c r="F227" s="85"/>
    </row>
    <row r="228">
      <c r="F228" s="85"/>
    </row>
    <row r="229">
      <c r="F229" s="85"/>
    </row>
    <row r="230">
      <c r="F230" s="85"/>
    </row>
    <row r="231">
      <c r="F231" s="85"/>
    </row>
    <row r="232">
      <c r="F232" s="85"/>
    </row>
    <row r="233">
      <c r="F233" s="85"/>
    </row>
    <row r="234">
      <c r="F234" s="85"/>
    </row>
    <row r="235">
      <c r="F235" s="85"/>
    </row>
    <row r="236">
      <c r="F236" s="85"/>
    </row>
    <row r="237">
      <c r="F237" s="85"/>
    </row>
    <row r="238">
      <c r="F238" s="85"/>
    </row>
    <row r="239">
      <c r="F239" s="85"/>
    </row>
    <row r="240">
      <c r="F240" s="85"/>
    </row>
    <row r="241">
      <c r="F241" s="85"/>
    </row>
    <row r="242">
      <c r="F242" s="85"/>
    </row>
    <row r="243">
      <c r="F243" s="85"/>
    </row>
    <row r="244">
      <c r="F244" s="85"/>
    </row>
    <row r="245">
      <c r="F245" s="85"/>
    </row>
    <row r="246">
      <c r="F246" s="85"/>
    </row>
    <row r="247">
      <c r="F247" s="85"/>
    </row>
    <row r="248">
      <c r="F248" s="85"/>
    </row>
    <row r="249">
      <c r="F249" s="85"/>
    </row>
    <row r="250">
      <c r="F250" s="85"/>
    </row>
    <row r="251">
      <c r="F251" s="85"/>
    </row>
    <row r="252">
      <c r="F252" s="85"/>
    </row>
    <row r="253">
      <c r="F253" s="85"/>
    </row>
    <row r="254">
      <c r="F254" s="85"/>
    </row>
    <row r="255">
      <c r="F255" s="85"/>
    </row>
    <row r="256">
      <c r="F256" s="85"/>
    </row>
    <row r="257">
      <c r="F257" s="85"/>
    </row>
    <row r="258">
      <c r="F258" s="85"/>
    </row>
    <row r="259">
      <c r="F259" s="85"/>
    </row>
    <row r="260">
      <c r="F260" s="85"/>
    </row>
    <row r="261">
      <c r="F261" s="85"/>
    </row>
    <row r="262">
      <c r="F262" s="85"/>
    </row>
    <row r="263">
      <c r="F263" s="85"/>
    </row>
    <row r="264">
      <c r="F264" s="85"/>
    </row>
    <row r="265">
      <c r="F265" s="85"/>
    </row>
    <row r="266">
      <c r="F266" s="85"/>
    </row>
    <row r="267">
      <c r="F267" s="85"/>
    </row>
    <row r="268">
      <c r="F268" s="85"/>
    </row>
    <row r="269">
      <c r="F269" s="85"/>
    </row>
    <row r="270">
      <c r="F270" s="85"/>
    </row>
    <row r="271">
      <c r="F271" s="85"/>
    </row>
    <row r="272">
      <c r="F272" s="85"/>
    </row>
    <row r="273">
      <c r="F273" s="85"/>
    </row>
    <row r="274">
      <c r="F274" s="85"/>
    </row>
    <row r="275">
      <c r="F275" s="85"/>
    </row>
    <row r="276">
      <c r="F276" s="85"/>
    </row>
    <row r="277">
      <c r="F277" s="85"/>
    </row>
    <row r="278">
      <c r="F278" s="85"/>
    </row>
    <row r="279">
      <c r="F279" s="85"/>
    </row>
    <row r="280">
      <c r="F280" s="85"/>
    </row>
    <row r="281">
      <c r="F281" s="85"/>
    </row>
    <row r="282">
      <c r="F282" s="85"/>
    </row>
    <row r="283">
      <c r="F283" s="85"/>
    </row>
    <row r="284">
      <c r="F284" s="85"/>
    </row>
    <row r="285">
      <c r="F285" s="85"/>
    </row>
    <row r="286">
      <c r="F286" s="85"/>
    </row>
    <row r="287">
      <c r="F287" s="85"/>
    </row>
    <row r="288">
      <c r="F288" s="85"/>
    </row>
    <row r="289">
      <c r="F289" s="85"/>
    </row>
    <row r="290">
      <c r="F290" s="85"/>
    </row>
    <row r="291">
      <c r="F291" s="85"/>
    </row>
    <row r="292">
      <c r="F292" s="85"/>
    </row>
    <row r="293">
      <c r="F293" s="85"/>
    </row>
    <row r="294">
      <c r="F294" s="85"/>
    </row>
    <row r="295">
      <c r="F295" s="85"/>
    </row>
    <row r="296">
      <c r="F296" s="85"/>
    </row>
    <row r="297">
      <c r="F297" s="85"/>
    </row>
    <row r="298">
      <c r="F298" s="85"/>
    </row>
    <row r="299">
      <c r="F299" s="85"/>
    </row>
    <row r="300">
      <c r="F300" s="85"/>
    </row>
    <row r="301">
      <c r="F301" s="85"/>
    </row>
    <row r="302">
      <c r="F302" s="85"/>
    </row>
    <row r="303">
      <c r="F303" s="85"/>
    </row>
    <row r="304">
      <c r="F304" s="85"/>
    </row>
    <row r="305">
      <c r="F305" s="85"/>
    </row>
    <row r="306">
      <c r="F306" s="85"/>
    </row>
    <row r="307">
      <c r="F307" s="85"/>
    </row>
    <row r="308">
      <c r="F308" s="85"/>
    </row>
    <row r="309">
      <c r="F309" s="85"/>
    </row>
    <row r="310">
      <c r="F310" s="85"/>
    </row>
    <row r="311">
      <c r="F311" s="85"/>
    </row>
    <row r="312">
      <c r="F312" s="85"/>
    </row>
    <row r="313">
      <c r="F313" s="85"/>
    </row>
    <row r="314">
      <c r="F314" s="85"/>
    </row>
    <row r="315">
      <c r="F315" s="85"/>
    </row>
    <row r="316">
      <c r="F316" s="85"/>
    </row>
    <row r="317">
      <c r="F317" s="85"/>
    </row>
    <row r="318">
      <c r="F318" s="85"/>
    </row>
    <row r="319">
      <c r="F319" s="85"/>
    </row>
    <row r="320">
      <c r="F320" s="85"/>
    </row>
    <row r="321">
      <c r="F321" s="85"/>
    </row>
    <row r="322">
      <c r="F322" s="85"/>
    </row>
    <row r="323">
      <c r="F323" s="85"/>
    </row>
    <row r="324">
      <c r="F324" s="85"/>
    </row>
    <row r="325">
      <c r="F325" s="85"/>
    </row>
    <row r="326">
      <c r="F326" s="85"/>
    </row>
    <row r="327">
      <c r="F327" s="85"/>
    </row>
    <row r="328">
      <c r="F328" s="85"/>
    </row>
    <row r="329">
      <c r="F329" s="85"/>
    </row>
    <row r="330">
      <c r="F330" s="85"/>
    </row>
    <row r="331">
      <c r="F331" s="85"/>
    </row>
    <row r="332">
      <c r="F332" s="85"/>
    </row>
    <row r="333">
      <c r="F333" s="85"/>
    </row>
    <row r="334">
      <c r="F334" s="85"/>
    </row>
    <row r="335">
      <c r="F335" s="85"/>
    </row>
    <row r="336">
      <c r="F336" s="85"/>
    </row>
    <row r="337">
      <c r="F337" s="85"/>
    </row>
    <row r="338">
      <c r="F338" s="85"/>
    </row>
    <row r="339">
      <c r="F339" s="85"/>
    </row>
    <row r="340">
      <c r="F340" s="85"/>
    </row>
    <row r="341">
      <c r="F341" s="85"/>
    </row>
    <row r="342">
      <c r="F342" s="85"/>
    </row>
    <row r="343">
      <c r="F343" s="85"/>
    </row>
    <row r="344">
      <c r="F344" s="85"/>
    </row>
    <row r="345">
      <c r="F345" s="85"/>
    </row>
    <row r="346">
      <c r="F346" s="85"/>
    </row>
    <row r="347">
      <c r="F347" s="85"/>
    </row>
    <row r="348">
      <c r="F348" s="85"/>
    </row>
    <row r="349">
      <c r="F349" s="85"/>
    </row>
    <row r="350">
      <c r="F350" s="85"/>
    </row>
    <row r="351">
      <c r="F351" s="85"/>
    </row>
    <row r="352">
      <c r="F352" s="85"/>
    </row>
    <row r="353">
      <c r="F353" s="85"/>
    </row>
    <row r="354">
      <c r="F354" s="85"/>
    </row>
    <row r="355">
      <c r="F355" s="85"/>
    </row>
    <row r="356">
      <c r="F356" s="85"/>
    </row>
    <row r="357">
      <c r="F357" s="85"/>
    </row>
    <row r="358">
      <c r="F358" s="85"/>
    </row>
    <row r="359">
      <c r="F359" s="85"/>
    </row>
    <row r="360">
      <c r="F360" s="85"/>
    </row>
    <row r="361">
      <c r="F361" s="85"/>
    </row>
    <row r="362">
      <c r="F362" s="85"/>
    </row>
    <row r="363">
      <c r="F363" s="85"/>
    </row>
    <row r="364">
      <c r="F364" s="85"/>
    </row>
    <row r="365">
      <c r="F365" s="85"/>
    </row>
    <row r="366">
      <c r="F366" s="85"/>
    </row>
    <row r="367">
      <c r="F367" s="85"/>
    </row>
    <row r="368">
      <c r="F368" s="85"/>
    </row>
    <row r="369">
      <c r="F369" s="85"/>
    </row>
    <row r="370">
      <c r="F370" s="85"/>
    </row>
    <row r="371">
      <c r="F371" s="85"/>
    </row>
    <row r="372">
      <c r="F372" s="85"/>
    </row>
    <row r="373">
      <c r="F373" s="85"/>
    </row>
    <row r="374">
      <c r="F374" s="85"/>
    </row>
    <row r="375">
      <c r="F375" s="85"/>
    </row>
    <row r="376">
      <c r="F376" s="85"/>
    </row>
    <row r="377">
      <c r="F377" s="85"/>
    </row>
    <row r="378">
      <c r="F378" s="85"/>
    </row>
    <row r="379">
      <c r="F379" s="85"/>
    </row>
    <row r="380">
      <c r="F380" s="85"/>
    </row>
    <row r="381">
      <c r="F381" s="85"/>
    </row>
    <row r="382">
      <c r="F382" s="85"/>
    </row>
    <row r="383">
      <c r="F383" s="85"/>
    </row>
    <row r="384">
      <c r="F384" s="85"/>
    </row>
    <row r="385">
      <c r="F385" s="85"/>
    </row>
    <row r="386">
      <c r="F386" s="85"/>
    </row>
    <row r="387">
      <c r="F387" s="85"/>
    </row>
    <row r="388">
      <c r="F388" s="85"/>
    </row>
    <row r="389">
      <c r="F389" s="85"/>
    </row>
    <row r="390">
      <c r="F390" s="85"/>
    </row>
    <row r="391">
      <c r="F391" s="85"/>
    </row>
    <row r="392">
      <c r="F392" s="85"/>
    </row>
    <row r="393">
      <c r="F393" s="85"/>
    </row>
    <row r="394">
      <c r="F394" s="85"/>
    </row>
    <row r="395">
      <c r="F395" s="85"/>
    </row>
    <row r="396">
      <c r="F396" s="85"/>
    </row>
    <row r="397">
      <c r="F397" s="85"/>
    </row>
    <row r="398">
      <c r="F398" s="85"/>
    </row>
    <row r="399">
      <c r="F399" s="85"/>
    </row>
    <row r="400">
      <c r="F400" s="85"/>
    </row>
    <row r="401">
      <c r="F401" s="85"/>
    </row>
    <row r="402">
      <c r="F402" s="85"/>
    </row>
    <row r="403">
      <c r="F403" s="85"/>
    </row>
    <row r="404">
      <c r="F404" s="85"/>
    </row>
    <row r="405">
      <c r="F405" s="85"/>
    </row>
    <row r="406">
      <c r="F406" s="85"/>
    </row>
    <row r="407">
      <c r="F407" s="85"/>
    </row>
    <row r="408">
      <c r="F408" s="85"/>
    </row>
    <row r="409">
      <c r="F409" s="85"/>
    </row>
    <row r="410">
      <c r="F410" s="85"/>
    </row>
    <row r="411">
      <c r="F411" s="85"/>
    </row>
    <row r="412">
      <c r="F412" s="85"/>
    </row>
    <row r="413">
      <c r="F413" s="85"/>
    </row>
    <row r="414">
      <c r="F414" s="85"/>
    </row>
    <row r="415">
      <c r="F415" s="85"/>
    </row>
    <row r="416">
      <c r="F416" s="85"/>
    </row>
    <row r="417">
      <c r="F417" s="85"/>
    </row>
    <row r="418">
      <c r="F418" s="85"/>
    </row>
    <row r="419">
      <c r="F419" s="85"/>
    </row>
    <row r="420">
      <c r="F420" s="85"/>
    </row>
    <row r="421">
      <c r="F421" s="85"/>
    </row>
    <row r="422">
      <c r="F422" s="85"/>
    </row>
    <row r="423">
      <c r="F423" s="85"/>
    </row>
    <row r="424">
      <c r="F424" s="85"/>
    </row>
    <row r="425">
      <c r="F425" s="85"/>
    </row>
    <row r="426">
      <c r="F426" s="85"/>
    </row>
    <row r="427">
      <c r="F427" s="85"/>
    </row>
    <row r="428">
      <c r="F428" s="85"/>
    </row>
    <row r="429">
      <c r="F429" s="85"/>
    </row>
    <row r="430">
      <c r="F430" s="85"/>
    </row>
    <row r="431">
      <c r="F431" s="85"/>
    </row>
    <row r="432">
      <c r="F432" s="85"/>
    </row>
    <row r="433">
      <c r="F433" s="85"/>
    </row>
    <row r="434">
      <c r="F434" s="85"/>
    </row>
    <row r="435">
      <c r="F435" s="85"/>
    </row>
    <row r="436">
      <c r="F436" s="85"/>
    </row>
    <row r="437">
      <c r="F437" s="85"/>
    </row>
    <row r="438">
      <c r="F438" s="85"/>
    </row>
    <row r="439">
      <c r="F439" s="85"/>
    </row>
    <row r="440">
      <c r="F440" s="85"/>
    </row>
    <row r="441">
      <c r="F441" s="85"/>
    </row>
    <row r="442">
      <c r="F442" s="85"/>
    </row>
    <row r="443">
      <c r="F443" s="85"/>
    </row>
    <row r="444">
      <c r="F444" s="85"/>
    </row>
    <row r="445">
      <c r="F445" s="85"/>
    </row>
    <row r="446">
      <c r="F446" s="85"/>
    </row>
    <row r="447">
      <c r="F447" s="85"/>
    </row>
    <row r="448">
      <c r="F448" s="85"/>
    </row>
    <row r="449">
      <c r="F449" s="85"/>
    </row>
    <row r="450">
      <c r="F450" s="85"/>
    </row>
    <row r="451">
      <c r="F451" s="85"/>
    </row>
    <row r="452">
      <c r="F452" s="85"/>
    </row>
    <row r="453">
      <c r="F453" s="85"/>
    </row>
    <row r="454">
      <c r="F454" s="85"/>
    </row>
    <row r="455">
      <c r="F455" s="85"/>
    </row>
    <row r="456">
      <c r="F456" s="85"/>
    </row>
    <row r="457">
      <c r="F457" s="85"/>
    </row>
    <row r="458">
      <c r="F458" s="85"/>
    </row>
    <row r="459">
      <c r="F459" s="85"/>
    </row>
    <row r="460">
      <c r="F460" s="85"/>
    </row>
    <row r="461">
      <c r="F461" s="85"/>
    </row>
    <row r="462">
      <c r="F462" s="85"/>
    </row>
    <row r="463">
      <c r="F463" s="85"/>
    </row>
    <row r="464">
      <c r="F464" s="85"/>
    </row>
    <row r="465">
      <c r="F465" s="85"/>
    </row>
    <row r="466">
      <c r="F466" s="85"/>
    </row>
    <row r="467">
      <c r="F467" s="85"/>
    </row>
    <row r="468">
      <c r="F468" s="85"/>
    </row>
    <row r="469">
      <c r="F469" s="85"/>
    </row>
    <row r="470">
      <c r="F470" s="85"/>
    </row>
    <row r="471">
      <c r="F471" s="85"/>
    </row>
    <row r="472">
      <c r="F472" s="85"/>
    </row>
    <row r="473">
      <c r="F473" s="85"/>
    </row>
    <row r="474">
      <c r="F474" s="85"/>
    </row>
    <row r="475">
      <c r="F475" s="85"/>
    </row>
    <row r="476">
      <c r="F476" s="85"/>
    </row>
    <row r="477">
      <c r="F477" s="85"/>
    </row>
    <row r="478">
      <c r="F478" s="85"/>
    </row>
    <row r="479">
      <c r="F479" s="85"/>
    </row>
    <row r="480">
      <c r="F480" s="85"/>
    </row>
    <row r="481">
      <c r="F481" s="85"/>
    </row>
    <row r="482">
      <c r="F482" s="85"/>
    </row>
    <row r="483">
      <c r="F483" s="85"/>
    </row>
    <row r="484">
      <c r="F484" s="85"/>
    </row>
    <row r="485">
      <c r="F485" s="85"/>
    </row>
    <row r="486">
      <c r="F486" s="85"/>
    </row>
    <row r="487">
      <c r="F487" s="85"/>
    </row>
    <row r="488">
      <c r="F488" s="85"/>
    </row>
    <row r="489">
      <c r="F489" s="85"/>
    </row>
    <row r="490">
      <c r="F490" s="85"/>
    </row>
    <row r="491">
      <c r="F491" s="85"/>
    </row>
    <row r="492">
      <c r="F492" s="85"/>
    </row>
    <row r="493">
      <c r="F493" s="85"/>
    </row>
    <row r="494">
      <c r="F494" s="85"/>
    </row>
    <row r="495">
      <c r="F495" s="85"/>
    </row>
    <row r="496">
      <c r="F496" s="85"/>
    </row>
    <row r="497">
      <c r="F497" s="85"/>
    </row>
    <row r="498">
      <c r="F498" s="85"/>
    </row>
    <row r="499">
      <c r="F499" s="85"/>
    </row>
    <row r="500">
      <c r="F500" s="85"/>
    </row>
    <row r="501">
      <c r="F501" s="85"/>
    </row>
    <row r="502">
      <c r="F502" s="85"/>
    </row>
    <row r="503">
      <c r="F503" s="85"/>
    </row>
    <row r="504">
      <c r="F504" s="85"/>
    </row>
    <row r="505">
      <c r="F505" s="85"/>
    </row>
    <row r="506">
      <c r="F506" s="85"/>
    </row>
    <row r="507">
      <c r="F507" s="85"/>
    </row>
    <row r="508">
      <c r="F508" s="85"/>
    </row>
    <row r="509">
      <c r="F509" s="85"/>
    </row>
    <row r="510">
      <c r="F510" s="85"/>
    </row>
    <row r="511">
      <c r="F511" s="85"/>
    </row>
    <row r="512">
      <c r="F512" s="85"/>
    </row>
    <row r="513">
      <c r="F513" s="85"/>
    </row>
    <row r="514">
      <c r="F514" s="85"/>
    </row>
    <row r="515">
      <c r="F515" s="85"/>
    </row>
    <row r="516">
      <c r="F516" s="85"/>
    </row>
    <row r="517">
      <c r="F517" s="85"/>
    </row>
    <row r="518">
      <c r="F518" s="85"/>
    </row>
    <row r="519">
      <c r="F519" s="85"/>
    </row>
    <row r="520">
      <c r="F520" s="85"/>
    </row>
    <row r="521">
      <c r="F521" s="85"/>
    </row>
    <row r="522">
      <c r="F522" s="85"/>
    </row>
    <row r="523">
      <c r="F523" s="85"/>
    </row>
    <row r="524">
      <c r="F524" s="85"/>
    </row>
    <row r="525">
      <c r="F525" s="85"/>
    </row>
    <row r="526">
      <c r="F526" s="85"/>
    </row>
    <row r="527">
      <c r="F527" s="85"/>
    </row>
    <row r="528">
      <c r="F528" s="85"/>
    </row>
    <row r="529">
      <c r="F529" s="85"/>
    </row>
    <row r="530">
      <c r="F530" s="85"/>
    </row>
    <row r="531">
      <c r="F531" s="85"/>
    </row>
    <row r="532">
      <c r="F532" s="85"/>
    </row>
    <row r="533">
      <c r="F533" s="85"/>
    </row>
    <row r="534">
      <c r="F534" s="85"/>
    </row>
    <row r="535">
      <c r="F535" s="85"/>
    </row>
    <row r="536">
      <c r="F536" s="85"/>
    </row>
    <row r="537">
      <c r="F537" s="85"/>
    </row>
    <row r="538">
      <c r="F538" s="85"/>
    </row>
    <row r="539">
      <c r="F539" s="85"/>
    </row>
    <row r="540">
      <c r="F540" s="85"/>
    </row>
    <row r="541">
      <c r="F541" s="85"/>
    </row>
    <row r="542">
      <c r="F542" s="85"/>
    </row>
    <row r="543">
      <c r="F543" s="85"/>
    </row>
    <row r="544">
      <c r="F544" s="85"/>
    </row>
    <row r="545">
      <c r="F545" s="85"/>
    </row>
    <row r="546">
      <c r="F546" s="85"/>
    </row>
    <row r="547">
      <c r="F547" s="85"/>
    </row>
    <row r="548">
      <c r="F548" s="85"/>
    </row>
    <row r="549">
      <c r="F549" s="85"/>
    </row>
    <row r="550">
      <c r="F550" s="85"/>
    </row>
    <row r="551">
      <c r="F551" s="85"/>
    </row>
    <row r="552">
      <c r="F552" s="85"/>
    </row>
    <row r="553">
      <c r="F553" s="85"/>
    </row>
    <row r="554">
      <c r="F554" s="85"/>
    </row>
    <row r="555">
      <c r="F555" s="85"/>
    </row>
    <row r="556">
      <c r="F556" s="85"/>
    </row>
    <row r="557">
      <c r="F557" s="85"/>
    </row>
    <row r="558">
      <c r="F558" s="85"/>
    </row>
    <row r="559">
      <c r="F559" s="85"/>
    </row>
    <row r="560">
      <c r="F560" s="85"/>
    </row>
    <row r="561">
      <c r="F561" s="85"/>
    </row>
    <row r="562">
      <c r="F562" s="85"/>
    </row>
    <row r="563">
      <c r="F563" s="85"/>
    </row>
    <row r="564">
      <c r="F564" s="85"/>
    </row>
    <row r="565">
      <c r="F565" s="85"/>
    </row>
    <row r="566">
      <c r="F566" s="85"/>
    </row>
    <row r="567">
      <c r="F567" s="85"/>
    </row>
    <row r="568">
      <c r="F568" s="85"/>
    </row>
    <row r="569">
      <c r="F569" s="85"/>
    </row>
    <row r="570">
      <c r="F570" s="85"/>
    </row>
    <row r="571">
      <c r="F571" s="85"/>
    </row>
    <row r="572">
      <c r="F572" s="85"/>
    </row>
    <row r="573">
      <c r="F573" s="85"/>
    </row>
    <row r="574">
      <c r="F574" s="85"/>
    </row>
    <row r="575">
      <c r="F575" s="85"/>
    </row>
    <row r="576">
      <c r="F576" s="85"/>
    </row>
    <row r="577">
      <c r="F577" s="85"/>
    </row>
    <row r="578">
      <c r="F578" s="85"/>
    </row>
    <row r="579">
      <c r="F579" s="85"/>
    </row>
    <row r="580">
      <c r="F580" s="85"/>
    </row>
    <row r="581">
      <c r="F581" s="85"/>
    </row>
    <row r="582">
      <c r="F582" s="85"/>
    </row>
    <row r="583">
      <c r="F583" s="85"/>
    </row>
    <row r="584">
      <c r="F584" s="85"/>
    </row>
    <row r="585">
      <c r="F585" s="85"/>
    </row>
    <row r="586">
      <c r="F586" s="85"/>
    </row>
    <row r="587">
      <c r="F587" s="85"/>
    </row>
    <row r="588">
      <c r="F588" s="85"/>
    </row>
    <row r="589">
      <c r="F589" s="85"/>
    </row>
    <row r="590">
      <c r="F590" s="85"/>
    </row>
    <row r="591">
      <c r="F591" s="85"/>
    </row>
    <row r="592">
      <c r="F592" s="85"/>
    </row>
    <row r="593">
      <c r="F593" s="85"/>
    </row>
    <row r="594">
      <c r="F594" s="85"/>
    </row>
    <row r="595">
      <c r="F595" s="85"/>
    </row>
    <row r="596">
      <c r="F596" s="85"/>
    </row>
    <row r="597">
      <c r="F597" s="85"/>
    </row>
    <row r="598">
      <c r="F598" s="85"/>
    </row>
    <row r="599">
      <c r="F599" s="85"/>
    </row>
    <row r="600">
      <c r="F600" s="85"/>
    </row>
    <row r="601">
      <c r="F601" s="85"/>
    </row>
    <row r="602">
      <c r="F602" s="85"/>
    </row>
    <row r="603">
      <c r="F603" s="85"/>
    </row>
    <row r="604">
      <c r="F604" s="85"/>
    </row>
    <row r="605">
      <c r="F605" s="85"/>
    </row>
    <row r="606">
      <c r="F606" s="85"/>
    </row>
    <row r="607">
      <c r="F607" s="85"/>
    </row>
    <row r="608">
      <c r="F608" s="85"/>
    </row>
    <row r="609">
      <c r="F609" s="85"/>
    </row>
    <row r="610">
      <c r="F610" s="85"/>
    </row>
    <row r="611">
      <c r="F611" s="85"/>
    </row>
    <row r="612">
      <c r="F612" s="85"/>
    </row>
    <row r="613">
      <c r="F613" s="85"/>
    </row>
    <row r="614">
      <c r="F614" s="85"/>
    </row>
    <row r="615">
      <c r="F615" s="85"/>
    </row>
    <row r="616">
      <c r="F616" s="85"/>
    </row>
    <row r="617">
      <c r="F617" s="85"/>
    </row>
    <row r="618">
      <c r="F618" s="85"/>
    </row>
    <row r="619">
      <c r="F619" s="85"/>
    </row>
    <row r="620">
      <c r="F620" s="85"/>
    </row>
    <row r="621">
      <c r="F621" s="85"/>
    </row>
    <row r="622">
      <c r="F622" s="85"/>
    </row>
    <row r="623">
      <c r="F623" s="85"/>
    </row>
    <row r="624">
      <c r="F624" s="85"/>
    </row>
    <row r="625">
      <c r="F625" s="85"/>
    </row>
    <row r="626">
      <c r="F626" s="85"/>
    </row>
    <row r="627">
      <c r="F627" s="85"/>
    </row>
    <row r="628">
      <c r="F628" s="85"/>
    </row>
    <row r="629">
      <c r="F629" s="85"/>
    </row>
    <row r="630">
      <c r="F630" s="85"/>
    </row>
    <row r="631">
      <c r="F631" s="85"/>
    </row>
    <row r="632">
      <c r="F632" s="85"/>
    </row>
    <row r="633">
      <c r="F633" s="85"/>
    </row>
    <row r="634">
      <c r="F634" s="85"/>
    </row>
    <row r="635">
      <c r="F635" s="85"/>
    </row>
    <row r="636">
      <c r="F636" s="85"/>
    </row>
    <row r="637">
      <c r="F637" s="85"/>
    </row>
    <row r="638">
      <c r="F638" s="85"/>
    </row>
    <row r="639">
      <c r="F639" s="85"/>
    </row>
    <row r="640">
      <c r="F640" s="85"/>
    </row>
    <row r="641">
      <c r="F641" s="85"/>
    </row>
    <row r="642">
      <c r="F642" s="85"/>
    </row>
    <row r="643">
      <c r="F643" s="85"/>
    </row>
    <row r="644">
      <c r="F644" s="85"/>
    </row>
    <row r="645">
      <c r="F645" s="85"/>
    </row>
    <row r="646">
      <c r="F646" s="85"/>
    </row>
    <row r="647">
      <c r="F647" s="85"/>
    </row>
    <row r="648">
      <c r="F648" s="85"/>
    </row>
    <row r="649">
      <c r="F649" s="85"/>
    </row>
    <row r="650">
      <c r="F650" s="85"/>
    </row>
    <row r="651">
      <c r="F651" s="85"/>
    </row>
    <row r="652">
      <c r="F652" s="85"/>
    </row>
    <row r="653">
      <c r="F653" s="85"/>
    </row>
    <row r="654">
      <c r="F654" s="85"/>
    </row>
    <row r="655">
      <c r="F655" s="85"/>
    </row>
    <row r="656">
      <c r="F656" s="85"/>
    </row>
    <row r="657">
      <c r="F657" s="85"/>
    </row>
    <row r="658">
      <c r="F658" s="85"/>
    </row>
    <row r="659">
      <c r="F659" s="85"/>
    </row>
    <row r="660">
      <c r="F660" s="85"/>
    </row>
    <row r="661">
      <c r="F661" s="85"/>
    </row>
    <row r="662">
      <c r="F662" s="85"/>
    </row>
    <row r="663">
      <c r="F663" s="85"/>
    </row>
    <row r="664">
      <c r="F664" s="85"/>
    </row>
    <row r="665">
      <c r="F665" s="85"/>
    </row>
    <row r="666">
      <c r="F666" s="85"/>
    </row>
    <row r="667">
      <c r="F667" s="85"/>
    </row>
    <row r="668">
      <c r="F668" s="85"/>
    </row>
    <row r="669">
      <c r="F669" s="85"/>
    </row>
    <row r="670">
      <c r="F670" s="85"/>
    </row>
    <row r="671">
      <c r="F671" s="85"/>
    </row>
    <row r="672">
      <c r="F672" s="85"/>
    </row>
    <row r="673">
      <c r="F673" s="85"/>
    </row>
    <row r="674">
      <c r="F674" s="85"/>
    </row>
    <row r="675">
      <c r="F675" s="85"/>
    </row>
    <row r="676">
      <c r="F676" s="85"/>
    </row>
    <row r="677">
      <c r="F677" s="85"/>
    </row>
    <row r="678">
      <c r="F678" s="85"/>
    </row>
    <row r="679">
      <c r="F679" s="85"/>
    </row>
    <row r="680">
      <c r="F680" s="85"/>
    </row>
    <row r="681">
      <c r="F681" s="85"/>
    </row>
    <row r="682">
      <c r="F682" s="85"/>
    </row>
    <row r="683">
      <c r="F683" s="85"/>
    </row>
    <row r="684">
      <c r="F684" s="85"/>
    </row>
    <row r="685">
      <c r="F685" s="85"/>
    </row>
    <row r="686">
      <c r="F686" s="85"/>
    </row>
    <row r="687">
      <c r="F687" s="85"/>
    </row>
    <row r="688">
      <c r="F688" s="85"/>
    </row>
    <row r="689">
      <c r="F689" s="85"/>
    </row>
    <row r="690">
      <c r="F690" s="85"/>
    </row>
    <row r="691">
      <c r="F691" s="85"/>
    </row>
    <row r="692">
      <c r="F692" s="85"/>
    </row>
    <row r="693">
      <c r="F693" s="85"/>
    </row>
    <row r="694">
      <c r="F694" s="85"/>
    </row>
    <row r="695">
      <c r="F695" s="85"/>
    </row>
    <row r="696">
      <c r="F696" s="85"/>
    </row>
    <row r="697">
      <c r="F697" s="85"/>
    </row>
    <row r="698">
      <c r="F698" s="85"/>
    </row>
    <row r="699">
      <c r="F699" s="85"/>
    </row>
    <row r="700">
      <c r="F700" s="85"/>
    </row>
    <row r="701">
      <c r="F701" s="85"/>
    </row>
    <row r="702">
      <c r="F702" s="85"/>
    </row>
    <row r="703">
      <c r="F703" s="85"/>
    </row>
    <row r="704">
      <c r="F704" s="85"/>
    </row>
    <row r="705">
      <c r="F705" s="85"/>
    </row>
    <row r="706">
      <c r="F706" s="85"/>
    </row>
    <row r="707">
      <c r="F707" s="85"/>
    </row>
    <row r="708">
      <c r="F708" s="85"/>
    </row>
    <row r="709">
      <c r="F709" s="85"/>
    </row>
    <row r="710">
      <c r="F710" s="85"/>
    </row>
    <row r="711">
      <c r="F711" s="85"/>
    </row>
    <row r="712">
      <c r="F712" s="85"/>
    </row>
    <row r="713">
      <c r="F713" s="85"/>
    </row>
    <row r="714">
      <c r="F714" s="85"/>
    </row>
    <row r="715">
      <c r="F715" s="85"/>
    </row>
    <row r="716">
      <c r="F716" s="85"/>
    </row>
    <row r="717">
      <c r="F717" s="85"/>
    </row>
    <row r="718">
      <c r="F718" s="85"/>
    </row>
    <row r="719">
      <c r="F719" s="85"/>
    </row>
    <row r="720">
      <c r="F720" s="85"/>
    </row>
    <row r="721">
      <c r="F721" s="85"/>
    </row>
    <row r="722">
      <c r="F722" s="85"/>
    </row>
    <row r="723">
      <c r="F723" s="85"/>
    </row>
    <row r="724">
      <c r="F724" s="85"/>
    </row>
    <row r="725">
      <c r="F725" s="85"/>
    </row>
    <row r="726">
      <c r="F726" s="85"/>
    </row>
    <row r="727">
      <c r="F727" s="85"/>
    </row>
    <row r="728">
      <c r="F728" s="85"/>
    </row>
    <row r="729">
      <c r="F729" s="85"/>
    </row>
    <row r="730">
      <c r="F730" s="85"/>
    </row>
    <row r="731">
      <c r="F731" s="85"/>
    </row>
    <row r="732">
      <c r="F732" s="85"/>
    </row>
    <row r="733">
      <c r="F733" s="85"/>
    </row>
    <row r="734">
      <c r="F734" s="85"/>
    </row>
    <row r="735">
      <c r="F735" s="85"/>
    </row>
    <row r="736">
      <c r="F736" s="85"/>
    </row>
    <row r="737">
      <c r="F737" s="85"/>
    </row>
    <row r="738">
      <c r="F738" s="85"/>
    </row>
    <row r="739">
      <c r="F739" s="85"/>
    </row>
    <row r="740">
      <c r="F740" s="85"/>
    </row>
    <row r="741">
      <c r="F741" s="85"/>
    </row>
    <row r="742">
      <c r="F742" s="85"/>
    </row>
    <row r="743">
      <c r="F743" s="85"/>
    </row>
    <row r="744">
      <c r="F744" s="85"/>
    </row>
    <row r="745">
      <c r="F745" s="85"/>
    </row>
    <row r="746">
      <c r="F746" s="85"/>
    </row>
    <row r="747">
      <c r="F747" s="85"/>
    </row>
    <row r="748">
      <c r="F748" s="85"/>
    </row>
    <row r="749">
      <c r="F749" s="85"/>
    </row>
    <row r="750">
      <c r="F750" s="85"/>
    </row>
    <row r="751">
      <c r="F751" s="85"/>
    </row>
    <row r="752">
      <c r="F752" s="85"/>
    </row>
    <row r="753">
      <c r="F753" s="85"/>
    </row>
    <row r="754">
      <c r="F754" s="85"/>
    </row>
    <row r="755">
      <c r="F755" s="85"/>
    </row>
    <row r="756">
      <c r="F756" s="85"/>
    </row>
    <row r="757">
      <c r="F757" s="85"/>
    </row>
    <row r="758">
      <c r="F758" s="85"/>
    </row>
    <row r="759">
      <c r="F759" s="85"/>
    </row>
    <row r="760">
      <c r="F760" s="85"/>
    </row>
    <row r="761">
      <c r="F761" s="85"/>
    </row>
    <row r="762">
      <c r="F762" s="85"/>
    </row>
    <row r="763">
      <c r="F763" s="85"/>
    </row>
    <row r="764">
      <c r="F764" s="85"/>
    </row>
    <row r="765">
      <c r="F765" s="85"/>
    </row>
    <row r="766">
      <c r="F766" s="85"/>
    </row>
    <row r="767">
      <c r="F767" s="85"/>
    </row>
    <row r="768">
      <c r="F768" s="85"/>
    </row>
    <row r="769">
      <c r="F769" s="85"/>
    </row>
    <row r="770">
      <c r="F770" s="85"/>
    </row>
    <row r="771">
      <c r="F771" s="85"/>
    </row>
    <row r="772">
      <c r="F772" s="85"/>
    </row>
    <row r="773">
      <c r="F773" s="85"/>
    </row>
    <row r="774">
      <c r="F774" s="85"/>
    </row>
    <row r="775">
      <c r="F775" s="85"/>
    </row>
    <row r="776">
      <c r="F776" s="85"/>
    </row>
    <row r="777">
      <c r="F777" s="85"/>
    </row>
    <row r="778">
      <c r="F778" s="85"/>
    </row>
    <row r="779">
      <c r="F779" s="85"/>
    </row>
    <row r="780">
      <c r="F780" s="85"/>
    </row>
    <row r="781">
      <c r="F781" s="85"/>
    </row>
    <row r="782">
      <c r="F782" s="85"/>
    </row>
    <row r="783">
      <c r="F783" s="85"/>
    </row>
    <row r="784">
      <c r="F784" s="85"/>
    </row>
    <row r="785">
      <c r="F785" s="85"/>
    </row>
    <row r="786">
      <c r="F786" s="85"/>
    </row>
    <row r="787">
      <c r="F787" s="85"/>
    </row>
    <row r="788">
      <c r="F788" s="85"/>
    </row>
    <row r="789">
      <c r="F789" s="85"/>
    </row>
    <row r="790">
      <c r="F790" s="85"/>
    </row>
    <row r="791">
      <c r="F791" s="85"/>
    </row>
    <row r="792">
      <c r="F792" s="85"/>
    </row>
    <row r="793">
      <c r="F793" s="85"/>
    </row>
    <row r="794">
      <c r="F794" s="85"/>
    </row>
    <row r="795">
      <c r="F795" s="85"/>
    </row>
    <row r="796">
      <c r="F796" s="85"/>
    </row>
    <row r="797">
      <c r="F797" s="85"/>
    </row>
    <row r="798">
      <c r="F798" s="85"/>
    </row>
    <row r="799">
      <c r="F799" s="85"/>
    </row>
    <row r="800">
      <c r="F800" s="85"/>
    </row>
    <row r="801">
      <c r="F801" s="85"/>
    </row>
    <row r="802">
      <c r="F802" s="85"/>
    </row>
    <row r="803">
      <c r="F803" s="85"/>
    </row>
    <row r="804">
      <c r="F804" s="85"/>
    </row>
    <row r="805">
      <c r="F805" s="85"/>
    </row>
    <row r="806">
      <c r="F806" s="85"/>
    </row>
    <row r="807">
      <c r="F807" s="85"/>
    </row>
    <row r="808">
      <c r="F808" s="85"/>
    </row>
    <row r="809">
      <c r="F809" s="85"/>
    </row>
    <row r="810">
      <c r="F810" s="85"/>
    </row>
    <row r="811">
      <c r="F811" s="85"/>
    </row>
    <row r="812">
      <c r="F812" s="85"/>
    </row>
    <row r="813">
      <c r="F813" s="85"/>
    </row>
    <row r="814">
      <c r="F814" s="85"/>
    </row>
    <row r="815">
      <c r="F815" s="85"/>
    </row>
    <row r="816">
      <c r="F816" s="85"/>
    </row>
    <row r="817">
      <c r="F817" s="85"/>
    </row>
    <row r="818">
      <c r="F818" s="85"/>
    </row>
    <row r="819">
      <c r="F819" s="85"/>
    </row>
    <row r="820">
      <c r="F820" s="85"/>
    </row>
    <row r="821">
      <c r="F821" s="85"/>
    </row>
    <row r="822">
      <c r="F822" s="85"/>
    </row>
    <row r="823">
      <c r="F823" s="85"/>
    </row>
    <row r="824">
      <c r="F824" s="85"/>
    </row>
    <row r="825">
      <c r="F825" s="85"/>
    </row>
    <row r="826">
      <c r="F826" s="85"/>
    </row>
    <row r="827">
      <c r="F827" s="85"/>
    </row>
    <row r="828">
      <c r="F828" s="85"/>
    </row>
    <row r="829">
      <c r="F829" s="85"/>
    </row>
    <row r="830">
      <c r="F830" s="85"/>
    </row>
    <row r="831">
      <c r="F831" s="85"/>
    </row>
    <row r="832">
      <c r="F832" s="85"/>
    </row>
    <row r="833">
      <c r="F833" s="85"/>
    </row>
    <row r="834">
      <c r="F834" s="85"/>
    </row>
    <row r="835">
      <c r="F835" s="85"/>
    </row>
    <row r="836">
      <c r="F836" s="85"/>
    </row>
    <row r="837">
      <c r="F837" s="85"/>
    </row>
    <row r="838">
      <c r="F838" s="85"/>
    </row>
    <row r="839">
      <c r="F839" s="85"/>
    </row>
    <row r="840">
      <c r="F840" s="85"/>
    </row>
    <row r="841">
      <c r="F841" s="85"/>
    </row>
    <row r="842">
      <c r="F842" s="85"/>
    </row>
    <row r="843">
      <c r="F843" s="85"/>
    </row>
    <row r="844">
      <c r="F844" s="85"/>
    </row>
    <row r="845">
      <c r="F845" s="85"/>
    </row>
    <row r="846">
      <c r="F846" s="85"/>
    </row>
    <row r="847">
      <c r="F847" s="85"/>
    </row>
    <row r="848">
      <c r="F848" s="85"/>
    </row>
    <row r="849">
      <c r="F849" s="85"/>
    </row>
    <row r="850">
      <c r="F850" s="85"/>
    </row>
    <row r="851">
      <c r="F851" s="85"/>
    </row>
    <row r="852">
      <c r="F852" s="85"/>
    </row>
    <row r="853">
      <c r="F853" s="85"/>
    </row>
    <row r="854">
      <c r="F854" s="85"/>
    </row>
    <row r="855">
      <c r="F855" s="85"/>
    </row>
    <row r="856">
      <c r="F856" s="85"/>
    </row>
    <row r="857">
      <c r="F857" s="85"/>
    </row>
    <row r="858">
      <c r="F858" s="85"/>
    </row>
    <row r="859">
      <c r="F859" s="85"/>
    </row>
    <row r="860">
      <c r="F860" s="85"/>
    </row>
    <row r="861">
      <c r="F861" s="85"/>
    </row>
    <row r="862">
      <c r="F862" s="85"/>
    </row>
    <row r="863">
      <c r="F863" s="85"/>
    </row>
    <row r="864">
      <c r="F864" s="85"/>
    </row>
    <row r="865">
      <c r="F865" s="85"/>
    </row>
    <row r="866">
      <c r="F866" s="85"/>
    </row>
    <row r="867">
      <c r="F867" s="85"/>
    </row>
    <row r="868">
      <c r="F868" s="85"/>
    </row>
    <row r="869">
      <c r="F869" s="85"/>
    </row>
    <row r="870">
      <c r="F870" s="85"/>
    </row>
    <row r="871">
      <c r="F871" s="85"/>
    </row>
    <row r="872">
      <c r="F872" s="85"/>
    </row>
    <row r="873">
      <c r="F873" s="85"/>
    </row>
    <row r="874">
      <c r="F874" s="85"/>
    </row>
    <row r="875">
      <c r="F875" s="85"/>
    </row>
    <row r="876">
      <c r="F876" s="85"/>
    </row>
    <row r="877">
      <c r="F877" s="85"/>
    </row>
    <row r="878">
      <c r="F878" s="85"/>
    </row>
    <row r="879">
      <c r="F879" s="85"/>
    </row>
    <row r="880">
      <c r="F880" s="85"/>
    </row>
    <row r="881">
      <c r="F881" s="85"/>
    </row>
    <row r="882">
      <c r="F882" s="85"/>
    </row>
    <row r="883">
      <c r="F883" s="85"/>
    </row>
    <row r="884">
      <c r="F884" s="85"/>
    </row>
    <row r="885">
      <c r="F885" s="85"/>
    </row>
    <row r="886">
      <c r="F886" s="85"/>
    </row>
    <row r="887">
      <c r="F887" s="85"/>
    </row>
    <row r="888">
      <c r="F888" s="85"/>
    </row>
    <row r="889">
      <c r="F889" s="85"/>
    </row>
    <row r="890">
      <c r="F890" s="85"/>
    </row>
    <row r="891">
      <c r="F891" s="85"/>
    </row>
    <row r="892">
      <c r="F892" s="85"/>
    </row>
    <row r="893">
      <c r="F893" s="85"/>
    </row>
    <row r="894">
      <c r="F894" s="85"/>
    </row>
    <row r="895">
      <c r="F895" s="85"/>
    </row>
    <row r="896">
      <c r="F896" s="85"/>
    </row>
    <row r="897">
      <c r="F897" s="85"/>
    </row>
    <row r="898">
      <c r="F898" s="85"/>
    </row>
    <row r="899">
      <c r="F899" s="85"/>
    </row>
    <row r="900">
      <c r="F900" s="85"/>
    </row>
    <row r="901">
      <c r="F901" s="85"/>
    </row>
    <row r="902">
      <c r="F902" s="85"/>
    </row>
    <row r="903">
      <c r="F903" s="85"/>
    </row>
    <row r="904">
      <c r="F904" s="85"/>
    </row>
    <row r="905">
      <c r="F905" s="85"/>
    </row>
    <row r="906">
      <c r="F906" s="85"/>
    </row>
    <row r="907">
      <c r="F907" s="85"/>
    </row>
    <row r="908">
      <c r="F908" s="85"/>
    </row>
    <row r="909">
      <c r="F909" s="85"/>
    </row>
    <row r="910">
      <c r="F910" s="85"/>
    </row>
    <row r="911">
      <c r="F911" s="85"/>
    </row>
    <row r="912">
      <c r="F912" s="85"/>
    </row>
    <row r="913">
      <c r="F913" s="85"/>
    </row>
    <row r="914">
      <c r="F914" s="85"/>
    </row>
    <row r="915">
      <c r="F915" s="85"/>
    </row>
    <row r="916">
      <c r="F916" s="85"/>
    </row>
    <row r="917">
      <c r="F917" s="85"/>
    </row>
    <row r="918">
      <c r="F918" s="85"/>
    </row>
    <row r="919">
      <c r="F919" s="85"/>
    </row>
    <row r="920">
      <c r="F920" s="85"/>
    </row>
    <row r="921">
      <c r="F921" s="85"/>
    </row>
    <row r="922">
      <c r="F922" s="85"/>
    </row>
    <row r="923">
      <c r="F923" s="85"/>
    </row>
    <row r="924">
      <c r="F924" s="85"/>
    </row>
    <row r="925">
      <c r="F925" s="85"/>
    </row>
    <row r="926">
      <c r="F926" s="85"/>
    </row>
    <row r="927">
      <c r="F927" s="85"/>
    </row>
    <row r="928">
      <c r="F928" s="85"/>
    </row>
    <row r="929">
      <c r="F929" s="85"/>
    </row>
    <row r="930">
      <c r="F930" s="85"/>
    </row>
    <row r="931">
      <c r="F931" s="85"/>
    </row>
    <row r="932">
      <c r="F932" s="85"/>
    </row>
    <row r="933">
      <c r="F933" s="85"/>
    </row>
    <row r="934">
      <c r="F934" s="85"/>
    </row>
    <row r="935">
      <c r="F935" s="85"/>
    </row>
    <row r="936">
      <c r="F936" s="85"/>
    </row>
    <row r="937">
      <c r="F937" s="85"/>
    </row>
    <row r="938">
      <c r="F938" s="85"/>
    </row>
    <row r="939">
      <c r="F939" s="85"/>
    </row>
    <row r="940">
      <c r="F940" s="85"/>
    </row>
    <row r="941">
      <c r="F941" s="85"/>
    </row>
    <row r="942">
      <c r="F942" s="85"/>
    </row>
    <row r="943">
      <c r="F943" s="85"/>
    </row>
    <row r="944">
      <c r="F944" s="85"/>
    </row>
    <row r="945">
      <c r="F945" s="85"/>
    </row>
    <row r="946">
      <c r="F946" s="85"/>
    </row>
    <row r="947">
      <c r="F947" s="85"/>
    </row>
    <row r="948">
      <c r="F948" s="85"/>
    </row>
    <row r="949">
      <c r="F949" s="85"/>
    </row>
    <row r="950">
      <c r="F950" s="85"/>
    </row>
    <row r="951">
      <c r="F951" s="85"/>
    </row>
    <row r="952">
      <c r="F952" s="85"/>
    </row>
    <row r="953">
      <c r="F953" s="85"/>
    </row>
    <row r="954">
      <c r="F954" s="85"/>
    </row>
    <row r="955">
      <c r="F955" s="85"/>
    </row>
    <row r="956">
      <c r="F956" s="85"/>
    </row>
    <row r="957">
      <c r="F957" s="85"/>
    </row>
    <row r="958">
      <c r="F958" s="85"/>
    </row>
    <row r="959">
      <c r="F959" s="85"/>
    </row>
    <row r="960">
      <c r="F960" s="85"/>
    </row>
    <row r="961">
      <c r="F961" s="85"/>
    </row>
    <row r="962">
      <c r="F962" s="85"/>
    </row>
    <row r="963">
      <c r="F963" s="85"/>
    </row>
    <row r="964">
      <c r="F964" s="85"/>
    </row>
    <row r="965">
      <c r="F965" s="85"/>
    </row>
    <row r="966">
      <c r="F966" s="85"/>
    </row>
    <row r="967">
      <c r="F967" s="85"/>
    </row>
    <row r="968">
      <c r="F968" s="85"/>
    </row>
    <row r="969">
      <c r="F969" s="85"/>
    </row>
    <row r="970">
      <c r="F970" s="85"/>
    </row>
    <row r="971">
      <c r="F971" s="85"/>
    </row>
    <row r="972">
      <c r="F972" s="85"/>
    </row>
    <row r="973">
      <c r="F973" s="85"/>
    </row>
    <row r="974">
      <c r="F974" s="85"/>
    </row>
    <row r="975">
      <c r="F975" s="85"/>
    </row>
    <row r="976">
      <c r="F976" s="85"/>
    </row>
    <row r="977">
      <c r="F977" s="85"/>
    </row>
    <row r="978">
      <c r="F978" s="85"/>
    </row>
    <row r="979">
      <c r="F979" s="85"/>
    </row>
    <row r="980">
      <c r="F980" s="85"/>
    </row>
    <row r="981">
      <c r="F981" s="85"/>
    </row>
    <row r="982">
      <c r="F982" s="85"/>
    </row>
    <row r="983">
      <c r="F983" s="85"/>
    </row>
    <row r="984">
      <c r="F984" s="85"/>
    </row>
    <row r="985">
      <c r="F985" s="85"/>
    </row>
    <row r="986">
      <c r="F986" s="85"/>
    </row>
    <row r="987">
      <c r="F987" s="85"/>
    </row>
    <row r="988">
      <c r="F988" s="85"/>
    </row>
    <row r="989">
      <c r="F989" s="85"/>
    </row>
    <row r="990">
      <c r="F990" s="85"/>
    </row>
    <row r="991">
      <c r="F991" s="85"/>
    </row>
    <row r="992">
      <c r="F992" s="85"/>
    </row>
    <row r="993">
      <c r="F993" s="85"/>
    </row>
    <row r="994">
      <c r="F994" s="85"/>
    </row>
    <row r="995">
      <c r="F995" s="85"/>
    </row>
    <row r="996">
      <c r="F996" s="85"/>
    </row>
    <row r="997">
      <c r="F997" s="85"/>
    </row>
    <row r="998">
      <c r="F998" s="85"/>
    </row>
    <row r="999">
      <c r="F999" s="85"/>
    </row>
    <row r="1000">
      <c r="F1000" s="8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38"/>
    <col customWidth="1" min="2" max="2" width="23.63"/>
    <col customWidth="1" min="3" max="3" width="19.13"/>
    <col customWidth="1" hidden="1" min="4" max="4" width="19.13"/>
    <col customWidth="1" min="5" max="5" width="20.25"/>
    <col customWidth="1" hidden="1" min="6" max="6" width="20.25"/>
    <col customWidth="1" min="7" max="7" width="19.88"/>
    <col customWidth="1" hidden="1" min="8" max="8" width="19.88"/>
    <col customWidth="1" min="9" max="9" width="20.13"/>
    <col customWidth="1" hidden="1" min="10" max="10" width="20.13"/>
    <col customWidth="1" min="11" max="11" width="27.63"/>
    <col customWidth="1" hidden="1" min="12" max="12" width="27.63"/>
    <col customWidth="1" min="13" max="13" width="21.13"/>
    <col customWidth="1" hidden="1" min="14" max="14" width="21.13"/>
    <col customWidth="1" min="15" max="15" width="19.38"/>
    <col customWidth="1" hidden="1" min="16" max="16" width="19.38"/>
    <col customWidth="1" min="17" max="17" width="20.13"/>
    <col customWidth="1" hidden="1" min="18" max="18" width="20.13"/>
    <col customWidth="1" min="19" max="19" width="19.63"/>
    <col customWidth="1" hidden="1" min="20" max="20" width="19.63"/>
    <col customWidth="1" min="21" max="21" width="19.38"/>
    <col customWidth="1" hidden="1" min="22" max="22" width="19.38"/>
    <col customWidth="1" min="23" max="23" width="19.38"/>
    <col customWidth="1" hidden="1" min="24" max="24" width="19.38"/>
    <col customWidth="1" min="25" max="25" width="20.63"/>
    <col customWidth="1" hidden="1" min="26" max="26" width="20.63"/>
    <col customWidth="1" min="27" max="27" width="18.38"/>
    <col customWidth="1" hidden="1" min="28" max="28" width="18.38"/>
    <col customWidth="1" min="29" max="29" width="19.38"/>
    <col customWidth="1" hidden="1" min="30" max="30" width="19.38"/>
    <col customWidth="1" min="31" max="31" width="77.88"/>
    <col customWidth="1" min="32" max="32" width="25.63"/>
  </cols>
  <sheetData>
    <row r="1" ht="22.5" customHeight="1">
      <c r="A1" s="86" t="s">
        <v>49</v>
      </c>
      <c r="B1" s="87" t="s">
        <v>0</v>
      </c>
      <c r="C1" s="88" t="s">
        <v>50</v>
      </c>
      <c r="D1" s="88" t="s">
        <v>51</v>
      </c>
      <c r="E1" s="88" t="s">
        <v>52</v>
      </c>
      <c r="F1" s="88" t="s">
        <v>53</v>
      </c>
      <c r="G1" s="88" t="s">
        <v>54</v>
      </c>
      <c r="H1" s="88" t="s">
        <v>55</v>
      </c>
      <c r="I1" s="88" t="s">
        <v>56</v>
      </c>
      <c r="J1" s="88" t="s">
        <v>57</v>
      </c>
      <c r="K1" s="88" t="s">
        <v>58</v>
      </c>
      <c r="L1" s="88" t="s">
        <v>59</v>
      </c>
      <c r="M1" s="88" t="s">
        <v>60</v>
      </c>
      <c r="N1" s="88" t="s">
        <v>61</v>
      </c>
      <c r="O1" s="88" t="s">
        <v>62</v>
      </c>
      <c r="P1" s="88" t="s">
        <v>63</v>
      </c>
      <c r="Q1" s="88" t="s">
        <v>64</v>
      </c>
      <c r="R1" s="88" t="s">
        <v>65</v>
      </c>
      <c r="S1" s="88" t="s">
        <v>66</v>
      </c>
      <c r="T1" s="88" t="s">
        <v>67</v>
      </c>
      <c r="U1" s="88" t="s">
        <v>68</v>
      </c>
      <c r="V1" s="88" t="s">
        <v>69</v>
      </c>
      <c r="W1" s="88" t="s">
        <v>70</v>
      </c>
      <c r="X1" s="88" t="s">
        <v>71</v>
      </c>
      <c r="Y1" s="88" t="s">
        <v>72</v>
      </c>
      <c r="Z1" s="88" t="s">
        <v>73</v>
      </c>
      <c r="AA1" s="88" t="s">
        <v>74</v>
      </c>
      <c r="AB1" s="88" t="s">
        <v>75</v>
      </c>
      <c r="AC1" s="88" t="s">
        <v>76</v>
      </c>
      <c r="AD1" s="88" t="s">
        <v>77</v>
      </c>
      <c r="AE1" s="89" t="s">
        <v>78</v>
      </c>
      <c r="AF1" s="90" t="s">
        <v>79</v>
      </c>
      <c r="AG1" s="15"/>
    </row>
    <row r="2" ht="22.5" customHeight="1">
      <c r="A2" s="91" t="s">
        <v>80</v>
      </c>
      <c r="B2" s="92">
        <v>45597.0</v>
      </c>
      <c r="C2" s="91">
        <v>1.0</v>
      </c>
      <c r="D2" s="93">
        <f t="shared" ref="D2:D32" si="1">C2*1500</f>
        <v>1500</v>
      </c>
      <c r="E2" s="94">
        <v>1.0</v>
      </c>
      <c r="F2" s="93">
        <f t="shared" ref="F2:F32" si="2">E2*1112</f>
        <v>1112</v>
      </c>
      <c r="G2" s="94">
        <v>0.0</v>
      </c>
      <c r="H2" s="93">
        <f t="shared" ref="H2:H32" si="3">G2*1112</f>
        <v>0</v>
      </c>
      <c r="I2" s="94">
        <v>0.0</v>
      </c>
      <c r="J2" s="93">
        <f t="shared" ref="J2:J32" si="4">I2*1112</f>
        <v>0</v>
      </c>
      <c r="K2" s="94">
        <v>0.0</v>
      </c>
      <c r="L2" s="93">
        <f t="shared" ref="L2:L32" si="5">K2*1112</f>
        <v>0</v>
      </c>
      <c r="M2" s="94">
        <v>2.0</v>
      </c>
      <c r="N2" s="93">
        <f t="shared" ref="N2:N32" si="6">M2*1112</f>
        <v>2224</v>
      </c>
      <c r="O2" s="94">
        <v>0.0</v>
      </c>
      <c r="P2" s="93">
        <f t="shared" ref="P2:P32" si="7">O2*1112</f>
        <v>0</v>
      </c>
      <c r="Q2" s="94">
        <v>1.0</v>
      </c>
      <c r="R2" s="93">
        <f t="shared" ref="R2:R32" si="8">Q2*1200</f>
        <v>1200</v>
      </c>
      <c r="S2" s="94">
        <v>1.0</v>
      </c>
      <c r="T2" s="93">
        <f t="shared" ref="T2:T32" si="9">S2*1112</f>
        <v>1112</v>
      </c>
      <c r="U2" s="94">
        <v>1.0</v>
      </c>
      <c r="V2" s="93">
        <f t="shared" ref="V2:V32" si="10">U2*1112</f>
        <v>1112</v>
      </c>
      <c r="W2" s="94">
        <v>2.0</v>
      </c>
      <c r="X2" s="93">
        <f t="shared" ref="X2:X32" si="11">W2*1200</f>
        <v>2400</v>
      </c>
      <c r="Y2" s="94">
        <v>0.0</v>
      </c>
      <c r="Z2" s="93">
        <f t="shared" ref="Z2:Z32" si="12">Y2*1112</f>
        <v>0</v>
      </c>
      <c r="AA2" s="94">
        <v>0.0</v>
      </c>
      <c r="AB2" s="93">
        <f t="shared" ref="AB2:AB32" si="13">AA2*1100</f>
        <v>0</v>
      </c>
      <c r="AC2" s="94">
        <v>1.0</v>
      </c>
      <c r="AD2" s="94">
        <f t="shared" ref="AD2:AD32" si="14">AC2*1100</f>
        <v>1100</v>
      </c>
      <c r="AE2" s="95"/>
      <c r="AF2" s="96">
        <f t="shared" ref="AF2:AF36" si="15">SUM(AD2,AB2,Z2,X2,V2,T2,R2,P2,N2,L2,J2,H2,F2,D2)</f>
        <v>11760</v>
      </c>
      <c r="AG2" s="15"/>
    </row>
    <row r="3" ht="22.5" customHeight="1">
      <c r="A3" s="97" t="s">
        <v>81</v>
      </c>
      <c r="B3" s="98">
        <v>45598.0</v>
      </c>
      <c r="C3" s="97">
        <v>0.0</v>
      </c>
      <c r="D3" s="99">
        <f t="shared" si="1"/>
        <v>0</v>
      </c>
      <c r="E3" s="100">
        <v>1.0</v>
      </c>
      <c r="F3" s="101">
        <f t="shared" si="2"/>
        <v>1112</v>
      </c>
      <c r="G3" s="100">
        <v>1.0</v>
      </c>
      <c r="H3" s="99">
        <f t="shared" si="3"/>
        <v>1112</v>
      </c>
      <c r="I3" s="100">
        <v>1.0</v>
      </c>
      <c r="J3" s="99">
        <f t="shared" si="4"/>
        <v>1112</v>
      </c>
      <c r="K3" s="100">
        <v>0.0</v>
      </c>
      <c r="L3" s="99">
        <f t="shared" si="5"/>
        <v>0</v>
      </c>
      <c r="M3" s="100">
        <v>1.0</v>
      </c>
      <c r="N3" s="99">
        <f t="shared" si="6"/>
        <v>1112</v>
      </c>
      <c r="O3" s="100">
        <v>1.0</v>
      </c>
      <c r="P3" s="99">
        <f t="shared" si="7"/>
        <v>1112</v>
      </c>
      <c r="Q3" s="102">
        <v>1.0</v>
      </c>
      <c r="R3" s="103">
        <f t="shared" si="8"/>
        <v>1200</v>
      </c>
      <c r="S3" s="100">
        <v>1.0</v>
      </c>
      <c r="T3" s="99">
        <f t="shared" si="9"/>
        <v>1112</v>
      </c>
      <c r="U3" s="100">
        <v>1.0</v>
      </c>
      <c r="V3" s="99">
        <f t="shared" si="10"/>
        <v>1112</v>
      </c>
      <c r="W3" s="100">
        <v>0.0</v>
      </c>
      <c r="X3" s="99">
        <f t="shared" si="11"/>
        <v>0</v>
      </c>
      <c r="Y3" s="100">
        <v>1.0</v>
      </c>
      <c r="Z3" s="99">
        <f t="shared" si="12"/>
        <v>1112</v>
      </c>
      <c r="AA3" s="100">
        <v>0.0</v>
      </c>
      <c r="AB3" s="99">
        <f t="shared" si="13"/>
        <v>0</v>
      </c>
      <c r="AC3" s="100">
        <v>1.0</v>
      </c>
      <c r="AD3" s="100">
        <f t="shared" si="14"/>
        <v>1100</v>
      </c>
      <c r="AE3" s="104"/>
      <c r="AF3" s="105">
        <f t="shared" si="15"/>
        <v>11196</v>
      </c>
      <c r="AG3" s="15"/>
    </row>
    <row r="4" ht="22.5" customHeight="1">
      <c r="A4" s="97" t="s">
        <v>82</v>
      </c>
      <c r="B4" s="98">
        <v>45599.0</v>
      </c>
      <c r="C4" s="97">
        <v>0.0</v>
      </c>
      <c r="D4" s="99">
        <f t="shared" si="1"/>
        <v>0</v>
      </c>
      <c r="E4" s="100">
        <v>1.0</v>
      </c>
      <c r="F4" s="101">
        <f t="shared" si="2"/>
        <v>1112</v>
      </c>
      <c r="G4" s="100">
        <v>1.0</v>
      </c>
      <c r="H4" s="99">
        <f t="shared" si="3"/>
        <v>1112</v>
      </c>
      <c r="I4" s="100">
        <v>1.0</v>
      </c>
      <c r="J4" s="99">
        <f t="shared" si="4"/>
        <v>1112</v>
      </c>
      <c r="K4" s="100">
        <v>0.0</v>
      </c>
      <c r="L4" s="99">
        <f t="shared" si="5"/>
        <v>0</v>
      </c>
      <c r="M4" s="100">
        <v>0.0</v>
      </c>
      <c r="N4" s="99">
        <f t="shared" si="6"/>
        <v>0</v>
      </c>
      <c r="O4" s="100">
        <v>1.0</v>
      </c>
      <c r="P4" s="99">
        <f t="shared" si="7"/>
        <v>1112</v>
      </c>
      <c r="Q4" s="100">
        <v>1.0</v>
      </c>
      <c r="R4" s="99">
        <f t="shared" si="8"/>
        <v>1200</v>
      </c>
      <c r="S4" s="100">
        <v>1.0</v>
      </c>
      <c r="T4" s="99">
        <f t="shared" si="9"/>
        <v>1112</v>
      </c>
      <c r="U4" s="100">
        <v>1.0</v>
      </c>
      <c r="V4" s="99">
        <f t="shared" si="10"/>
        <v>1112</v>
      </c>
      <c r="W4" s="100">
        <v>1.0</v>
      </c>
      <c r="X4" s="99">
        <f t="shared" si="11"/>
        <v>1200</v>
      </c>
      <c r="Y4" s="100">
        <v>1.0</v>
      </c>
      <c r="Z4" s="99">
        <f t="shared" si="12"/>
        <v>1112</v>
      </c>
      <c r="AA4" s="100">
        <v>1.0</v>
      </c>
      <c r="AB4" s="99">
        <f t="shared" si="13"/>
        <v>1100</v>
      </c>
      <c r="AC4" s="100">
        <v>0.0</v>
      </c>
      <c r="AD4" s="106">
        <f t="shared" si="14"/>
        <v>0</v>
      </c>
      <c r="AE4" s="107"/>
      <c r="AF4" s="105">
        <f t="shared" si="15"/>
        <v>11284</v>
      </c>
      <c r="AG4" s="15"/>
    </row>
    <row r="5" ht="22.5" customHeight="1">
      <c r="A5" s="97" t="s">
        <v>83</v>
      </c>
      <c r="B5" s="98">
        <v>45600.0</v>
      </c>
      <c r="C5" s="97">
        <v>0.0</v>
      </c>
      <c r="D5" s="99">
        <f t="shared" si="1"/>
        <v>0</v>
      </c>
      <c r="E5" s="100">
        <v>1.0</v>
      </c>
      <c r="F5" s="101">
        <f t="shared" si="2"/>
        <v>1112</v>
      </c>
      <c r="G5" s="100">
        <v>1.0</v>
      </c>
      <c r="H5" s="99">
        <f t="shared" si="3"/>
        <v>1112</v>
      </c>
      <c r="I5" s="100">
        <v>1.0</v>
      </c>
      <c r="J5" s="99">
        <f t="shared" si="4"/>
        <v>1112</v>
      </c>
      <c r="K5" s="100">
        <v>0.0</v>
      </c>
      <c r="L5" s="99">
        <f t="shared" si="5"/>
        <v>0</v>
      </c>
      <c r="M5" s="100">
        <v>1.0</v>
      </c>
      <c r="N5" s="99">
        <f t="shared" si="6"/>
        <v>1112</v>
      </c>
      <c r="O5" s="100">
        <v>1.0</v>
      </c>
      <c r="P5" s="99">
        <f t="shared" si="7"/>
        <v>1112</v>
      </c>
      <c r="Q5" s="102">
        <v>1.0</v>
      </c>
      <c r="R5" s="103">
        <f t="shared" si="8"/>
        <v>1200</v>
      </c>
      <c r="S5" s="100">
        <v>1.0</v>
      </c>
      <c r="T5" s="99">
        <f t="shared" si="9"/>
        <v>1112</v>
      </c>
      <c r="U5" s="100">
        <v>1.0</v>
      </c>
      <c r="V5" s="99">
        <f t="shared" si="10"/>
        <v>1112</v>
      </c>
      <c r="W5" s="100">
        <v>1.0</v>
      </c>
      <c r="X5" s="99">
        <f t="shared" si="11"/>
        <v>1200</v>
      </c>
      <c r="Y5" s="100">
        <v>1.0</v>
      </c>
      <c r="Z5" s="99">
        <f t="shared" si="12"/>
        <v>1112</v>
      </c>
      <c r="AA5" s="100">
        <v>0.5</v>
      </c>
      <c r="AB5" s="99">
        <f t="shared" si="13"/>
        <v>550</v>
      </c>
      <c r="AC5" s="100">
        <v>1.0</v>
      </c>
      <c r="AD5" s="100">
        <f t="shared" si="14"/>
        <v>1100</v>
      </c>
      <c r="AE5" s="104"/>
      <c r="AF5" s="105">
        <f t="shared" si="15"/>
        <v>12946</v>
      </c>
      <c r="AG5" s="15"/>
    </row>
    <row r="6" ht="22.5" customHeight="1">
      <c r="A6" s="97" t="s">
        <v>84</v>
      </c>
      <c r="B6" s="98">
        <v>45601.0</v>
      </c>
      <c r="C6" s="97">
        <v>0.0</v>
      </c>
      <c r="D6" s="99">
        <f t="shared" si="1"/>
        <v>0</v>
      </c>
      <c r="E6" s="100">
        <v>0.0</v>
      </c>
      <c r="F6" s="101">
        <f t="shared" si="2"/>
        <v>0</v>
      </c>
      <c r="G6" s="100">
        <v>1.0</v>
      </c>
      <c r="H6" s="99">
        <f t="shared" si="3"/>
        <v>1112</v>
      </c>
      <c r="I6" s="100">
        <v>1.0</v>
      </c>
      <c r="J6" s="99">
        <f t="shared" si="4"/>
        <v>1112</v>
      </c>
      <c r="K6" s="100">
        <v>1.2</v>
      </c>
      <c r="L6" s="99">
        <f t="shared" si="5"/>
        <v>1334.4</v>
      </c>
      <c r="M6" s="100">
        <v>1.0</v>
      </c>
      <c r="N6" s="99">
        <f t="shared" si="6"/>
        <v>1112</v>
      </c>
      <c r="O6" s="100">
        <v>1.0</v>
      </c>
      <c r="P6" s="99">
        <f t="shared" si="7"/>
        <v>1112</v>
      </c>
      <c r="Q6" s="100">
        <v>1.0</v>
      </c>
      <c r="R6" s="99">
        <f t="shared" si="8"/>
        <v>1200</v>
      </c>
      <c r="S6" s="100">
        <v>1.0</v>
      </c>
      <c r="T6" s="99">
        <f t="shared" si="9"/>
        <v>1112</v>
      </c>
      <c r="U6" s="100">
        <v>1.0</v>
      </c>
      <c r="V6" s="99">
        <f t="shared" si="10"/>
        <v>1112</v>
      </c>
      <c r="W6" s="100">
        <v>1.0</v>
      </c>
      <c r="X6" s="99">
        <f t="shared" si="11"/>
        <v>1200</v>
      </c>
      <c r="Y6" s="100">
        <v>1.0</v>
      </c>
      <c r="Z6" s="99">
        <f t="shared" si="12"/>
        <v>1112</v>
      </c>
      <c r="AA6" s="100">
        <v>1.0</v>
      </c>
      <c r="AB6" s="99">
        <f t="shared" si="13"/>
        <v>1100</v>
      </c>
      <c r="AC6" s="100">
        <v>1.0</v>
      </c>
      <c r="AD6" s="100">
        <f t="shared" si="14"/>
        <v>1100</v>
      </c>
      <c r="AE6" s="104"/>
      <c r="AF6" s="105">
        <f t="shared" si="15"/>
        <v>13718.4</v>
      </c>
      <c r="AG6" s="15"/>
    </row>
    <row r="7" ht="22.5" customHeight="1">
      <c r="A7" s="97" t="s">
        <v>85</v>
      </c>
      <c r="B7" s="98">
        <v>45602.0</v>
      </c>
      <c r="C7" s="97">
        <v>1.1</v>
      </c>
      <c r="D7" s="99">
        <f t="shared" si="1"/>
        <v>1650</v>
      </c>
      <c r="E7" s="100">
        <v>1.1</v>
      </c>
      <c r="F7" s="101">
        <f t="shared" si="2"/>
        <v>1223.2</v>
      </c>
      <c r="G7" s="100">
        <v>1.0</v>
      </c>
      <c r="H7" s="99">
        <f t="shared" si="3"/>
        <v>1112</v>
      </c>
      <c r="I7" s="100">
        <v>1.0</v>
      </c>
      <c r="J7" s="99">
        <f t="shared" si="4"/>
        <v>1112</v>
      </c>
      <c r="K7" s="100">
        <v>0.0</v>
      </c>
      <c r="L7" s="99">
        <f t="shared" si="5"/>
        <v>0</v>
      </c>
      <c r="M7" s="100">
        <v>1.0</v>
      </c>
      <c r="N7" s="99">
        <f t="shared" si="6"/>
        <v>1112</v>
      </c>
      <c r="O7" s="100">
        <v>1.0</v>
      </c>
      <c r="P7" s="99">
        <f t="shared" si="7"/>
        <v>1112</v>
      </c>
      <c r="Q7" s="102">
        <v>1.0</v>
      </c>
      <c r="R7" s="103">
        <f t="shared" si="8"/>
        <v>1200</v>
      </c>
      <c r="S7" s="100">
        <v>1.0</v>
      </c>
      <c r="T7" s="99">
        <f t="shared" si="9"/>
        <v>1112</v>
      </c>
      <c r="U7" s="100">
        <v>0.0</v>
      </c>
      <c r="V7" s="99">
        <f t="shared" si="10"/>
        <v>0</v>
      </c>
      <c r="W7" s="100">
        <v>0.0</v>
      </c>
      <c r="X7" s="99">
        <f t="shared" si="11"/>
        <v>0</v>
      </c>
      <c r="Y7" s="100">
        <v>1.0</v>
      </c>
      <c r="Z7" s="99">
        <f t="shared" si="12"/>
        <v>1112</v>
      </c>
      <c r="AA7" s="100">
        <v>1.0</v>
      </c>
      <c r="AB7" s="99">
        <f t="shared" si="13"/>
        <v>1100</v>
      </c>
      <c r="AC7" s="100">
        <v>1.0</v>
      </c>
      <c r="AD7" s="100">
        <f t="shared" si="14"/>
        <v>1100</v>
      </c>
      <c r="AE7" s="104"/>
      <c r="AF7" s="105">
        <f t="shared" si="15"/>
        <v>12945.2</v>
      </c>
      <c r="AG7" s="15"/>
    </row>
    <row r="8" ht="22.5" customHeight="1">
      <c r="A8" s="97" t="s">
        <v>86</v>
      </c>
      <c r="B8" s="98">
        <v>45603.0</v>
      </c>
      <c r="C8" s="97">
        <v>1.0</v>
      </c>
      <c r="D8" s="99">
        <f t="shared" si="1"/>
        <v>1500</v>
      </c>
      <c r="E8" s="100">
        <v>1.0</v>
      </c>
      <c r="F8" s="101">
        <f t="shared" si="2"/>
        <v>1112</v>
      </c>
      <c r="G8" s="100">
        <v>1.0</v>
      </c>
      <c r="H8" s="99">
        <f t="shared" si="3"/>
        <v>1112</v>
      </c>
      <c r="I8" s="100">
        <v>1.0</v>
      </c>
      <c r="J8" s="99">
        <f t="shared" si="4"/>
        <v>1112</v>
      </c>
      <c r="K8" s="100">
        <v>0.0</v>
      </c>
      <c r="L8" s="99">
        <f t="shared" si="5"/>
        <v>0</v>
      </c>
      <c r="M8" s="100">
        <v>0.0</v>
      </c>
      <c r="N8" s="99">
        <f t="shared" si="6"/>
        <v>0</v>
      </c>
      <c r="O8" s="100">
        <v>0.0</v>
      </c>
      <c r="P8" s="99">
        <f t="shared" si="7"/>
        <v>0</v>
      </c>
      <c r="Q8" s="100">
        <v>1.0</v>
      </c>
      <c r="R8" s="99">
        <f t="shared" si="8"/>
        <v>1200</v>
      </c>
      <c r="S8" s="100">
        <v>1.0</v>
      </c>
      <c r="T8" s="99">
        <f t="shared" si="9"/>
        <v>1112</v>
      </c>
      <c r="U8" s="100">
        <v>1.0</v>
      </c>
      <c r="V8" s="99">
        <f t="shared" si="10"/>
        <v>1112</v>
      </c>
      <c r="W8" s="100">
        <v>1.0</v>
      </c>
      <c r="X8" s="99">
        <f t="shared" si="11"/>
        <v>1200</v>
      </c>
      <c r="Y8" s="100">
        <v>1.0</v>
      </c>
      <c r="Z8" s="99">
        <f t="shared" si="12"/>
        <v>1112</v>
      </c>
      <c r="AA8" s="100">
        <v>1.0</v>
      </c>
      <c r="AB8" s="99">
        <f t="shared" si="13"/>
        <v>1100</v>
      </c>
      <c r="AC8" s="100">
        <v>1.0</v>
      </c>
      <c r="AD8" s="100">
        <f t="shared" si="14"/>
        <v>1100</v>
      </c>
      <c r="AE8" s="104"/>
      <c r="AF8" s="105">
        <f t="shared" si="15"/>
        <v>12772</v>
      </c>
      <c r="AG8" s="15"/>
    </row>
    <row r="9" ht="22.5" customHeight="1">
      <c r="A9" s="91" t="s">
        <v>87</v>
      </c>
      <c r="B9" s="92">
        <v>45604.0</v>
      </c>
      <c r="C9" s="91">
        <v>1.0</v>
      </c>
      <c r="D9" s="93">
        <f t="shared" si="1"/>
        <v>1500</v>
      </c>
      <c r="E9" s="94">
        <v>1.0</v>
      </c>
      <c r="F9" s="93">
        <f t="shared" si="2"/>
        <v>1112</v>
      </c>
      <c r="G9" s="94">
        <v>0.0</v>
      </c>
      <c r="H9" s="93">
        <f t="shared" si="3"/>
        <v>0</v>
      </c>
      <c r="I9" s="94">
        <v>0.0</v>
      </c>
      <c r="J9" s="93">
        <f t="shared" si="4"/>
        <v>0</v>
      </c>
      <c r="K9" s="94">
        <v>0.0</v>
      </c>
      <c r="L9" s="93">
        <f t="shared" si="5"/>
        <v>0</v>
      </c>
      <c r="M9" s="94">
        <v>1.0</v>
      </c>
      <c r="N9" s="93">
        <f t="shared" si="6"/>
        <v>1112</v>
      </c>
      <c r="O9" s="94">
        <v>0.0</v>
      </c>
      <c r="P9" s="93">
        <f t="shared" si="7"/>
        <v>0</v>
      </c>
      <c r="Q9" s="102">
        <v>1.0</v>
      </c>
      <c r="R9" s="103">
        <f t="shared" si="8"/>
        <v>1200</v>
      </c>
      <c r="S9" s="94">
        <v>1.0</v>
      </c>
      <c r="T9" s="93">
        <f t="shared" si="9"/>
        <v>1112</v>
      </c>
      <c r="U9" s="94">
        <v>1.0</v>
      </c>
      <c r="V9" s="93">
        <f t="shared" si="10"/>
        <v>1112</v>
      </c>
      <c r="W9" s="94">
        <v>1.0</v>
      </c>
      <c r="X9" s="93">
        <f t="shared" si="11"/>
        <v>1200</v>
      </c>
      <c r="Y9" s="94">
        <v>0.0</v>
      </c>
      <c r="Z9" s="93">
        <f t="shared" si="12"/>
        <v>0</v>
      </c>
      <c r="AA9" s="94">
        <v>0.0</v>
      </c>
      <c r="AB9" s="93">
        <f t="shared" si="13"/>
        <v>0</v>
      </c>
      <c r="AC9" s="94">
        <v>1.0</v>
      </c>
      <c r="AD9" s="94">
        <f t="shared" si="14"/>
        <v>1100</v>
      </c>
      <c r="AE9" s="95"/>
      <c r="AF9" s="96">
        <f t="shared" si="15"/>
        <v>9448</v>
      </c>
      <c r="AG9" s="15"/>
    </row>
    <row r="10" ht="22.5" customHeight="1">
      <c r="A10" s="97" t="s">
        <v>81</v>
      </c>
      <c r="B10" s="98">
        <v>45605.0</v>
      </c>
      <c r="C10" s="97">
        <v>0.0</v>
      </c>
      <c r="D10" s="99">
        <f t="shared" si="1"/>
        <v>0</v>
      </c>
      <c r="E10" s="100">
        <v>1.0</v>
      </c>
      <c r="F10" s="101">
        <f t="shared" si="2"/>
        <v>1112</v>
      </c>
      <c r="G10" s="100">
        <v>1.0</v>
      </c>
      <c r="H10" s="99">
        <f t="shared" si="3"/>
        <v>1112</v>
      </c>
      <c r="I10" s="100">
        <v>1.0</v>
      </c>
      <c r="J10" s="99">
        <f t="shared" si="4"/>
        <v>1112</v>
      </c>
      <c r="K10" s="100">
        <v>0.0</v>
      </c>
      <c r="L10" s="99">
        <f t="shared" si="5"/>
        <v>0</v>
      </c>
      <c r="M10" s="100">
        <v>1.0</v>
      </c>
      <c r="N10" s="99">
        <f t="shared" si="6"/>
        <v>1112</v>
      </c>
      <c r="O10" s="100">
        <v>1.0</v>
      </c>
      <c r="P10" s="99">
        <f t="shared" si="7"/>
        <v>1112</v>
      </c>
      <c r="Q10" s="100">
        <v>1.0</v>
      </c>
      <c r="R10" s="99">
        <f t="shared" si="8"/>
        <v>1200</v>
      </c>
      <c r="S10" s="100">
        <v>1.0</v>
      </c>
      <c r="T10" s="99">
        <f t="shared" si="9"/>
        <v>1112</v>
      </c>
      <c r="U10" s="100">
        <v>1.0</v>
      </c>
      <c r="V10" s="99">
        <f t="shared" si="10"/>
        <v>1112</v>
      </c>
      <c r="W10" s="100">
        <v>0.0</v>
      </c>
      <c r="X10" s="99">
        <f t="shared" si="11"/>
        <v>0</v>
      </c>
      <c r="Y10" s="100">
        <v>1.0</v>
      </c>
      <c r="Z10" s="99">
        <f t="shared" si="12"/>
        <v>1112</v>
      </c>
      <c r="AA10" s="100">
        <v>0.0</v>
      </c>
      <c r="AB10" s="99">
        <f t="shared" si="13"/>
        <v>0</v>
      </c>
      <c r="AC10" s="100">
        <v>1.0</v>
      </c>
      <c r="AD10" s="100">
        <f t="shared" si="14"/>
        <v>1100</v>
      </c>
      <c r="AE10" s="104"/>
      <c r="AF10" s="105">
        <f t="shared" si="15"/>
        <v>11196</v>
      </c>
      <c r="AG10" s="15"/>
    </row>
    <row r="11" ht="22.5" customHeight="1">
      <c r="A11" s="97" t="s">
        <v>82</v>
      </c>
      <c r="B11" s="98">
        <v>45606.0</v>
      </c>
      <c r="C11" s="97">
        <v>1.0</v>
      </c>
      <c r="D11" s="99">
        <f t="shared" si="1"/>
        <v>1500</v>
      </c>
      <c r="E11" s="100">
        <v>1.0</v>
      </c>
      <c r="F11" s="101">
        <f t="shared" si="2"/>
        <v>1112</v>
      </c>
      <c r="G11" s="100">
        <v>1.0</v>
      </c>
      <c r="H11" s="99">
        <f t="shared" si="3"/>
        <v>1112</v>
      </c>
      <c r="I11" s="100">
        <v>1.0</v>
      </c>
      <c r="J11" s="99">
        <f t="shared" si="4"/>
        <v>1112</v>
      </c>
      <c r="K11" s="100">
        <v>0.0</v>
      </c>
      <c r="L11" s="99">
        <f t="shared" si="5"/>
        <v>0</v>
      </c>
      <c r="M11" s="100">
        <v>1.0</v>
      </c>
      <c r="N11" s="99">
        <f t="shared" si="6"/>
        <v>1112</v>
      </c>
      <c r="O11" s="100">
        <v>1.0</v>
      </c>
      <c r="P11" s="99">
        <f t="shared" si="7"/>
        <v>1112</v>
      </c>
      <c r="Q11" s="102">
        <v>1.0</v>
      </c>
      <c r="R11" s="103">
        <f t="shared" si="8"/>
        <v>1200</v>
      </c>
      <c r="S11" s="100">
        <v>0.0</v>
      </c>
      <c r="T11" s="99">
        <f t="shared" si="9"/>
        <v>0</v>
      </c>
      <c r="U11" s="100">
        <v>1.0</v>
      </c>
      <c r="V11" s="99">
        <f t="shared" si="10"/>
        <v>1112</v>
      </c>
      <c r="W11" s="100">
        <v>1.0</v>
      </c>
      <c r="X11" s="99">
        <f t="shared" si="11"/>
        <v>1200</v>
      </c>
      <c r="Y11" s="100">
        <v>1.0</v>
      </c>
      <c r="Z11" s="99">
        <f t="shared" si="12"/>
        <v>1112</v>
      </c>
      <c r="AA11" s="100">
        <v>1.0</v>
      </c>
      <c r="AB11" s="99">
        <f t="shared" si="13"/>
        <v>1100</v>
      </c>
      <c r="AC11" s="100">
        <v>1.0</v>
      </c>
      <c r="AD11" s="100">
        <f t="shared" si="14"/>
        <v>1100</v>
      </c>
      <c r="AE11" s="104"/>
      <c r="AF11" s="105">
        <f t="shared" si="15"/>
        <v>13884</v>
      </c>
      <c r="AG11" s="15"/>
    </row>
    <row r="12" ht="22.5" customHeight="1">
      <c r="A12" s="97" t="s">
        <v>83</v>
      </c>
      <c r="B12" s="98">
        <v>45607.0</v>
      </c>
      <c r="C12" s="97">
        <v>1.0</v>
      </c>
      <c r="D12" s="99">
        <f t="shared" si="1"/>
        <v>1500</v>
      </c>
      <c r="E12" s="100">
        <v>1.0</v>
      </c>
      <c r="F12" s="101">
        <f t="shared" si="2"/>
        <v>1112</v>
      </c>
      <c r="G12" s="100">
        <v>1.0</v>
      </c>
      <c r="H12" s="99">
        <f t="shared" si="3"/>
        <v>1112</v>
      </c>
      <c r="I12" s="100">
        <v>1.0</v>
      </c>
      <c r="J12" s="99">
        <f t="shared" si="4"/>
        <v>1112</v>
      </c>
      <c r="K12" s="100">
        <v>0.0</v>
      </c>
      <c r="L12" s="99">
        <f t="shared" si="5"/>
        <v>0</v>
      </c>
      <c r="M12" s="100">
        <v>1.0</v>
      </c>
      <c r="N12" s="99">
        <f t="shared" si="6"/>
        <v>1112</v>
      </c>
      <c r="O12" s="100">
        <v>1.0</v>
      </c>
      <c r="P12" s="99">
        <f t="shared" si="7"/>
        <v>1112</v>
      </c>
      <c r="Q12" s="100">
        <v>1.0</v>
      </c>
      <c r="R12" s="99">
        <f t="shared" si="8"/>
        <v>1200</v>
      </c>
      <c r="S12" s="100">
        <v>1.0</v>
      </c>
      <c r="T12" s="99">
        <f t="shared" si="9"/>
        <v>1112</v>
      </c>
      <c r="U12" s="100">
        <v>1.0</v>
      </c>
      <c r="V12" s="99">
        <f t="shared" si="10"/>
        <v>1112</v>
      </c>
      <c r="W12" s="100">
        <v>1.0</v>
      </c>
      <c r="X12" s="99">
        <f t="shared" si="11"/>
        <v>1200</v>
      </c>
      <c r="Y12" s="100">
        <v>1.0</v>
      </c>
      <c r="Z12" s="99">
        <f t="shared" si="12"/>
        <v>1112</v>
      </c>
      <c r="AA12" s="100">
        <v>1.0</v>
      </c>
      <c r="AB12" s="99">
        <f t="shared" si="13"/>
        <v>1100</v>
      </c>
      <c r="AC12" s="100">
        <v>1.0</v>
      </c>
      <c r="AD12" s="100">
        <f t="shared" si="14"/>
        <v>1100</v>
      </c>
      <c r="AE12" s="104"/>
      <c r="AF12" s="105">
        <f t="shared" si="15"/>
        <v>14996</v>
      </c>
      <c r="AG12" s="15"/>
    </row>
    <row r="13" ht="22.5" customHeight="1">
      <c r="A13" s="97" t="s">
        <v>84</v>
      </c>
      <c r="B13" s="98">
        <v>45608.0</v>
      </c>
      <c r="C13" s="97">
        <v>0.0</v>
      </c>
      <c r="D13" s="99">
        <f t="shared" si="1"/>
        <v>0</v>
      </c>
      <c r="E13" s="100">
        <v>0.0</v>
      </c>
      <c r="F13" s="101">
        <f t="shared" si="2"/>
        <v>0</v>
      </c>
      <c r="G13" s="100">
        <v>1.0</v>
      </c>
      <c r="H13" s="99">
        <f t="shared" si="3"/>
        <v>1112</v>
      </c>
      <c r="I13" s="100">
        <v>1.0</v>
      </c>
      <c r="J13" s="99">
        <f t="shared" si="4"/>
        <v>1112</v>
      </c>
      <c r="K13" s="100">
        <v>1.0</v>
      </c>
      <c r="L13" s="99">
        <f t="shared" si="5"/>
        <v>1112</v>
      </c>
      <c r="M13" s="100">
        <v>1.0</v>
      </c>
      <c r="N13" s="99">
        <f t="shared" si="6"/>
        <v>1112</v>
      </c>
      <c r="O13" s="100">
        <v>1.0</v>
      </c>
      <c r="P13" s="99">
        <f t="shared" si="7"/>
        <v>1112</v>
      </c>
      <c r="Q13" s="102">
        <v>1.0</v>
      </c>
      <c r="R13" s="103">
        <f t="shared" si="8"/>
        <v>1200</v>
      </c>
      <c r="S13" s="100">
        <v>1.0</v>
      </c>
      <c r="T13" s="99">
        <f t="shared" si="9"/>
        <v>1112</v>
      </c>
      <c r="U13" s="100">
        <v>1.0</v>
      </c>
      <c r="V13" s="99">
        <f t="shared" si="10"/>
        <v>1112</v>
      </c>
      <c r="W13" s="100">
        <v>1.0</v>
      </c>
      <c r="X13" s="99">
        <f t="shared" si="11"/>
        <v>1200</v>
      </c>
      <c r="Y13" s="100">
        <v>1.0</v>
      </c>
      <c r="Z13" s="99">
        <f t="shared" si="12"/>
        <v>1112</v>
      </c>
      <c r="AA13" s="100">
        <v>1.0</v>
      </c>
      <c r="AB13" s="99">
        <f t="shared" si="13"/>
        <v>1100</v>
      </c>
      <c r="AC13" s="100">
        <v>1.0</v>
      </c>
      <c r="AD13" s="100">
        <f t="shared" si="14"/>
        <v>1100</v>
      </c>
      <c r="AE13" s="104"/>
      <c r="AF13" s="105">
        <f t="shared" si="15"/>
        <v>13496</v>
      </c>
      <c r="AG13" s="15"/>
    </row>
    <row r="14" ht="22.5" customHeight="1">
      <c r="A14" s="97" t="s">
        <v>85</v>
      </c>
      <c r="B14" s="98">
        <v>45609.0</v>
      </c>
      <c r="C14" s="97">
        <v>1.0</v>
      </c>
      <c r="D14" s="99">
        <f t="shared" si="1"/>
        <v>1500</v>
      </c>
      <c r="E14" s="100">
        <v>0.75</v>
      </c>
      <c r="F14" s="101">
        <f t="shared" si="2"/>
        <v>834</v>
      </c>
      <c r="G14" s="100">
        <v>1.0</v>
      </c>
      <c r="H14" s="99">
        <f t="shared" si="3"/>
        <v>1112</v>
      </c>
      <c r="I14" s="100">
        <v>1.0</v>
      </c>
      <c r="J14" s="99">
        <f t="shared" si="4"/>
        <v>1112</v>
      </c>
      <c r="K14" s="100">
        <v>0.0</v>
      </c>
      <c r="L14" s="99">
        <f t="shared" si="5"/>
        <v>0</v>
      </c>
      <c r="M14" s="100">
        <v>0.0</v>
      </c>
      <c r="N14" s="99">
        <f t="shared" si="6"/>
        <v>0</v>
      </c>
      <c r="O14" s="99">
        <v>1.0</v>
      </c>
      <c r="P14" s="99">
        <f t="shared" si="7"/>
        <v>1112</v>
      </c>
      <c r="Q14" s="100">
        <v>0.5</v>
      </c>
      <c r="R14" s="99">
        <f t="shared" si="8"/>
        <v>600</v>
      </c>
      <c r="S14" s="100">
        <v>1.0</v>
      </c>
      <c r="T14" s="99">
        <f t="shared" si="9"/>
        <v>1112</v>
      </c>
      <c r="U14" s="100">
        <v>1.0</v>
      </c>
      <c r="V14" s="99">
        <f t="shared" si="10"/>
        <v>1112</v>
      </c>
      <c r="W14" s="100">
        <v>1.5</v>
      </c>
      <c r="X14" s="99">
        <f t="shared" si="11"/>
        <v>1800</v>
      </c>
      <c r="Y14" s="99">
        <v>1.0</v>
      </c>
      <c r="Z14" s="99">
        <f t="shared" si="12"/>
        <v>1112</v>
      </c>
      <c r="AA14" s="100">
        <v>1.0</v>
      </c>
      <c r="AB14" s="99">
        <f t="shared" si="13"/>
        <v>1100</v>
      </c>
      <c r="AC14" s="100">
        <v>1.0</v>
      </c>
      <c r="AD14" s="100">
        <f t="shared" si="14"/>
        <v>1100</v>
      </c>
      <c r="AE14" s="108" t="s">
        <v>88</v>
      </c>
      <c r="AF14" s="109">
        <f t="shared" si="15"/>
        <v>13606</v>
      </c>
      <c r="AG14" s="15"/>
    </row>
    <row r="15" ht="22.5" customHeight="1">
      <c r="A15" s="97" t="s">
        <v>89</v>
      </c>
      <c r="B15" s="98">
        <v>45610.0</v>
      </c>
      <c r="C15" s="97">
        <v>1.0</v>
      </c>
      <c r="D15" s="99">
        <f t="shared" si="1"/>
        <v>1500</v>
      </c>
      <c r="E15" s="100">
        <v>1.0</v>
      </c>
      <c r="F15" s="101">
        <f t="shared" si="2"/>
        <v>1112</v>
      </c>
      <c r="G15" s="100">
        <v>1.0</v>
      </c>
      <c r="H15" s="99">
        <f t="shared" si="3"/>
        <v>1112</v>
      </c>
      <c r="I15" s="100">
        <v>1.0</v>
      </c>
      <c r="J15" s="99">
        <f t="shared" si="4"/>
        <v>1112</v>
      </c>
      <c r="K15" s="100">
        <v>0.0</v>
      </c>
      <c r="L15" s="99">
        <f t="shared" si="5"/>
        <v>0</v>
      </c>
      <c r="M15" s="100">
        <v>0.0</v>
      </c>
      <c r="N15" s="99">
        <f t="shared" si="6"/>
        <v>0</v>
      </c>
      <c r="O15" s="99">
        <v>1.0</v>
      </c>
      <c r="P15" s="99">
        <f t="shared" si="7"/>
        <v>1112</v>
      </c>
      <c r="Q15" s="100">
        <v>0.0</v>
      </c>
      <c r="R15" s="99">
        <f t="shared" si="8"/>
        <v>0</v>
      </c>
      <c r="S15" s="100">
        <v>1.0</v>
      </c>
      <c r="T15" s="99">
        <f t="shared" si="9"/>
        <v>1112</v>
      </c>
      <c r="U15" s="100">
        <v>1.0</v>
      </c>
      <c r="V15" s="99">
        <f t="shared" si="10"/>
        <v>1112</v>
      </c>
      <c r="W15" s="100">
        <v>1.5</v>
      </c>
      <c r="X15" s="99">
        <f t="shared" si="11"/>
        <v>1800</v>
      </c>
      <c r="Y15" s="99">
        <v>1.0</v>
      </c>
      <c r="Z15" s="99">
        <f t="shared" si="12"/>
        <v>1112</v>
      </c>
      <c r="AA15" s="100">
        <v>0.0</v>
      </c>
      <c r="AB15" s="99">
        <f t="shared" si="13"/>
        <v>0</v>
      </c>
      <c r="AC15" s="100">
        <v>0.0</v>
      </c>
      <c r="AD15" s="100">
        <f t="shared" si="14"/>
        <v>0</v>
      </c>
      <c r="AE15" s="110" t="s">
        <v>90</v>
      </c>
      <c r="AF15" s="109">
        <f t="shared" si="15"/>
        <v>11084</v>
      </c>
      <c r="AG15" s="15"/>
    </row>
    <row r="16" ht="22.5" customHeight="1">
      <c r="A16" s="91" t="s">
        <v>87</v>
      </c>
      <c r="B16" s="92">
        <v>45611.0</v>
      </c>
      <c r="C16" s="111">
        <v>0.0</v>
      </c>
      <c r="D16" s="112">
        <f t="shared" si="1"/>
        <v>0</v>
      </c>
      <c r="E16" s="113">
        <v>1.0</v>
      </c>
      <c r="F16" s="93">
        <f t="shared" si="2"/>
        <v>1112</v>
      </c>
      <c r="G16" s="113">
        <v>0.0</v>
      </c>
      <c r="H16" s="112">
        <f t="shared" si="3"/>
        <v>0</v>
      </c>
      <c r="I16" s="113">
        <v>0.0</v>
      </c>
      <c r="J16" s="112">
        <f t="shared" si="4"/>
        <v>0</v>
      </c>
      <c r="K16" s="113">
        <v>0.0</v>
      </c>
      <c r="L16" s="112">
        <f t="shared" si="5"/>
        <v>0</v>
      </c>
      <c r="M16" s="94">
        <v>1.5</v>
      </c>
      <c r="N16" s="93">
        <f t="shared" si="6"/>
        <v>1668</v>
      </c>
      <c r="O16" s="94">
        <v>0.0</v>
      </c>
      <c r="P16" s="93">
        <f t="shared" si="7"/>
        <v>0</v>
      </c>
      <c r="Q16" s="94">
        <v>1.0</v>
      </c>
      <c r="R16" s="93">
        <f t="shared" si="8"/>
        <v>1200</v>
      </c>
      <c r="S16" s="94">
        <v>1.5</v>
      </c>
      <c r="T16" s="93">
        <f t="shared" si="9"/>
        <v>1668</v>
      </c>
      <c r="U16" s="94">
        <v>1.5</v>
      </c>
      <c r="V16" s="93">
        <f t="shared" si="10"/>
        <v>1668</v>
      </c>
      <c r="W16" s="94">
        <v>0.0</v>
      </c>
      <c r="X16" s="93">
        <f t="shared" si="11"/>
        <v>0</v>
      </c>
      <c r="Y16" s="93">
        <v>1.0</v>
      </c>
      <c r="Z16" s="93">
        <f t="shared" si="12"/>
        <v>1112</v>
      </c>
      <c r="AA16" s="94">
        <v>0.0</v>
      </c>
      <c r="AB16" s="93">
        <f t="shared" si="13"/>
        <v>0</v>
      </c>
      <c r="AC16" s="93">
        <v>1.0</v>
      </c>
      <c r="AD16" s="94">
        <f t="shared" si="14"/>
        <v>1100</v>
      </c>
      <c r="AE16" s="95"/>
      <c r="AF16" s="96">
        <f t="shared" si="15"/>
        <v>9528</v>
      </c>
      <c r="AG16" s="15"/>
    </row>
    <row r="17" ht="22.5" customHeight="1">
      <c r="A17" s="97" t="s">
        <v>81</v>
      </c>
      <c r="B17" s="98">
        <v>45612.0</v>
      </c>
      <c r="C17" s="97">
        <v>0.0</v>
      </c>
      <c r="D17" s="114">
        <f t="shared" si="1"/>
        <v>0</v>
      </c>
      <c r="E17" s="97">
        <v>0.0</v>
      </c>
      <c r="F17" s="101">
        <f t="shared" si="2"/>
        <v>0</v>
      </c>
      <c r="G17" s="97">
        <v>0.0</v>
      </c>
      <c r="H17" s="114">
        <f t="shared" si="3"/>
        <v>0</v>
      </c>
      <c r="I17" s="97">
        <v>0.0</v>
      </c>
      <c r="J17" s="114">
        <f t="shared" si="4"/>
        <v>0</v>
      </c>
      <c r="K17" s="97">
        <v>0.0</v>
      </c>
      <c r="L17" s="114">
        <f t="shared" si="5"/>
        <v>0</v>
      </c>
      <c r="M17" s="97">
        <v>0.0</v>
      </c>
      <c r="N17" s="114">
        <f t="shared" si="6"/>
        <v>0</v>
      </c>
      <c r="O17" s="97">
        <v>0.0</v>
      </c>
      <c r="P17" s="114">
        <f t="shared" si="7"/>
        <v>0</v>
      </c>
      <c r="Q17" s="97">
        <v>0.0</v>
      </c>
      <c r="R17" s="114">
        <f t="shared" si="8"/>
        <v>0</v>
      </c>
      <c r="S17" s="97">
        <v>0.0</v>
      </c>
      <c r="T17" s="114">
        <f t="shared" si="9"/>
        <v>0</v>
      </c>
      <c r="U17" s="97">
        <v>0.0</v>
      </c>
      <c r="V17" s="114">
        <f t="shared" si="10"/>
        <v>0</v>
      </c>
      <c r="W17" s="97">
        <v>0.0</v>
      </c>
      <c r="X17" s="114">
        <f t="shared" si="11"/>
        <v>0</v>
      </c>
      <c r="Y17" s="97">
        <v>0.0</v>
      </c>
      <c r="Z17" s="114">
        <f t="shared" si="12"/>
        <v>0</v>
      </c>
      <c r="AA17" s="97">
        <v>0.0</v>
      </c>
      <c r="AB17" s="114">
        <f t="shared" si="13"/>
        <v>0</v>
      </c>
      <c r="AC17" s="97">
        <v>0.0</v>
      </c>
      <c r="AD17" s="100">
        <f t="shared" si="14"/>
        <v>0</v>
      </c>
      <c r="AE17" s="104"/>
      <c r="AF17" s="105">
        <f t="shared" si="15"/>
        <v>0</v>
      </c>
      <c r="AG17" s="15"/>
    </row>
    <row r="18" ht="22.5" customHeight="1">
      <c r="A18" s="97" t="s">
        <v>82</v>
      </c>
      <c r="B18" s="98">
        <v>45613.0</v>
      </c>
      <c r="C18" s="97">
        <v>0.0</v>
      </c>
      <c r="D18" s="114">
        <f t="shared" si="1"/>
        <v>0</v>
      </c>
      <c r="E18" s="97">
        <v>0.0</v>
      </c>
      <c r="F18" s="101">
        <f t="shared" si="2"/>
        <v>0</v>
      </c>
      <c r="G18" s="97">
        <v>0.0</v>
      </c>
      <c r="H18" s="114">
        <f t="shared" si="3"/>
        <v>0</v>
      </c>
      <c r="I18" s="97">
        <v>0.0</v>
      </c>
      <c r="J18" s="114">
        <f t="shared" si="4"/>
        <v>0</v>
      </c>
      <c r="K18" s="97">
        <v>0.0</v>
      </c>
      <c r="L18" s="114">
        <f t="shared" si="5"/>
        <v>0</v>
      </c>
      <c r="M18" s="97">
        <v>0.0</v>
      </c>
      <c r="N18" s="114">
        <f t="shared" si="6"/>
        <v>0</v>
      </c>
      <c r="O18" s="97">
        <v>0.0</v>
      </c>
      <c r="P18" s="114">
        <f t="shared" si="7"/>
        <v>0</v>
      </c>
      <c r="Q18" s="97">
        <v>0.0</v>
      </c>
      <c r="R18" s="114">
        <f t="shared" si="8"/>
        <v>0</v>
      </c>
      <c r="S18" s="97">
        <v>0.0</v>
      </c>
      <c r="T18" s="114">
        <f t="shared" si="9"/>
        <v>0</v>
      </c>
      <c r="U18" s="97">
        <v>0.0</v>
      </c>
      <c r="V18" s="114">
        <f t="shared" si="10"/>
        <v>0</v>
      </c>
      <c r="W18" s="97">
        <v>0.0</v>
      </c>
      <c r="X18" s="114">
        <f t="shared" si="11"/>
        <v>0</v>
      </c>
      <c r="Y18" s="97">
        <v>0.0</v>
      </c>
      <c r="Z18" s="114">
        <f t="shared" si="12"/>
        <v>0</v>
      </c>
      <c r="AA18" s="97">
        <v>0.0</v>
      </c>
      <c r="AB18" s="114">
        <f t="shared" si="13"/>
        <v>0</v>
      </c>
      <c r="AC18" s="97">
        <v>0.0</v>
      </c>
      <c r="AD18" s="100">
        <f t="shared" si="14"/>
        <v>0</v>
      </c>
      <c r="AE18" s="104"/>
      <c r="AF18" s="105">
        <f t="shared" si="15"/>
        <v>0</v>
      </c>
      <c r="AG18" s="15"/>
    </row>
    <row r="19" ht="22.5" customHeight="1">
      <c r="A19" s="97" t="s">
        <v>83</v>
      </c>
      <c r="B19" s="98">
        <v>45614.0</v>
      </c>
      <c r="C19" s="97">
        <v>0.0</v>
      </c>
      <c r="D19" s="114">
        <f t="shared" si="1"/>
        <v>0</v>
      </c>
      <c r="E19" s="97">
        <v>0.0</v>
      </c>
      <c r="F19" s="101">
        <f t="shared" si="2"/>
        <v>0</v>
      </c>
      <c r="G19" s="97">
        <v>0.0</v>
      </c>
      <c r="H19" s="114">
        <f t="shared" si="3"/>
        <v>0</v>
      </c>
      <c r="I19" s="97">
        <v>0.0</v>
      </c>
      <c r="J19" s="114">
        <f t="shared" si="4"/>
        <v>0</v>
      </c>
      <c r="K19" s="97">
        <v>0.0</v>
      </c>
      <c r="L19" s="114">
        <f t="shared" si="5"/>
        <v>0</v>
      </c>
      <c r="M19" s="97">
        <v>0.0</v>
      </c>
      <c r="N19" s="114">
        <f t="shared" si="6"/>
        <v>0</v>
      </c>
      <c r="O19" s="97">
        <v>0.0</v>
      </c>
      <c r="P19" s="114">
        <f t="shared" si="7"/>
        <v>0</v>
      </c>
      <c r="Q19" s="97">
        <v>0.0</v>
      </c>
      <c r="R19" s="114">
        <f t="shared" si="8"/>
        <v>0</v>
      </c>
      <c r="S19" s="97">
        <v>0.0</v>
      </c>
      <c r="T19" s="114">
        <f t="shared" si="9"/>
        <v>0</v>
      </c>
      <c r="U19" s="97">
        <v>0.0</v>
      </c>
      <c r="V19" s="114">
        <f t="shared" si="10"/>
        <v>0</v>
      </c>
      <c r="W19" s="97">
        <v>0.0</v>
      </c>
      <c r="X19" s="114">
        <f t="shared" si="11"/>
        <v>0</v>
      </c>
      <c r="Y19" s="97">
        <v>0.0</v>
      </c>
      <c r="Z19" s="114">
        <f t="shared" si="12"/>
        <v>0</v>
      </c>
      <c r="AA19" s="97">
        <v>0.0</v>
      </c>
      <c r="AB19" s="114">
        <f t="shared" si="13"/>
        <v>0</v>
      </c>
      <c r="AC19" s="97">
        <v>0.0</v>
      </c>
      <c r="AD19" s="100">
        <f t="shared" si="14"/>
        <v>0</v>
      </c>
      <c r="AE19" s="104"/>
      <c r="AF19" s="105">
        <f t="shared" si="15"/>
        <v>0</v>
      </c>
      <c r="AG19" s="15"/>
    </row>
    <row r="20" ht="22.5" customHeight="1">
      <c r="A20" s="97" t="s">
        <v>84</v>
      </c>
      <c r="B20" s="98">
        <v>45615.0</v>
      </c>
      <c r="C20" s="97">
        <v>0.0</v>
      </c>
      <c r="D20" s="114">
        <f t="shared" si="1"/>
        <v>0</v>
      </c>
      <c r="E20" s="97">
        <v>0.0</v>
      </c>
      <c r="F20" s="101">
        <f t="shared" si="2"/>
        <v>0</v>
      </c>
      <c r="G20" s="97">
        <v>0.0</v>
      </c>
      <c r="H20" s="114">
        <f t="shared" si="3"/>
        <v>0</v>
      </c>
      <c r="I20" s="97">
        <v>0.0</v>
      </c>
      <c r="J20" s="114">
        <f t="shared" si="4"/>
        <v>0</v>
      </c>
      <c r="K20" s="97">
        <v>0.0</v>
      </c>
      <c r="L20" s="114">
        <f t="shared" si="5"/>
        <v>0</v>
      </c>
      <c r="M20" s="97">
        <v>0.0</v>
      </c>
      <c r="N20" s="114">
        <f t="shared" si="6"/>
        <v>0</v>
      </c>
      <c r="O20" s="97">
        <v>0.0</v>
      </c>
      <c r="P20" s="114">
        <f t="shared" si="7"/>
        <v>0</v>
      </c>
      <c r="Q20" s="97">
        <v>0.0</v>
      </c>
      <c r="R20" s="114">
        <f t="shared" si="8"/>
        <v>0</v>
      </c>
      <c r="S20" s="97">
        <v>0.0</v>
      </c>
      <c r="T20" s="114">
        <f t="shared" si="9"/>
        <v>0</v>
      </c>
      <c r="U20" s="97">
        <v>0.0</v>
      </c>
      <c r="V20" s="114">
        <f t="shared" si="10"/>
        <v>0</v>
      </c>
      <c r="W20" s="97">
        <v>0.0</v>
      </c>
      <c r="X20" s="114">
        <f t="shared" si="11"/>
        <v>0</v>
      </c>
      <c r="Y20" s="97">
        <v>0.0</v>
      </c>
      <c r="Z20" s="114">
        <f t="shared" si="12"/>
        <v>0</v>
      </c>
      <c r="AA20" s="97">
        <v>0.0</v>
      </c>
      <c r="AB20" s="114">
        <f t="shared" si="13"/>
        <v>0</v>
      </c>
      <c r="AC20" s="97">
        <v>0.0</v>
      </c>
      <c r="AD20" s="100">
        <f t="shared" si="14"/>
        <v>0</v>
      </c>
      <c r="AE20" s="104"/>
      <c r="AF20" s="105">
        <f t="shared" si="15"/>
        <v>0</v>
      </c>
      <c r="AG20" s="15"/>
    </row>
    <row r="21" ht="22.5" customHeight="1">
      <c r="A21" s="97" t="s">
        <v>85</v>
      </c>
      <c r="B21" s="98">
        <v>45616.0</v>
      </c>
      <c r="C21" s="97">
        <v>0.0</v>
      </c>
      <c r="D21" s="99">
        <f t="shared" si="1"/>
        <v>0</v>
      </c>
      <c r="E21" s="100">
        <v>0.0</v>
      </c>
      <c r="F21" s="101">
        <f t="shared" si="2"/>
        <v>0</v>
      </c>
      <c r="G21" s="100">
        <v>0.0</v>
      </c>
      <c r="H21" s="99">
        <f t="shared" si="3"/>
        <v>0</v>
      </c>
      <c r="I21" s="100">
        <v>0.0</v>
      </c>
      <c r="J21" s="99">
        <f t="shared" si="4"/>
        <v>0</v>
      </c>
      <c r="K21" s="100">
        <v>0.0</v>
      </c>
      <c r="L21" s="99">
        <f t="shared" si="5"/>
        <v>0</v>
      </c>
      <c r="M21" s="100">
        <v>1.0</v>
      </c>
      <c r="N21" s="99">
        <f t="shared" si="6"/>
        <v>1112</v>
      </c>
      <c r="O21" s="100">
        <v>1.0</v>
      </c>
      <c r="P21" s="99">
        <f t="shared" si="7"/>
        <v>1112</v>
      </c>
      <c r="Q21" s="100">
        <v>0.0</v>
      </c>
      <c r="R21" s="99">
        <f t="shared" si="8"/>
        <v>0</v>
      </c>
      <c r="S21" s="100">
        <v>0.0</v>
      </c>
      <c r="T21" s="99">
        <f t="shared" si="9"/>
        <v>0</v>
      </c>
      <c r="U21" s="100">
        <v>0.0</v>
      </c>
      <c r="V21" s="99">
        <f t="shared" si="10"/>
        <v>0</v>
      </c>
      <c r="W21" s="100">
        <v>1.0</v>
      </c>
      <c r="X21" s="99">
        <f t="shared" si="11"/>
        <v>1200</v>
      </c>
      <c r="Y21" s="100">
        <v>1.0</v>
      </c>
      <c r="Z21" s="99">
        <f t="shared" si="12"/>
        <v>1112</v>
      </c>
      <c r="AA21" s="99">
        <v>0.0</v>
      </c>
      <c r="AB21" s="99">
        <f t="shared" si="13"/>
        <v>0</v>
      </c>
      <c r="AC21" s="100">
        <v>0.0</v>
      </c>
      <c r="AD21" s="100">
        <f t="shared" si="14"/>
        <v>0</v>
      </c>
      <c r="AE21" s="104"/>
      <c r="AF21" s="105">
        <f t="shared" si="15"/>
        <v>4536</v>
      </c>
      <c r="AG21" s="15"/>
    </row>
    <row r="22" ht="22.5" customHeight="1">
      <c r="A22" s="97" t="s">
        <v>89</v>
      </c>
      <c r="B22" s="98">
        <v>45617.0</v>
      </c>
      <c r="C22" s="97">
        <v>0.0</v>
      </c>
      <c r="D22" s="99">
        <f t="shared" si="1"/>
        <v>0</v>
      </c>
      <c r="E22" s="100">
        <v>0.0</v>
      </c>
      <c r="F22" s="101">
        <f t="shared" si="2"/>
        <v>0</v>
      </c>
      <c r="G22" s="100">
        <v>0.0</v>
      </c>
      <c r="H22" s="99">
        <f t="shared" si="3"/>
        <v>0</v>
      </c>
      <c r="I22" s="100">
        <v>0.0</v>
      </c>
      <c r="J22" s="99">
        <f t="shared" si="4"/>
        <v>0</v>
      </c>
      <c r="K22" s="100">
        <v>0.0</v>
      </c>
      <c r="L22" s="99">
        <f t="shared" si="5"/>
        <v>0</v>
      </c>
      <c r="M22" s="99">
        <v>0.0</v>
      </c>
      <c r="N22" s="99">
        <f t="shared" si="6"/>
        <v>0</v>
      </c>
      <c r="O22" s="100">
        <v>1.0</v>
      </c>
      <c r="P22" s="99">
        <f t="shared" si="7"/>
        <v>1112</v>
      </c>
      <c r="Q22" s="100">
        <v>0.0</v>
      </c>
      <c r="R22" s="99">
        <f t="shared" si="8"/>
        <v>0</v>
      </c>
      <c r="S22" s="100">
        <v>0.0</v>
      </c>
      <c r="T22" s="99">
        <f t="shared" si="9"/>
        <v>0</v>
      </c>
      <c r="U22" s="100">
        <v>0.0</v>
      </c>
      <c r="V22" s="99">
        <f t="shared" si="10"/>
        <v>0</v>
      </c>
      <c r="W22" s="100">
        <v>1.0</v>
      </c>
      <c r="X22" s="99">
        <f t="shared" si="11"/>
        <v>1200</v>
      </c>
      <c r="Y22" s="100">
        <v>1.0</v>
      </c>
      <c r="Z22" s="99">
        <f t="shared" si="12"/>
        <v>1112</v>
      </c>
      <c r="AA22" s="99">
        <v>0.0</v>
      </c>
      <c r="AB22" s="99">
        <f t="shared" si="13"/>
        <v>0</v>
      </c>
      <c r="AC22" s="100">
        <v>0.0</v>
      </c>
      <c r="AD22" s="100">
        <f t="shared" si="14"/>
        <v>0</v>
      </c>
      <c r="AE22" s="104"/>
      <c r="AF22" s="105">
        <f t="shared" si="15"/>
        <v>3424</v>
      </c>
      <c r="AG22" s="15"/>
    </row>
    <row r="23" ht="22.5" customHeight="1">
      <c r="A23" s="91" t="s">
        <v>11</v>
      </c>
      <c r="B23" s="92">
        <v>45618.0</v>
      </c>
      <c r="C23" s="91">
        <v>0.0</v>
      </c>
      <c r="D23" s="93">
        <f t="shared" si="1"/>
        <v>0</v>
      </c>
      <c r="E23" s="94">
        <v>1.0</v>
      </c>
      <c r="F23" s="93">
        <f t="shared" si="2"/>
        <v>1112</v>
      </c>
      <c r="G23" s="94">
        <v>0.0</v>
      </c>
      <c r="H23" s="93">
        <f t="shared" si="3"/>
        <v>0</v>
      </c>
      <c r="I23" s="94">
        <v>0.0</v>
      </c>
      <c r="J23" s="93">
        <f t="shared" si="4"/>
        <v>0</v>
      </c>
      <c r="K23" s="94">
        <v>0.0</v>
      </c>
      <c r="L23" s="93">
        <f t="shared" si="5"/>
        <v>0</v>
      </c>
      <c r="M23" s="94">
        <v>0.0</v>
      </c>
      <c r="N23" s="93">
        <f t="shared" si="6"/>
        <v>0</v>
      </c>
      <c r="O23" s="94">
        <v>1.0</v>
      </c>
      <c r="P23" s="93">
        <f t="shared" si="7"/>
        <v>1112</v>
      </c>
      <c r="Q23" s="94">
        <v>0.0</v>
      </c>
      <c r="R23" s="93">
        <f t="shared" si="8"/>
        <v>0</v>
      </c>
      <c r="S23" s="94">
        <v>1.0</v>
      </c>
      <c r="T23" s="93">
        <f t="shared" si="9"/>
        <v>1112</v>
      </c>
      <c r="U23" s="94">
        <v>1.0</v>
      </c>
      <c r="V23" s="93">
        <f t="shared" si="10"/>
        <v>1112</v>
      </c>
      <c r="W23" s="94">
        <v>0.0</v>
      </c>
      <c r="X23" s="93">
        <f t="shared" si="11"/>
        <v>0</v>
      </c>
      <c r="Y23" s="94">
        <v>0.0</v>
      </c>
      <c r="Z23" s="93">
        <f t="shared" si="12"/>
        <v>0</v>
      </c>
      <c r="AA23" s="94">
        <v>0.0</v>
      </c>
      <c r="AB23" s="93">
        <f t="shared" si="13"/>
        <v>0</v>
      </c>
      <c r="AC23" s="94">
        <v>1.0</v>
      </c>
      <c r="AD23" s="94">
        <f t="shared" si="14"/>
        <v>1100</v>
      </c>
      <c r="AE23" s="95"/>
      <c r="AF23" s="96">
        <f t="shared" si="15"/>
        <v>5548</v>
      </c>
      <c r="AG23" s="15"/>
    </row>
    <row r="24" ht="22.5" customHeight="1">
      <c r="A24" s="97" t="s">
        <v>12</v>
      </c>
      <c r="B24" s="98">
        <v>45619.0</v>
      </c>
      <c r="C24" s="97">
        <v>1.0</v>
      </c>
      <c r="D24" s="99">
        <f t="shared" si="1"/>
        <v>1500</v>
      </c>
      <c r="E24" s="100">
        <v>1.0</v>
      </c>
      <c r="F24" s="101">
        <f t="shared" si="2"/>
        <v>1112</v>
      </c>
      <c r="G24" s="100">
        <v>1.0</v>
      </c>
      <c r="H24" s="99">
        <f t="shared" si="3"/>
        <v>1112</v>
      </c>
      <c r="I24" s="100">
        <v>1.0</v>
      </c>
      <c r="J24" s="99">
        <f t="shared" si="4"/>
        <v>1112</v>
      </c>
      <c r="K24" s="100">
        <v>0.0</v>
      </c>
      <c r="L24" s="99">
        <f t="shared" si="5"/>
        <v>0</v>
      </c>
      <c r="M24" s="100">
        <v>1.0</v>
      </c>
      <c r="N24" s="99">
        <f t="shared" si="6"/>
        <v>1112</v>
      </c>
      <c r="O24" s="100">
        <v>1.0</v>
      </c>
      <c r="P24" s="99">
        <f t="shared" si="7"/>
        <v>1112</v>
      </c>
      <c r="Q24" s="99">
        <v>1.0</v>
      </c>
      <c r="R24" s="115">
        <f t="shared" si="8"/>
        <v>1200</v>
      </c>
      <c r="S24" s="100">
        <v>1.0</v>
      </c>
      <c r="T24" s="99">
        <f t="shared" si="9"/>
        <v>1112</v>
      </c>
      <c r="U24" s="100">
        <v>1.0</v>
      </c>
      <c r="V24" s="99">
        <f t="shared" si="10"/>
        <v>1112</v>
      </c>
      <c r="W24" s="100">
        <v>1.0</v>
      </c>
      <c r="X24" s="99">
        <f t="shared" si="11"/>
        <v>1200</v>
      </c>
      <c r="Y24" s="100">
        <v>1.0</v>
      </c>
      <c r="Z24" s="99">
        <f t="shared" si="12"/>
        <v>1112</v>
      </c>
      <c r="AA24" s="99">
        <v>0.0</v>
      </c>
      <c r="AB24" s="99">
        <f t="shared" si="13"/>
        <v>0</v>
      </c>
      <c r="AC24" s="100">
        <v>1.0</v>
      </c>
      <c r="AD24" s="100">
        <f t="shared" si="14"/>
        <v>1100</v>
      </c>
      <c r="AE24" s="104"/>
      <c r="AF24" s="105">
        <f t="shared" si="15"/>
        <v>13896</v>
      </c>
      <c r="AG24" s="15"/>
    </row>
    <row r="25" ht="22.5" customHeight="1">
      <c r="A25" s="97" t="s">
        <v>17</v>
      </c>
      <c r="B25" s="98">
        <v>45620.0</v>
      </c>
      <c r="C25" s="116">
        <v>0.0</v>
      </c>
      <c r="D25" s="117">
        <f t="shared" si="1"/>
        <v>0</v>
      </c>
      <c r="E25" s="118">
        <v>1.0</v>
      </c>
      <c r="F25" s="101">
        <f t="shared" si="2"/>
        <v>1112</v>
      </c>
      <c r="G25" s="118">
        <v>1.0</v>
      </c>
      <c r="H25" s="117">
        <f t="shared" si="3"/>
        <v>1112</v>
      </c>
      <c r="I25" s="118">
        <v>1.0</v>
      </c>
      <c r="J25" s="117">
        <f t="shared" si="4"/>
        <v>1112</v>
      </c>
      <c r="K25" s="118">
        <v>0.0</v>
      </c>
      <c r="L25" s="117">
        <f t="shared" si="5"/>
        <v>0</v>
      </c>
      <c r="M25" s="118">
        <v>1.0</v>
      </c>
      <c r="N25" s="117">
        <f t="shared" si="6"/>
        <v>1112</v>
      </c>
      <c r="O25" s="118">
        <v>1.0</v>
      </c>
      <c r="P25" s="117">
        <f t="shared" si="7"/>
        <v>1112</v>
      </c>
      <c r="Q25" s="117">
        <v>0.0</v>
      </c>
      <c r="R25" s="119">
        <f t="shared" si="8"/>
        <v>0</v>
      </c>
      <c r="S25" s="118">
        <v>1.0</v>
      </c>
      <c r="T25" s="117">
        <f t="shared" si="9"/>
        <v>1112</v>
      </c>
      <c r="U25" s="118">
        <v>1.0</v>
      </c>
      <c r="V25" s="117">
        <f t="shared" si="10"/>
        <v>1112</v>
      </c>
      <c r="W25" s="118">
        <v>1.0</v>
      </c>
      <c r="X25" s="117">
        <f t="shared" si="11"/>
        <v>1200</v>
      </c>
      <c r="Y25" s="118">
        <v>1.0</v>
      </c>
      <c r="Z25" s="117">
        <f t="shared" si="12"/>
        <v>1112</v>
      </c>
      <c r="AA25" s="99">
        <v>0.5</v>
      </c>
      <c r="AB25" s="99">
        <f t="shared" si="13"/>
        <v>550</v>
      </c>
      <c r="AC25" s="100">
        <v>1.0</v>
      </c>
      <c r="AD25" s="100">
        <f t="shared" si="14"/>
        <v>1100</v>
      </c>
      <c r="AE25" s="104"/>
      <c r="AF25" s="105">
        <f t="shared" si="15"/>
        <v>11746</v>
      </c>
      <c r="AG25" s="15"/>
    </row>
    <row r="26" ht="22.5" customHeight="1">
      <c r="A26" s="97" t="s">
        <v>18</v>
      </c>
      <c r="B26" s="98">
        <v>45621.0</v>
      </c>
      <c r="C26" s="97">
        <v>0.5</v>
      </c>
      <c r="D26" s="99">
        <f t="shared" si="1"/>
        <v>750</v>
      </c>
      <c r="E26" s="100">
        <v>1.0</v>
      </c>
      <c r="F26" s="101">
        <f t="shared" si="2"/>
        <v>1112</v>
      </c>
      <c r="G26" s="100">
        <v>1.0</v>
      </c>
      <c r="H26" s="99">
        <f t="shared" si="3"/>
        <v>1112</v>
      </c>
      <c r="I26" s="100">
        <v>1.0</v>
      </c>
      <c r="J26" s="99">
        <f t="shared" si="4"/>
        <v>1112</v>
      </c>
      <c r="K26" s="100">
        <v>0.0</v>
      </c>
      <c r="L26" s="99">
        <f t="shared" si="5"/>
        <v>0</v>
      </c>
      <c r="M26" s="100">
        <v>1.0</v>
      </c>
      <c r="N26" s="99">
        <f t="shared" si="6"/>
        <v>1112</v>
      </c>
      <c r="O26" s="100">
        <v>1.0</v>
      </c>
      <c r="P26" s="99">
        <f t="shared" si="7"/>
        <v>1112</v>
      </c>
      <c r="Q26" s="99">
        <v>1.0</v>
      </c>
      <c r="R26" s="115">
        <f t="shared" si="8"/>
        <v>1200</v>
      </c>
      <c r="S26" s="100">
        <v>1.0</v>
      </c>
      <c r="T26" s="99">
        <f t="shared" si="9"/>
        <v>1112</v>
      </c>
      <c r="U26" s="100">
        <v>0.0</v>
      </c>
      <c r="V26" s="99">
        <f t="shared" si="10"/>
        <v>0</v>
      </c>
      <c r="W26" s="100">
        <v>1.0</v>
      </c>
      <c r="X26" s="99">
        <f t="shared" si="11"/>
        <v>1200</v>
      </c>
      <c r="Y26" s="100">
        <v>1.0</v>
      </c>
      <c r="Z26" s="99">
        <f t="shared" si="12"/>
        <v>1112</v>
      </c>
      <c r="AA26" s="100">
        <v>1.0</v>
      </c>
      <c r="AB26" s="99">
        <f t="shared" si="13"/>
        <v>1100</v>
      </c>
      <c r="AC26" s="100">
        <v>1.0</v>
      </c>
      <c r="AD26" s="100">
        <f t="shared" si="14"/>
        <v>1100</v>
      </c>
      <c r="AE26" s="104"/>
      <c r="AF26" s="105">
        <f t="shared" si="15"/>
        <v>13134</v>
      </c>
      <c r="AG26" s="15"/>
    </row>
    <row r="27" ht="22.5" customHeight="1">
      <c r="A27" s="97" t="s">
        <v>19</v>
      </c>
      <c r="B27" s="98">
        <v>45622.0</v>
      </c>
      <c r="C27" s="97">
        <v>0.0</v>
      </c>
      <c r="D27" s="99">
        <f t="shared" si="1"/>
        <v>0</v>
      </c>
      <c r="E27" s="100">
        <v>0.5</v>
      </c>
      <c r="F27" s="101">
        <f t="shared" si="2"/>
        <v>556</v>
      </c>
      <c r="G27" s="100">
        <v>1.0</v>
      </c>
      <c r="H27" s="99">
        <f t="shared" si="3"/>
        <v>1112</v>
      </c>
      <c r="I27" s="100">
        <v>1.0</v>
      </c>
      <c r="J27" s="99">
        <f t="shared" si="4"/>
        <v>1112</v>
      </c>
      <c r="K27" s="99">
        <v>1.0</v>
      </c>
      <c r="L27" s="99">
        <f t="shared" si="5"/>
        <v>1112</v>
      </c>
      <c r="M27" s="100">
        <v>1.0</v>
      </c>
      <c r="N27" s="99">
        <f t="shared" si="6"/>
        <v>1112</v>
      </c>
      <c r="O27" s="100">
        <v>1.0</v>
      </c>
      <c r="P27" s="99">
        <f t="shared" si="7"/>
        <v>1112</v>
      </c>
      <c r="Q27" s="99">
        <v>0.0</v>
      </c>
      <c r="R27" s="115">
        <f t="shared" si="8"/>
        <v>0</v>
      </c>
      <c r="S27" s="100">
        <v>1.0</v>
      </c>
      <c r="T27" s="99">
        <f t="shared" si="9"/>
        <v>1112</v>
      </c>
      <c r="U27" s="100">
        <v>1.0</v>
      </c>
      <c r="V27" s="99">
        <f t="shared" si="10"/>
        <v>1112</v>
      </c>
      <c r="W27" s="100">
        <v>1.0</v>
      </c>
      <c r="X27" s="99">
        <f t="shared" si="11"/>
        <v>1200</v>
      </c>
      <c r="Y27" s="100">
        <v>1.0</v>
      </c>
      <c r="Z27" s="99">
        <f t="shared" si="12"/>
        <v>1112</v>
      </c>
      <c r="AA27" s="120">
        <v>1.0</v>
      </c>
      <c r="AB27" s="99">
        <f t="shared" si="13"/>
        <v>1100</v>
      </c>
      <c r="AC27" s="100">
        <v>1.0</v>
      </c>
      <c r="AD27" s="100">
        <f t="shared" si="14"/>
        <v>1100</v>
      </c>
      <c r="AE27" s="104"/>
      <c r="AF27" s="105">
        <f t="shared" si="15"/>
        <v>12852</v>
      </c>
      <c r="AG27" s="15"/>
    </row>
    <row r="28" ht="22.5" customHeight="1">
      <c r="A28" s="97" t="s">
        <v>22</v>
      </c>
      <c r="B28" s="98">
        <v>45623.0</v>
      </c>
      <c r="C28" s="97">
        <v>1.0</v>
      </c>
      <c r="D28" s="99">
        <f t="shared" si="1"/>
        <v>1500</v>
      </c>
      <c r="E28" s="100">
        <v>1.0</v>
      </c>
      <c r="F28" s="101">
        <f t="shared" si="2"/>
        <v>1112</v>
      </c>
      <c r="G28" s="100">
        <v>1.0</v>
      </c>
      <c r="H28" s="99">
        <f t="shared" si="3"/>
        <v>1112</v>
      </c>
      <c r="I28" s="100">
        <v>1.0</v>
      </c>
      <c r="J28" s="99">
        <f t="shared" si="4"/>
        <v>1112</v>
      </c>
      <c r="K28" s="100">
        <v>0.0</v>
      </c>
      <c r="L28" s="99">
        <f t="shared" si="5"/>
        <v>0</v>
      </c>
      <c r="M28" s="100">
        <v>1.0</v>
      </c>
      <c r="N28" s="99">
        <f t="shared" si="6"/>
        <v>1112</v>
      </c>
      <c r="O28" s="100">
        <v>1.0</v>
      </c>
      <c r="P28" s="99">
        <f t="shared" si="7"/>
        <v>1112</v>
      </c>
      <c r="Q28" s="100">
        <v>1.0</v>
      </c>
      <c r="R28" s="99">
        <f t="shared" si="8"/>
        <v>1200</v>
      </c>
      <c r="S28" s="100">
        <v>1.0</v>
      </c>
      <c r="T28" s="99">
        <f t="shared" si="9"/>
        <v>1112</v>
      </c>
      <c r="U28" s="100">
        <v>1.0</v>
      </c>
      <c r="V28" s="99">
        <f t="shared" si="10"/>
        <v>1112</v>
      </c>
      <c r="W28" s="100">
        <v>1.0</v>
      </c>
      <c r="X28" s="99">
        <f t="shared" si="11"/>
        <v>1200</v>
      </c>
      <c r="Y28" s="100">
        <v>0.5</v>
      </c>
      <c r="Z28" s="99">
        <f t="shared" si="12"/>
        <v>556</v>
      </c>
      <c r="AA28" s="100">
        <v>1.0</v>
      </c>
      <c r="AB28" s="99">
        <f t="shared" si="13"/>
        <v>1100</v>
      </c>
      <c r="AC28" s="100">
        <v>1.0</v>
      </c>
      <c r="AD28" s="100">
        <f t="shared" si="14"/>
        <v>1100</v>
      </c>
      <c r="AE28" s="104"/>
      <c r="AF28" s="105">
        <f t="shared" si="15"/>
        <v>14440</v>
      </c>
      <c r="AG28" s="15"/>
    </row>
    <row r="29" ht="22.5" customHeight="1">
      <c r="A29" s="97" t="s">
        <v>23</v>
      </c>
      <c r="B29" s="98">
        <v>45624.0</v>
      </c>
      <c r="C29" s="97">
        <v>1.0</v>
      </c>
      <c r="D29" s="99">
        <f t="shared" si="1"/>
        <v>1500</v>
      </c>
      <c r="E29" s="100">
        <v>1.0</v>
      </c>
      <c r="F29" s="101">
        <f t="shared" si="2"/>
        <v>1112</v>
      </c>
      <c r="G29" s="100">
        <v>1.0</v>
      </c>
      <c r="H29" s="99">
        <f t="shared" si="3"/>
        <v>1112</v>
      </c>
      <c r="I29" s="100">
        <v>1.0</v>
      </c>
      <c r="J29" s="99">
        <f t="shared" si="4"/>
        <v>1112</v>
      </c>
      <c r="K29" s="100">
        <v>0.0</v>
      </c>
      <c r="L29" s="99">
        <f t="shared" si="5"/>
        <v>0</v>
      </c>
      <c r="M29" s="100">
        <v>0.0</v>
      </c>
      <c r="N29" s="99">
        <f t="shared" si="6"/>
        <v>0</v>
      </c>
      <c r="O29" s="100">
        <v>1.0</v>
      </c>
      <c r="P29" s="99">
        <f t="shared" si="7"/>
        <v>1112</v>
      </c>
      <c r="Q29" s="100">
        <v>0.0</v>
      </c>
      <c r="R29" s="99">
        <f t="shared" si="8"/>
        <v>0</v>
      </c>
      <c r="S29" s="100">
        <v>1.0</v>
      </c>
      <c r="T29" s="99">
        <f t="shared" si="9"/>
        <v>1112</v>
      </c>
      <c r="U29" s="100">
        <v>1.0</v>
      </c>
      <c r="V29" s="99">
        <f t="shared" si="10"/>
        <v>1112</v>
      </c>
      <c r="W29" s="100">
        <v>1.0</v>
      </c>
      <c r="X29" s="99">
        <f t="shared" si="11"/>
        <v>1200</v>
      </c>
      <c r="Y29" s="100">
        <v>1.0</v>
      </c>
      <c r="Z29" s="99">
        <f t="shared" si="12"/>
        <v>1112</v>
      </c>
      <c r="AA29" s="100">
        <v>1.0</v>
      </c>
      <c r="AB29" s="99">
        <f t="shared" si="13"/>
        <v>1100</v>
      </c>
      <c r="AC29" s="100">
        <v>1.0</v>
      </c>
      <c r="AD29" s="100">
        <f t="shared" si="14"/>
        <v>1100</v>
      </c>
      <c r="AE29" s="104"/>
      <c r="AF29" s="105">
        <f t="shared" si="15"/>
        <v>12684</v>
      </c>
      <c r="AG29" s="15"/>
    </row>
    <row r="30" ht="22.5" customHeight="1">
      <c r="A30" s="91" t="s">
        <v>11</v>
      </c>
      <c r="B30" s="92">
        <v>45625.0</v>
      </c>
      <c r="C30" s="121">
        <v>0.0</v>
      </c>
      <c r="D30" s="122">
        <f t="shared" si="1"/>
        <v>0</v>
      </c>
      <c r="E30" s="94">
        <v>1.0</v>
      </c>
      <c r="F30" s="93">
        <f t="shared" si="2"/>
        <v>1112</v>
      </c>
      <c r="G30" s="113">
        <v>0.0</v>
      </c>
      <c r="H30" s="112">
        <f t="shared" si="3"/>
        <v>0</v>
      </c>
      <c r="I30" s="113">
        <v>0.0</v>
      </c>
      <c r="J30" s="112">
        <f t="shared" si="4"/>
        <v>0</v>
      </c>
      <c r="K30" s="113">
        <v>0.0</v>
      </c>
      <c r="L30" s="112">
        <f t="shared" si="5"/>
        <v>0</v>
      </c>
      <c r="M30" s="113">
        <v>1.0</v>
      </c>
      <c r="N30" s="112">
        <f t="shared" si="6"/>
        <v>1112</v>
      </c>
      <c r="O30" s="113">
        <v>0.0</v>
      </c>
      <c r="P30" s="112">
        <f t="shared" si="7"/>
        <v>0</v>
      </c>
      <c r="Q30" s="113">
        <v>0.0</v>
      </c>
      <c r="R30" s="112">
        <f t="shared" si="8"/>
        <v>0</v>
      </c>
      <c r="S30" s="113">
        <v>1.0</v>
      </c>
      <c r="T30" s="112">
        <f t="shared" si="9"/>
        <v>1112</v>
      </c>
      <c r="U30" s="113">
        <v>1.0</v>
      </c>
      <c r="V30" s="112">
        <f t="shared" si="10"/>
        <v>1112</v>
      </c>
      <c r="W30" s="113">
        <v>1.0</v>
      </c>
      <c r="X30" s="112">
        <f t="shared" si="11"/>
        <v>1200</v>
      </c>
      <c r="Y30" s="113">
        <v>0.0</v>
      </c>
      <c r="Z30" s="112">
        <f t="shared" si="12"/>
        <v>0</v>
      </c>
      <c r="AA30" s="94">
        <v>0.0</v>
      </c>
      <c r="AB30" s="93">
        <f t="shared" si="13"/>
        <v>0</v>
      </c>
      <c r="AC30" s="94">
        <v>1.0</v>
      </c>
      <c r="AD30" s="94">
        <f t="shared" si="14"/>
        <v>1100</v>
      </c>
      <c r="AE30" s="95"/>
      <c r="AF30" s="96">
        <f t="shared" si="15"/>
        <v>6748</v>
      </c>
      <c r="AG30" s="15"/>
    </row>
    <row r="31" ht="22.5" customHeight="1">
      <c r="A31" s="97" t="s">
        <v>12</v>
      </c>
      <c r="B31" s="98">
        <v>45626.0</v>
      </c>
      <c r="C31" s="123">
        <v>0.0</v>
      </c>
      <c r="D31" s="124">
        <f t="shared" si="1"/>
        <v>0</v>
      </c>
      <c r="E31" s="99">
        <v>1.0</v>
      </c>
      <c r="F31" s="101">
        <f t="shared" si="2"/>
        <v>1112</v>
      </c>
      <c r="G31" s="117">
        <v>1.0</v>
      </c>
      <c r="H31" s="119">
        <f t="shared" si="3"/>
        <v>1112</v>
      </c>
      <c r="I31" s="117">
        <v>1.0</v>
      </c>
      <c r="J31" s="119">
        <f t="shared" si="4"/>
        <v>1112</v>
      </c>
      <c r="K31" s="117">
        <v>0.0</v>
      </c>
      <c r="L31" s="119">
        <f t="shared" si="5"/>
        <v>0</v>
      </c>
      <c r="M31" s="117">
        <v>1.0</v>
      </c>
      <c r="N31" s="119">
        <f t="shared" si="6"/>
        <v>1112</v>
      </c>
      <c r="O31" s="117">
        <v>0.5</v>
      </c>
      <c r="P31" s="119">
        <f t="shared" si="7"/>
        <v>556</v>
      </c>
      <c r="Q31" s="117">
        <v>0.0</v>
      </c>
      <c r="R31" s="119">
        <f t="shared" si="8"/>
        <v>0</v>
      </c>
      <c r="S31" s="117">
        <v>0.0</v>
      </c>
      <c r="T31" s="119">
        <f t="shared" si="9"/>
        <v>0</v>
      </c>
      <c r="U31" s="117">
        <v>1.0</v>
      </c>
      <c r="V31" s="119">
        <f t="shared" si="10"/>
        <v>1112</v>
      </c>
      <c r="W31" s="117">
        <v>0.0</v>
      </c>
      <c r="X31" s="119">
        <f t="shared" si="11"/>
        <v>0</v>
      </c>
      <c r="Y31" s="117">
        <v>1.0</v>
      </c>
      <c r="Z31" s="119">
        <f t="shared" si="12"/>
        <v>1112</v>
      </c>
      <c r="AA31" s="99">
        <v>0.0</v>
      </c>
      <c r="AB31" s="115">
        <f t="shared" si="13"/>
        <v>0</v>
      </c>
      <c r="AC31" s="99">
        <v>1.0</v>
      </c>
      <c r="AD31" s="115">
        <f t="shared" si="14"/>
        <v>1100</v>
      </c>
      <c r="AE31" s="104"/>
      <c r="AF31" s="105">
        <f t="shared" si="15"/>
        <v>8328</v>
      </c>
      <c r="AG31" s="15"/>
    </row>
    <row r="32" ht="22.5" customHeight="1">
      <c r="A32" s="125" t="s">
        <v>91</v>
      </c>
      <c r="B32" s="126"/>
      <c r="C32" s="127"/>
      <c r="D32" s="128">
        <f t="shared" si="1"/>
        <v>0</v>
      </c>
      <c r="E32" s="129">
        <v>0.4</v>
      </c>
      <c r="F32" s="129">
        <f t="shared" si="2"/>
        <v>444.8</v>
      </c>
      <c r="G32" s="130"/>
      <c r="H32" s="128">
        <f t="shared" si="3"/>
        <v>0</v>
      </c>
      <c r="I32" s="129">
        <v>1.25</v>
      </c>
      <c r="J32" s="128">
        <f t="shared" si="4"/>
        <v>1390</v>
      </c>
      <c r="K32" s="130"/>
      <c r="L32" s="128">
        <f t="shared" si="5"/>
        <v>0</v>
      </c>
      <c r="M32" s="130"/>
      <c r="N32" s="128">
        <f t="shared" si="6"/>
        <v>0</v>
      </c>
      <c r="O32" s="129">
        <v>1.5</v>
      </c>
      <c r="P32" s="128">
        <f t="shared" si="7"/>
        <v>1668</v>
      </c>
      <c r="Q32" s="130"/>
      <c r="R32" s="128">
        <f t="shared" si="8"/>
        <v>0</v>
      </c>
      <c r="S32" s="130"/>
      <c r="T32" s="128">
        <f t="shared" si="9"/>
        <v>0</v>
      </c>
      <c r="U32" s="130"/>
      <c r="V32" s="128">
        <f t="shared" si="10"/>
        <v>0</v>
      </c>
      <c r="W32" s="129">
        <v>1.0</v>
      </c>
      <c r="X32" s="128">
        <f t="shared" si="11"/>
        <v>1200</v>
      </c>
      <c r="Y32" s="129">
        <v>1.95</v>
      </c>
      <c r="Z32" s="128">
        <f t="shared" si="12"/>
        <v>2168.4</v>
      </c>
      <c r="AA32" s="130"/>
      <c r="AB32" s="128">
        <f t="shared" si="13"/>
        <v>0</v>
      </c>
      <c r="AC32" s="129">
        <v>1.5</v>
      </c>
      <c r="AD32" s="128">
        <f t="shared" si="14"/>
        <v>1650</v>
      </c>
      <c r="AE32" s="131"/>
      <c r="AF32" s="105">
        <f t="shared" si="15"/>
        <v>8521.2</v>
      </c>
      <c r="AG32" s="15"/>
    </row>
    <row r="33" ht="22.5" customHeight="1">
      <c r="B33" s="132"/>
      <c r="C33" s="133">
        <f>SUM(C2:C32)</f>
        <v>11.6</v>
      </c>
      <c r="D33" s="134"/>
      <c r="E33" s="133">
        <f>SUM(E2:E32)</f>
        <v>21.75</v>
      </c>
      <c r="F33" s="134"/>
      <c r="G33" s="133">
        <f>SUM(G2:G32)</f>
        <v>19</v>
      </c>
      <c r="H33" s="134"/>
      <c r="I33" s="133">
        <f>SUM(I2:I32)</f>
        <v>20.25</v>
      </c>
      <c r="J33" s="134"/>
      <c r="K33" s="135">
        <v>3.0</v>
      </c>
      <c r="L33" s="134"/>
      <c r="M33" s="133">
        <f>SUM(M2:M32)</f>
        <v>20.5</v>
      </c>
      <c r="N33" s="134"/>
      <c r="O33" s="133">
        <f>SUM(O2:O32)</f>
        <v>22</v>
      </c>
      <c r="P33" s="134"/>
      <c r="Q33" s="133">
        <f>SUM(Q2:Q32)</f>
        <v>16.5</v>
      </c>
      <c r="R33" s="134"/>
      <c r="S33" s="133">
        <f>SUM(S2:S32)</f>
        <v>22.5</v>
      </c>
      <c r="T33" s="134"/>
      <c r="U33" s="133">
        <f>SUM(U2:U32)</f>
        <v>22.5</v>
      </c>
      <c r="V33" s="134"/>
      <c r="W33" s="133">
        <f>SUM(W2:W32)</f>
        <v>23</v>
      </c>
      <c r="X33" s="134"/>
      <c r="Y33" s="133">
        <f>SUM(Y2:Y32)</f>
        <v>23.45</v>
      </c>
      <c r="Z33" s="134"/>
      <c r="AA33" s="136">
        <f>SUM(AA2:AA32)</f>
        <v>13</v>
      </c>
      <c r="AB33" s="137"/>
      <c r="AC33" s="133">
        <f>SUM(AC2:AC32)</f>
        <v>23.5</v>
      </c>
      <c r="AD33" s="138"/>
      <c r="AE33" s="104"/>
      <c r="AF33" s="105">
        <f t="shared" si="15"/>
        <v>0</v>
      </c>
      <c r="AG33" s="15"/>
    </row>
    <row r="34" ht="22.5" customHeight="1">
      <c r="B34" s="132"/>
      <c r="C34" s="139">
        <v>1500.0</v>
      </c>
      <c r="D34" s="140"/>
      <c r="E34" s="139">
        <v>1112.0</v>
      </c>
      <c r="F34" s="140"/>
      <c r="G34" s="139">
        <v>1112.0</v>
      </c>
      <c r="H34" s="140"/>
      <c r="I34" s="141">
        <v>1112.0</v>
      </c>
      <c r="J34" s="142"/>
      <c r="K34" s="141">
        <v>1112.0</v>
      </c>
      <c r="L34" s="142"/>
      <c r="M34" s="143">
        <v>1112.0</v>
      </c>
      <c r="N34" s="144"/>
      <c r="O34" s="143">
        <v>1112.0</v>
      </c>
      <c r="P34" s="144"/>
      <c r="Q34" s="143">
        <v>1200.0</v>
      </c>
      <c r="R34" s="144"/>
      <c r="S34" s="143">
        <v>1112.0</v>
      </c>
      <c r="T34" s="144"/>
      <c r="U34" s="143">
        <v>1112.0</v>
      </c>
      <c r="V34" s="144"/>
      <c r="W34" s="143">
        <v>1200.0</v>
      </c>
      <c r="X34" s="144"/>
      <c r="Y34" s="143">
        <v>1112.0</v>
      </c>
      <c r="Z34" s="144"/>
      <c r="AA34" s="145">
        <v>1100.0</v>
      </c>
      <c r="AB34" s="146"/>
      <c r="AC34" s="146">
        <v>1112.0</v>
      </c>
      <c r="AD34" s="147"/>
      <c r="AE34" s="148"/>
      <c r="AF34" s="105">
        <f t="shared" si="15"/>
        <v>0</v>
      </c>
      <c r="AG34" s="15"/>
    </row>
    <row r="35" ht="22.5" customHeight="1">
      <c r="B35" s="132"/>
      <c r="C35" s="149">
        <f>C34*C33</f>
        <v>17400</v>
      </c>
      <c r="D35" s="150"/>
      <c r="E35" s="149">
        <f>E34*E33</f>
        <v>24186</v>
      </c>
      <c r="F35" s="150"/>
      <c r="G35" s="149">
        <f>G34*G33</f>
        <v>21128</v>
      </c>
      <c r="H35" s="150"/>
      <c r="I35" s="149">
        <f>I34*I33</f>
        <v>22518</v>
      </c>
      <c r="J35" s="150"/>
      <c r="K35" s="149">
        <f>K34*K33</f>
        <v>3336</v>
      </c>
      <c r="L35" s="150"/>
      <c r="M35" s="149">
        <f>M34*M33</f>
        <v>22796</v>
      </c>
      <c r="N35" s="150"/>
      <c r="O35" s="149">
        <f>O34*O33</f>
        <v>24464</v>
      </c>
      <c r="P35" s="150"/>
      <c r="Q35" s="149">
        <f>Q34*Q33</f>
        <v>19800</v>
      </c>
      <c r="R35" s="150"/>
      <c r="S35" s="149">
        <f>S34*S33</f>
        <v>25020</v>
      </c>
      <c r="T35" s="150"/>
      <c r="U35" s="149">
        <f>U34*U33</f>
        <v>25020</v>
      </c>
      <c r="V35" s="150"/>
      <c r="W35" s="149">
        <f>W34*W33</f>
        <v>27600</v>
      </c>
      <c r="X35" s="150"/>
      <c r="Y35" s="149">
        <f>Y34*Y33</f>
        <v>26076.4</v>
      </c>
      <c r="Z35" s="150"/>
      <c r="AA35" s="149">
        <f>AA33*AA34</f>
        <v>14300</v>
      </c>
      <c r="AB35" s="150"/>
      <c r="AC35" s="149">
        <f>AC34*AC33</f>
        <v>26132</v>
      </c>
      <c r="AD35" s="151"/>
      <c r="AE35" s="152"/>
      <c r="AF35" s="105">
        <f t="shared" si="15"/>
        <v>0</v>
      </c>
      <c r="AG35" s="15"/>
    </row>
    <row r="36" ht="22.5" customHeight="1">
      <c r="B36" s="132"/>
      <c r="C36" s="153"/>
      <c r="D36" s="154">
        <f>C36*1500</f>
        <v>0</v>
      </c>
      <c r="E36" s="143">
        <v>30000.0</v>
      </c>
      <c r="F36" s="144">
        <f>E36*E65</f>
        <v>0</v>
      </c>
      <c r="G36" s="143">
        <v>30000.0</v>
      </c>
      <c r="H36" s="144"/>
      <c r="I36" s="143">
        <v>30000.0</v>
      </c>
      <c r="J36" s="144"/>
      <c r="K36" s="143">
        <v>30000.0</v>
      </c>
      <c r="L36" s="144"/>
      <c r="M36" s="143">
        <v>30000.0</v>
      </c>
      <c r="N36" s="144"/>
      <c r="O36" s="143">
        <v>30000.0</v>
      </c>
      <c r="P36" s="144"/>
      <c r="Q36" s="153"/>
      <c r="R36" s="154"/>
      <c r="S36" s="143">
        <v>30000.0</v>
      </c>
      <c r="T36" s="144"/>
      <c r="U36" s="143">
        <v>30000.0</v>
      </c>
      <c r="V36" s="144"/>
      <c r="W36" s="153"/>
      <c r="X36" s="154">
        <f>W36*1200</f>
        <v>0</v>
      </c>
      <c r="Y36" s="153"/>
      <c r="Z36" s="154">
        <f>Y36*1112</f>
        <v>0</v>
      </c>
      <c r="AA36" s="153"/>
      <c r="AB36" s="154">
        <f>AA36*1100</f>
        <v>0</v>
      </c>
      <c r="AC36" s="153"/>
      <c r="AD36" s="152">
        <f>AC36*1100</f>
        <v>0</v>
      </c>
      <c r="AE36" s="148"/>
      <c r="AF36" s="105">
        <f t="shared" si="15"/>
        <v>0</v>
      </c>
      <c r="AG36" s="15"/>
    </row>
    <row r="37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</sheetData>
  <dataValidations>
    <dataValidation type="custom" allowBlank="1" showDropDown="1" sqref="B2:B36">
      <formula1>OR(NOT(ISERROR(DATEVALUE(B2))), AND(ISNUMBER(B2), LEFT(CELL("format", B2))="D"))</formula1>
    </dataValidation>
    <dataValidation type="custom" allowBlank="1" showDropDown="1" sqref="C2:C36 E2:E36 G2:G36 I2:I36 K2:K36 M2:M36 O2:O36 Q2:Q36 S2:S36 U2:U36 W2:W36 Y2:Y36 AA2:AA36 AC2:AC36 AF2:AF3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5.38"/>
    <col customWidth="1" min="4" max="4" width="19.38"/>
    <col customWidth="1" min="5" max="5" width="19.25"/>
    <col customWidth="1" min="6" max="6" width="42.5"/>
    <col customWidth="1" min="7" max="7" width="33.63"/>
    <col customWidth="1" min="9" max="9" width="127.63"/>
  </cols>
  <sheetData>
    <row r="2">
      <c r="C2" s="155" t="s">
        <v>92</v>
      </c>
      <c r="D2" s="156" t="s">
        <v>93</v>
      </c>
      <c r="E2" s="156" t="s">
        <v>94</v>
      </c>
      <c r="F2" s="156" t="s">
        <v>95</v>
      </c>
      <c r="G2" s="156" t="s">
        <v>96</v>
      </c>
    </row>
    <row r="3">
      <c r="C3" s="157" t="s">
        <v>97</v>
      </c>
      <c r="D3" s="158">
        <v>4.0</v>
      </c>
      <c r="E3" s="159">
        <v>1000.0</v>
      </c>
      <c r="F3" s="160">
        <f t="shared" ref="F3:F414" si="1">D3*E3</f>
        <v>4000</v>
      </c>
      <c r="G3" s="161"/>
    </row>
    <row r="4">
      <c r="C4" s="162" t="s">
        <v>98</v>
      </c>
      <c r="D4" s="163">
        <v>25.0</v>
      </c>
      <c r="E4" s="164">
        <v>1000.0</v>
      </c>
      <c r="F4" s="160">
        <f t="shared" si="1"/>
        <v>25000</v>
      </c>
      <c r="G4" s="165"/>
    </row>
    <row r="5">
      <c r="C5" s="166" t="s">
        <v>99</v>
      </c>
      <c r="D5" s="163">
        <v>2.5</v>
      </c>
      <c r="E5" s="164">
        <v>37.0</v>
      </c>
      <c r="F5" s="160">
        <f t="shared" si="1"/>
        <v>92.5</v>
      </c>
      <c r="G5" s="161"/>
    </row>
    <row r="6">
      <c r="C6" s="157" t="s">
        <v>100</v>
      </c>
      <c r="D6" s="167">
        <v>3.0</v>
      </c>
      <c r="E6" s="159">
        <v>380.0</v>
      </c>
      <c r="F6" s="160">
        <f t="shared" si="1"/>
        <v>1140</v>
      </c>
      <c r="G6" s="161"/>
    </row>
    <row r="7">
      <c r="C7" s="168" t="s">
        <v>101</v>
      </c>
      <c r="D7" s="168">
        <v>2.0</v>
      </c>
      <c r="E7" s="164">
        <v>580.0</v>
      </c>
      <c r="F7" s="160">
        <f t="shared" si="1"/>
        <v>1160</v>
      </c>
      <c r="G7" s="165"/>
    </row>
    <row r="8">
      <c r="C8" s="166" t="s">
        <v>102</v>
      </c>
      <c r="D8" s="163">
        <v>9.0</v>
      </c>
      <c r="E8" s="164">
        <v>390.0</v>
      </c>
      <c r="F8" s="160">
        <f t="shared" si="1"/>
        <v>3510</v>
      </c>
      <c r="G8" s="161"/>
    </row>
    <row r="9">
      <c r="C9" s="166" t="s">
        <v>103</v>
      </c>
      <c r="D9" s="163">
        <v>60.0</v>
      </c>
      <c r="E9" s="164">
        <v>6.2</v>
      </c>
      <c r="F9" s="160">
        <f t="shared" si="1"/>
        <v>372</v>
      </c>
      <c r="G9" s="161"/>
    </row>
    <row r="10">
      <c r="C10" s="161" t="s">
        <v>104</v>
      </c>
      <c r="D10" s="163">
        <v>70.0</v>
      </c>
      <c r="E10" s="164">
        <v>189.0</v>
      </c>
      <c r="F10" s="160">
        <f t="shared" si="1"/>
        <v>13230</v>
      </c>
      <c r="G10" s="161"/>
    </row>
    <row r="11">
      <c r="C11" s="162" t="s">
        <v>105</v>
      </c>
      <c r="D11" s="163">
        <v>4.0</v>
      </c>
      <c r="E11" s="74">
        <v>260.0</v>
      </c>
      <c r="F11" s="160">
        <f t="shared" si="1"/>
        <v>1040</v>
      </c>
      <c r="G11" s="165"/>
    </row>
    <row r="12">
      <c r="C12" s="161" t="s">
        <v>106</v>
      </c>
      <c r="D12" s="163">
        <v>6.0</v>
      </c>
      <c r="E12" s="164">
        <v>325.0</v>
      </c>
      <c r="F12" s="160">
        <f t="shared" si="1"/>
        <v>1950</v>
      </c>
      <c r="G12" s="169"/>
    </row>
    <row r="13">
      <c r="C13" s="60" t="s">
        <v>107</v>
      </c>
      <c r="D13" s="23">
        <v>21.0</v>
      </c>
      <c r="E13" s="17">
        <v>600.0</v>
      </c>
      <c r="F13" s="170">
        <f t="shared" si="1"/>
        <v>12600</v>
      </c>
      <c r="G13" s="161"/>
    </row>
    <row r="14">
      <c r="C14" s="60" t="s">
        <v>108</v>
      </c>
      <c r="D14" s="23">
        <v>1.0</v>
      </c>
      <c r="E14" s="17">
        <v>180.0</v>
      </c>
      <c r="F14" s="170">
        <f t="shared" si="1"/>
        <v>180</v>
      </c>
      <c r="G14" s="161"/>
    </row>
    <row r="15">
      <c r="C15" s="60" t="s">
        <v>109</v>
      </c>
      <c r="D15" s="23">
        <v>0.6</v>
      </c>
      <c r="E15" s="17">
        <v>1300.0</v>
      </c>
      <c r="F15" s="170">
        <f t="shared" si="1"/>
        <v>780</v>
      </c>
      <c r="G15" s="161"/>
    </row>
    <row r="16">
      <c r="C16" s="60" t="s">
        <v>110</v>
      </c>
      <c r="D16" s="23">
        <v>0.6</v>
      </c>
      <c r="E16" s="17">
        <v>1300.0</v>
      </c>
      <c r="F16" s="170">
        <f t="shared" si="1"/>
        <v>780</v>
      </c>
      <c r="G16" s="165"/>
    </row>
    <row r="17">
      <c r="C17" s="60" t="s">
        <v>111</v>
      </c>
      <c r="D17" s="171">
        <v>70.0</v>
      </c>
      <c r="E17" s="17">
        <v>17.0</v>
      </c>
      <c r="F17" s="170">
        <f t="shared" si="1"/>
        <v>1190</v>
      </c>
      <c r="G17" s="169"/>
    </row>
    <row r="18">
      <c r="C18" s="60" t="s">
        <v>112</v>
      </c>
      <c r="D18" s="23">
        <v>78.0</v>
      </c>
      <c r="E18" s="20">
        <v>34.0</v>
      </c>
      <c r="F18" s="170">
        <f t="shared" si="1"/>
        <v>2652</v>
      </c>
      <c r="G18" s="169"/>
    </row>
    <row r="19">
      <c r="C19" s="60" t="s">
        <v>113</v>
      </c>
      <c r="D19" s="23">
        <v>18.0</v>
      </c>
      <c r="E19" s="17">
        <v>69.0</v>
      </c>
      <c r="F19" s="170">
        <f t="shared" si="1"/>
        <v>1242</v>
      </c>
      <c r="G19" s="169"/>
    </row>
    <row r="20">
      <c r="C20" s="172" t="s">
        <v>114</v>
      </c>
      <c r="D20" s="23">
        <v>16.0</v>
      </c>
      <c r="E20" s="20">
        <v>43.0</v>
      </c>
      <c r="F20" s="170">
        <f t="shared" si="1"/>
        <v>688</v>
      </c>
      <c r="G20" s="169"/>
    </row>
    <row r="21">
      <c r="C21" s="60" t="s">
        <v>115</v>
      </c>
      <c r="D21" s="171">
        <v>25.0</v>
      </c>
      <c r="E21" s="17">
        <v>50.0</v>
      </c>
      <c r="F21" s="17">
        <f t="shared" si="1"/>
        <v>1250</v>
      </c>
      <c r="G21" s="169"/>
    </row>
    <row r="22">
      <c r="C22" s="23" t="s">
        <v>116</v>
      </c>
      <c r="D22" s="23">
        <v>8.0</v>
      </c>
      <c r="E22" s="20">
        <v>78.0</v>
      </c>
      <c r="F22" s="170">
        <f t="shared" si="1"/>
        <v>624</v>
      </c>
      <c r="G22" s="169"/>
    </row>
    <row r="23">
      <c r="C23" s="60" t="s">
        <v>117</v>
      </c>
      <c r="D23" s="171">
        <v>0.5</v>
      </c>
      <c r="E23" s="17">
        <v>1400.0</v>
      </c>
      <c r="F23" s="170">
        <f t="shared" si="1"/>
        <v>700</v>
      </c>
      <c r="G23" s="169"/>
    </row>
    <row r="24">
      <c r="C24" s="23" t="s">
        <v>118</v>
      </c>
      <c r="D24" s="23">
        <v>6.0</v>
      </c>
      <c r="E24" s="20">
        <v>250.0</v>
      </c>
      <c r="F24" s="170">
        <f t="shared" si="1"/>
        <v>1500</v>
      </c>
      <c r="G24" s="169"/>
    </row>
    <row r="25">
      <c r="C25" s="23" t="s">
        <v>119</v>
      </c>
      <c r="D25" s="171">
        <v>6.0</v>
      </c>
      <c r="E25" s="20">
        <v>200.0</v>
      </c>
      <c r="F25" s="170">
        <f t="shared" si="1"/>
        <v>1200</v>
      </c>
      <c r="G25" s="169"/>
    </row>
    <row r="26">
      <c r="C26" s="23" t="s">
        <v>120</v>
      </c>
      <c r="D26" s="171">
        <v>5.0</v>
      </c>
      <c r="E26" s="20">
        <v>90.0</v>
      </c>
      <c r="F26" s="170">
        <f t="shared" si="1"/>
        <v>450</v>
      </c>
      <c r="G26" s="169"/>
    </row>
    <row r="27">
      <c r="C27" s="173" t="s">
        <v>121</v>
      </c>
      <c r="D27" s="173">
        <v>22.0</v>
      </c>
      <c r="E27" s="174">
        <v>115.0</v>
      </c>
      <c r="F27" s="170">
        <f t="shared" si="1"/>
        <v>2530</v>
      </c>
      <c r="G27" s="169"/>
    </row>
    <row r="28">
      <c r="C28" s="60" t="s">
        <v>122</v>
      </c>
      <c r="D28" s="171">
        <v>7.0</v>
      </c>
      <c r="E28" s="20">
        <v>230.0</v>
      </c>
      <c r="F28" s="170">
        <f t="shared" si="1"/>
        <v>1610</v>
      </c>
      <c r="G28" s="169"/>
    </row>
    <row r="29">
      <c r="C29" s="60" t="s">
        <v>123</v>
      </c>
      <c r="D29" s="171">
        <v>5.0</v>
      </c>
      <c r="E29" s="20">
        <v>230.0</v>
      </c>
      <c r="F29" s="170">
        <f t="shared" si="1"/>
        <v>1150</v>
      </c>
      <c r="G29" s="169"/>
    </row>
    <row r="30">
      <c r="C30" s="175" t="s">
        <v>124</v>
      </c>
      <c r="D30" s="171">
        <v>4.0</v>
      </c>
      <c r="E30" s="20">
        <v>230.0</v>
      </c>
      <c r="F30" s="170">
        <f t="shared" si="1"/>
        <v>920</v>
      </c>
      <c r="G30" s="169"/>
    </row>
    <row r="31">
      <c r="C31" s="175" t="s">
        <v>125</v>
      </c>
      <c r="D31" s="171">
        <v>2.0</v>
      </c>
      <c r="E31" s="20">
        <v>230.0</v>
      </c>
      <c r="F31" s="170">
        <f t="shared" si="1"/>
        <v>460</v>
      </c>
      <c r="G31" s="169"/>
    </row>
    <row r="32">
      <c r="C32" s="23" t="s">
        <v>126</v>
      </c>
      <c r="D32" s="23">
        <v>40.0</v>
      </c>
      <c r="E32" s="20">
        <v>83.0</v>
      </c>
      <c r="F32" s="170">
        <f t="shared" si="1"/>
        <v>3320</v>
      </c>
      <c r="G32" s="169"/>
    </row>
    <row r="33">
      <c r="C33" s="60" t="s">
        <v>127</v>
      </c>
      <c r="D33" s="60">
        <v>0.5</v>
      </c>
      <c r="E33" s="17">
        <v>1700.0</v>
      </c>
      <c r="F33" s="170">
        <f t="shared" si="1"/>
        <v>850</v>
      </c>
      <c r="G33" s="169"/>
    </row>
    <row r="34">
      <c r="C34" s="60" t="s">
        <v>128</v>
      </c>
      <c r="D34" s="23">
        <v>12.0</v>
      </c>
      <c r="E34" s="17">
        <v>198.0</v>
      </c>
      <c r="F34" s="170">
        <f t="shared" si="1"/>
        <v>2376</v>
      </c>
      <c r="G34" s="169"/>
    </row>
    <row r="35">
      <c r="C35" s="60" t="s">
        <v>129</v>
      </c>
      <c r="D35" s="60">
        <v>12.0</v>
      </c>
      <c r="E35" s="17">
        <v>430.0</v>
      </c>
      <c r="F35" s="170">
        <f t="shared" si="1"/>
        <v>5160</v>
      </c>
      <c r="G35" s="169"/>
    </row>
    <row r="36">
      <c r="C36" s="60" t="s">
        <v>130</v>
      </c>
      <c r="D36" s="60">
        <v>1.0</v>
      </c>
      <c r="E36" s="17">
        <v>980.0</v>
      </c>
      <c r="F36" s="170">
        <f t="shared" si="1"/>
        <v>980</v>
      </c>
      <c r="G36" s="169"/>
    </row>
    <row r="37">
      <c r="C37" s="60" t="s">
        <v>131</v>
      </c>
      <c r="D37" s="23">
        <v>4.0</v>
      </c>
      <c r="E37" s="17">
        <v>1350.0</v>
      </c>
      <c r="F37" s="170">
        <f t="shared" si="1"/>
        <v>5400</v>
      </c>
      <c r="G37" s="169"/>
    </row>
    <row r="38">
      <c r="C38" s="60" t="s">
        <v>132</v>
      </c>
      <c r="D38" s="23">
        <v>2.7</v>
      </c>
      <c r="E38" s="17">
        <v>1900.0</v>
      </c>
      <c r="F38" s="170">
        <f t="shared" si="1"/>
        <v>5130</v>
      </c>
      <c r="G38" s="169"/>
    </row>
    <row r="39">
      <c r="C39" s="60" t="s">
        <v>133</v>
      </c>
      <c r="D39" s="23">
        <v>5.0</v>
      </c>
      <c r="E39" s="17">
        <v>950.0</v>
      </c>
      <c r="F39" s="170">
        <f t="shared" si="1"/>
        <v>4750</v>
      </c>
      <c r="G39" s="169"/>
    </row>
    <row r="40">
      <c r="C40" s="168" t="s">
        <v>134</v>
      </c>
      <c r="D40" s="168">
        <v>50.0</v>
      </c>
      <c r="E40" s="74">
        <v>16.0</v>
      </c>
      <c r="F40" s="160">
        <f t="shared" si="1"/>
        <v>800</v>
      </c>
      <c r="G40" s="169"/>
    </row>
    <row r="41">
      <c r="C41" s="176" t="s">
        <v>135</v>
      </c>
      <c r="D41" s="173">
        <v>4.0</v>
      </c>
      <c r="E41" s="174">
        <v>1680.0</v>
      </c>
      <c r="F41" s="177">
        <f t="shared" si="1"/>
        <v>6720</v>
      </c>
      <c r="G41" s="169"/>
    </row>
    <row r="42">
      <c r="C42" s="176" t="s">
        <v>136</v>
      </c>
      <c r="D42" s="173">
        <v>5.0</v>
      </c>
      <c r="E42" s="174">
        <v>1670.0</v>
      </c>
      <c r="F42" s="177">
        <f t="shared" si="1"/>
        <v>8350</v>
      </c>
      <c r="G42" s="169"/>
    </row>
    <row r="43">
      <c r="C43" s="168" t="s">
        <v>137</v>
      </c>
      <c r="D43" s="168">
        <v>1.0</v>
      </c>
      <c r="E43" s="74">
        <v>930.0</v>
      </c>
      <c r="F43" s="160">
        <f t="shared" si="1"/>
        <v>930</v>
      </c>
      <c r="G43" s="169"/>
    </row>
    <row r="44">
      <c r="C44" s="178" t="s">
        <v>138</v>
      </c>
      <c r="D44" s="173">
        <v>0.25</v>
      </c>
      <c r="E44" s="179">
        <v>4880.0</v>
      </c>
      <c r="F44" s="177">
        <f t="shared" si="1"/>
        <v>1220</v>
      </c>
      <c r="G44" s="169"/>
    </row>
    <row r="45">
      <c r="C45" s="168" t="s">
        <v>139</v>
      </c>
      <c r="D45" s="168">
        <v>2.0</v>
      </c>
      <c r="E45" s="74">
        <v>1200.0</v>
      </c>
      <c r="F45" s="160">
        <f t="shared" si="1"/>
        <v>2400</v>
      </c>
      <c r="G45" s="169"/>
    </row>
    <row r="46">
      <c r="C46" s="168" t="s">
        <v>140</v>
      </c>
      <c r="D46" s="168">
        <v>2.5</v>
      </c>
      <c r="E46" s="74">
        <v>800.0</v>
      </c>
      <c r="F46" s="160">
        <f t="shared" si="1"/>
        <v>2000</v>
      </c>
      <c r="G46" s="169"/>
    </row>
    <row r="47">
      <c r="C47" s="168" t="s">
        <v>141</v>
      </c>
      <c r="D47" s="168">
        <v>1.5</v>
      </c>
      <c r="E47" s="74">
        <v>800.0</v>
      </c>
      <c r="F47" s="160">
        <f t="shared" si="1"/>
        <v>1200</v>
      </c>
      <c r="G47" s="169"/>
    </row>
    <row r="48">
      <c r="C48" s="168" t="s">
        <v>142</v>
      </c>
      <c r="D48" s="168">
        <v>3.0</v>
      </c>
      <c r="E48" s="74">
        <v>800.0</v>
      </c>
      <c r="F48" s="160">
        <f t="shared" si="1"/>
        <v>2400</v>
      </c>
      <c r="G48" s="169"/>
    </row>
    <row r="49">
      <c r="C49" s="176" t="s">
        <v>143</v>
      </c>
      <c r="D49" s="173">
        <v>4.0</v>
      </c>
      <c r="E49" s="174">
        <v>300.0</v>
      </c>
      <c r="F49" s="177">
        <f t="shared" si="1"/>
        <v>1200</v>
      </c>
      <c r="G49" s="169"/>
    </row>
    <row r="50">
      <c r="C50" s="180" t="s">
        <v>144</v>
      </c>
      <c r="D50" s="173">
        <v>6.0</v>
      </c>
      <c r="E50" s="174">
        <v>280.0</v>
      </c>
      <c r="F50" s="174">
        <f t="shared" si="1"/>
        <v>1680</v>
      </c>
      <c r="G50" s="169"/>
    </row>
    <row r="51">
      <c r="C51" s="181" t="s">
        <v>145</v>
      </c>
      <c r="D51" s="182">
        <v>7.0</v>
      </c>
      <c r="E51" s="174">
        <v>800.0</v>
      </c>
      <c r="F51" s="174">
        <f t="shared" si="1"/>
        <v>5600</v>
      </c>
      <c r="G51" s="169"/>
    </row>
    <row r="52">
      <c r="C52" s="176" t="s">
        <v>146</v>
      </c>
      <c r="D52" s="173">
        <v>3.0</v>
      </c>
      <c r="E52" s="174">
        <v>300.0</v>
      </c>
      <c r="F52" s="177">
        <f t="shared" si="1"/>
        <v>900</v>
      </c>
      <c r="G52" s="169"/>
    </row>
    <row r="53">
      <c r="C53" s="176" t="s">
        <v>147</v>
      </c>
      <c r="D53" s="173">
        <v>0.5</v>
      </c>
      <c r="E53" s="174">
        <v>1400.0</v>
      </c>
      <c r="F53" s="170">
        <f t="shared" si="1"/>
        <v>700</v>
      </c>
      <c r="G53" s="169"/>
    </row>
    <row r="54">
      <c r="C54" s="176" t="s">
        <v>148</v>
      </c>
      <c r="D54" s="173">
        <v>1.0</v>
      </c>
      <c r="E54" s="179">
        <v>170.0</v>
      </c>
      <c r="F54" s="170">
        <f t="shared" si="1"/>
        <v>170</v>
      </c>
      <c r="G54" s="169"/>
    </row>
    <row r="55">
      <c r="C55" s="60" t="s">
        <v>149</v>
      </c>
      <c r="D55" s="171">
        <v>0.5</v>
      </c>
      <c r="E55" s="17">
        <v>1500.0</v>
      </c>
      <c r="F55" s="170">
        <f t="shared" si="1"/>
        <v>750</v>
      </c>
      <c r="G55" s="169"/>
    </row>
    <row r="56">
      <c r="C56" s="60" t="s">
        <v>150</v>
      </c>
      <c r="D56" s="171">
        <v>0.5</v>
      </c>
      <c r="E56" s="17">
        <v>1500.0</v>
      </c>
      <c r="F56" s="170">
        <f t="shared" si="1"/>
        <v>750</v>
      </c>
      <c r="G56" s="169"/>
    </row>
    <row r="57">
      <c r="C57" s="60" t="s">
        <v>151</v>
      </c>
      <c r="D57" s="60">
        <v>0.5</v>
      </c>
      <c r="E57" s="17">
        <v>600.0</v>
      </c>
      <c r="F57" s="170">
        <f t="shared" si="1"/>
        <v>300</v>
      </c>
      <c r="G57" s="169"/>
    </row>
    <row r="58">
      <c r="C58" s="60" t="s">
        <v>152</v>
      </c>
      <c r="D58" s="60">
        <v>0.5</v>
      </c>
      <c r="E58" s="17">
        <v>600.0</v>
      </c>
      <c r="F58" s="170">
        <f t="shared" si="1"/>
        <v>300</v>
      </c>
      <c r="G58" s="169"/>
    </row>
    <row r="59">
      <c r="C59" s="23" t="s">
        <v>153</v>
      </c>
      <c r="D59" s="23">
        <v>12.0</v>
      </c>
      <c r="E59" s="17">
        <v>350.0</v>
      </c>
      <c r="F59" s="170">
        <f t="shared" si="1"/>
        <v>4200</v>
      </c>
      <c r="G59" s="169"/>
    </row>
    <row r="60">
      <c r="C60" s="60" t="s">
        <v>154</v>
      </c>
      <c r="D60" s="23">
        <v>2.0</v>
      </c>
      <c r="E60" s="17">
        <v>350.0</v>
      </c>
      <c r="F60" s="170">
        <f t="shared" si="1"/>
        <v>700</v>
      </c>
      <c r="G60" s="169"/>
    </row>
    <row r="61">
      <c r="C61" s="168" t="s">
        <v>155</v>
      </c>
      <c r="D61" s="168">
        <v>0.5</v>
      </c>
      <c r="E61" s="74">
        <v>550.0</v>
      </c>
      <c r="F61" s="170">
        <f t="shared" si="1"/>
        <v>275</v>
      </c>
      <c r="G61" s="169"/>
    </row>
    <row r="62">
      <c r="C62" s="176" t="s">
        <v>156</v>
      </c>
      <c r="D62" s="173">
        <v>5.0</v>
      </c>
      <c r="E62" s="174">
        <v>60.0</v>
      </c>
      <c r="F62" s="170">
        <f t="shared" si="1"/>
        <v>300</v>
      </c>
      <c r="G62" s="169"/>
    </row>
    <row r="63">
      <c r="C63" s="176" t="s">
        <v>157</v>
      </c>
      <c r="D63" s="180">
        <v>1.0</v>
      </c>
      <c r="E63" s="174">
        <v>800.0</v>
      </c>
      <c r="F63" s="170">
        <f t="shared" si="1"/>
        <v>800</v>
      </c>
      <c r="G63" s="169"/>
    </row>
    <row r="64">
      <c r="A64" s="183"/>
      <c r="B64" s="183"/>
      <c r="C64" s="184" t="s">
        <v>158</v>
      </c>
      <c r="D64" s="185">
        <v>5.0</v>
      </c>
      <c r="E64" s="186">
        <v>270.0</v>
      </c>
      <c r="F64" s="187">
        <f t="shared" si="1"/>
        <v>1350</v>
      </c>
      <c r="G64" s="188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</row>
    <row r="65">
      <c r="C65" s="176" t="s">
        <v>159</v>
      </c>
      <c r="D65" s="173">
        <v>6.0</v>
      </c>
      <c r="E65" s="174">
        <v>800.0</v>
      </c>
      <c r="F65" s="174">
        <f t="shared" si="1"/>
        <v>4800</v>
      </c>
      <c r="G65" s="169"/>
    </row>
    <row r="66">
      <c r="C66" s="60" t="s">
        <v>160</v>
      </c>
      <c r="D66" s="60">
        <v>1.0</v>
      </c>
      <c r="E66" s="17">
        <v>300.0</v>
      </c>
      <c r="F66" s="170">
        <f t="shared" si="1"/>
        <v>300</v>
      </c>
      <c r="G66" s="169"/>
    </row>
    <row r="67">
      <c r="C67" s="176" t="s">
        <v>161</v>
      </c>
      <c r="D67" s="182">
        <v>0.5</v>
      </c>
      <c r="E67" s="174">
        <v>1700.0</v>
      </c>
      <c r="F67" s="170">
        <f t="shared" si="1"/>
        <v>850</v>
      </c>
      <c r="G67" s="169"/>
    </row>
    <row r="68">
      <c r="C68" s="178" t="s">
        <v>162</v>
      </c>
      <c r="D68" s="173">
        <v>1.5</v>
      </c>
      <c r="E68" s="174">
        <v>580.0</v>
      </c>
      <c r="F68" s="170">
        <f t="shared" si="1"/>
        <v>870</v>
      </c>
      <c r="G68" s="169"/>
    </row>
    <row r="69">
      <c r="C69" s="168" t="s">
        <v>163</v>
      </c>
      <c r="D69" s="168">
        <v>2.0</v>
      </c>
      <c r="E69" s="74">
        <v>100.0</v>
      </c>
      <c r="F69" s="170">
        <f t="shared" si="1"/>
        <v>200</v>
      </c>
      <c r="G69" s="169"/>
    </row>
    <row r="70">
      <c r="C70" s="60" t="s">
        <v>164</v>
      </c>
      <c r="D70" s="23">
        <v>91.0</v>
      </c>
      <c r="E70" s="17">
        <v>45.0</v>
      </c>
      <c r="F70" s="170">
        <f t="shared" si="1"/>
        <v>4095</v>
      </c>
      <c r="G70" s="169"/>
    </row>
    <row r="71">
      <c r="C71" s="176" t="s">
        <v>165</v>
      </c>
      <c r="D71" s="180">
        <v>1.0</v>
      </c>
      <c r="E71" s="174">
        <v>500.0</v>
      </c>
      <c r="F71" s="170">
        <f t="shared" si="1"/>
        <v>500</v>
      </c>
      <c r="G71" s="169"/>
    </row>
    <row r="72">
      <c r="C72" s="176" t="s">
        <v>166</v>
      </c>
      <c r="D72" s="180">
        <v>1.0</v>
      </c>
      <c r="E72" s="174">
        <v>500.0</v>
      </c>
      <c r="F72" s="170">
        <f t="shared" si="1"/>
        <v>500</v>
      </c>
      <c r="G72" s="169"/>
    </row>
    <row r="73">
      <c r="C73" s="176" t="s">
        <v>167</v>
      </c>
      <c r="D73" s="180">
        <v>3.0</v>
      </c>
      <c r="E73" s="174">
        <v>50.0</v>
      </c>
      <c r="F73" s="170">
        <f t="shared" si="1"/>
        <v>150</v>
      </c>
      <c r="G73" s="169"/>
    </row>
    <row r="74">
      <c r="C74" s="168" t="s">
        <v>168</v>
      </c>
      <c r="D74" s="168">
        <v>1.0</v>
      </c>
      <c r="E74" s="74">
        <v>100.0</v>
      </c>
      <c r="F74" s="170">
        <f t="shared" si="1"/>
        <v>100</v>
      </c>
      <c r="G74" s="189">
        <v>45597.0</v>
      </c>
    </row>
    <row r="75">
      <c r="C75" s="168" t="s">
        <v>169</v>
      </c>
      <c r="D75" s="168">
        <v>1.0</v>
      </c>
      <c r="E75" s="74">
        <v>140.0</v>
      </c>
      <c r="F75" s="170">
        <f t="shared" si="1"/>
        <v>140</v>
      </c>
      <c r="G75" s="169"/>
    </row>
    <row r="76">
      <c r="C76" s="168" t="s">
        <v>170</v>
      </c>
      <c r="D76" s="168">
        <v>0.5</v>
      </c>
      <c r="E76" s="74">
        <v>200.0</v>
      </c>
      <c r="F76" s="170">
        <f t="shared" si="1"/>
        <v>100</v>
      </c>
      <c r="G76" s="169"/>
    </row>
    <row r="77">
      <c r="C77" s="168" t="s">
        <v>171</v>
      </c>
      <c r="D77" s="168">
        <v>1.0</v>
      </c>
      <c r="E77" s="74">
        <v>200.0</v>
      </c>
      <c r="F77" s="170">
        <f t="shared" si="1"/>
        <v>200</v>
      </c>
      <c r="G77" s="169"/>
    </row>
    <row r="78">
      <c r="C78" s="168" t="s">
        <v>172</v>
      </c>
      <c r="D78" s="168">
        <v>1.5</v>
      </c>
      <c r="E78" s="74">
        <v>120.0</v>
      </c>
      <c r="F78" s="170">
        <f t="shared" si="1"/>
        <v>180</v>
      </c>
      <c r="G78" s="169"/>
    </row>
    <row r="79">
      <c r="C79" s="168" t="s">
        <v>173</v>
      </c>
      <c r="D79" s="168">
        <v>1.5</v>
      </c>
      <c r="E79" s="74">
        <v>200.0</v>
      </c>
      <c r="F79" s="170">
        <f t="shared" si="1"/>
        <v>300</v>
      </c>
      <c r="G79" s="169"/>
    </row>
    <row r="80">
      <c r="C80" s="168" t="s">
        <v>174</v>
      </c>
      <c r="D80" s="168">
        <v>3.0</v>
      </c>
      <c r="E80" s="74">
        <v>30.0</v>
      </c>
      <c r="F80" s="170">
        <f t="shared" si="1"/>
        <v>90</v>
      </c>
      <c r="G80" s="169"/>
    </row>
    <row r="81">
      <c r="C81" s="168" t="s">
        <v>175</v>
      </c>
      <c r="D81" s="168">
        <v>4.0</v>
      </c>
      <c r="E81" s="74">
        <v>30.0</v>
      </c>
      <c r="F81" s="170">
        <f t="shared" si="1"/>
        <v>120</v>
      </c>
      <c r="G81" s="169"/>
    </row>
    <row r="82">
      <c r="C82" s="168" t="s">
        <v>176</v>
      </c>
      <c r="D82" s="168">
        <v>1.0</v>
      </c>
      <c r="E82" s="74">
        <v>30.0</v>
      </c>
      <c r="F82" s="170">
        <f t="shared" si="1"/>
        <v>30</v>
      </c>
      <c r="G82" s="169"/>
    </row>
    <row r="83">
      <c r="C83" s="168" t="s">
        <v>177</v>
      </c>
      <c r="D83" s="168">
        <v>10.0</v>
      </c>
      <c r="E83" s="74">
        <v>100.0</v>
      </c>
      <c r="F83" s="170">
        <f t="shared" si="1"/>
        <v>1000</v>
      </c>
      <c r="G83" s="169"/>
    </row>
    <row r="84">
      <c r="C84" s="168" t="s">
        <v>140</v>
      </c>
      <c r="D84" s="168">
        <v>1.0</v>
      </c>
      <c r="E84" s="74">
        <v>800.0</v>
      </c>
      <c r="F84" s="170">
        <f t="shared" si="1"/>
        <v>800</v>
      </c>
      <c r="G84" s="169"/>
    </row>
    <row r="85">
      <c r="C85" s="168" t="s">
        <v>178</v>
      </c>
      <c r="D85" s="168">
        <v>60.0</v>
      </c>
      <c r="E85" s="74">
        <v>16.0</v>
      </c>
      <c r="F85" s="170">
        <f t="shared" si="1"/>
        <v>960</v>
      </c>
      <c r="G85" s="169"/>
    </row>
    <row r="86">
      <c r="C86" s="168" t="s">
        <v>179</v>
      </c>
      <c r="D86" s="168">
        <v>0.5</v>
      </c>
      <c r="E86" s="74">
        <v>400.0</v>
      </c>
      <c r="F86" s="170">
        <f t="shared" si="1"/>
        <v>200</v>
      </c>
      <c r="G86" s="169"/>
    </row>
    <row r="87">
      <c r="C87" s="168" t="s">
        <v>180</v>
      </c>
      <c r="D87" s="168">
        <v>2.0</v>
      </c>
      <c r="E87" s="74">
        <v>220.0</v>
      </c>
      <c r="F87" s="170">
        <f t="shared" si="1"/>
        <v>440</v>
      </c>
      <c r="G87" s="169"/>
    </row>
    <row r="88">
      <c r="C88" s="168" t="s">
        <v>181</v>
      </c>
      <c r="D88" s="168">
        <v>0.05</v>
      </c>
      <c r="E88" s="74">
        <v>2000.0</v>
      </c>
      <c r="F88" s="170">
        <f t="shared" si="1"/>
        <v>100</v>
      </c>
      <c r="G88" s="169"/>
    </row>
    <row r="89">
      <c r="C89" s="168" t="s">
        <v>182</v>
      </c>
      <c r="D89" s="168">
        <v>0.05</v>
      </c>
      <c r="E89" s="74">
        <v>2000.0</v>
      </c>
      <c r="F89" s="170">
        <f t="shared" si="1"/>
        <v>100</v>
      </c>
      <c r="G89" s="169"/>
    </row>
    <row r="90">
      <c r="A90" s="183"/>
      <c r="B90" s="183"/>
      <c r="C90" s="190" t="s">
        <v>183</v>
      </c>
      <c r="D90" s="190">
        <v>5.0</v>
      </c>
      <c r="E90" s="191">
        <v>40.0</v>
      </c>
      <c r="F90" s="192">
        <f t="shared" si="1"/>
        <v>200</v>
      </c>
      <c r="G90" s="188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</row>
    <row r="91">
      <c r="C91" s="168" t="s">
        <v>184</v>
      </c>
      <c r="D91" s="168">
        <v>2.0</v>
      </c>
      <c r="E91" s="74">
        <v>200.0</v>
      </c>
      <c r="F91" s="170">
        <f t="shared" si="1"/>
        <v>400</v>
      </c>
      <c r="G91" s="169"/>
    </row>
    <row r="92">
      <c r="C92" s="168" t="s">
        <v>185</v>
      </c>
      <c r="D92" s="168">
        <v>2.0</v>
      </c>
      <c r="E92" s="74">
        <v>100.0</v>
      </c>
      <c r="F92" s="170">
        <f t="shared" si="1"/>
        <v>200</v>
      </c>
      <c r="G92" s="169"/>
    </row>
    <row r="93">
      <c r="C93" s="168" t="s">
        <v>186</v>
      </c>
      <c r="D93" s="168">
        <v>5.0</v>
      </c>
      <c r="E93" s="74">
        <v>80.0</v>
      </c>
      <c r="F93" s="170">
        <f t="shared" si="1"/>
        <v>400</v>
      </c>
      <c r="G93" s="169"/>
    </row>
    <row r="94">
      <c r="C94" s="168" t="s">
        <v>187</v>
      </c>
      <c r="D94" s="168">
        <v>1.0</v>
      </c>
      <c r="E94" s="74">
        <v>500.0</v>
      </c>
      <c r="F94" s="170">
        <f t="shared" si="1"/>
        <v>500</v>
      </c>
      <c r="G94" s="169"/>
    </row>
    <row r="95">
      <c r="C95" s="168" t="s">
        <v>188</v>
      </c>
      <c r="D95" s="168">
        <v>1.0</v>
      </c>
      <c r="E95" s="74">
        <v>1200.0</v>
      </c>
      <c r="F95" s="170">
        <f t="shared" si="1"/>
        <v>1200</v>
      </c>
      <c r="G95" s="169"/>
    </row>
    <row r="96">
      <c r="C96" s="168" t="s">
        <v>189</v>
      </c>
      <c r="D96" s="168">
        <v>1.0</v>
      </c>
      <c r="E96" s="74">
        <v>2600.0</v>
      </c>
      <c r="F96" s="170">
        <f t="shared" si="1"/>
        <v>2600</v>
      </c>
      <c r="G96" s="169"/>
    </row>
    <row r="97">
      <c r="C97" s="168" t="s">
        <v>163</v>
      </c>
      <c r="D97" s="168">
        <v>10.0</v>
      </c>
      <c r="E97" s="74">
        <v>100.0</v>
      </c>
      <c r="F97" s="170">
        <f t="shared" si="1"/>
        <v>1000</v>
      </c>
      <c r="G97" s="169"/>
    </row>
    <row r="98">
      <c r="C98" s="168" t="s">
        <v>151</v>
      </c>
      <c r="D98" s="168">
        <v>1.5</v>
      </c>
      <c r="E98" s="74">
        <v>600.0</v>
      </c>
      <c r="F98" s="170">
        <f t="shared" si="1"/>
        <v>900</v>
      </c>
      <c r="G98" s="169"/>
    </row>
    <row r="99">
      <c r="C99" s="168" t="s">
        <v>190</v>
      </c>
      <c r="D99" s="168">
        <v>1.0</v>
      </c>
      <c r="E99" s="74">
        <v>400.0</v>
      </c>
      <c r="F99" s="170">
        <f t="shared" si="1"/>
        <v>400</v>
      </c>
      <c r="G99" s="169"/>
    </row>
    <row r="100">
      <c r="C100" s="168" t="s">
        <v>191</v>
      </c>
      <c r="D100" s="168">
        <v>2.0</v>
      </c>
      <c r="E100" s="74">
        <v>100.0</v>
      </c>
      <c r="F100" s="170">
        <f t="shared" si="1"/>
        <v>200</v>
      </c>
      <c r="G100" s="169"/>
    </row>
    <row r="101">
      <c r="C101" s="168" t="s">
        <v>192</v>
      </c>
      <c r="D101" s="168">
        <v>0.5</v>
      </c>
      <c r="E101" s="74">
        <v>400.0</v>
      </c>
      <c r="F101" s="170">
        <f t="shared" si="1"/>
        <v>200</v>
      </c>
      <c r="G101" s="169"/>
    </row>
    <row r="102">
      <c r="C102" s="168" t="s">
        <v>193</v>
      </c>
      <c r="D102" s="168">
        <v>0.5</v>
      </c>
      <c r="E102" s="74">
        <v>1800.0</v>
      </c>
      <c r="F102" s="170">
        <f t="shared" si="1"/>
        <v>900</v>
      </c>
      <c r="G102" s="169"/>
    </row>
    <row r="103">
      <c r="C103" s="168" t="s">
        <v>194</v>
      </c>
      <c r="D103" s="168">
        <v>0.06</v>
      </c>
      <c r="E103" s="74">
        <v>1200.0</v>
      </c>
      <c r="F103" s="170">
        <f t="shared" si="1"/>
        <v>72</v>
      </c>
      <c r="G103" s="169"/>
    </row>
    <row r="104">
      <c r="C104" s="168" t="s">
        <v>195</v>
      </c>
      <c r="D104" s="168">
        <v>5.0</v>
      </c>
      <c r="E104" s="74">
        <v>60.0</v>
      </c>
      <c r="F104" s="170">
        <f t="shared" si="1"/>
        <v>300</v>
      </c>
      <c r="G104" s="169"/>
    </row>
    <row r="105">
      <c r="C105" s="168" t="s">
        <v>196</v>
      </c>
      <c r="D105" s="168">
        <v>4.0</v>
      </c>
      <c r="E105" s="74">
        <v>130.0</v>
      </c>
      <c r="F105" s="170">
        <f t="shared" si="1"/>
        <v>520</v>
      </c>
      <c r="G105" s="169"/>
    </row>
    <row r="106">
      <c r="C106" s="168" t="s">
        <v>188</v>
      </c>
      <c r="D106" s="168">
        <v>0.6</v>
      </c>
      <c r="E106" s="74">
        <v>1500.0</v>
      </c>
      <c r="F106" s="170">
        <f t="shared" si="1"/>
        <v>900</v>
      </c>
      <c r="G106" s="169"/>
    </row>
    <row r="107">
      <c r="C107" s="168" t="s">
        <v>197</v>
      </c>
      <c r="D107" s="168">
        <v>1.0</v>
      </c>
      <c r="E107" s="74">
        <v>780.0</v>
      </c>
      <c r="F107" s="170">
        <f t="shared" si="1"/>
        <v>780</v>
      </c>
      <c r="G107" s="169"/>
    </row>
    <row r="108">
      <c r="C108" s="168" t="s">
        <v>198</v>
      </c>
      <c r="D108" s="168">
        <v>1.0</v>
      </c>
      <c r="E108" s="74">
        <v>3000.0</v>
      </c>
      <c r="F108" s="170">
        <f t="shared" si="1"/>
        <v>3000</v>
      </c>
      <c r="G108" s="169"/>
    </row>
    <row r="109">
      <c r="C109" s="193" t="s">
        <v>199</v>
      </c>
      <c r="D109" s="193">
        <v>11.0</v>
      </c>
      <c r="E109" s="194">
        <v>50.0</v>
      </c>
      <c r="F109" s="195">
        <f t="shared" si="1"/>
        <v>550</v>
      </c>
      <c r="G109" s="196"/>
    </row>
    <row r="110">
      <c r="C110" s="168" t="s">
        <v>142</v>
      </c>
      <c r="D110" s="168">
        <v>1.0</v>
      </c>
      <c r="E110" s="74">
        <v>800.0</v>
      </c>
      <c r="F110" s="170">
        <f t="shared" si="1"/>
        <v>800</v>
      </c>
      <c r="G110" s="189">
        <v>45598.0</v>
      </c>
    </row>
    <row r="111">
      <c r="C111" s="168" t="s">
        <v>140</v>
      </c>
      <c r="D111" s="168">
        <v>1.0</v>
      </c>
      <c r="E111" s="74">
        <v>800.0</v>
      </c>
      <c r="F111" s="170">
        <f t="shared" si="1"/>
        <v>800</v>
      </c>
      <c r="G111" s="169"/>
    </row>
    <row r="112">
      <c r="C112" s="168" t="s">
        <v>141</v>
      </c>
      <c r="D112" s="168">
        <v>1.0</v>
      </c>
      <c r="E112" s="74">
        <v>800.0</v>
      </c>
      <c r="F112" s="170">
        <f t="shared" si="1"/>
        <v>800</v>
      </c>
      <c r="G112" s="169"/>
    </row>
    <row r="113">
      <c r="C113" s="168" t="s">
        <v>171</v>
      </c>
      <c r="D113" s="168">
        <v>1.0</v>
      </c>
      <c r="E113" s="74">
        <v>200.0</v>
      </c>
      <c r="F113" s="170">
        <f t="shared" si="1"/>
        <v>200</v>
      </c>
      <c r="G113" s="169"/>
    </row>
    <row r="114">
      <c r="C114" s="168" t="s">
        <v>200</v>
      </c>
      <c r="D114" s="168">
        <v>1.0</v>
      </c>
      <c r="E114" s="74">
        <v>190.0</v>
      </c>
      <c r="F114" s="170">
        <f t="shared" si="1"/>
        <v>190</v>
      </c>
      <c r="G114" s="169"/>
    </row>
    <row r="115">
      <c r="C115" s="168" t="s">
        <v>201</v>
      </c>
      <c r="D115" s="168">
        <v>1.0</v>
      </c>
      <c r="E115" s="74">
        <v>40.0</v>
      </c>
      <c r="F115" s="170">
        <f t="shared" si="1"/>
        <v>40</v>
      </c>
      <c r="G115" s="169"/>
    </row>
    <row r="116">
      <c r="C116" s="168" t="s">
        <v>202</v>
      </c>
      <c r="D116" s="168">
        <v>3.0</v>
      </c>
      <c r="E116" s="74">
        <v>120.0</v>
      </c>
      <c r="F116" s="170">
        <f t="shared" si="1"/>
        <v>360</v>
      </c>
      <c r="G116" s="169"/>
    </row>
    <row r="117">
      <c r="C117" s="168" t="s">
        <v>177</v>
      </c>
      <c r="D117" s="168">
        <v>2.0</v>
      </c>
      <c r="E117" s="74">
        <v>120.0</v>
      </c>
      <c r="F117" s="170">
        <f t="shared" si="1"/>
        <v>240</v>
      </c>
      <c r="G117" s="189">
        <v>45599.0</v>
      </c>
    </row>
    <row r="118">
      <c r="C118" s="168" t="s">
        <v>203</v>
      </c>
      <c r="D118" s="168">
        <v>1.0</v>
      </c>
      <c r="E118" s="74">
        <v>300.0</v>
      </c>
      <c r="F118" s="170">
        <f t="shared" si="1"/>
        <v>300</v>
      </c>
      <c r="G118" s="189">
        <v>45600.0</v>
      </c>
    </row>
    <row r="119">
      <c r="C119" s="168" t="s">
        <v>171</v>
      </c>
      <c r="D119" s="168">
        <v>1.0</v>
      </c>
      <c r="E119" s="74">
        <v>250.0</v>
      </c>
      <c r="F119" s="170">
        <f t="shared" si="1"/>
        <v>250</v>
      </c>
      <c r="G119" s="169"/>
    </row>
    <row r="120">
      <c r="C120" s="168" t="s">
        <v>171</v>
      </c>
      <c r="D120" s="168">
        <v>3.0</v>
      </c>
      <c r="E120" s="74">
        <v>140.0</v>
      </c>
      <c r="F120" s="170">
        <f t="shared" si="1"/>
        <v>420</v>
      </c>
      <c r="G120" s="169"/>
    </row>
    <row r="121">
      <c r="A121" s="183"/>
      <c r="B121" s="183"/>
      <c r="C121" s="190" t="s">
        <v>142</v>
      </c>
      <c r="D121" s="190">
        <v>1.0</v>
      </c>
      <c r="E121" s="191">
        <v>800.0</v>
      </c>
      <c r="F121" s="192">
        <f t="shared" si="1"/>
        <v>800</v>
      </c>
      <c r="G121" s="188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</row>
    <row r="122">
      <c r="C122" s="168" t="s">
        <v>140</v>
      </c>
      <c r="D122" s="168">
        <v>1.0</v>
      </c>
      <c r="E122" s="74">
        <v>800.0</v>
      </c>
      <c r="F122" s="170">
        <f t="shared" si="1"/>
        <v>800</v>
      </c>
      <c r="G122" s="169"/>
    </row>
    <row r="123">
      <c r="C123" s="168" t="s">
        <v>141</v>
      </c>
      <c r="D123" s="168">
        <v>1.0</v>
      </c>
      <c r="E123" s="74">
        <v>800.0</v>
      </c>
      <c r="F123" s="170">
        <f t="shared" si="1"/>
        <v>800</v>
      </c>
      <c r="G123" s="169"/>
    </row>
    <row r="124">
      <c r="C124" s="168" t="s">
        <v>204</v>
      </c>
      <c r="D124" s="168">
        <v>1.0</v>
      </c>
      <c r="E124" s="74">
        <v>900.0</v>
      </c>
      <c r="F124" s="170">
        <f t="shared" si="1"/>
        <v>900</v>
      </c>
      <c r="G124" s="169"/>
    </row>
    <row r="125">
      <c r="C125" s="168" t="s">
        <v>156</v>
      </c>
      <c r="D125" s="168">
        <v>5.0</v>
      </c>
      <c r="E125" s="74">
        <v>120.0</v>
      </c>
      <c r="F125" s="170">
        <f t="shared" si="1"/>
        <v>600</v>
      </c>
      <c r="G125" s="169"/>
    </row>
    <row r="126">
      <c r="C126" s="168" t="s">
        <v>119</v>
      </c>
      <c r="D126" s="168">
        <v>15.0</v>
      </c>
      <c r="E126" s="74">
        <v>110.0</v>
      </c>
      <c r="F126" s="170">
        <f t="shared" si="1"/>
        <v>1650</v>
      </c>
      <c r="G126" s="169"/>
    </row>
    <row r="127">
      <c r="C127" s="168" t="s">
        <v>175</v>
      </c>
      <c r="D127" s="168">
        <v>1.0</v>
      </c>
      <c r="E127" s="74">
        <v>30.0</v>
      </c>
      <c r="F127" s="170">
        <f t="shared" si="1"/>
        <v>30</v>
      </c>
      <c r="G127" s="169"/>
    </row>
    <row r="128">
      <c r="C128" s="168" t="s">
        <v>205</v>
      </c>
      <c r="D128" s="168">
        <v>1.0</v>
      </c>
      <c r="E128" s="74">
        <v>30.0</v>
      </c>
      <c r="F128" s="170">
        <f t="shared" si="1"/>
        <v>30</v>
      </c>
      <c r="G128" s="169"/>
    </row>
    <row r="129">
      <c r="C129" s="168" t="s">
        <v>206</v>
      </c>
      <c r="D129" s="168">
        <v>1.0</v>
      </c>
      <c r="E129" s="74">
        <v>1000.0</v>
      </c>
      <c r="F129" s="170">
        <f t="shared" si="1"/>
        <v>1000</v>
      </c>
      <c r="G129" s="169"/>
    </row>
    <row r="130">
      <c r="C130" s="168" t="s">
        <v>139</v>
      </c>
      <c r="D130" s="168">
        <v>1.0</v>
      </c>
      <c r="E130" s="74">
        <v>1000.0</v>
      </c>
      <c r="F130" s="170">
        <f t="shared" si="1"/>
        <v>1000</v>
      </c>
      <c r="G130" s="169"/>
    </row>
    <row r="131">
      <c r="C131" s="168" t="s">
        <v>151</v>
      </c>
      <c r="D131" s="168">
        <v>1.0</v>
      </c>
      <c r="E131" s="74">
        <v>600.0</v>
      </c>
      <c r="F131" s="170">
        <f t="shared" si="1"/>
        <v>600</v>
      </c>
      <c r="G131" s="169"/>
    </row>
    <row r="132">
      <c r="C132" s="168" t="s">
        <v>177</v>
      </c>
      <c r="D132" s="168">
        <v>10.0</v>
      </c>
      <c r="E132" s="74">
        <v>100.0</v>
      </c>
      <c r="F132" s="170">
        <f t="shared" si="1"/>
        <v>1000</v>
      </c>
      <c r="G132" s="169"/>
    </row>
    <row r="133">
      <c r="C133" s="168" t="s">
        <v>157</v>
      </c>
      <c r="D133" s="168">
        <v>0.5</v>
      </c>
      <c r="E133" s="74">
        <v>1000.0</v>
      </c>
      <c r="F133" s="170">
        <f t="shared" si="1"/>
        <v>500</v>
      </c>
      <c r="G133" s="189">
        <v>45601.0</v>
      </c>
    </row>
    <row r="134">
      <c r="C134" s="168" t="s">
        <v>207</v>
      </c>
      <c r="D134" s="168">
        <v>1.0</v>
      </c>
      <c r="E134" s="74">
        <v>1200.0</v>
      </c>
      <c r="F134" s="170">
        <f t="shared" si="1"/>
        <v>1200</v>
      </c>
      <c r="G134" s="169"/>
    </row>
    <row r="135">
      <c r="C135" s="168" t="s">
        <v>171</v>
      </c>
      <c r="D135" s="168">
        <v>1.5</v>
      </c>
      <c r="E135" s="74">
        <v>240.0</v>
      </c>
      <c r="F135" s="170">
        <f t="shared" si="1"/>
        <v>360</v>
      </c>
      <c r="G135" s="169"/>
    </row>
    <row r="136">
      <c r="C136" s="168" t="s">
        <v>208</v>
      </c>
      <c r="D136" s="168">
        <v>0.5</v>
      </c>
      <c r="E136" s="74">
        <v>600.0</v>
      </c>
      <c r="F136" s="170">
        <f t="shared" si="1"/>
        <v>300</v>
      </c>
      <c r="G136" s="169"/>
    </row>
    <row r="137">
      <c r="C137" s="168" t="s">
        <v>178</v>
      </c>
      <c r="D137" s="168">
        <v>90.0</v>
      </c>
      <c r="E137" s="74">
        <v>16.0</v>
      </c>
      <c r="F137" s="170">
        <f t="shared" si="1"/>
        <v>1440</v>
      </c>
      <c r="G137" s="169"/>
    </row>
    <row r="138">
      <c r="C138" s="168" t="s">
        <v>209</v>
      </c>
      <c r="D138" s="168">
        <v>6.0</v>
      </c>
      <c r="E138" s="74">
        <v>30.0</v>
      </c>
      <c r="F138" s="170">
        <f t="shared" si="1"/>
        <v>180</v>
      </c>
      <c r="G138" s="169"/>
    </row>
    <row r="139">
      <c r="C139" s="168" t="s">
        <v>175</v>
      </c>
      <c r="D139" s="168">
        <v>1.0</v>
      </c>
      <c r="E139" s="74">
        <v>30.0</v>
      </c>
      <c r="F139" s="170">
        <f t="shared" si="1"/>
        <v>30</v>
      </c>
      <c r="G139" s="169"/>
    </row>
    <row r="140">
      <c r="C140" s="168" t="s">
        <v>174</v>
      </c>
      <c r="D140" s="168">
        <v>1.0</v>
      </c>
      <c r="E140" s="74">
        <v>30.0</v>
      </c>
      <c r="F140" s="170">
        <f t="shared" si="1"/>
        <v>30</v>
      </c>
      <c r="G140" s="169"/>
    </row>
    <row r="141">
      <c r="C141" s="168" t="s">
        <v>205</v>
      </c>
      <c r="D141" s="168">
        <v>1.0</v>
      </c>
      <c r="E141" s="74">
        <v>30.0</v>
      </c>
      <c r="F141" s="170">
        <f t="shared" si="1"/>
        <v>30</v>
      </c>
      <c r="G141" s="169"/>
    </row>
    <row r="142">
      <c r="C142" s="168" t="s">
        <v>173</v>
      </c>
      <c r="D142" s="168">
        <v>1.5</v>
      </c>
      <c r="E142" s="74">
        <v>200.0</v>
      </c>
      <c r="F142" s="170">
        <f t="shared" si="1"/>
        <v>300</v>
      </c>
      <c r="G142" s="169"/>
    </row>
    <row r="143">
      <c r="C143" s="168" t="s">
        <v>107</v>
      </c>
      <c r="D143" s="168">
        <v>10.0</v>
      </c>
      <c r="E143" s="74">
        <v>600.0</v>
      </c>
      <c r="F143" s="170">
        <f t="shared" si="1"/>
        <v>6000</v>
      </c>
      <c r="G143" s="169"/>
    </row>
    <row r="144">
      <c r="C144" s="168" t="s">
        <v>164</v>
      </c>
      <c r="D144" s="168">
        <v>10.0</v>
      </c>
      <c r="E144" s="74">
        <v>70.0</v>
      </c>
      <c r="F144" s="170">
        <f t="shared" si="1"/>
        <v>700</v>
      </c>
      <c r="G144" s="169"/>
    </row>
    <row r="145">
      <c r="C145" s="168" t="s">
        <v>210</v>
      </c>
      <c r="D145" s="168">
        <v>2.0</v>
      </c>
      <c r="E145" s="74">
        <v>100.0</v>
      </c>
      <c r="F145" s="170">
        <f t="shared" si="1"/>
        <v>200</v>
      </c>
      <c r="G145" s="169"/>
    </row>
    <row r="146">
      <c r="C146" s="168" t="s">
        <v>211</v>
      </c>
      <c r="D146" s="168">
        <v>1.0</v>
      </c>
      <c r="E146" s="74">
        <v>1000.0</v>
      </c>
      <c r="F146" s="170">
        <f t="shared" si="1"/>
        <v>1000</v>
      </c>
      <c r="G146" s="169"/>
    </row>
    <row r="147">
      <c r="C147" s="168" t="s">
        <v>212</v>
      </c>
      <c r="D147" s="168">
        <v>1.0</v>
      </c>
      <c r="E147" s="74">
        <v>500.0</v>
      </c>
      <c r="F147" s="170">
        <f t="shared" si="1"/>
        <v>500</v>
      </c>
      <c r="G147" s="169"/>
    </row>
    <row r="148">
      <c r="C148" s="168" t="s">
        <v>213</v>
      </c>
      <c r="D148" s="168">
        <v>2.0</v>
      </c>
      <c r="E148" s="74">
        <v>200.0</v>
      </c>
      <c r="F148" s="170">
        <f t="shared" si="1"/>
        <v>400</v>
      </c>
      <c r="G148" s="189">
        <v>45602.0</v>
      </c>
    </row>
    <row r="149">
      <c r="C149" s="168" t="s">
        <v>214</v>
      </c>
      <c r="D149" s="168">
        <v>4.0</v>
      </c>
      <c r="E149" s="74">
        <v>200.0</v>
      </c>
      <c r="F149" s="170">
        <f t="shared" si="1"/>
        <v>800</v>
      </c>
      <c r="G149" s="169"/>
    </row>
    <row r="150">
      <c r="C150" s="168" t="s">
        <v>171</v>
      </c>
      <c r="D150" s="168">
        <v>1.5</v>
      </c>
      <c r="E150" s="74">
        <v>250.0</v>
      </c>
      <c r="F150" s="170">
        <f t="shared" si="1"/>
        <v>375</v>
      </c>
      <c r="G150" s="169"/>
    </row>
    <row r="151">
      <c r="C151" s="168" t="s">
        <v>164</v>
      </c>
      <c r="D151" s="168">
        <v>20.0</v>
      </c>
      <c r="E151" s="74">
        <v>50.0</v>
      </c>
      <c r="F151" s="170">
        <f t="shared" si="1"/>
        <v>1000</v>
      </c>
      <c r="G151" s="169"/>
    </row>
    <row r="152">
      <c r="C152" s="168" t="s">
        <v>163</v>
      </c>
      <c r="D152" s="168">
        <v>6.0</v>
      </c>
      <c r="E152" s="74">
        <v>100.0</v>
      </c>
      <c r="F152" s="170">
        <f t="shared" si="1"/>
        <v>600</v>
      </c>
      <c r="G152" s="169"/>
    </row>
    <row r="153">
      <c r="C153" s="168" t="s">
        <v>135</v>
      </c>
      <c r="D153" s="168">
        <v>1.0</v>
      </c>
      <c r="E153" s="74">
        <v>2000.0</v>
      </c>
      <c r="F153" s="170">
        <f t="shared" si="1"/>
        <v>2000</v>
      </c>
      <c r="G153" s="169"/>
    </row>
    <row r="154">
      <c r="C154" s="168" t="s">
        <v>215</v>
      </c>
      <c r="D154" s="168">
        <v>1.0</v>
      </c>
      <c r="E154" s="74">
        <v>500.0</v>
      </c>
      <c r="F154" s="170">
        <f t="shared" si="1"/>
        <v>500</v>
      </c>
      <c r="G154" s="169"/>
    </row>
    <row r="155">
      <c r="C155" s="168" t="s">
        <v>177</v>
      </c>
      <c r="D155" s="168">
        <v>5.0</v>
      </c>
      <c r="E155" s="74">
        <v>100.0</v>
      </c>
      <c r="F155" s="170">
        <f t="shared" si="1"/>
        <v>500</v>
      </c>
      <c r="G155" s="169"/>
    </row>
    <row r="156">
      <c r="C156" s="168" t="s">
        <v>142</v>
      </c>
      <c r="D156" s="168">
        <v>2.5</v>
      </c>
      <c r="E156" s="74">
        <v>800.0</v>
      </c>
      <c r="F156" s="170">
        <f t="shared" si="1"/>
        <v>2000</v>
      </c>
      <c r="G156" s="169"/>
    </row>
    <row r="157">
      <c r="C157" s="168" t="s">
        <v>140</v>
      </c>
      <c r="D157" s="168">
        <v>2.5</v>
      </c>
      <c r="E157" s="74">
        <v>800.0</v>
      </c>
      <c r="F157" s="170">
        <f t="shared" si="1"/>
        <v>2000</v>
      </c>
      <c r="G157" s="169"/>
    </row>
    <row r="158">
      <c r="C158" s="168" t="s">
        <v>141</v>
      </c>
      <c r="D158" s="168">
        <v>2.5</v>
      </c>
      <c r="E158" s="74">
        <v>800.0</v>
      </c>
      <c r="F158" s="170">
        <f t="shared" si="1"/>
        <v>2000</v>
      </c>
      <c r="G158" s="169"/>
    </row>
    <row r="159">
      <c r="C159" s="163" t="s">
        <v>216</v>
      </c>
      <c r="D159" s="163">
        <v>4.0</v>
      </c>
      <c r="E159" s="197">
        <v>500.0</v>
      </c>
      <c r="F159" s="198">
        <f t="shared" si="1"/>
        <v>2000</v>
      </c>
      <c r="G159" s="169"/>
    </row>
    <row r="160">
      <c r="C160" s="163" t="s">
        <v>156</v>
      </c>
      <c r="D160" s="163">
        <v>16.0</v>
      </c>
      <c r="E160" s="197">
        <v>75.0</v>
      </c>
      <c r="F160" s="198">
        <f t="shared" si="1"/>
        <v>1200</v>
      </c>
      <c r="G160" s="169"/>
    </row>
    <row r="161">
      <c r="C161" s="168" t="s">
        <v>217</v>
      </c>
      <c r="D161" s="168">
        <v>1.0</v>
      </c>
      <c r="E161" s="74">
        <v>350.0</v>
      </c>
      <c r="F161" s="170">
        <f t="shared" si="1"/>
        <v>350</v>
      </c>
      <c r="G161" s="169"/>
    </row>
    <row r="162">
      <c r="C162" s="168" t="s">
        <v>103</v>
      </c>
      <c r="D162" s="168">
        <v>100.0</v>
      </c>
      <c r="E162" s="74">
        <v>6.2</v>
      </c>
      <c r="F162" s="170">
        <f t="shared" si="1"/>
        <v>620</v>
      </c>
      <c r="G162" s="169"/>
    </row>
    <row r="163">
      <c r="C163" s="168" t="s">
        <v>131</v>
      </c>
      <c r="D163" s="168">
        <v>3.0</v>
      </c>
      <c r="E163" s="74">
        <v>1320.0</v>
      </c>
      <c r="F163" s="170">
        <f t="shared" si="1"/>
        <v>3960</v>
      </c>
      <c r="G163" s="169"/>
    </row>
    <row r="164">
      <c r="C164" s="168" t="s">
        <v>132</v>
      </c>
      <c r="D164" s="168">
        <v>1.9</v>
      </c>
      <c r="E164" s="74">
        <v>1850.0</v>
      </c>
      <c r="F164" s="170">
        <f t="shared" si="1"/>
        <v>3515</v>
      </c>
      <c r="G164" s="169"/>
    </row>
    <row r="165">
      <c r="C165" s="168" t="s">
        <v>136</v>
      </c>
      <c r="D165" s="168">
        <v>6.55</v>
      </c>
      <c r="E165" s="74">
        <v>1800.0</v>
      </c>
      <c r="F165" s="170">
        <f t="shared" si="1"/>
        <v>11790</v>
      </c>
      <c r="G165" s="169"/>
    </row>
    <row r="166">
      <c r="C166" s="168" t="s">
        <v>135</v>
      </c>
      <c r="D166" s="168">
        <v>5.0</v>
      </c>
      <c r="E166" s="74">
        <v>1950.0</v>
      </c>
      <c r="F166" s="170">
        <f t="shared" si="1"/>
        <v>9750</v>
      </c>
      <c r="G166" s="169"/>
    </row>
    <row r="167">
      <c r="C167" s="163" t="s">
        <v>218</v>
      </c>
      <c r="D167" s="163">
        <v>30.0</v>
      </c>
      <c r="E167" s="197">
        <v>52.0</v>
      </c>
      <c r="F167" s="198">
        <f t="shared" si="1"/>
        <v>1560</v>
      </c>
      <c r="G167" s="199"/>
    </row>
    <row r="168">
      <c r="C168" s="163" t="s">
        <v>219</v>
      </c>
      <c r="D168" s="163">
        <v>12.0</v>
      </c>
      <c r="E168" s="197">
        <v>67.0</v>
      </c>
      <c r="F168" s="198">
        <f t="shared" si="1"/>
        <v>804</v>
      </c>
      <c r="G168" s="199"/>
    </row>
    <row r="169">
      <c r="C169" s="163" t="s">
        <v>220</v>
      </c>
      <c r="D169" s="163">
        <v>12.0</v>
      </c>
      <c r="E169" s="197">
        <v>52.0</v>
      </c>
      <c r="F169" s="198">
        <f t="shared" si="1"/>
        <v>624</v>
      </c>
      <c r="G169" s="199"/>
    </row>
    <row r="170">
      <c r="C170" s="163" t="s">
        <v>221</v>
      </c>
      <c r="D170" s="163">
        <v>26.0</v>
      </c>
      <c r="E170" s="197">
        <v>72.0</v>
      </c>
      <c r="F170" s="198">
        <f t="shared" si="1"/>
        <v>1872</v>
      </c>
      <c r="G170" s="199"/>
    </row>
    <row r="171">
      <c r="C171" s="168" t="s">
        <v>222</v>
      </c>
      <c r="D171" s="168">
        <v>1.0</v>
      </c>
      <c r="E171" s="74">
        <v>750.0</v>
      </c>
      <c r="F171" s="170">
        <f t="shared" si="1"/>
        <v>750</v>
      </c>
      <c r="G171" s="169"/>
    </row>
    <row r="172">
      <c r="C172" s="168" t="s">
        <v>177</v>
      </c>
      <c r="D172" s="168">
        <v>10.0</v>
      </c>
      <c r="E172" s="74">
        <v>100.0</v>
      </c>
      <c r="F172" s="170">
        <f t="shared" si="1"/>
        <v>1000</v>
      </c>
      <c r="G172" s="189">
        <v>45603.0</v>
      </c>
    </row>
    <row r="173">
      <c r="C173" s="168" t="s">
        <v>223</v>
      </c>
      <c r="D173" s="168">
        <v>1.0</v>
      </c>
      <c r="E173" s="74">
        <v>250.0</v>
      </c>
      <c r="F173" s="170">
        <f t="shared" si="1"/>
        <v>250</v>
      </c>
      <c r="G173" s="169"/>
    </row>
    <row r="174">
      <c r="C174" s="163" t="s">
        <v>224</v>
      </c>
      <c r="D174" s="163">
        <v>60.0</v>
      </c>
      <c r="E174" s="197">
        <v>29.2</v>
      </c>
      <c r="F174" s="198">
        <f t="shared" si="1"/>
        <v>1752</v>
      </c>
      <c r="G174" s="199"/>
    </row>
    <row r="175">
      <c r="C175" s="168" t="s">
        <v>107</v>
      </c>
      <c r="D175" s="168">
        <v>20.0</v>
      </c>
      <c r="E175" s="74">
        <v>600.0</v>
      </c>
      <c r="F175" s="170">
        <f t="shared" si="1"/>
        <v>12000</v>
      </c>
      <c r="G175" s="169"/>
    </row>
    <row r="176">
      <c r="C176" s="168" t="s">
        <v>225</v>
      </c>
      <c r="D176" s="168">
        <v>2.0</v>
      </c>
      <c r="E176" s="74">
        <v>650.0</v>
      </c>
      <c r="F176" s="170">
        <f t="shared" si="1"/>
        <v>1300</v>
      </c>
      <c r="G176" s="169"/>
    </row>
    <row r="177">
      <c r="C177" s="168" t="s">
        <v>226</v>
      </c>
      <c r="D177" s="168">
        <v>1.0</v>
      </c>
      <c r="E177" s="74">
        <v>950.0</v>
      </c>
      <c r="F177" s="170">
        <f t="shared" si="1"/>
        <v>950</v>
      </c>
      <c r="G177" s="169"/>
    </row>
    <row r="178">
      <c r="C178" s="168" t="s">
        <v>227</v>
      </c>
      <c r="D178" s="168">
        <v>5.0</v>
      </c>
      <c r="E178" s="74">
        <v>100.0</v>
      </c>
      <c r="F178" s="170">
        <f t="shared" si="1"/>
        <v>500</v>
      </c>
      <c r="G178" s="169"/>
    </row>
    <row r="179">
      <c r="C179" s="168" t="s">
        <v>228</v>
      </c>
      <c r="D179" s="168">
        <v>1.0</v>
      </c>
      <c r="E179" s="74">
        <v>110.0</v>
      </c>
      <c r="F179" s="170">
        <f t="shared" si="1"/>
        <v>110</v>
      </c>
      <c r="G179" s="169"/>
    </row>
    <row r="180">
      <c r="C180" s="168" t="s">
        <v>229</v>
      </c>
      <c r="D180" s="168">
        <v>1.0</v>
      </c>
      <c r="E180" s="74">
        <v>80.0</v>
      </c>
      <c r="F180" s="170">
        <f t="shared" si="1"/>
        <v>80</v>
      </c>
      <c r="G180" s="169"/>
    </row>
    <row r="181">
      <c r="C181" s="168" t="s">
        <v>230</v>
      </c>
      <c r="D181" s="168">
        <v>1.0</v>
      </c>
      <c r="E181" s="74">
        <v>220.0</v>
      </c>
      <c r="F181" s="170">
        <f t="shared" si="1"/>
        <v>220</v>
      </c>
      <c r="G181" s="169"/>
    </row>
    <row r="182">
      <c r="C182" s="168" t="s">
        <v>231</v>
      </c>
      <c r="D182" s="168">
        <v>1.0</v>
      </c>
      <c r="E182" s="74">
        <v>250.0</v>
      </c>
      <c r="F182" s="170">
        <f t="shared" si="1"/>
        <v>250</v>
      </c>
      <c r="G182" s="169"/>
    </row>
    <row r="183">
      <c r="C183" s="168" t="s">
        <v>232</v>
      </c>
      <c r="D183" s="168">
        <v>20.0</v>
      </c>
      <c r="E183" s="74">
        <v>50.0</v>
      </c>
      <c r="F183" s="170">
        <f t="shared" si="1"/>
        <v>1000</v>
      </c>
      <c r="G183" s="169"/>
    </row>
    <row r="184">
      <c r="C184" s="168" t="s">
        <v>233</v>
      </c>
      <c r="D184" s="168">
        <v>2.0</v>
      </c>
      <c r="E184" s="74">
        <v>350.0</v>
      </c>
      <c r="F184" s="170">
        <f t="shared" si="1"/>
        <v>700</v>
      </c>
      <c r="G184" s="169"/>
    </row>
    <row r="185">
      <c r="C185" s="168" t="s">
        <v>232</v>
      </c>
      <c r="D185" s="168">
        <v>10.0</v>
      </c>
      <c r="E185" s="74">
        <v>70.0</v>
      </c>
      <c r="F185" s="170">
        <f t="shared" si="1"/>
        <v>700</v>
      </c>
      <c r="G185" s="169"/>
    </row>
    <row r="186">
      <c r="C186" s="168" t="s">
        <v>232</v>
      </c>
      <c r="D186" s="168">
        <v>20.0</v>
      </c>
      <c r="E186" s="74">
        <v>50.0</v>
      </c>
      <c r="F186" s="170">
        <f t="shared" si="1"/>
        <v>1000</v>
      </c>
      <c r="G186" s="189">
        <v>45604.0</v>
      </c>
    </row>
    <row r="187">
      <c r="C187" s="168" t="s">
        <v>171</v>
      </c>
      <c r="D187" s="168">
        <v>3.6</v>
      </c>
      <c r="E187" s="74">
        <v>140.0</v>
      </c>
      <c r="F187" s="170">
        <f t="shared" si="1"/>
        <v>504</v>
      </c>
      <c r="G187" s="169"/>
    </row>
    <row r="188">
      <c r="C188" s="168" t="s">
        <v>214</v>
      </c>
      <c r="D188" s="168">
        <v>0.5</v>
      </c>
      <c r="E188" s="74">
        <v>200.0</v>
      </c>
      <c r="F188" s="170">
        <f t="shared" si="1"/>
        <v>100</v>
      </c>
      <c r="G188" s="169"/>
    </row>
    <row r="189">
      <c r="C189" s="168" t="s">
        <v>213</v>
      </c>
      <c r="D189" s="168">
        <v>0.5</v>
      </c>
      <c r="E189" s="74">
        <v>200.0</v>
      </c>
      <c r="F189" s="170">
        <f t="shared" si="1"/>
        <v>100</v>
      </c>
      <c r="G189" s="169"/>
    </row>
    <row r="190">
      <c r="C190" s="168" t="s">
        <v>142</v>
      </c>
      <c r="D190" s="168">
        <v>1.25</v>
      </c>
      <c r="E190" s="74">
        <v>800.0</v>
      </c>
      <c r="F190" s="170">
        <f t="shared" si="1"/>
        <v>1000</v>
      </c>
      <c r="G190" s="169"/>
    </row>
    <row r="191">
      <c r="C191" s="168" t="s">
        <v>140</v>
      </c>
      <c r="D191" s="168">
        <v>1.25</v>
      </c>
      <c r="E191" s="74">
        <v>800.0</v>
      </c>
      <c r="F191" s="170">
        <f t="shared" si="1"/>
        <v>1000</v>
      </c>
      <c r="G191" s="169"/>
    </row>
    <row r="192">
      <c r="C192" s="168" t="s">
        <v>141</v>
      </c>
      <c r="D192" s="168">
        <v>1.25</v>
      </c>
      <c r="E192" s="74">
        <v>800.0</v>
      </c>
      <c r="F192" s="170">
        <f t="shared" si="1"/>
        <v>1000</v>
      </c>
      <c r="G192" s="169"/>
    </row>
    <row r="193">
      <c r="C193" s="168" t="s">
        <v>139</v>
      </c>
      <c r="D193" s="168">
        <v>1.0</v>
      </c>
      <c r="E193" s="74">
        <v>1000.0</v>
      </c>
      <c r="F193" s="170">
        <f t="shared" si="1"/>
        <v>1000</v>
      </c>
      <c r="G193" s="169"/>
    </row>
    <row r="194">
      <c r="C194" s="168" t="s">
        <v>163</v>
      </c>
      <c r="D194" s="168">
        <v>2.0</v>
      </c>
      <c r="E194" s="74">
        <v>100.0</v>
      </c>
      <c r="F194" s="170">
        <f t="shared" si="1"/>
        <v>200</v>
      </c>
      <c r="G194" s="169"/>
    </row>
    <row r="195">
      <c r="C195" s="168" t="s">
        <v>234</v>
      </c>
      <c r="D195" s="168">
        <v>1.0</v>
      </c>
      <c r="E195" s="74">
        <v>250.0</v>
      </c>
      <c r="F195" s="170">
        <f t="shared" si="1"/>
        <v>250</v>
      </c>
      <c r="G195" s="169"/>
    </row>
    <row r="196">
      <c r="C196" s="168" t="s">
        <v>154</v>
      </c>
      <c r="D196" s="168">
        <v>3.0</v>
      </c>
      <c r="E196" s="74">
        <v>350.0</v>
      </c>
      <c r="F196" s="170">
        <f t="shared" si="1"/>
        <v>1050</v>
      </c>
      <c r="G196" s="169"/>
    </row>
    <row r="197">
      <c r="C197" s="168" t="s">
        <v>177</v>
      </c>
      <c r="D197" s="168">
        <v>11.0</v>
      </c>
      <c r="E197" s="74">
        <v>100.0</v>
      </c>
      <c r="F197" s="170">
        <f t="shared" si="1"/>
        <v>1100</v>
      </c>
      <c r="G197" s="169"/>
    </row>
    <row r="198">
      <c r="C198" s="168" t="s">
        <v>235</v>
      </c>
      <c r="D198" s="168">
        <v>0.05</v>
      </c>
      <c r="E198" s="74">
        <v>9000.0</v>
      </c>
      <c r="F198" s="170">
        <f t="shared" si="1"/>
        <v>450</v>
      </c>
      <c r="G198" s="169"/>
    </row>
    <row r="199">
      <c r="C199" s="168" t="s">
        <v>236</v>
      </c>
      <c r="D199" s="168">
        <v>0.1</v>
      </c>
      <c r="E199" s="74">
        <v>4500.0</v>
      </c>
      <c r="F199" s="170">
        <f t="shared" si="1"/>
        <v>450</v>
      </c>
      <c r="G199" s="169"/>
    </row>
    <row r="200">
      <c r="C200" s="168" t="s">
        <v>237</v>
      </c>
      <c r="D200" s="168">
        <v>1.0</v>
      </c>
      <c r="E200" s="74">
        <v>760.0</v>
      </c>
      <c r="F200" s="170">
        <f t="shared" si="1"/>
        <v>760</v>
      </c>
      <c r="G200" s="169"/>
    </row>
    <row r="201">
      <c r="C201" s="168" t="s">
        <v>200</v>
      </c>
      <c r="D201" s="168">
        <v>1.0</v>
      </c>
      <c r="E201" s="74">
        <v>280.0</v>
      </c>
      <c r="F201" s="170">
        <f t="shared" si="1"/>
        <v>280</v>
      </c>
      <c r="G201" s="189">
        <v>45605.0</v>
      </c>
    </row>
    <row r="202">
      <c r="C202" s="168" t="s">
        <v>133</v>
      </c>
      <c r="D202" s="168">
        <v>1.0</v>
      </c>
      <c r="E202" s="74">
        <v>1250.0</v>
      </c>
      <c r="F202" s="170">
        <f t="shared" si="1"/>
        <v>1250</v>
      </c>
      <c r="G202" s="169"/>
    </row>
    <row r="203">
      <c r="C203" s="168" t="s">
        <v>238</v>
      </c>
      <c r="D203" s="168">
        <v>1.0</v>
      </c>
      <c r="E203" s="74">
        <v>1300.0</v>
      </c>
      <c r="F203" s="170">
        <f t="shared" si="1"/>
        <v>1300</v>
      </c>
      <c r="G203" s="169"/>
    </row>
    <row r="204">
      <c r="C204" s="168" t="s">
        <v>177</v>
      </c>
      <c r="D204" s="168">
        <v>10.0</v>
      </c>
      <c r="E204" s="74">
        <v>120.0</v>
      </c>
      <c r="F204" s="170">
        <f t="shared" si="1"/>
        <v>1200</v>
      </c>
      <c r="G204" s="189">
        <v>45606.0</v>
      </c>
    </row>
    <row r="205">
      <c r="C205" s="168" t="s">
        <v>239</v>
      </c>
      <c r="D205" s="168">
        <v>1.0</v>
      </c>
      <c r="E205" s="74">
        <v>1000.0</v>
      </c>
      <c r="F205" s="170">
        <f t="shared" si="1"/>
        <v>1000</v>
      </c>
      <c r="G205" s="169"/>
    </row>
    <row r="206">
      <c r="C206" s="168" t="s">
        <v>240</v>
      </c>
      <c r="D206" s="168">
        <v>1.0</v>
      </c>
      <c r="E206" s="74">
        <v>440.0</v>
      </c>
      <c r="F206" s="170">
        <f t="shared" si="1"/>
        <v>440</v>
      </c>
      <c r="G206" s="169"/>
    </row>
    <row r="207">
      <c r="C207" s="168" t="s">
        <v>142</v>
      </c>
      <c r="D207" s="168">
        <v>1.0</v>
      </c>
      <c r="E207" s="74">
        <v>850.0</v>
      </c>
      <c r="F207" s="170">
        <f t="shared" si="1"/>
        <v>850</v>
      </c>
      <c r="G207" s="169"/>
    </row>
    <row r="208">
      <c r="C208" s="168" t="s">
        <v>241</v>
      </c>
      <c r="D208" s="168">
        <v>5.0</v>
      </c>
      <c r="E208" s="74">
        <v>470.0</v>
      </c>
      <c r="F208" s="170">
        <f t="shared" si="1"/>
        <v>2350</v>
      </c>
      <c r="G208" s="169"/>
    </row>
    <row r="209">
      <c r="C209" s="168" t="s">
        <v>129</v>
      </c>
      <c r="D209" s="168">
        <v>12.0</v>
      </c>
      <c r="E209" s="74">
        <v>230.0</v>
      </c>
      <c r="F209" s="170">
        <f t="shared" si="1"/>
        <v>2760</v>
      </c>
      <c r="G209" s="169"/>
    </row>
    <row r="210">
      <c r="C210" s="168" t="s">
        <v>126</v>
      </c>
      <c r="D210" s="168">
        <v>18.0</v>
      </c>
      <c r="E210" s="74">
        <v>84.0</v>
      </c>
      <c r="F210" s="170">
        <f t="shared" si="1"/>
        <v>1512</v>
      </c>
      <c r="G210" s="169"/>
    </row>
    <row r="211">
      <c r="C211" s="168" t="s">
        <v>118</v>
      </c>
      <c r="D211" s="168">
        <v>24.0</v>
      </c>
      <c r="E211" s="74">
        <v>245.0</v>
      </c>
      <c r="F211" s="170">
        <f t="shared" si="1"/>
        <v>5880</v>
      </c>
      <c r="G211" s="169"/>
    </row>
    <row r="212">
      <c r="C212" s="168" t="s">
        <v>128</v>
      </c>
      <c r="D212" s="168">
        <v>14.0</v>
      </c>
      <c r="E212" s="74">
        <v>190.0</v>
      </c>
      <c r="F212" s="170">
        <f t="shared" si="1"/>
        <v>2660</v>
      </c>
      <c r="G212" s="169"/>
    </row>
    <row r="213">
      <c r="C213" s="168" t="s">
        <v>242</v>
      </c>
      <c r="D213" s="163">
        <v>4.0</v>
      </c>
      <c r="E213" s="74">
        <v>1850.0</v>
      </c>
      <c r="F213" s="170">
        <f t="shared" si="1"/>
        <v>7400</v>
      </c>
      <c r="G213" s="169"/>
    </row>
    <row r="214">
      <c r="C214" s="168" t="s">
        <v>240</v>
      </c>
      <c r="D214" s="168">
        <v>12.0</v>
      </c>
      <c r="E214" s="74">
        <v>320.0</v>
      </c>
      <c r="F214" s="170">
        <f t="shared" si="1"/>
        <v>3840</v>
      </c>
      <c r="G214" s="169"/>
    </row>
    <row r="215">
      <c r="C215" s="168" t="s">
        <v>243</v>
      </c>
      <c r="D215" s="168">
        <v>12.0</v>
      </c>
      <c r="E215" s="74">
        <v>270.0</v>
      </c>
      <c r="F215" s="170">
        <f t="shared" si="1"/>
        <v>3240</v>
      </c>
      <c r="G215" s="169"/>
    </row>
    <row r="216">
      <c r="C216" s="168" t="s">
        <v>244</v>
      </c>
      <c r="D216" s="168">
        <v>10.0</v>
      </c>
      <c r="E216" s="74">
        <v>90.0</v>
      </c>
      <c r="F216" s="170">
        <f t="shared" si="1"/>
        <v>900</v>
      </c>
      <c r="G216" s="169"/>
    </row>
    <row r="217">
      <c r="C217" s="168" t="s">
        <v>245</v>
      </c>
      <c r="D217" s="168">
        <v>3.0</v>
      </c>
      <c r="E217" s="74">
        <v>200.0</v>
      </c>
      <c r="F217" s="170">
        <f t="shared" si="1"/>
        <v>600</v>
      </c>
      <c r="G217" s="169"/>
    </row>
    <row r="218">
      <c r="C218" s="168" t="s">
        <v>246</v>
      </c>
      <c r="D218" s="168">
        <v>2.0</v>
      </c>
      <c r="E218" s="74">
        <v>300.0</v>
      </c>
      <c r="F218" s="170">
        <f t="shared" si="1"/>
        <v>600</v>
      </c>
      <c r="G218" s="169"/>
    </row>
    <row r="219">
      <c r="C219" s="168" t="s">
        <v>132</v>
      </c>
      <c r="D219" s="168">
        <v>1.85</v>
      </c>
      <c r="E219" s="74">
        <v>1850.0</v>
      </c>
      <c r="F219" s="170">
        <f t="shared" si="1"/>
        <v>3422.5</v>
      </c>
      <c r="G219" s="169"/>
    </row>
    <row r="220">
      <c r="C220" s="168" t="s">
        <v>247</v>
      </c>
      <c r="D220" s="168">
        <v>4.0</v>
      </c>
      <c r="E220" s="74">
        <v>200.0</v>
      </c>
      <c r="F220" s="170">
        <f t="shared" si="1"/>
        <v>800</v>
      </c>
      <c r="G220" s="169"/>
    </row>
    <row r="221">
      <c r="C221" s="168" t="s">
        <v>206</v>
      </c>
      <c r="D221" s="168">
        <v>1.0</v>
      </c>
      <c r="E221" s="74">
        <v>1500.0</v>
      </c>
      <c r="F221" s="170">
        <f t="shared" si="1"/>
        <v>1500</v>
      </c>
      <c r="G221" s="169"/>
    </row>
    <row r="222">
      <c r="C222" s="168" t="s">
        <v>212</v>
      </c>
      <c r="D222" s="168">
        <v>1.0</v>
      </c>
      <c r="E222" s="74">
        <v>500.0</v>
      </c>
      <c r="F222" s="170">
        <f t="shared" si="1"/>
        <v>500</v>
      </c>
      <c r="G222" s="169"/>
    </row>
    <row r="223">
      <c r="C223" s="168" t="s">
        <v>248</v>
      </c>
      <c r="D223" s="168">
        <v>1.0</v>
      </c>
      <c r="E223" s="74">
        <v>500.0</v>
      </c>
      <c r="F223" s="170">
        <f t="shared" si="1"/>
        <v>500</v>
      </c>
      <c r="G223" s="169"/>
    </row>
    <row r="224">
      <c r="C224" s="168" t="s">
        <v>139</v>
      </c>
      <c r="D224" s="168">
        <v>1.0</v>
      </c>
      <c r="E224" s="74">
        <v>1000.0</v>
      </c>
      <c r="F224" s="170">
        <f t="shared" si="1"/>
        <v>1000</v>
      </c>
      <c r="G224" s="189">
        <v>45607.0</v>
      </c>
    </row>
    <row r="225">
      <c r="C225" s="168" t="s">
        <v>140</v>
      </c>
      <c r="D225" s="168">
        <v>3.75</v>
      </c>
      <c r="E225" s="74">
        <v>800.0</v>
      </c>
      <c r="F225" s="170">
        <f t="shared" si="1"/>
        <v>3000</v>
      </c>
      <c r="G225" s="169"/>
    </row>
    <row r="226">
      <c r="C226" s="168" t="s">
        <v>232</v>
      </c>
      <c r="D226" s="168">
        <v>130.0</v>
      </c>
      <c r="E226" s="74">
        <v>50.0</v>
      </c>
      <c r="F226" s="170">
        <f t="shared" si="1"/>
        <v>6500</v>
      </c>
      <c r="G226" s="169"/>
    </row>
    <row r="227">
      <c r="C227" s="168" t="s">
        <v>177</v>
      </c>
      <c r="D227" s="168">
        <v>2.0</v>
      </c>
      <c r="E227" s="74">
        <v>120.0</v>
      </c>
      <c r="F227" s="170">
        <f t="shared" si="1"/>
        <v>240</v>
      </c>
      <c r="G227" s="169"/>
    </row>
    <row r="228">
      <c r="C228" s="168" t="s">
        <v>190</v>
      </c>
      <c r="D228" s="168">
        <v>1.0</v>
      </c>
      <c r="E228" s="74">
        <v>400.0</v>
      </c>
      <c r="F228" s="170">
        <f t="shared" si="1"/>
        <v>400</v>
      </c>
      <c r="G228" s="169"/>
    </row>
    <row r="229">
      <c r="C229" s="168" t="s">
        <v>208</v>
      </c>
      <c r="D229" s="168">
        <v>1.0</v>
      </c>
      <c r="E229" s="74">
        <v>600.0</v>
      </c>
      <c r="F229" s="170">
        <f t="shared" si="1"/>
        <v>600</v>
      </c>
      <c r="G229" s="169"/>
    </row>
    <row r="230">
      <c r="C230" s="168" t="s">
        <v>151</v>
      </c>
      <c r="D230" s="168">
        <v>1.0</v>
      </c>
      <c r="E230" s="74">
        <v>600.0</v>
      </c>
      <c r="F230" s="170">
        <f t="shared" si="1"/>
        <v>600</v>
      </c>
      <c r="G230" s="169"/>
    </row>
    <row r="231">
      <c r="C231" s="168" t="s">
        <v>227</v>
      </c>
      <c r="D231" s="168">
        <v>4.0</v>
      </c>
      <c r="E231" s="74">
        <v>100.0</v>
      </c>
      <c r="F231" s="170">
        <f t="shared" si="1"/>
        <v>400</v>
      </c>
      <c r="G231" s="169"/>
    </row>
    <row r="232">
      <c r="C232" s="168" t="s">
        <v>249</v>
      </c>
      <c r="D232" s="168">
        <v>1.0</v>
      </c>
      <c r="E232" s="74">
        <v>200.0</v>
      </c>
      <c r="F232" s="170">
        <f t="shared" si="1"/>
        <v>200</v>
      </c>
      <c r="G232" s="169"/>
    </row>
    <row r="233">
      <c r="C233" s="168" t="s">
        <v>250</v>
      </c>
      <c r="D233" s="168">
        <v>2.0</v>
      </c>
      <c r="E233" s="74">
        <v>30.0</v>
      </c>
      <c r="F233" s="170">
        <f t="shared" si="1"/>
        <v>60</v>
      </c>
      <c r="G233" s="169"/>
    </row>
    <row r="234">
      <c r="C234" s="168" t="s">
        <v>251</v>
      </c>
      <c r="D234" s="168">
        <v>0.75</v>
      </c>
      <c r="E234" s="74">
        <v>120.0</v>
      </c>
      <c r="F234" s="170">
        <f t="shared" si="1"/>
        <v>90</v>
      </c>
      <c r="G234" s="169"/>
    </row>
    <row r="235">
      <c r="C235" s="168" t="s">
        <v>155</v>
      </c>
      <c r="D235" s="168">
        <v>0.25</v>
      </c>
      <c r="E235" s="74">
        <v>500.0</v>
      </c>
      <c r="F235" s="170">
        <f t="shared" si="1"/>
        <v>125</v>
      </c>
      <c r="G235" s="169"/>
    </row>
    <row r="236">
      <c r="C236" s="168" t="s">
        <v>238</v>
      </c>
      <c r="D236" s="168">
        <v>1.0</v>
      </c>
      <c r="E236" s="74">
        <v>1250.0</v>
      </c>
      <c r="F236" s="170">
        <f t="shared" si="1"/>
        <v>1250</v>
      </c>
      <c r="G236" s="169"/>
    </row>
    <row r="237">
      <c r="C237" s="168" t="s">
        <v>252</v>
      </c>
      <c r="D237" s="168">
        <v>1.0</v>
      </c>
      <c r="E237" s="74">
        <v>850.0</v>
      </c>
      <c r="F237" s="170">
        <f t="shared" si="1"/>
        <v>850</v>
      </c>
      <c r="G237" s="169"/>
    </row>
    <row r="238">
      <c r="C238" s="168" t="s">
        <v>253</v>
      </c>
      <c r="D238" s="168">
        <v>1.0</v>
      </c>
      <c r="E238" s="74">
        <v>900.0</v>
      </c>
      <c r="F238" s="170">
        <f t="shared" si="1"/>
        <v>900</v>
      </c>
      <c r="G238" s="169"/>
    </row>
    <row r="239">
      <c r="C239" s="168" t="s">
        <v>254</v>
      </c>
      <c r="D239" s="168">
        <v>5.0</v>
      </c>
      <c r="E239" s="74">
        <v>40.0</v>
      </c>
      <c r="F239" s="170">
        <f t="shared" si="1"/>
        <v>200</v>
      </c>
      <c r="G239" s="169"/>
    </row>
    <row r="240">
      <c r="C240" s="168" t="s">
        <v>255</v>
      </c>
      <c r="D240" s="168">
        <v>5.0</v>
      </c>
      <c r="E240" s="74">
        <v>120.0</v>
      </c>
      <c r="F240" s="170">
        <f t="shared" si="1"/>
        <v>600</v>
      </c>
      <c r="G240" s="189">
        <v>45608.0</v>
      </c>
    </row>
    <row r="241">
      <c r="C241" s="168" t="s">
        <v>256</v>
      </c>
      <c r="D241" s="168">
        <v>1.0</v>
      </c>
      <c r="E241" s="74">
        <v>230.0</v>
      </c>
      <c r="F241" s="170">
        <f t="shared" si="1"/>
        <v>230</v>
      </c>
      <c r="G241" s="169"/>
    </row>
    <row r="242">
      <c r="C242" s="168" t="s">
        <v>257</v>
      </c>
      <c r="D242" s="168">
        <v>1.0</v>
      </c>
      <c r="E242" s="74">
        <v>300.0</v>
      </c>
      <c r="F242" s="170">
        <f t="shared" si="1"/>
        <v>300</v>
      </c>
      <c r="G242" s="169"/>
    </row>
    <row r="243">
      <c r="C243" s="168" t="s">
        <v>258</v>
      </c>
      <c r="D243" s="168">
        <v>1.0</v>
      </c>
      <c r="E243" s="74">
        <v>190.0</v>
      </c>
      <c r="F243" s="170">
        <f t="shared" si="1"/>
        <v>190</v>
      </c>
      <c r="G243" s="169"/>
    </row>
    <row r="244">
      <c r="C244" s="168" t="s">
        <v>107</v>
      </c>
      <c r="D244" s="168">
        <v>10.0</v>
      </c>
      <c r="E244" s="74">
        <v>600.0</v>
      </c>
      <c r="F244" s="170">
        <f t="shared" si="1"/>
        <v>6000</v>
      </c>
      <c r="G244" s="169"/>
    </row>
    <row r="245">
      <c r="C245" s="168" t="s">
        <v>259</v>
      </c>
      <c r="D245" s="168">
        <v>46.0</v>
      </c>
      <c r="E245" s="74">
        <v>42.0</v>
      </c>
      <c r="F245" s="170">
        <f t="shared" si="1"/>
        <v>1932</v>
      </c>
      <c r="G245" s="169"/>
    </row>
    <row r="246">
      <c r="C246" s="200" t="s">
        <v>260</v>
      </c>
      <c r="D246" s="200">
        <v>1.0</v>
      </c>
      <c r="E246" s="201">
        <v>550.0</v>
      </c>
      <c r="F246" s="202">
        <f t="shared" si="1"/>
        <v>550</v>
      </c>
      <c r="G246" s="203">
        <v>45609.0</v>
      </c>
    </row>
    <row r="247">
      <c r="C247" s="200" t="s">
        <v>148</v>
      </c>
      <c r="D247" s="200">
        <v>2.0</v>
      </c>
      <c r="E247" s="201">
        <v>200.0</v>
      </c>
      <c r="F247" s="202">
        <f t="shared" si="1"/>
        <v>400</v>
      </c>
      <c r="G247" s="204"/>
    </row>
    <row r="248">
      <c r="C248" s="200" t="s">
        <v>261</v>
      </c>
      <c r="D248" s="200">
        <v>1.0</v>
      </c>
      <c r="E248" s="201">
        <v>200.0</v>
      </c>
      <c r="F248" s="202">
        <f t="shared" si="1"/>
        <v>200</v>
      </c>
      <c r="G248" s="204"/>
    </row>
    <row r="249">
      <c r="C249" s="200" t="s">
        <v>262</v>
      </c>
      <c r="D249" s="200">
        <v>1.0</v>
      </c>
      <c r="E249" s="201">
        <v>200.0</v>
      </c>
      <c r="F249" s="202">
        <f t="shared" si="1"/>
        <v>200</v>
      </c>
      <c r="G249" s="204"/>
    </row>
    <row r="250">
      <c r="C250" s="200" t="s">
        <v>263</v>
      </c>
      <c r="D250" s="200">
        <v>1.0</v>
      </c>
      <c r="E250" s="201">
        <v>80.0</v>
      </c>
      <c r="F250" s="202">
        <f t="shared" si="1"/>
        <v>80</v>
      </c>
      <c r="G250" s="204"/>
    </row>
    <row r="251">
      <c r="C251" s="200" t="s">
        <v>264</v>
      </c>
      <c r="D251" s="200">
        <v>1.0</v>
      </c>
      <c r="E251" s="201">
        <v>150.0</v>
      </c>
      <c r="F251" s="202">
        <f t="shared" si="1"/>
        <v>150</v>
      </c>
      <c r="G251" s="204"/>
    </row>
    <row r="252">
      <c r="C252" s="200" t="s">
        <v>230</v>
      </c>
      <c r="D252" s="200">
        <v>1.0</v>
      </c>
      <c r="E252" s="201">
        <v>220.0</v>
      </c>
      <c r="F252" s="202">
        <f t="shared" si="1"/>
        <v>220</v>
      </c>
      <c r="G252" s="204"/>
    </row>
    <row r="253">
      <c r="C253" s="200" t="s">
        <v>171</v>
      </c>
      <c r="D253" s="200">
        <v>1.0</v>
      </c>
      <c r="E253" s="201">
        <v>250.0</v>
      </c>
      <c r="F253" s="202">
        <f t="shared" si="1"/>
        <v>250</v>
      </c>
      <c r="G253" s="204"/>
    </row>
    <row r="254">
      <c r="C254" s="200" t="s">
        <v>265</v>
      </c>
      <c r="D254" s="200">
        <v>1.0</v>
      </c>
      <c r="E254" s="201">
        <v>350.0</v>
      </c>
      <c r="F254" s="202">
        <f t="shared" si="1"/>
        <v>350</v>
      </c>
      <c r="G254" s="204"/>
    </row>
    <row r="255">
      <c r="C255" s="200" t="s">
        <v>173</v>
      </c>
      <c r="D255" s="200">
        <v>0.75</v>
      </c>
      <c r="E255" s="201">
        <v>180.0</v>
      </c>
      <c r="F255" s="202">
        <f t="shared" si="1"/>
        <v>135</v>
      </c>
      <c r="G255" s="204"/>
    </row>
    <row r="256">
      <c r="C256" s="200" t="s">
        <v>266</v>
      </c>
      <c r="D256" s="200">
        <v>3.0</v>
      </c>
      <c r="E256" s="201">
        <v>30.0</v>
      </c>
      <c r="F256" s="202">
        <f t="shared" si="1"/>
        <v>90</v>
      </c>
      <c r="G256" s="204"/>
    </row>
    <row r="257">
      <c r="C257" s="200" t="s">
        <v>267</v>
      </c>
      <c r="D257" s="200">
        <v>2.0</v>
      </c>
      <c r="E257" s="201">
        <v>30.0</v>
      </c>
      <c r="F257" s="202">
        <f t="shared" si="1"/>
        <v>60</v>
      </c>
      <c r="G257" s="204"/>
    </row>
    <row r="258">
      <c r="C258" s="200" t="s">
        <v>268</v>
      </c>
      <c r="D258" s="200">
        <v>1.0</v>
      </c>
      <c r="E258" s="201">
        <v>50.0</v>
      </c>
      <c r="F258" s="202">
        <f t="shared" si="1"/>
        <v>50</v>
      </c>
      <c r="G258" s="204"/>
    </row>
    <row r="259">
      <c r="C259" s="200" t="s">
        <v>269</v>
      </c>
      <c r="D259" s="200">
        <v>0.1</v>
      </c>
      <c r="E259" s="201">
        <v>1200.0</v>
      </c>
      <c r="F259" s="202">
        <f t="shared" si="1"/>
        <v>120</v>
      </c>
      <c r="G259" s="204"/>
    </row>
    <row r="260">
      <c r="C260" s="200" t="s">
        <v>270</v>
      </c>
      <c r="D260" s="200">
        <v>0.1</v>
      </c>
      <c r="E260" s="201">
        <v>1200.0</v>
      </c>
      <c r="F260" s="202">
        <f t="shared" si="1"/>
        <v>120</v>
      </c>
      <c r="G260" s="204"/>
    </row>
    <row r="261">
      <c r="C261" s="200" t="s">
        <v>271</v>
      </c>
      <c r="D261" s="200">
        <v>1.0</v>
      </c>
      <c r="E261" s="201">
        <v>1000.0</v>
      </c>
      <c r="F261" s="202">
        <f t="shared" si="1"/>
        <v>1000</v>
      </c>
      <c r="G261" s="204"/>
    </row>
    <row r="262">
      <c r="C262" s="200" t="s">
        <v>155</v>
      </c>
      <c r="D262" s="200">
        <v>0.5</v>
      </c>
      <c r="E262" s="201">
        <v>500.0</v>
      </c>
      <c r="F262" s="202">
        <f t="shared" si="1"/>
        <v>250</v>
      </c>
      <c r="G262" s="204"/>
    </row>
    <row r="263">
      <c r="C263" s="200" t="s">
        <v>227</v>
      </c>
      <c r="D263" s="200">
        <v>2.0</v>
      </c>
      <c r="E263" s="201">
        <v>100.0</v>
      </c>
      <c r="F263" s="202">
        <f t="shared" si="1"/>
        <v>200</v>
      </c>
      <c r="G263" s="204"/>
    </row>
    <row r="264">
      <c r="C264" s="200" t="s">
        <v>186</v>
      </c>
      <c r="D264" s="200">
        <v>5.0</v>
      </c>
      <c r="E264" s="201">
        <v>80.0</v>
      </c>
      <c r="F264" s="202">
        <f t="shared" si="1"/>
        <v>400</v>
      </c>
      <c r="G264" s="204"/>
    </row>
    <row r="265">
      <c r="C265" s="200" t="s">
        <v>272</v>
      </c>
      <c r="D265" s="200">
        <v>5.0</v>
      </c>
      <c r="E265" s="201">
        <v>16.0</v>
      </c>
      <c r="F265" s="202">
        <f t="shared" si="1"/>
        <v>80</v>
      </c>
      <c r="G265" s="204"/>
    </row>
    <row r="266">
      <c r="C266" s="200" t="s">
        <v>273</v>
      </c>
      <c r="D266" s="200">
        <v>1.0</v>
      </c>
      <c r="E266" s="201">
        <v>150.0</v>
      </c>
      <c r="F266" s="202">
        <f t="shared" si="1"/>
        <v>150</v>
      </c>
      <c r="G266" s="204"/>
    </row>
    <row r="267">
      <c r="C267" s="200" t="s">
        <v>274</v>
      </c>
      <c r="D267" s="200">
        <v>2.0</v>
      </c>
      <c r="E267" s="201">
        <v>200.0</v>
      </c>
      <c r="F267" s="202">
        <f t="shared" si="1"/>
        <v>400</v>
      </c>
      <c r="G267" s="204"/>
    </row>
    <row r="268">
      <c r="C268" s="200" t="s">
        <v>275</v>
      </c>
      <c r="D268" s="200">
        <v>0.2</v>
      </c>
      <c r="E268" s="201">
        <v>1000.0</v>
      </c>
      <c r="F268" s="202">
        <f t="shared" si="1"/>
        <v>200</v>
      </c>
      <c r="G268" s="204"/>
    </row>
    <row r="269">
      <c r="C269" s="200" t="s">
        <v>139</v>
      </c>
      <c r="D269" s="200">
        <v>4.0</v>
      </c>
      <c r="E269" s="201">
        <v>1000.0</v>
      </c>
      <c r="F269" s="202">
        <f t="shared" si="1"/>
        <v>4000</v>
      </c>
      <c r="G269" s="204"/>
    </row>
    <row r="270">
      <c r="C270" s="200" t="s">
        <v>276</v>
      </c>
      <c r="D270" s="200">
        <v>6.0</v>
      </c>
      <c r="E270" s="201">
        <v>200.0</v>
      </c>
      <c r="F270" s="202">
        <f t="shared" si="1"/>
        <v>1200</v>
      </c>
      <c r="G270" s="204"/>
    </row>
    <row r="271">
      <c r="C271" s="200" t="s">
        <v>140</v>
      </c>
      <c r="D271" s="200">
        <v>4.75</v>
      </c>
      <c r="E271" s="201">
        <v>800.0</v>
      </c>
      <c r="F271" s="202">
        <f t="shared" si="1"/>
        <v>3800</v>
      </c>
      <c r="G271" s="204"/>
    </row>
    <row r="272">
      <c r="C272" s="200" t="s">
        <v>253</v>
      </c>
      <c r="D272" s="200">
        <v>1.0</v>
      </c>
      <c r="E272" s="201">
        <v>850.0</v>
      </c>
      <c r="F272" s="202">
        <f t="shared" si="1"/>
        <v>850</v>
      </c>
      <c r="G272" s="204"/>
    </row>
    <row r="273">
      <c r="C273" s="200" t="s">
        <v>277</v>
      </c>
      <c r="D273" s="200">
        <v>1.0</v>
      </c>
      <c r="E273" s="201">
        <v>900.0</v>
      </c>
      <c r="F273" s="202">
        <f t="shared" si="1"/>
        <v>900</v>
      </c>
      <c r="G273" s="204"/>
    </row>
    <row r="274">
      <c r="C274" s="200" t="s">
        <v>177</v>
      </c>
      <c r="D274" s="200">
        <v>12.0</v>
      </c>
      <c r="E274" s="201">
        <v>100.0</v>
      </c>
      <c r="F274" s="202">
        <f t="shared" si="1"/>
        <v>1200</v>
      </c>
      <c r="G274" s="204"/>
    </row>
    <row r="275">
      <c r="C275" s="200" t="s">
        <v>278</v>
      </c>
      <c r="D275" s="200">
        <v>2.0</v>
      </c>
      <c r="E275" s="201">
        <v>550.0</v>
      </c>
      <c r="F275" s="202">
        <f t="shared" si="1"/>
        <v>1100</v>
      </c>
      <c r="G275" s="204"/>
    </row>
    <row r="276">
      <c r="C276" s="200" t="s">
        <v>164</v>
      </c>
      <c r="D276" s="200">
        <v>20.0</v>
      </c>
      <c r="E276" s="201">
        <v>50.0</v>
      </c>
      <c r="F276" s="202">
        <f t="shared" si="1"/>
        <v>1000</v>
      </c>
      <c r="G276" s="203">
        <v>45610.0</v>
      </c>
    </row>
    <row r="277">
      <c r="C277" s="200" t="s">
        <v>279</v>
      </c>
      <c r="D277" s="200">
        <v>1.0</v>
      </c>
      <c r="E277" s="201">
        <v>80.0</v>
      </c>
      <c r="F277" s="202">
        <f t="shared" si="1"/>
        <v>80</v>
      </c>
      <c r="G277" s="204"/>
    </row>
    <row r="278">
      <c r="C278" s="200" t="s">
        <v>191</v>
      </c>
      <c r="D278" s="200">
        <v>1.0</v>
      </c>
      <c r="E278" s="201">
        <v>100.0</v>
      </c>
      <c r="F278" s="202">
        <f t="shared" si="1"/>
        <v>100</v>
      </c>
      <c r="G278" s="204"/>
    </row>
    <row r="279">
      <c r="C279" s="200" t="s">
        <v>262</v>
      </c>
      <c r="D279" s="200">
        <v>2.5</v>
      </c>
      <c r="E279" s="201">
        <v>200.0</v>
      </c>
      <c r="F279" s="202">
        <f t="shared" si="1"/>
        <v>500</v>
      </c>
      <c r="G279" s="204"/>
    </row>
    <row r="280">
      <c r="C280" s="200" t="s">
        <v>280</v>
      </c>
      <c r="D280" s="200">
        <v>1.0</v>
      </c>
      <c r="E280" s="201">
        <v>120.0</v>
      </c>
      <c r="F280" s="202">
        <f t="shared" si="1"/>
        <v>120</v>
      </c>
      <c r="G280" s="204"/>
    </row>
    <row r="281">
      <c r="C281" s="200" t="s">
        <v>171</v>
      </c>
      <c r="D281" s="200">
        <v>2.0</v>
      </c>
      <c r="E281" s="201">
        <v>160.0</v>
      </c>
      <c r="F281" s="202">
        <f t="shared" si="1"/>
        <v>320</v>
      </c>
      <c r="G281" s="204"/>
    </row>
    <row r="282">
      <c r="C282" s="200" t="s">
        <v>118</v>
      </c>
      <c r="D282" s="200">
        <v>1.0</v>
      </c>
      <c r="E282" s="201">
        <v>300.0</v>
      </c>
      <c r="F282" s="202">
        <f t="shared" si="1"/>
        <v>300</v>
      </c>
      <c r="G282" s="204"/>
    </row>
    <row r="283">
      <c r="C283" s="200" t="s">
        <v>140</v>
      </c>
      <c r="D283" s="200">
        <v>1.25</v>
      </c>
      <c r="E283" s="201">
        <v>800.0</v>
      </c>
      <c r="F283" s="202">
        <f t="shared" si="1"/>
        <v>1000</v>
      </c>
      <c r="G283" s="204"/>
    </row>
    <row r="284">
      <c r="C284" s="200" t="s">
        <v>173</v>
      </c>
      <c r="D284" s="200">
        <v>1.5</v>
      </c>
      <c r="E284" s="201">
        <v>180.0</v>
      </c>
      <c r="F284" s="202">
        <f t="shared" si="1"/>
        <v>270</v>
      </c>
      <c r="G284" s="204"/>
    </row>
    <row r="285">
      <c r="C285" s="200" t="s">
        <v>174</v>
      </c>
      <c r="D285" s="200">
        <v>2.0</v>
      </c>
      <c r="E285" s="201">
        <v>30.0</v>
      </c>
      <c r="F285" s="202">
        <f t="shared" si="1"/>
        <v>60</v>
      </c>
      <c r="G285" s="204"/>
    </row>
    <row r="286">
      <c r="C286" s="200" t="s">
        <v>172</v>
      </c>
      <c r="D286" s="200">
        <v>0.5</v>
      </c>
      <c r="E286" s="201">
        <v>300.0</v>
      </c>
      <c r="F286" s="202">
        <f t="shared" si="1"/>
        <v>150</v>
      </c>
      <c r="G286" s="204"/>
    </row>
    <row r="287">
      <c r="C287" s="200" t="s">
        <v>281</v>
      </c>
      <c r="D287" s="200">
        <v>0.75</v>
      </c>
      <c r="E287" s="201">
        <v>150.0</v>
      </c>
      <c r="F287" s="202">
        <f t="shared" si="1"/>
        <v>112.5</v>
      </c>
      <c r="G287" s="204"/>
    </row>
    <row r="288">
      <c r="C288" s="200" t="s">
        <v>282</v>
      </c>
      <c r="D288" s="200">
        <v>1.0</v>
      </c>
      <c r="E288" s="201">
        <v>200.0</v>
      </c>
      <c r="F288" s="202">
        <f t="shared" si="1"/>
        <v>200</v>
      </c>
      <c r="G288" s="204"/>
    </row>
    <row r="289">
      <c r="C289" s="200" t="s">
        <v>177</v>
      </c>
      <c r="D289" s="200">
        <v>15.0</v>
      </c>
      <c r="E289" s="201">
        <v>100.0</v>
      </c>
      <c r="F289" s="202">
        <f t="shared" si="1"/>
        <v>1500</v>
      </c>
      <c r="G289" s="204"/>
    </row>
    <row r="290">
      <c r="C290" s="200" t="s">
        <v>283</v>
      </c>
      <c r="D290" s="200">
        <v>1.0</v>
      </c>
      <c r="E290" s="201">
        <v>110.0</v>
      </c>
      <c r="F290" s="202">
        <f t="shared" si="1"/>
        <v>110</v>
      </c>
      <c r="G290" s="204"/>
    </row>
    <row r="291">
      <c r="C291" s="200" t="s">
        <v>284</v>
      </c>
      <c r="D291" s="200">
        <v>1.0</v>
      </c>
      <c r="E291" s="201">
        <v>80.0</v>
      </c>
      <c r="F291" s="202">
        <f t="shared" si="1"/>
        <v>80</v>
      </c>
      <c r="G291" s="204"/>
    </row>
    <row r="292">
      <c r="C292" s="200" t="s">
        <v>285</v>
      </c>
      <c r="D292" s="200">
        <v>1.0</v>
      </c>
      <c r="E292" s="201">
        <v>420.0</v>
      </c>
      <c r="F292" s="202">
        <f t="shared" si="1"/>
        <v>420</v>
      </c>
      <c r="G292" s="204"/>
    </row>
    <row r="293">
      <c r="C293" s="200" t="s">
        <v>286</v>
      </c>
      <c r="D293" s="200">
        <v>5.0</v>
      </c>
      <c r="E293" s="201">
        <v>40.0</v>
      </c>
      <c r="F293" s="202">
        <f t="shared" si="1"/>
        <v>200</v>
      </c>
      <c r="G293" s="204"/>
    </row>
    <row r="294">
      <c r="C294" s="200" t="s">
        <v>287</v>
      </c>
      <c r="D294" s="200">
        <v>1.0</v>
      </c>
      <c r="E294" s="201">
        <v>300.0</v>
      </c>
      <c r="F294" s="202">
        <f t="shared" si="1"/>
        <v>300</v>
      </c>
      <c r="G294" s="204"/>
    </row>
    <row r="295">
      <c r="C295" s="200" t="s">
        <v>265</v>
      </c>
      <c r="D295" s="200">
        <v>1.0</v>
      </c>
      <c r="E295" s="201">
        <v>450.0</v>
      </c>
      <c r="F295" s="202">
        <f t="shared" si="1"/>
        <v>450</v>
      </c>
      <c r="G295" s="204"/>
    </row>
    <row r="296">
      <c r="C296" s="200" t="s">
        <v>288</v>
      </c>
      <c r="D296" s="200">
        <v>1.0</v>
      </c>
      <c r="E296" s="201">
        <v>600.0</v>
      </c>
      <c r="F296" s="202">
        <f t="shared" si="1"/>
        <v>600</v>
      </c>
      <c r="G296" s="204"/>
    </row>
    <row r="297">
      <c r="C297" s="200" t="s">
        <v>208</v>
      </c>
      <c r="D297" s="200">
        <v>1.0</v>
      </c>
      <c r="E297" s="201">
        <v>50.0</v>
      </c>
      <c r="F297" s="202">
        <f t="shared" si="1"/>
        <v>50</v>
      </c>
      <c r="G297" s="204"/>
    </row>
    <row r="298">
      <c r="C298" s="200" t="s">
        <v>177</v>
      </c>
      <c r="D298" s="200">
        <v>5.0</v>
      </c>
      <c r="E298" s="201">
        <v>100.0</v>
      </c>
      <c r="F298" s="202">
        <f t="shared" si="1"/>
        <v>500</v>
      </c>
      <c r="G298" s="203">
        <v>45611.0</v>
      </c>
    </row>
    <row r="299">
      <c r="C299" s="200" t="s">
        <v>228</v>
      </c>
      <c r="D299" s="200">
        <v>5.0</v>
      </c>
      <c r="E299" s="201">
        <v>120.0</v>
      </c>
      <c r="F299" s="202">
        <f t="shared" si="1"/>
        <v>600</v>
      </c>
      <c r="G299" s="204"/>
    </row>
    <row r="300">
      <c r="C300" s="200" t="s">
        <v>279</v>
      </c>
      <c r="D300" s="200">
        <v>0.5</v>
      </c>
      <c r="E300" s="201">
        <v>100.0</v>
      </c>
      <c r="F300" s="202">
        <f t="shared" si="1"/>
        <v>50</v>
      </c>
      <c r="G300" s="204"/>
    </row>
    <row r="301">
      <c r="C301" s="200" t="s">
        <v>289</v>
      </c>
      <c r="D301" s="200">
        <v>0.5</v>
      </c>
      <c r="E301" s="201">
        <v>120.0</v>
      </c>
      <c r="F301" s="202">
        <f t="shared" si="1"/>
        <v>60</v>
      </c>
      <c r="G301" s="204"/>
    </row>
    <row r="302">
      <c r="C302" s="200" t="s">
        <v>262</v>
      </c>
      <c r="D302" s="200">
        <v>4.0</v>
      </c>
      <c r="E302" s="201">
        <v>200.0</v>
      </c>
      <c r="F302" s="202">
        <f t="shared" si="1"/>
        <v>800</v>
      </c>
      <c r="G302" s="204"/>
    </row>
    <row r="303">
      <c r="C303" s="200" t="s">
        <v>171</v>
      </c>
      <c r="D303" s="200">
        <v>2.0</v>
      </c>
      <c r="E303" s="201">
        <v>125.0</v>
      </c>
      <c r="F303" s="202">
        <f t="shared" si="1"/>
        <v>250</v>
      </c>
      <c r="G303" s="204"/>
    </row>
    <row r="304">
      <c r="C304" s="200" t="s">
        <v>290</v>
      </c>
      <c r="D304" s="200">
        <v>2.0</v>
      </c>
      <c r="E304" s="201">
        <v>100.0</v>
      </c>
      <c r="F304" s="202">
        <f t="shared" si="1"/>
        <v>200</v>
      </c>
      <c r="G304" s="204"/>
    </row>
    <row r="305">
      <c r="C305" s="200" t="s">
        <v>291</v>
      </c>
      <c r="D305" s="200">
        <v>1.0</v>
      </c>
      <c r="E305" s="201">
        <v>1200.0</v>
      </c>
      <c r="F305" s="202">
        <f t="shared" si="1"/>
        <v>1200</v>
      </c>
      <c r="G305" s="204"/>
    </row>
    <row r="306">
      <c r="C306" s="200" t="s">
        <v>210</v>
      </c>
      <c r="D306" s="200">
        <v>3.0</v>
      </c>
      <c r="E306" s="201">
        <v>100.0</v>
      </c>
      <c r="F306" s="202">
        <f t="shared" si="1"/>
        <v>300</v>
      </c>
      <c r="G306" s="204"/>
    </row>
    <row r="307">
      <c r="C307" s="200" t="s">
        <v>292</v>
      </c>
      <c r="D307" s="200">
        <v>1.0</v>
      </c>
      <c r="E307" s="201">
        <v>270.0</v>
      </c>
      <c r="F307" s="202">
        <f t="shared" si="1"/>
        <v>270</v>
      </c>
      <c r="G307" s="204"/>
    </row>
    <row r="308">
      <c r="C308" s="200" t="s">
        <v>178</v>
      </c>
      <c r="D308" s="200">
        <v>1.0</v>
      </c>
      <c r="E308" s="201">
        <v>20.0</v>
      </c>
      <c r="F308" s="202">
        <f t="shared" si="1"/>
        <v>20</v>
      </c>
      <c r="G308" s="204"/>
    </row>
    <row r="309">
      <c r="C309" s="200" t="s">
        <v>293</v>
      </c>
      <c r="D309" s="200">
        <v>1.0</v>
      </c>
      <c r="E309" s="201">
        <v>400.0</v>
      </c>
      <c r="F309" s="202">
        <f t="shared" si="1"/>
        <v>400</v>
      </c>
      <c r="G309" s="204"/>
    </row>
    <row r="310">
      <c r="C310" s="200" t="s">
        <v>237</v>
      </c>
      <c r="D310" s="200">
        <v>1.0</v>
      </c>
      <c r="E310" s="201">
        <v>850.0</v>
      </c>
      <c r="F310" s="202">
        <f t="shared" si="1"/>
        <v>850</v>
      </c>
      <c r="G310" s="204"/>
    </row>
    <row r="311">
      <c r="C311" s="200" t="s">
        <v>294</v>
      </c>
      <c r="D311" s="200">
        <v>1.0</v>
      </c>
      <c r="E311" s="201">
        <v>1000.0</v>
      </c>
      <c r="F311" s="202">
        <f t="shared" si="1"/>
        <v>1000</v>
      </c>
      <c r="G311" s="204"/>
    </row>
    <row r="312">
      <c r="C312" s="200" t="s">
        <v>255</v>
      </c>
      <c r="D312" s="200">
        <v>35.0</v>
      </c>
      <c r="E312" s="201">
        <v>100.0</v>
      </c>
      <c r="F312" s="202">
        <f t="shared" si="1"/>
        <v>3500</v>
      </c>
      <c r="G312" s="204"/>
    </row>
    <row r="313">
      <c r="C313" s="205" t="s">
        <v>295</v>
      </c>
      <c r="D313" s="206">
        <v>3.2</v>
      </c>
      <c r="E313" s="207">
        <v>760.0</v>
      </c>
      <c r="F313" s="202">
        <f t="shared" si="1"/>
        <v>2432</v>
      </c>
      <c r="G313" s="204"/>
    </row>
    <row r="314">
      <c r="C314" s="205" t="s">
        <v>140</v>
      </c>
      <c r="D314" s="206">
        <v>3.5</v>
      </c>
      <c r="E314" s="207">
        <v>760.0</v>
      </c>
      <c r="F314" s="202">
        <f t="shared" si="1"/>
        <v>2660</v>
      </c>
      <c r="G314" s="204"/>
    </row>
    <row r="315">
      <c r="C315" s="205" t="s">
        <v>296</v>
      </c>
      <c r="D315" s="206">
        <v>2.5</v>
      </c>
      <c r="E315" s="207">
        <v>760.0</v>
      </c>
      <c r="F315" s="202">
        <f t="shared" si="1"/>
        <v>1900</v>
      </c>
      <c r="G315" s="204"/>
    </row>
    <row r="316">
      <c r="C316" s="208" t="s">
        <v>139</v>
      </c>
      <c r="D316" s="208">
        <v>1.0</v>
      </c>
      <c r="E316" s="208">
        <v>1000.0</v>
      </c>
      <c r="F316" s="202">
        <f t="shared" si="1"/>
        <v>1000</v>
      </c>
      <c r="G316" s="204"/>
    </row>
    <row r="317">
      <c r="C317" s="208" t="s">
        <v>297</v>
      </c>
      <c r="D317" s="208">
        <v>1.0</v>
      </c>
      <c r="E317" s="208">
        <v>200.0</v>
      </c>
      <c r="F317" s="202">
        <f t="shared" si="1"/>
        <v>200</v>
      </c>
      <c r="G317" s="204"/>
    </row>
    <row r="318">
      <c r="C318" s="208" t="s">
        <v>298</v>
      </c>
      <c r="D318" s="208">
        <v>2.0</v>
      </c>
      <c r="E318" s="208">
        <v>150.0</v>
      </c>
      <c r="F318" s="202">
        <f t="shared" si="1"/>
        <v>300</v>
      </c>
      <c r="G318" s="204"/>
    </row>
    <row r="319">
      <c r="C319" s="208" t="s">
        <v>299</v>
      </c>
      <c r="D319" s="208">
        <v>1.0</v>
      </c>
      <c r="E319" s="208">
        <v>200.0</v>
      </c>
      <c r="F319" s="202">
        <f t="shared" si="1"/>
        <v>200</v>
      </c>
      <c r="G319" s="204"/>
    </row>
    <row r="320">
      <c r="C320" s="208" t="s">
        <v>300</v>
      </c>
      <c r="D320" s="208">
        <v>6.0</v>
      </c>
      <c r="E320" s="209">
        <v>30.0</v>
      </c>
      <c r="F320" s="202">
        <f t="shared" si="1"/>
        <v>180</v>
      </c>
      <c r="G320" s="204"/>
    </row>
    <row r="321">
      <c r="C321" s="208" t="s">
        <v>301</v>
      </c>
      <c r="D321" s="208">
        <v>1.0</v>
      </c>
      <c r="E321" s="208">
        <v>1450.0</v>
      </c>
      <c r="F321" s="202">
        <f t="shared" si="1"/>
        <v>1450</v>
      </c>
      <c r="G321" s="204"/>
    </row>
    <row r="322">
      <c r="C322" s="208" t="s">
        <v>302</v>
      </c>
      <c r="D322" s="208">
        <v>1.0</v>
      </c>
      <c r="E322" s="208">
        <v>100.0</v>
      </c>
      <c r="F322" s="202">
        <f t="shared" si="1"/>
        <v>100</v>
      </c>
      <c r="G322" s="204"/>
    </row>
    <row r="323">
      <c r="C323" s="208" t="s">
        <v>303</v>
      </c>
      <c r="D323" s="208">
        <v>1.0</v>
      </c>
      <c r="E323" s="208">
        <v>30.0</v>
      </c>
      <c r="F323" s="202">
        <f t="shared" si="1"/>
        <v>30</v>
      </c>
      <c r="G323" s="204"/>
    </row>
    <row r="324">
      <c r="C324" s="208" t="s">
        <v>304</v>
      </c>
      <c r="D324" s="208">
        <v>1.0</v>
      </c>
      <c r="E324" s="208">
        <v>30.0</v>
      </c>
      <c r="F324" s="202">
        <f t="shared" si="1"/>
        <v>30</v>
      </c>
      <c r="G324" s="204"/>
    </row>
    <row r="325">
      <c r="C325" s="208" t="s">
        <v>305</v>
      </c>
      <c r="D325" s="208">
        <v>1.0</v>
      </c>
      <c r="E325" s="208">
        <v>360.0</v>
      </c>
      <c r="F325" s="202">
        <f t="shared" si="1"/>
        <v>360</v>
      </c>
      <c r="G325" s="204"/>
    </row>
    <row r="326">
      <c r="C326" s="208" t="s">
        <v>306</v>
      </c>
      <c r="D326" s="208">
        <v>1.0</v>
      </c>
      <c r="E326" s="208">
        <v>150.0</v>
      </c>
      <c r="F326" s="202">
        <f t="shared" si="1"/>
        <v>150</v>
      </c>
      <c r="G326" s="204"/>
    </row>
    <row r="327">
      <c r="C327" s="208" t="s">
        <v>307</v>
      </c>
      <c r="D327" s="208">
        <v>1.0</v>
      </c>
      <c r="E327" s="208">
        <v>5500.0</v>
      </c>
      <c r="F327" s="202">
        <f t="shared" si="1"/>
        <v>5500</v>
      </c>
      <c r="G327" s="204"/>
    </row>
    <row r="328">
      <c r="C328" s="208" t="s">
        <v>308</v>
      </c>
      <c r="D328" s="208">
        <v>1.0</v>
      </c>
      <c r="E328" s="208">
        <v>30.0</v>
      </c>
      <c r="F328" s="202">
        <f t="shared" si="1"/>
        <v>30</v>
      </c>
      <c r="G328" s="204"/>
    </row>
    <row r="329">
      <c r="C329" s="208" t="s">
        <v>140</v>
      </c>
      <c r="D329" s="208">
        <v>1.0</v>
      </c>
      <c r="E329" s="208">
        <v>750.0</v>
      </c>
      <c r="F329" s="202">
        <f t="shared" si="1"/>
        <v>750</v>
      </c>
      <c r="G329" s="204"/>
    </row>
    <row r="330">
      <c r="C330" s="208" t="s">
        <v>295</v>
      </c>
      <c r="D330" s="208">
        <v>1.2</v>
      </c>
      <c r="E330" s="209">
        <v>750.0</v>
      </c>
      <c r="F330" s="202">
        <f t="shared" si="1"/>
        <v>900</v>
      </c>
      <c r="G330" s="204"/>
    </row>
    <row r="331">
      <c r="C331" s="208" t="s">
        <v>309</v>
      </c>
      <c r="D331" s="208">
        <v>1.0</v>
      </c>
      <c r="E331" s="208">
        <v>70.0</v>
      </c>
      <c r="F331" s="202">
        <f t="shared" si="1"/>
        <v>70</v>
      </c>
      <c r="G331" s="204"/>
    </row>
    <row r="332">
      <c r="C332" s="208" t="s">
        <v>310</v>
      </c>
      <c r="D332" s="208">
        <v>1.0</v>
      </c>
      <c r="E332" s="208">
        <v>195.0</v>
      </c>
      <c r="F332" s="202">
        <f t="shared" si="1"/>
        <v>195</v>
      </c>
      <c r="G332" s="204"/>
    </row>
    <row r="333">
      <c r="C333" s="208" t="s">
        <v>300</v>
      </c>
      <c r="D333" s="208">
        <v>2.0</v>
      </c>
      <c r="E333" s="208">
        <v>30.0</v>
      </c>
      <c r="F333" s="202">
        <f t="shared" si="1"/>
        <v>60</v>
      </c>
      <c r="G333" s="204"/>
    </row>
    <row r="334">
      <c r="C334" s="208" t="s">
        <v>311</v>
      </c>
      <c r="D334" s="208">
        <v>1.0</v>
      </c>
      <c r="E334" s="208">
        <v>300.0</v>
      </c>
      <c r="F334" s="202">
        <f t="shared" si="1"/>
        <v>300</v>
      </c>
      <c r="G334" s="204"/>
    </row>
    <row r="335">
      <c r="C335" s="208" t="s">
        <v>312</v>
      </c>
      <c r="D335" s="208">
        <v>2.0</v>
      </c>
      <c r="E335" s="208">
        <v>500.0</v>
      </c>
      <c r="F335" s="202">
        <f t="shared" si="1"/>
        <v>1000</v>
      </c>
      <c r="G335" s="204"/>
    </row>
    <row r="336">
      <c r="C336" s="208" t="s">
        <v>313</v>
      </c>
      <c r="D336" s="208">
        <v>2.0</v>
      </c>
      <c r="E336" s="208">
        <v>100.0</v>
      </c>
      <c r="F336" s="202">
        <f t="shared" si="1"/>
        <v>200</v>
      </c>
      <c r="G336" s="204"/>
    </row>
    <row r="337">
      <c r="C337" s="208" t="s">
        <v>304</v>
      </c>
      <c r="D337" s="208">
        <v>1.0</v>
      </c>
      <c r="E337" s="208">
        <v>30.0</v>
      </c>
      <c r="F337" s="202">
        <f t="shared" si="1"/>
        <v>30</v>
      </c>
      <c r="G337" s="204"/>
    </row>
    <row r="338">
      <c r="C338" s="208" t="s">
        <v>309</v>
      </c>
      <c r="D338" s="208">
        <v>1.0</v>
      </c>
      <c r="E338" s="208">
        <v>80.0</v>
      </c>
      <c r="F338" s="202">
        <f t="shared" si="1"/>
        <v>80</v>
      </c>
      <c r="G338" s="204"/>
    </row>
    <row r="339">
      <c r="C339" s="208" t="s">
        <v>314</v>
      </c>
      <c r="D339" s="208">
        <v>0.5</v>
      </c>
      <c r="E339" s="208">
        <v>120.0</v>
      </c>
      <c r="F339" s="202">
        <f t="shared" si="1"/>
        <v>60</v>
      </c>
      <c r="G339" s="204"/>
    </row>
    <row r="340">
      <c r="C340" s="208" t="s">
        <v>315</v>
      </c>
      <c r="D340" s="208">
        <v>0.5</v>
      </c>
      <c r="E340" s="208">
        <v>120.0</v>
      </c>
      <c r="F340" s="202">
        <f t="shared" si="1"/>
        <v>60</v>
      </c>
      <c r="G340" s="204"/>
    </row>
    <row r="341">
      <c r="C341" s="208" t="s">
        <v>140</v>
      </c>
      <c r="D341" s="208">
        <v>4.0</v>
      </c>
      <c r="E341" s="208">
        <v>750.0</v>
      </c>
      <c r="F341" s="202">
        <f t="shared" si="1"/>
        <v>3000</v>
      </c>
      <c r="G341" s="204"/>
    </row>
    <row r="342">
      <c r="C342" s="208" t="s">
        <v>316</v>
      </c>
      <c r="D342" s="208">
        <v>5.0</v>
      </c>
      <c r="E342" s="208">
        <v>200.0</v>
      </c>
      <c r="F342" s="202">
        <f t="shared" si="1"/>
        <v>1000</v>
      </c>
      <c r="G342" s="204"/>
    </row>
    <row r="343">
      <c r="C343" s="208" t="s">
        <v>317</v>
      </c>
      <c r="D343" s="208">
        <v>1.0</v>
      </c>
      <c r="E343" s="208">
        <v>150.0</v>
      </c>
      <c r="F343" s="202">
        <f t="shared" si="1"/>
        <v>150</v>
      </c>
      <c r="G343" s="204"/>
    </row>
    <row r="344">
      <c r="C344" s="208" t="s">
        <v>318</v>
      </c>
      <c r="D344" s="208">
        <v>1.0</v>
      </c>
      <c r="E344" s="208">
        <v>100.0</v>
      </c>
      <c r="F344" s="202">
        <f t="shared" si="1"/>
        <v>100</v>
      </c>
      <c r="G344" s="204"/>
    </row>
    <row r="345">
      <c r="C345" s="208" t="s">
        <v>319</v>
      </c>
      <c r="D345" s="208">
        <v>1.0</v>
      </c>
      <c r="E345" s="208">
        <v>500.0</v>
      </c>
      <c r="F345" s="202">
        <f t="shared" si="1"/>
        <v>500</v>
      </c>
      <c r="G345" s="204"/>
    </row>
    <row r="346">
      <c r="C346" s="208" t="s">
        <v>320</v>
      </c>
      <c r="D346" s="208">
        <v>2.0</v>
      </c>
      <c r="E346" s="208">
        <v>420.0</v>
      </c>
      <c r="F346" s="202">
        <f t="shared" si="1"/>
        <v>840</v>
      </c>
      <c r="G346" s="204"/>
    </row>
    <row r="347">
      <c r="C347" s="208" t="s">
        <v>321</v>
      </c>
      <c r="D347" s="208">
        <v>1.0</v>
      </c>
      <c r="E347" s="208">
        <v>1450.0</v>
      </c>
      <c r="F347" s="202">
        <f t="shared" si="1"/>
        <v>1450</v>
      </c>
      <c r="G347" s="204"/>
    </row>
    <row r="348">
      <c r="C348" s="208" t="s">
        <v>140</v>
      </c>
      <c r="D348" s="208">
        <v>2.0</v>
      </c>
      <c r="E348" s="208">
        <v>750.0</v>
      </c>
      <c r="F348" s="202">
        <f t="shared" si="1"/>
        <v>1500</v>
      </c>
      <c r="G348" s="204"/>
    </row>
    <row r="349">
      <c r="C349" s="208" t="s">
        <v>322</v>
      </c>
      <c r="D349" s="208">
        <v>3.0</v>
      </c>
      <c r="E349" s="209">
        <v>100.0</v>
      </c>
      <c r="F349" s="202">
        <f t="shared" si="1"/>
        <v>300</v>
      </c>
      <c r="G349" s="204"/>
    </row>
    <row r="350">
      <c r="C350" s="208" t="s">
        <v>323</v>
      </c>
      <c r="D350" s="208">
        <v>5.0</v>
      </c>
      <c r="E350" s="209">
        <v>50.0</v>
      </c>
      <c r="F350" s="202">
        <f t="shared" si="1"/>
        <v>250</v>
      </c>
      <c r="G350" s="204"/>
    </row>
    <row r="351">
      <c r="C351" s="208" t="s">
        <v>324</v>
      </c>
      <c r="D351" s="208">
        <v>1.0</v>
      </c>
      <c r="E351" s="209">
        <v>120.0</v>
      </c>
      <c r="F351" s="202">
        <f t="shared" si="1"/>
        <v>120</v>
      </c>
      <c r="G351" s="204"/>
    </row>
    <row r="352">
      <c r="C352" s="208" t="s">
        <v>325</v>
      </c>
      <c r="D352" s="208">
        <v>1.0</v>
      </c>
      <c r="E352" s="209">
        <v>3620.0</v>
      </c>
      <c r="F352" s="202">
        <f t="shared" si="1"/>
        <v>3620</v>
      </c>
      <c r="G352" s="204"/>
    </row>
    <row r="353">
      <c r="C353" s="208" t="s">
        <v>318</v>
      </c>
      <c r="D353" s="208">
        <v>2.0</v>
      </c>
      <c r="E353" s="209">
        <v>110.0</v>
      </c>
      <c r="F353" s="202">
        <f t="shared" si="1"/>
        <v>220</v>
      </c>
      <c r="G353" s="204"/>
    </row>
    <row r="354">
      <c r="C354" s="208" t="s">
        <v>326</v>
      </c>
      <c r="D354" s="208">
        <v>2.0</v>
      </c>
      <c r="E354" s="209">
        <v>180.0</v>
      </c>
      <c r="F354" s="202">
        <f t="shared" si="1"/>
        <v>360</v>
      </c>
      <c r="G354" s="204"/>
    </row>
    <row r="355">
      <c r="C355" s="208" t="s">
        <v>313</v>
      </c>
      <c r="D355" s="208">
        <v>2.0</v>
      </c>
      <c r="E355" s="209">
        <v>100.0</v>
      </c>
      <c r="F355" s="202">
        <f t="shared" si="1"/>
        <v>200</v>
      </c>
      <c r="G355" s="204"/>
    </row>
    <row r="356">
      <c r="C356" s="208" t="s">
        <v>327</v>
      </c>
      <c r="D356" s="208">
        <v>1.0</v>
      </c>
      <c r="E356" s="208">
        <v>110.0</v>
      </c>
      <c r="F356" s="202">
        <f t="shared" si="1"/>
        <v>110</v>
      </c>
      <c r="G356" s="204"/>
    </row>
    <row r="357">
      <c r="C357" s="208" t="s">
        <v>328</v>
      </c>
      <c r="D357" s="208">
        <v>1.0</v>
      </c>
      <c r="E357" s="208">
        <v>50.0</v>
      </c>
      <c r="F357" s="202">
        <f t="shared" si="1"/>
        <v>50</v>
      </c>
      <c r="G357" s="204"/>
    </row>
    <row r="358">
      <c r="C358" s="208" t="s">
        <v>329</v>
      </c>
      <c r="D358" s="208">
        <v>2.0</v>
      </c>
      <c r="E358" s="209">
        <v>100.0</v>
      </c>
      <c r="F358" s="202">
        <f t="shared" si="1"/>
        <v>200</v>
      </c>
      <c r="G358" s="204"/>
    </row>
    <row r="359">
      <c r="C359" s="208" t="s">
        <v>312</v>
      </c>
      <c r="D359" s="208">
        <v>4.0</v>
      </c>
      <c r="E359" s="209">
        <v>500.0</v>
      </c>
      <c r="F359" s="202">
        <f t="shared" si="1"/>
        <v>2000</v>
      </c>
      <c r="G359" s="204"/>
    </row>
    <row r="360">
      <c r="C360" s="210" t="s">
        <v>330</v>
      </c>
      <c r="D360" s="210">
        <v>12.0</v>
      </c>
      <c r="E360" s="211">
        <v>320.0</v>
      </c>
      <c r="F360" s="202">
        <f t="shared" si="1"/>
        <v>3840</v>
      </c>
      <c r="G360" s="204"/>
    </row>
    <row r="361">
      <c r="C361" s="200" t="s">
        <v>129</v>
      </c>
      <c r="D361" s="200">
        <v>4.0</v>
      </c>
      <c r="E361" s="201">
        <v>220.0</v>
      </c>
      <c r="F361" s="202">
        <f t="shared" si="1"/>
        <v>880</v>
      </c>
      <c r="G361" s="204"/>
    </row>
    <row r="362">
      <c r="C362" s="200" t="s">
        <v>331</v>
      </c>
      <c r="D362" s="200">
        <v>16.0</v>
      </c>
      <c r="E362" s="201">
        <v>200.0</v>
      </c>
      <c r="F362" s="202">
        <f t="shared" si="1"/>
        <v>3200</v>
      </c>
      <c r="G362" s="204"/>
    </row>
    <row r="363">
      <c r="C363" s="200" t="s">
        <v>140</v>
      </c>
      <c r="D363" s="200">
        <v>1.5</v>
      </c>
      <c r="E363" s="201">
        <v>1000.0</v>
      </c>
      <c r="F363" s="202">
        <f t="shared" si="1"/>
        <v>1500</v>
      </c>
      <c r="G363" s="200" t="s">
        <v>332</v>
      </c>
    </row>
    <row r="364">
      <c r="C364" s="212"/>
      <c r="D364" s="212"/>
      <c r="E364" s="213"/>
      <c r="F364" s="202">
        <f t="shared" si="1"/>
        <v>0</v>
      </c>
      <c r="G364" s="204"/>
    </row>
    <row r="365">
      <c r="C365" s="212"/>
      <c r="D365" s="212"/>
      <c r="E365" s="213"/>
      <c r="F365" s="202">
        <f t="shared" si="1"/>
        <v>0</v>
      </c>
      <c r="G365" s="204"/>
    </row>
    <row r="366">
      <c r="C366" s="212"/>
      <c r="D366" s="212"/>
      <c r="E366" s="213"/>
      <c r="F366" s="202">
        <f t="shared" si="1"/>
        <v>0</v>
      </c>
      <c r="G366" s="204"/>
    </row>
    <row r="367">
      <c r="C367" s="212"/>
      <c r="D367" s="212"/>
      <c r="E367" s="213"/>
      <c r="F367" s="202">
        <f t="shared" si="1"/>
        <v>0</v>
      </c>
      <c r="G367" s="204"/>
    </row>
    <row r="368">
      <c r="C368" s="212"/>
      <c r="D368" s="212"/>
      <c r="E368" s="213"/>
      <c r="F368" s="202">
        <f t="shared" si="1"/>
        <v>0</v>
      </c>
      <c r="G368" s="204"/>
    </row>
    <row r="369">
      <c r="C369" s="212"/>
      <c r="D369" s="212"/>
      <c r="E369" s="213"/>
      <c r="F369" s="202">
        <f t="shared" si="1"/>
        <v>0</v>
      </c>
      <c r="G369" s="204"/>
    </row>
    <row r="370">
      <c r="C370" s="212"/>
      <c r="D370" s="212"/>
      <c r="E370" s="213"/>
      <c r="F370" s="202">
        <f t="shared" si="1"/>
        <v>0</v>
      </c>
      <c r="G370" s="204"/>
    </row>
    <row r="371">
      <c r="C371" s="212"/>
      <c r="D371" s="212"/>
      <c r="E371" s="213"/>
      <c r="F371" s="202">
        <f t="shared" si="1"/>
        <v>0</v>
      </c>
      <c r="G371" s="204"/>
    </row>
    <row r="372">
      <c r="C372" s="212"/>
      <c r="D372" s="212"/>
      <c r="E372" s="213"/>
      <c r="F372" s="202">
        <f t="shared" si="1"/>
        <v>0</v>
      </c>
      <c r="G372" s="204"/>
    </row>
    <row r="373">
      <c r="C373" s="200" t="s">
        <v>333</v>
      </c>
      <c r="D373" s="200">
        <v>1.0</v>
      </c>
      <c r="E373" s="201">
        <v>300.0</v>
      </c>
      <c r="F373" s="202">
        <f t="shared" si="1"/>
        <v>300</v>
      </c>
      <c r="G373" s="204"/>
    </row>
    <row r="374">
      <c r="C374" s="200" t="s">
        <v>334</v>
      </c>
      <c r="D374" s="200">
        <v>14.0</v>
      </c>
      <c r="E374" s="201">
        <v>350.0</v>
      </c>
      <c r="F374" s="202">
        <f t="shared" si="1"/>
        <v>4900</v>
      </c>
      <c r="G374" s="204"/>
    </row>
    <row r="375">
      <c r="C375" s="200" t="s">
        <v>335</v>
      </c>
      <c r="D375" s="200">
        <v>6.0</v>
      </c>
      <c r="E375" s="201">
        <v>550.0</v>
      </c>
      <c r="F375" s="202">
        <f t="shared" si="1"/>
        <v>3300</v>
      </c>
      <c r="G375" s="204"/>
    </row>
    <row r="376">
      <c r="C376" s="200" t="s">
        <v>336</v>
      </c>
      <c r="D376" s="200">
        <v>1.0</v>
      </c>
      <c r="E376" s="201">
        <v>400.0</v>
      </c>
      <c r="F376" s="202">
        <f t="shared" si="1"/>
        <v>400</v>
      </c>
      <c r="G376" s="204"/>
    </row>
    <row r="377">
      <c r="C377" s="200" t="s">
        <v>337</v>
      </c>
      <c r="D377" s="200">
        <v>395.0</v>
      </c>
      <c r="E377" s="201">
        <v>60.0</v>
      </c>
      <c r="F377" s="202">
        <f t="shared" si="1"/>
        <v>23700</v>
      </c>
      <c r="G377" s="204"/>
    </row>
    <row r="378">
      <c r="C378" s="200" t="s">
        <v>183</v>
      </c>
      <c r="D378" s="200">
        <v>10.0</v>
      </c>
      <c r="E378" s="201">
        <v>25.0</v>
      </c>
      <c r="F378" s="202">
        <f t="shared" si="1"/>
        <v>250</v>
      </c>
      <c r="G378" s="204"/>
    </row>
    <row r="379">
      <c r="C379" s="200" t="s">
        <v>338</v>
      </c>
      <c r="D379" s="200">
        <v>1.0</v>
      </c>
      <c r="E379" s="201">
        <v>250.0</v>
      </c>
      <c r="F379" s="202">
        <f t="shared" si="1"/>
        <v>250</v>
      </c>
      <c r="G379" s="204"/>
    </row>
    <row r="380">
      <c r="C380" s="200" t="s">
        <v>339</v>
      </c>
      <c r="D380" s="200">
        <v>1.0</v>
      </c>
      <c r="E380" s="201">
        <v>3500.0</v>
      </c>
      <c r="F380" s="202">
        <f t="shared" si="1"/>
        <v>3500</v>
      </c>
      <c r="G380" s="204"/>
    </row>
    <row r="381">
      <c r="C381" s="200" t="s">
        <v>340</v>
      </c>
      <c r="D381" s="200">
        <v>2.0</v>
      </c>
      <c r="E381" s="201">
        <v>450.0</v>
      </c>
      <c r="F381" s="202">
        <f t="shared" si="1"/>
        <v>900</v>
      </c>
      <c r="G381" s="204"/>
    </row>
    <row r="382">
      <c r="C382" s="200" t="s">
        <v>341</v>
      </c>
      <c r="D382" s="200">
        <v>1.0</v>
      </c>
      <c r="E382" s="201">
        <v>1200.0</v>
      </c>
      <c r="F382" s="202">
        <f t="shared" si="1"/>
        <v>1200</v>
      </c>
      <c r="G382" s="204"/>
    </row>
    <row r="383">
      <c r="C383" s="200" t="s">
        <v>342</v>
      </c>
      <c r="D383" s="200">
        <v>1.0</v>
      </c>
      <c r="E383" s="201">
        <v>4500.0</v>
      </c>
      <c r="F383" s="202">
        <f t="shared" si="1"/>
        <v>4500</v>
      </c>
      <c r="G383" s="204"/>
    </row>
    <row r="384">
      <c r="C384" s="168" t="s">
        <v>343</v>
      </c>
      <c r="D384" s="168">
        <v>100.0</v>
      </c>
      <c r="E384" s="74">
        <v>16.0</v>
      </c>
      <c r="F384" s="202">
        <f t="shared" si="1"/>
        <v>1600</v>
      </c>
      <c r="G384" s="169"/>
    </row>
    <row r="385">
      <c r="C385" s="168" t="s">
        <v>344</v>
      </c>
      <c r="D385" s="168">
        <v>1.0</v>
      </c>
      <c r="E385" s="74">
        <v>500.0</v>
      </c>
      <c r="F385" s="170">
        <f t="shared" si="1"/>
        <v>500</v>
      </c>
      <c r="G385" s="169"/>
    </row>
    <row r="386">
      <c r="C386" s="168" t="s">
        <v>345</v>
      </c>
      <c r="D386" s="168">
        <v>1.0</v>
      </c>
      <c r="E386" s="74">
        <v>58500.0</v>
      </c>
      <c r="F386" s="170">
        <f t="shared" si="1"/>
        <v>58500</v>
      </c>
      <c r="G386" s="169"/>
    </row>
    <row r="387">
      <c r="C387" s="168" t="s">
        <v>346</v>
      </c>
      <c r="D387" s="163">
        <v>50.0</v>
      </c>
      <c r="E387" s="74">
        <v>33.0</v>
      </c>
      <c r="F387" s="170">
        <f t="shared" si="1"/>
        <v>1650</v>
      </c>
      <c r="G387" s="169"/>
    </row>
    <row r="388">
      <c r="C388" s="168" t="s">
        <v>347</v>
      </c>
      <c r="D388" s="163">
        <v>50.0</v>
      </c>
      <c r="E388" s="74">
        <v>27.0</v>
      </c>
      <c r="F388" s="170">
        <f t="shared" si="1"/>
        <v>1350</v>
      </c>
      <c r="G388" s="169"/>
    </row>
    <row r="389">
      <c r="C389" s="168" t="s">
        <v>348</v>
      </c>
      <c r="D389" s="168">
        <v>100.0</v>
      </c>
      <c r="E389" s="74">
        <v>21.0</v>
      </c>
      <c r="F389" s="170">
        <f t="shared" si="1"/>
        <v>2100</v>
      </c>
      <c r="G389" s="169"/>
    </row>
    <row r="390">
      <c r="C390" s="168" t="s">
        <v>349</v>
      </c>
      <c r="D390" s="168">
        <v>100.0</v>
      </c>
      <c r="E390" s="74">
        <v>20.0</v>
      </c>
      <c r="F390" s="160">
        <f t="shared" si="1"/>
        <v>2000</v>
      </c>
      <c r="G390" s="169"/>
    </row>
    <row r="391">
      <c r="C391" s="173" t="s">
        <v>350</v>
      </c>
      <c r="D391" s="182">
        <v>100.0</v>
      </c>
      <c r="E391" s="179">
        <v>13.7</v>
      </c>
      <c r="F391" s="160">
        <f t="shared" si="1"/>
        <v>1370</v>
      </c>
      <c r="G391" s="169"/>
    </row>
    <row r="392">
      <c r="C392" s="173" t="s">
        <v>351</v>
      </c>
      <c r="D392" s="182">
        <v>100.0</v>
      </c>
      <c r="E392" s="179">
        <v>10.5</v>
      </c>
      <c r="F392" s="160">
        <f t="shared" si="1"/>
        <v>1050</v>
      </c>
      <c r="G392" s="169"/>
    </row>
    <row r="393">
      <c r="C393" s="173" t="s">
        <v>352</v>
      </c>
      <c r="D393" s="173">
        <v>0.0</v>
      </c>
      <c r="E393" s="179">
        <v>10.0</v>
      </c>
      <c r="F393" s="160">
        <f t="shared" si="1"/>
        <v>0</v>
      </c>
      <c r="G393" s="169"/>
    </row>
    <row r="394">
      <c r="C394" s="181" t="s">
        <v>353</v>
      </c>
      <c r="D394" s="173">
        <v>0.0</v>
      </c>
      <c r="E394" s="174">
        <v>200.0</v>
      </c>
      <c r="F394" s="160">
        <f t="shared" si="1"/>
        <v>0</v>
      </c>
      <c r="G394" s="169"/>
    </row>
    <row r="395">
      <c r="C395" s="168" t="s">
        <v>343</v>
      </c>
      <c r="D395" s="168">
        <v>21.0</v>
      </c>
      <c r="E395" s="74">
        <v>27.0</v>
      </c>
      <c r="F395" s="160">
        <f t="shared" si="1"/>
        <v>567</v>
      </c>
      <c r="G395" s="169"/>
    </row>
    <row r="396">
      <c r="C396" s="181" t="s">
        <v>354</v>
      </c>
      <c r="D396" s="173">
        <v>27.0</v>
      </c>
      <c r="E396" s="174">
        <v>38.0</v>
      </c>
      <c r="F396" s="177">
        <f t="shared" si="1"/>
        <v>1026</v>
      </c>
      <c r="G396" s="169"/>
    </row>
    <row r="397">
      <c r="C397" s="181" t="s">
        <v>355</v>
      </c>
      <c r="D397" s="173">
        <v>1.0</v>
      </c>
      <c r="E397" s="174">
        <v>800.0</v>
      </c>
      <c r="F397" s="177">
        <f t="shared" si="1"/>
        <v>800</v>
      </c>
      <c r="G397" s="169"/>
    </row>
    <row r="398">
      <c r="C398" s="176" t="s">
        <v>356</v>
      </c>
      <c r="D398" s="180">
        <v>2.0</v>
      </c>
      <c r="E398" s="174">
        <v>600.0</v>
      </c>
      <c r="F398" s="177">
        <f t="shared" si="1"/>
        <v>1200</v>
      </c>
      <c r="G398" s="169"/>
    </row>
    <row r="399">
      <c r="C399" s="176" t="s">
        <v>357</v>
      </c>
      <c r="D399" s="180">
        <v>4.0</v>
      </c>
      <c r="E399" s="174">
        <v>150.0</v>
      </c>
      <c r="F399" s="170">
        <f t="shared" si="1"/>
        <v>600</v>
      </c>
      <c r="G399" s="169"/>
    </row>
    <row r="400">
      <c r="C400" s="60" t="s">
        <v>358</v>
      </c>
      <c r="D400" s="60">
        <v>3.0</v>
      </c>
      <c r="E400" s="17">
        <v>700.0</v>
      </c>
      <c r="F400" s="170">
        <f t="shared" si="1"/>
        <v>2100</v>
      </c>
      <c r="G400" s="169"/>
    </row>
    <row r="401">
      <c r="C401" s="60" t="s">
        <v>173</v>
      </c>
      <c r="D401" s="23">
        <v>1.0</v>
      </c>
      <c r="E401" s="20">
        <v>200.0</v>
      </c>
      <c r="F401" s="170">
        <f t="shared" si="1"/>
        <v>200</v>
      </c>
      <c r="G401" s="169"/>
    </row>
    <row r="402">
      <c r="C402" s="182" t="s">
        <v>359</v>
      </c>
      <c r="D402" s="182">
        <v>1.0</v>
      </c>
      <c r="E402" s="214">
        <v>3300.0</v>
      </c>
      <c r="F402" s="198">
        <f t="shared" si="1"/>
        <v>3300</v>
      </c>
      <c r="G402" s="215"/>
      <c r="I402" s="216"/>
    </row>
    <row r="403">
      <c r="C403" s="182" t="s">
        <v>360</v>
      </c>
      <c r="D403" s="182">
        <v>1.0</v>
      </c>
      <c r="E403" s="214">
        <v>44000.0</v>
      </c>
      <c r="F403" s="198">
        <f t="shared" si="1"/>
        <v>44000</v>
      </c>
      <c r="G403" s="215">
        <v>45598.0</v>
      </c>
      <c r="I403" s="216"/>
    </row>
    <row r="404">
      <c r="C404" s="217" t="s">
        <v>361</v>
      </c>
      <c r="D404" s="217">
        <v>1.0</v>
      </c>
      <c r="E404" s="218">
        <v>20000.0</v>
      </c>
      <c r="F404" s="198">
        <f t="shared" si="1"/>
        <v>20000</v>
      </c>
      <c r="G404" s="219">
        <v>45587.0</v>
      </c>
      <c r="I404" s="216" t="s">
        <v>362</v>
      </c>
    </row>
    <row r="405">
      <c r="C405" s="176" t="s">
        <v>201</v>
      </c>
      <c r="D405" s="173">
        <v>9.0</v>
      </c>
      <c r="E405" s="174">
        <v>37.0</v>
      </c>
      <c r="F405" s="170">
        <f t="shared" si="1"/>
        <v>333</v>
      </c>
      <c r="G405" s="169"/>
    </row>
    <row r="406">
      <c r="C406" s="176" t="s">
        <v>363</v>
      </c>
      <c r="D406" s="173">
        <v>10.0</v>
      </c>
      <c r="E406" s="174">
        <v>35.0</v>
      </c>
      <c r="F406" s="170">
        <f t="shared" si="1"/>
        <v>350</v>
      </c>
      <c r="G406" s="169"/>
    </row>
    <row r="407">
      <c r="C407" s="176" t="s">
        <v>364</v>
      </c>
      <c r="D407" s="173">
        <v>2.0</v>
      </c>
      <c r="E407" s="174">
        <v>150.0</v>
      </c>
      <c r="F407" s="170">
        <f t="shared" si="1"/>
        <v>300</v>
      </c>
      <c r="G407" s="169"/>
    </row>
    <row r="408">
      <c r="C408" s="60" t="s">
        <v>365</v>
      </c>
      <c r="D408" s="23">
        <v>61.0</v>
      </c>
      <c r="E408" s="20">
        <v>33.0</v>
      </c>
      <c r="F408" s="170">
        <f t="shared" si="1"/>
        <v>2013</v>
      </c>
      <c r="G408" s="161"/>
    </row>
    <row r="409">
      <c r="C409" s="60" t="s">
        <v>366</v>
      </c>
      <c r="D409" s="23">
        <v>53.0</v>
      </c>
      <c r="E409" s="20">
        <v>27.0</v>
      </c>
      <c r="F409" s="170">
        <f t="shared" si="1"/>
        <v>1431</v>
      </c>
      <c r="G409" s="220"/>
    </row>
    <row r="410">
      <c r="C410" s="60" t="s">
        <v>348</v>
      </c>
      <c r="D410" s="23">
        <v>29.0</v>
      </c>
      <c r="E410" s="20">
        <v>21.0</v>
      </c>
      <c r="F410" s="170">
        <f t="shared" si="1"/>
        <v>609</v>
      </c>
      <c r="G410" s="161"/>
    </row>
    <row r="411">
      <c r="C411" s="23" t="s">
        <v>352</v>
      </c>
      <c r="D411" s="23">
        <v>64.0</v>
      </c>
      <c r="E411" s="20">
        <v>13.7</v>
      </c>
      <c r="F411" s="170">
        <f t="shared" si="1"/>
        <v>876.8</v>
      </c>
      <c r="G411" s="161"/>
    </row>
    <row r="412">
      <c r="C412" s="23" t="s">
        <v>351</v>
      </c>
      <c r="D412" s="23">
        <v>39.0</v>
      </c>
      <c r="E412" s="20">
        <v>12.0</v>
      </c>
      <c r="F412" s="170">
        <f t="shared" si="1"/>
        <v>468</v>
      </c>
      <c r="G412" s="161"/>
    </row>
    <row r="413">
      <c r="C413" s="60" t="s">
        <v>367</v>
      </c>
      <c r="D413" s="23">
        <v>2.0</v>
      </c>
      <c r="E413" s="17">
        <v>100.0</v>
      </c>
      <c r="F413" s="170">
        <f t="shared" si="1"/>
        <v>200</v>
      </c>
      <c r="G413" s="161"/>
    </row>
    <row r="414">
      <c r="C414" s="60" t="s">
        <v>368</v>
      </c>
      <c r="D414" s="23">
        <v>2.0</v>
      </c>
      <c r="E414" s="17">
        <v>150.0</v>
      </c>
      <c r="F414" s="170">
        <f t="shared" si="1"/>
        <v>300</v>
      </c>
      <c r="G414" s="169"/>
    </row>
    <row r="415">
      <c r="C415" s="221" t="s">
        <v>369</v>
      </c>
      <c r="D415" s="222"/>
      <c r="E415" s="223"/>
      <c r="F415" s="224">
        <f>SUM(F3:F414)</f>
        <v>645124.3</v>
      </c>
      <c r="G415" s="225"/>
    </row>
    <row r="416">
      <c r="C416" s="6"/>
      <c r="D416" s="6"/>
      <c r="E416" s="6"/>
      <c r="F416" s="6"/>
      <c r="G416" s="6"/>
    </row>
    <row r="417">
      <c r="C417" s="6"/>
      <c r="D417" s="6"/>
      <c r="E417" s="6"/>
      <c r="F417" s="6"/>
      <c r="G417" s="6"/>
    </row>
    <row r="418">
      <c r="C418" s="6"/>
      <c r="D418" s="6"/>
      <c r="E418" s="6"/>
      <c r="F418" s="6"/>
      <c r="G418" s="6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63"/>
    <col customWidth="1" min="6" max="6" width="26.13"/>
    <col customWidth="1" min="7" max="7" width="25.63"/>
    <col customWidth="1" min="8" max="8" width="36.88"/>
    <col customWidth="1" min="9" max="9" width="51.13"/>
  </cols>
  <sheetData>
    <row r="5">
      <c r="C5" s="6"/>
      <c r="D5" s="6"/>
      <c r="E5" s="6"/>
      <c r="F5" s="6"/>
      <c r="G5" s="6"/>
      <c r="H5" s="6"/>
      <c r="I5" s="6"/>
      <c r="J5" s="6"/>
    </row>
    <row r="6">
      <c r="C6" s="6"/>
      <c r="D6" s="63"/>
      <c r="E6" s="63"/>
      <c r="F6" s="63"/>
      <c r="G6" s="63"/>
      <c r="H6" s="63"/>
      <c r="I6" s="6"/>
      <c r="J6" s="6"/>
    </row>
    <row r="7">
      <c r="C7" s="6"/>
      <c r="D7" s="226"/>
      <c r="E7" s="227" t="s">
        <v>370</v>
      </c>
      <c r="F7" s="227" t="s">
        <v>4</v>
      </c>
      <c r="G7" s="227" t="s">
        <v>371</v>
      </c>
      <c r="H7" s="228" t="s">
        <v>372</v>
      </c>
      <c r="I7" s="6"/>
      <c r="J7" s="6"/>
    </row>
    <row r="8">
      <c r="C8" s="6"/>
      <c r="D8" s="226"/>
      <c r="E8" s="36" t="s">
        <v>373</v>
      </c>
      <c r="F8" s="17">
        <v>30000.0</v>
      </c>
      <c r="G8" s="229">
        <v>30000.0</v>
      </c>
      <c r="H8" s="17">
        <f t="shared" ref="H8:H25" si="1">F8-G8</f>
        <v>0</v>
      </c>
      <c r="I8" s="230" t="s">
        <v>374</v>
      </c>
      <c r="J8" s="6"/>
    </row>
    <row r="9">
      <c r="C9" s="6"/>
      <c r="D9" s="226"/>
      <c r="E9" s="36" t="s">
        <v>375</v>
      </c>
      <c r="F9" s="17">
        <v>30000.0</v>
      </c>
      <c r="G9" s="20">
        <v>30000.0</v>
      </c>
      <c r="H9" s="17">
        <f t="shared" si="1"/>
        <v>0</v>
      </c>
      <c r="I9" s="6"/>
      <c r="J9" s="6"/>
    </row>
    <row r="10">
      <c r="C10" s="6"/>
      <c r="D10" s="231">
        <v>1.0</v>
      </c>
      <c r="E10" s="36" t="s">
        <v>50</v>
      </c>
      <c r="F10" s="17">
        <f>Pointage!C35</f>
        <v>17400</v>
      </c>
      <c r="G10" s="20">
        <v>17500.0</v>
      </c>
      <c r="H10" s="17">
        <f t="shared" si="1"/>
        <v>-100</v>
      </c>
      <c r="I10" s="6"/>
      <c r="J10" s="6"/>
    </row>
    <row r="11">
      <c r="C11" s="6"/>
      <c r="D11" s="231">
        <v>2.0</v>
      </c>
      <c r="E11" s="36" t="s">
        <v>52</v>
      </c>
      <c r="F11" s="17">
        <f>Pointage!E35+I11</f>
        <v>29186</v>
      </c>
      <c r="G11" s="20">
        <v>29500.0</v>
      </c>
      <c r="H11" s="17">
        <f t="shared" si="1"/>
        <v>-314</v>
      </c>
      <c r="I11" s="232">
        <v>5000.0</v>
      </c>
      <c r="J11" s="6"/>
    </row>
    <row r="12">
      <c r="C12" s="6"/>
      <c r="D12" s="231">
        <v>3.0</v>
      </c>
      <c r="E12" s="36" t="s">
        <v>376</v>
      </c>
      <c r="F12" s="17">
        <f>Pointage!G35</f>
        <v>21128</v>
      </c>
      <c r="G12" s="20">
        <v>21500.0</v>
      </c>
      <c r="H12" s="17">
        <f t="shared" si="1"/>
        <v>-372</v>
      </c>
      <c r="I12" s="28"/>
      <c r="J12" s="6"/>
    </row>
    <row r="13">
      <c r="C13" s="6"/>
      <c r="D13" s="231">
        <v>5.0</v>
      </c>
      <c r="E13" s="36" t="s">
        <v>56</v>
      </c>
      <c r="F13" s="20">
        <v>22500.0</v>
      </c>
      <c r="G13" s="20">
        <v>22500.0</v>
      </c>
      <c r="H13" s="17">
        <f t="shared" si="1"/>
        <v>0</v>
      </c>
      <c r="I13" s="6"/>
      <c r="J13" s="6"/>
    </row>
    <row r="14">
      <c r="C14" s="6"/>
      <c r="D14" s="231">
        <v>6.0</v>
      </c>
      <c r="E14" s="36" t="s">
        <v>58</v>
      </c>
      <c r="F14" s="17">
        <f>Pointage!K35</f>
        <v>3336</v>
      </c>
      <c r="G14" s="20">
        <v>4000.0</v>
      </c>
      <c r="H14" s="17">
        <f t="shared" si="1"/>
        <v>-664</v>
      </c>
      <c r="I14" s="6"/>
      <c r="J14" s="6"/>
    </row>
    <row r="15">
      <c r="C15" s="6"/>
      <c r="D15" s="231">
        <v>9.0</v>
      </c>
      <c r="E15" s="36" t="s">
        <v>377</v>
      </c>
      <c r="F15" s="17">
        <f>Pointage!M35</f>
        <v>22796</v>
      </c>
      <c r="G15" s="20">
        <v>23000.0</v>
      </c>
      <c r="H15" s="17">
        <f t="shared" si="1"/>
        <v>-204</v>
      </c>
      <c r="I15" s="6"/>
      <c r="J15" s="6"/>
    </row>
    <row r="16">
      <c r="C16" s="6"/>
      <c r="D16" s="231">
        <v>10.0</v>
      </c>
      <c r="E16" s="36" t="s">
        <v>378</v>
      </c>
      <c r="F16" s="17">
        <f>Pointage!O35</f>
        <v>24464</v>
      </c>
      <c r="G16" s="20">
        <v>24500.0</v>
      </c>
      <c r="H16" s="17">
        <f t="shared" si="1"/>
        <v>-36</v>
      </c>
      <c r="I16" s="233" t="s">
        <v>379</v>
      </c>
      <c r="J16" s="6"/>
    </row>
    <row r="17">
      <c r="C17" s="6"/>
      <c r="D17" s="231">
        <v>11.0</v>
      </c>
      <c r="E17" s="36" t="s">
        <v>380</v>
      </c>
      <c r="F17" s="17">
        <f>Pointage!Q35</f>
        <v>19800</v>
      </c>
      <c r="G17" s="20">
        <v>20000.0</v>
      </c>
      <c r="H17" s="17">
        <f t="shared" si="1"/>
        <v>-200</v>
      </c>
      <c r="I17" s="234">
        <v>9000.0</v>
      </c>
      <c r="J17" s="6"/>
    </row>
    <row r="18">
      <c r="C18" s="6"/>
      <c r="D18" s="231">
        <v>13.0</v>
      </c>
      <c r="E18" s="36" t="s">
        <v>381</v>
      </c>
      <c r="F18" s="17">
        <f>Pointage!W35</f>
        <v>27600</v>
      </c>
      <c r="G18" s="20">
        <v>28000.0</v>
      </c>
      <c r="H18" s="17">
        <f t="shared" si="1"/>
        <v>-400</v>
      </c>
      <c r="I18" s="6"/>
      <c r="J18" s="6"/>
    </row>
    <row r="19">
      <c r="C19" s="6"/>
      <c r="D19" s="231">
        <v>14.0</v>
      </c>
      <c r="E19" s="36" t="s">
        <v>382</v>
      </c>
      <c r="F19" s="20">
        <v>25000.0</v>
      </c>
      <c r="G19" s="20">
        <v>25000.0</v>
      </c>
      <c r="H19" s="17">
        <f t="shared" si="1"/>
        <v>0</v>
      </c>
      <c r="I19" s="234">
        <v>1000.0</v>
      </c>
      <c r="J19" s="6"/>
    </row>
    <row r="20">
      <c r="C20" s="6"/>
      <c r="D20" s="231">
        <v>15.0</v>
      </c>
      <c r="E20" s="36" t="s">
        <v>383</v>
      </c>
      <c r="F20" s="20">
        <v>25000.0</v>
      </c>
      <c r="G20" s="20">
        <v>25000.0</v>
      </c>
      <c r="H20" s="17">
        <f t="shared" si="1"/>
        <v>0</v>
      </c>
      <c r="I20" s="234">
        <v>1000.0</v>
      </c>
      <c r="J20" s="6"/>
    </row>
    <row r="21">
      <c r="C21" s="6"/>
      <c r="D21" s="231">
        <v>16.0</v>
      </c>
      <c r="E21" s="235" t="s">
        <v>74</v>
      </c>
      <c r="F21" s="17">
        <f>Pointage!AA35</f>
        <v>14300</v>
      </c>
      <c r="G21" s="20">
        <v>14500.0</v>
      </c>
      <c r="H21" s="17">
        <f t="shared" si="1"/>
        <v>-200</v>
      </c>
      <c r="I21" s="236" t="s">
        <v>384</v>
      </c>
      <c r="J21" s="6"/>
    </row>
    <row r="22">
      <c r="C22" s="6"/>
      <c r="D22" s="231">
        <v>17.0</v>
      </c>
      <c r="E22" s="36" t="s">
        <v>72</v>
      </c>
      <c r="F22" s="20">
        <v>26000.0</v>
      </c>
      <c r="G22" s="20">
        <v>26000.0</v>
      </c>
      <c r="H22" s="17">
        <f t="shared" si="1"/>
        <v>0</v>
      </c>
      <c r="I22" s="6"/>
      <c r="J22" s="6"/>
    </row>
    <row r="23">
      <c r="C23" s="6"/>
      <c r="D23" s="231">
        <v>17.0</v>
      </c>
      <c r="E23" s="36" t="s">
        <v>76</v>
      </c>
      <c r="F23" s="17">
        <f>Pointage!AC35</f>
        <v>26132</v>
      </c>
      <c r="G23" s="20">
        <v>26500.0</v>
      </c>
      <c r="H23" s="17">
        <f t="shared" si="1"/>
        <v>-368</v>
      </c>
      <c r="I23" s="236" t="s">
        <v>385</v>
      </c>
      <c r="J23" s="6"/>
    </row>
    <row r="24">
      <c r="C24" s="6"/>
      <c r="D24" s="226"/>
      <c r="E24" s="31" t="s">
        <v>386</v>
      </c>
      <c r="F24" s="33">
        <f t="shared" ref="F24:G24" si="2">SUM(F8:F23)</f>
        <v>364642</v>
      </c>
      <c r="G24" s="237">
        <f t="shared" si="2"/>
        <v>367500</v>
      </c>
      <c r="H24" s="238">
        <f t="shared" si="1"/>
        <v>-2858</v>
      </c>
      <c r="I24" s="6"/>
      <c r="J24" s="6"/>
    </row>
    <row r="25">
      <c r="C25" s="6"/>
      <c r="D25" s="226"/>
      <c r="E25" s="239"/>
      <c r="F25" s="1"/>
      <c r="G25" s="1"/>
      <c r="H25" s="32">
        <f t="shared" si="1"/>
        <v>0</v>
      </c>
      <c r="I25" s="6"/>
      <c r="J25" s="6"/>
    </row>
    <row r="26">
      <c r="C26" s="6"/>
      <c r="D26" s="6"/>
      <c r="E26" s="6"/>
      <c r="F26" s="6"/>
      <c r="G26" s="6"/>
      <c r="H26" s="6"/>
      <c r="I26" s="6"/>
      <c r="J26" s="6"/>
    </row>
    <row r="27">
      <c r="C27" s="6"/>
      <c r="D27" s="6"/>
      <c r="E27" s="6"/>
      <c r="F27" s="6"/>
      <c r="G27" s="6"/>
      <c r="H27" s="6"/>
      <c r="I27" s="6"/>
      <c r="J27" s="6"/>
    </row>
    <row r="28">
      <c r="C28" s="6"/>
      <c r="D28" s="6"/>
      <c r="E28" s="6"/>
      <c r="F28" s="6"/>
      <c r="G28" s="6"/>
      <c r="H28" s="6"/>
      <c r="I28" s="6"/>
      <c r="J28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6" max="6" width="15.38"/>
  </cols>
  <sheetData>
    <row r="11">
      <c r="D11" s="240"/>
      <c r="E11" s="240"/>
    </row>
    <row r="12" ht="22.5" customHeight="1">
      <c r="C12" s="241" t="s">
        <v>92</v>
      </c>
      <c r="D12" s="241" t="s">
        <v>93</v>
      </c>
      <c r="E12" s="241" t="s">
        <v>387</v>
      </c>
      <c r="F12" s="241" t="s">
        <v>388</v>
      </c>
      <c r="G12" s="240"/>
    </row>
    <row r="13" ht="22.5" customHeight="1">
      <c r="E13" s="242"/>
      <c r="F13" s="242"/>
      <c r="H13" s="243" t="s">
        <v>389</v>
      </c>
      <c r="I13" s="244"/>
      <c r="K13" s="245" t="s">
        <v>390</v>
      </c>
      <c r="L13" s="244"/>
    </row>
    <row r="14" ht="22.5" customHeight="1">
      <c r="C14" s="246" t="s">
        <v>329</v>
      </c>
      <c r="D14" s="246">
        <v>2.0</v>
      </c>
      <c r="E14" s="247">
        <v>100.0</v>
      </c>
      <c r="F14" s="247">
        <v>200.0</v>
      </c>
      <c r="H14" s="248">
        <f>SUM(F14:F81)</f>
        <v>100716</v>
      </c>
      <c r="I14" s="249"/>
      <c r="K14" s="250" t="s">
        <v>391</v>
      </c>
      <c r="L14" s="250" t="s">
        <v>392</v>
      </c>
    </row>
    <row r="15" ht="22.5" customHeight="1">
      <c r="C15" s="246" t="s">
        <v>255</v>
      </c>
      <c r="D15" s="246" t="s">
        <v>393</v>
      </c>
      <c r="E15" s="247">
        <v>100.0</v>
      </c>
      <c r="F15" s="251">
        <v>1200.0</v>
      </c>
      <c r="H15" s="252"/>
      <c r="I15" s="253"/>
      <c r="K15" s="254">
        <v>45619.0</v>
      </c>
      <c r="L15" s="255">
        <v>20240.0</v>
      </c>
    </row>
    <row r="16" ht="22.5" customHeight="1">
      <c r="C16" s="246" t="s">
        <v>326</v>
      </c>
      <c r="D16" s="246" t="s">
        <v>394</v>
      </c>
      <c r="E16" s="247">
        <v>180.0</v>
      </c>
      <c r="F16" s="251">
        <v>720.0</v>
      </c>
      <c r="H16" s="243" t="s">
        <v>395</v>
      </c>
      <c r="I16" s="244"/>
      <c r="K16" s="254">
        <v>45620.0</v>
      </c>
      <c r="L16" s="255">
        <v>12250.0</v>
      </c>
    </row>
    <row r="17" ht="22.5" customHeight="1">
      <c r="C17" s="246" t="s">
        <v>313</v>
      </c>
      <c r="D17" s="246" t="s">
        <v>394</v>
      </c>
      <c r="E17" s="247">
        <v>100.0</v>
      </c>
      <c r="F17" s="251">
        <v>400.0</v>
      </c>
      <c r="H17" s="256">
        <v>100000.0</v>
      </c>
      <c r="I17" s="249"/>
      <c r="K17" s="254">
        <v>45621.0</v>
      </c>
      <c r="L17" s="255">
        <v>13750.0</v>
      </c>
    </row>
    <row r="18" ht="22.5" customHeight="1">
      <c r="C18" s="246" t="s">
        <v>327</v>
      </c>
      <c r="D18" s="246" t="s">
        <v>396</v>
      </c>
      <c r="E18" s="251">
        <v>110.0</v>
      </c>
      <c r="F18" s="251">
        <v>110.0</v>
      </c>
      <c r="H18" s="252"/>
      <c r="I18" s="253"/>
      <c r="K18" s="254">
        <v>45622.0</v>
      </c>
      <c r="L18" s="255">
        <v>12765.0</v>
      </c>
    </row>
    <row r="19" ht="22.5" customHeight="1">
      <c r="C19" s="246" t="s">
        <v>328</v>
      </c>
      <c r="D19" s="246" t="s">
        <v>397</v>
      </c>
      <c r="E19" s="251">
        <v>50.0</v>
      </c>
      <c r="F19" s="251">
        <v>50.0</v>
      </c>
      <c r="H19" s="243" t="s">
        <v>398</v>
      </c>
      <c r="I19" s="244"/>
      <c r="K19" s="254">
        <v>45623.0</v>
      </c>
      <c r="L19" s="255">
        <v>7975.0</v>
      </c>
    </row>
    <row r="20" ht="22.5" customHeight="1">
      <c r="C20" s="246" t="s">
        <v>295</v>
      </c>
      <c r="D20" s="246" t="s">
        <v>399</v>
      </c>
      <c r="E20" s="247">
        <v>760.0</v>
      </c>
      <c r="F20" s="251">
        <v>2430.0</v>
      </c>
      <c r="H20" s="257">
        <f>SUM(RECAP!D24:D30)</f>
        <v>330000</v>
      </c>
      <c r="I20" s="249"/>
      <c r="K20" s="254">
        <v>45624.0</v>
      </c>
      <c r="L20" s="255">
        <v>5810.0</v>
      </c>
    </row>
    <row r="21" ht="22.5" customHeight="1">
      <c r="C21" s="246" t="s">
        <v>140</v>
      </c>
      <c r="D21" s="246" t="s">
        <v>400</v>
      </c>
      <c r="E21" s="247">
        <v>760.0</v>
      </c>
      <c r="F21" s="247">
        <v>2660.0</v>
      </c>
      <c r="H21" s="252"/>
      <c r="I21" s="253"/>
      <c r="K21" s="254">
        <v>45625.0</v>
      </c>
      <c r="L21" s="255">
        <v>5225.0</v>
      </c>
    </row>
    <row r="22" ht="22.5" customHeight="1">
      <c r="C22" s="246" t="s">
        <v>296</v>
      </c>
      <c r="D22" s="246" t="s">
        <v>401</v>
      </c>
      <c r="E22" s="247">
        <v>760.0</v>
      </c>
      <c r="F22" s="247">
        <v>1900.0</v>
      </c>
      <c r="H22" s="243" t="s">
        <v>402</v>
      </c>
      <c r="I22" s="244"/>
      <c r="K22" s="254">
        <v>45626.0</v>
      </c>
      <c r="L22" s="255">
        <v>6090.0</v>
      </c>
    </row>
    <row r="23" ht="22.5" customHeight="1">
      <c r="C23" s="246" t="s">
        <v>312</v>
      </c>
      <c r="D23" s="246" t="s">
        <v>403</v>
      </c>
      <c r="E23" s="247">
        <v>500.0</v>
      </c>
      <c r="F23" s="251">
        <v>2000.0</v>
      </c>
      <c r="H23" s="257">
        <f>(H20+H17)-H14</f>
        <v>329284</v>
      </c>
      <c r="I23" s="249"/>
    </row>
    <row r="24" ht="22.5" customHeight="1">
      <c r="C24" s="246" t="s">
        <v>404</v>
      </c>
      <c r="D24" s="246" t="s">
        <v>394</v>
      </c>
      <c r="E24" s="247">
        <v>600.0</v>
      </c>
      <c r="F24" s="251">
        <v>1200.0</v>
      </c>
      <c r="H24" s="252"/>
      <c r="I24" s="253"/>
    </row>
    <row r="25" ht="22.5" customHeight="1">
      <c r="C25" s="246" t="s">
        <v>405</v>
      </c>
      <c r="D25" s="246" t="s">
        <v>394</v>
      </c>
      <c r="E25" s="247">
        <v>600.0</v>
      </c>
      <c r="F25" s="251">
        <v>1200.0</v>
      </c>
    </row>
    <row r="26" ht="22.5" customHeight="1">
      <c r="C26" s="246" t="s">
        <v>406</v>
      </c>
      <c r="D26" s="246" t="s">
        <v>407</v>
      </c>
      <c r="E26" s="247">
        <v>400.0</v>
      </c>
      <c r="F26" s="251">
        <v>2000.0</v>
      </c>
    </row>
    <row r="27" ht="22.5" customHeight="1">
      <c r="C27" s="246" t="s">
        <v>139</v>
      </c>
      <c r="D27" s="246" t="s">
        <v>396</v>
      </c>
      <c r="E27" s="251">
        <v>1000.0</v>
      </c>
      <c r="F27" s="251">
        <v>1000.0</v>
      </c>
    </row>
    <row r="28" ht="22.5" customHeight="1">
      <c r="C28" s="246" t="s">
        <v>297</v>
      </c>
      <c r="D28" s="246" t="s">
        <v>408</v>
      </c>
      <c r="E28" s="251">
        <v>200.0</v>
      </c>
      <c r="F28" s="251">
        <v>200.0</v>
      </c>
    </row>
    <row r="29" ht="22.5" customHeight="1">
      <c r="C29" s="246" t="s">
        <v>298</v>
      </c>
      <c r="D29" s="246" t="s">
        <v>394</v>
      </c>
      <c r="E29" s="251">
        <v>150.0</v>
      </c>
      <c r="F29" s="247">
        <v>300.0</v>
      </c>
    </row>
    <row r="30" ht="22.5" customHeight="1">
      <c r="C30" s="246" t="s">
        <v>299</v>
      </c>
      <c r="D30" s="246" t="s">
        <v>397</v>
      </c>
      <c r="E30" s="251">
        <v>200.0</v>
      </c>
      <c r="F30" s="251">
        <v>200.0</v>
      </c>
    </row>
    <row r="31" ht="22.5" customHeight="1">
      <c r="C31" s="246" t="s">
        <v>300</v>
      </c>
      <c r="D31" s="246" t="s">
        <v>409</v>
      </c>
      <c r="E31" s="247">
        <v>30.0</v>
      </c>
      <c r="F31" s="251">
        <v>180.0</v>
      </c>
    </row>
    <row r="32" ht="22.5" customHeight="1">
      <c r="C32" s="246" t="s">
        <v>301</v>
      </c>
      <c r="D32" s="246" t="s">
        <v>410</v>
      </c>
      <c r="E32" s="251">
        <v>1450.0</v>
      </c>
      <c r="F32" s="251">
        <v>1450.0</v>
      </c>
    </row>
    <row r="33" ht="22.5" customHeight="1">
      <c r="C33" s="246" t="s">
        <v>302</v>
      </c>
      <c r="D33" s="246" t="s">
        <v>397</v>
      </c>
      <c r="E33" s="251">
        <v>100.0</v>
      </c>
      <c r="F33" s="251">
        <v>100.0</v>
      </c>
    </row>
    <row r="34" ht="22.5" customHeight="1">
      <c r="C34" s="246" t="s">
        <v>303</v>
      </c>
      <c r="D34" s="246" t="s">
        <v>397</v>
      </c>
      <c r="E34" s="251">
        <v>30.0</v>
      </c>
      <c r="F34" s="251">
        <v>30.0</v>
      </c>
    </row>
    <row r="35" ht="22.5" customHeight="1">
      <c r="C35" s="246" t="s">
        <v>304</v>
      </c>
      <c r="D35" s="246" t="s">
        <v>397</v>
      </c>
      <c r="E35" s="251">
        <v>30.0</v>
      </c>
      <c r="F35" s="251">
        <v>30.0</v>
      </c>
    </row>
    <row r="36" ht="22.5" customHeight="1">
      <c r="C36" s="246" t="s">
        <v>305</v>
      </c>
      <c r="D36" s="246" t="s">
        <v>397</v>
      </c>
      <c r="E36" s="251">
        <v>360.0</v>
      </c>
      <c r="F36" s="251">
        <v>360.0</v>
      </c>
    </row>
    <row r="37" ht="22.5" customHeight="1">
      <c r="C37" s="246" t="s">
        <v>306</v>
      </c>
      <c r="D37" s="246" t="s">
        <v>397</v>
      </c>
      <c r="E37" s="251">
        <v>150.0</v>
      </c>
      <c r="F37" s="251">
        <v>150.0</v>
      </c>
    </row>
    <row r="38" ht="22.5" customHeight="1">
      <c r="C38" s="246" t="s">
        <v>307</v>
      </c>
      <c r="D38" s="246">
        <v>1.0</v>
      </c>
      <c r="E38" s="251">
        <v>5500.0</v>
      </c>
      <c r="F38" s="251">
        <v>5500.0</v>
      </c>
    </row>
    <row r="39" ht="22.5" customHeight="1">
      <c r="C39" s="246" t="s">
        <v>255</v>
      </c>
      <c r="D39" s="246" t="s">
        <v>411</v>
      </c>
      <c r="E39" s="251">
        <v>100.0</v>
      </c>
      <c r="F39" s="251">
        <v>500.0</v>
      </c>
    </row>
    <row r="40" ht="22.5" customHeight="1">
      <c r="C40" s="246" t="s">
        <v>308</v>
      </c>
      <c r="D40" s="246" t="s">
        <v>397</v>
      </c>
      <c r="E40" s="251">
        <v>30.0</v>
      </c>
      <c r="F40" s="251">
        <v>30.0</v>
      </c>
    </row>
    <row r="41" ht="22.5" customHeight="1">
      <c r="C41" s="246" t="s">
        <v>140</v>
      </c>
      <c r="D41" s="246" t="s">
        <v>396</v>
      </c>
      <c r="E41" s="251">
        <v>750.0</v>
      </c>
      <c r="F41" s="251">
        <v>750.0</v>
      </c>
    </row>
    <row r="42" ht="22.5" customHeight="1">
      <c r="C42" s="246" t="s">
        <v>295</v>
      </c>
      <c r="D42" s="246" t="s">
        <v>412</v>
      </c>
      <c r="E42" s="247">
        <v>750.0</v>
      </c>
      <c r="F42" s="247">
        <v>900.0</v>
      </c>
    </row>
    <row r="43" ht="22.5" customHeight="1">
      <c r="C43" s="246" t="s">
        <v>309</v>
      </c>
      <c r="D43" s="246" t="s">
        <v>396</v>
      </c>
      <c r="E43" s="251">
        <v>70.0</v>
      </c>
      <c r="F43" s="251">
        <v>70.0</v>
      </c>
    </row>
    <row r="44" ht="22.5" customHeight="1">
      <c r="C44" s="246" t="s">
        <v>310</v>
      </c>
      <c r="D44" s="246" t="s">
        <v>397</v>
      </c>
      <c r="E44" s="251">
        <v>195.0</v>
      </c>
      <c r="F44" s="251">
        <v>195.0</v>
      </c>
    </row>
    <row r="45" ht="22.5" customHeight="1">
      <c r="C45" s="246" t="s">
        <v>300</v>
      </c>
      <c r="D45" s="246" t="s">
        <v>413</v>
      </c>
      <c r="E45" s="251">
        <v>30.0</v>
      </c>
      <c r="F45" s="251">
        <v>60.0</v>
      </c>
    </row>
    <row r="46" ht="22.5" customHeight="1">
      <c r="C46" s="246" t="s">
        <v>255</v>
      </c>
      <c r="D46" s="246" t="s">
        <v>414</v>
      </c>
      <c r="E46" s="251">
        <v>100.0</v>
      </c>
      <c r="F46" s="251">
        <v>1000.0</v>
      </c>
    </row>
    <row r="47" ht="22.5" customHeight="1">
      <c r="C47" s="246" t="s">
        <v>311</v>
      </c>
      <c r="D47" s="246" t="s">
        <v>397</v>
      </c>
      <c r="E47" s="251">
        <v>300.0</v>
      </c>
      <c r="F47" s="251">
        <v>300.0</v>
      </c>
    </row>
    <row r="48" ht="22.5" customHeight="1">
      <c r="C48" s="246" t="s">
        <v>312</v>
      </c>
      <c r="D48" s="246" t="s">
        <v>415</v>
      </c>
      <c r="E48" s="251">
        <v>500.0</v>
      </c>
      <c r="F48" s="251">
        <v>1000.0</v>
      </c>
    </row>
    <row r="49" ht="22.5" customHeight="1">
      <c r="C49" s="246" t="s">
        <v>313</v>
      </c>
      <c r="D49" s="246" t="s">
        <v>394</v>
      </c>
      <c r="E49" s="251">
        <v>100.0</v>
      </c>
      <c r="F49" s="251">
        <v>200.0</v>
      </c>
    </row>
    <row r="50" ht="22.5" customHeight="1">
      <c r="C50" s="246" t="s">
        <v>304</v>
      </c>
      <c r="D50" s="246" t="s">
        <v>397</v>
      </c>
      <c r="E50" s="251">
        <v>30.0</v>
      </c>
      <c r="F50" s="251">
        <v>30.0</v>
      </c>
    </row>
    <row r="51" ht="22.5" customHeight="1">
      <c r="C51" s="246" t="s">
        <v>309</v>
      </c>
      <c r="D51" s="246" t="s">
        <v>396</v>
      </c>
      <c r="E51" s="251">
        <v>80.0</v>
      </c>
      <c r="F51" s="251">
        <v>80.0</v>
      </c>
    </row>
    <row r="52" ht="22.5" customHeight="1">
      <c r="C52" s="246" t="s">
        <v>314</v>
      </c>
      <c r="D52" s="246" t="s">
        <v>416</v>
      </c>
      <c r="E52" s="251">
        <v>120.0</v>
      </c>
      <c r="F52" s="251">
        <v>60.0</v>
      </c>
    </row>
    <row r="53" ht="22.5" customHeight="1">
      <c r="C53" s="246" t="s">
        <v>315</v>
      </c>
      <c r="D53" s="246" t="s">
        <v>416</v>
      </c>
      <c r="E53" s="251">
        <v>120.0</v>
      </c>
      <c r="F53" s="251">
        <v>60.0</v>
      </c>
    </row>
    <row r="54" ht="22.5" customHeight="1">
      <c r="C54" s="246" t="s">
        <v>140</v>
      </c>
      <c r="D54" s="246" t="s">
        <v>417</v>
      </c>
      <c r="E54" s="251">
        <v>750.0</v>
      </c>
      <c r="F54" s="251">
        <v>3000.0</v>
      </c>
    </row>
    <row r="55" ht="22.5" customHeight="1">
      <c r="C55" s="246" t="s">
        <v>316</v>
      </c>
      <c r="D55" s="246" t="s">
        <v>418</v>
      </c>
      <c r="E55" s="251">
        <v>200.0</v>
      </c>
      <c r="F55" s="251">
        <v>1000.0</v>
      </c>
    </row>
    <row r="56" ht="22.5" customHeight="1">
      <c r="C56" s="246" t="s">
        <v>317</v>
      </c>
      <c r="D56" s="246" t="s">
        <v>397</v>
      </c>
      <c r="E56" s="251">
        <v>150.0</v>
      </c>
      <c r="F56" s="251">
        <v>150.0</v>
      </c>
    </row>
    <row r="57" ht="22.5" customHeight="1">
      <c r="C57" s="246" t="s">
        <v>318</v>
      </c>
      <c r="D57" s="246" t="s">
        <v>397</v>
      </c>
      <c r="E57" s="251">
        <v>100.0</v>
      </c>
      <c r="F57" s="251">
        <v>100.0</v>
      </c>
    </row>
    <row r="58" ht="22.5" customHeight="1">
      <c r="C58" s="246" t="s">
        <v>319</v>
      </c>
      <c r="D58" s="246" t="s">
        <v>397</v>
      </c>
      <c r="E58" s="251">
        <v>500.0</v>
      </c>
      <c r="F58" s="251">
        <v>500.0</v>
      </c>
    </row>
    <row r="59" ht="22.5" customHeight="1">
      <c r="C59" s="246" t="s">
        <v>320</v>
      </c>
      <c r="D59" s="246" t="s">
        <v>394</v>
      </c>
      <c r="E59" s="251">
        <v>420.0</v>
      </c>
      <c r="F59" s="251">
        <v>840.0</v>
      </c>
    </row>
    <row r="60" ht="22.5" customHeight="1">
      <c r="C60" s="246" t="s">
        <v>321</v>
      </c>
      <c r="D60" s="246" t="s">
        <v>410</v>
      </c>
      <c r="E60" s="251" t="s">
        <v>419</v>
      </c>
      <c r="F60" s="251">
        <v>1450.0</v>
      </c>
    </row>
    <row r="61" ht="22.5" customHeight="1">
      <c r="C61" s="246" t="s">
        <v>140</v>
      </c>
      <c r="D61" s="246" t="s">
        <v>394</v>
      </c>
      <c r="E61" s="251">
        <v>750.0</v>
      </c>
      <c r="F61" s="251">
        <v>1500.0</v>
      </c>
    </row>
    <row r="62" ht="22.5" customHeight="1">
      <c r="C62" s="246" t="s">
        <v>322</v>
      </c>
      <c r="D62" s="246">
        <v>3.0</v>
      </c>
      <c r="E62" s="247">
        <v>100.0</v>
      </c>
      <c r="F62" s="251">
        <v>300.0</v>
      </c>
    </row>
    <row r="63" ht="22.5" customHeight="1">
      <c r="C63" s="246" t="s">
        <v>255</v>
      </c>
      <c r="D63" s="246" t="s">
        <v>411</v>
      </c>
      <c r="E63" s="251">
        <v>100.0</v>
      </c>
      <c r="F63" s="251">
        <v>500.0</v>
      </c>
    </row>
    <row r="64" ht="22.5" customHeight="1">
      <c r="C64" s="246" t="s">
        <v>420</v>
      </c>
      <c r="D64" s="246">
        <v>30.0</v>
      </c>
      <c r="E64" s="247">
        <v>576.3</v>
      </c>
      <c r="F64" s="247">
        <v>17461.0</v>
      </c>
    </row>
    <row r="65" ht="22.5" customHeight="1">
      <c r="C65" s="246" t="s">
        <v>421</v>
      </c>
      <c r="D65" s="246">
        <v>1.0</v>
      </c>
      <c r="E65" s="247">
        <v>1.0</v>
      </c>
      <c r="F65" s="247">
        <v>26000.0</v>
      </c>
    </row>
    <row r="66" ht="22.5" customHeight="1">
      <c r="C66" s="246" t="s">
        <v>422</v>
      </c>
      <c r="D66" s="246">
        <v>1.0</v>
      </c>
      <c r="E66" s="247">
        <v>1450.0</v>
      </c>
      <c r="F66" s="247">
        <v>1450.0</v>
      </c>
    </row>
    <row r="67" ht="22.5" customHeight="1">
      <c r="C67" s="246" t="s">
        <v>323</v>
      </c>
      <c r="D67" s="246">
        <v>5.0</v>
      </c>
      <c r="E67" s="247">
        <v>50.0</v>
      </c>
      <c r="F67" s="247">
        <f>D67*E67</f>
        <v>250</v>
      </c>
    </row>
    <row r="68" ht="22.5" customHeight="1">
      <c r="C68" s="246" t="s">
        <v>324</v>
      </c>
      <c r="D68" s="246">
        <v>1.0</v>
      </c>
      <c r="E68" s="247">
        <v>120.0</v>
      </c>
      <c r="F68" s="247">
        <v>120.0</v>
      </c>
    </row>
    <row r="69" ht="22.5" customHeight="1">
      <c r="C69" s="246" t="s">
        <v>423</v>
      </c>
      <c r="D69" s="246">
        <v>1.0</v>
      </c>
      <c r="E69" s="247">
        <v>1000.0</v>
      </c>
      <c r="F69" s="247">
        <v>1000.0</v>
      </c>
    </row>
    <row r="70" ht="22.5" customHeight="1">
      <c r="C70" s="246" t="s">
        <v>424</v>
      </c>
      <c r="D70" s="246">
        <v>1.0</v>
      </c>
      <c r="E70" s="247">
        <v>350.0</v>
      </c>
      <c r="F70" s="247">
        <v>350.0</v>
      </c>
    </row>
    <row r="71" ht="22.5" customHeight="1">
      <c r="C71" s="246" t="s">
        <v>425</v>
      </c>
      <c r="D71" s="246">
        <v>6.0</v>
      </c>
      <c r="E71" s="247">
        <v>550.0</v>
      </c>
      <c r="F71" s="247">
        <f t="shared" ref="F71:F78" si="1">D71*E71</f>
        <v>3300</v>
      </c>
    </row>
    <row r="72" ht="22.5" customHeight="1">
      <c r="C72" s="246" t="s">
        <v>325</v>
      </c>
      <c r="D72" s="246">
        <v>1.0</v>
      </c>
      <c r="E72" s="247">
        <v>3620.0</v>
      </c>
      <c r="F72" s="247">
        <f t="shared" si="1"/>
        <v>3620</v>
      </c>
    </row>
    <row r="73" ht="22.5" customHeight="1">
      <c r="C73" s="246" t="s">
        <v>426</v>
      </c>
      <c r="D73" s="246">
        <v>1.0</v>
      </c>
      <c r="E73" s="247">
        <v>1400.0</v>
      </c>
      <c r="F73" s="247">
        <f t="shared" si="1"/>
        <v>1400</v>
      </c>
    </row>
    <row r="74" ht="22.5" customHeight="1">
      <c r="C74" s="246" t="s">
        <v>427</v>
      </c>
      <c r="D74" s="246">
        <v>1.0</v>
      </c>
      <c r="E74" s="247">
        <v>1100.0</v>
      </c>
      <c r="F74" s="247">
        <f t="shared" si="1"/>
        <v>1100</v>
      </c>
      <c r="R74" s="240"/>
      <c r="S74" s="240"/>
    </row>
    <row r="75" ht="22.5" customHeight="1">
      <c r="C75" s="246" t="s">
        <v>428</v>
      </c>
      <c r="D75" s="246">
        <v>1.0</v>
      </c>
      <c r="E75" s="247">
        <v>2000.0</v>
      </c>
      <c r="F75" s="247">
        <f t="shared" si="1"/>
        <v>2000</v>
      </c>
      <c r="Q75" s="241" t="s">
        <v>92</v>
      </c>
      <c r="R75" s="241" t="s">
        <v>93</v>
      </c>
      <c r="S75" s="241" t="s">
        <v>387</v>
      </c>
      <c r="T75" s="241" t="s">
        <v>388</v>
      </c>
    </row>
    <row r="76" ht="22.5" customHeight="1">
      <c r="C76" s="246" t="s">
        <v>429</v>
      </c>
      <c r="D76" s="246">
        <v>1.0</v>
      </c>
      <c r="E76" s="247">
        <v>2000.0</v>
      </c>
      <c r="F76" s="247">
        <f t="shared" si="1"/>
        <v>2000</v>
      </c>
      <c r="S76" s="242"/>
      <c r="T76" s="242"/>
    </row>
    <row r="77" ht="22.5" customHeight="1">
      <c r="C77" s="246" t="s">
        <v>255</v>
      </c>
      <c r="D77" s="246">
        <v>3.0</v>
      </c>
      <c r="E77" s="247">
        <v>100.0</v>
      </c>
      <c r="F77" s="247">
        <f t="shared" si="1"/>
        <v>300</v>
      </c>
      <c r="Q77" s="258" t="s">
        <v>329</v>
      </c>
      <c r="R77" s="258">
        <v>2.0</v>
      </c>
      <c r="S77" s="259">
        <v>200.0</v>
      </c>
      <c r="T77" s="259">
        <v>400.0</v>
      </c>
    </row>
    <row r="78" ht="22.5" customHeight="1">
      <c r="C78" s="246" t="s">
        <v>318</v>
      </c>
      <c r="D78" s="246">
        <v>2.0</v>
      </c>
      <c r="E78" s="247">
        <v>110.0</v>
      </c>
      <c r="F78" s="247">
        <f t="shared" si="1"/>
        <v>220</v>
      </c>
      <c r="Q78" s="258" t="s">
        <v>255</v>
      </c>
      <c r="R78" s="258" t="s">
        <v>393</v>
      </c>
      <c r="S78" s="259">
        <v>1200.0</v>
      </c>
      <c r="T78" s="259">
        <v>1200.0</v>
      </c>
    </row>
    <row r="79" ht="22.5" customHeight="1">
      <c r="Q79" s="258" t="s">
        <v>326</v>
      </c>
      <c r="R79" s="258" t="s">
        <v>394</v>
      </c>
      <c r="S79" s="259">
        <v>360.0</v>
      </c>
      <c r="T79" s="259">
        <v>720.0</v>
      </c>
    </row>
    <row r="80" ht="22.5" customHeight="1">
      <c r="Q80" s="258" t="s">
        <v>313</v>
      </c>
      <c r="R80" s="258" t="s">
        <v>394</v>
      </c>
      <c r="S80" s="259">
        <v>200.0</v>
      </c>
      <c r="T80" s="259">
        <v>400.0</v>
      </c>
    </row>
    <row r="81" ht="22.5" customHeight="1">
      <c r="Q81" s="258" t="s">
        <v>327</v>
      </c>
      <c r="R81" s="258" t="s">
        <v>396</v>
      </c>
      <c r="S81" s="259">
        <v>110.0</v>
      </c>
      <c r="T81" s="259">
        <v>110.0</v>
      </c>
    </row>
    <row r="82" ht="22.5" customHeight="1">
      <c r="Q82" s="258" t="s">
        <v>328</v>
      </c>
      <c r="R82" s="258" t="s">
        <v>397</v>
      </c>
      <c r="S82" s="259">
        <v>50.0</v>
      </c>
      <c r="T82" s="259">
        <v>50.0</v>
      </c>
    </row>
    <row r="83" ht="22.5" customHeight="1">
      <c r="Q83" s="258" t="s">
        <v>295</v>
      </c>
      <c r="R83" s="258" t="s">
        <v>399</v>
      </c>
      <c r="S83" s="259">
        <v>2430.0</v>
      </c>
      <c r="T83" s="259">
        <v>2430.0</v>
      </c>
    </row>
    <row r="84" ht="22.5" customHeight="1">
      <c r="Q84" s="258" t="s">
        <v>140</v>
      </c>
      <c r="R84" s="258" t="s">
        <v>400</v>
      </c>
      <c r="S84" s="259">
        <v>1950.0</v>
      </c>
      <c r="T84" s="259">
        <v>6825.0</v>
      </c>
    </row>
    <row r="85" ht="22.5" customHeight="1">
      <c r="Q85" s="258" t="s">
        <v>296</v>
      </c>
      <c r="R85" s="258" t="s">
        <v>401</v>
      </c>
      <c r="S85" s="259">
        <v>1170.0</v>
      </c>
      <c r="T85" s="259">
        <v>2925.0</v>
      </c>
    </row>
    <row r="86" ht="22.5" customHeight="1">
      <c r="Q86" s="258" t="s">
        <v>312</v>
      </c>
      <c r="R86" s="258" t="s">
        <v>403</v>
      </c>
      <c r="S86" s="259">
        <v>2000.0</v>
      </c>
      <c r="T86" s="259">
        <v>2000.0</v>
      </c>
    </row>
    <row r="87" ht="22.5" customHeight="1">
      <c r="Q87" s="258" t="s">
        <v>404</v>
      </c>
      <c r="R87" s="258" t="s">
        <v>394</v>
      </c>
      <c r="S87" s="259">
        <v>1200.0</v>
      </c>
      <c r="T87" s="259">
        <v>1200.0</v>
      </c>
    </row>
    <row r="88" ht="22.5" customHeight="1">
      <c r="Q88" s="258" t="s">
        <v>405</v>
      </c>
      <c r="R88" s="258" t="s">
        <v>394</v>
      </c>
      <c r="S88" s="259">
        <v>1200.0</v>
      </c>
      <c r="T88" s="259">
        <v>1200.0</v>
      </c>
    </row>
    <row r="89" ht="22.5" customHeight="1">
      <c r="Q89" s="258" t="s">
        <v>406</v>
      </c>
      <c r="R89" s="258" t="s">
        <v>430</v>
      </c>
      <c r="S89" s="259">
        <v>2000.0</v>
      </c>
      <c r="T89" s="259">
        <v>2000.0</v>
      </c>
    </row>
    <row r="90" ht="22.5" customHeight="1">
      <c r="Q90" s="258" t="s">
        <v>139</v>
      </c>
      <c r="R90" s="258" t="s">
        <v>396</v>
      </c>
      <c r="S90" s="259">
        <v>1000.0</v>
      </c>
      <c r="T90" s="259">
        <v>1000.0</v>
      </c>
    </row>
    <row r="91" ht="22.5" customHeight="1">
      <c r="Q91" s="258" t="s">
        <v>297</v>
      </c>
      <c r="R91" s="258" t="s">
        <v>408</v>
      </c>
      <c r="S91" s="259">
        <v>200.0</v>
      </c>
      <c r="T91" s="259">
        <v>200.0</v>
      </c>
    </row>
    <row r="92" ht="22.5" customHeight="1">
      <c r="Q92" s="258" t="s">
        <v>298</v>
      </c>
      <c r="R92" s="258" t="s">
        <v>394</v>
      </c>
      <c r="S92" s="259">
        <v>150.0</v>
      </c>
      <c r="T92" s="259">
        <v>150.0</v>
      </c>
    </row>
    <row r="93" ht="22.5" customHeight="1">
      <c r="Q93" s="258" t="s">
        <v>299</v>
      </c>
      <c r="R93" s="258" t="s">
        <v>397</v>
      </c>
      <c r="S93" s="259">
        <v>200.0</v>
      </c>
      <c r="T93" s="259">
        <v>200.0</v>
      </c>
    </row>
    <row r="94" ht="22.5" customHeight="1">
      <c r="Q94" s="258" t="s">
        <v>300</v>
      </c>
      <c r="R94" s="258" t="s">
        <v>409</v>
      </c>
      <c r="S94" s="259">
        <v>120.0</v>
      </c>
      <c r="T94" s="259">
        <v>180.0</v>
      </c>
    </row>
    <row r="95" ht="22.5" customHeight="1">
      <c r="Q95" s="258" t="s">
        <v>301</v>
      </c>
      <c r="R95" s="258" t="s">
        <v>410</v>
      </c>
      <c r="S95" s="259">
        <v>1450.0</v>
      </c>
      <c r="T95" s="259">
        <v>1450.0</v>
      </c>
    </row>
    <row r="96" ht="22.5" customHeight="1">
      <c r="Q96" s="258" t="s">
        <v>302</v>
      </c>
      <c r="R96" s="258" t="s">
        <v>397</v>
      </c>
      <c r="S96" s="259">
        <v>100.0</v>
      </c>
      <c r="T96" s="259">
        <v>100.0</v>
      </c>
    </row>
    <row r="97" ht="22.5" customHeight="1">
      <c r="Q97" s="258" t="s">
        <v>303</v>
      </c>
      <c r="R97" s="258" t="s">
        <v>397</v>
      </c>
      <c r="S97" s="259">
        <v>30.0</v>
      </c>
      <c r="T97" s="259">
        <v>30.0</v>
      </c>
    </row>
    <row r="98" ht="22.5" customHeight="1">
      <c r="Q98" s="258" t="s">
        <v>304</v>
      </c>
      <c r="R98" s="258" t="s">
        <v>397</v>
      </c>
      <c r="S98" s="259">
        <v>30.0</v>
      </c>
      <c r="T98" s="259">
        <v>30.0</v>
      </c>
    </row>
    <row r="99" ht="22.5" customHeight="1">
      <c r="Q99" s="258" t="s">
        <v>305</v>
      </c>
      <c r="R99" s="258" t="s">
        <v>397</v>
      </c>
      <c r="S99" s="259">
        <v>360.0</v>
      </c>
      <c r="T99" s="259">
        <v>360.0</v>
      </c>
    </row>
    <row r="100" ht="22.5" customHeight="1">
      <c r="Q100" s="258" t="s">
        <v>306</v>
      </c>
      <c r="R100" s="258" t="s">
        <v>397</v>
      </c>
      <c r="S100" s="259">
        <v>150.0</v>
      </c>
      <c r="T100" s="259">
        <v>150.0</v>
      </c>
    </row>
    <row r="101" ht="22.5" customHeight="1">
      <c r="Q101" s="258" t="s">
        <v>307</v>
      </c>
      <c r="R101" s="258">
        <v>1.0</v>
      </c>
      <c r="S101" s="259">
        <v>5500.0</v>
      </c>
      <c r="T101" s="259">
        <v>5500.0</v>
      </c>
    </row>
    <row r="102" ht="22.5" customHeight="1">
      <c r="Q102" s="258" t="s">
        <v>255</v>
      </c>
      <c r="R102" s="258" t="s">
        <v>411</v>
      </c>
      <c r="S102" s="259">
        <v>100.0</v>
      </c>
      <c r="T102" s="259">
        <v>500.0</v>
      </c>
    </row>
    <row r="103" ht="22.5" customHeight="1">
      <c r="Q103" s="258" t="s">
        <v>308</v>
      </c>
      <c r="R103" s="258" t="s">
        <v>397</v>
      </c>
      <c r="S103" s="259">
        <v>30.0</v>
      </c>
      <c r="T103" s="259">
        <v>30.0</v>
      </c>
    </row>
    <row r="104" ht="22.5" customHeight="1">
      <c r="Q104" s="258" t="s">
        <v>140</v>
      </c>
      <c r="R104" s="258" t="s">
        <v>396</v>
      </c>
      <c r="S104" s="259">
        <v>750.0</v>
      </c>
      <c r="T104" s="259">
        <v>750.0</v>
      </c>
    </row>
    <row r="105" ht="22.5" customHeight="1">
      <c r="Q105" s="258" t="s">
        <v>295</v>
      </c>
      <c r="R105" s="258" t="s">
        <v>431</v>
      </c>
      <c r="S105" s="259">
        <v>1250.0</v>
      </c>
      <c r="T105" s="259">
        <v>250.0</v>
      </c>
    </row>
    <row r="106" ht="22.5" customHeight="1">
      <c r="Q106" s="258" t="s">
        <v>309</v>
      </c>
      <c r="R106" s="258" t="s">
        <v>396</v>
      </c>
      <c r="S106" s="259">
        <v>70.0</v>
      </c>
      <c r="T106" s="259">
        <v>70.0</v>
      </c>
    </row>
    <row r="107" ht="22.5" customHeight="1">
      <c r="Q107" s="258" t="s">
        <v>310</v>
      </c>
      <c r="R107" s="258" t="s">
        <v>397</v>
      </c>
      <c r="S107" s="259">
        <v>195.0</v>
      </c>
      <c r="T107" s="259">
        <v>195.0</v>
      </c>
    </row>
    <row r="108" ht="22.5" customHeight="1">
      <c r="Q108" s="258" t="s">
        <v>300</v>
      </c>
      <c r="R108" s="258" t="s">
        <v>413</v>
      </c>
      <c r="S108" s="259">
        <v>30.0</v>
      </c>
      <c r="T108" s="259">
        <v>60.0</v>
      </c>
    </row>
    <row r="109" ht="22.5" customHeight="1">
      <c r="Q109" s="258" t="s">
        <v>255</v>
      </c>
      <c r="R109" s="258" t="s">
        <v>414</v>
      </c>
      <c r="S109" s="259">
        <v>100.0</v>
      </c>
      <c r="T109" s="259">
        <v>1000.0</v>
      </c>
    </row>
    <row r="110" ht="22.5" customHeight="1">
      <c r="Q110" s="258" t="s">
        <v>311</v>
      </c>
      <c r="R110" s="258" t="s">
        <v>397</v>
      </c>
      <c r="S110" s="259">
        <v>300.0</v>
      </c>
      <c r="T110" s="259">
        <v>300.0</v>
      </c>
    </row>
    <row r="111" ht="22.5" customHeight="1">
      <c r="Q111" s="258" t="s">
        <v>312</v>
      </c>
      <c r="R111" s="258" t="s">
        <v>415</v>
      </c>
      <c r="S111" s="259">
        <v>500.0</v>
      </c>
      <c r="T111" s="259">
        <v>1000.0</v>
      </c>
    </row>
    <row r="112" ht="22.5" customHeight="1">
      <c r="Q112" s="258" t="s">
        <v>313</v>
      </c>
      <c r="R112" s="258" t="s">
        <v>394</v>
      </c>
      <c r="S112" s="259">
        <v>100.0</v>
      </c>
      <c r="T112" s="259">
        <v>200.0</v>
      </c>
    </row>
    <row r="113" ht="22.5" customHeight="1">
      <c r="Q113" s="258" t="s">
        <v>304</v>
      </c>
      <c r="R113" s="258" t="s">
        <v>397</v>
      </c>
      <c r="S113" s="259">
        <v>30.0</v>
      </c>
      <c r="T113" s="259">
        <v>30.0</v>
      </c>
    </row>
    <row r="114" ht="22.5" customHeight="1">
      <c r="Q114" s="258" t="s">
        <v>309</v>
      </c>
      <c r="R114" s="258" t="s">
        <v>396</v>
      </c>
      <c r="S114" s="259">
        <v>80.0</v>
      </c>
      <c r="T114" s="259">
        <v>80.0</v>
      </c>
    </row>
    <row r="115" ht="22.5" customHeight="1">
      <c r="Q115" s="258" t="s">
        <v>314</v>
      </c>
      <c r="R115" s="258" t="s">
        <v>416</v>
      </c>
      <c r="S115" s="259">
        <v>120.0</v>
      </c>
      <c r="T115" s="259">
        <v>60.0</v>
      </c>
    </row>
    <row r="116" ht="22.5" customHeight="1">
      <c r="Q116" s="258" t="s">
        <v>315</v>
      </c>
      <c r="R116" s="258" t="s">
        <v>416</v>
      </c>
      <c r="S116" s="259">
        <v>120.0</v>
      </c>
      <c r="T116" s="259">
        <v>60.0</v>
      </c>
    </row>
    <row r="117" ht="22.5" customHeight="1">
      <c r="Q117" s="258" t="s">
        <v>140</v>
      </c>
      <c r="R117" s="258" t="s">
        <v>417</v>
      </c>
      <c r="S117" s="259">
        <v>750.0</v>
      </c>
      <c r="T117" s="259">
        <v>3000.0</v>
      </c>
    </row>
    <row r="118" ht="22.5" customHeight="1">
      <c r="Q118" s="258" t="s">
        <v>316</v>
      </c>
      <c r="R118" s="258" t="s">
        <v>418</v>
      </c>
      <c r="S118" s="259">
        <v>200.0</v>
      </c>
      <c r="T118" s="259">
        <v>1000.0</v>
      </c>
    </row>
    <row r="119" ht="22.5" customHeight="1">
      <c r="Q119" s="258" t="s">
        <v>317</v>
      </c>
      <c r="R119" s="258" t="s">
        <v>397</v>
      </c>
      <c r="S119" s="259">
        <v>150.0</v>
      </c>
      <c r="T119" s="259">
        <v>150.0</v>
      </c>
    </row>
    <row r="120" ht="22.5" customHeight="1">
      <c r="Q120" s="258" t="s">
        <v>318</v>
      </c>
      <c r="R120" s="258" t="s">
        <v>397</v>
      </c>
      <c r="S120" s="259">
        <v>100.0</v>
      </c>
      <c r="T120" s="259">
        <v>100.0</v>
      </c>
    </row>
    <row r="121" ht="22.5" customHeight="1">
      <c r="Q121" s="258" t="s">
        <v>319</v>
      </c>
      <c r="R121" s="258" t="s">
        <v>397</v>
      </c>
      <c r="S121" s="259">
        <v>500.0</v>
      </c>
      <c r="T121" s="259">
        <v>500.0</v>
      </c>
    </row>
    <row r="122" ht="22.5" customHeight="1">
      <c r="Q122" s="258" t="s">
        <v>320</v>
      </c>
      <c r="R122" s="258" t="s">
        <v>394</v>
      </c>
      <c r="S122" s="259">
        <v>420.0</v>
      </c>
      <c r="T122" s="259">
        <v>840.0</v>
      </c>
    </row>
    <row r="123" ht="22.5" customHeight="1">
      <c r="Q123" s="258" t="s">
        <v>321</v>
      </c>
      <c r="R123" s="258" t="s">
        <v>410</v>
      </c>
      <c r="S123" s="260" t="s">
        <v>419</v>
      </c>
      <c r="T123" s="259">
        <v>1450.0</v>
      </c>
    </row>
    <row r="124" ht="22.5" customHeight="1">
      <c r="Q124" s="258" t="s">
        <v>140</v>
      </c>
      <c r="R124" s="258" t="s">
        <v>394</v>
      </c>
      <c r="S124" s="259">
        <v>750.0</v>
      </c>
      <c r="T124" s="259">
        <v>1500.0</v>
      </c>
    </row>
    <row r="125" ht="22.5" customHeight="1">
      <c r="Q125" s="258" t="s">
        <v>322</v>
      </c>
      <c r="R125" s="258" t="s">
        <v>396</v>
      </c>
      <c r="S125" s="259">
        <v>300.0</v>
      </c>
      <c r="T125" s="259">
        <v>300.0</v>
      </c>
    </row>
    <row r="126" ht="22.5" customHeight="1">
      <c r="Q126" s="258" t="s">
        <v>255</v>
      </c>
      <c r="R126" s="258" t="s">
        <v>411</v>
      </c>
      <c r="S126" s="259">
        <v>100.0</v>
      </c>
      <c r="T126" s="259">
        <v>500.0</v>
      </c>
    </row>
    <row r="127" ht="22.5" customHeight="1">
      <c r="Q127" s="261" t="s">
        <v>420</v>
      </c>
      <c r="R127" s="261">
        <v>30.0</v>
      </c>
      <c r="S127" s="262">
        <v>576.3</v>
      </c>
      <c r="T127" s="262">
        <v>17461.0</v>
      </c>
    </row>
    <row r="128" ht="22.5" customHeight="1">
      <c r="Q128" s="261" t="s">
        <v>421</v>
      </c>
      <c r="R128" s="261">
        <v>1.0</v>
      </c>
      <c r="S128" s="262">
        <v>1.0</v>
      </c>
      <c r="T128" s="262">
        <v>26000.0</v>
      </c>
    </row>
    <row r="129" ht="22.5" customHeight="1">
      <c r="Q129" s="261" t="s">
        <v>422</v>
      </c>
      <c r="R129" s="261">
        <v>1.0</v>
      </c>
      <c r="S129" s="262">
        <v>1450.0</v>
      </c>
      <c r="T129" s="262">
        <v>1450.0</v>
      </c>
    </row>
    <row r="130" ht="22.5" customHeight="1">
      <c r="Q130" s="263" t="s">
        <v>323</v>
      </c>
      <c r="R130" s="263">
        <v>5.0</v>
      </c>
      <c r="S130" s="264">
        <v>50.0</v>
      </c>
      <c r="T130" s="264">
        <f>R130*S130</f>
        <v>250</v>
      </c>
    </row>
    <row r="131" ht="22.5" customHeight="1">
      <c r="Q131" s="263" t="s">
        <v>324</v>
      </c>
      <c r="R131" s="263">
        <v>1.0</v>
      </c>
      <c r="S131" s="264">
        <v>120.0</v>
      </c>
      <c r="T131" s="264">
        <v>120.0</v>
      </c>
    </row>
    <row r="132" ht="22.5" customHeight="1">
      <c r="Q132" s="261" t="s">
        <v>423</v>
      </c>
      <c r="R132" s="261">
        <v>1.0</v>
      </c>
      <c r="S132" s="262">
        <v>1000.0</v>
      </c>
      <c r="T132" s="262">
        <v>1000.0</v>
      </c>
    </row>
    <row r="133" ht="22.5" customHeight="1">
      <c r="Q133" s="261" t="s">
        <v>424</v>
      </c>
      <c r="R133" s="261">
        <v>1.0</v>
      </c>
      <c r="S133" s="262">
        <v>350.0</v>
      </c>
      <c r="T133" s="262">
        <v>350.0</v>
      </c>
    </row>
    <row r="134" ht="22.5" customHeight="1">
      <c r="Q134" s="263" t="s">
        <v>425</v>
      </c>
      <c r="R134" s="263">
        <v>6.0</v>
      </c>
      <c r="S134" s="264">
        <v>550.0</v>
      </c>
      <c r="T134" s="264">
        <f t="shared" ref="T134:T141" si="2">R134*S134</f>
        <v>3300</v>
      </c>
    </row>
    <row r="135" ht="22.5" customHeight="1">
      <c r="Q135" s="263" t="s">
        <v>325</v>
      </c>
      <c r="R135" s="263">
        <v>1.0</v>
      </c>
      <c r="S135" s="264">
        <v>3620.0</v>
      </c>
      <c r="T135" s="264">
        <f t="shared" si="2"/>
        <v>3620</v>
      </c>
    </row>
    <row r="136" ht="22.5" customHeight="1">
      <c r="Q136" s="263" t="s">
        <v>426</v>
      </c>
      <c r="R136" s="263">
        <v>1.0</v>
      </c>
      <c r="S136" s="264">
        <v>1400.0</v>
      </c>
      <c r="T136" s="264">
        <f t="shared" si="2"/>
        <v>1400</v>
      </c>
    </row>
    <row r="137" ht="22.5" customHeight="1">
      <c r="Q137" s="263" t="s">
        <v>427</v>
      </c>
      <c r="R137" s="263">
        <v>1.0</v>
      </c>
      <c r="S137" s="264">
        <v>1100.0</v>
      </c>
      <c r="T137" s="264">
        <f t="shared" si="2"/>
        <v>1100</v>
      </c>
    </row>
    <row r="138" ht="22.5" customHeight="1">
      <c r="Q138" s="263" t="s">
        <v>428</v>
      </c>
      <c r="R138" s="263">
        <v>1.0</v>
      </c>
      <c r="S138" s="264">
        <v>2000.0</v>
      </c>
      <c r="T138" s="264">
        <f t="shared" si="2"/>
        <v>2000</v>
      </c>
    </row>
    <row r="139" ht="22.5" customHeight="1">
      <c r="Q139" s="263" t="s">
        <v>429</v>
      </c>
      <c r="R139" s="263">
        <v>1.0</v>
      </c>
      <c r="S139" s="264">
        <v>2000.0</v>
      </c>
      <c r="T139" s="264">
        <f t="shared" si="2"/>
        <v>2000</v>
      </c>
    </row>
    <row r="140" ht="22.5" customHeight="1">
      <c r="Q140" s="263" t="s">
        <v>255</v>
      </c>
      <c r="R140" s="263">
        <v>3.0</v>
      </c>
      <c r="S140" s="264">
        <v>100.0</v>
      </c>
      <c r="T140" s="264">
        <f t="shared" si="2"/>
        <v>300</v>
      </c>
    </row>
    <row r="141" ht="22.5" customHeight="1">
      <c r="Q141" s="263" t="s">
        <v>318</v>
      </c>
      <c r="R141" s="263">
        <v>2.0</v>
      </c>
      <c r="S141" s="264">
        <v>110.0</v>
      </c>
      <c r="T141" s="264">
        <f t="shared" si="2"/>
        <v>220</v>
      </c>
    </row>
  </sheetData>
  <mergeCells count="9">
    <mergeCell ref="H22:I22"/>
    <mergeCell ref="H23:I24"/>
    <mergeCell ref="H13:I13"/>
    <mergeCell ref="K13:L13"/>
    <mergeCell ref="H14:I15"/>
    <mergeCell ref="H16:I16"/>
    <mergeCell ref="H17:I18"/>
    <mergeCell ref="H19:I19"/>
    <mergeCell ref="H20:I21"/>
  </mergeCells>
  <dataValidations>
    <dataValidation type="custom" allowBlank="1" showDropDown="1" sqref="E13:F78 S76:T141">
      <formula1>AND(ISNUMBER(E13),(NOT(OR(NOT(ISERROR(DATEVALUE(E13))), AND(ISNUMBER(E13), LEFT(CELL("format", E13))="D")))))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88"/>
    <col customWidth="1" min="4" max="4" width="24.88"/>
    <col customWidth="1" min="5" max="5" width="30.5"/>
    <col customWidth="1" min="6" max="7" width="25.25"/>
    <col customWidth="1" min="8" max="9" width="24.5"/>
    <col customWidth="1" min="10" max="10" width="24.88"/>
    <col customWidth="1" min="11" max="11" width="24.5"/>
    <col customWidth="1" min="12" max="12" width="26.0"/>
    <col customWidth="1" min="13" max="13" width="25.25"/>
    <col customWidth="1" min="14" max="14" width="29.38"/>
    <col customWidth="1" min="16" max="16" width="25.25"/>
    <col customWidth="1" min="17" max="17" width="26.0"/>
  </cols>
  <sheetData>
    <row r="20">
      <c r="B20" s="6"/>
      <c r="C20" s="63"/>
      <c r="D20" s="63"/>
      <c r="E20" s="63"/>
      <c r="F20" s="63"/>
      <c r="G20" s="63"/>
      <c r="H20" s="63"/>
      <c r="I20" s="6"/>
      <c r="J20" s="6"/>
      <c r="K20" s="6"/>
      <c r="L20" s="6"/>
      <c r="M20" s="6"/>
      <c r="N20" s="6"/>
      <c r="O20" s="6"/>
      <c r="P20" s="6"/>
      <c r="Q20" s="63"/>
      <c r="R20" s="6"/>
    </row>
    <row r="21">
      <c r="B21" s="6"/>
      <c r="C21" s="63"/>
      <c r="D21" s="265" t="s">
        <v>432</v>
      </c>
      <c r="E21" s="265" t="s">
        <v>433</v>
      </c>
      <c r="F21" s="265" t="s">
        <v>434</v>
      </c>
      <c r="G21" s="265" t="s">
        <v>435</v>
      </c>
      <c r="H21" s="265" t="s">
        <v>436</v>
      </c>
      <c r="I21" s="266" t="s">
        <v>437</v>
      </c>
      <c r="J21" s="266" t="s">
        <v>438</v>
      </c>
      <c r="K21" s="267" t="s">
        <v>439</v>
      </c>
      <c r="L21" s="268" t="s">
        <v>440</v>
      </c>
      <c r="M21" s="268" t="s">
        <v>441</v>
      </c>
      <c r="N21" s="269" t="s">
        <v>442</v>
      </c>
      <c r="O21" s="6"/>
      <c r="P21" s="1"/>
      <c r="Q21" s="270" t="s">
        <v>443</v>
      </c>
      <c r="R21" s="6"/>
    </row>
    <row r="22">
      <c r="B22" s="6"/>
      <c r="C22" s="271" t="s">
        <v>2</v>
      </c>
      <c r="D22" s="33">
        <v>1756000.0</v>
      </c>
      <c r="E22" s="33">
        <v>2274000.0</v>
      </c>
      <c r="F22" s="33">
        <v>1984000.0</v>
      </c>
      <c r="G22" s="33">
        <v>1910000.0</v>
      </c>
      <c r="H22" s="33">
        <v>1342000.0</v>
      </c>
      <c r="I22" s="272">
        <v>1760000.0</v>
      </c>
      <c r="J22" s="272">
        <v>2260000.0</v>
      </c>
      <c r="K22" s="273">
        <v>1427000.0</v>
      </c>
      <c r="L22" s="272">
        <v>1740000.0</v>
      </c>
      <c r="M22" s="274">
        <v>1620000.0</v>
      </c>
      <c r="N22" s="274">
        <v>1328000.0</v>
      </c>
      <c r="O22" s="72"/>
      <c r="P22" s="271" t="s">
        <v>2</v>
      </c>
      <c r="Q22" s="275">
        <v>1328000.0</v>
      </c>
      <c r="R22" s="6"/>
    </row>
    <row r="23">
      <c r="B23" s="6"/>
      <c r="C23" s="271" t="s">
        <v>3</v>
      </c>
      <c r="D23" s="33">
        <v>920000.0</v>
      </c>
      <c r="E23" s="33">
        <v>914000.0</v>
      </c>
      <c r="F23" s="33">
        <v>928000.0</v>
      </c>
      <c r="G23" s="33">
        <v>744000.0</v>
      </c>
      <c r="H23" s="33">
        <v>646000.0</v>
      </c>
      <c r="I23" s="272">
        <v>804000.0</v>
      </c>
      <c r="J23" s="272">
        <v>958000.0</v>
      </c>
      <c r="K23" s="273">
        <v>640000.0</v>
      </c>
      <c r="L23" s="272">
        <v>716000.0</v>
      </c>
      <c r="M23" s="274">
        <v>747000.0</v>
      </c>
      <c r="N23" s="274">
        <v>645000.0</v>
      </c>
      <c r="O23" s="72"/>
      <c r="P23" s="271" t="s">
        <v>3</v>
      </c>
      <c r="Q23" s="275">
        <v>645000.0</v>
      </c>
      <c r="R23" s="6"/>
    </row>
    <row r="24">
      <c r="B24" s="6"/>
      <c r="C24" s="271" t="s">
        <v>444</v>
      </c>
      <c r="D24" s="33">
        <v>349000.0</v>
      </c>
      <c r="E24" s="33">
        <v>410000.0</v>
      </c>
      <c r="F24" s="33">
        <v>406000.0</v>
      </c>
      <c r="G24" s="33">
        <v>344000.0</v>
      </c>
      <c r="H24" s="33">
        <v>436000.0</v>
      </c>
      <c r="I24" s="272">
        <v>396000.0</v>
      </c>
      <c r="J24" s="272">
        <v>432000.0</v>
      </c>
      <c r="K24" s="273">
        <v>307000.0</v>
      </c>
      <c r="L24" s="272">
        <v>514000.0</v>
      </c>
      <c r="M24" s="274">
        <v>438000.0</v>
      </c>
      <c r="N24" s="274">
        <v>365000.0</v>
      </c>
      <c r="O24" s="72"/>
      <c r="P24" s="271" t="s">
        <v>444</v>
      </c>
      <c r="Q24" s="275">
        <v>365000.0</v>
      </c>
      <c r="R24" s="6"/>
    </row>
    <row r="25">
      <c r="B25" s="6"/>
      <c r="C25" s="271" t="s">
        <v>6</v>
      </c>
      <c r="D25" s="33">
        <v>140000.0</v>
      </c>
      <c r="E25" s="33">
        <v>140000.0</v>
      </c>
      <c r="F25" s="33">
        <v>140000.0</v>
      </c>
      <c r="G25" s="33">
        <v>140000.0</v>
      </c>
      <c r="H25" s="33">
        <v>140000.0</v>
      </c>
      <c r="I25" s="272">
        <v>140000.0</v>
      </c>
      <c r="J25" s="272">
        <v>150000.0</v>
      </c>
      <c r="K25" s="273">
        <v>150000.0</v>
      </c>
      <c r="L25" s="272">
        <v>150000.0</v>
      </c>
      <c r="M25" s="274">
        <v>150000.0</v>
      </c>
      <c r="N25" s="274">
        <v>150000.0</v>
      </c>
      <c r="O25" s="72"/>
      <c r="P25" s="276" t="s">
        <v>445</v>
      </c>
      <c r="Q25" s="275">
        <v>48000.0</v>
      </c>
      <c r="R25" s="6"/>
    </row>
    <row r="26">
      <c r="B26" s="6"/>
      <c r="C26" s="271" t="s">
        <v>446</v>
      </c>
      <c r="D26" s="33">
        <f t="shared" ref="D26:F26" si="1">D22-D23-D24-D25</f>
        <v>347000</v>
      </c>
      <c r="E26" s="33">
        <f t="shared" si="1"/>
        <v>810000</v>
      </c>
      <c r="F26" s="33">
        <f t="shared" si="1"/>
        <v>510000</v>
      </c>
      <c r="G26" s="33">
        <v>680000.0</v>
      </c>
      <c r="H26" s="33">
        <f>H22-H23-H24-H25</f>
        <v>120000</v>
      </c>
      <c r="I26" s="272">
        <v>420000.0</v>
      </c>
      <c r="J26" s="272">
        <f>J22-J23-J24-J25</f>
        <v>720000</v>
      </c>
      <c r="K26" s="273">
        <v>330000.0</v>
      </c>
      <c r="L26" s="272">
        <f t="shared" ref="L26:M26" si="2">L22-L23-L24-L25</f>
        <v>360000</v>
      </c>
      <c r="M26" s="272">
        <f t="shared" si="2"/>
        <v>285000</v>
      </c>
      <c r="N26" s="274">
        <v>120000.0</v>
      </c>
      <c r="O26" s="72"/>
      <c r="P26" s="271" t="s">
        <v>6</v>
      </c>
      <c r="Q26" s="275">
        <v>150000.0</v>
      </c>
      <c r="R26" s="6"/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271" t="s">
        <v>446</v>
      </c>
      <c r="Q27" s="33">
        <f>Q22-Q23-Q24-Q25-Q26</f>
        <v>120000</v>
      </c>
      <c r="R27" s="6"/>
    </row>
    <row r="28">
      <c r="P28" s="6"/>
      <c r="Q28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63"/>
    <col customWidth="1" min="3" max="3" width="25.88"/>
    <col customWidth="1" min="5" max="5" width="25.88"/>
    <col customWidth="1" min="6" max="6" width="25.13"/>
    <col customWidth="1" min="7" max="7" width="26.13"/>
    <col customWidth="1" min="9" max="9" width="25.13"/>
    <col customWidth="1" min="10" max="10" width="25.38"/>
    <col customWidth="1" min="11" max="11" width="25.88"/>
    <col customWidth="1" min="13" max="13" width="25.63"/>
    <col customWidth="1" min="14" max="14" width="25.38"/>
    <col customWidth="1" min="15" max="15" width="25.63"/>
  </cols>
  <sheetData>
    <row r="1">
      <c r="C1" s="277" t="s">
        <v>376</v>
      </c>
      <c r="G1" s="278" t="s">
        <v>62</v>
      </c>
      <c r="K1" s="278" t="s">
        <v>72</v>
      </c>
      <c r="O1" s="278" t="s">
        <v>74</v>
      </c>
    </row>
    <row r="2">
      <c r="A2" s="9" t="s">
        <v>80</v>
      </c>
      <c r="B2" s="10">
        <v>45597.0</v>
      </c>
      <c r="C2" s="34">
        <v>0.0</v>
      </c>
      <c r="E2" s="9" t="s">
        <v>80</v>
      </c>
      <c r="F2" s="10">
        <v>45597.0</v>
      </c>
      <c r="G2" s="34">
        <v>0.0</v>
      </c>
      <c r="I2" s="9" t="s">
        <v>80</v>
      </c>
      <c r="J2" s="10">
        <v>45597.0</v>
      </c>
      <c r="K2" s="34">
        <v>0.0</v>
      </c>
      <c r="M2" s="9" t="s">
        <v>80</v>
      </c>
      <c r="N2" s="10">
        <v>45597.0</v>
      </c>
      <c r="O2" s="34">
        <v>0.0</v>
      </c>
    </row>
    <row r="3">
      <c r="A3" s="18" t="s">
        <v>81</v>
      </c>
      <c r="B3" s="19">
        <v>45598.0</v>
      </c>
      <c r="C3" s="23">
        <v>1.0</v>
      </c>
      <c r="E3" s="18" t="s">
        <v>81</v>
      </c>
      <c r="F3" s="19">
        <v>45598.0</v>
      </c>
      <c r="G3" s="23">
        <v>1.0</v>
      </c>
      <c r="I3" s="18" t="s">
        <v>81</v>
      </c>
      <c r="J3" s="19">
        <v>45598.0</v>
      </c>
      <c r="K3" s="23">
        <v>1.0</v>
      </c>
      <c r="M3" s="18" t="s">
        <v>81</v>
      </c>
      <c r="N3" s="19">
        <v>45598.0</v>
      </c>
      <c r="O3" s="23">
        <v>0.0</v>
      </c>
    </row>
    <row r="4">
      <c r="A4" s="18" t="s">
        <v>82</v>
      </c>
      <c r="B4" s="19">
        <v>45599.0</v>
      </c>
      <c r="C4" s="23">
        <v>1.0</v>
      </c>
      <c r="E4" s="18" t="s">
        <v>82</v>
      </c>
      <c r="F4" s="19">
        <v>45599.0</v>
      </c>
      <c r="G4" s="23">
        <v>1.0</v>
      </c>
      <c r="I4" s="18" t="s">
        <v>82</v>
      </c>
      <c r="J4" s="19">
        <v>45599.0</v>
      </c>
      <c r="K4" s="23">
        <v>1.0</v>
      </c>
      <c r="M4" s="18" t="s">
        <v>82</v>
      </c>
      <c r="N4" s="19">
        <v>45599.0</v>
      </c>
      <c r="O4" s="23">
        <v>1.0</v>
      </c>
    </row>
    <row r="5">
      <c r="A5" s="18" t="s">
        <v>83</v>
      </c>
      <c r="B5" s="19">
        <v>45600.0</v>
      </c>
      <c r="C5" s="23">
        <v>1.0</v>
      </c>
      <c r="E5" s="18" t="s">
        <v>83</v>
      </c>
      <c r="F5" s="19">
        <v>45600.0</v>
      </c>
      <c r="G5" s="23">
        <v>1.0</v>
      </c>
      <c r="I5" s="18" t="s">
        <v>83</v>
      </c>
      <c r="J5" s="19">
        <v>45600.0</v>
      </c>
      <c r="K5" s="23">
        <v>1.0</v>
      </c>
      <c r="M5" s="18" t="s">
        <v>83</v>
      </c>
      <c r="N5" s="19">
        <v>45600.0</v>
      </c>
      <c r="O5" s="23">
        <v>0.5</v>
      </c>
    </row>
    <row r="6">
      <c r="A6" s="18" t="s">
        <v>84</v>
      </c>
      <c r="B6" s="19">
        <v>45601.0</v>
      </c>
      <c r="C6" s="23">
        <v>1.0</v>
      </c>
      <c r="E6" s="18" t="s">
        <v>84</v>
      </c>
      <c r="F6" s="19">
        <v>45601.0</v>
      </c>
      <c r="G6" s="23">
        <v>1.0</v>
      </c>
      <c r="I6" s="18" t="s">
        <v>84</v>
      </c>
      <c r="J6" s="19">
        <v>45601.0</v>
      </c>
      <c r="K6" s="23">
        <v>1.0</v>
      </c>
      <c r="M6" s="18" t="s">
        <v>84</v>
      </c>
      <c r="N6" s="19">
        <v>45601.0</v>
      </c>
      <c r="O6" s="23">
        <v>1.0</v>
      </c>
    </row>
    <row r="7">
      <c r="A7" s="18" t="s">
        <v>85</v>
      </c>
      <c r="B7" s="19">
        <v>45602.0</v>
      </c>
      <c r="C7" s="23">
        <v>1.0</v>
      </c>
      <c r="E7" s="18" t="s">
        <v>85</v>
      </c>
      <c r="F7" s="19">
        <v>45602.0</v>
      </c>
      <c r="G7" s="23">
        <v>1.0</v>
      </c>
      <c r="I7" s="18" t="s">
        <v>85</v>
      </c>
      <c r="J7" s="19">
        <v>45602.0</v>
      </c>
      <c r="K7" s="23">
        <v>1.0</v>
      </c>
      <c r="M7" s="18" t="s">
        <v>85</v>
      </c>
      <c r="N7" s="19">
        <v>45602.0</v>
      </c>
      <c r="O7" s="23">
        <v>1.0</v>
      </c>
    </row>
    <row r="8">
      <c r="A8" s="18" t="s">
        <v>86</v>
      </c>
      <c r="B8" s="19">
        <v>45603.0</v>
      </c>
      <c r="C8" s="23">
        <v>1.0</v>
      </c>
      <c r="E8" s="18" t="s">
        <v>86</v>
      </c>
      <c r="F8" s="19">
        <v>45603.0</v>
      </c>
      <c r="G8" s="23">
        <v>0.0</v>
      </c>
      <c r="I8" s="18" t="s">
        <v>86</v>
      </c>
      <c r="J8" s="19">
        <v>45603.0</v>
      </c>
      <c r="K8" s="23">
        <v>1.0</v>
      </c>
      <c r="M8" s="18" t="s">
        <v>86</v>
      </c>
      <c r="N8" s="19">
        <v>45603.0</v>
      </c>
      <c r="O8" s="23">
        <v>1.0</v>
      </c>
    </row>
    <row r="9">
      <c r="A9" s="9" t="s">
        <v>87</v>
      </c>
      <c r="B9" s="10">
        <v>45604.0</v>
      </c>
      <c r="C9" s="34">
        <v>0.0</v>
      </c>
      <c r="E9" s="9" t="s">
        <v>87</v>
      </c>
      <c r="F9" s="10">
        <v>45604.0</v>
      </c>
      <c r="G9" s="34">
        <v>0.0</v>
      </c>
      <c r="I9" s="9" t="s">
        <v>87</v>
      </c>
      <c r="J9" s="10">
        <v>45604.0</v>
      </c>
      <c r="K9" s="34">
        <v>0.0</v>
      </c>
      <c r="M9" s="9" t="s">
        <v>87</v>
      </c>
      <c r="N9" s="10">
        <v>45604.0</v>
      </c>
      <c r="O9" s="34">
        <v>0.0</v>
      </c>
    </row>
    <row r="10">
      <c r="A10" s="18" t="s">
        <v>81</v>
      </c>
      <c r="B10" s="19">
        <v>45605.0</v>
      </c>
      <c r="C10" s="23">
        <v>1.0</v>
      </c>
      <c r="E10" s="18" t="s">
        <v>81</v>
      </c>
      <c r="F10" s="19">
        <v>45605.0</v>
      </c>
      <c r="G10" s="23">
        <v>1.0</v>
      </c>
      <c r="I10" s="18" t="s">
        <v>81</v>
      </c>
      <c r="J10" s="19">
        <v>45605.0</v>
      </c>
      <c r="K10" s="23">
        <v>1.0</v>
      </c>
      <c r="M10" s="18" t="s">
        <v>81</v>
      </c>
      <c r="N10" s="19">
        <v>45605.0</v>
      </c>
      <c r="O10" s="23">
        <v>0.0</v>
      </c>
    </row>
    <row r="11">
      <c r="A11" s="18" t="s">
        <v>82</v>
      </c>
      <c r="B11" s="19">
        <v>45606.0</v>
      </c>
      <c r="C11" s="23">
        <v>1.0</v>
      </c>
      <c r="E11" s="18" t="s">
        <v>82</v>
      </c>
      <c r="F11" s="19">
        <v>45606.0</v>
      </c>
      <c r="G11" s="23">
        <v>1.0</v>
      </c>
      <c r="I11" s="18" t="s">
        <v>82</v>
      </c>
      <c r="J11" s="19">
        <v>45606.0</v>
      </c>
      <c r="K11" s="23">
        <v>1.0</v>
      </c>
      <c r="M11" s="18" t="s">
        <v>82</v>
      </c>
      <c r="N11" s="19">
        <v>45606.0</v>
      </c>
      <c r="O11" s="23">
        <v>1.0</v>
      </c>
    </row>
    <row r="12">
      <c r="A12" s="18" t="s">
        <v>83</v>
      </c>
      <c r="B12" s="19">
        <v>45607.0</v>
      </c>
      <c r="C12" s="23">
        <v>1.0</v>
      </c>
      <c r="E12" s="18" t="s">
        <v>83</v>
      </c>
      <c r="F12" s="19">
        <v>45607.0</v>
      </c>
      <c r="G12" s="23">
        <v>1.0</v>
      </c>
      <c r="I12" s="18" t="s">
        <v>83</v>
      </c>
      <c r="J12" s="19">
        <v>45607.0</v>
      </c>
      <c r="K12" s="23">
        <v>1.0</v>
      </c>
      <c r="M12" s="18" t="s">
        <v>83</v>
      </c>
      <c r="N12" s="19">
        <v>45607.0</v>
      </c>
      <c r="O12" s="23">
        <v>1.0</v>
      </c>
    </row>
    <row r="13">
      <c r="A13" s="18" t="s">
        <v>84</v>
      </c>
      <c r="B13" s="19">
        <v>45608.0</v>
      </c>
      <c r="C13" s="23">
        <v>1.0</v>
      </c>
      <c r="E13" s="18" t="s">
        <v>84</v>
      </c>
      <c r="F13" s="19">
        <v>45608.0</v>
      </c>
      <c r="G13" s="23">
        <v>1.0</v>
      </c>
      <c r="I13" s="18" t="s">
        <v>84</v>
      </c>
      <c r="J13" s="19">
        <v>45608.0</v>
      </c>
      <c r="K13" s="23">
        <v>1.0</v>
      </c>
      <c r="M13" s="18" t="s">
        <v>84</v>
      </c>
      <c r="N13" s="19">
        <v>45608.0</v>
      </c>
      <c r="O13" s="23">
        <v>1.0</v>
      </c>
    </row>
    <row r="14">
      <c r="A14" s="18" t="s">
        <v>85</v>
      </c>
      <c r="B14" s="19">
        <v>45609.0</v>
      </c>
      <c r="C14" s="23">
        <v>1.0</v>
      </c>
      <c r="E14" s="18" t="s">
        <v>85</v>
      </c>
      <c r="F14" s="19">
        <v>45609.0</v>
      </c>
      <c r="G14" s="279">
        <v>1.0</v>
      </c>
      <c r="I14" s="18" t="s">
        <v>85</v>
      </c>
      <c r="J14" s="19">
        <v>45609.0</v>
      </c>
      <c r="K14" s="279">
        <v>1.0</v>
      </c>
      <c r="M14" s="18" t="s">
        <v>85</v>
      </c>
      <c r="N14" s="19">
        <v>45609.0</v>
      </c>
      <c r="O14" s="23">
        <v>1.0</v>
      </c>
    </row>
    <row r="15">
      <c r="A15" s="18" t="s">
        <v>89</v>
      </c>
      <c r="B15" s="19">
        <v>45610.0</v>
      </c>
      <c r="C15" s="23">
        <v>1.0</v>
      </c>
      <c r="E15" s="18" t="s">
        <v>89</v>
      </c>
      <c r="F15" s="19">
        <v>45610.0</v>
      </c>
      <c r="G15" s="279">
        <v>1.0</v>
      </c>
      <c r="I15" s="18" t="s">
        <v>89</v>
      </c>
      <c r="J15" s="19">
        <v>45610.0</v>
      </c>
      <c r="K15" s="279">
        <v>1.0</v>
      </c>
      <c r="M15" s="18" t="s">
        <v>89</v>
      </c>
      <c r="N15" s="19">
        <v>45610.0</v>
      </c>
      <c r="O15" s="23">
        <v>0.0</v>
      </c>
    </row>
    <row r="16">
      <c r="A16" s="9" t="s">
        <v>87</v>
      </c>
      <c r="B16" s="10">
        <v>45611.0</v>
      </c>
      <c r="C16" s="280">
        <v>0.0</v>
      </c>
      <c r="E16" s="9" t="s">
        <v>87</v>
      </c>
      <c r="F16" s="10">
        <v>45611.0</v>
      </c>
      <c r="G16" s="34">
        <v>0.0</v>
      </c>
      <c r="I16" s="9" t="s">
        <v>87</v>
      </c>
      <c r="J16" s="10">
        <v>45611.0</v>
      </c>
      <c r="K16" s="281">
        <v>1.0</v>
      </c>
      <c r="M16" s="9" t="s">
        <v>87</v>
      </c>
      <c r="N16" s="10">
        <v>45611.0</v>
      </c>
      <c r="O16" s="34">
        <v>0.0</v>
      </c>
    </row>
    <row r="17">
      <c r="A17" s="18" t="s">
        <v>81</v>
      </c>
      <c r="B17" s="19">
        <v>45612.0</v>
      </c>
      <c r="C17" s="18">
        <v>0.0</v>
      </c>
      <c r="E17" s="18" t="s">
        <v>81</v>
      </c>
      <c r="F17" s="19">
        <v>45612.0</v>
      </c>
      <c r="G17" s="18">
        <v>0.0</v>
      </c>
      <c r="I17" s="18" t="s">
        <v>81</v>
      </c>
      <c r="J17" s="19">
        <v>45612.0</v>
      </c>
      <c r="K17" s="18">
        <v>0.0</v>
      </c>
      <c r="M17" s="18" t="s">
        <v>81</v>
      </c>
      <c r="N17" s="19">
        <v>45612.0</v>
      </c>
      <c r="O17" s="18">
        <v>0.0</v>
      </c>
    </row>
    <row r="18">
      <c r="A18" s="18" t="s">
        <v>82</v>
      </c>
      <c r="B18" s="19">
        <v>45613.0</v>
      </c>
      <c r="C18" s="18">
        <v>0.0</v>
      </c>
      <c r="E18" s="18" t="s">
        <v>82</v>
      </c>
      <c r="F18" s="19">
        <v>45613.0</v>
      </c>
      <c r="G18" s="18">
        <v>0.0</v>
      </c>
      <c r="I18" s="18" t="s">
        <v>82</v>
      </c>
      <c r="J18" s="19">
        <v>45613.0</v>
      </c>
      <c r="K18" s="18">
        <v>0.0</v>
      </c>
      <c r="M18" s="18" t="s">
        <v>82</v>
      </c>
      <c r="N18" s="19">
        <v>45613.0</v>
      </c>
      <c r="O18" s="18">
        <v>0.0</v>
      </c>
    </row>
    <row r="19">
      <c r="A19" s="18" t="s">
        <v>83</v>
      </c>
      <c r="B19" s="19">
        <v>45614.0</v>
      </c>
      <c r="C19" s="18">
        <v>0.0</v>
      </c>
      <c r="E19" s="18" t="s">
        <v>83</v>
      </c>
      <c r="F19" s="19">
        <v>45614.0</v>
      </c>
      <c r="G19" s="18">
        <v>0.0</v>
      </c>
      <c r="I19" s="18" t="s">
        <v>83</v>
      </c>
      <c r="J19" s="19">
        <v>45614.0</v>
      </c>
      <c r="K19" s="18">
        <v>0.0</v>
      </c>
      <c r="M19" s="18" t="s">
        <v>83</v>
      </c>
      <c r="N19" s="19">
        <v>45614.0</v>
      </c>
      <c r="O19" s="18">
        <v>0.0</v>
      </c>
    </row>
    <row r="20">
      <c r="A20" s="18" t="s">
        <v>84</v>
      </c>
      <c r="B20" s="19">
        <v>45615.0</v>
      </c>
      <c r="C20" s="18">
        <v>0.0</v>
      </c>
      <c r="E20" s="18" t="s">
        <v>84</v>
      </c>
      <c r="F20" s="19">
        <v>45615.0</v>
      </c>
      <c r="G20" s="18">
        <v>0.0</v>
      </c>
      <c r="I20" s="18" t="s">
        <v>84</v>
      </c>
      <c r="J20" s="19">
        <v>45615.0</v>
      </c>
      <c r="K20" s="18">
        <v>0.0</v>
      </c>
      <c r="M20" s="18" t="s">
        <v>84</v>
      </c>
      <c r="N20" s="19">
        <v>45615.0</v>
      </c>
      <c r="O20" s="18">
        <v>0.0</v>
      </c>
    </row>
    <row r="21">
      <c r="A21" s="18" t="s">
        <v>85</v>
      </c>
      <c r="B21" s="19">
        <v>45616.0</v>
      </c>
      <c r="C21" s="23">
        <v>0.0</v>
      </c>
      <c r="E21" s="18" t="s">
        <v>85</v>
      </c>
      <c r="F21" s="19">
        <v>45616.0</v>
      </c>
      <c r="G21" s="23">
        <v>1.0</v>
      </c>
      <c r="I21" s="18" t="s">
        <v>85</v>
      </c>
      <c r="J21" s="19">
        <v>45616.0</v>
      </c>
      <c r="K21" s="23">
        <v>1.0</v>
      </c>
      <c r="M21" s="18" t="s">
        <v>85</v>
      </c>
      <c r="N21" s="19">
        <v>45616.0</v>
      </c>
      <c r="O21" s="279">
        <v>0.0</v>
      </c>
    </row>
    <row r="22">
      <c r="A22" s="18" t="s">
        <v>89</v>
      </c>
      <c r="B22" s="19">
        <v>45617.0</v>
      </c>
      <c r="C22" s="23">
        <v>0.0</v>
      </c>
      <c r="E22" s="18" t="s">
        <v>89</v>
      </c>
      <c r="F22" s="19">
        <v>45617.0</v>
      </c>
      <c r="G22" s="23">
        <v>1.0</v>
      </c>
      <c r="I22" s="18" t="s">
        <v>89</v>
      </c>
      <c r="J22" s="19">
        <v>45617.0</v>
      </c>
      <c r="K22" s="23">
        <v>1.0</v>
      </c>
      <c r="M22" s="18" t="s">
        <v>89</v>
      </c>
      <c r="N22" s="19">
        <v>45617.0</v>
      </c>
      <c r="O22" s="279">
        <v>0.0</v>
      </c>
    </row>
    <row r="23">
      <c r="A23" s="9" t="s">
        <v>11</v>
      </c>
      <c r="B23" s="10">
        <v>45618.0</v>
      </c>
      <c r="C23" s="34">
        <v>0.0</v>
      </c>
      <c r="E23" s="9" t="s">
        <v>11</v>
      </c>
      <c r="F23" s="10">
        <v>45618.0</v>
      </c>
      <c r="G23" s="34">
        <v>1.0</v>
      </c>
      <c r="I23" s="9" t="s">
        <v>11</v>
      </c>
      <c r="J23" s="10">
        <v>45618.0</v>
      </c>
      <c r="K23" s="34">
        <v>0.0</v>
      </c>
      <c r="M23" s="9" t="s">
        <v>11</v>
      </c>
      <c r="N23" s="10">
        <v>45618.0</v>
      </c>
      <c r="O23" s="34">
        <v>0.0</v>
      </c>
    </row>
    <row r="24">
      <c r="A24" s="18" t="s">
        <v>12</v>
      </c>
      <c r="B24" s="19">
        <v>45619.0</v>
      </c>
      <c r="C24" s="23">
        <v>1.0</v>
      </c>
      <c r="E24" s="18" t="s">
        <v>12</v>
      </c>
      <c r="F24" s="19">
        <v>45619.0</v>
      </c>
      <c r="G24" s="23">
        <v>1.0</v>
      </c>
      <c r="I24" s="18" t="s">
        <v>12</v>
      </c>
      <c r="J24" s="19">
        <v>45619.0</v>
      </c>
      <c r="K24" s="23">
        <v>1.0</v>
      </c>
      <c r="M24" s="18" t="s">
        <v>12</v>
      </c>
      <c r="N24" s="19">
        <v>45619.0</v>
      </c>
      <c r="O24" s="279">
        <v>0.0</v>
      </c>
    </row>
    <row r="25">
      <c r="A25" s="18" t="s">
        <v>17</v>
      </c>
      <c r="B25" s="19">
        <v>45620.0</v>
      </c>
      <c r="C25" s="282">
        <v>1.0</v>
      </c>
      <c r="E25" s="18" t="s">
        <v>17</v>
      </c>
      <c r="F25" s="19">
        <v>45620.0</v>
      </c>
      <c r="G25" s="282">
        <v>1.0</v>
      </c>
      <c r="I25" s="18" t="s">
        <v>17</v>
      </c>
      <c r="J25" s="19">
        <v>45620.0</v>
      </c>
      <c r="K25" s="282">
        <v>1.0</v>
      </c>
      <c r="M25" s="18" t="s">
        <v>17</v>
      </c>
      <c r="N25" s="19">
        <v>45620.0</v>
      </c>
      <c r="O25" s="279">
        <v>0.5</v>
      </c>
    </row>
    <row r="26">
      <c r="A26" s="18" t="s">
        <v>18</v>
      </c>
      <c r="B26" s="19">
        <v>45621.0</v>
      </c>
      <c r="C26" s="23">
        <v>1.0</v>
      </c>
      <c r="E26" s="18" t="s">
        <v>18</v>
      </c>
      <c r="F26" s="19">
        <v>45621.0</v>
      </c>
      <c r="G26" s="23">
        <v>1.0</v>
      </c>
      <c r="I26" s="18" t="s">
        <v>18</v>
      </c>
      <c r="J26" s="19">
        <v>45621.0</v>
      </c>
      <c r="K26" s="23">
        <v>1.0</v>
      </c>
      <c r="M26" s="18" t="s">
        <v>18</v>
      </c>
      <c r="N26" s="19">
        <v>45621.0</v>
      </c>
      <c r="O26" s="23">
        <v>1.0</v>
      </c>
    </row>
    <row r="27">
      <c r="A27" s="18" t="s">
        <v>19</v>
      </c>
      <c r="B27" s="19">
        <v>45622.0</v>
      </c>
      <c r="C27" s="23">
        <v>1.0</v>
      </c>
      <c r="E27" s="18" t="s">
        <v>19</v>
      </c>
      <c r="F27" s="19">
        <v>45622.0</v>
      </c>
      <c r="G27" s="23">
        <v>1.0</v>
      </c>
      <c r="I27" s="18" t="s">
        <v>19</v>
      </c>
      <c r="J27" s="19">
        <v>45622.0</v>
      </c>
      <c r="K27" s="23">
        <v>1.0</v>
      </c>
      <c r="M27" s="18" t="s">
        <v>19</v>
      </c>
      <c r="N27" s="19">
        <v>45622.0</v>
      </c>
      <c r="O27" s="283">
        <v>1.0</v>
      </c>
    </row>
    <row r="28">
      <c r="A28" s="18" t="s">
        <v>22</v>
      </c>
      <c r="B28" s="19">
        <v>45623.0</v>
      </c>
      <c r="C28" s="23">
        <v>1.0</v>
      </c>
      <c r="E28" s="18" t="s">
        <v>22</v>
      </c>
      <c r="F28" s="19">
        <v>45623.0</v>
      </c>
      <c r="G28" s="23">
        <v>1.0</v>
      </c>
      <c r="I28" s="18" t="s">
        <v>22</v>
      </c>
      <c r="J28" s="19">
        <v>45623.0</v>
      </c>
      <c r="K28" s="23">
        <v>0.5</v>
      </c>
      <c r="M28" s="18" t="s">
        <v>22</v>
      </c>
      <c r="N28" s="19">
        <v>45623.0</v>
      </c>
      <c r="O28" s="23">
        <v>1.0</v>
      </c>
    </row>
    <row r="29">
      <c r="A29" s="18" t="s">
        <v>23</v>
      </c>
      <c r="B29" s="19">
        <v>45624.0</v>
      </c>
      <c r="C29" s="23">
        <v>1.0</v>
      </c>
      <c r="E29" s="18" t="s">
        <v>23</v>
      </c>
      <c r="F29" s="19">
        <v>45624.0</v>
      </c>
      <c r="G29" s="23">
        <v>1.0</v>
      </c>
      <c r="I29" s="18" t="s">
        <v>23</v>
      </c>
      <c r="J29" s="19">
        <v>45624.0</v>
      </c>
      <c r="K29" s="23">
        <v>1.0</v>
      </c>
      <c r="M29" s="18" t="s">
        <v>23</v>
      </c>
      <c r="N29" s="19">
        <v>45624.0</v>
      </c>
      <c r="O29" s="23">
        <v>1.0</v>
      </c>
    </row>
    <row r="30">
      <c r="A30" s="9" t="s">
        <v>11</v>
      </c>
      <c r="B30" s="10">
        <v>45625.0</v>
      </c>
      <c r="C30" s="280">
        <v>0.0</v>
      </c>
      <c r="E30" s="9" t="s">
        <v>11</v>
      </c>
      <c r="F30" s="10">
        <v>45625.0</v>
      </c>
      <c r="G30" s="280">
        <v>0.0</v>
      </c>
      <c r="I30" s="9" t="s">
        <v>11</v>
      </c>
      <c r="J30" s="10">
        <v>45625.0</v>
      </c>
      <c r="K30" s="280">
        <v>0.0</v>
      </c>
      <c r="M30" s="9" t="s">
        <v>11</v>
      </c>
      <c r="N30" s="10">
        <v>45625.0</v>
      </c>
      <c r="O30" s="34">
        <v>0.0</v>
      </c>
    </row>
    <row r="31">
      <c r="A31" s="18" t="s">
        <v>12</v>
      </c>
      <c r="B31" s="19">
        <v>45626.0</v>
      </c>
      <c r="C31" s="284">
        <v>1.0</v>
      </c>
      <c r="E31" s="18" t="s">
        <v>12</v>
      </c>
      <c r="F31" s="19">
        <v>45626.0</v>
      </c>
      <c r="G31" s="284">
        <v>0.5</v>
      </c>
      <c r="I31" s="18" t="s">
        <v>12</v>
      </c>
      <c r="J31" s="19">
        <v>45626.0</v>
      </c>
      <c r="K31" s="284">
        <v>1.0</v>
      </c>
      <c r="M31" s="18" t="s">
        <v>12</v>
      </c>
      <c r="N31" s="19">
        <v>45626.0</v>
      </c>
      <c r="O31" s="279">
        <v>0.0</v>
      </c>
    </row>
    <row r="32">
      <c r="A32" s="285" t="s">
        <v>91</v>
      </c>
      <c r="B32" s="286"/>
      <c r="C32" s="287"/>
      <c r="E32" s="285" t="s">
        <v>91</v>
      </c>
      <c r="F32" s="286"/>
      <c r="G32" s="288">
        <v>1.5</v>
      </c>
      <c r="I32" s="285" t="s">
        <v>91</v>
      </c>
      <c r="J32" s="286"/>
      <c r="K32" s="288">
        <v>1.95</v>
      </c>
      <c r="M32" s="285" t="s">
        <v>91</v>
      </c>
      <c r="N32" s="286"/>
      <c r="O32" s="287"/>
    </row>
    <row r="33">
      <c r="C33" s="289">
        <f>SUM(C2:C32)</f>
        <v>19</v>
      </c>
      <c r="G33" s="289">
        <f>SUM(G2:G32)</f>
        <v>22</v>
      </c>
      <c r="K33" s="289">
        <f>SUM(K2:K32)</f>
        <v>23.45</v>
      </c>
      <c r="O33" s="290">
        <f>SUM(O2:O32)</f>
        <v>13</v>
      </c>
    </row>
    <row r="34">
      <c r="C34" s="291">
        <v>1112.0</v>
      </c>
      <c r="G34" s="292">
        <v>1112.0</v>
      </c>
      <c r="K34" s="292">
        <v>1112.0</v>
      </c>
      <c r="O34" s="293">
        <v>1100.0</v>
      </c>
    </row>
    <row r="35">
      <c r="C35" s="294">
        <f>C34*C33</f>
        <v>21128</v>
      </c>
      <c r="G35" s="294">
        <f>G34*G33</f>
        <v>24464</v>
      </c>
      <c r="K35" s="294">
        <f>K34*K33</f>
        <v>26076.4</v>
      </c>
      <c r="O35" s="294">
        <f>O33*O34</f>
        <v>14300</v>
      </c>
    </row>
    <row r="36">
      <c r="C36" s="292">
        <v>30000.0</v>
      </c>
      <c r="G36" s="292">
        <v>30000.0</v>
      </c>
      <c r="K36" s="295"/>
      <c r="O36" s="295"/>
    </row>
    <row r="37">
      <c r="O37" s="6"/>
    </row>
  </sheetData>
  <drawing r:id="rId1"/>
  <tableParts count="4">
    <tablePart r:id="rId6"/>
    <tablePart r:id="rId7"/>
    <tablePart r:id="rId8"/>
    <tablePart r:id="rId9"/>
  </tableParts>
</worksheet>
</file>