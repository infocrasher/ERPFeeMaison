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CAP" sheetId="1" r:id="rId4"/>
    <sheet state="visible" name="Les charges" sheetId="2" r:id="rId5"/>
    <sheet state="visible" name="Pointage" sheetId="3" r:id="rId6"/>
    <sheet state="visible" name="Salaires" sheetId="4" r:id="rId7"/>
    <sheet state="visible" name="Amel" sheetId="5" r:id="rId8"/>
    <sheet state="visible" name="Zehor" sheetId="6" r:id="rId9"/>
    <sheet state="visible" name="Zahida" sheetId="7" r:id="rId10"/>
    <sheet state="visible" name="Hafida" sheetId="8" r:id="rId11"/>
    <sheet state="visible" name="Nadjet" sheetId="9" r:id="rId12"/>
    <sheet state="visible" name="Hadjer" sheetId="10" r:id="rId13"/>
    <sheet state="visible" name="Houda " sheetId="11" r:id="rId14"/>
    <sheet state="visible" name="Soumia" sheetId="12" r:id="rId15"/>
    <sheet state="visible" name="Djamila" sheetId="13" r:id="rId16"/>
    <sheet state="visible" name="Maroua" sheetId="14" r:id="rId17"/>
    <sheet state="visible" name="Amina " sheetId="15" r:id="rId18"/>
    <sheet state="visible" name="Rendement des employées" sheetId="16" r:id="rId19"/>
    <sheet state="visible" name="Feuille 5" sheetId="17" r:id="rId20"/>
  </sheets>
  <definedNames/>
  <calcPr/>
</workbook>
</file>

<file path=xl/sharedStrings.xml><?xml version="1.0" encoding="utf-8"?>
<sst xmlns="http://schemas.openxmlformats.org/spreadsheetml/2006/main" count="810" uniqueCount="456">
  <si>
    <t>Date</t>
  </si>
  <si>
    <t>Recette de Janvier 2022</t>
  </si>
  <si>
    <t xml:space="preserve">Recette </t>
  </si>
  <si>
    <t>Charges</t>
  </si>
  <si>
    <t>Salaire</t>
  </si>
  <si>
    <t>Loyer</t>
  </si>
  <si>
    <t>Net Profit</t>
  </si>
  <si>
    <t>Nb de jours</t>
  </si>
  <si>
    <t>Objectif</t>
  </si>
  <si>
    <t xml:space="preserve">Janvier </t>
  </si>
  <si>
    <t xml:space="preserve">Moyenne </t>
  </si>
  <si>
    <t>Mardi</t>
  </si>
  <si>
    <t>Mercredi</t>
  </si>
  <si>
    <t>Jeudi</t>
  </si>
  <si>
    <t>Vendredi</t>
  </si>
  <si>
    <t>Samedi</t>
  </si>
  <si>
    <t>²</t>
  </si>
  <si>
    <t>Dimanche</t>
  </si>
  <si>
    <t>Lundi</t>
  </si>
  <si>
    <t xml:space="preserve">Cash restant </t>
  </si>
  <si>
    <t>Magasin</t>
  </si>
  <si>
    <t>Sofane</t>
  </si>
  <si>
    <t>Sifou</t>
  </si>
  <si>
    <t>caisse</t>
  </si>
  <si>
    <t xml:space="preserve">Pétrin </t>
  </si>
  <si>
    <t xml:space="preserve"> </t>
  </si>
  <si>
    <t xml:space="preserve">Loyer </t>
  </si>
  <si>
    <t>cash restant réel</t>
  </si>
  <si>
    <t>charges Mars</t>
  </si>
  <si>
    <t>Différence mois de Décembre</t>
  </si>
  <si>
    <t xml:space="preserve">Différence objectif </t>
  </si>
  <si>
    <t xml:space="preserve">Les vendredis </t>
  </si>
  <si>
    <t>Mois de Janvier</t>
  </si>
  <si>
    <t>Produit</t>
  </si>
  <si>
    <t>Quantité</t>
  </si>
  <si>
    <t xml:space="preserve">Prix unitaire </t>
  </si>
  <si>
    <t>Prix</t>
  </si>
  <si>
    <t>Date d'achat</t>
  </si>
  <si>
    <t>Leuvre de Bièrre 500g la boite</t>
  </si>
  <si>
    <t>10 boites de 500g</t>
  </si>
  <si>
    <t xml:space="preserve">chocolat à tartiner </t>
  </si>
  <si>
    <t>1 bidon de 9kg/2kg</t>
  </si>
  <si>
    <t>chocolat wedjedane blanc</t>
  </si>
  <si>
    <t>3 boites de 250g</t>
  </si>
  <si>
    <t>chocolat wedjedane noir</t>
  </si>
  <si>
    <t xml:space="preserve">4 boites de 250g </t>
  </si>
  <si>
    <t xml:space="preserve">chocolat wedjedane noisette </t>
  </si>
  <si>
    <t>Chocolat wedjdane au lait</t>
  </si>
  <si>
    <t>7 boites de 250</t>
  </si>
  <si>
    <t>miel Nounours 5kg</t>
  </si>
  <si>
    <t xml:space="preserve">Fromage slices cheezy </t>
  </si>
  <si>
    <t>boites demie plateau</t>
  </si>
  <si>
    <t>/</t>
  </si>
  <si>
    <t>Bessel</t>
  </si>
  <si>
    <t>60kg</t>
  </si>
  <si>
    <t>transport marchandise</t>
  </si>
  <si>
    <t>Semoule Safina 10kg</t>
  </si>
  <si>
    <t>Semoule Moyenne  SIM 2kg*6/Fardeau</t>
  </si>
  <si>
    <t>Semen Madina 1,8kg</t>
  </si>
  <si>
    <t>8  boites</t>
  </si>
  <si>
    <t>Levure Chimique 100 Sachets /Boite</t>
  </si>
  <si>
    <t xml:space="preserve">2 boites </t>
  </si>
  <si>
    <t>Semoule SIM myenne 25kg</t>
  </si>
  <si>
    <t xml:space="preserve">3 sachets </t>
  </si>
  <si>
    <t>semoule Amor Ben Amor 25kg</t>
  </si>
  <si>
    <t>Harrissa SIM 1kg 12kg/carton</t>
  </si>
  <si>
    <t>Tomate conserve Dahra 1kg</t>
  </si>
  <si>
    <t xml:space="preserve">3  fardeaux de 12 boites </t>
  </si>
  <si>
    <t xml:space="preserve">semoule Mama Fine 2 kg </t>
  </si>
  <si>
    <t>14 fardeaux</t>
  </si>
  <si>
    <t xml:space="preserve">Huile Elio 5 litres </t>
  </si>
  <si>
    <t>55 bidons</t>
  </si>
  <si>
    <t xml:space="preserve">huile elio 2 litres </t>
  </si>
  <si>
    <t>2 fardeaux</t>
  </si>
  <si>
    <t>Jus Rouiba 33cl</t>
  </si>
  <si>
    <t>5 fardeaux de 12</t>
  </si>
  <si>
    <t>Slim Hamoud 33cl</t>
  </si>
  <si>
    <t>9 fardeaux de 12</t>
  </si>
  <si>
    <t>Coca 33cl</t>
  </si>
  <si>
    <t>1 fardeau</t>
  </si>
  <si>
    <t>Jus Rouiba 20cl</t>
  </si>
  <si>
    <t>2 fardeaux de 24</t>
  </si>
  <si>
    <t>Merinda 33cl</t>
  </si>
  <si>
    <t>1 fardeau de 12</t>
  </si>
  <si>
    <t>Candia  twist</t>
  </si>
  <si>
    <t>Farine SIM 1kg</t>
  </si>
  <si>
    <t>3 fardeaux de 9kg</t>
  </si>
  <si>
    <t xml:space="preserve">Maa zehar </t>
  </si>
  <si>
    <t>Sac croissant 24</t>
  </si>
  <si>
    <t>1 fardeaux de 500</t>
  </si>
  <si>
    <t>sac croissant 14</t>
  </si>
  <si>
    <t>1 fardeaux de 1000</t>
  </si>
  <si>
    <t>boites 48/10</t>
  </si>
  <si>
    <t>1 carton de 50</t>
  </si>
  <si>
    <t>Boite 36/10</t>
  </si>
  <si>
    <t>Boite 36/07</t>
  </si>
  <si>
    <t>sachets croissant 23</t>
  </si>
  <si>
    <t>oeufs</t>
  </si>
  <si>
    <t>2 plateaux</t>
  </si>
  <si>
    <t>curdent</t>
  </si>
  <si>
    <t xml:space="preserve">bon de livraison </t>
  </si>
  <si>
    <t>papier Aluminium 200m*6</t>
  </si>
  <si>
    <t>boite 12/07</t>
  </si>
  <si>
    <t xml:space="preserve">2 cartons de 50 pièces </t>
  </si>
  <si>
    <t>Eau Lala Khedidja 1,5 itres 6/ Fardeau</t>
  </si>
  <si>
    <t>01/02/0202</t>
  </si>
  <si>
    <t>Eau Lala Khedidja 0,5 itres 12/ Fardeau</t>
  </si>
  <si>
    <t>Farine Maria T45 Superieur 1kg</t>
  </si>
  <si>
    <t>Farine Maria T55 1kg</t>
  </si>
  <si>
    <t>Cheddar</t>
  </si>
  <si>
    <t xml:space="preserve">18kg </t>
  </si>
  <si>
    <t xml:space="preserve">Margarine Fleurial 500g*16 / carton </t>
  </si>
  <si>
    <t xml:space="preserve">2,5 cartons *16 boites </t>
  </si>
  <si>
    <t>Margarine Fleurial 250g*40/carton</t>
  </si>
  <si>
    <t>29  pièces</t>
  </si>
  <si>
    <t>Vinaigre 1 litre</t>
  </si>
  <si>
    <t>Mayonnaise 1kg</t>
  </si>
  <si>
    <t xml:space="preserve">3 Bouteille </t>
  </si>
  <si>
    <t>Maiis Princesse 800g/boite</t>
  </si>
  <si>
    <t xml:space="preserve">20 boites </t>
  </si>
  <si>
    <t>vanille Baraka 3kg</t>
  </si>
  <si>
    <t xml:space="preserve">1kg </t>
  </si>
  <si>
    <t xml:space="preserve">Sucre Glace Ihssene  1kg </t>
  </si>
  <si>
    <t xml:space="preserve">18 kg </t>
  </si>
  <si>
    <t>cuisses de poulet entières</t>
  </si>
  <si>
    <t xml:space="preserve">fromage bidon 1.7kg </t>
  </si>
  <si>
    <t>fromage blanc barre la bonne vache 1,7kg</t>
  </si>
  <si>
    <t>Fromage blanc la bonne vache superieure 1,7kg</t>
  </si>
  <si>
    <t>Confiture teloise 1kg</t>
  </si>
  <si>
    <t>thon Le Gout 1.8kg</t>
  </si>
  <si>
    <t xml:space="preserve">2 cartons de 6 boites </t>
  </si>
  <si>
    <t>Sel</t>
  </si>
  <si>
    <t>20 kg</t>
  </si>
  <si>
    <t xml:space="preserve">amandes </t>
  </si>
  <si>
    <t xml:space="preserve">10 kg </t>
  </si>
  <si>
    <t>poulet haché</t>
  </si>
  <si>
    <t xml:space="preserve">1.5kg </t>
  </si>
  <si>
    <t>viande hachée</t>
  </si>
  <si>
    <t>300g</t>
  </si>
  <si>
    <t xml:space="preserve">salade </t>
  </si>
  <si>
    <t>Détergents</t>
  </si>
  <si>
    <t>1+1+1+1+2</t>
  </si>
  <si>
    <t>olive éfilet</t>
  </si>
  <si>
    <t>500g</t>
  </si>
  <si>
    <t>olive dényauté</t>
  </si>
  <si>
    <t>1kg</t>
  </si>
  <si>
    <t xml:space="preserve">blanc de poulet </t>
  </si>
  <si>
    <t>barquettes en aluminium 1185</t>
  </si>
  <si>
    <t>Semoule fine Mama</t>
  </si>
  <si>
    <t>1 fardeau de 12kg</t>
  </si>
  <si>
    <t>rechta</t>
  </si>
  <si>
    <t>10kg</t>
  </si>
  <si>
    <t>storm</t>
  </si>
  <si>
    <t>Rechta</t>
  </si>
  <si>
    <t>3kg</t>
  </si>
  <si>
    <t>2kg</t>
  </si>
  <si>
    <t>1.5kg</t>
  </si>
  <si>
    <t>tomate fraiche</t>
  </si>
  <si>
    <t>4kg</t>
  </si>
  <si>
    <t>légumes navet, corgette, poivron</t>
  </si>
  <si>
    <t>7+7+5</t>
  </si>
  <si>
    <t xml:space="preserve">olive éfilet </t>
  </si>
  <si>
    <t xml:space="preserve">Olive dényauté </t>
  </si>
  <si>
    <t>deyoul</t>
  </si>
  <si>
    <t xml:space="preserve">salade verte </t>
  </si>
  <si>
    <t>pain de tacos</t>
  </si>
  <si>
    <t xml:space="preserve">Semoule Fine Mama </t>
  </si>
  <si>
    <t>4 sachet de 25kg</t>
  </si>
  <si>
    <t>Semoule Fine Mama 2kg</t>
  </si>
  <si>
    <t>6 fardeaux de 12kg</t>
  </si>
  <si>
    <t>Flexy internet</t>
  </si>
  <si>
    <t>35kg</t>
  </si>
  <si>
    <t>200g</t>
  </si>
  <si>
    <t>15/15/15/15</t>
  </si>
  <si>
    <t xml:space="preserve">deyoul </t>
  </si>
  <si>
    <t>viande morceaux</t>
  </si>
  <si>
    <t>hamissa</t>
  </si>
  <si>
    <t xml:space="preserve">oeufs </t>
  </si>
  <si>
    <t>cousscouss</t>
  </si>
  <si>
    <t>extenteur</t>
  </si>
  <si>
    <t>éléctricité</t>
  </si>
  <si>
    <t>3 mois</t>
  </si>
  <si>
    <t>bessel</t>
  </si>
  <si>
    <t>30kg</t>
  </si>
  <si>
    <t>5kg</t>
  </si>
  <si>
    <t>lave sol</t>
  </si>
  <si>
    <t>zebib</t>
  </si>
  <si>
    <t>250g</t>
  </si>
  <si>
    <t>dentelle 4.5</t>
  </si>
  <si>
    <t xml:space="preserve">blé complet </t>
  </si>
  <si>
    <t>056/02/2022</t>
  </si>
  <si>
    <t>bessel Dely Brahim</t>
  </si>
  <si>
    <t>20kg</t>
  </si>
  <si>
    <t>gherss</t>
  </si>
  <si>
    <t>27.1kg</t>
  </si>
  <si>
    <t xml:space="preserve">pomme de terre </t>
  </si>
  <si>
    <t>épinard+ kossber+na3ena3+Maadenouss</t>
  </si>
  <si>
    <t>Deyoul</t>
  </si>
  <si>
    <t>3akeri</t>
  </si>
  <si>
    <t xml:space="preserve">bessel wera9+ salade </t>
  </si>
  <si>
    <t>Tomate</t>
  </si>
  <si>
    <t xml:space="preserve">sac poubelle </t>
  </si>
  <si>
    <t xml:space="preserve">curdent Burger </t>
  </si>
  <si>
    <t xml:space="preserve">olive noir et mauve </t>
  </si>
  <si>
    <t>Boites 08/07</t>
  </si>
  <si>
    <t>1 fardeau de50</t>
  </si>
  <si>
    <t>Boites 24/07</t>
  </si>
  <si>
    <t>1 fardeau de 50</t>
  </si>
  <si>
    <t xml:space="preserve">sachet de congélation </t>
  </si>
  <si>
    <t xml:space="preserve">sachet transparent </t>
  </si>
  <si>
    <t xml:space="preserve">sachet de 5kg blanc </t>
  </si>
  <si>
    <t xml:space="preserve">1 fardeau </t>
  </si>
  <si>
    <t xml:space="preserve">poivre et tomate </t>
  </si>
  <si>
    <t>3+3</t>
  </si>
  <si>
    <t xml:space="preserve">rechta </t>
  </si>
  <si>
    <t>courgette</t>
  </si>
  <si>
    <t>Navet</t>
  </si>
  <si>
    <t>carotte</t>
  </si>
  <si>
    <t xml:space="preserve">poivron </t>
  </si>
  <si>
    <t>demie cuisse</t>
  </si>
  <si>
    <t>balet</t>
  </si>
  <si>
    <t>isis et javel</t>
  </si>
  <si>
    <t>sachet croissant 18</t>
  </si>
  <si>
    <t>pistache</t>
  </si>
  <si>
    <t>olive efilet</t>
  </si>
  <si>
    <t>1002/2022</t>
  </si>
  <si>
    <t xml:space="preserve">olive </t>
  </si>
  <si>
    <t>10/02/0202</t>
  </si>
  <si>
    <t>Crème fraiche</t>
  </si>
  <si>
    <t>demie blanc</t>
  </si>
  <si>
    <t>morceaux de viande</t>
  </si>
  <si>
    <t>escalope</t>
  </si>
  <si>
    <t>salade</t>
  </si>
  <si>
    <t xml:space="preserve">poivron+tomate fraiche+carotte + navet </t>
  </si>
  <si>
    <t>16+1kg+2kg+2kg</t>
  </si>
  <si>
    <t>besse</t>
  </si>
  <si>
    <t>70kg</t>
  </si>
  <si>
    <t xml:space="preserve">tomate fraiche </t>
  </si>
  <si>
    <t>70 kg</t>
  </si>
  <si>
    <t>transport</t>
  </si>
  <si>
    <t>oeuf</t>
  </si>
  <si>
    <t>3 plateaux</t>
  </si>
  <si>
    <t>Jarret de boeuf</t>
  </si>
  <si>
    <t>6 morceaux</t>
  </si>
  <si>
    <t>plateau</t>
  </si>
  <si>
    <t xml:space="preserve">boites de sauce </t>
  </si>
  <si>
    <t>6 de chaque</t>
  </si>
  <si>
    <t xml:space="preserve">épinard  </t>
  </si>
  <si>
    <t>7abet 7alawa</t>
  </si>
  <si>
    <t>olive éfilet+ dénoyauté</t>
  </si>
  <si>
    <t>poischiche</t>
  </si>
  <si>
    <t>1boite</t>
  </si>
  <si>
    <t>les quissetes +créme fraiche + sachets +gellee</t>
  </si>
  <si>
    <t>6.5kg</t>
  </si>
  <si>
    <t xml:space="preserve">olive noir   </t>
  </si>
  <si>
    <t>isis+javel+lave sol</t>
  </si>
  <si>
    <t>riz basmati</t>
  </si>
  <si>
    <t>pain tacos</t>
  </si>
  <si>
    <t>600g</t>
  </si>
  <si>
    <t>Tomate fraiche</t>
  </si>
  <si>
    <t>olive noir , vert , violet</t>
  </si>
  <si>
    <t>légumes navet, corgette, poivron,carotte</t>
  </si>
  <si>
    <t>5+5+5+7+3</t>
  </si>
  <si>
    <t>persil</t>
  </si>
  <si>
    <t xml:space="preserve">djelbana </t>
  </si>
  <si>
    <t>15kg</t>
  </si>
  <si>
    <t>gharess</t>
  </si>
  <si>
    <t>4.5kg</t>
  </si>
  <si>
    <t xml:space="preserve">viande </t>
  </si>
  <si>
    <t>olive efilet+ dénoyauté</t>
  </si>
  <si>
    <t>500g+500g</t>
  </si>
  <si>
    <t>harissa green grille</t>
  </si>
  <si>
    <t>ail</t>
  </si>
  <si>
    <t>poivron+canelle</t>
  </si>
  <si>
    <t>5+3+5</t>
  </si>
  <si>
    <t>chakhechoukhate dhefer</t>
  </si>
  <si>
    <t>sac poubelle + omo+ pille+ couteau</t>
  </si>
  <si>
    <t>isis+ javel moussant+ lave sol</t>
  </si>
  <si>
    <t>90kg</t>
  </si>
  <si>
    <t>2+2</t>
  </si>
  <si>
    <t>harouss</t>
  </si>
  <si>
    <t>sac poubelle+sachets</t>
  </si>
  <si>
    <t>2+1</t>
  </si>
  <si>
    <t>1 plateau</t>
  </si>
  <si>
    <t>semoule de blé complet</t>
  </si>
  <si>
    <t>sachet 5 kg</t>
  </si>
  <si>
    <t>moul</t>
  </si>
  <si>
    <t>récepiant</t>
  </si>
  <si>
    <t>cuillière</t>
  </si>
  <si>
    <t>7alewet turk + djouz</t>
  </si>
  <si>
    <t>1+8</t>
  </si>
  <si>
    <t>courgette+ navet</t>
  </si>
  <si>
    <t>1+1</t>
  </si>
  <si>
    <t>viande hachéé</t>
  </si>
  <si>
    <t xml:space="preserve">assiète </t>
  </si>
  <si>
    <t>100g</t>
  </si>
  <si>
    <t xml:space="preserve">isis+javel  </t>
  </si>
  <si>
    <t>serviettes en papier</t>
  </si>
  <si>
    <t xml:space="preserve">ouef </t>
  </si>
  <si>
    <t>105kg</t>
  </si>
  <si>
    <t>sachet+isis</t>
  </si>
  <si>
    <t>poubelle lahcen</t>
  </si>
  <si>
    <t xml:space="preserve">epinards+ persil+ thym </t>
  </si>
  <si>
    <t>viande</t>
  </si>
  <si>
    <t>Boites en plastique</t>
  </si>
  <si>
    <t xml:space="preserve">broclis </t>
  </si>
  <si>
    <t>lait silouette</t>
  </si>
  <si>
    <t xml:space="preserve">Amina Baghrir </t>
  </si>
  <si>
    <t xml:space="preserve">2 mois </t>
  </si>
  <si>
    <t>poulet haché + blanc de poulet</t>
  </si>
  <si>
    <t>épinard+maiis</t>
  </si>
  <si>
    <t>5+1</t>
  </si>
  <si>
    <t>TOTALE</t>
  </si>
  <si>
    <t>Zehor</t>
  </si>
  <si>
    <t>Soumia</t>
  </si>
  <si>
    <t xml:space="preserve">Nadjet </t>
  </si>
  <si>
    <t>Hadjer</t>
  </si>
  <si>
    <t>Amel</t>
  </si>
  <si>
    <t>Marwa</t>
  </si>
  <si>
    <t>djamila</t>
  </si>
  <si>
    <t>Houda</t>
  </si>
  <si>
    <t xml:space="preserve">Faiza </t>
  </si>
  <si>
    <t>Hafidha</t>
  </si>
  <si>
    <t>Zahida</t>
  </si>
  <si>
    <t xml:space="preserve">elyoum il y'avait pas de travaille donc 9a3edou yeguesserou </t>
  </si>
  <si>
    <t xml:space="preserve">Houda et Soumia dakhelou à 09h les autres khademou normal </t>
  </si>
  <si>
    <t>Hafida et zahida kharedjou à 18h</t>
  </si>
  <si>
    <t xml:space="preserve">le matin il y'avait pas elkhadema aprés l'après-midi djate une commade de 8200da et mechate el7ala chewia </t>
  </si>
  <si>
    <t xml:space="preserve">zahida a remplacé Faiza puisque 3anedeha dentiste </t>
  </si>
  <si>
    <t xml:space="preserve">Hafida 3adjenet elyoum be yedeha , zahida khaliteha tekhredj  à 16h </t>
  </si>
  <si>
    <t>Hadjer djate en retard autorisée</t>
  </si>
  <si>
    <t xml:space="preserve">Houda kharedjet à 14h30 , hadjer djate 3awenetena chewia à la fin </t>
  </si>
  <si>
    <t>djaw we ra7ou bekeri vers 15h30</t>
  </si>
  <si>
    <t xml:space="preserve">Hafida a lavé la vaissel la veille 7assebetehaleha 1 journée </t>
  </si>
  <si>
    <t>zahida djate à 10h kharedjet à 16h</t>
  </si>
  <si>
    <t>Hadjer khademet me3a houda et Soumeya . ces 2 derniers kharedjou à 17h. zehor kharedjet à 15h pr abderrahmane</t>
  </si>
  <si>
    <t xml:space="preserve">Zehor djate men rasseha malgré 9ouletelha ma tedjich+ il y'avait pas beacoup de travail </t>
  </si>
  <si>
    <t xml:space="preserve">zehor kharedjet à 15h30 puisque kanet chetaa et makach khadema </t>
  </si>
  <si>
    <t xml:space="preserve">zahida et hadjer sont absente </t>
  </si>
  <si>
    <t xml:space="preserve">Nom </t>
  </si>
  <si>
    <t>Avance</t>
  </si>
  <si>
    <t xml:space="preserve">Salaire à payer </t>
  </si>
  <si>
    <t>2000+2000</t>
  </si>
  <si>
    <t>1000+9000+1000+8000+8000</t>
  </si>
  <si>
    <t>Djamila</t>
  </si>
  <si>
    <t>Nadjet</t>
  </si>
  <si>
    <t>Hafida</t>
  </si>
  <si>
    <t>10000+2000+5000+1000+6000</t>
  </si>
  <si>
    <t>TOTAL</t>
  </si>
  <si>
    <t xml:space="preserve">Messemen </t>
  </si>
  <si>
    <t>Messemen petit</t>
  </si>
  <si>
    <t>Mehadjeb</t>
  </si>
  <si>
    <t xml:space="preserve">Metakba </t>
  </si>
  <si>
    <t>Bradj makela</t>
  </si>
  <si>
    <t>Bradj</t>
  </si>
  <si>
    <t>chakhechoukha</t>
  </si>
  <si>
    <t xml:space="preserve">Plat chakhechoukha </t>
  </si>
  <si>
    <t>Plat rechta demie cuisse</t>
  </si>
  <si>
    <t>Plat rechta</t>
  </si>
  <si>
    <t xml:space="preserve">Galletes farcies F </t>
  </si>
  <si>
    <t>Galletes Farcies S</t>
  </si>
  <si>
    <t xml:space="preserve">Galletes simple </t>
  </si>
  <si>
    <t>Galletes grains</t>
  </si>
  <si>
    <t xml:space="preserve">Galletes aux herebes </t>
  </si>
  <si>
    <t>Makrout</t>
  </si>
  <si>
    <t>Mekirets</t>
  </si>
  <si>
    <t>Hamiss</t>
  </si>
  <si>
    <t>Zeviti</t>
  </si>
  <si>
    <t>khefaf</t>
  </si>
  <si>
    <t>kefaf petit</t>
  </si>
  <si>
    <t xml:space="preserve">la pate </t>
  </si>
  <si>
    <t xml:space="preserve">Totale </t>
  </si>
  <si>
    <t>Messemen Petit</t>
  </si>
  <si>
    <t>Mehadjeb p</t>
  </si>
  <si>
    <t>Bradj petit</t>
  </si>
  <si>
    <t>Les Boules G</t>
  </si>
  <si>
    <t>Les Boules P</t>
  </si>
  <si>
    <t xml:space="preserve">kan kayen messemen ta3 la veille elle les a rajoter </t>
  </si>
  <si>
    <t>khefaf petit</t>
  </si>
  <si>
    <t>Metelou3</t>
  </si>
  <si>
    <t>Chewat</t>
  </si>
  <si>
    <t xml:space="preserve">Galettes simple </t>
  </si>
  <si>
    <t>Galletes aux grains</t>
  </si>
  <si>
    <t xml:space="preserve">Galletes Farcies F </t>
  </si>
  <si>
    <t xml:space="preserve">Galletes aux herbes </t>
  </si>
  <si>
    <t>Messemen P</t>
  </si>
  <si>
    <t>Les boules G</t>
  </si>
  <si>
    <t>Les boules p</t>
  </si>
  <si>
    <t>Melewi petit</t>
  </si>
  <si>
    <t xml:space="preserve">Les Boules </t>
  </si>
  <si>
    <t>Burger</t>
  </si>
  <si>
    <t>Batbout</t>
  </si>
  <si>
    <t>Tacos</t>
  </si>
  <si>
    <t xml:space="preserve">croissant F </t>
  </si>
  <si>
    <t>Croissant P</t>
  </si>
  <si>
    <t xml:space="preserve">Croissant V </t>
  </si>
  <si>
    <t>Croissant T</t>
  </si>
  <si>
    <t xml:space="preserve">Mini Pizza </t>
  </si>
  <si>
    <t xml:space="preserve">Souflet F </t>
  </si>
  <si>
    <t xml:space="preserve">Souflet P </t>
  </si>
  <si>
    <t xml:space="preserve">Souflet V </t>
  </si>
  <si>
    <t xml:space="preserve">Souflet T </t>
  </si>
  <si>
    <t>Frcacées</t>
  </si>
  <si>
    <t>Begneit</t>
  </si>
  <si>
    <t xml:space="preserve">Les russes </t>
  </si>
  <si>
    <t>Sablés chocolat</t>
  </si>
  <si>
    <t xml:space="preserve">Sablés confiture </t>
  </si>
  <si>
    <t xml:space="preserve">Sablés étoiles </t>
  </si>
  <si>
    <t>Tcharak El3aryan</t>
  </si>
  <si>
    <t xml:space="preserve">Tcharak messeker </t>
  </si>
  <si>
    <t>Griwech</t>
  </si>
  <si>
    <t>Taba3</t>
  </si>
  <si>
    <t xml:space="preserve">Cigares </t>
  </si>
  <si>
    <t>Mehancha</t>
  </si>
  <si>
    <t xml:space="preserve">Les amandines </t>
  </si>
  <si>
    <t xml:space="preserve">Ka3ek Nakach </t>
  </si>
  <si>
    <t>Les ésquimeaux</t>
  </si>
  <si>
    <t>Bourak Poulet</t>
  </si>
  <si>
    <t>Bourak VIande Hachée</t>
  </si>
  <si>
    <t>Bessetila</t>
  </si>
  <si>
    <t>3arayech</t>
  </si>
  <si>
    <t xml:space="preserve">ke3ike3at messekerine </t>
  </si>
  <si>
    <t>Samsa</t>
  </si>
  <si>
    <t>7alwet taba3</t>
  </si>
  <si>
    <t xml:space="preserve">Ke3ike3at messekerine </t>
  </si>
  <si>
    <t xml:space="preserve">Grandes Boules </t>
  </si>
  <si>
    <t xml:space="preserve">Petites Boules </t>
  </si>
  <si>
    <t>Chakechouka</t>
  </si>
  <si>
    <t>Gherss</t>
  </si>
  <si>
    <t xml:space="preserve">Chakhechoukha </t>
  </si>
  <si>
    <t xml:space="preserve">Autres </t>
  </si>
  <si>
    <t>Kefaf+ Vaissel</t>
  </si>
  <si>
    <t xml:space="preserve">Baghrir Simple </t>
  </si>
  <si>
    <t xml:space="preserve">Baghrir raisins sec </t>
  </si>
  <si>
    <t>Baghrir petit S</t>
  </si>
  <si>
    <t>Baghrir petit R s</t>
  </si>
  <si>
    <t>Nom</t>
  </si>
  <si>
    <t xml:space="preserve">Pointage </t>
  </si>
  <si>
    <t>Salaires</t>
  </si>
  <si>
    <t xml:space="preserve">Rendement </t>
  </si>
  <si>
    <t xml:space="preserve">Moyenne de Rendement </t>
  </si>
  <si>
    <t>Totale</t>
  </si>
  <si>
    <t>Loyer du Local Octobre , Novembre, Décembre , janvier</t>
  </si>
  <si>
    <t>Bénifice Janvier</t>
  </si>
  <si>
    <t>recettev février</t>
  </si>
  <si>
    <t>Cuisine équipée</t>
  </si>
  <si>
    <t xml:space="preserve">Assurance voiture </t>
  </si>
  <si>
    <t>Sofiane</t>
  </si>
  <si>
    <t>charges février</t>
  </si>
  <si>
    <t>cash restant</t>
  </si>
  <si>
    <t>Avance Salaires</t>
  </si>
  <si>
    <t>Cash réel</t>
  </si>
  <si>
    <t>le magasin me doit</t>
  </si>
  <si>
    <t xml:space="preserve">Mois de Janvier </t>
  </si>
  <si>
    <t>Mois de Février</t>
  </si>
  <si>
    <t xml:space="preserve">Profit Net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</si>
</sst>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/mm/yyyy"/>
    <numFmt numFmtId="165" formatCode="#,##0.00\ [$€-1]"/>
    <numFmt numFmtId="166" formatCode="dd/mm"/>
  </numFmts>
  <fonts count="18">
    <font>
      <sz val="10.0"/>
      <color rgb="FF000000"/>
      <name val="Arial"/>
      <scheme val="minor"/>
    </font>
    <font>
      <color theme="1"/>
      <name val="Arial"/>
    </font>
    <font>
      <b/>
      <sz val="14.0"/>
      <color theme="1"/>
      <name val="Arial"/>
    </font>
    <font>
      <sz val="14.0"/>
      <color theme="1"/>
      <name val="Arial"/>
    </font>
    <font>
      <b/>
      <sz val="12.0"/>
      <color theme="1"/>
      <name val="Arial"/>
    </font>
    <font>
      <b/>
      <sz val="14.0"/>
      <color theme="1"/>
      <name val="Arial"/>
      <scheme val="minor"/>
    </font>
    <font>
      <sz val="14.0"/>
      <color theme="1"/>
      <name val="Arial"/>
      <scheme val="minor"/>
    </font>
    <font>
      <color theme="1"/>
      <name val="Arial"/>
      <scheme val="minor"/>
    </font>
    <font>
      <b/>
      <sz val="14.0"/>
      <color rgb="FFFF0000"/>
      <name val="Arial"/>
    </font>
    <font>
      <b/>
      <sz val="14.0"/>
      <color rgb="FFFFFF00"/>
      <name val="Arial"/>
    </font>
    <font>
      <b/>
      <sz val="18.0"/>
      <color theme="1"/>
      <name val="Arial"/>
    </font>
    <font>
      <b/>
      <sz val="14.0"/>
      <color rgb="FF000000"/>
      <name val="Arial"/>
    </font>
    <font>
      <sz val="14.0"/>
      <color rgb="FF000000"/>
      <name val="Arial"/>
    </font>
    <font>
      <sz val="14.0"/>
      <color rgb="FF434343"/>
      <name val="Arial"/>
    </font>
    <font>
      <sz val="14.0"/>
      <color rgb="FFFF0000"/>
      <name val="Arial"/>
    </font>
    <font>
      <b/>
      <sz val="14.0"/>
      <color rgb="FF434343"/>
      <name val="Arial"/>
    </font>
    <font>
      <b/>
      <sz val="14.0"/>
      <color rgb="FF1C4587"/>
      <name val="Arial"/>
    </font>
    <font>
      <sz val="18.0"/>
      <color theme="1"/>
      <name val="Arial"/>
    </font>
  </fonts>
  <fills count="12">
    <fill>
      <patternFill patternType="none"/>
    </fill>
    <fill>
      <patternFill patternType="lightGray"/>
    </fill>
    <fill>
      <patternFill patternType="solid">
        <fgColor rgb="FF0000FF"/>
        <bgColor rgb="FF0000FF"/>
      </patternFill>
    </fill>
    <fill>
      <patternFill patternType="solid">
        <fgColor rgb="FFFFFFFF"/>
        <bgColor rgb="FFFFFFFF"/>
      </patternFill>
    </fill>
    <fill>
      <patternFill patternType="solid">
        <fgColor rgb="FFFF00FF"/>
        <bgColor rgb="FFFF00FF"/>
      </patternFill>
    </fill>
    <fill>
      <patternFill patternType="solid">
        <fgColor rgb="FF00FFFF"/>
        <bgColor rgb="FF00FFFF"/>
      </patternFill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rgb="FF3C78D8"/>
        <bgColor rgb="FF3C78D8"/>
      </patternFill>
    </fill>
    <fill>
      <patternFill patternType="solid">
        <fgColor theme="0"/>
        <bgColor theme="0"/>
      </patternFill>
    </fill>
    <fill>
      <patternFill patternType="solid">
        <fgColor theme="4"/>
        <bgColor theme="4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</border>
  </borders>
  <cellStyleXfs count="1">
    <xf borderId="0" fillId="0" fontId="0" numFmtId="0" applyAlignment="1" applyFont="1"/>
  </cellStyleXfs>
  <cellXfs count="13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 vertical="bottom"/>
    </xf>
    <xf borderId="1" fillId="2" fontId="2" numFmtId="0" xfId="0" applyAlignment="1" applyBorder="1" applyFill="1" applyFont="1">
      <alignment horizontal="center" vertical="bottom"/>
    </xf>
    <xf borderId="0" fillId="2" fontId="2" numFmtId="0" xfId="0" applyAlignment="1" applyFont="1">
      <alignment horizontal="center" readingOrder="0" vertical="bottom"/>
    </xf>
    <xf borderId="2" fillId="2" fontId="3" numFmtId="0" xfId="0" applyAlignment="1" applyBorder="1" applyFont="1">
      <alignment horizontal="center" vertical="bottom"/>
    </xf>
    <xf borderId="3" fillId="3" fontId="1" numFmtId="0" xfId="0" applyAlignment="1" applyBorder="1" applyFill="1" applyFont="1">
      <alignment vertical="bottom"/>
    </xf>
    <xf borderId="4" fillId="4" fontId="2" numFmtId="0" xfId="0" applyAlignment="1" applyBorder="1" applyFill="1" applyFont="1">
      <alignment horizontal="center" vertical="bottom"/>
    </xf>
    <xf borderId="1" fillId="5" fontId="4" numFmtId="0" xfId="0" applyAlignment="1" applyBorder="1" applyFill="1" applyFont="1">
      <alignment horizontal="center" readingOrder="0" vertical="bottom"/>
    </xf>
    <xf borderId="0" fillId="0" fontId="1" numFmtId="0" xfId="0" applyAlignment="1" applyFont="1">
      <alignment vertical="bottom"/>
    </xf>
    <xf borderId="0" fillId="4" fontId="2" numFmtId="0" xfId="0" applyAlignment="1" applyFont="1">
      <alignment horizontal="center" vertical="bottom"/>
    </xf>
    <xf borderId="1" fillId="3" fontId="2" numFmtId="0" xfId="0" applyAlignment="1" applyBorder="1" applyFont="1">
      <alignment horizontal="center" readingOrder="0" vertical="bottom"/>
    </xf>
    <xf borderId="1" fillId="3" fontId="3" numFmtId="164" xfId="0" applyAlignment="1" applyBorder="1" applyFont="1" applyNumberFormat="1">
      <alignment horizontal="center" readingOrder="0" vertical="bottom"/>
    </xf>
    <xf borderId="1" fillId="3" fontId="3" numFmtId="165" xfId="0" applyAlignment="1" applyBorder="1" applyFont="1" applyNumberFormat="1">
      <alignment horizontal="center" readingOrder="0" vertical="bottom"/>
    </xf>
    <xf borderId="1" fillId="3" fontId="1" numFmtId="0" xfId="0" applyAlignment="1" applyBorder="1" applyFont="1">
      <alignment vertical="bottom"/>
    </xf>
    <xf borderId="2" fillId="3" fontId="3" numFmtId="0" xfId="0" applyAlignment="1" applyBorder="1" applyFont="1">
      <alignment horizontal="center" readingOrder="0" vertical="bottom"/>
    </xf>
    <xf borderId="3" fillId="3" fontId="1" numFmtId="165" xfId="0" applyAlignment="1" applyBorder="1" applyFont="1" applyNumberFormat="1">
      <alignment vertical="bottom"/>
    </xf>
    <xf borderId="4" fillId="3" fontId="3" numFmtId="165" xfId="0" applyAlignment="1" applyBorder="1" applyFont="1" applyNumberFormat="1">
      <alignment horizontal="center" readingOrder="0" vertical="bottom"/>
    </xf>
    <xf borderId="0" fillId="5" fontId="2" numFmtId="165" xfId="0" applyAlignment="1" applyFont="1" applyNumberFormat="1">
      <alignment horizontal="center" vertical="bottom"/>
    </xf>
    <xf borderId="0" fillId="6" fontId="2" numFmtId="165" xfId="0" applyAlignment="1" applyFill="1" applyFont="1" applyNumberFormat="1">
      <alignment horizontal="center" vertical="bottom"/>
    </xf>
    <xf borderId="1" fillId="6" fontId="2" numFmtId="0" xfId="0" applyAlignment="1" applyBorder="1" applyFont="1">
      <alignment horizontal="center" readingOrder="0" vertical="bottom"/>
    </xf>
    <xf borderId="1" fillId="6" fontId="3" numFmtId="164" xfId="0" applyAlignment="1" applyBorder="1" applyFont="1" applyNumberFormat="1">
      <alignment horizontal="center" readingOrder="0" vertical="bottom"/>
    </xf>
    <xf borderId="1" fillId="6" fontId="3" numFmtId="165" xfId="0" applyAlignment="1" applyBorder="1" applyFont="1" applyNumberFormat="1">
      <alignment horizontal="center" readingOrder="0" vertical="bottom"/>
    </xf>
    <xf borderId="0" fillId="7" fontId="2" numFmtId="0" xfId="0" applyAlignment="1" applyFill="1" applyFont="1">
      <alignment horizontal="center" vertical="bottom"/>
    </xf>
    <xf borderId="0" fillId="0" fontId="5" numFmtId="0" xfId="0" applyAlignment="1" applyFont="1">
      <alignment horizontal="center" readingOrder="0"/>
    </xf>
    <xf borderId="0" fillId="0" fontId="6" numFmtId="0" xfId="0" applyAlignment="1" applyFont="1">
      <alignment readingOrder="0"/>
    </xf>
    <xf borderId="0" fillId="5" fontId="2" numFmtId="165" xfId="0" applyAlignment="1" applyFont="1" applyNumberFormat="1">
      <alignment horizontal="center" readingOrder="0" vertical="bottom"/>
    </xf>
    <xf borderId="0" fillId="0" fontId="6" numFmtId="165" xfId="0" applyAlignment="1" applyFont="1" applyNumberFormat="1">
      <alignment readingOrder="0"/>
    </xf>
    <xf borderId="0" fillId="0" fontId="7" numFmtId="0" xfId="0" applyFont="1"/>
    <xf borderId="0" fillId="0" fontId="3" numFmtId="0" xfId="0" applyAlignment="1" applyFont="1">
      <alignment horizontal="center" vertical="bottom"/>
    </xf>
    <xf borderId="0" fillId="0" fontId="3" numFmtId="165" xfId="0" applyAlignment="1" applyFont="1" applyNumberFormat="1">
      <alignment horizontal="center" readingOrder="0" vertical="bottom"/>
    </xf>
    <xf borderId="0" fillId="0" fontId="3" numFmtId="165" xfId="0" applyAlignment="1" applyFont="1" applyNumberFormat="1">
      <alignment horizontal="center" vertical="bottom"/>
    </xf>
    <xf borderId="0" fillId="0" fontId="1" numFmtId="165" xfId="0" applyAlignment="1" applyFont="1" applyNumberFormat="1">
      <alignment vertical="bottom"/>
    </xf>
    <xf borderId="0" fillId="3" fontId="1" numFmtId="165" xfId="0" applyAlignment="1" applyFont="1" applyNumberFormat="1">
      <alignment vertical="bottom"/>
    </xf>
    <xf borderId="0" fillId="7" fontId="8" numFmtId="165" xfId="0" applyAlignment="1" applyFont="1" applyNumberFormat="1">
      <alignment horizontal="center" vertical="bottom"/>
    </xf>
    <xf borderId="0" fillId="3" fontId="3" numFmtId="165" xfId="0" applyAlignment="1" applyFont="1" applyNumberFormat="1">
      <alignment horizontal="center" vertical="bottom"/>
    </xf>
    <xf borderId="0" fillId="8" fontId="9" numFmtId="0" xfId="0" applyAlignment="1" applyFill="1" applyFont="1">
      <alignment horizontal="center" vertical="bottom"/>
    </xf>
    <xf borderId="1" fillId="0" fontId="6" numFmtId="0" xfId="0" applyAlignment="1" applyBorder="1" applyFont="1">
      <alignment horizontal="center" readingOrder="0"/>
    </xf>
    <xf borderId="1" fillId="0" fontId="6" numFmtId="165" xfId="0" applyAlignment="1" applyBorder="1" applyFont="1" applyNumberFormat="1">
      <alignment horizontal="center"/>
    </xf>
    <xf borderId="4" fillId="3" fontId="3" numFmtId="165" xfId="0" applyAlignment="1" applyBorder="1" applyFont="1" applyNumberFormat="1">
      <alignment horizontal="center" vertical="bottom"/>
    </xf>
    <xf borderId="1" fillId="3" fontId="3" numFmtId="165" xfId="0" applyAlignment="1" applyBorder="1" applyFont="1" applyNumberFormat="1">
      <alignment horizontal="center" vertical="bottom"/>
    </xf>
    <xf borderId="1" fillId="6" fontId="2" numFmtId="165" xfId="0" applyAlignment="1" applyBorder="1" applyFont="1" applyNumberFormat="1">
      <alignment horizontal="center" vertical="bottom"/>
    </xf>
    <xf borderId="1" fillId="8" fontId="2" numFmtId="165" xfId="0" applyAlignment="1" applyBorder="1" applyFont="1" applyNumberFormat="1">
      <alignment horizontal="center" vertical="bottom"/>
    </xf>
    <xf borderId="1" fillId="9" fontId="2" numFmtId="165" xfId="0" applyAlignment="1" applyBorder="1" applyFill="1" applyFont="1" applyNumberFormat="1">
      <alignment horizontal="center" vertical="bottom"/>
    </xf>
    <xf borderId="1" fillId="7" fontId="2" numFmtId="165" xfId="0" applyAlignment="1" applyBorder="1" applyFont="1" applyNumberFormat="1">
      <alignment horizontal="center" vertical="bottom"/>
    </xf>
    <xf borderId="1" fillId="5" fontId="2" numFmtId="165" xfId="0" applyAlignment="1" applyBorder="1" applyFont="1" applyNumberFormat="1">
      <alignment horizontal="center" vertical="bottom"/>
    </xf>
    <xf borderId="1" fillId="4" fontId="2" numFmtId="0" xfId="0" applyAlignment="1" applyBorder="1" applyFont="1">
      <alignment horizontal="center" vertical="bottom"/>
    </xf>
    <xf borderId="3" fillId="0" fontId="7" numFmtId="0" xfId="0" applyBorder="1" applyFont="1"/>
    <xf borderId="1" fillId="0" fontId="1" numFmtId="0" xfId="0" applyAlignment="1" applyBorder="1" applyFont="1">
      <alignment vertical="bottom"/>
    </xf>
    <xf borderId="1" fillId="3" fontId="2" numFmtId="0" xfId="0" applyAlignment="1" applyBorder="1" applyFont="1">
      <alignment horizontal="center" vertical="bottom"/>
    </xf>
    <xf borderId="1" fillId="0" fontId="2" numFmtId="165" xfId="0" applyAlignment="1" applyBorder="1" applyFont="1" applyNumberFormat="1">
      <alignment horizontal="center" readingOrder="0" vertical="bottom"/>
    </xf>
    <xf borderId="1" fillId="0" fontId="2" numFmtId="165" xfId="0" applyAlignment="1" applyBorder="1" applyFont="1" applyNumberFormat="1">
      <alignment horizontal="center" vertical="bottom"/>
    </xf>
    <xf borderId="1" fillId="0" fontId="2" numFmtId="0" xfId="0" applyAlignment="1" applyBorder="1" applyFont="1">
      <alignment horizontal="center" readingOrder="0" vertical="bottom"/>
    </xf>
    <xf borderId="1" fillId="6" fontId="2" numFmtId="165" xfId="0" applyAlignment="1" applyBorder="1" applyFont="1" applyNumberFormat="1">
      <alignment horizontal="center" readingOrder="0" vertical="bottom"/>
    </xf>
    <xf borderId="1" fillId="8" fontId="2" numFmtId="165" xfId="0" applyAlignment="1" applyBorder="1" applyFont="1" applyNumberFormat="1">
      <alignment horizontal="center" readingOrder="0" vertical="bottom"/>
    </xf>
    <xf borderId="1" fillId="9" fontId="2" numFmtId="165" xfId="0" applyAlignment="1" applyBorder="1" applyFont="1" applyNumberFormat="1">
      <alignment horizontal="center" readingOrder="0" vertical="bottom"/>
    </xf>
    <xf borderId="1" fillId="5" fontId="2" numFmtId="165" xfId="0" applyAlignment="1" applyBorder="1" applyFont="1" applyNumberFormat="1">
      <alignment horizontal="center" readingOrder="0" vertical="bottom"/>
    </xf>
    <xf borderId="1" fillId="6" fontId="10" numFmtId="0" xfId="0" applyAlignment="1" applyBorder="1" applyFont="1">
      <alignment horizontal="center" vertical="bottom"/>
    </xf>
    <xf borderId="1" fillId="5" fontId="3" numFmtId="0" xfId="0" applyAlignment="1" applyBorder="1" applyFont="1">
      <alignment horizontal="center" vertical="bottom"/>
    </xf>
    <xf borderId="1" fillId="5" fontId="3" numFmtId="0" xfId="0" applyAlignment="1" applyBorder="1" applyFont="1">
      <alignment horizontal="center" readingOrder="0" vertical="bottom"/>
    </xf>
    <xf borderId="1" fillId="5" fontId="3" numFmtId="165" xfId="0" applyAlignment="1" applyBorder="1" applyFont="1" applyNumberFormat="1">
      <alignment horizontal="center" vertical="bottom"/>
    </xf>
    <xf borderId="1" fillId="5" fontId="3" numFmtId="165" xfId="0" applyAlignment="1" applyBorder="1" applyFont="1" applyNumberFormat="1">
      <alignment horizontal="center" readingOrder="0" vertical="bottom"/>
    </xf>
    <xf borderId="1" fillId="5" fontId="3" numFmtId="164" xfId="0" applyAlignment="1" applyBorder="1" applyFont="1" applyNumberFormat="1">
      <alignment horizontal="center" readingOrder="0" vertical="bottom"/>
    </xf>
    <xf borderId="1" fillId="7" fontId="3" numFmtId="0" xfId="0" applyAlignment="1" applyBorder="1" applyFont="1">
      <alignment horizontal="center" vertical="bottom"/>
    </xf>
    <xf borderId="1" fillId="7" fontId="3" numFmtId="0" xfId="0" applyAlignment="1" applyBorder="1" applyFont="1">
      <alignment horizontal="center" readingOrder="0" vertical="bottom"/>
    </xf>
    <xf borderId="1" fillId="7" fontId="3" numFmtId="165" xfId="0" applyAlignment="1" applyBorder="1" applyFont="1" applyNumberFormat="1">
      <alignment horizontal="center" readingOrder="0" vertical="bottom"/>
    </xf>
    <xf borderId="1" fillId="7" fontId="3" numFmtId="164" xfId="0" applyAlignment="1" applyBorder="1" applyFont="1" applyNumberFormat="1">
      <alignment horizontal="center" readingOrder="0" vertical="bottom"/>
    </xf>
    <xf borderId="1" fillId="3" fontId="3" numFmtId="0" xfId="0" applyAlignment="1" applyBorder="1" applyFont="1">
      <alignment horizontal="center" readingOrder="0" vertical="bottom"/>
    </xf>
    <xf borderId="1" fillId="5" fontId="3" numFmtId="164" xfId="0" applyAlignment="1" applyBorder="1" applyFont="1" applyNumberFormat="1">
      <alignment horizontal="center" vertical="bottom"/>
    </xf>
    <xf borderId="1" fillId="3" fontId="3" numFmtId="0" xfId="0" applyAlignment="1" applyBorder="1" applyFont="1">
      <alignment horizontal="center" vertical="bottom"/>
    </xf>
    <xf borderId="1" fillId="3" fontId="11" numFmtId="165" xfId="0" applyAlignment="1" applyBorder="1" applyFont="1" applyNumberFormat="1">
      <alignment horizontal="center" readingOrder="0" vertical="bottom"/>
    </xf>
    <xf borderId="1" fillId="3" fontId="12" numFmtId="165" xfId="0" applyAlignment="1" applyBorder="1" applyFont="1" applyNumberFormat="1">
      <alignment horizontal="center" readingOrder="0" vertical="bottom"/>
    </xf>
    <xf borderId="1" fillId="5" fontId="11" numFmtId="165" xfId="0" applyAlignment="1" applyBorder="1" applyFont="1" applyNumberFormat="1">
      <alignment horizontal="center" readingOrder="0" vertical="bottom"/>
    </xf>
    <xf borderId="1" fillId="10" fontId="3" numFmtId="0" xfId="0" applyAlignment="1" applyBorder="1" applyFill="1" applyFont="1">
      <alignment horizontal="center" vertical="bottom"/>
    </xf>
    <xf borderId="1" fillId="10" fontId="3" numFmtId="0" xfId="0" applyAlignment="1" applyBorder="1" applyFont="1">
      <alignment horizontal="center" readingOrder="0" vertical="bottom"/>
    </xf>
    <xf borderId="1" fillId="10" fontId="3" numFmtId="165" xfId="0" applyAlignment="1" applyBorder="1" applyFont="1" applyNumberFormat="1">
      <alignment horizontal="center" vertical="bottom"/>
    </xf>
    <xf borderId="1" fillId="10" fontId="3" numFmtId="165" xfId="0" applyAlignment="1" applyBorder="1" applyFont="1" applyNumberFormat="1">
      <alignment horizontal="center" readingOrder="0" vertical="bottom"/>
    </xf>
    <xf borderId="1" fillId="3" fontId="3" numFmtId="166" xfId="0" applyAlignment="1" applyBorder="1" applyFont="1" applyNumberFormat="1">
      <alignment horizontal="center" readingOrder="0" vertical="bottom"/>
    </xf>
    <xf borderId="1" fillId="7" fontId="8" numFmtId="0" xfId="0" applyAlignment="1" applyBorder="1" applyFont="1">
      <alignment horizontal="center" vertical="bottom"/>
    </xf>
    <xf borderId="1" fillId="8" fontId="1" numFmtId="165" xfId="0" applyAlignment="1" applyBorder="1" applyFont="1" applyNumberFormat="1">
      <alignment vertical="bottom"/>
    </xf>
    <xf borderId="1" fillId="8" fontId="3" numFmtId="165" xfId="0" applyAlignment="1" applyBorder="1" applyFont="1" applyNumberFormat="1">
      <alignment horizontal="right" vertical="bottom"/>
    </xf>
    <xf borderId="1" fillId="3" fontId="13" numFmtId="0" xfId="0" applyAlignment="1" applyBorder="1" applyFont="1">
      <alignment horizontal="center" readingOrder="0" vertical="bottom"/>
    </xf>
    <xf borderId="1" fillId="3" fontId="3" numFmtId="0" xfId="0" applyAlignment="1" applyBorder="1" applyFont="1">
      <alignment readingOrder="0" vertical="bottom"/>
    </xf>
    <xf borderId="1" fillId="3" fontId="8" numFmtId="0" xfId="0" applyAlignment="1" applyBorder="1" applyFont="1">
      <alignment horizontal="center" readingOrder="0" vertical="bottom"/>
    </xf>
    <xf borderId="1" fillId="6" fontId="13" numFmtId="0" xfId="0" applyAlignment="1" applyBorder="1" applyFont="1">
      <alignment horizontal="center" readingOrder="0" vertical="bottom"/>
    </xf>
    <xf borderId="1" fillId="6" fontId="14" numFmtId="0" xfId="0" applyAlignment="1" applyBorder="1" applyFont="1">
      <alignment horizontal="center" readingOrder="0" vertical="bottom"/>
    </xf>
    <xf borderId="1" fillId="3" fontId="3" numFmtId="0" xfId="0" applyAlignment="1" applyBorder="1" applyFont="1">
      <alignment vertical="bottom"/>
    </xf>
    <xf borderId="1" fillId="3" fontId="14" numFmtId="0" xfId="0" applyAlignment="1" applyBorder="1" applyFont="1">
      <alignment horizontal="center" readingOrder="0" vertical="bottom"/>
    </xf>
    <xf borderId="1" fillId="3" fontId="15" numFmtId="0" xfId="0" applyAlignment="1" applyBorder="1" applyFont="1">
      <alignment horizontal="center" readingOrder="0" vertical="bottom"/>
    </xf>
    <xf borderId="1" fillId="6" fontId="15" numFmtId="0" xfId="0" applyAlignment="1" applyBorder="1" applyFont="1">
      <alignment horizontal="center" readingOrder="0" vertical="bottom"/>
    </xf>
    <xf borderId="1" fillId="3" fontId="3" numFmtId="0" xfId="0" applyAlignment="1" applyBorder="1" applyFont="1">
      <alignment shrinkToFit="0" vertical="bottom" wrapText="0"/>
    </xf>
    <xf borderId="1" fillId="3" fontId="1" numFmtId="0" xfId="0" applyAlignment="1" applyBorder="1" applyFont="1">
      <alignment readingOrder="0" vertical="bottom"/>
    </xf>
    <xf borderId="1" fillId="6" fontId="3" numFmtId="0" xfId="0" applyAlignment="1" applyBorder="1" applyFont="1">
      <alignment horizontal="center" readingOrder="0" vertical="bottom"/>
    </xf>
    <xf borderId="1" fillId="3" fontId="12" numFmtId="0" xfId="0" applyAlignment="1" applyBorder="1" applyFont="1">
      <alignment horizontal="center" readingOrder="0" vertical="bottom"/>
    </xf>
    <xf borderId="1" fillId="3" fontId="11" numFmtId="0" xfId="0" applyAlignment="1" applyBorder="1" applyFont="1">
      <alignment horizontal="center" readingOrder="0" vertical="bottom"/>
    </xf>
    <xf borderId="1" fillId="3" fontId="1" numFmtId="164" xfId="0" applyAlignment="1" applyBorder="1" applyFont="1" applyNumberFormat="1">
      <alignment vertical="bottom"/>
    </xf>
    <xf borderId="1" fillId="3" fontId="13" numFmtId="165" xfId="0" applyAlignment="1" applyBorder="1" applyFont="1" applyNumberFormat="1">
      <alignment horizontal="center" readingOrder="0" vertical="bottom"/>
    </xf>
    <xf borderId="1" fillId="3" fontId="13" numFmtId="165" xfId="0" applyAlignment="1" applyBorder="1" applyFont="1" applyNumberFormat="1">
      <alignment horizontal="center" vertical="bottom"/>
    </xf>
    <xf borderId="1" fillId="3" fontId="1" numFmtId="165" xfId="0" applyAlignment="1" applyBorder="1" applyFont="1" applyNumberFormat="1">
      <alignment vertical="bottom"/>
    </xf>
    <xf borderId="1" fillId="4" fontId="16" numFmtId="165" xfId="0" applyAlignment="1" applyBorder="1" applyFont="1" applyNumberFormat="1">
      <alignment horizontal="center" vertical="bottom"/>
    </xf>
    <xf borderId="1" fillId="6" fontId="16" numFmtId="165" xfId="0" applyAlignment="1" applyBorder="1" applyFont="1" applyNumberFormat="1">
      <alignment horizontal="center" vertical="bottom"/>
    </xf>
    <xf borderId="1" fillId="5" fontId="2" numFmtId="0" xfId="0" applyAlignment="1" applyBorder="1" applyFont="1">
      <alignment horizontal="center" vertical="bottom"/>
    </xf>
    <xf borderId="1" fillId="7" fontId="2" numFmtId="0" xfId="0" applyAlignment="1" applyBorder="1" applyFont="1">
      <alignment horizontal="center" vertical="bottom"/>
    </xf>
    <xf borderId="1" fillId="0" fontId="3" numFmtId="0" xfId="0" applyAlignment="1" applyBorder="1" applyFont="1">
      <alignment horizontal="center" vertical="bottom"/>
    </xf>
    <xf borderId="0" fillId="0" fontId="7" numFmtId="0" xfId="0" applyAlignment="1" applyFont="1">
      <alignment readingOrder="0"/>
    </xf>
    <xf borderId="1" fillId="0" fontId="3" numFmtId="0" xfId="0" applyAlignment="1" applyBorder="1" applyFont="1">
      <alignment horizontal="center" readingOrder="0" vertical="bottom"/>
    </xf>
    <xf borderId="1" fillId="6" fontId="17" numFmtId="0" xfId="0" applyAlignment="1" applyBorder="1" applyFont="1">
      <alignment horizontal="center" vertical="bottom"/>
    </xf>
    <xf borderId="1" fillId="0" fontId="3" numFmtId="165" xfId="0" applyAlignment="1" applyBorder="1" applyFont="1" applyNumberFormat="1">
      <alignment horizontal="center" vertical="bottom"/>
    </xf>
    <xf borderId="1" fillId="6" fontId="3" numFmtId="165" xfId="0" applyAlignment="1" applyBorder="1" applyFont="1" applyNumberFormat="1">
      <alignment horizontal="center" vertical="bottom"/>
    </xf>
    <xf borderId="1" fillId="5" fontId="2" numFmtId="165" xfId="0" applyAlignment="1" applyBorder="1" applyFont="1" applyNumberFormat="1">
      <alignment horizontal="right" vertical="bottom"/>
    </xf>
    <xf borderId="1" fillId="2" fontId="5" numFmtId="0" xfId="0" applyAlignment="1" applyBorder="1" applyFont="1">
      <alignment horizontal="center" readingOrder="0"/>
    </xf>
    <xf borderId="1" fillId="0" fontId="6" numFmtId="0" xfId="0" applyAlignment="1" applyBorder="1" applyFont="1">
      <alignment horizontal="center"/>
    </xf>
    <xf borderId="1" fillId="0" fontId="6" numFmtId="165" xfId="0" applyAlignment="1" applyBorder="1" applyFont="1" applyNumberFormat="1">
      <alignment horizontal="center" readingOrder="0"/>
    </xf>
    <xf borderId="1" fillId="4" fontId="5" numFmtId="165" xfId="0" applyAlignment="1" applyBorder="1" applyFont="1" applyNumberFormat="1">
      <alignment horizontal="center"/>
    </xf>
    <xf borderId="1" fillId="0" fontId="5" numFmtId="0" xfId="0" applyAlignment="1" applyBorder="1" applyFont="1">
      <alignment horizontal="center" readingOrder="0"/>
    </xf>
    <xf borderId="1" fillId="0" fontId="6" numFmtId="0" xfId="0" applyBorder="1" applyFont="1"/>
    <xf borderId="1" fillId="4" fontId="5" numFmtId="165" xfId="0" applyBorder="1" applyFont="1" applyNumberFormat="1"/>
    <xf borderId="1" fillId="2" fontId="2" numFmtId="0" xfId="0" applyAlignment="1" applyBorder="1" applyFont="1">
      <alignment horizontal="center" readingOrder="0" vertical="bottom"/>
    </xf>
    <xf borderId="5" fillId="3" fontId="5" numFmtId="0" xfId="0" applyAlignment="1" applyBorder="1" applyFont="1">
      <alignment horizontal="center" readingOrder="0"/>
    </xf>
    <xf borderId="2" fillId="0" fontId="6" numFmtId="0" xfId="0" applyAlignment="1" applyBorder="1" applyFont="1">
      <alignment horizontal="center" readingOrder="0"/>
    </xf>
    <xf borderId="6" fillId="0" fontId="6" numFmtId="0" xfId="0" applyAlignment="1" applyBorder="1" applyFont="1">
      <alignment horizontal="center"/>
    </xf>
    <xf borderId="2" fillId="0" fontId="6" numFmtId="0" xfId="0" applyAlignment="1" applyBorder="1" applyFont="1">
      <alignment horizontal="center"/>
    </xf>
    <xf borderId="2" fillId="0" fontId="6" numFmtId="165" xfId="0" applyAlignment="1" applyBorder="1" applyFont="1" applyNumberFormat="1">
      <alignment horizontal="center" readingOrder="0"/>
    </xf>
    <xf borderId="6" fillId="0" fontId="6" numFmtId="165" xfId="0" applyAlignment="1" applyBorder="1" applyFont="1" applyNumberFormat="1">
      <alignment horizontal="center"/>
    </xf>
    <xf borderId="6" fillId="0" fontId="6" numFmtId="0" xfId="0" applyAlignment="1" applyBorder="1" applyFont="1">
      <alignment horizontal="center" readingOrder="0"/>
    </xf>
    <xf borderId="2" fillId="0" fontId="6" numFmtId="165" xfId="0" applyAlignment="1" applyBorder="1" applyFont="1" applyNumberFormat="1">
      <alignment horizontal="center"/>
    </xf>
    <xf borderId="1" fillId="11" fontId="5" numFmtId="0" xfId="0" applyAlignment="1" applyBorder="1" applyFill="1" applyFont="1">
      <alignment horizontal="center" readingOrder="0"/>
    </xf>
    <xf borderId="1" fillId="0" fontId="6" numFmtId="0" xfId="0" applyAlignment="1" applyBorder="1" applyFont="1">
      <alignment readingOrder="0"/>
    </xf>
    <xf borderId="1" fillId="0" fontId="7" numFmtId="0" xfId="0" applyBorder="1" applyFont="1"/>
    <xf borderId="1" fillId="0" fontId="6" numFmtId="165" xfId="0" applyBorder="1" applyFont="1" applyNumberFormat="1"/>
    <xf borderId="1" fillId="5" fontId="2" numFmtId="0" xfId="0" applyAlignment="1" applyBorder="1" applyFont="1">
      <alignment horizontal="center" readingOrder="0" vertical="bottom"/>
    </xf>
    <xf borderId="1" fillId="5" fontId="5" numFmtId="0" xfId="0" applyAlignment="1" applyBorder="1" applyFont="1">
      <alignment horizontal="center" readingOrder="0"/>
    </xf>
    <xf borderId="1" fillId="0" fontId="5" numFmtId="0" xfId="0" applyAlignment="1" applyBorder="1" applyFont="1">
      <alignment horizontal="center"/>
    </xf>
    <xf borderId="1" fillId="0" fontId="5" numFmtId="165" xfId="0" applyAlignment="1" applyBorder="1" applyFont="1" applyNumberFormat="1">
      <alignment horizontal="center"/>
    </xf>
    <xf borderId="0" fillId="0" fontId="6" numFmtId="0" xfId="0" applyAlignment="1" applyFont="1">
      <alignment horizontal="center"/>
    </xf>
    <xf borderId="0" fillId="0" fontId="3" numFmtId="0" xfId="0" applyAlignment="1" applyFont="1">
      <alignment horizontal="center" readingOrder="0" vertical="bottom"/>
    </xf>
    <xf borderId="1" fillId="0" fontId="3" numFmtId="165" xfId="0" applyAlignment="1" applyBorder="1" applyFont="1" applyNumberFormat="1">
      <alignment horizontal="center" readingOrder="0" vertical="bottom"/>
    </xf>
    <xf borderId="1" fillId="6" fontId="2" numFmtId="0" xfId="0" applyAlignment="1" applyBorder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19" Type="http://schemas.openxmlformats.org/officeDocument/2006/relationships/worksheet" Target="worksheets/sheet16.xml"/><Relationship Id="rId6" Type="http://schemas.openxmlformats.org/officeDocument/2006/relationships/worksheet" Target="worksheets/sheet3.xml"/><Relationship Id="rId18" Type="http://schemas.openxmlformats.org/officeDocument/2006/relationships/worksheet" Target="worksheets/sheet15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7.5"/>
    <col customWidth="1" min="4" max="4" width="20.75"/>
    <col customWidth="1" min="5" max="5" width="18.13"/>
    <col customWidth="1" min="6" max="6" width="18.0"/>
    <col customWidth="1" min="7" max="7" width="16.25"/>
    <col customWidth="1" min="8" max="8" width="18.25"/>
    <col customWidth="1" min="9" max="9" width="14.63"/>
    <col customWidth="1" min="10" max="10" width="3.88"/>
    <col customWidth="1" min="11" max="11" width="18.5"/>
    <col customWidth="1" min="12" max="12" width="18.63"/>
    <col customWidth="1" min="13" max="13" width="3.88"/>
    <col customWidth="1" min="14" max="14" width="37.63"/>
    <col customWidth="1" min="15" max="15" width="20.5"/>
    <col customWidth="1" min="16" max="16" width="16.5"/>
    <col customWidth="1" min="17" max="17" width="13.75"/>
    <col customWidth="1" min="18" max="18" width="17.0"/>
    <col customWidth="1" min="19" max="19" width="15.75"/>
  </cols>
  <sheetData>
    <row r="1">
      <c r="A1" s="1">
        <v>56.0</v>
      </c>
      <c r="B1" s="2" t="s">
        <v>0</v>
      </c>
      <c r="C1" s="3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4" t="s">
        <v>7</v>
      </c>
      <c r="J1" s="5"/>
      <c r="K1" s="6" t="s">
        <v>8</v>
      </c>
      <c r="L1" s="7" t="s">
        <v>9</v>
      </c>
      <c r="N1" s="8"/>
      <c r="O1" s="9" t="s">
        <v>10</v>
      </c>
    </row>
    <row r="2">
      <c r="A2" s="10" t="s">
        <v>11</v>
      </c>
      <c r="B2" s="11">
        <v>44593.0</v>
      </c>
      <c r="C2" s="12">
        <v>40000.0</v>
      </c>
      <c r="D2" s="12">
        <v>30000.0</v>
      </c>
      <c r="E2" s="13"/>
      <c r="F2" s="13"/>
      <c r="G2" s="13"/>
      <c r="H2" s="13"/>
      <c r="I2" s="14">
        <v>1.0</v>
      </c>
      <c r="J2" s="15"/>
      <c r="K2" s="16">
        <v>50000.0</v>
      </c>
      <c r="L2" s="12">
        <v>40000.0</v>
      </c>
      <c r="N2" s="8"/>
      <c r="O2" s="17">
        <f>D30/I30</f>
        <v>48148.14815</v>
      </c>
    </row>
    <row r="3">
      <c r="A3" s="10" t="s">
        <v>12</v>
      </c>
      <c r="B3" s="11">
        <v>44594.0</v>
      </c>
      <c r="C3" s="12">
        <v>36000.0</v>
      </c>
      <c r="D3" s="12">
        <v>50000.0</v>
      </c>
      <c r="E3" s="13"/>
      <c r="F3" s="13"/>
      <c r="G3" s="13"/>
      <c r="H3" s="13"/>
      <c r="I3" s="14">
        <v>1.0</v>
      </c>
      <c r="J3" s="15"/>
      <c r="K3" s="16">
        <v>50000.0</v>
      </c>
      <c r="L3" s="12">
        <v>36000.0</v>
      </c>
      <c r="N3" s="8"/>
      <c r="O3" s="8"/>
    </row>
    <row r="4">
      <c r="A4" s="10" t="s">
        <v>13</v>
      </c>
      <c r="B4" s="11">
        <v>44595.0</v>
      </c>
      <c r="C4" s="12">
        <v>21000.0</v>
      </c>
      <c r="D4" s="12">
        <v>85000.0</v>
      </c>
      <c r="E4" s="13"/>
      <c r="F4" s="13"/>
      <c r="G4" s="13"/>
      <c r="H4" s="13"/>
      <c r="I4" s="14">
        <v>1.0</v>
      </c>
      <c r="J4" s="15"/>
      <c r="K4" s="16">
        <v>50000.0</v>
      </c>
      <c r="L4" s="12">
        <v>21000.0</v>
      </c>
      <c r="N4" s="8"/>
      <c r="O4" s="18">
        <v>50000.0</v>
      </c>
    </row>
    <row r="5">
      <c r="A5" s="19" t="s">
        <v>14</v>
      </c>
      <c r="B5" s="20">
        <v>44596.0</v>
      </c>
      <c r="C5" s="21">
        <v>26000.0</v>
      </c>
      <c r="D5" s="12">
        <v>0.0</v>
      </c>
      <c r="E5" s="13"/>
      <c r="F5" s="13"/>
      <c r="G5" s="13"/>
      <c r="H5" s="13"/>
      <c r="I5" s="14">
        <v>0.0</v>
      </c>
      <c r="J5" s="15"/>
      <c r="K5" s="16">
        <v>0.0</v>
      </c>
      <c r="L5" s="12">
        <v>26000.0</v>
      </c>
      <c r="N5" s="8"/>
      <c r="O5" s="8"/>
    </row>
    <row r="6">
      <c r="A6" s="10" t="s">
        <v>15</v>
      </c>
      <c r="B6" s="11">
        <v>44597.0</v>
      </c>
      <c r="C6" s="12">
        <v>60000.0</v>
      </c>
      <c r="D6" s="12">
        <v>33000.0</v>
      </c>
      <c r="E6" s="13"/>
      <c r="F6" s="13"/>
      <c r="G6" s="13"/>
      <c r="H6" s="13"/>
      <c r="I6" s="14">
        <v>1.0</v>
      </c>
      <c r="J6" s="15"/>
      <c r="K6" s="16">
        <v>50000.0</v>
      </c>
      <c r="L6" s="12">
        <v>60000.0</v>
      </c>
      <c r="N6" s="8" t="s">
        <v>16</v>
      </c>
      <c r="O6" s="8"/>
    </row>
    <row r="7">
      <c r="A7" s="10" t="s">
        <v>17</v>
      </c>
      <c r="B7" s="11">
        <v>44598.0</v>
      </c>
      <c r="C7" s="12">
        <v>9000.0</v>
      </c>
      <c r="D7" s="12">
        <v>38000.0</v>
      </c>
      <c r="E7" s="13"/>
      <c r="F7" s="13"/>
      <c r="G7" s="13"/>
      <c r="H7" s="13"/>
      <c r="I7" s="14">
        <v>1.0</v>
      </c>
      <c r="J7" s="15"/>
      <c r="K7" s="16">
        <v>50000.0</v>
      </c>
      <c r="L7" s="12">
        <v>9000.0</v>
      </c>
      <c r="N7" s="8"/>
      <c r="O7" s="8"/>
    </row>
    <row r="8">
      <c r="A8" s="10" t="s">
        <v>18</v>
      </c>
      <c r="B8" s="11">
        <v>44599.0</v>
      </c>
      <c r="C8" s="12">
        <v>39000.0</v>
      </c>
      <c r="D8" s="12">
        <v>31000.0</v>
      </c>
      <c r="E8" s="13"/>
      <c r="F8" s="13"/>
      <c r="G8" s="13"/>
      <c r="H8" s="13"/>
      <c r="I8" s="14">
        <v>1.0</v>
      </c>
      <c r="J8" s="15"/>
      <c r="K8" s="16">
        <v>50000.0</v>
      </c>
      <c r="L8" s="12">
        <v>39000.0</v>
      </c>
      <c r="N8" s="22" t="s">
        <v>19</v>
      </c>
      <c r="O8" s="22" t="s">
        <v>20</v>
      </c>
      <c r="P8" s="23" t="s">
        <v>21</v>
      </c>
      <c r="Q8" s="24" t="s">
        <v>22</v>
      </c>
      <c r="R8" s="24" t="s">
        <v>23</v>
      </c>
      <c r="S8" s="24" t="s">
        <v>24</v>
      </c>
    </row>
    <row r="9">
      <c r="A9" s="10" t="s">
        <v>11</v>
      </c>
      <c r="B9" s="11">
        <v>44600.0</v>
      </c>
      <c r="C9" s="12">
        <v>70000.0</v>
      </c>
      <c r="D9" s="12">
        <v>60000.0</v>
      </c>
      <c r="E9" s="13"/>
      <c r="F9" s="13"/>
      <c r="G9" s="13"/>
      <c r="H9" s="13"/>
      <c r="I9" s="14">
        <v>1.0</v>
      </c>
      <c r="J9" s="15"/>
      <c r="K9" s="16">
        <v>50000.0</v>
      </c>
      <c r="L9" s="12">
        <v>70000.0</v>
      </c>
      <c r="N9" s="18">
        <f>D30-O9-E30-Salaires!K19</f>
        <v>662589</v>
      </c>
      <c r="O9" s="25">
        <f>P9+Q9+R9+S9</f>
        <v>118000</v>
      </c>
      <c r="P9" s="26">
        <v>35000.0</v>
      </c>
      <c r="Q9" s="26"/>
      <c r="R9" s="26">
        <v>8000.0</v>
      </c>
      <c r="S9" s="26">
        <v>75000.0</v>
      </c>
      <c r="T9" s="27">
        <f>SUM(T14)</f>
        <v>0</v>
      </c>
    </row>
    <row r="10">
      <c r="A10" s="10" t="s">
        <v>12</v>
      </c>
      <c r="B10" s="11">
        <v>44601.0</v>
      </c>
      <c r="C10" s="12">
        <v>80000.0</v>
      </c>
      <c r="D10" s="12">
        <v>34000.0</v>
      </c>
      <c r="E10" s="13"/>
      <c r="F10" s="13"/>
      <c r="G10" s="13"/>
      <c r="H10" s="13"/>
      <c r="I10" s="14">
        <v>1.0</v>
      </c>
      <c r="J10" s="15"/>
      <c r="K10" s="16">
        <v>50000.0</v>
      </c>
      <c r="L10" s="12">
        <v>80000.0</v>
      </c>
      <c r="N10" s="8"/>
      <c r="O10" s="8" t="s">
        <v>25</v>
      </c>
    </row>
    <row r="11">
      <c r="A11" s="10" t="s">
        <v>13</v>
      </c>
      <c r="B11" s="11">
        <v>44602.0</v>
      </c>
      <c r="C11" s="12">
        <v>120000.0</v>
      </c>
      <c r="D11" s="12">
        <v>103000.0</v>
      </c>
      <c r="E11" s="13"/>
      <c r="F11" s="13"/>
      <c r="G11" s="13"/>
      <c r="H11" s="13"/>
      <c r="I11" s="14">
        <v>1.0</v>
      </c>
      <c r="J11" s="15"/>
      <c r="K11" s="16">
        <v>50000.0</v>
      </c>
      <c r="L11" s="12">
        <v>120000.0</v>
      </c>
      <c r="N11" s="28" t="s">
        <v>26</v>
      </c>
      <c r="O11" s="29">
        <v>180000.0</v>
      </c>
    </row>
    <row r="12">
      <c r="A12" s="19" t="s">
        <v>14</v>
      </c>
      <c r="B12" s="20">
        <v>44603.0</v>
      </c>
      <c r="C12" s="21">
        <v>40000.0</v>
      </c>
      <c r="D12" s="12">
        <v>50000.0</v>
      </c>
      <c r="E12" s="13"/>
      <c r="F12" s="13"/>
      <c r="G12" s="13"/>
      <c r="H12" s="13"/>
      <c r="I12" s="14">
        <v>1.0</v>
      </c>
      <c r="J12" s="15"/>
      <c r="K12" s="16">
        <v>50000.0</v>
      </c>
      <c r="L12" s="12">
        <v>40000.0</v>
      </c>
      <c r="N12" s="30" t="s">
        <v>27</v>
      </c>
      <c r="O12" s="30">
        <f>D30+O11-O9-E30-Salaires!K19</f>
        <v>842589</v>
      </c>
    </row>
    <row r="13">
      <c r="A13" s="10" t="s">
        <v>15</v>
      </c>
      <c r="B13" s="11">
        <v>44604.0</v>
      </c>
      <c r="C13" s="12">
        <v>46000.0</v>
      </c>
      <c r="D13" s="12">
        <v>39000.0</v>
      </c>
      <c r="E13" s="13"/>
      <c r="F13" s="13"/>
      <c r="G13" s="13"/>
      <c r="H13" s="13"/>
      <c r="I13" s="14">
        <v>1.0</v>
      </c>
      <c r="J13" s="15"/>
      <c r="K13" s="16">
        <v>50000.0</v>
      </c>
      <c r="L13" s="12">
        <v>46000.0</v>
      </c>
      <c r="N13" s="29" t="s">
        <v>28</v>
      </c>
      <c r="O13" s="29">
        <v>160000.0</v>
      </c>
    </row>
    <row r="14">
      <c r="A14" s="10" t="s">
        <v>17</v>
      </c>
      <c r="B14" s="11">
        <v>44605.0</v>
      </c>
      <c r="C14" s="12">
        <v>27000.0</v>
      </c>
      <c r="D14" s="12">
        <v>50000.0</v>
      </c>
      <c r="E14" s="13"/>
      <c r="F14" s="13"/>
      <c r="G14" s="13"/>
      <c r="H14" s="13"/>
      <c r="I14" s="14">
        <v>1.0</v>
      </c>
      <c r="J14" s="15"/>
      <c r="K14" s="16">
        <v>50000.0</v>
      </c>
      <c r="L14" s="12">
        <v>27000.0</v>
      </c>
      <c r="N14" s="31"/>
      <c r="O14" s="30">
        <f>N9-O13</f>
        <v>502589</v>
      </c>
    </row>
    <row r="15">
      <c r="A15" s="10" t="s">
        <v>18</v>
      </c>
      <c r="B15" s="11">
        <v>44606.0</v>
      </c>
      <c r="C15" s="12">
        <v>21000.0</v>
      </c>
      <c r="D15" s="12">
        <v>44000.0</v>
      </c>
      <c r="E15" s="13"/>
      <c r="F15" s="13"/>
      <c r="G15" s="13"/>
      <c r="H15" s="13"/>
      <c r="I15" s="14">
        <v>1.0</v>
      </c>
      <c r="J15" s="15"/>
      <c r="K15" s="16">
        <v>50000.0</v>
      </c>
      <c r="L15" s="12">
        <v>21000.0</v>
      </c>
      <c r="N15" s="32"/>
      <c r="O15" s="8"/>
    </row>
    <row r="16">
      <c r="A16" s="10" t="s">
        <v>11</v>
      </c>
      <c r="B16" s="11">
        <v>44607.0</v>
      </c>
      <c r="C16" s="12">
        <v>28000.0</v>
      </c>
      <c r="D16" s="12">
        <v>53000.0</v>
      </c>
      <c r="E16" s="13"/>
      <c r="F16" s="13"/>
      <c r="G16" s="13"/>
      <c r="H16" s="13"/>
      <c r="I16" s="14">
        <v>1.0</v>
      </c>
      <c r="J16" s="15"/>
      <c r="K16" s="16">
        <v>50000.0</v>
      </c>
      <c r="L16" s="12">
        <v>28000.0</v>
      </c>
      <c r="N16" s="31"/>
      <c r="O16" s="8"/>
    </row>
    <row r="17">
      <c r="A17" s="10" t="s">
        <v>12</v>
      </c>
      <c r="B17" s="11">
        <v>44608.0</v>
      </c>
      <c r="C17" s="12">
        <v>30000.0</v>
      </c>
      <c r="D17" s="12">
        <v>50000.0</v>
      </c>
      <c r="E17" s="13"/>
      <c r="F17" s="13"/>
      <c r="G17" s="13"/>
      <c r="H17" s="13"/>
      <c r="I17" s="14">
        <v>1.0</v>
      </c>
      <c r="J17" s="15"/>
      <c r="K17" s="16">
        <v>50000.0</v>
      </c>
      <c r="L17" s="12">
        <v>30000.0</v>
      </c>
      <c r="N17" s="33" t="s">
        <v>29</v>
      </c>
      <c r="O17" s="8"/>
    </row>
    <row r="18">
      <c r="A18" s="10" t="s">
        <v>13</v>
      </c>
      <c r="B18" s="11">
        <v>44609.0</v>
      </c>
      <c r="C18" s="12">
        <v>24000.0</v>
      </c>
      <c r="D18" s="12">
        <v>55000.0</v>
      </c>
      <c r="E18" s="13"/>
      <c r="F18" s="13"/>
      <c r="G18" s="13"/>
      <c r="H18" s="13"/>
      <c r="I18" s="14">
        <v>1.0</v>
      </c>
      <c r="J18" s="15"/>
      <c r="K18" s="16">
        <v>50000.0</v>
      </c>
      <c r="L18" s="12">
        <v>24000.0</v>
      </c>
      <c r="N18" s="34">
        <f>D30-C30</f>
        <v>249000</v>
      </c>
      <c r="O18" s="8"/>
    </row>
    <row r="19">
      <c r="A19" s="19" t="s">
        <v>14</v>
      </c>
      <c r="B19" s="20">
        <v>44610.0</v>
      </c>
      <c r="C19" s="21">
        <v>50000.0</v>
      </c>
      <c r="D19" s="12">
        <v>40000.0</v>
      </c>
      <c r="E19" s="13"/>
      <c r="F19" s="13"/>
      <c r="G19" s="13"/>
      <c r="H19" s="13"/>
      <c r="I19" s="14">
        <v>1.0</v>
      </c>
      <c r="J19" s="15"/>
      <c r="K19" s="16">
        <v>50000.0</v>
      </c>
      <c r="L19" s="12">
        <v>50000.0</v>
      </c>
      <c r="N19" s="35" t="s">
        <v>30</v>
      </c>
      <c r="O19" s="8"/>
    </row>
    <row r="20">
      <c r="A20" s="10" t="s">
        <v>15</v>
      </c>
      <c r="B20" s="11">
        <v>44611.0</v>
      </c>
      <c r="C20" s="12">
        <v>44000.0</v>
      </c>
      <c r="D20" s="12">
        <v>36000.0</v>
      </c>
      <c r="E20" s="13"/>
      <c r="F20" s="13"/>
      <c r="G20" s="13"/>
      <c r="H20" s="13"/>
      <c r="I20" s="14">
        <v>1.0</v>
      </c>
      <c r="J20" s="15"/>
      <c r="K20" s="16">
        <v>50000.0</v>
      </c>
      <c r="L20" s="12">
        <v>44000.0</v>
      </c>
      <c r="N20" s="30">
        <f>D30-K30</f>
        <v>0</v>
      </c>
      <c r="O20" s="8"/>
    </row>
    <row r="21">
      <c r="A21" s="10" t="s">
        <v>17</v>
      </c>
      <c r="B21" s="11">
        <v>44612.0</v>
      </c>
      <c r="C21" s="12">
        <v>27000.0</v>
      </c>
      <c r="D21" s="12">
        <v>25000.0</v>
      </c>
      <c r="E21" s="13"/>
      <c r="F21" s="13"/>
      <c r="G21" s="13"/>
      <c r="H21" s="13"/>
      <c r="I21" s="14">
        <v>1.0</v>
      </c>
      <c r="J21" s="15"/>
      <c r="K21" s="16">
        <v>50000.0</v>
      </c>
      <c r="L21" s="12">
        <v>27000.0</v>
      </c>
    </row>
    <row r="22">
      <c r="A22" s="10" t="s">
        <v>18</v>
      </c>
      <c r="B22" s="11">
        <v>44613.0</v>
      </c>
      <c r="C22" s="12">
        <v>30000.0</v>
      </c>
      <c r="D22" s="12">
        <v>50000.0</v>
      </c>
      <c r="E22" s="13"/>
      <c r="F22" s="13"/>
      <c r="G22" s="13"/>
      <c r="H22" s="13"/>
      <c r="I22" s="14">
        <v>1.0</v>
      </c>
      <c r="J22" s="15"/>
      <c r="K22" s="16">
        <v>50000.0</v>
      </c>
      <c r="L22" s="12">
        <v>30000.0</v>
      </c>
    </row>
    <row r="23">
      <c r="A23" s="10" t="s">
        <v>11</v>
      </c>
      <c r="B23" s="11">
        <v>44614.0</v>
      </c>
      <c r="C23" s="12">
        <v>42000.0</v>
      </c>
      <c r="D23" s="12">
        <v>45000.0</v>
      </c>
      <c r="E23" s="13"/>
      <c r="F23" s="13"/>
      <c r="G23" s="13"/>
      <c r="H23" s="13"/>
      <c r="I23" s="14">
        <v>1.0</v>
      </c>
      <c r="J23" s="15"/>
      <c r="K23" s="16">
        <v>50000.0</v>
      </c>
      <c r="L23" s="12">
        <v>42000.0</v>
      </c>
      <c r="N23" s="36" t="s">
        <v>31</v>
      </c>
    </row>
    <row r="24">
      <c r="A24" s="10" t="s">
        <v>12</v>
      </c>
      <c r="B24" s="11">
        <v>44615.0</v>
      </c>
      <c r="C24" s="12">
        <v>50000.0</v>
      </c>
      <c r="D24" s="12">
        <v>58000.0</v>
      </c>
      <c r="E24" s="13"/>
      <c r="F24" s="13"/>
      <c r="G24" s="13"/>
      <c r="H24" s="13"/>
      <c r="I24" s="14">
        <v>1.0</v>
      </c>
      <c r="J24" s="15"/>
      <c r="K24" s="16">
        <v>50000.0</v>
      </c>
      <c r="L24" s="12">
        <v>50000.0</v>
      </c>
      <c r="N24" s="37">
        <f>D12+D19+D26</f>
        <v>129000</v>
      </c>
    </row>
    <row r="25">
      <c r="A25" s="10" t="s">
        <v>13</v>
      </c>
      <c r="B25" s="11">
        <v>44616.0</v>
      </c>
      <c r="C25" s="12">
        <v>29000.0</v>
      </c>
      <c r="D25" s="12">
        <v>70000.0</v>
      </c>
      <c r="E25" s="13"/>
      <c r="F25" s="13"/>
      <c r="G25" s="13"/>
      <c r="H25" s="13"/>
      <c r="I25" s="14">
        <v>1.0</v>
      </c>
      <c r="J25" s="15"/>
      <c r="K25" s="16">
        <v>50000.0</v>
      </c>
      <c r="L25" s="12">
        <v>29000.0</v>
      </c>
    </row>
    <row r="26">
      <c r="A26" s="19" t="s">
        <v>14</v>
      </c>
      <c r="B26" s="20">
        <v>44617.0</v>
      </c>
      <c r="C26" s="21">
        <v>32000.0</v>
      </c>
      <c r="D26" s="12">
        <v>39000.0</v>
      </c>
      <c r="E26" s="13"/>
      <c r="F26" s="13"/>
      <c r="G26" s="13"/>
      <c r="H26" s="13"/>
      <c r="I26" s="14">
        <v>1.0</v>
      </c>
      <c r="J26" s="15"/>
      <c r="K26" s="16">
        <v>50000.0</v>
      </c>
      <c r="L26" s="12">
        <v>32000.0</v>
      </c>
    </row>
    <row r="27">
      <c r="A27" s="10" t="s">
        <v>15</v>
      </c>
      <c r="B27" s="11">
        <v>44618.0</v>
      </c>
      <c r="C27" s="12">
        <v>30000.0</v>
      </c>
      <c r="D27" s="12">
        <v>36000.0</v>
      </c>
      <c r="E27" s="13"/>
      <c r="F27" s="13"/>
      <c r="G27" s="13"/>
      <c r="H27" s="13"/>
      <c r="I27" s="14">
        <v>1.0</v>
      </c>
      <c r="J27" s="15"/>
      <c r="K27" s="16">
        <v>50000.0</v>
      </c>
      <c r="L27" s="12">
        <v>30000.0</v>
      </c>
    </row>
    <row r="28">
      <c r="A28" s="10" t="s">
        <v>17</v>
      </c>
      <c r="B28" s="11">
        <v>44619.0</v>
      </c>
      <c r="C28" s="12">
        <v>0.0</v>
      </c>
      <c r="D28" s="12">
        <v>40000.0</v>
      </c>
      <c r="E28" s="13"/>
      <c r="F28" s="13"/>
      <c r="G28" s="13"/>
      <c r="H28" s="13"/>
      <c r="I28" s="14">
        <v>1.0</v>
      </c>
      <c r="J28" s="15"/>
      <c r="K28" s="16">
        <v>50000.0</v>
      </c>
      <c r="L28" s="12">
        <v>0.0</v>
      </c>
    </row>
    <row r="29">
      <c r="A29" s="10" t="s">
        <v>18</v>
      </c>
      <c r="B29" s="11">
        <v>44620.0</v>
      </c>
      <c r="C29" s="12">
        <v>0.0</v>
      </c>
      <c r="D29" s="12">
        <v>56000.0</v>
      </c>
      <c r="E29" s="13"/>
      <c r="F29" s="13"/>
      <c r="G29" s="13"/>
      <c r="H29" s="13"/>
      <c r="I29" s="14">
        <v>1.0</v>
      </c>
      <c r="J29" s="15"/>
      <c r="K29" s="38"/>
      <c r="L29" s="39">
        <v>0.0</v>
      </c>
    </row>
    <row r="30">
      <c r="C30" s="17">
        <f t="shared" ref="C30:D30" si="1">SUM(C2:C29)</f>
        <v>1051000</v>
      </c>
      <c r="D30" s="40">
        <f t="shared" si="1"/>
        <v>1300000</v>
      </c>
      <c r="E30" s="41">
        <f>'Les charges'!F297</f>
        <v>462411</v>
      </c>
      <c r="F30" s="42">
        <f>Pointage!N32*1</f>
        <v>277581.125</v>
      </c>
      <c r="G30" s="43">
        <v>90000.0</v>
      </c>
      <c r="H30" s="44">
        <f>D30-G30-F30-E30</f>
        <v>470007.875</v>
      </c>
      <c r="I30" s="45">
        <f>SUM(I2:I29)</f>
        <v>27</v>
      </c>
      <c r="J30" s="46"/>
      <c r="K30" s="37">
        <f t="shared" ref="K30:L30" si="2">SUM(K2:K29)</f>
        <v>1300000</v>
      </c>
      <c r="L30" s="37">
        <f t="shared" si="2"/>
        <v>1051000</v>
      </c>
    </row>
    <row r="31">
      <c r="C31" s="47"/>
      <c r="D31" s="47"/>
      <c r="E31" s="47"/>
      <c r="F31" s="47"/>
      <c r="G31" s="47"/>
      <c r="H31" s="47"/>
      <c r="I31" s="8"/>
    </row>
    <row r="32">
      <c r="C32" s="48" t="s">
        <v>8</v>
      </c>
      <c r="D32" s="49">
        <v>1350000.0</v>
      </c>
      <c r="E32" s="50">
        <v>500000.0</v>
      </c>
      <c r="F32" s="49">
        <v>304000.0</v>
      </c>
      <c r="G32" s="50">
        <v>90000.0</v>
      </c>
      <c r="H32" s="49">
        <v>456000.0</v>
      </c>
      <c r="I32" s="8"/>
    </row>
    <row r="33">
      <c r="C33" s="51" t="s">
        <v>32</v>
      </c>
      <c r="D33" s="52">
        <v>1051000.0</v>
      </c>
      <c r="E33" s="53">
        <v>435000.0</v>
      </c>
      <c r="F33" s="54">
        <v>226000.0</v>
      </c>
      <c r="G33" s="43">
        <v>90000.0</v>
      </c>
      <c r="H33" s="55">
        <v>300000.0</v>
      </c>
      <c r="I33" s="8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64.63"/>
    <col customWidth="1" min="4" max="4" width="37.25"/>
    <col customWidth="1" min="5" max="5" width="25.0"/>
    <col customWidth="1" min="6" max="6" width="25.5"/>
    <col customWidth="1" min="7" max="7" width="32.13"/>
  </cols>
  <sheetData>
    <row r="2">
      <c r="C2" s="56" t="s">
        <v>33</v>
      </c>
      <c r="D2" s="56" t="s">
        <v>34</v>
      </c>
      <c r="E2" s="56" t="s">
        <v>35</v>
      </c>
      <c r="F2" s="56" t="s">
        <v>36</v>
      </c>
      <c r="G2" s="56" t="s">
        <v>37</v>
      </c>
    </row>
    <row r="3">
      <c r="C3" s="57" t="s">
        <v>38</v>
      </c>
      <c r="D3" s="58" t="s">
        <v>39</v>
      </c>
      <c r="E3" s="59">
        <v>270.5</v>
      </c>
      <c r="F3" s="60">
        <v>2705.0</v>
      </c>
      <c r="G3" s="61">
        <v>44593.0</v>
      </c>
    </row>
    <row r="4">
      <c r="C4" s="57" t="s">
        <v>40</v>
      </c>
      <c r="D4" s="58" t="s">
        <v>41</v>
      </c>
      <c r="E4" s="60">
        <v>487.0</v>
      </c>
      <c r="F4" s="60">
        <v>974.0</v>
      </c>
      <c r="G4" s="61">
        <v>44593.0</v>
      </c>
    </row>
    <row r="5">
      <c r="C5" s="57" t="s">
        <v>42</v>
      </c>
      <c r="D5" s="58" t="s">
        <v>43</v>
      </c>
      <c r="E5" s="59">
        <v>225.0</v>
      </c>
      <c r="F5" s="60">
        <v>675.0</v>
      </c>
      <c r="G5" s="61">
        <v>44593.0</v>
      </c>
    </row>
    <row r="6">
      <c r="C6" s="62" t="s">
        <v>44</v>
      </c>
      <c r="D6" s="63" t="s">
        <v>45</v>
      </c>
      <c r="E6" s="64">
        <v>145.0</v>
      </c>
      <c r="F6" s="64">
        <v>580.0</v>
      </c>
      <c r="G6" s="65">
        <v>44593.0</v>
      </c>
    </row>
    <row r="7">
      <c r="C7" s="57" t="s">
        <v>46</v>
      </c>
      <c r="D7" s="58" t="s">
        <v>43</v>
      </c>
      <c r="E7" s="59">
        <v>245.0</v>
      </c>
      <c r="F7" s="60">
        <v>735.0</v>
      </c>
      <c r="G7" s="61">
        <v>44593.0</v>
      </c>
    </row>
    <row r="8">
      <c r="C8" s="57" t="s">
        <v>47</v>
      </c>
      <c r="D8" s="58" t="s">
        <v>48</v>
      </c>
      <c r="E8" s="59">
        <v>210.0</v>
      </c>
      <c r="F8" s="60">
        <v>1470.0</v>
      </c>
      <c r="G8" s="61">
        <v>44593.0</v>
      </c>
    </row>
    <row r="9">
      <c r="C9" s="57" t="s">
        <v>49</v>
      </c>
      <c r="D9" s="58">
        <v>6.0</v>
      </c>
      <c r="E9" s="59">
        <v>740.0</v>
      </c>
      <c r="F9" s="60">
        <v>4440.0</v>
      </c>
      <c r="G9" s="61">
        <v>44593.0</v>
      </c>
    </row>
    <row r="10">
      <c r="C10" s="57" t="s">
        <v>50</v>
      </c>
      <c r="D10" s="58">
        <v>18.0</v>
      </c>
      <c r="E10" s="59">
        <v>130.0</v>
      </c>
      <c r="F10" s="60">
        <v>2340.0</v>
      </c>
      <c r="G10" s="61">
        <v>44593.0</v>
      </c>
    </row>
    <row r="11">
      <c r="C11" s="57" t="s">
        <v>51</v>
      </c>
      <c r="D11" s="58">
        <v>5.0</v>
      </c>
      <c r="E11" s="59" t="s">
        <v>52</v>
      </c>
      <c r="F11" s="60">
        <v>700.0</v>
      </c>
      <c r="G11" s="61">
        <v>44593.0</v>
      </c>
    </row>
    <row r="12">
      <c r="C12" s="66" t="s">
        <v>53</v>
      </c>
      <c r="D12" s="66" t="s">
        <v>54</v>
      </c>
      <c r="E12" s="12">
        <v>45.0</v>
      </c>
      <c r="F12" s="12">
        <v>2700.0</v>
      </c>
      <c r="G12" s="11">
        <v>44593.0</v>
      </c>
    </row>
    <row r="13">
      <c r="C13" s="66" t="s">
        <v>55</v>
      </c>
      <c r="D13" s="66">
        <v>1.0</v>
      </c>
      <c r="E13" s="12">
        <v>800.0</v>
      </c>
      <c r="F13" s="12">
        <v>800.0</v>
      </c>
      <c r="G13" s="11">
        <v>44593.0</v>
      </c>
    </row>
    <row r="14">
      <c r="C14" s="58" t="s">
        <v>56</v>
      </c>
      <c r="D14" s="58">
        <v>12.0</v>
      </c>
      <c r="E14" s="60">
        <v>425.0</v>
      </c>
      <c r="F14" s="60">
        <v>5100.0</v>
      </c>
      <c r="G14" s="61">
        <v>44593.0</v>
      </c>
    </row>
    <row r="15">
      <c r="C15" s="57" t="s">
        <v>57</v>
      </c>
      <c r="D15" s="58">
        <v>7.0</v>
      </c>
      <c r="E15" s="59">
        <v>145.0</v>
      </c>
      <c r="F15" s="60">
        <v>1015.0</v>
      </c>
      <c r="G15" s="67">
        <v>44562.0</v>
      </c>
    </row>
    <row r="16">
      <c r="C16" s="57" t="s">
        <v>58</v>
      </c>
      <c r="D16" s="58" t="s">
        <v>59</v>
      </c>
      <c r="E16" s="59">
        <v>643.0</v>
      </c>
      <c r="F16" s="60">
        <v>5144.0</v>
      </c>
      <c r="G16" s="67">
        <v>44562.0</v>
      </c>
    </row>
    <row r="17">
      <c r="C17" s="57" t="s">
        <v>60</v>
      </c>
      <c r="D17" s="58" t="s">
        <v>61</v>
      </c>
      <c r="E17" s="59">
        <v>375.0</v>
      </c>
      <c r="F17" s="60">
        <v>750.0</v>
      </c>
      <c r="G17" s="67">
        <v>44562.0</v>
      </c>
    </row>
    <row r="18">
      <c r="C18" s="57" t="s">
        <v>62</v>
      </c>
      <c r="D18" s="58" t="s">
        <v>63</v>
      </c>
      <c r="E18" s="59">
        <v>1000.0</v>
      </c>
      <c r="F18" s="60">
        <v>3000.0</v>
      </c>
      <c r="G18" s="67">
        <v>44562.0</v>
      </c>
    </row>
    <row r="19">
      <c r="C19" s="68" t="s">
        <v>64</v>
      </c>
      <c r="D19" s="66">
        <v>23.0</v>
      </c>
      <c r="E19" s="39">
        <v>1350.0</v>
      </c>
      <c r="F19" s="69">
        <v>31050.0</v>
      </c>
      <c r="G19" s="11">
        <v>44593.0</v>
      </c>
    </row>
    <row r="20">
      <c r="C20" s="68" t="s">
        <v>65</v>
      </c>
      <c r="D20" s="66">
        <v>23.0</v>
      </c>
      <c r="E20" s="39">
        <v>175.0</v>
      </c>
      <c r="F20" s="70">
        <v>4025.0</v>
      </c>
      <c r="G20" s="11">
        <v>44593.0</v>
      </c>
    </row>
    <row r="21">
      <c r="C21" s="57" t="s">
        <v>66</v>
      </c>
      <c r="D21" s="58" t="s">
        <v>67</v>
      </c>
      <c r="E21" s="59">
        <v>175.0</v>
      </c>
      <c r="F21" s="71">
        <v>6300.0</v>
      </c>
      <c r="G21" s="61">
        <v>44593.0</v>
      </c>
    </row>
    <row r="22">
      <c r="C22" s="66" t="s">
        <v>68</v>
      </c>
      <c r="D22" s="66" t="s">
        <v>69</v>
      </c>
      <c r="E22" s="12">
        <v>1200.0</v>
      </c>
      <c r="F22" s="12">
        <v>16800.0</v>
      </c>
      <c r="G22" s="11">
        <v>44593.0</v>
      </c>
    </row>
    <row r="23">
      <c r="C23" s="68" t="s">
        <v>68</v>
      </c>
      <c r="D23" s="66">
        <v>2.0</v>
      </c>
      <c r="E23" s="39">
        <v>1500.0</v>
      </c>
      <c r="F23" s="12">
        <v>3000.0</v>
      </c>
      <c r="G23" s="11">
        <v>44593.0</v>
      </c>
    </row>
    <row r="24">
      <c r="C24" s="68" t="s">
        <v>70</v>
      </c>
      <c r="D24" s="66" t="s">
        <v>71</v>
      </c>
      <c r="E24" s="39">
        <v>580.0</v>
      </c>
      <c r="F24" s="12">
        <v>31900.0</v>
      </c>
      <c r="G24" s="11">
        <v>44593.0</v>
      </c>
    </row>
    <row r="25">
      <c r="C25" s="57" t="s">
        <v>72</v>
      </c>
      <c r="D25" s="58" t="s">
        <v>73</v>
      </c>
      <c r="E25" s="59">
        <v>1416.0</v>
      </c>
      <c r="F25" s="60">
        <v>2832.0</v>
      </c>
      <c r="G25" s="61">
        <v>44593.0</v>
      </c>
    </row>
    <row r="26">
      <c r="C26" s="66" t="s">
        <v>74</v>
      </c>
      <c r="D26" s="66" t="s">
        <v>75</v>
      </c>
      <c r="E26" s="12">
        <v>430.0</v>
      </c>
      <c r="F26" s="12">
        <v>2150.0</v>
      </c>
      <c r="G26" s="11">
        <v>44593.0</v>
      </c>
    </row>
    <row r="27">
      <c r="C27" s="66" t="s">
        <v>76</v>
      </c>
      <c r="D27" s="66" t="s">
        <v>77</v>
      </c>
      <c r="E27" s="12">
        <v>450.0</v>
      </c>
      <c r="F27" s="12">
        <v>4050.0</v>
      </c>
      <c r="G27" s="11">
        <v>6692006.0</v>
      </c>
    </row>
    <row r="28">
      <c r="C28" s="66" t="s">
        <v>78</v>
      </c>
      <c r="D28" s="66" t="s">
        <v>79</v>
      </c>
      <c r="E28" s="12">
        <v>540.0</v>
      </c>
      <c r="F28" s="12">
        <v>540.0</v>
      </c>
      <c r="G28" s="11">
        <v>44593.0</v>
      </c>
    </row>
    <row r="29">
      <c r="C29" s="66" t="s">
        <v>80</v>
      </c>
      <c r="D29" s="66" t="s">
        <v>81</v>
      </c>
      <c r="E29" s="12">
        <v>530.0</v>
      </c>
      <c r="F29" s="12">
        <v>1060.0</v>
      </c>
      <c r="G29" s="11">
        <v>44593.0</v>
      </c>
    </row>
    <row r="30">
      <c r="C30" s="66" t="s">
        <v>82</v>
      </c>
      <c r="D30" s="66" t="s">
        <v>83</v>
      </c>
      <c r="E30" s="12">
        <v>390.0</v>
      </c>
      <c r="F30" s="12">
        <v>390.0</v>
      </c>
      <c r="G30" s="11">
        <v>44593.0</v>
      </c>
    </row>
    <row r="31">
      <c r="C31" s="66" t="s">
        <v>84</v>
      </c>
      <c r="D31" s="66">
        <v>1.0</v>
      </c>
      <c r="E31" s="12">
        <v>570.0</v>
      </c>
      <c r="F31" s="12">
        <v>570.0</v>
      </c>
      <c r="G31" s="11">
        <v>44593.0</v>
      </c>
    </row>
    <row r="32">
      <c r="C32" s="68" t="s">
        <v>85</v>
      </c>
      <c r="D32" s="66" t="s">
        <v>86</v>
      </c>
      <c r="E32" s="39">
        <v>620.0</v>
      </c>
      <c r="F32" s="12">
        <v>2160.0</v>
      </c>
      <c r="G32" s="11">
        <v>44593.0</v>
      </c>
    </row>
    <row r="33">
      <c r="C33" s="57" t="s">
        <v>87</v>
      </c>
      <c r="D33" s="58">
        <v>40.0</v>
      </c>
      <c r="E33" s="59">
        <v>55.0</v>
      </c>
      <c r="F33" s="60">
        <v>2200.0</v>
      </c>
      <c r="G33" s="61">
        <v>44593.0</v>
      </c>
    </row>
    <row r="34">
      <c r="C34" s="57" t="s">
        <v>88</v>
      </c>
      <c r="D34" s="58" t="s">
        <v>89</v>
      </c>
      <c r="E34" s="59">
        <v>650.0</v>
      </c>
      <c r="F34" s="60">
        <v>650.0</v>
      </c>
      <c r="G34" s="61">
        <v>44593.0</v>
      </c>
    </row>
    <row r="35">
      <c r="C35" s="57" t="s">
        <v>90</v>
      </c>
      <c r="D35" s="58" t="s">
        <v>91</v>
      </c>
      <c r="E35" s="59">
        <v>850.0</v>
      </c>
      <c r="F35" s="60">
        <v>850.0</v>
      </c>
      <c r="G35" s="61">
        <v>44593.0</v>
      </c>
    </row>
    <row r="36">
      <c r="C36" s="68" t="s">
        <v>92</v>
      </c>
      <c r="D36" s="66" t="s">
        <v>93</v>
      </c>
      <c r="E36" s="39">
        <v>2350.0</v>
      </c>
      <c r="F36" s="12">
        <v>2350.0</v>
      </c>
      <c r="G36" s="11">
        <v>44593.0</v>
      </c>
    </row>
    <row r="37">
      <c r="C37" s="68" t="s">
        <v>94</v>
      </c>
      <c r="D37" s="68" t="s">
        <v>93</v>
      </c>
      <c r="E37" s="39">
        <v>1700.0</v>
      </c>
      <c r="F37" s="39">
        <v>1700.0</v>
      </c>
      <c r="G37" s="11">
        <v>44593.0</v>
      </c>
    </row>
    <row r="38">
      <c r="C38" s="68" t="s">
        <v>95</v>
      </c>
      <c r="D38" s="68" t="s">
        <v>93</v>
      </c>
      <c r="E38" s="39">
        <v>1550.0</v>
      </c>
      <c r="F38" s="39">
        <v>1550.0</v>
      </c>
      <c r="G38" s="11">
        <v>44593.0</v>
      </c>
    </row>
    <row r="39">
      <c r="C39" s="68" t="s">
        <v>96</v>
      </c>
      <c r="D39" s="66">
        <v>2.0</v>
      </c>
      <c r="E39" s="39">
        <v>170.0</v>
      </c>
      <c r="F39" s="12">
        <v>340.0</v>
      </c>
      <c r="G39" s="11">
        <v>44593.0</v>
      </c>
    </row>
    <row r="40">
      <c r="C40" s="68" t="s">
        <v>97</v>
      </c>
      <c r="D40" s="66" t="s">
        <v>98</v>
      </c>
      <c r="E40" s="39">
        <v>450.0</v>
      </c>
      <c r="F40" s="12">
        <v>900.0</v>
      </c>
      <c r="G40" s="11">
        <v>44593.0</v>
      </c>
    </row>
    <row r="41">
      <c r="C41" s="68" t="s">
        <v>99</v>
      </c>
      <c r="D41" s="68" t="s">
        <v>79</v>
      </c>
      <c r="E41" s="39">
        <v>300.0</v>
      </c>
      <c r="F41" s="39">
        <v>300.0</v>
      </c>
      <c r="G41" s="11">
        <v>44593.0</v>
      </c>
    </row>
    <row r="42">
      <c r="C42" s="68" t="s">
        <v>100</v>
      </c>
      <c r="D42" s="68">
        <v>5.0</v>
      </c>
      <c r="E42" s="39">
        <v>100.0</v>
      </c>
      <c r="F42" s="39">
        <v>500.0</v>
      </c>
      <c r="G42" s="11">
        <v>44593.0</v>
      </c>
    </row>
    <row r="43">
      <c r="C43" s="57" t="s">
        <v>101</v>
      </c>
      <c r="D43" s="58">
        <v>3.0</v>
      </c>
      <c r="E43" s="59">
        <v>1750.0</v>
      </c>
      <c r="F43" s="60">
        <v>5250.0</v>
      </c>
      <c r="G43" s="61">
        <v>44593.0</v>
      </c>
    </row>
    <row r="44">
      <c r="C44" s="68" t="s">
        <v>102</v>
      </c>
      <c r="D44" s="68" t="s">
        <v>103</v>
      </c>
      <c r="E44" s="39">
        <v>1500.0</v>
      </c>
      <c r="F44" s="39">
        <v>3000.0</v>
      </c>
      <c r="G44" s="11">
        <v>44593.0</v>
      </c>
    </row>
    <row r="45">
      <c r="C45" s="68" t="s">
        <v>104</v>
      </c>
      <c r="D45" s="66">
        <v>7.0</v>
      </c>
      <c r="E45" s="39">
        <v>170.0</v>
      </c>
      <c r="F45" s="12">
        <v>1190.0</v>
      </c>
      <c r="G45" s="11" t="s">
        <v>105</v>
      </c>
    </row>
    <row r="46">
      <c r="C46" s="68" t="s">
        <v>106</v>
      </c>
      <c r="D46" s="66">
        <v>16.0</v>
      </c>
      <c r="E46" s="39">
        <v>175.0</v>
      </c>
      <c r="F46" s="12">
        <v>2800.0</v>
      </c>
      <c r="G46" s="11">
        <v>44593.0</v>
      </c>
    </row>
    <row r="47">
      <c r="C47" s="68" t="s">
        <v>107</v>
      </c>
      <c r="D47" s="66">
        <v>30.0</v>
      </c>
      <c r="E47" s="39">
        <v>50.0</v>
      </c>
      <c r="F47" s="12">
        <v>1500.0</v>
      </c>
      <c r="G47" s="11">
        <v>44593.0</v>
      </c>
    </row>
    <row r="48">
      <c r="C48" s="57" t="s">
        <v>108</v>
      </c>
      <c r="D48" s="58">
        <v>50.0</v>
      </c>
      <c r="E48" s="59">
        <v>45.0</v>
      </c>
      <c r="F48" s="60">
        <v>2250.0</v>
      </c>
      <c r="G48" s="61">
        <v>44593.0</v>
      </c>
    </row>
    <row r="49">
      <c r="C49" s="68" t="s">
        <v>109</v>
      </c>
      <c r="D49" s="66" t="s">
        <v>110</v>
      </c>
      <c r="E49" s="39">
        <v>1560.0</v>
      </c>
      <c r="F49" s="12">
        <v>28080.0</v>
      </c>
      <c r="G49" s="11">
        <v>44593.0</v>
      </c>
    </row>
    <row r="50">
      <c r="C50" s="68" t="s">
        <v>111</v>
      </c>
      <c r="D50" s="66" t="s">
        <v>112</v>
      </c>
      <c r="E50" s="39">
        <v>2560.0</v>
      </c>
      <c r="F50" s="12">
        <v>6400.0</v>
      </c>
      <c r="G50" s="11">
        <v>44593.0</v>
      </c>
    </row>
    <row r="51">
      <c r="C51" s="72" t="s">
        <v>113</v>
      </c>
      <c r="D51" s="73" t="s">
        <v>114</v>
      </c>
      <c r="E51" s="74">
        <v>76.0</v>
      </c>
      <c r="F51" s="75">
        <v>2204.0</v>
      </c>
      <c r="G51" s="11">
        <v>44593.0</v>
      </c>
    </row>
    <row r="52">
      <c r="C52" s="57" t="s">
        <v>115</v>
      </c>
      <c r="D52" s="58">
        <v>2.0</v>
      </c>
      <c r="E52" s="59">
        <v>60.0</v>
      </c>
      <c r="F52" s="60">
        <v>120.0</v>
      </c>
      <c r="G52" s="61">
        <v>44593.0</v>
      </c>
    </row>
    <row r="53">
      <c r="C53" s="57" t="s">
        <v>116</v>
      </c>
      <c r="D53" s="58" t="s">
        <v>117</v>
      </c>
      <c r="E53" s="59">
        <v>160.0</v>
      </c>
      <c r="F53" s="60">
        <v>480.0</v>
      </c>
      <c r="G53" s="61">
        <v>44593.0</v>
      </c>
    </row>
    <row r="54">
      <c r="C54" s="72" t="s">
        <v>118</v>
      </c>
      <c r="D54" s="73" t="s">
        <v>119</v>
      </c>
      <c r="E54" s="74">
        <v>300.0</v>
      </c>
      <c r="F54" s="75">
        <v>6000.0</v>
      </c>
      <c r="G54" s="76">
        <v>44593.0</v>
      </c>
    </row>
    <row r="55">
      <c r="C55" s="58" t="s">
        <v>120</v>
      </c>
      <c r="D55" s="58" t="s">
        <v>121</v>
      </c>
      <c r="E55" s="59">
        <v>600.0</v>
      </c>
      <c r="F55" s="60">
        <v>600.0</v>
      </c>
      <c r="G55" s="61">
        <v>44593.0</v>
      </c>
    </row>
    <row r="56">
      <c r="C56" s="72" t="s">
        <v>122</v>
      </c>
      <c r="D56" s="73" t="s">
        <v>123</v>
      </c>
      <c r="E56" s="74">
        <v>85.0</v>
      </c>
      <c r="F56" s="75">
        <v>1530.0</v>
      </c>
      <c r="G56" s="11">
        <v>44593.0</v>
      </c>
    </row>
    <row r="57">
      <c r="C57" s="72" t="s">
        <v>124</v>
      </c>
      <c r="D57" s="73">
        <v>30.0</v>
      </c>
      <c r="E57" s="74">
        <v>160.0</v>
      </c>
      <c r="F57" s="75">
        <v>4800.0</v>
      </c>
      <c r="G57" s="11">
        <v>44593.0</v>
      </c>
    </row>
    <row r="58">
      <c r="C58" s="57" t="s">
        <v>125</v>
      </c>
      <c r="D58" s="58">
        <v>10.0</v>
      </c>
      <c r="E58" s="59">
        <v>500.0</v>
      </c>
      <c r="F58" s="60">
        <v>5000.0</v>
      </c>
      <c r="G58" s="61">
        <v>44593.0</v>
      </c>
    </row>
    <row r="59">
      <c r="C59" s="57" t="s">
        <v>126</v>
      </c>
      <c r="D59" s="58">
        <v>1.0</v>
      </c>
      <c r="E59" s="59">
        <v>490.0</v>
      </c>
      <c r="F59" s="60">
        <v>490.0</v>
      </c>
      <c r="G59" s="61">
        <v>44593.0</v>
      </c>
    </row>
    <row r="60">
      <c r="C60" s="57" t="s">
        <v>127</v>
      </c>
      <c r="D60" s="57">
        <v>4.0</v>
      </c>
      <c r="E60" s="59">
        <v>850.0</v>
      </c>
      <c r="F60" s="60">
        <v>850.0</v>
      </c>
      <c r="G60" s="61">
        <v>44593.0</v>
      </c>
    </row>
    <row r="61">
      <c r="C61" s="57" t="s">
        <v>128</v>
      </c>
      <c r="D61" s="58">
        <v>8.0</v>
      </c>
      <c r="E61" s="59">
        <v>182.0</v>
      </c>
      <c r="F61" s="60">
        <v>1456.0</v>
      </c>
      <c r="G61" s="61">
        <v>44593.0</v>
      </c>
    </row>
    <row r="62">
      <c r="C62" s="72" t="s">
        <v>129</v>
      </c>
      <c r="D62" s="73" t="s">
        <v>130</v>
      </c>
      <c r="E62" s="74">
        <v>1470.0</v>
      </c>
      <c r="F62" s="75">
        <v>17640.0</v>
      </c>
      <c r="G62" s="11">
        <v>44593.0</v>
      </c>
    </row>
    <row r="63">
      <c r="C63" s="57" t="s">
        <v>131</v>
      </c>
      <c r="D63" s="58" t="s">
        <v>132</v>
      </c>
      <c r="E63" s="59">
        <v>24.0</v>
      </c>
      <c r="F63" s="60">
        <v>480.0</v>
      </c>
      <c r="G63" s="61">
        <v>44593.0</v>
      </c>
    </row>
    <row r="64">
      <c r="C64" s="72" t="s">
        <v>133</v>
      </c>
      <c r="D64" s="73" t="s">
        <v>134</v>
      </c>
      <c r="E64" s="74">
        <v>1540.0</v>
      </c>
      <c r="F64" s="75">
        <v>15400.0</v>
      </c>
      <c r="G64" s="11">
        <v>44593.0</v>
      </c>
    </row>
    <row r="65">
      <c r="C65" s="72" t="s">
        <v>135</v>
      </c>
      <c r="D65" s="73" t="s">
        <v>136</v>
      </c>
      <c r="E65" s="74">
        <v>700.0</v>
      </c>
      <c r="F65" s="75">
        <v>1050.0</v>
      </c>
      <c r="G65" s="11">
        <v>44593.0</v>
      </c>
    </row>
    <row r="66">
      <c r="C66" s="73" t="s">
        <v>137</v>
      </c>
      <c r="D66" s="73" t="s">
        <v>138</v>
      </c>
      <c r="E66" s="75">
        <v>1500.0</v>
      </c>
      <c r="F66" s="75">
        <v>500.0</v>
      </c>
      <c r="G66" s="11">
        <v>44593.0</v>
      </c>
    </row>
    <row r="67">
      <c r="C67" s="73" t="s">
        <v>139</v>
      </c>
      <c r="D67" s="73">
        <v>1.0</v>
      </c>
      <c r="E67" s="75">
        <v>50.0</v>
      </c>
      <c r="F67" s="75">
        <v>50.0</v>
      </c>
      <c r="G67" s="11">
        <v>44593.0</v>
      </c>
    </row>
    <row r="68">
      <c r="C68" s="66" t="s">
        <v>140</v>
      </c>
      <c r="D68" s="66" t="s">
        <v>141</v>
      </c>
      <c r="E68" s="12" t="s">
        <v>52</v>
      </c>
      <c r="F68" s="12">
        <v>1500.0</v>
      </c>
      <c r="G68" s="11">
        <v>44593.0</v>
      </c>
    </row>
    <row r="69">
      <c r="C69" s="66" t="s">
        <v>142</v>
      </c>
      <c r="D69" s="66" t="s">
        <v>143</v>
      </c>
      <c r="E69" s="12">
        <v>400.0</v>
      </c>
      <c r="F69" s="12">
        <v>200.0</v>
      </c>
      <c r="G69" s="11">
        <v>44593.0</v>
      </c>
    </row>
    <row r="70">
      <c r="C70" s="66" t="s">
        <v>144</v>
      </c>
      <c r="D70" s="66" t="s">
        <v>143</v>
      </c>
      <c r="E70" s="12">
        <v>400.0</v>
      </c>
      <c r="F70" s="12">
        <v>200.0</v>
      </c>
      <c r="G70" s="11">
        <v>44593.0</v>
      </c>
    </row>
    <row r="71">
      <c r="C71" s="66" t="s">
        <v>135</v>
      </c>
      <c r="D71" s="66" t="s">
        <v>145</v>
      </c>
      <c r="E71" s="12">
        <v>700.0</v>
      </c>
      <c r="F71" s="12">
        <v>700.0</v>
      </c>
      <c r="G71" s="11">
        <v>44593.0</v>
      </c>
    </row>
    <row r="72">
      <c r="C72" s="66" t="s">
        <v>146</v>
      </c>
      <c r="D72" s="66" t="s">
        <v>143</v>
      </c>
      <c r="E72" s="12">
        <v>700.0</v>
      </c>
      <c r="F72" s="12">
        <v>350.0</v>
      </c>
      <c r="G72" s="11">
        <v>44593.0</v>
      </c>
    </row>
    <row r="73">
      <c r="C73" s="66" t="s">
        <v>147</v>
      </c>
      <c r="D73" s="66" t="s">
        <v>79</v>
      </c>
      <c r="E73" s="12">
        <v>4300.0</v>
      </c>
      <c r="F73" s="12">
        <v>4300.0</v>
      </c>
      <c r="G73" s="11">
        <v>44593.0</v>
      </c>
    </row>
    <row r="74">
      <c r="C74" s="66" t="s">
        <v>148</v>
      </c>
      <c r="D74" s="66" t="s">
        <v>149</v>
      </c>
      <c r="E74" s="12">
        <v>1460.0</v>
      </c>
      <c r="F74" s="12">
        <v>1460.0</v>
      </c>
      <c r="G74" s="11">
        <v>44593.0</v>
      </c>
    </row>
    <row r="75">
      <c r="C75" s="66" t="s">
        <v>150</v>
      </c>
      <c r="D75" s="66" t="s">
        <v>151</v>
      </c>
      <c r="E75" s="12">
        <v>100.0</v>
      </c>
      <c r="F75" s="12">
        <v>1000.0</v>
      </c>
      <c r="G75" s="11">
        <v>44593.0</v>
      </c>
    </row>
    <row r="76">
      <c r="C76" s="66" t="s">
        <v>152</v>
      </c>
      <c r="D76" s="66">
        <v>1.0</v>
      </c>
      <c r="E76" s="12">
        <v>1000.0</v>
      </c>
      <c r="F76" s="12">
        <v>1000.0</v>
      </c>
      <c r="G76" s="11">
        <v>44593.0</v>
      </c>
    </row>
    <row r="77">
      <c r="C77" s="66" t="s">
        <v>153</v>
      </c>
      <c r="D77" s="66" t="s">
        <v>154</v>
      </c>
      <c r="E77" s="12">
        <v>100.0</v>
      </c>
      <c r="F77" s="12">
        <v>300.0</v>
      </c>
      <c r="G77" s="11">
        <v>44594.0</v>
      </c>
    </row>
    <row r="78">
      <c r="C78" s="66" t="s">
        <v>135</v>
      </c>
      <c r="D78" s="66" t="s">
        <v>155</v>
      </c>
      <c r="E78" s="12">
        <v>700.0</v>
      </c>
      <c r="F78" s="12">
        <v>1400.0</v>
      </c>
      <c r="G78" s="11">
        <v>44594.0</v>
      </c>
    </row>
    <row r="79">
      <c r="C79" s="66" t="s">
        <v>146</v>
      </c>
      <c r="D79" s="66" t="s">
        <v>156</v>
      </c>
      <c r="E79" s="12">
        <v>700.0</v>
      </c>
      <c r="F79" s="12">
        <v>1050.0</v>
      </c>
      <c r="G79" s="11">
        <v>44594.0</v>
      </c>
    </row>
    <row r="80">
      <c r="C80" s="66" t="s">
        <v>157</v>
      </c>
      <c r="D80" s="66" t="s">
        <v>158</v>
      </c>
      <c r="E80" s="12">
        <v>75.0</v>
      </c>
      <c r="F80" s="12">
        <v>300.0</v>
      </c>
      <c r="G80" s="11">
        <v>44594.0</v>
      </c>
    </row>
    <row r="81">
      <c r="C81" s="66" t="s">
        <v>159</v>
      </c>
      <c r="D81" s="66" t="s">
        <v>160</v>
      </c>
      <c r="E81" s="12" t="s">
        <v>52</v>
      </c>
      <c r="F81" s="12">
        <v>300.0</v>
      </c>
      <c r="G81" s="11">
        <v>44594.0</v>
      </c>
    </row>
    <row r="82">
      <c r="C82" s="66" t="s">
        <v>161</v>
      </c>
      <c r="D82" s="66" t="s">
        <v>145</v>
      </c>
      <c r="E82" s="12">
        <v>400.0</v>
      </c>
      <c r="F82" s="12">
        <v>400.0</v>
      </c>
      <c r="G82" s="11">
        <v>44594.0</v>
      </c>
    </row>
    <row r="83">
      <c r="C83" s="66" t="s">
        <v>162</v>
      </c>
      <c r="D83" s="66" t="s">
        <v>145</v>
      </c>
      <c r="E83" s="12">
        <v>400.0</v>
      </c>
      <c r="F83" s="12">
        <v>400.0</v>
      </c>
      <c r="G83" s="11">
        <v>44594.0</v>
      </c>
    </row>
    <row r="84">
      <c r="C84" s="66" t="s">
        <v>163</v>
      </c>
      <c r="D84" s="66">
        <v>2.0</v>
      </c>
      <c r="E84" s="12">
        <v>100.0</v>
      </c>
      <c r="F84" s="12">
        <v>200.0</v>
      </c>
      <c r="G84" s="11">
        <v>44594.0</v>
      </c>
    </row>
    <row r="85">
      <c r="C85" s="66" t="s">
        <v>164</v>
      </c>
      <c r="D85" s="66">
        <v>1.0</v>
      </c>
      <c r="E85" s="12">
        <v>50.0</v>
      </c>
      <c r="F85" s="12">
        <v>50.0</v>
      </c>
      <c r="G85" s="11">
        <v>44594.0</v>
      </c>
    </row>
    <row r="86">
      <c r="C86" s="66" t="s">
        <v>55</v>
      </c>
      <c r="D86" s="66">
        <v>1.0</v>
      </c>
      <c r="E86" s="12">
        <v>500.0</v>
      </c>
      <c r="F86" s="12">
        <v>500.0</v>
      </c>
      <c r="G86" s="11">
        <v>44594.0</v>
      </c>
    </row>
    <row r="87">
      <c r="C87" s="66" t="s">
        <v>165</v>
      </c>
      <c r="D87" s="66">
        <v>1.0</v>
      </c>
      <c r="E87" s="12">
        <v>300.0</v>
      </c>
      <c r="F87" s="12">
        <v>300.0</v>
      </c>
      <c r="G87" s="11">
        <v>44594.0</v>
      </c>
    </row>
    <row r="88">
      <c r="C88" s="66" t="s">
        <v>166</v>
      </c>
      <c r="D88" s="66" t="s">
        <v>167</v>
      </c>
      <c r="E88" s="12">
        <v>100.0</v>
      </c>
      <c r="F88" s="39"/>
      <c r="G88" s="11">
        <v>44594.0</v>
      </c>
    </row>
    <row r="89">
      <c r="C89" s="66" t="s">
        <v>168</v>
      </c>
      <c r="D89" s="66" t="s">
        <v>169</v>
      </c>
      <c r="E89" s="12">
        <v>1350.0</v>
      </c>
      <c r="F89" s="39"/>
      <c r="G89" s="11">
        <v>44594.0</v>
      </c>
    </row>
    <row r="90">
      <c r="C90" s="66" t="s">
        <v>170</v>
      </c>
      <c r="D90" s="66">
        <v>1.0</v>
      </c>
      <c r="E90" s="12">
        <v>1500.0</v>
      </c>
      <c r="F90" s="12">
        <v>1500.0</v>
      </c>
      <c r="G90" s="11">
        <v>44595.0</v>
      </c>
    </row>
    <row r="91">
      <c r="C91" s="66" t="s">
        <v>153</v>
      </c>
      <c r="D91" s="66" t="s">
        <v>171</v>
      </c>
      <c r="E91" s="12">
        <v>100.0</v>
      </c>
      <c r="F91" s="12">
        <v>3500.0</v>
      </c>
      <c r="G91" s="11">
        <v>44595.0</v>
      </c>
    </row>
    <row r="92">
      <c r="C92" s="66" t="s">
        <v>146</v>
      </c>
      <c r="D92" s="66">
        <v>2.0</v>
      </c>
      <c r="E92" s="12">
        <v>200.0</v>
      </c>
      <c r="F92" s="12">
        <v>400.0</v>
      </c>
      <c r="G92" s="11">
        <v>44595.0</v>
      </c>
    </row>
    <row r="93">
      <c r="C93" s="66" t="s">
        <v>137</v>
      </c>
      <c r="D93" s="66" t="s">
        <v>172</v>
      </c>
      <c r="E93" s="12">
        <v>1500.0</v>
      </c>
      <c r="F93" s="12">
        <v>300.0</v>
      </c>
      <c r="G93" s="11">
        <v>44595.0</v>
      </c>
    </row>
    <row r="94">
      <c r="C94" s="66" t="s">
        <v>159</v>
      </c>
      <c r="D94" s="66" t="s">
        <v>173</v>
      </c>
      <c r="E94" s="12" t="s">
        <v>52</v>
      </c>
      <c r="F94" s="12">
        <v>500.0</v>
      </c>
      <c r="G94" s="11">
        <v>44595.0</v>
      </c>
    </row>
    <row r="95">
      <c r="C95" s="66" t="s">
        <v>124</v>
      </c>
      <c r="D95" s="66">
        <v>2.0</v>
      </c>
      <c r="E95" s="12">
        <v>150.0</v>
      </c>
      <c r="F95" s="12">
        <v>300.0</v>
      </c>
      <c r="G95" s="11">
        <v>44595.0</v>
      </c>
    </row>
    <row r="96">
      <c r="C96" s="66" t="s">
        <v>174</v>
      </c>
      <c r="D96" s="66">
        <v>2.0</v>
      </c>
      <c r="E96" s="12">
        <v>100.0</v>
      </c>
      <c r="F96" s="12">
        <v>200.0</v>
      </c>
      <c r="G96" s="11">
        <v>44595.0</v>
      </c>
    </row>
    <row r="97">
      <c r="C97" s="66" t="s">
        <v>175</v>
      </c>
      <c r="D97" s="66">
        <v>4.0</v>
      </c>
      <c r="E97" s="12">
        <v>300.0</v>
      </c>
      <c r="F97" s="12">
        <v>1200.0</v>
      </c>
      <c r="G97" s="11">
        <v>44595.0</v>
      </c>
    </row>
    <row r="98">
      <c r="C98" s="66" t="s">
        <v>176</v>
      </c>
      <c r="D98" s="66">
        <v>1.0</v>
      </c>
      <c r="E98" s="12">
        <v>150.0</v>
      </c>
      <c r="F98" s="12">
        <v>150.0</v>
      </c>
      <c r="G98" s="11">
        <v>44595.0</v>
      </c>
    </row>
    <row r="99">
      <c r="C99" s="66" t="s">
        <v>165</v>
      </c>
      <c r="D99" s="66">
        <v>1.0</v>
      </c>
      <c r="E99" s="12">
        <v>450.0</v>
      </c>
      <c r="F99" s="12">
        <v>450.0</v>
      </c>
      <c r="G99" s="11">
        <v>44595.0</v>
      </c>
    </row>
    <row r="100">
      <c r="C100" s="66" t="s">
        <v>177</v>
      </c>
      <c r="D100" s="66" t="s">
        <v>98</v>
      </c>
      <c r="E100" s="12">
        <v>400.0</v>
      </c>
      <c r="F100" s="12">
        <v>800.0</v>
      </c>
      <c r="G100" s="11">
        <v>44595.0</v>
      </c>
    </row>
    <row r="101">
      <c r="C101" s="66" t="s">
        <v>178</v>
      </c>
      <c r="D101" s="66" t="s">
        <v>158</v>
      </c>
      <c r="E101" s="12">
        <v>150.0</v>
      </c>
      <c r="F101" s="12">
        <v>600.0</v>
      </c>
      <c r="G101" s="11">
        <v>44595.0</v>
      </c>
    </row>
    <row r="102">
      <c r="C102" s="66" t="s">
        <v>55</v>
      </c>
      <c r="D102" s="66">
        <v>1.0</v>
      </c>
      <c r="E102" s="12">
        <v>500.0</v>
      </c>
      <c r="F102" s="12">
        <v>500.0</v>
      </c>
      <c r="G102" s="11">
        <v>44595.0</v>
      </c>
    </row>
    <row r="103">
      <c r="C103" s="66" t="s">
        <v>179</v>
      </c>
      <c r="D103" s="66">
        <v>1.0</v>
      </c>
      <c r="E103" s="12">
        <v>2200.0</v>
      </c>
      <c r="F103" s="12">
        <v>2200.0</v>
      </c>
      <c r="G103" s="11">
        <v>44595.0</v>
      </c>
    </row>
    <row r="104">
      <c r="C104" s="66" t="s">
        <v>180</v>
      </c>
      <c r="D104" s="66" t="s">
        <v>181</v>
      </c>
      <c r="E104" s="12">
        <v>10500.0</v>
      </c>
      <c r="F104" s="12">
        <v>10500.0</v>
      </c>
      <c r="G104" s="11">
        <v>44595.0</v>
      </c>
    </row>
    <row r="105">
      <c r="C105" s="66" t="s">
        <v>182</v>
      </c>
      <c r="D105" s="66" t="s">
        <v>183</v>
      </c>
      <c r="E105" s="12">
        <v>40.0</v>
      </c>
      <c r="F105" s="12">
        <v>1200.0</v>
      </c>
      <c r="G105" s="11">
        <v>44596.0</v>
      </c>
    </row>
    <row r="106">
      <c r="C106" s="66" t="s">
        <v>182</v>
      </c>
      <c r="D106" s="66" t="s">
        <v>151</v>
      </c>
      <c r="E106" s="12">
        <v>50.0</v>
      </c>
      <c r="F106" s="12">
        <v>500.0</v>
      </c>
      <c r="G106" s="76">
        <v>44597.0</v>
      </c>
    </row>
    <row r="107">
      <c r="C107" s="66" t="s">
        <v>146</v>
      </c>
      <c r="D107" s="66" t="s">
        <v>143</v>
      </c>
      <c r="E107" s="12">
        <v>600.0</v>
      </c>
      <c r="F107" s="12">
        <v>300.0</v>
      </c>
      <c r="G107" s="11">
        <v>44597.0</v>
      </c>
    </row>
    <row r="108">
      <c r="C108" s="66" t="s">
        <v>135</v>
      </c>
      <c r="D108" s="66" t="s">
        <v>145</v>
      </c>
      <c r="E108" s="12">
        <v>600.0</v>
      </c>
      <c r="F108" s="12">
        <v>600.0</v>
      </c>
      <c r="G108" s="11">
        <v>44597.0</v>
      </c>
    </row>
    <row r="109">
      <c r="C109" s="66" t="s">
        <v>150</v>
      </c>
      <c r="D109" s="66" t="s">
        <v>184</v>
      </c>
      <c r="E109" s="12">
        <v>100.0</v>
      </c>
      <c r="F109" s="12">
        <v>500.0</v>
      </c>
      <c r="G109" s="11">
        <v>44597.0</v>
      </c>
    </row>
    <row r="110">
      <c r="C110" s="66" t="s">
        <v>185</v>
      </c>
      <c r="D110" s="66">
        <v>1.0</v>
      </c>
      <c r="E110" s="12">
        <v>150.0</v>
      </c>
      <c r="F110" s="12">
        <v>150.0</v>
      </c>
      <c r="G110" s="11">
        <v>44597.0</v>
      </c>
    </row>
    <row r="111">
      <c r="C111" s="66" t="s">
        <v>176</v>
      </c>
      <c r="D111" s="66" t="s">
        <v>155</v>
      </c>
      <c r="E111" s="12">
        <v>380.0</v>
      </c>
      <c r="F111" s="12">
        <v>760.0</v>
      </c>
      <c r="G111" s="11">
        <v>44597.0</v>
      </c>
    </row>
    <row r="112">
      <c r="C112" s="66" t="s">
        <v>186</v>
      </c>
      <c r="D112" s="66" t="s">
        <v>187</v>
      </c>
      <c r="E112" s="12">
        <v>800.0</v>
      </c>
      <c r="F112" s="12">
        <v>200.0</v>
      </c>
      <c r="G112" s="11">
        <v>44597.0</v>
      </c>
    </row>
    <row r="113">
      <c r="C113" s="66" t="s">
        <v>188</v>
      </c>
      <c r="D113" s="66">
        <v>2.0</v>
      </c>
      <c r="E113" s="12">
        <v>130.0</v>
      </c>
      <c r="F113" s="12">
        <v>260.0</v>
      </c>
      <c r="G113" s="11">
        <v>44597.0</v>
      </c>
    </row>
    <row r="114">
      <c r="C114" s="66" t="s">
        <v>189</v>
      </c>
      <c r="D114" s="66" t="s">
        <v>145</v>
      </c>
      <c r="E114" s="12">
        <v>150.0</v>
      </c>
      <c r="F114" s="12">
        <v>150.0</v>
      </c>
      <c r="G114" s="66" t="s">
        <v>190</v>
      </c>
    </row>
    <row r="115">
      <c r="C115" s="66" t="s">
        <v>191</v>
      </c>
      <c r="D115" s="66" t="s">
        <v>158</v>
      </c>
      <c r="E115" s="12">
        <v>80.0</v>
      </c>
      <c r="F115" s="12">
        <v>320.0</v>
      </c>
      <c r="G115" s="11">
        <v>44599.0</v>
      </c>
    </row>
    <row r="116">
      <c r="C116" s="66" t="s">
        <v>182</v>
      </c>
      <c r="D116" s="66" t="s">
        <v>192</v>
      </c>
      <c r="E116" s="12">
        <v>50.0</v>
      </c>
      <c r="F116" s="12">
        <v>1000.0</v>
      </c>
      <c r="G116" s="11">
        <v>44599.0</v>
      </c>
    </row>
    <row r="117">
      <c r="C117" s="66" t="s">
        <v>193</v>
      </c>
      <c r="D117" s="66" t="s">
        <v>194</v>
      </c>
      <c r="E117" s="12">
        <v>150.0</v>
      </c>
      <c r="F117" s="39"/>
      <c r="G117" s="11">
        <v>44599.0</v>
      </c>
    </row>
    <row r="118">
      <c r="C118" s="66" t="s">
        <v>135</v>
      </c>
      <c r="D118" s="66" t="s">
        <v>145</v>
      </c>
      <c r="E118" s="12">
        <v>700.0</v>
      </c>
      <c r="F118" s="12">
        <v>700.0</v>
      </c>
      <c r="G118" s="11">
        <v>44599.0</v>
      </c>
    </row>
    <row r="119">
      <c r="C119" s="66" t="s">
        <v>146</v>
      </c>
      <c r="D119" s="66" t="s">
        <v>145</v>
      </c>
      <c r="E119" s="12">
        <v>700.0</v>
      </c>
      <c r="F119" s="12">
        <v>700.0</v>
      </c>
      <c r="G119" s="11">
        <v>44599.0</v>
      </c>
    </row>
    <row r="120">
      <c r="C120" s="66" t="s">
        <v>195</v>
      </c>
      <c r="D120" s="66" t="s">
        <v>145</v>
      </c>
      <c r="E120" s="12">
        <v>100.0</v>
      </c>
      <c r="F120" s="12">
        <v>100.0</v>
      </c>
      <c r="G120" s="11">
        <v>44599.0</v>
      </c>
    </row>
    <row r="121">
      <c r="C121" s="66" t="s">
        <v>150</v>
      </c>
      <c r="D121" s="66" t="s">
        <v>151</v>
      </c>
      <c r="E121" s="12">
        <v>100.0</v>
      </c>
      <c r="F121" s="12">
        <v>1000.0</v>
      </c>
      <c r="G121" s="11">
        <v>44599.0</v>
      </c>
    </row>
    <row r="122">
      <c r="C122" s="66" t="s">
        <v>196</v>
      </c>
      <c r="D122" s="66">
        <v>10.0</v>
      </c>
      <c r="E122" s="12">
        <v>30.0</v>
      </c>
      <c r="F122" s="12">
        <v>300.0</v>
      </c>
      <c r="G122" s="11">
        <v>44599.0</v>
      </c>
    </row>
    <row r="123">
      <c r="C123" s="66" t="s">
        <v>197</v>
      </c>
      <c r="D123" s="66">
        <v>3.0</v>
      </c>
      <c r="E123" s="12">
        <v>100.0</v>
      </c>
      <c r="F123" s="12">
        <v>300.0</v>
      </c>
      <c r="G123" s="11">
        <v>44599.0</v>
      </c>
    </row>
    <row r="124">
      <c r="C124" s="66" t="s">
        <v>198</v>
      </c>
      <c r="D124" s="66" t="s">
        <v>145</v>
      </c>
      <c r="E124" s="12">
        <v>900.0</v>
      </c>
      <c r="F124" s="12">
        <v>900.0</v>
      </c>
      <c r="G124" s="11">
        <v>44599.0</v>
      </c>
    </row>
    <row r="125">
      <c r="C125" s="66" t="s">
        <v>186</v>
      </c>
      <c r="D125" s="66" t="s">
        <v>143</v>
      </c>
      <c r="E125" s="12">
        <v>1000.0</v>
      </c>
      <c r="F125" s="12">
        <v>500.0</v>
      </c>
      <c r="G125" s="11">
        <v>44599.0</v>
      </c>
    </row>
    <row r="126">
      <c r="C126" s="66" t="s">
        <v>199</v>
      </c>
      <c r="D126" s="66">
        <v>2.0</v>
      </c>
      <c r="E126" s="12">
        <v>100.0</v>
      </c>
      <c r="F126" s="12">
        <v>200.0</v>
      </c>
      <c r="G126" s="11">
        <v>44599.0</v>
      </c>
    </row>
    <row r="127">
      <c r="C127" s="66" t="s">
        <v>200</v>
      </c>
      <c r="D127" s="66" t="s">
        <v>145</v>
      </c>
      <c r="E127" s="12">
        <v>100.0</v>
      </c>
      <c r="F127" s="12">
        <v>100.0</v>
      </c>
      <c r="G127" s="11">
        <v>44599.0</v>
      </c>
    </row>
    <row r="128">
      <c r="C128" s="66" t="s">
        <v>201</v>
      </c>
      <c r="D128" s="66">
        <v>2.0</v>
      </c>
      <c r="E128" s="12">
        <v>100.0</v>
      </c>
      <c r="F128" s="12">
        <v>200.0</v>
      </c>
      <c r="G128" s="11">
        <v>44600.0</v>
      </c>
    </row>
    <row r="129">
      <c r="C129" s="66" t="s">
        <v>202</v>
      </c>
      <c r="D129" s="66">
        <v>1.0</v>
      </c>
      <c r="E129" s="12">
        <v>150.0</v>
      </c>
      <c r="F129" s="12">
        <v>150.0</v>
      </c>
      <c r="G129" s="11">
        <v>44600.0</v>
      </c>
    </row>
    <row r="130">
      <c r="C130" s="66" t="s">
        <v>203</v>
      </c>
      <c r="D130" s="66">
        <v>2.0</v>
      </c>
      <c r="E130" s="12">
        <v>100.0</v>
      </c>
      <c r="F130" s="12">
        <v>200.0</v>
      </c>
      <c r="G130" s="11">
        <v>44598.0</v>
      </c>
    </row>
    <row r="131">
      <c r="C131" s="66" t="s">
        <v>204</v>
      </c>
      <c r="D131" s="66" t="s">
        <v>205</v>
      </c>
      <c r="E131" s="12">
        <v>1750.0</v>
      </c>
      <c r="F131" s="12">
        <v>1750.0</v>
      </c>
      <c r="G131" s="11">
        <v>44598.0</v>
      </c>
    </row>
    <row r="132">
      <c r="C132" s="63" t="s">
        <v>206</v>
      </c>
      <c r="D132" s="63" t="s">
        <v>207</v>
      </c>
      <c r="E132" s="64">
        <v>1700.0</v>
      </c>
      <c r="F132" s="64">
        <v>1700.0</v>
      </c>
      <c r="G132" s="65">
        <v>44598.0</v>
      </c>
    </row>
    <row r="133">
      <c r="C133" s="66" t="s">
        <v>208</v>
      </c>
      <c r="D133" s="66" t="s">
        <v>79</v>
      </c>
      <c r="E133" s="12">
        <v>1250.0</v>
      </c>
      <c r="F133" s="12">
        <v>1250.0</v>
      </c>
      <c r="G133" s="11">
        <v>44598.0</v>
      </c>
    </row>
    <row r="134">
      <c r="C134" s="66" t="s">
        <v>209</v>
      </c>
      <c r="D134" s="66" t="s">
        <v>79</v>
      </c>
      <c r="E134" s="12">
        <v>1500.0</v>
      </c>
      <c r="F134" s="12">
        <v>1500.0</v>
      </c>
      <c r="G134" s="11">
        <v>44598.0</v>
      </c>
    </row>
    <row r="135">
      <c r="C135" s="66" t="s">
        <v>210</v>
      </c>
      <c r="D135" s="66" t="s">
        <v>211</v>
      </c>
      <c r="E135" s="12">
        <v>1200.0</v>
      </c>
      <c r="F135" s="12">
        <v>1200.0</v>
      </c>
      <c r="G135" s="11">
        <v>44598.0</v>
      </c>
    </row>
    <row r="136">
      <c r="C136" s="66" t="s">
        <v>182</v>
      </c>
      <c r="D136" s="66" t="s">
        <v>183</v>
      </c>
      <c r="E136" s="12">
        <v>50.0</v>
      </c>
      <c r="F136" s="12">
        <v>1500.0</v>
      </c>
      <c r="G136" s="11">
        <v>44601.0</v>
      </c>
    </row>
    <row r="137">
      <c r="C137" s="66" t="s">
        <v>150</v>
      </c>
      <c r="D137" s="66" t="s">
        <v>192</v>
      </c>
      <c r="E137" s="12">
        <v>100.0</v>
      </c>
      <c r="F137" s="12">
        <v>2000.0</v>
      </c>
      <c r="G137" s="11">
        <v>44601.0</v>
      </c>
    </row>
    <row r="138">
      <c r="C138" s="66" t="s">
        <v>163</v>
      </c>
      <c r="D138" s="66">
        <v>2.0</v>
      </c>
      <c r="E138" s="12">
        <v>100.0</v>
      </c>
      <c r="F138" s="12">
        <v>200.0</v>
      </c>
      <c r="G138" s="11">
        <v>44601.0</v>
      </c>
    </row>
    <row r="139">
      <c r="C139" s="66" t="s">
        <v>212</v>
      </c>
      <c r="D139" s="66" t="s">
        <v>213</v>
      </c>
      <c r="E139" s="12">
        <v>60.0</v>
      </c>
      <c r="F139" s="12">
        <v>120.0</v>
      </c>
      <c r="G139" s="11">
        <v>44601.0</v>
      </c>
    </row>
    <row r="140">
      <c r="C140" s="66" t="s">
        <v>135</v>
      </c>
      <c r="D140" s="66" t="s">
        <v>154</v>
      </c>
      <c r="E140" s="12">
        <v>700.0</v>
      </c>
      <c r="F140" s="12">
        <v>2100.0</v>
      </c>
      <c r="G140" s="11">
        <v>44601.0</v>
      </c>
    </row>
    <row r="141">
      <c r="C141" s="66" t="s">
        <v>111</v>
      </c>
      <c r="D141" s="66">
        <v>2.0</v>
      </c>
      <c r="E141" s="12">
        <v>2688.0</v>
      </c>
      <c r="F141" s="12">
        <v>5376.0</v>
      </c>
      <c r="G141" s="11">
        <v>44601.0</v>
      </c>
    </row>
    <row r="142">
      <c r="C142" s="66" t="s">
        <v>214</v>
      </c>
      <c r="D142" s="66" t="s">
        <v>192</v>
      </c>
      <c r="E142" s="12">
        <v>100.0</v>
      </c>
      <c r="F142" s="12">
        <v>2000.0</v>
      </c>
      <c r="G142" s="11">
        <v>44602.0</v>
      </c>
    </row>
    <row r="143">
      <c r="C143" s="66" t="s">
        <v>215</v>
      </c>
      <c r="D143" s="66" t="s">
        <v>184</v>
      </c>
      <c r="E143" s="12">
        <v>100.0</v>
      </c>
      <c r="F143" s="12">
        <v>500.0</v>
      </c>
      <c r="G143" s="11">
        <v>44602.0</v>
      </c>
    </row>
    <row r="144">
      <c r="C144" s="66" t="s">
        <v>216</v>
      </c>
      <c r="D144" s="66" t="s">
        <v>184</v>
      </c>
      <c r="E144" s="12">
        <v>60.0</v>
      </c>
      <c r="F144" s="12">
        <v>300.0</v>
      </c>
      <c r="G144" s="11">
        <v>44602.0</v>
      </c>
    </row>
    <row r="145">
      <c r="C145" s="66" t="s">
        <v>217</v>
      </c>
      <c r="D145" s="66" t="s">
        <v>145</v>
      </c>
      <c r="E145" s="12">
        <v>50.0</v>
      </c>
      <c r="F145" s="12">
        <v>50.0</v>
      </c>
      <c r="G145" s="11">
        <v>44602.0</v>
      </c>
    </row>
    <row r="146">
      <c r="C146" s="66" t="s">
        <v>218</v>
      </c>
      <c r="D146" s="66">
        <v>6.0</v>
      </c>
      <c r="E146" s="12">
        <v>10.0</v>
      </c>
      <c r="F146" s="12">
        <v>60.0</v>
      </c>
      <c r="G146" s="11">
        <v>44602.0</v>
      </c>
    </row>
    <row r="147">
      <c r="C147" s="66" t="s">
        <v>219</v>
      </c>
      <c r="D147" s="66">
        <v>30.0</v>
      </c>
      <c r="E147" s="12">
        <v>100.0</v>
      </c>
      <c r="F147" s="12">
        <v>3000.0</v>
      </c>
      <c r="G147" s="11">
        <v>44602.0</v>
      </c>
    </row>
    <row r="148">
      <c r="C148" s="66" t="s">
        <v>220</v>
      </c>
      <c r="D148" s="66">
        <v>1.0</v>
      </c>
      <c r="E148" s="12">
        <v>300.0</v>
      </c>
      <c r="F148" s="12">
        <v>300.0</v>
      </c>
      <c r="G148" s="11">
        <v>44602.0</v>
      </c>
    </row>
    <row r="149">
      <c r="C149" s="66" t="s">
        <v>221</v>
      </c>
      <c r="D149" s="66">
        <v>2.0</v>
      </c>
      <c r="E149" s="12">
        <v>150.0</v>
      </c>
      <c r="F149" s="12">
        <v>300.0</v>
      </c>
      <c r="G149" s="11">
        <v>44602.0</v>
      </c>
    </row>
    <row r="150">
      <c r="C150" s="66" t="s">
        <v>135</v>
      </c>
      <c r="D150" s="66" t="s">
        <v>143</v>
      </c>
      <c r="E150" s="12">
        <v>600.0</v>
      </c>
      <c r="F150" s="12">
        <v>300.0</v>
      </c>
      <c r="G150" s="11">
        <v>44602.0</v>
      </c>
    </row>
    <row r="151">
      <c r="C151" s="66" t="s">
        <v>222</v>
      </c>
      <c r="D151" s="66">
        <v>1.0</v>
      </c>
      <c r="E151" s="12">
        <v>650.0</v>
      </c>
      <c r="F151" s="12">
        <v>650.0</v>
      </c>
      <c r="G151" s="11">
        <v>44602.0</v>
      </c>
    </row>
    <row r="152">
      <c r="C152" s="66" t="s">
        <v>223</v>
      </c>
      <c r="D152" s="66" t="s">
        <v>52</v>
      </c>
      <c r="E152" s="12">
        <v>500.0</v>
      </c>
      <c r="F152" s="12">
        <v>500.0</v>
      </c>
      <c r="G152" s="11">
        <v>44602.0</v>
      </c>
    </row>
    <row r="153">
      <c r="C153" s="66" t="s">
        <v>137</v>
      </c>
      <c r="D153" s="66" t="s">
        <v>138</v>
      </c>
      <c r="E153" s="12">
        <v>1500.0</v>
      </c>
      <c r="F153" s="12">
        <v>500.0</v>
      </c>
      <c r="G153" s="11">
        <v>44602.0</v>
      </c>
    </row>
    <row r="154">
      <c r="C154" s="66" t="s">
        <v>175</v>
      </c>
      <c r="D154" s="66">
        <v>3.0</v>
      </c>
      <c r="E154" s="12">
        <v>350.0</v>
      </c>
      <c r="F154" s="12">
        <v>1050.0</v>
      </c>
      <c r="G154" s="11">
        <v>44602.0</v>
      </c>
    </row>
    <row r="155">
      <c r="C155" s="66" t="s">
        <v>224</v>
      </c>
      <c r="D155" s="66" t="s">
        <v>145</v>
      </c>
      <c r="E155" s="12">
        <v>450.0</v>
      </c>
      <c r="F155" s="12">
        <v>450.0</v>
      </c>
      <c r="G155" s="66" t="s">
        <v>225</v>
      </c>
    </row>
    <row r="156">
      <c r="C156" s="66" t="s">
        <v>226</v>
      </c>
      <c r="D156" s="66" t="s">
        <v>52</v>
      </c>
      <c r="E156" s="12">
        <v>50.0</v>
      </c>
      <c r="F156" s="12">
        <v>50.0</v>
      </c>
      <c r="G156" s="11" t="s">
        <v>227</v>
      </c>
    </row>
    <row r="157">
      <c r="C157" s="66" t="s">
        <v>228</v>
      </c>
      <c r="D157" s="66">
        <v>1.0</v>
      </c>
      <c r="E157" s="12">
        <v>200.0</v>
      </c>
      <c r="F157" s="12">
        <v>200.0</v>
      </c>
      <c r="G157" s="11">
        <v>44602.0</v>
      </c>
    </row>
    <row r="158">
      <c r="C158" s="66" t="s">
        <v>219</v>
      </c>
      <c r="D158" s="66">
        <v>4.0</v>
      </c>
      <c r="E158" s="12">
        <v>100.0</v>
      </c>
      <c r="F158" s="12">
        <v>400.0</v>
      </c>
      <c r="G158" s="11">
        <v>44603.0</v>
      </c>
    </row>
    <row r="159">
      <c r="C159" s="66" t="s">
        <v>229</v>
      </c>
      <c r="D159" s="66">
        <v>4.0</v>
      </c>
      <c r="E159" s="12">
        <v>200.0</v>
      </c>
      <c r="F159" s="12">
        <v>800.0</v>
      </c>
      <c r="G159" s="11">
        <v>44603.0</v>
      </c>
    </row>
    <row r="160">
      <c r="C160" s="66" t="s">
        <v>230</v>
      </c>
      <c r="D160" s="66">
        <v>6.0</v>
      </c>
      <c r="E160" s="12">
        <v>300.0</v>
      </c>
      <c r="F160" s="12">
        <v>1900.0</v>
      </c>
      <c r="G160" s="11">
        <v>44603.0</v>
      </c>
    </row>
    <row r="161">
      <c r="C161" s="66" t="s">
        <v>231</v>
      </c>
      <c r="D161" s="66" t="s">
        <v>143</v>
      </c>
      <c r="E161" s="12">
        <v>700.0</v>
      </c>
      <c r="F161" s="12">
        <v>350.0</v>
      </c>
      <c r="G161" s="11">
        <v>44603.0</v>
      </c>
    </row>
    <row r="162">
      <c r="C162" s="66" t="s">
        <v>232</v>
      </c>
      <c r="D162" s="66">
        <v>1.0</v>
      </c>
      <c r="E162" s="12">
        <v>100.0</v>
      </c>
      <c r="F162" s="12">
        <v>100.0</v>
      </c>
      <c r="G162" s="11">
        <v>44603.0</v>
      </c>
    </row>
    <row r="163">
      <c r="C163" s="66" t="s">
        <v>233</v>
      </c>
      <c r="D163" s="66" t="s">
        <v>234</v>
      </c>
      <c r="E163" s="12" t="s">
        <v>52</v>
      </c>
      <c r="F163" s="12">
        <v>400.0</v>
      </c>
      <c r="G163" s="11">
        <v>44603.0</v>
      </c>
    </row>
    <row r="164">
      <c r="C164" s="66" t="s">
        <v>235</v>
      </c>
      <c r="D164" s="66" t="s">
        <v>236</v>
      </c>
      <c r="E164" s="12">
        <v>50.0</v>
      </c>
      <c r="F164" s="12">
        <v>3500.0</v>
      </c>
      <c r="G164" s="11">
        <v>44603.0</v>
      </c>
    </row>
    <row r="165">
      <c r="C165" s="66" t="s">
        <v>55</v>
      </c>
      <c r="D165" s="66">
        <v>1.0</v>
      </c>
      <c r="E165" s="12">
        <v>500.0</v>
      </c>
      <c r="F165" s="12">
        <v>500.0</v>
      </c>
      <c r="G165" s="11">
        <v>44603.0</v>
      </c>
    </row>
    <row r="166">
      <c r="C166" s="66" t="s">
        <v>237</v>
      </c>
      <c r="D166" s="66" t="s">
        <v>155</v>
      </c>
      <c r="E166" s="12">
        <v>100.0</v>
      </c>
      <c r="F166" s="12">
        <v>200.0</v>
      </c>
      <c r="G166" s="11">
        <v>44604.0</v>
      </c>
    </row>
    <row r="167">
      <c r="C167" s="66" t="s">
        <v>150</v>
      </c>
      <c r="D167" s="66" t="s">
        <v>151</v>
      </c>
      <c r="E167" s="12">
        <v>100.0</v>
      </c>
      <c r="F167" s="12">
        <v>1000.0</v>
      </c>
      <c r="G167" s="11">
        <v>44604.0</v>
      </c>
    </row>
    <row r="168">
      <c r="C168" s="66" t="s">
        <v>135</v>
      </c>
      <c r="D168" s="66" t="s">
        <v>145</v>
      </c>
      <c r="E168" s="12">
        <v>600.0</v>
      </c>
      <c r="F168" s="12">
        <v>600.0</v>
      </c>
      <c r="G168" s="11">
        <v>44604.0</v>
      </c>
    </row>
    <row r="169">
      <c r="C169" s="66" t="s">
        <v>182</v>
      </c>
      <c r="D169" s="66" t="s">
        <v>238</v>
      </c>
      <c r="E169" s="12">
        <v>45.0</v>
      </c>
      <c r="F169" s="12">
        <v>3150.0</v>
      </c>
      <c r="G169" s="11">
        <v>44604.0</v>
      </c>
    </row>
    <row r="170">
      <c r="C170" s="66" t="s">
        <v>239</v>
      </c>
      <c r="D170" s="66">
        <v>1.0</v>
      </c>
      <c r="E170" s="12">
        <v>800.0</v>
      </c>
      <c r="F170" s="12">
        <v>800.0</v>
      </c>
      <c r="G170" s="11">
        <v>44604.0</v>
      </c>
    </row>
    <row r="171">
      <c r="C171" s="66" t="s">
        <v>150</v>
      </c>
      <c r="D171" s="66" t="s">
        <v>151</v>
      </c>
      <c r="E171" s="12">
        <v>100.0</v>
      </c>
      <c r="F171" s="12">
        <v>1000.0</v>
      </c>
      <c r="G171" s="11">
        <v>44606.0</v>
      </c>
    </row>
    <row r="172">
      <c r="C172" s="66" t="s">
        <v>135</v>
      </c>
      <c r="D172" s="66" t="s">
        <v>145</v>
      </c>
      <c r="E172" s="12">
        <v>600.0</v>
      </c>
      <c r="F172" s="12">
        <v>600.0</v>
      </c>
      <c r="G172" s="11">
        <v>44606.0</v>
      </c>
    </row>
    <row r="173">
      <c r="C173" s="66" t="s">
        <v>240</v>
      </c>
      <c r="D173" s="66" t="s">
        <v>241</v>
      </c>
      <c r="E173" s="12">
        <v>450.0</v>
      </c>
      <c r="F173" s="12">
        <v>1350.0</v>
      </c>
      <c r="G173" s="11">
        <v>44606.0</v>
      </c>
    </row>
    <row r="174">
      <c r="C174" s="66" t="s">
        <v>242</v>
      </c>
      <c r="D174" s="66" t="s">
        <v>243</v>
      </c>
      <c r="E174" s="12">
        <v>1600.0</v>
      </c>
      <c r="F174" s="12">
        <v>2400.0</v>
      </c>
      <c r="G174" s="11">
        <v>44607.0</v>
      </c>
    </row>
    <row r="175">
      <c r="C175" s="66" t="s">
        <v>150</v>
      </c>
      <c r="D175" s="66" t="s">
        <v>184</v>
      </c>
      <c r="E175" s="12">
        <v>100.0</v>
      </c>
      <c r="F175" s="12">
        <v>500.0</v>
      </c>
      <c r="G175" s="11">
        <v>44607.0</v>
      </c>
    </row>
    <row r="176">
      <c r="C176" s="66" t="s">
        <v>244</v>
      </c>
      <c r="D176" s="66">
        <v>1.0</v>
      </c>
      <c r="E176" s="12">
        <v>250.0</v>
      </c>
      <c r="F176" s="12">
        <v>250.0</v>
      </c>
      <c r="G176" s="11">
        <v>44607.0</v>
      </c>
    </row>
    <row r="177">
      <c r="C177" s="66" t="s">
        <v>245</v>
      </c>
      <c r="D177" s="66" t="s">
        <v>79</v>
      </c>
      <c r="E177" s="12">
        <v>2500.0</v>
      </c>
      <c r="F177" s="12">
        <v>2500.0</v>
      </c>
      <c r="G177" s="11">
        <v>44607.0</v>
      </c>
    </row>
    <row r="178">
      <c r="C178" s="66" t="s">
        <v>159</v>
      </c>
      <c r="D178" s="66" t="s">
        <v>246</v>
      </c>
      <c r="E178" s="12">
        <v>200.0</v>
      </c>
      <c r="F178" s="12">
        <v>200.0</v>
      </c>
      <c r="G178" s="11">
        <v>44607.0</v>
      </c>
    </row>
    <row r="179">
      <c r="C179" s="66" t="s">
        <v>247</v>
      </c>
      <c r="D179" s="66">
        <v>5.0</v>
      </c>
      <c r="E179" s="12">
        <v>20.0</v>
      </c>
      <c r="F179" s="12">
        <v>100.0</v>
      </c>
      <c r="G179" s="11">
        <v>44607.0</v>
      </c>
    </row>
    <row r="180">
      <c r="C180" s="66" t="s">
        <v>198</v>
      </c>
      <c r="D180" s="66" t="s">
        <v>145</v>
      </c>
      <c r="E180" s="12">
        <v>800.0</v>
      </c>
      <c r="F180" s="12">
        <v>800.0</v>
      </c>
      <c r="G180" s="11">
        <v>44607.0</v>
      </c>
    </row>
    <row r="181">
      <c r="C181" s="66" t="s">
        <v>248</v>
      </c>
      <c r="D181" s="66" t="s">
        <v>143</v>
      </c>
      <c r="E181" s="12">
        <v>1500.0</v>
      </c>
      <c r="F181" s="12">
        <v>750.0</v>
      </c>
      <c r="G181" s="11">
        <v>44607.0</v>
      </c>
    </row>
    <row r="182">
      <c r="C182" s="66" t="s">
        <v>249</v>
      </c>
      <c r="D182" s="66" t="s">
        <v>155</v>
      </c>
      <c r="E182" s="12">
        <v>450.0</v>
      </c>
      <c r="F182" s="12">
        <v>900.0</v>
      </c>
      <c r="G182" s="11">
        <v>44607.0</v>
      </c>
    </row>
    <row r="183">
      <c r="C183" s="66" t="s">
        <v>250</v>
      </c>
      <c r="D183" s="66" t="s">
        <v>251</v>
      </c>
      <c r="E183" s="12">
        <v>150.0</v>
      </c>
      <c r="F183" s="12">
        <v>150.0</v>
      </c>
      <c r="G183" s="11">
        <v>44607.0</v>
      </c>
    </row>
    <row r="184">
      <c r="C184" s="66" t="s">
        <v>55</v>
      </c>
      <c r="D184" s="66">
        <v>1.0</v>
      </c>
      <c r="E184" s="12">
        <v>350.0</v>
      </c>
      <c r="F184" s="12">
        <v>350.0</v>
      </c>
      <c r="G184" s="11">
        <v>44607.0</v>
      </c>
    </row>
    <row r="185">
      <c r="C185" s="66" t="s">
        <v>252</v>
      </c>
      <c r="D185" s="66" t="s">
        <v>52</v>
      </c>
      <c r="E185" s="12" t="s">
        <v>52</v>
      </c>
      <c r="F185" s="12">
        <v>1200.0</v>
      </c>
      <c r="G185" s="11">
        <v>44607.0</v>
      </c>
    </row>
    <row r="186">
      <c r="C186" s="66" t="s">
        <v>68</v>
      </c>
      <c r="D186" s="66">
        <v>4.0</v>
      </c>
      <c r="E186" s="12">
        <v>250.0</v>
      </c>
      <c r="F186" s="12">
        <v>1000.0</v>
      </c>
      <c r="G186" s="11">
        <v>44608.0</v>
      </c>
    </row>
    <row r="187">
      <c r="C187" s="66" t="s">
        <v>135</v>
      </c>
      <c r="D187" s="66" t="s">
        <v>145</v>
      </c>
      <c r="E187" s="12">
        <v>600.0</v>
      </c>
      <c r="F187" s="12">
        <v>600.0</v>
      </c>
      <c r="G187" s="11">
        <v>44608.0</v>
      </c>
    </row>
    <row r="188">
      <c r="C188" s="66" t="s">
        <v>163</v>
      </c>
      <c r="D188" s="66">
        <v>6.0</v>
      </c>
      <c r="E188" s="12">
        <v>100.0</v>
      </c>
      <c r="F188" s="12">
        <v>600.0</v>
      </c>
      <c r="G188" s="11">
        <v>44608.0</v>
      </c>
    </row>
    <row r="189">
      <c r="C189" s="66" t="s">
        <v>157</v>
      </c>
      <c r="D189" s="66">
        <v>1.0</v>
      </c>
      <c r="E189" s="12">
        <v>100.0</v>
      </c>
      <c r="F189" s="12">
        <v>100.0</v>
      </c>
      <c r="G189" s="11">
        <v>44608.0</v>
      </c>
    </row>
    <row r="190">
      <c r="C190" s="66" t="s">
        <v>137</v>
      </c>
      <c r="D190" s="66" t="s">
        <v>172</v>
      </c>
      <c r="E190" s="12">
        <v>1500.0</v>
      </c>
      <c r="F190" s="12">
        <v>300.0</v>
      </c>
      <c r="G190" s="11">
        <v>44608.0</v>
      </c>
    </row>
    <row r="191">
      <c r="C191" s="66" t="s">
        <v>193</v>
      </c>
      <c r="D191" s="66" t="s">
        <v>253</v>
      </c>
      <c r="E191" s="12">
        <v>200.0</v>
      </c>
      <c r="F191" s="12">
        <v>1300.0</v>
      </c>
      <c r="G191" s="11">
        <v>44608.0</v>
      </c>
    </row>
    <row r="192">
      <c r="C192" s="66" t="s">
        <v>254</v>
      </c>
      <c r="D192" s="66">
        <v>1.0</v>
      </c>
      <c r="E192" s="12">
        <v>50.0</v>
      </c>
      <c r="F192" s="12">
        <v>50.0</v>
      </c>
      <c r="G192" s="11">
        <v>44608.0</v>
      </c>
    </row>
    <row r="193">
      <c r="C193" s="66" t="s">
        <v>55</v>
      </c>
      <c r="D193" s="66">
        <v>1.0</v>
      </c>
      <c r="E193" s="12">
        <v>500.0</v>
      </c>
      <c r="F193" s="12">
        <v>500.0</v>
      </c>
      <c r="G193" s="11">
        <v>44608.0</v>
      </c>
    </row>
    <row r="194">
      <c r="C194" s="66" t="s">
        <v>153</v>
      </c>
      <c r="D194" s="66" t="s">
        <v>184</v>
      </c>
      <c r="E194" s="12">
        <v>100.0</v>
      </c>
      <c r="F194" s="12">
        <v>500.0</v>
      </c>
      <c r="G194" s="11">
        <v>44609.0</v>
      </c>
    </row>
    <row r="195">
      <c r="C195" s="66" t="s">
        <v>255</v>
      </c>
      <c r="D195" s="66">
        <v>3.0</v>
      </c>
      <c r="E195" s="12">
        <v>150.0</v>
      </c>
      <c r="F195" s="12">
        <v>450.0</v>
      </c>
      <c r="G195" s="11">
        <v>44609.0</v>
      </c>
    </row>
    <row r="196">
      <c r="C196" s="66" t="s">
        <v>182</v>
      </c>
      <c r="D196" s="66" t="s">
        <v>192</v>
      </c>
      <c r="E196" s="12">
        <v>45.0</v>
      </c>
      <c r="F196" s="12">
        <v>900.0</v>
      </c>
      <c r="G196" s="11">
        <v>44609.0</v>
      </c>
    </row>
    <row r="197">
      <c r="C197" s="66" t="s">
        <v>146</v>
      </c>
      <c r="D197" s="66" t="s">
        <v>145</v>
      </c>
      <c r="E197" s="12">
        <v>700.0</v>
      </c>
      <c r="F197" s="12">
        <v>1000.0</v>
      </c>
      <c r="G197" s="11">
        <v>44609.0</v>
      </c>
    </row>
    <row r="198">
      <c r="C198" s="66" t="s">
        <v>68</v>
      </c>
      <c r="D198" s="66">
        <v>2.0</v>
      </c>
      <c r="E198" s="12">
        <v>250.0</v>
      </c>
      <c r="F198" s="12">
        <v>500.0</v>
      </c>
      <c r="G198" s="11">
        <v>44609.0</v>
      </c>
    </row>
    <row r="199">
      <c r="C199" s="66" t="s">
        <v>256</v>
      </c>
      <c r="D199" s="66">
        <v>1.0</v>
      </c>
      <c r="E199" s="12">
        <v>350.0</v>
      </c>
      <c r="F199" s="12">
        <v>350.0</v>
      </c>
      <c r="G199" s="11">
        <v>44609.0</v>
      </c>
    </row>
    <row r="200">
      <c r="C200" s="66" t="s">
        <v>257</v>
      </c>
      <c r="D200" s="66">
        <v>2.0</v>
      </c>
      <c r="E200" s="12">
        <v>250.0</v>
      </c>
      <c r="F200" s="12">
        <v>500.0</v>
      </c>
      <c r="G200" s="11">
        <v>44609.0</v>
      </c>
    </row>
    <row r="201">
      <c r="C201" s="66" t="s">
        <v>137</v>
      </c>
      <c r="D201" s="66" t="s">
        <v>258</v>
      </c>
      <c r="E201" s="12">
        <v>1500.0</v>
      </c>
      <c r="F201" s="12">
        <v>1000.0</v>
      </c>
      <c r="G201" s="11">
        <v>44609.0</v>
      </c>
    </row>
    <row r="202">
      <c r="C202" s="66" t="s">
        <v>259</v>
      </c>
      <c r="D202" s="66" t="s">
        <v>155</v>
      </c>
      <c r="E202" s="12">
        <v>100.0</v>
      </c>
      <c r="F202" s="12">
        <v>200.0</v>
      </c>
      <c r="G202" s="11">
        <v>44609.0</v>
      </c>
    </row>
    <row r="203">
      <c r="C203" s="66" t="s">
        <v>260</v>
      </c>
      <c r="D203" s="66" t="s">
        <v>145</v>
      </c>
      <c r="E203" s="12">
        <v>400.0</v>
      </c>
      <c r="F203" s="12">
        <v>400.0</v>
      </c>
      <c r="G203" s="11">
        <v>44609.0</v>
      </c>
    </row>
    <row r="204">
      <c r="C204" s="66" t="s">
        <v>261</v>
      </c>
      <c r="D204" s="66" t="s">
        <v>262</v>
      </c>
      <c r="E204" s="12" t="s">
        <v>52</v>
      </c>
      <c r="F204" s="12">
        <v>400.0</v>
      </c>
      <c r="G204" s="11">
        <v>44609.0</v>
      </c>
    </row>
    <row r="205">
      <c r="C205" s="66" t="s">
        <v>219</v>
      </c>
      <c r="D205" s="66">
        <v>4.0</v>
      </c>
      <c r="E205" s="12">
        <v>100.0</v>
      </c>
      <c r="F205" s="12">
        <v>400.0</v>
      </c>
      <c r="G205" s="11">
        <v>44609.0</v>
      </c>
    </row>
    <row r="206">
      <c r="C206" s="66" t="s">
        <v>195</v>
      </c>
      <c r="D206" s="66" t="s">
        <v>145</v>
      </c>
      <c r="E206" s="12">
        <v>100.0</v>
      </c>
      <c r="F206" s="12">
        <v>100.0</v>
      </c>
      <c r="G206" s="11">
        <v>44609.0</v>
      </c>
    </row>
    <row r="207">
      <c r="C207" s="66" t="s">
        <v>263</v>
      </c>
      <c r="D207" s="66">
        <v>2.0</v>
      </c>
      <c r="E207" s="12">
        <v>25.0</v>
      </c>
      <c r="F207" s="12">
        <v>50.0</v>
      </c>
      <c r="G207" s="11">
        <v>44609.0</v>
      </c>
    </row>
    <row r="208">
      <c r="C208" s="36" t="s">
        <v>182</v>
      </c>
      <c r="D208" s="66" t="s">
        <v>184</v>
      </c>
      <c r="E208" s="12">
        <v>50.0</v>
      </c>
      <c r="F208" s="12">
        <v>250.0</v>
      </c>
      <c r="G208" s="11">
        <v>44611.0</v>
      </c>
    </row>
    <row r="209">
      <c r="C209" s="36" t="s">
        <v>150</v>
      </c>
      <c r="D209" s="66" t="s">
        <v>184</v>
      </c>
      <c r="E209" s="12">
        <v>100.0</v>
      </c>
      <c r="F209" s="12">
        <v>500.0</v>
      </c>
      <c r="G209" s="11">
        <v>44611.0</v>
      </c>
    </row>
    <row r="210">
      <c r="C210" s="36" t="s">
        <v>135</v>
      </c>
      <c r="D210" s="66" t="s">
        <v>155</v>
      </c>
      <c r="E210" s="12">
        <v>600.0</v>
      </c>
      <c r="F210" s="12">
        <v>1200.0</v>
      </c>
      <c r="G210" s="11">
        <v>44611.0</v>
      </c>
    </row>
    <row r="211">
      <c r="C211" s="36" t="s">
        <v>239</v>
      </c>
      <c r="D211" s="66">
        <v>1.0</v>
      </c>
      <c r="E211" s="12">
        <v>400.0</v>
      </c>
      <c r="F211" s="12">
        <v>400.0</v>
      </c>
      <c r="G211" s="11">
        <v>44611.0</v>
      </c>
    </row>
    <row r="212">
      <c r="C212" s="36" t="s">
        <v>264</v>
      </c>
      <c r="D212" s="66">
        <v>1.0</v>
      </c>
      <c r="E212" s="12">
        <v>500.0</v>
      </c>
      <c r="F212" s="12">
        <v>500.0</v>
      </c>
      <c r="G212" s="11">
        <v>44611.0</v>
      </c>
    </row>
    <row r="213">
      <c r="C213" s="36" t="s">
        <v>182</v>
      </c>
      <c r="D213" s="66" t="s">
        <v>192</v>
      </c>
      <c r="E213" s="12">
        <v>50.0</v>
      </c>
      <c r="F213" s="12">
        <v>1000.0</v>
      </c>
      <c r="G213" s="11">
        <v>44612.0</v>
      </c>
    </row>
    <row r="214">
      <c r="C214" s="36" t="s">
        <v>150</v>
      </c>
      <c r="D214" s="66" t="s">
        <v>151</v>
      </c>
      <c r="E214" s="12">
        <v>100.0</v>
      </c>
      <c r="F214" s="12">
        <v>1000.0</v>
      </c>
      <c r="G214" s="11">
        <v>44610.0</v>
      </c>
    </row>
    <row r="215">
      <c r="C215" s="66" t="s">
        <v>182</v>
      </c>
      <c r="D215" s="66" t="s">
        <v>265</v>
      </c>
      <c r="E215" s="12">
        <v>50.0</v>
      </c>
      <c r="F215" s="12">
        <v>750.0</v>
      </c>
      <c r="G215" s="11">
        <v>44610.0</v>
      </c>
    </row>
    <row r="216">
      <c r="C216" s="66" t="s">
        <v>259</v>
      </c>
      <c r="D216" s="66" t="s">
        <v>155</v>
      </c>
      <c r="E216" s="12">
        <v>100.0</v>
      </c>
      <c r="F216" s="12">
        <v>200.0</v>
      </c>
      <c r="G216" s="11">
        <v>44612.0</v>
      </c>
    </row>
    <row r="217">
      <c r="C217" s="66" t="s">
        <v>182</v>
      </c>
      <c r="D217" s="66" t="s">
        <v>151</v>
      </c>
      <c r="E217" s="12">
        <v>50.0</v>
      </c>
      <c r="F217" s="12">
        <v>500.0</v>
      </c>
      <c r="G217" s="11">
        <v>44613.0</v>
      </c>
    </row>
    <row r="218">
      <c r="C218" s="66" t="s">
        <v>266</v>
      </c>
      <c r="D218" s="66" t="s">
        <v>267</v>
      </c>
      <c r="E218" s="12">
        <v>200.0</v>
      </c>
      <c r="F218" s="12">
        <v>900.0</v>
      </c>
      <c r="G218" s="11">
        <v>44613.0</v>
      </c>
    </row>
    <row r="219">
      <c r="C219" s="66" t="s">
        <v>135</v>
      </c>
      <c r="D219" s="66" t="s">
        <v>145</v>
      </c>
      <c r="E219" s="12">
        <v>600.0</v>
      </c>
      <c r="F219" s="12">
        <v>600.0</v>
      </c>
      <c r="G219" s="11">
        <v>44613.0</v>
      </c>
    </row>
    <row r="220">
      <c r="C220" s="66" t="s">
        <v>124</v>
      </c>
      <c r="D220" s="66">
        <v>2.0</v>
      </c>
      <c r="E220" s="12">
        <v>160.0</v>
      </c>
      <c r="F220" s="12">
        <v>320.0</v>
      </c>
      <c r="G220" s="11">
        <v>44613.0</v>
      </c>
    </row>
    <row r="221">
      <c r="C221" s="66" t="s">
        <v>268</v>
      </c>
      <c r="D221" s="66">
        <v>3.0</v>
      </c>
      <c r="E221" s="12">
        <v>400.0</v>
      </c>
      <c r="F221" s="12">
        <v>1200.0</v>
      </c>
      <c r="G221" s="11">
        <v>44613.0</v>
      </c>
    </row>
    <row r="222">
      <c r="C222" s="66" t="s">
        <v>269</v>
      </c>
      <c r="D222" s="66" t="s">
        <v>270</v>
      </c>
      <c r="E222" s="12">
        <v>200.0</v>
      </c>
      <c r="F222" s="12">
        <v>400.0</v>
      </c>
      <c r="G222" s="11">
        <v>44613.0</v>
      </c>
    </row>
    <row r="223">
      <c r="C223" s="66" t="s">
        <v>163</v>
      </c>
      <c r="D223" s="66">
        <v>3.0</v>
      </c>
      <c r="E223" s="12">
        <v>100.0</v>
      </c>
      <c r="F223" s="12">
        <v>300.0</v>
      </c>
      <c r="G223" s="11">
        <v>44613.0</v>
      </c>
    </row>
    <row r="224">
      <c r="C224" s="66" t="s">
        <v>271</v>
      </c>
      <c r="D224" s="66">
        <v>1.0</v>
      </c>
      <c r="E224" s="12">
        <v>200.0</v>
      </c>
      <c r="F224" s="12">
        <v>200.0</v>
      </c>
      <c r="G224" s="11">
        <v>44613.0</v>
      </c>
    </row>
    <row r="225">
      <c r="C225" s="66" t="s">
        <v>272</v>
      </c>
      <c r="D225" s="66">
        <v>5.0</v>
      </c>
      <c r="E225" s="12">
        <v>60.0</v>
      </c>
      <c r="F225" s="12">
        <v>300.0</v>
      </c>
      <c r="G225" s="11">
        <v>44613.0</v>
      </c>
    </row>
    <row r="226">
      <c r="C226" s="66" t="s">
        <v>273</v>
      </c>
      <c r="D226" s="66">
        <v>2.0</v>
      </c>
      <c r="E226" s="12">
        <v>100.0</v>
      </c>
      <c r="F226" s="12">
        <v>200.0</v>
      </c>
      <c r="G226" s="11">
        <v>44613.0</v>
      </c>
    </row>
    <row r="227">
      <c r="C227" s="66" t="s">
        <v>196</v>
      </c>
      <c r="D227" s="66" t="s">
        <v>274</v>
      </c>
      <c r="E227" s="12">
        <v>20.0</v>
      </c>
      <c r="F227" s="12">
        <v>260.0</v>
      </c>
      <c r="G227" s="11">
        <v>44613.0</v>
      </c>
    </row>
    <row r="228">
      <c r="C228" s="66" t="s">
        <v>275</v>
      </c>
      <c r="D228" s="66" t="s">
        <v>156</v>
      </c>
      <c r="E228" s="12">
        <v>200.0</v>
      </c>
      <c r="F228" s="12">
        <v>300.0</v>
      </c>
      <c r="G228" s="11">
        <v>44613.0</v>
      </c>
    </row>
    <row r="229">
      <c r="C229" s="66" t="s">
        <v>212</v>
      </c>
      <c r="D229" s="66" t="s">
        <v>156</v>
      </c>
      <c r="E229" s="12">
        <v>160.0</v>
      </c>
      <c r="F229" s="12">
        <v>200.0</v>
      </c>
      <c r="G229" s="11">
        <v>44613.0</v>
      </c>
    </row>
    <row r="230">
      <c r="C230" s="66" t="s">
        <v>157</v>
      </c>
      <c r="D230" s="66" t="s">
        <v>154</v>
      </c>
      <c r="E230" s="12">
        <v>130.0</v>
      </c>
      <c r="F230" s="12">
        <v>400.0</v>
      </c>
      <c r="G230" s="11">
        <v>44613.0</v>
      </c>
    </row>
    <row r="231">
      <c r="C231" s="66" t="s">
        <v>150</v>
      </c>
      <c r="D231" s="66" t="s">
        <v>184</v>
      </c>
      <c r="E231" s="12">
        <v>100.0</v>
      </c>
      <c r="F231" s="12">
        <v>500.0</v>
      </c>
      <c r="G231" s="11">
        <v>44613.0</v>
      </c>
    </row>
    <row r="232">
      <c r="C232" s="66" t="s">
        <v>276</v>
      </c>
      <c r="D232" s="66">
        <v>2.0</v>
      </c>
      <c r="E232" s="12" t="s">
        <v>52</v>
      </c>
      <c r="F232" s="12">
        <v>1170.0</v>
      </c>
      <c r="G232" s="11">
        <v>44613.0</v>
      </c>
    </row>
    <row r="233">
      <c r="C233" s="66" t="s">
        <v>277</v>
      </c>
      <c r="D233" s="66">
        <v>3.0</v>
      </c>
      <c r="E233" s="12">
        <v>150.0</v>
      </c>
      <c r="F233" s="12">
        <v>450.0</v>
      </c>
      <c r="G233" s="11">
        <v>44613.0</v>
      </c>
    </row>
    <row r="234">
      <c r="C234" s="66" t="s">
        <v>55</v>
      </c>
      <c r="D234" s="66">
        <v>1.0</v>
      </c>
      <c r="E234" s="12">
        <v>500.0</v>
      </c>
      <c r="F234" s="12">
        <v>500.0</v>
      </c>
      <c r="G234" s="11">
        <v>44613.0</v>
      </c>
    </row>
    <row r="235">
      <c r="C235" s="66" t="s">
        <v>275</v>
      </c>
      <c r="D235" s="66" t="s">
        <v>143</v>
      </c>
      <c r="E235" s="12">
        <v>200.0</v>
      </c>
      <c r="F235" s="12">
        <v>100.0</v>
      </c>
      <c r="G235" s="11">
        <v>44613.0</v>
      </c>
    </row>
    <row r="236">
      <c r="C236" s="66" t="s">
        <v>268</v>
      </c>
      <c r="D236" s="66">
        <v>1.0</v>
      </c>
      <c r="E236" s="12">
        <v>350.0</v>
      </c>
      <c r="F236" s="12">
        <v>350.0</v>
      </c>
      <c r="G236" s="11">
        <v>44613.0</v>
      </c>
    </row>
    <row r="237">
      <c r="C237" s="66" t="s">
        <v>182</v>
      </c>
      <c r="D237" s="66" t="s">
        <v>278</v>
      </c>
      <c r="E237" s="12">
        <v>35.0</v>
      </c>
      <c r="F237" s="12">
        <v>3150.0</v>
      </c>
      <c r="G237" s="11">
        <v>44613.0</v>
      </c>
    </row>
    <row r="238">
      <c r="C238" s="36" t="s">
        <v>268</v>
      </c>
      <c r="D238" s="66">
        <v>1.0</v>
      </c>
      <c r="E238" s="12">
        <v>350.0</v>
      </c>
      <c r="F238" s="12">
        <v>350.0</v>
      </c>
      <c r="G238" s="11">
        <v>44614.0</v>
      </c>
    </row>
    <row r="239">
      <c r="C239" s="36" t="s">
        <v>124</v>
      </c>
      <c r="D239" s="66">
        <v>2.0</v>
      </c>
      <c r="E239" s="12">
        <v>150.0</v>
      </c>
      <c r="F239" s="12">
        <v>300.0</v>
      </c>
      <c r="G239" s="11">
        <v>44614.0</v>
      </c>
    </row>
    <row r="240">
      <c r="C240" s="36" t="s">
        <v>193</v>
      </c>
      <c r="D240" s="66">
        <v>5.0</v>
      </c>
      <c r="E240" s="12">
        <v>100.0</v>
      </c>
      <c r="F240" s="12">
        <v>500.0</v>
      </c>
      <c r="G240" s="11">
        <v>44614.0</v>
      </c>
    </row>
    <row r="241">
      <c r="C241" s="36" t="s">
        <v>212</v>
      </c>
      <c r="D241" s="66" t="s">
        <v>279</v>
      </c>
      <c r="E241" s="12">
        <v>100.0</v>
      </c>
      <c r="F241" s="12">
        <v>400.0</v>
      </c>
      <c r="G241" s="11">
        <v>44614.0</v>
      </c>
    </row>
    <row r="242">
      <c r="C242" s="36" t="s">
        <v>280</v>
      </c>
      <c r="D242" s="66">
        <v>1.0</v>
      </c>
      <c r="E242" s="12">
        <v>100.0</v>
      </c>
      <c r="F242" s="12">
        <v>100.0</v>
      </c>
      <c r="G242" s="11">
        <v>44614.0</v>
      </c>
    </row>
    <row r="243">
      <c r="C243" s="36" t="s">
        <v>275</v>
      </c>
      <c r="D243" s="66" t="s">
        <v>143</v>
      </c>
      <c r="E243" s="12">
        <v>200.0</v>
      </c>
      <c r="F243" s="12">
        <v>100.0</v>
      </c>
      <c r="G243" s="11">
        <v>44614.0</v>
      </c>
    </row>
    <row r="244">
      <c r="C244" s="36" t="s">
        <v>281</v>
      </c>
      <c r="D244" s="66" t="s">
        <v>282</v>
      </c>
      <c r="E244" s="12">
        <v>150.0</v>
      </c>
      <c r="F244" s="12">
        <v>450.0</v>
      </c>
      <c r="G244" s="11">
        <v>44614.0</v>
      </c>
    </row>
    <row r="245">
      <c r="C245" s="66" t="s">
        <v>240</v>
      </c>
      <c r="D245" s="66" t="s">
        <v>283</v>
      </c>
      <c r="E245" s="12">
        <v>450.0</v>
      </c>
      <c r="F245" s="12">
        <v>450.0</v>
      </c>
      <c r="G245" s="11">
        <v>44614.0</v>
      </c>
    </row>
    <row r="246">
      <c r="C246" s="66" t="s">
        <v>55</v>
      </c>
      <c r="D246" s="66">
        <v>1.0</v>
      </c>
      <c r="E246" s="12">
        <v>500.0</v>
      </c>
      <c r="F246" s="12">
        <v>500.0</v>
      </c>
      <c r="G246" s="11">
        <v>44614.0</v>
      </c>
    </row>
    <row r="247">
      <c r="C247" s="66" t="s">
        <v>150</v>
      </c>
      <c r="D247" s="66" t="s">
        <v>151</v>
      </c>
      <c r="E247" s="12">
        <v>100.0</v>
      </c>
      <c r="F247" s="12">
        <v>1000.0</v>
      </c>
      <c r="G247" s="11">
        <v>44615.0</v>
      </c>
    </row>
    <row r="248">
      <c r="C248" s="66" t="s">
        <v>137</v>
      </c>
      <c r="D248" s="66" t="s">
        <v>138</v>
      </c>
      <c r="E248" s="12">
        <v>1500.0</v>
      </c>
      <c r="F248" s="12">
        <v>500.0</v>
      </c>
      <c r="G248" s="11">
        <v>44615.0</v>
      </c>
    </row>
    <row r="249">
      <c r="C249" s="66" t="s">
        <v>135</v>
      </c>
      <c r="D249" s="66" t="s">
        <v>155</v>
      </c>
      <c r="E249" s="12">
        <v>600.0</v>
      </c>
      <c r="F249" s="12">
        <v>1200.0</v>
      </c>
      <c r="G249" s="11">
        <v>44615.0</v>
      </c>
    </row>
    <row r="250">
      <c r="C250" s="66" t="s">
        <v>240</v>
      </c>
      <c r="D250" s="66" t="s">
        <v>98</v>
      </c>
      <c r="E250" s="12">
        <v>450.0</v>
      </c>
      <c r="F250" s="12">
        <v>900.0</v>
      </c>
      <c r="G250" s="11">
        <v>44615.0</v>
      </c>
    </row>
    <row r="251">
      <c r="C251" s="66" t="s">
        <v>284</v>
      </c>
      <c r="D251" s="66" t="s">
        <v>156</v>
      </c>
      <c r="E251" s="12">
        <v>150.0</v>
      </c>
      <c r="F251" s="12">
        <v>225.0</v>
      </c>
      <c r="G251" s="11">
        <v>44615.0</v>
      </c>
    </row>
    <row r="252">
      <c r="C252" s="66" t="s">
        <v>193</v>
      </c>
      <c r="D252" s="66">
        <v>4.0</v>
      </c>
      <c r="E252" s="12">
        <v>160.0</v>
      </c>
      <c r="F252" s="12">
        <v>640.0</v>
      </c>
      <c r="G252" s="11">
        <v>44615.0</v>
      </c>
    </row>
    <row r="253">
      <c r="C253" s="66" t="s">
        <v>285</v>
      </c>
      <c r="D253" s="66">
        <v>3.0</v>
      </c>
      <c r="E253" s="12">
        <v>130.0</v>
      </c>
      <c r="F253" s="12">
        <v>390.0</v>
      </c>
      <c r="G253" s="11">
        <v>44615.0</v>
      </c>
    </row>
    <row r="254">
      <c r="C254" s="66" t="s">
        <v>286</v>
      </c>
      <c r="D254" s="66">
        <v>1.0</v>
      </c>
      <c r="E254" s="12">
        <v>400.0</v>
      </c>
      <c r="F254" s="12">
        <v>400.0</v>
      </c>
      <c r="G254" s="11">
        <v>44615.0</v>
      </c>
    </row>
    <row r="255">
      <c r="C255" s="66" t="s">
        <v>287</v>
      </c>
      <c r="D255" s="66">
        <v>1.0</v>
      </c>
      <c r="E255" s="12">
        <v>350.0</v>
      </c>
      <c r="F255" s="12">
        <v>350.0</v>
      </c>
      <c r="G255" s="11">
        <v>44615.0</v>
      </c>
    </row>
    <row r="256">
      <c r="C256" s="66" t="s">
        <v>288</v>
      </c>
      <c r="D256" s="66">
        <v>1.0</v>
      </c>
      <c r="E256" s="12">
        <v>100.0</v>
      </c>
      <c r="F256" s="12">
        <v>100.0</v>
      </c>
      <c r="G256" s="11">
        <v>44615.0</v>
      </c>
    </row>
    <row r="257">
      <c r="C257" s="66" t="s">
        <v>289</v>
      </c>
      <c r="D257" s="66" t="s">
        <v>290</v>
      </c>
      <c r="E257" s="12">
        <v>150.0</v>
      </c>
      <c r="F257" s="12">
        <v>150.0</v>
      </c>
      <c r="G257" s="11">
        <v>44615.0</v>
      </c>
    </row>
    <row r="258">
      <c r="C258" s="66" t="s">
        <v>259</v>
      </c>
      <c r="D258" s="66" t="s">
        <v>155</v>
      </c>
      <c r="E258" s="12">
        <v>125.0</v>
      </c>
      <c r="F258" s="12">
        <v>250.0</v>
      </c>
      <c r="G258" s="11">
        <v>44615.0</v>
      </c>
    </row>
    <row r="259">
      <c r="C259" s="66" t="s">
        <v>186</v>
      </c>
      <c r="D259" s="66">
        <v>1.0</v>
      </c>
      <c r="E259" s="12">
        <v>100.0</v>
      </c>
      <c r="F259" s="12">
        <v>100.0</v>
      </c>
      <c r="G259" s="11">
        <v>44615.0</v>
      </c>
    </row>
    <row r="260">
      <c r="C260" s="66" t="s">
        <v>124</v>
      </c>
      <c r="D260" s="66">
        <v>6.0</v>
      </c>
      <c r="E260" s="12">
        <v>150.0</v>
      </c>
      <c r="F260" s="12">
        <v>900.0</v>
      </c>
      <c r="G260" s="11">
        <v>44616.0</v>
      </c>
    </row>
    <row r="261">
      <c r="C261" s="66" t="s">
        <v>291</v>
      </c>
      <c r="D261" s="66" t="s">
        <v>292</v>
      </c>
      <c r="E261" s="12">
        <v>100.0</v>
      </c>
      <c r="F261" s="12">
        <v>200.0</v>
      </c>
      <c r="G261" s="11">
        <v>44616.0</v>
      </c>
    </row>
    <row r="262">
      <c r="C262" s="66" t="s">
        <v>293</v>
      </c>
      <c r="D262" s="66">
        <v>300.0</v>
      </c>
      <c r="E262" s="12">
        <v>1500.0</v>
      </c>
      <c r="F262" s="12">
        <v>500.0</v>
      </c>
      <c r="G262" s="11">
        <v>44616.0</v>
      </c>
    </row>
    <row r="263">
      <c r="C263" s="66" t="s">
        <v>294</v>
      </c>
      <c r="D263" s="66">
        <v>1.0</v>
      </c>
      <c r="E263" s="12">
        <v>400.0</v>
      </c>
      <c r="F263" s="12">
        <v>400.0</v>
      </c>
      <c r="G263" s="11">
        <v>44616.0</v>
      </c>
    </row>
    <row r="264">
      <c r="C264" s="66" t="s">
        <v>268</v>
      </c>
      <c r="D264" s="66" t="s">
        <v>138</v>
      </c>
      <c r="E264" s="12">
        <v>500.0</v>
      </c>
      <c r="F264" s="12">
        <v>500.0</v>
      </c>
      <c r="G264" s="11">
        <v>44616.0</v>
      </c>
    </row>
    <row r="265">
      <c r="C265" s="66" t="s">
        <v>142</v>
      </c>
      <c r="D265" s="66" t="s">
        <v>295</v>
      </c>
      <c r="E265" s="12">
        <v>500.0</v>
      </c>
      <c r="F265" s="12">
        <v>50.0</v>
      </c>
      <c r="G265" s="11">
        <v>44616.0</v>
      </c>
    </row>
    <row r="266">
      <c r="C266" s="66" t="s">
        <v>163</v>
      </c>
      <c r="D266" s="66">
        <v>2.0</v>
      </c>
      <c r="E266" s="12">
        <v>100.0</v>
      </c>
      <c r="F266" s="12">
        <v>200.0</v>
      </c>
      <c r="G266" s="11">
        <v>44616.0</v>
      </c>
    </row>
    <row r="267">
      <c r="C267" s="66" t="s">
        <v>157</v>
      </c>
      <c r="D267" s="66">
        <v>1.0</v>
      </c>
      <c r="E267" s="12">
        <v>100.0</v>
      </c>
      <c r="F267" s="12">
        <v>100.0</v>
      </c>
      <c r="G267" s="11">
        <v>44616.0</v>
      </c>
    </row>
    <row r="268">
      <c r="C268" s="66" t="s">
        <v>150</v>
      </c>
      <c r="D268" s="66" t="s">
        <v>151</v>
      </c>
      <c r="E268" s="12">
        <v>100.0</v>
      </c>
      <c r="F268" s="12">
        <v>1000.0</v>
      </c>
      <c r="G268" s="11">
        <v>44616.0</v>
      </c>
    </row>
    <row r="269">
      <c r="C269" s="66" t="s">
        <v>296</v>
      </c>
      <c r="D269" s="66">
        <v>2.0</v>
      </c>
      <c r="E269" s="12">
        <v>150.0</v>
      </c>
      <c r="F269" s="12">
        <v>300.0</v>
      </c>
      <c r="G269" s="11">
        <v>44616.0</v>
      </c>
    </row>
    <row r="270">
      <c r="C270" s="66" t="s">
        <v>297</v>
      </c>
      <c r="D270" s="66">
        <v>2.0</v>
      </c>
      <c r="E270" s="12">
        <v>50.0</v>
      </c>
      <c r="F270" s="12">
        <v>100.0</v>
      </c>
      <c r="G270" s="11">
        <v>44616.0</v>
      </c>
    </row>
    <row r="271">
      <c r="C271" s="66" t="s">
        <v>240</v>
      </c>
      <c r="D271" s="66">
        <v>10.0</v>
      </c>
      <c r="E271" s="12">
        <v>10.0</v>
      </c>
      <c r="F271" s="12">
        <v>100.0</v>
      </c>
      <c r="G271" s="11">
        <v>44616.0</v>
      </c>
    </row>
    <row r="272">
      <c r="C272" s="66" t="s">
        <v>239</v>
      </c>
      <c r="D272" s="66">
        <v>1.0</v>
      </c>
      <c r="E272" s="12">
        <v>300.0</v>
      </c>
      <c r="F272" s="12">
        <v>300.0</v>
      </c>
      <c r="G272" s="11">
        <v>44616.0</v>
      </c>
    </row>
    <row r="273">
      <c r="C273" s="66" t="s">
        <v>298</v>
      </c>
      <c r="D273" s="66">
        <v>1.0</v>
      </c>
      <c r="E273" s="12">
        <v>450.0</v>
      </c>
      <c r="F273" s="12">
        <v>450.0</v>
      </c>
      <c r="G273" s="11">
        <v>44616.0</v>
      </c>
    </row>
    <row r="274">
      <c r="C274" s="66" t="s">
        <v>135</v>
      </c>
      <c r="D274" s="66" t="s">
        <v>299</v>
      </c>
      <c r="E274" s="12">
        <v>700.0</v>
      </c>
      <c r="F274" s="12">
        <v>1050.0</v>
      </c>
      <c r="G274" s="11">
        <v>44616.0</v>
      </c>
    </row>
    <row r="275">
      <c r="C275" s="66" t="s">
        <v>300</v>
      </c>
      <c r="D275" s="66" t="s">
        <v>292</v>
      </c>
      <c r="E275" s="12">
        <v>300.0</v>
      </c>
      <c r="F275" s="12">
        <v>300.0</v>
      </c>
      <c r="G275" s="11">
        <v>44616.0</v>
      </c>
    </row>
    <row r="276">
      <c r="C276" s="66" t="s">
        <v>150</v>
      </c>
      <c r="D276" s="66" t="s">
        <v>151</v>
      </c>
      <c r="E276" s="12">
        <v>100.0</v>
      </c>
      <c r="F276" s="12">
        <v>1000.0</v>
      </c>
      <c r="G276" s="11">
        <v>44617.0</v>
      </c>
    </row>
    <row r="277">
      <c r="C277" s="66" t="s">
        <v>163</v>
      </c>
      <c r="D277" s="66">
        <v>10.0</v>
      </c>
      <c r="E277" s="12">
        <v>100.0</v>
      </c>
      <c r="F277" s="12">
        <v>1000.0</v>
      </c>
      <c r="G277" s="11">
        <v>44617.0</v>
      </c>
    </row>
    <row r="278">
      <c r="C278" s="66" t="s">
        <v>301</v>
      </c>
      <c r="D278" s="66">
        <v>2.0</v>
      </c>
      <c r="E278" s="12">
        <v>300.0</v>
      </c>
      <c r="F278" s="12">
        <v>600.0</v>
      </c>
      <c r="G278" s="11">
        <v>44617.0</v>
      </c>
    </row>
    <row r="279">
      <c r="C279" s="66" t="s">
        <v>135</v>
      </c>
      <c r="D279" s="66" t="s">
        <v>154</v>
      </c>
      <c r="E279" s="12">
        <v>600.0</v>
      </c>
      <c r="F279" s="12">
        <v>1800.0</v>
      </c>
      <c r="G279" s="11">
        <v>44618.0</v>
      </c>
    </row>
    <row r="280">
      <c r="C280" s="66" t="s">
        <v>231</v>
      </c>
      <c r="D280" s="66" t="s">
        <v>143</v>
      </c>
      <c r="E280" s="12">
        <v>800.0</v>
      </c>
      <c r="F280" s="12">
        <v>400.0</v>
      </c>
      <c r="G280" s="11">
        <v>44618.0</v>
      </c>
    </row>
    <row r="281">
      <c r="C281" s="66" t="s">
        <v>157</v>
      </c>
      <c r="D281" s="66" t="s">
        <v>155</v>
      </c>
      <c r="E281" s="12">
        <v>100.0</v>
      </c>
      <c r="F281" s="12">
        <v>200.0</v>
      </c>
      <c r="G281" s="11">
        <v>44618.0</v>
      </c>
    </row>
    <row r="282">
      <c r="C282" s="66" t="s">
        <v>302</v>
      </c>
      <c r="D282" s="66">
        <v>10.0</v>
      </c>
      <c r="E282" s="12">
        <v>20.0</v>
      </c>
      <c r="F282" s="12">
        <v>200.0</v>
      </c>
      <c r="G282" s="11">
        <v>44618.0</v>
      </c>
    </row>
    <row r="283">
      <c r="C283" s="66" t="s">
        <v>226</v>
      </c>
      <c r="D283" s="66" t="s">
        <v>155</v>
      </c>
      <c r="E283" s="12">
        <v>450.0</v>
      </c>
      <c r="F283" s="12">
        <v>900.0</v>
      </c>
      <c r="G283" s="11">
        <v>44618.0</v>
      </c>
    </row>
    <row r="284">
      <c r="C284" s="66" t="s">
        <v>163</v>
      </c>
      <c r="D284" s="66">
        <v>3.0</v>
      </c>
      <c r="E284" s="12">
        <v>100.0</v>
      </c>
      <c r="F284" s="12">
        <v>300.0</v>
      </c>
      <c r="G284" s="11">
        <v>44618.0</v>
      </c>
    </row>
    <row r="285">
      <c r="C285" s="66" t="s">
        <v>303</v>
      </c>
      <c r="D285" s="66">
        <v>1.0</v>
      </c>
      <c r="E285" s="12">
        <v>700.0</v>
      </c>
      <c r="F285" s="12">
        <v>700.0</v>
      </c>
      <c r="G285" s="11">
        <v>44618.0</v>
      </c>
    </row>
    <row r="286">
      <c r="C286" s="66" t="s">
        <v>304</v>
      </c>
      <c r="D286" s="66">
        <v>2.0</v>
      </c>
      <c r="E286" s="12">
        <v>200.0</v>
      </c>
      <c r="F286" s="12">
        <v>400.0</v>
      </c>
      <c r="G286" s="11">
        <v>44618.0</v>
      </c>
    </row>
    <row r="287">
      <c r="C287" s="66" t="s">
        <v>195</v>
      </c>
      <c r="D287" s="66" t="s">
        <v>145</v>
      </c>
      <c r="E287" s="12">
        <v>100.0</v>
      </c>
      <c r="F287" s="12">
        <v>100.0</v>
      </c>
      <c r="G287" s="11">
        <v>44618.0</v>
      </c>
    </row>
    <row r="288">
      <c r="C288" s="66" t="s">
        <v>257</v>
      </c>
      <c r="D288" s="66">
        <v>2.0</v>
      </c>
      <c r="E288" s="12">
        <v>250.0</v>
      </c>
      <c r="F288" s="12">
        <v>500.0</v>
      </c>
      <c r="G288" s="11">
        <v>44618.0</v>
      </c>
    </row>
    <row r="289">
      <c r="C289" s="66" t="s">
        <v>305</v>
      </c>
      <c r="D289" s="66" t="s">
        <v>143</v>
      </c>
      <c r="E289" s="12">
        <v>400.0</v>
      </c>
      <c r="F289" s="12">
        <v>200.0</v>
      </c>
      <c r="G289" s="11">
        <v>44618.0</v>
      </c>
    </row>
    <row r="290">
      <c r="C290" s="66" t="s">
        <v>306</v>
      </c>
      <c r="D290" s="66">
        <v>1.0</v>
      </c>
      <c r="E290" s="12">
        <v>140.0</v>
      </c>
      <c r="F290" s="12">
        <v>140.0</v>
      </c>
      <c r="G290" s="11">
        <v>44618.0</v>
      </c>
    </row>
    <row r="291">
      <c r="C291" s="66" t="s">
        <v>239</v>
      </c>
      <c r="D291" s="66">
        <v>1.0</v>
      </c>
      <c r="E291" s="12">
        <v>400.0</v>
      </c>
      <c r="F291" s="12">
        <v>400.0</v>
      </c>
      <c r="G291" s="11">
        <v>44618.0</v>
      </c>
    </row>
    <row r="292">
      <c r="C292" s="66" t="s">
        <v>307</v>
      </c>
      <c r="D292" s="66" t="s">
        <v>308</v>
      </c>
      <c r="E292" s="12" t="s">
        <v>52</v>
      </c>
      <c r="F292" s="12">
        <v>42300.0</v>
      </c>
      <c r="G292" s="11">
        <v>44619.0</v>
      </c>
    </row>
    <row r="293">
      <c r="C293" s="66" t="s">
        <v>309</v>
      </c>
      <c r="D293" s="66" t="s">
        <v>155</v>
      </c>
      <c r="E293" s="12">
        <v>600.0</v>
      </c>
      <c r="F293" s="12">
        <v>1200.0</v>
      </c>
      <c r="G293" s="11">
        <v>44620.0</v>
      </c>
    </row>
    <row r="294">
      <c r="C294" s="66" t="s">
        <v>150</v>
      </c>
      <c r="D294" s="66" t="s">
        <v>151</v>
      </c>
      <c r="E294" s="12">
        <v>100.0</v>
      </c>
      <c r="F294" s="12">
        <v>1000.0</v>
      </c>
      <c r="G294" s="11">
        <v>44620.0</v>
      </c>
    </row>
    <row r="295">
      <c r="C295" s="66" t="s">
        <v>310</v>
      </c>
      <c r="D295" s="66" t="s">
        <v>311</v>
      </c>
      <c r="E295" s="12">
        <v>300.0</v>
      </c>
      <c r="F295" s="12">
        <v>300.0</v>
      </c>
      <c r="G295" s="11">
        <v>44620.0</v>
      </c>
    </row>
    <row r="296">
      <c r="C296" s="68"/>
      <c r="D296" s="68"/>
      <c r="E296" s="39"/>
      <c r="F296" s="39"/>
      <c r="G296" s="68"/>
    </row>
    <row r="297">
      <c r="C297" s="77" t="s">
        <v>312</v>
      </c>
      <c r="D297" s="47"/>
      <c r="E297" s="78"/>
      <c r="F297" s="79">
        <f>SUM(F4:F296)</f>
        <v>462411</v>
      </c>
      <c r="G297" s="47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4" max="14" width="116.38"/>
  </cols>
  <sheetData>
    <row r="1">
      <c r="A1" s="47"/>
      <c r="B1" s="2" t="s">
        <v>0</v>
      </c>
      <c r="C1" s="2" t="s">
        <v>313</v>
      </c>
      <c r="D1" s="2" t="s">
        <v>314</v>
      </c>
      <c r="E1" s="2" t="s">
        <v>315</v>
      </c>
      <c r="F1" s="2" t="s">
        <v>316</v>
      </c>
      <c r="G1" s="2" t="s">
        <v>317</v>
      </c>
      <c r="H1" s="2" t="s">
        <v>318</v>
      </c>
      <c r="I1" s="2" t="s">
        <v>319</v>
      </c>
      <c r="J1" s="2" t="s">
        <v>320</v>
      </c>
      <c r="K1" s="2" t="s">
        <v>321</v>
      </c>
      <c r="L1" s="2" t="s">
        <v>322</v>
      </c>
      <c r="M1" s="2" t="s">
        <v>323</v>
      </c>
      <c r="N1" s="2"/>
    </row>
    <row r="2">
      <c r="A2" s="10" t="s">
        <v>11</v>
      </c>
      <c r="B2" s="11">
        <v>44593.0</v>
      </c>
      <c r="C2" s="80">
        <v>1.0</v>
      </c>
      <c r="D2" s="80">
        <v>1.0</v>
      </c>
      <c r="E2" s="80">
        <v>1.0</v>
      </c>
      <c r="F2" s="80">
        <v>0.0</v>
      </c>
      <c r="G2" s="80">
        <v>1.0</v>
      </c>
      <c r="H2" s="80">
        <v>1.0</v>
      </c>
      <c r="I2" s="80">
        <v>1.0</v>
      </c>
      <c r="J2" s="80">
        <v>1.0</v>
      </c>
      <c r="K2" s="80">
        <v>1.0</v>
      </c>
      <c r="L2" s="80">
        <v>1.0</v>
      </c>
      <c r="M2" s="80">
        <v>1.0</v>
      </c>
      <c r="N2" s="81" t="s">
        <v>324</v>
      </c>
    </row>
    <row r="3">
      <c r="A3" s="10" t="s">
        <v>12</v>
      </c>
      <c r="B3" s="11">
        <v>44594.0</v>
      </c>
      <c r="C3" s="80">
        <v>1.0</v>
      </c>
      <c r="D3" s="80">
        <v>1.0</v>
      </c>
      <c r="E3" s="82">
        <v>0.0</v>
      </c>
      <c r="F3" s="80">
        <v>1.0</v>
      </c>
      <c r="G3" s="80">
        <v>1.0</v>
      </c>
      <c r="H3" s="80">
        <v>0.0</v>
      </c>
      <c r="I3" s="80">
        <v>1.0</v>
      </c>
      <c r="J3" s="80">
        <v>1.0</v>
      </c>
      <c r="K3" s="80">
        <v>1.0</v>
      </c>
      <c r="L3" s="80">
        <v>0.0</v>
      </c>
      <c r="M3" s="80">
        <v>0.0</v>
      </c>
      <c r="N3" s="81" t="s">
        <v>325</v>
      </c>
    </row>
    <row r="4">
      <c r="A4" s="10" t="s">
        <v>13</v>
      </c>
      <c r="B4" s="11">
        <v>44595.0</v>
      </c>
      <c r="C4" s="80">
        <v>0.0</v>
      </c>
      <c r="D4" s="80">
        <v>1.0</v>
      </c>
      <c r="E4" s="80">
        <v>1.0</v>
      </c>
      <c r="F4" s="80">
        <v>0.0</v>
      </c>
      <c r="G4" s="80">
        <v>0.0</v>
      </c>
      <c r="H4" s="80">
        <v>1.0</v>
      </c>
      <c r="I4" s="80">
        <v>0.0</v>
      </c>
      <c r="J4" s="80">
        <v>1.0</v>
      </c>
      <c r="K4" s="80">
        <v>1.0</v>
      </c>
      <c r="L4" s="80">
        <v>1.5</v>
      </c>
      <c r="M4" s="80">
        <v>1.0625</v>
      </c>
      <c r="N4" s="81" t="s">
        <v>326</v>
      </c>
    </row>
    <row r="5">
      <c r="A5" s="19" t="s">
        <v>14</v>
      </c>
      <c r="B5" s="20">
        <v>44596.0</v>
      </c>
      <c r="C5" s="83">
        <v>0.0</v>
      </c>
      <c r="D5" s="83">
        <v>0.0</v>
      </c>
      <c r="E5" s="83">
        <v>0.0</v>
      </c>
      <c r="F5" s="83">
        <v>0.0</v>
      </c>
      <c r="G5" s="83">
        <v>0.0</v>
      </c>
      <c r="H5" s="84">
        <v>0.0</v>
      </c>
      <c r="I5" s="83">
        <v>0.0</v>
      </c>
      <c r="J5" s="83">
        <v>0.0</v>
      </c>
      <c r="K5" s="83">
        <v>0.0</v>
      </c>
      <c r="L5" s="83">
        <v>0.0</v>
      </c>
      <c r="M5" s="83">
        <v>0.0</v>
      </c>
      <c r="N5" s="85"/>
    </row>
    <row r="6">
      <c r="A6" s="10" t="s">
        <v>15</v>
      </c>
      <c r="B6" s="11">
        <v>44597.0</v>
      </c>
      <c r="C6" s="80">
        <v>1.0</v>
      </c>
      <c r="D6" s="80">
        <v>1.0</v>
      </c>
      <c r="E6" s="80">
        <v>0.0</v>
      </c>
      <c r="F6" s="80">
        <v>1.0</v>
      </c>
      <c r="G6" s="80">
        <v>1.0</v>
      </c>
      <c r="H6" s="80">
        <v>1.0</v>
      </c>
      <c r="I6" s="80">
        <v>0.0</v>
      </c>
      <c r="J6" s="80">
        <v>1.0</v>
      </c>
      <c r="K6" s="80">
        <v>1.0</v>
      </c>
      <c r="L6" s="80">
        <v>0.0</v>
      </c>
      <c r="M6" s="80">
        <v>0.0</v>
      </c>
      <c r="N6" s="85"/>
    </row>
    <row r="7">
      <c r="A7" s="10" t="s">
        <v>17</v>
      </c>
      <c r="B7" s="11">
        <v>44598.0</v>
      </c>
      <c r="C7" s="80">
        <v>0.0</v>
      </c>
      <c r="D7" s="80">
        <v>1.0</v>
      </c>
      <c r="E7" s="80">
        <v>1.0</v>
      </c>
      <c r="F7" s="80">
        <v>0.0</v>
      </c>
      <c r="G7" s="80">
        <v>1.0</v>
      </c>
      <c r="H7" s="86">
        <v>0.0</v>
      </c>
      <c r="I7" s="80">
        <v>1.0</v>
      </c>
      <c r="J7" s="80">
        <v>1.0</v>
      </c>
      <c r="K7" s="80">
        <v>1.0</v>
      </c>
      <c r="L7" s="80">
        <v>1.0</v>
      </c>
      <c r="M7" s="80">
        <v>1.0</v>
      </c>
      <c r="N7" s="81" t="s">
        <v>327</v>
      </c>
    </row>
    <row r="8">
      <c r="A8" s="10" t="s">
        <v>18</v>
      </c>
      <c r="B8" s="11">
        <v>44599.0</v>
      </c>
      <c r="C8" s="80">
        <v>1.0</v>
      </c>
      <c r="D8" s="80">
        <v>1.0</v>
      </c>
      <c r="E8" s="80">
        <v>0.0</v>
      </c>
      <c r="F8" s="80">
        <v>1.0</v>
      </c>
      <c r="G8" s="80">
        <v>1.0</v>
      </c>
      <c r="H8" s="80">
        <v>0.0</v>
      </c>
      <c r="I8" s="80">
        <v>1.0</v>
      </c>
      <c r="J8" s="80">
        <v>1.0</v>
      </c>
      <c r="K8" s="80">
        <v>1.0</v>
      </c>
      <c r="L8" s="80">
        <v>0.0</v>
      </c>
      <c r="M8" s="80">
        <v>0.5</v>
      </c>
      <c r="N8" s="81" t="s">
        <v>328</v>
      </c>
    </row>
    <row r="9">
      <c r="A9" s="10" t="s">
        <v>11</v>
      </c>
      <c r="B9" s="11">
        <v>44600.0</v>
      </c>
      <c r="C9" s="80">
        <v>0.0</v>
      </c>
      <c r="D9" s="80">
        <v>1.0</v>
      </c>
      <c r="E9" s="80">
        <v>1.0</v>
      </c>
      <c r="F9" s="80">
        <v>0.0</v>
      </c>
      <c r="G9" s="80">
        <v>1.0</v>
      </c>
      <c r="H9" s="80">
        <v>1.0</v>
      </c>
      <c r="I9" s="80">
        <v>0.0</v>
      </c>
      <c r="J9" s="80">
        <v>1.0</v>
      </c>
      <c r="K9" s="80">
        <v>1.0</v>
      </c>
      <c r="L9" s="80">
        <v>1.0</v>
      </c>
      <c r="M9" s="80">
        <v>1.0</v>
      </c>
      <c r="N9" s="81" t="s">
        <v>329</v>
      </c>
    </row>
    <row r="10">
      <c r="A10" s="10" t="s">
        <v>12</v>
      </c>
      <c r="B10" s="11">
        <v>44601.0</v>
      </c>
      <c r="C10" s="80">
        <v>1.0</v>
      </c>
      <c r="D10" s="80">
        <v>1.0</v>
      </c>
      <c r="E10" s="80">
        <v>0.0</v>
      </c>
      <c r="F10" s="80">
        <v>1.0</v>
      </c>
      <c r="G10" s="80">
        <v>1.0</v>
      </c>
      <c r="H10" s="80">
        <v>1.0</v>
      </c>
      <c r="I10" s="80">
        <v>0.0</v>
      </c>
      <c r="J10" s="80">
        <v>1.0</v>
      </c>
      <c r="K10" s="80">
        <v>1.0</v>
      </c>
      <c r="L10" s="80">
        <v>0.0</v>
      </c>
      <c r="M10" s="80">
        <v>1.0</v>
      </c>
      <c r="N10" s="81" t="s">
        <v>330</v>
      </c>
    </row>
    <row r="11">
      <c r="A11" s="10" t="s">
        <v>13</v>
      </c>
      <c r="B11" s="11">
        <v>44602.0</v>
      </c>
      <c r="C11" s="80">
        <v>1.0</v>
      </c>
      <c r="D11" s="80">
        <v>1.0</v>
      </c>
      <c r="E11" s="80">
        <v>1.0</v>
      </c>
      <c r="F11" s="80">
        <v>0.0</v>
      </c>
      <c r="G11" s="80">
        <v>1.0</v>
      </c>
      <c r="H11" s="80">
        <v>0.0</v>
      </c>
      <c r="I11" s="80">
        <v>1.0</v>
      </c>
      <c r="J11" s="80">
        <v>1.0</v>
      </c>
      <c r="K11" s="80">
        <v>1.0</v>
      </c>
      <c r="L11" s="80">
        <v>1.0</v>
      </c>
      <c r="M11" s="80">
        <v>1.0</v>
      </c>
      <c r="N11" s="81" t="s">
        <v>331</v>
      </c>
    </row>
    <row r="12">
      <c r="A12" s="19" t="s">
        <v>14</v>
      </c>
      <c r="B12" s="20">
        <v>44603.0</v>
      </c>
      <c r="C12" s="83">
        <v>1.0</v>
      </c>
      <c r="D12" s="83">
        <v>0.0</v>
      </c>
      <c r="E12" s="83">
        <v>0.0</v>
      </c>
      <c r="F12" s="83">
        <v>1.0</v>
      </c>
      <c r="G12" s="83">
        <v>1.5</v>
      </c>
      <c r="H12" s="83">
        <v>0.0</v>
      </c>
      <c r="I12" s="83">
        <v>0.0</v>
      </c>
      <c r="J12" s="83">
        <v>0.0</v>
      </c>
      <c r="K12" s="83">
        <v>1.0</v>
      </c>
      <c r="L12" s="83">
        <v>0.0</v>
      </c>
      <c r="M12" s="83">
        <v>1.0</v>
      </c>
      <c r="N12" s="81" t="s">
        <v>332</v>
      </c>
    </row>
    <row r="13">
      <c r="A13" s="10" t="s">
        <v>15</v>
      </c>
      <c r="B13" s="11">
        <v>44604.0</v>
      </c>
      <c r="C13" s="80">
        <v>1.0</v>
      </c>
      <c r="D13" s="80">
        <v>1.0</v>
      </c>
      <c r="E13" s="80">
        <v>0.0</v>
      </c>
      <c r="F13" s="80">
        <v>1.0</v>
      </c>
      <c r="G13" s="80">
        <v>1.0</v>
      </c>
      <c r="H13" s="80">
        <v>0.0</v>
      </c>
      <c r="I13" s="80">
        <v>1.0</v>
      </c>
      <c r="J13" s="80">
        <v>0.0</v>
      </c>
      <c r="K13" s="80">
        <v>1.0</v>
      </c>
      <c r="L13" s="80">
        <v>1.0</v>
      </c>
      <c r="M13" s="80">
        <v>1.0</v>
      </c>
      <c r="N13" s="85"/>
    </row>
    <row r="14">
      <c r="A14" s="10" t="s">
        <v>17</v>
      </c>
      <c r="B14" s="11">
        <v>44605.0</v>
      </c>
      <c r="C14" s="80">
        <v>0.0</v>
      </c>
      <c r="D14" s="80">
        <v>1.0</v>
      </c>
      <c r="E14" s="80">
        <v>0.0</v>
      </c>
      <c r="F14" s="80">
        <v>1.0</v>
      </c>
      <c r="G14" s="80">
        <v>1.0</v>
      </c>
      <c r="H14" s="80">
        <v>0.0</v>
      </c>
      <c r="I14" s="80">
        <v>1.0</v>
      </c>
      <c r="J14" s="80">
        <v>1.0</v>
      </c>
      <c r="K14" s="80">
        <v>1.0</v>
      </c>
      <c r="L14" s="80">
        <v>1.0</v>
      </c>
      <c r="M14" s="80">
        <v>1.0</v>
      </c>
      <c r="N14" s="85"/>
    </row>
    <row r="15">
      <c r="A15" s="10" t="s">
        <v>18</v>
      </c>
      <c r="B15" s="11">
        <v>44606.0</v>
      </c>
      <c r="C15" s="80">
        <v>1.0</v>
      </c>
      <c r="D15" s="80">
        <v>1.0</v>
      </c>
      <c r="E15" s="80">
        <v>0.0</v>
      </c>
      <c r="F15" s="80">
        <v>1.0</v>
      </c>
      <c r="G15" s="80">
        <v>1.0</v>
      </c>
      <c r="H15" s="80">
        <v>0.0</v>
      </c>
      <c r="I15" s="80">
        <v>1.0</v>
      </c>
      <c r="J15" s="80">
        <v>1.0</v>
      </c>
      <c r="K15" s="80">
        <v>1.0</v>
      </c>
      <c r="L15" s="80">
        <v>1.0</v>
      </c>
      <c r="M15" s="80">
        <v>0.0</v>
      </c>
      <c r="N15" s="13"/>
    </row>
    <row r="16">
      <c r="A16" s="10" t="s">
        <v>11</v>
      </c>
      <c r="B16" s="11">
        <v>44607.0</v>
      </c>
      <c r="C16" s="80">
        <v>1.0</v>
      </c>
      <c r="D16" s="80">
        <v>1.0</v>
      </c>
      <c r="E16" s="80">
        <v>1.0</v>
      </c>
      <c r="F16" s="80">
        <v>0.0</v>
      </c>
      <c r="G16" s="80">
        <v>1.0</v>
      </c>
      <c r="H16" s="80">
        <v>1.0</v>
      </c>
      <c r="I16" s="80">
        <v>0.0</v>
      </c>
      <c r="J16" s="80">
        <v>1.0</v>
      </c>
      <c r="K16" s="80">
        <v>1.0</v>
      </c>
      <c r="L16" s="80">
        <v>1.0</v>
      </c>
      <c r="M16" s="80">
        <v>1.0</v>
      </c>
      <c r="N16" s="85"/>
    </row>
    <row r="17">
      <c r="A17" s="10" t="s">
        <v>12</v>
      </c>
      <c r="B17" s="11">
        <v>44608.0</v>
      </c>
      <c r="C17" s="87">
        <v>1.0</v>
      </c>
      <c r="D17" s="80">
        <v>0.0</v>
      </c>
      <c r="E17" s="87">
        <v>1.0</v>
      </c>
      <c r="F17" s="80">
        <v>1.0</v>
      </c>
      <c r="G17" s="87">
        <v>1.0</v>
      </c>
      <c r="H17" s="87">
        <v>1.0</v>
      </c>
      <c r="I17" s="87">
        <v>0.0</v>
      </c>
      <c r="J17" s="87">
        <v>1.0</v>
      </c>
      <c r="K17" s="80">
        <v>1.0</v>
      </c>
      <c r="L17" s="80">
        <v>1.0</v>
      </c>
      <c r="M17" s="87">
        <v>0.0</v>
      </c>
      <c r="N17" s="85"/>
    </row>
    <row r="18">
      <c r="A18" s="10" t="s">
        <v>13</v>
      </c>
      <c r="B18" s="11">
        <v>44609.0</v>
      </c>
      <c r="C18" s="80">
        <v>1.0</v>
      </c>
      <c r="D18" s="80">
        <v>0.0</v>
      </c>
      <c r="E18" s="80">
        <v>1.0</v>
      </c>
      <c r="F18" s="80">
        <v>1.0</v>
      </c>
      <c r="G18" s="80">
        <v>1.0</v>
      </c>
      <c r="H18" s="80">
        <v>1.0</v>
      </c>
      <c r="I18" s="80">
        <v>0.0</v>
      </c>
      <c r="J18" s="80">
        <v>1.0</v>
      </c>
      <c r="K18" s="80">
        <v>1.0</v>
      </c>
      <c r="L18" s="80">
        <v>1.0</v>
      </c>
      <c r="M18" s="80">
        <v>1.0</v>
      </c>
      <c r="N18" s="85"/>
    </row>
    <row r="19">
      <c r="A19" s="19" t="s">
        <v>14</v>
      </c>
      <c r="B19" s="20">
        <v>44610.0</v>
      </c>
      <c r="C19" s="88">
        <v>1.0</v>
      </c>
      <c r="D19" s="83">
        <v>0.0</v>
      </c>
      <c r="E19" s="83">
        <v>0.0</v>
      </c>
      <c r="F19" s="83">
        <v>0.0</v>
      </c>
      <c r="G19" s="83">
        <v>0.0</v>
      </c>
      <c r="H19" s="83">
        <v>0.0</v>
      </c>
      <c r="I19" s="83">
        <v>0.0</v>
      </c>
      <c r="J19" s="83">
        <v>0.0</v>
      </c>
      <c r="K19" s="83">
        <v>1.0</v>
      </c>
      <c r="L19" s="83">
        <v>1.0</v>
      </c>
      <c r="M19" s="88">
        <v>1.0</v>
      </c>
      <c r="N19" s="81" t="s">
        <v>333</v>
      </c>
    </row>
    <row r="20">
      <c r="A20" s="10" t="s">
        <v>15</v>
      </c>
      <c r="B20" s="11">
        <v>44611.0</v>
      </c>
      <c r="C20" s="80">
        <v>1.0</v>
      </c>
      <c r="D20" s="80">
        <v>0.0</v>
      </c>
      <c r="E20" s="80">
        <v>1.0</v>
      </c>
      <c r="F20" s="80">
        <v>0.0</v>
      </c>
      <c r="G20" s="80">
        <v>1.0</v>
      </c>
      <c r="H20" s="80">
        <v>1.0</v>
      </c>
      <c r="I20" s="80">
        <v>0.0</v>
      </c>
      <c r="J20" s="80">
        <v>1.0</v>
      </c>
      <c r="K20" s="80">
        <v>0.0</v>
      </c>
      <c r="L20" s="80">
        <v>1.5</v>
      </c>
      <c r="M20" s="80">
        <v>1.0</v>
      </c>
      <c r="N20" s="13"/>
    </row>
    <row r="21">
      <c r="A21" s="10" t="s">
        <v>17</v>
      </c>
      <c r="B21" s="11">
        <v>44612.0</v>
      </c>
      <c r="C21" s="80">
        <v>1.0</v>
      </c>
      <c r="D21" s="80">
        <v>1.0</v>
      </c>
      <c r="E21" s="80">
        <v>1.0</v>
      </c>
      <c r="F21" s="80">
        <v>1.0</v>
      </c>
      <c r="G21" s="80">
        <v>0.0</v>
      </c>
      <c r="H21" s="80">
        <v>0.0</v>
      </c>
      <c r="I21" s="80">
        <v>0.0</v>
      </c>
      <c r="J21" s="80">
        <v>1.0</v>
      </c>
      <c r="K21" s="80">
        <v>1.0</v>
      </c>
      <c r="L21" s="80">
        <v>1.0</v>
      </c>
      <c r="M21" s="80">
        <v>1.0</v>
      </c>
      <c r="N21" s="89"/>
    </row>
    <row r="22">
      <c r="A22" s="10" t="s">
        <v>18</v>
      </c>
      <c r="B22" s="11">
        <v>44613.0</v>
      </c>
      <c r="C22" s="80">
        <v>0.0</v>
      </c>
      <c r="D22" s="80">
        <v>1.0</v>
      </c>
      <c r="E22" s="80">
        <v>1.0</v>
      </c>
      <c r="F22" s="80">
        <v>1.0</v>
      </c>
      <c r="G22" s="80">
        <v>1.0</v>
      </c>
      <c r="H22" s="80">
        <v>1.0</v>
      </c>
      <c r="I22" s="80">
        <v>0.0</v>
      </c>
      <c r="J22" s="80">
        <v>1.0</v>
      </c>
      <c r="K22" s="80">
        <v>1.0</v>
      </c>
      <c r="L22" s="80">
        <v>1.5</v>
      </c>
      <c r="M22" s="80">
        <v>1.0</v>
      </c>
      <c r="N22" s="90" t="s">
        <v>334</v>
      </c>
    </row>
    <row r="23">
      <c r="A23" s="10" t="s">
        <v>11</v>
      </c>
      <c r="B23" s="11">
        <v>44614.0</v>
      </c>
      <c r="C23" s="80">
        <v>1.0</v>
      </c>
      <c r="D23" s="80">
        <v>1.0</v>
      </c>
      <c r="E23" s="80">
        <v>1.0</v>
      </c>
      <c r="F23" s="80">
        <v>1.0</v>
      </c>
      <c r="G23" s="80">
        <v>1.0</v>
      </c>
      <c r="H23" s="80">
        <v>1.0</v>
      </c>
      <c r="I23" s="80">
        <v>0.0</v>
      </c>
      <c r="J23" s="80">
        <v>1.0</v>
      </c>
      <c r="K23" s="80">
        <v>1.0</v>
      </c>
      <c r="L23" s="80">
        <v>1.0</v>
      </c>
      <c r="M23" s="80">
        <v>1.0</v>
      </c>
      <c r="N23" s="81" t="s">
        <v>335</v>
      </c>
    </row>
    <row r="24">
      <c r="A24" s="10" t="s">
        <v>12</v>
      </c>
      <c r="B24" s="11">
        <v>44615.0</v>
      </c>
      <c r="C24" s="66">
        <v>1.0</v>
      </c>
      <c r="D24" s="66">
        <v>1.0</v>
      </c>
      <c r="E24" s="66">
        <v>1.0</v>
      </c>
      <c r="F24" s="66">
        <v>1.0</v>
      </c>
      <c r="G24" s="66">
        <v>1.0</v>
      </c>
      <c r="H24" s="66">
        <v>0.0</v>
      </c>
      <c r="I24" s="66">
        <v>1.0</v>
      </c>
      <c r="J24" s="66">
        <v>1.0</v>
      </c>
      <c r="K24" s="66">
        <v>1.0</v>
      </c>
      <c r="L24" s="66">
        <v>1.0</v>
      </c>
      <c r="M24" s="66">
        <v>1.0</v>
      </c>
      <c r="N24" s="13"/>
    </row>
    <row r="25">
      <c r="A25" s="10" t="s">
        <v>13</v>
      </c>
      <c r="B25" s="11">
        <v>44616.0</v>
      </c>
      <c r="C25" s="66">
        <v>1.0</v>
      </c>
      <c r="D25" s="66">
        <v>1.0</v>
      </c>
      <c r="E25" s="66">
        <v>1.0</v>
      </c>
      <c r="F25" s="66">
        <v>1.0</v>
      </c>
      <c r="G25" s="66">
        <v>1.0</v>
      </c>
      <c r="H25" s="66">
        <v>0.0</v>
      </c>
      <c r="I25" s="66">
        <v>1.0</v>
      </c>
      <c r="J25" s="66">
        <v>1.0</v>
      </c>
      <c r="K25" s="66">
        <v>1.0</v>
      </c>
      <c r="L25" s="66">
        <v>1.0</v>
      </c>
      <c r="M25" s="66">
        <v>1.0</v>
      </c>
      <c r="N25" s="85"/>
    </row>
    <row r="26">
      <c r="A26" s="19" t="s">
        <v>14</v>
      </c>
      <c r="B26" s="20">
        <v>44617.0</v>
      </c>
      <c r="C26" s="91">
        <v>1.0</v>
      </c>
      <c r="D26" s="91">
        <v>0.0</v>
      </c>
      <c r="E26" s="91">
        <v>0.0</v>
      </c>
      <c r="F26" s="91">
        <v>1.0</v>
      </c>
      <c r="G26" s="91">
        <v>1.5</v>
      </c>
      <c r="H26" s="91">
        <v>0.0</v>
      </c>
      <c r="I26" s="91">
        <v>0.0</v>
      </c>
      <c r="J26" s="91">
        <v>0.0</v>
      </c>
      <c r="K26" s="91">
        <v>1.0</v>
      </c>
      <c r="L26" s="91">
        <v>0.0</v>
      </c>
      <c r="M26" s="91">
        <v>1.0</v>
      </c>
      <c r="N26" s="13"/>
    </row>
    <row r="27">
      <c r="A27" s="10" t="s">
        <v>15</v>
      </c>
      <c r="B27" s="11">
        <v>44618.0</v>
      </c>
      <c r="C27" s="92">
        <v>1.0</v>
      </c>
      <c r="D27" s="92">
        <v>1.0</v>
      </c>
      <c r="E27" s="92">
        <v>1.0</v>
      </c>
      <c r="F27" s="92">
        <v>1.0</v>
      </c>
      <c r="G27" s="92">
        <v>1.0</v>
      </c>
      <c r="H27" s="92">
        <v>0.0</v>
      </c>
      <c r="I27" s="92">
        <v>1.0</v>
      </c>
      <c r="J27" s="92">
        <v>1.0</v>
      </c>
      <c r="K27" s="92">
        <v>1.0</v>
      </c>
      <c r="L27" s="92">
        <v>1.0</v>
      </c>
      <c r="M27" s="92">
        <v>1.0</v>
      </c>
      <c r="N27" s="81" t="s">
        <v>336</v>
      </c>
    </row>
    <row r="28">
      <c r="A28" s="10" t="s">
        <v>17</v>
      </c>
      <c r="B28" s="11">
        <v>44619.0</v>
      </c>
      <c r="C28" s="93">
        <v>1.0</v>
      </c>
      <c r="D28" s="93">
        <v>1.0</v>
      </c>
      <c r="E28" s="93">
        <v>1.0</v>
      </c>
      <c r="F28" s="93">
        <v>1.0</v>
      </c>
      <c r="G28" s="93">
        <v>1.0</v>
      </c>
      <c r="H28" s="93">
        <v>0.0</v>
      </c>
      <c r="I28" s="93">
        <v>1.0</v>
      </c>
      <c r="J28" s="93">
        <v>1.0</v>
      </c>
      <c r="K28" s="93">
        <v>1.0</v>
      </c>
      <c r="L28" s="93">
        <v>1.0</v>
      </c>
      <c r="M28" s="93">
        <v>1.0</v>
      </c>
      <c r="N28" s="81" t="s">
        <v>337</v>
      </c>
    </row>
    <row r="29">
      <c r="A29" s="10" t="s">
        <v>18</v>
      </c>
      <c r="B29" s="11">
        <v>44620.0</v>
      </c>
      <c r="C29" s="92">
        <v>1.0</v>
      </c>
      <c r="D29" s="92">
        <v>1.0</v>
      </c>
      <c r="E29" s="92">
        <v>1.0</v>
      </c>
      <c r="F29" s="92">
        <v>0.0</v>
      </c>
      <c r="G29" s="92">
        <v>1.0</v>
      </c>
      <c r="H29" s="92">
        <v>0.0</v>
      </c>
      <c r="I29" s="92">
        <v>1.0</v>
      </c>
      <c r="J29" s="92">
        <v>1.0</v>
      </c>
      <c r="K29" s="92">
        <v>1.0</v>
      </c>
      <c r="L29" s="92">
        <v>1.0</v>
      </c>
      <c r="M29" s="92">
        <v>0.0</v>
      </c>
      <c r="N29" s="90" t="s">
        <v>338</v>
      </c>
    </row>
    <row r="30">
      <c r="A30" s="13"/>
      <c r="B30" s="94"/>
      <c r="C30" s="85">
        <f t="shared" ref="C30:M30" si="1">SUM(C2:C29)</f>
        <v>22</v>
      </c>
      <c r="D30" s="85">
        <f t="shared" si="1"/>
        <v>21</v>
      </c>
      <c r="E30" s="85">
        <f t="shared" si="1"/>
        <v>17</v>
      </c>
      <c r="F30" s="85">
        <f t="shared" si="1"/>
        <v>18</v>
      </c>
      <c r="G30" s="85">
        <f t="shared" si="1"/>
        <v>25</v>
      </c>
      <c r="H30" s="85">
        <f t="shared" si="1"/>
        <v>11</v>
      </c>
      <c r="I30" s="85">
        <f t="shared" si="1"/>
        <v>13</v>
      </c>
      <c r="J30" s="85">
        <f t="shared" si="1"/>
        <v>23</v>
      </c>
      <c r="K30" s="85">
        <f t="shared" si="1"/>
        <v>26</v>
      </c>
      <c r="L30" s="85">
        <f t="shared" si="1"/>
        <v>22.5</v>
      </c>
      <c r="M30" s="85">
        <f t="shared" si="1"/>
        <v>21.5625</v>
      </c>
      <c r="N30" s="13"/>
    </row>
    <row r="31">
      <c r="A31" s="8"/>
      <c r="B31" s="47"/>
      <c r="C31" s="95">
        <v>2083.0</v>
      </c>
      <c r="D31" s="95">
        <v>1041.0</v>
      </c>
      <c r="E31" s="95">
        <v>1250.0</v>
      </c>
      <c r="F31" s="95">
        <v>1250.0</v>
      </c>
      <c r="G31" s="95">
        <v>1250.0</v>
      </c>
      <c r="H31" s="96">
        <v>1000.0</v>
      </c>
      <c r="I31" s="96">
        <v>1000.0</v>
      </c>
      <c r="J31" s="95">
        <v>1250.0</v>
      </c>
      <c r="K31" s="95">
        <v>1041.0</v>
      </c>
      <c r="L31" s="95">
        <v>1250.0</v>
      </c>
      <c r="M31" s="95">
        <v>1250.0</v>
      </c>
      <c r="N31" s="97"/>
    </row>
    <row r="32">
      <c r="A32" s="47"/>
      <c r="B32" s="47"/>
      <c r="C32" s="98">
        <f t="shared" ref="C32:L32" si="2">C31*C30</f>
        <v>45826</v>
      </c>
      <c r="D32" s="99">
        <f t="shared" si="2"/>
        <v>21861</v>
      </c>
      <c r="E32" s="99">
        <f t="shared" si="2"/>
        <v>21250</v>
      </c>
      <c r="F32" s="99">
        <f t="shared" si="2"/>
        <v>22500</v>
      </c>
      <c r="G32" s="99">
        <f t="shared" si="2"/>
        <v>31250</v>
      </c>
      <c r="H32" s="99">
        <f t="shared" si="2"/>
        <v>11000</v>
      </c>
      <c r="I32" s="99">
        <f t="shared" si="2"/>
        <v>13000</v>
      </c>
      <c r="J32" s="99">
        <f t="shared" si="2"/>
        <v>28750</v>
      </c>
      <c r="K32" s="99">
        <f t="shared" si="2"/>
        <v>27066</v>
      </c>
      <c r="L32" s="99">
        <f t="shared" si="2"/>
        <v>28125</v>
      </c>
      <c r="M32" s="99">
        <f>M30*M31</f>
        <v>26953.125</v>
      </c>
      <c r="N32" s="41">
        <f>SUM(C32:M32)</f>
        <v>277581.125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9" max="9" width="21.0"/>
    <col customWidth="1" min="10" max="10" width="20.75"/>
    <col customWidth="1" min="11" max="11" width="20.63"/>
    <col customWidth="1" min="12" max="12" width="21.88"/>
    <col customWidth="1" min="13" max="13" width="58.25"/>
  </cols>
  <sheetData>
    <row r="7">
      <c r="H7" s="47"/>
      <c r="I7" s="100" t="s">
        <v>339</v>
      </c>
      <c r="J7" s="100" t="s">
        <v>4</v>
      </c>
      <c r="K7" s="100" t="s">
        <v>340</v>
      </c>
      <c r="L7" s="101" t="s">
        <v>341</v>
      </c>
    </row>
    <row r="8">
      <c r="H8" s="102">
        <v>1.0</v>
      </c>
      <c r="I8" s="102" t="s">
        <v>313</v>
      </c>
      <c r="J8" s="39">
        <f>Pointage!C32*1</f>
        <v>45826</v>
      </c>
      <c r="K8" s="12">
        <v>4000.0</v>
      </c>
      <c r="L8" s="39">
        <f t="shared" ref="L8:L18" si="1">J8-K8</f>
        <v>41826</v>
      </c>
      <c r="M8" s="103" t="s">
        <v>342</v>
      </c>
    </row>
    <row r="9">
      <c r="H9" s="102">
        <v>3.0</v>
      </c>
      <c r="I9" s="102" t="s">
        <v>314</v>
      </c>
      <c r="J9" s="39">
        <f>Pointage!D32*1</f>
        <v>21861</v>
      </c>
      <c r="K9" s="12">
        <v>2000.0</v>
      </c>
      <c r="L9" s="39">
        <f t="shared" si="1"/>
        <v>19861</v>
      </c>
    </row>
    <row r="10">
      <c r="H10" s="102">
        <v>4.0</v>
      </c>
      <c r="I10" s="102" t="s">
        <v>317</v>
      </c>
      <c r="J10" s="39">
        <f>Pointage!G32*1</f>
        <v>31250</v>
      </c>
      <c r="K10" s="12">
        <v>27000.0</v>
      </c>
      <c r="L10" s="39">
        <f t="shared" si="1"/>
        <v>4250</v>
      </c>
      <c r="M10" s="103" t="s">
        <v>343</v>
      </c>
    </row>
    <row r="11">
      <c r="H11" s="102">
        <v>5.0</v>
      </c>
      <c r="I11" s="102" t="s">
        <v>318</v>
      </c>
      <c r="J11" s="39">
        <f>Pointage!H32*1</f>
        <v>11000</v>
      </c>
      <c r="K11" s="39"/>
      <c r="L11" s="39">
        <f t="shared" si="1"/>
        <v>11000</v>
      </c>
    </row>
    <row r="12">
      <c r="H12" s="102">
        <v>6.0</v>
      </c>
      <c r="I12" s="102" t="s">
        <v>344</v>
      </c>
      <c r="J12" s="39">
        <f>Pointage!I32*1</f>
        <v>13000</v>
      </c>
      <c r="K12" s="39"/>
      <c r="L12" s="39">
        <f t="shared" si="1"/>
        <v>13000</v>
      </c>
    </row>
    <row r="13">
      <c r="H13" s="102">
        <v>7.0</v>
      </c>
      <c r="I13" s="102" t="s">
        <v>345</v>
      </c>
      <c r="J13" s="39">
        <f>Pointage!E32*1</f>
        <v>21250</v>
      </c>
      <c r="K13" s="39"/>
      <c r="L13" s="39">
        <f t="shared" si="1"/>
        <v>21250</v>
      </c>
    </row>
    <row r="14">
      <c r="H14" s="102">
        <v>8.0</v>
      </c>
      <c r="I14" s="102" t="s">
        <v>316</v>
      </c>
      <c r="J14" s="39">
        <f>Pointage!F32*1</f>
        <v>22500</v>
      </c>
      <c r="K14" s="39"/>
      <c r="L14" s="39">
        <f t="shared" si="1"/>
        <v>22500</v>
      </c>
    </row>
    <row r="15">
      <c r="H15" s="102">
        <v>9.0</v>
      </c>
      <c r="I15" s="102" t="s">
        <v>320</v>
      </c>
      <c r="J15" s="39">
        <f>Pointage!J32*1</f>
        <v>28750</v>
      </c>
      <c r="K15" s="39"/>
      <c r="L15" s="39">
        <f t="shared" si="1"/>
        <v>28750</v>
      </c>
    </row>
    <row r="16">
      <c r="H16" s="104">
        <v>10.0</v>
      </c>
      <c r="I16" s="102" t="s">
        <v>321</v>
      </c>
      <c r="J16" s="39">
        <f>Pointage!K32*1</f>
        <v>27066</v>
      </c>
      <c r="K16" s="39"/>
      <c r="L16" s="39">
        <f t="shared" si="1"/>
        <v>27066</v>
      </c>
    </row>
    <row r="17">
      <c r="H17" s="102">
        <v>11.0</v>
      </c>
      <c r="I17" s="102" t="s">
        <v>346</v>
      </c>
      <c r="J17" s="39">
        <f>Pointage!L32*1</f>
        <v>28125</v>
      </c>
      <c r="K17" s="12">
        <v>24000.0</v>
      </c>
      <c r="L17" s="39">
        <f t="shared" si="1"/>
        <v>4125</v>
      </c>
      <c r="M17" s="103" t="s">
        <v>347</v>
      </c>
    </row>
    <row r="18">
      <c r="H18" s="102">
        <v>12.0</v>
      </c>
      <c r="I18" s="102" t="s">
        <v>323</v>
      </c>
      <c r="J18" s="39">
        <f>Pointage!M32*1</f>
        <v>26953.125</v>
      </c>
      <c r="K18" s="39"/>
      <c r="L18" s="39">
        <f t="shared" si="1"/>
        <v>26953.125</v>
      </c>
    </row>
    <row r="19">
      <c r="H19" s="47"/>
      <c r="I19" s="105" t="s">
        <v>348</v>
      </c>
      <c r="J19" s="106">
        <f t="shared" ref="J19:L19" si="2">SUM(J8:J18)</f>
        <v>277581.125</v>
      </c>
      <c r="K19" s="106">
        <f t="shared" si="2"/>
        <v>57000</v>
      </c>
      <c r="L19" s="107">
        <f t="shared" si="2"/>
        <v>220581.125</v>
      </c>
    </row>
    <row r="20">
      <c r="H20" s="47"/>
      <c r="I20" s="108">
        <f>J19-K19</f>
        <v>220581.125</v>
      </c>
      <c r="J20" s="47"/>
      <c r="K20" s="47"/>
      <c r="L20" s="107">
        <f>J20-K20</f>
        <v>0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0"/>
    <col customWidth="1" min="2" max="2" width="17.88"/>
    <col customWidth="1" min="3" max="4" width="17.5"/>
    <col customWidth="1" min="5" max="7" width="16.5"/>
    <col customWidth="1" min="8" max="8" width="21.25"/>
    <col customWidth="1" min="9" max="9" width="25.63"/>
    <col customWidth="1" min="10" max="10" width="38.38"/>
    <col customWidth="1" min="11" max="11" width="18.38"/>
    <col customWidth="1" min="12" max="12" width="24.13"/>
    <col customWidth="1" min="13" max="13" width="23.75"/>
    <col customWidth="1" min="14" max="14" width="19.0"/>
    <col customWidth="1" min="15" max="15" width="20.5"/>
    <col customWidth="1" min="16" max="16" width="25.63"/>
    <col customWidth="1" min="17" max="17" width="18.88"/>
    <col customWidth="1" min="21" max="21" width="15.13"/>
  </cols>
  <sheetData>
    <row r="1">
      <c r="A1" s="2" t="s">
        <v>0</v>
      </c>
      <c r="B1" s="109" t="s">
        <v>349</v>
      </c>
      <c r="C1" s="109" t="s">
        <v>350</v>
      </c>
      <c r="D1" s="109" t="s">
        <v>351</v>
      </c>
      <c r="E1" s="109" t="s">
        <v>352</v>
      </c>
      <c r="F1" s="109" t="s">
        <v>353</v>
      </c>
      <c r="G1" s="109" t="s">
        <v>354</v>
      </c>
      <c r="H1" s="109" t="s">
        <v>355</v>
      </c>
      <c r="I1" s="109" t="s">
        <v>356</v>
      </c>
      <c r="J1" s="109" t="s">
        <v>357</v>
      </c>
      <c r="K1" s="109" t="s">
        <v>358</v>
      </c>
      <c r="L1" s="109" t="s">
        <v>359</v>
      </c>
      <c r="M1" s="109" t="s">
        <v>360</v>
      </c>
      <c r="N1" s="109" t="s">
        <v>361</v>
      </c>
      <c r="O1" s="109" t="s">
        <v>362</v>
      </c>
      <c r="P1" s="109" t="s">
        <v>363</v>
      </c>
      <c r="Q1" s="109" t="s">
        <v>364</v>
      </c>
      <c r="R1" s="109" t="s">
        <v>365</v>
      </c>
      <c r="S1" s="109" t="s">
        <v>366</v>
      </c>
      <c r="T1" s="109" t="s">
        <v>367</v>
      </c>
    </row>
    <row r="2">
      <c r="A2" s="11">
        <v>44593.0</v>
      </c>
      <c r="B2" s="36">
        <v>0.0</v>
      </c>
      <c r="C2" s="36">
        <v>0.0</v>
      </c>
      <c r="D2" s="36">
        <v>14.0</v>
      </c>
      <c r="E2" s="36">
        <v>0.0</v>
      </c>
      <c r="F2" s="36">
        <v>0.0</v>
      </c>
      <c r="G2" s="36">
        <v>85.0</v>
      </c>
      <c r="H2" s="36">
        <v>0.0</v>
      </c>
      <c r="I2" s="36">
        <v>0.0</v>
      </c>
      <c r="J2" s="36">
        <v>0.0</v>
      </c>
      <c r="K2" s="36">
        <v>0.0</v>
      </c>
      <c r="L2" s="36">
        <v>4.0</v>
      </c>
      <c r="M2" s="36">
        <v>3.0</v>
      </c>
      <c r="N2" s="36">
        <v>9.0</v>
      </c>
      <c r="O2" s="36">
        <v>6.0</v>
      </c>
      <c r="P2" s="36">
        <v>0.0</v>
      </c>
      <c r="Q2" s="36">
        <v>35.0</v>
      </c>
      <c r="R2" s="36">
        <v>0.0</v>
      </c>
      <c r="S2" s="36">
        <v>0.0</v>
      </c>
      <c r="T2" s="36">
        <v>0.0</v>
      </c>
    </row>
    <row r="3">
      <c r="A3" s="11">
        <v>44594.0</v>
      </c>
      <c r="B3" s="36">
        <v>5.0</v>
      </c>
      <c r="C3" s="36">
        <v>0.0</v>
      </c>
      <c r="D3" s="36">
        <v>40.0</v>
      </c>
      <c r="E3" s="36">
        <v>0.0</v>
      </c>
      <c r="F3" s="36">
        <v>0.0</v>
      </c>
      <c r="G3" s="36">
        <v>0.0</v>
      </c>
      <c r="H3" s="36">
        <v>4.0</v>
      </c>
      <c r="I3" s="36">
        <v>5.0</v>
      </c>
      <c r="J3" s="36">
        <v>0.0</v>
      </c>
      <c r="K3" s="36">
        <v>4.0</v>
      </c>
      <c r="L3" s="36">
        <v>0.0</v>
      </c>
      <c r="M3" s="36">
        <v>0.0</v>
      </c>
      <c r="N3" s="36">
        <v>7.0</v>
      </c>
      <c r="O3" s="36">
        <v>6.0</v>
      </c>
      <c r="P3" s="36">
        <v>0.0</v>
      </c>
      <c r="Q3" s="36">
        <v>0.0</v>
      </c>
      <c r="R3" s="36">
        <v>0.0</v>
      </c>
      <c r="S3" s="36">
        <v>0.0</v>
      </c>
      <c r="T3" s="36">
        <v>0.0</v>
      </c>
    </row>
    <row r="4">
      <c r="A4" s="11">
        <v>44595.0</v>
      </c>
      <c r="B4" s="36">
        <v>0.0</v>
      </c>
      <c r="C4" s="36">
        <v>0.0</v>
      </c>
      <c r="D4" s="36">
        <v>0.0</v>
      </c>
      <c r="E4" s="36">
        <v>0.0</v>
      </c>
      <c r="F4" s="36">
        <v>0.0</v>
      </c>
      <c r="G4" s="36">
        <v>0.0</v>
      </c>
      <c r="H4" s="36">
        <v>0.0</v>
      </c>
      <c r="I4" s="36">
        <v>0.0</v>
      </c>
      <c r="J4" s="36">
        <v>0.0</v>
      </c>
      <c r="K4" s="36">
        <v>0.0</v>
      </c>
      <c r="L4" s="36">
        <v>0.0</v>
      </c>
      <c r="M4" s="36">
        <v>0.0</v>
      </c>
      <c r="N4" s="36">
        <v>0.0</v>
      </c>
      <c r="O4" s="36">
        <v>0.0</v>
      </c>
      <c r="P4" s="36">
        <v>0.0</v>
      </c>
      <c r="Q4" s="36">
        <v>0.0</v>
      </c>
      <c r="R4" s="36">
        <v>0.0</v>
      </c>
      <c r="S4" s="36">
        <v>0.0</v>
      </c>
      <c r="T4" s="36">
        <v>0.0</v>
      </c>
    </row>
    <row r="5">
      <c r="A5" s="20">
        <v>44596.0</v>
      </c>
      <c r="B5" s="36">
        <v>0.0</v>
      </c>
      <c r="C5" s="36">
        <v>0.0</v>
      </c>
      <c r="D5" s="36">
        <v>0.0</v>
      </c>
      <c r="E5" s="36">
        <v>0.0</v>
      </c>
      <c r="F5" s="36">
        <v>0.0</v>
      </c>
      <c r="G5" s="36">
        <v>0.0</v>
      </c>
      <c r="H5" s="36">
        <v>0.0</v>
      </c>
      <c r="I5" s="36">
        <v>0.0</v>
      </c>
      <c r="J5" s="36">
        <v>0.0</v>
      </c>
      <c r="K5" s="36">
        <v>0.0</v>
      </c>
      <c r="L5" s="36">
        <v>0.0</v>
      </c>
      <c r="M5" s="36">
        <v>0.0</v>
      </c>
      <c r="N5" s="36">
        <v>0.0</v>
      </c>
      <c r="O5" s="36">
        <v>0.0</v>
      </c>
      <c r="P5" s="36">
        <v>0.0</v>
      </c>
      <c r="Q5" s="36">
        <v>0.0</v>
      </c>
      <c r="R5" s="36">
        <v>0.0</v>
      </c>
      <c r="S5" s="36">
        <v>0.0</v>
      </c>
      <c r="T5" s="36">
        <v>0.0</v>
      </c>
    </row>
    <row r="6">
      <c r="A6" s="11">
        <v>44597.0</v>
      </c>
      <c r="B6" s="36">
        <v>0.0</v>
      </c>
      <c r="C6" s="36">
        <v>0.0</v>
      </c>
      <c r="D6" s="36">
        <v>20.0</v>
      </c>
      <c r="E6" s="36">
        <v>0.0</v>
      </c>
      <c r="F6" s="36">
        <v>0.0</v>
      </c>
      <c r="G6" s="36">
        <v>89.0</v>
      </c>
      <c r="H6" s="36">
        <v>3.0</v>
      </c>
      <c r="I6" s="36">
        <v>0.0</v>
      </c>
      <c r="J6" s="36">
        <v>0.0</v>
      </c>
      <c r="K6" s="36">
        <v>0.0</v>
      </c>
      <c r="L6" s="36">
        <v>3.0</v>
      </c>
      <c r="M6" s="36">
        <v>2.0</v>
      </c>
      <c r="N6" s="36">
        <v>7.0</v>
      </c>
      <c r="O6" s="36">
        <v>11.0</v>
      </c>
      <c r="P6" s="36">
        <v>5.0</v>
      </c>
      <c r="Q6" s="36">
        <v>0.0</v>
      </c>
      <c r="R6" s="36">
        <v>0.0</v>
      </c>
      <c r="S6" s="36">
        <v>0.0</v>
      </c>
      <c r="T6" s="36">
        <v>0.0</v>
      </c>
    </row>
    <row r="7">
      <c r="A7" s="11">
        <v>44598.0</v>
      </c>
      <c r="B7" s="36">
        <v>0.0</v>
      </c>
      <c r="C7" s="36">
        <v>25.0</v>
      </c>
      <c r="D7" s="36">
        <v>38.0</v>
      </c>
      <c r="E7" s="36">
        <v>0.0</v>
      </c>
      <c r="F7" s="36">
        <v>0.0</v>
      </c>
      <c r="G7" s="36">
        <v>0.0</v>
      </c>
      <c r="H7" s="36">
        <v>0.0</v>
      </c>
      <c r="I7" s="36">
        <v>0.0</v>
      </c>
      <c r="J7" s="36">
        <v>0.0</v>
      </c>
      <c r="K7" s="36">
        <v>0.0</v>
      </c>
      <c r="L7" s="36">
        <v>0.0</v>
      </c>
      <c r="M7" s="36">
        <v>0.0</v>
      </c>
      <c r="N7" s="36">
        <v>7.0</v>
      </c>
      <c r="O7" s="36">
        <v>7.0</v>
      </c>
      <c r="P7" s="36">
        <v>0.0</v>
      </c>
      <c r="Q7" s="36">
        <v>55.0</v>
      </c>
      <c r="R7" s="36">
        <v>0.0</v>
      </c>
      <c r="S7" s="36">
        <v>0.0</v>
      </c>
      <c r="T7" s="36">
        <v>0.0</v>
      </c>
    </row>
    <row r="8">
      <c r="A8" s="11">
        <v>44599.0</v>
      </c>
      <c r="B8" s="36">
        <v>0.0</v>
      </c>
      <c r="C8" s="36">
        <v>0.0</v>
      </c>
      <c r="D8" s="36">
        <v>38.0</v>
      </c>
      <c r="E8" s="36">
        <v>0.0</v>
      </c>
      <c r="F8" s="36">
        <v>0.0</v>
      </c>
      <c r="G8" s="36">
        <v>0.0</v>
      </c>
      <c r="H8" s="36">
        <v>0.5</v>
      </c>
      <c r="I8" s="36">
        <v>0.0</v>
      </c>
      <c r="J8" s="36">
        <v>0.0</v>
      </c>
      <c r="K8" s="36">
        <v>0.0</v>
      </c>
      <c r="L8" s="36">
        <v>2.0</v>
      </c>
      <c r="M8" s="36">
        <v>2.0</v>
      </c>
      <c r="N8" s="36">
        <v>7.0</v>
      </c>
      <c r="O8" s="36">
        <v>7.0</v>
      </c>
      <c r="P8" s="36">
        <v>5.0</v>
      </c>
      <c r="Q8" s="36">
        <v>0.0</v>
      </c>
      <c r="R8" s="36">
        <v>0.0</v>
      </c>
      <c r="S8" s="36">
        <v>0.0</v>
      </c>
      <c r="T8" s="36">
        <v>0.0</v>
      </c>
    </row>
    <row r="9">
      <c r="A9" s="11">
        <v>44600.0</v>
      </c>
      <c r="B9" s="36">
        <v>0.0</v>
      </c>
      <c r="C9" s="36">
        <v>0.0</v>
      </c>
      <c r="D9" s="36">
        <v>0.0</v>
      </c>
      <c r="E9" s="36">
        <v>0.0</v>
      </c>
      <c r="F9" s="36">
        <v>35.0</v>
      </c>
      <c r="G9" s="36">
        <v>90.0</v>
      </c>
      <c r="H9" s="36">
        <v>0.0</v>
      </c>
      <c r="I9" s="36">
        <v>0.0</v>
      </c>
      <c r="J9" s="36">
        <v>0.0</v>
      </c>
      <c r="K9" s="36">
        <v>0.0</v>
      </c>
      <c r="L9" s="36">
        <v>5.0</v>
      </c>
      <c r="M9" s="36">
        <v>0.0</v>
      </c>
      <c r="N9" s="36">
        <v>4.0</v>
      </c>
      <c r="O9" s="36">
        <v>4.0</v>
      </c>
      <c r="P9" s="36">
        <v>0.0</v>
      </c>
      <c r="Q9" s="36">
        <v>0.0</v>
      </c>
      <c r="R9" s="36">
        <v>0.0</v>
      </c>
      <c r="S9" s="36">
        <v>0.0</v>
      </c>
      <c r="T9" s="36">
        <v>0.0</v>
      </c>
    </row>
    <row r="10">
      <c r="A10" s="11">
        <v>44601.0</v>
      </c>
      <c r="B10" s="36">
        <v>0.0</v>
      </c>
      <c r="C10" s="36">
        <v>0.0</v>
      </c>
      <c r="D10" s="36">
        <v>25.0</v>
      </c>
      <c r="E10" s="36">
        <v>0.0</v>
      </c>
      <c r="F10" s="36">
        <v>0.0</v>
      </c>
      <c r="G10" s="36">
        <v>97.0</v>
      </c>
      <c r="H10" s="36">
        <v>4.5</v>
      </c>
      <c r="I10" s="36">
        <v>0.0</v>
      </c>
      <c r="J10" s="36">
        <v>0.0</v>
      </c>
      <c r="K10" s="36">
        <v>0.0</v>
      </c>
      <c r="L10" s="36">
        <v>4.0</v>
      </c>
      <c r="M10" s="36">
        <v>0.0</v>
      </c>
      <c r="N10" s="36">
        <v>4.0</v>
      </c>
      <c r="O10" s="36">
        <v>5.0</v>
      </c>
      <c r="P10" s="36">
        <v>4.0</v>
      </c>
      <c r="Q10" s="36">
        <v>0.0</v>
      </c>
      <c r="R10" s="36">
        <v>0.0</v>
      </c>
      <c r="S10" s="36">
        <v>0.0</v>
      </c>
      <c r="T10" s="36">
        <v>0.0</v>
      </c>
    </row>
    <row r="11">
      <c r="A11" s="11">
        <v>44602.0</v>
      </c>
      <c r="B11" s="110"/>
      <c r="C11" s="110"/>
      <c r="D11" s="110"/>
      <c r="E11" s="110"/>
      <c r="F11" s="110"/>
      <c r="G11" s="110"/>
      <c r="H11" s="110"/>
      <c r="I11" s="110"/>
      <c r="J11" s="110"/>
      <c r="K11" s="110"/>
      <c r="L11" s="110"/>
      <c r="M11" s="110"/>
      <c r="N11" s="110"/>
      <c r="O11" s="110"/>
      <c r="P11" s="110"/>
      <c r="Q11" s="110"/>
      <c r="R11" s="110"/>
      <c r="S11" s="110"/>
      <c r="T11" s="110"/>
    </row>
    <row r="12">
      <c r="A12" s="20">
        <v>44603.0</v>
      </c>
      <c r="B12" s="36">
        <v>0.0</v>
      </c>
      <c r="C12" s="36">
        <v>0.0</v>
      </c>
      <c r="D12" s="36">
        <v>0.0</v>
      </c>
      <c r="E12" s="36">
        <v>0.0</v>
      </c>
      <c r="F12" s="36">
        <v>0.0</v>
      </c>
      <c r="G12" s="36">
        <v>100.0</v>
      </c>
      <c r="H12" s="36">
        <v>0.0</v>
      </c>
      <c r="I12" s="36">
        <v>12.0</v>
      </c>
      <c r="J12" s="36">
        <v>4.0</v>
      </c>
      <c r="K12" s="36">
        <v>0.0</v>
      </c>
      <c r="L12" s="36">
        <v>0.0</v>
      </c>
      <c r="M12" s="36">
        <v>0.0</v>
      </c>
      <c r="N12" s="36">
        <v>0.0</v>
      </c>
      <c r="O12" s="36">
        <v>0.0</v>
      </c>
      <c r="P12" s="36">
        <v>0.0</v>
      </c>
      <c r="Q12" s="36">
        <v>0.0</v>
      </c>
      <c r="R12" s="36">
        <v>0.0</v>
      </c>
      <c r="S12" s="36">
        <v>0.0</v>
      </c>
      <c r="T12" s="36">
        <v>0.0</v>
      </c>
    </row>
    <row r="13">
      <c r="A13" s="11">
        <v>44604.0</v>
      </c>
      <c r="B13" s="36">
        <v>0.0</v>
      </c>
      <c r="C13" s="36">
        <v>0.0</v>
      </c>
      <c r="D13" s="36">
        <v>0.0</v>
      </c>
      <c r="E13" s="36">
        <v>0.0</v>
      </c>
      <c r="F13" s="36">
        <v>0.0</v>
      </c>
      <c r="G13" s="36">
        <v>96.0</v>
      </c>
      <c r="H13" s="36">
        <v>0.0</v>
      </c>
      <c r="I13" s="36">
        <v>0.0</v>
      </c>
      <c r="J13" s="36">
        <v>0.0</v>
      </c>
      <c r="K13" s="36">
        <v>0.0</v>
      </c>
      <c r="L13" s="36">
        <v>0.0</v>
      </c>
      <c r="M13" s="36">
        <v>0.0</v>
      </c>
      <c r="N13" s="36">
        <v>6.0</v>
      </c>
      <c r="O13" s="36">
        <v>6.0</v>
      </c>
      <c r="P13" s="36">
        <v>0.0</v>
      </c>
      <c r="Q13" s="36">
        <v>0.0</v>
      </c>
      <c r="R13" s="36">
        <v>5.0</v>
      </c>
      <c r="S13" s="36">
        <v>0.0</v>
      </c>
      <c r="T13" s="36">
        <v>0.0</v>
      </c>
    </row>
    <row r="14">
      <c r="A14" s="11">
        <v>44605.0</v>
      </c>
      <c r="B14" s="36">
        <v>20.0</v>
      </c>
      <c r="C14" s="36">
        <v>0.0</v>
      </c>
      <c r="D14" s="36">
        <v>45.0</v>
      </c>
      <c r="E14" s="36">
        <v>0.0</v>
      </c>
      <c r="F14" s="36">
        <v>0.0</v>
      </c>
      <c r="G14" s="36">
        <v>0.0</v>
      </c>
      <c r="H14" s="36">
        <v>2.5</v>
      </c>
      <c r="I14" s="36">
        <v>0.0</v>
      </c>
      <c r="J14" s="36">
        <v>0.0</v>
      </c>
      <c r="K14" s="36">
        <v>0.0</v>
      </c>
      <c r="L14" s="36">
        <v>0.0</v>
      </c>
      <c r="M14" s="36">
        <v>8.0</v>
      </c>
      <c r="N14" s="36">
        <v>7.0</v>
      </c>
      <c r="O14" s="36">
        <v>5.0</v>
      </c>
      <c r="P14" s="36">
        <v>0.0</v>
      </c>
      <c r="Q14" s="36">
        <v>0.0</v>
      </c>
      <c r="R14" s="36">
        <v>0.0</v>
      </c>
      <c r="S14" s="36">
        <v>0.0</v>
      </c>
      <c r="T14" s="36">
        <v>0.0</v>
      </c>
    </row>
    <row r="15">
      <c r="A15" s="11">
        <v>44606.0</v>
      </c>
      <c r="B15" s="110"/>
      <c r="C15" s="110"/>
      <c r="D15" s="110"/>
      <c r="E15" s="110"/>
      <c r="F15" s="110"/>
      <c r="G15" s="110"/>
      <c r="H15" s="110"/>
      <c r="I15" s="110"/>
      <c r="J15" s="110"/>
      <c r="K15" s="110"/>
      <c r="L15" s="110"/>
      <c r="M15" s="110"/>
      <c r="N15" s="110"/>
      <c r="O15" s="110"/>
      <c r="P15" s="110"/>
      <c r="Q15" s="110"/>
      <c r="R15" s="110"/>
      <c r="S15" s="110"/>
      <c r="T15" s="110"/>
    </row>
    <row r="16">
      <c r="A16" s="11">
        <v>44607.0</v>
      </c>
      <c r="B16" s="110"/>
      <c r="C16" s="110"/>
      <c r="D16" s="110"/>
      <c r="E16" s="110"/>
      <c r="F16" s="110"/>
      <c r="G16" s="110"/>
      <c r="H16" s="110"/>
      <c r="I16" s="110"/>
      <c r="J16" s="110"/>
      <c r="K16" s="110"/>
      <c r="L16" s="110"/>
      <c r="M16" s="110"/>
      <c r="N16" s="110"/>
      <c r="O16" s="110"/>
      <c r="P16" s="110"/>
      <c r="Q16" s="110"/>
      <c r="R16" s="110"/>
      <c r="S16" s="110"/>
      <c r="T16" s="110"/>
    </row>
    <row r="17">
      <c r="A17" s="11">
        <v>44608.0</v>
      </c>
      <c r="B17" s="110"/>
      <c r="C17" s="110"/>
      <c r="D17" s="110"/>
      <c r="E17" s="110"/>
      <c r="F17" s="110"/>
      <c r="G17" s="110"/>
      <c r="H17" s="110"/>
      <c r="I17" s="110"/>
      <c r="J17" s="110"/>
      <c r="K17" s="110"/>
      <c r="L17" s="110"/>
      <c r="M17" s="110"/>
      <c r="N17" s="110"/>
      <c r="O17" s="110"/>
      <c r="P17" s="110"/>
      <c r="Q17" s="110"/>
      <c r="R17" s="110"/>
      <c r="S17" s="110"/>
      <c r="T17" s="110"/>
    </row>
    <row r="18">
      <c r="A18" s="11">
        <v>44609.0</v>
      </c>
      <c r="B18" s="110"/>
      <c r="C18" s="110"/>
      <c r="D18" s="110"/>
      <c r="E18" s="110"/>
      <c r="F18" s="110"/>
      <c r="G18" s="110"/>
      <c r="H18" s="110"/>
      <c r="I18" s="110"/>
      <c r="J18" s="110"/>
      <c r="K18" s="110"/>
      <c r="L18" s="110"/>
      <c r="M18" s="110"/>
      <c r="N18" s="110"/>
      <c r="O18" s="110"/>
      <c r="P18" s="110"/>
      <c r="Q18" s="110"/>
      <c r="R18" s="110"/>
      <c r="S18" s="110"/>
      <c r="T18" s="110"/>
    </row>
    <row r="19">
      <c r="A19" s="20">
        <v>44610.0</v>
      </c>
      <c r="B19" s="110"/>
      <c r="C19" s="110"/>
      <c r="D19" s="110"/>
      <c r="E19" s="110"/>
      <c r="F19" s="110"/>
      <c r="G19" s="110"/>
      <c r="H19" s="110"/>
      <c r="I19" s="110"/>
      <c r="J19" s="110"/>
      <c r="K19" s="110"/>
      <c r="L19" s="110"/>
      <c r="M19" s="110"/>
      <c r="N19" s="110"/>
      <c r="O19" s="110"/>
      <c r="P19" s="110"/>
      <c r="Q19" s="110"/>
      <c r="R19" s="110"/>
      <c r="S19" s="110"/>
      <c r="T19" s="110"/>
    </row>
    <row r="20">
      <c r="A20" s="11">
        <v>44611.0</v>
      </c>
      <c r="B20" s="110"/>
      <c r="C20" s="110"/>
      <c r="D20" s="110"/>
      <c r="E20" s="110"/>
      <c r="F20" s="110"/>
      <c r="G20" s="110"/>
      <c r="H20" s="110"/>
      <c r="I20" s="110"/>
      <c r="J20" s="110"/>
      <c r="K20" s="110"/>
      <c r="L20" s="110"/>
      <c r="M20" s="110"/>
      <c r="N20" s="110"/>
      <c r="O20" s="110"/>
      <c r="P20" s="110"/>
      <c r="Q20" s="110"/>
      <c r="R20" s="110"/>
      <c r="S20" s="110"/>
      <c r="T20" s="110"/>
    </row>
    <row r="21">
      <c r="A21" s="11">
        <v>44612.0</v>
      </c>
      <c r="B21" s="110"/>
      <c r="C21" s="110"/>
      <c r="D21" s="110"/>
      <c r="E21" s="110"/>
      <c r="F21" s="110"/>
      <c r="G21" s="110"/>
      <c r="H21" s="110"/>
      <c r="I21" s="110"/>
      <c r="J21" s="110"/>
      <c r="K21" s="110"/>
      <c r="L21" s="110"/>
      <c r="M21" s="110"/>
      <c r="N21" s="110"/>
      <c r="O21" s="110"/>
      <c r="P21" s="110"/>
      <c r="Q21" s="110"/>
      <c r="R21" s="110"/>
      <c r="S21" s="110"/>
      <c r="T21" s="110"/>
    </row>
    <row r="22">
      <c r="A22" s="11">
        <v>44613.0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</row>
    <row r="23">
      <c r="A23" s="11">
        <v>44614.0</v>
      </c>
      <c r="B23" s="110"/>
      <c r="C23" s="110"/>
      <c r="D23" s="110"/>
      <c r="E23" s="110"/>
      <c r="F23" s="110"/>
      <c r="G23" s="110"/>
      <c r="H23" s="110"/>
      <c r="I23" s="110"/>
      <c r="J23" s="110"/>
      <c r="K23" s="110"/>
      <c r="L23" s="110"/>
      <c r="M23" s="110"/>
      <c r="N23" s="110"/>
      <c r="O23" s="110"/>
      <c r="P23" s="110"/>
      <c r="Q23" s="110"/>
      <c r="R23" s="110"/>
      <c r="S23" s="110"/>
      <c r="T23" s="110"/>
    </row>
    <row r="24">
      <c r="A24" s="11">
        <v>44615.0</v>
      </c>
      <c r="B24" s="110"/>
      <c r="C24" s="110"/>
      <c r="D24" s="110"/>
      <c r="E24" s="110"/>
      <c r="F24" s="110"/>
      <c r="G24" s="110"/>
      <c r="H24" s="110"/>
      <c r="I24" s="110"/>
      <c r="J24" s="110"/>
      <c r="K24" s="110"/>
      <c r="L24" s="110"/>
      <c r="M24" s="110"/>
      <c r="N24" s="110"/>
      <c r="O24" s="110"/>
      <c r="P24" s="110"/>
      <c r="Q24" s="110"/>
      <c r="R24" s="110"/>
      <c r="S24" s="110"/>
      <c r="T24" s="110"/>
    </row>
    <row r="25">
      <c r="A25" s="11">
        <v>44616.0</v>
      </c>
      <c r="B25" s="110"/>
      <c r="C25" s="110"/>
      <c r="D25" s="110"/>
      <c r="E25" s="110"/>
      <c r="F25" s="110"/>
      <c r="G25" s="110"/>
      <c r="H25" s="110"/>
      <c r="I25" s="110"/>
      <c r="J25" s="110"/>
      <c r="K25" s="110"/>
      <c r="L25" s="110"/>
      <c r="M25" s="110"/>
      <c r="N25" s="110"/>
      <c r="O25" s="110"/>
      <c r="P25" s="110"/>
      <c r="Q25" s="110"/>
      <c r="R25" s="110"/>
      <c r="S25" s="110"/>
      <c r="T25" s="110"/>
    </row>
    <row r="26">
      <c r="A26" s="20">
        <v>44617.0</v>
      </c>
      <c r="B26" s="110"/>
      <c r="C26" s="110"/>
      <c r="D26" s="110"/>
      <c r="E26" s="110"/>
      <c r="F26" s="110"/>
      <c r="G26" s="110"/>
      <c r="H26" s="110"/>
      <c r="I26" s="110"/>
      <c r="J26" s="110"/>
      <c r="K26" s="110"/>
      <c r="L26" s="110"/>
      <c r="M26" s="110"/>
      <c r="N26" s="110"/>
      <c r="O26" s="110"/>
      <c r="P26" s="110"/>
      <c r="Q26" s="110"/>
      <c r="R26" s="110"/>
      <c r="S26" s="110"/>
      <c r="T26" s="110"/>
    </row>
    <row r="27">
      <c r="A27" s="11">
        <v>44618.0</v>
      </c>
      <c r="B27" s="110"/>
      <c r="C27" s="110"/>
      <c r="D27" s="110"/>
      <c r="E27" s="110"/>
      <c r="F27" s="110"/>
      <c r="G27" s="110"/>
      <c r="H27" s="110"/>
      <c r="I27" s="110"/>
      <c r="J27" s="110"/>
      <c r="K27" s="110"/>
      <c r="L27" s="110"/>
      <c r="M27" s="110"/>
      <c r="N27" s="110"/>
      <c r="O27" s="110"/>
      <c r="P27" s="110"/>
      <c r="Q27" s="110"/>
      <c r="R27" s="110"/>
      <c r="S27" s="110"/>
      <c r="T27" s="110"/>
    </row>
    <row r="28">
      <c r="A28" s="11">
        <v>44619.0</v>
      </c>
      <c r="B28" s="110"/>
      <c r="C28" s="110"/>
      <c r="D28" s="110"/>
      <c r="E28" s="110"/>
      <c r="F28" s="110"/>
      <c r="G28" s="110"/>
      <c r="H28" s="110"/>
      <c r="I28" s="110"/>
      <c r="J28" s="110"/>
      <c r="K28" s="110"/>
      <c r="L28" s="110"/>
      <c r="M28" s="110"/>
      <c r="N28" s="110"/>
      <c r="O28" s="110"/>
      <c r="P28" s="110"/>
      <c r="Q28" s="110"/>
      <c r="R28" s="110"/>
      <c r="S28" s="110"/>
      <c r="T28" s="110"/>
    </row>
    <row r="29">
      <c r="A29" s="11">
        <v>44620.0</v>
      </c>
      <c r="B29" s="110"/>
      <c r="C29" s="110"/>
      <c r="D29" s="110"/>
      <c r="E29" s="110"/>
      <c r="F29" s="110"/>
      <c r="G29" s="110"/>
      <c r="H29" s="110"/>
      <c r="I29" s="110"/>
      <c r="J29" s="110"/>
      <c r="K29" s="110"/>
      <c r="L29" s="110"/>
      <c r="M29" s="110"/>
      <c r="N29" s="110"/>
      <c r="O29" s="110"/>
      <c r="P29" s="110"/>
      <c r="Q29" s="110"/>
      <c r="R29" s="110"/>
      <c r="S29" s="110"/>
      <c r="T29" s="110"/>
    </row>
    <row r="30">
      <c r="B30" s="110">
        <f t="shared" ref="B30:H30" si="1">SUM(B2:B29)</f>
        <v>25</v>
      </c>
      <c r="C30" s="110">
        <f t="shared" si="1"/>
        <v>25</v>
      </c>
      <c r="D30" s="110">
        <f t="shared" si="1"/>
        <v>220</v>
      </c>
      <c r="E30" s="110">
        <f t="shared" si="1"/>
        <v>0</v>
      </c>
      <c r="F30" s="110">
        <f t="shared" si="1"/>
        <v>35</v>
      </c>
      <c r="G30" s="110">
        <f t="shared" si="1"/>
        <v>557</v>
      </c>
      <c r="H30" s="110">
        <f t="shared" si="1"/>
        <v>14.5</v>
      </c>
      <c r="I30" s="36">
        <v>2.0</v>
      </c>
      <c r="J30" s="110">
        <f t="shared" ref="J30:T30" si="2">SUM(J2:J29)</f>
        <v>4</v>
      </c>
      <c r="K30" s="110">
        <f t="shared" si="2"/>
        <v>4</v>
      </c>
      <c r="L30" s="110">
        <f t="shared" si="2"/>
        <v>18</v>
      </c>
      <c r="M30" s="110">
        <f t="shared" si="2"/>
        <v>15</v>
      </c>
      <c r="N30" s="110">
        <f t="shared" si="2"/>
        <v>58</v>
      </c>
      <c r="O30" s="110">
        <f t="shared" si="2"/>
        <v>57</v>
      </c>
      <c r="P30" s="110">
        <f t="shared" si="2"/>
        <v>14</v>
      </c>
      <c r="Q30" s="110">
        <f t="shared" si="2"/>
        <v>90</v>
      </c>
      <c r="R30" s="110">
        <f t="shared" si="2"/>
        <v>5</v>
      </c>
      <c r="S30" s="110">
        <f t="shared" si="2"/>
        <v>0</v>
      </c>
      <c r="T30" s="110">
        <f t="shared" si="2"/>
        <v>0</v>
      </c>
    </row>
    <row r="31">
      <c r="B31" s="111">
        <v>70.0</v>
      </c>
      <c r="C31" s="111">
        <v>50.0</v>
      </c>
      <c r="D31" s="111">
        <v>100.0</v>
      </c>
      <c r="E31" s="111">
        <v>50.0</v>
      </c>
      <c r="F31" s="111">
        <v>70.0</v>
      </c>
      <c r="G31" s="111">
        <v>60.0</v>
      </c>
      <c r="H31" s="111">
        <v>400.0</v>
      </c>
      <c r="I31" s="111">
        <v>1100.0</v>
      </c>
      <c r="J31" s="111">
        <v>800.0</v>
      </c>
      <c r="K31" s="111">
        <v>1100.0</v>
      </c>
      <c r="L31" s="111">
        <v>250.0</v>
      </c>
      <c r="M31" s="111">
        <v>200.0</v>
      </c>
      <c r="N31" s="111">
        <v>80.0</v>
      </c>
      <c r="O31" s="111">
        <v>100.0</v>
      </c>
      <c r="P31" s="111">
        <v>150.0</v>
      </c>
      <c r="Q31" s="111">
        <v>150.0</v>
      </c>
      <c r="R31" s="111">
        <v>500.0</v>
      </c>
      <c r="S31" s="111">
        <v>500.0</v>
      </c>
      <c r="T31" s="111">
        <v>500.0</v>
      </c>
    </row>
    <row r="32">
      <c r="B32" s="37">
        <f t="shared" ref="B32:I32" si="3">B31*B30</f>
        <v>1750</v>
      </c>
      <c r="C32" s="37">
        <f t="shared" si="3"/>
        <v>1250</v>
      </c>
      <c r="D32" s="37">
        <f t="shared" si="3"/>
        <v>22000</v>
      </c>
      <c r="E32" s="37">
        <f t="shared" si="3"/>
        <v>0</v>
      </c>
      <c r="F32" s="37">
        <f t="shared" si="3"/>
        <v>2450</v>
      </c>
      <c r="G32" s="37">
        <f t="shared" si="3"/>
        <v>33420</v>
      </c>
      <c r="H32" s="37">
        <f t="shared" si="3"/>
        <v>5800</v>
      </c>
      <c r="I32" s="37">
        <f t="shared" si="3"/>
        <v>2200</v>
      </c>
      <c r="J32" s="37"/>
      <c r="K32" s="37">
        <f t="shared" ref="K32:T32" si="4">K31*K30</f>
        <v>4400</v>
      </c>
      <c r="L32" s="37">
        <f t="shared" si="4"/>
        <v>4500</v>
      </c>
      <c r="M32" s="37">
        <f t="shared" si="4"/>
        <v>3000</v>
      </c>
      <c r="N32" s="37">
        <f t="shared" si="4"/>
        <v>4640</v>
      </c>
      <c r="O32" s="37">
        <f t="shared" si="4"/>
        <v>5700</v>
      </c>
      <c r="P32" s="37">
        <f t="shared" si="4"/>
        <v>2100</v>
      </c>
      <c r="Q32" s="37">
        <f t="shared" si="4"/>
        <v>13500</v>
      </c>
      <c r="R32" s="37">
        <f t="shared" si="4"/>
        <v>2500</v>
      </c>
      <c r="S32" s="37">
        <f t="shared" si="4"/>
        <v>0</v>
      </c>
      <c r="T32" s="37">
        <f t="shared" si="4"/>
        <v>0</v>
      </c>
      <c r="U32" s="112">
        <f>SUM(B32:T32)</f>
        <v>109210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18.25"/>
    <col customWidth="1" min="3" max="3" width="18.13"/>
    <col customWidth="1" min="4" max="4" width="16.5"/>
    <col customWidth="1" min="5" max="6" width="21.0"/>
    <col customWidth="1" min="8" max="8" width="19.25"/>
  </cols>
  <sheetData>
    <row r="1">
      <c r="A1" s="2" t="s">
        <v>0</v>
      </c>
      <c r="B1" s="109" t="s">
        <v>349</v>
      </c>
      <c r="C1" s="109" t="s">
        <v>351</v>
      </c>
      <c r="D1" s="109" t="s">
        <v>368</v>
      </c>
      <c r="E1" s="109" t="s">
        <v>369</v>
      </c>
      <c r="F1" s="109" t="s">
        <v>355</v>
      </c>
      <c r="G1" s="109" t="s">
        <v>370</v>
      </c>
    </row>
    <row r="2">
      <c r="A2" s="11">
        <v>44593.0</v>
      </c>
      <c r="B2" s="36">
        <v>30.0</v>
      </c>
      <c r="C2" s="36">
        <v>14.0</v>
      </c>
      <c r="D2" s="36">
        <v>112.0</v>
      </c>
      <c r="E2" s="36">
        <v>0.0</v>
      </c>
      <c r="F2" s="36">
        <v>0.0</v>
      </c>
      <c r="G2" s="36">
        <v>0.0</v>
      </c>
    </row>
    <row r="3">
      <c r="A3" s="11">
        <v>44594.0</v>
      </c>
      <c r="B3" s="36">
        <v>30.0</v>
      </c>
      <c r="C3" s="36">
        <v>0.0</v>
      </c>
      <c r="D3" s="36">
        <v>120.0</v>
      </c>
      <c r="E3" s="36">
        <v>0.0</v>
      </c>
      <c r="F3" s="36">
        <v>0.0</v>
      </c>
      <c r="G3" s="36">
        <v>3.0</v>
      </c>
    </row>
    <row r="4">
      <c r="A4" s="11">
        <v>44595.0</v>
      </c>
      <c r="B4" s="36">
        <v>0.0</v>
      </c>
      <c r="C4" s="36">
        <v>0.0</v>
      </c>
      <c r="D4" s="36">
        <v>0.0</v>
      </c>
      <c r="E4" s="36">
        <v>0.0</v>
      </c>
      <c r="F4" s="36">
        <v>0.0</v>
      </c>
      <c r="G4" s="36">
        <v>0.0</v>
      </c>
    </row>
    <row r="5">
      <c r="A5" s="20">
        <v>44596.0</v>
      </c>
      <c r="B5" s="36">
        <v>0.0</v>
      </c>
      <c r="C5" s="36">
        <v>0.0</v>
      </c>
      <c r="D5" s="36">
        <v>0.0</v>
      </c>
      <c r="E5" s="36">
        <v>0.0</v>
      </c>
      <c r="F5" s="36">
        <v>0.0</v>
      </c>
      <c r="G5" s="36">
        <v>0.0</v>
      </c>
    </row>
    <row r="6">
      <c r="A6" s="11">
        <v>44597.0</v>
      </c>
      <c r="B6" s="36">
        <v>10.0</v>
      </c>
      <c r="C6" s="36">
        <v>10.0</v>
      </c>
      <c r="D6" s="36">
        <v>84.0</v>
      </c>
      <c r="E6" s="36">
        <v>20.0</v>
      </c>
      <c r="F6" s="36">
        <v>2.0</v>
      </c>
      <c r="G6" s="36">
        <v>3.0</v>
      </c>
    </row>
    <row r="7">
      <c r="A7" s="11">
        <v>44598.0</v>
      </c>
      <c r="B7" s="36">
        <v>0.0</v>
      </c>
      <c r="C7" s="36">
        <v>0.0</v>
      </c>
      <c r="D7" s="36">
        <v>0.0</v>
      </c>
      <c r="E7" s="36">
        <v>0.0</v>
      </c>
      <c r="F7" s="36">
        <v>0.0</v>
      </c>
      <c r="G7" s="36">
        <v>0.0</v>
      </c>
    </row>
    <row r="8">
      <c r="A8" s="11">
        <v>44599.0</v>
      </c>
      <c r="B8" s="36">
        <v>25.0</v>
      </c>
      <c r="C8" s="36">
        <v>20.0</v>
      </c>
      <c r="D8" s="36">
        <v>44.0</v>
      </c>
      <c r="E8" s="36">
        <v>12.0</v>
      </c>
      <c r="F8" s="36">
        <v>0.5</v>
      </c>
      <c r="G8" s="36">
        <v>4.0</v>
      </c>
    </row>
    <row r="9">
      <c r="A9" s="11">
        <v>44600.0</v>
      </c>
      <c r="B9" s="36">
        <v>0.0</v>
      </c>
      <c r="C9" s="36">
        <v>0.0</v>
      </c>
      <c r="D9" s="36">
        <v>0.0</v>
      </c>
      <c r="E9" s="36">
        <v>0.0</v>
      </c>
      <c r="F9" s="36">
        <v>0.0</v>
      </c>
      <c r="G9" s="36">
        <v>0.0</v>
      </c>
    </row>
    <row r="10">
      <c r="A10" s="11">
        <v>44601.0</v>
      </c>
      <c r="B10" s="36">
        <v>55.0</v>
      </c>
      <c r="C10" s="36">
        <v>0.0</v>
      </c>
      <c r="D10" s="36">
        <v>98.0</v>
      </c>
      <c r="E10" s="36">
        <v>20.0</v>
      </c>
      <c r="F10" s="36">
        <v>0.0</v>
      </c>
      <c r="G10" s="36">
        <v>3.0</v>
      </c>
    </row>
    <row r="11">
      <c r="A11" s="11">
        <v>44602.0</v>
      </c>
      <c r="B11" s="36">
        <v>0.0</v>
      </c>
      <c r="C11" s="36">
        <v>0.0</v>
      </c>
      <c r="D11" s="36">
        <v>88.0</v>
      </c>
      <c r="E11" s="36">
        <v>20.0</v>
      </c>
      <c r="F11" s="36">
        <v>0.0</v>
      </c>
      <c r="G11" s="36">
        <v>4.0</v>
      </c>
    </row>
    <row r="12">
      <c r="A12" s="20">
        <v>44603.0</v>
      </c>
      <c r="B12" s="36">
        <v>0.0</v>
      </c>
      <c r="C12" s="36">
        <v>0.0</v>
      </c>
      <c r="D12" s="36">
        <v>80.0</v>
      </c>
      <c r="E12" s="36">
        <v>15.0</v>
      </c>
      <c r="F12" s="36">
        <v>0.0</v>
      </c>
      <c r="G12" s="36">
        <v>4.0</v>
      </c>
    </row>
    <row r="13">
      <c r="A13" s="11">
        <v>44604.0</v>
      </c>
      <c r="B13" s="36">
        <v>0.0</v>
      </c>
      <c r="C13" s="36">
        <v>0.0</v>
      </c>
      <c r="D13" s="36">
        <v>101.0</v>
      </c>
      <c r="E13" s="36">
        <v>0.0</v>
      </c>
      <c r="F13" s="36">
        <v>0.0</v>
      </c>
      <c r="G13" s="36">
        <v>4.0</v>
      </c>
    </row>
    <row r="14">
      <c r="A14" s="11">
        <v>44605.0</v>
      </c>
      <c r="B14" s="36">
        <v>0.0</v>
      </c>
      <c r="C14" s="36">
        <v>0.0</v>
      </c>
      <c r="D14" s="36">
        <v>0.0</v>
      </c>
      <c r="E14" s="36">
        <v>0.0</v>
      </c>
      <c r="F14" s="36">
        <v>0.0</v>
      </c>
      <c r="G14" s="36">
        <v>0.0</v>
      </c>
    </row>
    <row r="15">
      <c r="A15" s="11">
        <v>44606.0</v>
      </c>
      <c r="B15" s="110"/>
      <c r="C15" s="110"/>
      <c r="D15" s="110"/>
      <c r="E15" s="110"/>
      <c r="F15" s="110"/>
      <c r="G15" s="110"/>
    </row>
    <row r="16">
      <c r="A16" s="11">
        <v>44607.0</v>
      </c>
      <c r="B16" s="110"/>
      <c r="C16" s="110"/>
      <c r="D16" s="110"/>
      <c r="E16" s="110"/>
      <c r="F16" s="110"/>
      <c r="G16" s="110"/>
    </row>
    <row r="17">
      <c r="A17" s="11">
        <v>44608.0</v>
      </c>
      <c r="B17" s="110"/>
      <c r="C17" s="110"/>
      <c r="D17" s="110"/>
      <c r="E17" s="110"/>
      <c r="F17" s="110"/>
      <c r="G17" s="110"/>
    </row>
    <row r="18">
      <c r="A18" s="11">
        <v>44609.0</v>
      </c>
      <c r="B18" s="110"/>
      <c r="C18" s="110"/>
      <c r="D18" s="110"/>
      <c r="E18" s="110"/>
      <c r="F18" s="110"/>
      <c r="G18" s="110"/>
    </row>
    <row r="19">
      <c r="A19" s="20">
        <v>44610.0</v>
      </c>
      <c r="B19" s="110"/>
      <c r="C19" s="110"/>
      <c r="D19" s="110"/>
      <c r="E19" s="110"/>
      <c r="F19" s="110"/>
      <c r="G19" s="110"/>
    </row>
    <row r="20">
      <c r="A20" s="11">
        <v>44611.0</v>
      </c>
      <c r="B20" s="110"/>
      <c r="C20" s="110"/>
      <c r="D20" s="110"/>
      <c r="E20" s="110"/>
      <c r="F20" s="110"/>
      <c r="G20" s="110"/>
    </row>
    <row r="21">
      <c r="A21" s="11">
        <v>44612.0</v>
      </c>
      <c r="B21" s="110"/>
      <c r="C21" s="110"/>
      <c r="D21" s="110"/>
      <c r="E21" s="110"/>
      <c r="F21" s="110"/>
      <c r="G21" s="110"/>
    </row>
    <row r="22">
      <c r="A22" s="11">
        <v>44613.0</v>
      </c>
      <c r="B22" s="110"/>
      <c r="C22" s="110"/>
      <c r="D22" s="110"/>
      <c r="E22" s="110"/>
      <c r="F22" s="110"/>
      <c r="G22" s="110"/>
    </row>
    <row r="23">
      <c r="A23" s="11">
        <v>44614.0</v>
      </c>
      <c r="B23" s="110"/>
      <c r="C23" s="110"/>
      <c r="D23" s="110"/>
      <c r="E23" s="110"/>
      <c r="F23" s="110"/>
      <c r="G23" s="110"/>
    </row>
    <row r="24">
      <c r="A24" s="11">
        <v>44615.0</v>
      </c>
      <c r="B24" s="110"/>
      <c r="C24" s="110"/>
      <c r="D24" s="110"/>
      <c r="E24" s="110"/>
      <c r="F24" s="110"/>
      <c r="G24" s="110"/>
    </row>
    <row r="25">
      <c r="A25" s="11">
        <v>44616.0</v>
      </c>
      <c r="B25" s="110"/>
      <c r="C25" s="110"/>
      <c r="D25" s="110"/>
      <c r="E25" s="110"/>
      <c r="F25" s="110"/>
      <c r="G25" s="110"/>
    </row>
    <row r="26">
      <c r="A26" s="20">
        <v>44617.0</v>
      </c>
      <c r="B26" s="110"/>
      <c r="C26" s="110"/>
      <c r="D26" s="110"/>
      <c r="E26" s="110"/>
      <c r="F26" s="110"/>
      <c r="G26" s="110"/>
    </row>
    <row r="27">
      <c r="A27" s="11">
        <v>44618.0</v>
      </c>
      <c r="B27" s="110"/>
      <c r="C27" s="110"/>
      <c r="D27" s="110"/>
      <c r="E27" s="110"/>
      <c r="F27" s="110"/>
      <c r="G27" s="110"/>
    </row>
    <row r="28">
      <c r="A28" s="11">
        <v>44619.0</v>
      </c>
      <c r="B28" s="110"/>
      <c r="C28" s="110"/>
      <c r="D28" s="110"/>
      <c r="E28" s="110"/>
      <c r="F28" s="110"/>
      <c r="G28" s="110"/>
    </row>
    <row r="29">
      <c r="A29" s="11">
        <v>44620.0</v>
      </c>
      <c r="B29" s="110"/>
      <c r="C29" s="110"/>
      <c r="D29" s="110"/>
      <c r="E29" s="110"/>
      <c r="F29" s="110"/>
      <c r="G29" s="110"/>
    </row>
    <row r="30">
      <c r="A30" s="113" t="s">
        <v>371</v>
      </c>
      <c r="B30" s="114">
        <f t="shared" ref="B30:G30" si="1">SUM(B2:B29)</f>
        <v>150</v>
      </c>
      <c r="C30" s="114">
        <f t="shared" si="1"/>
        <v>44</v>
      </c>
      <c r="D30" s="114">
        <f t="shared" si="1"/>
        <v>727</v>
      </c>
      <c r="E30" s="114">
        <f t="shared" si="1"/>
        <v>87</v>
      </c>
      <c r="F30" s="114">
        <f t="shared" si="1"/>
        <v>2.5</v>
      </c>
      <c r="G30" s="110">
        <f t="shared" si="1"/>
        <v>25</v>
      </c>
    </row>
    <row r="31">
      <c r="B31" s="111">
        <v>70.0</v>
      </c>
      <c r="C31" s="111">
        <v>100.0</v>
      </c>
      <c r="D31" s="111">
        <v>50.0</v>
      </c>
      <c r="E31" s="111">
        <v>40.0</v>
      </c>
      <c r="F31" s="111">
        <v>400.0</v>
      </c>
      <c r="G31" s="37"/>
    </row>
    <row r="32">
      <c r="B32" s="37">
        <f t="shared" ref="B32:F32" si="2">B30*B31</f>
        <v>10500</v>
      </c>
      <c r="C32" s="37">
        <f t="shared" si="2"/>
        <v>4400</v>
      </c>
      <c r="D32" s="37">
        <f t="shared" si="2"/>
        <v>36350</v>
      </c>
      <c r="E32" s="37">
        <f t="shared" si="2"/>
        <v>3480</v>
      </c>
      <c r="F32" s="37">
        <f t="shared" si="2"/>
        <v>1000</v>
      </c>
      <c r="G32" s="37"/>
      <c r="H32" s="115">
        <f>SUM(B32:G32)</f>
        <v>55730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0"/>
    <col customWidth="1" min="2" max="2" width="20.63"/>
    <col customWidth="1" min="3" max="4" width="19.13"/>
    <col customWidth="1" min="5" max="7" width="17.63"/>
    <col customWidth="1" min="8" max="8" width="20.38"/>
    <col customWidth="1" min="9" max="10" width="16.38"/>
    <col customWidth="1" min="11" max="11" width="20.25"/>
  </cols>
  <sheetData>
    <row r="1">
      <c r="A1" s="2" t="s">
        <v>0</v>
      </c>
      <c r="B1" s="109" t="s">
        <v>349</v>
      </c>
      <c r="C1" s="109" t="s">
        <v>372</v>
      </c>
      <c r="D1" s="109" t="s">
        <v>351</v>
      </c>
      <c r="E1" s="109" t="s">
        <v>373</v>
      </c>
      <c r="F1" s="109" t="s">
        <v>374</v>
      </c>
      <c r="G1" s="109" t="s">
        <v>354</v>
      </c>
      <c r="H1" s="109" t="s">
        <v>355</v>
      </c>
      <c r="I1" s="109" t="s">
        <v>375</v>
      </c>
      <c r="J1" s="109" t="s">
        <v>376</v>
      </c>
    </row>
    <row r="2">
      <c r="A2" s="11">
        <v>44593.0</v>
      </c>
      <c r="B2" s="36">
        <v>0.0</v>
      </c>
      <c r="C2" s="36">
        <v>0.0</v>
      </c>
      <c r="D2" s="36">
        <v>0.0</v>
      </c>
      <c r="E2" s="36">
        <v>0.0</v>
      </c>
      <c r="F2" s="36">
        <v>0.0</v>
      </c>
      <c r="G2" s="36">
        <v>0.0</v>
      </c>
      <c r="H2" s="36">
        <v>0.0</v>
      </c>
      <c r="I2" s="36">
        <v>0.0</v>
      </c>
      <c r="J2" s="36">
        <v>0.0</v>
      </c>
    </row>
    <row r="3">
      <c r="A3" s="11">
        <v>44594.0</v>
      </c>
      <c r="B3" s="36">
        <v>0.0</v>
      </c>
      <c r="C3" s="36">
        <v>0.0</v>
      </c>
      <c r="D3" s="36">
        <v>0.0</v>
      </c>
      <c r="E3" s="36">
        <v>0.0</v>
      </c>
      <c r="F3" s="36">
        <v>0.0</v>
      </c>
      <c r="G3" s="36">
        <v>0.0</v>
      </c>
      <c r="H3" s="36">
        <v>0.0</v>
      </c>
      <c r="I3" s="36">
        <v>0.0</v>
      </c>
      <c r="J3" s="36">
        <v>0.0</v>
      </c>
    </row>
    <row r="4">
      <c r="A4" s="11">
        <v>44595.0</v>
      </c>
      <c r="B4" s="36">
        <v>4.0</v>
      </c>
      <c r="C4" s="36">
        <v>0.0</v>
      </c>
      <c r="D4" s="36">
        <v>75.0</v>
      </c>
      <c r="E4" s="36">
        <v>0.0</v>
      </c>
      <c r="F4" s="36">
        <v>120.0</v>
      </c>
      <c r="G4" s="36">
        <v>45.0</v>
      </c>
      <c r="H4" s="36">
        <v>25.0</v>
      </c>
      <c r="I4" s="36">
        <v>25.0</v>
      </c>
      <c r="J4" s="36">
        <v>90.0</v>
      </c>
    </row>
    <row r="5">
      <c r="A5" s="20">
        <v>44596.0</v>
      </c>
      <c r="B5" s="36">
        <v>0.0</v>
      </c>
      <c r="C5" s="36">
        <v>0.0</v>
      </c>
      <c r="D5" s="36">
        <v>0.0</v>
      </c>
      <c r="E5" s="36">
        <v>0.0</v>
      </c>
      <c r="F5" s="36">
        <v>0.0</v>
      </c>
      <c r="G5" s="36">
        <v>0.0</v>
      </c>
      <c r="H5" s="36">
        <v>0.0</v>
      </c>
      <c r="I5" s="36">
        <v>0.0</v>
      </c>
      <c r="J5" s="36">
        <v>0.0</v>
      </c>
    </row>
    <row r="6">
      <c r="A6" s="11">
        <v>44597.0</v>
      </c>
      <c r="B6" s="36">
        <v>0.0</v>
      </c>
      <c r="C6" s="36">
        <v>0.0</v>
      </c>
      <c r="D6" s="36">
        <v>0.0</v>
      </c>
      <c r="E6" s="36">
        <v>0.0</v>
      </c>
      <c r="F6" s="36">
        <v>0.0</v>
      </c>
      <c r="G6" s="36">
        <v>0.0</v>
      </c>
      <c r="H6" s="36">
        <v>0.0</v>
      </c>
      <c r="I6" s="36">
        <v>0.0</v>
      </c>
      <c r="J6" s="36">
        <v>0.0</v>
      </c>
    </row>
    <row r="7">
      <c r="A7" s="11">
        <v>44598.0</v>
      </c>
      <c r="B7" s="36">
        <v>20.0</v>
      </c>
      <c r="C7" s="36">
        <v>0.0</v>
      </c>
      <c r="D7" s="36">
        <v>90.0</v>
      </c>
      <c r="E7" s="36">
        <v>0.0</v>
      </c>
      <c r="F7" s="36">
        <v>0.0</v>
      </c>
      <c r="G7" s="36">
        <v>0.0</v>
      </c>
      <c r="H7" s="36">
        <v>3.0</v>
      </c>
      <c r="I7" s="36">
        <v>157.0</v>
      </c>
      <c r="J7" s="36">
        <v>0.0</v>
      </c>
    </row>
    <row r="8">
      <c r="A8" s="11">
        <v>44599.0</v>
      </c>
      <c r="B8" s="36">
        <v>0.0</v>
      </c>
      <c r="C8" s="36">
        <v>0.0</v>
      </c>
      <c r="D8" s="36">
        <v>0.0</v>
      </c>
      <c r="E8" s="36">
        <v>0.0</v>
      </c>
      <c r="F8" s="36">
        <v>0.0</v>
      </c>
      <c r="G8" s="36">
        <v>0.0</v>
      </c>
      <c r="H8" s="36">
        <v>0.0</v>
      </c>
      <c r="I8" s="36">
        <v>0.0</v>
      </c>
      <c r="J8" s="36">
        <v>0.0</v>
      </c>
    </row>
    <row r="9">
      <c r="A9" s="11">
        <v>44600.0</v>
      </c>
      <c r="B9" s="36">
        <v>0.0</v>
      </c>
      <c r="C9" s="36">
        <v>20.0</v>
      </c>
      <c r="D9" s="36">
        <v>95.0</v>
      </c>
      <c r="E9" s="36">
        <v>0.0</v>
      </c>
      <c r="F9" s="36">
        <v>0.0</v>
      </c>
      <c r="G9" s="36">
        <v>0.0</v>
      </c>
      <c r="H9" s="36">
        <v>3.5</v>
      </c>
      <c r="I9" s="36">
        <v>94.0</v>
      </c>
      <c r="J9" s="36">
        <v>0.0</v>
      </c>
    </row>
    <row r="10">
      <c r="A10" s="11">
        <v>44601.0</v>
      </c>
      <c r="B10" s="36">
        <v>0.0</v>
      </c>
      <c r="C10" s="36">
        <v>0.0</v>
      </c>
      <c r="D10" s="36">
        <v>0.0</v>
      </c>
      <c r="E10" s="36">
        <v>0.0</v>
      </c>
      <c r="F10" s="36">
        <v>0.0</v>
      </c>
      <c r="G10" s="36">
        <v>0.0</v>
      </c>
      <c r="H10" s="36">
        <v>0.0</v>
      </c>
      <c r="I10" s="36">
        <v>0.0</v>
      </c>
      <c r="J10" s="36">
        <v>0.0</v>
      </c>
    </row>
    <row r="11">
      <c r="A11" s="11">
        <v>44602.0</v>
      </c>
      <c r="B11" s="110"/>
      <c r="C11" s="110"/>
      <c r="D11" s="110"/>
      <c r="E11" s="36">
        <v>0.0</v>
      </c>
      <c r="F11" s="110"/>
      <c r="G11" s="110"/>
      <c r="H11" s="110"/>
      <c r="I11" s="110"/>
      <c r="J11" s="110"/>
    </row>
    <row r="12">
      <c r="A12" s="20">
        <v>44603.0</v>
      </c>
      <c r="B12" s="36">
        <v>0.0</v>
      </c>
      <c r="C12" s="36">
        <v>150.0</v>
      </c>
      <c r="D12" s="36">
        <v>22.0</v>
      </c>
      <c r="E12" s="36">
        <v>15.0</v>
      </c>
      <c r="F12" s="36">
        <v>0.0</v>
      </c>
      <c r="G12" s="36">
        <v>0.0</v>
      </c>
      <c r="H12" s="36">
        <v>8.5</v>
      </c>
      <c r="I12" s="36">
        <v>60.0</v>
      </c>
      <c r="J12" s="36">
        <v>198.0</v>
      </c>
    </row>
    <row r="13">
      <c r="A13" s="11">
        <v>44604.0</v>
      </c>
      <c r="B13" s="36">
        <v>5.0</v>
      </c>
      <c r="C13" s="36">
        <v>0.0</v>
      </c>
      <c r="D13" s="36">
        <v>47.0</v>
      </c>
      <c r="E13" s="36">
        <v>0.0</v>
      </c>
      <c r="F13" s="36">
        <v>0.0</v>
      </c>
      <c r="G13" s="36">
        <v>0.0</v>
      </c>
      <c r="H13" s="36">
        <v>12.0</v>
      </c>
      <c r="I13" s="36">
        <v>0.0</v>
      </c>
      <c r="J13" s="36">
        <v>128.0</v>
      </c>
    </row>
    <row r="14">
      <c r="A14" s="11">
        <v>44605.0</v>
      </c>
      <c r="B14" s="36">
        <v>45.0</v>
      </c>
      <c r="C14" s="36">
        <v>0.0</v>
      </c>
      <c r="D14" s="36">
        <v>104.0</v>
      </c>
      <c r="E14" s="36">
        <v>0.0</v>
      </c>
      <c r="F14" s="36">
        <v>0.0</v>
      </c>
      <c r="G14" s="36">
        <v>0.0</v>
      </c>
      <c r="H14" s="36">
        <v>2.5</v>
      </c>
      <c r="I14" s="36">
        <v>0.0</v>
      </c>
      <c r="J14" s="36">
        <v>0.0</v>
      </c>
      <c r="K14" s="103" t="s">
        <v>377</v>
      </c>
    </row>
    <row r="15">
      <c r="A15" s="11">
        <v>44606.0</v>
      </c>
      <c r="B15" s="110"/>
      <c r="C15" s="110"/>
      <c r="D15" s="110"/>
      <c r="E15" s="110"/>
      <c r="F15" s="110"/>
      <c r="G15" s="110"/>
      <c r="H15" s="110"/>
      <c r="I15" s="110"/>
      <c r="J15" s="110"/>
    </row>
    <row r="16">
      <c r="A16" s="11">
        <v>44607.0</v>
      </c>
      <c r="B16" s="110"/>
      <c r="C16" s="110"/>
      <c r="D16" s="110"/>
      <c r="E16" s="110"/>
      <c r="F16" s="110"/>
      <c r="G16" s="110"/>
      <c r="H16" s="110"/>
      <c r="I16" s="110"/>
      <c r="J16" s="110"/>
    </row>
    <row r="17">
      <c r="A17" s="11">
        <v>44608.0</v>
      </c>
      <c r="B17" s="110"/>
      <c r="C17" s="110"/>
      <c r="D17" s="110"/>
      <c r="E17" s="110"/>
      <c r="F17" s="110"/>
      <c r="G17" s="110"/>
      <c r="H17" s="110"/>
      <c r="I17" s="110"/>
      <c r="J17" s="110"/>
    </row>
    <row r="18">
      <c r="A18" s="11">
        <v>44609.0</v>
      </c>
      <c r="B18" s="110"/>
      <c r="C18" s="110"/>
      <c r="D18" s="110"/>
      <c r="E18" s="110"/>
      <c r="F18" s="110"/>
      <c r="G18" s="110"/>
      <c r="H18" s="110"/>
      <c r="I18" s="110"/>
      <c r="J18" s="110"/>
    </row>
    <row r="19">
      <c r="A19" s="20">
        <v>44610.0</v>
      </c>
      <c r="B19" s="110"/>
      <c r="C19" s="110"/>
      <c r="D19" s="110"/>
      <c r="E19" s="110"/>
      <c r="F19" s="110"/>
      <c r="G19" s="110"/>
      <c r="H19" s="110"/>
      <c r="I19" s="110"/>
      <c r="J19" s="110"/>
    </row>
    <row r="20">
      <c r="A20" s="11">
        <v>44611.0</v>
      </c>
      <c r="B20" s="110"/>
      <c r="C20" s="110"/>
      <c r="D20" s="110"/>
      <c r="E20" s="110"/>
      <c r="F20" s="110"/>
      <c r="G20" s="110"/>
      <c r="H20" s="110"/>
      <c r="I20" s="110"/>
      <c r="J20" s="110"/>
    </row>
    <row r="21">
      <c r="A21" s="11">
        <v>44612.0</v>
      </c>
      <c r="B21" s="110"/>
      <c r="C21" s="110"/>
      <c r="D21" s="110"/>
      <c r="E21" s="110"/>
      <c r="F21" s="110"/>
      <c r="G21" s="110"/>
      <c r="H21" s="110"/>
      <c r="I21" s="110"/>
      <c r="J21" s="110"/>
    </row>
    <row r="22">
      <c r="A22" s="11">
        <v>44613.0</v>
      </c>
      <c r="B22" s="110"/>
      <c r="C22" s="110"/>
      <c r="D22" s="110"/>
      <c r="E22" s="110"/>
      <c r="F22" s="110"/>
      <c r="G22" s="110"/>
      <c r="H22" s="110"/>
      <c r="I22" s="110"/>
      <c r="J22" s="110"/>
    </row>
    <row r="23">
      <c r="A23" s="11">
        <v>44614.0</v>
      </c>
      <c r="B23" s="110"/>
      <c r="C23" s="110"/>
      <c r="D23" s="110"/>
      <c r="E23" s="110"/>
      <c r="F23" s="110"/>
      <c r="G23" s="110"/>
      <c r="H23" s="110"/>
      <c r="I23" s="110"/>
      <c r="J23" s="110"/>
    </row>
    <row r="24">
      <c r="A24" s="11">
        <v>44615.0</v>
      </c>
      <c r="B24" s="110"/>
      <c r="C24" s="110"/>
      <c r="D24" s="110"/>
      <c r="E24" s="110"/>
      <c r="F24" s="110"/>
      <c r="G24" s="110"/>
      <c r="H24" s="110"/>
      <c r="I24" s="110"/>
      <c r="J24" s="110"/>
    </row>
    <row r="25">
      <c r="A25" s="11">
        <v>44616.0</v>
      </c>
      <c r="B25" s="110"/>
      <c r="C25" s="110"/>
      <c r="D25" s="110"/>
      <c r="E25" s="110"/>
      <c r="F25" s="110"/>
      <c r="G25" s="110"/>
      <c r="H25" s="110"/>
      <c r="I25" s="110"/>
      <c r="J25" s="110"/>
    </row>
    <row r="26">
      <c r="A26" s="20">
        <v>44617.0</v>
      </c>
      <c r="B26" s="110"/>
      <c r="C26" s="110"/>
      <c r="D26" s="110"/>
      <c r="E26" s="110"/>
      <c r="F26" s="110"/>
      <c r="G26" s="110"/>
      <c r="H26" s="110"/>
      <c r="I26" s="110"/>
      <c r="J26" s="110"/>
    </row>
    <row r="27">
      <c r="A27" s="11">
        <v>44618.0</v>
      </c>
      <c r="B27" s="110"/>
      <c r="C27" s="110"/>
      <c r="D27" s="110"/>
      <c r="E27" s="110"/>
      <c r="F27" s="110"/>
      <c r="G27" s="110"/>
      <c r="H27" s="110"/>
      <c r="I27" s="110"/>
      <c r="J27" s="110"/>
    </row>
    <row r="28">
      <c r="A28" s="11">
        <v>44619.0</v>
      </c>
      <c r="B28" s="110"/>
      <c r="C28" s="110"/>
      <c r="D28" s="110"/>
      <c r="E28" s="110"/>
      <c r="F28" s="110"/>
      <c r="G28" s="110"/>
      <c r="H28" s="110"/>
      <c r="I28" s="110"/>
      <c r="J28" s="110"/>
    </row>
    <row r="29">
      <c r="A29" s="11">
        <v>44620.0</v>
      </c>
      <c r="B29" s="110"/>
      <c r="C29" s="110"/>
      <c r="D29" s="110"/>
      <c r="E29" s="110"/>
      <c r="F29" s="110"/>
      <c r="G29" s="110"/>
      <c r="H29" s="110"/>
      <c r="I29" s="110"/>
      <c r="J29" s="110"/>
    </row>
    <row r="30">
      <c r="B30" s="114">
        <f t="shared" ref="B30:D30" si="1">SUM(B2:B29)</f>
        <v>74</v>
      </c>
      <c r="C30" s="114">
        <f t="shared" si="1"/>
        <v>170</v>
      </c>
      <c r="D30" s="114">
        <f t="shared" si="1"/>
        <v>433</v>
      </c>
      <c r="E30" s="114"/>
      <c r="F30" s="114">
        <f t="shared" ref="F30:J30" si="2">SUM(F2:F29)</f>
        <v>120</v>
      </c>
      <c r="G30" s="114">
        <f t="shared" si="2"/>
        <v>45</v>
      </c>
      <c r="H30" s="114">
        <f t="shared" si="2"/>
        <v>54.5</v>
      </c>
      <c r="I30" s="110">
        <f t="shared" si="2"/>
        <v>336</v>
      </c>
      <c r="J30" s="110">
        <f t="shared" si="2"/>
        <v>416</v>
      </c>
    </row>
    <row r="31">
      <c r="B31" s="111">
        <v>70.0</v>
      </c>
      <c r="C31" s="111">
        <v>50.0</v>
      </c>
      <c r="D31" s="111">
        <v>100.0</v>
      </c>
      <c r="E31" s="111"/>
      <c r="F31" s="111">
        <v>30.0</v>
      </c>
      <c r="G31" s="111">
        <v>60.0</v>
      </c>
      <c r="H31" s="111">
        <v>400.0</v>
      </c>
      <c r="I31" s="37"/>
      <c r="J31" s="37"/>
    </row>
    <row r="32">
      <c r="B32" s="37">
        <f>B31*B29</f>
        <v>0</v>
      </c>
      <c r="C32" s="37">
        <f t="shared" ref="C32:D32" si="3">C31*C30</f>
        <v>8500</v>
      </c>
      <c r="D32" s="37">
        <f t="shared" si="3"/>
        <v>43300</v>
      </c>
      <c r="E32" s="37"/>
      <c r="F32" s="37">
        <f t="shared" ref="F32:H32" si="4">F31*F30</f>
        <v>3600</v>
      </c>
      <c r="G32" s="37">
        <f t="shared" si="4"/>
        <v>2700</v>
      </c>
      <c r="H32" s="37">
        <f t="shared" si="4"/>
        <v>21800</v>
      </c>
      <c r="I32" s="37"/>
      <c r="J32" s="37"/>
      <c r="K32" s="112">
        <f>SUM(B32:J32)</f>
        <v>79900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88"/>
    <col customWidth="1" min="2" max="2" width="20.25"/>
    <col customWidth="1" min="3" max="3" width="19.5"/>
    <col customWidth="1" min="4" max="4" width="17.75"/>
    <col customWidth="1" min="5" max="7" width="20.25"/>
    <col customWidth="1" min="8" max="9" width="16.5"/>
    <col customWidth="1" min="10" max="10" width="21.63"/>
    <col customWidth="1" min="11" max="11" width="24.13"/>
    <col customWidth="1" min="12" max="12" width="26.0"/>
    <col customWidth="1" min="13" max="13" width="26.5"/>
    <col customWidth="1" min="14" max="14" width="26.88"/>
    <col customWidth="1" min="16" max="16" width="18.25"/>
  </cols>
  <sheetData>
    <row r="1">
      <c r="A1" s="2" t="s">
        <v>0</v>
      </c>
      <c r="B1" s="109" t="s">
        <v>349</v>
      </c>
      <c r="C1" s="109" t="s">
        <v>351</v>
      </c>
      <c r="D1" s="109" t="s">
        <v>368</v>
      </c>
      <c r="E1" s="109" t="s">
        <v>378</v>
      </c>
      <c r="F1" s="109" t="s">
        <v>379</v>
      </c>
      <c r="G1" s="109" t="s">
        <v>355</v>
      </c>
      <c r="H1" s="109" t="s">
        <v>380</v>
      </c>
      <c r="I1" s="109" t="s">
        <v>370</v>
      </c>
      <c r="J1" s="109" t="s">
        <v>381</v>
      </c>
      <c r="K1" s="109" t="s">
        <v>382</v>
      </c>
      <c r="L1" s="109" t="s">
        <v>383</v>
      </c>
      <c r="M1" s="109" t="s">
        <v>360</v>
      </c>
      <c r="N1" s="109" t="s">
        <v>384</v>
      </c>
      <c r="O1" s="109" t="s">
        <v>367</v>
      </c>
    </row>
    <row r="2">
      <c r="A2" s="11">
        <v>44593.0</v>
      </c>
      <c r="B2" s="36">
        <v>10.0</v>
      </c>
      <c r="C2" s="36">
        <v>10.0</v>
      </c>
      <c r="D2" s="36">
        <v>0.0</v>
      </c>
      <c r="E2" s="36">
        <v>0.0</v>
      </c>
      <c r="F2" s="36">
        <v>0.0</v>
      </c>
      <c r="G2" s="36">
        <v>5.0</v>
      </c>
      <c r="H2" s="36">
        <v>0.0</v>
      </c>
      <c r="I2" s="36">
        <v>3.0</v>
      </c>
      <c r="J2" s="36">
        <v>0.0</v>
      </c>
      <c r="K2" s="36">
        <v>0.0</v>
      </c>
      <c r="L2" s="36">
        <v>0.0</v>
      </c>
      <c r="M2" s="36">
        <v>0.0</v>
      </c>
      <c r="N2" s="36">
        <v>0.0</v>
      </c>
      <c r="O2" s="36">
        <v>0.0</v>
      </c>
    </row>
    <row r="3">
      <c r="A3" s="11">
        <v>44594.0</v>
      </c>
      <c r="B3" s="36">
        <v>0.0</v>
      </c>
      <c r="C3" s="36">
        <v>0.0</v>
      </c>
      <c r="D3" s="36">
        <v>0.0</v>
      </c>
      <c r="E3" s="36">
        <v>0.0</v>
      </c>
      <c r="F3" s="36">
        <v>0.0</v>
      </c>
      <c r="G3" s="36">
        <v>0.0</v>
      </c>
      <c r="H3" s="36">
        <v>0.0</v>
      </c>
      <c r="I3" s="36">
        <v>0.0</v>
      </c>
      <c r="J3" s="36">
        <v>0.0</v>
      </c>
      <c r="K3" s="36">
        <v>0.0</v>
      </c>
      <c r="L3" s="36">
        <v>0.0</v>
      </c>
      <c r="M3" s="36">
        <v>0.0</v>
      </c>
      <c r="N3" s="36">
        <v>0.0</v>
      </c>
      <c r="O3" s="36">
        <v>0.0</v>
      </c>
    </row>
    <row r="4">
      <c r="A4" s="11">
        <v>44595.0</v>
      </c>
      <c r="B4" s="36">
        <v>20.0</v>
      </c>
      <c r="C4" s="36">
        <v>0.0</v>
      </c>
      <c r="D4" s="36">
        <v>80.0</v>
      </c>
      <c r="E4" s="36">
        <v>0.0</v>
      </c>
      <c r="F4" s="36">
        <v>3.0</v>
      </c>
      <c r="G4" s="36">
        <v>5.0</v>
      </c>
      <c r="H4" s="36">
        <v>0.0</v>
      </c>
      <c r="I4" s="36">
        <v>5.0</v>
      </c>
      <c r="J4" s="36">
        <v>5.0</v>
      </c>
      <c r="K4" s="36">
        <v>4.0</v>
      </c>
      <c r="L4" s="36">
        <v>0.0</v>
      </c>
      <c r="M4" s="36">
        <v>0.0</v>
      </c>
      <c r="N4" s="36">
        <v>0.0</v>
      </c>
      <c r="O4" s="36">
        <v>0.0</v>
      </c>
    </row>
    <row r="5">
      <c r="A5" s="20">
        <v>44596.0</v>
      </c>
      <c r="B5" s="36">
        <v>0.0</v>
      </c>
      <c r="C5" s="36">
        <v>0.0</v>
      </c>
      <c r="D5" s="36">
        <v>0.0</v>
      </c>
      <c r="E5" s="36">
        <v>0.0</v>
      </c>
      <c r="F5" s="36">
        <v>0.0</v>
      </c>
      <c r="G5" s="36">
        <v>0.0</v>
      </c>
      <c r="H5" s="36">
        <v>0.0</v>
      </c>
      <c r="I5" s="36">
        <v>0.0</v>
      </c>
      <c r="J5" s="36">
        <v>0.0</v>
      </c>
      <c r="K5" s="36">
        <v>0.0</v>
      </c>
      <c r="L5" s="36">
        <v>0.0</v>
      </c>
      <c r="M5" s="36">
        <v>0.0</v>
      </c>
      <c r="N5" s="36">
        <v>0.0</v>
      </c>
      <c r="O5" s="36">
        <v>0.0</v>
      </c>
    </row>
    <row r="6">
      <c r="A6" s="11">
        <v>44597.0</v>
      </c>
      <c r="B6" s="36">
        <v>0.0</v>
      </c>
      <c r="C6" s="36">
        <v>0.0</v>
      </c>
      <c r="D6" s="36">
        <v>0.0</v>
      </c>
      <c r="E6" s="36">
        <v>0.0</v>
      </c>
      <c r="F6" s="36">
        <v>0.0</v>
      </c>
      <c r="G6" s="36">
        <v>0.0</v>
      </c>
      <c r="H6" s="36">
        <v>0.0</v>
      </c>
      <c r="I6" s="36">
        <v>0.0</v>
      </c>
      <c r="J6" s="36">
        <v>0.0</v>
      </c>
      <c r="K6" s="36">
        <v>0.0</v>
      </c>
      <c r="L6" s="36">
        <v>0.0</v>
      </c>
      <c r="M6" s="36">
        <v>0.0</v>
      </c>
      <c r="N6" s="36">
        <v>0.0</v>
      </c>
      <c r="O6" s="36">
        <v>0.0</v>
      </c>
    </row>
    <row r="7">
      <c r="A7" s="11">
        <v>44598.0</v>
      </c>
      <c r="B7" s="36">
        <v>25.0</v>
      </c>
      <c r="C7" s="36">
        <v>0.0</v>
      </c>
      <c r="D7" s="36">
        <v>43.0</v>
      </c>
      <c r="E7" s="36">
        <v>0.0</v>
      </c>
      <c r="F7" s="36">
        <v>0.0</v>
      </c>
      <c r="G7" s="36">
        <v>0.0</v>
      </c>
      <c r="H7" s="36">
        <v>2.0</v>
      </c>
      <c r="I7" s="36">
        <v>3.0</v>
      </c>
      <c r="J7" s="36">
        <v>0.0</v>
      </c>
      <c r="K7" s="36">
        <v>0.0</v>
      </c>
      <c r="L7" s="36">
        <v>0.0</v>
      </c>
      <c r="M7" s="36">
        <v>0.0</v>
      </c>
      <c r="N7" s="36">
        <v>0.0</v>
      </c>
      <c r="O7" s="36">
        <v>0.0</v>
      </c>
    </row>
    <row r="8">
      <c r="A8" s="11">
        <v>44599.0</v>
      </c>
      <c r="B8" s="36">
        <v>0.0</v>
      </c>
      <c r="C8" s="36">
        <v>0.0</v>
      </c>
      <c r="D8" s="36">
        <v>0.0</v>
      </c>
      <c r="E8" s="36">
        <v>0.0</v>
      </c>
      <c r="F8" s="36">
        <v>0.0</v>
      </c>
      <c r="G8" s="36">
        <v>0.0</v>
      </c>
      <c r="H8" s="36">
        <v>0.0</v>
      </c>
      <c r="I8" s="36">
        <v>0.0</v>
      </c>
      <c r="J8" s="36">
        <v>0.0</v>
      </c>
      <c r="K8" s="36">
        <v>0.0</v>
      </c>
      <c r="L8" s="36">
        <v>0.0</v>
      </c>
      <c r="M8" s="36">
        <v>0.0</v>
      </c>
      <c r="N8" s="36">
        <v>0.0</v>
      </c>
      <c r="O8" s="36">
        <v>0.0</v>
      </c>
    </row>
    <row r="9">
      <c r="A9" s="11">
        <v>44600.0</v>
      </c>
      <c r="B9" s="36">
        <v>0.0</v>
      </c>
      <c r="C9" s="36">
        <v>0.0</v>
      </c>
      <c r="D9" s="36">
        <v>50.0</v>
      </c>
      <c r="E9" s="36">
        <v>35.0</v>
      </c>
      <c r="F9" s="36">
        <v>0.0</v>
      </c>
      <c r="G9" s="36">
        <v>0.0</v>
      </c>
      <c r="H9" s="36">
        <v>0.0</v>
      </c>
      <c r="I9" s="36">
        <v>4.0</v>
      </c>
      <c r="J9" s="36">
        <v>0.0</v>
      </c>
      <c r="K9" s="36">
        <v>0.0</v>
      </c>
      <c r="L9" s="36">
        <v>0.0</v>
      </c>
      <c r="M9" s="36">
        <v>0.0</v>
      </c>
      <c r="N9" s="36">
        <v>0.0</v>
      </c>
      <c r="O9" s="36">
        <v>0.0</v>
      </c>
    </row>
    <row r="10">
      <c r="A10" s="11">
        <v>44601.0</v>
      </c>
      <c r="B10" s="36">
        <v>0.0</v>
      </c>
      <c r="C10" s="36">
        <v>0.0</v>
      </c>
      <c r="D10" s="36">
        <v>0.0</v>
      </c>
      <c r="E10" s="36">
        <v>0.0</v>
      </c>
      <c r="F10" s="36">
        <v>0.0</v>
      </c>
      <c r="G10" s="36">
        <v>0.0</v>
      </c>
      <c r="H10" s="36">
        <v>0.0</v>
      </c>
      <c r="I10" s="36">
        <v>0.0</v>
      </c>
      <c r="J10" s="36">
        <v>0.0</v>
      </c>
      <c r="K10" s="36">
        <v>0.0</v>
      </c>
      <c r="L10" s="36">
        <v>0.0</v>
      </c>
      <c r="M10" s="36">
        <v>0.0</v>
      </c>
      <c r="N10" s="36">
        <v>0.0</v>
      </c>
      <c r="O10" s="36">
        <v>0.0</v>
      </c>
    </row>
    <row r="11">
      <c r="A11" s="11">
        <v>44602.0</v>
      </c>
      <c r="B11" s="110"/>
      <c r="C11" s="110"/>
      <c r="D11" s="110"/>
      <c r="E11" s="110"/>
      <c r="F11" s="110"/>
      <c r="G11" s="110"/>
      <c r="H11" s="110"/>
      <c r="I11" s="110"/>
      <c r="J11" s="110"/>
      <c r="K11" s="110"/>
      <c r="L11" s="110"/>
      <c r="M11" s="110"/>
      <c r="N11" s="110"/>
      <c r="O11" s="110"/>
    </row>
    <row r="12">
      <c r="A12" s="20">
        <v>44603.0</v>
      </c>
      <c r="B12" s="36">
        <v>0.0</v>
      </c>
      <c r="C12" s="36">
        <v>0.0</v>
      </c>
      <c r="D12" s="36">
        <v>0.0</v>
      </c>
      <c r="E12" s="36">
        <v>0.0</v>
      </c>
      <c r="F12" s="36">
        <v>0.0</v>
      </c>
      <c r="G12" s="36">
        <v>0.0</v>
      </c>
      <c r="H12" s="36">
        <v>0.0</v>
      </c>
      <c r="I12" s="36">
        <v>0.0</v>
      </c>
      <c r="J12" s="36">
        <v>0.0</v>
      </c>
      <c r="K12" s="36">
        <v>0.0</v>
      </c>
      <c r="L12" s="36">
        <v>0.0</v>
      </c>
      <c r="M12" s="36">
        <v>0.0</v>
      </c>
      <c r="N12" s="36">
        <v>0.0</v>
      </c>
      <c r="O12" s="36">
        <v>0.0</v>
      </c>
    </row>
    <row r="13">
      <c r="A13" s="11">
        <v>44604.0</v>
      </c>
      <c r="B13" s="36">
        <v>0.0</v>
      </c>
      <c r="C13" s="36">
        <v>0.0</v>
      </c>
      <c r="D13" s="36">
        <v>0.0</v>
      </c>
      <c r="E13" s="36">
        <v>0.0</v>
      </c>
      <c r="F13" s="36">
        <v>0.0</v>
      </c>
      <c r="G13" s="36">
        <v>0.0</v>
      </c>
      <c r="H13" s="36">
        <v>0.0</v>
      </c>
      <c r="I13" s="36">
        <v>0.0</v>
      </c>
      <c r="J13" s="36">
        <v>0.0</v>
      </c>
      <c r="K13" s="36">
        <v>0.0</v>
      </c>
      <c r="L13" s="36">
        <v>0.0</v>
      </c>
      <c r="M13" s="36">
        <v>0.0</v>
      </c>
      <c r="N13" s="36">
        <v>0.0</v>
      </c>
      <c r="O13" s="36">
        <v>0.0</v>
      </c>
    </row>
    <row r="14">
      <c r="A14" s="11">
        <v>44605.0</v>
      </c>
      <c r="B14" s="36">
        <v>62.0</v>
      </c>
      <c r="C14" s="36">
        <v>10.0</v>
      </c>
      <c r="D14" s="36">
        <v>70.0</v>
      </c>
      <c r="E14" s="36">
        <v>0.0</v>
      </c>
      <c r="F14" s="36">
        <v>0.0</v>
      </c>
      <c r="G14" s="36">
        <v>0.0</v>
      </c>
      <c r="H14" s="36">
        <v>0.0</v>
      </c>
      <c r="I14" s="36">
        <v>4.0</v>
      </c>
      <c r="J14" s="36">
        <v>0.0</v>
      </c>
      <c r="K14" s="36">
        <v>0.0</v>
      </c>
      <c r="L14" s="36">
        <v>0.0</v>
      </c>
      <c r="M14" s="36">
        <v>0.0</v>
      </c>
      <c r="N14" s="36">
        <v>0.0</v>
      </c>
      <c r="O14" s="36">
        <v>0.0</v>
      </c>
    </row>
    <row r="15">
      <c r="A15" s="11">
        <v>44606.0</v>
      </c>
      <c r="B15" s="110"/>
      <c r="C15" s="110"/>
      <c r="D15" s="110"/>
      <c r="E15" s="110"/>
      <c r="F15" s="110"/>
      <c r="G15" s="110"/>
      <c r="H15" s="110"/>
      <c r="I15" s="110"/>
      <c r="J15" s="110"/>
      <c r="K15" s="110"/>
      <c r="L15" s="110"/>
      <c r="M15" s="110"/>
      <c r="N15" s="110"/>
      <c r="O15" s="110"/>
    </row>
    <row r="16">
      <c r="A16" s="11">
        <v>44607.0</v>
      </c>
      <c r="B16" s="110"/>
      <c r="C16" s="110"/>
      <c r="D16" s="110"/>
      <c r="E16" s="110"/>
      <c r="F16" s="110"/>
      <c r="G16" s="110"/>
      <c r="H16" s="110"/>
      <c r="I16" s="110"/>
      <c r="J16" s="110"/>
      <c r="K16" s="110"/>
      <c r="L16" s="110"/>
      <c r="M16" s="110"/>
      <c r="N16" s="110"/>
      <c r="O16" s="110"/>
    </row>
    <row r="17">
      <c r="A17" s="11">
        <v>44608.0</v>
      </c>
      <c r="B17" s="110"/>
      <c r="C17" s="110"/>
      <c r="D17" s="110"/>
      <c r="E17" s="110"/>
      <c r="F17" s="110"/>
      <c r="G17" s="110"/>
      <c r="H17" s="110"/>
      <c r="I17" s="110"/>
      <c r="J17" s="110"/>
      <c r="K17" s="110"/>
      <c r="L17" s="110"/>
      <c r="M17" s="110"/>
      <c r="N17" s="110"/>
      <c r="O17" s="110"/>
    </row>
    <row r="18">
      <c r="A18" s="11">
        <v>44609.0</v>
      </c>
      <c r="B18" s="110"/>
      <c r="C18" s="110"/>
      <c r="D18" s="110"/>
      <c r="E18" s="110"/>
      <c r="F18" s="110"/>
      <c r="G18" s="110"/>
      <c r="H18" s="110"/>
      <c r="I18" s="110"/>
      <c r="J18" s="110"/>
      <c r="K18" s="110"/>
      <c r="L18" s="110"/>
      <c r="M18" s="110"/>
      <c r="N18" s="110"/>
      <c r="O18" s="110"/>
    </row>
    <row r="19">
      <c r="A19" s="20">
        <v>44610.0</v>
      </c>
      <c r="B19" s="110"/>
      <c r="C19" s="110"/>
      <c r="D19" s="110"/>
      <c r="E19" s="110"/>
      <c r="F19" s="110"/>
      <c r="G19" s="110"/>
      <c r="H19" s="110"/>
      <c r="I19" s="110"/>
      <c r="J19" s="110"/>
      <c r="K19" s="110"/>
      <c r="L19" s="110"/>
      <c r="M19" s="110"/>
      <c r="N19" s="110"/>
      <c r="O19" s="110"/>
    </row>
    <row r="20">
      <c r="A20" s="11">
        <v>44611.0</v>
      </c>
      <c r="B20" s="110"/>
      <c r="C20" s="110"/>
      <c r="D20" s="110"/>
      <c r="E20" s="110"/>
      <c r="F20" s="110"/>
      <c r="G20" s="110"/>
      <c r="H20" s="110"/>
      <c r="I20" s="110"/>
      <c r="J20" s="110"/>
      <c r="K20" s="110"/>
      <c r="L20" s="110"/>
      <c r="M20" s="110"/>
      <c r="N20" s="110"/>
      <c r="O20" s="110"/>
    </row>
    <row r="21">
      <c r="A21" s="11">
        <v>44612.0</v>
      </c>
      <c r="B21" s="110"/>
      <c r="C21" s="110"/>
      <c r="D21" s="110"/>
      <c r="E21" s="110"/>
      <c r="F21" s="110"/>
      <c r="G21" s="110"/>
      <c r="H21" s="110"/>
      <c r="I21" s="110"/>
      <c r="J21" s="110"/>
      <c r="K21" s="110"/>
      <c r="L21" s="110"/>
      <c r="M21" s="110"/>
      <c r="N21" s="110"/>
      <c r="O21" s="110"/>
    </row>
    <row r="22">
      <c r="A22" s="11">
        <v>44613.0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</row>
    <row r="23">
      <c r="A23" s="11">
        <v>44614.0</v>
      </c>
      <c r="B23" s="110"/>
      <c r="C23" s="110"/>
      <c r="D23" s="110"/>
      <c r="E23" s="110"/>
      <c r="F23" s="110"/>
      <c r="G23" s="110"/>
      <c r="H23" s="110"/>
      <c r="I23" s="110"/>
      <c r="J23" s="110"/>
      <c r="K23" s="110"/>
      <c r="L23" s="110"/>
      <c r="M23" s="110"/>
      <c r="N23" s="110"/>
      <c r="O23" s="110"/>
    </row>
    <row r="24">
      <c r="A24" s="11">
        <v>44615.0</v>
      </c>
      <c r="B24" s="110"/>
      <c r="C24" s="110"/>
      <c r="D24" s="110"/>
      <c r="E24" s="110"/>
      <c r="F24" s="110"/>
      <c r="G24" s="110"/>
      <c r="H24" s="110"/>
      <c r="I24" s="110"/>
      <c r="J24" s="110"/>
      <c r="K24" s="110"/>
      <c r="L24" s="110"/>
      <c r="M24" s="110"/>
      <c r="N24" s="110"/>
      <c r="O24" s="110"/>
    </row>
    <row r="25">
      <c r="A25" s="11">
        <v>44616.0</v>
      </c>
      <c r="B25" s="110"/>
      <c r="C25" s="110"/>
      <c r="D25" s="110"/>
      <c r="E25" s="110"/>
      <c r="F25" s="110"/>
      <c r="G25" s="110"/>
      <c r="H25" s="110"/>
      <c r="I25" s="110"/>
      <c r="J25" s="110"/>
      <c r="K25" s="110"/>
      <c r="L25" s="110"/>
      <c r="M25" s="110"/>
      <c r="N25" s="110"/>
      <c r="O25" s="110"/>
    </row>
    <row r="26">
      <c r="A26" s="20">
        <v>44617.0</v>
      </c>
      <c r="B26" s="110"/>
      <c r="C26" s="110"/>
      <c r="D26" s="110"/>
      <c r="E26" s="110"/>
      <c r="F26" s="110"/>
      <c r="G26" s="110"/>
      <c r="H26" s="110"/>
      <c r="I26" s="110"/>
      <c r="J26" s="110"/>
      <c r="K26" s="110"/>
      <c r="L26" s="110"/>
      <c r="M26" s="110"/>
      <c r="N26" s="110"/>
      <c r="O26" s="110"/>
    </row>
    <row r="27">
      <c r="A27" s="11">
        <v>44618.0</v>
      </c>
      <c r="B27" s="110"/>
      <c r="C27" s="110"/>
      <c r="D27" s="110"/>
      <c r="E27" s="110"/>
      <c r="F27" s="110"/>
      <c r="G27" s="110"/>
      <c r="H27" s="110"/>
      <c r="I27" s="110"/>
      <c r="J27" s="110"/>
      <c r="K27" s="110"/>
      <c r="L27" s="110"/>
      <c r="M27" s="110"/>
      <c r="N27" s="110"/>
      <c r="O27" s="110"/>
    </row>
    <row r="28">
      <c r="A28" s="11">
        <v>44619.0</v>
      </c>
      <c r="B28" s="110"/>
      <c r="C28" s="110"/>
      <c r="D28" s="110"/>
      <c r="E28" s="110"/>
      <c r="F28" s="110"/>
      <c r="G28" s="110"/>
      <c r="H28" s="110"/>
      <c r="I28" s="110"/>
      <c r="J28" s="110"/>
      <c r="K28" s="110"/>
      <c r="L28" s="110"/>
      <c r="M28" s="110"/>
      <c r="N28" s="110"/>
      <c r="O28" s="110"/>
    </row>
    <row r="29">
      <c r="A29" s="11">
        <v>44620.0</v>
      </c>
      <c r="B29" s="110"/>
      <c r="C29" s="110"/>
      <c r="D29" s="110"/>
      <c r="E29" s="110"/>
      <c r="F29" s="110"/>
      <c r="G29" s="110"/>
      <c r="H29" s="110"/>
      <c r="I29" s="110"/>
      <c r="J29" s="110"/>
      <c r="K29" s="110"/>
      <c r="L29" s="110"/>
      <c r="M29" s="110"/>
      <c r="N29" s="110"/>
      <c r="O29" s="110"/>
    </row>
    <row r="30">
      <c r="B30" s="110">
        <f t="shared" ref="B30:O30" si="1">SUM(B2:B29)</f>
        <v>117</v>
      </c>
      <c r="C30" s="110">
        <f t="shared" si="1"/>
        <v>20</v>
      </c>
      <c r="D30" s="110">
        <f t="shared" si="1"/>
        <v>243</v>
      </c>
      <c r="E30" s="110">
        <f t="shared" si="1"/>
        <v>35</v>
      </c>
      <c r="F30" s="110">
        <f t="shared" si="1"/>
        <v>3</v>
      </c>
      <c r="G30" s="110">
        <f t="shared" si="1"/>
        <v>10</v>
      </c>
      <c r="H30" s="110">
        <f t="shared" si="1"/>
        <v>2</v>
      </c>
      <c r="I30" s="110">
        <f t="shared" si="1"/>
        <v>19</v>
      </c>
      <c r="J30" s="110">
        <f t="shared" si="1"/>
        <v>5</v>
      </c>
      <c r="K30" s="110">
        <f t="shared" si="1"/>
        <v>4</v>
      </c>
      <c r="L30" s="110">
        <f t="shared" si="1"/>
        <v>0</v>
      </c>
      <c r="M30" s="110">
        <f t="shared" si="1"/>
        <v>0</v>
      </c>
      <c r="N30" s="110">
        <f t="shared" si="1"/>
        <v>0</v>
      </c>
      <c r="O30" s="110">
        <f t="shared" si="1"/>
        <v>0</v>
      </c>
    </row>
    <row r="31">
      <c r="B31" s="111">
        <v>70.0</v>
      </c>
      <c r="C31" s="111">
        <v>100.0</v>
      </c>
      <c r="D31" s="111">
        <v>70.0</v>
      </c>
      <c r="E31" s="111">
        <v>40.0</v>
      </c>
      <c r="F31" s="111">
        <v>120.0</v>
      </c>
      <c r="G31" s="111">
        <v>400.0</v>
      </c>
      <c r="H31" s="111">
        <v>600.0</v>
      </c>
      <c r="I31" s="37"/>
      <c r="J31" s="111">
        <v>80.0</v>
      </c>
      <c r="K31" s="111">
        <v>100.0</v>
      </c>
      <c r="L31" s="111">
        <v>250.0</v>
      </c>
      <c r="M31" s="111">
        <v>200.0</v>
      </c>
      <c r="N31" s="111">
        <v>150.0</v>
      </c>
      <c r="O31" s="111">
        <v>500.0</v>
      </c>
    </row>
    <row r="32">
      <c r="B32" s="37">
        <f t="shared" ref="B32:O32" si="2">B31*B30</f>
        <v>8190</v>
      </c>
      <c r="C32" s="37">
        <f t="shared" si="2"/>
        <v>2000</v>
      </c>
      <c r="D32" s="37">
        <f t="shared" si="2"/>
        <v>17010</v>
      </c>
      <c r="E32" s="37">
        <f t="shared" si="2"/>
        <v>1400</v>
      </c>
      <c r="F32" s="37">
        <f t="shared" si="2"/>
        <v>360</v>
      </c>
      <c r="G32" s="37">
        <f t="shared" si="2"/>
        <v>4000</v>
      </c>
      <c r="H32" s="37">
        <f t="shared" si="2"/>
        <v>1200</v>
      </c>
      <c r="I32" s="37">
        <f t="shared" si="2"/>
        <v>0</v>
      </c>
      <c r="J32" s="37">
        <f t="shared" si="2"/>
        <v>400</v>
      </c>
      <c r="K32" s="37">
        <f t="shared" si="2"/>
        <v>400</v>
      </c>
      <c r="L32" s="37">
        <f t="shared" si="2"/>
        <v>0</v>
      </c>
      <c r="M32" s="37">
        <f t="shared" si="2"/>
        <v>0</v>
      </c>
      <c r="N32" s="37">
        <f t="shared" si="2"/>
        <v>0</v>
      </c>
      <c r="O32" s="37">
        <f t="shared" si="2"/>
        <v>0</v>
      </c>
      <c r="P32" s="112">
        <f>SUM(B32:O32)</f>
        <v>34960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38"/>
    <col customWidth="1" min="2" max="2" width="17.75"/>
    <col customWidth="1" min="3" max="4" width="19.13"/>
    <col customWidth="1" min="5" max="5" width="21.88"/>
    <col customWidth="1" min="6" max="7" width="19.63"/>
    <col customWidth="1" min="8" max="8" width="16.0"/>
  </cols>
  <sheetData>
    <row r="1">
      <c r="A1" s="2" t="s">
        <v>0</v>
      </c>
      <c r="B1" s="109" t="s">
        <v>349</v>
      </c>
      <c r="C1" s="109" t="s">
        <v>385</v>
      </c>
      <c r="D1" s="109" t="s">
        <v>351</v>
      </c>
      <c r="E1" s="109" t="s">
        <v>355</v>
      </c>
      <c r="F1" s="109" t="s">
        <v>386</v>
      </c>
      <c r="G1" s="109" t="s">
        <v>387</v>
      </c>
    </row>
    <row r="2">
      <c r="A2" s="11">
        <v>44593.0</v>
      </c>
      <c r="B2" s="36">
        <v>0.0</v>
      </c>
      <c r="C2" s="36">
        <v>0.0</v>
      </c>
      <c r="D2" s="36">
        <v>65.0</v>
      </c>
      <c r="E2" s="36">
        <v>0.0</v>
      </c>
      <c r="F2" s="36">
        <v>0.0</v>
      </c>
      <c r="G2" s="36">
        <v>0.0</v>
      </c>
    </row>
    <row r="3">
      <c r="A3" s="11">
        <v>44594.0</v>
      </c>
      <c r="B3" s="36">
        <v>0.0</v>
      </c>
      <c r="C3" s="36">
        <v>0.0</v>
      </c>
      <c r="D3" s="36">
        <v>0.0</v>
      </c>
      <c r="E3" s="36">
        <v>0.0</v>
      </c>
      <c r="F3" s="36">
        <v>0.0</v>
      </c>
      <c r="G3" s="36">
        <v>0.0</v>
      </c>
    </row>
    <row r="4">
      <c r="A4" s="11">
        <v>44595.0</v>
      </c>
      <c r="B4" s="36">
        <v>110.0</v>
      </c>
      <c r="C4" s="36">
        <v>40.0</v>
      </c>
      <c r="D4" s="36">
        <v>4.0</v>
      </c>
      <c r="E4" s="36">
        <v>15.0</v>
      </c>
      <c r="F4" s="36">
        <v>0.0</v>
      </c>
      <c r="G4" s="36">
        <v>90.0</v>
      </c>
    </row>
    <row r="5">
      <c r="A5" s="20">
        <v>44596.0</v>
      </c>
      <c r="B5" s="36">
        <v>0.0</v>
      </c>
      <c r="C5" s="36">
        <v>0.0</v>
      </c>
      <c r="D5" s="36">
        <v>0.0</v>
      </c>
      <c r="E5" s="36">
        <v>0.0</v>
      </c>
      <c r="F5" s="36">
        <v>0.0</v>
      </c>
      <c r="G5" s="36">
        <v>0.0</v>
      </c>
    </row>
    <row r="6">
      <c r="A6" s="11">
        <v>44597.0</v>
      </c>
      <c r="B6" s="36">
        <v>0.0</v>
      </c>
      <c r="C6" s="36">
        <v>0.0</v>
      </c>
      <c r="D6" s="36">
        <v>0.0</v>
      </c>
      <c r="E6" s="36">
        <v>0.0</v>
      </c>
      <c r="F6" s="36">
        <v>0.0</v>
      </c>
      <c r="G6" s="36">
        <v>0.0</v>
      </c>
    </row>
    <row r="7">
      <c r="A7" s="11">
        <v>44598.0</v>
      </c>
      <c r="B7" s="36">
        <v>40.0</v>
      </c>
      <c r="C7" s="36">
        <v>0.0</v>
      </c>
      <c r="D7" s="36">
        <v>0.0</v>
      </c>
      <c r="E7" s="36">
        <v>1.0</v>
      </c>
      <c r="F7" s="36">
        <v>0.0</v>
      </c>
      <c r="G7" s="36">
        <v>0.0</v>
      </c>
    </row>
    <row r="8">
      <c r="A8" s="11">
        <v>44599.0</v>
      </c>
      <c r="B8" s="36">
        <v>0.0</v>
      </c>
      <c r="C8" s="36">
        <v>0.0</v>
      </c>
      <c r="D8" s="36">
        <v>0.0</v>
      </c>
      <c r="E8" s="36">
        <v>0.0</v>
      </c>
      <c r="F8" s="36">
        <v>0.0</v>
      </c>
      <c r="G8" s="36">
        <v>0.0</v>
      </c>
    </row>
    <row r="9">
      <c r="A9" s="11">
        <v>44600.0</v>
      </c>
      <c r="B9" s="36">
        <v>40.0</v>
      </c>
      <c r="C9" s="36">
        <v>0.0</v>
      </c>
      <c r="D9" s="36">
        <v>37.0</v>
      </c>
      <c r="E9" s="36">
        <v>3.5</v>
      </c>
      <c r="F9" s="36">
        <v>0.0</v>
      </c>
      <c r="G9" s="36">
        <v>0.0</v>
      </c>
    </row>
    <row r="10">
      <c r="A10" s="11">
        <v>44601.0</v>
      </c>
      <c r="B10" s="36">
        <v>0.0</v>
      </c>
      <c r="C10" s="36">
        <v>0.0</v>
      </c>
      <c r="D10" s="36">
        <v>0.0</v>
      </c>
      <c r="E10" s="36">
        <v>0.0</v>
      </c>
      <c r="F10" s="36">
        <v>0.0</v>
      </c>
      <c r="G10" s="36">
        <v>0.0</v>
      </c>
    </row>
    <row r="11">
      <c r="A11" s="11">
        <v>44602.0</v>
      </c>
      <c r="B11" s="110"/>
      <c r="C11" s="110"/>
      <c r="D11" s="110"/>
      <c r="E11" s="110"/>
      <c r="F11" s="110"/>
      <c r="G11" s="110"/>
    </row>
    <row r="12">
      <c r="A12" s="20">
        <v>44603.0</v>
      </c>
      <c r="B12" s="36">
        <v>0.0</v>
      </c>
      <c r="C12" s="36">
        <v>0.0</v>
      </c>
      <c r="D12" s="36">
        <v>0.0</v>
      </c>
      <c r="E12" s="36">
        <v>0.0</v>
      </c>
      <c r="F12" s="36">
        <v>0.0</v>
      </c>
      <c r="G12" s="36">
        <v>0.0</v>
      </c>
    </row>
    <row r="13">
      <c r="A13" s="11">
        <v>44604.0</v>
      </c>
      <c r="B13" s="36">
        <v>0.0</v>
      </c>
      <c r="C13" s="36">
        <v>0.0</v>
      </c>
      <c r="D13" s="36">
        <v>0.0</v>
      </c>
      <c r="E13" s="36">
        <v>0.0</v>
      </c>
      <c r="F13" s="36">
        <v>0.0</v>
      </c>
      <c r="G13" s="36">
        <v>0.0</v>
      </c>
    </row>
    <row r="14">
      <c r="A14" s="11">
        <v>44605.0</v>
      </c>
      <c r="B14" s="36">
        <v>0.0</v>
      </c>
      <c r="C14" s="36">
        <v>0.0</v>
      </c>
      <c r="D14" s="36">
        <v>0.0</v>
      </c>
      <c r="E14" s="36">
        <v>0.0</v>
      </c>
      <c r="F14" s="36">
        <v>0.0</v>
      </c>
      <c r="G14" s="36">
        <v>0.0</v>
      </c>
    </row>
    <row r="15">
      <c r="A15" s="11">
        <v>44606.0</v>
      </c>
      <c r="B15" s="110"/>
      <c r="C15" s="110"/>
      <c r="D15" s="110"/>
      <c r="E15" s="110"/>
      <c r="F15" s="110"/>
      <c r="G15" s="110"/>
    </row>
    <row r="16">
      <c r="A16" s="11">
        <v>44607.0</v>
      </c>
      <c r="B16" s="110"/>
      <c r="C16" s="110"/>
      <c r="D16" s="110"/>
      <c r="E16" s="110"/>
      <c r="F16" s="110"/>
      <c r="G16" s="110"/>
    </row>
    <row r="17">
      <c r="A17" s="11">
        <v>44608.0</v>
      </c>
      <c r="B17" s="110"/>
      <c r="C17" s="110"/>
      <c r="D17" s="110"/>
      <c r="E17" s="110"/>
      <c r="F17" s="110"/>
      <c r="G17" s="110"/>
    </row>
    <row r="18">
      <c r="A18" s="11">
        <v>44609.0</v>
      </c>
      <c r="B18" s="110"/>
      <c r="C18" s="110"/>
      <c r="D18" s="110"/>
      <c r="E18" s="110"/>
      <c r="F18" s="110"/>
      <c r="G18" s="110"/>
    </row>
    <row r="19">
      <c r="A19" s="20">
        <v>44610.0</v>
      </c>
      <c r="B19" s="110"/>
      <c r="C19" s="110"/>
      <c r="D19" s="110"/>
      <c r="E19" s="110"/>
      <c r="F19" s="110"/>
      <c r="G19" s="110"/>
    </row>
    <row r="20">
      <c r="A20" s="11">
        <v>44611.0</v>
      </c>
      <c r="B20" s="110"/>
      <c r="C20" s="110"/>
      <c r="D20" s="110"/>
      <c r="E20" s="110"/>
      <c r="F20" s="110"/>
      <c r="G20" s="110"/>
    </row>
    <row r="21">
      <c r="A21" s="11">
        <v>44612.0</v>
      </c>
      <c r="B21" s="110"/>
      <c r="C21" s="110"/>
      <c r="D21" s="110"/>
      <c r="E21" s="110"/>
      <c r="F21" s="110"/>
      <c r="G21" s="110"/>
    </row>
    <row r="22">
      <c r="A22" s="11">
        <v>44613.0</v>
      </c>
      <c r="B22" s="110"/>
      <c r="C22" s="110"/>
      <c r="D22" s="110"/>
      <c r="E22" s="110"/>
      <c r="F22" s="110"/>
      <c r="G22" s="110"/>
    </row>
    <row r="23">
      <c r="A23" s="11">
        <v>44614.0</v>
      </c>
      <c r="B23" s="110"/>
      <c r="C23" s="110"/>
      <c r="D23" s="110"/>
      <c r="E23" s="110"/>
      <c r="F23" s="110"/>
      <c r="G23" s="110"/>
    </row>
    <row r="24">
      <c r="A24" s="11">
        <v>44615.0</v>
      </c>
      <c r="B24" s="110"/>
      <c r="C24" s="110"/>
      <c r="D24" s="110"/>
      <c r="E24" s="110"/>
      <c r="F24" s="110"/>
      <c r="G24" s="110"/>
    </row>
    <row r="25">
      <c r="A25" s="11">
        <v>44616.0</v>
      </c>
      <c r="B25" s="110"/>
      <c r="C25" s="110"/>
      <c r="D25" s="110"/>
      <c r="E25" s="110"/>
      <c r="F25" s="110"/>
      <c r="G25" s="110"/>
    </row>
    <row r="26">
      <c r="A26" s="20">
        <v>44617.0</v>
      </c>
      <c r="B26" s="110"/>
      <c r="C26" s="110"/>
      <c r="D26" s="110"/>
      <c r="E26" s="110"/>
      <c r="F26" s="110"/>
      <c r="G26" s="110"/>
    </row>
    <row r="27">
      <c r="A27" s="11">
        <v>44618.0</v>
      </c>
      <c r="B27" s="110"/>
      <c r="C27" s="110"/>
      <c r="D27" s="110"/>
      <c r="E27" s="110"/>
      <c r="F27" s="110"/>
      <c r="G27" s="110"/>
    </row>
    <row r="28">
      <c r="A28" s="11">
        <v>44619.0</v>
      </c>
      <c r="B28" s="110"/>
      <c r="C28" s="110"/>
      <c r="D28" s="110"/>
      <c r="E28" s="110"/>
      <c r="F28" s="110"/>
      <c r="G28" s="110"/>
    </row>
    <row r="29">
      <c r="A29" s="11">
        <v>44620.0</v>
      </c>
      <c r="B29" s="110"/>
      <c r="C29" s="110"/>
      <c r="D29" s="110"/>
      <c r="E29" s="110"/>
      <c r="F29" s="110"/>
      <c r="G29" s="110"/>
    </row>
    <row r="30">
      <c r="B30" s="114">
        <f t="shared" ref="B30:E30" si="1">SUM(B2:B29)</f>
        <v>190</v>
      </c>
      <c r="C30" s="114">
        <f t="shared" si="1"/>
        <v>40</v>
      </c>
      <c r="D30" s="114">
        <f t="shared" si="1"/>
        <v>106</v>
      </c>
      <c r="E30" s="114">
        <f t="shared" si="1"/>
        <v>19.5</v>
      </c>
      <c r="F30" s="110"/>
      <c r="G30" s="110">
        <f>SUM(G2:G29)</f>
        <v>90</v>
      </c>
    </row>
    <row r="31">
      <c r="B31" s="111">
        <v>70.0</v>
      </c>
      <c r="C31" s="111">
        <v>50.0</v>
      </c>
      <c r="D31" s="111">
        <v>100.0</v>
      </c>
      <c r="E31" s="111">
        <v>400.0</v>
      </c>
      <c r="F31" s="37"/>
      <c r="G31" s="37"/>
    </row>
    <row r="32">
      <c r="B32" s="37">
        <f>B30*B31</f>
        <v>13300</v>
      </c>
      <c r="C32" s="37">
        <f>C31*C30</f>
        <v>2000</v>
      </c>
      <c r="D32" s="37">
        <f t="shared" ref="D32:E32" si="2">D30*D31</f>
        <v>10600</v>
      </c>
      <c r="E32" s="37">
        <f t="shared" si="2"/>
        <v>7800</v>
      </c>
      <c r="F32" s="37"/>
      <c r="G32" s="37"/>
      <c r="H32" s="115">
        <f>SUM(B32:G32)</f>
        <v>33700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25"/>
    <col customWidth="1" min="2" max="2" width="16.75"/>
    <col customWidth="1" min="3" max="4" width="17.13"/>
    <col customWidth="1" min="5" max="5" width="18.13"/>
    <col customWidth="1" min="6" max="7" width="22.13"/>
    <col customWidth="1" min="8" max="8" width="16.63"/>
    <col customWidth="1" min="9" max="9" width="15.13"/>
  </cols>
  <sheetData>
    <row r="1">
      <c r="A1" s="2" t="s">
        <v>0</v>
      </c>
      <c r="B1" s="109" t="s">
        <v>349</v>
      </c>
      <c r="C1" s="109" t="s">
        <v>350</v>
      </c>
      <c r="D1" s="109" t="s">
        <v>351</v>
      </c>
      <c r="E1" s="109" t="s">
        <v>368</v>
      </c>
      <c r="F1" s="109" t="s">
        <v>388</v>
      </c>
      <c r="G1" s="109" t="s">
        <v>355</v>
      </c>
      <c r="H1" s="109" t="s">
        <v>389</v>
      </c>
    </row>
    <row r="2">
      <c r="A2" s="11">
        <v>44593.0</v>
      </c>
      <c r="B2" s="36">
        <v>0.0</v>
      </c>
      <c r="C2" s="36">
        <v>0.0</v>
      </c>
      <c r="D2" s="36">
        <v>0.0</v>
      </c>
      <c r="E2" s="36">
        <v>0.0</v>
      </c>
      <c r="F2" s="36">
        <v>0.0</v>
      </c>
      <c r="G2" s="36">
        <v>0.0</v>
      </c>
      <c r="H2" s="36">
        <v>0.0</v>
      </c>
    </row>
    <row r="3">
      <c r="A3" s="11">
        <v>44594.0</v>
      </c>
      <c r="B3" s="36">
        <v>35.0</v>
      </c>
      <c r="C3" s="36">
        <v>0.0</v>
      </c>
      <c r="D3" s="36">
        <v>35.0</v>
      </c>
      <c r="E3" s="36">
        <v>0.0</v>
      </c>
      <c r="F3" s="36">
        <v>0.0</v>
      </c>
      <c r="G3" s="36">
        <v>6.0</v>
      </c>
      <c r="H3" s="36">
        <v>0.0</v>
      </c>
    </row>
    <row r="4">
      <c r="A4" s="11">
        <v>44595.0</v>
      </c>
      <c r="B4" s="36">
        <v>0.0</v>
      </c>
      <c r="C4" s="36">
        <v>0.0</v>
      </c>
      <c r="D4" s="36">
        <v>0.0</v>
      </c>
      <c r="E4" s="36">
        <v>0.0</v>
      </c>
      <c r="F4" s="36">
        <v>0.0</v>
      </c>
      <c r="G4" s="36">
        <v>0.0</v>
      </c>
      <c r="H4" s="36">
        <v>0.0</v>
      </c>
    </row>
    <row r="5">
      <c r="A5" s="20">
        <v>44596.0</v>
      </c>
      <c r="B5" s="36">
        <v>0.0</v>
      </c>
      <c r="C5" s="36">
        <v>0.0</v>
      </c>
      <c r="D5" s="36">
        <v>0.0</v>
      </c>
      <c r="E5" s="36">
        <v>0.0</v>
      </c>
      <c r="F5" s="36">
        <v>0.0</v>
      </c>
      <c r="G5" s="36">
        <v>0.0</v>
      </c>
      <c r="H5" s="36">
        <v>0.0</v>
      </c>
    </row>
    <row r="6">
      <c r="A6" s="11">
        <v>44597.0</v>
      </c>
      <c r="B6" s="36">
        <v>70.0</v>
      </c>
      <c r="C6" s="36">
        <v>20.0</v>
      </c>
      <c r="D6" s="36">
        <v>40.0</v>
      </c>
      <c r="E6" s="36">
        <v>0.0</v>
      </c>
      <c r="F6" s="36">
        <v>0.0</v>
      </c>
      <c r="G6" s="36">
        <v>3.0</v>
      </c>
      <c r="H6" s="36">
        <v>0.0</v>
      </c>
    </row>
    <row r="7">
      <c r="A7" s="11">
        <v>44598.0</v>
      </c>
      <c r="B7" s="36">
        <v>0.0</v>
      </c>
      <c r="C7" s="36">
        <v>0.0</v>
      </c>
      <c r="D7" s="36">
        <v>0.0</v>
      </c>
      <c r="E7" s="36">
        <v>0.0</v>
      </c>
      <c r="F7" s="36">
        <v>0.0</v>
      </c>
      <c r="G7" s="36">
        <v>0.0</v>
      </c>
      <c r="H7" s="36">
        <v>0.0</v>
      </c>
    </row>
    <row r="8">
      <c r="A8" s="11">
        <v>44599.0</v>
      </c>
      <c r="B8" s="36">
        <v>60.0</v>
      </c>
      <c r="C8" s="36">
        <v>0.0</v>
      </c>
      <c r="D8" s="36">
        <v>40.0</v>
      </c>
      <c r="E8" s="36">
        <v>0.0</v>
      </c>
      <c r="F8" s="36">
        <v>12.0</v>
      </c>
      <c r="G8" s="36">
        <v>0.0</v>
      </c>
      <c r="H8" s="36">
        <v>0.0</v>
      </c>
    </row>
    <row r="9">
      <c r="A9" s="11">
        <v>44600.0</v>
      </c>
      <c r="B9" s="36">
        <v>0.0</v>
      </c>
      <c r="C9" s="36">
        <v>0.0</v>
      </c>
      <c r="D9" s="36">
        <v>0.0</v>
      </c>
      <c r="E9" s="36">
        <v>0.0</v>
      </c>
      <c r="F9" s="36">
        <v>0.0</v>
      </c>
      <c r="G9" s="36">
        <v>0.0</v>
      </c>
      <c r="H9" s="36">
        <v>0.0</v>
      </c>
    </row>
    <row r="10">
      <c r="A10" s="11">
        <v>44601.0</v>
      </c>
      <c r="B10" s="36">
        <v>85.0</v>
      </c>
      <c r="C10" s="36">
        <v>0.0</v>
      </c>
      <c r="D10" s="36">
        <v>10.0</v>
      </c>
      <c r="E10" s="36">
        <v>0.0</v>
      </c>
      <c r="F10" s="36">
        <v>0.0</v>
      </c>
      <c r="G10" s="36">
        <v>3.5</v>
      </c>
      <c r="H10" s="36">
        <v>0.0</v>
      </c>
    </row>
    <row r="11">
      <c r="A11" s="11">
        <v>44602.0</v>
      </c>
      <c r="B11" s="110"/>
      <c r="C11" s="110"/>
      <c r="D11" s="110"/>
      <c r="E11" s="110"/>
      <c r="F11" s="110"/>
      <c r="G11" s="110"/>
      <c r="H11" s="110"/>
    </row>
    <row r="12">
      <c r="A12" s="20">
        <v>44603.0</v>
      </c>
      <c r="B12" s="36">
        <v>24.0</v>
      </c>
      <c r="C12" s="36">
        <v>0.0</v>
      </c>
      <c r="D12" s="36">
        <v>10.0</v>
      </c>
      <c r="E12" s="36">
        <v>0.0</v>
      </c>
      <c r="F12" s="36">
        <v>0.0</v>
      </c>
      <c r="G12" s="36">
        <v>1.0</v>
      </c>
      <c r="H12" s="36">
        <v>0.0</v>
      </c>
    </row>
    <row r="13">
      <c r="A13" s="11">
        <v>44604.0</v>
      </c>
      <c r="B13" s="36">
        <v>40.0</v>
      </c>
      <c r="C13" s="36">
        <v>0.0</v>
      </c>
      <c r="D13" s="36">
        <v>25.0</v>
      </c>
      <c r="E13" s="36">
        <v>0.0</v>
      </c>
      <c r="F13" s="36">
        <v>0.0</v>
      </c>
      <c r="G13" s="36">
        <v>4.0</v>
      </c>
      <c r="H13" s="36">
        <v>0.0</v>
      </c>
    </row>
    <row r="14">
      <c r="A14" s="11">
        <v>44605.0</v>
      </c>
      <c r="B14" s="36">
        <v>0.0</v>
      </c>
      <c r="C14" s="36">
        <v>0.0</v>
      </c>
      <c r="D14" s="36">
        <v>0.0</v>
      </c>
      <c r="E14" s="36">
        <v>0.0</v>
      </c>
      <c r="F14" s="36">
        <v>0.0</v>
      </c>
      <c r="G14" s="36">
        <v>0.0</v>
      </c>
      <c r="H14" s="36">
        <v>0.0</v>
      </c>
    </row>
    <row r="15">
      <c r="A15" s="11">
        <v>44606.0</v>
      </c>
      <c r="B15" s="110"/>
      <c r="C15" s="110"/>
      <c r="D15" s="110"/>
      <c r="E15" s="110"/>
      <c r="F15" s="110"/>
      <c r="G15" s="110"/>
      <c r="H15" s="110"/>
    </row>
    <row r="16">
      <c r="A16" s="11">
        <v>44607.0</v>
      </c>
      <c r="B16" s="110"/>
      <c r="C16" s="110"/>
      <c r="D16" s="110"/>
      <c r="E16" s="110"/>
      <c r="F16" s="110"/>
      <c r="G16" s="110"/>
      <c r="H16" s="110"/>
    </row>
    <row r="17">
      <c r="A17" s="11">
        <v>44608.0</v>
      </c>
      <c r="B17" s="110"/>
      <c r="C17" s="110"/>
      <c r="D17" s="110"/>
      <c r="E17" s="110"/>
      <c r="F17" s="110"/>
      <c r="G17" s="110"/>
      <c r="H17" s="110"/>
    </row>
    <row r="18">
      <c r="A18" s="11">
        <v>44609.0</v>
      </c>
      <c r="B18" s="110"/>
      <c r="C18" s="110"/>
      <c r="D18" s="110"/>
      <c r="E18" s="110"/>
      <c r="F18" s="110"/>
      <c r="G18" s="110"/>
      <c r="H18" s="110"/>
    </row>
    <row r="19">
      <c r="A19" s="20">
        <v>44610.0</v>
      </c>
      <c r="B19" s="110"/>
      <c r="C19" s="110"/>
      <c r="D19" s="110"/>
      <c r="E19" s="110"/>
      <c r="F19" s="110"/>
      <c r="G19" s="110"/>
      <c r="H19" s="110"/>
    </row>
    <row r="20">
      <c r="A20" s="11">
        <v>44611.0</v>
      </c>
      <c r="B20" s="110"/>
      <c r="C20" s="110"/>
      <c r="D20" s="110"/>
      <c r="E20" s="110"/>
      <c r="F20" s="110"/>
      <c r="G20" s="110"/>
      <c r="H20" s="110"/>
    </row>
    <row r="21">
      <c r="A21" s="11">
        <v>44612.0</v>
      </c>
      <c r="B21" s="110"/>
      <c r="C21" s="110"/>
      <c r="D21" s="110"/>
      <c r="E21" s="110"/>
      <c r="F21" s="110"/>
      <c r="G21" s="110"/>
      <c r="H21" s="110"/>
    </row>
    <row r="22">
      <c r="A22" s="11">
        <v>44613.0</v>
      </c>
      <c r="B22" s="110"/>
      <c r="C22" s="110"/>
      <c r="D22" s="110"/>
      <c r="E22" s="110"/>
      <c r="F22" s="110"/>
      <c r="G22" s="110"/>
      <c r="H22" s="110"/>
    </row>
    <row r="23">
      <c r="A23" s="11">
        <v>44614.0</v>
      </c>
      <c r="B23" s="110"/>
      <c r="C23" s="110"/>
      <c r="D23" s="110"/>
      <c r="E23" s="110"/>
      <c r="F23" s="110"/>
      <c r="G23" s="110"/>
      <c r="H23" s="110"/>
    </row>
    <row r="24">
      <c r="A24" s="11">
        <v>44615.0</v>
      </c>
      <c r="B24" s="110"/>
      <c r="C24" s="110"/>
      <c r="D24" s="110"/>
      <c r="E24" s="110"/>
      <c r="F24" s="110"/>
      <c r="G24" s="110"/>
      <c r="H24" s="110"/>
    </row>
    <row r="25">
      <c r="A25" s="11">
        <v>44616.0</v>
      </c>
      <c r="B25" s="110"/>
      <c r="C25" s="110"/>
      <c r="D25" s="110"/>
      <c r="E25" s="110"/>
      <c r="F25" s="110"/>
      <c r="G25" s="110"/>
      <c r="H25" s="110"/>
    </row>
    <row r="26">
      <c r="A26" s="20">
        <v>44617.0</v>
      </c>
      <c r="B26" s="110"/>
      <c r="C26" s="110"/>
      <c r="D26" s="110"/>
      <c r="E26" s="110"/>
      <c r="F26" s="110"/>
      <c r="G26" s="110"/>
      <c r="H26" s="110"/>
    </row>
    <row r="27">
      <c r="A27" s="11">
        <v>44618.0</v>
      </c>
      <c r="B27" s="110"/>
      <c r="C27" s="110"/>
      <c r="D27" s="110"/>
      <c r="E27" s="110"/>
      <c r="F27" s="110"/>
      <c r="G27" s="110"/>
      <c r="H27" s="110"/>
    </row>
    <row r="28">
      <c r="A28" s="11">
        <v>44619.0</v>
      </c>
      <c r="B28" s="110"/>
      <c r="C28" s="110"/>
      <c r="D28" s="110"/>
      <c r="E28" s="110"/>
      <c r="F28" s="110"/>
      <c r="G28" s="110"/>
      <c r="H28" s="110"/>
    </row>
    <row r="29">
      <c r="A29" s="11">
        <v>44620.0</v>
      </c>
      <c r="B29" s="110"/>
      <c r="C29" s="110"/>
      <c r="D29" s="110"/>
      <c r="E29" s="110"/>
      <c r="F29" s="110"/>
      <c r="G29" s="110"/>
      <c r="H29" s="110"/>
    </row>
    <row r="30">
      <c r="B30" s="114">
        <f t="shared" ref="B30:H30" si="1">SUM(B2:B29)</f>
        <v>314</v>
      </c>
      <c r="C30" s="114">
        <f t="shared" si="1"/>
        <v>20</v>
      </c>
      <c r="D30" s="114">
        <f t="shared" si="1"/>
        <v>160</v>
      </c>
      <c r="E30" s="114">
        <f t="shared" si="1"/>
        <v>0</v>
      </c>
      <c r="F30" s="114">
        <f t="shared" si="1"/>
        <v>12</v>
      </c>
      <c r="G30" s="114">
        <f t="shared" si="1"/>
        <v>17.5</v>
      </c>
      <c r="H30" s="110">
        <f t="shared" si="1"/>
        <v>0</v>
      </c>
    </row>
    <row r="31">
      <c r="B31" s="111">
        <v>70.0</v>
      </c>
      <c r="C31" s="111">
        <v>50.0</v>
      </c>
      <c r="D31" s="111">
        <v>100.0</v>
      </c>
      <c r="E31" s="111">
        <v>70.0</v>
      </c>
      <c r="F31" s="111">
        <v>100.0</v>
      </c>
      <c r="G31" s="111">
        <v>400.0</v>
      </c>
      <c r="H31" s="37"/>
    </row>
    <row r="32">
      <c r="B32" s="37">
        <f t="shared" ref="B32:H32" si="2">B31*B30</f>
        <v>21980</v>
      </c>
      <c r="C32" s="37">
        <f t="shared" si="2"/>
        <v>1000</v>
      </c>
      <c r="D32" s="37">
        <f t="shared" si="2"/>
        <v>16000</v>
      </c>
      <c r="E32" s="37">
        <f t="shared" si="2"/>
        <v>0</v>
      </c>
      <c r="F32" s="37">
        <f t="shared" si="2"/>
        <v>1200</v>
      </c>
      <c r="G32" s="37">
        <f t="shared" si="2"/>
        <v>7000</v>
      </c>
      <c r="H32" s="37">
        <f t="shared" si="2"/>
        <v>0</v>
      </c>
      <c r="I32" s="112">
        <f>SUM(B32:H32)</f>
        <v>47180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0"/>
    <col customWidth="1" min="5" max="5" width="15.88"/>
    <col customWidth="1" min="6" max="6" width="16.13"/>
    <col customWidth="1" min="7" max="7" width="15.75"/>
    <col customWidth="1" min="8" max="8" width="17.13"/>
    <col customWidth="1" min="17" max="17" width="23.25"/>
    <col customWidth="1" min="18" max="18" width="22.0"/>
    <col customWidth="1" min="19" max="19" width="18.88"/>
    <col customWidth="1" min="20" max="20" width="23.88"/>
    <col customWidth="1" min="21" max="21" width="24.5"/>
    <col customWidth="1" min="25" max="25" width="17.25"/>
    <col customWidth="1" min="26" max="26" width="20.0"/>
    <col customWidth="1" min="27" max="27" width="19.5"/>
    <col customWidth="1" min="28" max="28" width="19.75"/>
    <col customWidth="1" min="29" max="29" width="20.63"/>
    <col customWidth="1" min="30" max="30" width="26.38"/>
    <col customWidth="1" min="33" max="33" width="30.13"/>
  </cols>
  <sheetData>
    <row r="1">
      <c r="A1" s="116">
        <v>0.0</v>
      </c>
      <c r="B1" s="109" t="s">
        <v>390</v>
      </c>
      <c r="C1" s="109" t="s">
        <v>391</v>
      </c>
      <c r="D1" s="109" t="s">
        <v>392</v>
      </c>
      <c r="E1" s="109" t="s">
        <v>393</v>
      </c>
      <c r="F1" s="109" t="s">
        <v>394</v>
      </c>
      <c r="G1" s="109" t="s">
        <v>395</v>
      </c>
      <c r="H1" s="109" t="s">
        <v>396</v>
      </c>
      <c r="I1" s="109" t="s">
        <v>397</v>
      </c>
      <c r="J1" s="109" t="s">
        <v>398</v>
      </c>
      <c r="K1" s="109" t="s">
        <v>399</v>
      </c>
      <c r="L1" s="109" t="s">
        <v>400</v>
      </c>
      <c r="M1" s="109" t="s">
        <v>401</v>
      </c>
      <c r="N1" s="109" t="s">
        <v>402</v>
      </c>
      <c r="O1" s="109" t="s">
        <v>403</v>
      </c>
      <c r="P1" s="109" t="s">
        <v>404</v>
      </c>
      <c r="Q1" s="109" t="s">
        <v>405</v>
      </c>
      <c r="R1" s="109" t="s">
        <v>406</v>
      </c>
      <c r="S1" s="109" t="s">
        <v>407</v>
      </c>
      <c r="T1" s="109" t="s">
        <v>408</v>
      </c>
      <c r="U1" s="109" t="s">
        <v>409</v>
      </c>
      <c r="V1" s="109" t="s">
        <v>410</v>
      </c>
      <c r="W1" s="109" t="s">
        <v>411</v>
      </c>
      <c r="X1" s="109" t="s">
        <v>412</v>
      </c>
      <c r="Y1" s="109" t="s">
        <v>413</v>
      </c>
      <c r="Z1" s="109" t="s">
        <v>414</v>
      </c>
      <c r="AA1" s="109" t="s">
        <v>415</v>
      </c>
      <c r="AB1" s="109" t="s">
        <v>416</v>
      </c>
      <c r="AC1" s="109" t="s">
        <v>417</v>
      </c>
      <c r="AD1" s="109" t="s">
        <v>418</v>
      </c>
      <c r="AE1" s="109" t="s">
        <v>419</v>
      </c>
      <c r="AF1" s="109" t="s">
        <v>420</v>
      </c>
      <c r="AG1" s="109" t="s">
        <v>421</v>
      </c>
      <c r="AH1" s="109" t="s">
        <v>422</v>
      </c>
      <c r="AI1" s="117"/>
    </row>
    <row r="2">
      <c r="A2" s="11">
        <v>44593.0</v>
      </c>
      <c r="B2" s="36">
        <v>0.0</v>
      </c>
      <c r="C2" s="36">
        <v>30.0</v>
      </c>
      <c r="D2" s="36">
        <v>0.0</v>
      </c>
      <c r="E2" s="36">
        <v>0.0</v>
      </c>
      <c r="F2" s="36">
        <v>0.0</v>
      </c>
      <c r="G2" s="36">
        <v>0.0</v>
      </c>
      <c r="H2" s="36">
        <v>0.0</v>
      </c>
      <c r="I2" s="36">
        <v>0.0</v>
      </c>
      <c r="J2" s="36">
        <v>0.0</v>
      </c>
      <c r="K2" s="36">
        <v>0.0</v>
      </c>
      <c r="L2" s="36">
        <v>0.0</v>
      </c>
      <c r="M2" s="36">
        <v>0.0</v>
      </c>
      <c r="N2" s="36">
        <v>0.0</v>
      </c>
      <c r="O2" s="36">
        <v>0.0</v>
      </c>
      <c r="P2" s="36">
        <v>0.0</v>
      </c>
      <c r="Q2" s="36">
        <v>0.0</v>
      </c>
      <c r="R2" s="36">
        <v>0.0</v>
      </c>
      <c r="S2" s="36">
        <v>0.0</v>
      </c>
      <c r="T2" s="36">
        <v>23.0</v>
      </c>
      <c r="U2" s="36">
        <v>19.0</v>
      </c>
      <c r="V2" s="36">
        <v>0.0</v>
      </c>
      <c r="W2" s="36">
        <v>0.0</v>
      </c>
      <c r="X2" s="36">
        <v>0.0</v>
      </c>
      <c r="Y2" s="36">
        <v>36.0</v>
      </c>
      <c r="Z2" s="36">
        <v>0.0</v>
      </c>
      <c r="AA2" s="36">
        <v>0.0</v>
      </c>
      <c r="AB2" s="36">
        <v>0.0</v>
      </c>
      <c r="AC2" s="36">
        <v>0.0</v>
      </c>
      <c r="AD2" s="36">
        <v>0.0</v>
      </c>
      <c r="AE2" s="36">
        <v>0.0</v>
      </c>
      <c r="AF2" s="36">
        <v>0.0</v>
      </c>
      <c r="AG2" s="36">
        <v>0.0</v>
      </c>
      <c r="AH2" s="118">
        <v>0.0</v>
      </c>
      <c r="AI2" s="119"/>
    </row>
    <row r="3">
      <c r="A3" s="11">
        <v>44594.0</v>
      </c>
      <c r="B3" s="36">
        <v>0.0</v>
      </c>
      <c r="C3" s="36">
        <v>30.0</v>
      </c>
      <c r="D3" s="36">
        <v>10.0</v>
      </c>
      <c r="E3" s="36">
        <v>0.0</v>
      </c>
      <c r="F3" s="36">
        <v>0.0</v>
      </c>
      <c r="G3" s="36">
        <v>0.0</v>
      </c>
      <c r="H3" s="36">
        <v>0.0</v>
      </c>
      <c r="I3" s="36">
        <v>0.0</v>
      </c>
      <c r="J3" s="36">
        <v>0.0</v>
      </c>
      <c r="K3" s="36">
        <v>0.0</v>
      </c>
      <c r="L3" s="36">
        <v>0.0</v>
      </c>
      <c r="M3" s="36">
        <v>0.0</v>
      </c>
      <c r="N3" s="36">
        <v>0.0</v>
      </c>
      <c r="O3" s="36">
        <v>0.0</v>
      </c>
      <c r="P3" s="36">
        <v>0.0</v>
      </c>
      <c r="Q3" s="36">
        <v>0.0</v>
      </c>
      <c r="R3" s="36">
        <v>0.0</v>
      </c>
      <c r="S3" s="36">
        <v>0.0</v>
      </c>
      <c r="T3" s="36">
        <v>0.0</v>
      </c>
      <c r="U3" s="36">
        <v>0.0</v>
      </c>
      <c r="V3" s="36">
        <v>0.0</v>
      </c>
      <c r="W3" s="36">
        <v>0.0</v>
      </c>
      <c r="X3" s="36">
        <v>0.0</v>
      </c>
      <c r="Y3" s="36">
        <v>0.0</v>
      </c>
      <c r="Z3" s="36">
        <v>0.0</v>
      </c>
      <c r="AA3" s="36">
        <v>0.0</v>
      </c>
      <c r="AB3" s="36">
        <v>0.0</v>
      </c>
      <c r="AC3" s="36">
        <v>0.0</v>
      </c>
      <c r="AD3" s="36">
        <v>0.0</v>
      </c>
      <c r="AE3" s="36">
        <v>0.0</v>
      </c>
      <c r="AF3" s="36">
        <v>0.0</v>
      </c>
      <c r="AG3" s="36">
        <v>0.0</v>
      </c>
      <c r="AH3" s="118">
        <v>0.0</v>
      </c>
      <c r="AI3" s="119"/>
    </row>
    <row r="4">
      <c r="A4" s="11">
        <v>44595.0</v>
      </c>
      <c r="B4" s="36">
        <v>0.0</v>
      </c>
      <c r="C4" s="36">
        <v>21.0</v>
      </c>
      <c r="D4" s="36">
        <v>0.0</v>
      </c>
      <c r="E4" s="36">
        <v>0.0</v>
      </c>
      <c r="F4" s="36">
        <v>0.0</v>
      </c>
      <c r="G4" s="36">
        <v>0.0</v>
      </c>
      <c r="H4" s="36">
        <v>0.0</v>
      </c>
      <c r="I4" s="36">
        <v>0.0</v>
      </c>
      <c r="J4" s="36">
        <v>0.0</v>
      </c>
      <c r="K4" s="36">
        <v>0.0</v>
      </c>
      <c r="L4" s="36">
        <v>0.0</v>
      </c>
      <c r="M4" s="36">
        <v>0.0</v>
      </c>
      <c r="N4" s="36">
        <v>0.0</v>
      </c>
      <c r="O4" s="36">
        <v>0.0</v>
      </c>
      <c r="P4" s="36">
        <v>0.0</v>
      </c>
      <c r="Q4" s="36">
        <v>0.0</v>
      </c>
      <c r="R4" s="36">
        <v>0.0</v>
      </c>
      <c r="S4" s="36">
        <v>0.0</v>
      </c>
      <c r="T4" s="36">
        <v>29.0</v>
      </c>
      <c r="U4" s="36">
        <v>0.0</v>
      </c>
      <c r="V4" s="36">
        <v>0.0</v>
      </c>
      <c r="W4" s="36">
        <v>57.0</v>
      </c>
      <c r="X4" s="36">
        <v>0.0</v>
      </c>
      <c r="Y4" s="36">
        <v>0.0</v>
      </c>
      <c r="Z4" s="36">
        <v>0.0</v>
      </c>
      <c r="AA4" s="36">
        <v>24.0</v>
      </c>
      <c r="AB4" s="36">
        <v>0.0</v>
      </c>
      <c r="AC4" s="36">
        <v>0.0</v>
      </c>
      <c r="AD4" s="36">
        <v>0.0</v>
      </c>
      <c r="AE4" s="36">
        <v>0.0</v>
      </c>
      <c r="AF4" s="36">
        <v>21.0</v>
      </c>
      <c r="AG4" s="36">
        <v>0.0</v>
      </c>
      <c r="AH4" s="118">
        <v>0.0</v>
      </c>
      <c r="AI4" s="119"/>
    </row>
    <row r="5">
      <c r="A5" s="20">
        <v>44596.0</v>
      </c>
      <c r="B5" s="36">
        <v>0.0</v>
      </c>
      <c r="C5" s="36">
        <v>0.0</v>
      </c>
      <c r="D5" s="36">
        <v>0.0</v>
      </c>
      <c r="E5" s="36">
        <v>0.0</v>
      </c>
      <c r="F5" s="36">
        <v>0.0</v>
      </c>
      <c r="G5" s="36">
        <v>0.0</v>
      </c>
      <c r="H5" s="36">
        <v>0.0</v>
      </c>
      <c r="I5" s="36">
        <v>0.0</v>
      </c>
      <c r="J5" s="36">
        <v>0.0</v>
      </c>
      <c r="K5" s="36">
        <v>0.0</v>
      </c>
      <c r="L5" s="36">
        <v>0.0</v>
      </c>
      <c r="M5" s="36">
        <v>0.0</v>
      </c>
      <c r="N5" s="36">
        <v>0.0</v>
      </c>
      <c r="O5" s="36">
        <v>0.0</v>
      </c>
      <c r="P5" s="36">
        <v>0.0</v>
      </c>
      <c r="Q5" s="36">
        <v>0.0</v>
      </c>
      <c r="R5" s="36">
        <v>0.0</v>
      </c>
      <c r="S5" s="36">
        <v>0.0</v>
      </c>
      <c r="T5" s="36">
        <v>0.0</v>
      </c>
      <c r="U5" s="36">
        <v>0.0</v>
      </c>
      <c r="V5" s="36">
        <v>0.0</v>
      </c>
      <c r="W5" s="36">
        <v>0.0</v>
      </c>
      <c r="X5" s="36">
        <v>0.0</v>
      </c>
      <c r="Y5" s="36">
        <v>0.0</v>
      </c>
      <c r="Z5" s="36">
        <v>0.0</v>
      </c>
      <c r="AA5" s="36">
        <v>0.0</v>
      </c>
      <c r="AB5" s="36">
        <v>0.0</v>
      </c>
      <c r="AC5" s="36">
        <v>0.0</v>
      </c>
      <c r="AD5" s="36">
        <v>0.0</v>
      </c>
      <c r="AE5" s="36">
        <v>0.0</v>
      </c>
      <c r="AF5" s="36">
        <v>0.0</v>
      </c>
      <c r="AG5" s="36">
        <v>0.0</v>
      </c>
      <c r="AH5" s="118">
        <v>0.0</v>
      </c>
      <c r="AI5" s="119"/>
    </row>
    <row r="6">
      <c r="A6" s="11">
        <v>44597.0</v>
      </c>
      <c r="B6" s="36">
        <v>0.0</v>
      </c>
      <c r="C6" s="36">
        <v>0.0</v>
      </c>
      <c r="D6" s="36">
        <v>0.0</v>
      </c>
      <c r="E6" s="36">
        <v>0.0</v>
      </c>
      <c r="F6" s="36">
        <v>0.0</v>
      </c>
      <c r="G6" s="36">
        <v>0.0</v>
      </c>
      <c r="H6" s="36">
        <v>0.0</v>
      </c>
      <c r="I6" s="36">
        <v>0.0</v>
      </c>
      <c r="J6" s="36">
        <v>0.0</v>
      </c>
      <c r="K6" s="36">
        <v>0.0</v>
      </c>
      <c r="L6" s="36">
        <v>0.0</v>
      </c>
      <c r="M6" s="36">
        <v>0.0</v>
      </c>
      <c r="N6" s="36">
        <v>0.0</v>
      </c>
      <c r="O6" s="36">
        <v>0.0</v>
      </c>
      <c r="P6" s="36">
        <v>0.0</v>
      </c>
      <c r="Q6" s="36">
        <v>0.0</v>
      </c>
      <c r="R6" s="36">
        <v>0.0</v>
      </c>
      <c r="S6" s="36">
        <v>0.0</v>
      </c>
      <c r="T6" s="36">
        <v>0.0</v>
      </c>
      <c r="U6" s="36">
        <v>0.0</v>
      </c>
      <c r="V6" s="36">
        <v>0.0</v>
      </c>
      <c r="W6" s="36">
        <v>0.0</v>
      </c>
      <c r="X6" s="36">
        <v>0.0</v>
      </c>
      <c r="Y6" s="36">
        <v>0.0</v>
      </c>
      <c r="Z6" s="36">
        <v>0.0</v>
      </c>
      <c r="AA6" s="36">
        <v>50.0</v>
      </c>
      <c r="AB6" s="36">
        <v>0.0</v>
      </c>
      <c r="AC6" s="36">
        <v>0.0</v>
      </c>
      <c r="AD6" s="36">
        <v>0.0</v>
      </c>
      <c r="AE6" s="36">
        <v>0.0</v>
      </c>
      <c r="AF6" s="36">
        <v>0.0</v>
      </c>
      <c r="AG6" s="36">
        <v>0.0</v>
      </c>
      <c r="AH6" s="118">
        <v>22.0</v>
      </c>
      <c r="AI6" s="119"/>
    </row>
    <row r="7">
      <c r="A7" s="11">
        <v>44598.0</v>
      </c>
      <c r="B7" s="36">
        <v>0.0</v>
      </c>
      <c r="C7" s="36">
        <v>20.0</v>
      </c>
      <c r="D7" s="36">
        <v>0.0</v>
      </c>
      <c r="E7" s="36">
        <v>0.0</v>
      </c>
      <c r="F7" s="36">
        <v>0.0</v>
      </c>
      <c r="G7" s="36">
        <v>0.0</v>
      </c>
      <c r="H7" s="36">
        <v>0.0</v>
      </c>
      <c r="I7" s="36">
        <v>17.0</v>
      </c>
      <c r="J7" s="36">
        <v>5.0</v>
      </c>
      <c r="K7" s="36">
        <v>6.0</v>
      </c>
      <c r="L7" s="36">
        <v>0.0</v>
      </c>
      <c r="M7" s="36">
        <v>0.0</v>
      </c>
      <c r="N7" s="36">
        <v>0.0</v>
      </c>
      <c r="O7" s="36">
        <v>0.0</v>
      </c>
      <c r="P7" s="36">
        <v>0.0</v>
      </c>
      <c r="Q7" s="36">
        <v>0.0</v>
      </c>
      <c r="R7" s="36">
        <v>0.0</v>
      </c>
      <c r="S7" s="36">
        <v>0.0</v>
      </c>
      <c r="T7" s="36">
        <v>0.0</v>
      </c>
      <c r="U7" s="36">
        <v>0.0</v>
      </c>
      <c r="V7" s="36">
        <v>0.0</v>
      </c>
      <c r="W7" s="36">
        <v>0.0</v>
      </c>
      <c r="X7" s="36">
        <v>0.0</v>
      </c>
      <c r="Y7" s="36">
        <v>0.0</v>
      </c>
      <c r="Z7" s="36">
        <v>0.0</v>
      </c>
      <c r="AA7" s="36">
        <v>35.0</v>
      </c>
      <c r="AB7" s="36">
        <v>0.0</v>
      </c>
      <c r="AC7" s="36">
        <v>0.0</v>
      </c>
      <c r="AD7" s="36">
        <v>0.0</v>
      </c>
      <c r="AE7" s="36">
        <v>0.0</v>
      </c>
      <c r="AF7" s="36">
        <v>0.0</v>
      </c>
      <c r="AG7" s="36">
        <v>0.0</v>
      </c>
      <c r="AH7" s="118">
        <v>0.0</v>
      </c>
      <c r="AI7" s="119"/>
    </row>
    <row r="8">
      <c r="A8" s="11">
        <v>44599.0</v>
      </c>
      <c r="B8" s="36">
        <v>0.0</v>
      </c>
      <c r="C8" s="36">
        <v>47.0</v>
      </c>
      <c r="D8" s="36">
        <v>0.0</v>
      </c>
      <c r="E8" s="36">
        <v>0.0</v>
      </c>
      <c r="F8" s="36">
        <v>0.0</v>
      </c>
      <c r="G8" s="36">
        <v>0.0</v>
      </c>
      <c r="H8" s="36">
        <v>0.0</v>
      </c>
      <c r="I8" s="36">
        <v>16.0</v>
      </c>
      <c r="J8" s="36">
        <v>0.0</v>
      </c>
      <c r="K8" s="36">
        <v>0.0</v>
      </c>
      <c r="L8" s="36">
        <v>0.0</v>
      </c>
      <c r="M8" s="36">
        <v>0.0</v>
      </c>
      <c r="N8" s="36">
        <v>10.0</v>
      </c>
      <c r="O8" s="36">
        <v>0.0</v>
      </c>
      <c r="P8" s="36">
        <v>0.0</v>
      </c>
      <c r="Q8" s="36">
        <v>0.0</v>
      </c>
      <c r="R8" s="36">
        <v>0.0</v>
      </c>
      <c r="S8" s="36">
        <v>0.0</v>
      </c>
      <c r="T8" s="36">
        <v>0.0</v>
      </c>
      <c r="U8" s="36">
        <v>0.0</v>
      </c>
      <c r="V8" s="36">
        <v>0.0</v>
      </c>
      <c r="W8" s="36">
        <v>0.0</v>
      </c>
      <c r="X8" s="36">
        <v>0.0</v>
      </c>
      <c r="Y8" s="36">
        <v>0.0</v>
      </c>
      <c r="Z8" s="36">
        <v>0.0</v>
      </c>
      <c r="AA8" s="36">
        <v>21.0</v>
      </c>
      <c r="AB8" s="36">
        <v>0.0</v>
      </c>
      <c r="AC8" s="36">
        <v>0.0</v>
      </c>
      <c r="AD8" s="36">
        <v>0.0</v>
      </c>
      <c r="AE8" s="36">
        <v>6.0</v>
      </c>
      <c r="AF8" s="36">
        <v>0.0</v>
      </c>
      <c r="AG8" s="36">
        <v>0.0</v>
      </c>
      <c r="AH8" s="118">
        <v>0.0</v>
      </c>
      <c r="AI8" s="119"/>
    </row>
    <row r="9">
      <c r="A9" s="11">
        <v>44600.0</v>
      </c>
      <c r="B9" s="36">
        <v>0.0</v>
      </c>
      <c r="C9" s="36">
        <v>25.0</v>
      </c>
      <c r="D9" s="36">
        <v>0.0</v>
      </c>
      <c r="E9" s="36">
        <v>0.0</v>
      </c>
      <c r="F9" s="36">
        <v>0.0</v>
      </c>
      <c r="G9" s="36">
        <v>0.0</v>
      </c>
      <c r="H9" s="36">
        <v>0.0</v>
      </c>
      <c r="I9" s="36">
        <v>0.0</v>
      </c>
      <c r="J9" s="36">
        <v>0.0</v>
      </c>
      <c r="K9" s="36">
        <v>0.0</v>
      </c>
      <c r="L9" s="36">
        <v>0.0</v>
      </c>
      <c r="M9" s="36">
        <v>0.0</v>
      </c>
      <c r="N9" s="36">
        <v>0.0</v>
      </c>
      <c r="O9" s="36">
        <v>0.0</v>
      </c>
      <c r="P9" s="36">
        <v>0.0</v>
      </c>
      <c r="Q9" s="36">
        <v>0.0</v>
      </c>
      <c r="R9" s="36">
        <v>0.0</v>
      </c>
      <c r="S9" s="36">
        <v>0.0</v>
      </c>
      <c r="T9" s="36">
        <v>0.0</v>
      </c>
      <c r="U9" s="36">
        <v>0.0</v>
      </c>
      <c r="V9" s="36">
        <v>0.0</v>
      </c>
      <c r="W9" s="36">
        <v>0.0</v>
      </c>
      <c r="X9" s="36">
        <v>0.0</v>
      </c>
      <c r="Y9" s="36">
        <v>0.0</v>
      </c>
      <c r="Z9" s="36">
        <v>0.0</v>
      </c>
      <c r="AA9" s="36">
        <v>55.0</v>
      </c>
      <c r="AB9" s="36">
        <v>0.0</v>
      </c>
      <c r="AC9" s="36">
        <v>0.0</v>
      </c>
      <c r="AD9" s="36">
        <v>0.0</v>
      </c>
      <c r="AE9" s="36">
        <v>0.0</v>
      </c>
      <c r="AF9" s="36">
        <v>0.0</v>
      </c>
      <c r="AG9" s="36">
        <v>0.0</v>
      </c>
      <c r="AH9" s="118">
        <v>0.0</v>
      </c>
      <c r="AI9" s="119"/>
    </row>
    <row r="10">
      <c r="A10" s="11">
        <v>44601.0</v>
      </c>
      <c r="B10" s="36">
        <v>0.0</v>
      </c>
      <c r="C10" s="36">
        <v>27.0</v>
      </c>
      <c r="D10" s="36">
        <v>0.0</v>
      </c>
      <c r="E10" s="36">
        <v>0.0</v>
      </c>
      <c r="F10" s="36">
        <v>0.0</v>
      </c>
      <c r="G10" s="36">
        <v>0.0</v>
      </c>
      <c r="H10" s="36">
        <v>0.0</v>
      </c>
      <c r="I10" s="36">
        <v>7.0</v>
      </c>
      <c r="J10" s="36">
        <v>0.0</v>
      </c>
      <c r="K10" s="36">
        <v>0.0</v>
      </c>
      <c r="L10" s="36">
        <v>0.0</v>
      </c>
      <c r="M10" s="36">
        <v>0.0</v>
      </c>
      <c r="N10" s="36">
        <v>0.0</v>
      </c>
      <c r="O10" s="36">
        <v>0.0</v>
      </c>
      <c r="P10" s="36">
        <v>0.0</v>
      </c>
      <c r="Q10" s="36">
        <v>0.0</v>
      </c>
      <c r="R10" s="36">
        <v>0.0</v>
      </c>
      <c r="S10" s="36">
        <v>0.0</v>
      </c>
      <c r="T10" s="36">
        <v>30.0</v>
      </c>
      <c r="U10" s="36">
        <v>0.0</v>
      </c>
      <c r="V10" s="36">
        <v>0.0</v>
      </c>
      <c r="W10" s="36">
        <v>0.0</v>
      </c>
      <c r="X10" s="36">
        <v>16.0</v>
      </c>
      <c r="Y10" s="36">
        <v>28.0</v>
      </c>
      <c r="Z10" s="36">
        <v>0.0</v>
      </c>
      <c r="AA10" s="36">
        <v>40.0</v>
      </c>
      <c r="AB10" s="36">
        <v>0.0</v>
      </c>
      <c r="AC10" s="36">
        <v>0.0</v>
      </c>
      <c r="AD10" s="36">
        <v>0.0</v>
      </c>
      <c r="AE10" s="36">
        <v>0.0</v>
      </c>
      <c r="AF10" s="36">
        <v>0.0</v>
      </c>
      <c r="AG10" s="36">
        <v>0.0</v>
      </c>
      <c r="AH10" s="118">
        <v>0.0</v>
      </c>
      <c r="AI10" s="119"/>
    </row>
    <row r="11">
      <c r="A11" s="11">
        <v>44602.0</v>
      </c>
      <c r="B11" s="36">
        <v>0.0</v>
      </c>
      <c r="C11" s="36">
        <v>25.0</v>
      </c>
      <c r="D11" s="36">
        <v>0.0</v>
      </c>
      <c r="E11" s="36">
        <v>0.0</v>
      </c>
      <c r="F11" s="36">
        <v>0.0</v>
      </c>
      <c r="G11" s="36">
        <v>0.0</v>
      </c>
      <c r="H11" s="36">
        <v>0.0</v>
      </c>
      <c r="I11" s="36">
        <v>20.0</v>
      </c>
      <c r="J11" s="36">
        <v>0.0</v>
      </c>
      <c r="K11" s="36">
        <v>0.0</v>
      </c>
      <c r="L11" s="36">
        <v>0.0</v>
      </c>
      <c r="M11" s="36">
        <v>0.0</v>
      </c>
      <c r="N11" s="36">
        <v>0.0</v>
      </c>
      <c r="O11" s="36">
        <v>0.0</v>
      </c>
      <c r="P11" s="36">
        <v>0.0</v>
      </c>
      <c r="Q11" s="36">
        <v>0.0</v>
      </c>
      <c r="R11" s="36">
        <v>0.0</v>
      </c>
      <c r="S11" s="36">
        <v>0.0</v>
      </c>
      <c r="T11" s="36">
        <v>0.0</v>
      </c>
      <c r="U11" s="36">
        <v>0.0</v>
      </c>
      <c r="V11" s="36">
        <v>0.0</v>
      </c>
      <c r="W11" s="36">
        <v>0.0</v>
      </c>
      <c r="X11" s="36">
        <v>0.0</v>
      </c>
      <c r="Y11" s="36">
        <v>0.0</v>
      </c>
      <c r="Z11" s="36">
        <v>0.0</v>
      </c>
      <c r="AA11" s="36">
        <v>58.0</v>
      </c>
      <c r="AB11" s="36">
        <v>0.0</v>
      </c>
      <c r="AC11" s="36">
        <v>0.0</v>
      </c>
      <c r="AD11" s="36">
        <v>0.0</v>
      </c>
      <c r="AE11" s="36">
        <v>4.0</v>
      </c>
      <c r="AF11" s="36">
        <v>0.0</v>
      </c>
      <c r="AG11" s="36">
        <v>0.0</v>
      </c>
      <c r="AH11" s="118">
        <v>0.0</v>
      </c>
      <c r="AI11" s="119"/>
    </row>
    <row r="12">
      <c r="A12" s="20">
        <v>44603.0</v>
      </c>
      <c r="B12" s="36">
        <v>0.0</v>
      </c>
      <c r="C12" s="36">
        <v>0.0</v>
      </c>
      <c r="D12" s="36">
        <v>0.0</v>
      </c>
      <c r="E12" s="36">
        <v>0.0</v>
      </c>
      <c r="F12" s="36">
        <v>0.0</v>
      </c>
      <c r="G12" s="36">
        <v>0.0</v>
      </c>
      <c r="H12" s="36">
        <v>0.0</v>
      </c>
      <c r="I12" s="36">
        <v>0.0</v>
      </c>
      <c r="J12" s="36">
        <v>0.0</v>
      </c>
      <c r="K12" s="36">
        <v>0.0</v>
      </c>
      <c r="L12" s="36">
        <v>0.0</v>
      </c>
      <c r="M12" s="36">
        <v>0.0</v>
      </c>
      <c r="N12" s="36">
        <v>0.0</v>
      </c>
      <c r="O12" s="36">
        <v>0.0</v>
      </c>
      <c r="P12" s="36">
        <v>0.0</v>
      </c>
      <c r="Q12" s="36">
        <v>0.0</v>
      </c>
      <c r="R12" s="36">
        <v>0.0</v>
      </c>
      <c r="S12" s="36">
        <v>0.0</v>
      </c>
      <c r="T12" s="36">
        <v>0.0</v>
      </c>
      <c r="U12" s="36">
        <v>0.0</v>
      </c>
      <c r="V12" s="36">
        <v>0.0</v>
      </c>
      <c r="W12" s="36">
        <v>0.0</v>
      </c>
      <c r="X12" s="36">
        <v>0.0</v>
      </c>
      <c r="Y12" s="36">
        <v>0.0</v>
      </c>
      <c r="Z12" s="36">
        <v>0.0</v>
      </c>
      <c r="AA12" s="36">
        <v>0.0</v>
      </c>
      <c r="AB12" s="36">
        <v>0.0</v>
      </c>
      <c r="AC12" s="36">
        <v>0.0</v>
      </c>
      <c r="AD12" s="36">
        <v>0.0</v>
      </c>
      <c r="AE12" s="36">
        <v>0.0</v>
      </c>
      <c r="AF12" s="36">
        <v>0.0</v>
      </c>
      <c r="AG12" s="36">
        <v>0.0</v>
      </c>
      <c r="AH12" s="118">
        <v>0.0</v>
      </c>
      <c r="AI12" s="119"/>
    </row>
    <row r="13">
      <c r="A13" s="11">
        <v>44604.0</v>
      </c>
      <c r="B13" s="36">
        <v>0.0</v>
      </c>
      <c r="C13" s="36">
        <v>0.0</v>
      </c>
      <c r="D13" s="36">
        <v>0.0</v>
      </c>
      <c r="E13" s="36">
        <v>0.0</v>
      </c>
      <c r="F13" s="36">
        <v>0.0</v>
      </c>
      <c r="G13" s="36">
        <v>0.0</v>
      </c>
      <c r="H13" s="36">
        <v>0.0</v>
      </c>
      <c r="I13" s="36">
        <v>0.0</v>
      </c>
      <c r="J13" s="36">
        <v>0.0</v>
      </c>
      <c r="K13" s="36">
        <v>0.0</v>
      </c>
      <c r="L13" s="36">
        <v>0.0</v>
      </c>
      <c r="M13" s="36">
        <v>0.0</v>
      </c>
      <c r="N13" s="36">
        <v>0.0</v>
      </c>
      <c r="O13" s="36">
        <v>0.0</v>
      </c>
      <c r="P13" s="36">
        <v>0.0</v>
      </c>
      <c r="Q13" s="36">
        <v>0.0</v>
      </c>
      <c r="R13" s="36">
        <v>0.0</v>
      </c>
      <c r="S13" s="36">
        <v>0.0</v>
      </c>
      <c r="T13" s="36">
        <v>0.0</v>
      </c>
      <c r="U13" s="36">
        <v>0.0</v>
      </c>
      <c r="V13" s="36">
        <v>0.0</v>
      </c>
      <c r="W13" s="36">
        <v>0.0</v>
      </c>
      <c r="X13" s="36">
        <v>0.0</v>
      </c>
      <c r="Y13" s="36">
        <v>0.0</v>
      </c>
      <c r="Z13" s="36">
        <v>0.0</v>
      </c>
      <c r="AA13" s="36">
        <v>0.0</v>
      </c>
      <c r="AB13" s="36">
        <v>0.0</v>
      </c>
      <c r="AC13" s="36">
        <v>0.0</v>
      </c>
      <c r="AD13" s="36">
        <v>0.0</v>
      </c>
      <c r="AE13" s="36">
        <v>0.0</v>
      </c>
      <c r="AF13" s="36">
        <v>0.0</v>
      </c>
      <c r="AG13" s="36">
        <v>0.0</v>
      </c>
      <c r="AH13" s="118">
        <v>0.0</v>
      </c>
      <c r="AI13" s="119"/>
    </row>
    <row r="14">
      <c r="A14" s="11">
        <v>44605.0</v>
      </c>
      <c r="B14" s="36">
        <v>0.0</v>
      </c>
      <c r="C14" s="36">
        <v>19.0</v>
      </c>
      <c r="D14" s="36">
        <v>0.0</v>
      </c>
      <c r="E14" s="36">
        <v>0.0</v>
      </c>
      <c r="F14" s="36">
        <v>0.0</v>
      </c>
      <c r="G14" s="36">
        <v>0.0</v>
      </c>
      <c r="H14" s="36">
        <v>0.0</v>
      </c>
      <c r="I14" s="36">
        <v>0.0</v>
      </c>
      <c r="J14" s="36">
        <v>0.0</v>
      </c>
      <c r="K14" s="36">
        <v>0.0</v>
      </c>
      <c r="L14" s="36">
        <v>0.0</v>
      </c>
      <c r="M14" s="36">
        <v>0.0</v>
      </c>
      <c r="N14" s="36">
        <v>0.0</v>
      </c>
      <c r="O14" s="36">
        <v>0.0</v>
      </c>
      <c r="P14" s="36">
        <v>0.0</v>
      </c>
      <c r="Q14" s="36">
        <v>0.0</v>
      </c>
      <c r="R14" s="36">
        <v>0.0</v>
      </c>
      <c r="S14" s="36">
        <v>0.0</v>
      </c>
      <c r="T14" s="36">
        <v>0.0</v>
      </c>
      <c r="U14" s="36">
        <v>0.0</v>
      </c>
      <c r="V14" s="36">
        <v>0.0</v>
      </c>
      <c r="W14" s="36">
        <v>0.0</v>
      </c>
      <c r="X14" s="36">
        <v>0.0</v>
      </c>
      <c r="Y14" s="36">
        <v>0.0</v>
      </c>
      <c r="Z14" s="36">
        <v>0.0</v>
      </c>
      <c r="AA14" s="36">
        <v>60.0</v>
      </c>
      <c r="AB14" s="36">
        <v>0.0</v>
      </c>
      <c r="AC14" s="36">
        <v>0.0</v>
      </c>
      <c r="AD14" s="36">
        <v>0.0</v>
      </c>
      <c r="AE14" s="36">
        <v>0.0</v>
      </c>
      <c r="AF14" s="36">
        <v>0.0</v>
      </c>
      <c r="AG14" s="36">
        <v>0.0</v>
      </c>
      <c r="AH14" s="118">
        <v>0.0</v>
      </c>
      <c r="AI14" s="119"/>
    </row>
    <row r="15">
      <c r="A15" s="11">
        <v>44606.0</v>
      </c>
      <c r="B15" s="110"/>
      <c r="C15" s="110"/>
      <c r="D15" s="110"/>
      <c r="E15" s="110"/>
      <c r="F15" s="110"/>
      <c r="G15" s="110"/>
      <c r="H15" s="110"/>
      <c r="I15" s="110"/>
      <c r="J15" s="110"/>
      <c r="K15" s="110"/>
      <c r="L15" s="110"/>
      <c r="M15" s="110"/>
      <c r="N15" s="110"/>
      <c r="O15" s="110"/>
      <c r="P15" s="110"/>
      <c r="Q15" s="110"/>
      <c r="R15" s="110"/>
      <c r="S15" s="110"/>
      <c r="T15" s="110"/>
      <c r="U15" s="110"/>
      <c r="V15" s="110"/>
      <c r="W15" s="110"/>
      <c r="X15" s="110"/>
      <c r="Y15" s="110"/>
      <c r="Z15" s="110"/>
      <c r="AA15" s="110"/>
      <c r="AB15" s="110"/>
      <c r="AC15" s="110"/>
      <c r="AD15" s="110"/>
      <c r="AE15" s="110"/>
      <c r="AF15" s="110"/>
      <c r="AG15" s="110"/>
      <c r="AH15" s="120"/>
      <c r="AI15" s="119"/>
    </row>
    <row r="16">
      <c r="A16" s="11">
        <v>44607.0</v>
      </c>
      <c r="B16" s="110"/>
      <c r="C16" s="110"/>
      <c r="D16" s="110"/>
      <c r="E16" s="110"/>
      <c r="F16" s="110"/>
      <c r="G16" s="110"/>
      <c r="H16" s="110"/>
      <c r="I16" s="110"/>
      <c r="J16" s="110"/>
      <c r="K16" s="110"/>
      <c r="L16" s="110"/>
      <c r="M16" s="110"/>
      <c r="N16" s="110"/>
      <c r="O16" s="110"/>
      <c r="P16" s="110"/>
      <c r="Q16" s="110"/>
      <c r="R16" s="110"/>
      <c r="S16" s="110"/>
      <c r="T16" s="110"/>
      <c r="U16" s="110"/>
      <c r="V16" s="110"/>
      <c r="W16" s="110"/>
      <c r="X16" s="110"/>
      <c r="Y16" s="110"/>
      <c r="Z16" s="110"/>
      <c r="AA16" s="110"/>
      <c r="AB16" s="110"/>
      <c r="AC16" s="110"/>
      <c r="AD16" s="110"/>
      <c r="AE16" s="110"/>
      <c r="AF16" s="110"/>
      <c r="AG16" s="110"/>
      <c r="AH16" s="120"/>
      <c r="AI16" s="119"/>
    </row>
    <row r="17">
      <c r="A17" s="11">
        <v>44608.0</v>
      </c>
      <c r="B17" s="110"/>
      <c r="C17" s="110"/>
      <c r="D17" s="110"/>
      <c r="E17" s="110"/>
      <c r="F17" s="110"/>
      <c r="G17" s="110"/>
      <c r="H17" s="110"/>
      <c r="I17" s="110"/>
      <c r="J17" s="110"/>
      <c r="K17" s="110"/>
      <c r="L17" s="110"/>
      <c r="M17" s="110"/>
      <c r="N17" s="110"/>
      <c r="O17" s="110"/>
      <c r="P17" s="110"/>
      <c r="Q17" s="110"/>
      <c r="R17" s="110"/>
      <c r="S17" s="110"/>
      <c r="T17" s="110"/>
      <c r="U17" s="110"/>
      <c r="V17" s="110"/>
      <c r="W17" s="110"/>
      <c r="X17" s="110"/>
      <c r="Y17" s="110"/>
      <c r="Z17" s="110"/>
      <c r="AA17" s="110"/>
      <c r="AB17" s="110"/>
      <c r="AC17" s="110"/>
      <c r="AD17" s="110"/>
      <c r="AE17" s="110"/>
      <c r="AF17" s="110"/>
      <c r="AG17" s="110"/>
      <c r="AH17" s="120"/>
      <c r="AI17" s="119"/>
    </row>
    <row r="18">
      <c r="A18" s="11">
        <v>44609.0</v>
      </c>
      <c r="B18" s="110"/>
      <c r="C18" s="110"/>
      <c r="D18" s="110"/>
      <c r="E18" s="110"/>
      <c r="F18" s="110"/>
      <c r="G18" s="110"/>
      <c r="H18" s="110"/>
      <c r="I18" s="110"/>
      <c r="J18" s="110"/>
      <c r="K18" s="110"/>
      <c r="L18" s="110"/>
      <c r="M18" s="110"/>
      <c r="N18" s="110"/>
      <c r="O18" s="110"/>
      <c r="P18" s="110"/>
      <c r="Q18" s="110"/>
      <c r="R18" s="110"/>
      <c r="S18" s="110"/>
      <c r="T18" s="110"/>
      <c r="U18" s="110"/>
      <c r="V18" s="110"/>
      <c r="W18" s="110"/>
      <c r="X18" s="110"/>
      <c r="Y18" s="110"/>
      <c r="Z18" s="110"/>
      <c r="AA18" s="110"/>
      <c r="AB18" s="110"/>
      <c r="AC18" s="110"/>
      <c r="AD18" s="110"/>
      <c r="AE18" s="110"/>
      <c r="AF18" s="110"/>
      <c r="AG18" s="110"/>
      <c r="AH18" s="120"/>
      <c r="AI18" s="119"/>
    </row>
    <row r="19">
      <c r="A19" s="20">
        <v>44610.0</v>
      </c>
      <c r="B19" s="110"/>
      <c r="C19" s="110"/>
      <c r="D19" s="110"/>
      <c r="E19" s="110"/>
      <c r="F19" s="110"/>
      <c r="G19" s="110"/>
      <c r="H19" s="110"/>
      <c r="I19" s="110"/>
      <c r="J19" s="110"/>
      <c r="K19" s="110"/>
      <c r="L19" s="110"/>
      <c r="M19" s="110"/>
      <c r="N19" s="110"/>
      <c r="O19" s="110"/>
      <c r="P19" s="110"/>
      <c r="Q19" s="110"/>
      <c r="R19" s="110"/>
      <c r="S19" s="110"/>
      <c r="T19" s="110"/>
      <c r="U19" s="110"/>
      <c r="V19" s="110"/>
      <c r="W19" s="110"/>
      <c r="X19" s="110"/>
      <c r="Y19" s="110"/>
      <c r="Z19" s="110"/>
      <c r="AA19" s="110"/>
      <c r="AB19" s="110"/>
      <c r="AC19" s="110"/>
      <c r="AD19" s="110"/>
      <c r="AE19" s="110"/>
      <c r="AF19" s="110"/>
      <c r="AG19" s="110"/>
      <c r="AH19" s="120"/>
      <c r="AI19" s="119"/>
    </row>
    <row r="20">
      <c r="A20" s="11">
        <v>44611.0</v>
      </c>
      <c r="B20" s="110"/>
      <c r="C20" s="110"/>
      <c r="D20" s="110"/>
      <c r="E20" s="110"/>
      <c r="F20" s="110"/>
      <c r="G20" s="110"/>
      <c r="H20" s="110"/>
      <c r="I20" s="110"/>
      <c r="J20" s="110"/>
      <c r="K20" s="110"/>
      <c r="L20" s="110"/>
      <c r="M20" s="110"/>
      <c r="N20" s="110"/>
      <c r="O20" s="110"/>
      <c r="P20" s="110"/>
      <c r="Q20" s="110"/>
      <c r="R20" s="110"/>
      <c r="S20" s="110"/>
      <c r="T20" s="110"/>
      <c r="U20" s="110"/>
      <c r="V20" s="110"/>
      <c r="W20" s="110"/>
      <c r="X20" s="110"/>
      <c r="Y20" s="110"/>
      <c r="Z20" s="110"/>
      <c r="AA20" s="110"/>
      <c r="AB20" s="110"/>
      <c r="AC20" s="110"/>
      <c r="AD20" s="110"/>
      <c r="AE20" s="110"/>
      <c r="AF20" s="110"/>
      <c r="AG20" s="110"/>
      <c r="AH20" s="120"/>
      <c r="AI20" s="119"/>
    </row>
    <row r="21">
      <c r="A21" s="11">
        <v>44612.0</v>
      </c>
      <c r="B21" s="110"/>
      <c r="C21" s="110"/>
      <c r="D21" s="110"/>
      <c r="E21" s="110"/>
      <c r="F21" s="110"/>
      <c r="G21" s="110"/>
      <c r="H21" s="110"/>
      <c r="I21" s="110"/>
      <c r="J21" s="110"/>
      <c r="K21" s="110"/>
      <c r="L21" s="110"/>
      <c r="M21" s="110"/>
      <c r="N21" s="110"/>
      <c r="O21" s="110"/>
      <c r="P21" s="110"/>
      <c r="Q21" s="110"/>
      <c r="R21" s="110"/>
      <c r="S21" s="110"/>
      <c r="T21" s="110"/>
      <c r="U21" s="110"/>
      <c r="V21" s="110"/>
      <c r="W21" s="110"/>
      <c r="X21" s="110"/>
      <c r="Y21" s="110"/>
      <c r="Z21" s="110"/>
      <c r="AA21" s="110"/>
      <c r="AB21" s="110"/>
      <c r="AC21" s="110"/>
      <c r="AD21" s="110"/>
      <c r="AE21" s="110"/>
      <c r="AF21" s="110"/>
      <c r="AG21" s="110"/>
      <c r="AH21" s="120"/>
      <c r="AI21" s="119"/>
    </row>
    <row r="22">
      <c r="A22" s="11">
        <v>44613.0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  <c r="V22" s="110"/>
      <c r="W22" s="110"/>
      <c r="X22" s="110"/>
      <c r="Y22" s="110"/>
      <c r="Z22" s="110"/>
      <c r="AA22" s="110"/>
      <c r="AB22" s="110"/>
      <c r="AC22" s="110"/>
      <c r="AD22" s="110"/>
      <c r="AE22" s="110"/>
      <c r="AF22" s="110"/>
      <c r="AG22" s="110"/>
      <c r="AH22" s="120"/>
      <c r="AI22" s="119"/>
    </row>
    <row r="23">
      <c r="A23" s="11">
        <v>44614.0</v>
      </c>
      <c r="B23" s="110"/>
      <c r="C23" s="110"/>
      <c r="D23" s="110"/>
      <c r="E23" s="110"/>
      <c r="F23" s="110"/>
      <c r="G23" s="110"/>
      <c r="H23" s="110"/>
      <c r="I23" s="110"/>
      <c r="J23" s="110"/>
      <c r="K23" s="110"/>
      <c r="L23" s="110"/>
      <c r="M23" s="110"/>
      <c r="N23" s="110"/>
      <c r="O23" s="110"/>
      <c r="P23" s="110"/>
      <c r="Q23" s="110"/>
      <c r="R23" s="110"/>
      <c r="S23" s="110"/>
      <c r="T23" s="110"/>
      <c r="U23" s="110"/>
      <c r="V23" s="110"/>
      <c r="W23" s="110"/>
      <c r="X23" s="110"/>
      <c r="Y23" s="110"/>
      <c r="Z23" s="110"/>
      <c r="AA23" s="110"/>
      <c r="AB23" s="110"/>
      <c r="AC23" s="110"/>
      <c r="AD23" s="110"/>
      <c r="AE23" s="110"/>
      <c r="AF23" s="110"/>
      <c r="AG23" s="110"/>
      <c r="AH23" s="120"/>
      <c r="AI23" s="119"/>
    </row>
    <row r="24">
      <c r="A24" s="11">
        <v>44615.0</v>
      </c>
      <c r="B24" s="110"/>
      <c r="C24" s="110"/>
      <c r="D24" s="110"/>
      <c r="E24" s="110"/>
      <c r="F24" s="110"/>
      <c r="G24" s="110"/>
      <c r="H24" s="110"/>
      <c r="I24" s="110"/>
      <c r="J24" s="110"/>
      <c r="K24" s="110"/>
      <c r="L24" s="110"/>
      <c r="M24" s="110"/>
      <c r="N24" s="110"/>
      <c r="O24" s="110"/>
      <c r="P24" s="110"/>
      <c r="Q24" s="110"/>
      <c r="R24" s="110"/>
      <c r="S24" s="110"/>
      <c r="T24" s="110"/>
      <c r="U24" s="110"/>
      <c r="V24" s="110"/>
      <c r="W24" s="110"/>
      <c r="X24" s="110"/>
      <c r="Y24" s="110"/>
      <c r="Z24" s="110"/>
      <c r="AA24" s="110"/>
      <c r="AB24" s="110"/>
      <c r="AC24" s="110"/>
      <c r="AD24" s="110"/>
      <c r="AE24" s="110"/>
      <c r="AF24" s="110"/>
      <c r="AG24" s="110"/>
      <c r="AH24" s="120"/>
      <c r="AI24" s="119"/>
    </row>
    <row r="25">
      <c r="A25" s="11">
        <v>44616.0</v>
      </c>
      <c r="B25" s="110"/>
      <c r="C25" s="110"/>
      <c r="D25" s="110"/>
      <c r="E25" s="110"/>
      <c r="F25" s="110"/>
      <c r="G25" s="110"/>
      <c r="H25" s="110"/>
      <c r="I25" s="110"/>
      <c r="J25" s="110"/>
      <c r="K25" s="110"/>
      <c r="L25" s="110"/>
      <c r="M25" s="110"/>
      <c r="N25" s="110"/>
      <c r="O25" s="110"/>
      <c r="P25" s="110"/>
      <c r="Q25" s="110"/>
      <c r="R25" s="110"/>
      <c r="S25" s="110"/>
      <c r="T25" s="110"/>
      <c r="U25" s="110"/>
      <c r="V25" s="110"/>
      <c r="W25" s="110"/>
      <c r="X25" s="110"/>
      <c r="Y25" s="110"/>
      <c r="Z25" s="110"/>
      <c r="AA25" s="110"/>
      <c r="AB25" s="110"/>
      <c r="AC25" s="110"/>
      <c r="AD25" s="110"/>
      <c r="AE25" s="110"/>
      <c r="AF25" s="110"/>
      <c r="AG25" s="110"/>
      <c r="AH25" s="120"/>
      <c r="AI25" s="119"/>
    </row>
    <row r="26">
      <c r="A26" s="20">
        <v>44617.0</v>
      </c>
      <c r="B26" s="110"/>
      <c r="C26" s="110"/>
      <c r="D26" s="110"/>
      <c r="E26" s="110"/>
      <c r="F26" s="110"/>
      <c r="G26" s="110"/>
      <c r="H26" s="110"/>
      <c r="I26" s="110"/>
      <c r="J26" s="110"/>
      <c r="K26" s="110"/>
      <c r="L26" s="110"/>
      <c r="M26" s="110"/>
      <c r="N26" s="110"/>
      <c r="O26" s="110"/>
      <c r="P26" s="110"/>
      <c r="Q26" s="110"/>
      <c r="R26" s="110"/>
      <c r="S26" s="110"/>
      <c r="T26" s="110"/>
      <c r="U26" s="110"/>
      <c r="V26" s="110"/>
      <c r="W26" s="110"/>
      <c r="X26" s="110"/>
      <c r="Y26" s="110"/>
      <c r="Z26" s="110"/>
      <c r="AA26" s="110"/>
      <c r="AB26" s="110"/>
      <c r="AC26" s="110"/>
      <c r="AD26" s="110"/>
      <c r="AE26" s="110"/>
      <c r="AF26" s="110"/>
      <c r="AG26" s="110"/>
      <c r="AH26" s="120"/>
      <c r="AI26" s="119"/>
    </row>
    <row r="27">
      <c r="A27" s="11">
        <v>44618.0</v>
      </c>
      <c r="B27" s="110"/>
      <c r="C27" s="110"/>
      <c r="D27" s="110"/>
      <c r="E27" s="110"/>
      <c r="F27" s="110"/>
      <c r="G27" s="110"/>
      <c r="H27" s="110"/>
      <c r="I27" s="110"/>
      <c r="J27" s="110"/>
      <c r="K27" s="110"/>
      <c r="L27" s="110"/>
      <c r="M27" s="110"/>
      <c r="N27" s="110"/>
      <c r="O27" s="110"/>
      <c r="P27" s="110"/>
      <c r="Q27" s="110"/>
      <c r="R27" s="110"/>
      <c r="S27" s="110"/>
      <c r="T27" s="110"/>
      <c r="U27" s="110"/>
      <c r="V27" s="110"/>
      <c r="W27" s="110"/>
      <c r="X27" s="110"/>
      <c r="Y27" s="110"/>
      <c r="Z27" s="110"/>
      <c r="AA27" s="110"/>
      <c r="AB27" s="110"/>
      <c r="AC27" s="110"/>
      <c r="AD27" s="110"/>
      <c r="AE27" s="110"/>
      <c r="AF27" s="110"/>
      <c r="AG27" s="110"/>
      <c r="AH27" s="120"/>
      <c r="AI27" s="119"/>
    </row>
    <row r="28">
      <c r="A28" s="11">
        <v>44619.0</v>
      </c>
      <c r="B28" s="110"/>
      <c r="C28" s="110"/>
      <c r="D28" s="110"/>
      <c r="E28" s="110"/>
      <c r="F28" s="110"/>
      <c r="G28" s="110"/>
      <c r="H28" s="110"/>
      <c r="I28" s="110"/>
      <c r="J28" s="110"/>
      <c r="K28" s="110"/>
      <c r="L28" s="110"/>
      <c r="M28" s="110"/>
      <c r="N28" s="110"/>
      <c r="O28" s="110"/>
      <c r="P28" s="110"/>
      <c r="Q28" s="110"/>
      <c r="R28" s="110"/>
      <c r="S28" s="110"/>
      <c r="T28" s="110"/>
      <c r="U28" s="110"/>
      <c r="V28" s="110"/>
      <c r="W28" s="110"/>
      <c r="X28" s="110"/>
      <c r="Y28" s="110"/>
      <c r="Z28" s="110"/>
      <c r="AA28" s="110"/>
      <c r="AB28" s="110"/>
      <c r="AC28" s="110"/>
      <c r="AD28" s="110"/>
      <c r="AE28" s="110"/>
      <c r="AF28" s="110"/>
      <c r="AG28" s="110"/>
      <c r="AH28" s="120"/>
      <c r="AI28" s="119"/>
    </row>
    <row r="29">
      <c r="A29" s="11">
        <v>44620.0</v>
      </c>
      <c r="B29" s="110"/>
      <c r="C29" s="110"/>
      <c r="D29" s="110"/>
      <c r="E29" s="110"/>
      <c r="F29" s="110"/>
      <c r="G29" s="110"/>
      <c r="H29" s="110"/>
      <c r="I29" s="110"/>
      <c r="J29" s="110"/>
      <c r="K29" s="110"/>
      <c r="L29" s="110"/>
      <c r="M29" s="110"/>
      <c r="N29" s="110"/>
      <c r="O29" s="110"/>
      <c r="P29" s="110"/>
      <c r="Q29" s="110"/>
      <c r="R29" s="110"/>
      <c r="S29" s="110"/>
      <c r="T29" s="110"/>
      <c r="U29" s="110"/>
      <c r="V29" s="110"/>
      <c r="W29" s="110"/>
      <c r="X29" s="110"/>
      <c r="Y29" s="110"/>
      <c r="Z29" s="110"/>
      <c r="AA29" s="110"/>
      <c r="AB29" s="110"/>
      <c r="AC29" s="110"/>
      <c r="AD29" s="110"/>
      <c r="AE29" s="110"/>
      <c r="AF29" s="110"/>
      <c r="AG29" s="110"/>
      <c r="AH29" s="120"/>
      <c r="AI29" s="119"/>
    </row>
    <row r="30">
      <c r="B30" s="110">
        <f t="shared" ref="B30:M30" si="1">SUM(B2:B29)</f>
        <v>0</v>
      </c>
      <c r="C30" s="110">
        <f t="shared" si="1"/>
        <v>244</v>
      </c>
      <c r="D30" s="110">
        <f t="shared" si="1"/>
        <v>10</v>
      </c>
      <c r="E30" s="110">
        <f t="shared" si="1"/>
        <v>0</v>
      </c>
      <c r="F30" s="110">
        <f t="shared" si="1"/>
        <v>0</v>
      </c>
      <c r="G30" s="110">
        <f t="shared" si="1"/>
        <v>0</v>
      </c>
      <c r="H30" s="110">
        <f t="shared" si="1"/>
        <v>0</v>
      </c>
      <c r="I30" s="110">
        <f t="shared" si="1"/>
        <v>60</v>
      </c>
      <c r="J30" s="110">
        <f t="shared" si="1"/>
        <v>5</v>
      </c>
      <c r="K30" s="110">
        <f t="shared" si="1"/>
        <v>6</v>
      </c>
      <c r="L30" s="110">
        <f t="shared" si="1"/>
        <v>0</v>
      </c>
      <c r="M30" s="110">
        <f t="shared" si="1"/>
        <v>0</v>
      </c>
      <c r="N30" s="110"/>
      <c r="O30" s="110">
        <f t="shared" ref="O30:AH30" si="2">SUM(O2:O29)</f>
        <v>0</v>
      </c>
      <c r="P30" s="110">
        <f t="shared" si="2"/>
        <v>0</v>
      </c>
      <c r="Q30" s="110">
        <f t="shared" si="2"/>
        <v>0</v>
      </c>
      <c r="R30" s="110">
        <f t="shared" si="2"/>
        <v>0</v>
      </c>
      <c r="S30" s="110">
        <f t="shared" si="2"/>
        <v>0</v>
      </c>
      <c r="T30" s="110">
        <f t="shared" si="2"/>
        <v>82</v>
      </c>
      <c r="U30" s="110">
        <f t="shared" si="2"/>
        <v>19</v>
      </c>
      <c r="V30" s="110">
        <f t="shared" si="2"/>
        <v>0</v>
      </c>
      <c r="W30" s="110">
        <f t="shared" si="2"/>
        <v>57</v>
      </c>
      <c r="X30" s="110">
        <f t="shared" si="2"/>
        <v>16</v>
      </c>
      <c r="Y30" s="110">
        <f t="shared" si="2"/>
        <v>64</v>
      </c>
      <c r="Z30" s="110">
        <f t="shared" si="2"/>
        <v>0</v>
      </c>
      <c r="AA30" s="110">
        <f t="shared" si="2"/>
        <v>343</v>
      </c>
      <c r="AB30" s="110">
        <f t="shared" si="2"/>
        <v>0</v>
      </c>
      <c r="AC30" s="110">
        <f t="shared" si="2"/>
        <v>0</v>
      </c>
      <c r="AD30" s="110">
        <f t="shared" si="2"/>
        <v>0</v>
      </c>
      <c r="AE30" s="110">
        <f t="shared" si="2"/>
        <v>10</v>
      </c>
      <c r="AF30" s="110">
        <f t="shared" si="2"/>
        <v>21</v>
      </c>
      <c r="AG30" s="110">
        <f t="shared" si="2"/>
        <v>0</v>
      </c>
      <c r="AH30" s="110">
        <f t="shared" si="2"/>
        <v>22</v>
      </c>
      <c r="AI30" s="119"/>
    </row>
    <row r="31">
      <c r="B31" s="111">
        <v>100.0</v>
      </c>
      <c r="C31" s="111">
        <v>100.0</v>
      </c>
      <c r="D31" s="111">
        <v>100.0</v>
      </c>
      <c r="E31" s="111">
        <v>70.0</v>
      </c>
      <c r="F31" s="111">
        <v>100.0</v>
      </c>
      <c r="G31" s="111">
        <v>100.0</v>
      </c>
      <c r="H31" s="111">
        <v>100.0</v>
      </c>
      <c r="I31" s="111">
        <v>70.0</v>
      </c>
      <c r="J31" s="111">
        <v>70.0</v>
      </c>
      <c r="K31" s="111">
        <v>100.0</v>
      </c>
      <c r="L31" s="111">
        <v>100.0</v>
      </c>
      <c r="M31" s="111">
        <v>100.0</v>
      </c>
      <c r="N31" s="111"/>
      <c r="O31" s="111">
        <v>60.0</v>
      </c>
      <c r="P31" s="111">
        <v>100.0</v>
      </c>
      <c r="Q31" s="111">
        <v>100.0</v>
      </c>
      <c r="R31" s="111">
        <v>70.0</v>
      </c>
      <c r="S31" s="111">
        <v>50.0</v>
      </c>
      <c r="T31" s="111">
        <v>150.0</v>
      </c>
      <c r="U31" s="111">
        <v>150.0</v>
      </c>
      <c r="V31" s="111">
        <v>60.0</v>
      </c>
      <c r="W31" s="111">
        <v>50.0</v>
      </c>
      <c r="X31" s="111">
        <v>150.0</v>
      </c>
      <c r="Y31" s="111">
        <v>200.0</v>
      </c>
      <c r="Z31" s="111">
        <v>120.0</v>
      </c>
      <c r="AA31" s="111">
        <v>80.0</v>
      </c>
      <c r="AB31" s="111">
        <v>100.0</v>
      </c>
      <c r="AC31" s="111">
        <v>150.0</v>
      </c>
      <c r="AD31" s="111">
        <v>200.0</v>
      </c>
      <c r="AE31" s="111">
        <v>250.0</v>
      </c>
      <c r="AF31" s="111">
        <v>150.0</v>
      </c>
      <c r="AG31" s="37"/>
      <c r="AH31" s="121">
        <v>150.0</v>
      </c>
      <c r="AI31" s="122"/>
    </row>
    <row r="32">
      <c r="B32" s="37">
        <f t="shared" ref="B32:M32" si="3">B31*B30</f>
        <v>0</v>
      </c>
      <c r="C32" s="37">
        <f t="shared" si="3"/>
        <v>24400</v>
      </c>
      <c r="D32" s="37">
        <f t="shared" si="3"/>
        <v>1000</v>
      </c>
      <c r="E32" s="37">
        <f t="shared" si="3"/>
        <v>0</v>
      </c>
      <c r="F32" s="37">
        <f t="shared" si="3"/>
        <v>0</v>
      </c>
      <c r="G32" s="37">
        <f t="shared" si="3"/>
        <v>0</v>
      </c>
      <c r="H32" s="37">
        <f t="shared" si="3"/>
        <v>0</v>
      </c>
      <c r="I32" s="37">
        <f t="shared" si="3"/>
        <v>4200</v>
      </c>
      <c r="J32" s="37">
        <f t="shared" si="3"/>
        <v>350</v>
      </c>
      <c r="K32" s="37">
        <f t="shared" si="3"/>
        <v>600</v>
      </c>
      <c r="L32" s="37">
        <f t="shared" si="3"/>
        <v>0</v>
      </c>
      <c r="M32" s="37">
        <f t="shared" si="3"/>
        <v>0</v>
      </c>
      <c r="N32" s="37"/>
      <c r="O32" s="37">
        <f t="shared" ref="O32:AH32" si="4">O31*O30</f>
        <v>0</v>
      </c>
      <c r="P32" s="37">
        <f t="shared" si="4"/>
        <v>0</v>
      </c>
      <c r="Q32" s="37">
        <f t="shared" si="4"/>
        <v>0</v>
      </c>
      <c r="R32" s="37">
        <f t="shared" si="4"/>
        <v>0</v>
      </c>
      <c r="S32" s="37">
        <f t="shared" si="4"/>
        <v>0</v>
      </c>
      <c r="T32" s="37">
        <f t="shared" si="4"/>
        <v>12300</v>
      </c>
      <c r="U32" s="37">
        <f t="shared" si="4"/>
        <v>2850</v>
      </c>
      <c r="V32" s="37">
        <f t="shared" si="4"/>
        <v>0</v>
      </c>
      <c r="W32" s="37">
        <f t="shared" si="4"/>
        <v>2850</v>
      </c>
      <c r="X32" s="37">
        <f t="shared" si="4"/>
        <v>2400</v>
      </c>
      <c r="Y32" s="37">
        <f t="shared" si="4"/>
        <v>12800</v>
      </c>
      <c r="Z32" s="37">
        <f t="shared" si="4"/>
        <v>0</v>
      </c>
      <c r="AA32" s="37">
        <f t="shared" si="4"/>
        <v>27440</v>
      </c>
      <c r="AB32" s="37">
        <f t="shared" si="4"/>
        <v>0</v>
      </c>
      <c r="AC32" s="37">
        <f t="shared" si="4"/>
        <v>0</v>
      </c>
      <c r="AD32" s="37">
        <f t="shared" si="4"/>
        <v>0</v>
      </c>
      <c r="AE32" s="37">
        <f t="shared" si="4"/>
        <v>2500</v>
      </c>
      <c r="AF32" s="37">
        <f t="shared" si="4"/>
        <v>3150</v>
      </c>
      <c r="AG32" s="37">
        <f t="shared" si="4"/>
        <v>0</v>
      </c>
      <c r="AH32" s="37">
        <f t="shared" si="4"/>
        <v>3300</v>
      </c>
      <c r="AI32" s="112">
        <f>SUM(B32:AH32)</f>
        <v>100140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5"/>
    <col customWidth="1" min="5" max="5" width="15.75"/>
    <col customWidth="1" min="6" max="6" width="16.5"/>
    <col customWidth="1" min="7" max="7" width="16.0"/>
    <col customWidth="1" min="8" max="8" width="16.5"/>
    <col customWidth="1" min="15" max="16" width="15.38"/>
    <col customWidth="1" min="17" max="17" width="20.63"/>
    <col customWidth="1" min="18" max="18" width="21.25"/>
    <col customWidth="1" min="19" max="19" width="20.75"/>
    <col customWidth="1" min="20" max="20" width="19.75"/>
    <col customWidth="1" min="21" max="21" width="25.5"/>
    <col customWidth="1" min="22" max="22" width="17.25"/>
    <col customWidth="1" min="24" max="24" width="15.75"/>
    <col customWidth="1" min="25" max="25" width="19.38"/>
    <col customWidth="1" min="26" max="26" width="17.88"/>
    <col customWidth="1" min="27" max="27" width="18.13"/>
    <col customWidth="1" min="28" max="28" width="19.88"/>
    <col customWidth="1" min="29" max="29" width="30.75"/>
    <col customWidth="1" min="30" max="30" width="33.75"/>
    <col customWidth="1" min="34" max="34" width="19.0"/>
  </cols>
  <sheetData>
    <row r="1">
      <c r="A1" s="2" t="s">
        <v>0</v>
      </c>
      <c r="B1" s="109" t="s">
        <v>390</v>
      </c>
      <c r="C1" s="109" t="s">
        <v>391</v>
      </c>
      <c r="D1" s="109" t="s">
        <v>392</v>
      </c>
      <c r="E1" s="109" t="s">
        <v>393</v>
      </c>
      <c r="F1" s="109" t="s">
        <v>394</v>
      </c>
      <c r="G1" s="109" t="s">
        <v>395</v>
      </c>
      <c r="H1" s="109" t="s">
        <v>396</v>
      </c>
      <c r="I1" s="109" t="s">
        <v>397</v>
      </c>
      <c r="J1" s="109" t="s">
        <v>398</v>
      </c>
      <c r="K1" s="109" t="s">
        <v>399</v>
      </c>
      <c r="L1" s="109" t="s">
        <v>400</v>
      </c>
      <c r="M1" s="109" t="s">
        <v>401</v>
      </c>
      <c r="N1" s="109" t="s">
        <v>403</v>
      </c>
      <c r="O1" s="109" t="s">
        <v>423</v>
      </c>
      <c r="P1" s="109" t="s">
        <v>404</v>
      </c>
      <c r="Q1" s="109" t="s">
        <v>405</v>
      </c>
      <c r="R1" s="109" t="s">
        <v>406</v>
      </c>
      <c r="S1" s="109" t="s">
        <v>407</v>
      </c>
      <c r="T1" s="109" t="s">
        <v>408</v>
      </c>
      <c r="U1" s="109" t="s">
        <v>409</v>
      </c>
      <c r="V1" s="109" t="s">
        <v>410</v>
      </c>
      <c r="W1" s="109" t="s">
        <v>412</v>
      </c>
      <c r="X1" s="109" t="s">
        <v>413</v>
      </c>
      <c r="Y1" s="109" t="s">
        <v>414</v>
      </c>
      <c r="Z1" s="109" t="s">
        <v>415</v>
      </c>
      <c r="AA1" s="109" t="s">
        <v>416</v>
      </c>
      <c r="AB1" s="109" t="s">
        <v>417</v>
      </c>
      <c r="AC1" s="109" t="s">
        <v>418</v>
      </c>
      <c r="AD1" s="109" t="s">
        <v>424</v>
      </c>
      <c r="AE1" s="109"/>
      <c r="AF1" s="109"/>
      <c r="AG1" s="109"/>
      <c r="AH1" s="117"/>
    </row>
    <row r="2">
      <c r="A2" s="11">
        <v>44593.0</v>
      </c>
      <c r="B2" s="36">
        <v>40.0</v>
      </c>
      <c r="C2" s="36">
        <v>0.0</v>
      </c>
      <c r="D2" s="36">
        <v>10.0</v>
      </c>
      <c r="E2" s="36">
        <v>0.0</v>
      </c>
      <c r="F2" s="36">
        <v>0.0</v>
      </c>
      <c r="G2" s="36">
        <v>0.0</v>
      </c>
      <c r="H2" s="36">
        <v>0.0</v>
      </c>
      <c r="I2" s="36">
        <v>0.0</v>
      </c>
      <c r="J2" s="36">
        <v>0.0</v>
      </c>
      <c r="K2" s="36">
        <v>0.0</v>
      </c>
      <c r="L2" s="36">
        <v>0.0</v>
      </c>
      <c r="M2" s="36">
        <v>0.0</v>
      </c>
      <c r="N2" s="36">
        <v>16.0</v>
      </c>
      <c r="O2" s="36">
        <v>0.0</v>
      </c>
      <c r="P2" s="36">
        <v>0.0</v>
      </c>
      <c r="Q2" s="36">
        <v>0.0</v>
      </c>
      <c r="R2" s="36">
        <v>0.0</v>
      </c>
      <c r="S2" s="36">
        <v>0.0</v>
      </c>
      <c r="T2" s="36">
        <v>0.0</v>
      </c>
      <c r="U2" s="36">
        <v>0.0</v>
      </c>
      <c r="V2" s="36">
        <v>0.0</v>
      </c>
      <c r="W2" s="36">
        <v>13.0</v>
      </c>
      <c r="X2" s="36">
        <v>0.0</v>
      </c>
      <c r="Y2" s="36">
        <v>0.0</v>
      </c>
      <c r="Z2" s="36">
        <v>0.0</v>
      </c>
      <c r="AA2" s="36">
        <v>0.0</v>
      </c>
      <c r="AB2" s="36">
        <v>0.0</v>
      </c>
      <c r="AC2" s="36">
        <v>0.0</v>
      </c>
      <c r="AD2" s="36">
        <v>0.0</v>
      </c>
      <c r="AE2" s="110"/>
      <c r="AF2" s="110"/>
      <c r="AG2" s="120"/>
      <c r="AH2" s="119"/>
    </row>
    <row r="3">
      <c r="A3" s="11">
        <v>44594.0</v>
      </c>
      <c r="B3" s="36">
        <v>40.0</v>
      </c>
      <c r="C3" s="36">
        <v>0.0</v>
      </c>
      <c r="D3" s="36">
        <v>0.0</v>
      </c>
      <c r="E3" s="36">
        <v>5.0</v>
      </c>
      <c r="F3" s="36">
        <v>0.0</v>
      </c>
      <c r="G3" s="36">
        <v>0.0</v>
      </c>
      <c r="H3" s="36">
        <v>5.0</v>
      </c>
      <c r="I3" s="36">
        <v>20.0</v>
      </c>
      <c r="J3" s="36">
        <v>0.0</v>
      </c>
      <c r="K3" s="36">
        <v>0.0</v>
      </c>
      <c r="L3" s="36">
        <v>0.0</v>
      </c>
      <c r="M3" s="36">
        <v>0.0</v>
      </c>
      <c r="N3" s="36">
        <v>22.0</v>
      </c>
      <c r="O3" s="36">
        <v>0.0</v>
      </c>
      <c r="P3" s="36">
        <v>0.0</v>
      </c>
      <c r="Q3" s="36">
        <v>0.0</v>
      </c>
      <c r="R3" s="36">
        <v>0.0</v>
      </c>
      <c r="S3" s="36">
        <v>0.0</v>
      </c>
      <c r="T3" s="36">
        <v>0.0</v>
      </c>
      <c r="U3" s="36">
        <v>0.0</v>
      </c>
      <c r="V3" s="36">
        <v>0.0</v>
      </c>
      <c r="W3" s="36">
        <v>0.0</v>
      </c>
      <c r="X3" s="36">
        <v>0.0</v>
      </c>
      <c r="Y3" s="36">
        <v>0.0</v>
      </c>
      <c r="Z3" s="36">
        <v>0.0</v>
      </c>
      <c r="AA3" s="36">
        <v>0.0</v>
      </c>
      <c r="AB3" s="36">
        <v>0.0</v>
      </c>
      <c r="AC3" s="36">
        <v>0.0</v>
      </c>
      <c r="AD3" s="36">
        <v>0.0</v>
      </c>
      <c r="AE3" s="36"/>
      <c r="AF3" s="36"/>
      <c r="AG3" s="118"/>
      <c r="AH3" s="119"/>
    </row>
    <row r="4">
      <c r="A4" s="11">
        <v>44595.0</v>
      </c>
      <c r="B4" s="36">
        <v>20.0</v>
      </c>
      <c r="C4" s="36">
        <v>0.0</v>
      </c>
      <c r="D4" s="36">
        <v>0.0</v>
      </c>
      <c r="E4" s="36">
        <v>0.0</v>
      </c>
      <c r="F4" s="36">
        <v>0.0</v>
      </c>
      <c r="G4" s="36">
        <v>10.0</v>
      </c>
      <c r="H4" s="36">
        <v>0.0</v>
      </c>
      <c r="I4" s="36">
        <v>0.0</v>
      </c>
      <c r="J4" s="36">
        <v>0.0</v>
      </c>
      <c r="K4" s="36">
        <v>0.0</v>
      </c>
      <c r="L4" s="36">
        <v>0.0</v>
      </c>
      <c r="M4" s="36">
        <v>0.0</v>
      </c>
      <c r="N4" s="36">
        <v>20.0</v>
      </c>
      <c r="O4" s="36">
        <v>0.0</v>
      </c>
      <c r="P4" s="36">
        <v>0.0</v>
      </c>
      <c r="Q4" s="36">
        <v>0.0</v>
      </c>
      <c r="R4" s="36">
        <v>0.0</v>
      </c>
      <c r="S4" s="36">
        <v>0.0</v>
      </c>
      <c r="T4" s="36">
        <v>0.0</v>
      </c>
      <c r="U4" s="36">
        <v>0.0</v>
      </c>
      <c r="V4" s="36">
        <v>20.0</v>
      </c>
      <c r="W4" s="36">
        <v>0.0</v>
      </c>
      <c r="X4" s="36">
        <v>0.0</v>
      </c>
      <c r="Y4" s="36">
        <v>0.0</v>
      </c>
      <c r="Z4" s="36">
        <v>0.0</v>
      </c>
      <c r="AA4" s="36">
        <v>0.0</v>
      </c>
      <c r="AB4" s="36">
        <v>0.0</v>
      </c>
      <c r="AC4" s="36">
        <v>0.0</v>
      </c>
      <c r="AD4" s="36">
        <v>0.0</v>
      </c>
      <c r="AE4" s="110"/>
      <c r="AF4" s="110"/>
      <c r="AG4" s="120"/>
      <c r="AH4" s="119"/>
    </row>
    <row r="5">
      <c r="A5" s="20">
        <v>44596.0</v>
      </c>
      <c r="B5" s="36">
        <v>0.0</v>
      </c>
      <c r="C5" s="36">
        <v>0.0</v>
      </c>
      <c r="D5" s="36">
        <v>0.0</v>
      </c>
      <c r="E5" s="36">
        <v>0.0</v>
      </c>
      <c r="F5" s="36">
        <v>0.0</v>
      </c>
      <c r="G5" s="36">
        <v>0.0</v>
      </c>
      <c r="H5" s="36">
        <v>0.0</v>
      </c>
      <c r="I5" s="36">
        <v>0.0</v>
      </c>
      <c r="J5" s="36">
        <v>0.0</v>
      </c>
      <c r="K5" s="36">
        <v>0.0</v>
      </c>
      <c r="L5" s="36">
        <v>0.0</v>
      </c>
      <c r="M5" s="36">
        <v>0.0</v>
      </c>
      <c r="N5" s="36">
        <v>0.0</v>
      </c>
      <c r="O5" s="36">
        <v>0.0</v>
      </c>
      <c r="P5" s="36">
        <v>0.0</v>
      </c>
      <c r="Q5" s="36">
        <v>0.0</v>
      </c>
      <c r="R5" s="36">
        <v>0.0</v>
      </c>
      <c r="S5" s="36">
        <v>0.0</v>
      </c>
      <c r="T5" s="36">
        <v>0.0</v>
      </c>
      <c r="U5" s="36">
        <v>0.0</v>
      </c>
      <c r="V5" s="36">
        <v>0.0</v>
      </c>
      <c r="W5" s="36">
        <v>0.0</v>
      </c>
      <c r="X5" s="36">
        <v>0.0</v>
      </c>
      <c r="Y5" s="36">
        <v>0.0</v>
      </c>
      <c r="Z5" s="36">
        <v>0.0</v>
      </c>
      <c r="AA5" s="36">
        <v>0.0</v>
      </c>
      <c r="AB5" s="36">
        <v>0.0</v>
      </c>
      <c r="AC5" s="36">
        <v>0.0</v>
      </c>
      <c r="AD5" s="36">
        <v>0.0</v>
      </c>
      <c r="AE5" s="36">
        <v>0.0</v>
      </c>
      <c r="AF5" s="110"/>
      <c r="AG5" s="120"/>
      <c r="AH5" s="119"/>
    </row>
    <row r="6">
      <c r="A6" s="11">
        <v>44597.0</v>
      </c>
      <c r="B6" s="36">
        <v>20.0</v>
      </c>
      <c r="C6" s="36">
        <v>14.0</v>
      </c>
      <c r="D6" s="36">
        <v>0.0</v>
      </c>
      <c r="E6" s="36">
        <v>0.0</v>
      </c>
      <c r="F6" s="36">
        <v>0.0</v>
      </c>
      <c r="G6" s="36">
        <v>0.0</v>
      </c>
      <c r="H6" s="36">
        <v>0.0</v>
      </c>
      <c r="I6" s="36">
        <v>0.0</v>
      </c>
      <c r="J6" s="36">
        <v>0.0</v>
      </c>
      <c r="K6" s="36">
        <v>0.0</v>
      </c>
      <c r="L6" s="36">
        <v>0.0</v>
      </c>
      <c r="M6" s="36">
        <v>0.0</v>
      </c>
      <c r="N6" s="36">
        <v>15.0</v>
      </c>
      <c r="O6" s="36">
        <v>0.0</v>
      </c>
      <c r="P6" s="36">
        <v>0.0</v>
      </c>
      <c r="Q6" s="36">
        <v>0.0</v>
      </c>
      <c r="R6" s="36">
        <v>0.0</v>
      </c>
      <c r="S6" s="36">
        <v>0.0</v>
      </c>
      <c r="T6" s="36">
        <v>0.0</v>
      </c>
      <c r="U6" s="36">
        <v>0.0</v>
      </c>
      <c r="V6" s="36">
        <v>0.0</v>
      </c>
      <c r="W6" s="36">
        <v>23.0</v>
      </c>
      <c r="X6" s="36">
        <v>0.0</v>
      </c>
      <c r="Y6" s="36">
        <v>0.0</v>
      </c>
      <c r="Z6" s="36">
        <v>0.0</v>
      </c>
      <c r="AA6" s="36">
        <v>0.0</v>
      </c>
      <c r="AB6" s="36">
        <v>0.0</v>
      </c>
      <c r="AC6" s="36">
        <v>0.0</v>
      </c>
      <c r="AD6" s="36">
        <v>0.0</v>
      </c>
      <c r="AE6" s="110"/>
      <c r="AF6" s="110"/>
      <c r="AG6" s="120"/>
      <c r="AH6" s="119"/>
    </row>
    <row r="7">
      <c r="A7" s="11">
        <v>44598.0</v>
      </c>
      <c r="B7" s="36">
        <v>15.0</v>
      </c>
      <c r="C7" s="36">
        <v>0.0</v>
      </c>
      <c r="D7" s="36">
        <v>0.0</v>
      </c>
      <c r="E7" s="36">
        <v>0.0</v>
      </c>
      <c r="F7" s="36">
        <v>0.0</v>
      </c>
      <c r="G7" s="36">
        <v>0.0</v>
      </c>
      <c r="H7" s="36">
        <v>0.0</v>
      </c>
      <c r="I7" s="36">
        <v>0.0</v>
      </c>
      <c r="J7" s="36">
        <v>0.0</v>
      </c>
      <c r="K7" s="36">
        <v>0.0</v>
      </c>
      <c r="L7" s="36">
        <v>0.0</v>
      </c>
      <c r="M7" s="36">
        <v>0.0</v>
      </c>
      <c r="N7" s="36">
        <v>18.0</v>
      </c>
      <c r="O7" s="36">
        <v>0.0</v>
      </c>
      <c r="P7" s="36">
        <v>20.0</v>
      </c>
      <c r="Q7" s="36">
        <v>0.0</v>
      </c>
      <c r="R7" s="36">
        <v>0.0</v>
      </c>
      <c r="S7" s="36">
        <v>0.0</v>
      </c>
      <c r="T7" s="36">
        <v>0.0</v>
      </c>
      <c r="U7" s="36">
        <v>0.0</v>
      </c>
      <c r="V7" s="36">
        <v>0.0</v>
      </c>
      <c r="W7" s="36">
        <v>0.0</v>
      </c>
      <c r="X7" s="36">
        <v>0.0</v>
      </c>
      <c r="Y7" s="36">
        <v>0.0</v>
      </c>
      <c r="Z7" s="36">
        <v>0.0</v>
      </c>
      <c r="AA7" s="36">
        <v>0.0</v>
      </c>
      <c r="AB7" s="36">
        <v>0.0</v>
      </c>
      <c r="AC7" s="36">
        <v>0.0</v>
      </c>
      <c r="AD7" s="36">
        <v>0.0</v>
      </c>
      <c r="AE7" s="110"/>
      <c r="AF7" s="110"/>
      <c r="AG7" s="120"/>
      <c r="AH7" s="119"/>
    </row>
    <row r="8">
      <c r="A8" s="11">
        <v>44599.0</v>
      </c>
      <c r="B8" s="36">
        <v>14.0</v>
      </c>
      <c r="C8" s="36">
        <v>0.0</v>
      </c>
      <c r="D8" s="36">
        <v>12.0</v>
      </c>
      <c r="E8" s="36">
        <v>0.0</v>
      </c>
      <c r="F8" s="36">
        <v>0.0</v>
      </c>
      <c r="G8" s="36">
        <v>0.0</v>
      </c>
      <c r="H8" s="36">
        <v>0.0</v>
      </c>
      <c r="I8" s="36">
        <v>0.0</v>
      </c>
      <c r="J8" s="36">
        <v>0.0</v>
      </c>
      <c r="K8" s="36">
        <v>0.0</v>
      </c>
      <c r="L8" s="36">
        <v>0.0</v>
      </c>
      <c r="M8" s="36">
        <v>0.0</v>
      </c>
      <c r="N8" s="36">
        <v>21.0</v>
      </c>
      <c r="O8" s="36">
        <v>0.0</v>
      </c>
      <c r="P8" s="36">
        <v>0.0</v>
      </c>
      <c r="Q8" s="36">
        <v>0.0</v>
      </c>
      <c r="R8" s="36">
        <v>23.0</v>
      </c>
      <c r="S8" s="36">
        <v>0.0</v>
      </c>
      <c r="T8" s="36">
        <v>0.0</v>
      </c>
      <c r="U8" s="36">
        <v>0.0</v>
      </c>
      <c r="V8" s="36">
        <v>0.0</v>
      </c>
      <c r="W8" s="36">
        <v>0.0</v>
      </c>
      <c r="X8" s="36">
        <v>0.0</v>
      </c>
      <c r="Y8" s="36">
        <v>0.0</v>
      </c>
      <c r="Z8" s="36">
        <v>0.0</v>
      </c>
      <c r="AA8" s="36">
        <v>0.0</v>
      </c>
      <c r="AB8" s="36">
        <v>0.0</v>
      </c>
      <c r="AC8" s="36">
        <v>0.0</v>
      </c>
      <c r="AD8" s="36">
        <v>0.0</v>
      </c>
      <c r="AE8" s="110"/>
      <c r="AF8" s="110"/>
      <c r="AG8" s="120"/>
      <c r="AH8" s="119"/>
    </row>
    <row r="9">
      <c r="A9" s="11">
        <v>44600.0</v>
      </c>
      <c r="B9" s="36">
        <v>17.0</v>
      </c>
      <c r="C9" s="36">
        <v>0.0</v>
      </c>
      <c r="D9" s="36">
        <v>0.0</v>
      </c>
      <c r="E9" s="36">
        <v>0.0</v>
      </c>
      <c r="F9" s="36">
        <v>0.0</v>
      </c>
      <c r="G9" s="36">
        <v>0.0</v>
      </c>
      <c r="H9" s="36">
        <v>0.0</v>
      </c>
      <c r="I9" s="36">
        <v>14.0</v>
      </c>
      <c r="J9" s="36">
        <v>0.0</v>
      </c>
      <c r="K9" s="36">
        <v>0.0</v>
      </c>
      <c r="L9" s="36">
        <v>0.0</v>
      </c>
      <c r="M9" s="36">
        <v>0.0</v>
      </c>
      <c r="N9" s="36">
        <v>22.0</v>
      </c>
      <c r="O9" s="36">
        <v>44.0</v>
      </c>
      <c r="P9" s="36">
        <v>0.0</v>
      </c>
      <c r="Q9" s="36">
        <v>0.0</v>
      </c>
      <c r="R9" s="36">
        <v>20.0</v>
      </c>
      <c r="S9" s="36">
        <v>0.0</v>
      </c>
      <c r="T9" s="36">
        <v>0.0</v>
      </c>
      <c r="U9" s="36">
        <v>0.0</v>
      </c>
      <c r="V9" s="36">
        <v>0.0</v>
      </c>
      <c r="W9" s="36">
        <v>0.0</v>
      </c>
      <c r="X9" s="36">
        <v>0.0</v>
      </c>
      <c r="Y9" s="36">
        <v>0.0</v>
      </c>
      <c r="Z9" s="36">
        <v>0.0</v>
      </c>
      <c r="AA9" s="36">
        <v>0.0</v>
      </c>
      <c r="AB9" s="36">
        <v>0.0</v>
      </c>
      <c r="AC9" s="36">
        <v>0.0</v>
      </c>
      <c r="AD9" s="36">
        <v>0.0</v>
      </c>
      <c r="AE9" s="110"/>
      <c r="AF9" s="110"/>
      <c r="AG9" s="120"/>
      <c r="AH9" s="119"/>
    </row>
    <row r="10">
      <c r="A10" s="11">
        <v>44601.0</v>
      </c>
      <c r="B10" s="36">
        <v>23.0</v>
      </c>
      <c r="C10" s="36">
        <v>0.0</v>
      </c>
      <c r="D10" s="36">
        <v>0.0</v>
      </c>
      <c r="E10" s="36">
        <v>3.0</v>
      </c>
      <c r="F10" s="36">
        <v>0.0</v>
      </c>
      <c r="G10" s="36">
        <v>0.0</v>
      </c>
      <c r="H10" s="36">
        <v>3.0</v>
      </c>
      <c r="I10" s="36">
        <v>6.0</v>
      </c>
      <c r="J10" s="36">
        <v>0.0</v>
      </c>
      <c r="K10" s="36">
        <v>3.0</v>
      </c>
      <c r="L10" s="36">
        <v>0.0</v>
      </c>
      <c r="M10" s="36">
        <v>3.0</v>
      </c>
      <c r="N10" s="36">
        <v>20.0</v>
      </c>
      <c r="O10" s="36">
        <v>0.0</v>
      </c>
      <c r="P10" s="36">
        <v>0.0</v>
      </c>
      <c r="Q10" s="36">
        <v>0.0</v>
      </c>
      <c r="R10" s="36">
        <v>0.0</v>
      </c>
      <c r="S10" s="36">
        <v>0.0</v>
      </c>
      <c r="T10" s="36">
        <v>0.0</v>
      </c>
      <c r="U10" s="36">
        <v>0.0</v>
      </c>
      <c r="V10" s="36">
        <v>0.0</v>
      </c>
      <c r="W10" s="36">
        <v>0.0</v>
      </c>
      <c r="X10" s="36">
        <v>0.0</v>
      </c>
      <c r="Y10" s="36">
        <v>0.0</v>
      </c>
      <c r="Z10" s="36">
        <v>0.0</v>
      </c>
      <c r="AA10" s="36">
        <v>0.0</v>
      </c>
      <c r="AB10" s="36">
        <v>0.0</v>
      </c>
      <c r="AC10" s="36">
        <v>0.0</v>
      </c>
      <c r="AD10" s="36">
        <v>0.0</v>
      </c>
      <c r="AE10" s="36">
        <v>0.0</v>
      </c>
      <c r="AF10" s="110"/>
      <c r="AG10" s="120"/>
      <c r="AH10" s="119"/>
    </row>
    <row r="11">
      <c r="A11" s="11">
        <v>44602.0</v>
      </c>
      <c r="B11" s="36">
        <v>40.0</v>
      </c>
      <c r="C11" s="36">
        <v>0.0</v>
      </c>
      <c r="D11" s="36">
        <v>0.0</v>
      </c>
      <c r="E11" s="36">
        <v>0.0</v>
      </c>
      <c r="F11" s="36">
        <v>8.0</v>
      </c>
      <c r="G11" s="36">
        <v>0.0</v>
      </c>
      <c r="H11" s="36">
        <v>5.0</v>
      </c>
      <c r="I11" s="36">
        <v>0.0</v>
      </c>
      <c r="J11" s="36">
        <v>0.0</v>
      </c>
      <c r="K11" s="36">
        <v>0.0</v>
      </c>
      <c r="L11" s="36">
        <v>0.0</v>
      </c>
      <c r="M11" s="36">
        <v>0.0</v>
      </c>
      <c r="N11" s="36">
        <v>0.0</v>
      </c>
      <c r="O11" s="36">
        <v>0.0</v>
      </c>
      <c r="P11" s="36">
        <v>0.0</v>
      </c>
      <c r="Q11" s="36">
        <v>0.0</v>
      </c>
      <c r="R11" s="36">
        <v>0.0</v>
      </c>
      <c r="S11" s="36">
        <v>0.0</v>
      </c>
      <c r="T11" s="36">
        <v>0.0</v>
      </c>
      <c r="U11" s="36">
        <v>0.0</v>
      </c>
      <c r="V11" s="36">
        <v>0.0</v>
      </c>
      <c r="W11" s="36">
        <v>0.0</v>
      </c>
      <c r="X11" s="36">
        <v>0.0</v>
      </c>
      <c r="Y11" s="36">
        <v>0.0</v>
      </c>
      <c r="Z11" s="36">
        <v>0.0</v>
      </c>
      <c r="AA11" s="36">
        <v>0.0</v>
      </c>
      <c r="AB11" s="36">
        <v>0.0</v>
      </c>
      <c r="AC11" s="36">
        <v>0.0</v>
      </c>
      <c r="AD11" s="36">
        <v>0.0</v>
      </c>
      <c r="AE11" s="36">
        <v>0.0</v>
      </c>
      <c r="AF11" s="36">
        <v>0.0</v>
      </c>
      <c r="AG11" s="118">
        <v>0.0</v>
      </c>
      <c r="AH11" s="119"/>
    </row>
    <row r="12">
      <c r="A12" s="20">
        <v>44603.0</v>
      </c>
      <c r="B12" s="36">
        <v>0.0</v>
      </c>
      <c r="C12" s="36">
        <v>0.0</v>
      </c>
      <c r="D12" s="36">
        <v>0.0</v>
      </c>
      <c r="E12" s="36">
        <v>0.0</v>
      </c>
      <c r="F12" s="36">
        <v>0.0</v>
      </c>
      <c r="G12" s="36">
        <v>0.0</v>
      </c>
      <c r="H12" s="36">
        <v>0.0</v>
      </c>
      <c r="I12" s="36">
        <v>0.0</v>
      </c>
      <c r="J12" s="36">
        <v>0.0</v>
      </c>
      <c r="K12" s="36">
        <v>0.0</v>
      </c>
      <c r="L12" s="36">
        <v>0.0</v>
      </c>
      <c r="M12" s="36">
        <v>0.0</v>
      </c>
      <c r="N12" s="36">
        <v>0.0</v>
      </c>
      <c r="O12" s="36">
        <v>0.0</v>
      </c>
      <c r="P12" s="36">
        <v>0.0</v>
      </c>
      <c r="Q12" s="36">
        <v>0.0</v>
      </c>
      <c r="R12" s="36">
        <v>0.0</v>
      </c>
      <c r="S12" s="36">
        <v>0.0</v>
      </c>
      <c r="T12" s="36">
        <v>0.0</v>
      </c>
      <c r="U12" s="36">
        <v>0.0</v>
      </c>
      <c r="V12" s="36">
        <v>0.0</v>
      </c>
      <c r="W12" s="36">
        <v>0.0</v>
      </c>
      <c r="X12" s="36">
        <v>0.0</v>
      </c>
      <c r="Y12" s="36">
        <v>0.0</v>
      </c>
      <c r="Z12" s="36">
        <v>0.0</v>
      </c>
      <c r="AA12" s="36">
        <v>0.0</v>
      </c>
      <c r="AB12" s="36">
        <v>0.0</v>
      </c>
      <c r="AC12" s="36">
        <v>0.0</v>
      </c>
      <c r="AD12" s="36">
        <v>0.0</v>
      </c>
      <c r="AE12" s="36">
        <v>0.0</v>
      </c>
      <c r="AF12" s="36">
        <v>0.0</v>
      </c>
      <c r="AG12" s="120"/>
      <c r="AH12" s="119"/>
    </row>
    <row r="13">
      <c r="A13" s="11">
        <v>44604.0</v>
      </c>
      <c r="B13" s="36">
        <v>19.0</v>
      </c>
      <c r="C13" s="36">
        <v>34.0</v>
      </c>
      <c r="D13" s="36">
        <v>0.0</v>
      </c>
      <c r="E13" s="36">
        <v>0.0</v>
      </c>
      <c r="F13" s="36">
        <v>0.0</v>
      </c>
      <c r="G13" s="36">
        <v>0.0</v>
      </c>
      <c r="H13" s="36">
        <v>0.0</v>
      </c>
      <c r="I13" s="36">
        <v>0.0</v>
      </c>
      <c r="J13" s="36">
        <v>0.0</v>
      </c>
      <c r="K13" s="36">
        <v>0.0</v>
      </c>
      <c r="L13" s="36">
        <v>0.0</v>
      </c>
      <c r="M13" s="36">
        <v>0.0</v>
      </c>
      <c r="N13" s="36">
        <v>22.0</v>
      </c>
      <c r="O13" s="36">
        <v>33.0</v>
      </c>
      <c r="P13" s="36">
        <v>0.0</v>
      </c>
      <c r="Q13" s="36">
        <v>0.0</v>
      </c>
      <c r="R13" s="36">
        <v>34.0</v>
      </c>
      <c r="S13" s="36">
        <v>0.0</v>
      </c>
      <c r="T13" s="36">
        <v>25.0</v>
      </c>
      <c r="U13" s="36">
        <v>0.0</v>
      </c>
      <c r="V13" s="36">
        <v>0.0</v>
      </c>
      <c r="W13" s="36">
        <v>0.0</v>
      </c>
      <c r="X13" s="36">
        <v>0.0</v>
      </c>
      <c r="Y13" s="36">
        <v>0.0</v>
      </c>
      <c r="Z13" s="36">
        <v>0.0</v>
      </c>
      <c r="AA13" s="36">
        <v>0.0</v>
      </c>
      <c r="AB13" s="36">
        <v>0.0</v>
      </c>
      <c r="AC13" s="36">
        <v>0.0</v>
      </c>
      <c r="AD13" s="36">
        <v>0.0</v>
      </c>
      <c r="AE13" s="36">
        <v>0.0</v>
      </c>
      <c r="AF13" s="36">
        <v>0.0</v>
      </c>
      <c r="AG13" s="120"/>
      <c r="AH13" s="119"/>
    </row>
    <row r="14">
      <c r="A14" s="11">
        <v>44605.0</v>
      </c>
      <c r="B14" s="36">
        <v>19.0</v>
      </c>
      <c r="C14" s="36">
        <v>0.0</v>
      </c>
      <c r="D14" s="36">
        <v>0.0</v>
      </c>
      <c r="E14" s="36">
        <v>0.0</v>
      </c>
      <c r="F14" s="36">
        <v>0.0</v>
      </c>
      <c r="G14" s="36">
        <v>0.0</v>
      </c>
      <c r="H14" s="36">
        <v>0.0</v>
      </c>
      <c r="I14" s="36">
        <v>0.0</v>
      </c>
      <c r="J14" s="36">
        <v>0.0</v>
      </c>
      <c r="K14" s="36">
        <v>0.0</v>
      </c>
      <c r="L14" s="36">
        <v>0.0</v>
      </c>
      <c r="M14" s="36">
        <v>0.0</v>
      </c>
      <c r="N14" s="36">
        <v>17.0</v>
      </c>
      <c r="O14" s="36">
        <v>0.0</v>
      </c>
      <c r="P14" s="36">
        <v>0.0</v>
      </c>
      <c r="Q14" s="36">
        <v>0.0</v>
      </c>
      <c r="R14" s="36">
        <v>0.0</v>
      </c>
      <c r="S14" s="36">
        <v>48.0</v>
      </c>
      <c r="T14" s="36">
        <v>0.0</v>
      </c>
      <c r="U14" s="36">
        <v>0.0</v>
      </c>
      <c r="V14" s="36">
        <v>0.0</v>
      </c>
      <c r="W14" s="36">
        <v>0.0</v>
      </c>
      <c r="X14" s="36">
        <v>0.0</v>
      </c>
      <c r="Y14" s="36">
        <v>0.0</v>
      </c>
      <c r="Z14" s="36">
        <v>0.0</v>
      </c>
      <c r="AA14" s="36">
        <v>0.0</v>
      </c>
      <c r="AB14" s="36">
        <v>0.0</v>
      </c>
      <c r="AC14" s="36">
        <v>0.0</v>
      </c>
      <c r="AD14" s="36">
        <v>0.0</v>
      </c>
      <c r="AE14" s="36">
        <v>0.0</v>
      </c>
      <c r="AF14" s="110"/>
      <c r="AG14" s="118">
        <v>0.0</v>
      </c>
      <c r="AH14" s="123"/>
    </row>
    <row r="15">
      <c r="A15" s="11">
        <v>44606.0</v>
      </c>
      <c r="B15" s="110"/>
      <c r="C15" s="110"/>
      <c r="D15" s="110"/>
      <c r="E15" s="110"/>
      <c r="F15" s="110"/>
      <c r="G15" s="110"/>
      <c r="H15" s="110"/>
      <c r="I15" s="110"/>
      <c r="J15" s="110"/>
      <c r="K15" s="110"/>
      <c r="L15" s="110"/>
      <c r="M15" s="110"/>
      <c r="N15" s="110"/>
      <c r="O15" s="110"/>
      <c r="P15" s="110"/>
      <c r="Q15" s="110"/>
      <c r="R15" s="110"/>
      <c r="S15" s="110"/>
      <c r="T15" s="110"/>
      <c r="U15" s="110"/>
      <c r="V15" s="110"/>
      <c r="W15" s="110"/>
      <c r="X15" s="110"/>
      <c r="Y15" s="110"/>
      <c r="Z15" s="110"/>
      <c r="AA15" s="110"/>
      <c r="AB15" s="110"/>
      <c r="AC15" s="110"/>
      <c r="AD15" s="110"/>
      <c r="AE15" s="110"/>
      <c r="AF15" s="110"/>
      <c r="AG15" s="120"/>
      <c r="AH15" s="119"/>
    </row>
    <row r="16">
      <c r="A16" s="11">
        <v>44607.0</v>
      </c>
      <c r="B16" s="110"/>
      <c r="C16" s="110"/>
      <c r="D16" s="110"/>
      <c r="E16" s="110"/>
      <c r="F16" s="110"/>
      <c r="G16" s="110"/>
      <c r="H16" s="110"/>
      <c r="I16" s="110"/>
      <c r="J16" s="110"/>
      <c r="K16" s="110"/>
      <c r="L16" s="110"/>
      <c r="M16" s="110"/>
      <c r="N16" s="110"/>
      <c r="O16" s="110"/>
      <c r="P16" s="110"/>
      <c r="Q16" s="110"/>
      <c r="R16" s="110"/>
      <c r="S16" s="110"/>
      <c r="T16" s="110"/>
      <c r="U16" s="110"/>
      <c r="V16" s="110"/>
      <c r="W16" s="110"/>
      <c r="X16" s="110"/>
      <c r="Y16" s="110"/>
      <c r="Z16" s="110"/>
      <c r="AA16" s="110"/>
      <c r="AB16" s="110"/>
      <c r="AC16" s="110"/>
      <c r="AD16" s="110"/>
      <c r="AE16" s="110"/>
      <c r="AF16" s="110"/>
      <c r="AG16" s="120"/>
      <c r="AH16" s="119"/>
    </row>
    <row r="17">
      <c r="A17" s="11">
        <v>44608.0</v>
      </c>
      <c r="B17" s="110"/>
      <c r="C17" s="110"/>
      <c r="D17" s="110"/>
      <c r="E17" s="110"/>
      <c r="F17" s="110"/>
      <c r="G17" s="110"/>
      <c r="H17" s="110"/>
      <c r="I17" s="110"/>
      <c r="J17" s="110"/>
      <c r="K17" s="110"/>
      <c r="L17" s="110"/>
      <c r="M17" s="110"/>
      <c r="N17" s="110"/>
      <c r="O17" s="110"/>
      <c r="P17" s="110"/>
      <c r="Q17" s="110"/>
      <c r="R17" s="110"/>
      <c r="S17" s="110"/>
      <c r="T17" s="110"/>
      <c r="U17" s="110"/>
      <c r="V17" s="110"/>
      <c r="W17" s="110"/>
      <c r="X17" s="110"/>
      <c r="Y17" s="110"/>
      <c r="Z17" s="110"/>
      <c r="AA17" s="110"/>
      <c r="AB17" s="110"/>
      <c r="AC17" s="110"/>
      <c r="AD17" s="110"/>
      <c r="AE17" s="110"/>
      <c r="AF17" s="110"/>
      <c r="AG17" s="120"/>
      <c r="AH17" s="119"/>
    </row>
    <row r="18">
      <c r="A18" s="11">
        <v>44609.0</v>
      </c>
      <c r="B18" s="110"/>
      <c r="C18" s="110"/>
      <c r="D18" s="110"/>
      <c r="E18" s="110"/>
      <c r="F18" s="110"/>
      <c r="G18" s="110"/>
      <c r="H18" s="110"/>
      <c r="I18" s="110"/>
      <c r="J18" s="110"/>
      <c r="K18" s="110"/>
      <c r="L18" s="110"/>
      <c r="M18" s="110"/>
      <c r="N18" s="110"/>
      <c r="O18" s="110"/>
      <c r="P18" s="110"/>
      <c r="Q18" s="110"/>
      <c r="R18" s="110"/>
      <c r="S18" s="110"/>
      <c r="T18" s="110"/>
      <c r="U18" s="110"/>
      <c r="V18" s="110"/>
      <c r="W18" s="110"/>
      <c r="X18" s="110"/>
      <c r="Y18" s="110"/>
      <c r="Z18" s="110"/>
      <c r="AA18" s="110"/>
      <c r="AB18" s="110"/>
      <c r="AC18" s="110"/>
      <c r="AD18" s="110"/>
      <c r="AE18" s="110"/>
      <c r="AF18" s="110"/>
      <c r="AG18" s="120"/>
      <c r="AH18" s="119"/>
    </row>
    <row r="19">
      <c r="A19" s="20">
        <v>44610.0</v>
      </c>
      <c r="B19" s="110"/>
      <c r="C19" s="110"/>
      <c r="D19" s="110"/>
      <c r="E19" s="110"/>
      <c r="F19" s="110"/>
      <c r="G19" s="110"/>
      <c r="H19" s="110"/>
      <c r="I19" s="110"/>
      <c r="J19" s="110"/>
      <c r="K19" s="110"/>
      <c r="L19" s="110"/>
      <c r="M19" s="110"/>
      <c r="N19" s="110"/>
      <c r="O19" s="110"/>
      <c r="P19" s="110"/>
      <c r="Q19" s="110"/>
      <c r="R19" s="110"/>
      <c r="S19" s="110"/>
      <c r="T19" s="110"/>
      <c r="U19" s="110"/>
      <c r="V19" s="110"/>
      <c r="W19" s="110"/>
      <c r="X19" s="110"/>
      <c r="Y19" s="110"/>
      <c r="Z19" s="110"/>
      <c r="AA19" s="110"/>
      <c r="AB19" s="110"/>
      <c r="AC19" s="110"/>
      <c r="AD19" s="110"/>
      <c r="AE19" s="110"/>
      <c r="AF19" s="110"/>
      <c r="AG19" s="120"/>
      <c r="AH19" s="119"/>
    </row>
    <row r="20">
      <c r="A20" s="11">
        <v>44611.0</v>
      </c>
      <c r="B20" s="110"/>
      <c r="C20" s="110"/>
      <c r="D20" s="110"/>
      <c r="E20" s="110"/>
      <c r="F20" s="110"/>
      <c r="G20" s="110"/>
      <c r="H20" s="110"/>
      <c r="I20" s="110"/>
      <c r="J20" s="110"/>
      <c r="K20" s="110"/>
      <c r="L20" s="110"/>
      <c r="M20" s="110"/>
      <c r="N20" s="110"/>
      <c r="O20" s="110"/>
      <c r="P20" s="110"/>
      <c r="Q20" s="110"/>
      <c r="R20" s="110"/>
      <c r="S20" s="110"/>
      <c r="T20" s="110"/>
      <c r="U20" s="110"/>
      <c r="V20" s="110"/>
      <c r="W20" s="110"/>
      <c r="X20" s="110"/>
      <c r="Y20" s="110"/>
      <c r="Z20" s="110"/>
      <c r="AA20" s="110"/>
      <c r="AB20" s="110"/>
      <c r="AC20" s="110"/>
      <c r="AD20" s="110"/>
      <c r="AE20" s="110"/>
      <c r="AF20" s="110"/>
      <c r="AG20" s="120"/>
      <c r="AH20" s="119"/>
    </row>
    <row r="21">
      <c r="A21" s="11">
        <v>44612.0</v>
      </c>
      <c r="B21" s="110"/>
      <c r="C21" s="110"/>
      <c r="D21" s="110"/>
      <c r="E21" s="110"/>
      <c r="F21" s="110"/>
      <c r="G21" s="110"/>
      <c r="H21" s="110"/>
      <c r="I21" s="110"/>
      <c r="J21" s="110"/>
      <c r="K21" s="110"/>
      <c r="L21" s="110"/>
      <c r="M21" s="110"/>
      <c r="N21" s="110"/>
      <c r="O21" s="110"/>
      <c r="P21" s="110"/>
      <c r="Q21" s="110"/>
      <c r="R21" s="110"/>
      <c r="S21" s="110"/>
      <c r="T21" s="110"/>
      <c r="U21" s="110"/>
      <c r="V21" s="110"/>
      <c r="W21" s="110"/>
      <c r="X21" s="110"/>
      <c r="Y21" s="110"/>
      <c r="Z21" s="110"/>
      <c r="AA21" s="110"/>
      <c r="AB21" s="110"/>
      <c r="AC21" s="110"/>
      <c r="AD21" s="110"/>
      <c r="AE21" s="110"/>
      <c r="AF21" s="110"/>
      <c r="AG21" s="120"/>
      <c r="AH21" s="119"/>
    </row>
    <row r="22">
      <c r="A22" s="11">
        <v>44613.0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  <c r="V22" s="110"/>
      <c r="W22" s="110"/>
      <c r="X22" s="110"/>
      <c r="Y22" s="110"/>
      <c r="Z22" s="110"/>
      <c r="AA22" s="110"/>
      <c r="AB22" s="110"/>
      <c r="AC22" s="110"/>
      <c r="AD22" s="110"/>
      <c r="AE22" s="110"/>
      <c r="AF22" s="110"/>
      <c r="AG22" s="120"/>
      <c r="AH22" s="119"/>
    </row>
    <row r="23">
      <c r="A23" s="11">
        <v>44614.0</v>
      </c>
      <c r="B23" s="110"/>
      <c r="C23" s="110"/>
      <c r="D23" s="110"/>
      <c r="E23" s="110"/>
      <c r="F23" s="110"/>
      <c r="G23" s="110"/>
      <c r="H23" s="110"/>
      <c r="I23" s="110"/>
      <c r="J23" s="110"/>
      <c r="K23" s="110"/>
      <c r="L23" s="110"/>
      <c r="M23" s="110"/>
      <c r="N23" s="110"/>
      <c r="O23" s="110"/>
      <c r="P23" s="110"/>
      <c r="Q23" s="110"/>
      <c r="R23" s="110"/>
      <c r="S23" s="110"/>
      <c r="T23" s="110"/>
      <c r="U23" s="110"/>
      <c r="V23" s="110"/>
      <c r="W23" s="110"/>
      <c r="X23" s="110"/>
      <c r="Y23" s="110"/>
      <c r="Z23" s="110"/>
      <c r="AA23" s="110"/>
      <c r="AB23" s="110"/>
      <c r="AC23" s="110"/>
      <c r="AD23" s="110"/>
      <c r="AE23" s="110"/>
      <c r="AF23" s="110"/>
      <c r="AG23" s="120"/>
      <c r="AH23" s="119"/>
    </row>
    <row r="24">
      <c r="A24" s="11">
        <v>44615.0</v>
      </c>
      <c r="B24" s="110"/>
      <c r="C24" s="110"/>
      <c r="D24" s="110"/>
      <c r="E24" s="110"/>
      <c r="F24" s="110"/>
      <c r="G24" s="110"/>
      <c r="H24" s="110"/>
      <c r="I24" s="110"/>
      <c r="J24" s="110"/>
      <c r="K24" s="110"/>
      <c r="L24" s="110"/>
      <c r="M24" s="110"/>
      <c r="N24" s="110"/>
      <c r="O24" s="110"/>
      <c r="P24" s="110"/>
      <c r="Q24" s="110"/>
      <c r="R24" s="110"/>
      <c r="S24" s="110"/>
      <c r="T24" s="110"/>
      <c r="U24" s="110"/>
      <c r="V24" s="110"/>
      <c r="W24" s="110"/>
      <c r="X24" s="110"/>
      <c r="Y24" s="110"/>
      <c r="Z24" s="110"/>
      <c r="AA24" s="110"/>
      <c r="AB24" s="110"/>
      <c r="AC24" s="110"/>
      <c r="AD24" s="110"/>
      <c r="AE24" s="110"/>
      <c r="AF24" s="110"/>
      <c r="AG24" s="120"/>
      <c r="AH24" s="119"/>
    </row>
    <row r="25">
      <c r="A25" s="11">
        <v>44616.0</v>
      </c>
      <c r="B25" s="110"/>
      <c r="C25" s="110"/>
      <c r="D25" s="110"/>
      <c r="E25" s="110"/>
      <c r="F25" s="110"/>
      <c r="G25" s="110"/>
      <c r="H25" s="110"/>
      <c r="I25" s="110"/>
      <c r="J25" s="110"/>
      <c r="K25" s="110"/>
      <c r="L25" s="110"/>
      <c r="M25" s="110"/>
      <c r="N25" s="110"/>
      <c r="O25" s="110"/>
      <c r="P25" s="110"/>
      <c r="Q25" s="110"/>
      <c r="R25" s="110"/>
      <c r="S25" s="110"/>
      <c r="T25" s="110"/>
      <c r="U25" s="110"/>
      <c r="V25" s="110"/>
      <c r="W25" s="110"/>
      <c r="X25" s="110"/>
      <c r="Y25" s="110"/>
      <c r="Z25" s="110"/>
      <c r="AA25" s="110"/>
      <c r="AB25" s="110"/>
      <c r="AC25" s="110"/>
      <c r="AD25" s="110"/>
      <c r="AE25" s="110"/>
      <c r="AF25" s="110"/>
      <c r="AG25" s="120"/>
      <c r="AH25" s="119"/>
    </row>
    <row r="26">
      <c r="A26" s="20">
        <v>44617.0</v>
      </c>
      <c r="B26" s="110"/>
      <c r="C26" s="110"/>
      <c r="D26" s="110"/>
      <c r="E26" s="110"/>
      <c r="F26" s="110"/>
      <c r="G26" s="110"/>
      <c r="H26" s="110"/>
      <c r="I26" s="110"/>
      <c r="J26" s="110"/>
      <c r="K26" s="110"/>
      <c r="L26" s="110"/>
      <c r="M26" s="110"/>
      <c r="N26" s="110"/>
      <c r="O26" s="110"/>
      <c r="P26" s="110"/>
      <c r="Q26" s="110"/>
      <c r="R26" s="110"/>
      <c r="S26" s="110"/>
      <c r="T26" s="110"/>
      <c r="U26" s="110"/>
      <c r="V26" s="110"/>
      <c r="W26" s="110"/>
      <c r="X26" s="110"/>
      <c r="Y26" s="110"/>
      <c r="Z26" s="110"/>
      <c r="AA26" s="110"/>
      <c r="AB26" s="110"/>
      <c r="AC26" s="110"/>
      <c r="AD26" s="110"/>
      <c r="AE26" s="110"/>
      <c r="AF26" s="110"/>
      <c r="AG26" s="120"/>
      <c r="AH26" s="119"/>
    </row>
    <row r="27">
      <c r="A27" s="11">
        <v>44618.0</v>
      </c>
      <c r="B27" s="110"/>
      <c r="C27" s="110"/>
      <c r="D27" s="110"/>
      <c r="E27" s="110"/>
      <c r="F27" s="110"/>
      <c r="G27" s="110"/>
      <c r="H27" s="110"/>
      <c r="I27" s="110"/>
      <c r="J27" s="110"/>
      <c r="K27" s="110"/>
      <c r="L27" s="110"/>
      <c r="M27" s="110"/>
      <c r="N27" s="110"/>
      <c r="O27" s="110"/>
      <c r="P27" s="110"/>
      <c r="Q27" s="110"/>
      <c r="R27" s="110"/>
      <c r="S27" s="110"/>
      <c r="T27" s="110"/>
      <c r="U27" s="110"/>
      <c r="V27" s="110"/>
      <c r="W27" s="110"/>
      <c r="X27" s="110"/>
      <c r="Y27" s="110"/>
      <c r="Z27" s="110"/>
      <c r="AA27" s="110"/>
      <c r="AB27" s="110"/>
      <c r="AC27" s="110"/>
      <c r="AD27" s="110"/>
      <c r="AE27" s="110"/>
      <c r="AF27" s="110"/>
      <c r="AG27" s="120"/>
      <c r="AH27" s="119"/>
    </row>
    <row r="28">
      <c r="A28" s="11">
        <v>44619.0</v>
      </c>
      <c r="B28" s="110"/>
      <c r="C28" s="110"/>
      <c r="D28" s="110"/>
      <c r="E28" s="110"/>
      <c r="F28" s="110"/>
      <c r="G28" s="110"/>
      <c r="H28" s="110"/>
      <c r="I28" s="110"/>
      <c r="J28" s="110"/>
      <c r="K28" s="110"/>
      <c r="L28" s="110"/>
      <c r="M28" s="110"/>
      <c r="N28" s="110"/>
      <c r="O28" s="110"/>
      <c r="P28" s="110"/>
      <c r="Q28" s="110"/>
      <c r="R28" s="110"/>
      <c r="S28" s="110"/>
      <c r="T28" s="110"/>
      <c r="U28" s="110"/>
      <c r="V28" s="110"/>
      <c r="W28" s="110"/>
      <c r="X28" s="110"/>
      <c r="Y28" s="110"/>
      <c r="Z28" s="110"/>
      <c r="AA28" s="110"/>
      <c r="AB28" s="110"/>
      <c r="AC28" s="110"/>
      <c r="AD28" s="110"/>
      <c r="AE28" s="110"/>
      <c r="AF28" s="110"/>
      <c r="AG28" s="120"/>
      <c r="AH28" s="119"/>
    </row>
    <row r="29">
      <c r="A29" s="11">
        <v>44620.0</v>
      </c>
      <c r="B29" s="110"/>
      <c r="C29" s="110"/>
      <c r="D29" s="110"/>
      <c r="E29" s="110"/>
      <c r="F29" s="110"/>
      <c r="G29" s="110"/>
      <c r="H29" s="110"/>
      <c r="I29" s="110"/>
      <c r="J29" s="110"/>
      <c r="K29" s="110"/>
      <c r="L29" s="110"/>
      <c r="M29" s="110"/>
      <c r="N29" s="110"/>
      <c r="O29" s="110"/>
      <c r="P29" s="110"/>
      <c r="Q29" s="110"/>
      <c r="R29" s="110"/>
      <c r="S29" s="110"/>
      <c r="T29" s="110"/>
      <c r="U29" s="110"/>
      <c r="V29" s="110"/>
      <c r="W29" s="110"/>
      <c r="X29" s="110"/>
      <c r="Y29" s="110"/>
      <c r="Z29" s="110"/>
      <c r="AA29" s="110"/>
      <c r="AB29" s="110"/>
      <c r="AC29" s="110"/>
      <c r="AD29" s="110"/>
      <c r="AE29" s="110"/>
      <c r="AF29" s="110"/>
      <c r="AG29" s="120"/>
      <c r="AH29" s="119"/>
    </row>
    <row r="30">
      <c r="B30" s="110">
        <f t="shared" ref="B30:AG30" si="1">SUM(B2:B29)</f>
        <v>267</v>
      </c>
      <c r="C30" s="110">
        <f t="shared" si="1"/>
        <v>48</v>
      </c>
      <c r="D30" s="110">
        <f t="shared" si="1"/>
        <v>22</v>
      </c>
      <c r="E30" s="110">
        <f t="shared" si="1"/>
        <v>8</v>
      </c>
      <c r="F30" s="110">
        <f t="shared" si="1"/>
        <v>8</v>
      </c>
      <c r="G30" s="110">
        <f t="shared" si="1"/>
        <v>10</v>
      </c>
      <c r="H30" s="110">
        <f t="shared" si="1"/>
        <v>13</v>
      </c>
      <c r="I30" s="110">
        <f t="shared" si="1"/>
        <v>40</v>
      </c>
      <c r="J30" s="110">
        <f t="shared" si="1"/>
        <v>0</v>
      </c>
      <c r="K30" s="110">
        <f t="shared" si="1"/>
        <v>3</v>
      </c>
      <c r="L30" s="110">
        <f t="shared" si="1"/>
        <v>0</v>
      </c>
      <c r="M30" s="110">
        <f t="shared" si="1"/>
        <v>3</v>
      </c>
      <c r="N30" s="110">
        <f t="shared" si="1"/>
        <v>193</v>
      </c>
      <c r="O30" s="110">
        <f t="shared" si="1"/>
        <v>77</v>
      </c>
      <c r="P30" s="110">
        <f t="shared" si="1"/>
        <v>20</v>
      </c>
      <c r="Q30" s="110">
        <f t="shared" si="1"/>
        <v>0</v>
      </c>
      <c r="R30" s="110">
        <f t="shared" si="1"/>
        <v>77</v>
      </c>
      <c r="S30" s="110">
        <f t="shared" si="1"/>
        <v>48</v>
      </c>
      <c r="T30" s="110">
        <f t="shared" si="1"/>
        <v>25</v>
      </c>
      <c r="U30" s="110">
        <f t="shared" si="1"/>
        <v>0</v>
      </c>
      <c r="V30" s="110">
        <f t="shared" si="1"/>
        <v>20</v>
      </c>
      <c r="W30" s="110">
        <f t="shared" si="1"/>
        <v>36</v>
      </c>
      <c r="X30" s="110">
        <f t="shared" si="1"/>
        <v>0</v>
      </c>
      <c r="Y30" s="110">
        <f t="shared" si="1"/>
        <v>0</v>
      </c>
      <c r="Z30" s="110">
        <f t="shared" si="1"/>
        <v>0</v>
      </c>
      <c r="AA30" s="110">
        <f t="shared" si="1"/>
        <v>0</v>
      </c>
      <c r="AB30" s="110">
        <f t="shared" si="1"/>
        <v>0</v>
      </c>
      <c r="AC30" s="110">
        <f t="shared" si="1"/>
        <v>0</v>
      </c>
      <c r="AD30" s="110">
        <f t="shared" si="1"/>
        <v>0</v>
      </c>
      <c r="AE30" s="110">
        <f t="shared" si="1"/>
        <v>0</v>
      </c>
      <c r="AF30" s="110">
        <f t="shared" si="1"/>
        <v>0</v>
      </c>
      <c r="AG30" s="110">
        <f t="shared" si="1"/>
        <v>0</v>
      </c>
      <c r="AH30" s="119"/>
    </row>
    <row r="31">
      <c r="B31" s="111">
        <v>100.0</v>
      </c>
      <c r="C31" s="111">
        <v>100.0</v>
      </c>
      <c r="D31" s="111">
        <v>100.0</v>
      </c>
      <c r="E31" s="111">
        <v>70.0</v>
      </c>
      <c r="F31" s="111">
        <v>100.0</v>
      </c>
      <c r="G31" s="111">
        <v>100.0</v>
      </c>
      <c r="H31" s="111">
        <v>100.0</v>
      </c>
      <c r="I31" s="111">
        <v>70.0</v>
      </c>
      <c r="J31" s="111">
        <v>70.0</v>
      </c>
      <c r="K31" s="111">
        <v>100.0</v>
      </c>
      <c r="L31" s="111">
        <v>100.0</v>
      </c>
      <c r="M31" s="111">
        <v>100.0</v>
      </c>
      <c r="N31" s="111">
        <v>60.0</v>
      </c>
      <c r="O31" s="111">
        <v>50.0</v>
      </c>
      <c r="P31" s="111">
        <v>100.0</v>
      </c>
      <c r="Q31" s="111">
        <v>100.0</v>
      </c>
      <c r="R31" s="111">
        <v>70.0</v>
      </c>
      <c r="S31" s="111">
        <v>50.0</v>
      </c>
      <c r="T31" s="111">
        <v>150.0</v>
      </c>
      <c r="U31" s="111">
        <v>150.0</v>
      </c>
      <c r="V31" s="111">
        <v>60.0</v>
      </c>
      <c r="W31" s="111">
        <v>150.0</v>
      </c>
      <c r="X31" s="111">
        <v>200.0</v>
      </c>
      <c r="Y31" s="111">
        <v>120.0</v>
      </c>
      <c r="Z31" s="111">
        <v>80.0</v>
      </c>
      <c r="AA31" s="111">
        <v>100.0</v>
      </c>
      <c r="AB31" s="111">
        <v>150.0</v>
      </c>
      <c r="AC31" s="111">
        <v>200.0</v>
      </c>
      <c r="AD31" s="37"/>
      <c r="AE31" s="37"/>
      <c r="AF31" s="37"/>
      <c r="AG31" s="124"/>
      <c r="AH31" s="122"/>
    </row>
    <row r="32">
      <c r="B32" s="37">
        <f t="shared" ref="B32:AG32" si="2">B31*B30</f>
        <v>26700</v>
      </c>
      <c r="C32" s="37">
        <f t="shared" si="2"/>
        <v>4800</v>
      </c>
      <c r="D32" s="37">
        <f t="shared" si="2"/>
        <v>2200</v>
      </c>
      <c r="E32" s="37">
        <f t="shared" si="2"/>
        <v>560</v>
      </c>
      <c r="F32" s="37">
        <f t="shared" si="2"/>
        <v>800</v>
      </c>
      <c r="G32" s="37">
        <f t="shared" si="2"/>
        <v>1000</v>
      </c>
      <c r="H32" s="37">
        <f t="shared" si="2"/>
        <v>1300</v>
      </c>
      <c r="I32" s="37">
        <f t="shared" si="2"/>
        <v>2800</v>
      </c>
      <c r="J32" s="37">
        <f t="shared" si="2"/>
        <v>0</v>
      </c>
      <c r="K32" s="37">
        <f t="shared" si="2"/>
        <v>300</v>
      </c>
      <c r="L32" s="37">
        <f t="shared" si="2"/>
        <v>0</v>
      </c>
      <c r="M32" s="37">
        <f t="shared" si="2"/>
        <v>300</v>
      </c>
      <c r="N32" s="37">
        <f t="shared" si="2"/>
        <v>11580</v>
      </c>
      <c r="O32" s="37">
        <f t="shared" si="2"/>
        <v>3850</v>
      </c>
      <c r="P32" s="37">
        <f t="shared" si="2"/>
        <v>2000</v>
      </c>
      <c r="Q32" s="37">
        <f t="shared" si="2"/>
        <v>0</v>
      </c>
      <c r="R32" s="37">
        <f t="shared" si="2"/>
        <v>5390</v>
      </c>
      <c r="S32" s="37">
        <f t="shared" si="2"/>
        <v>2400</v>
      </c>
      <c r="T32" s="37">
        <f t="shared" si="2"/>
        <v>3750</v>
      </c>
      <c r="U32" s="37">
        <f t="shared" si="2"/>
        <v>0</v>
      </c>
      <c r="V32" s="37">
        <f t="shared" si="2"/>
        <v>1200</v>
      </c>
      <c r="W32" s="37">
        <f t="shared" si="2"/>
        <v>5400</v>
      </c>
      <c r="X32" s="37">
        <f t="shared" si="2"/>
        <v>0</v>
      </c>
      <c r="Y32" s="37">
        <f t="shared" si="2"/>
        <v>0</v>
      </c>
      <c r="Z32" s="37">
        <f t="shared" si="2"/>
        <v>0</v>
      </c>
      <c r="AA32" s="37">
        <f t="shared" si="2"/>
        <v>0</v>
      </c>
      <c r="AB32" s="37">
        <f t="shared" si="2"/>
        <v>0</v>
      </c>
      <c r="AC32" s="37">
        <f t="shared" si="2"/>
        <v>0</v>
      </c>
      <c r="AD32" s="37">
        <f t="shared" si="2"/>
        <v>0</v>
      </c>
      <c r="AE32" s="37">
        <f t="shared" si="2"/>
        <v>0</v>
      </c>
      <c r="AF32" s="37">
        <f t="shared" si="2"/>
        <v>0</v>
      </c>
      <c r="AG32" s="37">
        <f t="shared" si="2"/>
        <v>0</v>
      </c>
      <c r="AH32" s="112">
        <f>SUM(B32:AG32)</f>
        <v>76330</v>
      </c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25"/>
    <col customWidth="1" min="2" max="2" width="22.75"/>
    <col customWidth="1" min="3" max="3" width="27.25"/>
    <col customWidth="1" min="4" max="4" width="21.38"/>
    <col customWidth="1" min="6" max="6" width="18.75"/>
    <col customWidth="1" min="7" max="7" width="21.0"/>
    <col customWidth="1" min="8" max="8" width="18.75"/>
    <col customWidth="1" min="9" max="9" width="18.38"/>
  </cols>
  <sheetData>
    <row r="1">
      <c r="A1" s="2" t="s">
        <v>0</v>
      </c>
      <c r="B1" s="109" t="s">
        <v>425</v>
      </c>
      <c r="C1" s="109" t="s">
        <v>426</v>
      </c>
      <c r="D1" s="109" t="s">
        <v>427</v>
      </c>
      <c r="E1" s="109" t="s">
        <v>428</v>
      </c>
      <c r="F1" s="125" t="s">
        <v>351</v>
      </c>
      <c r="G1" s="125" t="s">
        <v>429</v>
      </c>
      <c r="H1" s="125" t="s">
        <v>430</v>
      </c>
    </row>
    <row r="2">
      <c r="A2" s="11">
        <v>44593.0</v>
      </c>
      <c r="B2" s="114"/>
      <c r="C2" s="114"/>
      <c r="D2" s="114"/>
      <c r="E2" s="114"/>
      <c r="F2" s="110"/>
      <c r="G2" s="110"/>
      <c r="H2" s="110"/>
    </row>
    <row r="3">
      <c r="A3" s="11">
        <v>44594.0</v>
      </c>
      <c r="B3" s="126">
        <v>151.0</v>
      </c>
      <c r="C3" s="126">
        <v>0.0</v>
      </c>
      <c r="D3" s="126" t="s">
        <v>151</v>
      </c>
      <c r="E3" s="126">
        <v>0.0</v>
      </c>
      <c r="F3" s="36">
        <v>0.0</v>
      </c>
      <c r="G3" s="36">
        <v>0.0</v>
      </c>
      <c r="H3" s="36" t="s">
        <v>431</v>
      </c>
    </row>
    <row r="4">
      <c r="A4" s="11">
        <v>44595.0</v>
      </c>
      <c r="B4" s="126">
        <v>0.0</v>
      </c>
      <c r="C4" s="126">
        <v>0.0</v>
      </c>
      <c r="D4" s="126">
        <v>0.0</v>
      </c>
      <c r="E4" s="126">
        <v>0.0</v>
      </c>
      <c r="F4" s="36">
        <v>0.0</v>
      </c>
      <c r="G4" s="36">
        <v>0.0</v>
      </c>
      <c r="H4" s="110"/>
    </row>
    <row r="5">
      <c r="A5" s="20">
        <v>44596.0</v>
      </c>
      <c r="B5" s="114"/>
      <c r="C5" s="114"/>
      <c r="D5" s="114"/>
      <c r="E5" s="114"/>
      <c r="F5" s="110"/>
      <c r="G5" s="110"/>
      <c r="H5" s="110"/>
    </row>
    <row r="6">
      <c r="A6" s="11">
        <v>44597.0</v>
      </c>
      <c r="B6" s="114"/>
      <c r="C6" s="114"/>
      <c r="D6" s="114"/>
      <c r="E6" s="114"/>
      <c r="F6" s="110"/>
      <c r="G6" s="110"/>
      <c r="H6" s="110"/>
    </row>
    <row r="7">
      <c r="A7" s="11">
        <v>44598.0</v>
      </c>
      <c r="B7" s="114"/>
      <c r="C7" s="114"/>
      <c r="D7" s="114"/>
      <c r="E7" s="114"/>
      <c r="F7" s="110"/>
      <c r="G7" s="110"/>
      <c r="H7" s="110"/>
    </row>
    <row r="8">
      <c r="A8" s="11">
        <v>44599.0</v>
      </c>
      <c r="B8" s="114"/>
      <c r="C8" s="114"/>
      <c r="D8" s="114"/>
      <c r="E8" s="114"/>
      <c r="F8" s="110"/>
      <c r="G8" s="110"/>
      <c r="H8" s="110"/>
    </row>
    <row r="9">
      <c r="A9" s="11">
        <v>44600.0</v>
      </c>
      <c r="B9" s="114"/>
      <c r="C9" s="114"/>
      <c r="D9" s="114"/>
      <c r="E9" s="114"/>
      <c r="F9" s="110"/>
      <c r="G9" s="110"/>
      <c r="H9" s="110"/>
    </row>
    <row r="10">
      <c r="A10" s="11">
        <v>44601.0</v>
      </c>
      <c r="B10" s="114"/>
      <c r="C10" s="114"/>
      <c r="D10" s="114"/>
      <c r="E10" s="114"/>
      <c r="F10" s="110"/>
      <c r="G10" s="110"/>
      <c r="H10" s="110"/>
    </row>
    <row r="11">
      <c r="A11" s="11">
        <v>44602.0</v>
      </c>
      <c r="B11" s="114"/>
      <c r="C11" s="114"/>
      <c r="D11" s="114"/>
      <c r="E11" s="114"/>
      <c r="F11" s="110"/>
      <c r="G11" s="110"/>
      <c r="H11" s="110"/>
    </row>
    <row r="12">
      <c r="A12" s="20">
        <v>44603.0</v>
      </c>
      <c r="B12" s="114"/>
      <c r="C12" s="114"/>
      <c r="D12" s="114"/>
      <c r="E12" s="114"/>
      <c r="F12" s="110"/>
      <c r="G12" s="110"/>
      <c r="H12" s="110"/>
    </row>
    <row r="13">
      <c r="A13" s="11">
        <v>44604.0</v>
      </c>
      <c r="B13" s="114"/>
      <c r="C13" s="114"/>
      <c r="D13" s="114"/>
      <c r="E13" s="114"/>
      <c r="F13" s="110"/>
      <c r="G13" s="110"/>
      <c r="H13" s="110"/>
    </row>
    <row r="14">
      <c r="A14" s="11">
        <v>44605.0</v>
      </c>
      <c r="B14" s="114"/>
      <c r="C14" s="114"/>
      <c r="D14" s="114"/>
      <c r="E14" s="114"/>
      <c r="F14" s="110"/>
      <c r="G14" s="110"/>
      <c r="H14" s="110"/>
    </row>
    <row r="15">
      <c r="A15" s="11">
        <v>44606.0</v>
      </c>
      <c r="B15" s="114"/>
      <c r="C15" s="114"/>
      <c r="D15" s="114"/>
      <c r="E15" s="114"/>
      <c r="F15" s="110"/>
      <c r="G15" s="110"/>
      <c r="H15" s="110"/>
    </row>
    <row r="16">
      <c r="A16" s="11">
        <v>44607.0</v>
      </c>
      <c r="B16" s="114"/>
      <c r="C16" s="114"/>
      <c r="D16" s="114"/>
      <c r="E16" s="114"/>
      <c r="F16" s="110"/>
      <c r="G16" s="110"/>
      <c r="H16" s="110"/>
    </row>
    <row r="17">
      <c r="A17" s="11">
        <v>44608.0</v>
      </c>
      <c r="B17" s="114"/>
      <c r="C17" s="114"/>
      <c r="D17" s="114"/>
      <c r="E17" s="114"/>
      <c r="F17" s="110"/>
      <c r="G17" s="110"/>
      <c r="H17" s="110"/>
    </row>
    <row r="18">
      <c r="A18" s="11">
        <v>44609.0</v>
      </c>
      <c r="B18" s="114"/>
      <c r="C18" s="114"/>
      <c r="D18" s="114"/>
      <c r="E18" s="114"/>
      <c r="F18" s="110"/>
      <c r="G18" s="110"/>
      <c r="H18" s="110"/>
    </row>
    <row r="19">
      <c r="A19" s="20">
        <v>44610.0</v>
      </c>
      <c r="B19" s="114"/>
      <c r="C19" s="114"/>
      <c r="D19" s="114"/>
      <c r="E19" s="114"/>
      <c r="F19" s="110"/>
      <c r="G19" s="110"/>
      <c r="H19" s="110"/>
    </row>
    <row r="20">
      <c r="A20" s="11">
        <v>44611.0</v>
      </c>
      <c r="B20" s="114"/>
      <c r="C20" s="114"/>
      <c r="D20" s="114"/>
      <c r="E20" s="114"/>
      <c r="F20" s="110"/>
      <c r="G20" s="110"/>
      <c r="H20" s="110"/>
    </row>
    <row r="21">
      <c r="A21" s="11">
        <v>44612.0</v>
      </c>
      <c r="B21" s="114"/>
      <c r="C21" s="114"/>
      <c r="D21" s="114"/>
      <c r="E21" s="114"/>
      <c r="F21" s="110"/>
      <c r="G21" s="110"/>
      <c r="H21" s="110"/>
    </row>
    <row r="22">
      <c r="A22" s="11">
        <v>44613.0</v>
      </c>
      <c r="B22" s="114"/>
      <c r="C22" s="114"/>
      <c r="D22" s="114"/>
      <c r="E22" s="114"/>
      <c r="F22" s="110"/>
      <c r="G22" s="110"/>
      <c r="H22" s="110"/>
    </row>
    <row r="23">
      <c r="A23" s="11">
        <v>44614.0</v>
      </c>
      <c r="B23" s="114"/>
      <c r="C23" s="114"/>
      <c r="D23" s="114"/>
      <c r="E23" s="114"/>
      <c r="F23" s="110"/>
      <c r="G23" s="110"/>
      <c r="H23" s="110"/>
    </row>
    <row r="24">
      <c r="A24" s="11">
        <v>44615.0</v>
      </c>
      <c r="B24" s="114"/>
      <c r="C24" s="114"/>
      <c r="D24" s="114"/>
      <c r="E24" s="114"/>
      <c r="F24" s="110"/>
      <c r="G24" s="110"/>
      <c r="H24" s="110"/>
    </row>
    <row r="25">
      <c r="A25" s="11">
        <v>44616.0</v>
      </c>
      <c r="B25" s="114"/>
      <c r="C25" s="114"/>
      <c r="D25" s="114"/>
      <c r="E25" s="114"/>
      <c r="F25" s="110"/>
      <c r="G25" s="110"/>
      <c r="H25" s="110"/>
    </row>
    <row r="26">
      <c r="A26" s="20">
        <v>44617.0</v>
      </c>
      <c r="B26" s="114"/>
      <c r="C26" s="114"/>
      <c r="D26" s="114"/>
      <c r="E26" s="114"/>
      <c r="F26" s="110"/>
      <c r="G26" s="110"/>
      <c r="H26" s="110"/>
    </row>
    <row r="27">
      <c r="A27" s="11">
        <v>44618.0</v>
      </c>
      <c r="B27" s="114"/>
      <c r="C27" s="114"/>
      <c r="D27" s="114"/>
      <c r="E27" s="114"/>
      <c r="F27" s="110"/>
      <c r="G27" s="110"/>
      <c r="H27" s="110"/>
    </row>
    <row r="28">
      <c r="A28" s="11">
        <v>44619.0</v>
      </c>
      <c r="B28" s="114"/>
      <c r="C28" s="114"/>
      <c r="D28" s="114"/>
      <c r="E28" s="114"/>
      <c r="F28" s="110"/>
      <c r="G28" s="110"/>
      <c r="H28" s="110"/>
    </row>
    <row r="29">
      <c r="A29" s="11">
        <v>44620.0</v>
      </c>
      <c r="B29" s="114"/>
      <c r="C29" s="114"/>
      <c r="D29" s="114"/>
      <c r="E29" s="114"/>
      <c r="F29" s="110"/>
      <c r="G29" s="110"/>
      <c r="H29" s="110"/>
    </row>
    <row r="30">
      <c r="B30" s="114">
        <f t="shared" ref="B30:G30" si="1">SUM(B2:B29)</f>
        <v>151</v>
      </c>
      <c r="C30" s="114">
        <f t="shared" si="1"/>
        <v>0</v>
      </c>
      <c r="D30" s="114">
        <f t="shared" si="1"/>
        <v>0</v>
      </c>
      <c r="E30" s="114">
        <f t="shared" si="1"/>
        <v>0</v>
      </c>
      <c r="F30" s="114">
        <f t="shared" si="1"/>
        <v>0</v>
      </c>
      <c r="G30" s="114">
        <f t="shared" si="1"/>
        <v>0</v>
      </c>
      <c r="H30" s="127"/>
    </row>
    <row r="31">
      <c r="F31" s="37"/>
      <c r="G31" s="37"/>
      <c r="H31" s="127"/>
    </row>
    <row r="32">
      <c r="F32" s="37"/>
      <c r="G32" s="37"/>
      <c r="H32" s="128"/>
      <c r="I32" s="112">
        <f>SUM(F32:H32)</f>
        <v>0</v>
      </c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38"/>
    <col customWidth="1" min="2" max="2" width="19.5"/>
    <col customWidth="1" min="3" max="3" width="23.63"/>
    <col customWidth="1" min="4" max="4" width="25.13"/>
    <col customWidth="1" min="5" max="5" width="20.5"/>
    <col customWidth="1" min="6" max="6" width="21.25"/>
  </cols>
  <sheetData>
    <row r="1">
      <c r="A1" s="2" t="s">
        <v>0</v>
      </c>
      <c r="B1" s="109" t="s">
        <v>425</v>
      </c>
      <c r="C1" s="109" t="s">
        <v>426</v>
      </c>
      <c r="D1" s="109" t="s">
        <v>427</v>
      </c>
      <c r="E1" s="109" t="s">
        <v>428</v>
      </c>
      <c r="F1" s="125" t="s">
        <v>430</v>
      </c>
    </row>
    <row r="2">
      <c r="A2" s="11">
        <v>44593.0</v>
      </c>
      <c r="B2" s="114"/>
      <c r="C2" s="114"/>
      <c r="D2" s="114"/>
      <c r="E2" s="114"/>
      <c r="F2" s="110"/>
    </row>
    <row r="3">
      <c r="A3" s="11">
        <v>44594.0</v>
      </c>
      <c r="B3" s="114"/>
      <c r="C3" s="114"/>
      <c r="D3" s="114"/>
      <c r="E3" s="114"/>
      <c r="F3" s="36" t="s">
        <v>431</v>
      </c>
    </row>
    <row r="4">
      <c r="A4" s="11">
        <v>44595.0</v>
      </c>
      <c r="B4" s="114"/>
      <c r="C4" s="114"/>
      <c r="D4" s="114"/>
      <c r="E4" s="114"/>
      <c r="F4" s="110"/>
    </row>
    <row r="5">
      <c r="A5" s="20">
        <v>44596.0</v>
      </c>
      <c r="B5" s="114"/>
      <c r="C5" s="114"/>
      <c r="D5" s="114"/>
      <c r="E5" s="114"/>
      <c r="F5" s="110"/>
    </row>
    <row r="6">
      <c r="A6" s="11">
        <v>44597.0</v>
      </c>
      <c r="B6" s="114"/>
      <c r="C6" s="114"/>
      <c r="D6" s="114"/>
      <c r="E6" s="114"/>
      <c r="F6" s="110"/>
    </row>
    <row r="7">
      <c r="A7" s="11">
        <v>44598.0</v>
      </c>
      <c r="B7" s="114"/>
      <c r="C7" s="114"/>
      <c r="D7" s="114"/>
      <c r="E7" s="114"/>
      <c r="F7" s="110"/>
    </row>
    <row r="8">
      <c r="A8" s="11">
        <v>44599.0</v>
      </c>
      <c r="B8" s="114"/>
      <c r="C8" s="114"/>
      <c r="D8" s="114"/>
      <c r="E8" s="114"/>
      <c r="F8" s="110"/>
    </row>
    <row r="9">
      <c r="A9" s="11">
        <v>44600.0</v>
      </c>
      <c r="B9" s="114"/>
      <c r="C9" s="114"/>
      <c r="D9" s="114"/>
      <c r="E9" s="114"/>
      <c r="F9" s="110"/>
    </row>
    <row r="10">
      <c r="A10" s="11">
        <v>44601.0</v>
      </c>
      <c r="B10" s="114"/>
      <c r="C10" s="114"/>
      <c r="D10" s="114"/>
      <c r="E10" s="114"/>
      <c r="F10" s="110"/>
    </row>
    <row r="11">
      <c r="A11" s="11">
        <v>44602.0</v>
      </c>
      <c r="B11" s="114"/>
      <c r="C11" s="114"/>
      <c r="D11" s="114"/>
      <c r="E11" s="114"/>
      <c r="F11" s="110"/>
    </row>
    <row r="12">
      <c r="A12" s="20">
        <v>44603.0</v>
      </c>
      <c r="B12" s="114"/>
      <c r="C12" s="114"/>
      <c r="D12" s="114"/>
      <c r="E12" s="114"/>
      <c r="F12" s="110"/>
    </row>
    <row r="13">
      <c r="A13" s="11">
        <v>44604.0</v>
      </c>
      <c r="B13" s="114"/>
      <c r="C13" s="114"/>
      <c r="D13" s="114"/>
      <c r="E13" s="114"/>
      <c r="F13" s="110"/>
    </row>
    <row r="14">
      <c r="A14" s="11">
        <v>44605.0</v>
      </c>
      <c r="B14" s="114"/>
      <c r="C14" s="114"/>
      <c r="D14" s="114"/>
      <c r="E14" s="114"/>
      <c r="F14" s="110"/>
    </row>
    <row r="15">
      <c r="A15" s="11">
        <v>44606.0</v>
      </c>
      <c r="B15" s="114"/>
      <c r="C15" s="114"/>
      <c r="D15" s="114"/>
      <c r="E15" s="114"/>
      <c r="F15" s="110"/>
    </row>
    <row r="16">
      <c r="A16" s="11">
        <v>44607.0</v>
      </c>
      <c r="B16" s="114"/>
      <c r="C16" s="114"/>
      <c r="D16" s="114"/>
      <c r="E16" s="114"/>
      <c r="F16" s="110"/>
    </row>
    <row r="17">
      <c r="A17" s="11">
        <v>44608.0</v>
      </c>
      <c r="B17" s="114"/>
      <c r="C17" s="114"/>
      <c r="D17" s="114"/>
      <c r="E17" s="114"/>
      <c r="F17" s="110"/>
    </row>
    <row r="18">
      <c r="A18" s="11">
        <v>44609.0</v>
      </c>
      <c r="B18" s="114"/>
      <c r="C18" s="114"/>
      <c r="D18" s="114"/>
      <c r="E18" s="114"/>
      <c r="F18" s="110"/>
    </row>
    <row r="19">
      <c r="A19" s="20">
        <v>44610.0</v>
      </c>
      <c r="B19" s="114"/>
      <c r="C19" s="114"/>
      <c r="D19" s="114"/>
      <c r="E19" s="114"/>
      <c r="F19" s="110"/>
    </row>
    <row r="20">
      <c r="A20" s="11">
        <v>44611.0</v>
      </c>
      <c r="B20" s="114"/>
      <c r="C20" s="114"/>
      <c r="D20" s="114"/>
      <c r="E20" s="114"/>
      <c r="F20" s="110"/>
    </row>
    <row r="21">
      <c r="A21" s="11">
        <v>44612.0</v>
      </c>
      <c r="B21" s="114"/>
      <c r="C21" s="114"/>
      <c r="D21" s="114"/>
      <c r="E21" s="114"/>
      <c r="F21" s="110"/>
    </row>
    <row r="22">
      <c r="A22" s="11">
        <v>44613.0</v>
      </c>
      <c r="B22" s="114"/>
      <c r="C22" s="114"/>
      <c r="D22" s="114"/>
      <c r="E22" s="114"/>
      <c r="F22" s="110"/>
    </row>
    <row r="23">
      <c r="A23" s="11">
        <v>44614.0</v>
      </c>
      <c r="B23" s="114"/>
      <c r="C23" s="114"/>
      <c r="D23" s="114"/>
      <c r="E23" s="114"/>
      <c r="F23" s="110"/>
    </row>
    <row r="24">
      <c r="A24" s="11">
        <v>44615.0</v>
      </c>
      <c r="B24" s="114"/>
      <c r="C24" s="114"/>
      <c r="D24" s="114"/>
      <c r="E24" s="114"/>
      <c r="F24" s="110"/>
    </row>
    <row r="25">
      <c r="A25" s="11">
        <v>44616.0</v>
      </c>
      <c r="B25" s="114"/>
      <c r="C25" s="114"/>
      <c r="D25" s="114"/>
      <c r="E25" s="114"/>
      <c r="F25" s="110"/>
    </row>
    <row r="26">
      <c r="A26" s="20">
        <v>44617.0</v>
      </c>
      <c r="B26" s="114"/>
      <c r="C26" s="114"/>
      <c r="D26" s="114"/>
      <c r="E26" s="114"/>
      <c r="F26" s="110"/>
    </row>
    <row r="27">
      <c r="A27" s="11">
        <v>44618.0</v>
      </c>
      <c r="B27" s="114"/>
      <c r="C27" s="114"/>
      <c r="D27" s="114"/>
      <c r="E27" s="114"/>
      <c r="F27" s="110"/>
    </row>
    <row r="28">
      <c r="A28" s="11">
        <v>44619.0</v>
      </c>
      <c r="B28" s="114"/>
      <c r="C28" s="114"/>
      <c r="D28" s="114"/>
      <c r="E28" s="114"/>
      <c r="F28" s="110"/>
    </row>
    <row r="29">
      <c r="A29" s="11">
        <v>44620.0</v>
      </c>
      <c r="B29" s="114"/>
      <c r="C29" s="114"/>
      <c r="D29" s="114"/>
      <c r="E29" s="114"/>
      <c r="F29" s="110"/>
    </row>
    <row r="30">
      <c r="B30" s="114">
        <f t="shared" ref="B30:E30" si="1">SUM(B2:B29)</f>
        <v>0</v>
      </c>
      <c r="C30" s="114">
        <f t="shared" si="1"/>
        <v>0</v>
      </c>
      <c r="D30" s="114">
        <f t="shared" si="1"/>
        <v>0</v>
      </c>
      <c r="E30" s="114">
        <f t="shared" si="1"/>
        <v>0</v>
      </c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13"/>
    <col customWidth="1" min="2" max="2" width="19.75"/>
    <col customWidth="1" min="3" max="3" width="26.5"/>
    <col customWidth="1" min="4" max="4" width="19.13"/>
    <col customWidth="1" min="5" max="5" width="22.38"/>
    <col customWidth="1" min="6" max="6" width="18.88"/>
  </cols>
  <sheetData>
    <row r="1">
      <c r="A1" s="2" t="s">
        <v>0</v>
      </c>
      <c r="B1" s="109" t="s">
        <v>432</v>
      </c>
      <c r="C1" s="109" t="s">
        <v>433</v>
      </c>
      <c r="D1" s="109" t="s">
        <v>434</v>
      </c>
      <c r="E1" s="109" t="s">
        <v>435</v>
      </c>
    </row>
    <row r="2">
      <c r="A2" s="11">
        <v>44593.0</v>
      </c>
      <c r="B2" s="36"/>
      <c r="C2" s="36"/>
      <c r="D2" s="36"/>
      <c r="E2" s="36"/>
    </row>
    <row r="3">
      <c r="A3" s="11">
        <v>44594.0</v>
      </c>
      <c r="B3" s="36"/>
      <c r="C3" s="36"/>
      <c r="D3" s="36"/>
      <c r="E3" s="36"/>
    </row>
    <row r="4">
      <c r="A4" s="11">
        <v>44595.0</v>
      </c>
      <c r="B4" s="36"/>
      <c r="C4" s="36"/>
      <c r="D4" s="36"/>
      <c r="E4" s="36"/>
    </row>
    <row r="5">
      <c r="A5" s="20">
        <v>44596.0</v>
      </c>
      <c r="B5" s="36"/>
      <c r="C5" s="36"/>
      <c r="D5" s="36"/>
      <c r="E5" s="36"/>
    </row>
    <row r="6">
      <c r="A6" s="11">
        <v>44597.0</v>
      </c>
      <c r="B6" s="36"/>
      <c r="C6" s="36"/>
      <c r="D6" s="36"/>
      <c r="E6" s="36"/>
    </row>
    <row r="7">
      <c r="A7" s="11">
        <v>44598.0</v>
      </c>
      <c r="B7" s="36"/>
      <c r="C7" s="36"/>
      <c r="D7" s="36"/>
      <c r="E7" s="36"/>
    </row>
    <row r="8">
      <c r="A8" s="11">
        <v>44599.0</v>
      </c>
      <c r="B8" s="36"/>
      <c r="C8" s="36"/>
      <c r="D8" s="36"/>
      <c r="E8" s="36"/>
    </row>
    <row r="9">
      <c r="A9" s="11">
        <v>44600.0</v>
      </c>
      <c r="B9" s="36"/>
      <c r="C9" s="36"/>
      <c r="D9" s="36"/>
      <c r="E9" s="36"/>
    </row>
    <row r="10">
      <c r="A10" s="11">
        <v>44601.0</v>
      </c>
      <c r="B10" s="110"/>
      <c r="C10" s="110"/>
      <c r="D10" s="110"/>
      <c r="E10" s="110"/>
    </row>
    <row r="11">
      <c r="A11" s="11">
        <v>44602.0</v>
      </c>
      <c r="B11" s="110"/>
      <c r="C11" s="110"/>
      <c r="D11" s="110"/>
      <c r="E11" s="110"/>
    </row>
    <row r="12">
      <c r="A12" s="20">
        <v>44603.0</v>
      </c>
      <c r="B12" s="110"/>
      <c r="C12" s="110"/>
      <c r="D12" s="110"/>
      <c r="E12" s="110"/>
    </row>
    <row r="13">
      <c r="A13" s="11">
        <v>44604.0</v>
      </c>
      <c r="B13" s="110"/>
      <c r="C13" s="110"/>
      <c r="D13" s="110"/>
      <c r="E13" s="110"/>
    </row>
    <row r="14">
      <c r="A14" s="11">
        <v>44605.0</v>
      </c>
      <c r="B14" s="110"/>
      <c r="C14" s="110"/>
      <c r="D14" s="110"/>
      <c r="E14" s="110"/>
    </row>
    <row r="15">
      <c r="A15" s="11">
        <v>44606.0</v>
      </c>
      <c r="B15" s="110"/>
      <c r="C15" s="110"/>
      <c r="D15" s="110"/>
      <c r="E15" s="110"/>
    </row>
    <row r="16">
      <c r="A16" s="11">
        <v>44607.0</v>
      </c>
      <c r="B16" s="110"/>
      <c r="C16" s="110"/>
      <c r="D16" s="110"/>
      <c r="E16" s="110"/>
    </row>
    <row r="17">
      <c r="A17" s="11">
        <v>44608.0</v>
      </c>
      <c r="B17" s="110"/>
      <c r="C17" s="110"/>
      <c r="D17" s="110"/>
      <c r="E17" s="110"/>
    </row>
    <row r="18">
      <c r="A18" s="11">
        <v>44609.0</v>
      </c>
      <c r="B18" s="110"/>
      <c r="C18" s="110"/>
      <c r="D18" s="110"/>
      <c r="E18" s="110"/>
    </row>
    <row r="19">
      <c r="A19" s="20">
        <v>44610.0</v>
      </c>
      <c r="B19" s="110"/>
      <c r="C19" s="110"/>
      <c r="D19" s="110"/>
      <c r="E19" s="110"/>
    </row>
    <row r="20">
      <c r="A20" s="11">
        <v>44611.0</v>
      </c>
      <c r="B20" s="110"/>
      <c r="C20" s="110"/>
      <c r="D20" s="110"/>
      <c r="E20" s="110"/>
    </row>
    <row r="21">
      <c r="A21" s="11">
        <v>44612.0</v>
      </c>
      <c r="B21" s="110"/>
      <c r="C21" s="110"/>
      <c r="D21" s="110"/>
      <c r="E21" s="110"/>
    </row>
    <row r="22">
      <c r="A22" s="11">
        <v>44613.0</v>
      </c>
      <c r="B22" s="110"/>
      <c r="C22" s="110"/>
      <c r="D22" s="110"/>
      <c r="E22" s="110"/>
    </row>
    <row r="23">
      <c r="A23" s="11">
        <v>44614.0</v>
      </c>
      <c r="B23" s="110"/>
      <c r="C23" s="110"/>
      <c r="D23" s="110"/>
      <c r="E23" s="110"/>
    </row>
    <row r="24">
      <c r="A24" s="11">
        <v>44615.0</v>
      </c>
      <c r="B24" s="110"/>
      <c r="C24" s="110"/>
      <c r="D24" s="110"/>
      <c r="E24" s="110"/>
    </row>
    <row r="25">
      <c r="A25" s="11">
        <v>44616.0</v>
      </c>
      <c r="B25" s="110"/>
      <c r="C25" s="110"/>
      <c r="D25" s="110"/>
      <c r="E25" s="110"/>
    </row>
    <row r="26">
      <c r="A26" s="20">
        <v>44617.0</v>
      </c>
      <c r="B26" s="110"/>
      <c r="C26" s="110"/>
      <c r="D26" s="110"/>
      <c r="E26" s="110"/>
    </row>
    <row r="27">
      <c r="A27" s="11">
        <v>44618.0</v>
      </c>
      <c r="B27" s="110"/>
      <c r="C27" s="110"/>
      <c r="D27" s="110"/>
      <c r="E27" s="110"/>
    </row>
    <row r="28">
      <c r="A28" s="11">
        <v>44619.0</v>
      </c>
      <c r="B28" s="110"/>
      <c r="C28" s="110"/>
      <c r="D28" s="110"/>
      <c r="E28" s="110"/>
    </row>
    <row r="29">
      <c r="A29" s="11">
        <v>44620.0</v>
      </c>
      <c r="B29" s="110"/>
      <c r="C29" s="110"/>
      <c r="D29" s="110"/>
      <c r="E29" s="110"/>
    </row>
    <row r="30">
      <c r="A30" s="113" t="s">
        <v>371</v>
      </c>
      <c r="B30" s="114">
        <f t="shared" ref="B30:E30" si="1">SUM(B2:B29)</f>
        <v>0</v>
      </c>
      <c r="C30" s="114">
        <f t="shared" si="1"/>
        <v>0</v>
      </c>
      <c r="D30" s="114">
        <f t="shared" si="1"/>
        <v>0</v>
      </c>
      <c r="E30" s="114">
        <f t="shared" si="1"/>
        <v>0</v>
      </c>
    </row>
    <row r="31">
      <c r="B31" s="111">
        <v>50.0</v>
      </c>
      <c r="C31" s="111">
        <v>60.0</v>
      </c>
      <c r="D31" s="111">
        <v>30.0</v>
      </c>
      <c r="E31" s="111">
        <v>40.0</v>
      </c>
    </row>
    <row r="32">
      <c r="B32" s="37">
        <f t="shared" ref="B32:E32" si="2">B30*B31</f>
        <v>0</v>
      </c>
      <c r="C32" s="37">
        <f t="shared" si="2"/>
        <v>0</v>
      </c>
      <c r="D32" s="37">
        <f t="shared" si="2"/>
        <v>0</v>
      </c>
      <c r="E32" s="37">
        <f t="shared" si="2"/>
        <v>0</v>
      </c>
      <c r="F32" s="112">
        <f>SUM(B32:E32)</f>
        <v>0</v>
      </c>
    </row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2" max="13" width="19.25"/>
    <col customWidth="1" min="14" max="14" width="30.88"/>
  </cols>
  <sheetData>
    <row r="8">
      <c r="I8" s="47"/>
      <c r="J8" s="129" t="s">
        <v>436</v>
      </c>
      <c r="K8" s="129" t="s">
        <v>437</v>
      </c>
      <c r="L8" s="130" t="s">
        <v>438</v>
      </c>
      <c r="M8" s="130" t="s">
        <v>439</v>
      </c>
      <c r="N8" s="130" t="s">
        <v>440</v>
      </c>
    </row>
    <row r="9">
      <c r="I9" s="102">
        <v>1.0</v>
      </c>
      <c r="J9" s="102" t="s">
        <v>313</v>
      </c>
      <c r="K9" s="102">
        <f>Pointage!C30*1</f>
        <v>22</v>
      </c>
      <c r="L9" s="37">
        <f>Pointage!C32*1</f>
        <v>45826</v>
      </c>
      <c r="M9" s="37">
        <f>Zehor!H32*1</f>
        <v>55730</v>
      </c>
      <c r="N9" s="37">
        <f t="shared" ref="N9:N18" si="1">M9/K9</f>
        <v>2533.181818</v>
      </c>
    </row>
    <row r="10">
      <c r="I10" s="104">
        <v>2.0</v>
      </c>
      <c r="J10" s="102" t="s">
        <v>314</v>
      </c>
      <c r="K10" s="102">
        <f>Pointage!D30*1</f>
        <v>21</v>
      </c>
      <c r="L10" s="37">
        <f>Pointage!D32*1</f>
        <v>21861</v>
      </c>
      <c r="M10" s="37">
        <f>Soumia!AH32*1</f>
        <v>76330</v>
      </c>
      <c r="N10" s="37">
        <f t="shared" si="1"/>
        <v>3634.761905</v>
      </c>
    </row>
    <row r="11">
      <c r="I11" s="104">
        <v>3.0</v>
      </c>
      <c r="J11" s="102" t="s">
        <v>317</v>
      </c>
      <c r="K11" s="102">
        <f>Pointage!G30*1</f>
        <v>25</v>
      </c>
      <c r="L11" s="37">
        <f>Pointage!G32*1</f>
        <v>31250</v>
      </c>
      <c r="M11" s="37">
        <f>Amel!U32*1</f>
        <v>109210</v>
      </c>
      <c r="N11" s="37">
        <f t="shared" si="1"/>
        <v>4368.4</v>
      </c>
    </row>
    <row r="12">
      <c r="I12" s="104">
        <v>4.0</v>
      </c>
      <c r="J12" s="102" t="s">
        <v>318</v>
      </c>
      <c r="K12" s="102">
        <f>Pointage!H30*1</f>
        <v>11</v>
      </c>
      <c r="L12" s="111">
        <f>Pointage!H32*1</f>
        <v>11000</v>
      </c>
      <c r="M12" s="111">
        <v>0.0</v>
      </c>
      <c r="N12" s="37">
        <f t="shared" si="1"/>
        <v>0</v>
      </c>
    </row>
    <row r="13">
      <c r="I13" s="104">
        <v>5.0</v>
      </c>
      <c r="J13" s="102" t="s">
        <v>344</v>
      </c>
      <c r="K13" s="102">
        <f>Pointage!I30*1</f>
        <v>13</v>
      </c>
      <c r="L13" s="37">
        <f>Pointage!I32*1</f>
        <v>13000</v>
      </c>
      <c r="M13" s="37">
        <f>Djamila!I32*1</f>
        <v>0</v>
      </c>
      <c r="N13" s="37">
        <f t="shared" si="1"/>
        <v>0</v>
      </c>
    </row>
    <row r="14">
      <c r="I14" s="104">
        <v>6.0</v>
      </c>
      <c r="J14" s="102" t="s">
        <v>345</v>
      </c>
      <c r="K14" s="102">
        <f>Pointage!E30*1</f>
        <v>17</v>
      </c>
      <c r="L14" s="37">
        <f>Pointage!E32*1</f>
        <v>21250</v>
      </c>
      <c r="M14" s="37">
        <f>Nadjet!H32*1</f>
        <v>33700</v>
      </c>
      <c r="N14" s="37">
        <f t="shared" si="1"/>
        <v>1982.352941</v>
      </c>
    </row>
    <row r="15">
      <c r="I15" s="104">
        <v>7.0</v>
      </c>
      <c r="J15" s="102" t="s">
        <v>316</v>
      </c>
      <c r="K15" s="102">
        <f>Pointage!F30*1</f>
        <v>18</v>
      </c>
      <c r="L15" s="37">
        <f>Pointage!F32*1</f>
        <v>22500</v>
      </c>
      <c r="M15" s="37">
        <f>Hadjer!I32*1</f>
        <v>47180</v>
      </c>
      <c r="N15" s="37">
        <f t="shared" si="1"/>
        <v>2621.111111</v>
      </c>
    </row>
    <row r="16">
      <c r="I16" s="104">
        <v>8.0</v>
      </c>
      <c r="J16" s="102" t="s">
        <v>320</v>
      </c>
      <c r="K16" s="102">
        <f>Pointage!J30*1</f>
        <v>23</v>
      </c>
      <c r="L16" s="37">
        <f>Pointage!J32*1</f>
        <v>28750</v>
      </c>
      <c r="M16" s="37">
        <f>'Houda '!AI32*1</f>
        <v>100140</v>
      </c>
      <c r="N16" s="37">
        <f t="shared" si="1"/>
        <v>4353.913043</v>
      </c>
    </row>
    <row r="17">
      <c r="I17" s="104">
        <v>9.0</v>
      </c>
      <c r="J17" s="102" t="s">
        <v>346</v>
      </c>
      <c r="K17" s="102">
        <f>Pointage!L30*1</f>
        <v>22.5</v>
      </c>
      <c r="L17" s="37">
        <f>Pointage!L32*1</f>
        <v>28125</v>
      </c>
      <c r="M17" s="37">
        <f>Hafida!P32*1</f>
        <v>34960</v>
      </c>
      <c r="N17" s="37">
        <f t="shared" si="1"/>
        <v>1553.777778</v>
      </c>
    </row>
    <row r="18">
      <c r="I18" s="104">
        <v>10.0</v>
      </c>
      <c r="J18" s="102" t="s">
        <v>323</v>
      </c>
      <c r="K18" s="102">
        <f>Pointage!M30*1-E31</f>
        <v>20.0625</v>
      </c>
      <c r="L18" s="37">
        <f>Pointage!M32*1</f>
        <v>26953.125</v>
      </c>
      <c r="M18" s="37">
        <f>Zahida!K32*1</f>
        <v>79900</v>
      </c>
      <c r="N18" s="37">
        <f t="shared" si="1"/>
        <v>3982.554517</v>
      </c>
    </row>
    <row r="19">
      <c r="J19" s="113" t="s">
        <v>441</v>
      </c>
      <c r="K19" s="113"/>
      <c r="L19" s="131"/>
      <c r="M19" s="132">
        <f>SUM(M9:M18)</f>
        <v>537150</v>
      </c>
      <c r="N19" s="133"/>
    </row>
    <row r="31">
      <c r="E31" s="103">
        <v>1.5</v>
      </c>
    </row>
  </sheetData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8" max="8" width="76.63"/>
    <col customWidth="1" min="9" max="9" width="25.63"/>
    <col customWidth="1" min="12" max="12" width="17.5"/>
    <col customWidth="1" min="13" max="13" width="20.88"/>
    <col customWidth="1" min="14" max="14" width="19.38"/>
  </cols>
  <sheetData>
    <row r="8">
      <c r="H8" s="134" t="s">
        <v>442</v>
      </c>
      <c r="I8" s="135">
        <v>180000.0</v>
      </c>
    </row>
    <row r="9">
      <c r="H9" s="104" t="s">
        <v>443</v>
      </c>
      <c r="I9" s="135">
        <v>300000.0</v>
      </c>
    </row>
    <row r="10">
      <c r="H10" s="104" t="s">
        <v>444</v>
      </c>
      <c r="I10" s="135">
        <f>RECAP!D30*1</f>
        <v>1300000</v>
      </c>
    </row>
    <row r="11">
      <c r="H11" s="102" t="s">
        <v>445</v>
      </c>
      <c r="I11" s="135">
        <v>30000.0</v>
      </c>
    </row>
    <row r="12">
      <c r="H12" s="102" t="s">
        <v>446</v>
      </c>
      <c r="I12" s="106">
        <v>20000.0</v>
      </c>
    </row>
    <row r="13">
      <c r="H13" s="104" t="s">
        <v>447</v>
      </c>
      <c r="I13" s="135">
        <v>10000.0</v>
      </c>
    </row>
    <row r="14">
      <c r="H14" s="104" t="s">
        <v>448</v>
      </c>
      <c r="I14" s="106">
        <f>'Les charges'!F297*1</f>
        <v>462411</v>
      </c>
    </row>
    <row r="15">
      <c r="H15" s="104" t="s">
        <v>23</v>
      </c>
      <c r="I15" s="106">
        <f>RECAP!O9*1</f>
        <v>118000</v>
      </c>
    </row>
    <row r="16">
      <c r="H16" s="102"/>
      <c r="I16" s="106"/>
    </row>
    <row r="17">
      <c r="H17" s="104" t="s">
        <v>449</v>
      </c>
      <c r="I17" s="106">
        <f>I8+I9+I10-I11-I12-I13-I14-I15</f>
        <v>1139589</v>
      </c>
    </row>
    <row r="23">
      <c r="H23" s="134" t="s">
        <v>442</v>
      </c>
      <c r="I23" s="135">
        <v>180000.0</v>
      </c>
    </row>
    <row r="24">
      <c r="H24" s="104" t="s">
        <v>444</v>
      </c>
      <c r="I24" s="135">
        <f>RECAP!D30*1</f>
        <v>1300000</v>
      </c>
    </row>
    <row r="25">
      <c r="H25" s="104" t="s">
        <v>448</v>
      </c>
      <c r="I25" s="106">
        <f>RECAP!E30*1</f>
        <v>462411</v>
      </c>
    </row>
    <row r="26">
      <c r="H26" s="104" t="s">
        <v>23</v>
      </c>
      <c r="I26" s="106">
        <f>RECAP!O9*1</f>
        <v>118000</v>
      </c>
    </row>
    <row r="27">
      <c r="H27" s="104" t="s">
        <v>450</v>
      </c>
      <c r="I27" s="106">
        <f>Salaires!K19*1</f>
        <v>57000</v>
      </c>
    </row>
    <row r="28">
      <c r="H28" s="104" t="s">
        <v>451</v>
      </c>
      <c r="I28" s="135">
        <v>114000.0</v>
      </c>
    </row>
    <row r="29">
      <c r="H29" s="102"/>
      <c r="I29" s="106"/>
    </row>
    <row r="30">
      <c r="H30" s="102"/>
      <c r="I30" s="106"/>
    </row>
    <row r="31">
      <c r="H31" s="58" t="s">
        <v>452</v>
      </c>
      <c r="I31" s="59">
        <f>I23+I24-I25-I26-I27-I28</f>
        <v>728589</v>
      </c>
    </row>
    <row r="43">
      <c r="L43" s="47"/>
      <c r="M43" s="136" t="s">
        <v>453</v>
      </c>
      <c r="N43" s="19" t="s">
        <v>454</v>
      </c>
    </row>
    <row r="44">
      <c r="L44" s="101" t="s">
        <v>2</v>
      </c>
      <c r="M44" s="106">
        <v>1051000.0</v>
      </c>
      <c r="N44" s="135">
        <v>1300000.0</v>
      </c>
    </row>
    <row r="45">
      <c r="L45" s="101" t="s">
        <v>3</v>
      </c>
      <c r="M45" s="106">
        <v>435000.0</v>
      </c>
      <c r="N45" s="135">
        <v>462400.0</v>
      </c>
    </row>
    <row r="46">
      <c r="L46" s="101" t="s">
        <v>438</v>
      </c>
      <c r="M46" s="106">
        <v>226000.0</v>
      </c>
      <c r="N46" s="135">
        <v>277600.0</v>
      </c>
    </row>
    <row r="47">
      <c r="L47" s="101" t="s">
        <v>5</v>
      </c>
      <c r="M47" s="106">
        <v>90000.0</v>
      </c>
      <c r="N47" s="106">
        <v>90000.0</v>
      </c>
    </row>
    <row r="48">
      <c r="L48" s="101" t="s">
        <v>455</v>
      </c>
      <c r="M48" s="106">
        <v>300000.0</v>
      </c>
      <c r="N48" s="135">
        <v>470000.0</v>
      </c>
    </row>
    <row r="49">
      <c r="L49" s="8"/>
      <c r="M49" s="8"/>
    </row>
  </sheetData>
  <drawing r:id="rId1"/>
</worksheet>
</file>