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 " sheetId="4" r:id="rId7"/>
    <sheet state="visible" name="Magasin" sheetId="5" r:id="rId8"/>
    <sheet state="visible" name="Objectif" sheetId="6" r:id="rId9"/>
  </sheets>
  <definedNames/>
  <calcPr/>
</workbook>
</file>

<file path=xl/sharedStrings.xml><?xml version="1.0" encoding="utf-8"?>
<sst xmlns="http://schemas.openxmlformats.org/spreadsheetml/2006/main" count="285" uniqueCount="171">
  <si>
    <t>Date</t>
  </si>
  <si>
    <t>Recette</t>
  </si>
  <si>
    <t>Charges</t>
  </si>
  <si>
    <t>Salaire</t>
  </si>
  <si>
    <t>Loyer</t>
  </si>
  <si>
    <t>Net Profit</t>
  </si>
  <si>
    <t>Dimanche</t>
  </si>
  <si>
    <t>Lundi</t>
  </si>
  <si>
    <t>Mardi</t>
  </si>
  <si>
    <t>Mercredi</t>
  </si>
  <si>
    <t>Jeudi</t>
  </si>
  <si>
    <t>Vendredi</t>
  </si>
  <si>
    <t>Samedi</t>
  </si>
  <si>
    <t>-</t>
  </si>
  <si>
    <t>Dimenche</t>
  </si>
  <si>
    <t>Cash restant</t>
  </si>
  <si>
    <t>Produit</t>
  </si>
  <si>
    <t>Quantité</t>
  </si>
  <si>
    <t>Prix</t>
  </si>
  <si>
    <t>Date d'achat</t>
  </si>
  <si>
    <t>Sac en papier 23</t>
  </si>
  <si>
    <t>1 fardeau</t>
  </si>
  <si>
    <t>Sac en papier 12</t>
  </si>
  <si>
    <t>Sac en papier 05</t>
  </si>
  <si>
    <t xml:space="preserve">margarine Mani </t>
  </si>
  <si>
    <t xml:space="preserve">2 cartons </t>
  </si>
  <si>
    <t>Confiture</t>
  </si>
  <si>
    <t>36 boites</t>
  </si>
  <si>
    <t>bessel</t>
  </si>
  <si>
    <t>50kg</t>
  </si>
  <si>
    <t xml:space="preserve">Fromage spécial pizza </t>
  </si>
  <si>
    <t>5.1kg</t>
  </si>
  <si>
    <t>7alewet taba3</t>
  </si>
  <si>
    <t>7 mesures</t>
  </si>
  <si>
    <t xml:space="preserve">4 boites </t>
  </si>
  <si>
    <t xml:space="preserve">semoule Amor Ben Amor </t>
  </si>
  <si>
    <t>10 sachets de 10kg</t>
  </si>
  <si>
    <t>ghress</t>
  </si>
  <si>
    <t>31kg</t>
  </si>
  <si>
    <t>epices 3akeri et persil</t>
  </si>
  <si>
    <t>1.5kg</t>
  </si>
  <si>
    <t>sac en papier 23</t>
  </si>
  <si>
    <t>2 fardeaux</t>
  </si>
  <si>
    <t>sachets blanc de 5 kg</t>
  </si>
  <si>
    <t>boites 36/07</t>
  </si>
  <si>
    <t xml:space="preserve">sel </t>
  </si>
  <si>
    <t>16kg</t>
  </si>
  <si>
    <t>Huile Fridor</t>
  </si>
  <si>
    <t>10 bidons de 10 litres</t>
  </si>
  <si>
    <t>Eau</t>
  </si>
  <si>
    <t>9 fardeaux</t>
  </si>
  <si>
    <t>Tissus</t>
  </si>
  <si>
    <t>6 m</t>
  </si>
  <si>
    <t xml:space="preserve">Presseuse de galette en bois </t>
  </si>
  <si>
    <t>4.24 kg</t>
  </si>
  <si>
    <t>Transport</t>
  </si>
  <si>
    <t>Gruyère</t>
  </si>
  <si>
    <t>500g</t>
  </si>
  <si>
    <t xml:space="preserve">Gryère </t>
  </si>
  <si>
    <t>Amina Baghrir</t>
  </si>
  <si>
    <t xml:space="preserve">3 semaines </t>
  </si>
  <si>
    <t>Yassir</t>
  </si>
  <si>
    <t>3.4kg</t>
  </si>
  <si>
    <t>spécial pizza</t>
  </si>
  <si>
    <t xml:space="preserve">Amor Ben Amor </t>
  </si>
  <si>
    <t>90kg</t>
  </si>
  <si>
    <t>2.2kg</t>
  </si>
  <si>
    <t>herbes</t>
  </si>
  <si>
    <t>na3ena3 yabess</t>
  </si>
  <si>
    <t>1kg</t>
  </si>
  <si>
    <t xml:space="preserve">Semoule Bousmail extra fin </t>
  </si>
  <si>
    <t>10kg</t>
  </si>
  <si>
    <t xml:space="preserve">Semoule Extra Ben Hamadi </t>
  </si>
  <si>
    <t>15 sachets de 10gk</t>
  </si>
  <si>
    <t>6 sachets de 5gk</t>
  </si>
  <si>
    <t xml:space="preserve">Tableau acheté par Saida </t>
  </si>
  <si>
    <t>Bessel</t>
  </si>
  <si>
    <t>12kg</t>
  </si>
  <si>
    <t xml:space="preserve">Levure chimique </t>
  </si>
  <si>
    <t xml:space="preserve">1 boite </t>
  </si>
  <si>
    <t xml:space="preserve">Herbes </t>
  </si>
  <si>
    <t>7 bouquets</t>
  </si>
  <si>
    <t>yassir</t>
  </si>
  <si>
    <t xml:space="preserve">Semoule Amor Ben Amor </t>
  </si>
  <si>
    <t>5 sachets de 10kg</t>
  </si>
  <si>
    <t>Trasport</t>
  </si>
  <si>
    <t>Gateaux taba3</t>
  </si>
  <si>
    <t>papier aluminium</t>
  </si>
  <si>
    <t>1 boite de 200m</t>
  </si>
  <si>
    <t>Harrissa</t>
  </si>
  <si>
    <t>10 boites de 500g</t>
  </si>
  <si>
    <t xml:space="preserve">Tomate conserve </t>
  </si>
  <si>
    <t>12 boites de 1 kg</t>
  </si>
  <si>
    <t>9.3kg</t>
  </si>
  <si>
    <t>Isis</t>
  </si>
  <si>
    <t>7abet 7elawa</t>
  </si>
  <si>
    <t>vanille</t>
  </si>
  <si>
    <t>/</t>
  </si>
  <si>
    <t>Boite 36/7</t>
  </si>
  <si>
    <t>1 Fardeau</t>
  </si>
  <si>
    <t>Coca 1/2litre</t>
  </si>
  <si>
    <t xml:space="preserve">jus </t>
  </si>
  <si>
    <t>4 fardeaux</t>
  </si>
  <si>
    <t>Coriandre moulu</t>
  </si>
  <si>
    <t>Sanoudj</t>
  </si>
  <si>
    <t>20kg</t>
  </si>
  <si>
    <t>100kg</t>
  </si>
  <si>
    <t>Baghrir</t>
  </si>
  <si>
    <t>1 semaine</t>
  </si>
  <si>
    <t>Zeviti</t>
  </si>
  <si>
    <t>3 fois</t>
  </si>
  <si>
    <t xml:space="preserve">Farine </t>
  </si>
  <si>
    <t>20 Sachets de 10kg</t>
  </si>
  <si>
    <t xml:space="preserve">Transport </t>
  </si>
  <si>
    <t>eau</t>
  </si>
  <si>
    <t>Omo</t>
  </si>
  <si>
    <t>Herbes</t>
  </si>
  <si>
    <t>Storm</t>
  </si>
  <si>
    <t>5 boites</t>
  </si>
  <si>
    <t>arome citron</t>
  </si>
  <si>
    <t>2 bouteilles</t>
  </si>
  <si>
    <t>rouleau papier</t>
  </si>
  <si>
    <t xml:space="preserve">3 boites </t>
  </si>
  <si>
    <t xml:space="preserve">Mrgarine Mani </t>
  </si>
  <si>
    <t>1 carton</t>
  </si>
  <si>
    <t>3akeri</t>
  </si>
  <si>
    <t>Tomate fraiche</t>
  </si>
  <si>
    <t>11kg</t>
  </si>
  <si>
    <t>3 boites</t>
  </si>
  <si>
    <t>sacs poubelle</t>
  </si>
  <si>
    <t>2 paquets</t>
  </si>
  <si>
    <t xml:space="preserve">Yassir </t>
  </si>
  <si>
    <t>Huiles Bidons de  5litres</t>
  </si>
  <si>
    <t xml:space="preserve">5 bidons de 10 litres </t>
  </si>
  <si>
    <t>Détergeants</t>
  </si>
  <si>
    <t>Semoule Extra Fin Amor Ben Amor</t>
  </si>
  <si>
    <t>Boites 48/10 08/07</t>
  </si>
  <si>
    <t>2 cartons</t>
  </si>
  <si>
    <t>Recheta</t>
  </si>
  <si>
    <t>7kg</t>
  </si>
  <si>
    <t>15kg</t>
  </si>
  <si>
    <t>gheress</t>
  </si>
  <si>
    <t>11.4kg</t>
  </si>
  <si>
    <t>Recheta + herbes</t>
  </si>
  <si>
    <t>3kg+5 bouquets</t>
  </si>
  <si>
    <t>Totale</t>
  </si>
  <si>
    <t xml:space="preserve">Somme initiale </t>
  </si>
  <si>
    <t>Rest</t>
  </si>
  <si>
    <t>Zehor</t>
  </si>
  <si>
    <t>Sanaa</t>
  </si>
  <si>
    <t>Sabrina</t>
  </si>
  <si>
    <t>Souad</t>
  </si>
  <si>
    <t>Wahuba2</t>
  </si>
  <si>
    <t>Naima</t>
  </si>
  <si>
    <t>Wahiba</t>
  </si>
  <si>
    <t>Loubna</t>
  </si>
  <si>
    <t>Zahida</t>
  </si>
  <si>
    <t>Remarque</t>
  </si>
  <si>
    <t xml:space="preserve">Reste à payer  </t>
  </si>
  <si>
    <t>TOTAL</t>
  </si>
  <si>
    <t>Salaire/jour</t>
  </si>
  <si>
    <t>SALAIRES</t>
  </si>
  <si>
    <t xml:space="preserve">Nom </t>
  </si>
  <si>
    <t>Avance</t>
  </si>
  <si>
    <t>Wahiba2</t>
  </si>
  <si>
    <t>RESTE</t>
  </si>
  <si>
    <t>Objectif</t>
  </si>
  <si>
    <t>Real</t>
  </si>
  <si>
    <t xml:space="preserve">Manque </t>
  </si>
  <si>
    <t>Bénéfice Prévu</t>
  </si>
  <si>
    <t>Bénéfice réel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</si>
</sst>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.m"/>
    <numFmt numFmtId="167" formatCode="d/m/yy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14.0"/>
      <color rgb="FFFF0000"/>
      <name val="Arial"/>
    </font>
    <font>
      <b/>
      <sz val="12.0"/>
      <color rgb="FF0000FF"/>
      <name val="Arial"/>
    </font>
    <font>
      <sz val="12.0"/>
      <color rgb="FF00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sz val="18.0"/>
      <color theme="1"/>
      <name val="Arial"/>
    </font>
    <font>
      <sz val="18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3" fillId="4" fontId="2" numFmtId="0" xfId="0" applyAlignment="1" applyBorder="1" applyFill="1" applyFont="1">
      <alignment horizontal="center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165" xfId="0" applyAlignment="1" applyBorder="1" applyFont="1" applyNumberFormat="1">
      <alignment vertical="bottom"/>
    </xf>
    <xf borderId="0" fillId="0" fontId="4" numFmtId="0" xfId="0" applyAlignment="1" applyFont="1">
      <alignment readingOrder="0"/>
    </xf>
    <xf borderId="1" fillId="3" fontId="1" numFmtId="0" xfId="0" applyAlignment="1" applyBorder="1" applyFont="1">
      <alignment vertical="bottom"/>
    </xf>
    <xf borderId="1" fillId="4" fontId="1" numFmtId="3" xfId="0" applyAlignment="1" applyBorder="1" applyFont="1" applyNumberFormat="1">
      <alignment vertical="bottom"/>
    </xf>
    <xf borderId="3" fillId="3" fontId="2" numFmtId="0" xfId="0" applyAlignment="1" applyBorder="1" applyFont="1">
      <alignment horizontal="center" readingOrder="0" vertical="bottom"/>
    </xf>
    <xf borderId="1" fillId="3" fontId="1" numFmtId="3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1" fillId="5" fontId="3" numFmtId="165" xfId="0" applyAlignment="1" applyBorder="1" applyFill="1" applyFont="1" applyNumberFormat="1">
      <alignment horizontal="center" vertical="bottom"/>
    </xf>
    <xf borderId="1" fillId="6" fontId="3" numFmtId="165" xfId="0" applyAlignment="1" applyBorder="1" applyFill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4" fillId="9" fontId="5" numFmtId="0" xfId="0" applyAlignment="1" applyBorder="1" applyFill="1" applyFont="1">
      <alignment horizontal="center" vertical="bottom"/>
    </xf>
    <xf borderId="4" fillId="5" fontId="6" numFmtId="165" xfId="0" applyAlignment="1" applyBorder="1" applyFont="1" applyNumberFormat="1">
      <alignment horizontal="center"/>
    </xf>
    <xf borderId="4" fillId="5" fontId="6" numFmtId="0" xfId="0" applyAlignment="1" applyBorder="1" applyFont="1">
      <alignment horizontal="center"/>
    </xf>
    <xf borderId="4" fillId="5" fontId="7" numFmtId="165" xfId="0" applyAlignment="1" applyBorder="1" applyFont="1" applyNumberFormat="1">
      <alignment horizontal="center"/>
    </xf>
    <xf borderId="3" fillId="9" fontId="8" numFmtId="165" xfId="0" applyAlignment="1" applyBorder="1" applyFont="1" applyNumberFormat="1">
      <alignment horizontal="center" vertical="bottom"/>
    </xf>
    <xf borderId="0" fillId="0" fontId="7" numFmtId="165" xfId="0" applyAlignment="1" applyFont="1" applyNumberFormat="1">
      <alignment horizontal="center" readingOrder="0"/>
    </xf>
    <xf borderId="0" fillId="0" fontId="1" numFmtId="0" xfId="0" applyAlignment="1" applyFont="1">
      <alignment vertical="bottom"/>
    </xf>
    <xf borderId="4" fillId="5" fontId="9" numFmtId="0" xfId="0" applyAlignment="1" applyBorder="1" applyFont="1">
      <alignment horizontal="center" vertical="bottom"/>
    </xf>
    <xf borderId="2" fillId="5" fontId="9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bottom"/>
    </xf>
    <xf borderId="1" fillId="0" fontId="8" numFmtId="165" xfId="0" applyAlignment="1" applyBorder="1" applyFont="1" applyNumberForma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 vertical="bottom"/>
    </xf>
    <xf borderId="1" fillId="0" fontId="8" numFmtId="166" xfId="0" applyAlignment="1" applyBorder="1" applyFont="1" applyNumberFormat="1">
      <alignment horizontal="center" readingOrder="0" vertical="bottom"/>
    </xf>
    <xf borderId="1" fillId="0" fontId="8" numFmtId="167" xfId="0" applyAlignment="1" applyBorder="1" applyFont="1" applyNumberFormat="1">
      <alignment horizontal="center" readingOrder="0" vertical="bottom"/>
    </xf>
    <xf borderId="3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1" fillId="0" fontId="8" numFmtId="165" xfId="0" applyAlignment="1" applyBorder="1" applyFont="1" applyNumberFormat="1">
      <alignment horizontal="center" vertical="bottom"/>
    </xf>
    <xf borderId="1" fillId="0" fontId="8" numFmtId="164" xfId="0" applyAlignment="1" applyBorder="1" applyFont="1" applyNumberFormat="1">
      <alignment horizontal="center" vertical="bottom"/>
    </xf>
    <xf borderId="3" fillId="4" fontId="10" numFmtId="0" xfId="0" applyAlignment="1" applyBorder="1" applyFont="1">
      <alignment horizontal="center" vertical="bottom"/>
    </xf>
    <xf borderId="1" fillId="6" fontId="5" numFmtId="165" xfId="0" applyAlignment="1" applyBorder="1" applyFont="1" applyNumberFormat="1">
      <alignment horizontal="center" vertical="bottom"/>
    </xf>
    <xf borderId="3" fillId="4" fontId="11" numFmtId="0" xfId="0" applyAlignment="1" applyBorder="1" applyFont="1">
      <alignment horizontal="center" vertical="bottom"/>
    </xf>
    <xf borderId="1" fillId="8" fontId="5" numFmtId="165" xfId="0" applyAlignment="1" applyBorder="1" applyFont="1" applyNumberFormat="1">
      <alignment horizontal="center" vertical="bottom"/>
    </xf>
    <xf borderId="1" fillId="5" fontId="5" numFmtId="165" xfId="0" applyAlignment="1" applyBorder="1" applyFont="1" applyNumberFormat="1">
      <alignment horizontal="center" vertical="bottom"/>
    </xf>
    <xf borderId="0" fillId="3" fontId="1" numFmtId="0" xfId="0" applyAlignment="1" applyFont="1">
      <alignment vertical="bottom"/>
    </xf>
    <xf borderId="2" fillId="8" fontId="2" numFmtId="0" xfId="0" applyAlignment="1" applyBorder="1" applyFont="1">
      <alignment horizontal="center" vertical="bottom"/>
    </xf>
    <xf borderId="2" fillId="8" fontId="12" numFmtId="0" xfId="0" applyAlignment="1" applyBorder="1" applyFont="1">
      <alignment horizontal="center" vertical="bottom"/>
    </xf>
    <xf borderId="2" fillId="8" fontId="12" numFmtId="0" xfId="0" applyAlignment="1" applyBorder="1" applyFont="1">
      <alignment horizontal="center" readingOrder="0" vertical="bottom"/>
    </xf>
    <xf borderId="2" fillId="5" fontId="5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readingOrder="0" vertical="bottom"/>
    </xf>
    <xf borderId="1" fillId="6" fontId="3" numFmtId="0" xfId="0" applyAlignment="1" applyBorder="1" applyFont="1">
      <alignment horizontal="right" readingOrder="0" vertical="bottom"/>
    </xf>
    <xf borderId="1" fillId="3" fontId="13" numFmtId="0" xfId="0" applyAlignment="1" applyBorder="1" applyFont="1">
      <alignment horizontal="right" readingOrder="0" vertical="bottom"/>
    </xf>
    <xf borderId="1" fillId="6" fontId="1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readingOrder="0" vertical="bottom"/>
    </xf>
    <xf borderId="1" fillId="4" fontId="3" numFmtId="0" xfId="0" applyAlignment="1" applyBorder="1" applyFont="1">
      <alignment horizontal="right" vertical="bottom"/>
    </xf>
    <xf borderId="1" fillId="5" fontId="11" numFmtId="0" xfId="0" applyAlignment="1" applyBorder="1" applyFont="1">
      <alignment horizontal="center" vertical="bottom"/>
    </xf>
    <xf borderId="1" fillId="5" fontId="1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1" fillId="5" fontId="15" numFmtId="0" xfId="0" applyAlignment="1" applyBorder="1" applyFont="1">
      <alignment horizontal="center" vertical="bottom"/>
    </xf>
    <xf borderId="1" fillId="5" fontId="15" numFmtId="165" xfId="0" applyAlignment="1" applyBorder="1" applyFont="1" applyNumberFormat="1">
      <alignment horizontal="center" vertical="bottom"/>
    </xf>
    <xf borderId="0" fillId="4" fontId="1" numFmtId="165" xfId="0" applyAlignment="1" applyFont="1" applyNumberFormat="1">
      <alignment vertical="bottom"/>
    </xf>
    <xf borderId="5" fillId="0" fontId="1" numFmtId="0" xfId="0" applyAlignment="1" applyBorder="1" applyFont="1">
      <alignment vertical="bottom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right" vertical="bottom"/>
    </xf>
    <xf borderId="1" fillId="0" fontId="8" numFmtId="165" xfId="0" applyAlignment="1" applyBorder="1" applyFont="1" applyNumberFormat="1">
      <alignment horizontal="right" vertical="bottom"/>
    </xf>
    <xf borderId="1" fillId="0" fontId="8" numFmtId="165" xfId="0" applyAlignment="1" applyBorder="1" applyFont="1" applyNumberFormat="1">
      <alignment readingOrder="0" vertical="bottom"/>
    </xf>
    <xf borderId="1" fillId="0" fontId="8" numFmtId="165" xfId="0" applyAlignment="1" applyBorder="1" applyFont="1" applyNumberFormat="1">
      <alignment vertical="bottom"/>
    </xf>
    <xf borderId="3" fillId="0" fontId="8" numFmtId="0" xfId="0" applyAlignment="1" applyBorder="1" applyFont="1">
      <alignment horizontal="right" readingOrder="0" vertical="bottom"/>
    </xf>
    <xf borderId="1" fillId="0" fontId="8" numFmtId="165" xfId="0" applyAlignment="1" applyBorder="1" applyFont="1" applyNumberFormat="1">
      <alignment horizontal="right" readingOrder="0" vertical="bottom"/>
    </xf>
    <xf borderId="6" fillId="0" fontId="1" numFmtId="0" xfId="0" applyAlignment="1" applyBorder="1" applyFont="1">
      <alignment vertical="bottom"/>
    </xf>
    <xf borderId="1" fillId="5" fontId="16" numFmtId="0" xfId="0" applyAlignment="1" applyBorder="1" applyFont="1">
      <alignment horizontal="center" vertical="bottom"/>
    </xf>
    <xf borderId="1" fillId="5" fontId="16" numFmtId="165" xfId="0" applyAlignment="1" applyBorder="1" applyFont="1" applyNumberFormat="1">
      <alignment horizontal="right" vertical="bottom"/>
    </xf>
    <xf borderId="0" fillId="6" fontId="16" numFmtId="165" xfId="0" applyAlignment="1" applyFont="1" applyNumberFormat="1">
      <alignment horizontal="right" vertical="bottom"/>
    </xf>
    <xf borderId="4" fillId="8" fontId="17" numFmtId="0" xfId="0" applyAlignment="1" applyBorder="1" applyFont="1">
      <alignment horizontal="center" readingOrder="0"/>
    </xf>
    <xf borderId="4" fillId="8" fontId="17" numFmtId="165" xfId="0" applyBorder="1" applyFont="1" applyNumberFormat="1"/>
    <xf borderId="0" fillId="0" fontId="4" numFmtId="0" xfId="0" applyAlignment="1" applyFont="1">
      <alignment horizontal="center"/>
    </xf>
    <xf borderId="4" fillId="0" fontId="17" numFmtId="0" xfId="0" applyAlignment="1" applyBorder="1" applyFont="1">
      <alignment horizontal="center" readingOrder="0"/>
    </xf>
    <xf borderId="4" fillId="9" fontId="17" numFmtId="165" xfId="0" applyAlignment="1" applyBorder="1" applyFont="1" applyNumberFormat="1">
      <alignment horizontal="center"/>
    </xf>
    <xf borderId="4" fillId="5" fontId="17" numFmtId="165" xfId="0" applyAlignment="1" applyBorder="1" applyFont="1" applyNumberFormat="1">
      <alignment horizontal="center"/>
    </xf>
    <xf borderId="4" fillId="6" fontId="17" numFmtId="165" xfId="0" applyAlignment="1" applyBorder="1" applyFont="1" applyNumberFormat="1">
      <alignment horizontal="center"/>
    </xf>
    <xf borderId="4" fillId="4" fontId="17" numFmtId="165" xfId="0" applyAlignment="1" applyBorder="1" applyFont="1" applyNumberFormat="1">
      <alignment horizontal="center"/>
    </xf>
    <xf borderId="4" fillId="8" fontId="17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Recette par rapport au jour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RECAP!$C$1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RECAP!$A$2:$A$32</c:f>
            </c:strRef>
          </c:cat>
          <c:val>
            <c:numRef>
              <c:f>RECAP!$C$2:$C$32</c:f>
              <c:numCache/>
            </c:numRef>
          </c:val>
        </c:ser>
        <c:axId val="1782188940"/>
        <c:axId val="869182315"/>
      </c:areaChart>
      <c:catAx>
        <c:axId val="1782188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9182315"/>
      </c:catAx>
      <c:valAx>
        <c:axId val="869182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Recette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188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0</xdr:row>
      <xdr:rowOff>19050</xdr:rowOff>
    </xdr:from>
    <xdr:ext cx="7324725" cy="43053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75"/>
    <col customWidth="1" min="17" max="17" width="9.0"/>
    <col customWidth="1" min="18" max="18" width="16.75"/>
    <col customWidth="1" min="19" max="19" width="6.75"/>
    <col customWidth="1" min="20" max="20" width="21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43800.0</v>
      </c>
      <c r="C2" s="5">
        <v>15000.0</v>
      </c>
      <c r="D2" s="6"/>
      <c r="E2" s="6"/>
      <c r="F2" s="6"/>
      <c r="G2" s="6"/>
    </row>
    <row r="3">
      <c r="A3" s="3" t="s">
        <v>7</v>
      </c>
      <c r="B3" s="4">
        <v>43801.0</v>
      </c>
      <c r="C3" s="5">
        <v>19000.0</v>
      </c>
      <c r="D3" s="6"/>
      <c r="E3" s="6"/>
      <c r="F3" s="6"/>
      <c r="G3" s="6"/>
    </row>
    <row r="4">
      <c r="A4" s="3" t="s">
        <v>8</v>
      </c>
      <c r="B4" s="4">
        <v>43802.0</v>
      </c>
      <c r="C4" s="5">
        <v>19000.0</v>
      </c>
      <c r="D4" s="6"/>
      <c r="E4" s="6"/>
      <c r="F4" s="6"/>
      <c r="G4" s="6"/>
    </row>
    <row r="5">
      <c r="A5" s="3" t="s">
        <v>9</v>
      </c>
      <c r="B5" s="4">
        <v>43803.0</v>
      </c>
      <c r="C5" s="5">
        <v>30000.0</v>
      </c>
      <c r="D5" s="6"/>
      <c r="E5" s="6"/>
      <c r="F5" s="6"/>
      <c r="G5" s="6"/>
    </row>
    <row r="6">
      <c r="A6" s="3" t="s">
        <v>10</v>
      </c>
      <c r="B6" s="4">
        <v>43804.0</v>
      </c>
      <c r="C6" s="5">
        <v>35000.0</v>
      </c>
      <c r="D6" s="6"/>
      <c r="E6" s="6"/>
      <c r="F6" s="6"/>
      <c r="G6" s="6"/>
    </row>
    <row r="7">
      <c r="A7" s="7" t="s">
        <v>11</v>
      </c>
      <c r="B7" s="8">
        <v>43805.0</v>
      </c>
      <c r="C7" s="9">
        <v>0.0</v>
      </c>
      <c r="D7" s="10"/>
      <c r="E7" s="10"/>
      <c r="F7" s="10"/>
      <c r="G7" s="10"/>
    </row>
    <row r="8">
      <c r="A8" s="3" t="s">
        <v>12</v>
      </c>
      <c r="B8" s="4">
        <v>43806.0</v>
      </c>
      <c r="C8" s="5">
        <v>27000.0</v>
      </c>
      <c r="D8" s="6"/>
      <c r="E8" s="6"/>
      <c r="F8" s="6"/>
      <c r="G8" s="6"/>
    </row>
    <row r="9">
      <c r="A9" s="3" t="s">
        <v>6</v>
      </c>
      <c r="B9" s="4">
        <v>43807.0</v>
      </c>
      <c r="C9" s="5">
        <v>26000.0</v>
      </c>
      <c r="D9" s="6"/>
      <c r="E9" s="6"/>
      <c r="F9" s="6"/>
      <c r="G9" s="6"/>
    </row>
    <row r="10">
      <c r="A10" s="3" t="s">
        <v>7</v>
      </c>
      <c r="B10" s="4">
        <v>43808.0</v>
      </c>
      <c r="C10" s="5">
        <v>21000.0</v>
      </c>
      <c r="D10" s="6"/>
      <c r="E10" s="6"/>
      <c r="F10" s="6"/>
      <c r="G10" s="6"/>
    </row>
    <row r="11">
      <c r="A11" s="3" t="s">
        <v>8</v>
      </c>
      <c r="B11" s="4">
        <v>43809.0</v>
      </c>
      <c r="C11" s="5">
        <v>17000.0</v>
      </c>
      <c r="D11" s="6"/>
      <c r="E11" s="6"/>
      <c r="F11" s="6"/>
      <c r="G11" s="6"/>
    </row>
    <row r="12">
      <c r="A12" s="3" t="s">
        <v>9</v>
      </c>
      <c r="B12" s="4">
        <v>43810.0</v>
      </c>
      <c r="C12" s="5">
        <v>30000.0</v>
      </c>
      <c r="D12" s="6"/>
      <c r="E12" s="6"/>
      <c r="F12" s="6"/>
      <c r="G12" s="6"/>
      <c r="H12" s="11" t="s">
        <v>13</v>
      </c>
    </row>
    <row r="13">
      <c r="A13" s="3" t="s">
        <v>10</v>
      </c>
      <c r="B13" s="4">
        <v>43811.0</v>
      </c>
      <c r="C13" s="5">
        <v>12000.0</v>
      </c>
      <c r="D13" s="6"/>
      <c r="E13" s="6"/>
      <c r="F13" s="6"/>
      <c r="G13" s="6"/>
    </row>
    <row r="14">
      <c r="A14" s="7" t="s">
        <v>11</v>
      </c>
      <c r="B14" s="8">
        <v>43812.0</v>
      </c>
      <c r="C14" s="9">
        <v>0.0</v>
      </c>
      <c r="D14" s="10"/>
      <c r="E14" s="10"/>
      <c r="F14" s="10"/>
      <c r="G14" s="10"/>
    </row>
    <row r="15">
      <c r="A15" s="3" t="s">
        <v>12</v>
      </c>
      <c r="B15" s="4">
        <v>43813.0</v>
      </c>
      <c r="C15" s="5">
        <v>20000.0</v>
      </c>
      <c r="D15" s="6"/>
      <c r="E15" s="6"/>
      <c r="F15" s="6"/>
      <c r="G15" s="6"/>
    </row>
    <row r="16">
      <c r="A16" s="3" t="s">
        <v>6</v>
      </c>
      <c r="B16" s="4">
        <v>43814.0</v>
      </c>
      <c r="C16" s="5">
        <v>21000.0</v>
      </c>
      <c r="D16" s="6"/>
      <c r="E16" s="6"/>
      <c r="F16" s="6"/>
      <c r="G16" s="6"/>
    </row>
    <row r="17">
      <c r="A17" s="3" t="s">
        <v>7</v>
      </c>
      <c r="B17" s="4">
        <v>43815.0</v>
      </c>
      <c r="C17" s="5">
        <v>26000.0</v>
      </c>
      <c r="D17" s="6"/>
      <c r="E17" s="6"/>
      <c r="F17" s="6"/>
      <c r="G17" s="6"/>
    </row>
    <row r="18">
      <c r="A18" s="3" t="s">
        <v>8</v>
      </c>
      <c r="B18" s="4">
        <v>43816.0</v>
      </c>
      <c r="C18" s="5">
        <v>17000.0</v>
      </c>
      <c r="D18" s="6"/>
      <c r="E18" s="6"/>
      <c r="F18" s="6"/>
      <c r="G18" s="6"/>
    </row>
    <row r="19">
      <c r="A19" s="3" t="s">
        <v>9</v>
      </c>
      <c r="B19" s="4">
        <v>43817.0</v>
      </c>
      <c r="C19" s="5">
        <v>25000.0</v>
      </c>
      <c r="D19" s="6"/>
      <c r="E19" s="6"/>
      <c r="F19" s="6"/>
      <c r="G19" s="6"/>
    </row>
    <row r="20">
      <c r="A20" s="3" t="s">
        <v>10</v>
      </c>
      <c r="B20" s="4">
        <v>43818.0</v>
      </c>
      <c r="C20" s="5">
        <v>33000.0</v>
      </c>
      <c r="D20" s="6"/>
      <c r="E20" s="6"/>
      <c r="F20" s="6"/>
      <c r="G20" s="6"/>
    </row>
    <row r="21">
      <c r="A21" s="7" t="s">
        <v>11</v>
      </c>
      <c r="B21" s="8">
        <v>43819.0</v>
      </c>
      <c r="C21" s="9">
        <v>0.0</v>
      </c>
      <c r="D21" s="10"/>
      <c r="E21" s="10"/>
      <c r="F21" s="10"/>
      <c r="G21" s="10"/>
    </row>
    <row r="22">
      <c r="A22" s="3" t="s">
        <v>12</v>
      </c>
      <c r="B22" s="4">
        <v>43820.0</v>
      </c>
      <c r="C22" s="5">
        <v>17000.0</v>
      </c>
      <c r="D22" s="6"/>
      <c r="E22" s="6"/>
      <c r="F22" s="6"/>
      <c r="G22" s="6"/>
    </row>
    <row r="23">
      <c r="A23" s="3" t="s">
        <v>6</v>
      </c>
      <c r="B23" s="4">
        <v>43821.0</v>
      </c>
      <c r="C23" s="5">
        <v>14000.0</v>
      </c>
      <c r="D23" s="6"/>
      <c r="E23" s="6"/>
      <c r="F23" s="6"/>
      <c r="G23" s="6"/>
    </row>
    <row r="24">
      <c r="A24" s="3" t="s">
        <v>7</v>
      </c>
      <c r="B24" s="4">
        <v>43822.0</v>
      </c>
      <c r="C24" s="5">
        <v>16000.0</v>
      </c>
      <c r="D24" s="6"/>
      <c r="E24" s="6"/>
      <c r="F24" s="6"/>
      <c r="G24" s="6"/>
    </row>
    <row r="25">
      <c r="A25" s="3" t="s">
        <v>8</v>
      </c>
      <c r="B25" s="4">
        <v>43823.0</v>
      </c>
      <c r="C25" s="5">
        <v>11000.0</v>
      </c>
      <c r="D25" s="6"/>
      <c r="E25" s="6"/>
      <c r="F25" s="6"/>
      <c r="G25" s="6"/>
    </row>
    <row r="26">
      <c r="A26" s="3" t="s">
        <v>9</v>
      </c>
      <c r="B26" s="4">
        <v>43824.0</v>
      </c>
      <c r="C26" s="5">
        <v>14000.0</v>
      </c>
      <c r="D26" s="6"/>
      <c r="E26" s="6"/>
      <c r="F26" s="6"/>
      <c r="G26" s="6"/>
    </row>
    <row r="27">
      <c r="A27" s="3" t="s">
        <v>10</v>
      </c>
      <c r="B27" s="4">
        <v>43825.0</v>
      </c>
      <c r="C27" s="5">
        <v>25000.0</v>
      </c>
      <c r="D27" s="12"/>
      <c r="E27" s="12"/>
      <c r="F27" s="12"/>
      <c r="G27" s="12"/>
    </row>
    <row r="28">
      <c r="A28" s="7" t="s">
        <v>11</v>
      </c>
      <c r="B28" s="8">
        <v>43826.0</v>
      </c>
      <c r="C28" s="9">
        <v>0.0</v>
      </c>
      <c r="D28" s="13"/>
      <c r="E28" s="13"/>
      <c r="F28" s="13"/>
      <c r="G28" s="13"/>
    </row>
    <row r="29">
      <c r="A29" s="14" t="s">
        <v>12</v>
      </c>
      <c r="B29" s="4">
        <v>43827.0</v>
      </c>
      <c r="C29" s="5">
        <v>23000.0</v>
      </c>
      <c r="D29" s="15"/>
      <c r="E29" s="15"/>
      <c r="F29" s="15"/>
      <c r="G29" s="15"/>
    </row>
    <row r="30">
      <c r="A30" s="14" t="s">
        <v>14</v>
      </c>
      <c r="B30" s="4">
        <v>43828.0</v>
      </c>
      <c r="C30" s="5">
        <v>21000.0</v>
      </c>
      <c r="D30" s="15"/>
      <c r="E30" s="15"/>
      <c r="F30" s="15"/>
      <c r="G30" s="15"/>
    </row>
    <row r="31">
      <c r="A31" s="14" t="s">
        <v>7</v>
      </c>
      <c r="B31" s="4">
        <v>43829.0</v>
      </c>
      <c r="C31" s="5">
        <v>14000.0</v>
      </c>
      <c r="D31" s="15"/>
      <c r="E31" s="15"/>
      <c r="F31" s="15"/>
      <c r="G31" s="15"/>
    </row>
    <row r="32">
      <c r="A32" s="14" t="s">
        <v>8</v>
      </c>
      <c r="B32" s="4">
        <v>43830.0</v>
      </c>
      <c r="C32" s="5">
        <v>25000.0</v>
      </c>
      <c r="D32" s="15"/>
      <c r="E32" s="15"/>
      <c r="F32" s="15"/>
      <c r="G32" s="15"/>
    </row>
    <row r="33">
      <c r="A33" s="16"/>
      <c r="B33" s="4"/>
      <c r="C33" s="17">
        <f>SUM(C2:C32)</f>
        <v>573000</v>
      </c>
      <c r="D33" s="18">
        <f>Charges!F107*1</f>
        <v>187800</v>
      </c>
      <c r="E33" s="19">
        <f>Pointage!L35*1</f>
        <v>145200</v>
      </c>
      <c r="F33" s="20">
        <v>40000.0</v>
      </c>
      <c r="G33" s="21">
        <f>C33-D33-E33-F33</f>
        <v>200000</v>
      </c>
      <c r="J33" s="22" t="s">
        <v>15</v>
      </c>
      <c r="R33" s="23">
        <f>C33*1</f>
        <v>573000</v>
      </c>
      <c r="S33" s="24">
        <f>Pointage!K33*1</f>
        <v>29</v>
      </c>
      <c r="T33" s="25">
        <f>R33/S33</f>
        <v>19758.62069</v>
      </c>
    </row>
    <row r="34">
      <c r="J34" s="26">
        <f>F33+G33+Charges!F108+'Salaires '!J24</f>
        <v>440900</v>
      </c>
      <c r="T34" s="27">
        <v>25000.0</v>
      </c>
    </row>
    <row r="35">
      <c r="J35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1.88"/>
    <col customWidth="1" min="5" max="5" width="25.25"/>
    <col customWidth="1" min="6" max="6" width="18.0"/>
    <col customWidth="1" min="7" max="7" width="26.13"/>
  </cols>
  <sheetData>
    <row r="3">
      <c r="D3" s="29" t="s">
        <v>16</v>
      </c>
      <c r="E3" s="30" t="s">
        <v>17</v>
      </c>
      <c r="F3" s="30" t="s">
        <v>18</v>
      </c>
      <c r="G3" s="30" t="s">
        <v>19</v>
      </c>
    </row>
    <row r="4">
      <c r="D4" s="31" t="s">
        <v>20</v>
      </c>
      <c r="E4" s="32" t="s">
        <v>21</v>
      </c>
      <c r="F4" s="33">
        <v>780.0</v>
      </c>
      <c r="G4" s="34">
        <v>43800.0</v>
      </c>
    </row>
    <row r="5">
      <c r="D5" s="31" t="s">
        <v>22</v>
      </c>
      <c r="E5" s="32" t="s">
        <v>21</v>
      </c>
      <c r="F5" s="33">
        <v>450.0</v>
      </c>
      <c r="G5" s="34">
        <v>43800.0</v>
      </c>
    </row>
    <row r="6">
      <c r="D6" s="31" t="s">
        <v>23</v>
      </c>
      <c r="E6" s="32" t="s">
        <v>21</v>
      </c>
      <c r="F6" s="33">
        <v>330.0</v>
      </c>
      <c r="G6" s="34">
        <v>43800.0</v>
      </c>
    </row>
    <row r="7">
      <c r="D7" s="31" t="s">
        <v>24</v>
      </c>
      <c r="E7" s="32" t="s">
        <v>25</v>
      </c>
      <c r="F7" s="33">
        <v>5420.0</v>
      </c>
      <c r="G7" s="34">
        <v>43800.0</v>
      </c>
    </row>
    <row r="8">
      <c r="D8" s="31" t="s">
        <v>26</v>
      </c>
      <c r="E8" s="32" t="s">
        <v>27</v>
      </c>
      <c r="F8" s="33">
        <v>7380.0</v>
      </c>
      <c r="G8" s="34">
        <v>43800.0</v>
      </c>
    </row>
    <row r="9">
      <c r="D9" s="31" t="s">
        <v>28</v>
      </c>
      <c r="E9" s="32" t="s">
        <v>29</v>
      </c>
      <c r="F9" s="33">
        <v>2000.0</v>
      </c>
      <c r="G9" s="34">
        <v>43800.0</v>
      </c>
    </row>
    <row r="10">
      <c r="D10" s="31" t="s">
        <v>30</v>
      </c>
      <c r="E10" s="32" t="s">
        <v>31</v>
      </c>
      <c r="F10" s="33">
        <v>1670.0</v>
      </c>
      <c r="G10" s="34">
        <v>43800.0</v>
      </c>
    </row>
    <row r="11">
      <c r="D11" s="31" t="s">
        <v>32</v>
      </c>
      <c r="E11" s="32" t="s">
        <v>33</v>
      </c>
      <c r="F11" s="33">
        <v>1430.0</v>
      </c>
      <c r="G11" s="34">
        <v>43800.0</v>
      </c>
    </row>
    <row r="12">
      <c r="D12" s="31" t="s">
        <v>24</v>
      </c>
      <c r="E12" s="32" t="s">
        <v>34</v>
      </c>
      <c r="F12" s="33">
        <v>540.0</v>
      </c>
      <c r="G12" s="34">
        <v>43800.0</v>
      </c>
    </row>
    <row r="13">
      <c r="D13" s="31" t="s">
        <v>35</v>
      </c>
      <c r="E13" s="32" t="s">
        <v>36</v>
      </c>
      <c r="F13" s="33">
        <v>6000.0</v>
      </c>
      <c r="G13" s="34">
        <v>43800.0</v>
      </c>
    </row>
    <row r="14">
      <c r="D14" s="31" t="s">
        <v>37</v>
      </c>
      <c r="E14" s="32" t="s">
        <v>38</v>
      </c>
      <c r="F14" s="33">
        <v>5270.0</v>
      </c>
      <c r="G14" s="34">
        <v>43800.0</v>
      </c>
    </row>
    <row r="15">
      <c r="D15" s="31" t="s">
        <v>39</v>
      </c>
      <c r="E15" s="32" t="s">
        <v>40</v>
      </c>
      <c r="F15" s="33">
        <v>1500.0</v>
      </c>
      <c r="G15" s="34">
        <v>43800.0</v>
      </c>
    </row>
    <row r="16">
      <c r="D16" s="31" t="s">
        <v>41</v>
      </c>
      <c r="E16" s="32" t="s">
        <v>42</v>
      </c>
      <c r="F16" s="33">
        <v>1300.0</v>
      </c>
      <c r="G16" s="34">
        <v>43800.0</v>
      </c>
    </row>
    <row r="17">
      <c r="D17" s="31" t="s">
        <v>43</v>
      </c>
      <c r="E17" s="32" t="s">
        <v>42</v>
      </c>
      <c r="F17" s="33">
        <v>1600.0</v>
      </c>
      <c r="G17" s="34">
        <v>43800.0</v>
      </c>
    </row>
    <row r="18">
      <c r="D18" s="31" t="s">
        <v>44</v>
      </c>
      <c r="E18" s="32" t="s">
        <v>42</v>
      </c>
      <c r="F18" s="33">
        <v>1400.0</v>
      </c>
      <c r="G18" s="34">
        <v>43800.0</v>
      </c>
    </row>
    <row r="19">
      <c r="D19" s="31" t="s">
        <v>45</v>
      </c>
      <c r="E19" s="32" t="s">
        <v>46</v>
      </c>
      <c r="F19" s="33">
        <v>400.0</v>
      </c>
      <c r="G19" s="34">
        <v>43800.0</v>
      </c>
    </row>
    <row r="20">
      <c r="D20" s="31" t="s">
        <v>47</v>
      </c>
      <c r="E20" s="32" t="s">
        <v>48</v>
      </c>
      <c r="F20" s="33">
        <v>10500.0</v>
      </c>
      <c r="G20" s="34">
        <v>43800.0</v>
      </c>
    </row>
    <row r="21">
      <c r="D21" s="31" t="s">
        <v>49</v>
      </c>
      <c r="E21" s="32" t="s">
        <v>50</v>
      </c>
      <c r="F21" s="33">
        <v>1350.0</v>
      </c>
      <c r="G21" s="34">
        <v>43800.0</v>
      </c>
    </row>
    <row r="22">
      <c r="D22" s="31" t="s">
        <v>51</v>
      </c>
      <c r="E22" s="32" t="s">
        <v>52</v>
      </c>
      <c r="F22" s="33">
        <v>840.0</v>
      </c>
      <c r="G22" s="34">
        <v>43800.0</v>
      </c>
    </row>
    <row r="23">
      <c r="D23" s="31" t="s">
        <v>53</v>
      </c>
      <c r="E23" s="32">
        <v>2.0</v>
      </c>
      <c r="F23" s="33">
        <v>150.0</v>
      </c>
      <c r="G23" s="34">
        <v>43800.0</v>
      </c>
    </row>
    <row r="24">
      <c r="D24" s="31" t="s">
        <v>30</v>
      </c>
      <c r="E24" s="32" t="s">
        <v>54</v>
      </c>
      <c r="F24" s="33">
        <v>1060.0</v>
      </c>
      <c r="G24" s="34">
        <v>43800.0</v>
      </c>
    </row>
    <row r="25">
      <c r="D25" s="31" t="s">
        <v>55</v>
      </c>
      <c r="E25" s="32">
        <v>1.0</v>
      </c>
      <c r="F25" s="33">
        <v>1000.0</v>
      </c>
      <c r="G25" s="34">
        <v>43800.0</v>
      </c>
    </row>
    <row r="26">
      <c r="D26" s="31" t="s">
        <v>56</v>
      </c>
      <c r="E26" s="32" t="s">
        <v>57</v>
      </c>
      <c r="F26" s="33">
        <v>500.0</v>
      </c>
      <c r="G26" s="34">
        <v>43800.0</v>
      </c>
    </row>
    <row r="27">
      <c r="D27" s="31" t="s">
        <v>58</v>
      </c>
      <c r="E27" s="32" t="s">
        <v>40</v>
      </c>
      <c r="F27" s="33">
        <v>1800.0</v>
      </c>
      <c r="G27" s="34">
        <v>43802.0</v>
      </c>
    </row>
    <row r="28">
      <c r="D28" s="31" t="s">
        <v>59</v>
      </c>
      <c r="E28" s="32" t="s">
        <v>60</v>
      </c>
      <c r="F28" s="33">
        <v>16550.0</v>
      </c>
      <c r="G28" s="34">
        <v>43802.0</v>
      </c>
    </row>
    <row r="29">
      <c r="D29" s="31" t="s">
        <v>61</v>
      </c>
      <c r="E29" s="32">
        <v>1.0</v>
      </c>
      <c r="F29" s="33">
        <v>780.0</v>
      </c>
      <c r="G29" s="34">
        <v>43802.0</v>
      </c>
    </row>
    <row r="30">
      <c r="D30" s="31" t="s">
        <v>58</v>
      </c>
      <c r="E30" s="32" t="s">
        <v>62</v>
      </c>
      <c r="F30" s="33">
        <v>4310.0</v>
      </c>
      <c r="G30" s="34">
        <v>43803.0</v>
      </c>
    </row>
    <row r="31">
      <c r="D31" s="31" t="s">
        <v>63</v>
      </c>
      <c r="E31" s="35">
        <v>43596.0</v>
      </c>
      <c r="F31" s="33">
        <v>2780.0</v>
      </c>
      <c r="G31" s="34">
        <v>43803.0</v>
      </c>
    </row>
    <row r="32">
      <c r="D32" s="31" t="s">
        <v>64</v>
      </c>
      <c r="E32" s="32" t="s">
        <v>65</v>
      </c>
      <c r="F32" s="33">
        <v>5400.0</v>
      </c>
      <c r="G32" s="34">
        <v>43803.0</v>
      </c>
    </row>
    <row r="33">
      <c r="D33" s="31" t="s">
        <v>63</v>
      </c>
      <c r="E33" s="32" t="s">
        <v>66</v>
      </c>
      <c r="F33" s="33">
        <v>750.0</v>
      </c>
      <c r="G33" s="34">
        <v>43803.0</v>
      </c>
    </row>
    <row r="34">
      <c r="D34" s="31" t="s">
        <v>67</v>
      </c>
      <c r="E34" s="32">
        <v>5.0</v>
      </c>
      <c r="F34" s="33">
        <v>160.0</v>
      </c>
      <c r="G34" s="34">
        <v>43803.0</v>
      </c>
    </row>
    <row r="35">
      <c r="D35" s="31" t="s">
        <v>68</v>
      </c>
      <c r="E35" s="32" t="s">
        <v>69</v>
      </c>
      <c r="F35" s="33">
        <v>900.0</v>
      </c>
      <c r="G35" s="34">
        <v>43803.0</v>
      </c>
    </row>
    <row r="36">
      <c r="D36" s="31" t="s">
        <v>70</v>
      </c>
      <c r="E36" s="32" t="s">
        <v>71</v>
      </c>
      <c r="F36" s="33">
        <v>600.0</v>
      </c>
      <c r="G36" s="34">
        <v>43803.0</v>
      </c>
    </row>
    <row r="37">
      <c r="D37" s="31" t="s">
        <v>72</v>
      </c>
      <c r="E37" s="32" t="s">
        <v>73</v>
      </c>
      <c r="F37" s="33">
        <v>2900.0</v>
      </c>
      <c r="G37" s="34">
        <v>43804.0</v>
      </c>
    </row>
    <row r="38">
      <c r="D38" s="31" t="s">
        <v>72</v>
      </c>
      <c r="E38" s="32" t="s">
        <v>74</v>
      </c>
      <c r="F38" s="33">
        <v>1890.0</v>
      </c>
      <c r="G38" s="34">
        <v>43804.0</v>
      </c>
    </row>
    <row r="39">
      <c r="D39" s="31" t="s">
        <v>75</v>
      </c>
      <c r="E39" s="32">
        <v>1.0</v>
      </c>
      <c r="F39" s="33">
        <v>800.0</v>
      </c>
      <c r="G39" s="34">
        <v>43804.0</v>
      </c>
    </row>
    <row r="40">
      <c r="D40" s="31" t="s">
        <v>76</v>
      </c>
      <c r="E40" s="32" t="s">
        <v>77</v>
      </c>
      <c r="F40" s="33">
        <v>500.0</v>
      </c>
      <c r="G40" s="34">
        <v>43805.0</v>
      </c>
    </row>
    <row r="41">
      <c r="D41" s="31" t="s">
        <v>78</v>
      </c>
      <c r="E41" s="32" t="s">
        <v>79</v>
      </c>
      <c r="F41" s="33">
        <v>360.0</v>
      </c>
      <c r="G41" s="34">
        <v>43805.0</v>
      </c>
    </row>
    <row r="42">
      <c r="D42" s="31" t="s">
        <v>80</v>
      </c>
      <c r="E42" s="32" t="s">
        <v>81</v>
      </c>
      <c r="F42" s="33">
        <v>250.0</v>
      </c>
      <c r="G42" s="34">
        <v>43806.0</v>
      </c>
    </row>
    <row r="43">
      <c r="D43" s="31" t="s">
        <v>82</v>
      </c>
      <c r="E43" s="32">
        <v>2.0</v>
      </c>
      <c r="F43" s="33">
        <v>1000.0</v>
      </c>
      <c r="G43" s="34">
        <v>43806.0</v>
      </c>
    </row>
    <row r="44">
      <c r="D44" s="31" t="s">
        <v>83</v>
      </c>
      <c r="E44" s="32" t="s">
        <v>84</v>
      </c>
      <c r="F44" s="33">
        <v>3000.0</v>
      </c>
      <c r="G44" s="34">
        <v>43807.0</v>
      </c>
    </row>
    <row r="45">
      <c r="D45" s="31" t="s">
        <v>85</v>
      </c>
      <c r="E45" s="32">
        <v>2.0</v>
      </c>
      <c r="F45" s="33">
        <v>1000.0</v>
      </c>
      <c r="G45" s="34">
        <v>43807.0</v>
      </c>
    </row>
    <row r="46">
      <c r="D46" s="31" t="s">
        <v>86</v>
      </c>
      <c r="E46" s="32">
        <v>7.0</v>
      </c>
      <c r="F46" s="33">
        <v>1300.0</v>
      </c>
      <c r="G46" s="34">
        <v>43807.0</v>
      </c>
    </row>
    <row r="47">
      <c r="D47" s="31" t="s">
        <v>87</v>
      </c>
      <c r="E47" s="32" t="s">
        <v>88</v>
      </c>
      <c r="F47" s="33">
        <v>1000.0</v>
      </c>
      <c r="G47" s="34">
        <v>43807.0</v>
      </c>
    </row>
    <row r="48">
      <c r="D48" s="31" t="s">
        <v>89</v>
      </c>
      <c r="E48" s="32" t="s">
        <v>90</v>
      </c>
      <c r="F48" s="33">
        <v>850.0</v>
      </c>
      <c r="G48" s="34">
        <v>43808.0</v>
      </c>
    </row>
    <row r="49">
      <c r="D49" s="31" t="s">
        <v>91</v>
      </c>
      <c r="E49" s="32" t="s">
        <v>92</v>
      </c>
      <c r="F49" s="33">
        <v>2640.0</v>
      </c>
      <c r="G49" s="34">
        <v>43808.0</v>
      </c>
    </row>
    <row r="50">
      <c r="D50" s="31" t="s">
        <v>30</v>
      </c>
      <c r="E50" s="32" t="s">
        <v>93</v>
      </c>
      <c r="F50" s="33">
        <v>2620.0</v>
      </c>
      <c r="G50" s="34">
        <v>43808.0</v>
      </c>
    </row>
    <row r="51">
      <c r="D51" s="31" t="s">
        <v>94</v>
      </c>
      <c r="E51" s="32">
        <v>1.0</v>
      </c>
      <c r="F51" s="33">
        <v>250.0</v>
      </c>
      <c r="G51" s="34">
        <v>43808.0</v>
      </c>
    </row>
    <row r="52">
      <c r="D52" s="31" t="s">
        <v>45</v>
      </c>
      <c r="E52" s="32" t="s">
        <v>21</v>
      </c>
      <c r="F52" s="33">
        <v>370.0</v>
      </c>
      <c r="G52" s="34">
        <v>43808.0</v>
      </c>
    </row>
    <row r="53">
      <c r="D53" s="31" t="s">
        <v>83</v>
      </c>
      <c r="E53" s="32" t="s">
        <v>84</v>
      </c>
      <c r="F53" s="33">
        <v>3000.0</v>
      </c>
      <c r="G53" s="34">
        <v>43808.0</v>
      </c>
    </row>
    <row r="54">
      <c r="D54" s="31" t="s">
        <v>95</v>
      </c>
      <c r="E54" s="32" t="s">
        <v>69</v>
      </c>
      <c r="F54" s="33">
        <v>880.0</v>
      </c>
      <c r="G54" s="34">
        <v>43808.0</v>
      </c>
    </row>
    <row r="55">
      <c r="D55" s="31" t="s">
        <v>96</v>
      </c>
      <c r="E55" s="32" t="s">
        <v>97</v>
      </c>
      <c r="F55" s="33">
        <v>200.0</v>
      </c>
      <c r="G55" s="34">
        <v>43808.0</v>
      </c>
    </row>
    <row r="56">
      <c r="D56" s="31" t="s">
        <v>98</v>
      </c>
      <c r="E56" s="32" t="s">
        <v>99</v>
      </c>
      <c r="F56" s="33">
        <v>850.0</v>
      </c>
      <c r="G56" s="34">
        <v>43808.0</v>
      </c>
    </row>
    <row r="57">
      <c r="D57" s="31" t="s">
        <v>100</v>
      </c>
      <c r="E57" s="32" t="s">
        <v>42</v>
      </c>
      <c r="F57" s="33">
        <v>1400.0</v>
      </c>
      <c r="G57" s="34">
        <v>43808.0</v>
      </c>
    </row>
    <row r="58">
      <c r="D58" s="31" t="s">
        <v>101</v>
      </c>
      <c r="E58" s="32" t="s">
        <v>102</v>
      </c>
      <c r="F58" s="33">
        <v>1920.0</v>
      </c>
      <c r="G58" s="34">
        <v>43808.0</v>
      </c>
    </row>
    <row r="59">
      <c r="D59" s="31" t="s">
        <v>103</v>
      </c>
      <c r="E59" s="32" t="s">
        <v>69</v>
      </c>
      <c r="F59" s="33">
        <v>800.0</v>
      </c>
      <c r="G59" s="34">
        <v>43808.0</v>
      </c>
    </row>
    <row r="60">
      <c r="D60" s="31" t="s">
        <v>104</v>
      </c>
      <c r="E60" s="32" t="s">
        <v>69</v>
      </c>
      <c r="F60" s="33">
        <v>700.0</v>
      </c>
      <c r="G60" s="34">
        <v>43808.0</v>
      </c>
    </row>
    <row r="61">
      <c r="D61" s="31" t="s">
        <v>76</v>
      </c>
      <c r="E61" s="32" t="s">
        <v>105</v>
      </c>
      <c r="F61" s="33">
        <v>800.0</v>
      </c>
      <c r="G61" s="34">
        <v>43808.0</v>
      </c>
    </row>
    <row r="62">
      <c r="D62" s="31" t="s">
        <v>76</v>
      </c>
      <c r="E62" s="32" t="s">
        <v>106</v>
      </c>
      <c r="F62" s="33">
        <v>5000.0</v>
      </c>
      <c r="G62" s="34">
        <v>43808.0</v>
      </c>
    </row>
    <row r="63">
      <c r="D63" s="31" t="s">
        <v>107</v>
      </c>
      <c r="E63" s="32" t="s">
        <v>108</v>
      </c>
      <c r="F63" s="33">
        <v>3500.0</v>
      </c>
      <c r="G63" s="34">
        <v>43808.0</v>
      </c>
    </row>
    <row r="64">
      <c r="D64" s="31" t="s">
        <v>109</v>
      </c>
      <c r="E64" s="32" t="s">
        <v>110</v>
      </c>
      <c r="F64" s="33">
        <v>1500.0</v>
      </c>
      <c r="G64" s="34">
        <v>43808.0</v>
      </c>
    </row>
    <row r="65">
      <c r="D65" s="31" t="s">
        <v>111</v>
      </c>
      <c r="E65" s="32" t="s">
        <v>69</v>
      </c>
      <c r="F65" s="33">
        <v>80.0</v>
      </c>
      <c r="G65" s="34">
        <v>43808.0</v>
      </c>
    </row>
    <row r="66">
      <c r="D66" s="31" t="s">
        <v>83</v>
      </c>
      <c r="E66" s="32" t="s">
        <v>112</v>
      </c>
      <c r="F66" s="33">
        <v>11400.0</v>
      </c>
      <c r="G66" s="34">
        <v>43808.0</v>
      </c>
    </row>
    <row r="67">
      <c r="D67" s="31" t="s">
        <v>113</v>
      </c>
      <c r="E67" s="32">
        <v>1.0</v>
      </c>
      <c r="F67" s="33">
        <v>740.0</v>
      </c>
      <c r="G67" s="34">
        <v>43808.0</v>
      </c>
    </row>
    <row r="68">
      <c r="D68" s="31" t="s">
        <v>114</v>
      </c>
      <c r="E68" s="32">
        <v>10.0</v>
      </c>
      <c r="F68" s="33">
        <v>300.0</v>
      </c>
      <c r="G68" s="34">
        <v>43810.0</v>
      </c>
    </row>
    <row r="69">
      <c r="D69" s="31" t="s">
        <v>61</v>
      </c>
      <c r="E69" s="32">
        <v>2.0</v>
      </c>
      <c r="F69" s="33">
        <v>1500.0</v>
      </c>
      <c r="G69" s="34">
        <v>43810.0</v>
      </c>
    </row>
    <row r="70">
      <c r="D70" s="31" t="s">
        <v>24</v>
      </c>
      <c r="E70" s="32">
        <v>3.0</v>
      </c>
      <c r="F70" s="33">
        <v>390.0</v>
      </c>
      <c r="G70" s="34">
        <v>43810.0</v>
      </c>
    </row>
    <row r="71">
      <c r="D71" s="31" t="s">
        <v>115</v>
      </c>
      <c r="E71" s="32">
        <v>1.0</v>
      </c>
      <c r="F71" s="33">
        <v>100.0</v>
      </c>
      <c r="G71" s="34">
        <v>43810.0</v>
      </c>
    </row>
    <row r="72">
      <c r="D72" s="31" t="s">
        <v>116</v>
      </c>
      <c r="E72" s="32">
        <v>6.0</v>
      </c>
      <c r="F72" s="33">
        <v>300.0</v>
      </c>
      <c r="G72" s="34">
        <v>43810.0</v>
      </c>
    </row>
    <row r="73">
      <c r="D73" s="31" t="s">
        <v>117</v>
      </c>
      <c r="E73" s="32">
        <v>1.0</v>
      </c>
      <c r="F73" s="33">
        <v>1000.0</v>
      </c>
      <c r="G73" s="34">
        <v>43813.0</v>
      </c>
    </row>
    <row r="74">
      <c r="D74" s="31" t="s">
        <v>24</v>
      </c>
      <c r="E74" s="32" t="s">
        <v>118</v>
      </c>
      <c r="F74" s="33">
        <v>650.0</v>
      </c>
      <c r="G74" s="34">
        <v>43813.0</v>
      </c>
    </row>
    <row r="75">
      <c r="D75" s="31" t="s">
        <v>119</v>
      </c>
      <c r="E75" s="32" t="s">
        <v>120</v>
      </c>
      <c r="F75" s="33">
        <v>200.0</v>
      </c>
      <c r="G75" s="34">
        <v>43813.0</v>
      </c>
    </row>
    <row r="76">
      <c r="D76" s="31" t="s">
        <v>121</v>
      </c>
      <c r="E76" s="32">
        <v>1.0</v>
      </c>
      <c r="F76" s="33">
        <v>600.0</v>
      </c>
      <c r="G76" s="34">
        <v>43813.0</v>
      </c>
    </row>
    <row r="77">
      <c r="D77" s="31" t="s">
        <v>67</v>
      </c>
      <c r="E77" s="32">
        <v>4.0</v>
      </c>
      <c r="F77" s="33">
        <v>100.0</v>
      </c>
      <c r="G77" s="34">
        <v>43813.0</v>
      </c>
    </row>
    <row r="78">
      <c r="D78" s="31" t="s">
        <v>111</v>
      </c>
      <c r="E78" s="32" t="s">
        <v>69</v>
      </c>
      <c r="F78" s="33">
        <v>50.0</v>
      </c>
      <c r="G78" s="34">
        <v>43813.0</v>
      </c>
    </row>
    <row r="79">
      <c r="D79" s="31" t="s">
        <v>24</v>
      </c>
      <c r="E79" s="32" t="s">
        <v>122</v>
      </c>
      <c r="F79" s="33">
        <v>390.0</v>
      </c>
      <c r="G79" s="34">
        <v>43814.0</v>
      </c>
    </row>
    <row r="80">
      <c r="D80" s="31" t="s">
        <v>123</v>
      </c>
      <c r="E80" s="32" t="s">
        <v>124</v>
      </c>
      <c r="F80" s="33">
        <v>2800.0</v>
      </c>
      <c r="G80" s="34">
        <v>42720.0</v>
      </c>
    </row>
    <row r="81">
      <c r="D81" s="31" t="s">
        <v>125</v>
      </c>
      <c r="E81" s="32" t="s">
        <v>69</v>
      </c>
      <c r="F81" s="33">
        <v>750.0</v>
      </c>
      <c r="G81" s="34">
        <v>43815.0</v>
      </c>
    </row>
    <row r="82">
      <c r="D82" s="31" t="s">
        <v>126</v>
      </c>
      <c r="E82" s="32" t="s">
        <v>127</v>
      </c>
      <c r="F82" s="33">
        <v>1200.0</v>
      </c>
      <c r="G82" s="36">
        <v>43815.0</v>
      </c>
    </row>
    <row r="83">
      <c r="D83" s="31" t="s">
        <v>107</v>
      </c>
      <c r="E83" s="32" t="s">
        <v>108</v>
      </c>
      <c r="F83" s="33">
        <v>5370.0</v>
      </c>
      <c r="G83" s="34">
        <v>43815.0</v>
      </c>
    </row>
    <row r="84">
      <c r="D84" s="31" t="s">
        <v>24</v>
      </c>
      <c r="E84" s="32" t="s">
        <v>128</v>
      </c>
      <c r="F84" s="33">
        <v>400.0</v>
      </c>
      <c r="G84" s="34">
        <v>43815.0</v>
      </c>
    </row>
    <row r="85">
      <c r="D85" s="31" t="s">
        <v>61</v>
      </c>
      <c r="E85" s="32">
        <v>1.0</v>
      </c>
      <c r="F85" s="33">
        <v>500.0</v>
      </c>
      <c r="G85" s="34">
        <v>43815.0</v>
      </c>
    </row>
    <row r="86">
      <c r="D86" s="31" t="s">
        <v>116</v>
      </c>
      <c r="E86" s="32" t="s">
        <v>81</v>
      </c>
      <c r="F86" s="33">
        <v>250.0</v>
      </c>
      <c r="G86" s="34">
        <v>43815.0</v>
      </c>
    </row>
    <row r="87">
      <c r="D87" s="31" t="s">
        <v>129</v>
      </c>
      <c r="E87" s="32" t="s">
        <v>130</v>
      </c>
      <c r="F87" s="33">
        <v>400.0</v>
      </c>
      <c r="G87" s="34">
        <v>43816.0</v>
      </c>
    </row>
    <row r="88">
      <c r="D88" s="31" t="s">
        <v>131</v>
      </c>
      <c r="E88" s="32">
        <v>1.0</v>
      </c>
      <c r="F88" s="33">
        <v>500.0</v>
      </c>
      <c r="G88" s="34">
        <v>43816.0</v>
      </c>
    </row>
    <row r="89">
      <c r="D89" s="31" t="s">
        <v>132</v>
      </c>
      <c r="E89" s="32">
        <v>2.0</v>
      </c>
      <c r="F89" s="33">
        <v>1170.0</v>
      </c>
      <c r="G89" s="34">
        <v>43817.0</v>
      </c>
    </row>
    <row r="90">
      <c r="D90" s="31" t="s">
        <v>61</v>
      </c>
      <c r="E90" s="32">
        <v>2.0</v>
      </c>
      <c r="F90" s="33">
        <v>1000.0</v>
      </c>
      <c r="G90" s="34">
        <v>43817.0</v>
      </c>
    </row>
    <row r="91">
      <c r="D91" s="31" t="s">
        <v>47</v>
      </c>
      <c r="E91" s="32" t="s">
        <v>133</v>
      </c>
      <c r="F91" s="33">
        <v>5275.0</v>
      </c>
      <c r="G91" s="34">
        <v>43818.0</v>
      </c>
    </row>
    <row r="92">
      <c r="D92" s="31" t="s">
        <v>67</v>
      </c>
      <c r="E92" s="32">
        <v>5.0</v>
      </c>
      <c r="F92" s="33">
        <v>250.0</v>
      </c>
      <c r="G92" s="34">
        <v>43818.0</v>
      </c>
    </row>
    <row r="93">
      <c r="D93" s="31" t="s">
        <v>134</v>
      </c>
      <c r="E93" s="32">
        <v>5.0</v>
      </c>
      <c r="F93" s="33">
        <v>500.0</v>
      </c>
      <c r="G93" s="34">
        <v>43819.0</v>
      </c>
    </row>
    <row r="94">
      <c r="D94" s="31" t="s">
        <v>67</v>
      </c>
      <c r="E94" s="32">
        <v>7.0</v>
      </c>
      <c r="F94" s="33">
        <v>300.0</v>
      </c>
      <c r="G94" s="34">
        <v>43820.0</v>
      </c>
    </row>
    <row r="95">
      <c r="D95" s="31" t="s">
        <v>135</v>
      </c>
      <c r="E95" s="32">
        <v>9.0</v>
      </c>
      <c r="F95" s="33">
        <v>5220.0</v>
      </c>
      <c r="G95" s="34">
        <v>43822.0</v>
      </c>
    </row>
    <row r="96">
      <c r="D96" s="31" t="s">
        <v>136</v>
      </c>
      <c r="E96" s="32" t="s">
        <v>137</v>
      </c>
      <c r="F96" s="33">
        <v>2200.0</v>
      </c>
      <c r="G96" s="34">
        <v>43822.0</v>
      </c>
    </row>
    <row r="97">
      <c r="D97" s="31" t="s">
        <v>24</v>
      </c>
      <c r="E97" s="32" t="s">
        <v>124</v>
      </c>
      <c r="F97" s="33">
        <v>2800.0</v>
      </c>
      <c r="G97" s="34">
        <v>43822.0</v>
      </c>
    </row>
    <row r="98">
      <c r="D98" s="31" t="s">
        <v>55</v>
      </c>
      <c r="E98" s="32">
        <v>2.0</v>
      </c>
      <c r="F98" s="33">
        <v>1500.0</v>
      </c>
      <c r="G98" s="34">
        <v>43822.0</v>
      </c>
    </row>
    <row r="99">
      <c r="D99" s="31" t="s">
        <v>138</v>
      </c>
      <c r="E99" s="32" t="s">
        <v>139</v>
      </c>
      <c r="F99" s="33">
        <v>700.0</v>
      </c>
      <c r="G99" s="34">
        <v>43825.0</v>
      </c>
    </row>
    <row r="100">
      <c r="D100" s="31" t="s">
        <v>28</v>
      </c>
      <c r="E100" s="32" t="s">
        <v>140</v>
      </c>
      <c r="F100" s="33">
        <v>900.0</v>
      </c>
      <c r="G100" s="34">
        <v>43825.0</v>
      </c>
    </row>
    <row r="101">
      <c r="D101" s="31" t="s">
        <v>107</v>
      </c>
      <c r="E101" s="32" t="s">
        <v>108</v>
      </c>
      <c r="F101" s="33">
        <v>3000.0</v>
      </c>
      <c r="G101" s="34">
        <v>43825.0</v>
      </c>
    </row>
    <row r="102">
      <c r="D102" s="31" t="s">
        <v>141</v>
      </c>
      <c r="E102" s="32" t="s">
        <v>142</v>
      </c>
      <c r="F102" s="33">
        <v>1935.0</v>
      </c>
      <c r="G102" s="34">
        <v>43825.0</v>
      </c>
    </row>
    <row r="103">
      <c r="D103" s="31" t="s">
        <v>143</v>
      </c>
      <c r="E103" s="32" t="s">
        <v>144</v>
      </c>
      <c r="F103" s="33">
        <v>400.0</v>
      </c>
      <c r="G103" s="34">
        <v>43827.0</v>
      </c>
    </row>
    <row r="104">
      <c r="D104" s="31" t="s">
        <v>83</v>
      </c>
      <c r="E104" s="32" t="s">
        <v>29</v>
      </c>
      <c r="F104" s="33">
        <v>2500.0</v>
      </c>
      <c r="G104" s="34">
        <v>44193.0</v>
      </c>
    </row>
    <row r="105">
      <c r="D105" s="37"/>
      <c r="E105" s="38"/>
      <c r="F105" s="39"/>
      <c r="G105" s="40"/>
    </row>
    <row r="106">
      <c r="D106" s="37"/>
      <c r="E106" s="38"/>
      <c r="F106" s="39"/>
      <c r="G106" s="40"/>
    </row>
    <row r="107">
      <c r="D107" s="41" t="s">
        <v>145</v>
      </c>
      <c r="E107" s="1"/>
      <c r="F107" s="42">
        <f>SUM(F4:F106)</f>
        <v>187800</v>
      </c>
      <c r="G107" s="1"/>
    </row>
    <row r="108">
      <c r="D108" s="43" t="s">
        <v>146</v>
      </c>
      <c r="E108" s="1"/>
      <c r="F108" s="44">
        <v>80000.0</v>
      </c>
      <c r="G108" s="1"/>
    </row>
    <row r="109">
      <c r="D109" s="43" t="s">
        <v>147</v>
      </c>
      <c r="E109" s="1"/>
      <c r="F109" s="45">
        <f>F108-F107</f>
        <v>-107800</v>
      </c>
      <c r="G109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6.63"/>
  </cols>
  <sheetData>
    <row r="1">
      <c r="A1" s="46"/>
      <c r="B1" s="47" t="s">
        <v>0</v>
      </c>
      <c r="C1" s="48" t="s">
        <v>148</v>
      </c>
      <c r="D1" s="48" t="s">
        <v>149</v>
      </c>
      <c r="E1" s="49" t="s">
        <v>150</v>
      </c>
      <c r="F1" s="48" t="s">
        <v>151</v>
      </c>
      <c r="G1" s="49" t="s">
        <v>152</v>
      </c>
      <c r="H1" s="49" t="s">
        <v>153</v>
      </c>
      <c r="I1" s="48" t="s">
        <v>154</v>
      </c>
      <c r="J1" s="48" t="s">
        <v>155</v>
      </c>
      <c r="K1" s="48" t="s">
        <v>156</v>
      </c>
      <c r="L1" s="50" t="s">
        <v>157</v>
      </c>
      <c r="M1" s="50" t="s">
        <v>158</v>
      </c>
    </row>
    <row r="2">
      <c r="A2" s="3" t="s">
        <v>6</v>
      </c>
      <c r="B2" s="4">
        <v>43800.0</v>
      </c>
      <c r="C2" s="51">
        <v>1.0</v>
      </c>
      <c r="D2" s="51">
        <v>1.0</v>
      </c>
      <c r="E2" s="51">
        <v>1.0</v>
      </c>
      <c r="F2" s="51">
        <v>1.0</v>
      </c>
      <c r="G2" s="51">
        <v>0.0</v>
      </c>
      <c r="H2" s="51">
        <v>0.0</v>
      </c>
      <c r="I2" s="51">
        <v>1.0</v>
      </c>
      <c r="J2" s="51">
        <v>0.0</v>
      </c>
      <c r="K2" s="51">
        <v>1.0</v>
      </c>
      <c r="L2" s="46"/>
      <c r="M2" s="28"/>
    </row>
    <row r="3">
      <c r="A3" s="3" t="s">
        <v>7</v>
      </c>
      <c r="B3" s="4">
        <v>43801.0</v>
      </c>
      <c r="C3" s="51">
        <v>1.0</v>
      </c>
      <c r="D3" s="51">
        <v>1.0</v>
      </c>
      <c r="E3" s="51">
        <v>1.0</v>
      </c>
      <c r="F3" s="51">
        <v>1.0</v>
      </c>
      <c r="G3" s="51">
        <v>0.0</v>
      </c>
      <c r="H3" s="51">
        <v>0.0</v>
      </c>
      <c r="I3" s="51">
        <v>1.0</v>
      </c>
      <c r="J3" s="51">
        <v>1.0</v>
      </c>
      <c r="K3" s="51">
        <v>1.0</v>
      </c>
      <c r="L3" s="46"/>
      <c r="M3" s="28"/>
    </row>
    <row r="4">
      <c r="A4" s="3" t="s">
        <v>8</v>
      </c>
      <c r="B4" s="4">
        <v>43802.0</v>
      </c>
      <c r="C4" s="51">
        <v>1.0</v>
      </c>
      <c r="D4" s="51">
        <v>1.0</v>
      </c>
      <c r="E4" s="52">
        <v>0.0</v>
      </c>
      <c r="F4" s="51">
        <v>1.0</v>
      </c>
      <c r="G4" s="51">
        <v>0.0</v>
      </c>
      <c r="H4" s="51">
        <v>0.0</v>
      </c>
      <c r="I4" s="51">
        <v>1.0</v>
      </c>
      <c r="J4" s="51">
        <v>0.0</v>
      </c>
      <c r="K4" s="51">
        <v>1.0</v>
      </c>
      <c r="L4" s="46"/>
      <c r="M4" s="28"/>
    </row>
    <row r="5">
      <c r="A5" s="3" t="s">
        <v>9</v>
      </c>
      <c r="B5" s="4">
        <v>43803.0</v>
      </c>
      <c r="C5" s="51">
        <v>1.0</v>
      </c>
      <c r="D5" s="51">
        <v>1.0</v>
      </c>
      <c r="E5" s="52">
        <v>0.0</v>
      </c>
      <c r="F5" s="51">
        <v>1.0</v>
      </c>
      <c r="G5" s="51">
        <v>0.0</v>
      </c>
      <c r="H5" s="51">
        <v>0.0</v>
      </c>
      <c r="I5" s="51">
        <v>1.0</v>
      </c>
      <c r="J5" s="51">
        <v>1.0</v>
      </c>
      <c r="K5" s="51">
        <v>1.0</v>
      </c>
      <c r="L5" s="46"/>
      <c r="M5" s="28"/>
    </row>
    <row r="6">
      <c r="A6" s="3" t="s">
        <v>10</v>
      </c>
      <c r="B6" s="4">
        <v>43804.0</v>
      </c>
      <c r="C6" s="53">
        <v>1.0</v>
      </c>
      <c r="D6" s="53">
        <v>1.0</v>
      </c>
      <c r="E6" s="54">
        <v>0.0</v>
      </c>
      <c r="F6" s="53">
        <v>1.0</v>
      </c>
      <c r="G6" s="53">
        <v>0.0</v>
      </c>
      <c r="H6" s="53">
        <v>0.0</v>
      </c>
      <c r="I6" s="53">
        <v>1.0</v>
      </c>
      <c r="J6" s="53">
        <v>0.0</v>
      </c>
      <c r="K6" s="53">
        <v>1.0</v>
      </c>
      <c r="L6" s="46"/>
      <c r="M6" s="28"/>
    </row>
    <row r="7">
      <c r="A7" s="7" t="s">
        <v>11</v>
      </c>
      <c r="B7" s="8">
        <v>43805.0</v>
      </c>
      <c r="C7" s="55">
        <v>0.0</v>
      </c>
      <c r="D7" s="56">
        <v>0.0</v>
      </c>
      <c r="E7" s="52">
        <v>0.0</v>
      </c>
      <c r="F7" s="55">
        <v>0.0</v>
      </c>
      <c r="G7" s="55">
        <v>0.0</v>
      </c>
      <c r="H7" s="55">
        <v>0.0</v>
      </c>
      <c r="I7" s="56">
        <v>0.0</v>
      </c>
      <c r="J7" s="55">
        <v>0.0</v>
      </c>
      <c r="K7" s="55">
        <v>0.0</v>
      </c>
      <c r="L7" s="46"/>
      <c r="M7" s="28"/>
    </row>
    <row r="8">
      <c r="A8" s="3" t="s">
        <v>12</v>
      </c>
      <c r="B8" s="4">
        <v>43806.0</v>
      </c>
      <c r="C8" s="51">
        <v>1.0</v>
      </c>
      <c r="D8" s="51">
        <v>1.0</v>
      </c>
      <c r="E8" s="52">
        <v>0.0</v>
      </c>
      <c r="F8" s="51">
        <v>1.0</v>
      </c>
      <c r="G8" s="51">
        <v>0.0</v>
      </c>
      <c r="H8" s="51">
        <v>0.0</v>
      </c>
      <c r="I8" s="51">
        <v>1.0</v>
      </c>
      <c r="J8" s="51">
        <v>1.0</v>
      </c>
      <c r="K8" s="51">
        <v>1.0</v>
      </c>
      <c r="L8" s="46"/>
      <c r="M8" s="28"/>
    </row>
    <row r="9">
      <c r="A9" s="3" t="s">
        <v>6</v>
      </c>
      <c r="B9" s="4">
        <v>43807.0</v>
      </c>
      <c r="C9" s="51">
        <v>1.0</v>
      </c>
      <c r="D9" s="51">
        <v>1.0</v>
      </c>
      <c r="E9" s="52">
        <v>0.0</v>
      </c>
      <c r="F9" s="51">
        <v>1.0</v>
      </c>
      <c r="G9" s="51">
        <v>0.0</v>
      </c>
      <c r="H9" s="51">
        <v>0.0</v>
      </c>
      <c r="I9" s="51">
        <v>1.0</v>
      </c>
      <c r="J9" s="51">
        <v>0.0</v>
      </c>
      <c r="K9" s="51">
        <v>1.0</v>
      </c>
      <c r="L9" s="46"/>
      <c r="M9" s="28"/>
    </row>
    <row r="10">
      <c r="A10" s="3" t="s">
        <v>7</v>
      </c>
      <c r="B10" s="4">
        <v>43808.0</v>
      </c>
      <c r="C10" s="51">
        <v>1.0</v>
      </c>
      <c r="D10" s="51">
        <v>1.0</v>
      </c>
      <c r="E10" s="52">
        <v>0.0</v>
      </c>
      <c r="F10" s="51">
        <v>1.0</v>
      </c>
      <c r="G10" s="51">
        <v>0.0</v>
      </c>
      <c r="H10" s="51">
        <v>0.0</v>
      </c>
      <c r="I10" s="51">
        <v>1.0</v>
      </c>
      <c r="J10" s="51">
        <v>1.0</v>
      </c>
      <c r="K10" s="51">
        <v>1.0</v>
      </c>
      <c r="L10" s="46"/>
      <c r="M10" s="28"/>
    </row>
    <row r="11">
      <c r="A11" s="3" t="s">
        <v>8</v>
      </c>
      <c r="B11" s="4">
        <v>43809.0</v>
      </c>
      <c r="C11" s="51">
        <v>1.0</v>
      </c>
      <c r="D11" s="51">
        <v>1.0</v>
      </c>
      <c r="E11" s="52">
        <v>0.0</v>
      </c>
      <c r="F11" s="51">
        <v>1.0</v>
      </c>
      <c r="G11" s="51">
        <v>0.0</v>
      </c>
      <c r="H11" s="51">
        <v>0.0</v>
      </c>
      <c r="I11" s="51">
        <v>1.0</v>
      </c>
      <c r="J11" s="51">
        <v>0.0</v>
      </c>
      <c r="K11" s="51">
        <v>1.0</v>
      </c>
      <c r="L11" s="46"/>
      <c r="M11" s="28"/>
    </row>
    <row r="12">
      <c r="A12" s="3" t="s">
        <v>9</v>
      </c>
      <c r="B12" s="4">
        <v>43810.0</v>
      </c>
      <c r="C12" s="51">
        <v>1.0</v>
      </c>
      <c r="D12" s="51">
        <v>1.0</v>
      </c>
      <c r="E12" s="52">
        <v>0.0</v>
      </c>
      <c r="F12" s="51">
        <v>1.0</v>
      </c>
      <c r="G12" s="51">
        <v>0.0</v>
      </c>
      <c r="H12" s="51">
        <v>0.0</v>
      </c>
      <c r="I12" s="51">
        <v>1.0</v>
      </c>
      <c r="J12" s="51">
        <v>1.0</v>
      </c>
      <c r="K12" s="51">
        <v>1.0</v>
      </c>
      <c r="L12" s="46"/>
      <c r="M12" s="28"/>
    </row>
    <row r="13">
      <c r="A13" s="3" t="s">
        <v>10</v>
      </c>
      <c r="B13" s="4">
        <v>43811.0</v>
      </c>
      <c r="C13" s="53">
        <v>1.0</v>
      </c>
      <c r="D13" s="53">
        <v>1.0</v>
      </c>
      <c r="E13" s="54">
        <v>0.0</v>
      </c>
      <c r="F13" s="53">
        <v>1.0</v>
      </c>
      <c r="G13" s="53">
        <v>0.0</v>
      </c>
      <c r="H13" s="53">
        <v>0.0</v>
      </c>
      <c r="I13" s="53">
        <v>1.0</v>
      </c>
      <c r="J13" s="53">
        <v>0.0</v>
      </c>
      <c r="K13" s="53">
        <v>1.0</v>
      </c>
      <c r="L13" s="46"/>
      <c r="M13" s="28"/>
    </row>
    <row r="14">
      <c r="A14" s="7" t="s">
        <v>11</v>
      </c>
      <c r="B14" s="8">
        <v>43812.0</v>
      </c>
      <c r="C14" s="55">
        <v>0.0</v>
      </c>
      <c r="D14" s="56">
        <v>0.0</v>
      </c>
      <c r="E14" s="52">
        <v>0.0</v>
      </c>
      <c r="F14" s="55">
        <v>0.0</v>
      </c>
      <c r="G14" s="55">
        <v>0.0</v>
      </c>
      <c r="H14" s="55">
        <v>0.0</v>
      </c>
      <c r="I14" s="56">
        <v>0.0</v>
      </c>
      <c r="J14" s="56">
        <v>0.0</v>
      </c>
      <c r="K14" s="55">
        <v>0.0</v>
      </c>
      <c r="L14" s="46"/>
      <c r="M14" s="28"/>
    </row>
    <row r="15">
      <c r="A15" s="3" t="s">
        <v>12</v>
      </c>
      <c r="B15" s="4">
        <v>43813.0</v>
      </c>
      <c r="C15" s="51">
        <v>1.0</v>
      </c>
      <c r="D15" s="51">
        <v>1.0</v>
      </c>
      <c r="E15" s="52">
        <v>0.0</v>
      </c>
      <c r="F15" s="51">
        <v>1.0</v>
      </c>
      <c r="G15" s="51">
        <v>0.0</v>
      </c>
      <c r="H15" s="51">
        <v>0.0</v>
      </c>
      <c r="I15" s="51">
        <v>1.0</v>
      </c>
      <c r="J15" s="51">
        <v>1.0</v>
      </c>
      <c r="K15" s="51">
        <v>1.0</v>
      </c>
      <c r="L15" s="46"/>
      <c r="M15" s="28"/>
    </row>
    <row r="16">
      <c r="A16" s="3" t="s">
        <v>6</v>
      </c>
      <c r="B16" s="4">
        <v>43814.0</v>
      </c>
      <c r="C16" s="51">
        <v>1.0</v>
      </c>
      <c r="D16" s="51">
        <v>1.0</v>
      </c>
      <c r="E16" s="52">
        <v>0.0</v>
      </c>
      <c r="F16" s="51">
        <v>1.0</v>
      </c>
      <c r="G16" s="51">
        <v>0.0</v>
      </c>
      <c r="H16" s="51">
        <v>0.0</v>
      </c>
      <c r="I16" s="51">
        <v>1.0</v>
      </c>
      <c r="J16" s="51">
        <v>0.0</v>
      </c>
      <c r="K16" s="51">
        <v>1.0</v>
      </c>
      <c r="L16" s="46"/>
      <c r="M16" s="28"/>
    </row>
    <row r="17">
      <c r="A17" s="3" t="s">
        <v>7</v>
      </c>
      <c r="B17" s="4">
        <v>43815.0</v>
      </c>
      <c r="C17" s="52">
        <v>0.0</v>
      </c>
      <c r="D17" s="51">
        <v>1.0</v>
      </c>
      <c r="E17" s="52">
        <v>0.0</v>
      </c>
      <c r="F17" s="52">
        <v>0.0</v>
      </c>
      <c r="G17" s="51">
        <v>0.0</v>
      </c>
      <c r="H17" s="51">
        <v>0.0</v>
      </c>
      <c r="I17" s="51">
        <v>1.0</v>
      </c>
      <c r="J17" s="51">
        <v>1.0</v>
      </c>
      <c r="K17" s="51">
        <v>1.0</v>
      </c>
      <c r="L17" s="46"/>
      <c r="M17" s="28"/>
    </row>
    <row r="18">
      <c r="A18" s="3" t="s">
        <v>8</v>
      </c>
      <c r="B18" s="4">
        <v>43816.0</v>
      </c>
      <c r="C18" s="52">
        <v>0.0</v>
      </c>
      <c r="D18" s="51">
        <v>1.0</v>
      </c>
      <c r="E18" s="52">
        <v>0.0</v>
      </c>
      <c r="F18" s="52">
        <v>0.0</v>
      </c>
      <c r="G18" s="51">
        <v>0.0</v>
      </c>
      <c r="H18" s="51">
        <v>0.0</v>
      </c>
      <c r="I18" s="51">
        <v>1.0</v>
      </c>
      <c r="J18" s="51">
        <v>0.0</v>
      </c>
      <c r="K18" s="51">
        <v>1.0</v>
      </c>
      <c r="L18" s="46"/>
      <c r="M18" s="28"/>
    </row>
    <row r="19">
      <c r="A19" s="3" t="s">
        <v>9</v>
      </c>
      <c r="B19" s="4">
        <v>43817.0</v>
      </c>
      <c r="C19" s="52">
        <v>0.0</v>
      </c>
      <c r="D19" s="51">
        <v>1.0</v>
      </c>
      <c r="E19" s="52">
        <v>0.0</v>
      </c>
      <c r="F19" s="52">
        <v>0.0</v>
      </c>
      <c r="G19" s="51">
        <v>1.0</v>
      </c>
      <c r="H19" s="51">
        <v>0.0</v>
      </c>
      <c r="I19" s="51">
        <v>1.0</v>
      </c>
      <c r="J19" s="51">
        <v>1.0</v>
      </c>
      <c r="K19" s="51">
        <v>1.0</v>
      </c>
      <c r="L19" s="46"/>
      <c r="M19" s="28"/>
    </row>
    <row r="20">
      <c r="A20" s="3" t="s">
        <v>10</v>
      </c>
      <c r="B20" s="4">
        <v>43818.0</v>
      </c>
      <c r="C20" s="54">
        <v>0.0</v>
      </c>
      <c r="D20" s="53">
        <v>1.0</v>
      </c>
      <c r="E20" s="54">
        <v>0.0</v>
      </c>
      <c r="F20" s="54">
        <v>0.0</v>
      </c>
      <c r="G20" s="54">
        <v>0.0</v>
      </c>
      <c r="H20" s="53">
        <v>1.0</v>
      </c>
      <c r="I20" s="53">
        <v>1.0</v>
      </c>
      <c r="J20" s="53">
        <v>0.0</v>
      </c>
      <c r="K20" s="53">
        <v>1.0</v>
      </c>
      <c r="L20" s="46"/>
      <c r="M20" s="28"/>
    </row>
    <row r="21">
      <c r="A21" s="7" t="s">
        <v>11</v>
      </c>
      <c r="B21" s="8">
        <v>43819.0</v>
      </c>
      <c r="C21" s="52">
        <v>0.0</v>
      </c>
      <c r="D21" s="56">
        <v>0.0</v>
      </c>
      <c r="E21" s="52">
        <v>0.0</v>
      </c>
      <c r="F21" s="52">
        <v>0.0</v>
      </c>
      <c r="G21" s="52">
        <v>0.0</v>
      </c>
      <c r="H21" s="52">
        <v>0.0</v>
      </c>
      <c r="I21" s="55">
        <v>0.0</v>
      </c>
      <c r="J21" s="55">
        <v>0.0</v>
      </c>
      <c r="K21" s="55">
        <v>0.0</v>
      </c>
      <c r="L21" s="46"/>
      <c r="M21" s="28"/>
    </row>
    <row r="22">
      <c r="A22" s="3" t="s">
        <v>12</v>
      </c>
      <c r="B22" s="4">
        <v>43820.0</v>
      </c>
      <c r="C22" s="52">
        <v>0.0</v>
      </c>
      <c r="D22" s="51">
        <v>1.0</v>
      </c>
      <c r="E22" s="52">
        <v>0.0</v>
      </c>
      <c r="F22" s="52">
        <v>0.0</v>
      </c>
      <c r="G22" s="52">
        <v>0.0</v>
      </c>
      <c r="H22" s="52">
        <v>0.0</v>
      </c>
      <c r="I22" s="51">
        <v>1.0</v>
      </c>
      <c r="J22" s="51">
        <v>1.0</v>
      </c>
      <c r="K22" s="51">
        <v>1.0</v>
      </c>
      <c r="L22" s="46"/>
      <c r="M22" s="28"/>
    </row>
    <row r="23">
      <c r="A23" s="3" t="s">
        <v>6</v>
      </c>
      <c r="B23" s="4">
        <v>43821.0</v>
      </c>
      <c r="C23" s="52">
        <v>0.0</v>
      </c>
      <c r="D23" s="51">
        <v>2.0</v>
      </c>
      <c r="E23" s="52">
        <v>0.0</v>
      </c>
      <c r="F23" s="52">
        <v>0.0</v>
      </c>
      <c r="G23" s="52">
        <v>0.0</v>
      </c>
      <c r="H23" s="52">
        <v>0.0</v>
      </c>
      <c r="I23" s="51">
        <v>0.0</v>
      </c>
      <c r="J23" s="51">
        <v>0.0</v>
      </c>
      <c r="K23" s="51">
        <v>1.0</v>
      </c>
      <c r="L23" s="46"/>
      <c r="M23" s="28"/>
    </row>
    <row r="24">
      <c r="A24" s="3" t="s">
        <v>7</v>
      </c>
      <c r="B24" s="4">
        <v>43822.0</v>
      </c>
      <c r="C24" s="52">
        <v>0.0</v>
      </c>
      <c r="D24" s="51">
        <v>1.0</v>
      </c>
      <c r="E24" s="52">
        <v>0.0</v>
      </c>
      <c r="F24" s="52">
        <v>0.0</v>
      </c>
      <c r="G24" s="52">
        <v>0.0</v>
      </c>
      <c r="H24" s="52">
        <v>0.0</v>
      </c>
      <c r="I24" s="51">
        <v>1.0</v>
      </c>
      <c r="J24" s="51">
        <v>0.0</v>
      </c>
      <c r="K24" s="51">
        <v>2.0</v>
      </c>
      <c r="L24" s="46"/>
      <c r="M24" s="28"/>
    </row>
    <row r="25">
      <c r="A25" s="3" t="s">
        <v>8</v>
      </c>
      <c r="B25" s="4">
        <v>43823.0</v>
      </c>
      <c r="C25" s="51">
        <v>1.0</v>
      </c>
      <c r="D25" s="51">
        <v>1.0</v>
      </c>
      <c r="E25" s="52">
        <v>0.0</v>
      </c>
      <c r="F25" s="52">
        <v>0.0</v>
      </c>
      <c r="G25" s="52">
        <v>0.0</v>
      </c>
      <c r="H25" s="52">
        <v>0.0</v>
      </c>
      <c r="I25" s="51">
        <v>1.0</v>
      </c>
      <c r="J25" s="51">
        <v>0.0</v>
      </c>
      <c r="K25" s="51">
        <v>1.0</v>
      </c>
      <c r="L25" s="46"/>
      <c r="M25" s="28"/>
    </row>
    <row r="26">
      <c r="A26" s="3" t="s">
        <v>9</v>
      </c>
      <c r="B26" s="4">
        <v>43824.0</v>
      </c>
      <c r="C26" s="51">
        <v>1.0</v>
      </c>
      <c r="D26" s="51">
        <v>1.0</v>
      </c>
      <c r="E26" s="52">
        <v>0.0</v>
      </c>
      <c r="F26" s="52">
        <v>0.0</v>
      </c>
      <c r="G26" s="52">
        <v>0.0</v>
      </c>
      <c r="H26" s="52">
        <v>0.0</v>
      </c>
      <c r="I26" s="51">
        <v>1.0</v>
      </c>
      <c r="J26" s="51">
        <v>0.0</v>
      </c>
      <c r="K26" s="51">
        <v>1.0</v>
      </c>
      <c r="L26" s="46"/>
      <c r="M26" s="28"/>
    </row>
    <row r="27">
      <c r="A27" s="3" t="s">
        <v>10</v>
      </c>
      <c r="B27" s="4">
        <v>43825.0</v>
      </c>
      <c r="C27" s="53">
        <v>1.0</v>
      </c>
      <c r="D27" s="53">
        <v>1.0</v>
      </c>
      <c r="E27" s="54">
        <v>0.0</v>
      </c>
      <c r="F27" s="54">
        <v>0.0</v>
      </c>
      <c r="G27" s="54">
        <v>0.0</v>
      </c>
      <c r="H27" s="54">
        <v>0.0</v>
      </c>
      <c r="I27" s="53">
        <v>1.0</v>
      </c>
      <c r="J27" s="53">
        <v>1.0</v>
      </c>
      <c r="K27" s="53">
        <v>1.0</v>
      </c>
      <c r="L27" s="46"/>
      <c r="M27" s="28"/>
    </row>
    <row r="28">
      <c r="A28" s="7" t="s">
        <v>11</v>
      </c>
      <c r="B28" s="8">
        <v>43826.0</v>
      </c>
      <c r="C28" s="55">
        <v>0.0</v>
      </c>
      <c r="D28" s="55">
        <v>0.0</v>
      </c>
      <c r="E28" s="52">
        <v>0.0</v>
      </c>
      <c r="F28" s="52">
        <v>0.0</v>
      </c>
      <c r="G28" s="52">
        <v>0.0</v>
      </c>
      <c r="H28" s="52">
        <v>0.0</v>
      </c>
      <c r="I28" s="55">
        <v>0.0</v>
      </c>
      <c r="J28" s="55">
        <v>0.0</v>
      </c>
      <c r="K28" s="55">
        <v>0.0</v>
      </c>
      <c r="L28" s="46"/>
      <c r="M28" s="28"/>
    </row>
    <row r="29">
      <c r="A29" s="14" t="s">
        <v>12</v>
      </c>
      <c r="B29" s="4">
        <v>43827.0</v>
      </c>
      <c r="C29" s="53">
        <v>1.0</v>
      </c>
      <c r="D29" s="53">
        <v>1.0</v>
      </c>
      <c r="E29" s="54">
        <v>0.0</v>
      </c>
      <c r="F29" s="54">
        <v>0.0</v>
      </c>
      <c r="G29" s="54">
        <v>0.0</v>
      </c>
      <c r="H29" s="54">
        <v>0.0</v>
      </c>
      <c r="I29" s="53">
        <v>1.0</v>
      </c>
      <c r="J29" s="53">
        <v>0.0</v>
      </c>
      <c r="K29" s="53">
        <v>1.0</v>
      </c>
      <c r="L29" s="46"/>
      <c r="M29" s="28"/>
    </row>
    <row r="30">
      <c r="A30" s="14" t="s">
        <v>14</v>
      </c>
      <c r="B30" s="4">
        <v>43828.0</v>
      </c>
      <c r="C30" s="53">
        <v>1.0</v>
      </c>
      <c r="D30" s="53">
        <v>1.0</v>
      </c>
      <c r="E30" s="54">
        <v>0.0</v>
      </c>
      <c r="F30" s="54">
        <v>0.0</v>
      </c>
      <c r="G30" s="54">
        <v>0.0</v>
      </c>
      <c r="H30" s="54">
        <v>0.0</v>
      </c>
      <c r="I30" s="53">
        <v>1.0</v>
      </c>
      <c r="J30" s="53">
        <v>1.0</v>
      </c>
      <c r="K30" s="53">
        <v>1.0</v>
      </c>
      <c r="L30" s="46"/>
      <c r="M30" s="28"/>
    </row>
    <row r="31">
      <c r="A31" s="14" t="s">
        <v>7</v>
      </c>
      <c r="B31" s="4">
        <v>43829.0</v>
      </c>
      <c r="C31" s="53">
        <v>1.0</v>
      </c>
      <c r="D31" s="53">
        <v>1.0</v>
      </c>
      <c r="E31" s="54">
        <v>0.0</v>
      </c>
      <c r="F31" s="54">
        <v>0.0</v>
      </c>
      <c r="G31" s="54">
        <v>0.0</v>
      </c>
      <c r="H31" s="54">
        <v>0.0</v>
      </c>
      <c r="I31" s="53">
        <v>1.0</v>
      </c>
      <c r="J31" s="53">
        <v>0.0</v>
      </c>
      <c r="K31" s="53">
        <v>2.0</v>
      </c>
      <c r="L31" s="46"/>
      <c r="M31" s="28"/>
    </row>
    <row r="32">
      <c r="A32" s="14" t="s">
        <v>8</v>
      </c>
      <c r="B32" s="4">
        <v>43830.0</v>
      </c>
      <c r="C32" s="53">
        <v>1.0</v>
      </c>
      <c r="D32" s="53">
        <v>1.0</v>
      </c>
      <c r="E32" s="54">
        <v>0.0</v>
      </c>
      <c r="F32" s="54">
        <v>0.0</v>
      </c>
      <c r="G32" s="54">
        <v>0.0</v>
      </c>
      <c r="H32" s="54">
        <v>0.0</v>
      </c>
      <c r="I32" s="53">
        <v>0.0</v>
      </c>
      <c r="J32" s="53">
        <v>0.0</v>
      </c>
      <c r="K32" s="53">
        <v>1.0</v>
      </c>
      <c r="L32" s="46"/>
      <c r="M32" s="28"/>
    </row>
    <row r="33">
      <c r="A33" s="46"/>
      <c r="B33" s="57" t="s">
        <v>159</v>
      </c>
      <c r="C33" s="58">
        <f t="shared" ref="C33:K33" si="1">SUM(C2:C32)</f>
        <v>20</v>
      </c>
      <c r="D33" s="58">
        <f t="shared" si="1"/>
        <v>28</v>
      </c>
      <c r="E33" s="58">
        <f t="shared" si="1"/>
        <v>2</v>
      </c>
      <c r="F33" s="58">
        <f t="shared" si="1"/>
        <v>13</v>
      </c>
      <c r="G33" s="58">
        <f t="shared" si="1"/>
        <v>1</v>
      </c>
      <c r="H33" s="58">
        <f t="shared" si="1"/>
        <v>1</v>
      </c>
      <c r="I33" s="58">
        <f t="shared" si="1"/>
        <v>25</v>
      </c>
      <c r="J33" s="58">
        <f t="shared" si="1"/>
        <v>11</v>
      </c>
      <c r="K33" s="58">
        <f t="shared" si="1"/>
        <v>29</v>
      </c>
      <c r="L33" s="28"/>
      <c r="M33" s="28"/>
    </row>
    <row r="34">
      <c r="A34" s="46"/>
      <c r="B34" s="59" t="s">
        <v>160</v>
      </c>
      <c r="C34" s="60">
        <v>2000.0</v>
      </c>
      <c r="D34" s="61">
        <v>1000.0</v>
      </c>
      <c r="E34" s="60">
        <v>1000.0</v>
      </c>
      <c r="F34" s="61">
        <v>1400.0</v>
      </c>
      <c r="G34" s="60">
        <v>1000.0</v>
      </c>
      <c r="H34" s="60">
        <v>1000.0</v>
      </c>
      <c r="I34" s="61">
        <v>600.0</v>
      </c>
      <c r="J34" s="60">
        <v>1000.0</v>
      </c>
      <c r="K34" s="61">
        <v>1000.0</v>
      </c>
      <c r="L34" s="62">
        <f t="shared" ref="L34:L35" si="4">SUM(C34:K34)</f>
        <v>10000</v>
      </c>
      <c r="M34" s="28"/>
    </row>
    <row r="35">
      <c r="A35" s="46"/>
      <c r="B35" s="63" t="s">
        <v>161</v>
      </c>
      <c r="C35" s="64">
        <f>C33*C34</f>
        <v>40000</v>
      </c>
      <c r="D35" s="64">
        <f t="shared" ref="D35:E35" si="2">D34*D33</f>
        <v>28000</v>
      </c>
      <c r="E35" s="64">
        <f t="shared" si="2"/>
        <v>2000</v>
      </c>
      <c r="F35" s="64">
        <f>F33*F34</f>
        <v>18200</v>
      </c>
      <c r="G35" s="64">
        <f t="shared" ref="G35:J35" si="3">G34*G33</f>
        <v>1000</v>
      </c>
      <c r="H35" s="64">
        <f t="shared" si="3"/>
        <v>1000</v>
      </c>
      <c r="I35" s="64">
        <f t="shared" si="3"/>
        <v>15000</v>
      </c>
      <c r="J35" s="64">
        <f t="shared" si="3"/>
        <v>11000</v>
      </c>
      <c r="K35" s="64">
        <f>K33*K34</f>
        <v>29000</v>
      </c>
      <c r="L35" s="42">
        <f t="shared" si="4"/>
        <v>145200</v>
      </c>
      <c r="M35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38"/>
    <col customWidth="1" min="11" max="11" width="17.63"/>
  </cols>
  <sheetData>
    <row r="11">
      <c r="H11" s="28"/>
      <c r="I11" s="28"/>
      <c r="J11" s="28"/>
      <c r="K11" s="28"/>
    </row>
    <row r="12">
      <c r="H12" s="66"/>
      <c r="I12" s="66"/>
      <c r="J12" s="66"/>
      <c r="K12" s="66"/>
    </row>
    <row r="13">
      <c r="H13" s="16"/>
      <c r="I13" s="67" t="s">
        <v>162</v>
      </c>
      <c r="J13" s="67" t="s">
        <v>3</v>
      </c>
      <c r="K13" s="68" t="s">
        <v>163</v>
      </c>
    </row>
    <row r="14">
      <c r="H14" s="69">
        <v>1.0</v>
      </c>
      <c r="I14" s="38" t="s">
        <v>148</v>
      </c>
      <c r="J14" s="70">
        <f>Pointage!C35*1</f>
        <v>40000</v>
      </c>
      <c r="K14" s="71">
        <v>2300.0</v>
      </c>
    </row>
    <row r="15">
      <c r="H15" s="69">
        <v>2.0</v>
      </c>
      <c r="I15" s="38" t="s">
        <v>151</v>
      </c>
      <c r="J15" s="70">
        <f>Pointage!F35*1</f>
        <v>18200</v>
      </c>
      <c r="K15" s="72"/>
    </row>
    <row r="16">
      <c r="H16" s="69">
        <v>3.0</v>
      </c>
      <c r="I16" s="38" t="s">
        <v>155</v>
      </c>
      <c r="J16" s="70">
        <f>Pointage!J35*1</f>
        <v>11000</v>
      </c>
      <c r="K16" s="72"/>
    </row>
    <row r="17">
      <c r="H17" s="69">
        <v>4.0</v>
      </c>
      <c r="I17" s="38" t="s">
        <v>149</v>
      </c>
      <c r="J17" s="70">
        <f>Pointage!D35*1</f>
        <v>28000</v>
      </c>
      <c r="K17" s="71">
        <v>5000.0</v>
      </c>
    </row>
    <row r="18">
      <c r="H18" s="73">
        <v>5.0</v>
      </c>
      <c r="I18" s="32" t="s">
        <v>164</v>
      </c>
      <c r="J18" s="70">
        <f>Pointage!G35*1</f>
        <v>1000</v>
      </c>
      <c r="K18" s="72"/>
    </row>
    <row r="19">
      <c r="H19" s="73">
        <v>6.0</v>
      </c>
      <c r="I19" s="32" t="s">
        <v>153</v>
      </c>
      <c r="J19" s="74">
        <f>Pointage!H35*1</f>
        <v>1000</v>
      </c>
      <c r="K19" s="71"/>
    </row>
    <row r="20">
      <c r="H20" s="73">
        <v>7.0</v>
      </c>
      <c r="I20" s="32" t="s">
        <v>150</v>
      </c>
      <c r="J20" s="74">
        <v>2000.0</v>
      </c>
      <c r="K20" s="71">
        <v>2000.0</v>
      </c>
    </row>
    <row r="21">
      <c r="H21" s="73">
        <v>8.0</v>
      </c>
      <c r="I21" s="38" t="s">
        <v>154</v>
      </c>
      <c r="J21" s="70">
        <f>Pointage!I35*1</f>
        <v>15000</v>
      </c>
      <c r="K21" s="72"/>
    </row>
    <row r="22">
      <c r="H22" s="73">
        <v>9.0</v>
      </c>
      <c r="I22" s="38" t="s">
        <v>156</v>
      </c>
      <c r="J22" s="70">
        <f>Pointage!K35*1</f>
        <v>29000</v>
      </c>
      <c r="K22" s="71">
        <v>15000.0</v>
      </c>
    </row>
    <row r="23">
      <c r="H23" s="75"/>
      <c r="I23" s="76" t="s">
        <v>159</v>
      </c>
      <c r="J23" s="77">
        <f t="shared" ref="J23:K23" si="1">SUM(J14:J22)</f>
        <v>145200</v>
      </c>
      <c r="K23" s="78">
        <f t="shared" si="1"/>
        <v>24300</v>
      </c>
    </row>
    <row r="24">
      <c r="I24" s="79" t="s">
        <v>165</v>
      </c>
      <c r="J24" s="80">
        <f>J23-K23</f>
        <v>120900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5.63"/>
    <col customWidth="1" min="9" max="9" width="26.0"/>
    <col customWidth="1" min="10" max="10" width="25.5"/>
    <col customWidth="1" min="11" max="11" width="26.25"/>
    <col customWidth="1" min="12" max="12" width="25.25"/>
  </cols>
  <sheetData>
    <row r="5">
      <c r="H5" s="81"/>
      <c r="I5" s="81"/>
      <c r="J5" s="81"/>
    </row>
    <row r="6" ht="39.0" customHeight="1">
      <c r="H6" s="82" t="s">
        <v>166</v>
      </c>
      <c r="I6" s="82" t="s">
        <v>167</v>
      </c>
      <c r="J6" s="82" t="s">
        <v>168</v>
      </c>
      <c r="K6" s="82" t="s">
        <v>169</v>
      </c>
      <c r="L6" s="82" t="s">
        <v>170</v>
      </c>
    </row>
    <row r="7" ht="42.75" customHeight="1">
      <c r="H7" s="83">
        <f>RECAP!T34*RECAP!S33</f>
        <v>725000</v>
      </c>
      <c r="I7" s="84">
        <f>RECAP!C33*1</f>
        <v>573000</v>
      </c>
      <c r="J7" s="85">
        <f>H7-I7</f>
        <v>152000</v>
      </c>
      <c r="K7" s="86">
        <f>J7+L7</f>
        <v>352000</v>
      </c>
      <c r="L7" s="87">
        <f>RECAP!G33*1</f>
        <v>200000</v>
      </c>
    </row>
  </sheetData>
  <drawing r:id="rId1"/>
</worksheet>
</file>