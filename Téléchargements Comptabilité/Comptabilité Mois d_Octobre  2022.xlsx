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Pointage" sheetId="2" r:id="rId5"/>
    <sheet state="visible" name="Les Charges " sheetId="3" r:id="rId6"/>
    <sheet state="visible" name="Salaires " sheetId="4" r:id="rId7"/>
    <sheet state="visible" name="Feuille 5" sheetId="5" r:id="rId8"/>
    <sheet state="visible" name="Feuille 6" sheetId="6" r:id="rId9"/>
  </sheets>
  <definedNames>
    <definedName hidden="1" localSheetId="2" name="Z_8AA9C067_8DA7_4363_ACC2_6F9BA99A31BE_.wvu.FilterData">'Les Charges '!$E$2:$I$394</definedName>
  </definedNames>
  <calcPr/>
  <customWorkbookViews>
    <customWorkbookView activeSheetId="0" maximized="1" windowHeight="0" windowWidth="0" guid="{8AA9C067-8DA7-4363-ACC2-6F9BA99A31BE}" name="Filtre 1"/>
  </customWorkbookViews>
</workbook>
</file>

<file path=xl/sharedStrings.xml><?xml version="1.0" encoding="utf-8"?>
<sst xmlns="http://schemas.openxmlformats.org/spreadsheetml/2006/main" count="593" uniqueCount="367">
  <si>
    <t>Date</t>
  </si>
  <si>
    <t>Recette d'Aout  2022</t>
  </si>
  <si>
    <t xml:space="preserve">Recette </t>
  </si>
  <si>
    <t>Charges</t>
  </si>
  <si>
    <t>Salaire</t>
  </si>
  <si>
    <t>Loyer</t>
  </si>
  <si>
    <t>Net Profit</t>
  </si>
  <si>
    <t>Nb de jours</t>
  </si>
  <si>
    <t>Objectif</t>
  </si>
  <si>
    <t xml:space="preserve">Septembre </t>
  </si>
  <si>
    <t>Bénéfice Moyen par jour</t>
  </si>
  <si>
    <t xml:space="preserve">Moyenne </t>
  </si>
  <si>
    <t>Samedi</t>
  </si>
  <si>
    <t>Dimanche</t>
  </si>
  <si>
    <t>Lundi</t>
  </si>
  <si>
    <t xml:space="preserve">Moyenne des charges par jour </t>
  </si>
  <si>
    <t xml:space="preserve">Objectif </t>
  </si>
  <si>
    <t>Mardi</t>
  </si>
  <si>
    <t>Mercredi</t>
  </si>
  <si>
    <t>²</t>
  </si>
  <si>
    <t>Jeudi</t>
  </si>
  <si>
    <t>Vendredi</t>
  </si>
  <si>
    <t xml:space="preserve">Cash restant </t>
  </si>
  <si>
    <t>Magasin</t>
  </si>
  <si>
    <t xml:space="preserve">caisse </t>
  </si>
  <si>
    <t>cash en attente pour le récupérer =Dettes éxterieurs</t>
  </si>
  <si>
    <t xml:space="preserve"> </t>
  </si>
  <si>
    <t xml:space="preserve">sofiane  </t>
  </si>
  <si>
    <t>loyer</t>
  </si>
  <si>
    <t>Ccp:15000</t>
  </si>
  <si>
    <t>pétrin+ four+ Loyer du local</t>
  </si>
  <si>
    <t>75000+145000</t>
  </si>
  <si>
    <t>Faouzi 25000+23000+23000</t>
  </si>
  <si>
    <t>Mounir</t>
  </si>
  <si>
    <t>Loyer Local</t>
  </si>
  <si>
    <t xml:space="preserve">Amel Maison </t>
  </si>
  <si>
    <t>200000+100000+10000+70000</t>
  </si>
  <si>
    <t>Différence mois de septembre</t>
  </si>
  <si>
    <t xml:space="preserve">Différence objectif </t>
  </si>
  <si>
    <t xml:space="preserve">Les vendredis </t>
  </si>
  <si>
    <t xml:space="preserve">Le loyer de Samedi est payé en Mois d'octobre on a payé 492000Da </t>
  </si>
  <si>
    <t xml:space="preserve">on va plus compter le pétrin et le four  270000Da </t>
  </si>
  <si>
    <t xml:space="preserve">Donc il reste  258000 Da de l'argent du loyer </t>
  </si>
  <si>
    <t>Cash réel</t>
  </si>
  <si>
    <t xml:space="preserve">Sofiane m'a donné 45000 Da pour compléter les salaires </t>
  </si>
  <si>
    <t>le bénifice est 54 millions j'ai pris 47 millions il reste 7 millions on les récupère du chèque du  71k eli rahom 3aned Mr . mokrani</t>
  </si>
  <si>
    <t>rest à payer</t>
  </si>
  <si>
    <t>Mois de Septembre</t>
  </si>
  <si>
    <t xml:space="preserve">La différence </t>
  </si>
  <si>
    <t xml:space="preserve">Nadjet </t>
  </si>
  <si>
    <t xml:space="preserve">Hafida </t>
  </si>
  <si>
    <t>Wahiba</t>
  </si>
  <si>
    <t xml:space="preserve">Zahida </t>
  </si>
  <si>
    <t>djamila</t>
  </si>
  <si>
    <t>Farida</t>
  </si>
  <si>
    <t>Yousera</t>
  </si>
  <si>
    <t>Lynda</t>
  </si>
  <si>
    <t>Kenza</t>
  </si>
  <si>
    <t>Fouzia</t>
  </si>
  <si>
    <t xml:space="preserve">SAmira </t>
  </si>
  <si>
    <t>Karima</t>
  </si>
  <si>
    <t xml:space="preserve">Monia </t>
  </si>
  <si>
    <t xml:space="preserve">La nouvelle vendeuse </t>
  </si>
  <si>
    <t xml:space="preserve">Yasmine </t>
  </si>
  <si>
    <t>Extra</t>
  </si>
  <si>
    <t>Remarque</t>
  </si>
  <si>
    <t>mama et hadjer</t>
  </si>
  <si>
    <t>Djamila djate à 10h et Farida à 11h, Hafida à 09h</t>
  </si>
  <si>
    <t>Produit</t>
  </si>
  <si>
    <t>Quantité</t>
  </si>
  <si>
    <t xml:space="preserve">Prix unitaire </t>
  </si>
  <si>
    <t>Prix</t>
  </si>
  <si>
    <t>Date d'achat</t>
  </si>
  <si>
    <t>Eau Lala khedidja 1,5 litres</t>
  </si>
  <si>
    <t>Eau Lala khedidja 0,5 litres</t>
  </si>
  <si>
    <t xml:space="preserve">Huile 2 litres </t>
  </si>
  <si>
    <t>50+25</t>
  </si>
  <si>
    <t xml:space="preserve">Huile 5 litre </t>
  </si>
  <si>
    <t>oeuf</t>
  </si>
  <si>
    <t>sac croissant 23</t>
  </si>
  <si>
    <t>sac croissant 14</t>
  </si>
  <si>
    <t>extrait Maa Zehar</t>
  </si>
  <si>
    <t>amande éfilet</t>
  </si>
  <si>
    <t xml:space="preserve">les quissetes </t>
  </si>
  <si>
    <t xml:space="preserve">colorant blanc </t>
  </si>
  <si>
    <t>colorant vert</t>
  </si>
  <si>
    <t xml:space="preserve">beure </t>
  </si>
  <si>
    <t xml:space="preserve">amandes </t>
  </si>
  <si>
    <t>levure chimique</t>
  </si>
  <si>
    <t>Miel</t>
  </si>
  <si>
    <t>Maa Zehar</t>
  </si>
  <si>
    <t xml:space="preserve">eau de javel </t>
  </si>
  <si>
    <t>Farine Sim</t>
  </si>
  <si>
    <t>papier cuissant</t>
  </si>
  <si>
    <t>chocolat noisette</t>
  </si>
  <si>
    <t xml:space="preserve">chocolat blanc </t>
  </si>
  <si>
    <t>pistache</t>
  </si>
  <si>
    <t>cajou</t>
  </si>
  <si>
    <t xml:space="preserve">Fromage Bidon </t>
  </si>
  <si>
    <t>décore 3ayaech</t>
  </si>
  <si>
    <t xml:space="preserve">Sofiane </t>
  </si>
  <si>
    <t xml:space="preserve">les pilles </t>
  </si>
  <si>
    <t>Boite 48/10</t>
  </si>
  <si>
    <t>Boite 48/07</t>
  </si>
  <si>
    <t>Boite 36/</t>
  </si>
  <si>
    <t>Boite 24</t>
  </si>
  <si>
    <t>Boite 8</t>
  </si>
  <si>
    <t>9etayef</t>
  </si>
  <si>
    <t xml:space="preserve">Tomate conserve </t>
  </si>
  <si>
    <t>Soda Slim 33cl</t>
  </si>
  <si>
    <t>Soda Hamoud canette 33cl</t>
  </si>
  <si>
    <t>dentelle 5.5</t>
  </si>
  <si>
    <t>quissetes dorée</t>
  </si>
  <si>
    <t>Barquettes aluminium 1185</t>
  </si>
  <si>
    <t>3akeri</t>
  </si>
  <si>
    <t>Semoule Moyenne Amor Ben Amor 5kg</t>
  </si>
  <si>
    <t>Semoule Sim 2kg moyenne</t>
  </si>
  <si>
    <t>Bon de livraison</t>
  </si>
  <si>
    <t>yaourt</t>
  </si>
  <si>
    <t>canette coca et Fanta 24 canettes</t>
  </si>
  <si>
    <t>Thon recamar</t>
  </si>
  <si>
    <t xml:space="preserve">cuisses </t>
  </si>
  <si>
    <t>bessel</t>
  </si>
  <si>
    <t>couscous</t>
  </si>
  <si>
    <t>sidou emballage</t>
  </si>
  <si>
    <t>semoule Mama 2kg fardeaux5</t>
  </si>
  <si>
    <t>semoule sim 10kg</t>
  </si>
  <si>
    <t>billel</t>
  </si>
  <si>
    <t>robinet d'arret</t>
  </si>
  <si>
    <t>Thon le gout 2kg</t>
  </si>
  <si>
    <t>fromage bidon 3.8kg</t>
  </si>
  <si>
    <t>cème fraiche 1 litre</t>
  </si>
  <si>
    <t xml:space="preserve">gouda </t>
  </si>
  <si>
    <t xml:space="preserve">Tacos Hadj </t>
  </si>
  <si>
    <t>Chocolat à tartiner 10kg</t>
  </si>
  <si>
    <t>Boite marron 12/100</t>
  </si>
  <si>
    <t>Boite 18/100</t>
  </si>
  <si>
    <t>Boite 24/50</t>
  </si>
  <si>
    <t>Boite 36/50</t>
  </si>
  <si>
    <t>Boite 48/50</t>
  </si>
  <si>
    <t>boite 48/10 /50</t>
  </si>
  <si>
    <t xml:space="preserve">cuillere </t>
  </si>
  <si>
    <t>motif 3arayech</t>
  </si>
  <si>
    <t>boite temina dorée</t>
  </si>
  <si>
    <t>chocolat wedjedane au lait</t>
  </si>
  <si>
    <t>na3ena3</t>
  </si>
  <si>
    <t>blanc de poulet</t>
  </si>
  <si>
    <t>pain</t>
  </si>
  <si>
    <t>rechta</t>
  </si>
  <si>
    <t>Semen Madina 1.8kg</t>
  </si>
  <si>
    <t>Margarine Fleurial 500g 16 boites</t>
  </si>
  <si>
    <t>Margarine Fleurial 250g 40 boites</t>
  </si>
  <si>
    <t>Semoule Fine sahel10kg</t>
  </si>
  <si>
    <t>01/09/2022/</t>
  </si>
  <si>
    <t>levure  boulangère</t>
  </si>
  <si>
    <t>Maizina</t>
  </si>
  <si>
    <t>Sel</t>
  </si>
  <si>
    <t>Barquette aluminium 1065</t>
  </si>
  <si>
    <t>Farine Sim 5kg</t>
  </si>
  <si>
    <t>sauce tomate ELA 3.8KG</t>
  </si>
  <si>
    <t xml:space="preserve">Fromage spécial pizza </t>
  </si>
  <si>
    <t>Gherss</t>
  </si>
  <si>
    <t>Sucre glace 700g</t>
  </si>
  <si>
    <t>sachet farine 25kg</t>
  </si>
  <si>
    <t>plats traditionel</t>
  </si>
  <si>
    <t>Maiis</t>
  </si>
  <si>
    <t>sanoudj</t>
  </si>
  <si>
    <t>djeldjelane</t>
  </si>
  <si>
    <t>halewet turek</t>
  </si>
  <si>
    <t>achats brahim</t>
  </si>
  <si>
    <t>Semoule Moula Fine 2kg</t>
  </si>
  <si>
    <t>Semoule fine 25kg</t>
  </si>
  <si>
    <t>datte</t>
  </si>
  <si>
    <t>citron</t>
  </si>
  <si>
    <t>Storm internet + appel</t>
  </si>
  <si>
    <t>gharess</t>
  </si>
  <si>
    <t>Farine  9kg fardeau</t>
  </si>
  <si>
    <t>Papier aluminium</t>
  </si>
  <si>
    <t>blanc entier</t>
  </si>
  <si>
    <t xml:space="preserve">les abats </t>
  </si>
  <si>
    <t>semoule Mama 2kg fardeaux</t>
  </si>
  <si>
    <t>semoule Amour 10kg</t>
  </si>
  <si>
    <t>berkoukess</t>
  </si>
  <si>
    <t>isis+ javel</t>
  </si>
  <si>
    <t>omo</t>
  </si>
  <si>
    <t>banane</t>
  </si>
  <si>
    <t xml:space="preserve">rechta + terida sans gluten </t>
  </si>
  <si>
    <t>Transport marchandise</t>
  </si>
  <si>
    <t>dattes</t>
  </si>
  <si>
    <t xml:space="preserve">rechta  </t>
  </si>
  <si>
    <t>cuissess de poulet</t>
  </si>
  <si>
    <t>courgette</t>
  </si>
  <si>
    <t>navet</t>
  </si>
  <si>
    <t xml:space="preserve">épinard </t>
  </si>
  <si>
    <t>05/</t>
  </si>
  <si>
    <t xml:space="preserve">semoule mama 2kg </t>
  </si>
  <si>
    <t xml:space="preserve">les gants </t>
  </si>
  <si>
    <t>viande morceaux</t>
  </si>
  <si>
    <t>viande hachée</t>
  </si>
  <si>
    <t xml:space="preserve">fromage </t>
  </si>
  <si>
    <t>poulet haché</t>
  </si>
  <si>
    <t>Rechta</t>
  </si>
  <si>
    <t xml:space="preserve">cuisses entière </t>
  </si>
  <si>
    <t xml:space="preserve">courgette + navet + carotte </t>
  </si>
  <si>
    <t>deyoul</t>
  </si>
  <si>
    <t>068/10/2022</t>
  </si>
  <si>
    <t>Hamissa</t>
  </si>
  <si>
    <t>ferik</t>
  </si>
  <si>
    <t xml:space="preserve">les épices </t>
  </si>
  <si>
    <t>tomate fraiche</t>
  </si>
  <si>
    <t xml:space="preserve">fromage slices </t>
  </si>
  <si>
    <t xml:space="preserve">sac poubelle </t>
  </si>
  <si>
    <t>Jus Tchina 33cl</t>
  </si>
  <si>
    <t>Tchina pep's canette  24cl</t>
  </si>
  <si>
    <t>eau 0,5 litre</t>
  </si>
  <si>
    <t>spatules</t>
  </si>
  <si>
    <t>sucre 1kg</t>
  </si>
  <si>
    <t>semoule Mama 2kg</t>
  </si>
  <si>
    <t xml:space="preserve">morceaux viande </t>
  </si>
  <si>
    <t>transport personnel</t>
  </si>
  <si>
    <t>olive</t>
  </si>
  <si>
    <t>maiis</t>
  </si>
  <si>
    <t>Semoule Amor Ben Amor 25kg</t>
  </si>
  <si>
    <t xml:space="preserve">Transport semoule </t>
  </si>
  <si>
    <t xml:space="preserve">pate à filo </t>
  </si>
  <si>
    <t xml:space="preserve">tomate </t>
  </si>
  <si>
    <t>salade</t>
  </si>
  <si>
    <t>semoule fine Baraka 10kg</t>
  </si>
  <si>
    <t>boite marron num 8</t>
  </si>
  <si>
    <t>plat barquette 750cc</t>
  </si>
  <si>
    <t>soda Slim 33cl</t>
  </si>
  <si>
    <t>09/</t>
  </si>
  <si>
    <t>Soda Slim canette</t>
  </si>
  <si>
    <t>Ka3ek Nakach</t>
  </si>
  <si>
    <t>Semoule Mama 2kg</t>
  </si>
  <si>
    <t xml:space="preserve">Transport </t>
  </si>
  <si>
    <t>Farine Sim 1kg  fardeaux de 9kg</t>
  </si>
  <si>
    <t xml:space="preserve">Amandes </t>
  </si>
  <si>
    <t xml:space="preserve">Sucre glace 700g Fabalco </t>
  </si>
  <si>
    <t>amandes éfilet</t>
  </si>
  <si>
    <t xml:space="preserve">canelle </t>
  </si>
  <si>
    <t>miel 5kg</t>
  </si>
  <si>
    <t>sel</t>
  </si>
  <si>
    <t xml:space="preserve">Harrissa </t>
  </si>
  <si>
    <t>lait en poudre 500g</t>
  </si>
  <si>
    <t xml:space="preserve">Cacao </t>
  </si>
  <si>
    <t xml:space="preserve">noisette </t>
  </si>
  <si>
    <t xml:space="preserve">lavette </t>
  </si>
  <si>
    <t xml:space="preserve">tomate fraiche + salade </t>
  </si>
  <si>
    <t xml:space="preserve">sucre </t>
  </si>
  <si>
    <t>fromage rouge + gouda</t>
  </si>
  <si>
    <t>curdent</t>
  </si>
  <si>
    <t>poivron et tomate fraiche</t>
  </si>
  <si>
    <t>kosseber</t>
  </si>
  <si>
    <t xml:space="preserve">eau 5 litres </t>
  </si>
  <si>
    <t>pouivre + poivron</t>
  </si>
  <si>
    <t>Avocat</t>
  </si>
  <si>
    <t xml:space="preserve">crevette </t>
  </si>
  <si>
    <t>mascarpon 250g</t>
  </si>
  <si>
    <t xml:space="preserve">persil + coriandre </t>
  </si>
  <si>
    <t>djouz</t>
  </si>
  <si>
    <t>verrines</t>
  </si>
  <si>
    <t>semoule fine Sosimie 2kg</t>
  </si>
  <si>
    <t xml:space="preserve">sauce tomate  </t>
  </si>
  <si>
    <t>cousscouss</t>
  </si>
  <si>
    <t>harissa</t>
  </si>
  <si>
    <t>sucre</t>
  </si>
  <si>
    <t>petit  pois</t>
  </si>
  <si>
    <t>salade + concombre</t>
  </si>
  <si>
    <t>tomate cerise</t>
  </si>
  <si>
    <t xml:space="preserve">rechta </t>
  </si>
  <si>
    <t xml:space="preserve">épinrd </t>
  </si>
  <si>
    <t xml:space="preserve">Tomate </t>
  </si>
  <si>
    <t xml:space="preserve">blanc de poulet </t>
  </si>
  <si>
    <t>poivre</t>
  </si>
  <si>
    <t>navet courgette kheyar</t>
  </si>
  <si>
    <t>pomme de terre</t>
  </si>
  <si>
    <t>raisins sec</t>
  </si>
  <si>
    <t xml:space="preserve">épinard celerie persil </t>
  </si>
  <si>
    <t xml:space="preserve">salade   </t>
  </si>
  <si>
    <t xml:space="preserve">olive </t>
  </si>
  <si>
    <t>chakhechoukhaet defer</t>
  </si>
  <si>
    <t xml:space="preserve">boite   </t>
  </si>
  <si>
    <t>boite demie plateau</t>
  </si>
  <si>
    <t>assièttes en plastique</t>
  </si>
  <si>
    <t>poichiche</t>
  </si>
  <si>
    <t xml:space="preserve">amnde </t>
  </si>
  <si>
    <t>Feuilltine</t>
  </si>
  <si>
    <t>oeufs</t>
  </si>
  <si>
    <t>sacs poubelle</t>
  </si>
  <si>
    <t>amandes</t>
  </si>
  <si>
    <t>sachet fari,z 25kg</t>
  </si>
  <si>
    <t>semoule fine bousmail 5kg</t>
  </si>
  <si>
    <t>semoule fine Sousimue 2kg</t>
  </si>
  <si>
    <t>vinigrette</t>
  </si>
  <si>
    <t xml:space="preserve">isis  </t>
  </si>
  <si>
    <t>semoule Sim 10kg</t>
  </si>
  <si>
    <t>semoule Mama 25kg</t>
  </si>
  <si>
    <t>semoule sousimie 2kg</t>
  </si>
  <si>
    <t>cheddar+fromage blanc+isis</t>
  </si>
  <si>
    <t>storm appel</t>
  </si>
  <si>
    <t>courgette / navet/ carotte /poivre</t>
  </si>
  <si>
    <t xml:space="preserve">tomate  </t>
  </si>
  <si>
    <t>fruits : raisins , banane, kiwi</t>
  </si>
  <si>
    <t>force express+ cafaricide</t>
  </si>
  <si>
    <t>viande  morceaux</t>
  </si>
  <si>
    <t>légum"s+herbes</t>
  </si>
  <si>
    <t>couscouss</t>
  </si>
  <si>
    <t xml:space="preserve">cuisses de poulet </t>
  </si>
  <si>
    <t>navet courgette haricot ver t</t>
  </si>
  <si>
    <t>haricot</t>
  </si>
  <si>
    <t xml:space="preserve">viande </t>
  </si>
  <si>
    <t>détergents</t>
  </si>
  <si>
    <t>pain tacos</t>
  </si>
  <si>
    <t>Semoule fine sousimie 2kk</t>
  </si>
  <si>
    <t>douara</t>
  </si>
  <si>
    <t xml:space="preserve">escalope de poulet </t>
  </si>
  <si>
    <t>semoule fine sahel 25kg</t>
  </si>
  <si>
    <t xml:space="preserve">pomme  </t>
  </si>
  <si>
    <t>achats wahiba</t>
  </si>
  <si>
    <t xml:space="preserve">isis + chaplure </t>
  </si>
  <si>
    <t>avocat</t>
  </si>
  <si>
    <t>poivre+poivron</t>
  </si>
  <si>
    <t>citon</t>
  </si>
  <si>
    <t>pate feuileté</t>
  </si>
  <si>
    <t xml:space="preserve">saumon </t>
  </si>
  <si>
    <t>barquette en aluminium</t>
  </si>
  <si>
    <t>cafardcide</t>
  </si>
  <si>
    <t>25/010/2022</t>
  </si>
  <si>
    <t>isis</t>
  </si>
  <si>
    <t>lahcen</t>
  </si>
  <si>
    <t>2 Factures éléctricité de 4 mois</t>
  </si>
  <si>
    <t>blanc de poulet + poulet hachée</t>
  </si>
  <si>
    <t>cuisses</t>
  </si>
  <si>
    <t>poivre et poivron</t>
  </si>
  <si>
    <t>tomate et courgette et carotte</t>
  </si>
  <si>
    <t>boite</t>
  </si>
  <si>
    <t>hamissa</t>
  </si>
  <si>
    <t>moutard</t>
  </si>
  <si>
    <t>épice</t>
  </si>
  <si>
    <t>couscouss d'orge</t>
  </si>
  <si>
    <t>Amina Baghrir</t>
  </si>
  <si>
    <t xml:space="preserve">Nom </t>
  </si>
  <si>
    <t>Avance</t>
  </si>
  <si>
    <t xml:space="preserve">Salaire à payer </t>
  </si>
  <si>
    <t>Sofiane</t>
  </si>
  <si>
    <t>Amel</t>
  </si>
  <si>
    <t>Nadjet</t>
  </si>
  <si>
    <t>10000+4000</t>
  </si>
  <si>
    <t xml:space="preserve">Djamila </t>
  </si>
  <si>
    <t xml:space="preserve">Farida </t>
  </si>
  <si>
    <t>1000+1000</t>
  </si>
  <si>
    <t xml:space="preserve">Yousera </t>
  </si>
  <si>
    <t>2000+7000+5000</t>
  </si>
  <si>
    <t xml:space="preserve">lynda </t>
  </si>
  <si>
    <t>Samira</t>
  </si>
  <si>
    <t xml:space="preserve">Fouzia </t>
  </si>
  <si>
    <t>nouvelle vendeuse</t>
  </si>
  <si>
    <t>kenza</t>
  </si>
  <si>
    <t>2000+2000+1000+2000</t>
  </si>
  <si>
    <t>TOTAL</t>
  </si>
  <si>
    <t>Mois de Juillet</t>
  </si>
  <si>
    <t xml:space="preserve">Mois d'Aout </t>
  </si>
  <si>
    <t xml:space="preserve">Mois de Septembre </t>
  </si>
  <si>
    <t>Mois d'Octobre</t>
  </si>
  <si>
    <t>Salaires</t>
  </si>
  <si>
    <t xml:space="preserve">Profit Net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</si>
</sst>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#,##0.00\ [$€-1]"/>
    <numFmt numFmtId="166" formatCode="d/m/yyyy"/>
    <numFmt numFmtId="167" formatCode="d/m"/>
  </numFmts>
  <fonts count="14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>
      <sz val="14.0"/>
      <color theme="1"/>
      <name val="Arial"/>
    </font>
    <font>
      <b/>
      <sz val="14.0"/>
      <color rgb="FFFF0000"/>
      <name val="Arial"/>
    </font>
    <font>
      <b/>
      <sz val="14.0"/>
      <color rgb="FFFFFF00"/>
      <name val="Arial"/>
    </font>
    <font>
      <b/>
      <sz val="14.0"/>
      <color rgb="FF4285F4"/>
      <name val="Arial"/>
    </font>
    <font>
      <sz val="14.0"/>
      <color rgb="FF434343"/>
      <name val="Arial"/>
    </font>
    <font>
      <sz val="14.0"/>
      <color rgb="FF4285F4"/>
      <name val="Arial"/>
    </font>
    <font>
      <b/>
      <sz val="18.0"/>
      <color theme="1"/>
      <name val="Arial"/>
    </font>
    <font>
      <b/>
      <sz val="14.0"/>
      <color rgb="FF1C4587"/>
      <name val="Arial"/>
    </font>
    <font>
      <color theme="1"/>
      <name val="Arial"/>
      <scheme val="minor"/>
    </font>
    <font>
      <sz val="14.0"/>
      <color theme="1"/>
      <name val="Arial"/>
      <scheme val="minor"/>
    </font>
    <font>
      <sz val="18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</fills>
  <borders count="6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2" fontId="2" numFmtId="0" xfId="0" applyAlignment="1" applyBorder="1" applyFill="1" applyFont="1">
      <alignment horizontal="center" vertical="bottom"/>
    </xf>
    <xf borderId="3" fillId="2" fontId="3" numFmtId="0" xfId="0" applyAlignment="1" applyBorder="1" applyFont="1">
      <alignment horizontal="center" vertical="bottom"/>
    </xf>
    <xf borderId="0" fillId="3" fontId="1" numFmtId="0" xfId="0" applyAlignment="1" applyFill="1" applyFont="1">
      <alignment vertical="bottom"/>
    </xf>
    <xf borderId="3" fillId="4" fontId="2" numFmtId="0" xfId="0" applyAlignment="1" applyBorder="1" applyFill="1" applyFont="1">
      <alignment horizontal="center" vertical="bottom"/>
    </xf>
    <xf borderId="2" fillId="5" fontId="2" numFmtId="0" xfId="0" applyAlignment="1" applyBorder="1" applyFill="1" applyFont="1">
      <alignment horizontal="center" readingOrder="0" vertical="bottom"/>
    </xf>
    <xf borderId="4" fillId="6" fontId="2" numFmtId="0" xfId="0" applyAlignment="1" applyBorder="1" applyFill="1" applyFont="1">
      <alignment horizontal="center" vertical="bottom"/>
    </xf>
    <xf borderId="0" fillId="0" fontId="1" numFmtId="0" xfId="0" applyAlignment="1" applyFont="1">
      <alignment vertical="bottom"/>
    </xf>
    <xf borderId="5" fillId="3" fontId="2" numFmtId="0" xfId="0" applyAlignment="1" applyBorder="1" applyFont="1">
      <alignment horizontal="center" readingOrder="0" vertical="bottom"/>
    </xf>
    <xf borderId="1" fillId="3" fontId="3" numFmtId="164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3" fontId="1" numFmtId="0" xfId="0" applyAlignment="1" applyBorder="1" applyFont="1">
      <alignment vertical="bottom"/>
    </xf>
    <xf borderId="3" fillId="3" fontId="3" numFmtId="0" xfId="0" applyAlignment="1" applyBorder="1" applyFont="1">
      <alignment horizontal="center" readingOrder="0" vertical="bottom"/>
    </xf>
    <xf borderId="0" fillId="3" fontId="1" numFmtId="165" xfId="0" applyAlignment="1" applyFont="1" applyNumberFormat="1">
      <alignment vertical="bottom"/>
    </xf>
    <xf borderId="3" fillId="3" fontId="3" numFmtId="165" xfId="0" applyAlignment="1" applyBorder="1" applyFont="1" applyNumberFormat="1">
      <alignment horizontal="center" readingOrder="0" vertical="bottom"/>
    </xf>
    <xf borderId="3" fillId="5" fontId="3" numFmtId="165" xfId="0" applyAlignment="1" applyBorder="1" applyFont="1" applyNumberFormat="1">
      <alignment horizontal="center" vertical="bottom"/>
    </xf>
    <xf borderId="1" fillId="5" fontId="2" numFmtId="165" xfId="0" applyAlignment="1" applyBorder="1" applyFont="1" applyNumberFormat="1">
      <alignment horizontal="center" vertical="bottom"/>
    </xf>
    <xf borderId="5" fillId="5" fontId="3" numFmtId="165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1" fillId="7" fontId="2" numFmtId="0" xfId="0" applyAlignment="1" applyBorder="1" applyFill="1" applyFont="1">
      <alignment horizontal="center" vertical="bottom"/>
    </xf>
    <xf borderId="1" fillId="7" fontId="2" numFmtId="165" xfId="0" applyAlignment="1" applyBorder="1" applyFont="1" applyNumberFormat="1">
      <alignment horizontal="center" vertical="bottom"/>
    </xf>
    <xf borderId="5" fillId="3" fontId="3" numFmtId="165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6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4" fillId="0" fontId="3" numFmtId="0" xfId="0" applyAlignment="1" applyBorder="1" applyFont="1">
      <alignment shrinkToFit="0" vertical="bottom" wrapText="0"/>
    </xf>
    <xf borderId="0" fillId="0" fontId="3" numFmtId="165" xfId="0" applyAlignment="1" applyFont="1" applyNumberFormat="1">
      <alignment horizontal="right" readingOrder="0" vertical="bottom"/>
    </xf>
    <xf borderId="1" fillId="0" fontId="3" numFmtId="165" xfId="0" applyAlignment="1" applyBorder="1" applyFont="1" applyNumberFormat="1">
      <alignment horizontal="right" readingOrder="0" vertical="bottom"/>
    </xf>
    <xf borderId="1" fillId="0" fontId="1" numFmtId="165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readingOrder="0" vertical="bottom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1" numFmtId="165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3" numFmtId="165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right" vertical="bottom"/>
    </xf>
    <xf borderId="0" fillId="3" fontId="3" numFmtId="165" xfId="0" applyAlignment="1" applyFont="1" applyNumberFormat="1">
      <alignment readingOrder="0" vertical="bottom"/>
    </xf>
    <xf borderId="0" fillId="0" fontId="3" numFmtId="165" xfId="0" applyAlignment="1" applyFont="1" applyNumberFormat="1">
      <alignment readingOrder="0" vertical="bottom"/>
    </xf>
    <xf borderId="4" fillId="0" fontId="3" numFmtId="165" xfId="0" applyAlignment="1" applyBorder="1" applyFont="1" applyNumberFormat="1">
      <alignment readingOrder="0" vertical="bottom"/>
    </xf>
    <xf borderId="0" fillId="0" fontId="3" numFmtId="165" xfId="0" applyAlignment="1" applyFont="1" applyNumberFormat="1">
      <alignment horizontal="center" readingOrder="0" vertical="bottom"/>
    </xf>
    <xf borderId="0" fillId="0" fontId="1" numFmtId="0" xfId="0" applyAlignment="1" applyFont="1">
      <alignment readingOrder="0" vertical="bottom"/>
    </xf>
    <xf borderId="1" fillId="6" fontId="4" numFmtId="165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vertical="bottom"/>
    </xf>
    <xf borderId="1" fillId="8" fontId="5" numFmtId="0" xfId="0" applyAlignment="1" applyBorder="1" applyFill="1" applyFont="1">
      <alignment horizontal="center" vertical="bottom"/>
    </xf>
    <xf borderId="1" fillId="7" fontId="3" numFmtId="0" xfId="0" applyAlignment="1" applyBorder="1" applyFont="1">
      <alignment horizontal="center" vertical="bottom"/>
    </xf>
    <xf borderId="1" fillId="8" fontId="3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3" fontId="3" numFmtId="165" xfId="0" applyAlignment="1" applyBorder="1" applyFont="1" applyNumberFormat="1">
      <alignment horizontal="center" readingOrder="0" vertical="bottom"/>
    </xf>
    <xf borderId="3" fillId="3" fontId="1" numFmtId="0" xfId="0" applyAlignment="1" applyBorder="1" applyFont="1">
      <alignment readingOrder="0" vertical="bottom"/>
    </xf>
    <xf borderId="5" fillId="0" fontId="1" numFmtId="0" xfId="0" applyAlignment="1" applyBorder="1" applyFont="1">
      <alignment vertical="bottom"/>
    </xf>
    <xf borderId="1" fillId="8" fontId="2" numFmtId="165" xfId="0" applyAlignment="1" applyBorder="1" applyFont="1" applyNumberFormat="1">
      <alignment horizontal="center" vertical="bottom"/>
    </xf>
    <xf borderId="1" fillId="9" fontId="2" numFmtId="165" xfId="0" applyAlignment="1" applyBorder="1" applyFill="1" applyFont="1" applyNumberFormat="1">
      <alignment horizontal="center" vertical="bottom"/>
    </xf>
    <xf borderId="1" fillId="6" fontId="2" numFmtId="165" xfId="0" applyAlignment="1" applyBorder="1" applyFont="1" applyNumberFormat="1">
      <alignment horizontal="center" vertical="bottom"/>
    </xf>
    <xf borderId="3" fillId="0" fontId="2" numFmtId="165" xfId="0" applyAlignment="1" applyBorder="1" applyFont="1" applyNumberFormat="1">
      <alignment horizontal="right" vertical="bottom"/>
    </xf>
    <xf borderId="1" fillId="3" fontId="2" numFmtId="165" xfId="0" applyAlignment="1" applyBorder="1" applyFont="1" applyNumberFormat="1">
      <alignment horizontal="right" vertical="bottom"/>
    </xf>
    <xf borderId="1" fillId="3" fontId="2" numFmtId="0" xfId="0" applyAlignment="1" applyBorder="1" applyFont="1">
      <alignment horizontal="center" vertical="bottom"/>
    </xf>
    <xf borderId="1" fillId="0" fontId="2" numFmtId="165" xfId="0" applyAlignment="1" applyBorder="1" applyFont="1" applyNumberFormat="1">
      <alignment horizontal="center" readingOrder="0" vertical="bottom"/>
    </xf>
    <xf borderId="1" fillId="0" fontId="2" numFmtId="165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1" fillId="7" fontId="2" numFmtId="165" xfId="0" applyAlignment="1" applyBorder="1" applyFont="1" applyNumberFormat="1">
      <alignment horizontal="center" readingOrder="0" vertical="bottom"/>
    </xf>
    <xf borderId="1" fillId="8" fontId="2" numFmtId="165" xfId="0" applyAlignment="1" applyBorder="1" applyFont="1" applyNumberFormat="1">
      <alignment horizontal="center" readingOrder="0" vertical="bottom"/>
    </xf>
    <xf borderId="1" fillId="9" fontId="2" numFmtId="165" xfId="0" applyAlignment="1" applyBorder="1" applyFont="1" applyNumberFormat="1">
      <alignment horizontal="center" readingOrder="0" vertical="bottom"/>
    </xf>
    <xf borderId="1" fillId="5" fontId="2" numFmtId="165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5" fillId="2" fontId="2" numFmtId="0" xfId="0" applyAlignment="1" applyBorder="1" applyFont="1">
      <alignment horizontal="center" vertical="bottom"/>
    </xf>
    <xf borderId="2" fillId="2" fontId="2" numFmtId="0" xfId="0" applyAlignment="1" applyBorder="1" applyFont="1">
      <alignment horizontal="center" readingOrder="0" vertical="bottom"/>
    </xf>
    <xf borderId="5" fillId="3" fontId="3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horizontal="center" readingOrder="0" vertical="bottom"/>
    </xf>
    <xf borderId="1" fillId="3" fontId="6" numFmtId="0" xfId="0" applyAlignment="1" applyBorder="1" applyFont="1">
      <alignment horizontal="center" readingOrder="0" vertical="bottom"/>
    </xf>
    <xf borderId="1" fillId="3" fontId="1" numFmtId="0" xfId="0" applyAlignment="1" applyBorder="1" applyFont="1">
      <alignment readingOrder="0" vertical="bottom"/>
    </xf>
    <xf borderId="1" fillId="3" fontId="2" numFmtId="0" xfId="0" applyAlignment="1" applyBorder="1" applyFont="1">
      <alignment horizontal="center" readingOrder="0" vertical="bottom"/>
    </xf>
    <xf borderId="1" fillId="3" fontId="4" numFmtId="0" xfId="0" applyAlignment="1" applyBorder="1" applyFont="1">
      <alignment horizontal="center" readingOrder="0" vertical="bottom"/>
    </xf>
    <xf borderId="5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horizontal="center" readingOrder="0" vertical="bottom"/>
    </xf>
    <xf borderId="1" fillId="3" fontId="3" numFmtId="0" xfId="0" applyAlignment="1" applyBorder="1" applyFont="1">
      <alignment readingOrder="0" vertical="bottom"/>
    </xf>
    <xf borderId="1" fillId="3" fontId="8" numFmtId="0" xfId="0" applyAlignment="1" applyBorder="1" applyFont="1">
      <alignment horizontal="center" readingOrder="0" vertical="bottom"/>
    </xf>
    <xf borderId="1" fillId="3" fontId="9" numFmtId="0" xfId="0" applyAlignment="1" applyBorder="1" applyFont="1">
      <alignment horizontal="center" readingOrder="0" vertical="bottom"/>
    </xf>
    <xf borderId="1" fillId="3" fontId="9" numFmtId="0" xfId="0" applyAlignment="1" applyBorder="1" applyFont="1">
      <alignment horizontal="center" vertical="bottom"/>
    </xf>
    <xf borderId="1" fillId="3" fontId="1" numFmtId="165" xfId="0" applyAlignment="1" applyBorder="1" applyFont="1" applyNumberFormat="1">
      <alignment vertical="bottom"/>
    </xf>
    <xf borderId="5" fillId="3" fontId="7" numFmtId="165" xfId="0" applyAlignment="1" applyBorder="1" applyFont="1" applyNumberFormat="1">
      <alignment horizontal="center" vertical="bottom"/>
    </xf>
    <xf borderId="1" fillId="3" fontId="7" numFmtId="165" xfId="0" applyAlignment="1" applyBorder="1" applyFont="1" applyNumberFormat="1">
      <alignment horizontal="center" vertical="bottom"/>
    </xf>
    <xf borderId="1" fillId="3" fontId="7" numFmtId="165" xfId="0" applyAlignment="1" applyBorder="1" applyFont="1" applyNumberFormat="1">
      <alignment horizontal="center" readingOrder="0" vertical="bottom"/>
    </xf>
    <xf borderId="5" fillId="7" fontId="10" numFmtId="165" xfId="0" applyAlignment="1" applyBorder="1" applyFont="1" applyNumberFormat="1">
      <alignment horizontal="center" vertical="bottom"/>
    </xf>
    <xf borderId="1" fillId="7" fontId="10" numFmtId="165" xfId="0" applyAlignment="1" applyBorder="1" applyFont="1" applyNumberFormat="1">
      <alignment horizontal="center" vertical="bottom"/>
    </xf>
    <xf borderId="1" fillId="7" fontId="9" numFmtId="0" xfId="0" applyAlignment="1" applyBorder="1" applyFont="1">
      <alignment horizontal="center" vertical="bottom"/>
    </xf>
    <xf borderId="2" fillId="7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164" xfId="0" applyAlignment="1" applyBorder="1" applyFont="1" applyNumberFormat="1">
      <alignment horizontal="center" vertical="bottom"/>
    </xf>
    <xf borderId="0" fillId="0" fontId="11" numFmtId="0" xfId="0" applyAlignment="1" applyFont="1">
      <alignment readingOrder="0"/>
    </xf>
    <xf borderId="3" fillId="0" fontId="12" numFmtId="0" xfId="0" applyAlignment="1" applyBorder="1" applyFont="1">
      <alignment horizontal="center" readingOrder="0"/>
    </xf>
    <xf borderId="3" fillId="0" fontId="12" numFmtId="0" xfId="0" applyAlignment="1" applyBorder="1" applyFont="1">
      <alignment horizontal="center"/>
    </xf>
    <xf borderId="3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2" fillId="0" fontId="3" numFmtId="165" xfId="0" applyAlignment="1" applyBorder="1" applyFont="1" applyNumberFormat="1">
      <alignment horizontal="center" vertical="bottom"/>
    </xf>
    <xf borderId="2" fillId="0" fontId="3" numFmtId="164" xfId="0" applyAlignment="1" applyBorder="1" applyFont="1" applyNumberFormat="1">
      <alignment horizontal="center" vertical="bottom"/>
    </xf>
    <xf borderId="2" fillId="0" fontId="3" numFmtId="0" xfId="0" applyAlignment="1" applyBorder="1" applyFont="1">
      <alignment horizontal="center" readingOrder="0" vertical="bottom"/>
    </xf>
    <xf borderId="3" fillId="0" fontId="12" numFmtId="165" xfId="0" applyAlignment="1" applyBorder="1" applyFont="1" applyNumberFormat="1">
      <alignment horizontal="center"/>
    </xf>
    <xf borderId="3" fillId="0" fontId="12" numFmtId="164" xfId="0" applyAlignment="1" applyBorder="1" applyFont="1" applyNumberFormat="1">
      <alignment horizontal="center" readingOrder="0"/>
    </xf>
    <xf borderId="3" fillId="6" fontId="3" numFmtId="0" xfId="0" applyAlignment="1" applyBorder="1" applyFont="1">
      <alignment horizontal="center" vertical="bottom"/>
    </xf>
    <xf borderId="2" fillId="7" fontId="3" numFmtId="0" xfId="0" applyAlignment="1" applyBorder="1" applyFont="1">
      <alignment horizontal="center" readingOrder="0" vertical="bottom"/>
    </xf>
    <xf borderId="2" fillId="6" fontId="3" numFmtId="0" xfId="0" applyAlignment="1" applyBorder="1" applyFont="1">
      <alignment horizontal="center" vertical="bottom"/>
    </xf>
    <xf borderId="2" fillId="6" fontId="3" numFmtId="165" xfId="0" applyAlignment="1" applyBorder="1" applyFont="1" applyNumberFormat="1">
      <alignment horizontal="center" vertical="bottom"/>
    </xf>
    <xf borderId="2" fillId="6" fontId="3" numFmtId="164" xfId="0" applyAlignment="1" applyBorder="1" applyFont="1" applyNumberFormat="1">
      <alignment horizontal="center" vertical="bottom"/>
    </xf>
    <xf borderId="5" fillId="6" fontId="3" numFmtId="0" xfId="0" applyAlignment="1" applyBorder="1" applyFont="1">
      <alignment horizontal="center" vertical="bottom"/>
    </xf>
    <xf borderId="1" fillId="7" fontId="3" numFmtId="0" xfId="0" applyAlignment="1" applyBorder="1" applyFont="1">
      <alignment horizontal="center" readingOrder="0" vertical="bottom"/>
    </xf>
    <xf borderId="1" fillId="6" fontId="3" numFmtId="0" xfId="0" applyAlignment="1" applyBorder="1" applyFont="1">
      <alignment horizontal="center" vertical="bottom"/>
    </xf>
    <xf borderId="1" fillId="6" fontId="3" numFmtId="165" xfId="0" applyAlignment="1" applyBorder="1" applyFont="1" applyNumberFormat="1">
      <alignment horizontal="center" vertical="bottom"/>
    </xf>
    <xf borderId="1" fillId="6" fontId="3" numFmtId="164" xfId="0" applyAlignment="1" applyBorder="1" applyFont="1" applyNumberFormat="1">
      <alignment horizontal="center" vertical="bottom"/>
    </xf>
    <xf borderId="3" fillId="8" fontId="3" numFmtId="0" xfId="0" applyAlignment="1" applyBorder="1" applyFont="1">
      <alignment horizontal="center" vertical="bottom"/>
    </xf>
    <xf borderId="2" fillId="8" fontId="3" numFmtId="0" xfId="0" applyAlignment="1" applyBorder="1" applyFont="1">
      <alignment horizontal="center" readingOrder="0" vertical="bottom"/>
    </xf>
    <xf borderId="2" fillId="8" fontId="3" numFmtId="0" xfId="0" applyAlignment="1" applyBorder="1" applyFont="1">
      <alignment horizontal="center" vertical="bottom"/>
    </xf>
    <xf borderId="2" fillId="8" fontId="3" numFmtId="165" xfId="0" applyAlignment="1" applyBorder="1" applyFont="1" applyNumberFormat="1">
      <alignment horizontal="center" vertical="bottom"/>
    </xf>
    <xf borderId="2" fillId="0" fontId="1" numFmtId="0" xfId="0" applyAlignment="1" applyBorder="1" applyFont="1">
      <alignment readingOrder="0" vertical="bottom"/>
    </xf>
    <xf borderId="3" fillId="6" fontId="12" numFmtId="0" xfId="0" applyAlignment="1" applyBorder="1" applyFont="1">
      <alignment horizontal="center" readingOrder="0"/>
    </xf>
    <xf borderId="3" fillId="6" fontId="12" numFmtId="165" xfId="0" applyAlignment="1" applyBorder="1" applyFont="1" applyNumberFormat="1">
      <alignment horizontal="center"/>
    </xf>
    <xf borderId="3" fillId="6" fontId="12" numFmtId="164" xfId="0" applyAlignment="1" applyBorder="1" applyFont="1" applyNumberFormat="1">
      <alignment horizontal="center" readingOrder="0"/>
    </xf>
    <xf borderId="3" fillId="6" fontId="12" numFmtId="0" xfId="0" applyAlignment="1" applyBorder="1" applyFont="1">
      <alignment horizontal="center"/>
    </xf>
    <xf borderId="3" fillId="0" fontId="12" numFmtId="166" xfId="0" applyAlignment="1" applyBorder="1" applyFont="1" applyNumberFormat="1">
      <alignment horizontal="center" readingOrder="0"/>
    </xf>
    <xf borderId="3" fillId="0" fontId="12" numFmtId="165" xfId="0" applyAlignment="1" applyBorder="1" applyFont="1" applyNumberFormat="1">
      <alignment horizontal="center" readingOrder="0"/>
    </xf>
    <xf borderId="3" fillId="0" fontId="12" numFmtId="167" xfId="0" applyAlignment="1" applyBorder="1" applyFont="1" applyNumberFormat="1">
      <alignment horizontal="center" readingOrder="0"/>
    </xf>
    <xf borderId="3" fillId="0" fontId="1" numFmtId="0" xfId="0" applyAlignment="1" applyBorder="1" applyFont="1">
      <alignment vertical="bottom"/>
    </xf>
    <xf borderId="2" fillId="5" fontId="2" numFmtId="0" xfId="0" applyAlignment="1" applyBorder="1" applyFont="1">
      <alignment horizontal="center" vertical="bottom"/>
    </xf>
    <xf borderId="2" fillId="6" fontId="2" numFmtId="0" xfId="0" applyAlignment="1" applyBorder="1" applyFont="1">
      <alignment horizontal="center" vertical="bottom"/>
    </xf>
    <xf borderId="0" fillId="0" fontId="12" numFmtId="0" xfId="0" applyFont="1"/>
    <xf borderId="0" fillId="0" fontId="12" numFmtId="0" xfId="0" applyAlignment="1" applyFont="1">
      <alignment readingOrder="0"/>
    </xf>
    <xf borderId="5" fillId="0" fontId="3" numFmtId="0" xfId="0" applyAlignment="1" applyBorder="1" applyFont="1">
      <alignment horizontal="center" readingOrder="0" vertical="bottom"/>
    </xf>
    <xf borderId="1" fillId="7" fontId="13" numFmtId="0" xfId="0" applyAlignment="1" applyBorder="1" applyFont="1">
      <alignment horizontal="center" vertical="bottom"/>
    </xf>
    <xf borderId="1" fillId="4" fontId="3" numFmtId="165" xfId="0" applyAlignment="1" applyBorder="1" applyFont="1" applyNumberFormat="1">
      <alignment horizontal="center" vertical="bottom"/>
    </xf>
    <xf borderId="1" fillId="7" fontId="3" numFmtId="165" xfId="0" applyAlignment="1" applyBorder="1" applyFont="1" applyNumberFormat="1">
      <alignment horizontal="center" vertical="bottom"/>
    </xf>
    <xf borderId="2" fillId="7" fontId="2" numFmtId="0" xfId="0" applyAlignment="1" applyBorder="1" applyFont="1">
      <alignment horizontal="center" vertical="bottom"/>
    </xf>
    <xf borderId="2" fillId="7" fontId="2" numFmtId="0" xfId="0" applyAlignment="1" applyBorder="1" applyFont="1">
      <alignment horizontal="center" readingOrder="0" vertical="bottom"/>
    </xf>
    <xf borderId="5" fillId="6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0.75"/>
    <col customWidth="1" min="3" max="3" width="27.13"/>
    <col customWidth="1" min="4" max="4" width="23.38"/>
    <col customWidth="1" min="5" max="5" width="24.5"/>
    <col customWidth="1" min="6" max="6" width="20.75"/>
    <col customWidth="1" min="7" max="7" width="19.13"/>
    <col customWidth="1" min="8" max="8" width="22.25"/>
    <col customWidth="1" min="9" max="9" width="16.88"/>
    <col customWidth="1" min="11" max="11" width="25.75"/>
    <col customWidth="1" min="12" max="12" width="21.88"/>
    <col customWidth="1" min="13" max="13" width="39.0"/>
    <col customWidth="1" min="14" max="14" width="30.38"/>
    <col customWidth="1" min="15" max="15" width="37.38"/>
    <col customWidth="1" min="16" max="16" width="206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3" t="s">
        <v>7</v>
      </c>
      <c r="J1" s="4"/>
      <c r="K1" s="5" t="s">
        <v>8</v>
      </c>
      <c r="L1" s="6" t="s">
        <v>9</v>
      </c>
      <c r="M1" s="7" t="s">
        <v>10</v>
      </c>
      <c r="N1" s="7" t="s">
        <v>11</v>
      </c>
      <c r="O1" s="8"/>
      <c r="P1" s="8"/>
      <c r="Q1" s="8"/>
    </row>
    <row r="2">
      <c r="A2" s="9" t="s">
        <v>12</v>
      </c>
      <c r="B2" s="10">
        <v>44835.0</v>
      </c>
      <c r="C2" s="11">
        <v>0.0</v>
      </c>
      <c r="D2" s="11">
        <v>50000.0</v>
      </c>
      <c r="E2" s="12"/>
      <c r="F2" s="12"/>
      <c r="G2" s="12"/>
      <c r="H2" s="12"/>
      <c r="I2" s="13">
        <v>1.0</v>
      </c>
      <c r="J2" s="14"/>
      <c r="K2" s="15">
        <v>80000.0</v>
      </c>
      <c r="L2" s="16">
        <v>0.0</v>
      </c>
      <c r="M2" s="17">
        <f>H33/I33</f>
        <v>17445.41935</v>
      </c>
      <c r="N2" s="17">
        <f>D33/I33</f>
        <v>61967.74194</v>
      </c>
      <c r="O2" s="8"/>
      <c r="P2" s="8"/>
      <c r="Q2" s="8"/>
    </row>
    <row r="3">
      <c r="A3" s="9" t="s">
        <v>13</v>
      </c>
      <c r="B3" s="10">
        <v>44836.0</v>
      </c>
      <c r="C3" s="11">
        <v>0.0</v>
      </c>
      <c r="D3" s="11">
        <v>51000.0</v>
      </c>
      <c r="E3" s="12"/>
      <c r="F3" s="12"/>
      <c r="G3" s="12"/>
      <c r="H3" s="12"/>
      <c r="I3" s="13">
        <v>1.0</v>
      </c>
      <c r="J3" s="14"/>
      <c r="K3" s="15">
        <v>80000.0</v>
      </c>
      <c r="L3" s="18">
        <v>0.0</v>
      </c>
      <c r="M3" s="19"/>
      <c r="N3" s="19"/>
      <c r="O3" s="8"/>
      <c r="P3" s="8"/>
      <c r="Q3" s="20"/>
    </row>
    <row r="4">
      <c r="A4" s="9" t="s">
        <v>14</v>
      </c>
      <c r="B4" s="10">
        <v>44837.0</v>
      </c>
      <c r="C4" s="11">
        <v>0.0</v>
      </c>
      <c r="D4" s="11">
        <v>90000.0</v>
      </c>
      <c r="E4" s="12"/>
      <c r="F4" s="12"/>
      <c r="G4" s="12"/>
      <c r="H4" s="12"/>
      <c r="I4" s="13">
        <v>1.0</v>
      </c>
      <c r="J4" s="14"/>
      <c r="K4" s="15">
        <v>80000.0</v>
      </c>
      <c r="L4" s="18">
        <v>0.0</v>
      </c>
      <c r="M4" s="21" t="s">
        <v>15</v>
      </c>
      <c r="N4" s="22" t="s">
        <v>16</v>
      </c>
      <c r="O4" s="8"/>
      <c r="P4" s="19"/>
      <c r="Q4" s="19"/>
    </row>
    <row r="5">
      <c r="A5" s="9" t="s">
        <v>17</v>
      </c>
      <c r="B5" s="10">
        <v>44838.0</v>
      </c>
      <c r="C5" s="11">
        <v>55000.0</v>
      </c>
      <c r="D5" s="11">
        <v>120000.0</v>
      </c>
      <c r="E5" s="12"/>
      <c r="F5" s="12"/>
      <c r="G5" s="12"/>
      <c r="H5" s="12"/>
      <c r="I5" s="13">
        <v>1.0</v>
      </c>
      <c r="J5" s="14"/>
      <c r="K5" s="15">
        <v>80000.0</v>
      </c>
      <c r="L5" s="23">
        <v>55000.0</v>
      </c>
      <c r="M5" s="24">
        <f>E33/I33</f>
        <v>29074.40323</v>
      </c>
      <c r="N5" s="25">
        <v>80000.0</v>
      </c>
      <c r="O5" s="19"/>
      <c r="P5" s="19"/>
      <c r="Q5" s="19"/>
    </row>
    <row r="6">
      <c r="A6" s="9" t="s">
        <v>18</v>
      </c>
      <c r="B6" s="10">
        <v>44839.0</v>
      </c>
      <c r="C6" s="11">
        <v>80000.0</v>
      </c>
      <c r="D6" s="11">
        <v>140000.0</v>
      </c>
      <c r="E6" s="12"/>
      <c r="F6" s="12"/>
      <c r="G6" s="12"/>
      <c r="H6" s="12"/>
      <c r="I6" s="13">
        <v>1.0</v>
      </c>
      <c r="J6" s="14"/>
      <c r="K6" s="15">
        <v>80000.0</v>
      </c>
      <c r="L6" s="23">
        <v>80000.0</v>
      </c>
      <c r="M6" s="19" t="s">
        <v>19</v>
      </c>
      <c r="N6" s="19"/>
      <c r="O6" s="19"/>
      <c r="P6" s="19"/>
      <c r="Q6" s="19"/>
    </row>
    <row r="7">
      <c r="A7" s="9" t="s">
        <v>20</v>
      </c>
      <c r="B7" s="10">
        <v>44840.0</v>
      </c>
      <c r="C7" s="11">
        <v>40000.0</v>
      </c>
      <c r="D7" s="11">
        <v>210000.0</v>
      </c>
      <c r="E7" s="12"/>
      <c r="F7" s="12"/>
      <c r="G7" s="12"/>
      <c r="H7" s="12"/>
      <c r="I7" s="13">
        <v>1.0</v>
      </c>
      <c r="J7" s="14"/>
      <c r="K7" s="15">
        <v>80000.0</v>
      </c>
      <c r="L7" s="23">
        <v>40000.0</v>
      </c>
      <c r="M7" s="19"/>
      <c r="N7" s="19"/>
      <c r="O7" s="19"/>
      <c r="P7" s="19"/>
      <c r="Q7" s="19"/>
    </row>
    <row r="8">
      <c r="A8" s="9" t="s">
        <v>21</v>
      </c>
      <c r="B8" s="10">
        <v>44841.0</v>
      </c>
      <c r="C8" s="11">
        <v>95000.0</v>
      </c>
      <c r="D8" s="11">
        <v>60000.0</v>
      </c>
      <c r="E8" s="12"/>
      <c r="F8" s="12"/>
      <c r="G8" s="12"/>
      <c r="H8" s="12"/>
      <c r="I8" s="13">
        <v>1.0</v>
      </c>
      <c r="J8" s="14"/>
      <c r="K8" s="15">
        <v>80000.0</v>
      </c>
      <c r="L8" s="23">
        <v>95000.0</v>
      </c>
      <c r="M8" s="26" t="s">
        <v>22</v>
      </c>
      <c r="N8" s="26" t="s">
        <v>23</v>
      </c>
      <c r="O8" s="27" t="s">
        <v>24</v>
      </c>
      <c r="P8" s="28" t="s">
        <v>25</v>
      </c>
      <c r="Q8" s="19"/>
    </row>
    <row r="9">
      <c r="A9" s="9" t="s">
        <v>12</v>
      </c>
      <c r="B9" s="10">
        <v>44842.0</v>
      </c>
      <c r="C9" s="11">
        <v>55000.0</v>
      </c>
      <c r="D9" s="11">
        <v>52000.0</v>
      </c>
      <c r="E9" s="12"/>
      <c r="F9" s="12"/>
      <c r="G9" s="12"/>
      <c r="H9" s="12"/>
      <c r="I9" s="13">
        <v>1.0</v>
      </c>
      <c r="J9" s="14"/>
      <c r="K9" s="15">
        <v>80000.0</v>
      </c>
      <c r="L9" s="23">
        <v>55000.0</v>
      </c>
      <c r="M9" s="22">
        <f>D33+N11-N9-N12-N14-N15-E33-'Salaires '!K30-N16</f>
        <v>348693.5</v>
      </c>
      <c r="N9" s="17">
        <f>P9+O9</f>
        <v>87000</v>
      </c>
      <c r="O9" s="29"/>
      <c r="P9" s="30">
        <v>87000.0</v>
      </c>
      <c r="Q9" s="31"/>
    </row>
    <row r="10">
      <c r="A10" s="9" t="s">
        <v>13</v>
      </c>
      <c r="B10" s="10">
        <v>44843.0</v>
      </c>
      <c r="C10" s="11">
        <v>55000.0</v>
      </c>
      <c r="D10" s="11">
        <v>42000.0</v>
      </c>
      <c r="E10" s="12"/>
      <c r="F10" s="12"/>
      <c r="G10" s="12"/>
      <c r="H10" s="12"/>
      <c r="I10" s="13">
        <v>1.0</v>
      </c>
      <c r="J10" s="14"/>
      <c r="K10" s="15">
        <v>80000.0</v>
      </c>
      <c r="L10" s="23">
        <v>55000.0</v>
      </c>
      <c r="M10" s="19"/>
      <c r="N10" s="19" t="s">
        <v>26</v>
      </c>
      <c r="O10" s="31"/>
      <c r="P10" s="32" t="s">
        <v>27</v>
      </c>
      <c r="Q10" s="19"/>
    </row>
    <row r="11">
      <c r="A11" s="9" t="s">
        <v>14</v>
      </c>
      <c r="B11" s="10">
        <v>44844.0</v>
      </c>
      <c r="C11" s="11">
        <v>100000.0</v>
      </c>
      <c r="D11" s="11">
        <v>35000.0</v>
      </c>
      <c r="E11" s="12"/>
      <c r="F11" s="12"/>
      <c r="G11" s="12"/>
      <c r="H11" s="12"/>
      <c r="I11" s="13">
        <v>1.0</v>
      </c>
      <c r="J11" s="14"/>
      <c r="K11" s="15">
        <v>80000.0</v>
      </c>
      <c r="L11" s="23">
        <v>100000.0</v>
      </c>
      <c r="M11" s="33" t="s">
        <v>28</v>
      </c>
      <c r="N11" s="25">
        <v>1020000.0</v>
      </c>
      <c r="O11" s="31"/>
      <c r="P11" s="32" t="s">
        <v>29</v>
      </c>
      <c r="Q11" s="19"/>
    </row>
    <row r="12">
      <c r="A12" s="9" t="s">
        <v>17</v>
      </c>
      <c r="B12" s="10">
        <v>44845.0</v>
      </c>
      <c r="C12" s="11">
        <v>23000.0</v>
      </c>
      <c r="D12" s="11">
        <v>32000.0</v>
      </c>
      <c r="E12" s="12"/>
      <c r="F12" s="12"/>
      <c r="G12" s="12"/>
      <c r="H12" s="12"/>
      <c r="I12" s="13">
        <v>1.0</v>
      </c>
      <c r="J12" s="14"/>
      <c r="K12" s="15">
        <v>80000.0</v>
      </c>
      <c r="L12" s="23">
        <v>23000.0</v>
      </c>
      <c r="M12" s="32" t="s">
        <v>30</v>
      </c>
      <c r="N12" s="30">
        <v>270000.0</v>
      </c>
      <c r="O12" s="8"/>
      <c r="P12" s="34"/>
      <c r="Q12" s="35"/>
    </row>
    <row r="13">
      <c r="A13" s="9" t="s">
        <v>18</v>
      </c>
      <c r="B13" s="10">
        <v>44846.0</v>
      </c>
      <c r="C13" s="11">
        <v>48000.0</v>
      </c>
      <c r="D13" s="11">
        <v>45000.0</v>
      </c>
      <c r="E13" s="12"/>
      <c r="F13" s="12"/>
      <c r="G13" s="12"/>
      <c r="H13" s="12"/>
      <c r="I13" s="13">
        <v>1.0</v>
      </c>
      <c r="J13" s="14"/>
      <c r="K13" s="15">
        <v>80000.0</v>
      </c>
      <c r="L13" s="23">
        <v>48000.0</v>
      </c>
      <c r="M13" s="36"/>
      <c r="N13" s="37" t="s">
        <v>31</v>
      </c>
      <c r="O13" s="8"/>
      <c r="P13" s="34" t="s">
        <v>32</v>
      </c>
      <c r="Q13" s="35"/>
    </row>
    <row r="14">
      <c r="A14" s="9" t="s">
        <v>20</v>
      </c>
      <c r="B14" s="10">
        <v>44847.0</v>
      </c>
      <c r="C14" s="11">
        <v>26000.0</v>
      </c>
      <c r="D14" s="11">
        <v>80000.0</v>
      </c>
      <c r="E14" s="12"/>
      <c r="F14" s="12"/>
      <c r="G14" s="12"/>
      <c r="H14" s="12"/>
      <c r="I14" s="13">
        <v>1.0</v>
      </c>
      <c r="J14" s="14"/>
      <c r="K14" s="15">
        <v>80000.0</v>
      </c>
      <c r="L14" s="23">
        <v>26000.0</v>
      </c>
      <c r="M14" s="36" t="s">
        <v>33</v>
      </c>
      <c r="N14" s="38">
        <v>50000.0</v>
      </c>
      <c r="O14" s="8"/>
      <c r="P14" s="8"/>
      <c r="Q14" s="8"/>
    </row>
    <row r="15">
      <c r="A15" s="9" t="s">
        <v>21</v>
      </c>
      <c r="B15" s="10">
        <v>44848.0</v>
      </c>
      <c r="C15" s="11">
        <v>55000.0</v>
      </c>
      <c r="D15" s="11">
        <v>66000.0</v>
      </c>
      <c r="E15" s="12"/>
      <c r="F15" s="12"/>
      <c r="G15" s="12"/>
      <c r="H15" s="12"/>
      <c r="I15" s="13">
        <v>1.0</v>
      </c>
      <c r="J15" s="14"/>
      <c r="K15" s="15">
        <v>80000.0</v>
      </c>
      <c r="L15" s="23">
        <v>55000.0</v>
      </c>
      <c r="M15" s="39" t="s">
        <v>34</v>
      </c>
      <c r="N15" s="40">
        <v>442000.0</v>
      </c>
      <c r="O15" s="8"/>
      <c r="P15" s="8"/>
      <c r="Q15" s="8"/>
    </row>
    <row r="16">
      <c r="A16" s="9" t="s">
        <v>12</v>
      </c>
      <c r="B16" s="10">
        <v>44849.0</v>
      </c>
      <c r="C16" s="11">
        <v>60000.0</v>
      </c>
      <c r="D16" s="11">
        <v>78000.0</v>
      </c>
      <c r="E16" s="12"/>
      <c r="F16" s="12"/>
      <c r="G16" s="12"/>
      <c r="H16" s="12"/>
      <c r="I16" s="13">
        <v>1.0</v>
      </c>
      <c r="J16" s="14"/>
      <c r="K16" s="15">
        <v>80000.0</v>
      </c>
      <c r="L16" s="23">
        <v>60000.0</v>
      </c>
      <c r="M16" s="41" t="s">
        <v>35</v>
      </c>
      <c r="N16" s="42">
        <v>470000.0</v>
      </c>
      <c r="O16" s="43" t="s">
        <v>36</v>
      </c>
      <c r="P16" s="8"/>
      <c r="Q16" s="8"/>
    </row>
    <row r="17">
      <c r="A17" s="9" t="s">
        <v>13</v>
      </c>
      <c r="B17" s="10">
        <v>44850.0</v>
      </c>
      <c r="C17" s="11">
        <v>125000.0</v>
      </c>
      <c r="D17" s="11">
        <v>36000.0</v>
      </c>
      <c r="E17" s="12"/>
      <c r="F17" s="12"/>
      <c r="G17" s="12"/>
      <c r="H17" s="12"/>
      <c r="I17" s="13">
        <v>1.0</v>
      </c>
      <c r="J17" s="14"/>
      <c r="K17" s="15">
        <v>80000.0</v>
      </c>
      <c r="L17" s="23">
        <v>125000.0</v>
      </c>
      <c r="M17" s="44" t="s">
        <v>37</v>
      </c>
      <c r="N17" s="37"/>
      <c r="O17" s="8"/>
      <c r="P17" s="8"/>
      <c r="Q17" s="8"/>
    </row>
    <row r="18">
      <c r="A18" s="9" t="s">
        <v>14</v>
      </c>
      <c r="B18" s="10">
        <v>44851.0</v>
      </c>
      <c r="C18" s="11">
        <v>50000.0</v>
      </c>
      <c r="D18" s="11">
        <v>30000.0</v>
      </c>
      <c r="E18" s="12"/>
      <c r="F18" s="12"/>
      <c r="G18" s="12"/>
      <c r="H18" s="12"/>
      <c r="I18" s="13">
        <v>1.0</v>
      </c>
      <c r="J18" s="14"/>
      <c r="K18" s="15">
        <v>80000.0</v>
      </c>
      <c r="L18" s="23">
        <v>50000.0</v>
      </c>
      <c r="M18" s="45">
        <f>D33-C33</f>
        <v>264000</v>
      </c>
      <c r="N18" s="37"/>
      <c r="O18" s="8"/>
      <c r="P18" s="8"/>
      <c r="Q18" s="8"/>
    </row>
    <row r="19">
      <c r="A19" s="9" t="s">
        <v>17</v>
      </c>
      <c r="B19" s="10">
        <v>44852.0</v>
      </c>
      <c r="C19" s="11">
        <v>46000.0</v>
      </c>
      <c r="D19" s="11">
        <v>40000.0</v>
      </c>
      <c r="E19" s="12"/>
      <c r="F19" s="12"/>
      <c r="G19" s="12"/>
      <c r="H19" s="12"/>
      <c r="I19" s="13">
        <v>1.0</v>
      </c>
      <c r="J19" s="14"/>
      <c r="K19" s="15">
        <v>80000.0</v>
      </c>
      <c r="L19" s="23">
        <v>46000.0</v>
      </c>
      <c r="M19" s="46" t="s">
        <v>38</v>
      </c>
      <c r="N19" s="37"/>
      <c r="O19" s="8"/>
      <c r="P19" s="8"/>
      <c r="Q19" s="8"/>
    </row>
    <row r="20">
      <c r="A20" s="9" t="s">
        <v>18</v>
      </c>
      <c r="B20" s="10">
        <v>44853.0</v>
      </c>
      <c r="C20" s="11">
        <v>55000.0</v>
      </c>
      <c r="D20" s="11">
        <v>54000.0</v>
      </c>
      <c r="E20" s="12"/>
      <c r="F20" s="12"/>
      <c r="G20" s="12"/>
      <c r="H20" s="12"/>
      <c r="I20" s="13">
        <v>1.0</v>
      </c>
      <c r="J20" s="14"/>
      <c r="K20" s="15">
        <v>80000.0</v>
      </c>
      <c r="L20" s="23">
        <v>55000.0</v>
      </c>
      <c r="M20" s="24">
        <f>D33-K33</f>
        <v>-559000</v>
      </c>
      <c r="N20" s="37"/>
      <c r="O20" s="8"/>
      <c r="P20" s="8"/>
      <c r="Q20" s="8"/>
    </row>
    <row r="21">
      <c r="A21" s="9" t="s">
        <v>20</v>
      </c>
      <c r="B21" s="10">
        <v>44854.0</v>
      </c>
      <c r="C21" s="11">
        <v>90000.0</v>
      </c>
      <c r="D21" s="11">
        <v>30000.0</v>
      </c>
      <c r="E21" s="12"/>
      <c r="F21" s="12"/>
      <c r="G21" s="12"/>
      <c r="H21" s="12"/>
      <c r="I21" s="13">
        <v>1.0</v>
      </c>
      <c r="J21" s="14"/>
      <c r="K21" s="15">
        <v>80000.0</v>
      </c>
      <c r="L21" s="23">
        <v>90000.0</v>
      </c>
      <c r="M21" s="19"/>
      <c r="N21" s="37"/>
      <c r="O21" s="8"/>
      <c r="P21" s="8"/>
      <c r="Q21" s="8"/>
    </row>
    <row r="22">
      <c r="A22" s="9" t="s">
        <v>21</v>
      </c>
      <c r="B22" s="10">
        <v>44855.0</v>
      </c>
      <c r="C22" s="11">
        <v>45000.0</v>
      </c>
      <c r="D22" s="11">
        <v>45000.0</v>
      </c>
      <c r="E22" s="12"/>
      <c r="F22" s="12"/>
      <c r="G22" s="12"/>
      <c r="H22" s="12"/>
      <c r="I22" s="13">
        <v>1.0</v>
      </c>
      <c r="J22" s="14"/>
      <c r="K22" s="15">
        <v>80000.0</v>
      </c>
      <c r="L22" s="23">
        <v>45000.0</v>
      </c>
      <c r="M22" s="19"/>
      <c r="N22" s="37"/>
      <c r="O22" s="8"/>
      <c r="P22" s="8"/>
      <c r="Q22" s="8"/>
    </row>
    <row r="23">
      <c r="A23" s="9" t="s">
        <v>12</v>
      </c>
      <c r="B23" s="10">
        <v>44856.0</v>
      </c>
      <c r="C23" s="11">
        <v>45000.0</v>
      </c>
      <c r="D23" s="11">
        <v>60000.0</v>
      </c>
      <c r="E23" s="12"/>
      <c r="F23" s="12"/>
      <c r="G23" s="12"/>
      <c r="H23" s="12"/>
      <c r="I23" s="13">
        <v>1.0</v>
      </c>
      <c r="J23" s="14"/>
      <c r="K23" s="15">
        <v>80000.0</v>
      </c>
      <c r="L23" s="23">
        <v>45000.0</v>
      </c>
      <c r="M23" s="33" t="s">
        <v>39</v>
      </c>
      <c r="N23" s="37"/>
      <c r="O23" s="8"/>
      <c r="P23" s="34" t="s">
        <v>40</v>
      </c>
      <c r="Q23" s="8"/>
    </row>
    <row r="24">
      <c r="A24" s="9" t="s">
        <v>13</v>
      </c>
      <c r="B24" s="10">
        <v>44857.0</v>
      </c>
      <c r="C24" s="11">
        <v>47000.0</v>
      </c>
      <c r="D24" s="11">
        <v>100000.0</v>
      </c>
      <c r="E24" s="12"/>
      <c r="F24" s="12"/>
      <c r="G24" s="12"/>
      <c r="H24" s="12"/>
      <c r="I24" s="13">
        <v>1.0</v>
      </c>
      <c r="J24" s="14"/>
      <c r="K24" s="15">
        <v>80000.0</v>
      </c>
      <c r="L24" s="23">
        <v>47000.0</v>
      </c>
      <c r="M24" s="24">
        <f>D6+D13+D20+D27</f>
        <v>294000</v>
      </c>
      <c r="N24" s="8"/>
      <c r="O24" s="8"/>
      <c r="P24" s="34" t="s">
        <v>41</v>
      </c>
      <c r="Q24" s="8"/>
    </row>
    <row r="25">
      <c r="A25" s="9" t="s">
        <v>14</v>
      </c>
      <c r="B25" s="10">
        <v>44858.0</v>
      </c>
      <c r="C25" s="11">
        <v>37000.0</v>
      </c>
      <c r="D25" s="11">
        <v>33000.0</v>
      </c>
      <c r="E25" s="12"/>
      <c r="F25" s="12"/>
      <c r="G25" s="12"/>
      <c r="H25" s="12"/>
      <c r="I25" s="13">
        <v>1.0</v>
      </c>
      <c r="J25" s="14"/>
      <c r="K25" s="15">
        <v>80000.0</v>
      </c>
      <c r="L25" s="23">
        <v>37000.0</v>
      </c>
      <c r="M25" s="24"/>
      <c r="N25" s="8"/>
      <c r="O25" s="8"/>
      <c r="P25" s="34" t="s">
        <v>42</v>
      </c>
      <c r="Q25" s="8"/>
    </row>
    <row r="26">
      <c r="A26" s="9" t="s">
        <v>17</v>
      </c>
      <c r="B26" s="10">
        <v>44859.0</v>
      </c>
      <c r="C26" s="11">
        <v>56000.0</v>
      </c>
      <c r="D26" s="11">
        <v>25000.0</v>
      </c>
      <c r="E26" s="12"/>
      <c r="F26" s="12"/>
      <c r="G26" s="12"/>
      <c r="H26" s="12"/>
      <c r="I26" s="13">
        <v>1.0</v>
      </c>
      <c r="J26" s="14"/>
      <c r="K26" s="15">
        <v>80000.0</v>
      </c>
      <c r="L26" s="23">
        <v>56000.0</v>
      </c>
      <c r="M26" s="47" t="s">
        <v>43</v>
      </c>
      <c r="N26" s="8"/>
      <c r="O26" s="8"/>
      <c r="P26" s="34" t="s">
        <v>44</v>
      </c>
      <c r="Q26" s="8"/>
    </row>
    <row r="27">
      <c r="A27" s="9" t="s">
        <v>18</v>
      </c>
      <c r="B27" s="10">
        <v>44860.0</v>
      </c>
      <c r="C27" s="11">
        <v>43000.0</v>
      </c>
      <c r="D27" s="11">
        <v>55000.0</v>
      </c>
      <c r="E27" s="12"/>
      <c r="F27" s="12"/>
      <c r="G27" s="12"/>
      <c r="H27" s="12"/>
      <c r="I27" s="13">
        <v>1.0</v>
      </c>
      <c r="J27" s="14"/>
      <c r="K27" s="15">
        <v>80000.0</v>
      </c>
      <c r="L27" s="23">
        <v>43000.0</v>
      </c>
      <c r="M27" s="25">
        <v>227500.0</v>
      </c>
      <c r="N27" s="35"/>
      <c r="O27" s="35"/>
      <c r="P27" s="34" t="s">
        <v>45</v>
      </c>
      <c r="Q27" s="8"/>
    </row>
    <row r="28">
      <c r="A28" s="9" t="s">
        <v>20</v>
      </c>
      <c r="B28" s="10">
        <v>44861.0</v>
      </c>
      <c r="C28" s="11">
        <v>62000.0</v>
      </c>
      <c r="D28" s="11">
        <v>50000.0</v>
      </c>
      <c r="E28" s="12"/>
      <c r="F28" s="12"/>
      <c r="G28" s="12"/>
      <c r="H28" s="12"/>
      <c r="I28" s="13">
        <v>1.0</v>
      </c>
      <c r="J28" s="14"/>
      <c r="K28" s="15">
        <v>80000.0</v>
      </c>
      <c r="L28" s="23">
        <v>62000.0</v>
      </c>
      <c r="M28" s="48" t="s">
        <v>46</v>
      </c>
      <c r="N28" s="8"/>
      <c r="O28" s="35"/>
      <c r="P28" s="49"/>
      <c r="Q28" s="8"/>
    </row>
    <row r="29">
      <c r="A29" s="9" t="s">
        <v>21</v>
      </c>
      <c r="B29" s="10">
        <v>44862.0</v>
      </c>
      <c r="C29" s="11">
        <v>72000.0</v>
      </c>
      <c r="D29" s="11">
        <v>70000.0</v>
      </c>
      <c r="E29" s="12"/>
      <c r="F29" s="12"/>
      <c r="G29" s="12"/>
      <c r="H29" s="12"/>
      <c r="I29" s="13">
        <v>1.0</v>
      </c>
      <c r="J29" s="14"/>
      <c r="K29" s="15">
        <v>80000.0</v>
      </c>
      <c r="L29" s="23">
        <v>72000.0</v>
      </c>
      <c r="M29" s="24">
        <f>M9-M27</f>
        <v>121193.5</v>
      </c>
      <c r="N29" s="8"/>
      <c r="O29" s="35"/>
      <c r="P29" s="49"/>
      <c r="Q29" s="8"/>
    </row>
    <row r="30">
      <c r="A30" s="9" t="s">
        <v>12</v>
      </c>
      <c r="B30" s="10">
        <v>44863.0</v>
      </c>
      <c r="C30" s="11">
        <v>120000.0</v>
      </c>
      <c r="D30" s="11">
        <v>68000.0</v>
      </c>
      <c r="E30" s="12"/>
      <c r="F30" s="12"/>
      <c r="G30" s="12"/>
      <c r="H30" s="12"/>
      <c r="I30" s="13">
        <v>1.0</v>
      </c>
      <c r="J30" s="14"/>
      <c r="K30" s="15">
        <v>80000.0</v>
      </c>
      <c r="L30" s="50">
        <v>120000.0</v>
      </c>
      <c r="M30" s="8"/>
      <c r="N30" s="8"/>
      <c r="O30" s="8"/>
      <c r="P30" s="49"/>
      <c r="Q30" s="8"/>
    </row>
    <row r="31">
      <c r="A31" s="9" t="s">
        <v>13</v>
      </c>
      <c r="B31" s="10">
        <v>44864.0</v>
      </c>
      <c r="C31" s="11">
        <v>72000.0</v>
      </c>
      <c r="D31" s="11">
        <v>21000.0</v>
      </c>
      <c r="E31" s="12"/>
      <c r="F31" s="12"/>
      <c r="G31" s="12"/>
      <c r="H31" s="12"/>
      <c r="I31" s="13">
        <v>1.0</v>
      </c>
      <c r="J31" s="14"/>
      <c r="K31" s="15">
        <v>80000.0</v>
      </c>
      <c r="L31" s="50">
        <v>72000.0</v>
      </c>
      <c r="M31" s="8"/>
      <c r="N31" s="8"/>
      <c r="O31" s="8"/>
      <c r="P31" s="8"/>
      <c r="Q31" s="8"/>
    </row>
    <row r="32">
      <c r="A32" s="9" t="s">
        <v>14</v>
      </c>
      <c r="B32" s="10">
        <v>44865.0</v>
      </c>
      <c r="C32" s="11">
        <v>0.0</v>
      </c>
      <c r="D32" s="11">
        <v>53000.0</v>
      </c>
      <c r="E32" s="12"/>
      <c r="F32" s="12"/>
      <c r="G32" s="12"/>
      <c r="H32" s="12"/>
      <c r="I32" s="51">
        <v>1.0</v>
      </c>
      <c r="J32" s="14"/>
      <c r="K32" s="15">
        <v>80000.0</v>
      </c>
      <c r="L32" s="50">
        <v>0.0</v>
      </c>
      <c r="M32" s="8"/>
      <c r="N32" s="8"/>
      <c r="O32" s="8"/>
      <c r="P32" s="8"/>
      <c r="Q32" s="8"/>
    </row>
    <row r="33">
      <c r="A33" s="52"/>
      <c r="B33" s="19"/>
      <c r="C33" s="17">
        <f t="shared" ref="C33:D33" si="1">SUM(C2:C32)</f>
        <v>1657000</v>
      </c>
      <c r="D33" s="22">
        <f t="shared" si="1"/>
        <v>1921000</v>
      </c>
      <c r="E33" s="53">
        <f>'Les Charges '!H394*1</f>
        <v>901306.5</v>
      </c>
      <c r="F33" s="54">
        <f>'Salaires '!J30*1</f>
        <v>368885.5</v>
      </c>
      <c r="G33" s="55">
        <v>110000.0</v>
      </c>
      <c r="H33" s="17">
        <f>D33-E33-F33-G33</f>
        <v>540808</v>
      </c>
      <c r="I33" s="5">
        <f>SUM(I2:I32)</f>
        <v>31</v>
      </c>
      <c r="J33" s="8"/>
      <c r="K33" s="56">
        <f t="shared" ref="K33:L33" si="2">SUM(K2:K32)</f>
        <v>2480000</v>
      </c>
      <c r="L33" s="57">
        <f t="shared" si="2"/>
        <v>1657000</v>
      </c>
      <c r="M33" s="8"/>
      <c r="N33" s="8"/>
      <c r="O33" s="8"/>
      <c r="P33" s="8"/>
      <c r="Q33" s="8"/>
    </row>
    <row r="34">
      <c r="A34" s="52"/>
      <c r="B34" s="19"/>
      <c r="C34" s="19"/>
      <c r="D34" s="31">
        <f>D33-C33</f>
        <v>264000</v>
      </c>
      <c r="E34" s="31">
        <f t="shared" ref="E34:F34" si="3">E33-E36</f>
        <v>199306.5</v>
      </c>
      <c r="F34" s="31">
        <f t="shared" si="3"/>
        <v>63885.5</v>
      </c>
      <c r="G34" s="19"/>
      <c r="H34" s="19"/>
      <c r="I34" s="8"/>
      <c r="J34" s="8"/>
      <c r="K34" s="8"/>
      <c r="L34" s="35"/>
      <c r="M34" s="8"/>
      <c r="N34" s="8"/>
      <c r="O34" s="8"/>
      <c r="P34" s="8"/>
      <c r="Q34" s="8"/>
    </row>
    <row r="35">
      <c r="A35" s="19"/>
      <c r="B35" s="19"/>
      <c r="C35" s="58" t="s">
        <v>8</v>
      </c>
      <c r="D35" s="59">
        <v>2475000.0</v>
      </c>
      <c r="E35" s="59">
        <v>900000.0</v>
      </c>
      <c r="F35" s="59">
        <v>465000.0</v>
      </c>
      <c r="G35" s="60">
        <v>110000.0</v>
      </c>
      <c r="H35" s="59">
        <v>1000000.0</v>
      </c>
      <c r="I35" s="8"/>
      <c r="J35" s="8"/>
      <c r="K35" s="8"/>
      <c r="L35" s="8"/>
      <c r="M35" s="8"/>
      <c r="N35" s="8"/>
      <c r="O35" s="8"/>
      <c r="P35" s="8"/>
      <c r="Q35" s="8"/>
    </row>
    <row r="36">
      <c r="A36" s="52"/>
      <c r="B36" s="19"/>
      <c r="C36" s="61" t="s">
        <v>47</v>
      </c>
      <c r="D36" s="62">
        <v>1657000.0</v>
      </c>
      <c r="E36" s="63">
        <v>702000.0</v>
      </c>
      <c r="F36" s="64">
        <v>305000.0</v>
      </c>
      <c r="G36" s="55">
        <v>110000.0</v>
      </c>
      <c r="H36" s="65">
        <v>540000.0</v>
      </c>
      <c r="I36" s="8"/>
      <c r="J36" s="8"/>
      <c r="K36" s="8"/>
      <c r="L36" s="8"/>
      <c r="M36" s="8"/>
      <c r="N36" s="8"/>
      <c r="O36" s="8"/>
      <c r="P36" s="8"/>
      <c r="Q36" s="8"/>
    </row>
    <row r="37">
      <c r="A37" s="8"/>
      <c r="B37" s="19"/>
      <c r="C37" s="19"/>
      <c r="D37" s="19"/>
      <c r="E37" s="19"/>
      <c r="F37" s="19"/>
      <c r="G37" s="19"/>
      <c r="H37" s="19"/>
      <c r="I37" s="8"/>
      <c r="J37" s="8"/>
      <c r="K37" s="8"/>
      <c r="L37" s="8"/>
      <c r="M37" s="8"/>
      <c r="N37" s="8"/>
      <c r="O37" s="8"/>
      <c r="P37" s="8"/>
      <c r="Q37" s="8"/>
    </row>
    <row r="38">
      <c r="A38" s="19"/>
      <c r="B38" s="19"/>
      <c r="C38" s="19"/>
      <c r="D38" s="19"/>
      <c r="E38" s="19"/>
      <c r="F38" s="19"/>
      <c r="G38" s="19"/>
      <c r="H38" s="19"/>
      <c r="I38" s="8"/>
      <c r="J38" s="8"/>
      <c r="K38" s="8"/>
      <c r="L38" s="8"/>
      <c r="M38" s="8"/>
      <c r="N38" s="8"/>
      <c r="O38" s="8"/>
      <c r="P38" s="8"/>
      <c r="Q38" s="8"/>
    </row>
    <row r="39">
      <c r="A39" s="52"/>
      <c r="B39" s="19"/>
      <c r="C39" s="66" t="s">
        <v>48</v>
      </c>
      <c r="D39" s="60">
        <f t="shared" ref="D39:H39" si="4">D33-D36</f>
        <v>264000</v>
      </c>
      <c r="E39" s="60">
        <f t="shared" si="4"/>
        <v>199306.5</v>
      </c>
      <c r="F39" s="60">
        <f t="shared" si="4"/>
        <v>63885.5</v>
      </c>
      <c r="G39" s="60">
        <f t="shared" si="4"/>
        <v>0</v>
      </c>
      <c r="H39" s="60">
        <f t="shared" si="4"/>
        <v>808</v>
      </c>
      <c r="I39" s="8"/>
      <c r="J39" s="8"/>
      <c r="K39" s="8"/>
      <c r="L39" s="8"/>
      <c r="M39" s="8"/>
      <c r="N39" s="8"/>
      <c r="O39" s="8"/>
      <c r="P39" s="8"/>
      <c r="Q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2.13"/>
    <col customWidth="1" min="3" max="3" width="17.25"/>
    <col customWidth="1" min="4" max="5" width="15.0"/>
    <col customWidth="1" min="6" max="6" width="14.5"/>
    <col customWidth="1" min="7" max="7" width="15.13"/>
    <col customWidth="1" min="8" max="8" width="15.75"/>
    <col customWidth="1" min="9" max="9" width="15.63"/>
    <col customWidth="1" min="10" max="10" width="15.88"/>
    <col customWidth="1" min="11" max="11" width="15.5"/>
    <col customWidth="1" min="12" max="13" width="15.25"/>
    <col customWidth="1" min="14" max="15" width="15.13"/>
    <col customWidth="1" min="16" max="16" width="23.63"/>
    <col customWidth="1" min="17" max="17" width="15.13"/>
    <col customWidth="1" min="18" max="18" width="15.25"/>
    <col customWidth="1" min="19" max="19" width="39.13"/>
  </cols>
  <sheetData>
    <row r="1">
      <c r="A1" s="19"/>
      <c r="B1" s="2" t="s">
        <v>0</v>
      </c>
      <c r="C1" s="67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68" t="s">
        <v>57</v>
      </c>
      <c r="L1" s="2" t="s">
        <v>58</v>
      </c>
      <c r="M1" s="2" t="s">
        <v>59</v>
      </c>
      <c r="N1" s="68" t="s">
        <v>60</v>
      </c>
      <c r="O1" s="68" t="s">
        <v>61</v>
      </c>
      <c r="P1" s="68" t="s">
        <v>62</v>
      </c>
      <c r="Q1" s="2" t="s">
        <v>63</v>
      </c>
      <c r="R1" s="68" t="s">
        <v>64</v>
      </c>
      <c r="S1" s="2" t="s">
        <v>65</v>
      </c>
    </row>
    <row r="2">
      <c r="A2" s="9" t="s">
        <v>12</v>
      </c>
      <c r="B2" s="10">
        <v>44835.0</v>
      </c>
      <c r="C2" s="69">
        <v>0.0</v>
      </c>
      <c r="D2" s="70">
        <v>1.0</v>
      </c>
      <c r="E2" s="70">
        <v>1.0</v>
      </c>
      <c r="F2" s="71">
        <v>1.0</v>
      </c>
      <c r="G2" s="70">
        <v>1.0</v>
      </c>
      <c r="H2" s="70">
        <v>1.0</v>
      </c>
      <c r="I2" s="70">
        <v>1.0</v>
      </c>
      <c r="J2" s="70">
        <v>1.0</v>
      </c>
      <c r="K2" s="70">
        <v>0.0</v>
      </c>
      <c r="L2" s="70">
        <v>1.0</v>
      </c>
      <c r="M2" s="70">
        <v>1.0</v>
      </c>
      <c r="N2" s="70">
        <v>0.0</v>
      </c>
      <c r="O2" s="70">
        <v>0.0</v>
      </c>
      <c r="P2" s="70">
        <v>0.0</v>
      </c>
      <c r="Q2" s="70">
        <v>1.0</v>
      </c>
      <c r="R2" s="70">
        <v>0.0</v>
      </c>
      <c r="S2" s="72">
        <v>1.0</v>
      </c>
    </row>
    <row r="3">
      <c r="A3" s="9" t="s">
        <v>13</v>
      </c>
      <c r="B3" s="10">
        <v>44836.0</v>
      </c>
      <c r="C3" s="69">
        <v>0.0</v>
      </c>
      <c r="D3" s="70">
        <v>1.0</v>
      </c>
      <c r="E3" s="73">
        <v>1.0</v>
      </c>
      <c r="F3" s="70">
        <v>1.0</v>
      </c>
      <c r="G3" s="70">
        <v>1.0</v>
      </c>
      <c r="H3" s="70">
        <v>1.0</v>
      </c>
      <c r="I3" s="70">
        <v>0.0</v>
      </c>
      <c r="J3" s="70">
        <v>1.0</v>
      </c>
      <c r="K3" s="70">
        <v>0.5</v>
      </c>
      <c r="L3" s="70">
        <v>1.0</v>
      </c>
      <c r="M3" s="70">
        <v>1.0</v>
      </c>
      <c r="N3" s="70">
        <v>0.0</v>
      </c>
      <c r="O3" s="70">
        <v>0.0</v>
      </c>
      <c r="P3" s="70">
        <v>0.0</v>
      </c>
      <c r="Q3" s="70">
        <v>1.0</v>
      </c>
      <c r="R3" s="70">
        <v>0.0</v>
      </c>
      <c r="S3" s="12"/>
    </row>
    <row r="4">
      <c r="A4" s="9" t="s">
        <v>14</v>
      </c>
      <c r="B4" s="10">
        <v>44837.0</v>
      </c>
      <c r="C4" s="69">
        <v>1.25</v>
      </c>
      <c r="D4" s="70">
        <v>1.25</v>
      </c>
      <c r="E4" s="70">
        <v>1.0</v>
      </c>
      <c r="F4" s="70">
        <v>1.5</v>
      </c>
      <c r="G4" s="70">
        <v>1.25</v>
      </c>
      <c r="H4" s="70">
        <v>1.25</v>
      </c>
      <c r="I4" s="70">
        <v>1.0</v>
      </c>
      <c r="J4" s="70">
        <v>1.25</v>
      </c>
      <c r="K4" s="70">
        <v>0.0</v>
      </c>
      <c r="L4" s="70">
        <v>1.0</v>
      </c>
      <c r="M4" s="70">
        <v>1.0</v>
      </c>
      <c r="N4" s="70">
        <v>0.0</v>
      </c>
      <c r="O4" s="70">
        <v>0.0</v>
      </c>
      <c r="P4" s="70">
        <v>0.0</v>
      </c>
      <c r="Q4" s="70">
        <v>0.75</v>
      </c>
      <c r="R4" s="70">
        <v>0.0</v>
      </c>
      <c r="S4" s="12"/>
    </row>
    <row r="5">
      <c r="A5" s="9" t="s">
        <v>17</v>
      </c>
      <c r="B5" s="10">
        <v>44838.0</v>
      </c>
      <c r="C5" s="69">
        <v>1.0</v>
      </c>
      <c r="D5" s="70">
        <v>1.0</v>
      </c>
      <c r="E5" s="70">
        <v>1.0</v>
      </c>
      <c r="F5" s="70">
        <v>1.5</v>
      </c>
      <c r="G5" s="70">
        <v>1.0</v>
      </c>
      <c r="H5" s="70">
        <v>1.0</v>
      </c>
      <c r="I5" s="70">
        <v>1.0</v>
      </c>
      <c r="J5" s="70">
        <v>1.0</v>
      </c>
      <c r="K5" s="70">
        <v>0.0</v>
      </c>
      <c r="L5" s="70">
        <v>1.0</v>
      </c>
      <c r="M5" s="70">
        <v>1.0</v>
      </c>
      <c r="N5" s="70">
        <v>0.0</v>
      </c>
      <c r="O5" s="70">
        <v>0.0</v>
      </c>
      <c r="P5" s="70">
        <v>0.0</v>
      </c>
      <c r="Q5" s="70">
        <v>0.5</v>
      </c>
      <c r="R5" s="70">
        <v>0.0</v>
      </c>
      <c r="S5" s="12"/>
    </row>
    <row r="6">
      <c r="A6" s="9" t="s">
        <v>18</v>
      </c>
      <c r="B6" s="10">
        <v>44839.0</v>
      </c>
      <c r="C6" s="69">
        <v>1.5</v>
      </c>
      <c r="D6" s="70">
        <v>1.5</v>
      </c>
      <c r="E6" s="70">
        <v>1.0</v>
      </c>
      <c r="F6" s="70">
        <v>2.0</v>
      </c>
      <c r="G6" s="70">
        <v>1.0</v>
      </c>
      <c r="H6" s="70">
        <v>1.5</v>
      </c>
      <c r="I6" s="70">
        <v>1.0</v>
      </c>
      <c r="J6" s="70">
        <v>1.5</v>
      </c>
      <c r="K6" s="70">
        <v>0.0</v>
      </c>
      <c r="L6" s="70">
        <v>1.0</v>
      </c>
      <c r="M6" s="70">
        <v>1.0</v>
      </c>
      <c r="N6" s="70">
        <v>0.0</v>
      </c>
      <c r="O6" s="70">
        <v>0.0</v>
      </c>
      <c r="P6" s="70">
        <v>0.0</v>
      </c>
      <c r="Q6" s="70">
        <v>0.5</v>
      </c>
      <c r="R6" s="70">
        <v>0.0</v>
      </c>
      <c r="S6" s="12"/>
    </row>
    <row r="7">
      <c r="A7" s="9" t="s">
        <v>20</v>
      </c>
      <c r="B7" s="10">
        <v>44840.0</v>
      </c>
      <c r="C7" s="69">
        <v>2.0</v>
      </c>
      <c r="D7" s="70">
        <v>1.5</v>
      </c>
      <c r="E7" s="70">
        <v>1.0</v>
      </c>
      <c r="F7" s="70">
        <v>1.5</v>
      </c>
      <c r="G7" s="70">
        <v>0.0</v>
      </c>
      <c r="H7" s="70">
        <v>2.0</v>
      </c>
      <c r="I7" s="70">
        <v>1.0</v>
      </c>
      <c r="J7" s="70">
        <v>1.25</v>
      </c>
      <c r="K7" s="70">
        <v>0.0</v>
      </c>
      <c r="L7" s="70">
        <v>0.0</v>
      </c>
      <c r="M7" s="70">
        <v>1.0</v>
      </c>
      <c r="N7" s="70">
        <v>0.0</v>
      </c>
      <c r="O7" s="70">
        <v>0.0</v>
      </c>
      <c r="P7" s="70">
        <v>0.0</v>
      </c>
      <c r="Q7" s="70">
        <v>1.0</v>
      </c>
      <c r="R7" s="70">
        <v>0.0</v>
      </c>
      <c r="S7" s="12"/>
    </row>
    <row r="8">
      <c r="A8" s="9" t="s">
        <v>21</v>
      </c>
      <c r="B8" s="10">
        <v>44841.0</v>
      </c>
      <c r="C8" s="69">
        <v>2.0</v>
      </c>
      <c r="D8" s="70">
        <v>2.0</v>
      </c>
      <c r="E8" s="70">
        <v>1.0</v>
      </c>
      <c r="F8" s="70">
        <v>2.0</v>
      </c>
      <c r="G8" s="70">
        <v>0.0</v>
      </c>
      <c r="H8" s="70">
        <v>2.0</v>
      </c>
      <c r="I8" s="70">
        <v>1.0</v>
      </c>
      <c r="J8" s="70">
        <v>1.5</v>
      </c>
      <c r="K8" s="70">
        <v>1.0</v>
      </c>
      <c r="L8" s="70">
        <v>1.0</v>
      </c>
      <c r="M8" s="70">
        <v>1.0</v>
      </c>
      <c r="N8" s="70">
        <v>0.0</v>
      </c>
      <c r="O8" s="70">
        <v>0.0</v>
      </c>
      <c r="P8" s="70">
        <v>0.0</v>
      </c>
      <c r="Q8" s="70">
        <v>1.0</v>
      </c>
      <c r="R8" s="70">
        <v>4.0</v>
      </c>
      <c r="S8" s="72" t="s">
        <v>66</v>
      </c>
    </row>
    <row r="9">
      <c r="A9" s="9" t="s">
        <v>12</v>
      </c>
      <c r="B9" s="10">
        <v>44842.0</v>
      </c>
      <c r="C9" s="69">
        <v>1.0</v>
      </c>
      <c r="D9" s="70">
        <v>0.0</v>
      </c>
      <c r="E9" s="70">
        <v>1.0</v>
      </c>
      <c r="F9" s="70">
        <v>0.0</v>
      </c>
      <c r="G9" s="70">
        <v>1.0</v>
      </c>
      <c r="H9" s="70">
        <v>1.0</v>
      </c>
      <c r="I9" s="70">
        <v>1.0</v>
      </c>
      <c r="J9" s="70">
        <v>1.0</v>
      </c>
      <c r="K9" s="70">
        <v>0.5</v>
      </c>
      <c r="L9" s="70">
        <v>1.0</v>
      </c>
      <c r="M9" s="70">
        <v>0.0</v>
      </c>
      <c r="N9" s="70">
        <v>0.0</v>
      </c>
      <c r="O9" s="70">
        <v>0.0</v>
      </c>
      <c r="P9" s="70">
        <v>0.0</v>
      </c>
      <c r="Q9" s="70">
        <v>0.0</v>
      </c>
      <c r="R9" s="70">
        <v>0.0</v>
      </c>
      <c r="S9" s="12"/>
    </row>
    <row r="10">
      <c r="A10" s="9" t="s">
        <v>13</v>
      </c>
      <c r="B10" s="10">
        <v>44843.0</v>
      </c>
      <c r="C10" s="69">
        <v>1.0</v>
      </c>
      <c r="D10" s="74">
        <v>1.0</v>
      </c>
      <c r="E10" s="70">
        <v>1.0</v>
      </c>
      <c r="F10" s="70">
        <v>1.0</v>
      </c>
      <c r="G10" s="70">
        <v>1.0</v>
      </c>
      <c r="H10" s="70">
        <v>0.5</v>
      </c>
      <c r="I10" s="70">
        <v>1.0</v>
      </c>
      <c r="J10" s="70">
        <v>1.0</v>
      </c>
      <c r="K10" s="70">
        <v>0.0</v>
      </c>
      <c r="L10" s="70">
        <v>1.0</v>
      </c>
      <c r="M10" s="74">
        <v>1.0</v>
      </c>
      <c r="N10" s="70">
        <v>0.0</v>
      </c>
      <c r="O10" s="70">
        <v>0.0</v>
      </c>
      <c r="P10" s="70">
        <v>0.0</v>
      </c>
      <c r="Q10" s="70">
        <v>0.0</v>
      </c>
      <c r="R10" s="70">
        <v>0.0</v>
      </c>
      <c r="S10" s="12"/>
    </row>
    <row r="11">
      <c r="A11" s="9" t="s">
        <v>14</v>
      </c>
      <c r="B11" s="10">
        <v>44844.0</v>
      </c>
      <c r="C11" s="75">
        <v>1.0</v>
      </c>
      <c r="D11" s="76">
        <v>1.0</v>
      </c>
      <c r="E11" s="76">
        <v>1.0</v>
      </c>
      <c r="F11" s="76">
        <v>1.0</v>
      </c>
      <c r="G11" s="76">
        <v>1.0</v>
      </c>
      <c r="H11" s="76">
        <v>1.0</v>
      </c>
      <c r="I11" s="76">
        <v>0.5</v>
      </c>
      <c r="J11" s="76">
        <v>1.0</v>
      </c>
      <c r="K11" s="76">
        <v>0.0</v>
      </c>
      <c r="L11" s="76">
        <v>0.0</v>
      </c>
      <c r="M11" s="76">
        <v>1.0</v>
      </c>
      <c r="N11" s="76">
        <v>0.0</v>
      </c>
      <c r="O11" s="76">
        <v>0.0</v>
      </c>
      <c r="P11" s="76">
        <v>0.0</v>
      </c>
      <c r="Q11" s="76">
        <v>0.0</v>
      </c>
      <c r="R11" s="76">
        <v>0.0</v>
      </c>
      <c r="S11" s="12"/>
    </row>
    <row r="12">
      <c r="A12" s="9" t="s">
        <v>17</v>
      </c>
      <c r="B12" s="10">
        <v>44845.0</v>
      </c>
      <c r="C12" s="69">
        <v>1.0</v>
      </c>
      <c r="D12" s="70">
        <v>1.0</v>
      </c>
      <c r="E12" s="70">
        <v>1.0</v>
      </c>
      <c r="F12" s="70">
        <v>1.0</v>
      </c>
      <c r="G12" s="70">
        <v>1.0</v>
      </c>
      <c r="H12" s="70">
        <v>1.0</v>
      </c>
      <c r="I12" s="70">
        <v>1.0</v>
      </c>
      <c r="J12" s="70">
        <v>1.0</v>
      </c>
      <c r="K12" s="70">
        <v>1.0</v>
      </c>
      <c r="L12" s="70">
        <v>0.0</v>
      </c>
      <c r="M12" s="70">
        <v>1.0</v>
      </c>
      <c r="N12" s="70">
        <v>0.0</v>
      </c>
      <c r="O12" s="70">
        <v>0.0</v>
      </c>
      <c r="P12" s="70">
        <v>0.0</v>
      </c>
      <c r="Q12" s="70">
        <v>0.5</v>
      </c>
      <c r="R12" s="70">
        <v>0.0</v>
      </c>
      <c r="S12" s="12"/>
    </row>
    <row r="13">
      <c r="A13" s="9" t="s">
        <v>18</v>
      </c>
      <c r="B13" s="10">
        <v>44846.0</v>
      </c>
      <c r="C13" s="69">
        <v>1.0</v>
      </c>
      <c r="D13" s="70">
        <v>1.0</v>
      </c>
      <c r="E13" s="70">
        <v>1.0</v>
      </c>
      <c r="F13" s="70">
        <v>1.0</v>
      </c>
      <c r="G13" s="70">
        <v>0.0</v>
      </c>
      <c r="H13" s="70">
        <v>1.0</v>
      </c>
      <c r="I13" s="70">
        <v>1.0</v>
      </c>
      <c r="J13" s="70">
        <v>1.0</v>
      </c>
      <c r="K13" s="70">
        <v>1.0</v>
      </c>
      <c r="L13" s="70">
        <v>0.0</v>
      </c>
      <c r="M13" s="74">
        <v>1.0</v>
      </c>
      <c r="N13" s="70">
        <v>0.0</v>
      </c>
      <c r="O13" s="70">
        <v>0.0</v>
      </c>
      <c r="P13" s="70">
        <v>0.0</v>
      </c>
      <c r="Q13" s="70">
        <v>1.0</v>
      </c>
      <c r="R13" s="70">
        <v>0.0</v>
      </c>
      <c r="S13" s="12"/>
    </row>
    <row r="14">
      <c r="A14" s="9" t="s">
        <v>20</v>
      </c>
      <c r="B14" s="10">
        <v>44847.0</v>
      </c>
      <c r="C14" s="69">
        <v>0.0</v>
      </c>
      <c r="D14" s="70">
        <v>1.0</v>
      </c>
      <c r="E14" s="70">
        <v>1.0</v>
      </c>
      <c r="F14" s="70">
        <v>1.0</v>
      </c>
      <c r="G14" s="70">
        <v>1.0</v>
      </c>
      <c r="H14" s="70">
        <v>1.0</v>
      </c>
      <c r="I14" s="70">
        <v>1.0</v>
      </c>
      <c r="J14" s="70">
        <v>2.0</v>
      </c>
      <c r="K14" s="70">
        <v>0.0</v>
      </c>
      <c r="L14" s="70">
        <v>0.0</v>
      </c>
      <c r="M14" s="70">
        <v>1.0</v>
      </c>
      <c r="N14" s="70">
        <v>0.0</v>
      </c>
      <c r="O14" s="70">
        <v>0.0</v>
      </c>
      <c r="P14" s="70">
        <v>0.0</v>
      </c>
      <c r="Q14" s="70">
        <v>1.0</v>
      </c>
      <c r="R14" s="70">
        <v>0.0</v>
      </c>
      <c r="S14" s="12"/>
    </row>
    <row r="15">
      <c r="A15" s="9" t="s">
        <v>21</v>
      </c>
      <c r="B15" s="10">
        <v>44848.0</v>
      </c>
      <c r="C15" s="69">
        <v>0.0</v>
      </c>
      <c r="D15" s="70">
        <v>0.0</v>
      </c>
      <c r="E15" s="70">
        <v>1.0</v>
      </c>
      <c r="F15" s="70">
        <v>1.0</v>
      </c>
      <c r="G15" s="70">
        <v>1.0</v>
      </c>
      <c r="H15" s="70">
        <v>1.0</v>
      </c>
      <c r="I15" s="70">
        <v>0.0</v>
      </c>
      <c r="J15" s="70">
        <v>1.0</v>
      </c>
      <c r="K15" s="70">
        <v>1.0</v>
      </c>
      <c r="L15" s="70">
        <v>0.0</v>
      </c>
      <c r="M15" s="70">
        <v>0.0</v>
      </c>
      <c r="N15" s="70">
        <v>0.0</v>
      </c>
      <c r="O15" s="70">
        <v>0.0</v>
      </c>
      <c r="P15" s="70">
        <v>0.0</v>
      </c>
      <c r="Q15" s="70">
        <v>1.0</v>
      </c>
      <c r="R15" s="70">
        <v>0.0</v>
      </c>
      <c r="S15" s="12"/>
    </row>
    <row r="16">
      <c r="A16" s="9" t="s">
        <v>12</v>
      </c>
      <c r="B16" s="10">
        <v>44849.0</v>
      </c>
      <c r="C16" s="69">
        <v>0.0</v>
      </c>
      <c r="D16" s="70">
        <v>1.0</v>
      </c>
      <c r="E16" s="70">
        <v>1.0</v>
      </c>
      <c r="F16" s="70">
        <v>1.0</v>
      </c>
      <c r="G16" s="70">
        <v>1.0</v>
      </c>
      <c r="H16" s="70">
        <v>1.0</v>
      </c>
      <c r="I16" s="70">
        <v>1.0</v>
      </c>
      <c r="J16" s="70">
        <v>1.5</v>
      </c>
      <c r="K16" s="70">
        <v>0.0</v>
      </c>
      <c r="L16" s="70">
        <v>0.0</v>
      </c>
      <c r="M16" s="70">
        <v>0.0</v>
      </c>
      <c r="N16" s="70">
        <v>0.0</v>
      </c>
      <c r="O16" s="70">
        <v>0.0</v>
      </c>
      <c r="P16" s="70">
        <v>0.0</v>
      </c>
      <c r="Q16" s="70">
        <v>0.0</v>
      </c>
      <c r="R16" s="70">
        <v>0.0</v>
      </c>
      <c r="S16" s="72" t="s">
        <v>67</v>
      </c>
    </row>
    <row r="17">
      <c r="A17" s="9" t="s">
        <v>13</v>
      </c>
      <c r="B17" s="10">
        <v>44850.0</v>
      </c>
      <c r="C17" s="69">
        <v>1.0</v>
      </c>
      <c r="D17" s="70">
        <v>1.0</v>
      </c>
      <c r="E17" s="73">
        <v>1.0</v>
      </c>
      <c r="F17" s="70">
        <v>1.0</v>
      </c>
      <c r="G17" s="73">
        <v>1.0</v>
      </c>
      <c r="H17" s="73">
        <v>0.0</v>
      </c>
      <c r="I17" s="70">
        <v>1.0</v>
      </c>
      <c r="J17" s="70">
        <v>1.0</v>
      </c>
      <c r="K17" s="70">
        <v>1.0</v>
      </c>
      <c r="L17" s="70">
        <v>0.0</v>
      </c>
      <c r="M17" s="70">
        <v>1.0</v>
      </c>
      <c r="N17" s="73">
        <v>0.0</v>
      </c>
      <c r="O17" s="73">
        <v>0.0</v>
      </c>
      <c r="P17" s="73">
        <v>0.0</v>
      </c>
      <c r="Q17" s="73">
        <v>0.0</v>
      </c>
      <c r="R17" s="73">
        <v>0.0</v>
      </c>
      <c r="S17" s="12"/>
    </row>
    <row r="18">
      <c r="A18" s="9" t="s">
        <v>14</v>
      </c>
      <c r="B18" s="10">
        <v>44851.0</v>
      </c>
      <c r="C18" s="9">
        <v>0.0</v>
      </c>
      <c r="D18" s="70">
        <v>0.5</v>
      </c>
      <c r="E18" s="70">
        <v>1.0</v>
      </c>
      <c r="F18" s="70">
        <v>1.0</v>
      </c>
      <c r="G18" s="70">
        <v>1.0</v>
      </c>
      <c r="H18" s="70">
        <v>1.0</v>
      </c>
      <c r="I18" s="73">
        <v>0.5</v>
      </c>
      <c r="J18" s="70">
        <v>0.5</v>
      </c>
      <c r="K18" s="70">
        <v>1.0</v>
      </c>
      <c r="L18" s="70">
        <v>0.0</v>
      </c>
      <c r="M18" s="73">
        <v>1.0</v>
      </c>
      <c r="N18" s="70">
        <v>0.0</v>
      </c>
      <c r="O18" s="70">
        <v>0.0</v>
      </c>
      <c r="P18" s="70">
        <v>0.0</v>
      </c>
      <c r="Q18" s="70">
        <v>0.0</v>
      </c>
      <c r="R18" s="70">
        <v>0.0</v>
      </c>
      <c r="S18" s="12"/>
    </row>
    <row r="19">
      <c r="A19" s="9" t="s">
        <v>17</v>
      </c>
      <c r="B19" s="10">
        <v>44852.0</v>
      </c>
      <c r="C19" s="69">
        <v>0.0</v>
      </c>
      <c r="D19" s="70">
        <v>1.0</v>
      </c>
      <c r="E19" s="70">
        <v>1.0</v>
      </c>
      <c r="F19" s="70">
        <v>1.0</v>
      </c>
      <c r="G19" s="70">
        <v>1.0</v>
      </c>
      <c r="H19" s="70">
        <v>1.0</v>
      </c>
      <c r="I19" s="70">
        <v>1.0</v>
      </c>
      <c r="J19" s="70">
        <v>1.0</v>
      </c>
      <c r="K19" s="70">
        <v>0.0</v>
      </c>
      <c r="L19" s="70">
        <v>0.0</v>
      </c>
      <c r="M19" s="70">
        <v>1.0</v>
      </c>
      <c r="N19" s="73">
        <v>0.0</v>
      </c>
      <c r="O19" s="73">
        <v>0.0</v>
      </c>
      <c r="P19" s="73">
        <v>0.0</v>
      </c>
      <c r="Q19" s="73">
        <v>1.0</v>
      </c>
      <c r="R19" s="73">
        <v>0.0</v>
      </c>
      <c r="S19" s="12"/>
    </row>
    <row r="20">
      <c r="A20" s="9" t="s">
        <v>18</v>
      </c>
      <c r="B20" s="10">
        <v>44853.0</v>
      </c>
      <c r="C20" s="9">
        <v>1.0</v>
      </c>
      <c r="D20" s="70">
        <v>1.0</v>
      </c>
      <c r="E20" s="70">
        <v>1.0</v>
      </c>
      <c r="F20" s="70">
        <v>0.5</v>
      </c>
      <c r="G20" s="70">
        <v>0.0</v>
      </c>
      <c r="H20" s="70">
        <v>1.0</v>
      </c>
      <c r="I20" s="70">
        <v>0.5</v>
      </c>
      <c r="J20" s="70">
        <v>1.0</v>
      </c>
      <c r="K20" s="70">
        <v>1.0</v>
      </c>
      <c r="L20" s="70">
        <v>0.0</v>
      </c>
      <c r="M20" s="73">
        <v>1.0</v>
      </c>
      <c r="N20" s="70">
        <v>0.0</v>
      </c>
      <c r="O20" s="70">
        <v>0.0</v>
      </c>
      <c r="P20" s="70">
        <v>0.0</v>
      </c>
      <c r="Q20" s="70">
        <v>1.0</v>
      </c>
      <c r="R20" s="70">
        <v>0.0</v>
      </c>
      <c r="S20" s="12"/>
    </row>
    <row r="21">
      <c r="A21" s="9" t="s">
        <v>20</v>
      </c>
      <c r="B21" s="10">
        <v>44854.0</v>
      </c>
      <c r="C21" s="69">
        <v>1.0</v>
      </c>
      <c r="D21" s="70">
        <v>1.0</v>
      </c>
      <c r="E21" s="70">
        <v>0.0</v>
      </c>
      <c r="F21" s="70">
        <v>1.0</v>
      </c>
      <c r="G21" s="70">
        <v>0.0</v>
      </c>
      <c r="H21" s="70">
        <v>1.0</v>
      </c>
      <c r="I21" s="70">
        <v>1.0</v>
      </c>
      <c r="J21" s="70">
        <v>1.0</v>
      </c>
      <c r="K21" s="70">
        <v>0.0</v>
      </c>
      <c r="L21" s="70">
        <v>0.0</v>
      </c>
      <c r="M21" s="70">
        <v>1.0</v>
      </c>
      <c r="N21" s="70">
        <v>0.0</v>
      </c>
      <c r="O21" s="70">
        <v>0.0</v>
      </c>
      <c r="P21" s="70">
        <v>0.0</v>
      </c>
      <c r="Q21" s="70">
        <v>1.0</v>
      </c>
      <c r="R21" s="70">
        <v>0.0</v>
      </c>
      <c r="S21" s="12"/>
    </row>
    <row r="22">
      <c r="A22" s="9" t="s">
        <v>21</v>
      </c>
      <c r="B22" s="10">
        <v>44855.0</v>
      </c>
      <c r="C22" s="69">
        <v>0.0</v>
      </c>
      <c r="D22" s="69">
        <v>0.0</v>
      </c>
      <c r="E22" s="70">
        <v>1.0</v>
      </c>
      <c r="F22" s="70">
        <v>1.0</v>
      </c>
      <c r="G22" s="70">
        <v>1.0</v>
      </c>
      <c r="H22" s="70">
        <v>1.0</v>
      </c>
      <c r="I22" s="70">
        <v>0.0</v>
      </c>
      <c r="J22" s="70">
        <v>1.0</v>
      </c>
      <c r="K22" s="70">
        <v>1.0</v>
      </c>
      <c r="L22" s="70">
        <v>0.0</v>
      </c>
      <c r="M22" s="70">
        <v>1.0</v>
      </c>
      <c r="N22" s="70">
        <v>0.0</v>
      </c>
      <c r="O22" s="70">
        <v>1.0</v>
      </c>
      <c r="P22" s="70">
        <v>0.0</v>
      </c>
      <c r="Q22" s="70">
        <v>1.0</v>
      </c>
      <c r="R22" s="70">
        <v>0.0</v>
      </c>
      <c r="S22" s="12"/>
      <c r="T22" s="12"/>
    </row>
    <row r="23">
      <c r="A23" s="9" t="s">
        <v>12</v>
      </c>
      <c r="B23" s="10">
        <v>44856.0</v>
      </c>
      <c r="C23" s="70">
        <v>0.0</v>
      </c>
      <c r="D23" s="70">
        <v>1.0</v>
      </c>
      <c r="E23" s="70">
        <v>1.0</v>
      </c>
      <c r="F23" s="70">
        <v>1.0</v>
      </c>
      <c r="G23" s="70">
        <v>1.0</v>
      </c>
      <c r="H23" s="70">
        <v>1.0</v>
      </c>
      <c r="I23" s="70">
        <v>1.0</v>
      </c>
      <c r="J23" s="70">
        <v>0.0</v>
      </c>
      <c r="K23" s="70">
        <v>0.0</v>
      </c>
      <c r="L23" s="70">
        <v>0.0</v>
      </c>
      <c r="M23" s="70">
        <v>1.0</v>
      </c>
      <c r="N23" s="70">
        <v>1.0</v>
      </c>
      <c r="O23" s="70">
        <v>1.0</v>
      </c>
      <c r="P23" s="70">
        <v>0.0</v>
      </c>
      <c r="Q23" s="70">
        <v>0.0</v>
      </c>
      <c r="R23" s="70">
        <v>0.0</v>
      </c>
      <c r="S23" s="70"/>
    </row>
    <row r="24">
      <c r="A24" s="9" t="s">
        <v>13</v>
      </c>
      <c r="B24" s="10">
        <v>44857.0</v>
      </c>
      <c r="C24" s="69">
        <v>0.0</v>
      </c>
      <c r="D24" s="70">
        <v>1.0</v>
      </c>
      <c r="E24" s="70">
        <v>0.0</v>
      </c>
      <c r="F24" s="70">
        <v>1.0</v>
      </c>
      <c r="G24" s="70">
        <v>1.0</v>
      </c>
      <c r="H24" s="70">
        <v>1.0</v>
      </c>
      <c r="I24" s="70">
        <v>1.0</v>
      </c>
      <c r="J24" s="70">
        <v>1.0</v>
      </c>
      <c r="K24" s="70">
        <v>0.5</v>
      </c>
      <c r="L24" s="70">
        <v>0.0</v>
      </c>
      <c r="M24" s="70">
        <v>1.0</v>
      </c>
      <c r="N24" s="70">
        <v>1.0</v>
      </c>
      <c r="O24" s="70">
        <v>1.0</v>
      </c>
      <c r="P24" s="70">
        <v>0.0</v>
      </c>
      <c r="Q24" s="70">
        <v>0.0</v>
      </c>
      <c r="R24" s="70">
        <v>0.0</v>
      </c>
      <c r="S24" s="77"/>
    </row>
    <row r="25">
      <c r="A25" s="9" t="s">
        <v>14</v>
      </c>
      <c r="B25" s="10">
        <v>44858.0</v>
      </c>
      <c r="C25" s="69">
        <v>0.0</v>
      </c>
      <c r="D25" s="70">
        <v>1.0</v>
      </c>
      <c r="E25" s="70">
        <v>1.0</v>
      </c>
      <c r="F25" s="70">
        <v>1.0</v>
      </c>
      <c r="G25" s="70">
        <v>1.0</v>
      </c>
      <c r="H25" s="70">
        <v>1.0</v>
      </c>
      <c r="I25" s="70">
        <v>0.5</v>
      </c>
      <c r="J25" s="70">
        <v>1.0</v>
      </c>
      <c r="K25" s="70">
        <v>1.0</v>
      </c>
      <c r="L25" s="70">
        <v>0.0</v>
      </c>
      <c r="M25" s="70">
        <v>1.0</v>
      </c>
      <c r="N25" s="70">
        <v>0.0</v>
      </c>
      <c r="O25" s="70">
        <v>1.0</v>
      </c>
      <c r="P25" s="70">
        <v>0.0</v>
      </c>
      <c r="Q25" s="70">
        <v>0.5</v>
      </c>
      <c r="R25" s="70">
        <v>1.0</v>
      </c>
      <c r="S25" s="12"/>
    </row>
    <row r="26">
      <c r="A26" s="9" t="s">
        <v>17</v>
      </c>
      <c r="B26" s="10">
        <v>44859.0</v>
      </c>
      <c r="C26" s="69">
        <v>0.0</v>
      </c>
      <c r="D26" s="70">
        <v>1.0</v>
      </c>
      <c r="E26" s="70">
        <v>1.0</v>
      </c>
      <c r="F26" s="70">
        <v>1.0</v>
      </c>
      <c r="G26" s="70">
        <v>1.0</v>
      </c>
      <c r="H26" s="70">
        <v>0.0</v>
      </c>
      <c r="I26" s="70">
        <v>1.0</v>
      </c>
      <c r="J26" s="70">
        <v>1.0</v>
      </c>
      <c r="K26" s="70">
        <v>0.0</v>
      </c>
      <c r="L26" s="70">
        <v>0.0</v>
      </c>
      <c r="M26" s="70">
        <v>1.0</v>
      </c>
      <c r="N26" s="70">
        <v>0.0</v>
      </c>
      <c r="O26" s="70">
        <v>1.0</v>
      </c>
      <c r="P26" s="70">
        <v>0.5</v>
      </c>
      <c r="Q26" s="70">
        <v>0.0</v>
      </c>
      <c r="R26" s="70">
        <v>0.0</v>
      </c>
      <c r="S26" s="12"/>
    </row>
    <row r="27">
      <c r="A27" s="9" t="s">
        <v>18</v>
      </c>
      <c r="B27" s="10">
        <v>44860.0</v>
      </c>
      <c r="C27" s="69">
        <v>0.0</v>
      </c>
      <c r="D27" s="70">
        <v>1.0</v>
      </c>
      <c r="E27" s="70">
        <v>1.0</v>
      </c>
      <c r="F27" s="70">
        <v>1.0</v>
      </c>
      <c r="G27" s="70">
        <v>0.0</v>
      </c>
      <c r="H27" s="70">
        <v>1.0</v>
      </c>
      <c r="I27" s="70">
        <v>1.0</v>
      </c>
      <c r="J27" s="70">
        <v>1.0</v>
      </c>
      <c r="K27" s="70">
        <v>0.0</v>
      </c>
      <c r="L27" s="70">
        <v>0.0</v>
      </c>
      <c r="M27" s="70">
        <v>1.0</v>
      </c>
      <c r="N27" s="70">
        <v>1.0</v>
      </c>
      <c r="O27" s="70">
        <v>1.0</v>
      </c>
      <c r="P27" s="70">
        <v>1.0</v>
      </c>
      <c r="Q27" s="70">
        <v>1.0</v>
      </c>
      <c r="R27" s="70">
        <v>1.0</v>
      </c>
      <c r="S27" s="12"/>
    </row>
    <row r="28">
      <c r="A28" s="9" t="s">
        <v>20</v>
      </c>
      <c r="B28" s="10">
        <v>44861.0</v>
      </c>
      <c r="C28" s="69">
        <v>0.0</v>
      </c>
      <c r="D28" s="70">
        <v>0.0</v>
      </c>
      <c r="E28" s="78">
        <v>1.0</v>
      </c>
      <c r="F28" s="70">
        <v>1.0</v>
      </c>
      <c r="G28" s="70">
        <v>0.0</v>
      </c>
      <c r="H28" s="70">
        <v>1.0</v>
      </c>
      <c r="I28" s="70">
        <v>1.0</v>
      </c>
      <c r="J28" s="70">
        <v>1.0</v>
      </c>
      <c r="K28" s="70">
        <v>1.0</v>
      </c>
      <c r="L28" s="70">
        <v>0.0</v>
      </c>
      <c r="M28" s="70">
        <v>0.0</v>
      </c>
      <c r="N28" s="70">
        <v>0.0</v>
      </c>
      <c r="O28" s="70">
        <v>1.0</v>
      </c>
      <c r="P28" s="70">
        <v>1.0</v>
      </c>
      <c r="Q28" s="70">
        <v>0.0</v>
      </c>
      <c r="R28" s="70">
        <v>0.0</v>
      </c>
      <c r="S28" s="12"/>
    </row>
    <row r="29">
      <c r="A29" s="9" t="s">
        <v>21</v>
      </c>
      <c r="B29" s="10">
        <v>44862.0</v>
      </c>
      <c r="C29" s="69">
        <v>0.0</v>
      </c>
      <c r="D29" s="79">
        <v>0.0</v>
      </c>
      <c r="E29" s="79">
        <v>1.0</v>
      </c>
      <c r="F29" s="79">
        <v>1.0</v>
      </c>
      <c r="G29" s="79">
        <v>1.0</v>
      </c>
      <c r="H29" s="79">
        <v>1.0</v>
      </c>
      <c r="I29" s="79">
        <v>0.0</v>
      </c>
      <c r="J29" s="79">
        <v>1.0</v>
      </c>
      <c r="K29" s="79">
        <v>1.0</v>
      </c>
      <c r="L29" s="79">
        <v>0.0</v>
      </c>
      <c r="M29" s="79">
        <v>0.0</v>
      </c>
      <c r="N29" s="79">
        <v>0.0</v>
      </c>
      <c r="O29" s="79">
        <v>0.0</v>
      </c>
      <c r="P29" s="79">
        <v>0.0</v>
      </c>
      <c r="Q29" s="79">
        <v>1.0</v>
      </c>
      <c r="R29" s="79">
        <v>0.0</v>
      </c>
      <c r="S29" s="12"/>
    </row>
    <row r="30">
      <c r="A30" s="9" t="s">
        <v>12</v>
      </c>
      <c r="B30" s="10">
        <v>44863.0</v>
      </c>
      <c r="C30" s="69">
        <v>0.0</v>
      </c>
      <c r="D30" s="79">
        <v>0.0</v>
      </c>
      <c r="E30" s="79">
        <v>1.0</v>
      </c>
      <c r="F30" s="79">
        <v>1.0</v>
      </c>
      <c r="G30" s="79">
        <v>1.0</v>
      </c>
      <c r="H30" s="79">
        <v>0.0</v>
      </c>
      <c r="I30" s="79">
        <v>1.0</v>
      </c>
      <c r="J30" s="79">
        <v>1.0</v>
      </c>
      <c r="K30" s="79">
        <v>1.0</v>
      </c>
      <c r="L30" s="79">
        <v>0.0</v>
      </c>
      <c r="M30" s="79">
        <v>0.0</v>
      </c>
      <c r="N30" s="79">
        <v>0.0</v>
      </c>
      <c r="O30" s="79">
        <v>1.0</v>
      </c>
      <c r="P30" s="79">
        <v>1.0</v>
      </c>
      <c r="Q30" s="79">
        <v>1.0</v>
      </c>
      <c r="R30" s="79">
        <v>0.0</v>
      </c>
      <c r="S30" s="12"/>
    </row>
    <row r="31">
      <c r="A31" s="9" t="s">
        <v>13</v>
      </c>
      <c r="B31" s="10">
        <v>44864.0</v>
      </c>
      <c r="C31" s="69">
        <v>0.0</v>
      </c>
      <c r="D31" s="79">
        <v>0.0</v>
      </c>
      <c r="E31" s="79">
        <v>1.0</v>
      </c>
      <c r="F31" s="79">
        <v>1.0</v>
      </c>
      <c r="G31" s="79">
        <v>1.0</v>
      </c>
      <c r="H31" s="79">
        <v>1.0</v>
      </c>
      <c r="I31" s="79">
        <v>0.5</v>
      </c>
      <c r="J31" s="79">
        <v>1.0</v>
      </c>
      <c r="K31" s="79">
        <v>0.0</v>
      </c>
      <c r="L31" s="79">
        <v>0.0</v>
      </c>
      <c r="M31" s="79">
        <v>0.0</v>
      </c>
      <c r="N31" s="79">
        <v>0.0</v>
      </c>
      <c r="O31" s="79">
        <v>0.0</v>
      </c>
      <c r="P31" s="79">
        <v>1.0</v>
      </c>
      <c r="Q31" s="79">
        <v>1.0</v>
      </c>
      <c r="R31" s="79">
        <v>0.0</v>
      </c>
      <c r="S31" s="12"/>
    </row>
    <row r="32">
      <c r="A32" s="9" t="s">
        <v>14</v>
      </c>
      <c r="B32" s="10">
        <v>44865.0</v>
      </c>
      <c r="C32" s="69">
        <v>0.0</v>
      </c>
      <c r="D32" s="79">
        <v>0.0</v>
      </c>
      <c r="E32" s="79">
        <v>1.0</v>
      </c>
      <c r="F32" s="79">
        <v>1.0</v>
      </c>
      <c r="G32" s="79">
        <v>1.0</v>
      </c>
      <c r="H32" s="79">
        <v>1.0</v>
      </c>
      <c r="I32" s="79">
        <v>1.0</v>
      </c>
      <c r="J32" s="79">
        <v>1.0</v>
      </c>
      <c r="K32" s="79">
        <v>1.0</v>
      </c>
      <c r="L32" s="79">
        <v>0.0</v>
      </c>
      <c r="M32" s="79">
        <v>1.0</v>
      </c>
      <c r="N32" s="79">
        <v>1.0</v>
      </c>
      <c r="O32" s="79">
        <v>0.0</v>
      </c>
      <c r="P32" s="79">
        <v>1.0</v>
      </c>
      <c r="Q32" s="79">
        <v>0.0</v>
      </c>
      <c r="R32" s="80"/>
      <c r="S32" s="81"/>
    </row>
    <row r="33">
      <c r="C33" s="82">
        <f t="shared" ref="C33:R33" si="1">SUM(C2:C32)</f>
        <v>15.75</v>
      </c>
      <c r="D33" s="83">
        <f t="shared" si="1"/>
        <v>24.75</v>
      </c>
      <c r="E33" s="83">
        <f t="shared" si="1"/>
        <v>29</v>
      </c>
      <c r="F33" s="83">
        <f t="shared" si="1"/>
        <v>33</v>
      </c>
      <c r="G33" s="83">
        <f t="shared" si="1"/>
        <v>24.25</v>
      </c>
      <c r="H33" s="83">
        <f t="shared" si="1"/>
        <v>30.25</v>
      </c>
      <c r="I33" s="83">
        <f t="shared" si="1"/>
        <v>24.5</v>
      </c>
      <c r="J33" s="83">
        <f t="shared" si="1"/>
        <v>32.5</v>
      </c>
      <c r="K33" s="83">
        <f t="shared" si="1"/>
        <v>14.5</v>
      </c>
      <c r="L33" s="83">
        <f t="shared" si="1"/>
        <v>8</v>
      </c>
      <c r="M33" s="83">
        <f t="shared" si="1"/>
        <v>24</v>
      </c>
      <c r="N33" s="83">
        <f t="shared" si="1"/>
        <v>4</v>
      </c>
      <c r="O33" s="83">
        <f t="shared" si="1"/>
        <v>8</v>
      </c>
      <c r="P33" s="83">
        <f t="shared" si="1"/>
        <v>5.5</v>
      </c>
      <c r="Q33" s="83">
        <f t="shared" si="1"/>
        <v>17.75</v>
      </c>
      <c r="R33" s="83">
        <f t="shared" si="1"/>
        <v>6</v>
      </c>
      <c r="S33" s="81"/>
    </row>
    <row r="34">
      <c r="C34" s="82">
        <v>1200.0</v>
      </c>
      <c r="D34" s="84">
        <v>1111.0</v>
      </c>
      <c r="E34" s="84">
        <v>1111.0</v>
      </c>
      <c r="F34" s="84">
        <v>1111.0</v>
      </c>
      <c r="G34" s="84">
        <v>1111.0</v>
      </c>
      <c r="H34" s="84">
        <v>1150.0</v>
      </c>
      <c r="I34" s="84">
        <v>1111.0</v>
      </c>
      <c r="J34" s="84">
        <v>1111.0</v>
      </c>
      <c r="K34" s="83">
        <v>1000.0</v>
      </c>
      <c r="L34" s="83">
        <v>1200.0</v>
      </c>
      <c r="M34" s="84">
        <v>900.0</v>
      </c>
      <c r="N34" s="84">
        <v>1000.0</v>
      </c>
      <c r="O34" s="84">
        <v>1200.0</v>
      </c>
      <c r="P34" s="84">
        <v>1000.0</v>
      </c>
      <c r="Q34" s="83">
        <v>1000.0</v>
      </c>
      <c r="R34" s="84">
        <v>1000.0</v>
      </c>
      <c r="S34" s="81"/>
    </row>
    <row r="35">
      <c r="C35" s="85">
        <f t="shared" ref="C35:R35" si="2">C34*C33</f>
        <v>18900</v>
      </c>
      <c r="D35" s="86">
        <f t="shared" si="2"/>
        <v>27497.25</v>
      </c>
      <c r="E35" s="86">
        <f t="shared" si="2"/>
        <v>32219</v>
      </c>
      <c r="F35" s="86">
        <f t="shared" si="2"/>
        <v>36663</v>
      </c>
      <c r="G35" s="86">
        <f t="shared" si="2"/>
        <v>26941.75</v>
      </c>
      <c r="H35" s="86">
        <f t="shared" si="2"/>
        <v>34787.5</v>
      </c>
      <c r="I35" s="86">
        <f t="shared" si="2"/>
        <v>27219.5</v>
      </c>
      <c r="J35" s="86">
        <f t="shared" si="2"/>
        <v>36107.5</v>
      </c>
      <c r="K35" s="86">
        <f t="shared" si="2"/>
        <v>14500</v>
      </c>
      <c r="L35" s="86">
        <f t="shared" si="2"/>
        <v>9600</v>
      </c>
      <c r="M35" s="86">
        <f t="shared" si="2"/>
        <v>21600</v>
      </c>
      <c r="N35" s="86">
        <f t="shared" si="2"/>
        <v>4000</v>
      </c>
      <c r="O35" s="86">
        <f t="shared" si="2"/>
        <v>9600</v>
      </c>
      <c r="P35" s="86">
        <f t="shared" si="2"/>
        <v>5500</v>
      </c>
      <c r="Q35" s="86">
        <f t="shared" si="2"/>
        <v>17750</v>
      </c>
      <c r="R35" s="86">
        <f t="shared" si="2"/>
        <v>6000</v>
      </c>
      <c r="S35" s="53">
        <f>SUM(C35:R35)</f>
        <v>328885.5</v>
      </c>
    </row>
    <row r="36"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63.5"/>
    <col customWidth="1" min="6" max="6" width="25.88"/>
    <col customWidth="1" min="7" max="7" width="25.75"/>
    <col customWidth="1" min="8" max="8" width="24.63"/>
    <col customWidth="1" min="9" max="9" width="25.63"/>
  </cols>
  <sheetData>
    <row r="2">
      <c r="E2" s="87" t="s">
        <v>68</v>
      </c>
      <c r="F2" s="88" t="s">
        <v>69</v>
      </c>
      <c r="G2" s="88" t="s">
        <v>70</v>
      </c>
      <c r="H2" s="88" t="s">
        <v>71</v>
      </c>
      <c r="I2" s="88" t="s">
        <v>72</v>
      </c>
    </row>
    <row r="3">
      <c r="E3" s="89" t="s">
        <v>73</v>
      </c>
      <c r="F3" s="90">
        <v>8.0</v>
      </c>
      <c r="G3" s="33">
        <v>190.0</v>
      </c>
      <c r="H3" s="24">
        <f t="shared" ref="H3:H5" si="1">G3*F3</f>
        <v>1520</v>
      </c>
      <c r="I3" s="91">
        <v>44805.0</v>
      </c>
    </row>
    <row r="4">
      <c r="E4" s="89" t="s">
        <v>74</v>
      </c>
      <c r="F4" s="90">
        <v>12.0</v>
      </c>
      <c r="G4" s="90">
        <v>200.0</v>
      </c>
      <c r="H4" s="24">
        <f t="shared" si="1"/>
        <v>2400</v>
      </c>
      <c r="I4" s="91">
        <v>44805.0</v>
      </c>
    </row>
    <row r="5">
      <c r="E5" s="89" t="s">
        <v>75</v>
      </c>
      <c r="F5" s="90">
        <v>20.0</v>
      </c>
      <c r="G5" s="33">
        <v>1416.0</v>
      </c>
      <c r="H5" s="24">
        <f t="shared" si="1"/>
        <v>28320</v>
      </c>
      <c r="I5" s="91">
        <v>44805.0</v>
      </c>
    </row>
    <row r="6">
      <c r="D6" s="92" t="s">
        <v>76</v>
      </c>
      <c r="E6" s="93" t="s">
        <v>77</v>
      </c>
      <c r="F6" s="93">
        <v>47.0</v>
      </c>
      <c r="G6" s="93">
        <v>596.0</v>
      </c>
      <c r="H6" s="94">
        <f>F6*G6</f>
        <v>28012</v>
      </c>
      <c r="I6" s="94"/>
    </row>
    <row r="7">
      <c r="E7" s="95" t="s">
        <v>78</v>
      </c>
      <c r="F7" s="96">
        <v>5.0</v>
      </c>
      <c r="G7" s="96">
        <v>550.0</v>
      </c>
      <c r="H7" s="97">
        <f t="shared" ref="H7:H229" si="2">G7*F7</f>
        <v>2750</v>
      </c>
      <c r="I7" s="98">
        <v>44830.0</v>
      </c>
    </row>
    <row r="8">
      <c r="E8" s="89" t="s">
        <v>79</v>
      </c>
      <c r="F8" s="33">
        <v>1.0</v>
      </c>
      <c r="G8" s="33">
        <v>1450.0</v>
      </c>
      <c r="H8" s="24">
        <f t="shared" si="2"/>
        <v>1450</v>
      </c>
      <c r="I8" s="91">
        <v>44830.0</v>
      </c>
    </row>
    <row r="9">
      <c r="E9" s="89" t="s">
        <v>80</v>
      </c>
      <c r="F9" s="33">
        <v>1.0</v>
      </c>
      <c r="G9" s="33">
        <v>900.0</v>
      </c>
      <c r="H9" s="24">
        <f t="shared" si="2"/>
        <v>900</v>
      </c>
      <c r="I9" s="91">
        <v>44830.0</v>
      </c>
    </row>
    <row r="10">
      <c r="E10" s="89" t="s">
        <v>81</v>
      </c>
      <c r="F10" s="33">
        <v>1.0</v>
      </c>
      <c r="G10" s="33">
        <v>780.0</v>
      </c>
      <c r="H10" s="24">
        <f t="shared" si="2"/>
        <v>780</v>
      </c>
      <c r="I10" s="91">
        <v>44830.0</v>
      </c>
    </row>
    <row r="11">
      <c r="E11" s="89" t="s">
        <v>82</v>
      </c>
      <c r="F11" s="33">
        <v>1.0</v>
      </c>
      <c r="G11" s="33">
        <v>1000.0</v>
      </c>
      <c r="H11" s="24">
        <f t="shared" si="2"/>
        <v>1000</v>
      </c>
      <c r="I11" s="91">
        <v>44830.0</v>
      </c>
    </row>
    <row r="12">
      <c r="E12" s="89" t="s">
        <v>83</v>
      </c>
      <c r="F12" s="33">
        <v>10.0</v>
      </c>
      <c r="G12" s="33">
        <v>45.0</v>
      </c>
      <c r="H12" s="24">
        <f t="shared" si="2"/>
        <v>450</v>
      </c>
      <c r="I12" s="91">
        <v>44830.0</v>
      </c>
    </row>
    <row r="13">
      <c r="E13" s="89" t="s">
        <v>84</v>
      </c>
      <c r="F13" s="33">
        <v>1.0</v>
      </c>
      <c r="G13" s="33">
        <v>550.0</v>
      </c>
      <c r="H13" s="24">
        <f t="shared" si="2"/>
        <v>550</v>
      </c>
      <c r="I13" s="91">
        <v>44830.0</v>
      </c>
    </row>
    <row r="14">
      <c r="E14" s="89" t="s">
        <v>85</v>
      </c>
      <c r="F14" s="33">
        <v>1.0</v>
      </c>
      <c r="G14" s="33">
        <v>120.0</v>
      </c>
      <c r="H14" s="24">
        <f t="shared" si="2"/>
        <v>120</v>
      </c>
      <c r="I14" s="91">
        <v>44830.0</v>
      </c>
    </row>
    <row r="15">
      <c r="E15" s="89" t="s">
        <v>86</v>
      </c>
      <c r="F15" s="33">
        <v>1.0</v>
      </c>
      <c r="G15" s="33">
        <v>2500.0</v>
      </c>
      <c r="H15" s="24">
        <f t="shared" si="2"/>
        <v>2500</v>
      </c>
      <c r="I15" s="91">
        <v>44830.0</v>
      </c>
    </row>
    <row r="16">
      <c r="E16" s="89" t="s">
        <v>87</v>
      </c>
      <c r="F16" s="90">
        <v>11.0</v>
      </c>
      <c r="G16" s="33">
        <v>1630.0</v>
      </c>
      <c r="H16" s="24">
        <f t="shared" si="2"/>
        <v>17930</v>
      </c>
      <c r="I16" s="91">
        <v>44830.0</v>
      </c>
    </row>
    <row r="17">
      <c r="E17" s="89" t="s">
        <v>88</v>
      </c>
      <c r="F17" s="90">
        <v>3.0</v>
      </c>
      <c r="G17" s="33">
        <v>560.0</v>
      </c>
      <c r="H17" s="24">
        <f t="shared" si="2"/>
        <v>1680</v>
      </c>
      <c r="I17" s="91">
        <v>44830.0</v>
      </c>
    </row>
    <row r="18">
      <c r="E18" s="89" t="s">
        <v>89</v>
      </c>
      <c r="F18" s="33">
        <v>5.0</v>
      </c>
      <c r="G18" s="33">
        <v>770.0</v>
      </c>
      <c r="H18" s="24">
        <f t="shared" si="2"/>
        <v>3850</v>
      </c>
      <c r="I18" s="91">
        <v>44830.0</v>
      </c>
    </row>
    <row r="19">
      <c r="E19" s="89" t="s">
        <v>90</v>
      </c>
      <c r="F19" s="90">
        <v>36.0</v>
      </c>
      <c r="G19" s="33">
        <v>65.0</v>
      </c>
      <c r="H19" s="24">
        <f t="shared" si="2"/>
        <v>2340</v>
      </c>
      <c r="I19" s="91">
        <v>44830.0</v>
      </c>
    </row>
    <row r="20">
      <c r="E20" s="89" t="s">
        <v>91</v>
      </c>
      <c r="F20" s="33">
        <v>2.0</v>
      </c>
      <c r="G20" s="33">
        <v>175.0</v>
      </c>
      <c r="H20" s="24">
        <f t="shared" si="2"/>
        <v>350</v>
      </c>
      <c r="I20" s="91">
        <v>44830.0</v>
      </c>
    </row>
    <row r="21">
      <c r="E21" s="89" t="s">
        <v>92</v>
      </c>
      <c r="F21" s="33">
        <v>3.0</v>
      </c>
      <c r="G21" s="33">
        <v>680.0</v>
      </c>
      <c r="H21" s="24">
        <f t="shared" si="2"/>
        <v>2040</v>
      </c>
      <c r="I21" s="91">
        <v>44830.0</v>
      </c>
    </row>
    <row r="22">
      <c r="E22" s="89" t="s">
        <v>93</v>
      </c>
      <c r="F22" s="33">
        <v>1.0</v>
      </c>
      <c r="G22" s="33">
        <v>880.0</v>
      </c>
      <c r="H22" s="24">
        <f t="shared" si="2"/>
        <v>880</v>
      </c>
      <c r="I22" s="91">
        <v>44830.0</v>
      </c>
    </row>
    <row r="23">
      <c r="E23" s="89" t="s">
        <v>94</v>
      </c>
      <c r="F23" s="33">
        <v>16.0</v>
      </c>
      <c r="G23" s="33">
        <v>260.0</v>
      </c>
      <c r="H23" s="24">
        <f t="shared" si="2"/>
        <v>4160</v>
      </c>
      <c r="I23" s="91">
        <v>44830.0</v>
      </c>
    </row>
    <row r="24">
      <c r="E24" s="89" t="s">
        <v>95</v>
      </c>
      <c r="F24" s="33">
        <v>16.0</v>
      </c>
      <c r="G24" s="33">
        <v>225.0</v>
      </c>
      <c r="H24" s="24">
        <f t="shared" si="2"/>
        <v>3600</v>
      </c>
      <c r="I24" s="91">
        <v>44830.0</v>
      </c>
    </row>
    <row r="25">
      <c r="E25" s="89" t="s">
        <v>96</v>
      </c>
      <c r="F25" s="33">
        <v>1.0</v>
      </c>
      <c r="G25" s="33">
        <v>1000.0</v>
      </c>
      <c r="H25" s="24">
        <f t="shared" si="2"/>
        <v>1000</v>
      </c>
      <c r="I25" s="91">
        <v>44830.0</v>
      </c>
    </row>
    <row r="26">
      <c r="E26" s="89" t="s">
        <v>87</v>
      </c>
      <c r="F26" s="33">
        <v>1.0</v>
      </c>
      <c r="G26" s="33">
        <v>1500.0</v>
      </c>
      <c r="H26" s="24">
        <f t="shared" si="2"/>
        <v>1500</v>
      </c>
      <c r="I26" s="91">
        <v>44830.0</v>
      </c>
    </row>
    <row r="27">
      <c r="E27" s="89" t="s">
        <v>97</v>
      </c>
      <c r="F27" s="33">
        <v>1.0</v>
      </c>
      <c r="G27" s="33">
        <v>1000.0</v>
      </c>
      <c r="H27" s="24">
        <f t="shared" si="2"/>
        <v>1000</v>
      </c>
      <c r="I27" s="91">
        <v>44830.0</v>
      </c>
    </row>
    <row r="28">
      <c r="E28" s="89" t="s">
        <v>98</v>
      </c>
      <c r="F28" s="33">
        <v>1.0</v>
      </c>
      <c r="G28" s="33">
        <v>750.0</v>
      </c>
      <c r="H28" s="24">
        <f t="shared" si="2"/>
        <v>750</v>
      </c>
      <c r="I28" s="91">
        <v>44830.0</v>
      </c>
    </row>
    <row r="29">
      <c r="E29" s="89" t="s">
        <v>99</v>
      </c>
      <c r="F29" s="33">
        <v>3.0</v>
      </c>
      <c r="G29" s="33">
        <v>250.0</v>
      </c>
      <c r="H29" s="24">
        <f t="shared" si="2"/>
        <v>750</v>
      </c>
      <c r="I29" s="91">
        <v>44830.0</v>
      </c>
    </row>
    <row r="30">
      <c r="E30" s="89" t="s">
        <v>100</v>
      </c>
      <c r="F30" s="33">
        <v>1.0</v>
      </c>
      <c r="G30" s="33">
        <v>3500.0</v>
      </c>
      <c r="H30" s="24">
        <f t="shared" si="2"/>
        <v>3500</v>
      </c>
      <c r="I30" s="91">
        <v>44830.0</v>
      </c>
    </row>
    <row r="31">
      <c r="E31" s="95" t="s">
        <v>101</v>
      </c>
      <c r="F31" s="96">
        <v>40.0</v>
      </c>
      <c r="G31" s="96">
        <v>24.0</v>
      </c>
      <c r="H31" s="97">
        <f t="shared" si="2"/>
        <v>960</v>
      </c>
      <c r="I31" s="98">
        <v>44829.0</v>
      </c>
    </row>
    <row r="32">
      <c r="E32" s="95" t="s">
        <v>102</v>
      </c>
      <c r="F32" s="96">
        <v>1.0</v>
      </c>
      <c r="G32" s="96">
        <v>2300.0</v>
      </c>
      <c r="H32" s="97">
        <f t="shared" si="2"/>
        <v>2300</v>
      </c>
      <c r="I32" s="98">
        <v>44829.0</v>
      </c>
    </row>
    <row r="33">
      <c r="E33" s="89" t="s">
        <v>103</v>
      </c>
      <c r="F33" s="33">
        <v>1.0</v>
      </c>
      <c r="G33" s="33">
        <v>1800.0</v>
      </c>
      <c r="H33" s="24">
        <f t="shared" si="2"/>
        <v>1800</v>
      </c>
      <c r="I33" s="91">
        <v>44829.0</v>
      </c>
    </row>
    <row r="34">
      <c r="E34" s="89" t="s">
        <v>104</v>
      </c>
      <c r="F34" s="33">
        <v>1.0</v>
      </c>
      <c r="G34" s="33">
        <v>1450.0</v>
      </c>
      <c r="H34" s="24">
        <f t="shared" si="2"/>
        <v>1450</v>
      </c>
      <c r="I34" s="91">
        <v>44829.0</v>
      </c>
    </row>
    <row r="35">
      <c r="E35" s="89" t="s">
        <v>105</v>
      </c>
      <c r="F35" s="33">
        <v>1.0</v>
      </c>
      <c r="G35" s="33">
        <v>1300.0</v>
      </c>
      <c r="H35" s="24">
        <f t="shared" si="2"/>
        <v>1300</v>
      </c>
      <c r="I35" s="91">
        <v>44829.0</v>
      </c>
    </row>
    <row r="36">
      <c r="E36" s="89" t="s">
        <v>106</v>
      </c>
      <c r="F36" s="33">
        <v>1.0</v>
      </c>
      <c r="G36" s="33">
        <v>1450.0</v>
      </c>
      <c r="H36" s="24">
        <f t="shared" si="2"/>
        <v>1450</v>
      </c>
      <c r="I36" s="91">
        <v>44829.0</v>
      </c>
    </row>
    <row r="37">
      <c r="E37" s="95" t="s">
        <v>107</v>
      </c>
      <c r="F37" s="96">
        <v>20.0</v>
      </c>
      <c r="G37" s="96">
        <v>70.0</v>
      </c>
      <c r="H37" s="97">
        <f t="shared" si="2"/>
        <v>1400</v>
      </c>
      <c r="I37" s="98">
        <v>44828.0</v>
      </c>
    </row>
    <row r="38">
      <c r="E38" s="95" t="s">
        <v>108</v>
      </c>
      <c r="F38" s="96">
        <v>12.0</v>
      </c>
      <c r="G38" s="96">
        <v>210.0</v>
      </c>
      <c r="H38" s="97">
        <f t="shared" si="2"/>
        <v>2520</v>
      </c>
      <c r="I38" s="98">
        <v>44818.0</v>
      </c>
    </row>
    <row r="39">
      <c r="E39" s="95" t="s">
        <v>109</v>
      </c>
      <c r="F39" s="96">
        <v>8.0</v>
      </c>
      <c r="G39" s="96">
        <v>420.0</v>
      </c>
      <c r="H39" s="97">
        <f t="shared" si="2"/>
        <v>3360</v>
      </c>
      <c r="I39" s="98">
        <v>44816.0</v>
      </c>
    </row>
    <row r="40">
      <c r="E40" s="89" t="s">
        <v>110</v>
      </c>
      <c r="F40" s="33">
        <v>5.0</v>
      </c>
      <c r="G40" s="33">
        <v>720.0</v>
      </c>
      <c r="H40" s="24">
        <f t="shared" si="2"/>
        <v>3600</v>
      </c>
      <c r="I40" s="91">
        <v>44816.0</v>
      </c>
    </row>
    <row r="41">
      <c r="E41" s="95" t="s">
        <v>111</v>
      </c>
      <c r="F41" s="96">
        <v>50.0</v>
      </c>
      <c r="G41" s="96">
        <v>100.0</v>
      </c>
      <c r="H41" s="97">
        <f t="shared" si="2"/>
        <v>5000</v>
      </c>
      <c r="I41" s="98">
        <v>44811.0</v>
      </c>
    </row>
    <row r="42">
      <c r="E42" s="95" t="s">
        <v>112</v>
      </c>
      <c r="F42" s="96">
        <v>84.0</v>
      </c>
      <c r="G42" s="96">
        <v>30.0</v>
      </c>
      <c r="H42" s="97">
        <f t="shared" si="2"/>
        <v>2520</v>
      </c>
      <c r="I42" s="98">
        <v>44811.0</v>
      </c>
    </row>
    <row r="43">
      <c r="E43" s="95" t="s">
        <v>113</v>
      </c>
      <c r="F43" s="96">
        <v>1.0</v>
      </c>
      <c r="G43" s="96">
        <v>4950.0</v>
      </c>
      <c r="H43" s="97">
        <f t="shared" si="2"/>
        <v>4950</v>
      </c>
      <c r="I43" s="98">
        <v>44809.0</v>
      </c>
    </row>
    <row r="44">
      <c r="E44" s="95" t="s">
        <v>114</v>
      </c>
      <c r="F44" s="99">
        <v>3.0</v>
      </c>
      <c r="G44" s="96">
        <v>850.0</v>
      </c>
      <c r="H44" s="97">
        <f t="shared" si="2"/>
        <v>2550</v>
      </c>
      <c r="I44" s="98">
        <v>44805.0</v>
      </c>
    </row>
    <row r="45">
      <c r="E45" s="95" t="s">
        <v>115</v>
      </c>
      <c r="F45" s="99">
        <v>15.0</v>
      </c>
      <c r="G45" s="96">
        <v>350.0</v>
      </c>
      <c r="H45" s="97">
        <f t="shared" si="2"/>
        <v>5250</v>
      </c>
      <c r="I45" s="98">
        <v>44805.0</v>
      </c>
    </row>
    <row r="46">
      <c r="E46" s="93" t="s">
        <v>116</v>
      </c>
      <c r="F46" s="93">
        <v>16.0</v>
      </c>
      <c r="G46" s="93">
        <v>320.0</v>
      </c>
      <c r="H46" s="100">
        <f t="shared" si="2"/>
        <v>5120</v>
      </c>
      <c r="I46" s="101">
        <v>44831.0</v>
      </c>
    </row>
    <row r="47">
      <c r="E47" s="93" t="s">
        <v>117</v>
      </c>
      <c r="F47" s="93">
        <v>3.0</v>
      </c>
      <c r="G47" s="93">
        <v>150.0</v>
      </c>
      <c r="H47" s="100">
        <f t="shared" si="2"/>
        <v>450</v>
      </c>
      <c r="I47" s="101">
        <v>44831.0</v>
      </c>
    </row>
    <row r="48">
      <c r="E48" s="93" t="s">
        <v>118</v>
      </c>
      <c r="F48" s="93">
        <v>15.0</v>
      </c>
      <c r="G48" s="93">
        <v>20.0</v>
      </c>
      <c r="H48" s="100">
        <f t="shared" si="2"/>
        <v>300</v>
      </c>
      <c r="I48" s="101">
        <v>44831.0</v>
      </c>
    </row>
    <row r="49">
      <c r="E49" s="93" t="s">
        <v>119</v>
      </c>
      <c r="F49" s="93">
        <v>4.0</v>
      </c>
      <c r="G49" s="93">
        <v>1800.0</v>
      </c>
      <c r="H49" s="100">
        <f t="shared" si="2"/>
        <v>7200</v>
      </c>
      <c r="I49" s="101">
        <v>44831.0</v>
      </c>
    </row>
    <row r="50">
      <c r="E50" s="93" t="s">
        <v>120</v>
      </c>
      <c r="F50" s="93">
        <v>1.0</v>
      </c>
      <c r="G50" s="93">
        <v>2000.0</v>
      </c>
      <c r="H50" s="100">
        <f t="shared" si="2"/>
        <v>2000</v>
      </c>
      <c r="I50" s="101">
        <v>44832.0</v>
      </c>
    </row>
    <row r="51">
      <c r="E51" s="93" t="s">
        <v>98</v>
      </c>
      <c r="F51" s="93">
        <v>1.0</v>
      </c>
      <c r="G51" s="93">
        <v>1000.0</v>
      </c>
      <c r="H51" s="100">
        <f t="shared" si="2"/>
        <v>1000</v>
      </c>
      <c r="I51" s="101">
        <v>44832.0</v>
      </c>
    </row>
    <row r="52">
      <c r="E52" s="93" t="s">
        <v>121</v>
      </c>
      <c r="F52" s="93">
        <v>10.0</v>
      </c>
      <c r="G52" s="93">
        <v>150.0</v>
      </c>
      <c r="H52" s="100">
        <f t="shared" si="2"/>
        <v>1500</v>
      </c>
      <c r="I52" s="101">
        <v>44832.0</v>
      </c>
    </row>
    <row r="53">
      <c r="E53" s="93" t="s">
        <v>122</v>
      </c>
      <c r="F53" s="93">
        <v>20.0</v>
      </c>
      <c r="G53" s="93">
        <v>65.0</v>
      </c>
      <c r="H53" s="100">
        <f t="shared" si="2"/>
        <v>1300</v>
      </c>
      <c r="I53" s="101">
        <v>44832.0</v>
      </c>
    </row>
    <row r="54">
      <c r="E54" s="93" t="s">
        <v>123</v>
      </c>
      <c r="F54" s="93">
        <v>2.0</v>
      </c>
      <c r="G54" s="93">
        <v>150.0</v>
      </c>
      <c r="H54" s="100">
        <f t="shared" si="2"/>
        <v>300</v>
      </c>
      <c r="I54" s="101">
        <v>44832.0</v>
      </c>
    </row>
    <row r="55">
      <c r="E55" s="93" t="s">
        <v>107</v>
      </c>
      <c r="F55" s="93">
        <v>2.0</v>
      </c>
      <c r="G55" s="93">
        <v>250.0</v>
      </c>
      <c r="H55" s="100">
        <f t="shared" si="2"/>
        <v>500</v>
      </c>
      <c r="I55" s="101">
        <v>44832.0</v>
      </c>
    </row>
    <row r="56">
      <c r="E56" s="93" t="s">
        <v>124</v>
      </c>
      <c r="F56" s="93">
        <v>1.0</v>
      </c>
      <c r="G56" s="93">
        <v>1800.0</v>
      </c>
      <c r="H56" s="100">
        <f t="shared" si="2"/>
        <v>1800</v>
      </c>
      <c r="I56" s="101">
        <v>44832.0</v>
      </c>
    </row>
    <row r="57">
      <c r="E57" s="93" t="s">
        <v>125</v>
      </c>
      <c r="F57" s="93">
        <v>5.0</v>
      </c>
      <c r="G57" s="93">
        <v>1700.0</v>
      </c>
      <c r="H57" s="100">
        <f t="shared" si="2"/>
        <v>8500</v>
      </c>
      <c r="I57" s="101">
        <v>44832.0</v>
      </c>
    </row>
    <row r="58">
      <c r="E58" s="93" t="s">
        <v>126</v>
      </c>
      <c r="F58" s="93">
        <v>5.0</v>
      </c>
      <c r="G58" s="93">
        <v>700.0</v>
      </c>
      <c r="H58" s="100">
        <f t="shared" si="2"/>
        <v>3500</v>
      </c>
      <c r="I58" s="101">
        <v>44832.0</v>
      </c>
    </row>
    <row r="59">
      <c r="E59" s="93" t="s">
        <v>127</v>
      </c>
      <c r="F59" s="93">
        <v>1.0</v>
      </c>
      <c r="G59" s="93">
        <v>1000.0</v>
      </c>
      <c r="H59" s="100">
        <f t="shared" si="2"/>
        <v>1000</v>
      </c>
      <c r="I59" s="101">
        <v>44832.0</v>
      </c>
    </row>
    <row r="60">
      <c r="E60" s="93" t="s">
        <v>128</v>
      </c>
      <c r="F60" s="93">
        <v>1.0</v>
      </c>
      <c r="G60" s="93">
        <v>1200.0</v>
      </c>
      <c r="H60" s="100">
        <f t="shared" si="2"/>
        <v>1200</v>
      </c>
      <c r="I60" s="101">
        <v>44832.0</v>
      </c>
    </row>
    <row r="61">
      <c r="E61" s="93" t="s">
        <v>129</v>
      </c>
      <c r="F61" s="93">
        <v>6.0</v>
      </c>
      <c r="G61" s="93">
        <v>1880.0</v>
      </c>
      <c r="H61" s="100">
        <f t="shared" si="2"/>
        <v>11280</v>
      </c>
      <c r="I61" s="101">
        <v>44833.0</v>
      </c>
    </row>
    <row r="62">
      <c r="E62" s="93" t="s">
        <v>130</v>
      </c>
      <c r="F62" s="93">
        <v>5.0</v>
      </c>
      <c r="G62" s="93">
        <v>1300.0</v>
      </c>
      <c r="H62" s="100">
        <f t="shared" si="2"/>
        <v>6500</v>
      </c>
      <c r="I62" s="101">
        <v>44833.0</v>
      </c>
    </row>
    <row r="63">
      <c r="E63" s="93" t="s">
        <v>131</v>
      </c>
      <c r="F63" s="93">
        <v>12.0</v>
      </c>
      <c r="G63" s="93">
        <v>410.0</v>
      </c>
      <c r="H63" s="100">
        <f t="shared" si="2"/>
        <v>4920</v>
      </c>
      <c r="I63" s="101">
        <v>44833.0</v>
      </c>
    </row>
    <row r="64">
      <c r="E64" s="93" t="s">
        <v>132</v>
      </c>
      <c r="F64" s="93">
        <v>1.83</v>
      </c>
      <c r="G64" s="93">
        <v>2250.0</v>
      </c>
      <c r="H64" s="100">
        <f t="shared" si="2"/>
        <v>4117.5</v>
      </c>
      <c r="I64" s="101">
        <v>44833.0</v>
      </c>
    </row>
    <row r="65">
      <c r="E65" s="93" t="s">
        <v>133</v>
      </c>
      <c r="F65" s="93">
        <v>1.0</v>
      </c>
      <c r="G65" s="93">
        <v>320.0</v>
      </c>
      <c r="H65" s="100">
        <f t="shared" si="2"/>
        <v>320</v>
      </c>
      <c r="I65" s="101">
        <v>44833.0</v>
      </c>
    </row>
    <row r="66">
      <c r="E66" s="93" t="s">
        <v>134</v>
      </c>
      <c r="F66" s="93">
        <v>1.0</v>
      </c>
      <c r="G66" s="93">
        <v>4600.0</v>
      </c>
      <c r="H66" s="100">
        <f t="shared" si="2"/>
        <v>4600</v>
      </c>
      <c r="I66" s="101">
        <v>44833.0</v>
      </c>
    </row>
    <row r="67">
      <c r="E67" s="93" t="s">
        <v>135</v>
      </c>
      <c r="F67" s="93">
        <v>3.0</v>
      </c>
      <c r="G67" s="93">
        <v>1550.0</v>
      </c>
      <c r="H67" s="100">
        <f t="shared" si="2"/>
        <v>4650</v>
      </c>
      <c r="I67" s="101">
        <v>44833.0</v>
      </c>
    </row>
    <row r="68">
      <c r="E68" s="93" t="s">
        <v>136</v>
      </c>
      <c r="F68" s="93">
        <v>3.0</v>
      </c>
      <c r="G68" s="93">
        <v>1800.0</v>
      </c>
      <c r="H68" s="100">
        <f t="shared" si="2"/>
        <v>5400</v>
      </c>
      <c r="I68" s="101">
        <v>44833.0</v>
      </c>
    </row>
    <row r="69">
      <c r="E69" s="93" t="s">
        <v>137</v>
      </c>
      <c r="F69" s="93">
        <v>3.0</v>
      </c>
      <c r="G69" s="93">
        <v>1300.0</v>
      </c>
      <c r="H69" s="100">
        <f t="shared" si="2"/>
        <v>3900</v>
      </c>
      <c r="I69" s="101">
        <v>44833.0</v>
      </c>
    </row>
    <row r="70">
      <c r="E70" s="93" t="s">
        <v>138</v>
      </c>
      <c r="F70" s="93">
        <v>3.0</v>
      </c>
      <c r="G70" s="93">
        <v>1450.0</v>
      </c>
      <c r="H70" s="100">
        <f t="shared" si="2"/>
        <v>4350</v>
      </c>
      <c r="I70" s="101">
        <v>44833.0</v>
      </c>
    </row>
    <row r="71">
      <c r="E71" s="93" t="s">
        <v>139</v>
      </c>
      <c r="F71" s="93">
        <v>3.0</v>
      </c>
      <c r="G71" s="93">
        <v>1800.0</v>
      </c>
      <c r="H71" s="100">
        <f t="shared" si="2"/>
        <v>5400</v>
      </c>
      <c r="I71" s="101">
        <v>44833.0</v>
      </c>
    </row>
    <row r="72">
      <c r="E72" s="93" t="s">
        <v>140</v>
      </c>
      <c r="F72" s="93">
        <v>3.0</v>
      </c>
      <c r="G72" s="93">
        <v>2300.0</v>
      </c>
      <c r="H72" s="100">
        <f t="shared" si="2"/>
        <v>6900</v>
      </c>
      <c r="I72" s="101">
        <v>44833.0</v>
      </c>
    </row>
    <row r="73">
      <c r="E73" s="93" t="s">
        <v>141</v>
      </c>
      <c r="F73" s="93">
        <v>4.0</v>
      </c>
      <c r="G73" s="93">
        <v>80.0</v>
      </c>
      <c r="H73" s="100">
        <f t="shared" si="2"/>
        <v>320</v>
      </c>
      <c r="I73" s="101">
        <v>44833.0</v>
      </c>
    </row>
    <row r="74">
      <c r="E74" s="93" t="s">
        <v>142</v>
      </c>
      <c r="F74" s="93">
        <v>2.0</v>
      </c>
      <c r="G74" s="93">
        <v>250.0</v>
      </c>
      <c r="H74" s="100">
        <f t="shared" si="2"/>
        <v>500</v>
      </c>
      <c r="I74" s="101">
        <v>7714925.0</v>
      </c>
    </row>
    <row r="75">
      <c r="E75" s="93" t="s">
        <v>143</v>
      </c>
      <c r="F75" s="93">
        <v>50.0</v>
      </c>
      <c r="G75" s="93">
        <v>40.0</v>
      </c>
      <c r="H75" s="100">
        <f t="shared" si="2"/>
        <v>2000</v>
      </c>
      <c r="I75" s="101">
        <v>44833.0</v>
      </c>
    </row>
    <row r="76">
      <c r="E76" s="93" t="s">
        <v>144</v>
      </c>
      <c r="F76" s="93">
        <v>16.0</v>
      </c>
      <c r="G76" s="93">
        <v>216.0</v>
      </c>
      <c r="H76" s="100">
        <f t="shared" si="2"/>
        <v>3456</v>
      </c>
      <c r="I76" s="101">
        <v>44833.0</v>
      </c>
    </row>
    <row r="77">
      <c r="E77" s="93" t="s">
        <v>145</v>
      </c>
      <c r="F77" s="93">
        <v>0.5</v>
      </c>
      <c r="G77" s="93">
        <v>1000.0</v>
      </c>
      <c r="H77" s="100">
        <f t="shared" si="2"/>
        <v>500</v>
      </c>
      <c r="I77" s="101">
        <v>44833.0</v>
      </c>
    </row>
    <row r="78">
      <c r="E78" s="93" t="s">
        <v>146</v>
      </c>
      <c r="F78" s="93">
        <v>1.0</v>
      </c>
      <c r="G78" s="93">
        <v>800.0</v>
      </c>
      <c r="H78" s="100">
        <f t="shared" si="2"/>
        <v>800</v>
      </c>
      <c r="I78" s="101">
        <v>44833.0</v>
      </c>
    </row>
    <row r="79">
      <c r="E79" s="93" t="s">
        <v>147</v>
      </c>
      <c r="F79" s="93">
        <v>5.0</v>
      </c>
      <c r="G79" s="93">
        <v>20.0</v>
      </c>
      <c r="H79" s="100">
        <f t="shared" si="2"/>
        <v>100</v>
      </c>
      <c r="I79" s="101">
        <v>44833.0</v>
      </c>
    </row>
    <row r="80">
      <c r="E80" s="93" t="s">
        <v>148</v>
      </c>
      <c r="F80" s="93">
        <v>35.0</v>
      </c>
      <c r="G80" s="93">
        <v>120.0</v>
      </c>
      <c r="H80" s="100">
        <f t="shared" si="2"/>
        <v>4200</v>
      </c>
      <c r="I80" s="101">
        <v>44833.0</v>
      </c>
    </row>
    <row r="81">
      <c r="E81" s="102" t="s">
        <v>149</v>
      </c>
      <c r="F81" s="103">
        <v>3.0</v>
      </c>
      <c r="G81" s="104">
        <v>2988.0</v>
      </c>
      <c r="H81" s="105">
        <f t="shared" si="2"/>
        <v>8964</v>
      </c>
      <c r="I81" s="106">
        <v>44805.0</v>
      </c>
    </row>
    <row r="82">
      <c r="E82" s="107" t="s">
        <v>150</v>
      </c>
      <c r="F82" s="108">
        <v>2.0</v>
      </c>
      <c r="G82" s="109">
        <v>3112.0</v>
      </c>
      <c r="H82" s="110">
        <f t="shared" si="2"/>
        <v>6224</v>
      </c>
      <c r="I82" s="111">
        <v>44805.0</v>
      </c>
    </row>
    <row r="83">
      <c r="E83" s="107" t="s">
        <v>151</v>
      </c>
      <c r="F83" s="108">
        <v>0.5</v>
      </c>
      <c r="G83" s="109">
        <v>3440.0</v>
      </c>
      <c r="H83" s="110">
        <f t="shared" si="2"/>
        <v>1720</v>
      </c>
      <c r="I83" s="111">
        <v>44805.0</v>
      </c>
    </row>
    <row r="84">
      <c r="E84" s="112" t="s">
        <v>152</v>
      </c>
      <c r="F84" s="113">
        <v>25.0</v>
      </c>
      <c r="G84" s="114">
        <v>650.0</v>
      </c>
      <c r="H84" s="115">
        <f t="shared" si="2"/>
        <v>16250</v>
      </c>
      <c r="I84" s="114" t="s">
        <v>153</v>
      </c>
    </row>
    <row r="85">
      <c r="E85" s="107" t="s">
        <v>115</v>
      </c>
      <c r="F85" s="108">
        <v>8.0</v>
      </c>
      <c r="G85" s="109">
        <v>350.0</v>
      </c>
      <c r="H85" s="110">
        <f t="shared" si="2"/>
        <v>2800</v>
      </c>
      <c r="I85" s="111">
        <v>44805.0</v>
      </c>
    </row>
    <row r="86">
      <c r="E86" s="102" t="s">
        <v>154</v>
      </c>
      <c r="F86" s="103">
        <v>6.0</v>
      </c>
      <c r="G86" s="104">
        <v>385.0</v>
      </c>
      <c r="H86" s="105">
        <f t="shared" si="2"/>
        <v>2310</v>
      </c>
      <c r="I86" s="106">
        <v>44821.0</v>
      </c>
    </row>
    <row r="87">
      <c r="E87" s="95" t="s">
        <v>155</v>
      </c>
      <c r="F87" s="96">
        <v>15.0</v>
      </c>
      <c r="G87" s="116">
        <v>200.0</v>
      </c>
      <c r="H87" s="97">
        <f t="shared" si="2"/>
        <v>3000</v>
      </c>
      <c r="I87" s="98">
        <v>44805.0</v>
      </c>
    </row>
    <row r="88">
      <c r="E88" s="95" t="s">
        <v>156</v>
      </c>
      <c r="F88" s="96">
        <v>1.0</v>
      </c>
      <c r="G88" s="96">
        <v>390.0</v>
      </c>
      <c r="H88" s="97">
        <f t="shared" si="2"/>
        <v>390</v>
      </c>
      <c r="I88" s="98">
        <v>44805.0</v>
      </c>
    </row>
    <row r="89">
      <c r="E89" s="95" t="s">
        <v>157</v>
      </c>
      <c r="F89" s="99">
        <v>80.0</v>
      </c>
      <c r="G89" s="99">
        <v>24.0</v>
      </c>
      <c r="H89" s="97">
        <f t="shared" si="2"/>
        <v>1920</v>
      </c>
      <c r="I89" s="98">
        <v>44805.0</v>
      </c>
    </row>
    <row r="90">
      <c r="E90" s="95" t="s">
        <v>158</v>
      </c>
      <c r="F90" s="96">
        <v>5.0</v>
      </c>
      <c r="G90" s="96">
        <v>320.0</v>
      </c>
      <c r="H90" s="97">
        <f t="shared" si="2"/>
        <v>1600</v>
      </c>
      <c r="I90" s="98">
        <v>44807.0</v>
      </c>
    </row>
    <row r="91">
      <c r="E91" s="95" t="s">
        <v>159</v>
      </c>
      <c r="F91" s="99">
        <v>3.0</v>
      </c>
      <c r="G91" s="96">
        <v>520.0</v>
      </c>
      <c r="H91" s="97">
        <f t="shared" si="2"/>
        <v>1560</v>
      </c>
      <c r="I91" s="98">
        <v>44809.0</v>
      </c>
    </row>
    <row r="92">
      <c r="E92" s="95" t="s">
        <v>160</v>
      </c>
      <c r="F92" s="99">
        <v>19.0</v>
      </c>
      <c r="G92" s="96">
        <v>285.0</v>
      </c>
      <c r="H92" s="97">
        <f t="shared" si="2"/>
        <v>5415</v>
      </c>
      <c r="I92" s="98">
        <v>44809.0</v>
      </c>
    </row>
    <row r="93">
      <c r="E93" s="95" t="s">
        <v>161</v>
      </c>
      <c r="F93" s="99">
        <v>3.0</v>
      </c>
      <c r="G93" s="96">
        <v>140.0</v>
      </c>
      <c r="H93" s="97">
        <f t="shared" si="2"/>
        <v>420</v>
      </c>
      <c r="I93" s="98">
        <v>44811.0</v>
      </c>
    </row>
    <row r="94">
      <c r="E94" s="95" t="s">
        <v>162</v>
      </c>
      <c r="F94" s="99">
        <v>11.0</v>
      </c>
      <c r="G94" s="96">
        <v>115.0</v>
      </c>
      <c r="H94" s="97">
        <f t="shared" si="2"/>
        <v>1265</v>
      </c>
      <c r="I94" s="98">
        <v>44812.0</v>
      </c>
    </row>
    <row r="95">
      <c r="E95" s="95" t="s">
        <v>163</v>
      </c>
      <c r="F95" s="99">
        <v>1.0</v>
      </c>
      <c r="G95" s="96">
        <v>1050.0</v>
      </c>
      <c r="H95" s="97">
        <f t="shared" si="2"/>
        <v>1050</v>
      </c>
      <c r="I95" s="98">
        <v>44814.0</v>
      </c>
    </row>
    <row r="96">
      <c r="E96" s="95" t="s">
        <v>164</v>
      </c>
      <c r="F96" s="99">
        <v>15.0</v>
      </c>
      <c r="G96" s="96">
        <v>250.0</v>
      </c>
      <c r="H96" s="97">
        <f t="shared" si="2"/>
        <v>3750</v>
      </c>
      <c r="I96" s="98">
        <v>44818.0</v>
      </c>
    </row>
    <row r="97">
      <c r="E97" s="93" t="s">
        <v>165</v>
      </c>
      <c r="F97" s="93">
        <v>3.0</v>
      </c>
      <c r="G97" s="93">
        <v>360.0</v>
      </c>
      <c r="H97" s="100">
        <f t="shared" si="2"/>
        <v>1080</v>
      </c>
      <c r="I97" s="101">
        <v>44835.0</v>
      </c>
    </row>
    <row r="98">
      <c r="E98" s="93" t="s">
        <v>166</v>
      </c>
      <c r="F98" s="93">
        <v>0.5</v>
      </c>
      <c r="G98" s="93">
        <v>1800.0</v>
      </c>
      <c r="H98" s="100">
        <f t="shared" si="2"/>
        <v>900</v>
      </c>
      <c r="I98" s="101">
        <v>44835.0</v>
      </c>
    </row>
    <row r="99">
      <c r="E99" s="93" t="s">
        <v>167</v>
      </c>
      <c r="F99" s="93">
        <v>1.0</v>
      </c>
      <c r="G99" s="93">
        <v>750.0</v>
      </c>
      <c r="H99" s="100">
        <f t="shared" si="2"/>
        <v>750</v>
      </c>
      <c r="I99" s="101">
        <v>44805.0</v>
      </c>
    </row>
    <row r="100">
      <c r="E100" s="93" t="s">
        <v>168</v>
      </c>
      <c r="F100" s="93">
        <v>1.0</v>
      </c>
      <c r="G100" s="93">
        <v>650.0</v>
      </c>
      <c r="H100" s="100">
        <f t="shared" si="2"/>
        <v>650</v>
      </c>
      <c r="I100" s="101">
        <v>44805.0</v>
      </c>
    </row>
    <row r="101">
      <c r="E101" s="93" t="s">
        <v>169</v>
      </c>
      <c r="F101" s="93">
        <v>1.0</v>
      </c>
      <c r="G101" s="93">
        <v>1000.0</v>
      </c>
      <c r="H101" s="100">
        <f t="shared" si="2"/>
        <v>1000</v>
      </c>
      <c r="I101" s="101">
        <v>44805.0</v>
      </c>
    </row>
    <row r="102">
      <c r="E102" s="93" t="s">
        <v>170</v>
      </c>
      <c r="F102" s="93">
        <v>14.0</v>
      </c>
      <c r="G102" s="93">
        <v>300.0</v>
      </c>
      <c r="H102" s="100">
        <f t="shared" si="2"/>
        <v>4200</v>
      </c>
      <c r="I102" s="101">
        <v>44835.0</v>
      </c>
    </row>
    <row r="103">
      <c r="E103" s="93" t="s">
        <v>171</v>
      </c>
      <c r="F103" s="93">
        <v>3.0</v>
      </c>
      <c r="G103" s="93">
        <v>1700.0</v>
      </c>
      <c r="H103" s="100">
        <f t="shared" si="2"/>
        <v>5100</v>
      </c>
      <c r="I103" s="101">
        <v>44835.0</v>
      </c>
    </row>
    <row r="104">
      <c r="E104" s="93" t="s">
        <v>148</v>
      </c>
      <c r="F104" s="93">
        <v>30.0</v>
      </c>
      <c r="G104" s="93">
        <v>120.0</v>
      </c>
      <c r="H104" s="100">
        <f t="shared" si="2"/>
        <v>3600</v>
      </c>
      <c r="I104" s="101">
        <v>44835.0</v>
      </c>
    </row>
    <row r="105">
      <c r="E105" s="93" t="s">
        <v>146</v>
      </c>
      <c r="F105" s="93">
        <v>2.0</v>
      </c>
      <c r="G105" s="93">
        <v>800.0</v>
      </c>
      <c r="H105" s="100">
        <f t="shared" si="2"/>
        <v>1600</v>
      </c>
      <c r="I105" s="101">
        <v>44835.0</v>
      </c>
    </row>
    <row r="106">
      <c r="E106" s="93" t="s">
        <v>121</v>
      </c>
      <c r="F106" s="93">
        <v>6.0</v>
      </c>
      <c r="G106" s="93">
        <v>160.0</v>
      </c>
      <c r="H106" s="100">
        <f t="shared" si="2"/>
        <v>960</v>
      </c>
      <c r="I106" s="101">
        <v>44835.0</v>
      </c>
    </row>
    <row r="107">
      <c r="E107" s="93" t="s">
        <v>172</v>
      </c>
      <c r="F107" s="93">
        <v>1.0</v>
      </c>
      <c r="G107" s="93">
        <v>300.0</v>
      </c>
      <c r="H107" s="100">
        <f t="shared" si="2"/>
        <v>300</v>
      </c>
      <c r="I107" s="101">
        <v>44835.0</v>
      </c>
    </row>
    <row r="108">
      <c r="E108" s="93" t="s">
        <v>173</v>
      </c>
      <c r="F108" s="93">
        <v>1.0</v>
      </c>
      <c r="G108" s="93">
        <v>400.0</v>
      </c>
      <c r="H108" s="100">
        <f t="shared" si="2"/>
        <v>400</v>
      </c>
      <c r="I108" s="101">
        <v>44835.0</v>
      </c>
    </row>
    <row r="109">
      <c r="E109" s="93" t="s">
        <v>174</v>
      </c>
      <c r="F109" s="93">
        <v>1.0</v>
      </c>
      <c r="G109" s="93">
        <v>3500.0</v>
      </c>
      <c r="H109" s="100">
        <f t="shared" si="2"/>
        <v>3500</v>
      </c>
      <c r="I109" s="101">
        <v>44835.0</v>
      </c>
    </row>
    <row r="110">
      <c r="E110" s="93" t="s">
        <v>175</v>
      </c>
      <c r="F110" s="93">
        <v>25.0</v>
      </c>
      <c r="G110" s="93">
        <v>80.0</v>
      </c>
      <c r="H110" s="100">
        <f t="shared" si="2"/>
        <v>2000</v>
      </c>
      <c r="I110" s="101">
        <v>44837.0</v>
      </c>
    </row>
    <row r="111">
      <c r="E111" s="93" t="s">
        <v>176</v>
      </c>
      <c r="F111" s="93">
        <v>3.0</v>
      </c>
      <c r="G111" s="93">
        <v>680.0</v>
      </c>
      <c r="H111" s="100">
        <f t="shared" si="2"/>
        <v>2040</v>
      </c>
      <c r="I111" s="101">
        <v>44837.0</v>
      </c>
    </row>
    <row r="112">
      <c r="E112" s="93" t="s">
        <v>177</v>
      </c>
      <c r="F112" s="93">
        <v>2.0</v>
      </c>
      <c r="G112" s="93">
        <v>1250.0</v>
      </c>
      <c r="H112" s="100">
        <f t="shared" si="2"/>
        <v>2500</v>
      </c>
      <c r="I112" s="101">
        <v>44837.0</v>
      </c>
    </row>
    <row r="113">
      <c r="E113" s="93" t="s">
        <v>148</v>
      </c>
      <c r="F113" s="93">
        <v>40.0</v>
      </c>
      <c r="G113" s="93">
        <v>120.0</v>
      </c>
      <c r="H113" s="100">
        <f t="shared" si="2"/>
        <v>4800</v>
      </c>
      <c r="I113" s="101">
        <v>44837.0</v>
      </c>
    </row>
    <row r="114">
      <c r="E114" s="93" t="s">
        <v>146</v>
      </c>
      <c r="F114" s="93">
        <v>2.5</v>
      </c>
      <c r="G114" s="93">
        <v>800.0</v>
      </c>
      <c r="H114" s="100">
        <f t="shared" si="2"/>
        <v>2000</v>
      </c>
      <c r="I114" s="101">
        <v>44837.0</v>
      </c>
    </row>
    <row r="115">
      <c r="E115" s="93" t="s">
        <v>121</v>
      </c>
      <c r="F115" s="93">
        <v>15.0</v>
      </c>
      <c r="G115" s="93">
        <v>160.0</v>
      </c>
      <c r="H115" s="100">
        <f t="shared" si="2"/>
        <v>2400</v>
      </c>
      <c r="I115" s="101">
        <v>44837.0</v>
      </c>
    </row>
    <row r="116">
      <c r="E116" s="93" t="s">
        <v>178</v>
      </c>
      <c r="F116" s="93">
        <v>1.0</v>
      </c>
      <c r="G116" s="93">
        <v>450.0</v>
      </c>
      <c r="H116" s="100">
        <f t="shared" si="2"/>
        <v>450</v>
      </c>
      <c r="I116" s="101">
        <v>44837.0</v>
      </c>
    </row>
    <row r="117">
      <c r="E117" s="93" t="s">
        <v>179</v>
      </c>
      <c r="F117" s="93">
        <v>1.0</v>
      </c>
      <c r="G117" s="93">
        <v>350.0</v>
      </c>
      <c r="H117" s="100">
        <f t="shared" si="2"/>
        <v>350</v>
      </c>
      <c r="I117" s="101">
        <v>44837.0</v>
      </c>
    </row>
    <row r="118">
      <c r="E118" s="93" t="s">
        <v>180</v>
      </c>
      <c r="F118" s="93">
        <v>10.0</v>
      </c>
      <c r="G118" s="93">
        <v>1700.0</v>
      </c>
      <c r="H118" s="100">
        <f t="shared" si="2"/>
        <v>17000</v>
      </c>
      <c r="I118" s="101">
        <v>44837.0</v>
      </c>
    </row>
    <row r="119">
      <c r="E119" s="93" t="s">
        <v>181</v>
      </c>
      <c r="F119" s="93">
        <v>5.0</v>
      </c>
      <c r="G119" s="93">
        <v>750.0</v>
      </c>
      <c r="H119" s="100">
        <f t="shared" si="2"/>
        <v>3750</v>
      </c>
      <c r="I119" s="101">
        <v>44837.0</v>
      </c>
    </row>
    <row r="120">
      <c r="E120" s="93" t="s">
        <v>182</v>
      </c>
      <c r="F120" s="93">
        <v>1.0</v>
      </c>
      <c r="G120" s="93">
        <v>150.0</v>
      </c>
      <c r="H120" s="100">
        <f t="shared" si="2"/>
        <v>150</v>
      </c>
      <c r="I120" s="101">
        <v>44837.0</v>
      </c>
    </row>
    <row r="121">
      <c r="E121" s="93" t="s">
        <v>123</v>
      </c>
      <c r="F121" s="93">
        <v>1.0</v>
      </c>
      <c r="G121" s="93">
        <v>150.0</v>
      </c>
      <c r="H121" s="100">
        <f t="shared" si="2"/>
        <v>150</v>
      </c>
      <c r="I121" s="101">
        <v>44837.0</v>
      </c>
    </row>
    <row r="122">
      <c r="E122" s="93" t="s">
        <v>183</v>
      </c>
      <c r="F122" s="93">
        <v>2.0</v>
      </c>
      <c r="G122" s="93">
        <v>150.0</v>
      </c>
      <c r="H122" s="100">
        <f t="shared" si="2"/>
        <v>300</v>
      </c>
      <c r="I122" s="101">
        <v>44837.0</v>
      </c>
    </row>
    <row r="123">
      <c r="E123" s="93" t="s">
        <v>184</v>
      </c>
      <c r="F123" s="93">
        <v>1.0</v>
      </c>
      <c r="G123" s="93">
        <v>200.0</v>
      </c>
      <c r="H123" s="100">
        <f t="shared" si="2"/>
        <v>200</v>
      </c>
      <c r="I123" s="101">
        <v>44837.0</v>
      </c>
    </row>
    <row r="124">
      <c r="E124" s="93" t="s">
        <v>185</v>
      </c>
      <c r="F124" s="93">
        <v>2.0</v>
      </c>
      <c r="G124" s="93">
        <v>350.0</v>
      </c>
      <c r="H124" s="100">
        <f t="shared" si="2"/>
        <v>700</v>
      </c>
      <c r="I124" s="101">
        <v>44837.0</v>
      </c>
    </row>
    <row r="125">
      <c r="E125" s="117" t="s">
        <v>148</v>
      </c>
      <c r="F125" s="117">
        <v>60.0</v>
      </c>
      <c r="G125" s="117">
        <v>120.0</v>
      </c>
      <c r="H125" s="118">
        <f t="shared" si="2"/>
        <v>7200</v>
      </c>
      <c r="I125" s="119">
        <v>44838.0</v>
      </c>
    </row>
    <row r="126">
      <c r="E126" s="93" t="s">
        <v>186</v>
      </c>
      <c r="F126" s="93">
        <v>2.0</v>
      </c>
      <c r="G126" s="93">
        <v>300.0</v>
      </c>
      <c r="H126" s="100">
        <f t="shared" si="2"/>
        <v>600</v>
      </c>
      <c r="I126" s="101">
        <v>44838.0</v>
      </c>
    </row>
    <row r="127">
      <c r="E127" s="93" t="s">
        <v>180</v>
      </c>
      <c r="F127" s="93">
        <v>5.0</v>
      </c>
      <c r="G127" s="93">
        <v>1700.0</v>
      </c>
      <c r="H127" s="100">
        <f t="shared" si="2"/>
        <v>8500</v>
      </c>
      <c r="I127" s="101">
        <v>44838.0</v>
      </c>
    </row>
    <row r="128">
      <c r="E128" s="93" t="s">
        <v>187</v>
      </c>
      <c r="F128" s="93">
        <v>4.0</v>
      </c>
      <c r="G128" s="93">
        <v>500.0</v>
      </c>
      <c r="H128" s="100">
        <f t="shared" si="2"/>
        <v>2000</v>
      </c>
      <c r="I128" s="101">
        <v>44838.0</v>
      </c>
    </row>
    <row r="129">
      <c r="E129" s="93" t="s">
        <v>188</v>
      </c>
      <c r="F129" s="93">
        <v>2.0</v>
      </c>
      <c r="G129" s="93">
        <v>300.0</v>
      </c>
      <c r="H129" s="100">
        <f t="shared" si="2"/>
        <v>600</v>
      </c>
      <c r="I129" s="101">
        <v>44838.0</v>
      </c>
    </row>
    <row r="130">
      <c r="E130" s="117" t="s">
        <v>189</v>
      </c>
      <c r="F130" s="117">
        <v>100.0</v>
      </c>
      <c r="G130" s="117">
        <v>120.0</v>
      </c>
      <c r="H130" s="118">
        <f t="shared" si="2"/>
        <v>12000</v>
      </c>
      <c r="I130" s="119">
        <v>44839.0</v>
      </c>
    </row>
    <row r="131">
      <c r="D131" s="92">
        <v>2400.0</v>
      </c>
      <c r="E131" s="117" t="s">
        <v>190</v>
      </c>
      <c r="F131" s="117">
        <v>15.0</v>
      </c>
      <c r="G131" s="117">
        <v>160.0</v>
      </c>
      <c r="H131" s="118">
        <f t="shared" si="2"/>
        <v>2400</v>
      </c>
      <c r="I131" s="119">
        <v>44839.0</v>
      </c>
    </row>
    <row r="132">
      <c r="E132" s="117" t="s">
        <v>191</v>
      </c>
      <c r="F132" s="117">
        <v>1.0</v>
      </c>
      <c r="G132" s="117">
        <v>140.0</v>
      </c>
      <c r="H132" s="118">
        <f t="shared" si="2"/>
        <v>140</v>
      </c>
      <c r="I132" s="120"/>
    </row>
    <row r="133">
      <c r="E133" s="117" t="s">
        <v>192</v>
      </c>
      <c r="F133" s="117">
        <v>2.0</v>
      </c>
      <c r="G133" s="117">
        <v>100.0</v>
      </c>
      <c r="H133" s="118">
        <f t="shared" si="2"/>
        <v>200</v>
      </c>
      <c r="I133" s="120"/>
    </row>
    <row r="134">
      <c r="E134" s="93" t="s">
        <v>193</v>
      </c>
      <c r="F134" s="93">
        <v>5.0</v>
      </c>
      <c r="G134" s="93">
        <v>20.0</v>
      </c>
      <c r="H134" s="100">
        <f t="shared" si="2"/>
        <v>100</v>
      </c>
      <c r="I134" s="93" t="s">
        <v>194</v>
      </c>
    </row>
    <row r="135">
      <c r="E135" s="93" t="s">
        <v>195</v>
      </c>
      <c r="F135" s="93">
        <v>20.0</v>
      </c>
      <c r="G135" s="93">
        <v>310.0</v>
      </c>
      <c r="H135" s="100">
        <f t="shared" si="2"/>
        <v>6200</v>
      </c>
      <c r="I135" s="101">
        <v>44839.0</v>
      </c>
    </row>
    <row r="136">
      <c r="E136" s="93" t="s">
        <v>196</v>
      </c>
      <c r="F136" s="93">
        <v>1.0</v>
      </c>
      <c r="G136" s="93">
        <v>1000.0</v>
      </c>
      <c r="H136" s="100">
        <f t="shared" si="2"/>
        <v>1000</v>
      </c>
      <c r="I136" s="101">
        <v>44839.0</v>
      </c>
    </row>
    <row r="137">
      <c r="E137" s="93" t="s">
        <v>122</v>
      </c>
      <c r="F137" s="93">
        <v>100.0</v>
      </c>
      <c r="G137" s="93">
        <v>60.0</v>
      </c>
      <c r="H137" s="100">
        <f t="shared" si="2"/>
        <v>6000</v>
      </c>
      <c r="I137" s="101">
        <v>44839.0</v>
      </c>
    </row>
    <row r="138">
      <c r="E138" s="93" t="s">
        <v>197</v>
      </c>
      <c r="F138" s="93">
        <v>4.0</v>
      </c>
      <c r="G138" s="93">
        <v>350.0</v>
      </c>
      <c r="H138" s="100">
        <f t="shared" si="2"/>
        <v>1400</v>
      </c>
      <c r="I138" s="101">
        <v>44839.0</v>
      </c>
    </row>
    <row r="139">
      <c r="E139" s="93" t="s">
        <v>198</v>
      </c>
      <c r="F139" s="93">
        <v>1.0</v>
      </c>
      <c r="G139" s="93">
        <v>300.0</v>
      </c>
      <c r="H139" s="100">
        <f t="shared" si="2"/>
        <v>300</v>
      </c>
      <c r="I139" s="101">
        <v>44839.0</v>
      </c>
    </row>
    <row r="140">
      <c r="E140" s="93" t="s">
        <v>199</v>
      </c>
      <c r="F140" s="93">
        <v>4.0</v>
      </c>
      <c r="G140" s="93">
        <v>60.0</v>
      </c>
      <c r="H140" s="100">
        <f t="shared" si="2"/>
        <v>240</v>
      </c>
      <c r="I140" s="101">
        <v>44839.0</v>
      </c>
    </row>
    <row r="141">
      <c r="E141" s="93" t="s">
        <v>200</v>
      </c>
      <c r="F141" s="93">
        <v>1.0</v>
      </c>
      <c r="G141" s="93">
        <v>800.0</v>
      </c>
      <c r="H141" s="100">
        <f t="shared" si="2"/>
        <v>800</v>
      </c>
      <c r="I141" s="101">
        <v>44839.0</v>
      </c>
    </row>
    <row r="142">
      <c r="E142" s="117" t="s">
        <v>201</v>
      </c>
      <c r="F142" s="117">
        <v>80.0</v>
      </c>
      <c r="G142" s="117">
        <v>120.0</v>
      </c>
      <c r="H142" s="118">
        <f t="shared" si="2"/>
        <v>9600</v>
      </c>
      <c r="I142" s="119">
        <v>44840.0</v>
      </c>
    </row>
    <row r="143">
      <c r="D143" s="92">
        <v>2250.0</v>
      </c>
      <c r="E143" s="117" t="s">
        <v>146</v>
      </c>
      <c r="F143" s="117">
        <v>3.0</v>
      </c>
      <c r="G143" s="117">
        <v>800.0</v>
      </c>
      <c r="H143" s="118">
        <f t="shared" si="2"/>
        <v>2400</v>
      </c>
      <c r="I143" s="119">
        <v>44840.0</v>
      </c>
    </row>
    <row r="144">
      <c r="D144" s="92">
        <v>1600.0</v>
      </c>
      <c r="E144" s="117" t="s">
        <v>202</v>
      </c>
      <c r="F144" s="117">
        <v>10.0</v>
      </c>
      <c r="G144" s="117">
        <v>160.0</v>
      </c>
      <c r="H144" s="118">
        <f t="shared" si="2"/>
        <v>1600</v>
      </c>
      <c r="I144" s="119">
        <v>44840.0</v>
      </c>
    </row>
    <row r="145">
      <c r="E145" s="117" t="s">
        <v>203</v>
      </c>
      <c r="F145" s="117">
        <v>1.0</v>
      </c>
      <c r="G145" s="117">
        <v>3600.0</v>
      </c>
      <c r="H145" s="118">
        <f t="shared" si="2"/>
        <v>3600</v>
      </c>
      <c r="I145" s="119">
        <v>44840.0</v>
      </c>
    </row>
    <row r="146">
      <c r="E146" s="93" t="s">
        <v>204</v>
      </c>
      <c r="F146" s="93">
        <v>8.0</v>
      </c>
      <c r="G146" s="93">
        <v>100.0</v>
      </c>
      <c r="H146" s="100">
        <f t="shared" si="2"/>
        <v>800</v>
      </c>
      <c r="I146" s="101">
        <v>44840.0</v>
      </c>
    </row>
    <row r="147">
      <c r="E147" s="93" t="s">
        <v>107</v>
      </c>
      <c r="F147" s="93">
        <v>40.0</v>
      </c>
      <c r="G147" s="93">
        <v>70.0</v>
      </c>
      <c r="H147" s="100">
        <f t="shared" si="2"/>
        <v>2800</v>
      </c>
      <c r="I147" s="93" t="s">
        <v>205</v>
      </c>
    </row>
    <row r="148">
      <c r="E148" s="93" t="s">
        <v>206</v>
      </c>
      <c r="F148" s="93">
        <v>4.0</v>
      </c>
      <c r="G148" s="93">
        <v>160.0</v>
      </c>
      <c r="H148" s="100">
        <f t="shared" si="2"/>
        <v>640</v>
      </c>
      <c r="I148" s="101">
        <v>44840.0</v>
      </c>
    </row>
    <row r="149">
      <c r="E149" s="93" t="s">
        <v>207</v>
      </c>
      <c r="F149" s="93">
        <v>1.0</v>
      </c>
      <c r="G149" s="93">
        <v>400.0</v>
      </c>
      <c r="H149" s="100">
        <f t="shared" si="2"/>
        <v>400</v>
      </c>
      <c r="I149" s="101">
        <v>44840.0</v>
      </c>
    </row>
    <row r="150">
      <c r="E150" s="93" t="s">
        <v>108</v>
      </c>
      <c r="F150" s="93">
        <v>1.0</v>
      </c>
      <c r="G150" s="93">
        <v>200.0</v>
      </c>
      <c r="H150" s="100">
        <f t="shared" si="2"/>
        <v>200</v>
      </c>
      <c r="I150" s="101">
        <v>44840.0</v>
      </c>
    </row>
    <row r="151">
      <c r="E151" s="93" t="s">
        <v>208</v>
      </c>
      <c r="F151" s="93">
        <v>5.0</v>
      </c>
      <c r="G151" s="93">
        <v>50.0</v>
      </c>
      <c r="H151" s="100">
        <f t="shared" si="2"/>
        <v>250</v>
      </c>
      <c r="I151" s="101">
        <v>44840.0</v>
      </c>
    </row>
    <row r="152">
      <c r="E152" s="93" t="s">
        <v>148</v>
      </c>
      <c r="F152" s="93">
        <v>70.0</v>
      </c>
      <c r="G152" s="93">
        <v>120.0</v>
      </c>
      <c r="H152" s="100">
        <f t="shared" si="2"/>
        <v>8400</v>
      </c>
      <c r="I152" s="101">
        <v>44840.0</v>
      </c>
    </row>
    <row r="153">
      <c r="E153" s="93" t="s">
        <v>209</v>
      </c>
      <c r="F153" s="93">
        <v>1.0</v>
      </c>
      <c r="G153" s="93">
        <v>100.0</v>
      </c>
      <c r="H153" s="100">
        <f t="shared" si="2"/>
        <v>100</v>
      </c>
      <c r="I153" s="101">
        <v>44840.0</v>
      </c>
    </row>
    <row r="154">
      <c r="E154" s="93" t="s">
        <v>198</v>
      </c>
      <c r="F154" s="93">
        <v>1.0</v>
      </c>
      <c r="G154" s="93">
        <v>1700.0</v>
      </c>
      <c r="H154" s="100">
        <f t="shared" si="2"/>
        <v>1700</v>
      </c>
      <c r="I154" s="101">
        <v>44840.0</v>
      </c>
    </row>
    <row r="155">
      <c r="E155" s="93" t="s">
        <v>210</v>
      </c>
      <c r="F155" s="93">
        <v>10.0</v>
      </c>
      <c r="G155" s="93">
        <v>195.0</v>
      </c>
      <c r="H155" s="100">
        <f t="shared" si="2"/>
        <v>1950</v>
      </c>
      <c r="I155" s="101">
        <v>44840.0</v>
      </c>
    </row>
    <row r="156">
      <c r="E156" s="93" t="s">
        <v>211</v>
      </c>
      <c r="F156" s="93">
        <v>1.0</v>
      </c>
      <c r="G156" s="93">
        <v>500.0</v>
      </c>
      <c r="H156" s="100">
        <f t="shared" si="2"/>
        <v>500</v>
      </c>
      <c r="I156" s="101">
        <v>44840.0</v>
      </c>
    </row>
    <row r="157">
      <c r="E157" s="93" t="s">
        <v>173</v>
      </c>
      <c r="F157" s="93">
        <v>1.0</v>
      </c>
      <c r="G157" s="93">
        <v>400.0</v>
      </c>
      <c r="H157" s="100">
        <f t="shared" si="2"/>
        <v>400</v>
      </c>
      <c r="I157" s="101">
        <v>44840.0</v>
      </c>
    </row>
    <row r="158">
      <c r="E158" s="93" t="s">
        <v>187</v>
      </c>
      <c r="F158" s="93">
        <v>2.0</v>
      </c>
      <c r="G158" s="93">
        <v>1000.0</v>
      </c>
      <c r="H158" s="100">
        <f t="shared" si="2"/>
        <v>2000</v>
      </c>
      <c r="I158" s="101">
        <v>44840.0</v>
      </c>
    </row>
    <row r="159">
      <c r="E159" s="93" t="s">
        <v>212</v>
      </c>
      <c r="F159" s="93">
        <v>3.0</v>
      </c>
      <c r="G159" s="93">
        <v>540.0</v>
      </c>
      <c r="H159" s="100">
        <f t="shared" si="2"/>
        <v>1620</v>
      </c>
      <c r="I159" s="101">
        <v>44840.0</v>
      </c>
    </row>
    <row r="160">
      <c r="E160" s="93" t="s">
        <v>213</v>
      </c>
      <c r="F160" s="93">
        <v>3.0</v>
      </c>
      <c r="G160" s="93">
        <v>300.0</v>
      </c>
      <c r="H160" s="100">
        <f t="shared" si="2"/>
        <v>900</v>
      </c>
      <c r="I160" s="101">
        <v>44840.0</v>
      </c>
    </row>
    <row r="161">
      <c r="E161" s="93" t="s">
        <v>214</v>
      </c>
      <c r="F161" s="93">
        <v>10.0</v>
      </c>
      <c r="G161" s="93">
        <v>200.0</v>
      </c>
      <c r="H161" s="100">
        <f t="shared" si="2"/>
        <v>2000</v>
      </c>
      <c r="I161" s="101">
        <v>44840.0</v>
      </c>
    </row>
    <row r="162">
      <c r="E162" s="93" t="s">
        <v>215</v>
      </c>
      <c r="F162" s="93">
        <v>4.0</v>
      </c>
      <c r="G162" s="93">
        <v>250.0</v>
      </c>
      <c r="H162" s="100">
        <f t="shared" si="2"/>
        <v>1000</v>
      </c>
      <c r="I162" s="101">
        <v>44840.0</v>
      </c>
    </row>
    <row r="163">
      <c r="E163" s="117" t="s">
        <v>216</v>
      </c>
      <c r="F163" s="117">
        <v>1.0</v>
      </c>
      <c r="G163" s="117">
        <v>100.0</v>
      </c>
      <c r="H163" s="118">
        <f t="shared" si="2"/>
        <v>100</v>
      </c>
      <c r="I163" s="119">
        <v>44840.0</v>
      </c>
    </row>
    <row r="164">
      <c r="E164" s="117" t="s">
        <v>217</v>
      </c>
      <c r="F164" s="117">
        <v>8.0</v>
      </c>
      <c r="G164" s="117">
        <v>320.0</v>
      </c>
      <c r="H164" s="118">
        <f t="shared" si="2"/>
        <v>2560</v>
      </c>
      <c r="I164" s="119">
        <v>44840.0</v>
      </c>
    </row>
    <row r="165">
      <c r="E165" s="93" t="s">
        <v>146</v>
      </c>
      <c r="F165" s="93">
        <v>1.0</v>
      </c>
      <c r="G165" s="93">
        <v>900.0</v>
      </c>
      <c r="H165" s="100">
        <f t="shared" si="2"/>
        <v>900</v>
      </c>
      <c r="I165" s="101">
        <v>44840.0</v>
      </c>
    </row>
    <row r="166">
      <c r="E166" s="93" t="s">
        <v>197</v>
      </c>
      <c r="F166" s="93">
        <v>2.0</v>
      </c>
      <c r="G166" s="93">
        <v>800.0</v>
      </c>
      <c r="H166" s="100">
        <f t="shared" si="2"/>
        <v>1600</v>
      </c>
      <c r="I166" s="101">
        <v>44840.0</v>
      </c>
    </row>
    <row r="167">
      <c r="E167" s="93" t="s">
        <v>218</v>
      </c>
      <c r="F167" s="93">
        <v>30.0</v>
      </c>
      <c r="G167" s="93">
        <v>350.0</v>
      </c>
      <c r="H167" s="100">
        <f t="shared" si="2"/>
        <v>10500</v>
      </c>
      <c r="I167" s="101">
        <v>44841.0</v>
      </c>
    </row>
    <row r="168">
      <c r="E168" s="93" t="s">
        <v>148</v>
      </c>
      <c r="F168" s="93">
        <v>110.0</v>
      </c>
      <c r="G168" s="93">
        <v>120.0</v>
      </c>
      <c r="H168" s="100">
        <f t="shared" si="2"/>
        <v>13200</v>
      </c>
      <c r="I168" s="101">
        <v>44841.0</v>
      </c>
    </row>
    <row r="169">
      <c r="E169" s="93" t="s">
        <v>187</v>
      </c>
      <c r="F169" s="93">
        <v>2.0</v>
      </c>
      <c r="G169" s="93">
        <v>500.0</v>
      </c>
      <c r="H169" s="100">
        <f t="shared" si="2"/>
        <v>1000</v>
      </c>
      <c r="I169" s="101">
        <v>44841.0</v>
      </c>
    </row>
    <row r="170">
      <c r="E170" s="93" t="s">
        <v>219</v>
      </c>
      <c r="F170" s="93">
        <v>5.0</v>
      </c>
      <c r="G170" s="93">
        <v>500.0</v>
      </c>
      <c r="H170" s="100">
        <f t="shared" si="2"/>
        <v>2500</v>
      </c>
      <c r="I170" s="101">
        <v>44841.0</v>
      </c>
    </row>
    <row r="171">
      <c r="E171" s="93" t="s">
        <v>204</v>
      </c>
      <c r="F171" s="93">
        <v>10.0</v>
      </c>
      <c r="G171" s="93">
        <v>100.0</v>
      </c>
      <c r="H171" s="100">
        <f t="shared" si="2"/>
        <v>1000</v>
      </c>
      <c r="I171" s="101">
        <v>44841.0</v>
      </c>
    </row>
    <row r="172">
      <c r="E172" s="93" t="s">
        <v>220</v>
      </c>
      <c r="F172" s="93">
        <v>3.0</v>
      </c>
      <c r="G172" s="93">
        <v>50.0</v>
      </c>
      <c r="H172" s="100">
        <f t="shared" si="2"/>
        <v>150</v>
      </c>
      <c r="I172" s="101">
        <v>44841.0</v>
      </c>
    </row>
    <row r="173">
      <c r="E173" s="93" t="s">
        <v>206</v>
      </c>
      <c r="F173" s="93">
        <v>5.0</v>
      </c>
      <c r="G173" s="93">
        <v>160.0</v>
      </c>
      <c r="H173" s="100">
        <f t="shared" si="2"/>
        <v>800</v>
      </c>
      <c r="I173" s="101">
        <v>44841.0</v>
      </c>
    </row>
    <row r="174">
      <c r="E174" s="93" t="s">
        <v>198</v>
      </c>
      <c r="F174" s="93">
        <v>0.5</v>
      </c>
      <c r="G174" s="93">
        <v>1900.0</v>
      </c>
      <c r="H174" s="100">
        <f t="shared" si="2"/>
        <v>950</v>
      </c>
      <c r="I174" s="101">
        <v>44841.0</v>
      </c>
    </row>
    <row r="175">
      <c r="E175" s="93" t="s">
        <v>221</v>
      </c>
      <c r="F175" s="93">
        <v>1.0</v>
      </c>
      <c r="G175" s="93">
        <v>300.0</v>
      </c>
      <c r="H175" s="100">
        <f t="shared" si="2"/>
        <v>300</v>
      </c>
      <c r="I175" s="101">
        <v>44841.0</v>
      </c>
    </row>
    <row r="176">
      <c r="E176" s="93" t="s">
        <v>217</v>
      </c>
      <c r="F176" s="93">
        <v>2.0</v>
      </c>
      <c r="G176" s="93">
        <v>350.0</v>
      </c>
      <c r="H176" s="100">
        <f t="shared" si="2"/>
        <v>700</v>
      </c>
      <c r="I176" s="101">
        <v>44843.0</v>
      </c>
    </row>
    <row r="177">
      <c r="E177" s="93" t="s">
        <v>217</v>
      </c>
      <c r="F177" s="93">
        <v>24.0</v>
      </c>
      <c r="G177" s="93">
        <v>350.0</v>
      </c>
      <c r="H177" s="100">
        <f t="shared" si="2"/>
        <v>8400</v>
      </c>
      <c r="I177" s="101">
        <v>44842.0</v>
      </c>
    </row>
    <row r="178">
      <c r="E178" s="93" t="s">
        <v>222</v>
      </c>
      <c r="F178" s="93">
        <v>10.0</v>
      </c>
      <c r="G178" s="93">
        <v>1300.0</v>
      </c>
      <c r="H178" s="100">
        <f t="shared" si="2"/>
        <v>13000</v>
      </c>
      <c r="I178" s="101">
        <v>44843.0</v>
      </c>
    </row>
    <row r="179">
      <c r="E179" s="93" t="s">
        <v>223</v>
      </c>
      <c r="F179" s="93">
        <v>1.0</v>
      </c>
      <c r="G179" s="93">
        <v>2500.0</v>
      </c>
      <c r="H179" s="100">
        <f t="shared" si="2"/>
        <v>2500</v>
      </c>
      <c r="I179" s="101">
        <v>44843.0</v>
      </c>
    </row>
    <row r="180">
      <c r="E180" s="93" t="s">
        <v>200</v>
      </c>
      <c r="F180" s="93">
        <v>1.0</v>
      </c>
      <c r="G180" s="94"/>
      <c r="H180" s="100">
        <f t="shared" si="2"/>
        <v>0</v>
      </c>
      <c r="I180" s="101">
        <v>44842.0</v>
      </c>
    </row>
    <row r="181">
      <c r="E181" s="93" t="s">
        <v>224</v>
      </c>
      <c r="F181" s="93">
        <v>2.0</v>
      </c>
      <c r="G181" s="93">
        <v>270.0</v>
      </c>
      <c r="H181" s="100">
        <f t="shared" si="2"/>
        <v>540</v>
      </c>
      <c r="I181" s="101">
        <v>44843.0</v>
      </c>
    </row>
    <row r="182">
      <c r="E182" s="93" t="s">
        <v>225</v>
      </c>
      <c r="F182" s="93">
        <v>1.0</v>
      </c>
      <c r="G182" s="93">
        <v>130.0</v>
      </c>
      <c r="H182" s="100">
        <f t="shared" si="2"/>
        <v>130</v>
      </c>
      <c r="I182" s="101">
        <v>44843.0</v>
      </c>
    </row>
    <row r="183">
      <c r="E183" s="93" t="s">
        <v>226</v>
      </c>
      <c r="F183" s="93">
        <v>1.0</v>
      </c>
      <c r="G183" s="93">
        <v>70.0</v>
      </c>
      <c r="H183" s="100">
        <f t="shared" si="2"/>
        <v>70</v>
      </c>
      <c r="I183" s="101">
        <v>44843.0</v>
      </c>
    </row>
    <row r="184">
      <c r="E184" s="93" t="s">
        <v>227</v>
      </c>
      <c r="F184" s="93">
        <v>2.0</v>
      </c>
      <c r="G184" s="93">
        <v>750.0</v>
      </c>
      <c r="H184" s="100">
        <f t="shared" si="2"/>
        <v>1500</v>
      </c>
      <c r="I184" s="101">
        <v>44843.0</v>
      </c>
    </row>
    <row r="185">
      <c r="E185" s="93" t="s">
        <v>228</v>
      </c>
      <c r="F185" s="93">
        <v>1.0</v>
      </c>
      <c r="G185" s="93">
        <v>1450.0</v>
      </c>
      <c r="H185" s="100">
        <f t="shared" si="2"/>
        <v>1450</v>
      </c>
      <c r="I185" s="101">
        <v>44843.0</v>
      </c>
    </row>
    <row r="186">
      <c r="E186" s="93" t="s">
        <v>229</v>
      </c>
      <c r="F186" s="93">
        <v>100.0</v>
      </c>
      <c r="G186" s="93">
        <v>15.0</v>
      </c>
      <c r="H186" s="100">
        <f t="shared" si="2"/>
        <v>1500</v>
      </c>
      <c r="I186" s="101">
        <v>44843.0</v>
      </c>
    </row>
    <row r="187">
      <c r="E187" s="93" t="s">
        <v>230</v>
      </c>
      <c r="F187" s="93">
        <v>7.0</v>
      </c>
      <c r="G187" s="93">
        <v>420.0</v>
      </c>
      <c r="H187" s="100">
        <f t="shared" si="2"/>
        <v>2940</v>
      </c>
      <c r="I187" s="101">
        <v>44843.0</v>
      </c>
      <c r="J187" s="92" t="s">
        <v>231</v>
      </c>
    </row>
    <row r="188">
      <c r="E188" s="93" t="s">
        <v>232</v>
      </c>
      <c r="F188" s="93">
        <v>4.0</v>
      </c>
      <c r="G188" s="93">
        <v>720.0</v>
      </c>
      <c r="H188" s="100">
        <f t="shared" si="2"/>
        <v>2880</v>
      </c>
      <c r="I188" s="101">
        <v>44843.0</v>
      </c>
    </row>
    <row r="189">
      <c r="E189" s="93" t="s">
        <v>233</v>
      </c>
      <c r="F189" s="93">
        <v>700.0</v>
      </c>
      <c r="G189" s="93">
        <v>50.0</v>
      </c>
      <c r="H189" s="100">
        <f t="shared" si="2"/>
        <v>35000</v>
      </c>
      <c r="I189" s="101">
        <v>44842.0</v>
      </c>
    </row>
    <row r="190">
      <c r="E190" s="93" t="s">
        <v>234</v>
      </c>
      <c r="F190" s="93">
        <v>4.0</v>
      </c>
      <c r="G190" s="93">
        <v>350.0</v>
      </c>
      <c r="H190" s="100">
        <f t="shared" si="2"/>
        <v>1400</v>
      </c>
      <c r="I190" s="121">
        <v>44844.0</v>
      </c>
    </row>
    <row r="191">
      <c r="E191" s="93" t="s">
        <v>235</v>
      </c>
      <c r="F191" s="93">
        <v>1.0</v>
      </c>
      <c r="G191" s="93">
        <v>500.0</v>
      </c>
      <c r="H191" s="100">
        <f t="shared" si="2"/>
        <v>500</v>
      </c>
      <c r="I191" s="121">
        <v>44844.0</v>
      </c>
    </row>
    <row r="192">
      <c r="E192" s="93" t="s">
        <v>236</v>
      </c>
      <c r="F192" s="93">
        <v>5.0</v>
      </c>
      <c r="G192" s="93">
        <v>700.0</v>
      </c>
      <c r="H192" s="100">
        <f t="shared" si="2"/>
        <v>3500</v>
      </c>
      <c r="I192" s="121">
        <v>44845.0</v>
      </c>
    </row>
    <row r="193">
      <c r="E193" s="93" t="s">
        <v>237</v>
      </c>
      <c r="F193" s="93">
        <v>10.0</v>
      </c>
      <c r="G193" s="93">
        <v>1630.0</v>
      </c>
      <c r="H193" s="100">
        <f t="shared" si="2"/>
        <v>16300</v>
      </c>
      <c r="I193" s="121">
        <v>44845.0</v>
      </c>
    </row>
    <row r="194">
      <c r="E194" s="93" t="s">
        <v>238</v>
      </c>
      <c r="F194" s="93">
        <v>32.0</v>
      </c>
      <c r="G194" s="93">
        <v>105.0</v>
      </c>
      <c r="H194" s="100">
        <f t="shared" si="2"/>
        <v>3360</v>
      </c>
      <c r="I194" s="121">
        <v>44845.0</v>
      </c>
    </row>
    <row r="195">
      <c r="E195" s="93" t="s">
        <v>239</v>
      </c>
      <c r="F195" s="93">
        <v>1.0</v>
      </c>
      <c r="G195" s="93">
        <v>1980.0</v>
      </c>
      <c r="H195" s="100">
        <f t="shared" si="2"/>
        <v>1980</v>
      </c>
      <c r="I195" s="121">
        <v>44845.0</v>
      </c>
    </row>
    <row r="196">
      <c r="E196" s="93" t="s">
        <v>240</v>
      </c>
      <c r="F196" s="93">
        <v>2.0</v>
      </c>
      <c r="G196" s="93">
        <v>50.0</v>
      </c>
      <c r="H196" s="100">
        <f t="shared" si="2"/>
        <v>100</v>
      </c>
      <c r="I196" s="121">
        <v>44845.0</v>
      </c>
    </row>
    <row r="197">
      <c r="E197" s="93" t="s">
        <v>241</v>
      </c>
      <c r="F197" s="93">
        <v>5.0</v>
      </c>
      <c r="G197" s="93">
        <v>780.0</v>
      </c>
      <c r="H197" s="100">
        <f t="shared" si="2"/>
        <v>3900</v>
      </c>
      <c r="I197" s="121">
        <v>44845.0</v>
      </c>
    </row>
    <row r="198">
      <c r="E198" s="93" t="s">
        <v>242</v>
      </c>
      <c r="F198" s="93">
        <v>2.0</v>
      </c>
      <c r="G198" s="93">
        <v>390.0</v>
      </c>
      <c r="H198" s="100">
        <f t="shared" si="2"/>
        <v>780</v>
      </c>
      <c r="I198" s="121">
        <v>44845.0</v>
      </c>
    </row>
    <row r="199">
      <c r="E199" s="93" t="s">
        <v>243</v>
      </c>
      <c r="F199" s="93">
        <v>12.0</v>
      </c>
      <c r="G199" s="93">
        <v>185.0</v>
      </c>
      <c r="H199" s="100">
        <f t="shared" si="2"/>
        <v>2220</v>
      </c>
      <c r="I199" s="121">
        <v>44845.0</v>
      </c>
    </row>
    <row r="200">
      <c r="E200" s="93" t="s">
        <v>108</v>
      </c>
      <c r="F200" s="93">
        <v>12.0</v>
      </c>
      <c r="G200" s="93">
        <v>215.0</v>
      </c>
      <c r="H200" s="100">
        <f t="shared" si="2"/>
        <v>2580</v>
      </c>
      <c r="I200" s="121">
        <v>44845.0</v>
      </c>
    </row>
    <row r="201">
      <c r="E201" s="93" t="s">
        <v>244</v>
      </c>
      <c r="F201" s="93">
        <v>6.0</v>
      </c>
      <c r="G201" s="93">
        <v>540.0</v>
      </c>
      <c r="H201" s="100">
        <f t="shared" si="2"/>
        <v>3240</v>
      </c>
      <c r="I201" s="121">
        <v>44845.0</v>
      </c>
    </row>
    <row r="202">
      <c r="E202" s="93" t="s">
        <v>245</v>
      </c>
      <c r="F202" s="93">
        <v>0.5</v>
      </c>
      <c r="G202" s="93">
        <v>750.0</v>
      </c>
      <c r="H202" s="100">
        <f t="shared" si="2"/>
        <v>375</v>
      </c>
      <c r="I202" s="121">
        <v>44845.0</v>
      </c>
    </row>
    <row r="203">
      <c r="E203" s="93" t="s">
        <v>246</v>
      </c>
      <c r="F203" s="93">
        <v>0.5</v>
      </c>
      <c r="G203" s="93">
        <v>1600.0</v>
      </c>
      <c r="H203" s="100">
        <f t="shared" si="2"/>
        <v>800</v>
      </c>
      <c r="I203" s="121">
        <v>44845.0</v>
      </c>
    </row>
    <row r="204">
      <c r="E204" s="93" t="s">
        <v>247</v>
      </c>
      <c r="F204" s="93">
        <v>2.0</v>
      </c>
      <c r="G204" s="93">
        <v>70.0</v>
      </c>
      <c r="H204" s="100">
        <f t="shared" si="2"/>
        <v>140</v>
      </c>
      <c r="I204" s="121">
        <v>44845.0</v>
      </c>
    </row>
    <row r="205">
      <c r="E205" s="93" t="s">
        <v>200</v>
      </c>
      <c r="F205" s="93">
        <v>2.0</v>
      </c>
      <c r="G205" s="93">
        <v>800.0</v>
      </c>
      <c r="H205" s="100">
        <f t="shared" si="2"/>
        <v>1600</v>
      </c>
      <c r="I205" s="121">
        <v>44845.0</v>
      </c>
    </row>
    <row r="206">
      <c r="E206" s="93" t="s">
        <v>197</v>
      </c>
      <c r="F206" s="93">
        <v>1.0</v>
      </c>
      <c r="G206" s="93">
        <v>500.0</v>
      </c>
      <c r="H206" s="100">
        <f t="shared" si="2"/>
        <v>500</v>
      </c>
      <c r="I206" s="121">
        <v>44845.0</v>
      </c>
    </row>
    <row r="207">
      <c r="E207" s="93" t="s">
        <v>248</v>
      </c>
      <c r="F207" s="93">
        <v>2.0</v>
      </c>
      <c r="G207" s="93">
        <v>100.0</v>
      </c>
      <c r="H207" s="100">
        <f t="shared" si="2"/>
        <v>200</v>
      </c>
      <c r="I207" s="121">
        <v>44845.0</v>
      </c>
    </row>
    <row r="208">
      <c r="E208" s="93" t="s">
        <v>122</v>
      </c>
      <c r="F208" s="93">
        <v>2.0</v>
      </c>
      <c r="G208" s="93">
        <v>60.0</v>
      </c>
      <c r="H208" s="100">
        <f t="shared" si="2"/>
        <v>120</v>
      </c>
      <c r="I208" s="121">
        <v>44845.0</v>
      </c>
    </row>
    <row r="209">
      <c r="E209" s="93" t="s">
        <v>183</v>
      </c>
      <c r="F209" s="93">
        <v>2.0</v>
      </c>
      <c r="G209" s="93">
        <v>150.0</v>
      </c>
      <c r="H209" s="100">
        <f t="shared" si="2"/>
        <v>300</v>
      </c>
      <c r="I209" s="121">
        <v>44845.0</v>
      </c>
    </row>
    <row r="210">
      <c r="E210" s="93" t="s">
        <v>206</v>
      </c>
      <c r="F210" s="93">
        <v>2.0</v>
      </c>
      <c r="G210" s="93">
        <v>160.0</v>
      </c>
      <c r="H210" s="100">
        <f t="shared" si="2"/>
        <v>320</v>
      </c>
      <c r="I210" s="121">
        <v>44845.0</v>
      </c>
    </row>
    <row r="211">
      <c r="E211" s="93" t="s">
        <v>249</v>
      </c>
      <c r="F211" s="93">
        <v>2.0</v>
      </c>
      <c r="G211" s="93">
        <v>100.0</v>
      </c>
      <c r="H211" s="100">
        <f t="shared" si="2"/>
        <v>200</v>
      </c>
      <c r="I211" s="121">
        <v>44845.0</v>
      </c>
    </row>
    <row r="212">
      <c r="E212" s="93" t="s">
        <v>250</v>
      </c>
      <c r="F212" s="93">
        <v>2.0</v>
      </c>
      <c r="G212" s="93">
        <v>300.0</v>
      </c>
      <c r="H212" s="100">
        <f t="shared" si="2"/>
        <v>600</v>
      </c>
      <c r="I212" s="121">
        <v>44845.0</v>
      </c>
    </row>
    <row r="213">
      <c r="E213" s="93" t="s">
        <v>148</v>
      </c>
      <c r="F213" s="93">
        <v>2.0</v>
      </c>
      <c r="G213" s="93">
        <v>120.0</v>
      </c>
      <c r="H213" s="100">
        <f t="shared" si="2"/>
        <v>240</v>
      </c>
      <c r="I213" s="121">
        <v>44845.0</v>
      </c>
    </row>
    <row r="214">
      <c r="E214" s="93" t="s">
        <v>78</v>
      </c>
      <c r="F214" s="93">
        <v>5.0</v>
      </c>
      <c r="G214" s="93">
        <v>540.0</v>
      </c>
      <c r="H214" s="100">
        <f t="shared" si="2"/>
        <v>2700</v>
      </c>
      <c r="I214" s="121">
        <v>44845.0</v>
      </c>
    </row>
    <row r="215">
      <c r="E215" s="93" t="s">
        <v>251</v>
      </c>
      <c r="F215" s="93">
        <v>1.0</v>
      </c>
      <c r="G215" s="93">
        <v>500.0</v>
      </c>
      <c r="H215" s="100">
        <f t="shared" si="2"/>
        <v>500</v>
      </c>
      <c r="I215" s="121">
        <v>44845.0</v>
      </c>
    </row>
    <row r="216">
      <c r="E216" s="93" t="s">
        <v>148</v>
      </c>
      <c r="F216" s="93">
        <v>5.0</v>
      </c>
      <c r="G216" s="93">
        <v>120.0</v>
      </c>
      <c r="H216" s="100">
        <f t="shared" si="2"/>
        <v>600</v>
      </c>
      <c r="I216" s="121">
        <v>44846.0</v>
      </c>
    </row>
    <row r="217">
      <c r="E217" s="93" t="s">
        <v>204</v>
      </c>
      <c r="F217" s="93">
        <v>3.0</v>
      </c>
      <c r="G217" s="93">
        <v>100.0</v>
      </c>
      <c r="H217" s="100">
        <f t="shared" si="2"/>
        <v>300</v>
      </c>
      <c r="I217" s="121">
        <v>44846.0</v>
      </c>
    </row>
    <row r="218">
      <c r="E218" s="93" t="s">
        <v>146</v>
      </c>
      <c r="F218" s="93">
        <v>1.0</v>
      </c>
      <c r="G218" s="93">
        <v>500.0</v>
      </c>
      <c r="H218" s="100">
        <f t="shared" si="2"/>
        <v>500</v>
      </c>
      <c r="I218" s="121">
        <v>44846.0</v>
      </c>
    </row>
    <row r="219">
      <c r="E219" s="93" t="s">
        <v>252</v>
      </c>
      <c r="F219" s="93">
        <v>1.0</v>
      </c>
      <c r="G219" s="93">
        <v>200.0</v>
      </c>
      <c r="H219" s="100">
        <f t="shared" si="2"/>
        <v>200</v>
      </c>
      <c r="I219" s="121">
        <v>44846.0</v>
      </c>
    </row>
    <row r="220">
      <c r="E220" s="93" t="s">
        <v>253</v>
      </c>
      <c r="F220" s="93">
        <v>2.0</v>
      </c>
      <c r="G220" s="93">
        <v>20.0</v>
      </c>
      <c r="H220" s="100">
        <f t="shared" si="2"/>
        <v>40</v>
      </c>
      <c r="I220" s="121">
        <v>44846.0</v>
      </c>
    </row>
    <row r="221">
      <c r="E221" s="93" t="s">
        <v>254</v>
      </c>
      <c r="F221" s="93">
        <v>12.0</v>
      </c>
      <c r="G221" s="93">
        <v>95.0</v>
      </c>
      <c r="H221" s="100">
        <f t="shared" si="2"/>
        <v>1140</v>
      </c>
      <c r="I221" s="121">
        <v>44846.0</v>
      </c>
    </row>
    <row r="222">
      <c r="E222" s="93" t="s">
        <v>148</v>
      </c>
      <c r="F222" s="93">
        <v>20.0</v>
      </c>
      <c r="G222" s="93">
        <v>120.0</v>
      </c>
      <c r="H222" s="100">
        <f t="shared" si="2"/>
        <v>2400</v>
      </c>
      <c r="I222" s="121">
        <v>44847.0</v>
      </c>
    </row>
    <row r="223">
      <c r="E223" s="93" t="s">
        <v>146</v>
      </c>
      <c r="F223" s="93">
        <v>1.0</v>
      </c>
      <c r="G223" s="93">
        <v>400.0</v>
      </c>
      <c r="H223" s="100">
        <f t="shared" si="2"/>
        <v>400</v>
      </c>
      <c r="I223" s="121">
        <v>44847.0</v>
      </c>
    </row>
    <row r="224">
      <c r="E224" s="93" t="s">
        <v>255</v>
      </c>
      <c r="F224" s="93">
        <v>3.0</v>
      </c>
      <c r="G224" s="93">
        <v>160.0</v>
      </c>
      <c r="H224" s="100">
        <f t="shared" si="2"/>
        <v>480</v>
      </c>
      <c r="I224" s="121">
        <v>44847.0</v>
      </c>
    </row>
    <row r="225">
      <c r="E225" s="93" t="s">
        <v>209</v>
      </c>
      <c r="F225" s="93">
        <v>2.0</v>
      </c>
      <c r="G225" s="93">
        <v>100.0</v>
      </c>
      <c r="H225" s="100">
        <f t="shared" si="2"/>
        <v>200</v>
      </c>
      <c r="I225" s="121">
        <v>44847.0</v>
      </c>
    </row>
    <row r="226">
      <c r="E226" s="93" t="s">
        <v>220</v>
      </c>
      <c r="F226" s="93">
        <v>2.0</v>
      </c>
      <c r="G226" s="93">
        <v>100.0</v>
      </c>
      <c r="H226" s="100">
        <f t="shared" si="2"/>
        <v>200</v>
      </c>
      <c r="I226" s="121">
        <v>44847.0</v>
      </c>
    </row>
    <row r="227">
      <c r="E227" s="93" t="s">
        <v>204</v>
      </c>
      <c r="F227" s="93">
        <v>3.0</v>
      </c>
      <c r="G227" s="93">
        <v>100.0</v>
      </c>
      <c r="H227" s="100">
        <f t="shared" si="2"/>
        <v>300</v>
      </c>
      <c r="I227" s="121">
        <v>44847.0</v>
      </c>
    </row>
    <row r="228">
      <c r="E228" s="93" t="s">
        <v>256</v>
      </c>
      <c r="F228" s="93">
        <v>0.64</v>
      </c>
      <c r="G228" s="93">
        <v>2200.0</v>
      </c>
      <c r="H228" s="100">
        <f t="shared" si="2"/>
        <v>1408</v>
      </c>
      <c r="I228" s="121">
        <v>44847.0</v>
      </c>
    </row>
    <row r="229">
      <c r="E229" s="93" t="s">
        <v>257</v>
      </c>
      <c r="F229" s="93">
        <v>1.0</v>
      </c>
      <c r="G229" s="93">
        <v>1200.0</v>
      </c>
      <c r="H229" s="100">
        <f t="shared" si="2"/>
        <v>1200</v>
      </c>
      <c r="I229" s="121">
        <v>44847.0</v>
      </c>
    </row>
    <row r="230">
      <c r="E230" s="93" t="s">
        <v>258</v>
      </c>
      <c r="F230" s="93">
        <v>2.0</v>
      </c>
      <c r="G230" s="93">
        <v>850.0</v>
      </c>
      <c r="H230" s="122">
        <v>1700.0</v>
      </c>
      <c r="I230" s="121">
        <v>44847.0</v>
      </c>
    </row>
    <row r="231">
      <c r="E231" s="93" t="s">
        <v>259</v>
      </c>
      <c r="F231" s="93">
        <v>10.0</v>
      </c>
      <c r="G231" s="93">
        <v>20.0</v>
      </c>
      <c r="H231" s="100">
        <f t="shared" ref="H231:H289" si="3">G231*F231</f>
        <v>200</v>
      </c>
      <c r="I231" s="121">
        <v>44847.0</v>
      </c>
    </row>
    <row r="232">
      <c r="E232" s="93" t="s">
        <v>260</v>
      </c>
      <c r="F232" s="93">
        <v>0.2</v>
      </c>
      <c r="G232" s="93">
        <v>2000.0</v>
      </c>
      <c r="H232" s="100">
        <f t="shared" si="3"/>
        <v>400</v>
      </c>
      <c r="I232" s="121">
        <v>44847.0</v>
      </c>
    </row>
    <row r="233">
      <c r="E233" s="93" t="s">
        <v>261</v>
      </c>
      <c r="F233" s="93">
        <v>2.0</v>
      </c>
      <c r="G233" s="93">
        <v>300.0</v>
      </c>
      <c r="H233" s="100">
        <f t="shared" si="3"/>
        <v>600</v>
      </c>
      <c r="I233" s="121">
        <v>44847.0</v>
      </c>
    </row>
    <row r="234">
      <c r="E234" s="93" t="s">
        <v>197</v>
      </c>
      <c r="F234" s="93">
        <v>1.0</v>
      </c>
      <c r="G234" s="93">
        <v>2000.0</v>
      </c>
      <c r="H234" s="100">
        <f t="shared" si="3"/>
        <v>2000</v>
      </c>
      <c r="I234" s="121">
        <v>44847.0</v>
      </c>
    </row>
    <row r="235">
      <c r="E235" s="93" t="s">
        <v>198</v>
      </c>
      <c r="F235" s="93">
        <v>0.5</v>
      </c>
      <c r="G235" s="93">
        <v>1800.0</v>
      </c>
      <c r="H235" s="100">
        <f t="shared" si="3"/>
        <v>900</v>
      </c>
      <c r="I235" s="121">
        <v>44847.0</v>
      </c>
    </row>
    <row r="236">
      <c r="E236" s="93" t="s">
        <v>262</v>
      </c>
      <c r="F236" s="93">
        <v>4.0</v>
      </c>
      <c r="G236" s="93">
        <v>300.0</v>
      </c>
      <c r="H236" s="100">
        <f t="shared" si="3"/>
        <v>1200</v>
      </c>
      <c r="I236" s="121">
        <v>44847.0</v>
      </c>
    </row>
    <row r="237">
      <c r="E237" s="93" t="s">
        <v>262</v>
      </c>
      <c r="F237" s="93">
        <v>8.0</v>
      </c>
      <c r="G237" s="93">
        <v>300.0</v>
      </c>
      <c r="H237" s="100">
        <f t="shared" si="3"/>
        <v>2400</v>
      </c>
      <c r="I237" s="121">
        <v>44847.0</v>
      </c>
    </row>
    <row r="238">
      <c r="E238" s="93" t="s">
        <v>263</v>
      </c>
      <c r="F238" s="93">
        <v>1.0</v>
      </c>
      <c r="G238" s="93">
        <v>140.0</v>
      </c>
      <c r="H238" s="100">
        <f t="shared" si="3"/>
        <v>140</v>
      </c>
      <c r="I238" s="121">
        <v>44847.0</v>
      </c>
    </row>
    <row r="239">
      <c r="E239" s="93" t="s">
        <v>264</v>
      </c>
      <c r="F239" s="93">
        <v>1.0</v>
      </c>
      <c r="G239" s="93">
        <v>190.0</v>
      </c>
      <c r="H239" s="100">
        <f t="shared" si="3"/>
        <v>190</v>
      </c>
      <c r="I239" s="121">
        <v>44847.0</v>
      </c>
    </row>
    <row r="240">
      <c r="E240" s="93" t="s">
        <v>265</v>
      </c>
      <c r="F240" s="93">
        <v>2.0</v>
      </c>
      <c r="G240" s="93">
        <v>200.0</v>
      </c>
      <c r="H240" s="100">
        <f t="shared" si="3"/>
        <v>400</v>
      </c>
      <c r="I240" s="121">
        <v>44847.0</v>
      </c>
    </row>
    <row r="241">
      <c r="E241" s="93" t="s">
        <v>266</v>
      </c>
      <c r="F241" s="93">
        <v>2.0</v>
      </c>
      <c r="G241" s="93">
        <v>100.0</v>
      </c>
      <c r="H241" s="100">
        <f t="shared" si="3"/>
        <v>200</v>
      </c>
      <c r="I241" s="121">
        <v>44847.0</v>
      </c>
    </row>
    <row r="242">
      <c r="E242" s="93" t="s">
        <v>199</v>
      </c>
      <c r="F242" s="93">
        <v>1.0</v>
      </c>
      <c r="G242" s="93">
        <v>360.0</v>
      </c>
      <c r="H242" s="100">
        <f t="shared" si="3"/>
        <v>360</v>
      </c>
      <c r="I242" s="121">
        <v>44847.0</v>
      </c>
    </row>
    <row r="243">
      <c r="E243" s="93" t="s">
        <v>267</v>
      </c>
      <c r="F243" s="93">
        <v>1.0</v>
      </c>
      <c r="G243" s="93">
        <v>200.0</v>
      </c>
      <c r="H243" s="100">
        <f t="shared" si="3"/>
        <v>200</v>
      </c>
      <c r="I243" s="121">
        <v>44847.0</v>
      </c>
    </row>
    <row r="244">
      <c r="E244" s="93" t="s">
        <v>268</v>
      </c>
      <c r="F244" s="93">
        <v>2.0</v>
      </c>
      <c r="G244" s="93">
        <v>100.0</v>
      </c>
      <c r="H244" s="100">
        <f t="shared" si="3"/>
        <v>200</v>
      </c>
      <c r="I244" s="121">
        <v>44847.0</v>
      </c>
    </row>
    <row r="245">
      <c r="E245" s="93" t="s">
        <v>269</v>
      </c>
      <c r="F245" s="93">
        <v>1.0</v>
      </c>
      <c r="G245" s="93">
        <v>300.0</v>
      </c>
      <c r="H245" s="100">
        <f t="shared" si="3"/>
        <v>300</v>
      </c>
      <c r="I245" s="121">
        <v>44847.0</v>
      </c>
    </row>
    <row r="246">
      <c r="E246" s="93" t="s">
        <v>122</v>
      </c>
      <c r="F246" s="93">
        <v>100.0</v>
      </c>
      <c r="G246" s="93">
        <v>60.0</v>
      </c>
      <c r="H246" s="100">
        <f t="shared" si="3"/>
        <v>6000</v>
      </c>
      <c r="I246" s="121">
        <v>44847.0</v>
      </c>
    </row>
    <row r="247">
      <c r="E247" s="93" t="s">
        <v>270</v>
      </c>
      <c r="F247" s="93">
        <v>10.0</v>
      </c>
      <c r="G247" s="93">
        <v>120.0</v>
      </c>
      <c r="H247" s="100">
        <f t="shared" si="3"/>
        <v>1200</v>
      </c>
      <c r="I247" s="121">
        <v>44848.0</v>
      </c>
    </row>
    <row r="248">
      <c r="E248" s="93" t="s">
        <v>200</v>
      </c>
      <c r="F248" s="93">
        <v>1.0</v>
      </c>
      <c r="G248" s="93">
        <v>700.0</v>
      </c>
      <c r="H248" s="100">
        <f t="shared" si="3"/>
        <v>700</v>
      </c>
      <c r="I248" s="121">
        <v>44848.0</v>
      </c>
    </row>
    <row r="249">
      <c r="E249" s="93" t="s">
        <v>271</v>
      </c>
      <c r="F249" s="93">
        <v>5.0</v>
      </c>
      <c r="G249" s="93">
        <v>20.0</v>
      </c>
      <c r="H249" s="100">
        <f t="shared" si="3"/>
        <v>100</v>
      </c>
      <c r="I249" s="121">
        <v>44848.0</v>
      </c>
    </row>
    <row r="250">
      <c r="E250" s="93" t="s">
        <v>268</v>
      </c>
      <c r="F250" s="93">
        <v>1.0</v>
      </c>
      <c r="G250" s="93">
        <v>100.0</v>
      </c>
      <c r="H250" s="100">
        <f t="shared" si="3"/>
        <v>100</v>
      </c>
      <c r="I250" s="121">
        <v>44848.0</v>
      </c>
    </row>
    <row r="251">
      <c r="E251" s="93" t="s">
        <v>272</v>
      </c>
      <c r="F251" s="93">
        <v>2.0</v>
      </c>
      <c r="G251" s="93">
        <v>100.0</v>
      </c>
      <c r="H251" s="100">
        <f t="shared" si="3"/>
        <v>200</v>
      </c>
      <c r="I251" s="121">
        <v>44848.0</v>
      </c>
    </row>
    <row r="252">
      <c r="E252" s="93" t="s">
        <v>202</v>
      </c>
      <c r="F252" s="93">
        <v>12.0</v>
      </c>
      <c r="G252" s="93">
        <v>160.0</v>
      </c>
      <c r="H252" s="100">
        <f t="shared" si="3"/>
        <v>1920</v>
      </c>
      <c r="I252" s="121">
        <v>44849.0</v>
      </c>
    </row>
    <row r="253">
      <c r="E253" s="93" t="s">
        <v>273</v>
      </c>
      <c r="F253" s="93">
        <v>4.0</v>
      </c>
      <c r="G253" s="93">
        <v>700.0</v>
      </c>
      <c r="H253" s="100">
        <f t="shared" si="3"/>
        <v>2800</v>
      </c>
      <c r="I253" s="121">
        <v>44849.0</v>
      </c>
    </row>
    <row r="254">
      <c r="E254" s="93" t="s">
        <v>270</v>
      </c>
      <c r="F254" s="93">
        <v>5.0</v>
      </c>
      <c r="G254" s="93">
        <v>120.0</v>
      </c>
      <c r="H254" s="100">
        <f t="shared" si="3"/>
        <v>600</v>
      </c>
      <c r="I254" s="121">
        <v>44849.0</v>
      </c>
    </row>
    <row r="255">
      <c r="E255" s="93" t="s">
        <v>122</v>
      </c>
      <c r="F255" s="93">
        <v>5.0</v>
      </c>
      <c r="G255" s="93">
        <v>70.0</v>
      </c>
      <c r="H255" s="100">
        <f t="shared" si="3"/>
        <v>350</v>
      </c>
      <c r="I255" s="121">
        <v>44849.0</v>
      </c>
    </row>
    <row r="256">
      <c r="E256" s="93" t="s">
        <v>274</v>
      </c>
      <c r="F256" s="93">
        <v>2.0</v>
      </c>
      <c r="G256" s="93">
        <v>100.0</v>
      </c>
      <c r="H256" s="100">
        <f t="shared" si="3"/>
        <v>200</v>
      </c>
      <c r="I256" s="121">
        <v>44849.0</v>
      </c>
    </row>
    <row r="257">
      <c r="E257" s="93" t="s">
        <v>252</v>
      </c>
      <c r="F257" s="93">
        <v>4.0</v>
      </c>
      <c r="G257" s="93">
        <v>100.0</v>
      </c>
      <c r="H257" s="100">
        <f t="shared" si="3"/>
        <v>400</v>
      </c>
      <c r="I257" s="121">
        <v>44849.0</v>
      </c>
    </row>
    <row r="258">
      <c r="E258" s="93" t="s">
        <v>275</v>
      </c>
      <c r="F258" s="93">
        <v>3.0</v>
      </c>
      <c r="G258" s="93">
        <v>150.0</v>
      </c>
      <c r="H258" s="100">
        <f t="shared" si="3"/>
        <v>450</v>
      </c>
      <c r="I258" s="121">
        <v>44849.0</v>
      </c>
    </row>
    <row r="259">
      <c r="E259" s="93" t="s">
        <v>276</v>
      </c>
      <c r="F259" s="93">
        <v>5.0</v>
      </c>
      <c r="G259" s="93">
        <v>60.0</v>
      </c>
      <c r="H259" s="100">
        <f t="shared" si="3"/>
        <v>300</v>
      </c>
      <c r="I259" s="121">
        <v>44849.0</v>
      </c>
    </row>
    <row r="260">
      <c r="E260" s="93" t="s">
        <v>277</v>
      </c>
      <c r="F260" s="93">
        <v>1.0</v>
      </c>
      <c r="G260" s="93">
        <v>1400.0</v>
      </c>
      <c r="H260" s="100">
        <f t="shared" si="3"/>
        <v>1400</v>
      </c>
      <c r="I260" s="121">
        <v>44849.0</v>
      </c>
    </row>
    <row r="261">
      <c r="E261" s="93" t="s">
        <v>278</v>
      </c>
      <c r="F261" s="93">
        <v>1.0</v>
      </c>
      <c r="G261" s="93">
        <v>200.0</v>
      </c>
      <c r="H261" s="100">
        <f t="shared" si="3"/>
        <v>200</v>
      </c>
      <c r="I261" s="121">
        <v>44849.0</v>
      </c>
    </row>
    <row r="262">
      <c r="E262" s="93" t="s">
        <v>173</v>
      </c>
      <c r="F262" s="93">
        <v>1.0</v>
      </c>
      <c r="G262" s="93">
        <v>350.0</v>
      </c>
      <c r="H262" s="100">
        <f t="shared" si="3"/>
        <v>350</v>
      </c>
      <c r="I262" s="121">
        <v>44849.0</v>
      </c>
    </row>
    <row r="263">
      <c r="E263" s="93" t="s">
        <v>279</v>
      </c>
      <c r="F263" s="93">
        <v>2.0</v>
      </c>
      <c r="G263" s="93">
        <v>100.0</v>
      </c>
      <c r="H263" s="100">
        <f t="shared" si="3"/>
        <v>200</v>
      </c>
      <c r="I263" s="121">
        <v>44849.0</v>
      </c>
    </row>
    <row r="264">
      <c r="E264" s="93" t="s">
        <v>280</v>
      </c>
      <c r="F264" s="93">
        <v>2.0</v>
      </c>
      <c r="G264" s="93">
        <v>100.0</v>
      </c>
      <c r="H264" s="100">
        <f t="shared" si="3"/>
        <v>200</v>
      </c>
      <c r="I264" s="121">
        <v>44849.0</v>
      </c>
    </row>
    <row r="265">
      <c r="E265" s="93" t="s">
        <v>204</v>
      </c>
      <c r="F265" s="93">
        <v>9.0</v>
      </c>
      <c r="G265" s="93">
        <v>100.0</v>
      </c>
      <c r="H265" s="100">
        <f t="shared" si="3"/>
        <v>900</v>
      </c>
      <c r="I265" s="121">
        <v>44849.0</v>
      </c>
    </row>
    <row r="266">
      <c r="E266" s="93" t="s">
        <v>281</v>
      </c>
      <c r="F266" s="93">
        <v>1.0</v>
      </c>
      <c r="G266" s="93">
        <v>300.0</v>
      </c>
      <c r="H266" s="100">
        <f t="shared" si="3"/>
        <v>300</v>
      </c>
      <c r="I266" s="121">
        <v>44849.0</v>
      </c>
    </row>
    <row r="267">
      <c r="E267" s="93" t="s">
        <v>282</v>
      </c>
      <c r="F267" s="93">
        <v>1.0</v>
      </c>
      <c r="G267" s="93">
        <v>500.0</v>
      </c>
      <c r="H267" s="100">
        <f t="shared" si="3"/>
        <v>500</v>
      </c>
      <c r="I267" s="121">
        <v>44849.0</v>
      </c>
    </row>
    <row r="268">
      <c r="E268" s="93" t="s">
        <v>283</v>
      </c>
      <c r="F268" s="93">
        <v>2.0</v>
      </c>
      <c r="G268" s="93">
        <v>100.0</v>
      </c>
      <c r="H268" s="100">
        <f t="shared" si="3"/>
        <v>200</v>
      </c>
      <c r="I268" s="121">
        <v>44849.0</v>
      </c>
    </row>
    <row r="269">
      <c r="E269" s="93" t="s">
        <v>284</v>
      </c>
      <c r="F269" s="93">
        <v>2.0</v>
      </c>
      <c r="G269" s="93">
        <v>200.0</v>
      </c>
      <c r="H269" s="100">
        <f t="shared" si="3"/>
        <v>400</v>
      </c>
      <c r="I269" s="121">
        <v>44849.0</v>
      </c>
    </row>
    <row r="270">
      <c r="E270" s="93" t="s">
        <v>147</v>
      </c>
      <c r="F270" s="93">
        <v>6.0</v>
      </c>
      <c r="G270" s="93">
        <v>30.0</v>
      </c>
      <c r="H270" s="100">
        <f t="shared" si="3"/>
        <v>180</v>
      </c>
      <c r="I270" s="121">
        <v>44849.0</v>
      </c>
    </row>
    <row r="271">
      <c r="E271" s="93" t="s">
        <v>285</v>
      </c>
      <c r="F271" s="93">
        <v>2.0</v>
      </c>
      <c r="G271" s="93">
        <v>160.0</v>
      </c>
      <c r="H271" s="100">
        <f t="shared" si="3"/>
        <v>320</v>
      </c>
      <c r="I271" s="121">
        <v>44849.0</v>
      </c>
    </row>
    <row r="272">
      <c r="E272" s="93" t="s">
        <v>210</v>
      </c>
      <c r="F272" s="93">
        <v>2.0</v>
      </c>
      <c r="G272" s="93">
        <v>200.0</v>
      </c>
      <c r="H272" s="100">
        <f t="shared" si="3"/>
        <v>400</v>
      </c>
      <c r="I272" s="121">
        <v>44849.0</v>
      </c>
    </row>
    <row r="273">
      <c r="E273" s="93" t="s">
        <v>286</v>
      </c>
      <c r="F273" s="93">
        <v>1.0</v>
      </c>
      <c r="G273" s="93">
        <v>1800.0</v>
      </c>
      <c r="H273" s="100">
        <f t="shared" si="3"/>
        <v>1800</v>
      </c>
      <c r="I273" s="121">
        <v>44849.0</v>
      </c>
    </row>
    <row r="274">
      <c r="E274" s="93" t="s">
        <v>287</v>
      </c>
      <c r="F274" s="93">
        <v>1.0</v>
      </c>
      <c r="G274" s="93">
        <v>1350.0</v>
      </c>
      <c r="H274" s="100">
        <f t="shared" si="3"/>
        <v>1350</v>
      </c>
      <c r="I274" s="121">
        <v>44849.0</v>
      </c>
    </row>
    <row r="275">
      <c r="E275" s="93" t="s">
        <v>288</v>
      </c>
      <c r="F275" s="93">
        <v>5.0</v>
      </c>
      <c r="G275" s="93">
        <v>520.0</v>
      </c>
      <c r="H275" s="100">
        <f t="shared" si="3"/>
        <v>2600</v>
      </c>
      <c r="I275" s="121">
        <v>44849.0</v>
      </c>
    </row>
    <row r="276">
      <c r="E276" s="93" t="s">
        <v>289</v>
      </c>
      <c r="F276" s="93">
        <v>2.0</v>
      </c>
      <c r="G276" s="93">
        <v>280.0</v>
      </c>
      <c r="H276" s="100">
        <f t="shared" si="3"/>
        <v>560</v>
      </c>
      <c r="I276" s="121">
        <v>44849.0</v>
      </c>
    </row>
    <row r="277">
      <c r="E277" s="93" t="s">
        <v>108</v>
      </c>
      <c r="F277" s="93">
        <v>12.0</v>
      </c>
      <c r="G277" s="93">
        <v>220.0</v>
      </c>
      <c r="H277" s="100">
        <f t="shared" si="3"/>
        <v>2640</v>
      </c>
      <c r="I277" s="121">
        <v>44849.0</v>
      </c>
    </row>
    <row r="278">
      <c r="E278" s="93" t="s">
        <v>290</v>
      </c>
      <c r="F278" s="93">
        <v>10.0</v>
      </c>
      <c r="G278" s="93">
        <v>1630.0</v>
      </c>
      <c r="H278" s="100">
        <f t="shared" si="3"/>
        <v>16300</v>
      </c>
      <c r="I278" s="121">
        <v>44849.0</v>
      </c>
    </row>
    <row r="279">
      <c r="E279" s="93" t="s">
        <v>291</v>
      </c>
      <c r="F279" s="93">
        <v>1.0</v>
      </c>
      <c r="G279" s="93">
        <v>1100.0</v>
      </c>
      <c r="H279" s="100">
        <f t="shared" si="3"/>
        <v>1100</v>
      </c>
      <c r="I279" s="121">
        <v>44849.0</v>
      </c>
    </row>
    <row r="280">
      <c r="E280" s="93" t="s">
        <v>292</v>
      </c>
      <c r="F280" s="93">
        <v>2.0</v>
      </c>
      <c r="G280" s="93">
        <v>350.0</v>
      </c>
      <c r="H280" s="100">
        <f t="shared" si="3"/>
        <v>700</v>
      </c>
      <c r="I280" s="121">
        <v>44849.0</v>
      </c>
    </row>
    <row r="281">
      <c r="E281" s="93" t="s">
        <v>293</v>
      </c>
      <c r="F281" s="93">
        <v>15.0</v>
      </c>
      <c r="G281" s="93">
        <v>300.0</v>
      </c>
      <c r="H281" s="100">
        <f t="shared" si="3"/>
        <v>4500</v>
      </c>
      <c r="I281" s="121">
        <v>44849.0</v>
      </c>
    </row>
    <row r="282">
      <c r="E282" s="93" t="s">
        <v>294</v>
      </c>
      <c r="F282" s="93">
        <v>1.0</v>
      </c>
      <c r="G282" s="93">
        <v>250.0</v>
      </c>
      <c r="H282" s="100">
        <f t="shared" si="3"/>
        <v>250</v>
      </c>
      <c r="I282" s="121">
        <v>44849.0</v>
      </c>
    </row>
    <row r="283">
      <c r="E283" s="93" t="s">
        <v>295</v>
      </c>
      <c r="F283" s="93">
        <v>1.0</v>
      </c>
      <c r="G283" s="93">
        <v>280.0</v>
      </c>
      <c r="H283" s="100">
        <f t="shared" si="3"/>
        <v>280</v>
      </c>
      <c r="I283" s="121">
        <v>44849.0</v>
      </c>
    </row>
    <row r="284">
      <c r="E284" s="93" t="s">
        <v>296</v>
      </c>
      <c r="F284" s="93">
        <v>7.0</v>
      </c>
      <c r="G284" s="93">
        <v>700.0</v>
      </c>
      <c r="H284" s="100">
        <f t="shared" si="3"/>
        <v>4900</v>
      </c>
      <c r="I284" s="121">
        <v>44850.0</v>
      </c>
    </row>
    <row r="285">
      <c r="E285" s="93" t="s">
        <v>297</v>
      </c>
      <c r="F285" s="93">
        <v>1.0</v>
      </c>
      <c r="G285" s="93">
        <v>1800.0</v>
      </c>
      <c r="H285" s="100">
        <f t="shared" si="3"/>
        <v>1800</v>
      </c>
      <c r="I285" s="121">
        <v>44850.0</v>
      </c>
    </row>
    <row r="286">
      <c r="E286" s="93" t="s">
        <v>298</v>
      </c>
      <c r="F286" s="93">
        <v>20.0</v>
      </c>
      <c r="G286" s="93">
        <v>270.0</v>
      </c>
      <c r="H286" s="100">
        <f t="shared" si="3"/>
        <v>5400</v>
      </c>
      <c r="I286" s="121">
        <v>44850.0</v>
      </c>
    </row>
    <row r="287">
      <c r="E287" s="93" t="s">
        <v>200</v>
      </c>
      <c r="F287" s="93">
        <v>1.0</v>
      </c>
      <c r="G287" s="93">
        <v>800.0</v>
      </c>
      <c r="H287" s="100">
        <f t="shared" si="3"/>
        <v>800</v>
      </c>
      <c r="I287" s="121">
        <v>44850.0</v>
      </c>
    </row>
    <row r="288">
      <c r="E288" s="93" t="s">
        <v>199</v>
      </c>
      <c r="F288" s="93">
        <v>3.0</v>
      </c>
      <c r="G288" s="93">
        <v>350.0</v>
      </c>
      <c r="H288" s="100">
        <f t="shared" si="3"/>
        <v>1050</v>
      </c>
      <c r="I288" s="121">
        <v>44852.0</v>
      </c>
    </row>
    <row r="289">
      <c r="E289" s="93" t="s">
        <v>273</v>
      </c>
      <c r="F289" s="93">
        <v>2.0</v>
      </c>
      <c r="G289" s="93">
        <v>800.0</v>
      </c>
      <c r="H289" s="100">
        <f t="shared" si="3"/>
        <v>1600</v>
      </c>
      <c r="I289" s="121">
        <v>44852.0</v>
      </c>
    </row>
    <row r="290">
      <c r="E290" s="93" t="s">
        <v>299</v>
      </c>
      <c r="F290" s="94"/>
      <c r="G290" s="94"/>
      <c r="H290" s="122">
        <v>7000.0</v>
      </c>
      <c r="I290" s="121">
        <v>44851.0</v>
      </c>
    </row>
    <row r="291">
      <c r="E291" s="93" t="s">
        <v>210</v>
      </c>
      <c r="F291" s="93">
        <v>1.0</v>
      </c>
      <c r="G291" s="93">
        <v>200.0</v>
      </c>
      <c r="H291" s="100">
        <f>G291*F291</f>
        <v>200</v>
      </c>
      <c r="I291" s="121">
        <v>44852.0</v>
      </c>
    </row>
    <row r="292">
      <c r="E292" s="93" t="s">
        <v>300</v>
      </c>
      <c r="F292" s="93">
        <v>1.0</v>
      </c>
      <c r="G292" s="93">
        <v>1000.0</v>
      </c>
      <c r="H292" s="122">
        <v>1000.0</v>
      </c>
      <c r="I292" s="121">
        <v>44852.0</v>
      </c>
    </row>
    <row r="293">
      <c r="E293" s="93" t="s">
        <v>202</v>
      </c>
      <c r="F293" s="93">
        <v>5.0</v>
      </c>
      <c r="G293" s="93">
        <v>150.0</v>
      </c>
      <c r="H293" s="100">
        <f t="shared" ref="H293:H310" si="4">F293*G293</f>
        <v>750</v>
      </c>
      <c r="I293" s="94"/>
    </row>
    <row r="294">
      <c r="E294" s="93" t="s">
        <v>146</v>
      </c>
      <c r="F294" s="93">
        <v>1.0</v>
      </c>
      <c r="G294" s="93">
        <v>400.0</v>
      </c>
      <c r="H294" s="100">
        <f t="shared" si="4"/>
        <v>400</v>
      </c>
      <c r="I294" s="121">
        <v>44853.0</v>
      </c>
    </row>
    <row r="295">
      <c r="E295" s="93" t="s">
        <v>148</v>
      </c>
      <c r="F295" s="93">
        <v>10.0</v>
      </c>
      <c r="G295" s="93">
        <v>120.0</v>
      </c>
      <c r="H295" s="100">
        <f t="shared" si="4"/>
        <v>1200</v>
      </c>
      <c r="I295" s="121">
        <v>44853.0</v>
      </c>
    </row>
    <row r="296">
      <c r="E296" s="93" t="s">
        <v>301</v>
      </c>
      <c r="F296" s="93">
        <v>4.0</v>
      </c>
      <c r="G296" s="93">
        <v>150.0</v>
      </c>
      <c r="H296" s="100">
        <f t="shared" si="4"/>
        <v>600</v>
      </c>
      <c r="I296" s="121">
        <v>44853.0</v>
      </c>
    </row>
    <row r="297">
      <c r="E297" s="93" t="s">
        <v>302</v>
      </c>
      <c r="F297" s="93">
        <v>2.0</v>
      </c>
      <c r="G297" s="93">
        <v>100.0</v>
      </c>
      <c r="H297" s="100">
        <f t="shared" si="4"/>
        <v>200</v>
      </c>
      <c r="I297" s="121">
        <v>44853.0</v>
      </c>
    </row>
    <row r="298">
      <c r="E298" s="93" t="s">
        <v>226</v>
      </c>
      <c r="F298" s="93">
        <v>1.0</v>
      </c>
      <c r="G298" s="93">
        <v>100.0</v>
      </c>
      <c r="H298" s="100">
        <f t="shared" si="4"/>
        <v>100</v>
      </c>
      <c r="I298" s="121">
        <v>44853.0</v>
      </c>
    </row>
    <row r="299">
      <c r="E299" s="93" t="s">
        <v>204</v>
      </c>
      <c r="F299" s="93">
        <v>5.0</v>
      </c>
      <c r="G299" s="93">
        <v>100.0</v>
      </c>
      <c r="H299" s="100">
        <f t="shared" si="4"/>
        <v>500</v>
      </c>
      <c r="I299" s="121">
        <v>44853.0</v>
      </c>
    </row>
    <row r="300">
      <c r="E300" s="93" t="s">
        <v>303</v>
      </c>
      <c r="F300" s="93">
        <v>1.0</v>
      </c>
      <c r="G300" s="93">
        <v>500.0</v>
      </c>
      <c r="H300" s="100">
        <f t="shared" si="4"/>
        <v>500</v>
      </c>
      <c r="I300" s="121">
        <v>44853.0</v>
      </c>
    </row>
    <row r="301">
      <c r="E301" s="93" t="s">
        <v>304</v>
      </c>
      <c r="F301" s="93">
        <v>2.0</v>
      </c>
      <c r="G301" s="93">
        <v>450.0</v>
      </c>
      <c r="H301" s="100">
        <f t="shared" si="4"/>
        <v>900</v>
      </c>
      <c r="I301" s="121">
        <v>44853.0</v>
      </c>
    </row>
    <row r="302">
      <c r="E302" s="93" t="s">
        <v>305</v>
      </c>
      <c r="F302" s="93">
        <v>8.0</v>
      </c>
      <c r="G302" s="93">
        <v>450.0</v>
      </c>
      <c r="H302" s="100">
        <f t="shared" si="4"/>
        <v>3600</v>
      </c>
      <c r="I302" s="121">
        <v>44853.0</v>
      </c>
    </row>
    <row r="303">
      <c r="E303" s="93" t="s">
        <v>273</v>
      </c>
      <c r="F303" s="93">
        <v>1.0</v>
      </c>
      <c r="G303" s="93">
        <v>800.0</v>
      </c>
      <c r="H303" s="100">
        <f t="shared" si="4"/>
        <v>800</v>
      </c>
      <c r="I303" s="121">
        <v>44853.0</v>
      </c>
    </row>
    <row r="304">
      <c r="E304" s="93" t="s">
        <v>264</v>
      </c>
      <c r="F304" s="93">
        <v>1.0</v>
      </c>
      <c r="G304" s="93">
        <v>200.0</v>
      </c>
      <c r="H304" s="100">
        <f t="shared" si="4"/>
        <v>200</v>
      </c>
      <c r="I304" s="121">
        <v>44853.0</v>
      </c>
    </row>
    <row r="305">
      <c r="E305" s="93" t="s">
        <v>306</v>
      </c>
      <c r="F305" s="93">
        <v>1.0</v>
      </c>
      <c r="G305" s="93">
        <v>300.0</v>
      </c>
      <c r="H305" s="100">
        <f t="shared" si="4"/>
        <v>300</v>
      </c>
      <c r="I305" s="121">
        <v>44853.0</v>
      </c>
    </row>
    <row r="306">
      <c r="E306" s="93" t="s">
        <v>122</v>
      </c>
      <c r="F306" s="93">
        <v>110.0</v>
      </c>
      <c r="G306" s="93">
        <v>70.0</v>
      </c>
      <c r="H306" s="100">
        <f t="shared" si="4"/>
        <v>7700</v>
      </c>
      <c r="I306" s="121">
        <v>44853.0</v>
      </c>
    </row>
    <row r="307">
      <c r="E307" s="93" t="s">
        <v>199</v>
      </c>
      <c r="F307" s="93">
        <v>1.0</v>
      </c>
      <c r="G307" s="93">
        <v>300.0</v>
      </c>
      <c r="H307" s="100">
        <f t="shared" si="4"/>
        <v>300</v>
      </c>
      <c r="I307" s="121">
        <v>44854.0</v>
      </c>
    </row>
    <row r="308">
      <c r="E308" s="93" t="s">
        <v>307</v>
      </c>
      <c r="F308" s="93">
        <v>1.0</v>
      </c>
      <c r="G308" s="93">
        <v>200.0</v>
      </c>
      <c r="H308" s="100">
        <f t="shared" si="4"/>
        <v>200</v>
      </c>
      <c r="I308" s="121">
        <v>44854.0</v>
      </c>
    </row>
    <row r="309">
      <c r="E309" s="93" t="s">
        <v>148</v>
      </c>
      <c r="F309" s="93">
        <v>15.0</v>
      </c>
      <c r="G309" s="93">
        <v>120.0</v>
      </c>
      <c r="H309" s="100">
        <f t="shared" si="4"/>
        <v>1800</v>
      </c>
      <c r="I309" s="121">
        <v>44854.0</v>
      </c>
    </row>
    <row r="310">
      <c r="E310" s="93" t="s">
        <v>308</v>
      </c>
      <c r="F310" s="93">
        <v>5.0</v>
      </c>
      <c r="G310" s="93">
        <v>150.0</v>
      </c>
      <c r="H310" s="100">
        <f t="shared" si="4"/>
        <v>750</v>
      </c>
      <c r="I310" s="121">
        <v>44854.0</v>
      </c>
    </row>
    <row r="311">
      <c r="E311" s="93" t="s">
        <v>273</v>
      </c>
      <c r="F311" s="93">
        <v>1.0</v>
      </c>
      <c r="G311" s="93">
        <v>400.0</v>
      </c>
      <c r="H311" s="100">
        <f t="shared" ref="H311:H386" si="5">G311*F311</f>
        <v>400</v>
      </c>
      <c r="I311" s="121">
        <v>44854.0</v>
      </c>
    </row>
    <row r="312">
      <c r="E312" s="93" t="s">
        <v>309</v>
      </c>
      <c r="F312" s="93">
        <v>3.0</v>
      </c>
      <c r="G312" s="93">
        <v>100.0</v>
      </c>
      <c r="H312" s="100">
        <f t="shared" si="5"/>
        <v>300</v>
      </c>
      <c r="I312" s="121">
        <v>44854.0</v>
      </c>
    </row>
    <row r="313">
      <c r="E313" s="93" t="s">
        <v>310</v>
      </c>
      <c r="F313" s="93">
        <v>1.0</v>
      </c>
      <c r="G313" s="93">
        <v>400.0</v>
      </c>
      <c r="H313" s="100">
        <f t="shared" si="5"/>
        <v>400</v>
      </c>
      <c r="I313" s="121">
        <v>44854.0</v>
      </c>
    </row>
    <row r="314">
      <c r="E314" s="93" t="s">
        <v>276</v>
      </c>
      <c r="F314" s="93">
        <v>1.0</v>
      </c>
      <c r="G314" s="93">
        <v>100.0</v>
      </c>
      <c r="H314" s="100">
        <f t="shared" si="5"/>
        <v>100</v>
      </c>
      <c r="I314" s="121">
        <v>44854.0</v>
      </c>
    </row>
    <row r="315">
      <c r="E315" s="93" t="s">
        <v>311</v>
      </c>
      <c r="F315" s="93">
        <v>2.0</v>
      </c>
      <c r="G315" s="93">
        <v>400.0</v>
      </c>
      <c r="H315" s="100">
        <f t="shared" si="5"/>
        <v>800</v>
      </c>
      <c r="I315" s="121">
        <v>44854.0</v>
      </c>
    </row>
    <row r="316">
      <c r="E316" s="93" t="s">
        <v>312</v>
      </c>
      <c r="F316" s="93">
        <v>3.0</v>
      </c>
      <c r="G316" s="93">
        <v>150.0</v>
      </c>
      <c r="H316" s="100">
        <f t="shared" si="5"/>
        <v>450</v>
      </c>
      <c r="I316" s="121">
        <v>44854.0</v>
      </c>
    </row>
    <row r="317">
      <c r="E317" s="93" t="s">
        <v>313</v>
      </c>
      <c r="F317" s="93">
        <v>1.0</v>
      </c>
      <c r="G317" s="93">
        <v>250.0</v>
      </c>
      <c r="H317" s="100">
        <f t="shared" si="5"/>
        <v>250</v>
      </c>
      <c r="I317" s="121">
        <v>44854.0</v>
      </c>
    </row>
    <row r="318">
      <c r="E318" s="93" t="s">
        <v>314</v>
      </c>
      <c r="F318" s="93">
        <v>7.0</v>
      </c>
      <c r="G318" s="93">
        <v>300.0</v>
      </c>
      <c r="H318" s="100">
        <f t="shared" si="5"/>
        <v>2100</v>
      </c>
      <c r="I318" s="121">
        <v>44855.0</v>
      </c>
    </row>
    <row r="319">
      <c r="E319" s="93" t="s">
        <v>315</v>
      </c>
      <c r="F319" s="93">
        <v>1.0</v>
      </c>
      <c r="G319" s="93">
        <v>1500.0</v>
      </c>
      <c r="H319" s="100">
        <f t="shared" si="5"/>
        <v>1500</v>
      </c>
      <c r="I319" s="121">
        <v>44855.0</v>
      </c>
    </row>
    <row r="320">
      <c r="E320" s="93" t="s">
        <v>306</v>
      </c>
      <c r="F320" s="93">
        <v>1.0</v>
      </c>
      <c r="G320" s="93">
        <v>1500.0</v>
      </c>
      <c r="H320" s="100">
        <f t="shared" si="5"/>
        <v>1500</v>
      </c>
      <c r="I320" s="121">
        <v>44856.0</v>
      </c>
    </row>
    <row r="321">
      <c r="E321" s="93" t="s">
        <v>202</v>
      </c>
      <c r="F321" s="93">
        <v>17.0</v>
      </c>
      <c r="G321" s="93">
        <v>150.0</v>
      </c>
      <c r="H321" s="100">
        <f t="shared" si="5"/>
        <v>2550</v>
      </c>
      <c r="I321" s="121">
        <v>44856.0</v>
      </c>
    </row>
    <row r="322">
      <c r="E322" s="93" t="s">
        <v>200</v>
      </c>
      <c r="F322" s="93">
        <v>2.0</v>
      </c>
      <c r="G322" s="93">
        <v>800.0</v>
      </c>
      <c r="H322" s="100">
        <f t="shared" si="5"/>
        <v>1600</v>
      </c>
      <c r="I322" s="121">
        <v>44856.0</v>
      </c>
    </row>
    <row r="323">
      <c r="E323" s="93" t="s">
        <v>316</v>
      </c>
      <c r="F323" s="93">
        <v>1.0</v>
      </c>
      <c r="G323" s="93">
        <v>300.0</v>
      </c>
      <c r="H323" s="100">
        <f t="shared" si="5"/>
        <v>300</v>
      </c>
      <c r="I323" s="121">
        <v>44856.0</v>
      </c>
    </row>
    <row r="324">
      <c r="E324" s="93" t="s">
        <v>148</v>
      </c>
      <c r="F324" s="93">
        <v>10.0</v>
      </c>
      <c r="G324" s="93">
        <v>100.0</v>
      </c>
      <c r="H324" s="100">
        <f t="shared" si="5"/>
        <v>1000</v>
      </c>
      <c r="I324" s="121">
        <v>44856.0</v>
      </c>
    </row>
    <row r="325">
      <c r="E325" s="93" t="s">
        <v>226</v>
      </c>
      <c r="F325" s="93">
        <v>1.0</v>
      </c>
      <c r="G325" s="93">
        <v>100.0</v>
      </c>
      <c r="H325" s="100">
        <f t="shared" si="5"/>
        <v>100</v>
      </c>
      <c r="I325" s="121">
        <v>44856.0</v>
      </c>
    </row>
    <row r="326">
      <c r="E326" s="93" t="s">
        <v>317</v>
      </c>
      <c r="F326" s="93">
        <v>1.0</v>
      </c>
      <c r="G326" s="93">
        <v>1000.0</v>
      </c>
      <c r="H326" s="100">
        <f t="shared" si="5"/>
        <v>1000</v>
      </c>
      <c r="I326" s="121">
        <v>44856.0</v>
      </c>
    </row>
    <row r="327">
      <c r="E327" s="93" t="s">
        <v>318</v>
      </c>
      <c r="F327" s="93">
        <v>1.5</v>
      </c>
      <c r="G327" s="93">
        <v>350.0</v>
      </c>
      <c r="H327" s="100">
        <f t="shared" si="5"/>
        <v>525</v>
      </c>
      <c r="I327" s="121">
        <v>44856.0</v>
      </c>
    </row>
    <row r="328">
      <c r="E328" s="93" t="s">
        <v>280</v>
      </c>
      <c r="F328" s="93">
        <v>2.0</v>
      </c>
      <c r="G328" s="93">
        <v>100.0</v>
      </c>
      <c r="H328" s="100">
        <f t="shared" si="5"/>
        <v>200</v>
      </c>
      <c r="I328" s="121">
        <v>44856.0</v>
      </c>
    </row>
    <row r="329">
      <c r="E329" s="93" t="s">
        <v>198</v>
      </c>
      <c r="F329" s="93">
        <v>0.5</v>
      </c>
      <c r="G329" s="93">
        <v>1800.0</v>
      </c>
      <c r="H329" s="100">
        <f t="shared" si="5"/>
        <v>900</v>
      </c>
      <c r="I329" s="121">
        <v>44856.0</v>
      </c>
    </row>
    <row r="330">
      <c r="E330" s="93" t="s">
        <v>319</v>
      </c>
      <c r="F330" s="93">
        <v>1.0</v>
      </c>
      <c r="G330" s="93">
        <v>1500.0</v>
      </c>
      <c r="H330" s="100">
        <f t="shared" si="5"/>
        <v>1500</v>
      </c>
      <c r="I330" s="121">
        <v>44856.0</v>
      </c>
    </row>
    <row r="331">
      <c r="E331" s="93" t="s">
        <v>320</v>
      </c>
      <c r="F331" s="93">
        <v>1.0</v>
      </c>
      <c r="G331" s="93">
        <v>500.0</v>
      </c>
      <c r="H331" s="100">
        <f t="shared" si="5"/>
        <v>500</v>
      </c>
      <c r="I331" s="121">
        <v>44856.0</v>
      </c>
    </row>
    <row r="332">
      <c r="E332" s="93" t="s">
        <v>148</v>
      </c>
      <c r="F332" s="93">
        <v>6.0</v>
      </c>
      <c r="G332" s="93">
        <v>150.0</v>
      </c>
      <c r="H332" s="100">
        <f t="shared" si="5"/>
        <v>900</v>
      </c>
      <c r="I332" s="121">
        <v>44857.0</v>
      </c>
    </row>
    <row r="333">
      <c r="E333" s="93" t="s">
        <v>321</v>
      </c>
      <c r="F333" s="93">
        <v>1.0</v>
      </c>
      <c r="G333" s="93">
        <v>700.0</v>
      </c>
      <c r="H333" s="100">
        <f t="shared" si="5"/>
        <v>700</v>
      </c>
      <c r="I333" s="121">
        <v>44857.0</v>
      </c>
    </row>
    <row r="334">
      <c r="E334" s="93" t="s">
        <v>322</v>
      </c>
      <c r="F334" s="93">
        <v>1.0</v>
      </c>
      <c r="G334" s="93">
        <v>200.0</v>
      </c>
      <c r="H334" s="100">
        <f t="shared" si="5"/>
        <v>200</v>
      </c>
      <c r="I334" s="121">
        <v>44857.0</v>
      </c>
    </row>
    <row r="335">
      <c r="E335" s="93" t="s">
        <v>323</v>
      </c>
      <c r="F335" s="93">
        <v>1.5</v>
      </c>
      <c r="G335" s="93">
        <v>450.0</v>
      </c>
      <c r="H335" s="100">
        <f t="shared" si="5"/>
        <v>675</v>
      </c>
      <c r="I335" s="121">
        <v>44857.0</v>
      </c>
    </row>
    <row r="336">
      <c r="E336" s="93" t="s">
        <v>185</v>
      </c>
      <c r="F336" s="93">
        <v>3.5</v>
      </c>
      <c r="G336" s="93">
        <v>400.0</v>
      </c>
      <c r="H336" s="100">
        <f t="shared" si="5"/>
        <v>1400</v>
      </c>
      <c r="I336" s="121">
        <v>44857.0</v>
      </c>
    </row>
    <row r="337">
      <c r="E337" s="93" t="s">
        <v>324</v>
      </c>
      <c r="F337" s="93">
        <v>1.0</v>
      </c>
      <c r="G337" s="93">
        <v>150.0</v>
      </c>
      <c r="H337" s="100">
        <f t="shared" si="5"/>
        <v>150</v>
      </c>
      <c r="I337" s="121">
        <v>44857.0</v>
      </c>
    </row>
    <row r="338">
      <c r="E338" s="93" t="s">
        <v>258</v>
      </c>
      <c r="F338" s="93">
        <v>1.0</v>
      </c>
      <c r="G338" s="93">
        <v>350.0</v>
      </c>
      <c r="H338" s="100">
        <f t="shared" si="5"/>
        <v>350</v>
      </c>
      <c r="I338" s="121">
        <v>44857.0</v>
      </c>
    </row>
    <row r="339">
      <c r="E339" s="93" t="s">
        <v>325</v>
      </c>
      <c r="F339" s="93">
        <v>1.0</v>
      </c>
      <c r="G339" s="93">
        <v>1400.0</v>
      </c>
      <c r="H339" s="100">
        <f t="shared" si="5"/>
        <v>1400</v>
      </c>
      <c r="I339" s="121">
        <v>44857.0</v>
      </c>
    </row>
    <row r="340">
      <c r="E340" s="93" t="s">
        <v>313</v>
      </c>
      <c r="F340" s="93">
        <v>1.0</v>
      </c>
      <c r="G340" s="93">
        <v>390.0</v>
      </c>
      <c r="H340" s="100">
        <f t="shared" si="5"/>
        <v>390</v>
      </c>
      <c r="I340" s="121">
        <v>44857.0</v>
      </c>
    </row>
    <row r="341">
      <c r="E341" s="93" t="s">
        <v>326</v>
      </c>
      <c r="F341" s="93">
        <v>10.0</v>
      </c>
      <c r="G341" s="93">
        <v>50.0</v>
      </c>
      <c r="H341" s="100">
        <f t="shared" si="5"/>
        <v>500</v>
      </c>
      <c r="I341" s="121">
        <v>44857.0</v>
      </c>
    </row>
    <row r="342">
      <c r="E342" s="93" t="s">
        <v>200</v>
      </c>
      <c r="F342" s="93">
        <v>1.0</v>
      </c>
      <c r="G342" s="93">
        <v>800.0</v>
      </c>
      <c r="H342" s="100">
        <f t="shared" si="5"/>
        <v>800</v>
      </c>
      <c r="I342" s="121">
        <v>44857.0</v>
      </c>
    </row>
    <row r="343">
      <c r="E343" s="93" t="s">
        <v>198</v>
      </c>
      <c r="F343" s="93">
        <v>0.5</v>
      </c>
      <c r="G343" s="93">
        <v>1800.0</v>
      </c>
      <c r="H343" s="100">
        <f t="shared" si="5"/>
        <v>900</v>
      </c>
      <c r="I343" s="121">
        <v>44857.0</v>
      </c>
    </row>
    <row r="344">
      <c r="E344" s="93" t="s">
        <v>209</v>
      </c>
      <c r="F344" s="93">
        <v>1.0</v>
      </c>
      <c r="G344" s="93">
        <v>100.0</v>
      </c>
      <c r="H344" s="100">
        <f t="shared" si="5"/>
        <v>100</v>
      </c>
      <c r="I344" s="121">
        <v>44857.0</v>
      </c>
    </row>
    <row r="345">
      <c r="E345" s="93" t="s">
        <v>148</v>
      </c>
      <c r="F345" s="93">
        <v>4.0</v>
      </c>
      <c r="G345" s="93">
        <v>100.0</v>
      </c>
      <c r="H345" s="100">
        <f t="shared" si="5"/>
        <v>400</v>
      </c>
      <c r="I345" s="121">
        <v>44858.0</v>
      </c>
    </row>
    <row r="346">
      <c r="E346" s="93" t="s">
        <v>200</v>
      </c>
      <c r="F346" s="93">
        <v>1.0</v>
      </c>
      <c r="G346" s="93">
        <v>700.0</v>
      </c>
      <c r="H346" s="100">
        <f t="shared" si="5"/>
        <v>700</v>
      </c>
      <c r="I346" s="121">
        <v>44858.0</v>
      </c>
    </row>
    <row r="347">
      <c r="E347" s="93" t="s">
        <v>273</v>
      </c>
      <c r="F347" s="93">
        <v>1.5</v>
      </c>
      <c r="G347" s="93">
        <v>700.0</v>
      </c>
      <c r="H347" s="100">
        <f t="shared" si="5"/>
        <v>1050</v>
      </c>
      <c r="I347" s="121">
        <v>44858.0</v>
      </c>
    </row>
    <row r="348">
      <c r="E348" s="93" t="s">
        <v>327</v>
      </c>
      <c r="F348" s="93">
        <v>1.0</v>
      </c>
      <c r="G348" s="93">
        <v>450.0</v>
      </c>
      <c r="H348" s="100">
        <f t="shared" si="5"/>
        <v>450</v>
      </c>
      <c r="I348" s="121">
        <v>44858.0</v>
      </c>
    </row>
    <row r="349">
      <c r="E349" s="93" t="s">
        <v>204</v>
      </c>
      <c r="F349" s="93">
        <v>3.0</v>
      </c>
      <c r="G349" s="93">
        <v>110.0</v>
      </c>
      <c r="H349" s="100">
        <f t="shared" si="5"/>
        <v>330</v>
      </c>
      <c r="I349" s="121">
        <v>44858.0</v>
      </c>
    </row>
    <row r="350">
      <c r="E350" s="93" t="s">
        <v>123</v>
      </c>
      <c r="F350" s="93">
        <v>1.0</v>
      </c>
      <c r="G350" s="93">
        <v>200.0</v>
      </c>
      <c r="H350" s="100">
        <f t="shared" si="5"/>
        <v>200</v>
      </c>
      <c r="I350" s="121">
        <v>44858.0</v>
      </c>
    </row>
    <row r="351">
      <c r="E351" s="93" t="s">
        <v>199</v>
      </c>
      <c r="F351" s="93">
        <v>1.0</v>
      </c>
      <c r="G351" s="93">
        <v>400.0</v>
      </c>
      <c r="H351" s="100">
        <f t="shared" si="5"/>
        <v>400</v>
      </c>
      <c r="I351" s="121">
        <v>44858.0</v>
      </c>
    </row>
    <row r="352">
      <c r="E352" s="93" t="s">
        <v>122</v>
      </c>
      <c r="F352" s="93">
        <v>150.0</v>
      </c>
      <c r="G352" s="93">
        <v>70.0</v>
      </c>
      <c r="H352" s="100">
        <f t="shared" si="5"/>
        <v>10500</v>
      </c>
      <c r="I352" s="93" t="s">
        <v>328</v>
      </c>
    </row>
    <row r="353">
      <c r="E353" s="93" t="s">
        <v>211</v>
      </c>
      <c r="F353" s="93">
        <v>1.0</v>
      </c>
      <c r="G353" s="93">
        <v>500.0</v>
      </c>
      <c r="H353" s="100">
        <f t="shared" si="5"/>
        <v>500</v>
      </c>
      <c r="I353" s="121">
        <v>44859.0</v>
      </c>
    </row>
    <row r="354">
      <c r="E354" s="93" t="s">
        <v>329</v>
      </c>
      <c r="F354" s="93">
        <v>1.0</v>
      </c>
      <c r="G354" s="93">
        <v>280.0</v>
      </c>
      <c r="H354" s="100">
        <f t="shared" si="5"/>
        <v>280</v>
      </c>
      <c r="I354" s="121">
        <v>44859.0</v>
      </c>
    </row>
    <row r="355">
      <c r="E355" s="93" t="s">
        <v>327</v>
      </c>
      <c r="F355" s="93">
        <v>1.0</v>
      </c>
      <c r="G355" s="93">
        <v>450.0</v>
      </c>
      <c r="H355" s="100">
        <f t="shared" si="5"/>
        <v>450</v>
      </c>
      <c r="I355" s="121">
        <v>44859.0</v>
      </c>
    </row>
    <row r="356">
      <c r="E356" s="93" t="s">
        <v>270</v>
      </c>
      <c r="F356" s="93">
        <v>30.0</v>
      </c>
      <c r="G356" s="93">
        <v>120.0</v>
      </c>
      <c r="H356" s="100">
        <f t="shared" si="5"/>
        <v>3600</v>
      </c>
      <c r="I356" s="121">
        <v>44859.0</v>
      </c>
    </row>
    <row r="357">
      <c r="E357" s="93" t="s">
        <v>200</v>
      </c>
      <c r="F357" s="93">
        <v>2.0</v>
      </c>
      <c r="G357" s="93">
        <v>800.0</v>
      </c>
      <c r="H357" s="100">
        <f t="shared" si="5"/>
        <v>1600</v>
      </c>
      <c r="I357" s="121">
        <v>44859.0</v>
      </c>
    </row>
    <row r="358">
      <c r="E358" s="93" t="s">
        <v>198</v>
      </c>
      <c r="F358" s="93">
        <v>0.5</v>
      </c>
      <c r="G358" s="93">
        <v>1800.0</v>
      </c>
      <c r="H358" s="100">
        <f t="shared" si="5"/>
        <v>900</v>
      </c>
      <c r="I358" s="121">
        <v>44859.0</v>
      </c>
    </row>
    <row r="359">
      <c r="E359" s="93" t="s">
        <v>225</v>
      </c>
      <c r="F359" s="93">
        <v>2.0</v>
      </c>
      <c r="G359" s="93">
        <v>100.0</v>
      </c>
      <c r="H359" s="100">
        <f t="shared" si="5"/>
        <v>200</v>
      </c>
      <c r="I359" s="121">
        <v>44859.0</v>
      </c>
    </row>
    <row r="360">
      <c r="E360" s="93" t="s">
        <v>226</v>
      </c>
      <c r="F360" s="93">
        <v>1.0</v>
      </c>
      <c r="G360" s="93">
        <v>100.0</v>
      </c>
      <c r="H360" s="100">
        <f t="shared" si="5"/>
        <v>100</v>
      </c>
      <c r="I360" s="121">
        <v>44859.0</v>
      </c>
    </row>
    <row r="361">
      <c r="E361" s="93" t="s">
        <v>276</v>
      </c>
      <c r="F361" s="93">
        <v>1.0</v>
      </c>
      <c r="G361" s="93">
        <v>100.0</v>
      </c>
      <c r="H361" s="100">
        <f t="shared" si="5"/>
        <v>100</v>
      </c>
      <c r="I361" s="121">
        <v>44860.0</v>
      </c>
    </row>
    <row r="362">
      <c r="E362" s="93" t="s">
        <v>146</v>
      </c>
      <c r="F362" s="93">
        <v>2.0</v>
      </c>
      <c r="G362" s="93">
        <v>700.0</v>
      </c>
      <c r="H362" s="100">
        <f t="shared" si="5"/>
        <v>1400</v>
      </c>
      <c r="I362" s="121">
        <v>44860.0</v>
      </c>
    </row>
    <row r="363">
      <c r="E363" s="93" t="s">
        <v>330</v>
      </c>
      <c r="F363" s="93">
        <v>20.0</v>
      </c>
      <c r="G363" s="93">
        <v>300.0</v>
      </c>
      <c r="H363" s="100">
        <f t="shared" si="5"/>
        <v>6000</v>
      </c>
      <c r="I363" s="121">
        <v>44860.0</v>
      </c>
    </row>
    <row r="364">
      <c r="E364" s="93" t="s">
        <v>331</v>
      </c>
      <c r="F364" s="93">
        <v>2.0</v>
      </c>
      <c r="G364" s="93">
        <v>12000.0</v>
      </c>
      <c r="H364" s="100">
        <f t="shared" si="5"/>
        <v>24000</v>
      </c>
      <c r="I364" s="123">
        <v>44860.0</v>
      </c>
    </row>
    <row r="365">
      <c r="E365" s="93" t="s">
        <v>148</v>
      </c>
      <c r="F365" s="93">
        <v>20.0</v>
      </c>
      <c r="G365" s="93">
        <v>120.0</v>
      </c>
      <c r="H365" s="100">
        <f t="shared" si="5"/>
        <v>2400</v>
      </c>
      <c r="I365" s="121">
        <v>44861.0</v>
      </c>
    </row>
    <row r="366">
      <c r="E366" s="93" t="s">
        <v>332</v>
      </c>
      <c r="F366" s="93">
        <v>2.0</v>
      </c>
      <c r="G366" s="93">
        <v>700.0</v>
      </c>
      <c r="H366" s="100">
        <f t="shared" si="5"/>
        <v>1400</v>
      </c>
      <c r="I366" s="121">
        <v>44861.0</v>
      </c>
    </row>
    <row r="367">
      <c r="E367" s="93" t="s">
        <v>211</v>
      </c>
      <c r="F367" s="93">
        <v>1.0</v>
      </c>
      <c r="G367" s="93">
        <v>100.0</v>
      </c>
      <c r="H367" s="100">
        <f t="shared" si="5"/>
        <v>100</v>
      </c>
      <c r="I367" s="121">
        <v>44861.0</v>
      </c>
    </row>
    <row r="368">
      <c r="E368" s="93" t="s">
        <v>204</v>
      </c>
      <c r="F368" s="93">
        <v>4.0</v>
      </c>
      <c r="G368" s="93">
        <v>100.0</v>
      </c>
      <c r="H368" s="100">
        <f t="shared" si="5"/>
        <v>400</v>
      </c>
      <c r="I368" s="121">
        <v>44861.0</v>
      </c>
    </row>
    <row r="369">
      <c r="E369" s="93" t="s">
        <v>219</v>
      </c>
      <c r="F369" s="93">
        <v>2.0</v>
      </c>
      <c r="G369" s="93">
        <v>500.0</v>
      </c>
      <c r="H369" s="100">
        <f t="shared" si="5"/>
        <v>1000</v>
      </c>
      <c r="I369" s="121">
        <v>44861.0</v>
      </c>
    </row>
    <row r="370">
      <c r="E370" s="93" t="s">
        <v>148</v>
      </c>
      <c r="F370" s="93">
        <v>15.0</v>
      </c>
      <c r="G370" s="93">
        <v>120.0</v>
      </c>
      <c r="H370" s="100">
        <f t="shared" si="5"/>
        <v>1800</v>
      </c>
      <c r="I370" s="121">
        <v>44862.0</v>
      </c>
    </row>
    <row r="371">
      <c r="E371" s="93" t="s">
        <v>333</v>
      </c>
      <c r="F371" s="93">
        <v>11.0</v>
      </c>
      <c r="G371" s="93">
        <v>140.0</v>
      </c>
      <c r="H371" s="100">
        <f t="shared" si="5"/>
        <v>1540</v>
      </c>
      <c r="I371" s="121">
        <v>44862.0</v>
      </c>
    </row>
    <row r="372">
      <c r="E372" s="93" t="s">
        <v>146</v>
      </c>
      <c r="F372" s="93">
        <v>1.0</v>
      </c>
      <c r="G372" s="93">
        <v>400.0</v>
      </c>
      <c r="H372" s="100">
        <f t="shared" si="5"/>
        <v>400</v>
      </c>
      <c r="I372" s="121">
        <v>44862.0</v>
      </c>
    </row>
    <row r="373">
      <c r="E373" s="93" t="s">
        <v>334</v>
      </c>
      <c r="F373" s="93">
        <v>2.0</v>
      </c>
      <c r="G373" s="93">
        <v>200.0</v>
      </c>
      <c r="H373" s="100">
        <f t="shared" si="5"/>
        <v>400</v>
      </c>
      <c r="I373" s="121">
        <v>44862.0</v>
      </c>
    </row>
    <row r="374">
      <c r="E374" s="93" t="s">
        <v>335</v>
      </c>
      <c r="F374" s="93">
        <v>3.0</v>
      </c>
      <c r="G374" s="93">
        <v>100.0</v>
      </c>
      <c r="H374" s="100">
        <f t="shared" si="5"/>
        <v>300</v>
      </c>
      <c r="I374" s="121">
        <v>44862.0</v>
      </c>
    </row>
    <row r="375">
      <c r="E375" s="93" t="s">
        <v>198</v>
      </c>
      <c r="F375" s="93">
        <v>2.0</v>
      </c>
      <c r="G375" s="93">
        <v>1700.0</v>
      </c>
      <c r="H375" s="100">
        <f t="shared" si="5"/>
        <v>3400</v>
      </c>
      <c r="I375" s="121">
        <v>44862.0</v>
      </c>
    </row>
    <row r="376">
      <c r="E376" s="93" t="s">
        <v>197</v>
      </c>
      <c r="F376" s="93">
        <v>4.0</v>
      </c>
      <c r="G376" s="93">
        <v>400.0</v>
      </c>
      <c r="H376" s="100">
        <f t="shared" si="5"/>
        <v>1600</v>
      </c>
      <c r="I376" s="121">
        <v>44862.0</v>
      </c>
    </row>
    <row r="377">
      <c r="E377" s="93" t="s">
        <v>259</v>
      </c>
      <c r="F377" s="93">
        <v>5.0</v>
      </c>
      <c r="G377" s="93">
        <v>20.0</v>
      </c>
      <c r="H377" s="100">
        <f t="shared" si="5"/>
        <v>100</v>
      </c>
      <c r="I377" s="121">
        <v>44862.0</v>
      </c>
    </row>
    <row r="378">
      <c r="E378" s="93" t="s">
        <v>220</v>
      </c>
      <c r="F378" s="93">
        <v>1.0</v>
      </c>
      <c r="G378" s="93">
        <v>100.0</v>
      </c>
      <c r="H378" s="100">
        <f t="shared" si="5"/>
        <v>100</v>
      </c>
      <c r="I378" s="121">
        <v>44862.0</v>
      </c>
    </row>
    <row r="379">
      <c r="E379" s="93" t="s">
        <v>204</v>
      </c>
      <c r="F379" s="93">
        <v>3.0</v>
      </c>
      <c r="G379" s="93">
        <v>100.0</v>
      </c>
      <c r="H379" s="100">
        <f t="shared" si="5"/>
        <v>300</v>
      </c>
      <c r="I379" s="121">
        <v>44862.0</v>
      </c>
    </row>
    <row r="380">
      <c r="E380" s="93" t="s">
        <v>207</v>
      </c>
      <c r="F380" s="93">
        <v>1.0</v>
      </c>
      <c r="G380" s="93">
        <v>200.0</v>
      </c>
      <c r="H380" s="100">
        <f t="shared" si="5"/>
        <v>200</v>
      </c>
      <c r="I380" s="121">
        <v>44862.0</v>
      </c>
    </row>
    <row r="381">
      <c r="E381" s="93" t="s">
        <v>336</v>
      </c>
      <c r="F381" s="93">
        <v>1.0</v>
      </c>
      <c r="G381" s="93">
        <v>300.0</v>
      </c>
      <c r="H381" s="100">
        <f t="shared" si="5"/>
        <v>300</v>
      </c>
      <c r="I381" s="121">
        <v>44862.0</v>
      </c>
    </row>
    <row r="382">
      <c r="E382" s="93" t="s">
        <v>337</v>
      </c>
      <c r="F382" s="93">
        <v>2.0</v>
      </c>
      <c r="G382" s="93">
        <v>150.0</v>
      </c>
      <c r="H382" s="100">
        <f t="shared" si="5"/>
        <v>300</v>
      </c>
      <c r="I382" s="121">
        <v>44862.0</v>
      </c>
    </row>
    <row r="383">
      <c r="E383" s="93" t="s">
        <v>338</v>
      </c>
      <c r="F383" s="93">
        <v>1.0</v>
      </c>
      <c r="G383" s="93">
        <v>150.0</v>
      </c>
      <c r="H383" s="100">
        <f t="shared" si="5"/>
        <v>150</v>
      </c>
      <c r="I383" s="121">
        <v>44862.0</v>
      </c>
    </row>
    <row r="384">
      <c r="E384" s="93" t="s">
        <v>339</v>
      </c>
      <c r="F384" s="93">
        <v>1.0</v>
      </c>
      <c r="G384" s="93">
        <v>50.0</v>
      </c>
      <c r="H384" s="100">
        <f t="shared" si="5"/>
        <v>50</v>
      </c>
      <c r="I384" s="121">
        <v>44862.0</v>
      </c>
    </row>
    <row r="385">
      <c r="E385" s="93" t="s">
        <v>337</v>
      </c>
      <c r="F385" s="93">
        <v>8.0</v>
      </c>
      <c r="G385" s="93">
        <v>50.0</v>
      </c>
      <c r="H385" s="100">
        <f t="shared" si="5"/>
        <v>400</v>
      </c>
      <c r="I385" s="121">
        <v>44862.0</v>
      </c>
    </row>
    <row r="386">
      <c r="E386" s="93" t="s">
        <v>225</v>
      </c>
      <c r="F386" s="93">
        <v>2.0</v>
      </c>
      <c r="G386" s="93">
        <v>100.0</v>
      </c>
      <c r="H386" s="100">
        <f t="shared" si="5"/>
        <v>200</v>
      </c>
      <c r="I386" s="121">
        <v>44863.0</v>
      </c>
    </row>
    <row r="387">
      <c r="E387" s="93" t="s">
        <v>185</v>
      </c>
      <c r="F387" s="93">
        <v>2.0</v>
      </c>
      <c r="G387" s="93">
        <v>350.0</v>
      </c>
      <c r="H387" s="122">
        <v>700.0</v>
      </c>
      <c r="I387" s="121">
        <v>44863.0</v>
      </c>
    </row>
    <row r="388">
      <c r="E388" s="93" t="s">
        <v>311</v>
      </c>
      <c r="F388" s="93">
        <v>2.0</v>
      </c>
      <c r="G388" s="93">
        <v>350.0</v>
      </c>
      <c r="H388" s="100">
        <f t="shared" ref="H388:H393" si="6">G388*F388</f>
        <v>700</v>
      </c>
      <c r="I388" s="121">
        <v>44863.0</v>
      </c>
    </row>
    <row r="389">
      <c r="E389" s="93" t="s">
        <v>340</v>
      </c>
      <c r="F389" s="93">
        <v>1.0</v>
      </c>
      <c r="G389" s="93">
        <v>200.0</v>
      </c>
      <c r="H389" s="100">
        <f t="shared" si="6"/>
        <v>200</v>
      </c>
      <c r="I389" s="121">
        <v>44863.0</v>
      </c>
    </row>
    <row r="390">
      <c r="E390" s="93" t="s">
        <v>341</v>
      </c>
      <c r="F390" s="93">
        <v>1.0</v>
      </c>
      <c r="G390" s="93">
        <v>50000.0</v>
      </c>
      <c r="H390" s="100">
        <f t="shared" si="6"/>
        <v>50000</v>
      </c>
      <c r="I390" s="121">
        <v>44863.0</v>
      </c>
    </row>
    <row r="391">
      <c r="E391" s="94"/>
      <c r="F391" s="94"/>
      <c r="G391" s="94"/>
      <c r="H391" s="100">
        <f t="shared" si="6"/>
        <v>0</v>
      </c>
      <c r="I391" s="94"/>
    </row>
    <row r="392">
      <c r="E392" s="94"/>
      <c r="F392" s="94"/>
      <c r="G392" s="94"/>
      <c r="H392" s="100">
        <f t="shared" si="6"/>
        <v>0</v>
      </c>
      <c r="I392" s="94"/>
    </row>
    <row r="393">
      <c r="E393" s="94"/>
      <c r="F393" s="94"/>
      <c r="G393" s="94"/>
      <c r="H393" s="100">
        <f t="shared" si="6"/>
        <v>0</v>
      </c>
      <c r="I393" s="94"/>
    </row>
    <row r="394">
      <c r="E394" s="94"/>
      <c r="F394" s="94"/>
      <c r="G394" s="94"/>
      <c r="H394" s="100">
        <f>SUM(H3:H393)</f>
        <v>901306.5</v>
      </c>
      <c r="I394" s="94"/>
    </row>
  </sheetData>
  <customSheetViews>
    <customSheetView guid="{8AA9C067-8DA7-4363-ACC2-6F9BA99A31BE}" filter="1" showAutoFilter="1">
      <autoFilter ref="$E$2:$I$394">
        <sortState ref="E2:I394">
          <sortCondition descending="1" ref="H2:H394"/>
        </sortState>
      </autoFilter>
    </customSheetView>
  </customSheetView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2.75"/>
    <col customWidth="1" min="10" max="10" width="22.63"/>
    <col customWidth="1" min="11" max="11" width="23.38"/>
    <col customWidth="1" min="12" max="12" width="25.13"/>
    <col customWidth="1" min="13" max="13" width="38.75"/>
  </cols>
  <sheetData>
    <row r="11">
      <c r="H11" s="124"/>
      <c r="I11" s="125" t="s">
        <v>342</v>
      </c>
      <c r="J11" s="125" t="s">
        <v>4</v>
      </c>
      <c r="K11" s="125" t="s">
        <v>343</v>
      </c>
      <c r="L11" s="126" t="s">
        <v>344</v>
      </c>
    </row>
    <row r="12">
      <c r="H12" s="89">
        <v>1.0</v>
      </c>
      <c r="I12" s="33" t="s">
        <v>345</v>
      </c>
      <c r="J12" s="11">
        <v>20000.0</v>
      </c>
      <c r="K12" s="11">
        <v>20000.0</v>
      </c>
      <c r="L12" s="45">
        <f t="shared" ref="L12:L26" si="1">J12-K12</f>
        <v>0</v>
      </c>
      <c r="M12" s="127"/>
    </row>
    <row r="13">
      <c r="H13" s="89">
        <v>2.0</v>
      </c>
      <c r="I13" s="33" t="s">
        <v>346</v>
      </c>
      <c r="J13" s="11">
        <v>20000.0</v>
      </c>
      <c r="K13" s="11">
        <v>20000.0</v>
      </c>
      <c r="L13" s="45">
        <f t="shared" si="1"/>
        <v>0</v>
      </c>
      <c r="M13" s="127"/>
    </row>
    <row r="14">
      <c r="H14" s="89">
        <v>3.0</v>
      </c>
      <c r="I14" s="33" t="s">
        <v>347</v>
      </c>
      <c r="J14" s="45">
        <f>Pointage!C35*1</f>
        <v>18900</v>
      </c>
      <c r="K14" s="11">
        <v>19000.0</v>
      </c>
      <c r="L14" s="45">
        <f t="shared" si="1"/>
        <v>-100</v>
      </c>
      <c r="M14" s="127"/>
    </row>
    <row r="15">
      <c r="H15" s="89">
        <v>4.0</v>
      </c>
      <c r="I15" s="33" t="s">
        <v>50</v>
      </c>
      <c r="J15" s="45">
        <f>Pointage!D35*1</f>
        <v>27497.25</v>
      </c>
      <c r="K15" s="11">
        <v>27500.0</v>
      </c>
      <c r="L15" s="45">
        <f t="shared" si="1"/>
        <v>-2.75</v>
      </c>
      <c r="M15" s="128" t="s">
        <v>348</v>
      </c>
    </row>
    <row r="16">
      <c r="H16" s="89">
        <v>5.0</v>
      </c>
      <c r="I16" s="33" t="s">
        <v>51</v>
      </c>
      <c r="J16" s="45">
        <f>Pointage!E35*1</f>
        <v>32219</v>
      </c>
      <c r="K16" s="11">
        <v>32500.0</v>
      </c>
      <c r="L16" s="45">
        <f t="shared" si="1"/>
        <v>-281</v>
      </c>
      <c r="M16" s="127"/>
    </row>
    <row r="17">
      <c r="H17" s="89">
        <v>6.0</v>
      </c>
      <c r="I17" s="33" t="s">
        <v>52</v>
      </c>
      <c r="J17" s="45">
        <f>Pointage!F35*1</f>
        <v>36663</v>
      </c>
      <c r="K17" s="11">
        <v>37000.0</v>
      </c>
      <c r="L17" s="45">
        <f t="shared" si="1"/>
        <v>-337</v>
      </c>
      <c r="M17" s="127"/>
    </row>
    <row r="18">
      <c r="H18" s="89">
        <v>7.0</v>
      </c>
      <c r="I18" s="33" t="s">
        <v>349</v>
      </c>
      <c r="J18" s="45">
        <f>Pointage!G35*1</f>
        <v>26941.75</v>
      </c>
      <c r="K18" s="11">
        <v>27000.0</v>
      </c>
      <c r="L18" s="45">
        <f t="shared" si="1"/>
        <v>-58.25</v>
      </c>
      <c r="M18" s="127"/>
    </row>
    <row r="19">
      <c r="H19" s="89">
        <v>8.0</v>
      </c>
      <c r="I19" s="33" t="s">
        <v>350</v>
      </c>
      <c r="J19" s="45">
        <f>Pointage!H35*1</f>
        <v>34787.5</v>
      </c>
      <c r="K19" s="11">
        <v>35000.0</v>
      </c>
      <c r="L19" s="45">
        <f t="shared" si="1"/>
        <v>-212.5</v>
      </c>
      <c r="M19" s="128" t="s">
        <v>351</v>
      </c>
    </row>
    <row r="20">
      <c r="H20" s="89">
        <v>9.0</v>
      </c>
      <c r="I20" s="33" t="s">
        <v>352</v>
      </c>
      <c r="J20" s="45">
        <f>Pointage!I35*1</f>
        <v>27219.5</v>
      </c>
      <c r="K20" s="11">
        <v>27500.0</v>
      </c>
      <c r="L20" s="45">
        <f t="shared" si="1"/>
        <v>-280.5</v>
      </c>
      <c r="M20" s="128" t="s">
        <v>353</v>
      </c>
    </row>
    <row r="21">
      <c r="H21" s="89">
        <v>10.0</v>
      </c>
      <c r="I21" s="33" t="s">
        <v>354</v>
      </c>
      <c r="J21" s="45">
        <f>Pointage!J35*1</f>
        <v>36107.5</v>
      </c>
      <c r="K21" s="11">
        <v>36500.0</v>
      </c>
      <c r="L21" s="45">
        <f t="shared" si="1"/>
        <v>-392.5</v>
      </c>
      <c r="M21" s="128">
        <v>15000.0</v>
      </c>
    </row>
    <row r="22">
      <c r="H22" s="129">
        <v>11.0</v>
      </c>
      <c r="I22" s="90" t="s">
        <v>60</v>
      </c>
      <c r="J22" s="45">
        <f>Pointage!N35*1</f>
        <v>4000</v>
      </c>
      <c r="K22" s="11">
        <v>4000.0</v>
      </c>
      <c r="L22" s="45">
        <f t="shared" si="1"/>
        <v>0</v>
      </c>
      <c r="M22" s="127"/>
    </row>
    <row r="23">
      <c r="H23" s="129">
        <v>12.0</v>
      </c>
      <c r="I23" s="33" t="s">
        <v>355</v>
      </c>
      <c r="J23" s="45">
        <f>Pointage!M35*1</f>
        <v>21600</v>
      </c>
      <c r="K23" s="11">
        <v>22000.0</v>
      </c>
      <c r="L23" s="45">
        <f t="shared" si="1"/>
        <v>-400</v>
      </c>
      <c r="M23" s="127"/>
    </row>
    <row r="24">
      <c r="H24" s="129">
        <v>13.0</v>
      </c>
      <c r="I24" s="33" t="s">
        <v>356</v>
      </c>
      <c r="J24" s="45">
        <f>Pointage!L35*1</f>
        <v>9600</v>
      </c>
      <c r="K24" s="11">
        <v>10000.0</v>
      </c>
      <c r="L24" s="45">
        <f t="shared" si="1"/>
        <v>-400</v>
      </c>
      <c r="M24" s="127"/>
    </row>
    <row r="25">
      <c r="H25" s="129">
        <v>14.0</v>
      </c>
      <c r="I25" s="90" t="s">
        <v>61</v>
      </c>
      <c r="J25" s="45">
        <f>Pointage!O35*1</f>
        <v>9600</v>
      </c>
      <c r="K25" s="11">
        <v>10000.0</v>
      </c>
      <c r="L25" s="45">
        <f t="shared" si="1"/>
        <v>-400</v>
      </c>
      <c r="M25" s="127"/>
    </row>
    <row r="26">
      <c r="H26" s="129">
        <v>15.0</v>
      </c>
      <c r="I26" s="90" t="s">
        <v>357</v>
      </c>
      <c r="J26" s="45">
        <f>Pointage!P35*1</f>
        <v>5500</v>
      </c>
      <c r="K26" s="11">
        <v>5500.0</v>
      </c>
      <c r="L26" s="45">
        <f t="shared" si="1"/>
        <v>0</v>
      </c>
      <c r="M26" s="127"/>
    </row>
    <row r="27">
      <c r="H27" s="129">
        <v>16.0</v>
      </c>
      <c r="I27" s="90" t="s">
        <v>358</v>
      </c>
      <c r="J27" s="45">
        <f>Pointage!K35*1</f>
        <v>14500</v>
      </c>
      <c r="K27" s="11">
        <v>14500.0</v>
      </c>
      <c r="L27" s="45"/>
      <c r="M27" s="127"/>
    </row>
    <row r="28">
      <c r="H28" s="129">
        <v>17.0</v>
      </c>
      <c r="I28" s="33" t="s">
        <v>63</v>
      </c>
      <c r="J28" s="45">
        <f>Pointage!Q35*1</f>
        <v>17750</v>
      </c>
      <c r="K28" s="11">
        <v>18000.0</v>
      </c>
      <c r="L28" s="45">
        <f t="shared" ref="L28:L29" si="2">J28-K28</f>
        <v>-250</v>
      </c>
      <c r="M28" s="127"/>
    </row>
    <row r="29">
      <c r="H29" s="129">
        <v>18.0</v>
      </c>
      <c r="I29" s="90" t="s">
        <v>64</v>
      </c>
      <c r="J29" s="45">
        <f>Pointage!R35*1</f>
        <v>6000</v>
      </c>
      <c r="K29" s="11">
        <v>6000.0</v>
      </c>
      <c r="L29" s="45">
        <f t="shared" si="2"/>
        <v>0</v>
      </c>
      <c r="M29" s="128" t="s">
        <v>359</v>
      </c>
    </row>
    <row r="30">
      <c r="H30" s="52"/>
      <c r="I30" s="130" t="s">
        <v>360</v>
      </c>
      <c r="J30" s="24">
        <f t="shared" ref="J30:L30" si="3">SUM(J12:J29)</f>
        <v>368885.5</v>
      </c>
      <c r="K30" s="131">
        <f t="shared" si="3"/>
        <v>372000</v>
      </c>
      <c r="L30" s="22">
        <f t="shared" si="3"/>
        <v>-3114.5</v>
      </c>
      <c r="M30" s="127"/>
    </row>
    <row r="31">
      <c r="H31" s="52"/>
      <c r="I31" s="17">
        <f>J30-K30</f>
        <v>-3114.5</v>
      </c>
      <c r="J31" s="19"/>
      <c r="K31" s="19"/>
      <c r="L31" s="132">
        <f>J31-K31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5.13"/>
    <col customWidth="1" min="11" max="11" width="26.13"/>
    <col customWidth="1" min="12" max="13" width="25.38"/>
    <col customWidth="1" min="14" max="14" width="25.88"/>
  </cols>
  <sheetData>
    <row r="13">
      <c r="J13" s="124"/>
      <c r="K13" s="133" t="s">
        <v>361</v>
      </c>
      <c r="L13" s="133" t="s">
        <v>362</v>
      </c>
      <c r="M13" s="133" t="s">
        <v>363</v>
      </c>
      <c r="N13" s="134" t="s">
        <v>364</v>
      </c>
    </row>
    <row r="14">
      <c r="J14" s="135" t="s">
        <v>2</v>
      </c>
      <c r="K14" s="24">
        <v>2230000.0</v>
      </c>
      <c r="L14" s="24">
        <v>1332000.0</v>
      </c>
      <c r="M14" s="24">
        <v>1657000.0</v>
      </c>
      <c r="N14" s="25">
        <v>1921000.0</v>
      </c>
    </row>
    <row r="15">
      <c r="J15" s="135" t="s">
        <v>3</v>
      </c>
      <c r="K15" s="24">
        <v>990000.0</v>
      </c>
      <c r="L15" s="24">
        <v>594000.0</v>
      </c>
      <c r="M15" s="24">
        <v>702000.0</v>
      </c>
      <c r="N15" s="25">
        <v>901000.0</v>
      </c>
    </row>
    <row r="16">
      <c r="J16" s="135" t="s">
        <v>365</v>
      </c>
      <c r="K16" s="24">
        <v>330000.0</v>
      </c>
      <c r="L16" s="24">
        <v>188000.0</v>
      </c>
      <c r="M16" s="24">
        <v>305000.0</v>
      </c>
      <c r="N16" s="25">
        <v>369000.0</v>
      </c>
    </row>
    <row r="17">
      <c r="J17" s="135" t="s">
        <v>5</v>
      </c>
      <c r="K17" s="24">
        <v>110000.0</v>
      </c>
      <c r="L17" s="24">
        <v>110000.0</v>
      </c>
      <c r="M17" s="24">
        <v>110000.0</v>
      </c>
      <c r="N17" s="24">
        <v>110000.0</v>
      </c>
    </row>
    <row r="18">
      <c r="J18" s="135" t="s">
        <v>366</v>
      </c>
      <c r="K18" s="24">
        <v>800000.0</v>
      </c>
      <c r="L18" s="24">
        <v>440000.0</v>
      </c>
      <c r="M18" s="24">
        <v>540000.0</v>
      </c>
      <c r="N18" s="24">
        <v>540000.0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2.13"/>
    <col customWidth="1" min="8" max="8" width="31.88"/>
    <col customWidth="1" min="9" max="9" width="26.38"/>
  </cols>
  <sheetData>
    <row r="9">
      <c r="G9" s="19"/>
      <c r="H9" s="2" t="s">
        <v>0</v>
      </c>
      <c r="I9" s="2" t="s">
        <v>54</v>
      </c>
    </row>
    <row r="10">
      <c r="G10" s="9" t="s">
        <v>12</v>
      </c>
      <c r="H10" s="10">
        <v>44835.0</v>
      </c>
      <c r="I10" s="70">
        <v>1.0</v>
      </c>
    </row>
    <row r="11">
      <c r="G11" s="9" t="s">
        <v>13</v>
      </c>
      <c r="H11" s="10">
        <v>44836.0</v>
      </c>
      <c r="I11" s="70">
        <v>1.0</v>
      </c>
    </row>
    <row r="12">
      <c r="G12" s="9" t="s">
        <v>14</v>
      </c>
      <c r="H12" s="10">
        <v>44837.0</v>
      </c>
      <c r="I12" s="70">
        <v>1.25</v>
      </c>
    </row>
    <row r="13">
      <c r="G13" s="9" t="s">
        <v>17</v>
      </c>
      <c r="H13" s="10">
        <v>44838.0</v>
      </c>
      <c r="I13" s="70">
        <v>1.0</v>
      </c>
    </row>
    <row r="14">
      <c r="G14" s="9" t="s">
        <v>18</v>
      </c>
      <c r="H14" s="10">
        <v>44839.0</v>
      </c>
      <c r="I14" s="70">
        <v>1.5</v>
      </c>
    </row>
    <row r="15">
      <c r="G15" s="9" t="s">
        <v>20</v>
      </c>
      <c r="H15" s="10">
        <v>44840.0</v>
      </c>
      <c r="I15" s="70">
        <v>2.0</v>
      </c>
    </row>
    <row r="16">
      <c r="G16" s="9" t="s">
        <v>21</v>
      </c>
      <c r="H16" s="10">
        <v>44841.0</v>
      </c>
      <c r="I16" s="70">
        <v>2.0</v>
      </c>
    </row>
    <row r="17">
      <c r="G17" s="9" t="s">
        <v>12</v>
      </c>
      <c r="H17" s="10">
        <v>44842.0</v>
      </c>
      <c r="I17" s="70">
        <v>1.0</v>
      </c>
    </row>
    <row r="18">
      <c r="G18" s="9" t="s">
        <v>13</v>
      </c>
      <c r="H18" s="10">
        <v>44843.0</v>
      </c>
      <c r="I18" s="70">
        <v>0.5</v>
      </c>
    </row>
    <row r="19">
      <c r="G19" s="9" t="s">
        <v>14</v>
      </c>
      <c r="H19" s="10">
        <v>44844.0</v>
      </c>
      <c r="I19" s="76">
        <v>1.0</v>
      </c>
    </row>
    <row r="20">
      <c r="G20" s="9" t="s">
        <v>17</v>
      </c>
      <c r="H20" s="10">
        <v>44845.0</v>
      </c>
      <c r="I20" s="70">
        <v>1.0</v>
      </c>
    </row>
    <row r="21">
      <c r="G21" s="9" t="s">
        <v>18</v>
      </c>
      <c r="H21" s="10">
        <v>44846.0</v>
      </c>
      <c r="I21" s="70">
        <v>1.0</v>
      </c>
    </row>
    <row r="22">
      <c r="G22" s="9" t="s">
        <v>20</v>
      </c>
      <c r="H22" s="10">
        <v>44847.0</v>
      </c>
      <c r="I22" s="70">
        <v>1.0</v>
      </c>
    </row>
    <row r="23">
      <c r="G23" s="9" t="s">
        <v>21</v>
      </c>
      <c r="H23" s="10">
        <v>44848.0</v>
      </c>
      <c r="I23" s="70">
        <v>1.0</v>
      </c>
    </row>
    <row r="24">
      <c r="G24" s="9" t="s">
        <v>12</v>
      </c>
      <c r="H24" s="10">
        <v>44849.0</v>
      </c>
      <c r="I24" s="70">
        <v>1.0</v>
      </c>
    </row>
    <row r="25">
      <c r="G25" s="9" t="s">
        <v>13</v>
      </c>
      <c r="H25" s="10">
        <v>44850.0</v>
      </c>
      <c r="I25" s="73">
        <v>0.0</v>
      </c>
    </row>
    <row r="26">
      <c r="G26" s="9" t="s">
        <v>14</v>
      </c>
      <c r="H26" s="10">
        <v>44851.0</v>
      </c>
      <c r="I26" s="70">
        <v>1.0</v>
      </c>
    </row>
    <row r="27">
      <c r="G27" s="9" t="s">
        <v>17</v>
      </c>
      <c r="H27" s="10">
        <v>44852.0</v>
      </c>
      <c r="I27" s="70">
        <v>1.0</v>
      </c>
    </row>
    <row r="28">
      <c r="G28" s="9" t="s">
        <v>18</v>
      </c>
      <c r="H28" s="10">
        <v>44853.0</v>
      </c>
      <c r="I28" s="70">
        <v>1.0</v>
      </c>
    </row>
    <row r="29">
      <c r="G29" s="9" t="s">
        <v>20</v>
      </c>
      <c r="H29" s="10">
        <v>44854.0</v>
      </c>
      <c r="I29" s="70">
        <v>1.0</v>
      </c>
    </row>
    <row r="30">
      <c r="G30" s="9" t="s">
        <v>21</v>
      </c>
      <c r="H30" s="10">
        <v>44855.0</v>
      </c>
      <c r="I30" s="70">
        <v>1.0</v>
      </c>
    </row>
    <row r="31">
      <c r="G31" s="9" t="s">
        <v>12</v>
      </c>
      <c r="H31" s="10">
        <v>44856.0</v>
      </c>
      <c r="I31" s="70">
        <v>1.0</v>
      </c>
    </row>
    <row r="32">
      <c r="G32" s="9" t="s">
        <v>13</v>
      </c>
      <c r="H32" s="10">
        <v>44857.0</v>
      </c>
      <c r="I32" s="70">
        <v>1.0</v>
      </c>
    </row>
    <row r="33">
      <c r="G33" s="9" t="s">
        <v>14</v>
      </c>
      <c r="H33" s="10">
        <v>44858.0</v>
      </c>
      <c r="I33" s="70">
        <v>1.0</v>
      </c>
    </row>
    <row r="34">
      <c r="G34" s="9" t="s">
        <v>17</v>
      </c>
      <c r="H34" s="10">
        <v>44859.0</v>
      </c>
      <c r="I34" s="70">
        <v>0.0</v>
      </c>
    </row>
    <row r="35">
      <c r="G35" s="9" t="s">
        <v>18</v>
      </c>
      <c r="H35" s="10">
        <v>44860.0</v>
      </c>
      <c r="I35" s="70">
        <v>1.0</v>
      </c>
    </row>
    <row r="36">
      <c r="G36" s="9" t="s">
        <v>20</v>
      </c>
      <c r="H36" s="10">
        <v>44861.0</v>
      </c>
      <c r="I36" s="70">
        <v>1.0</v>
      </c>
    </row>
    <row r="37">
      <c r="G37" s="9" t="s">
        <v>21</v>
      </c>
      <c r="H37" s="10">
        <v>44862.0</v>
      </c>
      <c r="I37" s="79">
        <v>1.0</v>
      </c>
    </row>
    <row r="38">
      <c r="G38" s="9" t="s">
        <v>12</v>
      </c>
      <c r="H38" s="10">
        <v>44863.0</v>
      </c>
      <c r="I38" s="79">
        <v>0.0</v>
      </c>
    </row>
    <row r="39">
      <c r="G39" s="9" t="s">
        <v>13</v>
      </c>
      <c r="H39" s="10">
        <v>44864.0</v>
      </c>
      <c r="I39" s="79">
        <v>1.0</v>
      </c>
    </row>
    <row r="40">
      <c r="G40" s="9" t="s">
        <v>14</v>
      </c>
      <c r="H40" s="10">
        <v>44865.0</v>
      </c>
      <c r="I40" s="79">
        <v>1.0</v>
      </c>
    </row>
    <row r="41">
      <c r="I41" s="83">
        <f>SUM(I10:I40)</f>
        <v>30.25</v>
      </c>
    </row>
    <row r="42">
      <c r="I42" s="84">
        <v>1150.0</v>
      </c>
    </row>
    <row r="43">
      <c r="I43" s="86">
        <f>I42*I41</f>
        <v>34787.5</v>
      </c>
    </row>
    <row r="44">
      <c r="I44" s="8"/>
    </row>
  </sheetData>
  <drawing r:id="rId1"/>
</worksheet>
</file>