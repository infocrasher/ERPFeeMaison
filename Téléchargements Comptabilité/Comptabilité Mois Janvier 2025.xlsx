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Les Charges" sheetId="3" r:id="rId6"/>
    <sheet state="visible" name="Salaires " sheetId="4" r:id="rId7"/>
    <sheet state="visible" name="Pointage détailé" sheetId="5" r:id="rId8"/>
    <sheet state="visible" name="Pointage Bis" sheetId="6" r:id="rId9"/>
    <sheet state="visible" name="Sheet7" sheetId="7" r:id="rId10"/>
  </sheets>
  <definedNames/>
  <calcPr/>
</workbook>
</file>

<file path=xl/sharedStrings.xml><?xml version="1.0" encoding="utf-8"?>
<sst xmlns="http://schemas.openxmlformats.org/spreadsheetml/2006/main" count="1373" uniqueCount="561">
  <si>
    <t>Date</t>
  </si>
  <si>
    <t>Recette Décembre  2024</t>
  </si>
  <si>
    <t xml:space="preserve">Recette </t>
  </si>
  <si>
    <t>Logiciel</t>
  </si>
  <si>
    <t>Charges</t>
  </si>
  <si>
    <t>Salaire</t>
  </si>
  <si>
    <t>Che7i7a</t>
  </si>
  <si>
    <t>Loyer</t>
  </si>
  <si>
    <t>Net Profit</t>
  </si>
  <si>
    <t>Nb de jours</t>
  </si>
  <si>
    <t>Objectif</t>
  </si>
  <si>
    <t>Mois de Décembre  2024</t>
  </si>
  <si>
    <t>Mercredi</t>
  </si>
  <si>
    <t>Jeudi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</si>
  <si>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</si>
  <si>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</si>
  <si>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</si>
  <si>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</si>
  <si>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Vendredi</t>
  </si>
  <si>
    <t>Samedi</t>
  </si>
  <si>
    <t>Dimanche</t>
  </si>
  <si>
    <t xml:space="preserve">Moyenne des charges par jour </t>
  </si>
  <si>
    <t xml:space="preserve">Objectif </t>
  </si>
  <si>
    <t>Lundi</t>
  </si>
  <si>
    <t>Mardi</t>
  </si>
  <si>
    <t>²</t>
  </si>
  <si>
    <t>"</t>
  </si>
  <si>
    <t xml:space="preserve">Cash restant </t>
  </si>
  <si>
    <t>Magasin</t>
  </si>
  <si>
    <t>Cash réel</t>
  </si>
  <si>
    <t>Mes dettes pour le magasin</t>
  </si>
  <si>
    <t xml:space="preserve">Fond de Roulement </t>
  </si>
  <si>
    <t xml:space="preserve">Bénéfice Sept + loyer </t>
  </si>
  <si>
    <t>Sofiane : 40000 Da +19000Da+22000Da Cnas Sifou + 24000Da Baridi Mob+10000Da</t>
  </si>
  <si>
    <t>Monnie: 23000 Da</t>
  </si>
  <si>
    <t>Différence mois de Décembre</t>
  </si>
  <si>
    <t>la vraie caisse:                        Da</t>
  </si>
  <si>
    <t xml:space="preserve">Différence objectif </t>
  </si>
  <si>
    <t>cliente Maha: 4500D a</t>
  </si>
  <si>
    <t>khalida cliente : 7500Da</t>
  </si>
  <si>
    <t xml:space="preserve">Différence du Totale </t>
  </si>
  <si>
    <t xml:space="preserve">Les vendredis </t>
  </si>
  <si>
    <t>rest à payer</t>
  </si>
  <si>
    <t xml:space="preserve">58000Da Recette + 32000Da Box Lunch+ 60000Da commande gateaux </t>
  </si>
  <si>
    <t>Loyer Magasin</t>
  </si>
  <si>
    <t xml:space="preserve">Loyer Locale </t>
  </si>
  <si>
    <t xml:space="preserve">Sofiane Maison </t>
  </si>
  <si>
    <t>Dette Papa</t>
  </si>
  <si>
    <t>-</t>
  </si>
  <si>
    <t>Colonne 1</t>
  </si>
  <si>
    <t>Saida</t>
  </si>
  <si>
    <t>N/J</t>
  </si>
  <si>
    <t>Fatiha</t>
  </si>
  <si>
    <t>Column 18</t>
  </si>
  <si>
    <t>Nora</t>
  </si>
  <si>
    <t>Column 20</t>
  </si>
  <si>
    <t>Ikram</t>
  </si>
  <si>
    <t>Column 21</t>
  </si>
  <si>
    <t>Nour ElHouda</t>
  </si>
  <si>
    <t>Column 22</t>
  </si>
  <si>
    <t xml:space="preserve">Yasmine </t>
  </si>
  <si>
    <t>Column 23</t>
  </si>
  <si>
    <t>Zohra</t>
  </si>
  <si>
    <t>Column 24</t>
  </si>
  <si>
    <t>Rayan</t>
  </si>
  <si>
    <t>Column 25</t>
  </si>
  <si>
    <t xml:space="preserve">Amina </t>
  </si>
  <si>
    <t>Column 26</t>
  </si>
  <si>
    <t>Sihem</t>
  </si>
  <si>
    <t>Column 27</t>
  </si>
  <si>
    <t xml:space="preserve">Karima </t>
  </si>
  <si>
    <t>Column 28</t>
  </si>
  <si>
    <t>Meriem</t>
  </si>
  <si>
    <t>Column 29</t>
  </si>
  <si>
    <t>Ahlem</t>
  </si>
  <si>
    <t>Column 30</t>
  </si>
  <si>
    <t>Houda</t>
  </si>
  <si>
    <t>Column 31</t>
  </si>
  <si>
    <t>Remarque</t>
  </si>
  <si>
    <t>Salaire/Jour</t>
  </si>
  <si>
    <t>Over Time</t>
  </si>
  <si>
    <t>Produit</t>
  </si>
  <si>
    <t>Quantité</t>
  </si>
  <si>
    <t xml:space="preserve">Prix unitaire </t>
  </si>
  <si>
    <t>Prix</t>
  </si>
  <si>
    <t>Date d'achat</t>
  </si>
  <si>
    <t xml:space="preserve">Semoule Fine 25kg </t>
  </si>
  <si>
    <t>Semoule Moyenne 25kg</t>
  </si>
  <si>
    <t>manutention semoule</t>
  </si>
  <si>
    <t>semoule Moula moyenne 10kg</t>
  </si>
  <si>
    <t>Semoule Moula Gross 10 kg</t>
  </si>
  <si>
    <t xml:space="preserve">Semoule Fine Sosimie 10kg </t>
  </si>
  <si>
    <t>Semoule Moula moyenne 2 kg</t>
  </si>
  <si>
    <t>Semoule Grosse moula 2kg</t>
  </si>
  <si>
    <t>Faine 10kg</t>
  </si>
  <si>
    <t>Levure boulangère</t>
  </si>
  <si>
    <t xml:space="preserve">Levure Chimiques </t>
  </si>
  <si>
    <t>Crème Liquide 1 litre</t>
  </si>
  <si>
    <t>huile 5 litre</t>
  </si>
  <si>
    <t>Déc+ 31/12</t>
  </si>
  <si>
    <t>Margarine Dima 500g</t>
  </si>
  <si>
    <t>sel</t>
  </si>
  <si>
    <t>Chocolat wedjedane au lait</t>
  </si>
  <si>
    <t>Chocolat wedjedane noir</t>
  </si>
  <si>
    <t>chocolat wedjedane noisette</t>
  </si>
  <si>
    <t xml:space="preserve">chocolat wedjdane Blanc </t>
  </si>
  <si>
    <t>Feuilletine</t>
  </si>
  <si>
    <t xml:space="preserve">orgonza </t>
  </si>
  <si>
    <t xml:space="preserve">fleur de décoration </t>
  </si>
  <si>
    <t xml:space="preserve">quissetes doré </t>
  </si>
  <si>
    <t xml:space="preserve">dentelle célophane </t>
  </si>
  <si>
    <t>curdent</t>
  </si>
  <si>
    <t>Tomate conserve 1kg</t>
  </si>
  <si>
    <t>Hamissa en kg</t>
  </si>
  <si>
    <t>ail</t>
  </si>
  <si>
    <t>sanoudj</t>
  </si>
  <si>
    <t>habet halawa</t>
  </si>
  <si>
    <t>huile d'olive</t>
  </si>
  <si>
    <t>Thon 1kg</t>
  </si>
  <si>
    <t>Amande marron</t>
  </si>
  <si>
    <t>Amande Moulu</t>
  </si>
  <si>
    <t>Amande blanc</t>
  </si>
  <si>
    <t>eau minirale 0,5</t>
  </si>
  <si>
    <t>eau mineral 1,5 litre</t>
  </si>
  <si>
    <t>Canette Coca Cola 24cl</t>
  </si>
  <si>
    <t>Cannette Fanta 24cl</t>
  </si>
  <si>
    <t xml:space="preserve">Canette Schweps </t>
  </si>
  <si>
    <t xml:space="preserve">Canettes Sprit </t>
  </si>
  <si>
    <t>Canette IZEM</t>
  </si>
  <si>
    <t>soda Hamoud 25 cl</t>
  </si>
  <si>
    <t>canette Pep's</t>
  </si>
  <si>
    <t>Tchina Orange Abricot 33cl</t>
  </si>
  <si>
    <t>Tchina Orange carotte citron 33cl</t>
  </si>
  <si>
    <t>Tchina citronnade 33cl</t>
  </si>
  <si>
    <t>Tchina orange 33cl</t>
  </si>
  <si>
    <t>Tchina Orange Mangue 33cl</t>
  </si>
  <si>
    <t>Tchina Orange  Pèche 33cl</t>
  </si>
  <si>
    <t>cheddar</t>
  </si>
  <si>
    <t>Maiis</t>
  </si>
  <si>
    <t>Fromage bidon</t>
  </si>
  <si>
    <t xml:space="preserve">Confiture </t>
  </si>
  <si>
    <t>Plateaux Oeuf</t>
  </si>
  <si>
    <t>sucre glace</t>
  </si>
  <si>
    <t>Semen Madina 1,8kg</t>
  </si>
  <si>
    <t>31/12</t>
  </si>
  <si>
    <t xml:space="preserve">Maa zehar </t>
  </si>
  <si>
    <t>Tofia 2kg</t>
  </si>
  <si>
    <t>Gherss 1kg Reda</t>
  </si>
  <si>
    <t>Farine SIM 1kg</t>
  </si>
  <si>
    <t>pain tacos 10 pièces dans chaque</t>
  </si>
  <si>
    <t>Deyoul</t>
  </si>
  <si>
    <t>Fleurial margarine 500g</t>
  </si>
  <si>
    <t>Lait en poudre 1kg</t>
  </si>
  <si>
    <t>Pate d'arome citron</t>
  </si>
  <si>
    <t>Pate d'arome vanille</t>
  </si>
  <si>
    <t>Maiizina  25kg</t>
  </si>
  <si>
    <t xml:space="preserve">Vanille </t>
  </si>
  <si>
    <t>3akeri</t>
  </si>
  <si>
    <t>viande hachée</t>
  </si>
  <si>
    <t xml:space="preserve">olive noir </t>
  </si>
  <si>
    <t>légumes + bessel</t>
  </si>
  <si>
    <t>Fromage slices</t>
  </si>
  <si>
    <t>poulet haché + blanc de poulet +escalope</t>
  </si>
  <si>
    <t>bessel</t>
  </si>
  <si>
    <t>Tomate fraiche</t>
  </si>
  <si>
    <t>rechta</t>
  </si>
  <si>
    <t>Détergents</t>
  </si>
  <si>
    <t xml:space="preserve">Légumes   </t>
  </si>
  <si>
    <t>Chakhechoukhate Dhefer</t>
  </si>
  <si>
    <t>épices</t>
  </si>
  <si>
    <t>Noix</t>
  </si>
  <si>
    <t>Heech Yasmine</t>
  </si>
  <si>
    <t>Fromage spéciale pizza</t>
  </si>
  <si>
    <t>Fromage portion</t>
  </si>
  <si>
    <t xml:space="preserve">Hamissa  </t>
  </si>
  <si>
    <t>Bon de livraison</t>
  </si>
  <si>
    <t>Recharge internet et flexy</t>
  </si>
  <si>
    <t>épices + ail</t>
  </si>
  <si>
    <t>deyoul</t>
  </si>
  <si>
    <t>pate feuilletée</t>
  </si>
  <si>
    <t>demie cuisse</t>
  </si>
  <si>
    <t>ferik</t>
  </si>
  <si>
    <t>légumes</t>
  </si>
  <si>
    <t xml:space="preserve">kosseber na3ena3 </t>
  </si>
  <si>
    <t xml:space="preserve">Hamissa </t>
  </si>
  <si>
    <t xml:space="preserve">citron </t>
  </si>
  <si>
    <t>boite</t>
  </si>
  <si>
    <t>barquettes 1320</t>
  </si>
  <si>
    <t>vermissel</t>
  </si>
  <si>
    <t>citron</t>
  </si>
  <si>
    <t>olive dényauté</t>
  </si>
  <si>
    <t>olive éfilet</t>
  </si>
  <si>
    <t>viande d'agneau</t>
  </si>
  <si>
    <t>cuisse entière</t>
  </si>
  <si>
    <t xml:space="preserve">blanc avec os </t>
  </si>
  <si>
    <t>Gherss 1kg marché</t>
  </si>
  <si>
    <t>Hamissa</t>
  </si>
  <si>
    <t>dattes</t>
  </si>
  <si>
    <t>amande blanc</t>
  </si>
  <si>
    <t>facture eau</t>
  </si>
  <si>
    <t xml:space="preserve">baklawa </t>
  </si>
  <si>
    <t>fromage bidon</t>
  </si>
  <si>
    <t>pistache</t>
  </si>
  <si>
    <t>Rechta</t>
  </si>
  <si>
    <t xml:space="preserve">poivre </t>
  </si>
  <si>
    <t xml:space="preserve">pomme de terre </t>
  </si>
  <si>
    <t>navet</t>
  </si>
  <si>
    <t>carotte</t>
  </si>
  <si>
    <t>courgette</t>
  </si>
  <si>
    <t xml:space="preserve">assiettes </t>
  </si>
  <si>
    <t>couvert</t>
  </si>
  <si>
    <t>Heech vendeuse</t>
  </si>
  <si>
    <t>Arome</t>
  </si>
  <si>
    <t xml:space="preserve">poulet haché  </t>
  </si>
  <si>
    <t xml:space="preserve">légumes </t>
  </si>
  <si>
    <t xml:space="preserve">amandes </t>
  </si>
  <si>
    <t>balance</t>
  </si>
  <si>
    <t>vermisssel</t>
  </si>
  <si>
    <t>celophane</t>
  </si>
  <si>
    <t>ruban</t>
  </si>
  <si>
    <t>cuisse + blanc de poulet</t>
  </si>
  <si>
    <t>Brahim</t>
  </si>
  <si>
    <t>Harrissa</t>
  </si>
  <si>
    <t>Fromage Slices</t>
  </si>
  <si>
    <t>miel 5kg</t>
  </si>
  <si>
    <t xml:space="preserve">Sucre glace </t>
  </si>
  <si>
    <t>gherss</t>
  </si>
  <si>
    <t>huile elio 5 litres</t>
  </si>
  <si>
    <t>papier film</t>
  </si>
  <si>
    <t>poulet haché blanc de poulet et éscalope</t>
  </si>
  <si>
    <t>14/01/2025</t>
  </si>
  <si>
    <t>hamissa</t>
  </si>
  <si>
    <t xml:space="preserve">salade </t>
  </si>
  <si>
    <t xml:space="preserve">Tomate </t>
  </si>
  <si>
    <t>15/01/2025</t>
  </si>
  <si>
    <t xml:space="preserve">courgette </t>
  </si>
  <si>
    <t xml:space="preserve">Carotte </t>
  </si>
  <si>
    <t xml:space="preserve">viande pour chorba </t>
  </si>
  <si>
    <t>persil + coraindre</t>
  </si>
  <si>
    <t>9etayef</t>
  </si>
  <si>
    <t>cuisses</t>
  </si>
  <si>
    <t>blanc de poulet avec os</t>
  </si>
  <si>
    <t xml:space="preserve">blanc de poulet  </t>
  </si>
  <si>
    <t xml:space="preserve">Transport marchandise du marché au magasin </t>
  </si>
  <si>
    <t xml:space="preserve">poulet haché+ blanc de poulet +éscalope </t>
  </si>
  <si>
    <t>16/01/2025</t>
  </si>
  <si>
    <t xml:space="preserve">tomate fraiche </t>
  </si>
  <si>
    <t xml:space="preserve">Chebah sofera </t>
  </si>
  <si>
    <t>17/01/2025</t>
  </si>
  <si>
    <t>Nakkach</t>
  </si>
  <si>
    <t>quissetes doré Num 8</t>
  </si>
  <si>
    <t>quissetes doré Num 10</t>
  </si>
  <si>
    <t xml:space="preserve">poulet haché + blanc de poulet  </t>
  </si>
  <si>
    <t>détergents locale javel isis lave sole</t>
  </si>
  <si>
    <t>Tofia caramel 2kg</t>
  </si>
  <si>
    <t>20/01/2025</t>
  </si>
  <si>
    <t>blanc de poulet</t>
  </si>
  <si>
    <t>épinards + persil</t>
  </si>
  <si>
    <t>sepllière</t>
  </si>
  <si>
    <t>storme magasin</t>
  </si>
  <si>
    <t>storme modem locale</t>
  </si>
  <si>
    <t>Facture Cevital</t>
  </si>
  <si>
    <t>21/01/2025</t>
  </si>
  <si>
    <t xml:space="preserve">poulet haché + blanc de poulet+ escalope </t>
  </si>
  <si>
    <t>poulet haché + blanc de poulet + escalope</t>
  </si>
  <si>
    <t>22/01/2025</t>
  </si>
  <si>
    <t>tomate fraiche</t>
  </si>
  <si>
    <t>épice poulet</t>
  </si>
  <si>
    <t>23/01/2025</t>
  </si>
  <si>
    <t>isis</t>
  </si>
  <si>
    <t>poulet haché</t>
  </si>
  <si>
    <t>24/01/2025</t>
  </si>
  <si>
    <t>javel</t>
  </si>
  <si>
    <t xml:space="preserve">pomme  </t>
  </si>
  <si>
    <t>champignon</t>
  </si>
  <si>
    <t>blanc de poulet + cuisse</t>
  </si>
  <si>
    <t>skotch</t>
  </si>
  <si>
    <t>heech Houda</t>
  </si>
  <si>
    <t xml:space="preserve">heech yasmine </t>
  </si>
  <si>
    <t>cuisses de poulet</t>
  </si>
  <si>
    <t>25/01/2025</t>
  </si>
  <si>
    <t xml:space="preserve">poulet haché + escalope </t>
  </si>
  <si>
    <t>idir achats olive + sachet</t>
  </si>
  <si>
    <t>sardine</t>
  </si>
  <si>
    <t>piles</t>
  </si>
  <si>
    <t>djeldjelan</t>
  </si>
  <si>
    <t>sac poubelle</t>
  </si>
  <si>
    <t>sachet blanc 5kg</t>
  </si>
  <si>
    <t>sachets transparent</t>
  </si>
  <si>
    <t xml:space="preserve">olive dnyauté </t>
  </si>
  <si>
    <t>olive éffilet</t>
  </si>
  <si>
    <t xml:space="preserve">blanc de poulet </t>
  </si>
  <si>
    <t>27/01/2025</t>
  </si>
  <si>
    <t>Poivre</t>
  </si>
  <si>
    <t>pomme de terre épulchée</t>
  </si>
  <si>
    <t>livraison</t>
  </si>
  <si>
    <t>Force épresse</t>
  </si>
  <si>
    <t>papier aluminium</t>
  </si>
  <si>
    <t xml:space="preserve">papier film </t>
  </si>
  <si>
    <t>fromage portion</t>
  </si>
  <si>
    <t>bétrave</t>
  </si>
  <si>
    <t xml:space="preserve">pate feuillté </t>
  </si>
  <si>
    <t>pain tacos</t>
  </si>
  <si>
    <t xml:space="preserve">banane </t>
  </si>
  <si>
    <t>quissetes blanc 12</t>
  </si>
  <si>
    <t>quissestes 8</t>
  </si>
  <si>
    <t>dentelle 4.5</t>
  </si>
  <si>
    <t>dentelle 5.5</t>
  </si>
  <si>
    <t xml:space="preserve">connexion magasin </t>
  </si>
  <si>
    <t>pain baguette</t>
  </si>
  <si>
    <t>28/01/2025</t>
  </si>
  <si>
    <t>pate à sucre</t>
  </si>
  <si>
    <t>boites</t>
  </si>
  <si>
    <t>tomate cerise</t>
  </si>
  <si>
    <t>oersil</t>
  </si>
  <si>
    <t xml:space="preserve">pomme de terre  </t>
  </si>
  <si>
    <t>Fraise</t>
  </si>
  <si>
    <t>29/01/2025</t>
  </si>
  <si>
    <t>patavia</t>
  </si>
  <si>
    <t>pomme de terre</t>
  </si>
  <si>
    <t>persil</t>
  </si>
  <si>
    <t>Silamane boucher dettes</t>
  </si>
  <si>
    <t xml:space="preserve">amande </t>
  </si>
  <si>
    <t>fil panini</t>
  </si>
  <si>
    <t>tomate conserve</t>
  </si>
  <si>
    <t>maiis</t>
  </si>
  <si>
    <t>levure chimique</t>
  </si>
  <si>
    <t>lait en poudre</t>
  </si>
  <si>
    <t>fromage slices</t>
  </si>
  <si>
    <t>fromage spécial pizza</t>
  </si>
  <si>
    <t>semoule 25kg</t>
  </si>
  <si>
    <t>Margarine Fleurial 500g</t>
  </si>
  <si>
    <t>Boite 48/07</t>
  </si>
  <si>
    <t>Boite 36</t>
  </si>
  <si>
    <t>Boite 24</t>
  </si>
  <si>
    <t>Boite 12</t>
  </si>
  <si>
    <t xml:space="preserve">boites décoration pate à sucre </t>
  </si>
  <si>
    <t>Impots</t>
  </si>
  <si>
    <t xml:space="preserve">Indemnités Comptable </t>
  </si>
  <si>
    <t xml:space="preserve">Hakim SOS Cafard </t>
  </si>
  <si>
    <t xml:space="preserve">Amina Baghrir </t>
  </si>
  <si>
    <t>Ka3ek Nakkach</t>
  </si>
  <si>
    <t>Lave main</t>
  </si>
  <si>
    <t xml:space="preserve">Lave Sol 5 litres </t>
  </si>
  <si>
    <t>Javel moussant</t>
  </si>
  <si>
    <t xml:space="preserve">Eau de Javel </t>
  </si>
  <si>
    <t>assurence employée</t>
  </si>
  <si>
    <t>Complément de salaire Décembre 2024</t>
  </si>
  <si>
    <t>main d'oeuvre Tamis</t>
  </si>
  <si>
    <t>Boite demie  plateaux</t>
  </si>
  <si>
    <t>Boites 48/10</t>
  </si>
  <si>
    <t>Boites 48/07</t>
  </si>
  <si>
    <t>Boites 36</t>
  </si>
  <si>
    <t>Boites 24</t>
  </si>
  <si>
    <t>sachets blanc 5kg</t>
  </si>
  <si>
    <t xml:space="preserve">sachets pain transparent </t>
  </si>
  <si>
    <t>serviette</t>
  </si>
  <si>
    <t>Boite transparent 350cc</t>
  </si>
  <si>
    <t>barquettes 1065</t>
  </si>
  <si>
    <t>boites 500ccl</t>
  </si>
  <si>
    <t>boite Raib</t>
  </si>
  <si>
    <t>sac croissant num 23 400 pièces</t>
  </si>
  <si>
    <t>Sac croissant num 18 400 pièces</t>
  </si>
  <si>
    <t>Tamis</t>
  </si>
  <si>
    <t xml:space="preserve">rubons </t>
  </si>
  <si>
    <t>cachet</t>
  </si>
  <si>
    <t>Achoir</t>
  </si>
  <si>
    <t>Thermo</t>
  </si>
  <si>
    <t>cuillière</t>
  </si>
  <si>
    <t>fourchette</t>
  </si>
  <si>
    <t>Totale</t>
  </si>
  <si>
    <t xml:space="preserve">Nom </t>
  </si>
  <si>
    <t>Avance</t>
  </si>
  <si>
    <t xml:space="preserve">Salaire à payer </t>
  </si>
  <si>
    <t xml:space="preserve">Sofiane </t>
  </si>
  <si>
    <t>Amel</t>
  </si>
  <si>
    <t>6000+3000+30000=39000</t>
  </si>
  <si>
    <t>2500+32500</t>
  </si>
  <si>
    <t xml:space="preserve">Ikram  </t>
  </si>
  <si>
    <t>2500+31500</t>
  </si>
  <si>
    <t>Yasmine</t>
  </si>
  <si>
    <t xml:space="preserve">Zohra </t>
  </si>
  <si>
    <t>Amina</t>
  </si>
  <si>
    <t>3000+2500</t>
  </si>
  <si>
    <t>Karima</t>
  </si>
  <si>
    <t>Selma</t>
  </si>
  <si>
    <t>Aicha</t>
  </si>
  <si>
    <t>Rania</t>
  </si>
  <si>
    <t>Rania 3500+ Douaa 2500+Sara 8000Da+5000Da</t>
  </si>
  <si>
    <t>Amina Ain Beniane</t>
  </si>
  <si>
    <t>TOTAL</t>
  </si>
  <si>
    <t xml:space="preserve">Fatiha </t>
  </si>
  <si>
    <t xml:space="preserve">Nour ElHouda </t>
  </si>
  <si>
    <t>Hanane</t>
  </si>
  <si>
    <t>Sarah</t>
  </si>
  <si>
    <t xml:space="preserve">Heure </t>
  </si>
  <si>
    <t>Entrée</t>
  </si>
  <si>
    <t>Sortie</t>
  </si>
  <si>
    <t>08h36</t>
  </si>
  <si>
    <t>15h45</t>
  </si>
  <si>
    <t>08h05</t>
  </si>
  <si>
    <t>17h00</t>
  </si>
  <si>
    <t>06h34</t>
  </si>
  <si>
    <t>16h45</t>
  </si>
  <si>
    <t>/</t>
  </si>
  <si>
    <t>09h28</t>
  </si>
  <si>
    <t>14h06</t>
  </si>
  <si>
    <t>09h30</t>
  </si>
  <si>
    <t>17h30</t>
  </si>
  <si>
    <t>08h43</t>
  </si>
  <si>
    <t>08h00</t>
  </si>
  <si>
    <t>16h40</t>
  </si>
  <si>
    <t>08h30</t>
  </si>
  <si>
    <t>16h30</t>
  </si>
  <si>
    <t>07h35</t>
  </si>
  <si>
    <t>15h44</t>
  </si>
  <si>
    <t>//</t>
  </si>
  <si>
    <t>15h50</t>
  </si>
  <si>
    <t>08h20</t>
  </si>
  <si>
    <t>06h24</t>
  </si>
  <si>
    <t>15h55</t>
  </si>
  <si>
    <t>09h56</t>
  </si>
  <si>
    <t>13h24</t>
  </si>
  <si>
    <t>15h30</t>
  </si>
  <si>
    <t>08h15</t>
  </si>
  <si>
    <t>06h37</t>
  </si>
  <si>
    <t>16h10</t>
  </si>
  <si>
    <t>10h04</t>
  </si>
  <si>
    <t>17h37</t>
  </si>
  <si>
    <t>09h05</t>
  </si>
  <si>
    <t>08h25</t>
  </si>
  <si>
    <t>17h05</t>
  </si>
  <si>
    <t>10h01</t>
  </si>
  <si>
    <t>15h20</t>
  </si>
  <si>
    <t>13h</t>
  </si>
  <si>
    <t>09h10</t>
  </si>
  <si>
    <t>///</t>
  </si>
  <si>
    <t>08h54</t>
  </si>
  <si>
    <t>08h02</t>
  </si>
  <si>
    <t>06h36</t>
  </si>
  <si>
    <t>16h46</t>
  </si>
  <si>
    <t>10h00</t>
  </si>
  <si>
    <t>11h20</t>
  </si>
  <si>
    <t>15h40</t>
  </si>
  <si>
    <t>13h45</t>
  </si>
  <si>
    <t>09h14</t>
  </si>
  <si>
    <t>08h14</t>
  </si>
  <si>
    <t>13h14</t>
  </si>
  <si>
    <t>06h38</t>
  </si>
  <si>
    <t>10h13</t>
  </si>
  <si>
    <t>16h20</t>
  </si>
  <si>
    <t>15h00</t>
  </si>
  <si>
    <t>08h35</t>
  </si>
  <si>
    <t>08h32</t>
  </si>
  <si>
    <t>08h48</t>
  </si>
  <si>
    <t>16h</t>
  </si>
  <si>
    <t>08h11</t>
  </si>
  <si>
    <t>17h20</t>
  </si>
  <si>
    <t>07h14</t>
  </si>
  <si>
    <t>10h45</t>
  </si>
  <si>
    <t>17h49</t>
  </si>
  <si>
    <t>08h030</t>
  </si>
  <si>
    <t>16h33</t>
  </si>
  <si>
    <t>08h40</t>
  </si>
  <si>
    <t>14h40</t>
  </si>
  <si>
    <t>12h00</t>
  </si>
  <si>
    <t>08h19</t>
  </si>
  <si>
    <t>07h06</t>
  </si>
  <si>
    <t>16h34</t>
  </si>
  <si>
    <t>07h39</t>
  </si>
  <si>
    <t>16h42</t>
  </si>
  <si>
    <t>17h35</t>
  </si>
  <si>
    <t>09h38</t>
  </si>
  <si>
    <t>08h39</t>
  </si>
  <si>
    <t>17h06</t>
  </si>
  <si>
    <t>08h41</t>
  </si>
  <si>
    <t>16h29</t>
  </si>
  <si>
    <t>07h41</t>
  </si>
  <si>
    <t>17h19</t>
  </si>
  <si>
    <t>08h26</t>
  </si>
  <si>
    <t>15h52</t>
  </si>
  <si>
    <t>15h46</t>
  </si>
  <si>
    <t>06h57</t>
  </si>
  <si>
    <t>17h10</t>
  </si>
  <si>
    <t>10h03</t>
  </si>
  <si>
    <t>17h32</t>
  </si>
  <si>
    <t>08h27</t>
  </si>
  <si>
    <t>16h19</t>
  </si>
  <si>
    <t>16h27</t>
  </si>
  <si>
    <t>16h35</t>
  </si>
  <si>
    <t>16h31</t>
  </si>
  <si>
    <t>07h42</t>
  </si>
  <si>
    <t>18h00</t>
  </si>
  <si>
    <t>06h42</t>
  </si>
  <si>
    <t>17h45</t>
  </si>
  <si>
    <t>09h55</t>
  </si>
  <si>
    <t>11h53</t>
  </si>
  <si>
    <t>08h50</t>
  </si>
  <si>
    <t>14h30</t>
  </si>
  <si>
    <t>15h26</t>
  </si>
  <si>
    <t>17h50</t>
  </si>
  <si>
    <t>08h10</t>
  </si>
  <si>
    <t>18h20</t>
  </si>
  <si>
    <t>06h23</t>
  </si>
  <si>
    <t>09h58</t>
  </si>
  <si>
    <t>18h30/19h15</t>
  </si>
  <si>
    <t>18h15</t>
  </si>
  <si>
    <t>08h45</t>
  </si>
  <si>
    <t>07h00</t>
  </si>
  <si>
    <t>07h30</t>
  </si>
  <si>
    <t>17h18</t>
  </si>
  <si>
    <t>12h51</t>
  </si>
  <si>
    <t>16h54</t>
  </si>
  <si>
    <t>06h54</t>
  </si>
  <si>
    <t>09h</t>
  </si>
  <si>
    <t>15h42</t>
  </si>
  <si>
    <t>07h21</t>
  </si>
  <si>
    <t>15h39</t>
  </si>
  <si>
    <t>10h29</t>
  </si>
  <si>
    <t>17h27</t>
  </si>
  <si>
    <t>08h21</t>
  </si>
  <si>
    <t>07h40</t>
  </si>
  <si>
    <t>09h21</t>
  </si>
  <si>
    <t>07h19</t>
  </si>
  <si>
    <t>16h00</t>
  </si>
  <si>
    <t>09h45</t>
  </si>
  <si>
    <t>11h30</t>
  </si>
  <si>
    <t>13h21</t>
  </si>
  <si>
    <t>10h30</t>
  </si>
  <si>
    <t>07h55</t>
  </si>
  <si>
    <t>06h47</t>
  </si>
  <si>
    <t>10h11</t>
  </si>
  <si>
    <t>16h14</t>
  </si>
  <si>
    <t>07h10</t>
  </si>
  <si>
    <t>14h56</t>
  </si>
  <si>
    <t>09h00</t>
  </si>
  <si>
    <t>08h49</t>
  </si>
  <si>
    <t>07h07</t>
  </si>
  <si>
    <t>17h40</t>
  </si>
  <si>
    <t>10h12</t>
  </si>
  <si>
    <t>10h20</t>
  </si>
  <si>
    <t>07h05</t>
  </si>
  <si>
    <t>07h50</t>
  </si>
  <si>
    <t>07h45</t>
  </si>
  <si>
    <t>17h15</t>
  </si>
  <si>
    <t>14h00</t>
  </si>
  <si>
    <t>09h06</t>
  </si>
  <si>
    <t>07h15</t>
  </si>
  <si>
    <t>09h26</t>
  </si>
  <si>
    <t>17h36</t>
  </si>
  <si>
    <t>/////</t>
  </si>
  <si>
    <t xml:space="preserve">Sihem </t>
  </si>
  <si>
    <t xml:space="preserve">Houda </t>
  </si>
  <si>
    <t>Douaa</t>
  </si>
  <si>
    <t>Sara</t>
  </si>
  <si>
    <t>31/01/2025</t>
  </si>
  <si>
    <t>Mois de Janvier 2025</t>
  </si>
  <si>
    <t>Salaires</t>
  </si>
  <si>
    <t xml:space="preserve">Che7i7a </t>
  </si>
  <si>
    <t>Loyer+Dettes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</si>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</sst>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\ [$€-1]"/>
    <numFmt numFmtId="165" formatCode="dd/mm/yyyy"/>
    <numFmt numFmtId="166" formatCode="#,##0.00\ [$€-1]"/>
    <numFmt numFmtId="167" formatCode="d/m/yyyy"/>
    <numFmt numFmtId="168" formatCode="&quot;$&quot;#,##0.00"/>
    <numFmt numFmtId="169" formatCode="dd/MM/yyyy"/>
  </numFmts>
  <fonts count="24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9.0"/>
      <color theme="1"/>
      <name val="Arial"/>
    </font>
    <font>
      <b/>
      <sz val="19.0"/>
      <color theme="1"/>
      <name val="Arial"/>
    </font>
    <font>
      <sz val="16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color theme="1"/>
      <name val="Arial"/>
      <scheme val="minor"/>
    </font>
    <font>
      <sz val="20.0"/>
      <color theme="1"/>
      <name val="Arial"/>
    </font>
    <font>
      <b/>
      <sz val="20.0"/>
      <color theme="1"/>
      <name val="Arial"/>
    </font>
    <font>
      <sz val="16.0"/>
      <color theme="1"/>
      <name val="Arial"/>
      <scheme val="minor"/>
    </font>
    <font>
      <sz val="16.0"/>
      <color rgb="FF434343"/>
      <name val="Roboto"/>
    </font>
    <font>
      <sz val="17.0"/>
      <color theme="1"/>
      <name val="Arial"/>
    </font>
    <font>
      <b/>
      <sz val="24.0"/>
      <color theme="1"/>
      <name val="Arial"/>
    </font>
    <font>
      <sz val="19.0"/>
      <color theme="1"/>
      <name val="Arial"/>
      <scheme val="minor"/>
    </font>
    <font>
      <sz val="18.0"/>
      <color theme="1"/>
      <name val="Arial"/>
      <scheme val="minor"/>
    </font>
    <font/>
    <font>
      <b/>
      <sz val="18.0"/>
      <color theme="1"/>
      <name val="Arial"/>
      <scheme val="minor"/>
    </font>
    <font>
      <sz val="18.0"/>
      <color rgb="FF434343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sz val="23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3" numFmtId="164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readingOrder="0" vertical="bottom"/>
    </xf>
    <xf borderId="0" fillId="5" fontId="1" numFmtId="0" xfId="0" applyAlignment="1" applyFont="1">
      <alignment vertical="bottom"/>
    </xf>
    <xf borderId="1" fillId="5" fontId="1" numFmtId="166" xfId="0" applyAlignment="1" applyBorder="1" applyFont="1" applyNumberFormat="1">
      <alignment vertical="bottom"/>
    </xf>
    <xf borderId="1" fillId="5" fontId="3" numFmtId="166" xfId="0" applyAlignment="1" applyBorder="1" applyFont="1" applyNumberFormat="1">
      <alignment horizontal="center" vertical="bottom"/>
    </xf>
    <xf borderId="4" fillId="6" fontId="3" numFmtId="0" xfId="0" applyAlignment="1" applyBorder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3" fillId="8" fontId="3" numFmtId="0" xfId="0" applyAlignment="1" applyBorder="1" applyFill="1" applyFont="1">
      <alignment horizontal="center" readingOrder="0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8" fontId="3" numFmtId="166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8" fontId="3" numFmtId="164" xfId="0" applyAlignment="1" applyBorder="1" applyFont="1" applyNumberFormat="1">
      <alignment vertical="bottom"/>
    </xf>
    <xf borderId="1" fillId="8" fontId="3" numFmtId="0" xfId="0" applyAlignment="1" applyBorder="1" applyFont="1">
      <alignment horizontal="center" readingOrder="0" vertical="bottom"/>
    </xf>
    <xf borderId="1" fillId="4" fontId="3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0" fillId="0" fontId="1" numFmtId="10" xfId="0" applyAlignment="1" applyFont="1" applyNumberFormat="1">
      <alignment vertical="bottom"/>
    </xf>
    <xf borderId="1" fillId="7" fontId="3" numFmtId="0" xfId="0" applyAlignment="1" applyBorder="1" applyFont="1">
      <alignment horizontal="center" vertical="bottom"/>
    </xf>
    <xf borderId="1" fillId="7" fontId="3" numFmtId="166" xfId="0" applyAlignment="1" applyBorder="1" applyFont="1" applyNumberFormat="1">
      <alignment horizontal="center" vertical="bottom"/>
    </xf>
    <xf borderId="1" fillId="9" fontId="3" numFmtId="166" xfId="0" applyAlignment="1" applyBorder="1" applyFill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4" fontId="3" numFmtId="166" xfId="0" applyAlignment="1" applyBorder="1" applyFont="1" applyNumberFormat="1">
      <alignment horizontal="center" readingOrder="0" vertical="bottom"/>
    </xf>
    <xf borderId="0" fillId="0" fontId="3" numFmtId="166" xfId="0" applyAlignment="1" applyFont="1" applyNumberFormat="1">
      <alignment horizontal="center" readingOrder="0" vertical="bottom"/>
    </xf>
    <xf borderId="1" fillId="0" fontId="1" numFmtId="166" xfId="0" applyAlignment="1" applyBorder="1" applyFont="1" applyNumberFormat="1">
      <alignment vertical="bottom"/>
    </xf>
    <xf borderId="1" fillId="0" fontId="4" numFmtId="166" xfId="0" applyAlignment="1" applyBorder="1" applyFont="1" applyNumberFormat="1">
      <alignment horizontal="center" vertical="bottom"/>
    </xf>
    <xf borderId="0" fillId="0" fontId="3" numFmtId="166" xfId="0" applyAlignment="1" applyFont="1" applyNumberFormat="1">
      <alignment horizontal="center" vertical="bottom"/>
    </xf>
    <xf borderId="0" fillId="5" fontId="3" numFmtId="166" xfId="0" applyAlignment="1" applyFont="1" applyNumberFormat="1">
      <alignment horizontal="center" vertical="bottom"/>
    </xf>
    <xf borderId="0" fillId="0" fontId="3" numFmtId="166" xfId="0" applyAlignment="1" applyFont="1" applyNumberFormat="1">
      <alignment readingOrder="0" vertical="bottom"/>
    </xf>
    <xf borderId="4" fillId="0" fontId="1" numFmtId="166" xfId="0" applyAlignment="1" applyBorder="1" applyFont="1" applyNumberFormat="1">
      <alignment vertical="bottom"/>
    </xf>
    <xf borderId="0" fillId="5" fontId="5" numFmtId="166" xfId="0" applyAlignment="1" applyFont="1" applyNumberFormat="1">
      <alignment horizontal="center" vertical="bottom"/>
    </xf>
    <xf borderId="0" fillId="0" fontId="6" numFmtId="166" xfId="0" applyAlignment="1" applyFont="1" applyNumberFormat="1">
      <alignment readingOrder="0" vertical="bottom"/>
    </xf>
    <xf borderId="0" fillId="0" fontId="4" numFmtId="167" xfId="0" applyAlignment="1" applyFont="1" applyNumberFormat="1">
      <alignment horizontal="center" vertical="bottom"/>
    </xf>
    <xf borderId="4" fillId="6" fontId="7" numFmtId="166" xfId="0" applyAlignment="1" applyBorder="1" applyFont="1" applyNumberFormat="1">
      <alignment horizontal="center" readingOrder="0" vertical="bottom"/>
    </xf>
    <xf borderId="0" fillId="0" fontId="4" numFmtId="166" xfId="0" applyAlignment="1" applyFont="1" applyNumberFormat="1">
      <alignment horizontal="right" readingOrder="0" vertical="bottom"/>
    </xf>
    <xf borderId="0" fillId="5" fontId="3" numFmtId="166" xfId="0" applyAlignment="1" applyFont="1" applyNumberFormat="1">
      <alignment readingOrder="0" vertical="bottom"/>
    </xf>
    <xf borderId="1" fillId="10" fontId="8" numFmtId="0" xfId="0" applyAlignment="1" applyBorder="1" applyFill="1" applyFont="1">
      <alignment horizontal="center" vertical="bottom"/>
    </xf>
    <xf borderId="0" fillId="5" fontId="3" numFmtId="0" xfId="0" applyAlignment="1" applyFont="1">
      <alignment horizontal="center" vertical="bottom"/>
    </xf>
    <xf borderId="0" fillId="5" fontId="3" numFmtId="166" xfId="0" applyAlignment="1" applyFont="1" applyNumberFormat="1">
      <alignment horizontal="center" readingOrder="0" vertical="bottom"/>
    </xf>
    <xf borderId="0" fillId="5" fontId="9" numFmtId="0" xfId="0" applyFont="1"/>
    <xf borderId="1" fillId="4" fontId="3" numFmtId="0" xfId="0" applyAlignment="1" applyBorder="1" applyFont="1">
      <alignment horizontal="center" vertical="bottom"/>
    </xf>
    <xf borderId="0" fillId="5" fontId="1" numFmtId="166" xfId="0" applyAlignment="1" applyFont="1" applyNumberFormat="1">
      <alignment vertical="bottom"/>
    </xf>
    <xf borderId="0" fillId="5" fontId="10" numFmtId="0" xfId="0" applyAlignment="1" applyFont="1">
      <alignment horizontal="center" vertical="bottom"/>
    </xf>
    <xf borderId="0" fillId="5" fontId="2" numFmtId="0" xfId="0" applyAlignment="1" applyFont="1">
      <alignment horizontal="center" vertical="bottom"/>
    </xf>
    <xf borderId="1" fillId="10" fontId="3" numFmtId="0" xfId="0" applyAlignment="1" applyBorder="1" applyFont="1">
      <alignment horizontal="center" vertical="bottom"/>
    </xf>
    <xf borderId="0" fillId="5" fontId="3" numFmtId="0" xfId="0" applyAlignment="1" applyFont="1">
      <alignment horizontal="center" readingOrder="0" vertical="bottom"/>
    </xf>
    <xf borderId="0" fillId="5" fontId="11" numFmtId="166" xfId="0" applyAlignment="1" applyFont="1" applyNumberFormat="1">
      <alignment horizontal="right" vertical="bottom"/>
    </xf>
    <xf borderId="1" fillId="5" fontId="1" numFmtId="165" xfId="0" applyAlignment="1" applyBorder="1" applyFont="1" applyNumberFormat="1">
      <alignment vertical="bottom"/>
    </xf>
    <xf borderId="1" fillId="5" fontId="2" numFmtId="166" xfId="0" applyAlignment="1" applyBorder="1" applyFont="1" applyNumberFormat="1">
      <alignment horizontal="center" vertical="bottom"/>
    </xf>
    <xf borderId="1" fillId="5" fontId="2" numFmtId="164" xfId="0" applyAlignment="1" applyBorder="1" applyFont="1" applyNumberFormat="1">
      <alignment horizontal="center" vertical="bottom"/>
    </xf>
    <xf borderId="1" fillId="5" fontId="2" numFmtId="166" xfId="0" applyAlignment="1" applyBorder="1" applyFont="1" applyNumberFormat="1">
      <alignment horizontal="center" readingOrder="0" vertical="bottom"/>
    </xf>
    <xf borderId="1" fillId="5" fontId="2" numFmtId="0" xfId="0" applyAlignment="1" applyBorder="1" applyFont="1">
      <alignment horizontal="center" vertical="bottom"/>
    </xf>
    <xf borderId="1" fillId="8" fontId="3" numFmtId="166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5" fillId="0" fontId="3" numFmtId="0" xfId="0" applyAlignment="1" applyBorder="1" applyFont="1">
      <alignment horizontal="center" readingOrder="0" vertical="bottom"/>
    </xf>
    <xf borderId="5" fillId="0" fontId="3" numFmtId="168" xfId="0" applyAlignment="1" applyBorder="1" applyFont="1" applyNumberFormat="1">
      <alignment horizontal="center" readingOrder="0" vertical="bottom"/>
    </xf>
    <xf borderId="5" fillId="0" fontId="3" numFmtId="166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readingOrder="0" vertical="bottom"/>
    </xf>
    <xf borderId="5" fillId="0" fontId="9" numFmtId="0" xfId="0" applyAlignment="1" applyBorder="1" applyFont="1">
      <alignment horizontal="left" readingOrder="0" shrinkToFit="0" vertical="center" wrapText="0"/>
    </xf>
    <xf borderId="5" fillId="5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5" fillId="0" fontId="12" numFmtId="0" xfId="0" applyAlignment="1" applyBorder="1" applyFont="1">
      <alignment readingOrder="0" shrinkToFit="0" vertical="center" wrapText="0"/>
    </xf>
    <xf borderId="5" fillId="0" fontId="12" numFmtId="165" xfId="0" applyAlignment="1" applyBorder="1" applyFont="1" applyNumberFormat="1">
      <alignment readingOrder="0" shrinkToFit="0" vertical="center" wrapText="0"/>
    </xf>
    <xf borderId="5" fillId="0" fontId="12" numFmtId="0" xfId="0" applyAlignment="1" applyBorder="1" applyFont="1">
      <alignment readingOrder="0" shrinkToFit="0" vertical="center" wrapText="0"/>
    </xf>
    <xf borderId="5" fillId="0" fontId="12" numFmtId="0" xfId="0" applyAlignment="1" applyBorder="1" applyFont="1">
      <alignment shrinkToFit="0" vertical="center" wrapText="0"/>
    </xf>
    <xf borderId="5" fillId="0" fontId="12" numFmtId="0" xfId="0" applyAlignment="1" applyBorder="1" applyFont="1">
      <alignment shrinkToFit="0" vertical="center" wrapText="0"/>
    </xf>
    <xf borderId="5" fillId="0" fontId="9" numFmtId="164" xfId="0" applyAlignment="1" applyBorder="1" applyFont="1" applyNumberFormat="1">
      <alignment shrinkToFit="0" vertical="center" wrapText="0"/>
    </xf>
    <xf borderId="5" fillId="0" fontId="12" numFmtId="169" xfId="0" applyAlignment="1" applyBorder="1" applyFont="1" applyNumberFormat="1">
      <alignment readingOrder="0" shrinkToFit="0" vertical="center" wrapText="0"/>
    </xf>
    <xf borderId="5" fillId="0" fontId="12" numFmtId="165" xfId="0" applyAlignment="1" applyBorder="1" applyFont="1" applyNumberFormat="1">
      <alignment shrinkToFit="0" vertical="center" wrapText="0"/>
    </xf>
    <xf borderId="5" fillId="0" fontId="12" numFmtId="169" xfId="0" applyAlignment="1" applyBorder="1" applyFont="1" applyNumberFormat="1">
      <alignment shrinkToFit="0" vertical="center" wrapText="0"/>
    </xf>
    <xf borderId="5" fillId="0" fontId="12" numFmtId="166" xfId="0" applyAlignment="1" applyBorder="1" applyFont="1" applyNumberFormat="1">
      <alignment shrinkToFit="0" vertical="center" wrapText="0"/>
    </xf>
    <xf borderId="5" fillId="0" fontId="6" numFmtId="0" xfId="0" applyAlignment="1" applyBorder="1" applyFont="1">
      <alignment vertical="bottom"/>
    </xf>
    <xf borderId="0" fillId="0" fontId="9" numFmtId="0" xfId="0" applyAlignment="1" applyFont="1">
      <alignment readingOrder="0"/>
    </xf>
    <xf borderId="1" fillId="8" fontId="11" numFmtId="0" xfId="0" applyAlignment="1" applyBorder="1" applyFont="1">
      <alignment horizontal="center" vertical="bottom"/>
    </xf>
    <xf borderId="2" fillId="8" fontId="11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center" readingOrder="0" vertical="bottom"/>
    </xf>
    <xf borderId="1" fillId="5" fontId="6" numFmtId="166" xfId="0" applyAlignment="1" applyBorder="1" applyFont="1" applyNumberFormat="1">
      <alignment horizontal="center" vertical="bottom"/>
    </xf>
    <xf borderId="2" fillId="5" fontId="6" numFmtId="166" xfId="0" applyAlignment="1" applyBorder="1" applyFont="1" applyNumberFormat="1">
      <alignment horizontal="center" vertical="bottom"/>
    </xf>
    <xf borderId="1" fillId="5" fontId="3" numFmtId="0" xfId="0" applyAlignment="1" applyBorder="1" applyFont="1">
      <alignment horizontal="center" vertical="bottom"/>
    </xf>
    <xf borderId="2" fillId="5" fontId="3" numFmtId="0" xfId="0" applyAlignment="1" applyBorder="1" applyFont="1">
      <alignment horizontal="center" vertical="bottom"/>
    </xf>
    <xf borderId="3" fillId="5" fontId="6" numFmtId="0" xfId="0" applyAlignment="1" applyBorder="1" applyFont="1">
      <alignment horizontal="center" vertical="bottom"/>
    </xf>
    <xf borderId="1" fillId="5" fontId="6" numFmtId="166" xfId="0" applyAlignment="1" applyBorder="1" applyFont="1" applyNumberFormat="1">
      <alignment horizontal="center" readingOrder="0" vertical="bottom"/>
    </xf>
    <xf borderId="1" fillId="5" fontId="13" numFmtId="0" xfId="0" applyAlignment="1" applyBorder="1" applyFont="1">
      <alignment horizontal="center" shrinkToFit="0" vertical="bottom" wrapText="0"/>
    </xf>
    <xf borderId="1" fillId="5" fontId="13" numFmtId="0" xfId="0" applyAlignment="1" applyBorder="1" applyFont="1">
      <alignment horizontal="center" readingOrder="0" shrinkToFit="0" vertical="bottom" wrapText="0"/>
    </xf>
    <xf borderId="1" fillId="5" fontId="13" numFmtId="166" xfId="0" applyAlignment="1" applyBorder="1" applyFont="1" applyNumberFormat="1">
      <alignment horizontal="center" shrinkToFit="0" vertical="bottom" wrapText="0"/>
    </xf>
    <xf borderId="2" fillId="5" fontId="6" numFmtId="166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vertical="bottom"/>
    </xf>
    <xf borderId="1" fillId="5" fontId="14" numFmtId="0" xfId="0" applyAlignment="1" applyBorder="1" applyFont="1">
      <alignment horizontal="center" vertical="bottom"/>
    </xf>
    <xf borderId="1" fillId="5" fontId="14" numFmtId="0" xfId="0" applyAlignment="1" applyBorder="1" applyFont="1">
      <alignment horizontal="center" readingOrder="0" vertical="bottom"/>
    </xf>
    <xf borderId="1" fillId="5" fontId="14" numFmtId="166" xfId="0" applyAlignment="1" applyBorder="1" applyFont="1" applyNumberFormat="1">
      <alignment horizontal="center" vertical="bottom"/>
    </xf>
    <xf borderId="2" fillId="5" fontId="3" numFmtId="166" xfId="0" applyAlignment="1" applyBorder="1" applyFont="1" applyNumberFormat="1">
      <alignment horizontal="center" vertical="bottom"/>
    </xf>
    <xf borderId="1" fillId="5" fontId="14" numFmtId="166" xfId="0" applyAlignment="1" applyBorder="1" applyFont="1" applyNumberFormat="1">
      <alignment horizontal="center" readingOrder="0" vertical="bottom"/>
    </xf>
    <xf borderId="2" fillId="5" fontId="14" numFmtId="166" xfId="0" applyAlignment="1" applyBorder="1" applyFont="1" applyNumberFormat="1">
      <alignment horizontal="center" vertical="bottom"/>
    </xf>
    <xf borderId="1" fillId="11" fontId="14" numFmtId="0" xfId="0" applyAlignment="1" applyBorder="1" applyFill="1" applyFont="1">
      <alignment horizontal="center" readingOrder="0" vertical="bottom"/>
    </xf>
    <xf borderId="1" fillId="11" fontId="14" numFmtId="166" xfId="0" applyAlignment="1" applyBorder="1" applyFont="1" applyNumberFormat="1">
      <alignment horizontal="center" readingOrder="0" vertical="bottom"/>
    </xf>
    <xf borderId="2" fillId="11" fontId="14" numFmtId="166" xfId="0" applyAlignment="1" applyBorder="1" applyFont="1" applyNumberFormat="1">
      <alignment horizontal="center" vertical="bottom"/>
    </xf>
    <xf borderId="3" fillId="5" fontId="14" numFmtId="0" xfId="0" applyAlignment="1" applyBorder="1" applyFont="1">
      <alignment horizontal="center" vertical="bottom"/>
    </xf>
    <xf borderId="1" fillId="9" fontId="6" numFmtId="0" xfId="0" applyAlignment="1" applyBorder="1" applyFont="1">
      <alignment horizontal="center" readingOrder="0" vertical="bottom"/>
    </xf>
    <xf borderId="1" fillId="9" fontId="6" numFmtId="166" xfId="0" applyAlignment="1" applyBorder="1" applyFont="1" applyNumberFormat="1">
      <alignment horizontal="center" readingOrder="0" vertical="bottom"/>
    </xf>
    <xf borderId="1" fillId="9" fontId="3" numFmtId="165" xfId="0" applyAlignment="1" applyBorder="1" applyFont="1" applyNumberFormat="1">
      <alignment horizontal="center" vertical="bottom"/>
    </xf>
    <xf borderId="2" fillId="5" fontId="6" numFmtId="166" xfId="0" applyAlignment="1" applyBorder="1" applyFont="1" applyNumberFormat="1">
      <alignment horizontal="center" readingOrder="0" vertical="bottom"/>
    </xf>
    <xf borderId="5" fillId="0" fontId="15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2" fillId="0" fontId="1" numFmtId="166" xfId="0" applyAlignment="1" applyBorder="1" applyFont="1" applyNumberFormat="1">
      <alignment vertical="bottom"/>
    </xf>
    <xf borderId="2" fillId="0" fontId="15" numFmtId="166" xfId="0" applyAlignment="1" applyBorder="1" applyFont="1" applyNumberFormat="1">
      <alignment horizontal="center" vertical="bottom"/>
    </xf>
    <xf borderId="2" fillId="0" fontId="3" numFmtId="165" xfId="0" applyAlignment="1" applyBorder="1" applyFont="1" applyNumberFormat="1">
      <alignment horizontal="center" vertical="bottom"/>
    </xf>
    <xf borderId="1" fillId="4" fontId="5" numFmtId="0" xfId="0" applyAlignment="1" applyBorder="1" applyFont="1">
      <alignment horizontal="center" vertical="bottom"/>
    </xf>
    <xf borderId="4" fillId="6" fontId="5" numFmtId="0" xfId="0" applyAlignment="1" applyBorder="1" applyFont="1">
      <alignment horizontal="center" vertical="bottom"/>
    </xf>
    <xf borderId="0" fillId="0" fontId="16" numFmtId="0" xfId="0" applyAlignment="1" applyFont="1">
      <alignment horizontal="center"/>
    </xf>
    <xf borderId="1" fillId="0" fontId="4" numFmtId="0" xfId="0" applyAlignment="1" applyBorder="1" applyFont="1">
      <alignment horizontal="center" vertical="bottom"/>
    </xf>
    <xf borderId="1" fillId="5" fontId="4" numFmtId="166" xfId="0" applyAlignment="1" applyBorder="1" applyFont="1" applyNumberFormat="1">
      <alignment horizontal="center" vertical="bottom"/>
    </xf>
    <xf borderId="1" fillId="5" fontId="5" numFmtId="166" xfId="0" applyAlignment="1" applyBorder="1" applyFont="1" applyNumberFormat="1">
      <alignment horizontal="center" vertical="bottom"/>
    </xf>
    <xf borderId="1" fillId="5" fontId="4" numFmtId="166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0" fillId="0" fontId="16" numFmtId="0" xfId="0" applyAlignment="1" applyFont="1">
      <alignment horizontal="center" readingOrder="0"/>
    </xf>
    <xf borderId="0" fillId="0" fontId="16" numFmtId="168" xfId="0" applyAlignment="1" applyFont="1" applyNumberFormat="1">
      <alignment horizontal="center" readingOrder="0"/>
    </xf>
    <xf borderId="1" fillId="7" fontId="4" numFmtId="0" xfId="0" applyAlignment="1" applyBorder="1" applyFont="1">
      <alignment horizontal="center" vertical="bottom"/>
    </xf>
    <xf borderId="1" fillId="3" fontId="4" numFmtId="166" xfId="0" applyAlignment="1" applyBorder="1" applyFont="1" applyNumberFormat="1">
      <alignment horizontal="center" vertical="bottom"/>
    </xf>
    <xf borderId="1" fillId="7" fontId="5" numFmtId="166" xfId="0" applyAlignment="1" applyBorder="1" applyFont="1" applyNumberFormat="1">
      <alignment horizontal="center" vertical="bottom"/>
    </xf>
    <xf borderId="1" fillId="4" fontId="4" numFmtId="166" xfId="0" applyAlignment="1" applyBorder="1" applyFont="1" applyNumberFormat="1">
      <alignment horizontal="center" vertical="bottom"/>
    </xf>
    <xf borderId="1" fillId="7" fontId="4" numFmtId="166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6" fillId="0" fontId="17" numFmtId="0" xfId="0" applyAlignment="1" applyBorder="1" applyFont="1">
      <alignment horizontal="center" readingOrder="0"/>
    </xf>
    <xf borderId="2" fillId="0" fontId="18" numFmtId="0" xfId="0" applyBorder="1" applyFont="1"/>
    <xf borderId="6" fillId="0" fontId="17" numFmtId="0" xfId="0" applyAlignment="1" applyBorder="1" applyFont="1">
      <alignment horizontal="center"/>
    </xf>
    <xf borderId="5" fillId="0" fontId="17" numFmtId="0" xfId="0" applyAlignment="1" applyBorder="1" applyFont="1">
      <alignment horizontal="center" readingOrder="0"/>
    </xf>
    <xf borderId="5" fillId="0" fontId="17" numFmtId="0" xfId="0" applyAlignment="1" applyBorder="1" applyFont="1">
      <alignment horizontal="center"/>
    </xf>
    <xf borderId="5" fillId="8" fontId="17" numFmtId="0" xfId="0" applyAlignment="1" applyBorder="1" applyFont="1">
      <alignment horizontal="center" readingOrder="0"/>
    </xf>
    <xf borderId="5" fillId="8" fontId="17" numFmtId="0" xfId="0" applyAlignment="1" applyBorder="1" applyFont="1">
      <alignment horizontal="center"/>
    </xf>
    <xf borderId="5" fillId="6" fontId="17" numFmtId="0" xfId="0" applyAlignment="1" applyBorder="1" applyFont="1">
      <alignment horizontal="center" readingOrder="0"/>
    </xf>
    <xf borderId="5" fillId="10" fontId="17" numFmtId="0" xfId="0" applyAlignment="1" applyBorder="1" applyFont="1">
      <alignment horizontal="center" readingOrder="0"/>
    </xf>
    <xf borderId="5" fillId="10" fontId="17" numFmtId="0" xfId="0" applyAlignment="1" applyBorder="1" applyFont="1">
      <alignment horizontal="center"/>
    </xf>
    <xf borderId="5" fillId="0" fontId="19" numFmtId="0" xfId="0" applyAlignment="1" applyBorder="1" applyFont="1">
      <alignment horizontal="center" readingOrder="0" shrinkToFit="0" wrapText="0"/>
    </xf>
    <xf borderId="5" fillId="2" fontId="19" numFmtId="0" xfId="0" applyAlignment="1" applyBorder="1" applyFont="1">
      <alignment horizontal="center" readingOrder="0" shrinkToFit="0" wrapText="0"/>
    </xf>
    <xf borderId="5" fillId="2" fontId="2" numFmtId="0" xfId="0" applyAlignment="1" applyBorder="1" applyFont="1">
      <alignment horizontal="center" readingOrder="0" vertical="bottom"/>
    </xf>
    <xf borderId="5" fillId="5" fontId="2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readingOrder="0" shrinkToFit="0" wrapText="0"/>
    </xf>
    <xf borderId="5" fillId="0" fontId="17" numFmtId="165" xfId="0" applyAlignment="1" applyBorder="1" applyFont="1" applyNumberFormat="1">
      <alignment horizontal="center" readingOrder="0" shrinkToFit="0" wrapText="0"/>
    </xf>
    <xf borderId="5" fillId="5" fontId="3" numFmtId="0" xfId="0" applyAlignment="1" applyBorder="1" applyFont="1">
      <alignment horizontal="center" readingOrder="0" vertical="bottom"/>
    </xf>
    <xf borderId="5" fillId="5" fontId="3" numFmtId="0" xfId="0" applyAlignment="1" applyBorder="1" applyFont="1">
      <alignment horizontal="center" vertical="bottom"/>
    </xf>
    <xf borderId="5" fillId="0" fontId="17" numFmtId="169" xfId="0" applyAlignment="1" applyBorder="1" applyFont="1" applyNumberFormat="1">
      <alignment horizontal="center" readingOrder="0" shrinkToFit="0" wrapText="0"/>
    </xf>
    <xf borderId="5" fillId="12" fontId="17" numFmtId="0" xfId="0" applyAlignment="1" applyBorder="1" applyFill="1" applyFont="1">
      <alignment horizontal="center" readingOrder="0" shrinkToFit="0" wrapText="0"/>
    </xf>
    <xf borderId="5" fillId="12" fontId="17" numFmtId="169" xfId="0" applyAlignment="1" applyBorder="1" applyFont="1" applyNumberFormat="1">
      <alignment horizontal="center" readingOrder="0" shrinkToFit="0" wrapText="0"/>
    </xf>
    <xf borderId="5" fillId="12" fontId="3" numFmtId="0" xfId="0" applyAlignment="1" applyBorder="1" applyFont="1">
      <alignment horizontal="center" readingOrder="0" vertical="bottom"/>
    </xf>
    <xf borderId="5" fillId="12" fontId="3" numFmtId="0" xfId="0" applyAlignment="1" applyBorder="1" applyFont="1">
      <alignment horizontal="center" vertical="bottom"/>
    </xf>
    <xf borderId="5" fillId="10" fontId="3" numFmtId="0" xfId="0" applyAlignment="1" applyBorder="1" applyFont="1">
      <alignment horizontal="center" vertical="bottom"/>
    </xf>
    <xf borderId="5" fillId="5" fontId="20" numFmtId="0" xfId="0" applyAlignment="1" applyBorder="1" applyFont="1">
      <alignment horizontal="center" readingOrder="0" vertical="bottom"/>
    </xf>
    <xf borderId="5" fillId="10" fontId="3" numFmtId="0" xfId="0" applyAlignment="1" applyBorder="1" applyFont="1">
      <alignment horizontal="center" readingOrder="0" vertical="bottom"/>
    </xf>
    <xf borderId="5" fillId="10" fontId="20" numFmtId="0" xfId="0" applyAlignment="1" applyBorder="1" applyFont="1">
      <alignment horizontal="center" readingOrder="0" vertical="bottom"/>
    </xf>
    <xf borderId="5" fillId="0" fontId="12" numFmtId="0" xfId="0" applyAlignment="1" applyBorder="1" applyFont="1">
      <alignment horizontal="center" readingOrder="0" shrinkToFit="0" wrapText="0"/>
    </xf>
    <xf borderId="5" fillId="0" fontId="12" numFmtId="169" xfId="0" applyAlignment="1" applyBorder="1" applyFont="1" applyNumberFormat="1">
      <alignment horizontal="center" readingOrder="0" shrinkToFit="0" wrapText="0"/>
    </xf>
    <xf borderId="1" fillId="10" fontId="3" numFmtId="0" xfId="0" applyAlignment="1" applyBorder="1" applyFont="1">
      <alignment horizontal="center" readingOrder="0" vertical="bottom"/>
    </xf>
    <xf borderId="3" fillId="5" fontId="20" numFmtId="0" xfId="0" applyAlignment="1" applyBorder="1" applyFont="1">
      <alignment horizontal="center" readingOrder="0" vertical="bottom"/>
    </xf>
    <xf borderId="1" fillId="5" fontId="20" numFmtId="0" xfId="0" applyAlignment="1" applyBorder="1" applyFont="1">
      <alignment horizontal="center" readingOrder="0" vertical="bottom"/>
    </xf>
    <xf borderId="1" fillId="10" fontId="20" numFmtId="0" xfId="0" applyAlignment="1" applyBorder="1" applyFont="1">
      <alignment horizontal="center" readingOrder="0" vertical="bottom"/>
    </xf>
    <xf borderId="5" fillId="12" fontId="12" numFmtId="0" xfId="0" applyAlignment="1" applyBorder="1" applyFont="1">
      <alignment horizontal="center" readingOrder="0" shrinkToFit="0" wrapText="0"/>
    </xf>
    <xf borderId="5" fillId="12" fontId="12" numFmtId="0" xfId="0" applyAlignment="1" applyBorder="1" applyFont="1">
      <alignment horizontal="center" readingOrder="0"/>
    </xf>
    <xf borderId="3" fillId="12" fontId="21" numFmtId="0" xfId="0" applyAlignment="1" applyBorder="1" applyFont="1">
      <alignment horizontal="center" readingOrder="0" vertical="bottom"/>
    </xf>
    <xf borderId="1" fillId="12" fontId="20" numFmtId="0" xfId="0" applyAlignment="1" applyBorder="1" applyFont="1">
      <alignment horizontal="center" readingOrder="0" vertical="bottom"/>
    </xf>
    <xf borderId="1" fillId="12" fontId="3" numFmtId="0" xfId="0" applyAlignment="1" applyBorder="1" applyFont="1">
      <alignment horizontal="center" readingOrder="0" vertical="bottom"/>
    </xf>
    <xf borderId="5" fillId="0" fontId="12" numFmtId="0" xfId="0" applyAlignment="1" applyBorder="1" applyFont="1">
      <alignment horizontal="center" shrinkToFit="0" wrapText="0"/>
    </xf>
    <xf borderId="5" fillId="0" fontId="12" numFmtId="165" xfId="0" applyAlignment="1" applyBorder="1" applyFont="1" applyNumberFormat="1">
      <alignment horizontal="center"/>
    </xf>
    <xf borderId="3" fillId="5" fontId="21" numFmtId="0" xfId="0" applyAlignment="1" applyBorder="1" applyFont="1">
      <alignment horizontal="center" vertical="bottom"/>
    </xf>
    <xf borderId="1" fillId="5" fontId="20" numFmtId="0" xfId="0" applyAlignment="1" applyBorder="1" applyFont="1">
      <alignment horizontal="center" vertical="bottom"/>
    </xf>
    <xf borderId="1" fillId="10" fontId="20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/>
    </xf>
    <xf borderId="3" fillId="5" fontId="11" numFmtId="0" xfId="0" applyAlignment="1" applyBorder="1" applyFont="1">
      <alignment horizontal="center" vertical="bottom"/>
    </xf>
    <xf borderId="1" fillId="5" fontId="11" numFmtId="0" xfId="0" applyAlignment="1" applyBorder="1" applyFont="1">
      <alignment horizontal="right" vertical="bottom"/>
    </xf>
    <xf borderId="1" fillId="5" fontId="4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right" vertical="bottom"/>
    </xf>
    <xf borderId="5" fillId="5" fontId="21" numFmtId="166" xfId="0" applyAlignment="1" applyBorder="1" applyFont="1" applyNumberFormat="1">
      <alignment horizontal="center" readingOrder="0" vertical="bottom"/>
    </xf>
    <xf borderId="1" fillId="5" fontId="21" numFmtId="166" xfId="0" applyAlignment="1" applyBorder="1" applyFont="1" applyNumberFormat="1">
      <alignment horizontal="center" readingOrder="0" vertical="bottom"/>
    </xf>
    <xf borderId="1" fillId="5" fontId="11" numFmtId="166" xfId="0" applyAlignment="1" applyBorder="1" applyFont="1" applyNumberFormat="1">
      <alignment horizontal="center" readingOrder="0" vertical="bottom"/>
    </xf>
    <xf borderId="1" fillId="5" fontId="4" numFmtId="166" xfId="0" applyAlignment="1" applyBorder="1" applyFont="1" applyNumberFormat="1">
      <alignment horizontal="right" readingOrder="0" vertical="bottom"/>
    </xf>
    <xf borderId="5" fillId="0" fontId="12" numFmtId="0" xfId="0" applyBorder="1" applyFont="1"/>
    <xf borderId="5" fillId="5" fontId="22" numFmtId="166" xfId="0" applyAlignment="1" applyBorder="1" applyFont="1" applyNumberFormat="1">
      <alignment horizontal="center" vertical="bottom"/>
    </xf>
    <xf borderId="1" fillId="5" fontId="22" numFmtId="166" xfId="0" applyAlignment="1" applyBorder="1" applyFont="1" applyNumberFormat="1">
      <alignment horizontal="center" vertical="bottom"/>
    </xf>
    <xf borderId="1" fillId="5" fontId="11" numFmtId="166" xfId="0" applyAlignment="1" applyBorder="1" applyFont="1" applyNumberFormat="1">
      <alignment horizontal="right" readingOrder="0" vertical="bottom"/>
    </xf>
    <xf borderId="1" fillId="5" fontId="11" numFmtId="166" xfId="0" applyAlignment="1" applyBorder="1" applyFont="1" applyNumberFormat="1">
      <alignment horizontal="right" vertical="bottom"/>
    </xf>
    <xf borderId="1" fillId="5" fontId="4" numFmtId="166" xfId="0" applyAlignment="1" applyBorder="1" applyFont="1" applyNumberFormat="1">
      <alignment horizontal="right" vertical="bottom"/>
    </xf>
    <xf borderId="1" fillId="5" fontId="5" numFmtId="166" xfId="0" applyAlignment="1" applyBorder="1" applyFont="1" applyNumberFormat="1">
      <alignment horizontal="right" vertical="bottom"/>
    </xf>
    <xf borderId="0" fillId="5" fontId="2" numFmtId="166" xfId="0" applyAlignment="1" applyFont="1" applyNumberFormat="1">
      <alignment horizontal="right" vertical="bottom"/>
    </xf>
    <xf borderId="4" fillId="5" fontId="10" numFmtId="166" xfId="0" applyAlignment="1" applyBorder="1" applyFont="1" applyNumberFormat="1">
      <alignment horizontal="right" vertical="bottom"/>
    </xf>
    <xf borderId="4" fillId="5" fontId="1" numFmtId="166" xfId="0" applyAlignment="1" applyBorder="1" applyFont="1" applyNumberFormat="1">
      <alignment vertical="bottom"/>
    </xf>
    <xf borderId="4" fillId="5" fontId="23" numFmtId="166" xfId="0" applyAlignment="1" applyBorder="1" applyFont="1" applyNumberFormat="1">
      <alignment horizontal="right" vertical="bottom"/>
    </xf>
    <xf borderId="1" fillId="5" fontId="10" numFmtId="166" xfId="0" applyAlignment="1" applyBorder="1" applyFont="1" applyNumberFormat="1">
      <alignment horizontal="right" vertical="bottom"/>
    </xf>
    <xf borderId="1" fillId="5" fontId="3" numFmtId="0" xfId="0" applyAlignment="1" applyBorder="1" applyFont="1">
      <alignment horizontal="right" vertical="bottom"/>
    </xf>
    <xf borderId="4" fillId="0" fontId="1" numFmtId="0" xfId="0" applyAlignment="1" applyBorder="1" applyFont="1">
      <alignment vertical="bottom"/>
    </xf>
    <xf borderId="1" fillId="8" fontId="2" numFmtId="0" xfId="0" applyAlignment="1" applyBorder="1" applyFont="1">
      <alignment horizontal="center" readingOrder="0" vertical="bottom"/>
    </xf>
    <xf borderId="1" fillId="13" fontId="2" numFmtId="0" xfId="0" applyAlignment="1" applyBorder="1" applyFill="1" applyFont="1">
      <alignment horizontal="center" vertical="bottom"/>
    </xf>
    <xf borderId="1" fillId="0" fontId="3" numFmtId="166" xfId="0" applyAlignment="1" applyBorder="1" applyFont="1" applyNumberFormat="1">
      <alignment horizontal="center" readingOrder="0" vertical="bottom"/>
    </xf>
    <xf borderId="1" fillId="13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Pointa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Les Charges-style">
      <tableStyleElement dxfId="2" type="firstRowStripe"/>
      <tableStyleElement dxfId="3" type="secondRowStripe"/>
    </tableStyle>
    <tableStyle count="2" pivot="0" name="Pointage Bi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F36" displayName="Table1" name="Table1" id="1">
  <tableColumns count="32">
    <tableColumn name="Colonne 1" id="1"/>
    <tableColumn name="Date" id="2"/>
    <tableColumn name="Saida" id="3"/>
    <tableColumn name="N/J" id="4"/>
    <tableColumn name="Fatiha" id="5"/>
    <tableColumn name="Column 18" id="6"/>
    <tableColumn name="Nora" id="7"/>
    <tableColumn name="Column 20" id="8"/>
    <tableColumn name="Ikram" id="9"/>
    <tableColumn name="Column 21" id="10"/>
    <tableColumn name="Nour ElHouda" id="11"/>
    <tableColumn name="Column 22" id="12"/>
    <tableColumn name="Yasmine " id="13"/>
    <tableColumn name="Column 23" id="14"/>
    <tableColumn name="Zohra" id="15"/>
    <tableColumn name="Column 24" id="16"/>
    <tableColumn name="Rayan" id="17"/>
    <tableColumn name="Column 25" id="18"/>
    <tableColumn name="Amina " id="19"/>
    <tableColumn name="Column 26" id="20"/>
    <tableColumn name="Sihem" id="21"/>
    <tableColumn name="Column 27" id="22"/>
    <tableColumn name="Karima " id="23"/>
    <tableColumn name="Column 28" id="24"/>
    <tableColumn name="Meriem" id="25"/>
    <tableColumn name="Column 29" id="26"/>
    <tableColumn name="Ahlem" id="27"/>
    <tableColumn name="Column 30" id="28"/>
    <tableColumn name="Houda" id="29"/>
    <tableColumn name="Column 31" id="30"/>
    <tableColumn name="Remarque" id="31"/>
    <tableColumn name="Salaire/Jour" id="32"/>
  </tableColumns>
  <tableStyleInfo name="Pointage-style" showColumnStripes="0" showFirstColumn="1" showLastColumn="1" showRowStripes="1"/>
</table>
</file>

<file path=xl/tables/table2.xml><?xml version="1.0" encoding="utf-8"?>
<table xmlns="http://schemas.openxmlformats.org/spreadsheetml/2006/main" headerRowCount="0" ref="E12:H12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Les Charges-style" showColumnStripes="0" showFirstColumn="1" showLastColumn="1" showRowStripes="1"/>
</table>
</file>

<file path=xl/tables/table3.xml><?xml version="1.0" encoding="utf-8"?>
<table xmlns="http://schemas.openxmlformats.org/spreadsheetml/2006/main" headerRowCount="0" ref="A2:U37" displayName="Table_2" name="Table_2" id="3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Pointage B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5.88"/>
    <col customWidth="1" min="3" max="3" width="41.38"/>
    <col customWidth="1" min="4" max="4" width="24.38"/>
    <col customWidth="1" min="5" max="5" width="27.13"/>
    <col customWidth="1" min="6" max="6" width="20.88"/>
    <col customWidth="1" min="7" max="7" width="22.38"/>
    <col customWidth="1" min="8" max="8" width="24.13"/>
    <col customWidth="1" min="9" max="9" width="19.63"/>
    <col customWidth="1" min="10" max="10" width="19.38"/>
    <col customWidth="1" min="11" max="11" width="21.63"/>
    <col customWidth="1" min="12" max="12" width="106.63"/>
    <col customWidth="1" min="13" max="13" width="26.63"/>
    <col customWidth="1" min="14" max="14" width="38.13"/>
    <col customWidth="1" min="15" max="15" width="71.88"/>
    <col customWidth="1" min="16" max="16" width="40.13"/>
    <col customWidth="1" min="17" max="17" width="45.63"/>
    <col customWidth="1" min="18" max="18" width="87.13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6"/>
      <c r="M1" s="7" t="s">
        <v>10</v>
      </c>
      <c r="N1" s="8" t="s">
        <v>11</v>
      </c>
      <c r="O1" s="6"/>
      <c r="P1" s="6"/>
      <c r="Q1" s="6"/>
      <c r="R1" s="6"/>
      <c r="S1" s="6"/>
      <c r="T1" s="6"/>
      <c r="U1" s="6"/>
      <c r="V1" s="6"/>
      <c r="W1" s="6"/>
    </row>
    <row r="2">
      <c r="A2" s="9" t="s">
        <v>12</v>
      </c>
      <c r="B2" s="10">
        <v>45658.0</v>
      </c>
      <c r="C2" s="11">
        <v>57000.0</v>
      </c>
      <c r="D2" s="11">
        <v>70000.0</v>
      </c>
      <c r="E2" s="11">
        <v>70000.0</v>
      </c>
      <c r="F2" s="12"/>
      <c r="G2" s="13">
        <f>Pointage!AF2</f>
        <v>0</v>
      </c>
      <c r="H2" s="11">
        <v>2000.0</v>
      </c>
      <c r="I2" s="12"/>
      <c r="J2" s="12"/>
      <c r="K2" s="14">
        <v>1.0</v>
      </c>
      <c r="L2" s="15"/>
      <c r="M2" s="16"/>
      <c r="N2" s="17">
        <v>57000.0</v>
      </c>
      <c r="O2" s="6"/>
      <c r="P2" s="6"/>
      <c r="Q2" s="6"/>
      <c r="R2" s="6"/>
      <c r="S2" s="6"/>
      <c r="T2" s="6"/>
      <c r="U2" s="6"/>
      <c r="V2" s="6"/>
      <c r="W2" s="6"/>
    </row>
    <row r="3">
      <c r="A3" s="9" t="s">
        <v>13</v>
      </c>
      <c r="B3" s="10">
        <v>45659.0</v>
      </c>
      <c r="C3" s="11">
        <v>36000.0</v>
      </c>
      <c r="D3" s="11">
        <v>47000.0</v>
      </c>
      <c r="E3" s="11">
        <v>47000.0</v>
      </c>
      <c r="F3" s="12"/>
      <c r="G3" s="13">
        <f>Pointage!AF3</f>
        <v>0</v>
      </c>
      <c r="H3" s="11">
        <v>2000.0</v>
      </c>
      <c r="I3" s="12"/>
      <c r="J3" s="12"/>
      <c r="K3" s="14">
        <v>1.0</v>
      </c>
      <c r="L3" s="15"/>
      <c r="M3" s="16"/>
      <c r="N3" s="17">
        <v>36000.0</v>
      </c>
      <c r="O3" s="18" t="s">
        <v>14</v>
      </c>
      <c r="P3" s="18" t="s">
        <v>15</v>
      </c>
      <c r="Q3" s="19" t="s">
        <v>16</v>
      </c>
      <c r="R3" s="20" t="s">
        <v>17</v>
      </c>
      <c r="S3" s="6"/>
      <c r="T3" s="6"/>
      <c r="U3" s="6"/>
      <c r="V3" s="6"/>
      <c r="W3" s="6"/>
    </row>
    <row r="4">
      <c r="A4" s="21" t="s">
        <v>18</v>
      </c>
      <c r="B4" s="22">
        <v>45660.0</v>
      </c>
      <c r="C4" s="23">
        <v>65000.0</v>
      </c>
      <c r="D4" s="23">
        <v>71000.0</v>
      </c>
      <c r="E4" s="23">
        <v>71000.0</v>
      </c>
      <c r="F4" s="24"/>
      <c r="G4" s="25">
        <f>Pointage!AF4</f>
        <v>0</v>
      </c>
      <c r="H4" s="23">
        <v>2000.0</v>
      </c>
      <c r="I4" s="24"/>
      <c r="J4" s="24"/>
      <c r="K4" s="26">
        <v>1.0</v>
      </c>
      <c r="L4" s="15"/>
      <c r="M4" s="16"/>
      <c r="N4" s="17">
        <v>65000.0</v>
      </c>
      <c r="O4" s="27">
        <f>J33/K33</f>
        <v>16451.88387</v>
      </c>
      <c r="P4" s="27">
        <f>D33/K33</f>
        <v>65580.64516</v>
      </c>
      <c r="Q4" s="28"/>
      <c r="R4" s="29">
        <f>Q4/P4</f>
        <v>0</v>
      </c>
      <c r="S4" s="6"/>
      <c r="T4" s="6"/>
      <c r="U4" s="6"/>
      <c r="V4" s="6"/>
      <c r="W4" s="6"/>
    </row>
    <row r="5">
      <c r="A5" s="9" t="s">
        <v>19</v>
      </c>
      <c r="B5" s="10">
        <v>45661.0</v>
      </c>
      <c r="C5" s="11">
        <v>29000.0</v>
      </c>
      <c r="D5" s="11">
        <v>47000.0</v>
      </c>
      <c r="E5" s="11">
        <v>47000.0</v>
      </c>
      <c r="F5" s="12"/>
      <c r="G5" s="13">
        <f>Pointage!AF5</f>
        <v>0</v>
      </c>
      <c r="H5" s="11">
        <v>2000.0</v>
      </c>
      <c r="I5" s="12"/>
      <c r="J5" s="12"/>
      <c r="K5" s="14">
        <v>1.0</v>
      </c>
      <c r="L5" s="15"/>
      <c r="M5" s="16"/>
      <c r="N5" s="17">
        <v>29000.0</v>
      </c>
      <c r="O5" s="30"/>
      <c r="P5" s="30"/>
      <c r="Q5" s="6"/>
      <c r="R5" s="31"/>
      <c r="S5" s="6"/>
      <c r="T5" s="6"/>
      <c r="U5" s="6"/>
      <c r="V5" s="6"/>
      <c r="W5" s="6"/>
    </row>
    <row r="6">
      <c r="A6" s="9" t="s">
        <v>20</v>
      </c>
      <c r="B6" s="10">
        <v>45662.0</v>
      </c>
      <c r="C6" s="11">
        <v>65000.0</v>
      </c>
      <c r="D6" s="11">
        <v>46000.0</v>
      </c>
      <c r="E6" s="11">
        <v>46000.0</v>
      </c>
      <c r="F6" s="12"/>
      <c r="G6" s="13">
        <f>Pointage!AF6</f>
        <v>0</v>
      </c>
      <c r="H6" s="11">
        <v>2000.0</v>
      </c>
      <c r="I6" s="12"/>
      <c r="J6" s="12"/>
      <c r="K6" s="14">
        <v>1.0</v>
      </c>
      <c r="L6" s="15"/>
      <c r="M6" s="16"/>
      <c r="N6" s="17">
        <v>65000.0</v>
      </c>
      <c r="O6" s="32" t="s">
        <v>21</v>
      </c>
      <c r="P6" s="33" t="s">
        <v>22</v>
      </c>
      <c r="Q6" s="6"/>
      <c r="R6" s="30"/>
      <c r="S6" s="6"/>
      <c r="T6" s="6"/>
      <c r="U6" s="6"/>
      <c r="V6" s="6"/>
      <c r="W6" s="6"/>
    </row>
    <row r="7">
      <c r="A7" s="9" t="s">
        <v>23</v>
      </c>
      <c r="B7" s="10">
        <v>45663.0</v>
      </c>
      <c r="C7" s="11">
        <v>71000.0</v>
      </c>
      <c r="D7" s="11">
        <v>50000.0</v>
      </c>
      <c r="E7" s="11">
        <v>50000.0</v>
      </c>
      <c r="F7" s="12"/>
      <c r="G7" s="13">
        <f>Pointage!AF7</f>
        <v>0</v>
      </c>
      <c r="H7" s="11">
        <v>2000.0</v>
      </c>
      <c r="I7" s="12"/>
      <c r="J7" s="12"/>
      <c r="K7" s="14">
        <v>1.0</v>
      </c>
      <c r="L7" s="15"/>
      <c r="M7" s="16"/>
      <c r="N7" s="34">
        <v>71000.0</v>
      </c>
      <c r="O7" s="35">
        <f>F33/K33</f>
        <v>27533.30968</v>
      </c>
      <c r="P7" s="35">
        <v>100000.0</v>
      </c>
      <c r="Q7" s="30"/>
      <c r="R7" s="30"/>
      <c r="S7" s="6"/>
      <c r="T7" s="6"/>
      <c r="U7" s="6"/>
      <c r="V7" s="6"/>
      <c r="W7" s="6"/>
    </row>
    <row r="8">
      <c r="A8" s="9" t="s">
        <v>24</v>
      </c>
      <c r="B8" s="10">
        <v>45664.0</v>
      </c>
      <c r="C8" s="11">
        <v>69000.0</v>
      </c>
      <c r="D8" s="11">
        <v>65000.0</v>
      </c>
      <c r="E8" s="11">
        <v>65000.0</v>
      </c>
      <c r="F8" s="12"/>
      <c r="G8" s="13">
        <f>Pointage!AF8</f>
        <v>0</v>
      </c>
      <c r="H8" s="11">
        <v>2000.0</v>
      </c>
      <c r="I8" s="12"/>
      <c r="J8" s="12"/>
      <c r="K8" s="14">
        <v>1.0</v>
      </c>
      <c r="L8" s="15"/>
      <c r="M8" s="16"/>
      <c r="N8" s="17">
        <v>69000.0</v>
      </c>
      <c r="O8" s="30" t="s">
        <v>25</v>
      </c>
      <c r="P8" s="30"/>
      <c r="Q8" s="30"/>
      <c r="R8" s="30"/>
      <c r="S8" s="6"/>
      <c r="T8" s="6" t="s">
        <v>26</v>
      </c>
      <c r="U8" s="6"/>
      <c r="V8" s="6"/>
      <c r="W8" s="6"/>
    </row>
    <row r="9">
      <c r="A9" s="9" t="s">
        <v>12</v>
      </c>
      <c r="B9" s="10">
        <v>45665.0</v>
      </c>
      <c r="C9" s="11">
        <v>72000.0</v>
      </c>
      <c r="D9" s="11">
        <v>112000.0</v>
      </c>
      <c r="E9" s="11">
        <v>112000.0</v>
      </c>
      <c r="F9" s="12"/>
      <c r="G9" s="13">
        <f>Pointage!AF9</f>
        <v>0</v>
      </c>
      <c r="H9" s="11">
        <v>2000.0</v>
      </c>
      <c r="I9" s="12"/>
      <c r="J9" s="12"/>
      <c r="K9" s="14">
        <v>1.0</v>
      </c>
      <c r="L9" s="15"/>
      <c r="M9" s="16"/>
      <c r="N9" s="17">
        <v>72000.0</v>
      </c>
      <c r="O9" s="30"/>
      <c r="P9" s="30"/>
      <c r="Q9" s="30"/>
      <c r="R9" s="30"/>
      <c r="S9" s="6"/>
      <c r="T9" s="6"/>
      <c r="U9" s="6"/>
      <c r="V9" s="6"/>
      <c r="W9" s="6"/>
    </row>
    <row r="10">
      <c r="A10" s="9" t="s">
        <v>13</v>
      </c>
      <c r="B10" s="10">
        <v>45666.0</v>
      </c>
      <c r="C10" s="11">
        <v>48000.0</v>
      </c>
      <c r="D10" s="11">
        <v>82000.0</v>
      </c>
      <c r="E10" s="11">
        <v>82000.0</v>
      </c>
      <c r="F10" s="12"/>
      <c r="G10" s="13">
        <f>Pointage!AF10</f>
        <v>0</v>
      </c>
      <c r="H10" s="11">
        <v>2000.0</v>
      </c>
      <c r="I10" s="12"/>
      <c r="J10" s="12"/>
      <c r="K10" s="14">
        <v>1.0</v>
      </c>
      <c r="L10" s="15"/>
      <c r="M10" s="16"/>
      <c r="N10" s="17">
        <v>48000.0</v>
      </c>
      <c r="O10" s="36" t="s">
        <v>27</v>
      </c>
      <c r="P10" s="36" t="s">
        <v>28</v>
      </c>
      <c r="Q10" s="37" t="s">
        <v>29</v>
      </c>
      <c r="R10" s="38" t="s">
        <v>30</v>
      </c>
      <c r="S10" s="6"/>
      <c r="T10" s="6"/>
      <c r="U10" s="6"/>
      <c r="V10" s="6"/>
      <c r="W10" s="6"/>
    </row>
    <row r="11">
      <c r="A11" s="21" t="s">
        <v>18</v>
      </c>
      <c r="B11" s="22">
        <v>45667.0</v>
      </c>
      <c r="C11" s="23">
        <v>45000.0</v>
      </c>
      <c r="D11" s="23">
        <v>91000.0</v>
      </c>
      <c r="E11" s="23">
        <v>91000.0</v>
      </c>
      <c r="F11" s="24"/>
      <c r="G11" s="25">
        <f>Pointage!AF11</f>
        <v>0</v>
      </c>
      <c r="H11" s="23">
        <v>2000.0</v>
      </c>
      <c r="I11" s="24"/>
      <c r="J11" s="24"/>
      <c r="K11" s="26">
        <v>1.0</v>
      </c>
      <c r="L11" s="15"/>
      <c r="M11" s="16"/>
      <c r="N11" s="17">
        <v>45000.0</v>
      </c>
      <c r="O11" s="17">
        <f>O14+D33-F33-H33-P11-'Salaires '!M30</f>
        <v>861467.4</v>
      </c>
      <c r="P11" s="39">
        <v>156000.0</v>
      </c>
      <c r="Q11" s="40">
        <v>715000.0</v>
      </c>
      <c r="R11" s="35">
        <f>O11-Q11</f>
        <v>146467.4</v>
      </c>
      <c r="S11" s="6"/>
      <c r="T11" s="6"/>
      <c r="U11" s="6"/>
      <c r="V11" s="6"/>
      <c r="W11" s="6"/>
    </row>
    <row r="12">
      <c r="A12" s="9" t="s">
        <v>19</v>
      </c>
      <c r="B12" s="10">
        <v>45668.0</v>
      </c>
      <c r="C12" s="11">
        <v>71000.0</v>
      </c>
      <c r="D12" s="11">
        <v>188000.0</v>
      </c>
      <c r="E12" s="11">
        <v>188000.0</v>
      </c>
      <c r="F12" s="12"/>
      <c r="G12" s="13">
        <f>Pointage!AF12</f>
        <v>0</v>
      </c>
      <c r="H12" s="11">
        <v>2000.0</v>
      </c>
      <c r="I12" s="12"/>
      <c r="J12" s="12"/>
      <c r="K12" s="14">
        <v>1.0</v>
      </c>
      <c r="L12" s="15"/>
      <c r="M12" s="16"/>
      <c r="N12" s="17">
        <v>71000.0</v>
      </c>
      <c r="O12" s="30"/>
      <c r="P12" s="30"/>
      <c r="Q12" s="41"/>
      <c r="R12" s="41"/>
      <c r="S12" s="6"/>
      <c r="T12" s="6"/>
      <c r="U12" s="6"/>
      <c r="V12" s="6"/>
      <c r="W12" s="6"/>
    </row>
    <row r="13">
      <c r="A13" s="9" t="s">
        <v>20</v>
      </c>
      <c r="B13" s="10">
        <v>45669.0</v>
      </c>
      <c r="C13" s="11">
        <v>72000.0</v>
      </c>
      <c r="D13" s="11">
        <v>53000.0</v>
      </c>
      <c r="E13" s="11">
        <v>53000.0</v>
      </c>
      <c r="F13" s="12"/>
      <c r="G13" s="13">
        <f>Pointage!AF13</f>
        <v>0</v>
      </c>
      <c r="H13" s="11">
        <v>2000.0</v>
      </c>
      <c r="I13" s="12"/>
      <c r="J13" s="12"/>
      <c r="K13" s="14">
        <v>1.0</v>
      </c>
      <c r="L13" s="15"/>
      <c r="M13" s="16"/>
      <c r="N13" s="17">
        <v>72000.0</v>
      </c>
      <c r="O13" s="37" t="s">
        <v>31</v>
      </c>
      <c r="P13" s="41"/>
      <c r="Q13" s="6"/>
      <c r="R13" s="41"/>
      <c r="S13" s="6"/>
      <c r="T13" s="6"/>
      <c r="U13" s="6"/>
      <c r="V13" s="6"/>
      <c r="W13" s="6"/>
    </row>
    <row r="14">
      <c r="A14" s="9" t="s">
        <v>23</v>
      </c>
      <c r="B14" s="10">
        <v>45670.0</v>
      </c>
      <c r="C14" s="11">
        <v>90000.0</v>
      </c>
      <c r="D14" s="11">
        <v>45000.0</v>
      </c>
      <c r="E14" s="11">
        <v>45000.0</v>
      </c>
      <c r="F14" s="12"/>
      <c r="G14" s="13">
        <f>Pointage!AF14</f>
        <v>1100</v>
      </c>
      <c r="H14" s="11">
        <v>2000.0</v>
      </c>
      <c r="I14" s="12"/>
      <c r="J14" s="12"/>
      <c r="K14" s="14">
        <v>1.0</v>
      </c>
      <c r="L14" s="15"/>
      <c r="M14" s="16"/>
      <c r="N14" s="34">
        <v>90000.0</v>
      </c>
      <c r="O14" s="42">
        <v>330000.0</v>
      </c>
      <c r="P14" s="41"/>
      <c r="Q14" s="6"/>
      <c r="R14" s="28"/>
      <c r="S14" s="6"/>
      <c r="T14" s="6"/>
      <c r="U14" s="6"/>
      <c r="V14" s="6"/>
      <c r="W14" s="6"/>
    </row>
    <row r="15">
      <c r="A15" s="9" t="s">
        <v>24</v>
      </c>
      <c r="B15" s="10">
        <v>45671.0</v>
      </c>
      <c r="C15" s="11">
        <v>79000.0</v>
      </c>
      <c r="D15" s="11">
        <v>58000.0</v>
      </c>
      <c r="E15" s="11">
        <v>58000.0</v>
      </c>
      <c r="F15" s="12"/>
      <c r="G15" s="13">
        <f>Pointage!AF15</f>
        <v>0</v>
      </c>
      <c r="H15" s="11">
        <v>2000.0</v>
      </c>
      <c r="I15" s="12"/>
      <c r="J15" s="12"/>
      <c r="K15" s="14">
        <v>1.0</v>
      </c>
      <c r="L15" s="15"/>
      <c r="M15" s="16"/>
      <c r="N15" s="17">
        <v>79000.0</v>
      </c>
      <c r="O15" s="28"/>
      <c r="P15" s="28"/>
      <c r="Q15" s="15"/>
      <c r="R15" s="20"/>
      <c r="S15" s="6"/>
      <c r="T15" s="6"/>
      <c r="U15" s="6"/>
      <c r="V15" s="6"/>
      <c r="W15" s="6"/>
    </row>
    <row r="16">
      <c r="A16" s="9" t="s">
        <v>12</v>
      </c>
      <c r="B16" s="10">
        <v>45672.0</v>
      </c>
      <c r="C16" s="11">
        <v>72000.0</v>
      </c>
      <c r="D16" s="11">
        <v>96000.0</v>
      </c>
      <c r="E16" s="11">
        <v>96000.0</v>
      </c>
      <c r="F16" s="12"/>
      <c r="G16" s="13">
        <f>Pointage!AF16</f>
        <v>0</v>
      </c>
      <c r="H16" s="11">
        <v>2000.0</v>
      </c>
      <c r="I16" s="12"/>
      <c r="J16" s="12"/>
      <c r="K16" s="14">
        <v>1.0</v>
      </c>
      <c r="L16" s="15"/>
      <c r="M16" s="16"/>
      <c r="N16" s="17">
        <v>72000.0</v>
      </c>
      <c r="O16" s="43" t="s">
        <v>32</v>
      </c>
      <c r="P16" s="28"/>
      <c r="Q16" s="28"/>
      <c r="R16" s="20"/>
      <c r="S16" s="6"/>
      <c r="T16" s="6"/>
      <c r="U16" s="6"/>
      <c r="V16" s="6"/>
      <c r="W16" s="6"/>
    </row>
    <row r="17">
      <c r="A17" s="9" t="s">
        <v>13</v>
      </c>
      <c r="B17" s="10">
        <v>45673.0</v>
      </c>
      <c r="C17" s="11">
        <v>55000.0</v>
      </c>
      <c r="D17" s="11">
        <v>54000.0</v>
      </c>
      <c r="E17" s="11">
        <v>54000.0</v>
      </c>
      <c r="F17" s="12"/>
      <c r="G17" s="13">
        <f>Pointage!AF17</f>
        <v>0</v>
      </c>
      <c r="H17" s="11">
        <v>2000.0</v>
      </c>
      <c r="I17" s="12"/>
      <c r="J17" s="12"/>
      <c r="K17" s="14">
        <v>1.0</v>
      </c>
      <c r="L17" s="15"/>
      <c r="M17" s="16"/>
      <c r="N17" s="17">
        <v>55000.0</v>
      </c>
      <c r="O17" s="44">
        <v>0.0</v>
      </c>
      <c r="P17" s="28"/>
      <c r="Q17" s="28"/>
      <c r="R17" s="45" t="s">
        <v>33</v>
      </c>
      <c r="S17" s="6"/>
      <c r="T17" s="6"/>
      <c r="U17" s="6"/>
      <c r="V17" s="6"/>
      <c r="W17" s="6"/>
    </row>
    <row r="18">
      <c r="A18" s="21" t="s">
        <v>18</v>
      </c>
      <c r="B18" s="22">
        <v>45674.0</v>
      </c>
      <c r="C18" s="23">
        <v>68000.0</v>
      </c>
      <c r="D18" s="23">
        <v>59000.0</v>
      </c>
      <c r="E18" s="23">
        <v>59000.0</v>
      </c>
      <c r="F18" s="24"/>
      <c r="G18" s="25">
        <f>Pointage!AF18</f>
        <v>0</v>
      </c>
      <c r="H18" s="23">
        <v>2000.0</v>
      </c>
      <c r="I18" s="24"/>
      <c r="J18" s="24"/>
      <c r="K18" s="26">
        <v>1.0</v>
      </c>
      <c r="L18" s="15"/>
      <c r="M18" s="16"/>
      <c r="N18" s="17">
        <v>68000.0</v>
      </c>
      <c r="O18" s="46"/>
      <c r="P18" s="28"/>
      <c r="Q18" s="47"/>
      <c r="R18" s="48" t="s">
        <v>34</v>
      </c>
      <c r="S18" s="49"/>
      <c r="T18" s="20"/>
      <c r="U18" s="6"/>
      <c r="V18" s="6"/>
      <c r="W18" s="6"/>
    </row>
    <row r="19">
      <c r="A19" s="9" t="s">
        <v>19</v>
      </c>
      <c r="B19" s="10">
        <v>45675.0</v>
      </c>
      <c r="C19" s="11">
        <v>130000.0</v>
      </c>
      <c r="D19" s="11">
        <v>53000.0</v>
      </c>
      <c r="E19" s="11">
        <v>53000.0</v>
      </c>
      <c r="F19" s="12"/>
      <c r="G19" s="13">
        <f>Pointage!AF19</f>
        <v>0</v>
      </c>
      <c r="H19" s="11">
        <v>2000.0</v>
      </c>
      <c r="I19" s="12"/>
      <c r="J19" s="12"/>
      <c r="K19" s="14">
        <v>1.0</v>
      </c>
      <c r="L19" s="15"/>
      <c r="M19" s="16"/>
      <c r="N19" s="17">
        <v>130000.0</v>
      </c>
      <c r="O19" s="50" t="s">
        <v>35</v>
      </c>
      <c r="P19" s="28"/>
      <c r="Q19" s="28"/>
      <c r="R19" s="51" t="s">
        <v>36</v>
      </c>
      <c r="S19" s="28"/>
      <c r="T19" s="43"/>
      <c r="U19" s="6"/>
      <c r="V19" s="6"/>
      <c r="W19" s="6"/>
    </row>
    <row r="20">
      <c r="A20" s="9" t="s">
        <v>20</v>
      </c>
      <c r="B20" s="10">
        <v>45676.0</v>
      </c>
      <c r="C20" s="11">
        <v>100000.0</v>
      </c>
      <c r="D20" s="11">
        <v>41000.0</v>
      </c>
      <c r="E20" s="11">
        <v>41000.0</v>
      </c>
      <c r="F20" s="12"/>
      <c r="G20" s="13">
        <f>Pointage!AF20</f>
        <v>0</v>
      </c>
      <c r="H20" s="11">
        <v>2000.0</v>
      </c>
      <c r="I20" s="12"/>
      <c r="J20" s="12"/>
      <c r="K20" s="14">
        <v>1.0</v>
      </c>
      <c r="L20" s="15"/>
      <c r="M20" s="16"/>
      <c r="N20" s="17">
        <v>100000.0</v>
      </c>
      <c r="O20" s="17">
        <f>D33-C33</f>
        <v>-165000</v>
      </c>
      <c r="P20" s="28"/>
      <c r="Q20" s="6"/>
      <c r="R20" s="52"/>
      <c r="S20" s="6"/>
      <c r="T20" s="6"/>
      <c r="U20" s="6"/>
      <c r="V20" s="6"/>
      <c r="W20" s="6"/>
    </row>
    <row r="21">
      <c r="A21" s="9" t="s">
        <v>23</v>
      </c>
      <c r="B21" s="10">
        <v>45677.0</v>
      </c>
      <c r="C21" s="11">
        <v>62000.0</v>
      </c>
      <c r="D21" s="11">
        <v>43000.0</v>
      </c>
      <c r="E21" s="11">
        <v>43000.0</v>
      </c>
      <c r="F21" s="12"/>
      <c r="G21" s="13">
        <f>Pointage!AF21</f>
        <v>0</v>
      </c>
      <c r="H21" s="11">
        <v>2000.0</v>
      </c>
      <c r="I21" s="12"/>
      <c r="J21" s="12"/>
      <c r="K21" s="14">
        <v>1.0</v>
      </c>
      <c r="L21" s="15"/>
      <c r="M21" s="16"/>
      <c r="N21" s="34">
        <v>62000.0</v>
      </c>
      <c r="O21" s="53" t="s">
        <v>37</v>
      </c>
      <c r="P21" s="28"/>
      <c r="Q21" s="54"/>
      <c r="R21" s="55" t="s">
        <v>38</v>
      </c>
      <c r="S21" s="44"/>
      <c r="T21" s="44"/>
      <c r="U21" s="15"/>
      <c r="V21" s="15"/>
      <c r="W21" s="15"/>
      <c r="X21" s="56"/>
    </row>
    <row r="22">
      <c r="A22" s="9" t="s">
        <v>24</v>
      </c>
      <c r="B22" s="10">
        <v>45678.0</v>
      </c>
      <c r="C22" s="11">
        <v>64000.0</v>
      </c>
      <c r="D22" s="11">
        <v>46000.0</v>
      </c>
      <c r="E22" s="11">
        <v>46000.0</v>
      </c>
      <c r="F22" s="12"/>
      <c r="G22" s="13">
        <f>Pointage!AF22</f>
        <v>0</v>
      </c>
      <c r="H22" s="11">
        <v>2000.0</v>
      </c>
      <c r="I22" s="12"/>
      <c r="J22" s="12"/>
      <c r="K22" s="14">
        <v>1.0</v>
      </c>
      <c r="L22" s="15"/>
      <c r="M22" s="16"/>
      <c r="N22" s="17">
        <v>64000.0</v>
      </c>
      <c r="O22" s="35">
        <f>M36-F36</f>
        <v>0</v>
      </c>
      <c r="P22" s="28"/>
      <c r="Q22" s="54"/>
      <c r="R22" s="55" t="s">
        <v>39</v>
      </c>
      <c r="S22" s="44"/>
      <c r="T22" s="44"/>
      <c r="U22" s="15"/>
      <c r="V22" s="15"/>
      <c r="W22" s="15"/>
      <c r="X22" s="56"/>
    </row>
    <row r="23">
      <c r="A23" s="9" t="s">
        <v>12</v>
      </c>
      <c r="B23" s="10">
        <v>45679.0</v>
      </c>
      <c r="C23" s="11">
        <v>60000.0</v>
      </c>
      <c r="D23" s="11">
        <v>30000.0</v>
      </c>
      <c r="E23" s="11">
        <v>30000.0</v>
      </c>
      <c r="F23" s="12"/>
      <c r="G23" s="13">
        <f>Pointage!AF23</f>
        <v>0</v>
      </c>
      <c r="H23" s="11">
        <v>2000.0</v>
      </c>
      <c r="I23" s="12"/>
      <c r="J23" s="12"/>
      <c r="K23" s="14">
        <v>1.0</v>
      </c>
      <c r="L23" s="15"/>
      <c r="M23" s="16"/>
      <c r="N23" s="17">
        <v>60000.0</v>
      </c>
      <c r="O23" s="57" t="s">
        <v>40</v>
      </c>
      <c r="P23" s="28"/>
      <c r="Q23" s="54"/>
      <c r="R23" s="55"/>
      <c r="S23" s="44"/>
      <c r="T23" s="44"/>
      <c r="U23" s="15"/>
      <c r="V23" s="15"/>
      <c r="W23" s="15"/>
      <c r="X23" s="56"/>
    </row>
    <row r="24">
      <c r="A24" s="9" t="s">
        <v>13</v>
      </c>
      <c r="B24" s="10">
        <v>45680.0</v>
      </c>
      <c r="C24" s="11">
        <v>44000.0</v>
      </c>
      <c r="D24" s="11">
        <v>57000.0</v>
      </c>
      <c r="E24" s="11">
        <v>57000.0</v>
      </c>
      <c r="F24" s="12"/>
      <c r="G24" s="13">
        <f>Pointage!AF24</f>
        <v>0</v>
      </c>
      <c r="H24" s="11">
        <v>2000.0</v>
      </c>
      <c r="I24" s="12"/>
      <c r="J24" s="12"/>
      <c r="K24" s="14">
        <v>1.0</v>
      </c>
      <c r="L24" s="15"/>
      <c r="M24" s="16"/>
      <c r="N24" s="17">
        <v>44000.0</v>
      </c>
      <c r="O24" s="42">
        <f>D33-C33</f>
        <v>-165000</v>
      </c>
      <c r="P24" s="28"/>
      <c r="Q24" s="15"/>
      <c r="R24" s="58"/>
      <c r="S24" s="59"/>
      <c r="T24" s="59"/>
      <c r="U24" s="15"/>
      <c r="V24" s="15"/>
      <c r="W24" s="15"/>
      <c r="X24" s="56"/>
    </row>
    <row r="25">
      <c r="A25" s="21" t="s">
        <v>18</v>
      </c>
      <c r="B25" s="22">
        <v>45681.0</v>
      </c>
      <c r="C25" s="23">
        <v>47000.0</v>
      </c>
      <c r="D25" s="23">
        <v>65000.0</v>
      </c>
      <c r="E25" s="23">
        <v>65000.0</v>
      </c>
      <c r="F25" s="24"/>
      <c r="G25" s="25">
        <f>Pointage!AF25</f>
        <v>0</v>
      </c>
      <c r="H25" s="23">
        <v>2000.0</v>
      </c>
      <c r="I25" s="24"/>
      <c r="J25" s="24"/>
      <c r="K25" s="26">
        <v>1.0</v>
      </c>
      <c r="L25" s="15"/>
      <c r="M25" s="16"/>
      <c r="N25" s="17">
        <v>47000.0</v>
      </c>
      <c r="O25" s="37" t="s">
        <v>41</v>
      </c>
      <c r="P25" s="28"/>
      <c r="Q25" s="60"/>
      <c r="R25" s="58"/>
      <c r="S25" s="15"/>
      <c r="T25" s="15"/>
      <c r="U25" s="15"/>
      <c r="V25" s="15"/>
      <c r="W25" s="15"/>
      <c r="X25" s="56"/>
    </row>
    <row r="26">
      <c r="A26" s="9" t="s">
        <v>19</v>
      </c>
      <c r="B26" s="10">
        <v>45682.0</v>
      </c>
      <c r="C26" s="11">
        <v>57000.0</v>
      </c>
      <c r="D26" s="11">
        <v>52000.0</v>
      </c>
      <c r="E26" s="11">
        <v>52000.0</v>
      </c>
      <c r="F26" s="12"/>
      <c r="G26" s="13">
        <f>Pointage!AF26</f>
        <v>0</v>
      </c>
      <c r="H26" s="11">
        <v>2000.0</v>
      </c>
      <c r="I26" s="12"/>
      <c r="J26" s="12"/>
      <c r="K26" s="14">
        <v>1.0</v>
      </c>
      <c r="L26" s="15"/>
      <c r="M26" s="16"/>
      <c r="N26" s="17">
        <v>57000.0</v>
      </c>
      <c r="O26" s="35">
        <f>D9+D16+D23+D30</f>
        <v>288000</v>
      </c>
      <c r="P26" s="6"/>
      <c r="Q26" s="15"/>
      <c r="R26" s="58"/>
      <c r="S26" s="59"/>
      <c r="T26" s="59"/>
      <c r="U26" s="15"/>
      <c r="V26" s="15"/>
      <c r="W26" s="15"/>
      <c r="X26" s="56"/>
    </row>
    <row r="27">
      <c r="A27" s="9" t="s">
        <v>20</v>
      </c>
      <c r="B27" s="10">
        <v>45683.0</v>
      </c>
      <c r="C27" s="11">
        <v>75000.0</v>
      </c>
      <c r="D27" s="11">
        <v>33000.0</v>
      </c>
      <c r="E27" s="11">
        <v>33000.0</v>
      </c>
      <c r="F27" s="12"/>
      <c r="G27" s="13">
        <f>Pointage!AF27</f>
        <v>0</v>
      </c>
      <c r="H27" s="11">
        <v>2000.0</v>
      </c>
      <c r="I27" s="12"/>
      <c r="J27" s="12"/>
      <c r="K27" s="14">
        <v>1.0</v>
      </c>
      <c r="L27" s="15"/>
      <c r="M27" s="16"/>
      <c r="N27" s="17">
        <v>75000.0</v>
      </c>
      <c r="O27" s="41"/>
      <c r="P27" s="6"/>
      <c r="Q27" s="15"/>
      <c r="R27" s="58"/>
      <c r="S27" s="15"/>
      <c r="T27" s="15"/>
      <c r="U27" s="15"/>
      <c r="V27" s="15"/>
      <c r="W27" s="15"/>
      <c r="X27" s="56"/>
    </row>
    <row r="28">
      <c r="A28" s="9" t="s">
        <v>23</v>
      </c>
      <c r="B28" s="10">
        <v>45684.0</v>
      </c>
      <c r="C28" s="11">
        <v>68000.0</v>
      </c>
      <c r="D28" s="11">
        <v>44000.0</v>
      </c>
      <c r="E28" s="11">
        <v>44000.0</v>
      </c>
      <c r="F28" s="12"/>
      <c r="G28" s="13">
        <f>Pointage!AF28</f>
        <v>0</v>
      </c>
      <c r="H28" s="11">
        <v>2000.0</v>
      </c>
      <c r="I28" s="12"/>
      <c r="J28" s="12"/>
      <c r="K28" s="14">
        <v>1.0</v>
      </c>
      <c r="L28" s="15"/>
      <c r="M28" s="16"/>
      <c r="N28" s="34">
        <v>68000.0</v>
      </c>
      <c r="O28" s="32" t="s">
        <v>29</v>
      </c>
      <c r="P28" s="6"/>
      <c r="Q28" s="15"/>
      <c r="R28" s="58"/>
      <c r="S28" s="15"/>
      <c r="T28" s="15"/>
      <c r="U28" s="15"/>
      <c r="V28" s="15"/>
      <c r="W28" s="15"/>
      <c r="X28" s="56"/>
    </row>
    <row r="29">
      <c r="A29" s="9" t="s">
        <v>24</v>
      </c>
      <c r="B29" s="10">
        <v>45685.0</v>
      </c>
      <c r="C29" s="11">
        <v>68000.0</v>
      </c>
      <c r="D29" s="11">
        <v>76000.0</v>
      </c>
      <c r="E29" s="11">
        <v>76000.0</v>
      </c>
      <c r="F29" s="12"/>
      <c r="G29" s="13">
        <f>Pointage!AF29</f>
        <v>0</v>
      </c>
      <c r="H29" s="11">
        <v>2000.0</v>
      </c>
      <c r="I29" s="12"/>
      <c r="J29" s="12"/>
      <c r="K29" s="14">
        <v>1.0</v>
      </c>
      <c r="L29" s="15"/>
      <c r="M29" s="16"/>
      <c r="N29" s="17">
        <v>68000.0</v>
      </c>
      <c r="O29" s="35">
        <v>51000.0</v>
      </c>
      <c r="P29" s="28"/>
      <c r="Q29" s="15"/>
      <c r="R29" s="58"/>
      <c r="S29" s="15"/>
      <c r="T29" s="15"/>
      <c r="U29" s="15"/>
      <c r="V29" s="15"/>
      <c r="W29" s="15"/>
      <c r="X29" s="56"/>
    </row>
    <row r="30">
      <c r="A30" s="9" t="s">
        <v>12</v>
      </c>
      <c r="B30" s="10">
        <v>45686.0</v>
      </c>
      <c r="C30" s="11">
        <v>66000.0</v>
      </c>
      <c r="D30" s="11">
        <v>50000.0</v>
      </c>
      <c r="E30" s="11">
        <v>50000.0</v>
      </c>
      <c r="F30" s="12"/>
      <c r="G30" s="13">
        <f>Pointage!AF30</f>
        <v>0</v>
      </c>
      <c r="H30" s="11">
        <v>2000.0</v>
      </c>
      <c r="I30" s="12"/>
      <c r="J30" s="12"/>
      <c r="K30" s="14">
        <v>1.0</v>
      </c>
      <c r="L30" s="15"/>
      <c r="M30" s="16"/>
      <c r="N30" s="17">
        <v>66000.0</v>
      </c>
      <c r="O30" s="61" t="s">
        <v>42</v>
      </c>
      <c r="P30" s="6"/>
      <c r="Q30" s="15"/>
      <c r="R30" s="58"/>
      <c r="S30" s="15"/>
      <c r="T30" s="15"/>
      <c r="U30" s="15"/>
      <c r="V30" s="15"/>
      <c r="W30" s="15"/>
      <c r="X30" s="56"/>
    </row>
    <row r="31">
      <c r="A31" s="9" t="s">
        <v>13</v>
      </c>
      <c r="B31" s="10">
        <v>45687.0</v>
      </c>
      <c r="C31" s="11">
        <v>176000.0</v>
      </c>
      <c r="D31" s="11">
        <v>59000.0</v>
      </c>
      <c r="E31" s="11">
        <v>59000.0</v>
      </c>
      <c r="F31" s="12"/>
      <c r="G31" s="13">
        <f>Pointage!AF31</f>
        <v>0</v>
      </c>
      <c r="H31" s="11">
        <v>2000.0</v>
      </c>
      <c r="I31" s="12"/>
      <c r="J31" s="12"/>
      <c r="K31" s="14">
        <v>1.0</v>
      </c>
      <c r="L31" s="15"/>
      <c r="M31" s="16"/>
      <c r="N31" s="17">
        <v>176000.0</v>
      </c>
      <c r="O31" s="41"/>
      <c r="P31" s="6"/>
      <c r="Q31" s="58"/>
      <c r="R31" s="15"/>
      <c r="S31" s="15"/>
      <c r="T31" s="15"/>
      <c r="U31" s="15"/>
      <c r="V31" s="15"/>
      <c r="W31" s="15"/>
      <c r="X31" s="56"/>
    </row>
    <row r="32">
      <c r="A32" s="21" t="s">
        <v>18</v>
      </c>
      <c r="B32" s="22">
        <v>45688.0</v>
      </c>
      <c r="C32" s="23">
        <v>117000.0</v>
      </c>
      <c r="D32" s="23">
        <v>150000.0</v>
      </c>
      <c r="E32" s="23">
        <v>150000.0</v>
      </c>
      <c r="F32" s="24"/>
      <c r="G32" s="25">
        <f>Pointage!AF32</f>
        <v>0</v>
      </c>
      <c r="H32" s="23">
        <v>2000.0</v>
      </c>
      <c r="I32" s="24"/>
      <c r="J32" s="24"/>
      <c r="K32" s="26">
        <v>1.0</v>
      </c>
      <c r="L32" s="62" t="s">
        <v>43</v>
      </c>
      <c r="M32" s="16"/>
      <c r="N32" s="17">
        <v>117000.0</v>
      </c>
      <c r="O32" s="41"/>
      <c r="P32" s="6"/>
      <c r="Q32" s="58"/>
      <c r="R32" s="63"/>
      <c r="S32" s="15"/>
      <c r="T32" s="15"/>
      <c r="U32" s="15"/>
      <c r="V32" s="15"/>
      <c r="W32" s="15"/>
      <c r="X32" s="56"/>
    </row>
    <row r="33">
      <c r="A33" s="15"/>
      <c r="B33" s="64"/>
      <c r="C33" s="65">
        <f t="shared" ref="C33:E33" si="1">SUM(C2:C32)</f>
        <v>2198000</v>
      </c>
      <c r="D33" s="65">
        <f t="shared" si="1"/>
        <v>2033000</v>
      </c>
      <c r="E33" s="65">
        <f t="shared" si="1"/>
        <v>2033000</v>
      </c>
      <c r="F33" s="65">
        <f>'Les Charges'!H381</f>
        <v>853532.6</v>
      </c>
      <c r="G33" s="66">
        <f>'Salaires '!L30</f>
        <v>427459</v>
      </c>
      <c r="H33" s="65">
        <f>SUM(H2:H32)</f>
        <v>62000</v>
      </c>
      <c r="I33" s="67">
        <v>180000.0</v>
      </c>
      <c r="J33" s="65">
        <f>D33-F33-G33-H33-I33</f>
        <v>510008.4</v>
      </c>
      <c r="K33" s="68">
        <f>SUM(K2:K32)</f>
        <v>31</v>
      </c>
      <c r="L33" s="6"/>
      <c r="M33" s="16"/>
      <c r="N33" s="69">
        <f>SUM(N2:N32)</f>
        <v>2198000</v>
      </c>
      <c r="O33" s="41"/>
      <c r="P33" s="28"/>
      <c r="Q33" s="58"/>
      <c r="R33" s="58"/>
      <c r="S33" s="15"/>
      <c r="T33" s="15"/>
      <c r="U33" s="15"/>
      <c r="V33" s="15"/>
      <c r="W33" s="15"/>
      <c r="X33" s="56"/>
    </row>
    <row r="34">
      <c r="A34" s="6"/>
      <c r="B34" s="70"/>
      <c r="C34" s="28"/>
      <c r="D34" s="28"/>
      <c r="E34" s="6"/>
      <c r="F34" s="6"/>
      <c r="G34" s="71"/>
      <c r="H34" s="72" t="s">
        <v>44</v>
      </c>
      <c r="I34" s="73">
        <v>55000.0</v>
      </c>
      <c r="J34" s="6"/>
      <c r="K34" s="6"/>
      <c r="L34" s="6"/>
      <c r="M34" s="28"/>
      <c r="N34" s="28"/>
      <c r="O34" s="41"/>
      <c r="P34" s="28"/>
      <c r="Q34" s="58"/>
      <c r="R34" s="15"/>
      <c r="S34" s="15"/>
      <c r="T34" s="15"/>
      <c r="U34" s="15"/>
      <c r="V34" s="15"/>
      <c r="W34" s="15"/>
      <c r="X34" s="56"/>
    </row>
    <row r="35">
      <c r="A35" s="6"/>
      <c r="B35" s="70"/>
      <c r="C35" s="28"/>
      <c r="D35" s="28"/>
      <c r="E35" s="28"/>
      <c r="F35" s="28"/>
      <c r="G35" s="71"/>
      <c r="H35" s="74" t="s">
        <v>45</v>
      </c>
      <c r="I35" s="73">
        <v>40000.0</v>
      </c>
      <c r="J35" s="28"/>
      <c r="K35" s="6"/>
      <c r="L35" s="6"/>
      <c r="M35" s="28"/>
      <c r="N35" s="28"/>
      <c r="O35" s="35">
        <f>O11-O29-O34</f>
        <v>810467.4</v>
      </c>
      <c r="P35" s="6"/>
      <c r="Q35" s="58"/>
      <c r="R35" s="15"/>
      <c r="S35" s="15"/>
      <c r="T35" s="15"/>
      <c r="U35" s="15"/>
      <c r="V35" s="15"/>
      <c r="W35" s="15"/>
      <c r="X35" s="56"/>
    </row>
    <row r="36">
      <c r="A36" s="6"/>
      <c r="B36" s="6"/>
      <c r="C36" s="6"/>
      <c r="D36" s="6"/>
      <c r="E36" s="6"/>
      <c r="F36" s="6"/>
      <c r="G36" s="71"/>
      <c r="H36" s="72" t="s">
        <v>46</v>
      </c>
      <c r="I36" s="73">
        <v>45000.0</v>
      </c>
      <c r="J36" s="6"/>
      <c r="K36" s="6"/>
      <c r="L36" s="6"/>
      <c r="M36" s="6"/>
      <c r="N36" s="6"/>
      <c r="O36" s="6"/>
      <c r="P36" s="6"/>
      <c r="Q36" s="15"/>
      <c r="R36" s="15"/>
      <c r="S36" s="15"/>
      <c r="T36" s="15"/>
      <c r="U36" s="15"/>
      <c r="V36" s="15"/>
      <c r="W36" s="15"/>
      <c r="X36" s="56"/>
    </row>
    <row r="37">
      <c r="A37" s="6"/>
      <c r="B37" s="6"/>
      <c r="C37" s="6"/>
      <c r="D37" s="6"/>
      <c r="E37" s="6"/>
      <c r="F37" s="6"/>
      <c r="G37" s="71"/>
      <c r="H37" s="72" t="s">
        <v>47</v>
      </c>
      <c r="I37" s="73">
        <v>40000.0</v>
      </c>
      <c r="J37" s="6"/>
      <c r="K37" s="6"/>
      <c r="L37" s="6"/>
      <c r="M37" s="6"/>
      <c r="N37" s="6"/>
      <c r="O37" s="6"/>
      <c r="P37" s="6"/>
      <c r="Q37" s="15"/>
      <c r="R37" s="15"/>
      <c r="S37" s="15"/>
      <c r="T37" s="15"/>
      <c r="U37" s="15"/>
      <c r="V37" s="15"/>
      <c r="W37" s="15"/>
      <c r="X37" s="56"/>
    </row>
    <row r="38">
      <c r="A38" s="6"/>
      <c r="B38" s="6"/>
      <c r="C38" s="6"/>
      <c r="D38" s="6" t="s">
        <v>48</v>
      </c>
      <c r="E38" s="6"/>
      <c r="F38" s="6"/>
      <c r="G38" s="71"/>
      <c r="H38" s="6"/>
      <c r="I38" s="6"/>
      <c r="J38" s="6"/>
      <c r="K38" s="6"/>
      <c r="L38" s="6"/>
      <c r="M38" s="6"/>
      <c r="N38" s="6"/>
      <c r="O38" s="6"/>
      <c r="P38" s="6"/>
      <c r="Q38" s="15"/>
      <c r="R38" s="15"/>
      <c r="S38" s="15"/>
      <c r="T38" s="15"/>
      <c r="U38" s="15"/>
      <c r="V38" s="15"/>
      <c r="W38" s="15"/>
      <c r="X38" s="56"/>
    </row>
    <row r="39">
      <c r="A39" s="6"/>
      <c r="B39" s="6"/>
      <c r="C39" s="6"/>
      <c r="D39" s="6"/>
      <c r="E39" s="6"/>
      <c r="F39" s="6"/>
      <c r="G39" s="71"/>
      <c r="H39" s="6"/>
      <c r="I39" s="6"/>
      <c r="J39" s="6"/>
      <c r="K39" s="6"/>
      <c r="L39" s="6"/>
      <c r="M39" s="6"/>
      <c r="N39" s="6"/>
      <c r="O39" s="6"/>
      <c r="P39" s="6"/>
      <c r="Q39" s="15"/>
      <c r="R39" s="15"/>
      <c r="S39" s="15"/>
      <c r="T39" s="15"/>
      <c r="U39" s="15"/>
      <c r="V39" s="15"/>
      <c r="W39" s="15"/>
      <c r="X39" s="56"/>
    </row>
    <row r="40">
      <c r="A40" s="6"/>
      <c r="B40" s="6"/>
      <c r="C40" s="6"/>
      <c r="D40" s="6"/>
      <c r="E40" s="6"/>
      <c r="F40" s="6"/>
      <c r="G40" s="71"/>
      <c r="H40" s="6"/>
      <c r="I40" s="6"/>
      <c r="J40" s="6"/>
      <c r="K40" s="6"/>
      <c r="L40" s="6"/>
      <c r="M40" s="6"/>
      <c r="N40" s="6"/>
      <c r="O40" s="6"/>
      <c r="P40" s="6"/>
      <c r="Q40" s="15"/>
      <c r="R40" s="15"/>
      <c r="S40" s="15"/>
      <c r="T40" s="15"/>
      <c r="U40" s="15"/>
      <c r="V40" s="15"/>
      <c r="W40" s="15"/>
      <c r="X40" s="56"/>
    </row>
    <row r="41">
      <c r="A41" s="6"/>
      <c r="B41" s="6"/>
      <c r="C41" s="6"/>
      <c r="D41" s="6"/>
      <c r="E41" s="6"/>
      <c r="F41" s="6"/>
      <c r="G41" s="71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>
      <c r="A42" s="6"/>
      <c r="B42" s="6"/>
      <c r="C42" s="6"/>
      <c r="D42" s="6"/>
      <c r="E42" s="6"/>
      <c r="F42" s="6"/>
      <c r="G42" s="71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>
      <c r="A43" s="6"/>
      <c r="B43" s="6"/>
      <c r="C43" s="6"/>
      <c r="D43" s="6"/>
      <c r="E43" s="6"/>
      <c r="F43" s="6"/>
      <c r="G43" s="71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>
      <c r="A49" s="6"/>
      <c r="B49" s="6"/>
      <c r="C49" s="75">
        <v>1.0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hidden="1" min="4" max="4" width="12.63"/>
    <col hidden="1" min="6" max="6" width="12.63"/>
    <col hidden="1" min="8" max="8" width="12.63"/>
    <col hidden="1" min="10" max="10" width="12.63"/>
    <col hidden="1" min="12" max="12" width="12.63"/>
    <col hidden="1" min="14" max="14" width="12.63"/>
    <col hidden="1" min="16" max="16" width="12.63"/>
    <col hidden="1" min="18" max="18" width="12.63"/>
    <col hidden="1" min="20" max="20" width="12.63"/>
    <col hidden="1" min="22" max="22" width="12.63"/>
    <col hidden="1" min="24" max="24" width="12.63"/>
    <col hidden="1" min="26" max="26" width="12.63"/>
    <col hidden="1" min="28" max="28" width="12.63"/>
    <col hidden="1" min="30" max="30" width="12.63"/>
    <col customWidth="1" min="31" max="31" width="49.13"/>
    <col hidden="1" min="32" max="32" width="12.63"/>
  </cols>
  <sheetData>
    <row r="1" ht="22.5" customHeight="1">
      <c r="A1" s="76" t="s">
        <v>49</v>
      </c>
      <c r="B1" s="76" t="s">
        <v>0</v>
      </c>
      <c r="C1" s="76" t="s">
        <v>50</v>
      </c>
      <c r="D1" s="76" t="s">
        <v>51</v>
      </c>
      <c r="E1" s="76" t="s">
        <v>52</v>
      </c>
      <c r="F1" s="76" t="s">
        <v>53</v>
      </c>
      <c r="G1" s="76" t="s">
        <v>54</v>
      </c>
      <c r="H1" s="76" t="s">
        <v>55</v>
      </c>
      <c r="I1" s="76" t="s">
        <v>56</v>
      </c>
      <c r="J1" s="76" t="s">
        <v>57</v>
      </c>
      <c r="K1" s="76" t="s">
        <v>58</v>
      </c>
      <c r="L1" s="76" t="s">
        <v>59</v>
      </c>
      <c r="M1" s="76" t="s">
        <v>60</v>
      </c>
      <c r="N1" s="76" t="s">
        <v>61</v>
      </c>
      <c r="O1" s="76" t="s">
        <v>62</v>
      </c>
      <c r="P1" s="76" t="s">
        <v>63</v>
      </c>
      <c r="Q1" s="76" t="s">
        <v>64</v>
      </c>
      <c r="R1" s="76" t="s">
        <v>65</v>
      </c>
      <c r="S1" s="76" t="s">
        <v>66</v>
      </c>
      <c r="T1" s="76" t="s">
        <v>67</v>
      </c>
      <c r="U1" s="76" t="s">
        <v>68</v>
      </c>
      <c r="V1" s="76" t="s">
        <v>69</v>
      </c>
      <c r="W1" s="76" t="s">
        <v>70</v>
      </c>
      <c r="X1" s="76" t="s">
        <v>71</v>
      </c>
      <c r="Y1" s="76" t="s">
        <v>72</v>
      </c>
      <c r="Z1" s="76" t="s">
        <v>73</v>
      </c>
      <c r="AA1" s="76" t="s">
        <v>74</v>
      </c>
      <c r="AB1" s="76" t="s">
        <v>75</v>
      </c>
      <c r="AC1" s="76" t="s">
        <v>76</v>
      </c>
      <c r="AD1" s="76" t="s">
        <v>77</v>
      </c>
      <c r="AE1" s="76" t="s">
        <v>78</v>
      </c>
      <c r="AF1" s="76" t="s">
        <v>79</v>
      </c>
      <c r="AG1" s="77"/>
      <c r="AH1" s="78"/>
      <c r="AI1" s="78"/>
      <c r="AJ1" s="78"/>
    </row>
    <row r="2" ht="22.5" customHeight="1">
      <c r="A2" s="79" t="s">
        <v>12</v>
      </c>
      <c r="B2" s="80">
        <v>45658.0</v>
      </c>
      <c r="C2" s="81"/>
      <c r="D2" s="82"/>
      <c r="E2" s="81"/>
      <c r="F2" s="82"/>
      <c r="G2" s="82"/>
      <c r="H2" s="82"/>
      <c r="I2" s="82"/>
      <c r="J2" s="82"/>
      <c r="K2" s="82"/>
      <c r="L2" s="82"/>
      <c r="M2" s="81"/>
      <c r="N2" s="82"/>
      <c r="O2" s="82"/>
      <c r="P2" s="82"/>
      <c r="Q2" s="81"/>
      <c r="R2" s="82"/>
      <c r="S2" s="81"/>
      <c r="T2" s="82"/>
      <c r="U2" s="81"/>
      <c r="V2" s="82"/>
      <c r="W2" s="81"/>
      <c r="X2" s="82"/>
      <c r="Y2" s="82"/>
      <c r="Z2" s="82"/>
      <c r="AA2" s="82"/>
      <c r="AB2" s="82"/>
      <c r="AC2" s="81"/>
      <c r="AD2" s="83">
        <f t="shared" ref="AD2:AD32" si="1">AC2*1100</f>
        <v>0</v>
      </c>
      <c r="AE2" s="83"/>
      <c r="AF2" s="84">
        <f t="shared" ref="AF2:AF36" si="2">SUM(AD2,AB2,Z2,X2,V2,T2,R2,P2,N2,L2,J2,H2,F2,D2)</f>
        <v>0</v>
      </c>
      <c r="AG2" s="77"/>
      <c r="AH2" s="78"/>
      <c r="AI2" s="78"/>
      <c r="AJ2" s="78"/>
    </row>
    <row r="3" ht="22.5" customHeight="1">
      <c r="A3" s="79" t="s">
        <v>13</v>
      </c>
      <c r="B3" s="85">
        <v>45659.0</v>
      </c>
      <c r="C3" s="82"/>
      <c r="D3" s="82"/>
      <c r="E3" s="81"/>
      <c r="F3" s="82"/>
      <c r="G3" s="81"/>
      <c r="H3" s="82"/>
      <c r="I3" s="81"/>
      <c r="J3" s="82"/>
      <c r="K3" s="82"/>
      <c r="L3" s="82"/>
      <c r="M3" s="81"/>
      <c r="N3" s="82"/>
      <c r="O3" s="81"/>
      <c r="P3" s="82"/>
      <c r="Q3" s="81"/>
      <c r="R3" s="82"/>
      <c r="S3" s="81"/>
      <c r="T3" s="82"/>
      <c r="U3" s="81"/>
      <c r="V3" s="82"/>
      <c r="W3" s="82"/>
      <c r="X3" s="82"/>
      <c r="Y3" s="81"/>
      <c r="Z3" s="82"/>
      <c r="AA3" s="82"/>
      <c r="AB3" s="82"/>
      <c r="AC3" s="81"/>
      <c r="AD3" s="83">
        <f t="shared" si="1"/>
        <v>0</v>
      </c>
      <c r="AE3" s="83"/>
      <c r="AF3" s="84">
        <f t="shared" si="2"/>
        <v>0</v>
      </c>
      <c r="AG3" s="77"/>
      <c r="AH3" s="78"/>
      <c r="AI3" s="78"/>
      <c r="AJ3" s="78"/>
    </row>
    <row r="4" ht="22.5" customHeight="1">
      <c r="A4" s="79" t="s">
        <v>18</v>
      </c>
      <c r="B4" s="85">
        <v>45660.0</v>
      </c>
      <c r="C4" s="82"/>
      <c r="D4" s="82"/>
      <c r="E4" s="81"/>
      <c r="F4" s="82"/>
      <c r="G4" s="81"/>
      <c r="H4" s="82"/>
      <c r="I4" s="81"/>
      <c r="J4" s="82"/>
      <c r="K4" s="82"/>
      <c r="L4" s="82"/>
      <c r="M4" s="82"/>
      <c r="N4" s="82"/>
      <c r="O4" s="81"/>
      <c r="P4" s="82"/>
      <c r="Q4" s="81"/>
      <c r="R4" s="82"/>
      <c r="S4" s="81"/>
      <c r="T4" s="82"/>
      <c r="U4" s="81"/>
      <c r="V4" s="82"/>
      <c r="W4" s="81"/>
      <c r="X4" s="82"/>
      <c r="Y4" s="81"/>
      <c r="Z4" s="82"/>
      <c r="AA4" s="81"/>
      <c r="AB4" s="82"/>
      <c r="AC4" s="82"/>
      <c r="AD4" s="83">
        <f t="shared" si="1"/>
        <v>0</v>
      </c>
      <c r="AE4" s="83"/>
      <c r="AF4" s="84">
        <f t="shared" si="2"/>
        <v>0</v>
      </c>
      <c r="AG4" s="77"/>
      <c r="AH4" s="78"/>
      <c r="AI4" s="78"/>
      <c r="AJ4" s="78"/>
    </row>
    <row r="5" ht="22.5" customHeight="1">
      <c r="A5" s="79" t="s">
        <v>19</v>
      </c>
      <c r="B5" s="85">
        <v>45661.0</v>
      </c>
      <c r="C5" s="82"/>
      <c r="D5" s="82"/>
      <c r="E5" s="81"/>
      <c r="F5" s="82"/>
      <c r="G5" s="81"/>
      <c r="H5" s="82"/>
      <c r="I5" s="81"/>
      <c r="J5" s="82"/>
      <c r="K5" s="82"/>
      <c r="L5" s="82"/>
      <c r="M5" s="81"/>
      <c r="N5" s="82"/>
      <c r="O5" s="81"/>
      <c r="P5" s="82"/>
      <c r="Q5" s="81"/>
      <c r="R5" s="82"/>
      <c r="S5" s="81"/>
      <c r="T5" s="82"/>
      <c r="U5" s="81"/>
      <c r="V5" s="82"/>
      <c r="W5" s="81"/>
      <c r="X5" s="82"/>
      <c r="Y5" s="81"/>
      <c r="Z5" s="82"/>
      <c r="AA5" s="81"/>
      <c r="AB5" s="82"/>
      <c r="AC5" s="81"/>
      <c r="AD5" s="83">
        <f t="shared" si="1"/>
        <v>0</v>
      </c>
      <c r="AE5" s="83"/>
      <c r="AF5" s="84">
        <f t="shared" si="2"/>
        <v>0</v>
      </c>
      <c r="AG5" s="77"/>
      <c r="AH5" s="78"/>
      <c r="AI5" s="78"/>
      <c r="AJ5" s="78"/>
    </row>
    <row r="6" ht="22.5" customHeight="1">
      <c r="A6" s="79" t="s">
        <v>20</v>
      </c>
      <c r="B6" s="85">
        <v>45662.0</v>
      </c>
      <c r="C6" s="82"/>
      <c r="D6" s="82"/>
      <c r="E6" s="82"/>
      <c r="F6" s="82"/>
      <c r="G6" s="81"/>
      <c r="H6" s="82"/>
      <c r="I6" s="81"/>
      <c r="J6" s="82"/>
      <c r="K6" s="81"/>
      <c r="L6" s="82"/>
      <c r="M6" s="81"/>
      <c r="N6" s="82"/>
      <c r="O6" s="81"/>
      <c r="P6" s="82"/>
      <c r="Q6" s="81"/>
      <c r="R6" s="82"/>
      <c r="S6" s="81"/>
      <c r="T6" s="82"/>
      <c r="U6" s="81"/>
      <c r="V6" s="82"/>
      <c r="W6" s="81"/>
      <c r="X6" s="82"/>
      <c r="Y6" s="81"/>
      <c r="Z6" s="82"/>
      <c r="AA6" s="81"/>
      <c r="AB6" s="82"/>
      <c r="AC6" s="81"/>
      <c r="AD6" s="83">
        <f t="shared" si="1"/>
        <v>0</v>
      </c>
      <c r="AE6" s="83"/>
      <c r="AF6" s="84">
        <f t="shared" si="2"/>
        <v>0</v>
      </c>
      <c r="AG6" s="77"/>
      <c r="AH6" s="78"/>
      <c r="AI6" s="78"/>
      <c r="AJ6" s="78"/>
    </row>
    <row r="7" ht="22.5" customHeight="1">
      <c r="A7" s="79" t="s">
        <v>23</v>
      </c>
      <c r="B7" s="85">
        <v>45663.0</v>
      </c>
      <c r="C7" s="81"/>
      <c r="D7" s="82"/>
      <c r="E7" s="81"/>
      <c r="F7" s="82"/>
      <c r="G7" s="81"/>
      <c r="H7" s="82"/>
      <c r="I7" s="81"/>
      <c r="J7" s="82"/>
      <c r="K7" s="82"/>
      <c r="L7" s="82"/>
      <c r="M7" s="81"/>
      <c r="N7" s="82"/>
      <c r="O7" s="81"/>
      <c r="P7" s="82"/>
      <c r="Q7" s="81"/>
      <c r="R7" s="82"/>
      <c r="S7" s="81"/>
      <c r="T7" s="82"/>
      <c r="U7" s="82"/>
      <c r="V7" s="82"/>
      <c r="W7" s="82"/>
      <c r="X7" s="82"/>
      <c r="Y7" s="81"/>
      <c r="Z7" s="82"/>
      <c r="AA7" s="81"/>
      <c r="AB7" s="82"/>
      <c r="AC7" s="81"/>
      <c r="AD7" s="83">
        <f t="shared" si="1"/>
        <v>0</v>
      </c>
      <c r="AE7" s="83"/>
      <c r="AF7" s="84">
        <f t="shared" si="2"/>
        <v>0</v>
      </c>
      <c r="AG7" s="77"/>
      <c r="AH7" s="78"/>
      <c r="AI7" s="78"/>
      <c r="AJ7" s="78"/>
    </row>
    <row r="8" ht="22.5" customHeight="1">
      <c r="A8" s="79" t="s">
        <v>24</v>
      </c>
      <c r="B8" s="85">
        <v>45664.0</v>
      </c>
      <c r="C8" s="81"/>
      <c r="D8" s="82"/>
      <c r="E8" s="81"/>
      <c r="F8" s="82"/>
      <c r="G8" s="81"/>
      <c r="H8" s="82"/>
      <c r="I8" s="81"/>
      <c r="J8" s="82"/>
      <c r="K8" s="82"/>
      <c r="L8" s="82"/>
      <c r="M8" s="82"/>
      <c r="N8" s="82"/>
      <c r="O8" s="82"/>
      <c r="P8" s="82"/>
      <c r="Q8" s="81"/>
      <c r="R8" s="82"/>
      <c r="S8" s="81"/>
      <c r="T8" s="82"/>
      <c r="U8" s="81"/>
      <c r="V8" s="82"/>
      <c r="W8" s="81"/>
      <c r="X8" s="82"/>
      <c r="Y8" s="81"/>
      <c r="Z8" s="82"/>
      <c r="AA8" s="81"/>
      <c r="AB8" s="82"/>
      <c r="AC8" s="81"/>
      <c r="AD8" s="83">
        <f t="shared" si="1"/>
        <v>0</v>
      </c>
      <c r="AE8" s="83"/>
      <c r="AF8" s="84">
        <f t="shared" si="2"/>
        <v>0</v>
      </c>
      <c r="AG8" s="77"/>
      <c r="AH8" s="78"/>
      <c r="AI8" s="78"/>
      <c r="AJ8" s="78"/>
    </row>
    <row r="9" ht="22.5" customHeight="1">
      <c r="A9" s="79" t="s">
        <v>12</v>
      </c>
      <c r="B9" s="85">
        <v>45665.0</v>
      </c>
      <c r="C9" s="81"/>
      <c r="D9" s="82"/>
      <c r="E9" s="81"/>
      <c r="F9" s="82"/>
      <c r="G9" s="82"/>
      <c r="H9" s="82"/>
      <c r="I9" s="82"/>
      <c r="J9" s="82"/>
      <c r="K9" s="82"/>
      <c r="L9" s="82"/>
      <c r="M9" s="81"/>
      <c r="N9" s="82"/>
      <c r="O9" s="82"/>
      <c r="P9" s="82"/>
      <c r="Q9" s="81"/>
      <c r="R9" s="82"/>
      <c r="S9" s="81"/>
      <c r="T9" s="82"/>
      <c r="U9" s="81"/>
      <c r="V9" s="82"/>
      <c r="W9" s="81"/>
      <c r="X9" s="82"/>
      <c r="Y9" s="82"/>
      <c r="Z9" s="82"/>
      <c r="AA9" s="82"/>
      <c r="AB9" s="82"/>
      <c r="AC9" s="81"/>
      <c r="AD9" s="83">
        <f t="shared" si="1"/>
        <v>0</v>
      </c>
      <c r="AE9" s="83"/>
      <c r="AF9" s="84">
        <f t="shared" si="2"/>
        <v>0</v>
      </c>
      <c r="AG9" s="77"/>
      <c r="AH9" s="78"/>
      <c r="AI9" s="78"/>
      <c r="AJ9" s="78"/>
    </row>
    <row r="10" ht="22.5" customHeight="1">
      <c r="A10" s="79" t="s">
        <v>13</v>
      </c>
      <c r="B10" s="85">
        <v>45666.0</v>
      </c>
      <c r="C10" s="82"/>
      <c r="D10" s="82"/>
      <c r="E10" s="81"/>
      <c r="F10" s="82"/>
      <c r="G10" s="81"/>
      <c r="H10" s="82"/>
      <c r="I10" s="81"/>
      <c r="J10" s="82"/>
      <c r="K10" s="82"/>
      <c r="L10" s="82"/>
      <c r="M10" s="81"/>
      <c r="N10" s="82"/>
      <c r="O10" s="81"/>
      <c r="P10" s="82"/>
      <c r="Q10" s="81"/>
      <c r="R10" s="82"/>
      <c r="S10" s="81"/>
      <c r="T10" s="82"/>
      <c r="U10" s="81"/>
      <c r="V10" s="82"/>
      <c r="W10" s="82"/>
      <c r="X10" s="82"/>
      <c r="Y10" s="81"/>
      <c r="Z10" s="82"/>
      <c r="AA10" s="82"/>
      <c r="AB10" s="82"/>
      <c r="AC10" s="81"/>
      <c r="AD10" s="83">
        <f t="shared" si="1"/>
        <v>0</v>
      </c>
      <c r="AE10" s="83"/>
      <c r="AF10" s="84">
        <f t="shared" si="2"/>
        <v>0</v>
      </c>
      <c r="AG10" s="77"/>
      <c r="AH10" s="78"/>
      <c r="AI10" s="78"/>
      <c r="AJ10" s="78"/>
    </row>
    <row r="11" ht="22.5" customHeight="1">
      <c r="A11" s="79" t="s">
        <v>18</v>
      </c>
      <c r="B11" s="85">
        <v>45667.0</v>
      </c>
      <c r="C11" s="81"/>
      <c r="D11" s="82"/>
      <c r="E11" s="81"/>
      <c r="F11" s="82"/>
      <c r="G11" s="81"/>
      <c r="H11" s="82"/>
      <c r="I11" s="81"/>
      <c r="J11" s="82"/>
      <c r="K11" s="82"/>
      <c r="L11" s="82"/>
      <c r="M11" s="81"/>
      <c r="N11" s="82"/>
      <c r="O11" s="81"/>
      <c r="P11" s="82"/>
      <c r="Q11" s="81"/>
      <c r="R11" s="82"/>
      <c r="S11" s="82"/>
      <c r="T11" s="82"/>
      <c r="U11" s="81"/>
      <c r="V11" s="82"/>
      <c r="W11" s="81"/>
      <c r="X11" s="82"/>
      <c r="Y11" s="81"/>
      <c r="Z11" s="82"/>
      <c r="AA11" s="81"/>
      <c r="AB11" s="82"/>
      <c r="AC11" s="81"/>
      <c r="AD11" s="83">
        <f t="shared" si="1"/>
        <v>0</v>
      </c>
      <c r="AE11" s="83"/>
      <c r="AF11" s="84">
        <f t="shared" si="2"/>
        <v>0</v>
      </c>
      <c r="AG11" s="77"/>
      <c r="AH11" s="78"/>
      <c r="AI11" s="78"/>
      <c r="AJ11" s="78"/>
    </row>
    <row r="12" ht="22.5" customHeight="1">
      <c r="A12" s="79" t="s">
        <v>19</v>
      </c>
      <c r="B12" s="85">
        <v>45668.0</v>
      </c>
      <c r="C12" s="81"/>
      <c r="D12" s="82"/>
      <c r="E12" s="81"/>
      <c r="F12" s="82"/>
      <c r="G12" s="81"/>
      <c r="H12" s="82"/>
      <c r="I12" s="81"/>
      <c r="J12" s="82"/>
      <c r="K12" s="82"/>
      <c r="L12" s="82"/>
      <c r="M12" s="81"/>
      <c r="N12" s="82"/>
      <c r="O12" s="81"/>
      <c r="P12" s="82"/>
      <c r="Q12" s="81"/>
      <c r="R12" s="82"/>
      <c r="S12" s="81"/>
      <c r="T12" s="82"/>
      <c r="U12" s="81"/>
      <c r="V12" s="82"/>
      <c r="W12" s="81"/>
      <c r="X12" s="82"/>
      <c r="Y12" s="81"/>
      <c r="Z12" s="82"/>
      <c r="AA12" s="81"/>
      <c r="AB12" s="82"/>
      <c r="AC12" s="81"/>
      <c r="AD12" s="83">
        <f t="shared" si="1"/>
        <v>0</v>
      </c>
      <c r="AE12" s="83"/>
      <c r="AF12" s="84">
        <f t="shared" si="2"/>
        <v>0</v>
      </c>
      <c r="AG12" s="77"/>
      <c r="AH12" s="78"/>
      <c r="AI12" s="78"/>
      <c r="AJ12" s="78"/>
    </row>
    <row r="13" ht="22.5" customHeight="1">
      <c r="A13" s="79" t="s">
        <v>20</v>
      </c>
      <c r="B13" s="85">
        <v>45669.0</v>
      </c>
      <c r="C13" s="82"/>
      <c r="D13" s="82"/>
      <c r="E13" s="82"/>
      <c r="F13" s="82"/>
      <c r="G13" s="81"/>
      <c r="H13" s="82"/>
      <c r="I13" s="81"/>
      <c r="J13" s="82"/>
      <c r="K13" s="81"/>
      <c r="L13" s="82"/>
      <c r="M13" s="81"/>
      <c r="N13" s="82"/>
      <c r="O13" s="81"/>
      <c r="P13" s="82"/>
      <c r="Q13" s="81"/>
      <c r="R13" s="82"/>
      <c r="S13" s="81"/>
      <c r="T13" s="82"/>
      <c r="U13" s="81"/>
      <c r="V13" s="82"/>
      <c r="W13" s="81"/>
      <c r="X13" s="82"/>
      <c r="Y13" s="81"/>
      <c r="Z13" s="82"/>
      <c r="AA13" s="81"/>
      <c r="AB13" s="82"/>
      <c r="AC13" s="81"/>
      <c r="AD13" s="83">
        <f t="shared" si="1"/>
        <v>0</v>
      </c>
      <c r="AE13" s="83"/>
      <c r="AF13" s="84">
        <f t="shared" si="2"/>
        <v>0</v>
      </c>
      <c r="AG13" s="77"/>
      <c r="AH13" s="78"/>
      <c r="AI13" s="78"/>
      <c r="AJ13" s="78"/>
    </row>
    <row r="14" ht="22.5" customHeight="1">
      <c r="A14" s="79" t="s">
        <v>23</v>
      </c>
      <c r="B14" s="85">
        <v>45670.0</v>
      </c>
      <c r="C14" s="81">
        <v>1.0</v>
      </c>
      <c r="D14" s="82"/>
      <c r="E14" s="81">
        <v>1.0</v>
      </c>
      <c r="F14" s="82"/>
      <c r="G14" s="81">
        <v>1.0</v>
      </c>
      <c r="H14" s="82"/>
      <c r="I14" s="81">
        <v>0.0</v>
      </c>
      <c r="J14" s="82"/>
      <c r="K14" s="81">
        <v>0.0</v>
      </c>
      <c r="L14" s="82"/>
      <c r="M14" s="81">
        <v>1.0</v>
      </c>
      <c r="N14" s="82"/>
      <c r="O14" s="81">
        <v>0.0</v>
      </c>
      <c r="P14" s="82"/>
      <c r="Q14" s="81">
        <v>0.0</v>
      </c>
      <c r="R14" s="82"/>
      <c r="S14" s="81">
        <v>0.0</v>
      </c>
      <c r="T14" s="82"/>
      <c r="U14" s="81">
        <v>0.0</v>
      </c>
      <c r="V14" s="82"/>
      <c r="W14" s="81">
        <v>0.0</v>
      </c>
      <c r="X14" s="82"/>
      <c r="Y14" s="81">
        <v>1.0</v>
      </c>
      <c r="Z14" s="82"/>
      <c r="AA14" s="81">
        <v>1.0</v>
      </c>
      <c r="AB14" s="82"/>
      <c r="AC14" s="81">
        <v>1.0</v>
      </c>
      <c r="AD14" s="83">
        <f t="shared" si="1"/>
        <v>1100</v>
      </c>
      <c r="AE14" s="83"/>
      <c r="AF14" s="84">
        <f t="shared" si="2"/>
        <v>1100</v>
      </c>
      <c r="AG14" s="77"/>
      <c r="AH14" s="78"/>
      <c r="AI14" s="78"/>
      <c r="AJ14" s="78"/>
    </row>
    <row r="15" ht="22.5" customHeight="1">
      <c r="A15" s="79" t="s">
        <v>24</v>
      </c>
      <c r="B15" s="85">
        <v>45671.0</v>
      </c>
      <c r="C15" s="81"/>
      <c r="D15" s="82"/>
      <c r="E15" s="81"/>
      <c r="F15" s="82"/>
      <c r="G15" s="81"/>
      <c r="H15" s="82"/>
      <c r="I15" s="81"/>
      <c r="J15" s="82"/>
      <c r="K15" s="82"/>
      <c r="L15" s="82"/>
      <c r="M15" s="82"/>
      <c r="N15" s="82"/>
      <c r="O15" s="81"/>
      <c r="P15" s="82"/>
      <c r="Q15" s="82"/>
      <c r="R15" s="82"/>
      <c r="S15" s="81"/>
      <c r="T15" s="82"/>
      <c r="U15" s="81"/>
      <c r="V15" s="82"/>
      <c r="W15" s="81"/>
      <c r="X15" s="82"/>
      <c r="Y15" s="81"/>
      <c r="Z15" s="82"/>
      <c r="AA15" s="82"/>
      <c r="AB15" s="82"/>
      <c r="AC15" s="82"/>
      <c r="AD15" s="83">
        <f t="shared" si="1"/>
        <v>0</v>
      </c>
      <c r="AE15" s="83"/>
      <c r="AF15" s="84">
        <f t="shared" si="2"/>
        <v>0</v>
      </c>
      <c r="AG15" s="77"/>
      <c r="AH15" s="78"/>
      <c r="AI15" s="78"/>
      <c r="AJ15" s="78"/>
    </row>
    <row r="16" ht="22.5" customHeight="1">
      <c r="A16" s="79" t="s">
        <v>12</v>
      </c>
      <c r="B16" s="85">
        <v>45672.0</v>
      </c>
      <c r="C16" s="82"/>
      <c r="D16" s="82"/>
      <c r="E16" s="81"/>
      <c r="F16" s="82"/>
      <c r="G16" s="82"/>
      <c r="H16" s="82"/>
      <c r="I16" s="82"/>
      <c r="J16" s="82"/>
      <c r="K16" s="82"/>
      <c r="L16" s="82"/>
      <c r="M16" s="81"/>
      <c r="N16" s="82"/>
      <c r="O16" s="82"/>
      <c r="P16" s="82"/>
      <c r="Q16" s="81"/>
      <c r="R16" s="82"/>
      <c r="S16" s="81"/>
      <c r="T16" s="82"/>
      <c r="U16" s="81"/>
      <c r="V16" s="82"/>
      <c r="W16" s="82"/>
      <c r="X16" s="82"/>
      <c r="Y16" s="81"/>
      <c r="Z16" s="82"/>
      <c r="AA16" s="82"/>
      <c r="AB16" s="82"/>
      <c r="AC16" s="81"/>
      <c r="AD16" s="83">
        <f t="shared" si="1"/>
        <v>0</v>
      </c>
      <c r="AE16" s="83"/>
      <c r="AF16" s="84">
        <f t="shared" si="2"/>
        <v>0</v>
      </c>
      <c r="AG16" s="77"/>
      <c r="AH16" s="78"/>
      <c r="AI16" s="78"/>
      <c r="AJ16" s="78"/>
    </row>
    <row r="17" ht="22.5" customHeight="1">
      <c r="A17" s="79" t="s">
        <v>13</v>
      </c>
      <c r="B17" s="85">
        <v>45673.0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3">
        <f t="shared" si="1"/>
        <v>0</v>
      </c>
      <c r="AE17" s="83"/>
      <c r="AF17" s="84">
        <f t="shared" si="2"/>
        <v>0</v>
      </c>
      <c r="AG17" s="77"/>
      <c r="AH17" s="78"/>
      <c r="AI17" s="78"/>
      <c r="AJ17" s="78"/>
    </row>
    <row r="18" ht="22.5" customHeight="1">
      <c r="A18" s="79" t="s">
        <v>18</v>
      </c>
      <c r="B18" s="85">
        <v>45674.0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3">
        <f t="shared" si="1"/>
        <v>0</v>
      </c>
      <c r="AE18" s="83"/>
      <c r="AF18" s="84">
        <f t="shared" si="2"/>
        <v>0</v>
      </c>
      <c r="AG18" s="77"/>
      <c r="AH18" s="78"/>
      <c r="AI18" s="78"/>
      <c r="AJ18" s="78"/>
    </row>
    <row r="19" ht="22.5" customHeight="1">
      <c r="A19" s="79" t="s">
        <v>19</v>
      </c>
      <c r="B19" s="85">
        <v>45675.0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3">
        <f t="shared" si="1"/>
        <v>0</v>
      </c>
      <c r="AE19" s="83"/>
      <c r="AF19" s="84">
        <f t="shared" si="2"/>
        <v>0</v>
      </c>
      <c r="AG19" s="77"/>
      <c r="AH19" s="78"/>
      <c r="AI19" s="78"/>
      <c r="AJ19" s="78"/>
    </row>
    <row r="20" ht="22.5" customHeight="1">
      <c r="A20" s="79" t="s">
        <v>20</v>
      </c>
      <c r="B20" s="85">
        <v>45676.0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3">
        <f t="shared" si="1"/>
        <v>0</v>
      </c>
      <c r="AE20" s="83"/>
      <c r="AF20" s="84">
        <f t="shared" si="2"/>
        <v>0</v>
      </c>
      <c r="AG20" s="77"/>
      <c r="AH20" s="78"/>
      <c r="AI20" s="78"/>
      <c r="AJ20" s="78"/>
    </row>
    <row r="21" ht="22.5" customHeight="1">
      <c r="A21" s="79" t="s">
        <v>23</v>
      </c>
      <c r="B21" s="85">
        <v>45677.0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1"/>
      <c r="N21" s="82"/>
      <c r="O21" s="81"/>
      <c r="P21" s="82"/>
      <c r="Q21" s="82"/>
      <c r="R21" s="82"/>
      <c r="S21" s="82"/>
      <c r="T21" s="82"/>
      <c r="U21" s="82"/>
      <c r="V21" s="82"/>
      <c r="W21" s="81"/>
      <c r="X21" s="82"/>
      <c r="Y21" s="81"/>
      <c r="Z21" s="82"/>
      <c r="AA21" s="82"/>
      <c r="AB21" s="82"/>
      <c r="AC21" s="82"/>
      <c r="AD21" s="83">
        <f t="shared" si="1"/>
        <v>0</v>
      </c>
      <c r="AE21" s="83"/>
      <c r="AF21" s="84">
        <f t="shared" si="2"/>
        <v>0</v>
      </c>
      <c r="AG21" s="77"/>
      <c r="AH21" s="78"/>
      <c r="AI21" s="78"/>
      <c r="AJ21" s="78"/>
    </row>
    <row r="22" ht="22.5" customHeight="1">
      <c r="A22" s="79" t="s">
        <v>24</v>
      </c>
      <c r="B22" s="85">
        <v>45678.0</v>
      </c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1"/>
      <c r="P22" s="82"/>
      <c r="Q22" s="82"/>
      <c r="R22" s="82"/>
      <c r="S22" s="82"/>
      <c r="T22" s="82"/>
      <c r="U22" s="82"/>
      <c r="V22" s="82"/>
      <c r="W22" s="81"/>
      <c r="X22" s="82"/>
      <c r="Y22" s="81"/>
      <c r="Z22" s="82"/>
      <c r="AA22" s="82"/>
      <c r="AB22" s="82"/>
      <c r="AC22" s="82"/>
      <c r="AD22" s="83">
        <f t="shared" si="1"/>
        <v>0</v>
      </c>
      <c r="AE22" s="83"/>
      <c r="AF22" s="84">
        <f t="shared" si="2"/>
        <v>0</v>
      </c>
      <c r="AG22" s="77"/>
      <c r="AH22" s="78"/>
      <c r="AI22" s="78"/>
      <c r="AJ22" s="78"/>
    </row>
    <row r="23" ht="22.5" customHeight="1">
      <c r="A23" s="79" t="s">
        <v>12</v>
      </c>
      <c r="B23" s="85">
        <v>45679.0</v>
      </c>
      <c r="C23" s="82"/>
      <c r="D23" s="82"/>
      <c r="E23" s="81"/>
      <c r="F23" s="82"/>
      <c r="G23" s="82"/>
      <c r="H23" s="82"/>
      <c r="I23" s="82"/>
      <c r="J23" s="82"/>
      <c r="K23" s="82"/>
      <c r="L23" s="82"/>
      <c r="M23" s="82"/>
      <c r="N23" s="82"/>
      <c r="O23" s="81"/>
      <c r="P23" s="82"/>
      <c r="Q23" s="82"/>
      <c r="R23" s="82"/>
      <c r="S23" s="81"/>
      <c r="T23" s="82"/>
      <c r="U23" s="81"/>
      <c r="V23" s="82"/>
      <c r="W23" s="82"/>
      <c r="X23" s="82"/>
      <c r="Y23" s="82"/>
      <c r="Z23" s="82"/>
      <c r="AA23" s="82"/>
      <c r="AB23" s="82"/>
      <c r="AC23" s="81"/>
      <c r="AD23" s="83">
        <f t="shared" si="1"/>
        <v>0</v>
      </c>
      <c r="AE23" s="83"/>
      <c r="AF23" s="84">
        <f t="shared" si="2"/>
        <v>0</v>
      </c>
      <c r="AG23" s="77"/>
      <c r="AH23" s="78"/>
      <c r="AI23" s="78"/>
      <c r="AJ23" s="78"/>
    </row>
    <row r="24" ht="22.5" customHeight="1">
      <c r="A24" s="79" t="s">
        <v>13</v>
      </c>
      <c r="B24" s="85">
        <v>45680.0</v>
      </c>
      <c r="C24" s="81"/>
      <c r="D24" s="82"/>
      <c r="E24" s="81"/>
      <c r="F24" s="82"/>
      <c r="G24" s="81"/>
      <c r="H24" s="82"/>
      <c r="I24" s="81"/>
      <c r="J24" s="82"/>
      <c r="K24" s="82"/>
      <c r="L24" s="82"/>
      <c r="M24" s="81"/>
      <c r="N24" s="82"/>
      <c r="O24" s="81"/>
      <c r="P24" s="82"/>
      <c r="Q24" s="81"/>
      <c r="R24" s="83"/>
      <c r="S24" s="81"/>
      <c r="T24" s="82"/>
      <c r="U24" s="81"/>
      <c r="V24" s="82"/>
      <c r="W24" s="81"/>
      <c r="X24" s="82"/>
      <c r="Y24" s="81"/>
      <c r="Z24" s="82"/>
      <c r="AA24" s="82"/>
      <c r="AB24" s="82"/>
      <c r="AC24" s="81"/>
      <c r="AD24" s="83">
        <f t="shared" si="1"/>
        <v>0</v>
      </c>
      <c r="AE24" s="83"/>
      <c r="AF24" s="84">
        <f t="shared" si="2"/>
        <v>0</v>
      </c>
      <c r="AG24" s="77"/>
      <c r="AH24" s="78"/>
      <c r="AI24" s="78"/>
      <c r="AJ24" s="78"/>
    </row>
    <row r="25" ht="22.5" customHeight="1">
      <c r="A25" s="79" t="s">
        <v>18</v>
      </c>
      <c r="B25" s="85">
        <v>45681.0</v>
      </c>
      <c r="C25" s="82"/>
      <c r="D25" s="82"/>
      <c r="E25" s="81"/>
      <c r="F25" s="82"/>
      <c r="G25" s="81"/>
      <c r="H25" s="82"/>
      <c r="I25" s="81"/>
      <c r="J25" s="82"/>
      <c r="K25" s="82"/>
      <c r="L25" s="82"/>
      <c r="M25" s="81"/>
      <c r="N25" s="82"/>
      <c r="O25" s="81"/>
      <c r="P25" s="82"/>
      <c r="Q25" s="82"/>
      <c r="R25" s="83"/>
      <c r="S25" s="81"/>
      <c r="T25" s="82"/>
      <c r="U25" s="81"/>
      <c r="V25" s="82"/>
      <c r="W25" s="81"/>
      <c r="X25" s="82"/>
      <c r="Y25" s="81"/>
      <c r="Z25" s="82"/>
      <c r="AA25" s="81"/>
      <c r="AB25" s="82"/>
      <c r="AC25" s="81"/>
      <c r="AD25" s="83">
        <f t="shared" si="1"/>
        <v>0</v>
      </c>
      <c r="AE25" s="83"/>
      <c r="AF25" s="84">
        <f t="shared" si="2"/>
        <v>0</v>
      </c>
      <c r="AG25" s="77"/>
      <c r="AH25" s="78"/>
      <c r="AI25" s="78"/>
      <c r="AJ25" s="78"/>
    </row>
    <row r="26" ht="22.5" customHeight="1">
      <c r="A26" s="79" t="s">
        <v>19</v>
      </c>
      <c r="B26" s="85">
        <v>45682.0</v>
      </c>
      <c r="C26" s="81"/>
      <c r="D26" s="82"/>
      <c r="E26" s="81"/>
      <c r="F26" s="82"/>
      <c r="G26" s="81"/>
      <c r="H26" s="82"/>
      <c r="I26" s="81"/>
      <c r="J26" s="82"/>
      <c r="K26" s="82"/>
      <c r="L26" s="82"/>
      <c r="M26" s="81"/>
      <c r="N26" s="82"/>
      <c r="O26" s="81"/>
      <c r="P26" s="82"/>
      <c r="Q26" s="81"/>
      <c r="R26" s="83"/>
      <c r="S26" s="81"/>
      <c r="T26" s="82"/>
      <c r="U26" s="82"/>
      <c r="V26" s="82"/>
      <c r="W26" s="81"/>
      <c r="X26" s="82"/>
      <c r="Y26" s="81"/>
      <c r="Z26" s="82"/>
      <c r="AA26" s="81"/>
      <c r="AB26" s="82"/>
      <c r="AC26" s="81"/>
      <c r="AD26" s="83">
        <f t="shared" si="1"/>
        <v>0</v>
      </c>
      <c r="AE26" s="83"/>
      <c r="AF26" s="84">
        <f t="shared" si="2"/>
        <v>0</v>
      </c>
      <c r="AG26" s="77"/>
      <c r="AH26" s="78"/>
      <c r="AI26" s="78"/>
      <c r="AJ26" s="78"/>
    </row>
    <row r="27" ht="22.5" customHeight="1">
      <c r="A27" s="79" t="s">
        <v>20</v>
      </c>
      <c r="B27" s="85">
        <v>45683.0</v>
      </c>
      <c r="C27" s="82"/>
      <c r="D27" s="82"/>
      <c r="E27" s="81"/>
      <c r="F27" s="82"/>
      <c r="G27" s="81"/>
      <c r="H27" s="82"/>
      <c r="I27" s="81"/>
      <c r="J27" s="82"/>
      <c r="K27" s="81"/>
      <c r="L27" s="82"/>
      <c r="M27" s="81"/>
      <c r="N27" s="82"/>
      <c r="O27" s="81"/>
      <c r="P27" s="82"/>
      <c r="Q27" s="82"/>
      <c r="R27" s="83"/>
      <c r="S27" s="81"/>
      <c r="T27" s="82"/>
      <c r="U27" s="81"/>
      <c r="V27" s="82"/>
      <c r="W27" s="81"/>
      <c r="X27" s="82"/>
      <c r="Y27" s="81"/>
      <c r="Z27" s="82"/>
      <c r="AA27" s="81"/>
      <c r="AB27" s="82"/>
      <c r="AC27" s="81"/>
      <c r="AD27" s="83">
        <f t="shared" si="1"/>
        <v>0</v>
      </c>
      <c r="AE27" s="83"/>
      <c r="AF27" s="84">
        <f t="shared" si="2"/>
        <v>0</v>
      </c>
      <c r="AG27" s="77"/>
      <c r="AH27" s="78"/>
      <c r="AI27" s="78"/>
      <c r="AJ27" s="78"/>
    </row>
    <row r="28" ht="22.5" customHeight="1">
      <c r="A28" s="79" t="s">
        <v>23</v>
      </c>
      <c r="B28" s="85">
        <v>45684.0</v>
      </c>
      <c r="C28" s="81"/>
      <c r="D28" s="82"/>
      <c r="E28" s="81"/>
      <c r="F28" s="82"/>
      <c r="G28" s="81"/>
      <c r="H28" s="82"/>
      <c r="I28" s="81"/>
      <c r="J28" s="82"/>
      <c r="K28" s="82"/>
      <c r="L28" s="82"/>
      <c r="M28" s="81"/>
      <c r="N28" s="82"/>
      <c r="O28" s="81"/>
      <c r="P28" s="82"/>
      <c r="Q28" s="81"/>
      <c r="R28" s="82"/>
      <c r="S28" s="81"/>
      <c r="T28" s="82"/>
      <c r="U28" s="81"/>
      <c r="V28" s="82"/>
      <c r="W28" s="81"/>
      <c r="X28" s="82"/>
      <c r="Y28" s="81"/>
      <c r="Z28" s="82"/>
      <c r="AA28" s="81"/>
      <c r="AB28" s="82"/>
      <c r="AC28" s="81"/>
      <c r="AD28" s="83">
        <f t="shared" si="1"/>
        <v>0</v>
      </c>
      <c r="AE28" s="83"/>
      <c r="AF28" s="84">
        <f t="shared" si="2"/>
        <v>0</v>
      </c>
      <c r="AG28" s="77"/>
      <c r="AH28" s="78"/>
      <c r="AI28" s="78"/>
      <c r="AJ28" s="78"/>
    </row>
    <row r="29" ht="22.5" customHeight="1">
      <c r="A29" s="79" t="s">
        <v>24</v>
      </c>
      <c r="B29" s="85">
        <v>45685.0</v>
      </c>
      <c r="C29" s="81"/>
      <c r="D29" s="82"/>
      <c r="E29" s="81"/>
      <c r="F29" s="82"/>
      <c r="G29" s="81"/>
      <c r="H29" s="82"/>
      <c r="I29" s="81"/>
      <c r="J29" s="82"/>
      <c r="K29" s="82"/>
      <c r="L29" s="82"/>
      <c r="M29" s="82"/>
      <c r="N29" s="82"/>
      <c r="O29" s="81"/>
      <c r="P29" s="82"/>
      <c r="Q29" s="82"/>
      <c r="R29" s="82"/>
      <c r="S29" s="81"/>
      <c r="T29" s="82"/>
      <c r="U29" s="81"/>
      <c r="V29" s="82"/>
      <c r="W29" s="81"/>
      <c r="X29" s="82"/>
      <c r="Y29" s="81"/>
      <c r="Z29" s="82"/>
      <c r="AA29" s="81"/>
      <c r="AB29" s="82"/>
      <c r="AC29" s="81"/>
      <c r="AD29" s="83">
        <f t="shared" si="1"/>
        <v>0</v>
      </c>
      <c r="AE29" s="83"/>
      <c r="AF29" s="84">
        <f t="shared" si="2"/>
        <v>0</v>
      </c>
      <c r="AG29" s="77"/>
      <c r="AH29" s="78"/>
      <c r="AI29" s="78"/>
      <c r="AJ29" s="78"/>
    </row>
    <row r="30" ht="22.5" customHeight="1">
      <c r="A30" s="79" t="s">
        <v>12</v>
      </c>
      <c r="B30" s="85">
        <v>45686.0</v>
      </c>
      <c r="C30" s="82"/>
      <c r="D30" s="83"/>
      <c r="E30" s="81"/>
      <c r="F30" s="82"/>
      <c r="G30" s="82"/>
      <c r="H30" s="82"/>
      <c r="I30" s="82"/>
      <c r="J30" s="82"/>
      <c r="K30" s="82"/>
      <c r="L30" s="82"/>
      <c r="M30" s="81"/>
      <c r="N30" s="82"/>
      <c r="O30" s="82"/>
      <c r="P30" s="82"/>
      <c r="Q30" s="82"/>
      <c r="R30" s="82"/>
      <c r="S30" s="81"/>
      <c r="T30" s="82"/>
      <c r="U30" s="81"/>
      <c r="V30" s="82"/>
      <c r="W30" s="81"/>
      <c r="X30" s="82"/>
      <c r="Y30" s="82"/>
      <c r="Z30" s="82"/>
      <c r="AA30" s="82"/>
      <c r="AB30" s="82"/>
      <c r="AC30" s="81"/>
      <c r="AD30" s="83">
        <f t="shared" si="1"/>
        <v>0</v>
      </c>
      <c r="AE30" s="83"/>
      <c r="AF30" s="84">
        <f t="shared" si="2"/>
        <v>0</v>
      </c>
      <c r="AG30" s="77"/>
      <c r="AH30" s="78"/>
      <c r="AI30" s="78"/>
      <c r="AJ30" s="78"/>
    </row>
    <row r="31" ht="22.5" customHeight="1">
      <c r="A31" s="79" t="s">
        <v>13</v>
      </c>
      <c r="B31" s="85">
        <v>45687.0</v>
      </c>
      <c r="C31" s="82"/>
      <c r="D31" s="83"/>
      <c r="E31" s="81"/>
      <c r="F31" s="82"/>
      <c r="G31" s="81"/>
      <c r="H31" s="83"/>
      <c r="I31" s="81"/>
      <c r="J31" s="83"/>
      <c r="K31" s="82"/>
      <c r="L31" s="83"/>
      <c r="M31" s="81"/>
      <c r="N31" s="83"/>
      <c r="O31" s="81"/>
      <c r="P31" s="83"/>
      <c r="Q31" s="82"/>
      <c r="R31" s="83"/>
      <c r="S31" s="82"/>
      <c r="T31" s="83"/>
      <c r="U31" s="81"/>
      <c r="V31" s="83"/>
      <c r="W31" s="82"/>
      <c r="X31" s="83"/>
      <c r="Y31" s="81"/>
      <c r="Z31" s="83"/>
      <c r="AA31" s="82"/>
      <c r="AB31" s="83"/>
      <c r="AC31" s="81"/>
      <c r="AD31" s="83">
        <f t="shared" si="1"/>
        <v>0</v>
      </c>
      <c r="AE31" s="83"/>
      <c r="AF31" s="84">
        <f t="shared" si="2"/>
        <v>0</v>
      </c>
      <c r="AG31" s="77"/>
      <c r="AH31" s="78"/>
      <c r="AI31" s="78"/>
      <c r="AJ31" s="78"/>
    </row>
    <row r="32" ht="22.5" customHeight="1">
      <c r="A32" s="83" t="s">
        <v>80</v>
      </c>
      <c r="B32" s="86"/>
      <c r="C32" s="82"/>
      <c r="D32" s="83"/>
      <c r="E32" s="82"/>
      <c r="F32" s="82"/>
      <c r="G32" s="82"/>
      <c r="H32" s="83"/>
      <c r="I32" s="82"/>
      <c r="J32" s="83"/>
      <c r="K32" s="82"/>
      <c r="L32" s="83"/>
      <c r="M32" s="82"/>
      <c r="N32" s="83"/>
      <c r="O32" s="82"/>
      <c r="P32" s="83"/>
      <c r="Q32" s="82"/>
      <c r="R32" s="83"/>
      <c r="S32" s="82"/>
      <c r="T32" s="83"/>
      <c r="U32" s="82"/>
      <c r="V32" s="83"/>
      <c r="W32" s="82"/>
      <c r="X32" s="83"/>
      <c r="Y32" s="82"/>
      <c r="Z32" s="83"/>
      <c r="AA32" s="82"/>
      <c r="AB32" s="83"/>
      <c r="AC32" s="82"/>
      <c r="AD32" s="83">
        <f t="shared" si="1"/>
        <v>0</v>
      </c>
      <c r="AE32" s="83"/>
      <c r="AF32" s="84">
        <f t="shared" si="2"/>
        <v>0</v>
      </c>
      <c r="AG32" s="77"/>
      <c r="AH32" s="78"/>
      <c r="AI32" s="78"/>
      <c r="AJ32" s="78"/>
    </row>
    <row r="33" ht="22.5" customHeight="1">
      <c r="A33" s="83"/>
      <c r="B33" s="87"/>
      <c r="C33" s="82"/>
      <c r="D33" s="83"/>
      <c r="E33" s="82"/>
      <c r="F33" s="83"/>
      <c r="G33" s="82"/>
      <c r="H33" s="83"/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Y33" s="82"/>
      <c r="Z33" s="83"/>
      <c r="AA33" s="82"/>
      <c r="AB33" s="83"/>
      <c r="AC33" s="82"/>
      <c r="AD33" s="83"/>
      <c r="AE33" s="83"/>
      <c r="AF33" s="84">
        <f t="shared" si="2"/>
        <v>0</v>
      </c>
      <c r="AG33" s="77"/>
      <c r="AH33" s="78"/>
      <c r="AI33" s="78"/>
      <c r="AJ33" s="78"/>
    </row>
    <row r="34" ht="22.5" customHeight="1">
      <c r="A34" s="83"/>
      <c r="B34" s="87"/>
      <c r="C34" s="88">
        <v>1500.0</v>
      </c>
      <c r="D34" s="82"/>
      <c r="E34" s="88">
        <v>1112.0</v>
      </c>
      <c r="F34" s="82"/>
      <c r="G34" s="88">
        <v>1112.0</v>
      </c>
      <c r="H34" s="82"/>
      <c r="I34" s="88">
        <v>1112.0</v>
      </c>
      <c r="J34" s="82"/>
      <c r="K34" s="88">
        <v>1112.0</v>
      </c>
      <c r="L34" s="82"/>
      <c r="M34" s="88">
        <v>1112.0</v>
      </c>
      <c r="N34" s="82"/>
      <c r="O34" s="88">
        <v>1112.0</v>
      </c>
      <c r="P34" s="82"/>
      <c r="Q34" s="88">
        <v>1200.0</v>
      </c>
      <c r="R34" s="82"/>
      <c r="S34" s="88">
        <v>1112.0</v>
      </c>
      <c r="T34" s="82"/>
      <c r="U34" s="88">
        <v>1112.0</v>
      </c>
      <c r="V34" s="82"/>
      <c r="W34" s="88">
        <v>1200.0</v>
      </c>
      <c r="X34" s="82"/>
      <c r="Y34" s="88">
        <v>1112.0</v>
      </c>
      <c r="Z34" s="82"/>
      <c r="AA34" s="88">
        <v>1100.0</v>
      </c>
      <c r="AB34" s="82"/>
      <c r="AC34" s="82">
        <v>1112.0</v>
      </c>
      <c r="AD34" s="88"/>
      <c r="AE34" s="83"/>
      <c r="AF34" s="84">
        <f t="shared" si="2"/>
        <v>0</v>
      </c>
      <c r="AG34" s="77"/>
      <c r="AH34" s="78"/>
      <c r="AI34" s="78"/>
      <c r="AJ34" s="78"/>
    </row>
    <row r="35" ht="22.5" customHeight="1">
      <c r="A35" s="83"/>
      <c r="B35" s="87"/>
      <c r="C35" s="88">
        <f>C34*C33</f>
        <v>0</v>
      </c>
      <c r="D35" s="82"/>
      <c r="E35" s="88">
        <f>E34*E33</f>
        <v>0</v>
      </c>
      <c r="F35" s="82"/>
      <c r="G35" s="88">
        <f>G34*G33</f>
        <v>0</v>
      </c>
      <c r="H35" s="82"/>
      <c r="I35" s="88">
        <f>I34*I33</f>
        <v>0</v>
      </c>
      <c r="J35" s="82"/>
      <c r="K35" s="88">
        <f>K34*K33</f>
        <v>0</v>
      </c>
      <c r="L35" s="82"/>
      <c r="M35" s="88">
        <f>M34*M33</f>
        <v>0</v>
      </c>
      <c r="N35" s="82"/>
      <c r="O35" s="88">
        <f>O34*O33</f>
        <v>0</v>
      </c>
      <c r="P35" s="82"/>
      <c r="Q35" s="88">
        <f>Q34*Q33</f>
        <v>0</v>
      </c>
      <c r="R35" s="82"/>
      <c r="S35" s="88">
        <f>S34*S33</f>
        <v>0</v>
      </c>
      <c r="T35" s="82"/>
      <c r="U35" s="88">
        <f>U34*U33</f>
        <v>0</v>
      </c>
      <c r="V35" s="82"/>
      <c r="W35" s="88">
        <f>W34*W33</f>
        <v>0</v>
      </c>
      <c r="X35" s="82"/>
      <c r="Y35" s="88">
        <f>Y34*Y33</f>
        <v>0</v>
      </c>
      <c r="Z35" s="82"/>
      <c r="AA35" s="88">
        <f>AA33*AA34</f>
        <v>0</v>
      </c>
      <c r="AB35" s="82"/>
      <c r="AC35" s="88">
        <f>AC34*AC33</f>
        <v>0</v>
      </c>
      <c r="AD35" s="88"/>
      <c r="AE35" s="88"/>
      <c r="AF35" s="84">
        <f t="shared" si="2"/>
        <v>0</v>
      </c>
      <c r="AG35" s="77"/>
      <c r="AH35" s="78"/>
      <c r="AI35" s="78"/>
      <c r="AJ35" s="78"/>
    </row>
    <row r="36" ht="22.5" customHeight="1">
      <c r="A36" s="83"/>
      <c r="B36" s="87"/>
      <c r="C36" s="88"/>
      <c r="D36" s="82">
        <f>C36*1500</f>
        <v>0</v>
      </c>
      <c r="E36" s="88">
        <v>30000.0</v>
      </c>
      <c r="F36" s="82">
        <f>E36*E65</f>
        <v>0</v>
      </c>
      <c r="G36" s="88">
        <v>30000.0</v>
      </c>
      <c r="H36" s="82"/>
      <c r="I36" s="88">
        <v>30000.0</v>
      </c>
      <c r="J36" s="82"/>
      <c r="K36" s="88">
        <v>30000.0</v>
      </c>
      <c r="L36" s="82"/>
      <c r="M36" s="88">
        <v>30000.0</v>
      </c>
      <c r="N36" s="82"/>
      <c r="O36" s="88">
        <v>30000.0</v>
      </c>
      <c r="P36" s="82"/>
      <c r="Q36" s="88"/>
      <c r="R36" s="82"/>
      <c r="S36" s="88">
        <v>30000.0</v>
      </c>
      <c r="T36" s="82"/>
      <c r="U36" s="88">
        <v>30000.0</v>
      </c>
      <c r="V36" s="82"/>
      <c r="W36" s="88"/>
      <c r="X36" s="82">
        <f>W36*1200</f>
        <v>0</v>
      </c>
      <c r="Y36" s="88"/>
      <c r="Z36" s="82">
        <f>Y36*1112</f>
        <v>0</v>
      </c>
      <c r="AA36" s="88"/>
      <c r="AB36" s="82">
        <f>AA36*1100</f>
        <v>0</v>
      </c>
      <c r="AC36" s="88"/>
      <c r="AD36" s="88">
        <f>AC36*1100</f>
        <v>0</v>
      </c>
      <c r="AE36" s="83"/>
      <c r="AF36" s="84">
        <f t="shared" si="2"/>
        <v>0</v>
      </c>
      <c r="AG36" s="77"/>
      <c r="AH36" s="78"/>
      <c r="AI36" s="78"/>
      <c r="AJ36" s="78"/>
    </row>
    <row r="37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78"/>
      <c r="AG37" s="78"/>
      <c r="AH37" s="78"/>
      <c r="AI37" s="78"/>
      <c r="AJ37" s="78"/>
    </row>
    <row r="38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78"/>
      <c r="AG38" s="78"/>
      <c r="AH38" s="78"/>
      <c r="AI38" s="78"/>
      <c r="AJ38" s="78"/>
    </row>
    <row r="39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</row>
    <row r="40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</row>
    <row r="4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</row>
    <row r="42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</row>
    <row r="43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</row>
    <row r="44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</row>
    <row r="4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</row>
    <row r="46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</row>
    <row r="47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</row>
    <row r="48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</row>
    <row r="49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</row>
    <row r="50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</row>
    <row r="5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</row>
    <row r="52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</row>
    <row r="53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</row>
    <row r="54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</row>
    <row r="5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</row>
    <row r="56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</row>
    <row r="57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</row>
    <row r="58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</row>
    <row r="59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</row>
    <row r="60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</row>
    <row r="6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</row>
    <row r="6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</row>
    <row r="6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</row>
    <row r="64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</row>
    <row r="6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</row>
    <row r="66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</row>
    <row r="67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</row>
    <row r="68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</row>
    <row r="69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</row>
    <row r="70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</row>
    <row r="7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</row>
    <row r="7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</row>
    <row r="73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</row>
    <row r="74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</row>
    <row r="7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</row>
    <row r="76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</row>
    <row r="77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</row>
    <row r="78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</row>
    <row r="79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</row>
    <row r="80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</row>
    <row r="8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</row>
    <row r="8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</row>
    <row r="8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</row>
    <row r="84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</row>
    <row r="8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</row>
    <row r="86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</row>
    <row r="87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</row>
    <row r="88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</row>
    <row r="89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</row>
    <row r="90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</row>
    <row r="9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</row>
    <row r="9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</row>
    <row r="9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</row>
    <row r="94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</row>
    <row r="9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</row>
    <row r="96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</row>
    <row r="97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</row>
  </sheetData>
  <dataValidations>
    <dataValidation type="custom" allowBlank="1" showDropDown="1" sqref="B2:B36">
      <formula1>OR(NOT(ISERROR(DATEVALUE(B2))), AND(ISNUMBER(B2), LEFT(CELL("format", B2))="D"))</formula1>
    </dataValidation>
    <dataValidation type="custom" allowBlank="1" showDropDown="1" sqref="C2:C36 E2:E36 G2:G36 I2:I36 K2:K36 M2:M36 O2:O36 Q2:Q36 S2:S36 U2:U36 W2:W36 Y2:Y36 AA2:AA36 AC2:AC36 AF2:AF36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1.63"/>
    <col customWidth="1" min="6" max="6" width="25.38"/>
    <col customWidth="1" min="7" max="7" width="26.38"/>
    <col customWidth="1" min="8" max="8" width="32.38"/>
    <col customWidth="1" min="9" max="9" width="39.63"/>
  </cols>
  <sheetData>
    <row r="1">
      <c r="E1" s="90">
        <v>45.0</v>
      </c>
    </row>
    <row r="2">
      <c r="E2" s="91" t="s">
        <v>81</v>
      </c>
      <c r="F2" s="92" t="s">
        <v>82</v>
      </c>
      <c r="G2" s="92" t="s">
        <v>83</v>
      </c>
      <c r="H2" s="92" t="s">
        <v>84</v>
      </c>
      <c r="I2" s="92" t="s">
        <v>85</v>
      </c>
    </row>
    <row r="3">
      <c r="E3" s="93" t="s">
        <v>86</v>
      </c>
      <c r="F3" s="94">
        <v>31.0</v>
      </c>
      <c r="G3" s="95">
        <v>1000.0</v>
      </c>
      <c r="H3" s="96">
        <f t="shared" ref="H3:H355" si="1">F3*G3</f>
        <v>31000</v>
      </c>
      <c r="I3" s="97"/>
    </row>
    <row r="4">
      <c r="E4" s="93" t="s">
        <v>87</v>
      </c>
      <c r="F4" s="94">
        <v>11.0</v>
      </c>
      <c r="G4" s="95">
        <v>1000.0</v>
      </c>
      <c r="H4" s="96">
        <f t="shared" si="1"/>
        <v>11000</v>
      </c>
      <c r="I4" s="98"/>
    </row>
    <row r="5">
      <c r="E5" s="93" t="s">
        <v>88</v>
      </c>
      <c r="F5" s="94">
        <v>1.0</v>
      </c>
      <c r="G5" s="95">
        <v>2500.0</v>
      </c>
      <c r="H5" s="96">
        <f t="shared" si="1"/>
        <v>2500</v>
      </c>
      <c r="I5" s="97"/>
    </row>
    <row r="6">
      <c r="E6" s="93" t="s">
        <v>89</v>
      </c>
      <c r="F6" s="94">
        <v>8.0</v>
      </c>
      <c r="G6" s="95">
        <v>550.0</v>
      </c>
      <c r="H6" s="96">
        <f t="shared" si="1"/>
        <v>4400</v>
      </c>
      <c r="I6" s="97"/>
    </row>
    <row r="7">
      <c r="E7" s="93" t="s">
        <v>90</v>
      </c>
      <c r="F7" s="94">
        <v>2.0</v>
      </c>
      <c r="G7" s="95">
        <v>850.0</v>
      </c>
      <c r="H7" s="96">
        <f t="shared" si="1"/>
        <v>1700</v>
      </c>
      <c r="I7" s="97"/>
    </row>
    <row r="8">
      <c r="E8" s="93" t="s">
        <v>90</v>
      </c>
      <c r="F8" s="93">
        <v>2.0</v>
      </c>
      <c r="G8" s="95">
        <v>950.0</v>
      </c>
      <c r="H8" s="96">
        <f t="shared" si="1"/>
        <v>1900</v>
      </c>
      <c r="I8" s="97"/>
    </row>
    <row r="9">
      <c r="E9" s="99" t="s">
        <v>91</v>
      </c>
      <c r="F9" s="93">
        <v>2.0</v>
      </c>
      <c r="G9" s="95">
        <v>400.0</v>
      </c>
      <c r="H9" s="96">
        <f t="shared" si="1"/>
        <v>800</v>
      </c>
      <c r="I9" s="97"/>
    </row>
    <row r="10">
      <c r="E10" s="93" t="s">
        <v>92</v>
      </c>
      <c r="F10" s="94">
        <v>6.0</v>
      </c>
      <c r="G10" s="95">
        <v>250.0</v>
      </c>
      <c r="H10" s="96">
        <f t="shared" si="1"/>
        <v>1500</v>
      </c>
      <c r="I10" s="97"/>
    </row>
    <row r="11">
      <c r="E11" s="93" t="s">
        <v>93</v>
      </c>
      <c r="F11" s="94">
        <v>6.0</v>
      </c>
      <c r="G11" s="100">
        <v>270.0</v>
      </c>
      <c r="H11" s="96">
        <f t="shared" si="1"/>
        <v>1620</v>
      </c>
      <c r="I11" s="97"/>
    </row>
    <row r="12">
      <c r="E12" s="101" t="s">
        <v>94</v>
      </c>
      <c r="F12" s="102">
        <v>7.0</v>
      </c>
      <c r="G12" s="103">
        <v>580.0</v>
      </c>
      <c r="H12" s="104">
        <f t="shared" si="1"/>
        <v>4060</v>
      </c>
      <c r="I12" s="97"/>
    </row>
    <row r="13">
      <c r="E13" s="99" t="s">
        <v>95</v>
      </c>
      <c r="F13" s="94">
        <v>4.0</v>
      </c>
      <c r="G13" s="95">
        <v>415.0</v>
      </c>
      <c r="H13" s="96">
        <f t="shared" si="1"/>
        <v>1660</v>
      </c>
      <c r="I13" s="97"/>
    </row>
    <row r="14">
      <c r="E14" s="93" t="s">
        <v>96</v>
      </c>
      <c r="F14" s="94">
        <v>100.0</v>
      </c>
      <c r="G14" s="95">
        <v>6.3</v>
      </c>
      <c r="H14" s="96">
        <f t="shared" si="1"/>
        <v>630</v>
      </c>
      <c r="I14" s="98"/>
    </row>
    <row r="15">
      <c r="E15" s="93" t="s">
        <v>97</v>
      </c>
      <c r="F15" s="94">
        <v>5.0</v>
      </c>
      <c r="G15" s="95">
        <v>430.0</v>
      </c>
      <c r="H15" s="96">
        <f t="shared" si="1"/>
        <v>2150</v>
      </c>
      <c r="I15" s="105"/>
    </row>
    <row r="16">
      <c r="E16" s="93" t="s">
        <v>98</v>
      </c>
      <c r="F16" s="94">
        <v>30.0</v>
      </c>
      <c r="G16" s="95">
        <v>600.0</v>
      </c>
      <c r="H16" s="96">
        <f t="shared" si="1"/>
        <v>18000</v>
      </c>
      <c r="I16" s="14" t="s">
        <v>99</v>
      </c>
    </row>
    <row r="17">
      <c r="E17" s="93" t="s">
        <v>100</v>
      </c>
      <c r="F17" s="94">
        <v>6.0</v>
      </c>
      <c r="G17" s="95">
        <v>170.0</v>
      </c>
      <c r="H17" s="96">
        <f t="shared" si="1"/>
        <v>1020</v>
      </c>
      <c r="I17" s="98"/>
    </row>
    <row r="18">
      <c r="E18" s="93" t="s">
        <v>101</v>
      </c>
      <c r="F18" s="94">
        <v>20.0</v>
      </c>
      <c r="G18" s="95">
        <v>30.0</v>
      </c>
      <c r="H18" s="96">
        <f t="shared" si="1"/>
        <v>600</v>
      </c>
      <c r="I18" s="105"/>
    </row>
    <row r="19">
      <c r="E19" s="93" t="s">
        <v>102</v>
      </c>
      <c r="F19" s="94">
        <v>5.0</v>
      </c>
      <c r="G19" s="95">
        <v>230.0</v>
      </c>
      <c r="H19" s="96">
        <f t="shared" si="1"/>
        <v>1150</v>
      </c>
      <c r="I19" s="105"/>
    </row>
    <row r="20">
      <c r="E20" s="93" t="s">
        <v>103</v>
      </c>
      <c r="F20" s="94">
        <v>12.0</v>
      </c>
      <c r="G20" s="95">
        <v>230.0</v>
      </c>
      <c r="H20" s="96">
        <f t="shared" si="1"/>
        <v>2760</v>
      </c>
      <c r="I20" s="105"/>
    </row>
    <row r="21">
      <c r="E21" s="99" t="s">
        <v>104</v>
      </c>
      <c r="F21" s="94">
        <v>5.0</v>
      </c>
      <c r="G21" s="95">
        <v>230.0</v>
      </c>
      <c r="H21" s="96">
        <f t="shared" si="1"/>
        <v>1150</v>
      </c>
      <c r="I21" s="105"/>
    </row>
    <row r="22">
      <c r="E22" s="99" t="s">
        <v>105</v>
      </c>
      <c r="F22" s="94">
        <v>12.0</v>
      </c>
      <c r="G22" s="95">
        <v>230.0</v>
      </c>
      <c r="H22" s="96">
        <f t="shared" si="1"/>
        <v>2760</v>
      </c>
      <c r="I22" s="105"/>
    </row>
    <row r="23">
      <c r="E23" s="93" t="s">
        <v>106</v>
      </c>
      <c r="F23" s="94">
        <v>0.0</v>
      </c>
      <c r="G23" s="95">
        <v>1350.0</v>
      </c>
      <c r="H23" s="96">
        <f t="shared" si="1"/>
        <v>0</v>
      </c>
      <c r="I23" s="105"/>
    </row>
    <row r="24">
      <c r="E24" s="93" t="s">
        <v>107</v>
      </c>
      <c r="F24" s="93">
        <v>6.0</v>
      </c>
      <c r="G24" s="11">
        <v>150.0</v>
      </c>
      <c r="H24" s="96">
        <f t="shared" si="1"/>
        <v>900</v>
      </c>
      <c r="I24" s="105"/>
    </row>
    <row r="25">
      <c r="E25" s="93" t="s">
        <v>108</v>
      </c>
      <c r="F25" s="93">
        <v>1.0</v>
      </c>
      <c r="G25" s="11">
        <v>150.0</v>
      </c>
      <c r="H25" s="96">
        <f t="shared" si="1"/>
        <v>150</v>
      </c>
      <c r="I25" s="105"/>
    </row>
    <row r="26">
      <c r="E26" s="93" t="s">
        <v>109</v>
      </c>
      <c r="F26" s="93">
        <v>5.0</v>
      </c>
      <c r="G26" s="11">
        <v>100.0</v>
      </c>
      <c r="H26" s="96">
        <f t="shared" si="1"/>
        <v>500</v>
      </c>
      <c r="I26" s="105"/>
    </row>
    <row r="27">
      <c r="E27" s="93" t="s">
        <v>110</v>
      </c>
      <c r="F27" s="93">
        <v>5.0</v>
      </c>
      <c r="G27" s="11">
        <v>150.0</v>
      </c>
      <c r="H27" s="96">
        <f t="shared" si="1"/>
        <v>750</v>
      </c>
      <c r="I27" s="105"/>
    </row>
    <row r="28">
      <c r="E28" s="93" t="s">
        <v>111</v>
      </c>
      <c r="F28" s="94">
        <v>5.0</v>
      </c>
      <c r="G28" s="95">
        <v>55.0</v>
      </c>
      <c r="H28" s="96">
        <f t="shared" si="1"/>
        <v>275</v>
      </c>
      <c r="I28" s="105"/>
    </row>
    <row r="29">
      <c r="E29" s="93" t="s">
        <v>112</v>
      </c>
      <c r="F29" s="94">
        <v>5.0</v>
      </c>
      <c r="G29" s="95">
        <v>265.0</v>
      </c>
      <c r="H29" s="96">
        <f t="shared" si="1"/>
        <v>1325</v>
      </c>
      <c r="I29" s="105"/>
    </row>
    <row r="30">
      <c r="E30" s="93" t="s">
        <v>113</v>
      </c>
      <c r="F30" s="93">
        <v>1.0</v>
      </c>
      <c r="G30" s="95">
        <v>500.0</v>
      </c>
      <c r="H30" s="96">
        <f t="shared" si="1"/>
        <v>500</v>
      </c>
      <c r="I30" s="105"/>
    </row>
    <row r="31">
      <c r="E31" s="93" t="s">
        <v>114</v>
      </c>
      <c r="F31" s="93">
        <v>0.5</v>
      </c>
      <c r="G31" s="95">
        <v>500.0</v>
      </c>
      <c r="H31" s="96">
        <f t="shared" si="1"/>
        <v>250</v>
      </c>
      <c r="I31" s="105"/>
    </row>
    <row r="32">
      <c r="E32" s="93" t="s">
        <v>115</v>
      </c>
      <c r="F32" s="93">
        <v>1.0</v>
      </c>
      <c r="G32" s="95">
        <v>550.0</v>
      </c>
      <c r="H32" s="96">
        <f t="shared" si="1"/>
        <v>550</v>
      </c>
      <c r="I32" s="105"/>
    </row>
    <row r="33">
      <c r="E33" s="93" t="s">
        <v>116</v>
      </c>
      <c r="F33" s="93">
        <v>1.0</v>
      </c>
      <c r="G33" s="95">
        <v>800.0</v>
      </c>
      <c r="H33" s="96">
        <f t="shared" si="1"/>
        <v>800</v>
      </c>
      <c r="I33" s="105"/>
    </row>
    <row r="34">
      <c r="E34" s="93" t="s">
        <v>117</v>
      </c>
      <c r="F34" s="93">
        <v>1.0</v>
      </c>
      <c r="G34" s="95">
        <v>700.0</v>
      </c>
      <c r="H34" s="96">
        <f t="shared" si="1"/>
        <v>700</v>
      </c>
      <c r="I34" s="105"/>
    </row>
    <row r="35">
      <c r="E35" s="94" t="s">
        <v>118</v>
      </c>
      <c r="F35" s="94">
        <v>1.0</v>
      </c>
      <c r="G35" s="100">
        <v>1000.0</v>
      </c>
      <c r="H35" s="96">
        <f t="shared" si="1"/>
        <v>1000</v>
      </c>
      <c r="I35" s="105"/>
    </row>
    <row r="36">
      <c r="E36" s="93" t="s">
        <v>119</v>
      </c>
      <c r="F36" s="94">
        <v>0.5</v>
      </c>
      <c r="G36" s="95">
        <v>1970.0</v>
      </c>
      <c r="H36" s="96">
        <f t="shared" si="1"/>
        <v>985</v>
      </c>
      <c r="I36" s="105"/>
    </row>
    <row r="37">
      <c r="E37" s="93" t="s">
        <v>120</v>
      </c>
      <c r="F37" s="94">
        <v>5.0</v>
      </c>
      <c r="G37" s="95">
        <v>1650.0</v>
      </c>
      <c r="H37" s="96">
        <f t="shared" si="1"/>
        <v>8250</v>
      </c>
      <c r="I37" s="105"/>
    </row>
    <row r="38">
      <c r="E38" s="93" t="s">
        <v>121</v>
      </c>
      <c r="F38" s="93">
        <v>5.0</v>
      </c>
      <c r="G38" s="95">
        <v>2070.0</v>
      </c>
      <c r="H38" s="96">
        <f t="shared" si="1"/>
        <v>10350</v>
      </c>
      <c r="I38" s="105"/>
    </row>
    <row r="39">
      <c r="E39" s="93" t="s">
        <v>122</v>
      </c>
      <c r="F39" s="94">
        <v>110.0</v>
      </c>
      <c r="G39" s="95">
        <v>17.0</v>
      </c>
      <c r="H39" s="96">
        <f t="shared" si="1"/>
        <v>1870</v>
      </c>
      <c r="I39" s="105"/>
    </row>
    <row r="40">
      <c r="E40" s="93" t="s">
        <v>123</v>
      </c>
      <c r="F40" s="94">
        <v>48.0</v>
      </c>
      <c r="G40" s="95">
        <v>34.0</v>
      </c>
      <c r="H40" s="96">
        <f t="shared" si="1"/>
        <v>1632</v>
      </c>
      <c r="I40" s="105"/>
    </row>
    <row r="41">
      <c r="E41" s="93" t="s">
        <v>124</v>
      </c>
      <c r="F41" s="94">
        <v>32.0</v>
      </c>
      <c r="G41" s="95">
        <v>52.0</v>
      </c>
      <c r="H41" s="96">
        <f t="shared" si="1"/>
        <v>1664</v>
      </c>
      <c r="I41" s="105"/>
    </row>
    <row r="42">
      <c r="E42" s="93" t="s">
        <v>125</v>
      </c>
      <c r="F42" s="94">
        <v>16.0</v>
      </c>
      <c r="G42" s="95">
        <v>52.0</v>
      </c>
      <c r="H42" s="96">
        <f t="shared" si="1"/>
        <v>832</v>
      </c>
      <c r="I42" s="105"/>
    </row>
    <row r="43">
      <c r="E43" s="93" t="s">
        <v>126</v>
      </c>
      <c r="F43" s="94">
        <v>18.0</v>
      </c>
      <c r="G43" s="95">
        <v>67.0</v>
      </c>
      <c r="H43" s="96">
        <f t="shared" si="1"/>
        <v>1206</v>
      </c>
      <c r="I43" s="105"/>
    </row>
    <row r="44">
      <c r="E44" s="93" t="s">
        <v>127</v>
      </c>
      <c r="F44" s="94">
        <v>9.0</v>
      </c>
      <c r="G44" s="95">
        <v>52.0</v>
      </c>
      <c r="H44" s="96">
        <f t="shared" si="1"/>
        <v>468</v>
      </c>
      <c r="I44" s="105"/>
    </row>
    <row r="45">
      <c r="E45" s="93" t="s">
        <v>128</v>
      </c>
      <c r="F45" s="94">
        <v>14.0</v>
      </c>
      <c r="G45" s="95">
        <v>72.0</v>
      </c>
      <c r="H45" s="96">
        <f t="shared" si="1"/>
        <v>1008</v>
      </c>
      <c r="I45" s="105"/>
    </row>
    <row r="46">
      <c r="E46" s="93" t="s">
        <v>129</v>
      </c>
      <c r="F46" s="94">
        <v>18.0</v>
      </c>
      <c r="G46" s="95">
        <v>29.2</v>
      </c>
      <c r="H46" s="96">
        <f t="shared" si="1"/>
        <v>525.6</v>
      </c>
      <c r="I46" s="105"/>
    </row>
    <row r="47">
      <c r="E47" s="14" t="s">
        <v>130</v>
      </c>
      <c r="F47" s="14">
        <v>10.0</v>
      </c>
      <c r="G47" s="17">
        <v>50.0</v>
      </c>
      <c r="H47" s="96">
        <f t="shared" si="1"/>
        <v>500</v>
      </c>
      <c r="I47" s="105"/>
    </row>
    <row r="48">
      <c r="E48" s="93" t="s">
        <v>131</v>
      </c>
      <c r="F48" s="94">
        <v>33.0</v>
      </c>
      <c r="G48" s="95">
        <v>42.0</v>
      </c>
      <c r="H48" s="96">
        <f t="shared" si="1"/>
        <v>1386</v>
      </c>
      <c r="I48" s="105"/>
    </row>
    <row r="49">
      <c r="E49" s="93" t="s">
        <v>132</v>
      </c>
      <c r="F49" s="93">
        <v>12.0</v>
      </c>
      <c r="G49" s="95">
        <v>42.0</v>
      </c>
      <c r="H49" s="96">
        <f t="shared" si="1"/>
        <v>504</v>
      </c>
      <c r="I49" s="105"/>
    </row>
    <row r="50">
      <c r="E50" s="93" t="s">
        <v>133</v>
      </c>
      <c r="F50" s="93">
        <v>12.0</v>
      </c>
      <c r="G50" s="95">
        <v>42.0</v>
      </c>
      <c r="H50" s="96">
        <f t="shared" si="1"/>
        <v>504</v>
      </c>
      <c r="I50" s="105"/>
    </row>
    <row r="51">
      <c r="E51" s="93" t="s">
        <v>134</v>
      </c>
      <c r="F51" s="93">
        <v>12.0</v>
      </c>
      <c r="G51" s="95">
        <v>42.0</v>
      </c>
      <c r="H51" s="96">
        <f t="shared" si="1"/>
        <v>504</v>
      </c>
      <c r="I51" s="105"/>
    </row>
    <row r="52">
      <c r="E52" s="93" t="s">
        <v>135</v>
      </c>
      <c r="F52" s="93">
        <v>12.0</v>
      </c>
      <c r="G52" s="95">
        <v>42.0</v>
      </c>
      <c r="H52" s="96">
        <f t="shared" si="1"/>
        <v>504</v>
      </c>
      <c r="I52" s="105"/>
    </row>
    <row r="53">
      <c r="E53" s="93" t="s">
        <v>136</v>
      </c>
      <c r="F53" s="93">
        <v>12.0</v>
      </c>
      <c r="G53" s="95">
        <v>42.0</v>
      </c>
      <c r="H53" s="96">
        <f t="shared" si="1"/>
        <v>504</v>
      </c>
      <c r="I53" s="105"/>
    </row>
    <row r="54">
      <c r="E54" s="93" t="s">
        <v>137</v>
      </c>
      <c r="F54" s="94">
        <v>2.0</v>
      </c>
      <c r="G54" s="95">
        <v>1750.0</v>
      </c>
      <c r="H54" s="96">
        <f t="shared" si="1"/>
        <v>3500</v>
      </c>
      <c r="I54" s="105"/>
    </row>
    <row r="55">
      <c r="E55" s="93" t="s">
        <v>138</v>
      </c>
      <c r="F55" s="94">
        <v>22.0</v>
      </c>
      <c r="G55" s="95">
        <v>250.0</v>
      </c>
      <c r="H55" s="96">
        <f t="shared" si="1"/>
        <v>5500</v>
      </c>
      <c r="I55" s="105"/>
    </row>
    <row r="56">
      <c r="E56" s="93" t="s">
        <v>139</v>
      </c>
      <c r="F56" s="94">
        <v>2.0</v>
      </c>
      <c r="G56" s="95">
        <v>1350.0</v>
      </c>
      <c r="H56" s="96">
        <f t="shared" si="1"/>
        <v>2700</v>
      </c>
      <c r="I56" s="105"/>
    </row>
    <row r="57">
      <c r="E57" s="93" t="s">
        <v>140</v>
      </c>
      <c r="F57" s="94">
        <v>9.0</v>
      </c>
      <c r="G57" s="95">
        <v>240.0</v>
      </c>
      <c r="H57" s="96">
        <f t="shared" si="1"/>
        <v>2160</v>
      </c>
      <c r="I57" s="105"/>
    </row>
    <row r="58">
      <c r="E58" s="93" t="s">
        <v>141</v>
      </c>
      <c r="F58" s="94">
        <v>1.0</v>
      </c>
      <c r="G58" s="95">
        <v>500.0</v>
      </c>
      <c r="H58" s="96">
        <f t="shared" si="1"/>
        <v>500</v>
      </c>
      <c r="I58" s="105"/>
    </row>
    <row r="59">
      <c r="E59" s="93" t="s">
        <v>142</v>
      </c>
      <c r="F59" s="94">
        <v>12.0</v>
      </c>
      <c r="G59" s="95">
        <v>115.0</v>
      </c>
      <c r="H59" s="96">
        <f t="shared" si="1"/>
        <v>1380</v>
      </c>
      <c r="I59" s="105"/>
    </row>
    <row r="60">
      <c r="E60" s="93" t="s">
        <v>143</v>
      </c>
      <c r="F60" s="94">
        <v>7.0</v>
      </c>
      <c r="G60" s="95">
        <v>800.0</v>
      </c>
      <c r="H60" s="96">
        <f t="shared" si="1"/>
        <v>5600</v>
      </c>
      <c r="I60" s="14" t="s">
        <v>144</v>
      </c>
    </row>
    <row r="61">
      <c r="E61" s="93" t="s">
        <v>145</v>
      </c>
      <c r="F61" s="94">
        <v>10.0</v>
      </c>
      <c r="G61" s="95">
        <v>62.0</v>
      </c>
      <c r="H61" s="96">
        <f t="shared" si="1"/>
        <v>620</v>
      </c>
      <c r="I61" s="105"/>
    </row>
    <row r="62">
      <c r="E62" s="93" t="s">
        <v>146</v>
      </c>
      <c r="F62" s="94">
        <v>0.0</v>
      </c>
      <c r="G62" s="95">
        <v>970.0</v>
      </c>
      <c r="H62" s="96">
        <f t="shared" si="1"/>
        <v>0</v>
      </c>
      <c r="I62" s="105"/>
    </row>
    <row r="63">
      <c r="E63" s="93" t="s">
        <v>147</v>
      </c>
      <c r="F63" s="94">
        <v>12.0</v>
      </c>
      <c r="G63" s="95">
        <v>120.0</v>
      </c>
      <c r="H63" s="96">
        <f t="shared" si="1"/>
        <v>1440</v>
      </c>
      <c r="I63" s="105"/>
    </row>
    <row r="64">
      <c r="E64" s="93" t="s">
        <v>148</v>
      </c>
      <c r="F64" s="94">
        <v>6.0</v>
      </c>
      <c r="G64" s="95">
        <v>84.0</v>
      </c>
      <c r="H64" s="96">
        <f t="shared" si="1"/>
        <v>504</v>
      </c>
      <c r="I64" s="105"/>
    </row>
    <row r="65">
      <c r="E65" s="93" t="s">
        <v>149</v>
      </c>
      <c r="F65" s="94">
        <v>10.0</v>
      </c>
      <c r="G65" s="95">
        <v>330.0</v>
      </c>
      <c r="H65" s="96">
        <f t="shared" si="1"/>
        <v>3300</v>
      </c>
      <c r="I65" s="105"/>
    </row>
    <row r="66">
      <c r="E66" s="93" t="s">
        <v>150</v>
      </c>
      <c r="F66" s="94">
        <v>3.0</v>
      </c>
      <c r="G66" s="95">
        <v>100.0</v>
      </c>
      <c r="H66" s="96">
        <f t="shared" si="1"/>
        <v>300</v>
      </c>
      <c r="I66" s="105"/>
    </row>
    <row r="67">
      <c r="E67" s="93" t="s">
        <v>151</v>
      </c>
      <c r="F67" s="94">
        <v>22.0</v>
      </c>
      <c r="G67" s="95">
        <v>180.0</v>
      </c>
      <c r="H67" s="96">
        <f t="shared" si="1"/>
        <v>3960</v>
      </c>
      <c r="I67" s="14" t="s">
        <v>144</v>
      </c>
    </row>
    <row r="68">
      <c r="E68" s="106" t="s">
        <v>152</v>
      </c>
      <c r="F68" s="107">
        <v>5.0</v>
      </c>
      <c r="G68" s="108">
        <v>500.0</v>
      </c>
      <c r="H68" s="109">
        <f t="shared" si="1"/>
        <v>2500</v>
      </c>
      <c r="I68" s="105"/>
    </row>
    <row r="69">
      <c r="E69" s="106" t="s">
        <v>153</v>
      </c>
      <c r="F69" s="107">
        <v>0.2</v>
      </c>
      <c r="G69" s="108">
        <v>780.0</v>
      </c>
      <c r="H69" s="109">
        <f t="shared" si="1"/>
        <v>156</v>
      </c>
      <c r="I69" s="105"/>
    </row>
    <row r="70">
      <c r="E70" s="106" t="s">
        <v>154</v>
      </c>
      <c r="F70" s="107">
        <v>0.2</v>
      </c>
      <c r="G70" s="108">
        <v>950.0</v>
      </c>
      <c r="H70" s="109">
        <f t="shared" si="1"/>
        <v>190</v>
      </c>
      <c r="I70" s="105"/>
    </row>
    <row r="71">
      <c r="E71" s="93" t="s">
        <v>155</v>
      </c>
      <c r="F71" s="94">
        <v>0.0</v>
      </c>
      <c r="G71" s="95">
        <v>900.0</v>
      </c>
      <c r="H71" s="96">
        <f t="shared" si="1"/>
        <v>0</v>
      </c>
      <c r="I71" s="105"/>
    </row>
    <row r="72">
      <c r="E72" s="93" t="s">
        <v>156</v>
      </c>
      <c r="F72" s="94">
        <v>0.5</v>
      </c>
      <c r="G72" s="95">
        <v>575.0</v>
      </c>
      <c r="H72" s="96">
        <f t="shared" si="1"/>
        <v>287.5</v>
      </c>
      <c r="I72" s="105"/>
    </row>
    <row r="73">
      <c r="E73" s="93" t="s">
        <v>157</v>
      </c>
      <c r="F73" s="94">
        <v>0.5</v>
      </c>
      <c r="G73" s="95">
        <v>1450.0</v>
      </c>
      <c r="H73" s="96">
        <f t="shared" si="1"/>
        <v>725</v>
      </c>
      <c r="I73" s="105"/>
    </row>
    <row r="74">
      <c r="E74" s="94" t="s">
        <v>157</v>
      </c>
      <c r="F74" s="94">
        <v>1.0</v>
      </c>
      <c r="G74" s="100">
        <v>1300.0</v>
      </c>
      <c r="H74" s="96">
        <f t="shared" si="1"/>
        <v>1300</v>
      </c>
      <c r="I74" s="105"/>
    </row>
    <row r="75">
      <c r="E75" s="94" t="s">
        <v>158</v>
      </c>
      <c r="F75" s="94">
        <v>6.0</v>
      </c>
      <c r="G75" s="100">
        <v>1000.0</v>
      </c>
      <c r="H75" s="96">
        <f t="shared" si="1"/>
        <v>6000</v>
      </c>
      <c r="I75" s="105"/>
    </row>
    <row r="76">
      <c r="E76" s="94" t="s">
        <v>159</v>
      </c>
      <c r="F76" s="94">
        <v>1.0</v>
      </c>
      <c r="G76" s="100">
        <v>500.0</v>
      </c>
      <c r="H76" s="96">
        <f t="shared" si="1"/>
        <v>500</v>
      </c>
      <c r="I76" s="105"/>
    </row>
    <row r="77">
      <c r="E77" s="94" t="s">
        <v>141</v>
      </c>
      <c r="F77" s="94">
        <v>2.0</v>
      </c>
      <c r="G77" s="100">
        <v>500.0</v>
      </c>
      <c r="H77" s="96">
        <f t="shared" si="1"/>
        <v>1000</v>
      </c>
      <c r="I77" s="105"/>
    </row>
    <row r="78">
      <c r="E78" s="94" t="s">
        <v>160</v>
      </c>
      <c r="F78" s="94">
        <v>1.0</v>
      </c>
      <c r="G78" s="100">
        <v>9700.0</v>
      </c>
      <c r="H78" s="96">
        <f t="shared" si="1"/>
        <v>9700</v>
      </c>
      <c r="I78" s="105"/>
    </row>
    <row r="79">
      <c r="E79" s="94" t="s">
        <v>161</v>
      </c>
      <c r="F79" s="94">
        <v>1.0</v>
      </c>
      <c r="G79" s="100">
        <v>200.0</v>
      </c>
      <c r="H79" s="96">
        <f t="shared" si="1"/>
        <v>200</v>
      </c>
      <c r="I79" s="105"/>
    </row>
    <row r="80">
      <c r="E80" s="94" t="s">
        <v>162</v>
      </c>
      <c r="F80" s="94">
        <v>9.0</v>
      </c>
      <c r="G80" s="100">
        <v>700.0</v>
      </c>
      <c r="H80" s="96">
        <f t="shared" si="1"/>
        <v>6300</v>
      </c>
      <c r="I80" s="10">
        <v>45658.0</v>
      </c>
    </row>
    <row r="81">
      <c r="E81" s="94" t="s">
        <v>141</v>
      </c>
      <c r="F81" s="94">
        <v>2.0</v>
      </c>
      <c r="G81" s="100">
        <v>500.0</v>
      </c>
      <c r="H81" s="96">
        <f t="shared" si="1"/>
        <v>1000</v>
      </c>
      <c r="I81" s="10">
        <v>45748.0</v>
      </c>
    </row>
    <row r="82">
      <c r="E82" s="94" t="s">
        <v>162</v>
      </c>
      <c r="F82" s="94">
        <v>7.0</v>
      </c>
      <c r="G82" s="100">
        <v>700.0</v>
      </c>
      <c r="H82" s="96">
        <f t="shared" si="1"/>
        <v>4900</v>
      </c>
      <c r="I82" s="105"/>
    </row>
    <row r="83">
      <c r="E83" s="94" t="s">
        <v>163</v>
      </c>
      <c r="F83" s="94">
        <v>150.0</v>
      </c>
      <c r="G83" s="100">
        <v>50.0</v>
      </c>
      <c r="H83" s="96">
        <f t="shared" si="1"/>
        <v>7500</v>
      </c>
      <c r="I83" s="105"/>
    </row>
    <row r="84">
      <c r="E84" s="94" t="s">
        <v>164</v>
      </c>
      <c r="F84" s="94">
        <v>8.0</v>
      </c>
      <c r="G84" s="100">
        <v>100.0</v>
      </c>
      <c r="H84" s="96">
        <f t="shared" si="1"/>
        <v>800</v>
      </c>
      <c r="I84" s="105"/>
    </row>
    <row r="85">
      <c r="E85" s="94" t="s">
        <v>165</v>
      </c>
      <c r="F85" s="94">
        <v>15.0</v>
      </c>
      <c r="G85" s="100">
        <v>100.0</v>
      </c>
      <c r="H85" s="96">
        <f t="shared" si="1"/>
        <v>1500</v>
      </c>
      <c r="I85" s="105"/>
    </row>
    <row r="86">
      <c r="E86" s="94" t="s">
        <v>166</v>
      </c>
      <c r="F86" s="94">
        <v>2.0</v>
      </c>
      <c r="G86" s="100">
        <v>220.0</v>
      </c>
      <c r="H86" s="96">
        <f t="shared" si="1"/>
        <v>440</v>
      </c>
      <c r="I86" s="105"/>
    </row>
    <row r="87">
      <c r="E87" s="94" t="s">
        <v>150</v>
      </c>
      <c r="F87" s="94">
        <v>6.0</v>
      </c>
      <c r="G87" s="100">
        <v>100.0</v>
      </c>
      <c r="H87" s="96">
        <f t="shared" si="1"/>
        <v>600</v>
      </c>
      <c r="I87" s="105"/>
    </row>
    <row r="88">
      <c r="E88" s="94" t="s">
        <v>159</v>
      </c>
      <c r="F88" s="94">
        <v>1.0</v>
      </c>
      <c r="G88" s="100">
        <v>500.0</v>
      </c>
      <c r="H88" s="96">
        <f t="shared" si="1"/>
        <v>500</v>
      </c>
      <c r="I88" s="105"/>
    </row>
    <row r="89">
      <c r="E89" s="94" t="s">
        <v>167</v>
      </c>
      <c r="F89" s="94">
        <v>1.0</v>
      </c>
      <c r="G89" s="100">
        <v>800.0</v>
      </c>
      <c r="H89" s="96">
        <f t="shared" si="1"/>
        <v>800</v>
      </c>
      <c r="I89" s="105"/>
    </row>
    <row r="90">
      <c r="E90" s="94" t="s">
        <v>168</v>
      </c>
      <c r="F90" s="94">
        <v>1.0</v>
      </c>
      <c r="G90" s="100">
        <v>250.0</v>
      </c>
      <c r="H90" s="96">
        <f t="shared" si="1"/>
        <v>250</v>
      </c>
      <c r="I90" s="105"/>
    </row>
    <row r="91">
      <c r="E91" s="94" t="s">
        <v>118</v>
      </c>
      <c r="F91" s="94">
        <v>1.0</v>
      </c>
      <c r="G91" s="100">
        <v>1000.0</v>
      </c>
      <c r="H91" s="96">
        <f t="shared" si="1"/>
        <v>1000</v>
      </c>
      <c r="I91" s="105"/>
    </row>
    <row r="92">
      <c r="E92" s="94" t="s">
        <v>158</v>
      </c>
      <c r="F92" s="94">
        <v>2.0</v>
      </c>
      <c r="G92" s="100">
        <v>1000.0</v>
      </c>
      <c r="H92" s="96">
        <f t="shared" si="1"/>
        <v>2000</v>
      </c>
      <c r="I92" s="105"/>
    </row>
    <row r="93">
      <c r="E93" s="94" t="s">
        <v>169</v>
      </c>
      <c r="F93" s="94">
        <v>5.0</v>
      </c>
      <c r="G93" s="100">
        <v>100.0</v>
      </c>
      <c r="H93" s="96">
        <f t="shared" si="1"/>
        <v>500</v>
      </c>
      <c r="I93" s="105"/>
    </row>
    <row r="94">
      <c r="E94" s="94" t="s">
        <v>161</v>
      </c>
      <c r="F94" s="94">
        <v>1.0</v>
      </c>
      <c r="G94" s="100">
        <v>200.0</v>
      </c>
      <c r="H94" s="96">
        <f t="shared" si="1"/>
        <v>200</v>
      </c>
      <c r="I94" s="105"/>
    </row>
    <row r="95">
      <c r="E95" s="94" t="s">
        <v>170</v>
      </c>
      <c r="F95" s="94">
        <v>0.5</v>
      </c>
      <c r="G95" s="100">
        <v>1600.0</v>
      </c>
      <c r="H95" s="96">
        <f t="shared" si="1"/>
        <v>800</v>
      </c>
      <c r="I95" s="105"/>
    </row>
    <row r="96">
      <c r="E96" s="94" t="s">
        <v>171</v>
      </c>
      <c r="F96" s="94">
        <v>1.0</v>
      </c>
      <c r="G96" s="100">
        <v>1060.0</v>
      </c>
      <c r="H96" s="96">
        <f t="shared" si="1"/>
        <v>1060</v>
      </c>
      <c r="I96" s="10">
        <v>45717.0</v>
      </c>
    </row>
    <row r="97">
      <c r="E97" s="94" t="s">
        <v>172</v>
      </c>
      <c r="F97" s="94">
        <v>4.5</v>
      </c>
      <c r="G97" s="100">
        <v>380.0</v>
      </c>
      <c r="H97" s="96">
        <f t="shared" si="1"/>
        <v>1710</v>
      </c>
      <c r="I97" s="10">
        <v>45444.0</v>
      </c>
    </row>
    <row r="98">
      <c r="E98" s="94" t="s">
        <v>173</v>
      </c>
      <c r="F98" s="94">
        <v>1.0</v>
      </c>
      <c r="G98" s="100">
        <v>300.0</v>
      </c>
      <c r="H98" s="96">
        <f t="shared" si="1"/>
        <v>300</v>
      </c>
      <c r="I98" s="105"/>
    </row>
    <row r="99">
      <c r="E99" s="94" t="s">
        <v>174</v>
      </c>
      <c r="F99" s="94">
        <v>3.0</v>
      </c>
      <c r="G99" s="100">
        <v>220.0</v>
      </c>
      <c r="H99" s="96">
        <f t="shared" si="1"/>
        <v>660</v>
      </c>
      <c r="I99" s="105"/>
    </row>
    <row r="100">
      <c r="E100" s="94" t="s">
        <v>175</v>
      </c>
      <c r="F100" s="94">
        <v>5.0</v>
      </c>
      <c r="G100" s="100">
        <v>170.0</v>
      </c>
      <c r="H100" s="96">
        <f t="shared" si="1"/>
        <v>850</v>
      </c>
      <c r="I100" s="105"/>
    </row>
    <row r="101">
      <c r="E101" s="94" t="s">
        <v>176</v>
      </c>
      <c r="F101" s="94">
        <v>1.0</v>
      </c>
      <c r="G101" s="100">
        <v>12000.0</v>
      </c>
      <c r="H101" s="96">
        <f t="shared" si="1"/>
        <v>12000</v>
      </c>
      <c r="I101" s="105"/>
    </row>
    <row r="102">
      <c r="E102" s="94" t="s">
        <v>165</v>
      </c>
      <c r="F102" s="94">
        <v>10.0</v>
      </c>
      <c r="G102" s="100">
        <v>120.0</v>
      </c>
      <c r="H102" s="96">
        <f t="shared" si="1"/>
        <v>1200</v>
      </c>
      <c r="I102" s="105"/>
    </row>
    <row r="103">
      <c r="E103" s="94" t="s">
        <v>177</v>
      </c>
      <c r="F103" s="94">
        <v>6.0</v>
      </c>
      <c r="G103" s="100">
        <v>100.0</v>
      </c>
      <c r="H103" s="96">
        <f t="shared" si="1"/>
        <v>600</v>
      </c>
      <c r="I103" s="105"/>
    </row>
    <row r="104">
      <c r="E104" s="94" t="s">
        <v>178</v>
      </c>
      <c r="F104" s="94">
        <v>6.0</v>
      </c>
      <c r="G104" s="100">
        <v>100.0</v>
      </c>
      <c r="H104" s="96">
        <f t="shared" si="1"/>
        <v>600</v>
      </c>
      <c r="I104" s="105"/>
    </row>
    <row r="105">
      <c r="E105" s="94" t="s">
        <v>158</v>
      </c>
      <c r="F105" s="94">
        <v>1.5</v>
      </c>
      <c r="G105" s="100">
        <v>1800.0</v>
      </c>
      <c r="H105" s="96">
        <f t="shared" si="1"/>
        <v>2700</v>
      </c>
      <c r="I105" s="105"/>
    </row>
    <row r="106">
      <c r="E106" s="94" t="s">
        <v>179</v>
      </c>
      <c r="F106" s="94">
        <v>5.0</v>
      </c>
      <c r="G106" s="100">
        <v>400.0</v>
      </c>
      <c r="H106" s="96">
        <f t="shared" si="1"/>
        <v>2000</v>
      </c>
      <c r="I106" s="105"/>
    </row>
    <row r="107">
      <c r="E107" s="94" t="s">
        <v>180</v>
      </c>
      <c r="F107" s="94">
        <v>10.0</v>
      </c>
      <c r="G107" s="100">
        <v>100.0</v>
      </c>
      <c r="H107" s="96">
        <f t="shared" si="1"/>
        <v>1000</v>
      </c>
      <c r="I107" s="105"/>
    </row>
    <row r="108">
      <c r="E108" s="94" t="s">
        <v>181</v>
      </c>
      <c r="F108" s="94">
        <v>0.5</v>
      </c>
      <c r="G108" s="100">
        <v>600.0</v>
      </c>
      <c r="H108" s="96">
        <f t="shared" si="1"/>
        <v>300</v>
      </c>
      <c r="I108" s="105"/>
    </row>
    <row r="109">
      <c r="E109" s="94" t="s">
        <v>141</v>
      </c>
      <c r="F109" s="94">
        <v>2.0</v>
      </c>
      <c r="G109" s="100">
        <v>500.0</v>
      </c>
      <c r="H109" s="96">
        <f t="shared" si="1"/>
        <v>1000</v>
      </c>
      <c r="I109" s="105"/>
    </row>
    <row r="110">
      <c r="E110" s="94" t="s">
        <v>162</v>
      </c>
      <c r="F110" s="94">
        <v>5.5</v>
      </c>
      <c r="G110" s="100">
        <v>700.0</v>
      </c>
      <c r="H110" s="96">
        <f t="shared" si="1"/>
        <v>3850</v>
      </c>
      <c r="I110" s="105"/>
    </row>
    <row r="111">
      <c r="E111" s="94" t="s">
        <v>182</v>
      </c>
      <c r="F111" s="94">
        <v>1.0</v>
      </c>
      <c r="G111" s="100">
        <v>700.0</v>
      </c>
      <c r="H111" s="96">
        <f t="shared" si="1"/>
        <v>700</v>
      </c>
      <c r="I111" s="105"/>
    </row>
    <row r="112">
      <c r="E112" s="94" t="s">
        <v>183</v>
      </c>
      <c r="F112" s="94">
        <v>1.0</v>
      </c>
      <c r="G112" s="100">
        <v>150.0</v>
      </c>
      <c r="H112" s="96">
        <f t="shared" si="1"/>
        <v>150</v>
      </c>
      <c r="I112" s="105"/>
    </row>
    <row r="113">
      <c r="E113" s="94" t="s">
        <v>182</v>
      </c>
      <c r="F113" s="94">
        <v>1.0</v>
      </c>
      <c r="G113" s="100">
        <v>600.0</v>
      </c>
      <c r="H113" s="96">
        <f t="shared" si="1"/>
        <v>600</v>
      </c>
      <c r="I113" s="10">
        <v>45717.0</v>
      </c>
    </row>
    <row r="114">
      <c r="E114" s="94" t="s">
        <v>184</v>
      </c>
      <c r="F114" s="94">
        <v>1.0</v>
      </c>
      <c r="G114" s="100">
        <v>220.0</v>
      </c>
      <c r="H114" s="96">
        <f t="shared" si="1"/>
        <v>220</v>
      </c>
      <c r="I114" s="105"/>
    </row>
    <row r="115">
      <c r="E115" s="94" t="s">
        <v>159</v>
      </c>
      <c r="F115" s="94">
        <v>1.0</v>
      </c>
      <c r="G115" s="100">
        <v>500.0</v>
      </c>
      <c r="H115" s="96">
        <f t="shared" si="1"/>
        <v>500</v>
      </c>
      <c r="I115" s="105"/>
    </row>
    <row r="116">
      <c r="E116" s="94" t="s">
        <v>185</v>
      </c>
      <c r="F116" s="94">
        <v>1.0</v>
      </c>
      <c r="G116" s="100">
        <v>100.0</v>
      </c>
      <c r="H116" s="96">
        <f t="shared" si="1"/>
        <v>100</v>
      </c>
      <c r="I116" s="105"/>
    </row>
    <row r="117">
      <c r="E117" s="94" t="s">
        <v>186</v>
      </c>
      <c r="F117" s="94">
        <v>1.0</v>
      </c>
      <c r="G117" s="100">
        <v>350.0</v>
      </c>
      <c r="H117" s="96">
        <f t="shared" si="1"/>
        <v>350</v>
      </c>
      <c r="I117" s="105"/>
    </row>
    <row r="118">
      <c r="E118" s="94" t="s">
        <v>187</v>
      </c>
      <c r="F118" s="94">
        <v>10.0</v>
      </c>
      <c r="G118" s="100">
        <v>80.0</v>
      </c>
      <c r="H118" s="96">
        <f t="shared" si="1"/>
        <v>800</v>
      </c>
      <c r="I118" s="105"/>
    </row>
    <row r="119">
      <c r="E119" s="94" t="s">
        <v>188</v>
      </c>
      <c r="F119" s="94">
        <v>0.4</v>
      </c>
      <c r="G119" s="100">
        <v>500.0</v>
      </c>
      <c r="H119" s="96">
        <f t="shared" si="1"/>
        <v>200</v>
      </c>
      <c r="I119" s="97"/>
    </row>
    <row r="120">
      <c r="E120" s="107" t="s">
        <v>189</v>
      </c>
      <c r="F120" s="107">
        <v>2.0</v>
      </c>
      <c r="G120" s="110">
        <v>100.0</v>
      </c>
      <c r="H120" s="111">
        <f t="shared" si="1"/>
        <v>200</v>
      </c>
      <c r="I120" s="105"/>
    </row>
    <row r="121">
      <c r="E121" s="107" t="s">
        <v>190</v>
      </c>
      <c r="F121" s="107">
        <v>1.0</v>
      </c>
      <c r="G121" s="110">
        <v>600.0</v>
      </c>
      <c r="H121" s="111">
        <f t="shared" si="1"/>
        <v>600</v>
      </c>
      <c r="I121" s="105"/>
    </row>
    <row r="122">
      <c r="E122" s="107" t="s">
        <v>191</v>
      </c>
      <c r="F122" s="107">
        <v>1.0</v>
      </c>
      <c r="G122" s="110">
        <v>600.0</v>
      </c>
      <c r="H122" s="111">
        <f t="shared" si="1"/>
        <v>600</v>
      </c>
      <c r="I122" s="105"/>
    </row>
    <row r="123">
      <c r="E123" s="107" t="s">
        <v>192</v>
      </c>
      <c r="F123" s="107">
        <v>3.0</v>
      </c>
      <c r="G123" s="110">
        <v>2500.0</v>
      </c>
      <c r="H123" s="111">
        <f t="shared" si="1"/>
        <v>7500</v>
      </c>
      <c r="I123" s="105"/>
    </row>
    <row r="124">
      <c r="E124" s="107" t="s">
        <v>193</v>
      </c>
      <c r="F124" s="107">
        <v>14.0</v>
      </c>
      <c r="G124" s="110">
        <v>200.0</v>
      </c>
      <c r="H124" s="111">
        <f t="shared" si="1"/>
        <v>2800</v>
      </c>
      <c r="I124" s="105"/>
    </row>
    <row r="125">
      <c r="E125" s="107" t="s">
        <v>194</v>
      </c>
      <c r="F125" s="107">
        <v>4.0</v>
      </c>
      <c r="G125" s="110">
        <v>600.0</v>
      </c>
      <c r="H125" s="111">
        <f t="shared" si="1"/>
        <v>2400</v>
      </c>
      <c r="I125" s="105"/>
    </row>
    <row r="126">
      <c r="E126" s="107" t="s">
        <v>195</v>
      </c>
      <c r="F126" s="107">
        <v>10.0</v>
      </c>
      <c r="G126" s="110">
        <v>120.0</v>
      </c>
      <c r="H126" s="111">
        <f t="shared" si="1"/>
        <v>1200</v>
      </c>
      <c r="I126" s="105"/>
    </row>
    <row r="127">
      <c r="E127" s="107" t="s">
        <v>168</v>
      </c>
      <c r="F127" s="107">
        <v>1.0</v>
      </c>
      <c r="G127" s="110">
        <v>250.0</v>
      </c>
      <c r="H127" s="111">
        <f t="shared" si="1"/>
        <v>250</v>
      </c>
      <c r="I127" s="105"/>
    </row>
    <row r="128">
      <c r="E128" s="107" t="s">
        <v>196</v>
      </c>
      <c r="F128" s="107">
        <v>2.0</v>
      </c>
      <c r="G128" s="110">
        <v>500.0</v>
      </c>
      <c r="H128" s="111">
        <f t="shared" si="1"/>
        <v>1000</v>
      </c>
      <c r="I128" s="105"/>
    </row>
    <row r="129">
      <c r="E129" s="107" t="s">
        <v>197</v>
      </c>
      <c r="F129" s="107">
        <v>0.5</v>
      </c>
      <c r="G129" s="110">
        <v>800.0</v>
      </c>
      <c r="H129" s="111">
        <f t="shared" si="1"/>
        <v>400</v>
      </c>
      <c r="I129" s="105"/>
    </row>
    <row r="130">
      <c r="E130" s="107" t="s">
        <v>198</v>
      </c>
      <c r="F130" s="107">
        <v>0.5</v>
      </c>
      <c r="G130" s="110">
        <v>2400.0</v>
      </c>
      <c r="H130" s="111">
        <f t="shared" si="1"/>
        <v>1200</v>
      </c>
      <c r="I130" s="105"/>
    </row>
    <row r="131">
      <c r="E131" s="107" t="s">
        <v>199</v>
      </c>
      <c r="F131" s="107">
        <v>1.0</v>
      </c>
      <c r="G131" s="110">
        <v>4500.0</v>
      </c>
      <c r="H131" s="111">
        <f t="shared" si="1"/>
        <v>4500</v>
      </c>
      <c r="I131" s="105"/>
    </row>
    <row r="132">
      <c r="E132" s="107" t="s">
        <v>200</v>
      </c>
      <c r="F132" s="107">
        <v>20.0</v>
      </c>
      <c r="G132" s="110">
        <v>130.0</v>
      </c>
      <c r="H132" s="111">
        <f t="shared" si="1"/>
        <v>2600</v>
      </c>
      <c r="I132" s="105"/>
    </row>
    <row r="133">
      <c r="E133" s="107" t="s">
        <v>97</v>
      </c>
      <c r="F133" s="107">
        <v>2.0</v>
      </c>
      <c r="G133" s="110">
        <v>500.0</v>
      </c>
      <c r="H133" s="111">
        <f t="shared" si="1"/>
        <v>1000</v>
      </c>
      <c r="I133" s="105"/>
    </row>
    <row r="134">
      <c r="E134" s="107" t="s">
        <v>201</v>
      </c>
      <c r="F134" s="107">
        <v>1.0</v>
      </c>
      <c r="G134" s="110">
        <v>1400.0</v>
      </c>
      <c r="H134" s="111">
        <f t="shared" si="1"/>
        <v>1400</v>
      </c>
      <c r="I134" s="105"/>
    </row>
    <row r="135">
      <c r="E135" s="107" t="s">
        <v>137</v>
      </c>
      <c r="F135" s="107">
        <v>1.5</v>
      </c>
      <c r="G135" s="110">
        <v>2400.0</v>
      </c>
      <c r="H135" s="111">
        <f t="shared" si="1"/>
        <v>3600</v>
      </c>
      <c r="I135" s="105"/>
    </row>
    <row r="136">
      <c r="E136" s="107" t="s">
        <v>170</v>
      </c>
      <c r="F136" s="107">
        <v>1.5</v>
      </c>
      <c r="G136" s="110">
        <v>1600.0</v>
      </c>
      <c r="H136" s="111">
        <f t="shared" si="1"/>
        <v>2400</v>
      </c>
      <c r="I136" s="105"/>
    </row>
    <row r="137">
      <c r="E137" s="107" t="s">
        <v>202</v>
      </c>
      <c r="F137" s="107">
        <v>0.25</v>
      </c>
      <c r="G137" s="110">
        <v>4000.0</v>
      </c>
      <c r="H137" s="111">
        <f t="shared" si="1"/>
        <v>1000</v>
      </c>
      <c r="I137" s="105"/>
    </row>
    <row r="138">
      <c r="E138" s="107" t="s">
        <v>162</v>
      </c>
      <c r="F138" s="107">
        <v>3.0</v>
      </c>
      <c r="G138" s="110">
        <v>1000.0</v>
      </c>
      <c r="H138" s="111">
        <f t="shared" si="1"/>
        <v>3000</v>
      </c>
      <c r="I138" s="105"/>
    </row>
    <row r="139">
      <c r="E139" s="107" t="s">
        <v>193</v>
      </c>
      <c r="F139" s="107">
        <v>11.0</v>
      </c>
      <c r="G139" s="110">
        <v>200.0</v>
      </c>
      <c r="H139" s="111">
        <f t="shared" si="1"/>
        <v>2200</v>
      </c>
      <c r="I139" s="105"/>
    </row>
    <row r="140">
      <c r="E140" s="107" t="s">
        <v>203</v>
      </c>
      <c r="F140" s="107">
        <v>75.0</v>
      </c>
      <c r="G140" s="110">
        <v>120.0</v>
      </c>
      <c r="H140" s="111">
        <f t="shared" si="1"/>
        <v>9000</v>
      </c>
      <c r="I140" s="105"/>
    </row>
    <row r="141">
      <c r="E141" s="107" t="s">
        <v>204</v>
      </c>
      <c r="F141" s="107">
        <v>2.0</v>
      </c>
      <c r="G141" s="110">
        <v>180.0</v>
      </c>
      <c r="H141" s="111">
        <f t="shared" si="1"/>
        <v>360</v>
      </c>
      <c r="I141" s="105"/>
    </row>
    <row r="142">
      <c r="E142" s="107" t="s">
        <v>205</v>
      </c>
      <c r="F142" s="107">
        <v>2.0</v>
      </c>
      <c r="G142" s="110">
        <v>100.0</v>
      </c>
      <c r="H142" s="111">
        <f t="shared" si="1"/>
        <v>200</v>
      </c>
      <c r="I142" s="105"/>
    </row>
    <row r="143">
      <c r="E143" s="107" t="s">
        <v>206</v>
      </c>
      <c r="F143" s="107">
        <v>2.0</v>
      </c>
      <c r="G143" s="110">
        <v>100.0</v>
      </c>
      <c r="H143" s="111">
        <f t="shared" si="1"/>
        <v>200</v>
      </c>
      <c r="I143" s="105"/>
    </row>
    <row r="144">
      <c r="E144" s="107" t="s">
        <v>207</v>
      </c>
      <c r="F144" s="107">
        <v>2.0</v>
      </c>
      <c r="G144" s="110">
        <v>100.0</v>
      </c>
      <c r="H144" s="111">
        <f t="shared" si="1"/>
        <v>200</v>
      </c>
      <c r="I144" s="105"/>
    </row>
    <row r="145">
      <c r="E145" s="107" t="s">
        <v>208</v>
      </c>
      <c r="F145" s="107">
        <v>3.0</v>
      </c>
      <c r="G145" s="110">
        <v>220.0</v>
      </c>
      <c r="H145" s="111">
        <f t="shared" si="1"/>
        <v>660</v>
      </c>
      <c r="I145" s="105"/>
    </row>
    <row r="146">
      <c r="E146" s="107" t="s">
        <v>163</v>
      </c>
      <c r="F146" s="107">
        <v>120.0</v>
      </c>
      <c r="G146" s="110">
        <v>50.0</v>
      </c>
      <c r="H146" s="111">
        <f t="shared" si="1"/>
        <v>6000</v>
      </c>
      <c r="I146" s="105"/>
    </row>
    <row r="147">
      <c r="E147" s="107" t="s">
        <v>209</v>
      </c>
      <c r="F147" s="107">
        <v>6.0</v>
      </c>
      <c r="G147" s="110">
        <v>25.0</v>
      </c>
      <c r="H147" s="111">
        <f t="shared" si="1"/>
        <v>150</v>
      </c>
      <c r="I147" s="105"/>
    </row>
    <row r="148">
      <c r="E148" s="107" t="s">
        <v>210</v>
      </c>
      <c r="F148" s="107">
        <v>1.0</v>
      </c>
      <c r="G148" s="110">
        <v>130.0</v>
      </c>
      <c r="H148" s="111">
        <f t="shared" si="1"/>
        <v>130</v>
      </c>
      <c r="I148" s="105"/>
    </row>
    <row r="149">
      <c r="E149" s="107" t="s">
        <v>178</v>
      </c>
      <c r="F149" s="107">
        <v>6.0</v>
      </c>
      <c r="G149" s="110">
        <v>100.0</v>
      </c>
      <c r="H149" s="111">
        <f t="shared" si="1"/>
        <v>600</v>
      </c>
      <c r="I149" s="105"/>
    </row>
    <row r="150">
      <c r="E150" s="107" t="s">
        <v>211</v>
      </c>
      <c r="F150" s="107">
        <v>1.0</v>
      </c>
      <c r="G150" s="110">
        <v>720.0</v>
      </c>
      <c r="H150" s="111">
        <f t="shared" si="1"/>
        <v>720</v>
      </c>
      <c r="I150" s="105"/>
    </row>
    <row r="151">
      <c r="E151" s="107" t="s">
        <v>145</v>
      </c>
      <c r="F151" s="107">
        <v>20.0</v>
      </c>
      <c r="G151" s="110">
        <v>40.0</v>
      </c>
      <c r="H151" s="111">
        <f t="shared" si="1"/>
        <v>800</v>
      </c>
      <c r="I151" s="105"/>
    </row>
    <row r="152">
      <c r="E152" s="107" t="s">
        <v>212</v>
      </c>
      <c r="F152" s="107">
        <v>1.0</v>
      </c>
      <c r="G152" s="110">
        <v>100.0</v>
      </c>
      <c r="H152" s="111">
        <f t="shared" si="1"/>
        <v>100</v>
      </c>
      <c r="I152" s="105"/>
    </row>
    <row r="153">
      <c r="E153" s="107" t="s">
        <v>158</v>
      </c>
      <c r="F153" s="107">
        <v>2.0</v>
      </c>
      <c r="G153" s="110">
        <v>1000.0</v>
      </c>
      <c r="H153" s="111">
        <f t="shared" si="1"/>
        <v>2000</v>
      </c>
      <c r="I153" s="105"/>
    </row>
    <row r="154">
      <c r="E154" s="107" t="s">
        <v>213</v>
      </c>
      <c r="F154" s="107">
        <v>1.5</v>
      </c>
      <c r="G154" s="110">
        <v>700.0</v>
      </c>
      <c r="H154" s="111">
        <f t="shared" si="1"/>
        <v>1050</v>
      </c>
      <c r="I154" s="105"/>
    </row>
    <row r="155">
      <c r="E155" s="107" t="s">
        <v>137</v>
      </c>
      <c r="F155" s="107">
        <v>0.75</v>
      </c>
      <c r="G155" s="110">
        <v>2400.0</v>
      </c>
      <c r="H155" s="111">
        <f t="shared" si="1"/>
        <v>1800</v>
      </c>
      <c r="I155" s="105"/>
    </row>
    <row r="156">
      <c r="E156" s="107" t="s">
        <v>164</v>
      </c>
      <c r="F156" s="107">
        <v>8.0</v>
      </c>
      <c r="G156" s="110">
        <v>100.0</v>
      </c>
      <c r="H156" s="111">
        <f t="shared" si="1"/>
        <v>800</v>
      </c>
      <c r="I156" s="105"/>
    </row>
    <row r="157">
      <c r="E157" s="107" t="s">
        <v>214</v>
      </c>
      <c r="F157" s="107">
        <v>1.0</v>
      </c>
      <c r="G157" s="110">
        <v>200.0</v>
      </c>
      <c r="H157" s="111">
        <f t="shared" si="1"/>
        <v>200</v>
      </c>
      <c r="I157" s="105"/>
    </row>
    <row r="158">
      <c r="E158" s="107" t="s">
        <v>196</v>
      </c>
      <c r="F158" s="107">
        <v>2.0</v>
      </c>
      <c r="G158" s="110">
        <v>500.0</v>
      </c>
      <c r="H158" s="111">
        <f t="shared" si="1"/>
        <v>1000</v>
      </c>
      <c r="I158" s="105"/>
    </row>
    <row r="159">
      <c r="E159" s="107" t="s">
        <v>215</v>
      </c>
      <c r="F159" s="107">
        <v>1.0</v>
      </c>
      <c r="G159" s="110">
        <v>2200.0</v>
      </c>
      <c r="H159" s="111">
        <f t="shared" si="1"/>
        <v>2200</v>
      </c>
      <c r="I159" s="105"/>
    </row>
    <row r="160">
      <c r="E160" s="107" t="s">
        <v>216</v>
      </c>
      <c r="F160" s="107">
        <v>1.0</v>
      </c>
      <c r="G160" s="110">
        <v>600.0</v>
      </c>
      <c r="H160" s="111">
        <f t="shared" si="1"/>
        <v>600</v>
      </c>
      <c r="I160" s="105"/>
    </row>
    <row r="161">
      <c r="E161" s="107" t="s">
        <v>187</v>
      </c>
      <c r="F161" s="107">
        <v>5.0</v>
      </c>
      <c r="G161" s="110">
        <v>80.0</v>
      </c>
      <c r="H161" s="111">
        <f t="shared" si="1"/>
        <v>400</v>
      </c>
      <c r="I161" s="105"/>
    </row>
    <row r="162">
      <c r="E162" s="107" t="s">
        <v>217</v>
      </c>
      <c r="F162" s="107">
        <v>0.5</v>
      </c>
      <c r="G162" s="110">
        <v>400.0</v>
      </c>
      <c r="H162" s="111">
        <f t="shared" si="1"/>
        <v>200</v>
      </c>
      <c r="I162" s="105"/>
    </row>
    <row r="163">
      <c r="E163" s="107" t="s">
        <v>218</v>
      </c>
      <c r="F163" s="107">
        <v>15.0</v>
      </c>
      <c r="G163" s="110">
        <v>20.0</v>
      </c>
      <c r="H163" s="111">
        <f t="shared" si="1"/>
        <v>300</v>
      </c>
      <c r="I163" s="105"/>
    </row>
    <row r="164">
      <c r="E164" s="107" t="s">
        <v>219</v>
      </c>
      <c r="F164" s="107">
        <v>15.0</v>
      </c>
      <c r="G164" s="110">
        <v>35.0</v>
      </c>
      <c r="H164" s="111">
        <f t="shared" si="1"/>
        <v>525</v>
      </c>
      <c r="I164" s="105"/>
    </row>
    <row r="165">
      <c r="E165" s="107" t="s">
        <v>193</v>
      </c>
      <c r="F165" s="107">
        <v>3.0</v>
      </c>
      <c r="G165" s="110">
        <v>200.0</v>
      </c>
      <c r="H165" s="111">
        <f t="shared" si="1"/>
        <v>600</v>
      </c>
      <c r="I165" s="105"/>
    </row>
    <row r="166">
      <c r="E166" s="107" t="s">
        <v>159</v>
      </c>
      <c r="F166" s="107">
        <v>1.0</v>
      </c>
      <c r="G166" s="110">
        <v>500.0</v>
      </c>
      <c r="H166" s="111">
        <f t="shared" si="1"/>
        <v>500</v>
      </c>
      <c r="I166" s="105"/>
    </row>
    <row r="167">
      <c r="E167" s="107" t="s">
        <v>165</v>
      </c>
      <c r="F167" s="107">
        <v>10.0</v>
      </c>
      <c r="G167" s="110">
        <v>120.0</v>
      </c>
      <c r="H167" s="111">
        <f t="shared" si="1"/>
        <v>1200</v>
      </c>
      <c r="I167" s="105"/>
    </row>
    <row r="168">
      <c r="E168" s="107" t="s">
        <v>220</v>
      </c>
      <c r="F168" s="107">
        <v>1.0</v>
      </c>
      <c r="G168" s="110">
        <v>3000.0</v>
      </c>
      <c r="H168" s="111">
        <f t="shared" si="1"/>
        <v>3000</v>
      </c>
      <c r="I168" s="105"/>
    </row>
    <row r="169">
      <c r="E169" s="107" t="s">
        <v>182</v>
      </c>
      <c r="F169" s="107">
        <v>1.0</v>
      </c>
      <c r="G169" s="110">
        <v>1000.0</v>
      </c>
      <c r="H169" s="111">
        <f t="shared" si="1"/>
        <v>1000</v>
      </c>
      <c r="I169" s="105"/>
    </row>
    <row r="170">
      <c r="E170" s="107" t="s">
        <v>221</v>
      </c>
      <c r="F170" s="107">
        <v>1.0</v>
      </c>
      <c r="G170" s="110">
        <v>1000.0</v>
      </c>
      <c r="H170" s="111">
        <f t="shared" si="1"/>
        <v>1000</v>
      </c>
      <c r="I170" s="105"/>
    </row>
    <row r="171">
      <c r="E171" s="107" t="s">
        <v>112</v>
      </c>
      <c r="F171" s="107">
        <v>12.0</v>
      </c>
      <c r="G171" s="110">
        <v>325.0</v>
      </c>
      <c r="H171" s="111">
        <f t="shared" si="1"/>
        <v>3900</v>
      </c>
      <c r="I171" s="105"/>
    </row>
    <row r="172">
      <c r="E172" s="107" t="s">
        <v>222</v>
      </c>
      <c r="F172" s="107">
        <v>24.0</v>
      </c>
      <c r="G172" s="110">
        <v>270.0</v>
      </c>
      <c r="H172" s="111">
        <f t="shared" si="1"/>
        <v>6480</v>
      </c>
      <c r="I172" s="105"/>
    </row>
    <row r="173">
      <c r="E173" s="107" t="s">
        <v>118</v>
      </c>
      <c r="F173" s="107">
        <v>9.0</v>
      </c>
      <c r="G173" s="110">
        <v>950.0</v>
      </c>
      <c r="H173" s="111">
        <f t="shared" si="1"/>
        <v>8550</v>
      </c>
      <c r="I173" s="105"/>
    </row>
    <row r="174">
      <c r="E174" s="107" t="s">
        <v>223</v>
      </c>
      <c r="F174" s="107">
        <v>14.0</v>
      </c>
      <c r="G174" s="110">
        <v>190.0</v>
      </c>
      <c r="H174" s="111">
        <f t="shared" si="1"/>
        <v>2660</v>
      </c>
      <c r="I174" s="105"/>
    </row>
    <row r="175">
      <c r="E175" s="107" t="s">
        <v>148</v>
      </c>
      <c r="F175" s="107">
        <v>63.0</v>
      </c>
      <c r="G175" s="110">
        <v>84.0</v>
      </c>
      <c r="H175" s="111">
        <f t="shared" si="1"/>
        <v>5292</v>
      </c>
      <c r="I175" s="105"/>
    </row>
    <row r="176">
      <c r="E176" s="107" t="s">
        <v>224</v>
      </c>
      <c r="F176" s="107">
        <v>4.0</v>
      </c>
      <c r="G176" s="110">
        <v>800.0</v>
      </c>
      <c r="H176" s="111">
        <f t="shared" si="1"/>
        <v>3200</v>
      </c>
      <c r="I176" s="105"/>
    </row>
    <row r="177">
      <c r="E177" s="107" t="s">
        <v>225</v>
      </c>
      <c r="F177" s="107">
        <v>16.0</v>
      </c>
      <c r="G177" s="110">
        <v>120.0</v>
      </c>
      <c r="H177" s="111">
        <f t="shared" si="1"/>
        <v>1920</v>
      </c>
      <c r="I177" s="105"/>
    </row>
    <row r="178">
      <c r="E178" s="107" t="s">
        <v>226</v>
      </c>
      <c r="F178" s="107">
        <v>16.0</v>
      </c>
      <c r="G178" s="110">
        <v>100.0</v>
      </c>
      <c r="H178" s="111">
        <f t="shared" si="1"/>
        <v>1600</v>
      </c>
      <c r="I178" s="105"/>
    </row>
    <row r="179">
      <c r="E179" s="107" t="s">
        <v>145</v>
      </c>
      <c r="F179" s="107">
        <v>24.0</v>
      </c>
      <c r="G179" s="110">
        <v>60.0</v>
      </c>
      <c r="H179" s="111">
        <f t="shared" si="1"/>
        <v>1440</v>
      </c>
      <c r="I179" s="105"/>
    </row>
    <row r="180">
      <c r="E180" s="107" t="s">
        <v>137</v>
      </c>
      <c r="F180" s="107">
        <v>3.45</v>
      </c>
      <c r="G180" s="110">
        <v>1800.0</v>
      </c>
      <c r="H180" s="111">
        <f t="shared" si="1"/>
        <v>6210</v>
      </c>
      <c r="I180" s="105"/>
    </row>
    <row r="181">
      <c r="E181" s="107" t="s">
        <v>139</v>
      </c>
      <c r="F181" s="107">
        <v>4.0</v>
      </c>
      <c r="G181" s="110">
        <v>1350.0</v>
      </c>
      <c r="H181" s="111">
        <f t="shared" si="1"/>
        <v>5400</v>
      </c>
      <c r="I181" s="105"/>
    </row>
    <row r="182">
      <c r="E182" s="107" t="s">
        <v>97</v>
      </c>
      <c r="F182" s="107">
        <v>12.0</v>
      </c>
      <c r="G182" s="110">
        <v>440.0</v>
      </c>
      <c r="H182" s="111">
        <f t="shared" si="1"/>
        <v>5280</v>
      </c>
      <c r="I182" s="105"/>
    </row>
    <row r="183">
      <c r="E183" s="107" t="s">
        <v>141</v>
      </c>
      <c r="F183" s="107">
        <v>8.0</v>
      </c>
      <c r="G183" s="110">
        <v>480.0</v>
      </c>
      <c r="H183" s="111">
        <f t="shared" si="1"/>
        <v>3840</v>
      </c>
      <c r="I183" s="105"/>
    </row>
    <row r="184">
      <c r="E184" s="107" t="s">
        <v>101</v>
      </c>
      <c r="F184" s="107">
        <v>15.0</v>
      </c>
      <c r="G184" s="110">
        <v>30.0</v>
      </c>
      <c r="H184" s="111">
        <f t="shared" si="1"/>
        <v>450</v>
      </c>
      <c r="I184" s="105"/>
    </row>
    <row r="185">
      <c r="E185" s="107" t="s">
        <v>227</v>
      </c>
      <c r="F185" s="107">
        <v>20.0</v>
      </c>
      <c r="G185" s="110">
        <v>600.0</v>
      </c>
      <c r="H185" s="111">
        <f t="shared" si="1"/>
        <v>12000</v>
      </c>
      <c r="I185" s="105"/>
    </row>
    <row r="186">
      <c r="E186" s="107" t="s">
        <v>100</v>
      </c>
      <c r="F186" s="107">
        <v>32.0</v>
      </c>
      <c r="G186" s="110">
        <v>176.0</v>
      </c>
      <c r="H186" s="111">
        <f t="shared" si="1"/>
        <v>5632</v>
      </c>
      <c r="I186" s="105"/>
    </row>
    <row r="187">
      <c r="E187" s="107" t="s">
        <v>228</v>
      </c>
      <c r="F187" s="107">
        <v>1.0</v>
      </c>
      <c r="G187" s="110">
        <v>600.0</v>
      </c>
      <c r="H187" s="111">
        <f t="shared" si="1"/>
        <v>600</v>
      </c>
      <c r="I187" s="105"/>
    </row>
    <row r="188">
      <c r="E188" s="107" t="s">
        <v>229</v>
      </c>
      <c r="F188" s="107">
        <v>4.5</v>
      </c>
      <c r="G188" s="110">
        <v>700.0</v>
      </c>
      <c r="H188" s="111">
        <f t="shared" si="1"/>
        <v>3150</v>
      </c>
      <c r="I188" s="14" t="s">
        <v>230</v>
      </c>
    </row>
    <row r="189">
      <c r="E189" s="107" t="s">
        <v>165</v>
      </c>
      <c r="F189" s="107">
        <v>5.0</v>
      </c>
      <c r="G189" s="110">
        <v>120.0</v>
      </c>
      <c r="H189" s="111">
        <f t="shared" si="1"/>
        <v>600</v>
      </c>
      <c r="I189" s="105"/>
    </row>
    <row r="190">
      <c r="E190" s="107" t="s">
        <v>231</v>
      </c>
      <c r="F190" s="107">
        <v>2.0</v>
      </c>
      <c r="G190" s="110">
        <v>500.0</v>
      </c>
      <c r="H190" s="111">
        <f t="shared" si="1"/>
        <v>1000</v>
      </c>
      <c r="I190" s="105"/>
    </row>
    <row r="191">
      <c r="E191" s="107" t="s">
        <v>178</v>
      </c>
      <c r="F191" s="107">
        <v>10.0</v>
      </c>
      <c r="G191" s="110">
        <v>100.0</v>
      </c>
      <c r="H191" s="111">
        <f t="shared" si="1"/>
        <v>1000</v>
      </c>
      <c r="I191" s="105"/>
    </row>
    <row r="192">
      <c r="E192" s="107" t="s">
        <v>164</v>
      </c>
      <c r="F192" s="107">
        <v>2.0</v>
      </c>
      <c r="G192" s="110">
        <v>100.0</v>
      </c>
      <c r="H192" s="111">
        <f t="shared" si="1"/>
        <v>200</v>
      </c>
      <c r="I192" s="105"/>
    </row>
    <row r="193">
      <c r="E193" s="107" t="s">
        <v>232</v>
      </c>
      <c r="F193" s="107">
        <v>1.0</v>
      </c>
      <c r="G193" s="110">
        <v>150.0</v>
      </c>
      <c r="H193" s="111">
        <f t="shared" si="1"/>
        <v>150</v>
      </c>
      <c r="I193" s="105"/>
    </row>
    <row r="194">
      <c r="E194" s="107" t="s">
        <v>233</v>
      </c>
      <c r="F194" s="107">
        <v>1.0</v>
      </c>
      <c r="G194" s="110">
        <v>100.0</v>
      </c>
      <c r="H194" s="111">
        <f t="shared" si="1"/>
        <v>100</v>
      </c>
      <c r="I194" s="14" t="s">
        <v>234</v>
      </c>
    </row>
    <row r="195">
      <c r="E195" s="107" t="s">
        <v>204</v>
      </c>
      <c r="F195" s="107">
        <v>1.0</v>
      </c>
      <c r="G195" s="110">
        <v>120.0</v>
      </c>
      <c r="H195" s="111">
        <f t="shared" si="1"/>
        <v>120</v>
      </c>
      <c r="I195" s="14"/>
    </row>
    <row r="196">
      <c r="E196" s="107" t="s">
        <v>235</v>
      </c>
      <c r="F196" s="107">
        <v>1.0</v>
      </c>
      <c r="G196" s="110">
        <v>180.0</v>
      </c>
      <c r="H196" s="111">
        <f t="shared" si="1"/>
        <v>180</v>
      </c>
      <c r="I196" s="14"/>
    </row>
    <row r="197">
      <c r="E197" s="107" t="s">
        <v>236</v>
      </c>
      <c r="F197" s="107">
        <v>1.0</v>
      </c>
      <c r="G197" s="110">
        <v>60.0</v>
      </c>
      <c r="H197" s="111">
        <f t="shared" si="1"/>
        <v>60</v>
      </c>
      <c r="I197" s="14"/>
    </row>
    <row r="198">
      <c r="E198" s="107" t="s">
        <v>205</v>
      </c>
      <c r="F198" s="107">
        <v>1.0</v>
      </c>
      <c r="G198" s="110">
        <v>100.0</v>
      </c>
      <c r="H198" s="111">
        <f t="shared" si="1"/>
        <v>100</v>
      </c>
      <c r="I198" s="14" t="s">
        <v>234</v>
      </c>
    </row>
    <row r="199">
      <c r="E199" s="107" t="s">
        <v>237</v>
      </c>
      <c r="F199" s="107">
        <v>1.0</v>
      </c>
      <c r="G199" s="110">
        <v>2500.0</v>
      </c>
      <c r="H199" s="111">
        <f t="shared" si="1"/>
        <v>2500</v>
      </c>
      <c r="I199" s="105"/>
    </row>
    <row r="200">
      <c r="E200" s="107" t="s">
        <v>178</v>
      </c>
      <c r="F200" s="107">
        <v>10.0</v>
      </c>
      <c r="G200" s="110">
        <v>100.0</v>
      </c>
      <c r="H200" s="111">
        <f t="shared" si="1"/>
        <v>1000</v>
      </c>
      <c r="I200" s="105"/>
    </row>
    <row r="201">
      <c r="E201" s="107" t="s">
        <v>158</v>
      </c>
      <c r="F201" s="107">
        <v>2.0</v>
      </c>
      <c r="G201" s="110">
        <v>1000.0</v>
      </c>
      <c r="H201" s="111">
        <f t="shared" si="1"/>
        <v>2000</v>
      </c>
      <c r="I201" s="105"/>
    </row>
    <row r="202">
      <c r="E202" s="107" t="s">
        <v>238</v>
      </c>
      <c r="F202" s="107">
        <v>2.0</v>
      </c>
      <c r="G202" s="110">
        <v>30.0</v>
      </c>
      <c r="H202" s="111">
        <f t="shared" si="1"/>
        <v>60</v>
      </c>
      <c r="I202" s="105"/>
    </row>
    <row r="203">
      <c r="E203" s="107" t="s">
        <v>239</v>
      </c>
      <c r="F203" s="107">
        <v>20.0</v>
      </c>
      <c r="G203" s="110">
        <v>70.0</v>
      </c>
      <c r="H203" s="111">
        <f t="shared" si="1"/>
        <v>1400</v>
      </c>
      <c r="I203" s="105"/>
    </row>
    <row r="204">
      <c r="E204" s="107" t="s">
        <v>240</v>
      </c>
      <c r="F204" s="107">
        <v>6.0</v>
      </c>
      <c r="G204" s="110">
        <v>200.0</v>
      </c>
      <c r="H204" s="111">
        <f t="shared" si="1"/>
        <v>1200</v>
      </c>
      <c r="I204" s="105"/>
    </row>
    <row r="205">
      <c r="E205" s="107" t="s">
        <v>241</v>
      </c>
      <c r="F205" s="107">
        <v>4.0</v>
      </c>
      <c r="G205" s="110">
        <v>200.0</v>
      </c>
      <c r="H205" s="111">
        <f t="shared" si="1"/>
        <v>800</v>
      </c>
      <c r="I205" s="105"/>
    </row>
    <row r="206">
      <c r="E206" s="107" t="s">
        <v>242</v>
      </c>
      <c r="F206" s="107">
        <v>1.0</v>
      </c>
      <c r="G206" s="110">
        <v>550.0</v>
      </c>
      <c r="H206" s="111">
        <f t="shared" si="1"/>
        <v>550</v>
      </c>
      <c r="I206" s="105"/>
    </row>
    <row r="207">
      <c r="E207" s="107" t="s">
        <v>243</v>
      </c>
      <c r="F207" s="107">
        <v>1.0</v>
      </c>
      <c r="G207" s="110">
        <v>1000.0</v>
      </c>
      <c r="H207" s="111">
        <f t="shared" si="1"/>
        <v>1000</v>
      </c>
      <c r="I207" s="105"/>
    </row>
    <row r="208">
      <c r="E208" s="107" t="s">
        <v>244</v>
      </c>
      <c r="F208" s="107">
        <v>4.3</v>
      </c>
      <c r="G208" s="110">
        <v>700.0</v>
      </c>
      <c r="H208" s="111">
        <f t="shared" si="1"/>
        <v>3010</v>
      </c>
      <c r="I208" s="14" t="s">
        <v>245</v>
      </c>
    </row>
    <row r="209">
      <c r="E209" s="107" t="s">
        <v>232</v>
      </c>
      <c r="F209" s="107">
        <v>1.0</v>
      </c>
      <c r="G209" s="110">
        <v>150.0</v>
      </c>
      <c r="H209" s="111">
        <f t="shared" si="1"/>
        <v>150</v>
      </c>
      <c r="I209" s="105"/>
    </row>
    <row r="210">
      <c r="E210" s="107" t="s">
        <v>246</v>
      </c>
      <c r="F210" s="107">
        <v>2.0</v>
      </c>
      <c r="G210" s="110">
        <v>100.0</v>
      </c>
      <c r="H210" s="111">
        <f t="shared" si="1"/>
        <v>200</v>
      </c>
      <c r="I210" s="105"/>
    </row>
    <row r="211">
      <c r="E211" s="107" t="s">
        <v>159</v>
      </c>
      <c r="F211" s="107">
        <v>1.0</v>
      </c>
      <c r="G211" s="110">
        <v>500.0</v>
      </c>
      <c r="H211" s="111">
        <f t="shared" si="1"/>
        <v>500</v>
      </c>
      <c r="I211" s="105"/>
    </row>
    <row r="212">
      <c r="E212" s="107" t="s">
        <v>178</v>
      </c>
      <c r="F212" s="107">
        <v>5.0</v>
      </c>
      <c r="G212" s="110">
        <v>100.0</v>
      </c>
      <c r="H212" s="111">
        <f t="shared" si="1"/>
        <v>500</v>
      </c>
      <c r="I212" s="105"/>
    </row>
    <row r="213">
      <c r="E213" s="107" t="s">
        <v>141</v>
      </c>
      <c r="F213" s="107">
        <v>2.0</v>
      </c>
      <c r="G213" s="110">
        <v>450.0</v>
      </c>
      <c r="H213" s="111">
        <f t="shared" si="1"/>
        <v>900</v>
      </c>
      <c r="I213" s="105"/>
    </row>
    <row r="214">
      <c r="E214" s="107" t="s">
        <v>165</v>
      </c>
      <c r="F214" s="107">
        <v>10.0</v>
      </c>
      <c r="G214" s="110">
        <v>120.0</v>
      </c>
      <c r="H214" s="111">
        <f t="shared" si="1"/>
        <v>1200</v>
      </c>
      <c r="I214" s="105"/>
    </row>
    <row r="215">
      <c r="E215" s="107" t="s">
        <v>247</v>
      </c>
      <c r="F215" s="107">
        <v>2.5</v>
      </c>
      <c r="G215" s="110">
        <v>3500.0</v>
      </c>
      <c r="H215" s="111">
        <f t="shared" si="1"/>
        <v>8750</v>
      </c>
      <c r="I215" s="14" t="s">
        <v>248</v>
      </c>
    </row>
    <row r="216">
      <c r="E216" s="107" t="s">
        <v>249</v>
      </c>
      <c r="F216" s="107">
        <v>188.0</v>
      </c>
      <c r="G216" s="110">
        <v>60.0</v>
      </c>
      <c r="H216" s="111">
        <f t="shared" si="1"/>
        <v>11280</v>
      </c>
      <c r="I216" s="105"/>
    </row>
    <row r="217">
      <c r="E217" s="107" t="s">
        <v>250</v>
      </c>
      <c r="F217" s="107">
        <v>10.0</v>
      </c>
      <c r="G217" s="110">
        <v>20.0</v>
      </c>
      <c r="H217" s="111">
        <f t="shared" si="1"/>
        <v>200</v>
      </c>
      <c r="I217" s="105"/>
    </row>
    <row r="218">
      <c r="E218" s="107" t="s">
        <v>251</v>
      </c>
      <c r="F218" s="107">
        <v>10.0</v>
      </c>
      <c r="G218" s="110">
        <v>40.0</v>
      </c>
      <c r="H218" s="111">
        <f t="shared" si="1"/>
        <v>400</v>
      </c>
      <c r="I218" s="105"/>
    </row>
    <row r="219">
      <c r="E219" s="107" t="s">
        <v>252</v>
      </c>
      <c r="F219" s="107">
        <v>2.66</v>
      </c>
      <c r="G219" s="110">
        <v>750.0</v>
      </c>
      <c r="H219" s="111">
        <f t="shared" si="1"/>
        <v>1995</v>
      </c>
      <c r="I219" s="105"/>
    </row>
    <row r="220">
      <c r="E220" s="107" t="s">
        <v>253</v>
      </c>
      <c r="F220" s="107">
        <v>1.0</v>
      </c>
      <c r="G220" s="110">
        <v>650.0</v>
      </c>
      <c r="H220" s="111">
        <f t="shared" si="1"/>
        <v>650</v>
      </c>
      <c r="I220" s="105"/>
    </row>
    <row r="221">
      <c r="E221" s="107" t="s">
        <v>254</v>
      </c>
      <c r="F221" s="107">
        <v>1.0</v>
      </c>
      <c r="G221" s="110">
        <v>950.0</v>
      </c>
      <c r="H221" s="111">
        <f t="shared" si="1"/>
        <v>950</v>
      </c>
      <c r="I221" s="14" t="s">
        <v>255</v>
      </c>
    </row>
    <row r="222">
      <c r="E222" s="107" t="s">
        <v>158</v>
      </c>
      <c r="F222" s="107">
        <v>1.0</v>
      </c>
      <c r="G222" s="110">
        <v>1000.0</v>
      </c>
      <c r="H222" s="111">
        <f t="shared" si="1"/>
        <v>1000</v>
      </c>
      <c r="I222" s="105"/>
    </row>
    <row r="223">
      <c r="E223" s="107" t="s">
        <v>256</v>
      </c>
      <c r="F223" s="107">
        <v>1.5</v>
      </c>
      <c r="G223" s="110">
        <v>750.0</v>
      </c>
      <c r="H223" s="111">
        <f t="shared" si="1"/>
        <v>1125</v>
      </c>
      <c r="I223" s="105"/>
    </row>
    <row r="224">
      <c r="E224" s="107" t="s">
        <v>191</v>
      </c>
      <c r="F224" s="107">
        <v>1.0</v>
      </c>
      <c r="G224" s="110">
        <v>600.0</v>
      </c>
      <c r="H224" s="111">
        <f t="shared" si="1"/>
        <v>600</v>
      </c>
      <c r="I224" s="105"/>
    </row>
    <row r="225">
      <c r="E225" s="107" t="s">
        <v>257</v>
      </c>
      <c r="F225" s="107">
        <v>3.0</v>
      </c>
      <c r="G225" s="110">
        <v>30.0</v>
      </c>
      <c r="H225" s="111">
        <f t="shared" si="1"/>
        <v>90</v>
      </c>
      <c r="I225" s="105"/>
    </row>
    <row r="226">
      <c r="E226" s="107" t="s">
        <v>258</v>
      </c>
      <c r="F226" s="107">
        <v>3.0</v>
      </c>
      <c r="G226" s="110">
        <v>200.0</v>
      </c>
      <c r="H226" s="111">
        <f t="shared" si="1"/>
        <v>600</v>
      </c>
      <c r="I226" s="105"/>
    </row>
    <row r="227">
      <c r="E227" s="107" t="s">
        <v>259</v>
      </c>
      <c r="F227" s="107">
        <v>1.0</v>
      </c>
      <c r="G227" s="110">
        <v>2000.0</v>
      </c>
      <c r="H227" s="111">
        <f t="shared" si="1"/>
        <v>2000</v>
      </c>
      <c r="I227" s="105"/>
    </row>
    <row r="228">
      <c r="E228" s="107" t="s">
        <v>260</v>
      </c>
      <c r="F228" s="107">
        <v>1.0</v>
      </c>
      <c r="G228" s="110">
        <v>1500.0</v>
      </c>
      <c r="H228" s="111">
        <f t="shared" si="1"/>
        <v>1500</v>
      </c>
      <c r="I228" s="105"/>
    </row>
    <row r="229">
      <c r="E229" s="112" t="s">
        <v>261</v>
      </c>
      <c r="F229" s="112">
        <v>1.0</v>
      </c>
      <c r="G229" s="113">
        <v>20000.0</v>
      </c>
      <c r="H229" s="114">
        <f t="shared" si="1"/>
        <v>20000</v>
      </c>
      <c r="I229" s="14" t="s">
        <v>262</v>
      </c>
    </row>
    <row r="230">
      <c r="E230" s="107" t="s">
        <v>263</v>
      </c>
      <c r="F230" s="107">
        <v>3.9</v>
      </c>
      <c r="G230" s="110">
        <v>770.0</v>
      </c>
      <c r="H230" s="111">
        <f t="shared" si="1"/>
        <v>3003</v>
      </c>
      <c r="I230" s="105"/>
    </row>
    <row r="231">
      <c r="E231" s="107" t="s">
        <v>165</v>
      </c>
      <c r="F231" s="107">
        <v>1.0</v>
      </c>
      <c r="G231" s="110">
        <v>100.0</v>
      </c>
      <c r="H231" s="111">
        <f t="shared" si="1"/>
        <v>100</v>
      </c>
      <c r="I231" s="105"/>
    </row>
    <row r="232">
      <c r="E232" s="107" t="s">
        <v>264</v>
      </c>
      <c r="F232" s="107">
        <v>4.3</v>
      </c>
      <c r="G232" s="110">
        <v>700.0</v>
      </c>
      <c r="H232" s="111">
        <f t="shared" si="1"/>
        <v>3010</v>
      </c>
      <c r="I232" s="14" t="s">
        <v>265</v>
      </c>
    </row>
    <row r="233">
      <c r="E233" s="107" t="s">
        <v>163</v>
      </c>
      <c r="F233" s="107">
        <v>20.0</v>
      </c>
      <c r="G233" s="110">
        <v>50.0</v>
      </c>
      <c r="H233" s="111">
        <f t="shared" si="1"/>
        <v>1000</v>
      </c>
      <c r="I233" s="105"/>
    </row>
    <row r="234">
      <c r="E234" s="107" t="s">
        <v>266</v>
      </c>
      <c r="F234" s="107">
        <v>2.0</v>
      </c>
      <c r="G234" s="110">
        <v>150.0</v>
      </c>
      <c r="H234" s="111">
        <f t="shared" si="1"/>
        <v>300</v>
      </c>
      <c r="I234" s="105"/>
    </row>
    <row r="235">
      <c r="E235" s="107" t="s">
        <v>257</v>
      </c>
      <c r="F235" s="107">
        <v>5.0</v>
      </c>
      <c r="G235" s="110">
        <v>30.0</v>
      </c>
      <c r="H235" s="111">
        <f t="shared" si="1"/>
        <v>150</v>
      </c>
      <c r="I235" s="105"/>
    </row>
    <row r="236">
      <c r="E236" s="107" t="s">
        <v>165</v>
      </c>
      <c r="F236" s="107">
        <v>5.0</v>
      </c>
      <c r="G236" s="110">
        <v>120.0</v>
      </c>
      <c r="H236" s="111">
        <f t="shared" si="1"/>
        <v>600</v>
      </c>
      <c r="I236" s="105"/>
    </row>
    <row r="237">
      <c r="E237" s="107" t="s">
        <v>267</v>
      </c>
      <c r="F237" s="107">
        <v>1.0</v>
      </c>
      <c r="G237" s="110">
        <v>1100.0</v>
      </c>
      <c r="H237" s="111">
        <f t="shared" si="1"/>
        <v>1100</v>
      </c>
      <c r="I237" s="105"/>
    </row>
    <row r="238">
      <c r="E238" s="107" t="s">
        <v>189</v>
      </c>
      <c r="F238" s="107">
        <v>1.0</v>
      </c>
      <c r="G238" s="110">
        <v>100.0</v>
      </c>
      <c r="H238" s="111">
        <f t="shared" si="1"/>
        <v>100</v>
      </c>
      <c r="I238" s="105"/>
    </row>
    <row r="239">
      <c r="E239" s="107" t="s">
        <v>232</v>
      </c>
      <c r="F239" s="107">
        <v>1.0</v>
      </c>
      <c r="G239" s="110">
        <v>150.0</v>
      </c>
      <c r="H239" s="111">
        <f t="shared" si="1"/>
        <v>150</v>
      </c>
      <c r="I239" s="105"/>
    </row>
    <row r="240">
      <c r="E240" s="107" t="s">
        <v>163</v>
      </c>
      <c r="F240" s="107">
        <v>30.0</v>
      </c>
      <c r="G240" s="110">
        <v>50.0</v>
      </c>
      <c r="H240" s="111">
        <f t="shared" si="1"/>
        <v>1500</v>
      </c>
      <c r="I240" s="14" t="s">
        <v>268</v>
      </c>
    </row>
    <row r="241">
      <c r="E241" s="107" t="s">
        <v>165</v>
      </c>
      <c r="F241" s="107">
        <v>10.0</v>
      </c>
      <c r="G241" s="110">
        <v>120.0</v>
      </c>
      <c r="H241" s="111">
        <f t="shared" si="1"/>
        <v>1200</v>
      </c>
      <c r="I241" s="105"/>
    </row>
    <row r="242">
      <c r="E242" s="107" t="s">
        <v>168</v>
      </c>
      <c r="F242" s="107">
        <v>3.0</v>
      </c>
      <c r="G242" s="110">
        <v>250.0</v>
      </c>
      <c r="H242" s="111">
        <f t="shared" si="1"/>
        <v>750</v>
      </c>
      <c r="I242" s="105"/>
    </row>
    <row r="243">
      <c r="E243" s="107" t="s">
        <v>150</v>
      </c>
      <c r="F243" s="107">
        <v>2.0</v>
      </c>
      <c r="G243" s="110">
        <v>100.0</v>
      </c>
      <c r="H243" s="111">
        <f t="shared" si="1"/>
        <v>200</v>
      </c>
      <c r="I243" s="105"/>
    </row>
    <row r="244">
      <c r="E244" s="107" t="s">
        <v>269</v>
      </c>
      <c r="F244" s="107">
        <v>1.0</v>
      </c>
      <c r="G244" s="110">
        <v>200.0</v>
      </c>
      <c r="H244" s="111">
        <f t="shared" si="1"/>
        <v>200</v>
      </c>
      <c r="I244" s="105"/>
    </row>
    <row r="245">
      <c r="E245" s="107" t="s">
        <v>270</v>
      </c>
      <c r="F245" s="107">
        <v>1.5</v>
      </c>
      <c r="G245" s="110">
        <v>700.0</v>
      </c>
      <c r="H245" s="111">
        <f t="shared" si="1"/>
        <v>1050</v>
      </c>
      <c r="I245" s="14" t="s">
        <v>271</v>
      </c>
    </row>
    <row r="246">
      <c r="E246" s="107" t="s">
        <v>240</v>
      </c>
      <c r="F246" s="107">
        <v>10.0</v>
      </c>
      <c r="G246" s="110">
        <v>170.0</v>
      </c>
      <c r="H246" s="111">
        <f t="shared" si="1"/>
        <v>1700</v>
      </c>
      <c r="I246" s="105"/>
    </row>
    <row r="247">
      <c r="E247" s="107" t="s">
        <v>112</v>
      </c>
      <c r="F247" s="107">
        <v>1.0</v>
      </c>
      <c r="G247" s="110">
        <v>400.0</v>
      </c>
      <c r="H247" s="111">
        <f t="shared" si="1"/>
        <v>400</v>
      </c>
      <c r="I247" s="105"/>
    </row>
    <row r="248">
      <c r="E248" s="107" t="s">
        <v>269</v>
      </c>
      <c r="F248" s="107">
        <v>1.0</v>
      </c>
      <c r="G248" s="110">
        <v>250.0</v>
      </c>
      <c r="H248" s="111">
        <f t="shared" si="1"/>
        <v>250</v>
      </c>
      <c r="I248" s="105"/>
    </row>
    <row r="249">
      <c r="E249" s="107" t="s">
        <v>272</v>
      </c>
      <c r="F249" s="107">
        <v>1.0</v>
      </c>
      <c r="G249" s="110">
        <v>250.0</v>
      </c>
      <c r="H249" s="111">
        <f t="shared" si="1"/>
        <v>250</v>
      </c>
      <c r="I249" s="105"/>
    </row>
    <row r="250">
      <c r="E250" s="107" t="s">
        <v>231</v>
      </c>
      <c r="F250" s="107">
        <v>3.0</v>
      </c>
      <c r="G250" s="110">
        <v>220.0</v>
      </c>
      <c r="H250" s="111">
        <f t="shared" si="1"/>
        <v>660</v>
      </c>
      <c r="I250" s="105"/>
    </row>
    <row r="251">
      <c r="E251" s="107" t="s">
        <v>182</v>
      </c>
      <c r="F251" s="107">
        <v>1.0</v>
      </c>
      <c r="G251" s="110">
        <v>1400.0</v>
      </c>
      <c r="H251" s="111">
        <f t="shared" si="1"/>
        <v>1400</v>
      </c>
      <c r="I251" s="105"/>
    </row>
    <row r="252">
      <c r="E252" s="107" t="s">
        <v>273</v>
      </c>
      <c r="F252" s="107">
        <v>1.0</v>
      </c>
      <c r="G252" s="110">
        <v>340.0</v>
      </c>
      <c r="H252" s="111">
        <f t="shared" si="1"/>
        <v>340</v>
      </c>
      <c r="I252" s="105"/>
    </row>
    <row r="253">
      <c r="E253" s="107" t="s">
        <v>165</v>
      </c>
      <c r="F253" s="107">
        <v>5.0</v>
      </c>
      <c r="G253" s="110">
        <v>120.0</v>
      </c>
      <c r="H253" s="111">
        <f t="shared" si="1"/>
        <v>600</v>
      </c>
      <c r="I253" s="105"/>
    </row>
    <row r="254">
      <c r="E254" s="107" t="s">
        <v>190</v>
      </c>
      <c r="F254" s="107">
        <v>0.5</v>
      </c>
      <c r="G254" s="110">
        <v>600.0</v>
      </c>
      <c r="H254" s="111">
        <f t="shared" si="1"/>
        <v>300</v>
      </c>
      <c r="I254" s="105"/>
    </row>
    <row r="255">
      <c r="E255" s="107" t="s">
        <v>274</v>
      </c>
      <c r="F255" s="107">
        <v>1.0</v>
      </c>
      <c r="G255" s="110">
        <v>200.0</v>
      </c>
      <c r="H255" s="111">
        <f t="shared" si="1"/>
        <v>200</v>
      </c>
      <c r="I255" s="105"/>
    </row>
    <row r="256">
      <c r="E256" s="107" t="s">
        <v>275</v>
      </c>
      <c r="F256" s="107">
        <v>1.0</v>
      </c>
      <c r="G256" s="110">
        <v>1500.0</v>
      </c>
      <c r="H256" s="111">
        <f t="shared" si="1"/>
        <v>1500</v>
      </c>
      <c r="I256" s="105"/>
    </row>
    <row r="257">
      <c r="E257" s="107" t="s">
        <v>165</v>
      </c>
      <c r="F257" s="107">
        <v>4.0</v>
      </c>
      <c r="G257" s="110">
        <v>150.0</v>
      </c>
      <c r="H257" s="111">
        <f t="shared" si="1"/>
        <v>600</v>
      </c>
      <c r="I257" s="105"/>
    </row>
    <row r="258">
      <c r="E258" s="107" t="s">
        <v>276</v>
      </c>
      <c r="F258" s="107">
        <v>4.0</v>
      </c>
      <c r="G258" s="110">
        <v>50.0</v>
      </c>
      <c r="H258" s="111">
        <f t="shared" si="1"/>
        <v>200</v>
      </c>
      <c r="I258" s="105"/>
    </row>
    <row r="259">
      <c r="E259" s="107" t="s">
        <v>277</v>
      </c>
      <c r="F259" s="107">
        <v>2.0</v>
      </c>
      <c r="G259" s="110">
        <v>1000.0</v>
      </c>
      <c r="H259" s="111">
        <f t="shared" si="1"/>
        <v>2000</v>
      </c>
      <c r="I259" s="105"/>
    </row>
    <row r="260">
      <c r="E260" s="107" t="s">
        <v>278</v>
      </c>
      <c r="F260" s="107">
        <v>1.0</v>
      </c>
      <c r="G260" s="110">
        <v>850.0</v>
      </c>
      <c r="H260" s="111">
        <f t="shared" si="1"/>
        <v>850</v>
      </c>
      <c r="I260" s="105"/>
    </row>
    <row r="261">
      <c r="E261" s="107" t="s">
        <v>279</v>
      </c>
      <c r="F261" s="107">
        <v>5.0</v>
      </c>
      <c r="G261" s="110">
        <v>250.0</v>
      </c>
      <c r="H261" s="111">
        <f t="shared" si="1"/>
        <v>1250</v>
      </c>
      <c r="I261" s="14" t="s">
        <v>280</v>
      </c>
    </row>
    <row r="262">
      <c r="E262" s="107" t="s">
        <v>214</v>
      </c>
      <c r="F262" s="107">
        <v>1.0</v>
      </c>
      <c r="G262" s="110">
        <v>940.0</v>
      </c>
      <c r="H262" s="111">
        <f t="shared" si="1"/>
        <v>940</v>
      </c>
      <c r="I262" s="105"/>
    </row>
    <row r="263">
      <c r="E263" s="107" t="s">
        <v>141</v>
      </c>
      <c r="F263" s="107">
        <v>2.0</v>
      </c>
      <c r="G263" s="110">
        <v>460.0</v>
      </c>
      <c r="H263" s="111">
        <f t="shared" si="1"/>
        <v>920</v>
      </c>
      <c r="I263" s="105"/>
    </row>
    <row r="264">
      <c r="E264" s="107" t="s">
        <v>281</v>
      </c>
      <c r="F264" s="107">
        <v>3.1</v>
      </c>
      <c r="G264" s="110">
        <v>680.0</v>
      </c>
      <c r="H264" s="111">
        <f t="shared" si="1"/>
        <v>2108</v>
      </c>
      <c r="I264" s="105"/>
    </row>
    <row r="265">
      <c r="E265" s="107" t="s">
        <v>282</v>
      </c>
      <c r="F265" s="107">
        <v>1.0</v>
      </c>
      <c r="G265" s="110">
        <v>900.0</v>
      </c>
      <c r="H265" s="111">
        <f t="shared" si="1"/>
        <v>900</v>
      </c>
      <c r="I265" s="105"/>
    </row>
    <row r="266">
      <c r="E266" s="107" t="s">
        <v>283</v>
      </c>
      <c r="F266" s="107">
        <v>2.0</v>
      </c>
      <c r="G266" s="110">
        <v>180.0</v>
      </c>
      <c r="H266" s="111">
        <f t="shared" si="1"/>
        <v>360</v>
      </c>
      <c r="I266" s="105"/>
    </row>
    <row r="267">
      <c r="E267" s="107" t="s">
        <v>284</v>
      </c>
      <c r="F267" s="107">
        <v>1.0</v>
      </c>
      <c r="G267" s="110">
        <v>50.0</v>
      </c>
      <c r="H267" s="111">
        <f t="shared" si="1"/>
        <v>50</v>
      </c>
      <c r="I267" s="105"/>
    </row>
    <row r="268">
      <c r="E268" s="107" t="s">
        <v>118</v>
      </c>
      <c r="F268" s="107">
        <v>1.0</v>
      </c>
      <c r="G268" s="110">
        <v>1250.0</v>
      </c>
      <c r="H268" s="111">
        <f t="shared" si="1"/>
        <v>1250</v>
      </c>
      <c r="I268" s="105"/>
    </row>
    <row r="269">
      <c r="E269" s="107" t="s">
        <v>285</v>
      </c>
      <c r="F269" s="107">
        <v>1.0</v>
      </c>
      <c r="G269" s="110">
        <v>700.0</v>
      </c>
      <c r="H269" s="111">
        <f t="shared" si="1"/>
        <v>700</v>
      </c>
      <c r="I269" s="105"/>
    </row>
    <row r="270">
      <c r="E270" s="107" t="s">
        <v>115</v>
      </c>
      <c r="F270" s="107">
        <v>0.5</v>
      </c>
      <c r="G270" s="110">
        <v>800.0</v>
      </c>
      <c r="H270" s="111">
        <f t="shared" si="1"/>
        <v>400</v>
      </c>
      <c r="I270" s="105"/>
    </row>
    <row r="271">
      <c r="E271" s="107" t="s">
        <v>286</v>
      </c>
      <c r="F271" s="107">
        <v>2.0</v>
      </c>
      <c r="G271" s="110">
        <v>350.0</v>
      </c>
      <c r="H271" s="111">
        <f t="shared" si="1"/>
        <v>700</v>
      </c>
      <c r="I271" s="105"/>
    </row>
    <row r="272">
      <c r="E272" s="107" t="s">
        <v>287</v>
      </c>
      <c r="F272" s="107">
        <v>1.0</v>
      </c>
      <c r="G272" s="110">
        <v>1100.0</v>
      </c>
      <c r="H272" s="111">
        <f t="shared" si="1"/>
        <v>1100</v>
      </c>
      <c r="I272" s="105"/>
    </row>
    <row r="273">
      <c r="E273" s="107" t="s">
        <v>288</v>
      </c>
      <c r="F273" s="107">
        <v>1.0</v>
      </c>
      <c r="G273" s="110">
        <v>950.0</v>
      </c>
      <c r="H273" s="111">
        <f t="shared" si="1"/>
        <v>950</v>
      </c>
      <c r="I273" s="105"/>
    </row>
    <row r="274">
      <c r="E274" s="107" t="s">
        <v>289</v>
      </c>
      <c r="F274" s="107">
        <v>0.5</v>
      </c>
      <c r="G274" s="110">
        <v>600.0</v>
      </c>
      <c r="H274" s="111">
        <f t="shared" si="1"/>
        <v>300</v>
      </c>
      <c r="I274" s="105"/>
    </row>
    <row r="275">
      <c r="E275" s="107" t="s">
        <v>290</v>
      </c>
      <c r="F275" s="107">
        <v>0.5</v>
      </c>
      <c r="G275" s="110">
        <v>600.0</v>
      </c>
      <c r="H275" s="111">
        <f t="shared" si="1"/>
        <v>300</v>
      </c>
      <c r="I275" s="105"/>
    </row>
    <row r="276">
      <c r="E276" s="107" t="s">
        <v>159</v>
      </c>
      <c r="F276" s="107">
        <v>0.5</v>
      </c>
      <c r="G276" s="110">
        <v>500.0</v>
      </c>
      <c r="H276" s="111">
        <f t="shared" si="1"/>
        <v>250</v>
      </c>
      <c r="I276" s="105"/>
    </row>
    <row r="277">
      <c r="E277" s="107" t="s">
        <v>291</v>
      </c>
      <c r="F277" s="107">
        <v>15.0</v>
      </c>
      <c r="G277" s="110">
        <v>680.0</v>
      </c>
      <c r="H277" s="111">
        <f t="shared" si="1"/>
        <v>10200</v>
      </c>
      <c r="I277" s="14" t="s">
        <v>292</v>
      </c>
    </row>
    <row r="278">
      <c r="E278" s="107" t="s">
        <v>257</v>
      </c>
      <c r="F278" s="107">
        <v>7.0</v>
      </c>
      <c r="G278" s="110">
        <v>30.0</v>
      </c>
      <c r="H278" s="111">
        <f t="shared" si="1"/>
        <v>210</v>
      </c>
      <c r="I278" s="105"/>
    </row>
    <row r="279">
      <c r="E279" s="107" t="s">
        <v>232</v>
      </c>
      <c r="F279" s="107">
        <v>4.0</v>
      </c>
      <c r="G279" s="110">
        <v>130.0</v>
      </c>
      <c r="H279" s="111">
        <f t="shared" si="1"/>
        <v>520</v>
      </c>
      <c r="I279" s="105"/>
    </row>
    <row r="280">
      <c r="E280" s="107" t="s">
        <v>293</v>
      </c>
      <c r="F280" s="107">
        <v>2.5</v>
      </c>
      <c r="G280" s="110">
        <v>450.0</v>
      </c>
      <c r="H280" s="111">
        <f t="shared" si="1"/>
        <v>1125</v>
      </c>
      <c r="I280" s="105"/>
    </row>
    <row r="281">
      <c r="E281" s="107" t="s">
        <v>294</v>
      </c>
      <c r="F281" s="107">
        <v>15.0</v>
      </c>
      <c r="G281" s="110">
        <v>130.0</v>
      </c>
      <c r="H281" s="111">
        <f t="shared" si="1"/>
        <v>1950</v>
      </c>
      <c r="I281" s="105"/>
    </row>
    <row r="282">
      <c r="E282" s="107" t="s">
        <v>295</v>
      </c>
      <c r="F282" s="107">
        <v>1.0</v>
      </c>
      <c r="G282" s="110">
        <v>500.0</v>
      </c>
      <c r="H282" s="111">
        <f t="shared" si="1"/>
        <v>500</v>
      </c>
      <c r="I282" s="105"/>
    </row>
    <row r="283">
      <c r="E283" s="107" t="s">
        <v>182</v>
      </c>
      <c r="F283" s="107">
        <v>1.0</v>
      </c>
      <c r="G283" s="110">
        <v>990.0</v>
      </c>
      <c r="H283" s="111">
        <f t="shared" si="1"/>
        <v>990</v>
      </c>
      <c r="I283" s="105"/>
    </row>
    <row r="284">
      <c r="E284" s="107" t="s">
        <v>296</v>
      </c>
      <c r="F284" s="107">
        <v>1.0</v>
      </c>
      <c r="G284" s="110">
        <v>340.0</v>
      </c>
      <c r="H284" s="111">
        <f t="shared" si="1"/>
        <v>340</v>
      </c>
      <c r="I284" s="105"/>
    </row>
    <row r="285">
      <c r="E285" s="107" t="s">
        <v>286</v>
      </c>
      <c r="F285" s="107">
        <v>1.0</v>
      </c>
      <c r="G285" s="110">
        <v>500.0</v>
      </c>
      <c r="H285" s="111">
        <f t="shared" si="1"/>
        <v>500</v>
      </c>
      <c r="I285" s="105"/>
    </row>
    <row r="286">
      <c r="E286" s="107" t="s">
        <v>297</v>
      </c>
      <c r="F286" s="107">
        <v>1.0</v>
      </c>
      <c r="G286" s="110">
        <v>130.0</v>
      </c>
      <c r="H286" s="111">
        <f t="shared" si="1"/>
        <v>130</v>
      </c>
      <c r="I286" s="105"/>
    </row>
    <row r="287">
      <c r="E287" s="107" t="s">
        <v>298</v>
      </c>
      <c r="F287" s="107">
        <v>1.0</v>
      </c>
      <c r="G287" s="110">
        <v>130.0</v>
      </c>
      <c r="H287" s="111">
        <f t="shared" si="1"/>
        <v>130</v>
      </c>
      <c r="I287" s="105"/>
    </row>
    <row r="288">
      <c r="E288" s="107" t="s">
        <v>299</v>
      </c>
      <c r="F288" s="107">
        <v>1.0</v>
      </c>
      <c r="G288" s="110">
        <v>280.0</v>
      </c>
      <c r="H288" s="111">
        <f t="shared" si="1"/>
        <v>280</v>
      </c>
      <c r="I288" s="105"/>
    </row>
    <row r="289">
      <c r="E289" s="107" t="s">
        <v>277</v>
      </c>
      <c r="F289" s="107">
        <v>1.0</v>
      </c>
      <c r="G289" s="110">
        <v>1000.0</v>
      </c>
      <c r="H289" s="111">
        <f t="shared" si="1"/>
        <v>1000</v>
      </c>
      <c r="I289" s="105"/>
    </row>
    <row r="290">
      <c r="E290" s="107" t="s">
        <v>300</v>
      </c>
      <c r="F290" s="107">
        <v>2.0</v>
      </c>
      <c r="G290" s="110">
        <v>100.0</v>
      </c>
      <c r="H290" s="111">
        <f t="shared" si="1"/>
        <v>200</v>
      </c>
      <c r="I290" s="105"/>
    </row>
    <row r="291">
      <c r="E291" s="107" t="s">
        <v>158</v>
      </c>
      <c r="F291" s="107">
        <v>1.0</v>
      </c>
      <c r="G291" s="110">
        <v>1000.0</v>
      </c>
      <c r="H291" s="111">
        <f t="shared" si="1"/>
        <v>1000</v>
      </c>
      <c r="I291" s="105"/>
    </row>
    <row r="292">
      <c r="E292" s="107" t="s">
        <v>165</v>
      </c>
      <c r="F292" s="107">
        <v>5.0</v>
      </c>
      <c r="G292" s="110">
        <v>120.0</v>
      </c>
      <c r="H292" s="111">
        <f t="shared" si="1"/>
        <v>600</v>
      </c>
      <c r="I292" s="105"/>
    </row>
    <row r="293">
      <c r="E293" s="107" t="s">
        <v>301</v>
      </c>
      <c r="F293" s="107">
        <v>1.0</v>
      </c>
      <c r="G293" s="110">
        <v>400.0</v>
      </c>
      <c r="H293" s="111">
        <f t="shared" si="1"/>
        <v>400</v>
      </c>
      <c r="I293" s="105"/>
    </row>
    <row r="294">
      <c r="E294" s="107" t="s">
        <v>302</v>
      </c>
      <c r="F294" s="107">
        <v>5.0</v>
      </c>
      <c r="G294" s="110">
        <v>350.0</v>
      </c>
      <c r="H294" s="111">
        <f t="shared" si="1"/>
        <v>1750</v>
      </c>
      <c r="I294" s="105"/>
    </row>
    <row r="295">
      <c r="E295" s="107" t="s">
        <v>303</v>
      </c>
      <c r="F295" s="107">
        <v>4.0</v>
      </c>
      <c r="G295" s="110">
        <v>150.0</v>
      </c>
      <c r="H295" s="111">
        <f t="shared" si="1"/>
        <v>600</v>
      </c>
      <c r="I295" s="105"/>
    </row>
    <row r="296">
      <c r="E296" s="107" t="s">
        <v>304</v>
      </c>
      <c r="F296" s="107">
        <v>2.0</v>
      </c>
      <c r="G296" s="110">
        <v>50.0</v>
      </c>
      <c r="H296" s="111">
        <f t="shared" si="1"/>
        <v>100</v>
      </c>
      <c r="I296" s="105"/>
    </row>
    <row r="297">
      <c r="E297" s="107" t="s">
        <v>305</v>
      </c>
      <c r="F297" s="107">
        <v>4.0</v>
      </c>
      <c r="G297" s="110">
        <v>60.0</v>
      </c>
      <c r="H297" s="111">
        <f t="shared" si="1"/>
        <v>240</v>
      </c>
      <c r="I297" s="105"/>
    </row>
    <row r="298">
      <c r="E298" s="107" t="s">
        <v>306</v>
      </c>
      <c r="F298" s="107">
        <v>8.0</v>
      </c>
      <c r="G298" s="110">
        <v>120.0</v>
      </c>
      <c r="H298" s="111">
        <f t="shared" si="1"/>
        <v>960</v>
      </c>
      <c r="I298" s="105"/>
    </row>
    <row r="299">
      <c r="E299" s="107" t="s">
        <v>307</v>
      </c>
      <c r="F299" s="107">
        <v>8.0</v>
      </c>
      <c r="G299" s="110">
        <v>130.0</v>
      </c>
      <c r="H299" s="111">
        <f t="shared" si="1"/>
        <v>1040</v>
      </c>
      <c r="I299" s="105"/>
    </row>
    <row r="300">
      <c r="E300" s="107" t="s">
        <v>308</v>
      </c>
      <c r="F300" s="107">
        <v>1.0</v>
      </c>
      <c r="G300" s="110">
        <v>1500.0</v>
      </c>
      <c r="H300" s="111">
        <f t="shared" si="1"/>
        <v>1500</v>
      </c>
      <c r="I300" s="105"/>
    </row>
    <row r="301">
      <c r="E301" s="107" t="s">
        <v>309</v>
      </c>
      <c r="F301" s="107">
        <v>50.0</v>
      </c>
      <c r="G301" s="110">
        <v>10.0</v>
      </c>
      <c r="H301" s="111">
        <f t="shared" si="1"/>
        <v>500</v>
      </c>
      <c r="I301" s="105"/>
    </row>
    <row r="302">
      <c r="E302" s="107" t="s">
        <v>269</v>
      </c>
      <c r="F302" s="107">
        <v>1.0</v>
      </c>
      <c r="G302" s="110">
        <v>250.0</v>
      </c>
      <c r="H302" s="111">
        <f t="shared" si="1"/>
        <v>250</v>
      </c>
      <c r="I302" s="105"/>
    </row>
    <row r="303">
      <c r="E303" s="107" t="s">
        <v>163</v>
      </c>
      <c r="F303" s="107">
        <v>150.0</v>
      </c>
      <c r="G303" s="110">
        <v>50.0</v>
      </c>
      <c r="H303" s="111">
        <f t="shared" si="1"/>
        <v>7500</v>
      </c>
      <c r="I303" s="14" t="s">
        <v>310</v>
      </c>
    </row>
    <row r="304">
      <c r="E304" s="107" t="s">
        <v>182</v>
      </c>
      <c r="F304" s="107">
        <v>1.0</v>
      </c>
      <c r="G304" s="110">
        <v>1700.0</v>
      </c>
      <c r="H304" s="111">
        <f t="shared" si="1"/>
        <v>1700</v>
      </c>
      <c r="I304" s="105"/>
    </row>
    <row r="305">
      <c r="E305" s="107" t="s">
        <v>311</v>
      </c>
      <c r="F305" s="107">
        <v>5.0</v>
      </c>
      <c r="G305" s="110">
        <v>130.0</v>
      </c>
      <c r="H305" s="111">
        <f t="shared" si="1"/>
        <v>650</v>
      </c>
      <c r="I305" s="105"/>
    </row>
    <row r="306">
      <c r="E306" s="107" t="s">
        <v>239</v>
      </c>
      <c r="F306" s="107">
        <v>20.0</v>
      </c>
      <c r="G306" s="110">
        <v>70.0</v>
      </c>
      <c r="H306" s="111">
        <f t="shared" si="1"/>
        <v>1400</v>
      </c>
      <c r="I306" s="105"/>
    </row>
    <row r="307">
      <c r="E307" s="107" t="s">
        <v>311</v>
      </c>
      <c r="F307" s="107">
        <v>2.0</v>
      </c>
      <c r="G307" s="110">
        <v>200.0</v>
      </c>
      <c r="H307" s="111">
        <f t="shared" si="1"/>
        <v>400</v>
      </c>
      <c r="I307" s="105"/>
    </row>
    <row r="308">
      <c r="E308" s="107" t="s">
        <v>281</v>
      </c>
      <c r="F308" s="107">
        <v>4.8</v>
      </c>
      <c r="G308" s="110">
        <v>630.0</v>
      </c>
      <c r="H308" s="111">
        <f t="shared" si="1"/>
        <v>3024</v>
      </c>
      <c r="I308" s="105"/>
    </row>
    <row r="309">
      <c r="E309" s="107" t="s">
        <v>158</v>
      </c>
      <c r="F309" s="107">
        <v>1.0</v>
      </c>
      <c r="G309" s="110">
        <v>1000.0</v>
      </c>
      <c r="H309" s="111">
        <f t="shared" si="1"/>
        <v>1000</v>
      </c>
      <c r="I309" s="105"/>
    </row>
    <row r="310">
      <c r="E310" s="107" t="s">
        <v>312</v>
      </c>
      <c r="F310" s="107">
        <v>4.0</v>
      </c>
      <c r="G310" s="110">
        <v>25.0</v>
      </c>
      <c r="H310" s="111">
        <f t="shared" si="1"/>
        <v>100</v>
      </c>
      <c r="I310" s="105"/>
    </row>
    <row r="311">
      <c r="E311" s="107" t="s">
        <v>165</v>
      </c>
      <c r="F311" s="107">
        <v>5.0</v>
      </c>
      <c r="G311" s="110">
        <v>120.0</v>
      </c>
      <c r="H311" s="111">
        <f t="shared" si="1"/>
        <v>600</v>
      </c>
      <c r="I311" s="105"/>
    </row>
    <row r="312">
      <c r="E312" s="107" t="s">
        <v>313</v>
      </c>
      <c r="F312" s="107">
        <v>1.0</v>
      </c>
      <c r="G312" s="110">
        <v>300.0</v>
      </c>
      <c r="H312" s="111">
        <f t="shared" si="1"/>
        <v>300</v>
      </c>
      <c r="I312" s="105"/>
    </row>
    <row r="313">
      <c r="E313" s="107" t="s">
        <v>314</v>
      </c>
      <c r="F313" s="107">
        <v>1.0</v>
      </c>
      <c r="G313" s="110">
        <v>30.0</v>
      </c>
      <c r="H313" s="111">
        <f t="shared" si="1"/>
        <v>30</v>
      </c>
      <c r="I313" s="105"/>
    </row>
    <row r="314">
      <c r="E314" s="107" t="s">
        <v>232</v>
      </c>
      <c r="F314" s="107">
        <v>1.0</v>
      </c>
      <c r="G314" s="110">
        <v>70.0</v>
      </c>
      <c r="H314" s="111">
        <f t="shared" si="1"/>
        <v>70</v>
      </c>
      <c r="I314" s="105"/>
    </row>
    <row r="315">
      <c r="E315" s="107" t="s">
        <v>315</v>
      </c>
      <c r="F315" s="107">
        <v>2.0</v>
      </c>
      <c r="G315" s="110">
        <v>100.0</v>
      </c>
      <c r="H315" s="111">
        <f t="shared" si="1"/>
        <v>200</v>
      </c>
      <c r="I315" s="105"/>
    </row>
    <row r="316">
      <c r="E316" s="107" t="s">
        <v>279</v>
      </c>
      <c r="F316" s="107">
        <v>8.0</v>
      </c>
      <c r="G316" s="110">
        <v>200.0</v>
      </c>
      <c r="H316" s="111">
        <f t="shared" si="1"/>
        <v>1600</v>
      </c>
      <c r="I316" s="105"/>
    </row>
    <row r="317">
      <c r="E317" s="107" t="s">
        <v>316</v>
      </c>
      <c r="F317" s="107">
        <v>1.0</v>
      </c>
      <c r="G317" s="110">
        <v>450.0</v>
      </c>
      <c r="H317" s="111">
        <f t="shared" si="1"/>
        <v>450</v>
      </c>
      <c r="I317" s="105"/>
    </row>
    <row r="318">
      <c r="E318" s="107" t="s">
        <v>267</v>
      </c>
      <c r="F318" s="107">
        <v>0.5</v>
      </c>
      <c r="G318" s="110">
        <v>1100.0</v>
      </c>
      <c r="H318" s="111">
        <f t="shared" si="1"/>
        <v>550</v>
      </c>
      <c r="I318" s="14" t="s">
        <v>317</v>
      </c>
    </row>
    <row r="319">
      <c r="E319" s="107" t="s">
        <v>157</v>
      </c>
      <c r="F319" s="107">
        <v>1.0</v>
      </c>
      <c r="G319" s="110">
        <v>1300.0</v>
      </c>
      <c r="H319" s="111">
        <f t="shared" si="1"/>
        <v>1300</v>
      </c>
      <c r="I319" s="105"/>
    </row>
    <row r="320">
      <c r="E320" s="107" t="s">
        <v>318</v>
      </c>
      <c r="F320" s="107">
        <v>1.0</v>
      </c>
      <c r="G320" s="110">
        <v>200.0</v>
      </c>
      <c r="H320" s="111">
        <f t="shared" si="1"/>
        <v>200</v>
      </c>
      <c r="I320" s="105"/>
    </row>
    <row r="321">
      <c r="E321" s="107" t="s">
        <v>189</v>
      </c>
      <c r="F321" s="107">
        <v>1.0</v>
      </c>
      <c r="G321" s="110">
        <v>100.0</v>
      </c>
      <c r="H321" s="111">
        <f t="shared" si="1"/>
        <v>100</v>
      </c>
      <c r="I321" s="105"/>
    </row>
    <row r="322">
      <c r="E322" s="107" t="s">
        <v>319</v>
      </c>
      <c r="F322" s="107">
        <v>3.0</v>
      </c>
      <c r="G322" s="110">
        <v>120.0</v>
      </c>
      <c r="H322" s="111">
        <f t="shared" si="1"/>
        <v>360</v>
      </c>
      <c r="I322" s="105"/>
    </row>
    <row r="323">
      <c r="E323" s="107" t="s">
        <v>320</v>
      </c>
      <c r="F323" s="107">
        <v>1.0</v>
      </c>
      <c r="G323" s="110">
        <v>30.0</v>
      </c>
      <c r="H323" s="111">
        <f t="shared" si="1"/>
        <v>30</v>
      </c>
      <c r="I323" s="105"/>
    </row>
    <row r="324">
      <c r="E324" s="107" t="s">
        <v>141</v>
      </c>
      <c r="F324" s="107">
        <v>2.0</v>
      </c>
      <c r="G324" s="110">
        <v>500.0</v>
      </c>
      <c r="H324" s="111">
        <f t="shared" si="1"/>
        <v>1000</v>
      </c>
      <c r="I324" s="105"/>
    </row>
    <row r="325">
      <c r="E325" s="107" t="s">
        <v>279</v>
      </c>
      <c r="F325" s="107">
        <v>6.0</v>
      </c>
      <c r="G325" s="110">
        <v>250.0</v>
      </c>
      <c r="H325" s="111">
        <f t="shared" si="1"/>
        <v>1500</v>
      </c>
      <c r="I325" s="105"/>
    </row>
    <row r="326">
      <c r="E326" s="107" t="s">
        <v>182</v>
      </c>
      <c r="F326" s="107">
        <v>2.0</v>
      </c>
      <c r="G326" s="110">
        <v>150.0</v>
      </c>
      <c r="H326" s="111">
        <f t="shared" si="1"/>
        <v>300</v>
      </c>
      <c r="I326" s="105"/>
    </row>
    <row r="327">
      <c r="E327" s="107" t="s">
        <v>321</v>
      </c>
      <c r="F327" s="107">
        <v>1.0</v>
      </c>
      <c r="G327" s="110">
        <v>4200.0</v>
      </c>
      <c r="H327" s="111">
        <f t="shared" si="1"/>
        <v>4200</v>
      </c>
      <c r="I327" s="105"/>
    </row>
    <row r="328">
      <c r="E328" s="107" t="s">
        <v>322</v>
      </c>
      <c r="F328" s="107">
        <v>1.0</v>
      </c>
      <c r="G328" s="110">
        <v>2400.0</v>
      </c>
      <c r="H328" s="111">
        <f t="shared" si="1"/>
        <v>2400</v>
      </c>
      <c r="I328" s="105"/>
    </row>
    <row r="329">
      <c r="E329" s="107" t="s">
        <v>323</v>
      </c>
      <c r="F329" s="107">
        <v>2.0</v>
      </c>
      <c r="G329" s="110">
        <v>100.0</v>
      </c>
      <c r="H329" s="111">
        <f t="shared" si="1"/>
        <v>200</v>
      </c>
      <c r="I329" s="105"/>
    </row>
    <row r="330">
      <c r="E330" s="107" t="s">
        <v>324</v>
      </c>
      <c r="F330" s="107">
        <v>10.0</v>
      </c>
      <c r="G330" s="110">
        <v>320.0</v>
      </c>
      <c r="H330" s="111">
        <f t="shared" si="1"/>
        <v>3200</v>
      </c>
      <c r="I330" s="105"/>
    </row>
    <row r="331">
      <c r="E331" s="107" t="s">
        <v>325</v>
      </c>
      <c r="F331" s="107">
        <v>10.0</v>
      </c>
      <c r="G331" s="110">
        <v>250.0</v>
      </c>
      <c r="H331" s="111">
        <f t="shared" si="1"/>
        <v>2500</v>
      </c>
      <c r="I331" s="105"/>
    </row>
    <row r="332">
      <c r="E332" s="107" t="s">
        <v>326</v>
      </c>
      <c r="F332" s="107">
        <v>100.0</v>
      </c>
      <c r="G332" s="110">
        <v>7.5</v>
      </c>
      <c r="H332" s="111">
        <f t="shared" si="1"/>
        <v>750</v>
      </c>
      <c r="I332" s="105"/>
    </row>
    <row r="333">
      <c r="E333" s="107" t="s">
        <v>327</v>
      </c>
      <c r="F333" s="107">
        <v>4.0</v>
      </c>
      <c r="G333" s="110">
        <v>450.0</v>
      </c>
      <c r="H333" s="111">
        <f t="shared" si="1"/>
        <v>1800</v>
      </c>
      <c r="I333" s="105"/>
    </row>
    <row r="334">
      <c r="E334" s="107" t="s">
        <v>328</v>
      </c>
      <c r="F334" s="107">
        <v>14.0</v>
      </c>
      <c r="G334" s="110">
        <v>200.0</v>
      </c>
      <c r="H334" s="111">
        <f t="shared" si="1"/>
        <v>2800</v>
      </c>
      <c r="I334" s="105"/>
    </row>
    <row r="335">
      <c r="E335" s="107" t="s">
        <v>329</v>
      </c>
      <c r="F335" s="107">
        <v>2.0</v>
      </c>
      <c r="G335" s="110">
        <v>330.0</v>
      </c>
      <c r="H335" s="111">
        <f t="shared" si="1"/>
        <v>660</v>
      </c>
      <c r="I335" s="105"/>
    </row>
    <row r="336">
      <c r="E336" s="107" t="s">
        <v>330</v>
      </c>
      <c r="F336" s="107">
        <v>8.0</v>
      </c>
      <c r="G336" s="110">
        <v>1000.0</v>
      </c>
      <c r="H336" s="111">
        <f t="shared" si="1"/>
        <v>8000</v>
      </c>
      <c r="I336" s="105"/>
    </row>
    <row r="337">
      <c r="E337" s="107" t="s">
        <v>227</v>
      </c>
      <c r="F337" s="107">
        <v>10.0</v>
      </c>
      <c r="G337" s="110">
        <v>600.0</v>
      </c>
      <c r="H337" s="111">
        <f t="shared" si="1"/>
        <v>6000</v>
      </c>
      <c r="I337" s="105"/>
    </row>
    <row r="338">
      <c r="E338" s="107" t="s">
        <v>331</v>
      </c>
      <c r="F338" s="107">
        <v>16.0</v>
      </c>
      <c r="G338" s="110">
        <v>180.0</v>
      </c>
      <c r="H338" s="111">
        <f t="shared" si="1"/>
        <v>2880</v>
      </c>
      <c r="I338" s="105"/>
    </row>
    <row r="339">
      <c r="E339" s="107" t="s">
        <v>332</v>
      </c>
      <c r="F339" s="107">
        <v>50.0</v>
      </c>
      <c r="G339" s="110">
        <v>27.0</v>
      </c>
      <c r="H339" s="111">
        <f t="shared" si="1"/>
        <v>1350</v>
      </c>
      <c r="I339" s="105"/>
    </row>
    <row r="340">
      <c r="E340" s="107" t="s">
        <v>333</v>
      </c>
      <c r="F340" s="107">
        <v>50.0</v>
      </c>
      <c r="G340" s="110">
        <v>21.0</v>
      </c>
      <c r="H340" s="111">
        <f t="shared" si="1"/>
        <v>1050</v>
      </c>
      <c r="I340" s="105"/>
    </row>
    <row r="341">
      <c r="E341" s="107" t="s">
        <v>334</v>
      </c>
      <c r="F341" s="107">
        <v>100.0</v>
      </c>
      <c r="G341" s="110">
        <v>20.0</v>
      </c>
      <c r="H341" s="111">
        <f t="shared" si="1"/>
        <v>2000</v>
      </c>
      <c r="I341" s="105"/>
    </row>
    <row r="342">
      <c r="E342" s="107" t="s">
        <v>335</v>
      </c>
      <c r="F342" s="107">
        <v>100.0</v>
      </c>
      <c r="G342" s="110">
        <v>10.5</v>
      </c>
      <c r="H342" s="111">
        <f t="shared" si="1"/>
        <v>1050</v>
      </c>
      <c r="I342" s="105"/>
    </row>
    <row r="343">
      <c r="E343" s="115" t="s">
        <v>336</v>
      </c>
      <c r="F343" s="106">
        <v>10.0</v>
      </c>
      <c r="G343" s="108">
        <v>200.0</v>
      </c>
      <c r="H343" s="111">
        <f t="shared" si="1"/>
        <v>2000</v>
      </c>
      <c r="I343" s="105"/>
    </row>
    <row r="344">
      <c r="E344" s="107" t="s">
        <v>337</v>
      </c>
      <c r="F344" s="107">
        <v>1.0</v>
      </c>
      <c r="G344" s="110">
        <v>35000.0</v>
      </c>
      <c r="H344" s="111">
        <f t="shared" si="1"/>
        <v>35000</v>
      </c>
      <c r="I344" s="105"/>
    </row>
    <row r="345">
      <c r="E345" s="107" t="s">
        <v>338</v>
      </c>
      <c r="F345" s="107">
        <v>1.0</v>
      </c>
      <c r="G345" s="110">
        <v>25000.0</v>
      </c>
      <c r="H345" s="111">
        <f t="shared" si="1"/>
        <v>25000</v>
      </c>
      <c r="I345" s="105"/>
    </row>
    <row r="346">
      <c r="E346" s="107" t="s">
        <v>339</v>
      </c>
      <c r="F346" s="107">
        <v>1.0</v>
      </c>
      <c r="G346" s="110">
        <v>30000.0</v>
      </c>
      <c r="H346" s="111">
        <f t="shared" si="1"/>
        <v>30000</v>
      </c>
      <c r="I346" s="105"/>
    </row>
    <row r="347">
      <c r="E347" s="107" t="s">
        <v>340</v>
      </c>
      <c r="F347" s="107">
        <v>1.0</v>
      </c>
      <c r="G347" s="110">
        <v>44000.0</v>
      </c>
      <c r="H347" s="111">
        <f t="shared" si="1"/>
        <v>44000</v>
      </c>
      <c r="I347" s="105"/>
    </row>
    <row r="348">
      <c r="E348" s="14" t="s">
        <v>341</v>
      </c>
      <c r="F348" s="94">
        <v>334.0</v>
      </c>
      <c r="G348" s="100">
        <v>60.0</v>
      </c>
      <c r="H348" s="96">
        <f t="shared" si="1"/>
        <v>20040</v>
      </c>
      <c r="I348" s="10">
        <v>45383.0</v>
      </c>
    </row>
    <row r="349">
      <c r="E349" s="14" t="s">
        <v>341</v>
      </c>
      <c r="F349" s="94">
        <v>334.0</v>
      </c>
      <c r="G349" s="100">
        <v>60.0</v>
      </c>
      <c r="H349" s="96">
        <f t="shared" si="1"/>
        <v>20040</v>
      </c>
      <c r="I349" s="105"/>
    </row>
    <row r="350">
      <c r="E350" s="93" t="s">
        <v>342</v>
      </c>
      <c r="F350" s="93">
        <v>1.0</v>
      </c>
      <c r="G350" s="95">
        <v>520.0</v>
      </c>
      <c r="H350" s="96">
        <f t="shared" si="1"/>
        <v>520</v>
      </c>
      <c r="I350" s="105"/>
    </row>
    <row r="351">
      <c r="E351" s="94" t="s">
        <v>343</v>
      </c>
      <c r="F351" s="94">
        <v>1.0</v>
      </c>
      <c r="G351" s="100">
        <v>450.0</v>
      </c>
      <c r="H351" s="96">
        <f t="shared" si="1"/>
        <v>450</v>
      </c>
      <c r="I351" s="105"/>
    </row>
    <row r="352">
      <c r="E352" s="94" t="s">
        <v>344</v>
      </c>
      <c r="F352" s="94">
        <v>1.0</v>
      </c>
      <c r="G352" s="100">
        <v>450.0</v>
      </c>
      <c r="H352" s="96">
        <f t="shared" si="1"/>
        <v>450</v>
      </c>
      <c r="I352" s="105"/>
    </row>
    <row r="353">
      <c r="E353" s="94" t="s">
        <v>345</v>
      </c>
      <c r="F353" s="94">
        <v>1.0</v>
      </c>
      <c r="G353" s="100">
        <v>350.0</v>
      </c>
      <c r="H353" s="96">
        <f t="shared" si="1"/>
        <v>350</v>
      </c>
      <c r="I353" s="105"/>
    </row>
    <row r="354">
      <c r="E354" s="94" t="s">
        <v>346</v>
      </c>
      <c r="F354" s="94">
        <v>1.0</v>
      </c>
      <c r="G354" s="100">
        <v>22000.0</v>
      </c>
      <c r="H354" s="96">
        <f t="shared" si="1"/>
        <v>22000</v>
      </c>
      <c r="I354" s="105"/>
    </row>
    <row r="355">
      <c r="E355" s="116" t="s">
        <v>347</v>
      </c>
      <c r="F355" s="116">
        <v>1.0</v>
      </c>
      <c r="G355" s="117">
        <v>3000.0</v>
      </c>
      <c r="H355" s="96">
        <f t="shared" si="1"/>
        <v>3000</v>
      </c>
      <c r="I355" s="118"/>
    </row>
    <row r="356">
      <c r="E356" s="94" t="s">
        <v>348</v>
      </c>
      <c r="F356" s="94">
        <v>1.0</v>
      </c>
      <c r="G356" s="100">
        <v>2000.0</v>
      </c>
      <c r="H356" s="119">
        <v>2000.0</v>
      </c>
      <c r="I356" s="105"/>
    </row>
    <row r="357">
      <c r="E357" s="94" t="s">
        <v>349</v>
      </c>
      <c r="F357" s="94">
        <v>15.0</v>
      </c>
      <c r="G357" s="100">
        <v>100.0</v>
      </c>
      <c r="H357" s="119">
        <v>1500.0</v>
      </c>
      <c r="I357" s="105"/>
    </row>
    <row r="358">
      <c r="E358" s="93" t="s">
        <v>350</v>
      </c>
      <c r="F358" s="94">
        <v>150.0</v>
      </c>
      <c r="G358" s="95">
        <v>33.0</v>
      </c>
      <c r="H358" s="96">
        <f t="shared" ref="H358:H380" si="2">F358*G358</f>
        <v>4950</v>
      </c>
      <c r="I358" s="105"/>
    </row>
    <row r="359">
      <c r="E359" s="93" t="s">
        <v>351</v>
      </c>
      <c r="F359" s="94">
        <v>150.0</v>
      </c>
      <c r="G359" s="95">
        <v>27.0</v>
      </c>
      <c r="H359" s="96">
        <f t="shared" si="2"/>
        <v>4050</v>
      </c>
      <c r="I359" s="105"/>
    </row>
    <row r="360">
      <c r="E360" s="93" t="s">
        <v>352</v>
      </c>
      <c r="F360" s="94">
        <v>150.0</v>
      </c>
      <c r="G360" s="95">
        <v>21.0</v>
      </c>
      <c r="H360" s="96">
        <f t="shared" si="2"/>
        <v>3150</v>
      </c>
      <c r="I360" s="105"/>
    </row>
    <row r="361">
      <c r="E361" s="93" t="s">
        <v>353</v>
      </c>
      <c r="F361" s="94">
        <v>150.0</v>
      </c>
      <c r="G361" s="95">
        <v>20.0</v>
      </c>
      <c r="H361" s="96">
        <f t="shared" si="2"/>
        <v>3000</v>
      </c>
      <c r="I361" s="105"/>
    </row>
    <row r="362">
      <c r="E362" s="94" t="s">
        <v>335</v>
      </c>
      <c r="F362" s="94">
        <v>200.0</v>
      </c>
      <c r="G362" s="100">
        <v>14.0</v>
      </c>
      <c r="H362" s="96">
        <f t="shared" si="2"/>
        <v>2800</v>
      </c>
      <c r="I362" s="105"/>
    </row>
    <row r="363">
      <c r="E363" s="93" t="s">
        <v>354</v>
      </c>
      <c r="F363" s="94">
        <v>1.5</v>
      </c>
      <c r="G363" s="95">
        <v>900.0</v>
      </c>
      <c r="H363" s="96">
        <f t="shared" si="2"/>
        <v>1350</v>
      </c>
      <c r="I363" s="105"/>
    </row>
    <row r="364">
      <c r="E364" s="93" t="s">
        <v>355</v>
      </c>
      <c r="F364" s="93">
        <v>1.0</v>
      </c>
      <c r="G364" s="95">
        <v>850.0</v>
      </c>
      <c r="H364" s="96">
        <f t="shared" si="2"/>
        <v>850</v>
      </c>
      <c r="I364" s="105"/>
    </row>
    <row r="365">
      <c r="E365" s="93" t="s">
        <v>356</v>
      </c>
      <c r="F365" s="94">
        <v>14.0</v>
      </c>
      <c r="G365" s="95">
        <v>50.0</v>
      </c>
      <c r="H365" s="96">
        <f t="shared" si="2"/>
        <v>700</v>
      </c>
      <c r="I365" s="105"/>
    </row>
    <row r="366">
      <c r="E366" s="93" t="s">
        <v>357</v>
      </c>
      <c r="F366" s="94">
        <v>20.0</v>
      </c>
      <c r="G366" s="95">
        <v>8.5</v>
      </c>
      <c r="H366" s="96">
        <f t="shared" si="2"/>
        <v>170</v>
      </c>
      <c r="I366" s="118"/>
    </row>
    <row r="367">
      <c r="E367" s="93" t="s">
        <v>358</v>
      </c>
      <c r="F367" s="93">
        <v>21.0</v>
      </c>
      <c r="G367" s="95">
        <v>27.0</v>
      </c>
      <c r="H367" s="96">
        <f t="shared" si="2"/>
        <v>567</v>
      </c>
      <c r="I367" s="118"/>
    </row>
    <row r="368">
      <c r="E368" s="93" t="s">
        <v>359</v>
      </c>
      <c r="F368" s="94">
        <v>65.0</v>
      </c>
      <c r="G368" s="95">
        <v>11.5</v>
      </c>
      <c r="H368" s="96">
        <f t="shared" si="2"/>
        <v>747.5</v>
      </c>
      <c r="I368" s="118"/>
    </row>
    <row r="369">
      <c r="E369" s="93" t="s">
        <v>360</v>
      </c>
      <c r="F369" s="93">
        <v>100.0</v>
      </c>
      <c r="G369" s="95">
        <v>11.0</v>
      </c>
      <c r="H369" s="96">
        <f t="shared" si="2"/>
        <v>1100</v>
      </c>
      <c r="I369" s="105"/>
    </row>
    <row r="370">
      <c r="E370" s="93" t="s">
        <v>361</v>
      </c>
      <c r="F370" s="94">
        <v>1.0</v>
      </c>
      <c r="G370" s="95">
        <v>750.0</v>
      </c>
      <c r="H370" s="96">
        <f t="shared" si="2"/>
        <v>750</v>
      </c>
      <c r="I370" s="105"/>
    </row>
    <row r="371">
      <c r="E371" s="93" t="s">
        <v>362</v>
      </c>
      <c r="F371" s="94">
        <v>1.0</v>
      </c>
      <c r="G371" s="95">
        <v>560.0</v>
      </c>
      <c r="H371" s="96">
        <f t="shared" si="2"/>
        <v>560</v>
      </c>
      <c r="I371" s="105"/>
    </row>
    <row r="372">
      <c r="E372" s="93" t="s">
        <v>297</v>
      </c>
      <c r="F372" s="94">
        <v>2.0</v>
      </c>
      <c r="G372" s="95">
        <v>1250.0</v>
      </c>
      <c r="H372" s="96">
        <f t="shared" si="2"/>
        <v>2500</v>
      </c>
      <c r="I372" s="105"/>
    </row>
    <row r="373">
      <c r="E373" s="94" t="s">
        <v>363</v>
      </c>
      <c r="F373" s="94">
        <v>20.0</v>
      </c>
      <c r="G373" s="100">
        <v>150.0</v>
      </c>
      <c r="H373" s="96">
        <f t="shared" si="2"/>
        <v>3000</v>
      </c>
      <c r="I373" s="105"/>
    </row>
    <row r="374">
      <c r="E374" s="94" t="s">
        <v>364</v>
      </c>
      <c r="F374" s="94">
        <v>6.0</v>
      </c>
      <c r="G374" s="100">
        <v>500.0</v>
      </c>
      <c r="H374" s="96">
        <f t="shared" si="2"/>
        <v>3000</v>
      </c>
      <c r="I374" s="105"/>
    </row>
    <row r="375">
      <c r="E375" s="94" t="s">
        <v>365</v>
      </c>
      <c r="F375" s="94">
        <v>1.0</v>
      </c>
      <c r="G375" s="100">
        <v>2000.0</v>
      </c>
      <c r="H375" s="96">
        <f t="shared" si="2"/>
        <v>2000</v>
      </c>
      <c r="I375" s="105"/>
    </row>
    <row r="376">
      <c r="E376" s="93" t="s">
        <v>366</v>
      </c>
      <c r="F376" s="93">
        <v>1.0</v>
      </c>
      <c r="G376" s="95">
        <v>2500.0</v>
      </c>
      <c r="H376" s="96">
        <f t="shared" si="2"/>
        <v>2500</v>
      </c>
      <c r="I376" s="105"/>
    </row>
    <row r="377">
      <c r="E377" s="94" t="s">
        <v>367</v>
      </c>
      <c r="F377" s="94">
        <v>1.0</v>
      </c>
      <c r="G377" s="100">
        <v>2500.0</v>
      </c>
      <c r="H377" s="96">
        <f t="shared" si="2"/>
        <v>2500</v>
      </c>
      <c r="I377" s="97"/>
    </row>
    <row r="378">
      <c r="E378" s="93" t="s">
        <v>368</v>
      </c>
      <c r="F378" s="93">
        <v>38.0</v>
      </c>
      <c r="G378" s="95">
        <v>2.5</v>
      </c>
      <c r="H378" s="96">
        <f t="shared" si="2"/>
        <v>95</v>
      </c>
      <c r="I378" s="105"/>
    </row>
    <row r="379">
      <c r="E379" s="93" t="s">
        <v>369</v>
      </c>
      <c r="F379" s="93">
        <v>38.0</v>
      </c>
      <c r="G379" s="95">
        <v>2.5</v>
      </c>
      <c r="H379" s="96">
        <f t="shared" si="2"/>
        <v>95</v>
      </c>
      <c r="I379" s="97"/>
    </row>
    <row r="380">
      <c r="E380" s="93"/>
      <c r="F380" s="93"/>
      <c r="G380" s="95"/>
      <c r="H380" s="96">
        <f t="shared" si="2"/>
        <v>0</v>
      </c>
      <c r="I380" s="97"/>
    </row>
    <row r="381">
      <c r="E381" s="120" t="s">
        <v>370</v>
      </c>
      <c r="F381" s="121"/>
      <c r="G381" s="122"/>
      <c r="H381" s="123">
        <f>SUM(H3:H380)</f>
        <v>853532.6</v>
      </c>
      <c r="I381" s="124"/>
    </row>
    <row r="382">
      <c r="E382" s="6"/>
      <c r="F382" s="6"/>
      <c r="G382" s="6"/>
      <c r="H382" s="6"/>
      <c r="I382" s="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65.38"/>
    <col customWidth="1" min="12" max="12" width="20.13"/>
    <col customWidth="1" min="13" max="13" width="25.38"/>
    <col customWidth="1" min="14" max="14" width="31.13"/>
    <col customWidth="1" min="15" max="15" width="71.75"/>
  </cols>
  <sheetData>
    <row r="8">
      <c r="J8" s="78"/>
      <c r="K8" s="125" t="s">
        <v>371</v>
      </c>
      <c r="L8" s="125" t="s">
        <v>5</v>
      </c>
      <c r="M8" s="125" t="s">
        <v>372</v>
      </c>
      <c r="N8" s="126" t="s">
        <v>373</v>
      </c>
      <c r="O8" s="127"/>
    </row>
    <row r="9">
      <c r="J9" s="78"/>
      <c r="K9" s="128" t="s">
        <v>374</v>
      </c>
      <c r="L9" s="129">
        <v>30000.0</v>
      </c>
      <c r="M9" s="130">
        <v>30000.0</v>
      </c>
      <c r="N9" s="129">
        <f t="shared" ref="N9:N31" si="1">L9-M9</f>
        <v>0</v>
      </c>
      <c r="O9" s="127"/>
    </row>
    <row r="10">
      <c r="J10" s="78"/>
      <c r="K10" s="128" t="s">
        <v>375</v>
      </c>
      <c r="L10" s="129">
        <v>30000.0</v>
      </c>
      <c r="M10" s="131">
        <v>30000.0</v>
      </c>
      <c r="N10" s="129">
        <f t="shared" si="1"/>
        <v>0</v>
      </c>
      <c r="O10" s="127"/>
    </row>
    <row r="11">
      <c r="J11" s="132">
        <v>1.0</v>
      </c>
      <c r="K11" s="133" t="s">
        <v>50</v>
      </c>
      <c r="L11" s="129">
        <f>'Pointage Bis'!C36</f>
        <v>29221.5</v>
      </c>
      <c r="M11" s="131">
        <v>29500.0</v>
      </c>
      <c r="N11" s="129">
        <f t="shared" si="1"/>
        <v>-278.5</v>
      </c>
      <c r="O11" s="127"/>
    </row>
    <row r="12">
      <c r="J12" s="132">
        <v>2.0</v>
      </c>
      <c r="K12" s="133" t="s">
        <v>52</v>
      </c>
      <c r="L12" s="129">
        <f>'Pointage Bis'!D36</f>
        <v>34650</v>
      </c>
      <c r="M12" s="131">
        <v>35000.0</v>
      </c>
      <c r="N12" s="129">
        <f t="shared" si="1"/>
        <v>-350</v>
      </c>
      <c r="O12" s="134" t="s">
        <v>376</v>
      </c>
    </row>
    <row r="13">
      <c r="J13" s="132">
        <v>3.0</v>
      </c>
      <c r="K13" s="133" t="s">
        <v>54</v>
      </c>
      <c r="L13" s="129">
        <f>'Pointage Bis'!E36</f>
        <v>34650</v>
      </c>
      <c r="M13" s="131">
        <v>35000.0</v>
      </c>
      <c r="N13" s="129">
        <f t="shared" si="1"/>
        <v>-350</v>
      </c>
      <c r="O13" s="134" t="s">
        <v>377</v>
      </c>
    </row>
    <row r="14">
      <c r="J14" s="132">
        <v>4.0</v>
      </c>
      <c r="K14" s="133" t="s">
        <v>378</v>
      </c>
      <c r="L14" s="131">
        <v>34000.0</v>
      </c>
      <c r="M14" s="131">
        <v>34000.0</v>
      </c>
      <c r="N14" s="129">
        <f t="shared" si="1"/>
        <v>0</v>
      </c>
      <c r="O14" s="134" t="s">
        <v>379</v>
      </c>
    </row>
    <row r="15">
      <c r="J15" s="132">
        <v>5.0</v>
      </c>
      <c r="K15" s="128" t="s">
        <v>58</v>
      </c>
      <c r="L15" s="129">
        <f>'Pointage Bis'!G36</f>
        <v>9240</v>
      </c>
      <c r="M15" s="131">
        <v>9500.0</v>
      </c>
      <c r="N15" s="129">
        <f t="shared" si="1"/>
        <v>-260</v>
      </c>
      <c r="O15" s="127"/>
    </row>
    <row r="16">
      <c r="J16" s="132">
        <v>6.0</v>
      </c>
      <c r="K16" s="133" t="s">
        <v>380</v>
      </c>
      <c r="L16" s="131">
        <f>'Pointage Bis'!H36+O16</f>
        <v>31500</v>
      </c>
      <c r="M16" s="131">
        <v>31500.0</v>
      </c>
      <c r="N16" s="129">
        <f t="shared" si="1"/>
        <v>0</v>
      </c>
      <c r="O16" s="135">
        <v>5000.0</v>
      </c>
    </row>
    <row r="17">
      <c r="J17" s="132">
        <v>7.0</v>
      </c>
      <c r="K17" s="133" t="s">
        <v>381</v>
      </c>
      <c r="L17" s="129">
        <f>'Pointage Bis'!I36</f>
        <v>18480</v>
      </c>
      <c r="M17" s="131">
        <v>18500.0</v>
      </c>
      <c r="N17" s="129">
        <f t="shared" si="1"/>
        <v>-20</v>
      </c>
      <c r="O17" s="127"/>
    </row>
    <row r="18">
      <c r="J18" s="132">
        <v>8.0</v>
      </c>
      <c r="K18" s="133" t="s">
        <v>64</v>
      </c>
      <c r="L18" s="129">
        <f>'Pointage Bis'!J36</f>
        <v>10800</v>
      </c>
      <c r="M18" s="131">
        <v>11000.0</v>
      </c>
      <c r="N18" s="129">
        <f t="shared" si="1"/>
        <v>-200</v>
      </c>
      <c r="O18" s="127"/>
    </row>
    <row r="19">
      <c r="J19" s="132">
        <v>9.0</v>
      </c>
      <c r="K19" s="133" t="s">
        <v>382</v>
      </c>
      <c r="L19" s="129">
        <f>'Pointage Bis'!K36</f>
        <v>12000</v>
      </c>
      <c r="M19" s="131">
        <v>12000.0</v>
      </c>
      <c r="N19" s="129">
        <f t="shared" si="1"/>
        <v>0</v>
      </c>
      <c r="O19" s="127"/>
    </row>
    <row r="20">
      <c r="J20" s="132">
        <v>10.0</v>
      </c>
      <c r="K20" s="133" t="s">
        <v>68</v>
      </c>
      <c r="L20" s="129">
        <f>'Pointage Bis'!L36</f>
        <v>5400</v>
      </c>
      <c r="M20" s="131">
        <v>5500.0</v>
      </c>
      <c r="N20" s="129">
        <f t="shared" si="1"/>
        <v>-100</v>
      </c>
      <c r="O20" s="134" t="s">
        <v>383</v>
      </c>
    </row>
    <row r="21">
      <c r="J21" s="132">
        <v>11.0</v>
      </c>
      <c r="K21" s="133" t="s">
        <v>384</v>
      </c>
      <c r="L21" s="131">
        <v>26500.0</v>
      </c>
      <c r="M21" s="131">
        <v>26500.0</v>
      </c>
      <c r="N21" s="129">
        <f t="shared" si="1"/>
        <v>0</v>
      </c>
      <c r="O21" s="127"/>
    </row>
    <row r="22">
      <c r="J22" s="132">
        <v>12.0</v>
      </c>
      <c r="K22" s="133" t="s">
        <v>72</v>
      </c>
      <c r="L22" s="129">
        <f>'Pointage Bis'!N36</f>
        <v>32917.5</v>
      </c>
      <c r="M22" s="131">
        <v>33000.0</v>
      </c>
      <c r="N22" s="129">
        <f t="shared" si="1"/>
        <v>-82.5</v>
      </c>
      <c r="O22" s="127"/>
    </row>
    <row r="23">
      <c r="J23" s="132">
        <v>13.0</v>
      </c>
      <c r="K23" s="133" t="s">
        <v>74</v>
      </c>
      <c r="L23" s="131">
        <v>30000.0</v>
      </c>
      <c r="M23" s="131">
        <v>30000.0</v>
      </c>
      <c r="N23" s="129">
        <f t="shared" si="1"/>
        <v>0</v>
      </c>
      <c r="O23" s="127"/>
    </row>
    <row r="24">
      <c r="J24" s="132">
        <v>14.0</v>
      </c>
      <c r="K24" s="133" t="s">
        <v>76</v>
      </c>
      <c r="L24" s="129">
        <f>'Pointage Bis'!P36</f>
        <v>18700</v>
      </c>
      <c r="M24" s="131">
        <v>19000.0</v>
      </c>
      <c r="N24" s="129">
        <f t="shared" si="1"/>
        <v>-300</v>
      </c>
      <c r="O24" s="127"/>
    </row>
    <row r="25">
      <c r="J25" s="72">
        <v>15.0</v>
      </c>
      <c r="K25" s="133" t="s">
        <v>385</v>
      </c>
      <c r="L25" s="129">
        <f>'Pointage Bis'!Q36</f>
        <v>4800</v>
      </c>
      <c r="M25" s="131">
        <v>5000.0</v>
      </c>
      <c r="N25" s="129">
        <f t="shared" si="1"/>
        <v>-200</v>
      </c>
      <c r="O25" s="127"/>
    </row>
    <row r="26">
      <c r="J26" s="72">
        <v>16.0</v>
      </c>
      <c r="K26" s="133" t="s">
        <v>386</v>
      </c>
      <c r="L26" s="129">
        <f>'Pointage Bis'!R36</f>
        <v>6000</v>
      </c>
      <c r="M26" s="131">
        <v>6000.0</v>
      </c>
      <c r="N26" s="129">
        <f t="shared" si="1"/>
        <v>0</v>
      </c>
      <c r="O26" s="127"/>
    </row>
    <row r="27">
      <c r="J27" s="72">
        <v>17.0</v>
      </c>
      <c r="K27" s="133" t="s">
        <v>387</v>
      </c>
      <c r="L27" s="129">
        <f>'Pointage Bis'!T36</f>
        <v>19000</v>
      </c>
      <c r="M27" s="131">
        <v>19000.0</v>
      </c>
      <c r="N27" s="129">
        <f t="shared" si="1"/>
        <v>0</v>
      </c>
      <c r="O27" s="134" t="s">
        <v>388</v>
      </c>
    </row>
    <row r="28">
      <c r="J28" s="72">
        <v>18.0</v>
      </c>
      <c r="K28" s="133" t="s">
        <v>389</v>
      </c>
      <c r="L28" s="129">
        <f>'Pointage Bis'!S36</f>
        <v>9600</v>
      </c>
      <c r="M28" s="131">
        <v>10000.0</v>
      </c>
      <c r="N28" s="129">
        <f t="shared" si="1"/>
        <v>-400</v>
      </c>
      <c r="O28" s="127"/>
    </row>
    <row r="29">
      <c r="J29" s="72">
        <v>19.0</v>
      </c>
      <c r="K29" s="133"/>
      <c r="L29" s="129"/>
      <c r="M29" s="129"/>
      <c r="N29" s="129">
        <f t="shared" si="1"/>
        <v>0</v>
      </c>
      <c r="O29" s="127"/>
    </row>
    <row r="30">
      <c r="J30" s="78"/>
      <c r="K30" s="136" t="s">
        <v>390</v>
      </c>
      <c r="L30" s="42">
        <f t="shared" ref="L30:M30" si="2">SUM(L9:L29)</f>
        <v>427459</v>
      </c>
      <c r="M30" s="137">
        <f t="shared" si="2"/>
        <v>430000</v>
      </c>
      <c r="N30" s="138">
        <f t="shared" si="1"/>
        <v>-2541</v>
      </c>
      <c r="O30" s="127"/>
    </row>
    <row r="31">
      <c r="J31" s="78"/>
      <c r="K31" s="139"/>
      <c r="L31" s="128"/>
      <c r="M31" s="128"/>
      <c r="N31" s="140">
        <f t="shared" si="1"/>
        <v>0</v>
      </c>
      <c r="O31" s="127"/>
    </row>
    <row r="32">
      <c r="J32" s="6"/>
      <c r="K32" s="141"/>
      <c r="L32" s="141"/>
      <c r="M32" s="141"/>
      <c r="N32" s="141"/>
      <c r="O32" s="127"/>
    </row>
    <row r="33">
      <c r="J33" s="6"/>
      <c r="K33" s="6"/>
      <c r="L33" s="6"/>
      <c r="M33" s="6"/>
      <c r="N33" s="6"/>
    </row>
    <row r="34">
      <c r="J34" s="6"/>
      <c r="K34" s="6"/>
      <c r="L34" s="6"/>
      <c r="M34" s="6"/>
      <c r="N34" s="6"/>
    </row>
    <row r="35">
      <c r="J35" s="6"/>
      <c r="K35" s="6"/>
      <c r="L35" s="6"/>
      <c r="M35" s="6"/>
      <c r="N35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63"/>
    <col customWidth="1" min="14" max="14" width="19.63"/>
    <col customWidth="1" min="17" max="17" width="20.88"/>
  </cols>
  <sheetData>
    <row r="1">
      <c r="A1" s="30"/>
      <c r="B1" s="2" t="s">
        <v>0</v>
      </c>
      <c r="C1" s="142" t="s">
        <v>50</v>
      </c>
      <c r="D1" s="143"/>
      <c r="E1" s="142" t="s">
        <v>391</v>
      </c>
      <c r="F1" s="143"/>
      <c r="G1" s="142" t="s">
        <v>54</v>
      </c>
      <c r="H1" s="143"/>
      <c r="I1" s="142" t="s">
        <v>56</v>
      </c>
      <c r="J1" s="143"/>
      <c r="K1" s="142" t="s">
        <v>392</v>
      </c>
      <c r="L1" s="143"/>
      <c r="M1" s="142" t="s">
        <v>380</v>
      </c>
      <c r="N1" s="143"/>
      <c r="O1" s="142" t="s">
        <v>62</v>
      </c>
      <c r="P1" s="143"/>
      <c r="Q1" s="2" t="s">
        <v>0</v>
      </c>
      <c r="R1" s="142" t="s">
        <v>64</v>
      </c>
      <c r="S1" s="143"/>
      <c r="T1" s="142" t="s">
        <v>382</v>
      </c>
      <c r="U1" s="143"/>
      <c r="V1" s="142" t="s">
        <v>68</v>
      </c>
      <c r="W1" s="143"/>
      <c r="X1" s="142" t="s">
        <v>384</v>
      </c>
      <c r="Y1" s="143"/>
      <c r="Z1" s="142" t="s">
        <v>72</v>
      </c>
      <c r="AA1" s="143"/>
      <c r="AB1" s="142" t="s">
        <v>74</v>
      </c>
      <c r="AC1" s="143"/>
      <c r="AD1" s="142" t="s">
        <v>76</v>
      </c>
      <c r="AE1" s="143"/>
      <c r="AF1" s="142" t="s">
        <v>385</v>
      </c>
      <c r="AG1" s="143"/>
      <c r="AH1" s="142" t="s">
        <v>386</v>
      </c>
      <c r="AI1" s="143"/>
      <c r="AJ1" s="142" t="s">
        <v>393</v>
      </c>
      <c r="AK1" s="143"/>
      <c r="AL1" s="142" t="s">
        <v>394</v>
      </c>
      <c r="AM1" s="143"/>
      <c r="AN1" s="144"/>
      <c r="AO1" s="143"/>
      <c r="AP1" s="144"/>
      <c r="AQ1" s="143"/>
      <c r="AR1" s="144"/>
      <c r="AS1" s="143"/>
    </row>
    <row r="2">
      <c r="A2" s="14"/>
      <c r="B2" s="14" t="s">
        <v>395</v>
      </c>
      <c r="C2" s="145" t="s">
        <v>396</v>
      </c>
      <c r="D2" s="145" t="s">
        <v>397</v>
      </c>
      <c r="E2" s="145" t="s">
        <v>396</v>
      </c>
      <c r="F2" s="145" t="s">
        <v>397</v>
      </c>
      <c r="G2" s="145" t="s">
        <v>396</v>
      </c>
      <c r="H2" s="145" t="s">
        <v>397</v>
      </c>
      <c r="I2" s="145" t="s">
        <v>396</v>
      </c>
      <c r="J2" s="145" t="s">
        <v>397</v>
      </c>
      <c r="K2" s="145" t="s">
        <v>396</v>
      </c>
      <c r="L2" s="145" t="s">
        <v>397</v>
      </c>
      <c r="M2" s="145" t="s">
        <v>396</v>
      </c>
      <c r="N2" s="145" t="s">
        <v>397</v>
      </c>
      <c r="O2" s="145" t="s">
        <v>396</v>
      </c>
      <c r="P2" s="145" t="s">
        <v>397</v>
      </c>
      <c r="Q2" s="14" t="s">
        <v>395</v>
      </c>
      <c r="R2" s="145" t="s">
        <v>396</v>
      </c>
      <c r="S2" s="145" t="s">
        <v>397</v>
      </c>
      <c r="T2" s="145" t="s">
        <v>396</v>
      </c>
      <c r="U2" s="145" t="s">
        <v>397</v>
      </c>
      <c r="V2" s="145" t="s">
        <v>396</v>
      </c>
      <c r="W2" s="145" t="s">
        <v>397</v>
      </c>
      <c r="X2" s="145" t="s">
        <v>396</v>
      </c>
      <c r="Y2" s="145" t="s">
        <v>397</v>
      </c>
      <c r="Z2" s="145" t="s">
        <v>396</v>
      </c>
      <c r="AA2" s="145" t="s">
        <v>397</v>
      </c>
      <c r="AB2" s="145" t="s">
        <v>396</v>
      </c>
      <c r="AC2" s="145" t="s">
        <v>397</v>
      </c>
      <c r="AD2" s="145" t="s">
        <v>396</v>
      </c>
      <c r="AE2" s="145" t="s">
        <v>397</v>
      </c>
      <c r="AF2" s="145" t="s">
        <v>396</v>
      </c>
      <c r="AG2" s="145" t="s">
        <v>397</v>
      </c>
      <c r="AH2" s="145" t="s">
        <v>396</v>
      </c>
      <c r="AI2" s="145" t="s">
        <v>397</v>
      </c>
      <c r="AJ2" s="145" t="s">
        <v>396</v>
      </c>
      <c r="AK2" s="145" t="s">
        <v>397</v>
      </c>
      <c r="AL2" s="145" t="s">
        <v>396</v>
      </c>
      <c r="AM2" s="145" t="s">
        <v>397</v>
      </c>
      <c r="AN2" s="145" t="s">
        <v>396</v>
      </c>
      <c r="AO2" s="145" t="s">
        <v>397</v>
      </c>
      <c r="AP2" s="145" t="s">
        <v>396</v>
      </c>
      <c r="AQ2" s="145" t="s">
        <v>397</v>
      </c>
      <c r="AR2" s="145" t="s">
        <v>396</v>
      </c>
      <c r="AS2" s="145" t="s">
        <v>397</v>
      </c>
    </row>
    <row r="3">
      <c r="A3" s="9" t="s">
        <v>12</v>
      </c>
      <c r="B3" s="10">
        <v>45658.0</v>
      </c>
      <c r="C3" s="145" t="s">
        <v>398</v>
      </c>
      <c r="D3" s="145" t="s">
        <v>399</v>
      </c>
      <c r="E3" s="145" t="s">
        <v>400</v>
      </c>
      <c r="F3" s="145" t="s">
        <v>401</v>
      </c>
      <c r="G3" s="145" t="s">
        <v>402</v>
      </c>
      <c r="H3" s="145" t="s">
        <v>403</v>
      </c>
      <c r="I3" s="145" t="s">
        <v>402</v>
      </c>
      <c r="J3" s="145" t="s">
        <v>403</v>
      </c>
      <c r="K3" s="145" t="s">
        <v>404</v>
      </c>
      <c r="L3" s="145" t="s">
        <v>404</v>
      </c>
      <c r="M3" s="145" t="s">
        <v>405</v>
      </c>
      <c r="N3" s="145" t="s">
        <v>406</v>
      </c>
      <c r="O3" s="145" t="s">
        <v>407</v>
      </c>
      <c r="P3" s="145" t="s">
        <v>408</v>
      </c>
      <c r="Q3" s="10">
        <v>45658.0</v>
      </c>
      <c r="R3" s="145" t="s">
        <v>409</v>
      </c>
      <c r="S3" s="145" t="s">
        <v>403</v>
      </c>
      <c r="T3" s="145" t="s">
        <v>404</v>
      </c>
      <c r="U3" s="145" t="s">
        <v>404</v>
      </c>
      <c r="V3" s="146"/>
      <c r="W3" s="146"/>
      <c r="X3" s="145" t="s">
        <v>410</v>
      </c>
      <c r="Y3" s="145" t="s">
        <v>411</v>
      </c>
      <c r="Z3" s="145" t="s">
        <v>412</v>
      </c>
      <c r="AA3" s="145" t="s">
        <v>413</v>
      </c>
      <c r="AB3" s="145" t="s">
        <v>414</v>
      </c>
      <c r="AC3" s="145" t="s">
        <v>415</v>
      </c>
      <c r="AD3" s="145" t="s">
        <v>404</v>
      </c>
      <c r="AE3" s="145" t="s">
        <v>404</v>
      </c>
      <c r="AF3" s="145" t="s">
        <v>416</v>
      </c>
      <c r="AG3" s="145" t="s">
        <v>404</v>
      </c>
      <c r="AH3" s="145" t="s">
        <v>404</v>
      </c>
      <c r="AI3" s="145" t="s">
        <v>404</v>
      </c>
      <c r="AJ3" s="145" t="s">
        <v>404</v>
      </c>
      <c r="AK3" s="145" t="s">
        <v>404</v>
      </c>
      <c r="AL3" s="145" t="s">
        <v>404</v>
      </c>
      <c r="AM3" s="145" t="s">
        <v>404</v>
      </c>
      <c r="AN3" s="146"/>
      <c r="AO3" s="146"/>
      <c r="AP3" s="146"/>
      <c r="AQ3" s="146"/>
      <c r="AR3" s="146"/>
      <c r="AS3" s="146"/>
    </row>
    <row r="4">
      <c r="A4" s="9" t="s">
        <v>13</v>
      </c>
      <c r="B4" s="10">
        <v>45659.0</v>
      </c>
      <c r="C4" s="145" t="s">
        <v>398</v>
      </c>
      <c r="D4" s="145" t="s">
        <v>417</v>
      </c>
      <c r="E4" s="145" t="s">
        <v>418</v>
      </c>
      <c r="F4" s="145" t="s">
        <v>406</v>
      </c>
      <c r="G4" s="145" t="s">
        <v>419</v>
      </c>
      <c r="H4" s="145" t="s">
        <v>420</v>
      </c>
      <c r="I4" s="145" t="s">
        <v>419</v>
      </c>
      <c r="J4" s="145" t="s">
        <v>420</v>
      </c>
      <c r="K4" s="145" t="s">
        <v>404</v>
      </c>
      <c r="L4" s="145" t="s">
        <v>404</v>
      </c>
      <c r="M4" s="145" t="s">
        <v>421</v>
      </c>
      <c r="N4" s="145" t="s">
        <v>422</v>
      </c>
      <c r="O4" s="145" t="s">
        <v>404</v>
      </c>
      <c r="P4" s="145" t="s">
        <v>404</v>
      </c>
      <c r="Q4" s="10">
        <v>45659.0</v>
      </c>
      <c r="R4" s="145" t="s">
        <v>404</v>
      </c>
      <c r="S4" s="145" t="s">
        <v>404</v>
      </c>
      <c r="T4" s="145" t="s">
        <v>404</v>
      </c>
      <c r="U4" s="145" t="s">
        <v>404</v>
      </c>
      <c r="V4" s="146"/>
      <c r="W4" s="146"/>
      <c r="X4" s="145" t="s">
        <v>400</v>
      </c>
      <c r="Y4" s="145" t="s">
        <v>413</v>
      </c>
      <c r="Z4" s="145" t="s">
        <v>418</v>
      </c>
      <c r="AA4" s="145" t="s">
        <v>413</v>
      </c>
      <c r="AB4" s="145" t="s">
        <v>400</v>
      </c>
      <c r="AC4" s="145" t="s">
        <v>423</v>
      </c>
      <c r="AD4" s="145" t="s">
        <v>404</v>
      </c>
      <c r="AE4" s="145" t="s">
        <v>404</v>
      </c>
      <c r="AF4" s="145" t="s">
        <v>416</v>
      </c>
      <c r="AG4" s="145" t="s">
        <v>404</v>
      </c>
      <c r="AH4" s="145" t="s">
        <v>404</v>
      </c>
      <c r="AI4" s="145" t="s">
        <v>404</v>
      </c>
      <c r="AJ4" s="145" t="s">
        <v>404</v>
      </c>
      <c r="AK4" s="145" t="s">
        <v>404</v>
      </c>
      <c r="AL4" s="145" t="s">
        <v>404</v>
      </c>
      <c r="AM4" s="145" t="s">
        <v>404</v>
      </c>
      <c r="AN4" s="146"/>
      <c r="AO4" s="146"/>
      <c r="AP4" s="146"/>
      <c r="AQ4" s="146"/>
      <c r="AR4" s="146"/>
      <c r="AS4" s="146"/>
    </row>
    <row r="5">
      <c r="A5" s="21" t="s">
        <v>18</v>
      </c>
      <c r="B5" s="22">
        <v>45660.0</v>
      </c>
      <c r="C5" s="147" t="s">
        <v>404</v>
      </c>
      <c r="D5" s="147" t="s">
        <v>404</v>
      </c>
      <c r="E5" s="147" t="s">
        <v>424</v>
      </c>
      <c r="F5" s="147" t="s">
        <v>423</v>
      </c>
      <c r="G5" s="147" t="s">
        <v>425</v>
      </c>
      <c r="H5" s="147" t="s">
        <v>426</v>
      </c>
      <c r="I5" s="147" t="s">
        <v>425</v>
      </c>
      <c r="J5" s="147" t="s">
        <v>426</v>
      </c>
      <c r="K5" s="147" t="s">
        <v>404</v>
      </c>
      <c r="L5" s="147" t="s">
        <v>404</v>
      </c>
      <c r="M5" s="147" t="s">
        <v>427</v>
      </c>
      <c r="N5" s="147" t="s">
        <v>428</v>
      </c>
      <c r="O5" s="148"/>
      <c r="P5" s="148"/>
      <c r="Q5" s="22">
        <v>45660.0</v>
      </c>
      <c r="R5" s="147" t="s">
        <v>429</v>
      </c>
      <c r="S5" s="147" t="s">
        <v>399</v>
      </c>
      <c r="T5" s="147" t="s">
        <v>404</v>
      </c>
      <c r="U5" s="147" t="s">
        <v>404</v>
      </c>
      <c r="V5" s="147" t="s">
        <v>404</v>
      </c>
      <c r="W5" s="147" t="s">
        <v>404</v>
      </c>
      <c r="X5" s="147" t="s">
        <v>404</v>
      </c>
      <c r="Y5" s="147" t="s">
        <v>404</v>
      </c>
      <c r="Z5" s="147" t="s">
        <v>404</v>
      </c>
      <c r="AA5" s="147" t="s">
        <v>404</v>
      </c>
      <c r="AB5" s="147" t="s">
        <v>404</v>
      </c>
      <c r="AC5" s="147" t="s">
        <v>404</v>
      </c>
      <c r="AD5" s="147" t="s">
        <v>404</v>
      </c>
      <c r="AE5" s="147" t="s">
        <v>404</v>
      </c>
      <c r="AF5" s="147" t="s">
        <v>416</v>
      </c>
      <c r="AG5" s="147" t="s">
        <v>404</v>
      </c>
      <c r="AH5" s="147" t="s">
        <v>429</v>
      </c>
      <c r="AI5" s="147" t="s">
        <v>399</v>
      </c>
      <c r="AJ5" s="147" t="s">
        <v>404</v>
      </c>
      <c r="AK5" s="147" t="s">
        <v>404</v>
      </c>
      <c r="AL5" s="147" t="s">
        <v>404</v>
      </c>
      <c r="AM5" s="147" t="s">
        <v>404</v>
      </c>
      <c r="AN5" s="148"/>
      <c r="AO5" s="148"/>
      <c r="AP5" s="148"/>
      <c r="AQ5" s="148"/>
      <c r="AR5" s="148"/>
      <c r="AS5" s="148"/>
    </row>
    <row r="6">
      <c r="A6" s="9" t="s">
        <v>19</v>
      </c>
      <c r="B6" s="10">
        <v>45661.0</v>
      </c>
      <c r="C6" s="145" t="s">
        <v>404</v>
      </c>
      <c r="D6" s="145" t="s">
        <v>404</v>
      </c>
      <c r="E6" s="145" t="s">
        <v>430</v>
      </c>
      <c r="F6" s="145" t="s">
        <v>431</v>
      </c>
      <c r="G6" s="145" t="s">
        <v>425</v>
      </c>
      <c r="H6" s="145" t="s">
        <v>431</v>
      </c>
      <c r="I6" s="145" t="s">
        <v>425</v>
      </c>
      <c r="J6" s="145" t="s">
        <v>431</v>
      </c>
      <c r="K6" s="145" t="s">
        <v>404</v>
      </c>
      <c r="L6" s="145" t="s">
        <v>404</v>
      </c>
      <c r="M6" s="145" t="s">
        <v>432</v>
      </c>
      <c r="N6" s="145" t="s">
        <v>428</v>
      </c>
      <c r="O6" s="145" t="s">
        <v>404</v>
      </c>
      <c r="P6" s="145" t="s">
        <v>404</v>
      </c>
      <c r="Q6" s="10">
        <v>45661.0</v>
      </c>
      <c r="R6" s="145" t="s">
        <v>412</v>
      </c>
      <c r="S6" s="145" t="s">
        <v>411</v>
      </c>
      <c r="T6" s="145" t="s">
        <v>404</v>
      </c>
      <c r="U6" s="145" t="s">
        <v>404</v>
      </c>
      <c r="V6" s="145" t="s">
        <v>404</v>
      </c>
      <c r="W6" s="145" t="s">
        <v>404</v>
      </c>
      <c r="X6" s="145" t="s">
        <v>404</v>
      </c>
      <c r="Y6" s="145" t="s">
        <v>404</v>
      </c>
      <c r="Z6" s="145" t="s">
        <v>404</v>
      </c>
      <c r="AA6" s="145" t="s">
        <v>404</v>
      </c>
      <c r="AB6" s="145" t="s">
        <v>412</v>
      </c>
      <c r="AC6" s="145" t="s">
        <v>433</v>
      </c>
      <c r="AD6" s="145" t="s">
        <v>404</v>
      </c>
      <c r="AE6" s="145" t="s">
        <v>404</v>
      </c>
      <c r="AF6" s="145" t="s">
        <v>434</v>
      </c>
      <c r="AG6" s="145" t="s">
        <v>411</v>
      </c>
      <c r="AH6" s="145" t="s">
        <v>435</v>
      </c>
      <c r="AI6" s="145" t="s">
        <v>411</v>
      </c>
      <c r="AJ6" s="145" t="s">
        <v>404</v>
      </c>
      <c r="AK6" s="145" t="s">
        <v>436</v>
      </c>
      <c r="AL6" s="145" t="s">
        <v>404</v>
      </c>
      <c r="AM6" s="145" t="s">
        <v>404</v>
      </c>
      <c r="AN6" s="146"/>
      <c r="AO6" s="146"/>
      <c r="AP6" s="146"/>
      <c r="AQ6" s="146"/>
      <c r="AR6" s="146"/>
      <c r="AS6" s="146"/>
    </row>
    <row r="7">
      <c r="A7" s="9" t="s">
        <v>20</v>
      </c>
      <c r="B7" s="10">
        <v>45662.0</v>
      </c>
      <c r="C7" s="145" t="s">
        <v>437</v>
      </c>
      <c r="D7" s="145" t="s">
        <v>413</v>
      </c>
      <c r="E7" s="145" t="s">
        <v>438</v>
      </c>
      <c r="F7" s="145" t="s">
        <v>403</v>
      </c>
      <c r="G7" s="145" t="s">
        <v>404</v>
      </c>
      <c r="H7" s="145" t="s">
        <v>404</v>
      </c>
      <c r="I7" s="149" t="s">
        <v>439</v>
      </c>
      <c r="J7" s="145" t="s">
        <v>440</v>
      </c>
      <c r="K7" s="145" t="s">
        <v>404</v>
      </c>
      <c r="L7" s="145" t="s">
        <v>404</v>
      </c>
      <c r="M7" s="145" t="s">
        <v>441</v>
      </c>
      <c r="N7" s="145" t="s">
        <v>408</v>
      </c>
      <c r="O7" s="146"/>
      <c r="P7" s="146"/>
      <c r="Q7" s="10">
        <v>45662.0</v>
      </c>
      <c r="R7" s="145" t="s">
        <v>442</v>
      </c>
      <c r="S7" s="145" t="s">
        <v>443</v>
      </c>
      <c r="T7" s="145" t="s">
        <v>404</v>
      </c>
      <c r="U7" s="145" t="s">
        <v>404</v>
      </c>
      <c r="V7" s="145" t="s">
        <v>404</v>
      </c>
      <c r="W7" s="145" t="s">
        <v>404</v>
      </c>
      <c r="X7" s="145" t="s">
        <v>418</v>
      </c>
      <c r="Y7" s="145" t="s">
        <v>444</v>
      </c>
      <c r="Z7" s="145" t="s">
        <v>418</v>
      </c>
      <c r="AA7" s="145" t="s">
        <v>444</v>
      </c>
      <c r="AB7" s="145" t="s">
        <v>412</v>
      </c>
      <c r="AC7" s="145" t="s">
        <v>423</v>
      </c>
      <c r="AD7" s="145" t="s">
        <v>404</v>
      </c>
      <c r="AE7" s="145" t="s">
        <v>404</v>
      </c>
      <c r="AF7" s="145" t="s">
        <v>416</v>
      </c>
      <c r="AG7" s="145" t="s">
        <v>404</v>
      </c>
      <c r="AH7" s="145" t="s">
        <v>404</v>
      </c>
      <c r="AI7" s="145" t="s">
        <v>404</v>
      </c>
      <c r="AJ7" s="145" t="s">
        <v>404</v>
      </c>
      <c r="AK7" s="145" t="s">
        <v>404</v>
      </c>
      <c r="AL7" s="145" t="s">
        <v>404</v>
      </c>
      <c r="AM7" s="145" t="s">
        <v>404</v>
      </c>
      <c r="AN7" s="146"/>
      <c r="AO7" s="146"/>
      <c r="AP7" s="146"/>
      <c r="AQ7" s="146"/>
      <c r="AR7" s="146"/>
      <c r="AS7" s="146"/>
    </row>
    <row r="8">
      <c r="A8" s="9" t="s">
        <v>23</v>
      </c>
      <c r="B8" s="10">
        <v>45663.0</v>
      </c>
      <c r="C8" s="145" t="s">
        <v>445</v>
      </c>
      <c r="D8" s="145" t="s">
        <v>423</v>
      </c>
      <c r="E8" s="145" t="s">
        <v>446</v>
      </c>
      <c r="F8" s="145" t="s">
        <v>447</v>
      </c>
      <c r="G8" s="149" t="s">
        <v>448</v>
      </c>
      <c r="H8" s="145" t="s">
        <v>399</v>
      </c>
      <c r="I8" s="145" t="s">
        <v>404</v>
      </c>
      <c r="J8" s="145" t="s">
        <v>404</v>
      </c>
      <c r="K8" s="145" t="s">
        <v>404</v>
      </c>
      <c r="L8" s="145" t="s">
        <v>404</v>
      </c>
      <c r="M8" s="145" t="s">
        <v>449</v>
      </c>
      <c r="N8" s="145" t="s">
        <v>408</v>
      </c>
      <c r="O8" s="145" t="s">
        <v>404</v>
      </c>
      <c r="P8" s="145" t="s">
        <v>404</v>
      </c>
      <c r="Q8" s="10">
        <v>45663.0</v>
      </c>
      <c r="R8" s="145" t="s">
        <v>412</v>
      </c>
      <c r="S8" s="145" t="s">
        <v>450</v>
      </c>
      <c r="T8" s="145" t="s">
        <v>441</v>
      </c>
      <c r="U8" s="145" t="s">
        <v>451</v>
      </c>
      <c r="V8" s="145" t="s">
        <v>404</v>
      </c>
      <c r="W8" s="145" t="s">
        <v>404</v>
      </c>
      <c r="X8" s="145" t="s">
        <v>404</v>
      </c>
      <c r="Y8" s="145" t="s">
        <v>404</v>
      </c>
      <c r="Z8" s="145" t="s">
        <v>452</v>
      </c>
      <c r="AA8" s="145" t="s">
        <v>450</v>
      </c>
      <c r="AB8" s="145" t="s">
        <v>453</v>
      </c>
      <c r="AC8" s="145" t="s">
        <v>451</v>
      </c>
      <c r="AD8" s="145" t="s">
        <v>404</v>
      </c>
      <c r="AE8" s="145" t="s">
        <v>404</v>
      </c>
      <c r="AF8" s="145" t="s">
        <v>416</v>
      </c>
      <c r="AG8" s="145" t="s">
        <v>404</v>
      </c>
      <c r="AH8" s="145" t="s">
        <v>404</v>
      </c>
      <c r="AI8" s="145" t="s">
        <v>404</v>
      </c>
      <c r="AJ8" s="145" t="s">
        <v>404</v>
      </c>
      <c r="AK8" s="145" t="s">
        <v>404</v>
      </c>
      <c r="AL8" s="145" t="s">
        <v>404</v>
      </c>
      <c r="AM8" s="145" t="s">
        <v>404</v>
      </c>
      <c r="AN8" s="146"/>
      <c r="AO8" s="146"/>
      <c r="AP8" s="146"/>
      <c r="AQ8" s="146"/>
      <c r="AR8" s="146"/>
      <c r="AS8" s="146"/>
    </row>
    <row r="9">
      <c r="A9" s="9" t="s">
        <v>24</v>
      </c>
      <c r="B9" s="10">
        <v>45664.0</v>
      </c>
      <c r="C9" s="145" t="s">
        <v>454</v>
      </c>
      <c r="D9" s="145" t="s">
        <v>455</v>
      </c>
      <c r="E9" s="145" t="s">
        <v>456</v>
      </c>
      <c r="F9" s="145" t="s">
        <v>457</v>
      </c>
      <c r="G9" s="145" t="s">
        <v>458</v>
      </c>
      <c r="H9" s="145" t="s">
        <v>440</v>
      </c>
      <c r="I9" s="145" t="s">
        <v>458</v>
      </c>
      <c r="J9" s="145" t="s">
        <v>440</v>
      </c>
      <c r="K9" s="145" t="s">
        <v>404</v>
      </c>
      <c r="L9" s="145" t="s">
        <v>404</v>
      </c>
      <c r="M9" s="145" t="s">
        <v>459</v>
      </c>
      <c r="N9" s="145" t="s">
        <v>460</v>
      </c>
      <c r="O9" s="146"/>
      <c r="P9" s="146"/>
      <c r="Q9" s="10">
        <v>45664.0</v>
      </c>
      <c r="R9" s="145" t="s">
        <v>404</v>
      </c>
      <c r="S9" s="145" t="s">
        <v>404</v>
      </c>
      <c r="T9" s="145" t="s">
        <v>410</v>
      </c>
      <c r="U9" s="145" t="s">
        <v>413</v>
      </c>
      <c r="V9" s="145" t="s">
        <v>404</v>
      </c>
      <c r="W9" s="145" t="s">
        <v>404</v>
      </c>
      <c r="X9" s="145" t="s">
        <v>461</v>
      </c>
      <c r="Y9" s="145" t="s">
        <v>462</v>
      </c>
      <c r="Z9" s="145" t="s">
        <v>463</v>
      </c>
      <c r="AA9" s="145" t="s">
        <v>462</v>
      </c>
      <c r="AB9" s="145" t="s">
        <v>453</v>
      </c>
      <c r="AC9" s="145" t="s">
        <v>464</v>
      </c>
      <c r="AD9" s="145" t="s">
        <v>404</v>
      </c>
      <c r="AE9" s="145" t="s">
        <v>404</v>
      </c>
      <c r="AF9" s="145" t="s">
        <v>407</v>
      </c>
      <c r="AG9" s="145" t="s">
        <v>465</v>
      </c>
      <c r="AH9" s="145" t="s">
        <v>404</v>
      </c>
      <c r="AI9" s="145" t="s">
        <v>404</v>
      </c>
      <c r="AJ9" s="145" t="s">
        <v>404</v>
      </c>
      <c r="AK9" s="145" t="s">
        <v>404</v>
      </c>
      <c r="AL9" s="145" t="s">
        <v>404</v>
      </c>
      <c r="AM9" s="145" t="s">
        <v>404</v>
      </c>
      <c r="AN9" s="146"/>
      <c r="AO9" s="146"/>
      <c r="AP9" s="146"/>
      <c r="AQ9" s="146"/>
      <c r="AR9" s="146"/>
      <c r="AS9" s="146"/>
    </row>
    <row r="10">
      <c r="A10" s="9" t="s">
        <v>12</v>
      </c>
      <c r="B10" s="10">
        <v>45665.0</v>
      </c>
      <c r="C10" s="145" t="s">
        <v>466</v>
      </c>
      <c r="D10" s="145" t="s">
        <v>417</v>
      </c>
      <c r="E10" s="145" t="s">
        <v>467</v>
      </c>
      <c r="F10" s="145" t="s">
        <v>468</v>
      </c>
      <c r="G10" s="149" t="s">
        <v>469</v>
      </c>
      <c r="H10" s="145" t="s">
        <v>470</v>
      </c>
      <c r="I10" s="145" t="s">
        <v>469</v>
      </c>
      <c r="J10" s="145" t="s">
        <v>470</v>
      </c>
      <c r="K10" s="145" t="s">
        <v>435</v>
      </c>
      <c r="L10" s="145" t="s">
        <v>471</v>
      </c>
      <c r="M10" s="145" t="s">
        <v>404</v>
      </c>
      <c r="N10" s="145" t="s">
        <v>404</v>
      </c>
      <c r="O10" s="145" t="s">
        <v>472</v>
      </c>
      <c r="P10" s="145" t="s">
        <v>408</v>
      </c>
      <c r="Q10" s="10">
        <v>45665.0</v>
      </c>
      <c r="R10" s="145" t="s">
        <v>473</v>
      </c>
      <c r="S10" s="145" t="s">
        <v>474</v>
      </c>
      <c r="T10" s="145" t="s">
        <v>475</v>
      </c>
      <c r="U10" s="145" t="s">
        <v>476</v>
      </c>
      <c r="V10" s="145" t="s">
        <v>404</v>
      </c>
      <c r="W10" s="145" t="s">
        <v>404</v>
      </c>
      <c r="X10" s="145" t="s">
        <v>477</v>
      </c>
      <c r="Y10" s="145" t="s">
        <v>478</v>
      </c>
      <c r="Z10" s="145" t="s">
        <v>475</v>
      </c>
      <c r="AA10" s="145" t="s">
        <v>476</v>
      </c>
      <c r="AB10" s="145" t="s">
        <v>479</v>
      </c>
      <c r="AC10" s="145" t="s">
        <v>480</v>
      </c>
      <c r="AD10" s="145" t="s">
        <v>404</v>
      </c>
      <c r="AE10" s="145" t="s">
        <v>404</v>
      </c>
      <c r="AF10" s="145" t="s">
        <v>416</v>
      </c>
      <c r="AG10" s="145" t="s">
        <v>404</v>
      </c>
      <c r="AH10" s="145" t="s">
        <v>404</v>
      </c>
      <c r="AI10" s="145" t="s">
        <v>404</v>
      </c>
      <c r="AJ10" s="145" t="s">
        <v>404</v>
      </c>
      <c r="AK10" s="145" t="s">
        <v>404</v>
      </c>
      <c r="AL10" s="145" t="s">
        <v>404</v>
      </c>
      <c r="AM10" s="145" t="s">
        <v>404</v>
      </c>
      <c r="AN10" s="146"/>
      <c r="AO10" s="146"/>
      <c r="AP10" s="146"/>
      <c r="AQ10" s="146"/>
      <c r="AR10" s="146"/>
      <c r="AS10" s="146"/>
    </row>
    <row r="11">
      <c r="A11" s="9" t="s">
        <v>13</v>
      </c>
      <c r="B11" s="10">
        <v>45666.0</v>
      </c>
      <c r="C11" s="145" t="s">
        <v>475</v>
      </c>
      <c r="D11" s="145" t="s">
        <v>481</v>
      </c>
      <c r="E11" s="145" t="s">
        <v>482</v>
      </c>
      <c r="F11" s="145" t="s">
        <v>478</v>
      </c>
      <c r="G11" s="145" t="s">
        <v>482</v>
      </c>
      <c r="H11" s="145" t="s">
        <v>483</v>
      </c>
      <c r="I11" s="145" t="s">
        <v>482</v>
      </c>
      <c r="J11" s="145" t="s">
        <v>483</v>
      </c>
      <c r="K11" s="145" t="s">
        <v>404</v>
      </c>
      <c r="L11" s="145" t="s">
        <v>404</v>
      </c>
      <c r="M11" s="145" t="s">
        <v>484</v>
      </c>
      <c r="N11" s="145" t="s">
        <v>485</v>
      </c>
      <c r="O11" s="145" t="s">
        <v>404</v>
      </c>
      <c r="P11" s="145" t="s">
        <v>404</v>
      </c>
      <c r="Q11" s="10">
        <v>45666.0</v>
      </c>
      <c r="R11" s="145" t="s">
        <v>486</v>
      </c>
      <c r="S11" s="145" t="s">
        <v>487</v>
      </c>
      <c r="T11" s="145" t="s">
        <v>404</v>
      </c>
      <c r="U11" s="145" t="s">
        <v>404</v>
      </c>
      <c r="V11" s="145" t="s">
        <v>486</v>
      </c>
      <c r="W11" s="145" t="s">
        <v>488</v>
      </c>
      <c r="X11" s="145" t="s">
        <v>414</v>
      </c>
      <c r="Y11" s="145" t="s">
        <v>489</v>
      </c>
      <c r="Z11" s="145" t="s">
        <v>407</v>
      </c>
      <c r="AA11" s="145" t="s">
        <v>490</v>
      </c>
      <c r="AB11" s="145" t="s">
        <v>482</v>
      </c>
      <c r="AC11" s="145" t="s">
        <v>433</v>
      </c>
      <c r="AD11" s="145" t="s">
        <v>404</v>
      </c>
      <c r="AE11" s="145" t="s">
        <v>404</v>
      </c>
      <c r="AF11" s="145" t="s">
        <v>416</v>
      </c>
      <c r="AG11" s="145" t="s">
        <v>404</v>
      </c>
      <c r="AH11" s="145" t="s">
        <v>404</v>
      </c>
      <c r="AI11" s="145" t="s">
        <v>404</v>
      </c>
      <c r="AJ11" s="145" t="s">
        <v>404</v>
      </c>
      <c r="AK11" s="145" t="s">
        <v>404</v>
      </c>
      <c r="AL11" s="145" t="s">
        <v>404</v>
      </c>
      <c r="AM11" s="145" t="s">
        <v>404</v>
      </c>
      <c r="AN11" s="146"/>
      <c r="AO11" s="146"/>
      <c r="AP11" s="146"/>
      <c r="AQ11" s="146"/>
      <c r="AR11" s="146"/>
      <c r="AS11" s="146"/>
    </row>
    <row r="12">
      <c r="A12" s="21" t="s">
        <v>18</v>
      </c>
      <c r="B12" s="22">
        <v>45667.0</v>
      </c>
      <c r="C12" s="147" t="s">
        <v>404</v>
      </c>
      <c r="D12" s="147" t="s">
        <v>404</v>
      </c>
      <c r="E12" s="147" t="s">
        <v>491</v>
      </c>
      <c r="F12" s="147" t="s">
        <v>492</v>
      </c>
      <c r="G12" s="147" t="s">
        <v>493</v>
      </c>
      <c r="H12" s="147" t="s">
        <v>494</v>
      </c>
      <c r="I12" s="147" t="s">
        <v>493</v>
      </c>
      <c r="J12" s="147" t="s">
        <v>494</v>
      </c>
      <c r="K12" s="147" t="s">
        <v>404</v>
      </c>
      <c r="L12" s="147" t="s">
        <v>404</v>
      </c>
      <c r="M12" s="147" t="s">
        <v>495</v>
      </c>
      <c r="N12" s="147" t="s">
        <v>492</v>
      </c>
      <c r="O12" s="147" t="s">
        <v>496</v>
      </c>
      <c r="P12" s="147" t="s">
        <v>492</v>
      </c>
      <c r="Q12" s="22">
        <v>45667.0</v>
      </c>
      <c r="R12" s="147" t="s">
        <v>497</v>
      </c>
      <c r="S12" s="147" t="s">
        <v>498</v>
      </c>
      <c r="T12" s="147" t="s">
        <v>497</v>
      </c>
      <c r="U12" s="147" t="s">
        <v>455</v>
      </c>
      <c r="V12" s="147" t="s">
        <v>497</v>
      </c>
      <c r="W12" s="147" t="s">
        <v>499</v>
      </c>
      <c r="X12" s="147" t="s">
        <v>404</v>
      </c>
      <c r="Y12" s="147" t="s">
        <v>404</v>
      </c>
      <c r="Z12" s="147" t="s">
        <v>404</v>
      </c>
      <c r="AA12" s="147" t="s">
        <v>404</v>
      </c>
      <c r="AB12" s="147" t="s">
        <v>404</v>
      </c>
      <c r="AC12" s="147" t="s">
        <v>404</v>
      </c>
      <c r="AD12" s="147" t="s">
        <v>404</v>
      </c>
      <c r="AE12" s="147" t="s">
        <v>404</v>
      </c>
      <c r="AF12" s="147" t="s">
        <v>416</v>
      </c>
      <c r="AG12" s="147" t="s">
        <v>404</v>
      </c>
      <c r="AH12" s="147" t="s">
        <v>497</v>
      </c>
      <c r="AI12" s="147" t="s">
        <v>499</v>
      </c>
      <c r="AJ12" s="147" t="s">
        <v>404</v>
      </c>
      <c r="AK12" s="147" t="s">
        <v>404</v>
      </c>
      <c r="AL12" s="147" t="s">
        <v>404</v>
      </c>
      <c r="AM12" s="147" t="s">
        <v>404</v>
      </c>
      <c r="AN12" s="148"/>
      <c r="AO12" s="148"/>
      <c r="AP12" s="148"/>
      <c r="AQ12" s="148"/>
      <c r="AR12" s="148"/>
      <c r="AS12" s="148"/>
    </row>
    <row r="13">
      <c r="A13" s="9" t="s">
        <v>19</v>
      </c>
      <c r="B13" s="10">
        <v>45668.0</v>
      </c>
      <c r="C13" s="145" t="s">
        <v>452</v>
      </c>
      <c r="D13" s="145" t="s">
        <v>500</v>
      </c>
      <c r="E13" s="145" t="s">
        <v>501</v>
      </c>
      <c r="F13" s="145" t="s">
        <v>502</v>
      </c>
      <c r="G13" s="145" t="s">
        <v>503</v>
      </c>
      <c r="H13" s="145" t="s">
        <v>502</v>
      </c>
      <c r="I13" s="145" t="s">
        <v>503</v>
      </c>
      <c r="J13" s="145" t="s">
        <v>502</v>
      </c>
      <c r="K13" s="145" t="s">
        <v>404</v>
      </c>
      <c r="L13" s="145" t="s">
        <v>404</v>
      </c>
      <c r="M13" s="145" t="s">
        <v>504</v>
      </c>
      <c r="N13" s="145" t="s">
        <v>505</v>
      </c>
      <c r="O13" s="145" t="s">
        <v>404</v>
      </c>
      <c r="P13" s="145" t="s">
        <v>404</v>
      </c>
      <c r="Q13" s="10">
        <v>45668.0</v>
      </c>
      <c r="R13" s="145" t="s">
        <v>418</v>
      </c>
      <c r="S13" s="145" t="s">
        <v>431</v>
      </c>
      <c r="T13" s="145" t="s">
        <v>424</v>
      </c>
      <c r="U13" s="145" t="s">
        <v>506</v>
      </c>
      <c r="V13" s="145" t="s">
        <v>507</v>
      </c>
      <c r="W13" s="145" t="s">
        <v>401</v>
      </c>
      <c r="X13" s="145" t="s">
        <v>404</v>
      </c>
      <c r="Y13" s="145" t="s">
        <v>404</v>
      </c>
      <c r="Z13" s="145" t="s">
        <v>424</v>
      </c>
      <c r="AA13" s="145" t="s">
        <v>506</v>
      </c>
      <c r="AB13" s="145" t="s">
        <v>508</v>
      </c>
      <c r="AC13" s="145" t="s">
        <v>423</v>
      </c>
      <c r="AD13" s="145" t="s">
        <v>404</v>
      </c>
      <c r="AE13" s="145" t="s">
        <v>404</v>
      </c>
      <c r="AF13" s="145" t="s">
        <v>416</v>
      </c>
      <c r="AG13" s="145" t="s">
        <v>404</v>
      </c>
      <c r="AH13" s="145" t="s">
        <v>404</v>
      </c>
      <c r="AI13" s="145" t="s">
        <v>404</v>
      </c>
      <c r="AJ13" s="145" t="s">
        <v>404</v>
      </c>
      <c r="AK13" s="145" t="s">
        <v>404</v>
      </c>
      <c r="AL13" s="145" t="s">
        <v>404</v>
      </c>
      <c r="AM13" s="145" t="s">
        <v>404</v>
      </c>
      <c r="AN13" s="146"/>
      <c r="AO13" s="146"/>
      <c r="AP13" s="146"/>
      <c r="AQ13" s="146"/>
      <c r="AR13" s="146"/>
      <c r="AS13" s="146"/>
    </row>
    <row r="14">
      <c r="A14" s="9" t="s">
        <v>20</v>
      </c>
      <c r="B14" s="10">
        <v>45669.0</v>
      </c>
      <c r="C14" s="145" t="s">
        <v>412</v>
      </c>
      <c r="D14" s="145" t="s">
        <v>399</v>
      </c>
      <c r="E14" s="145" t="s">
        <v>509</v>
      </c>
      <c r="F14" s="145" t="s">
        <v>510</v>
      </c>
      <c r="G14" s="145" t="s">
        <v>511</v>
      </c>
      <c r="H14" s="145" t="s">
        <v>512</v>
      </c>
      <c r="I14" s="145" t="s">
        <v>513</v>
      </c>
      <c r="J14" s="145" t="s">
        <v>512</v>
      </c>
      <c r="K14" s="145" t="s">
        <v>404</v>
      </c>
      <c r="L14" s="145" t="s">
        <v>404</v>
      </c>
      <c r="M14" s="145" t="s">
        <v>449</v>
      </c>
      <c r="N14" s="145" t="s">
        <v>471</v>
      </c>
      <c r="O14" s="145" t="s">
        <v>442</v>
      </c>
      <c r="P14" s="145" t="s">
        <v>510</v>
      </c>
      <c r="Q14" s="10">
        <v>45669.0</v>
      </c>
      <c r="R14" s="145" t="s">
        <v>404</v>
      </c>
      <c r="S14" s="145" t="s">
        <v>404</v>
      </c>
      <c r="T14" s="145" t="s">
        <v>412</v>
      </c>
      <c r="U14" s="145" t="s">
        <v>413</v>
      </c>
      <c r="V14" s="145" t="s">
        <v>412</v>
      </c>
      <c r="W14" s="145" t="s">
        <v>413</v>
      </c>
      <c r="X14" s="145" t="s">
        <v>404</v>
      </c>
      <c r="Y14" s="145" t="s">
        <v>404</v>
      </c>
      <c r="Z14" s="145" t="s">
        <v>412</v>
      </c>
      <c r="AA14" s="145" t="s">
        <v>413</v>
      </c>
      <c r="AB14" s="145" t="s">
        <v>509</v>
      </c>
      <c r="AC14" s="145" t="s">
        <v>423</v>
      </c>
      <c r="AD14" s="145" t="s">
        <v>404</v>
      </c>
      <c r="AE14" s="145" t="s">
        <v>404</v>
      </c>
      <c r="AF14" s="145" t="s">
        <v>404</v>
      </c>
      <c r="AG14" s="145" t="s">
        <v>404</v>
      </c>
      <c r="AH14" s="145" t="s">
        <v>404</v>
      </c>
      <c r="AI14" s="145" t="s">
        <v>404</v>
      </c>
      <c r="AJ14" s="145" t="s">
        <v>404</v>
      </c>
      <c r="AK14" s="145" t="s">
        <v>404</v>
      </c>
      <c r="AL14" s="145" t="s">
        <v>404</v>
      </c>
      <c r="AM14" s="145" t="s">
        <v>404</v>
      </c>
      <c r="AN14" s="146"/>
      <c r="AO14" s="146"/>
      <c r="AP14" s="146"/>
      <c r="AQ14" s="146"/>
      <c r="AR14" s="146"/>
      <c r="AS14" s="146"/>
    </row>
    <row r="15">
      <c r="A15" s="9" t="s">
        <v>23</v>
      </c>
      <c r="B15" s="10">
        <v>45670.0</v>
      </c>
      <c r="C15" s="145" t="s">
        <v>514</v>
      </c>
      <c r="D15" s="145" t="s">
        <v>515</v>
      </c>
      <c r="E15" s="145" t="s">
        <v>516</v>
      </c>
      <c r="F15" s="145" t="s">
        <v>515</v>
      </c>
      <c r="G15" s="145" t="s">
        <v>516</v>
      </c>
      <c r="H15" s="145" t="s">
        <v>517</v>
      </c>
      <c r="I15" s="145" t="s">
        <v>404</v>
      </c>
      <c r="J15" s="145" t="s">
        <v>404</v>
      </c>
      <c r="K15" s="145" t="s">
        <v>404</v>
      </c>
      <c r="L15" s="145" t="s">
        <v>404</v>
      </c>
      <c r="M15" s="145" t="s">
        <v>518</v>
      </c>
      <c r="N15" s="145" t="s">
        <v>519</v>
      </c>
      <c r="O15" s="145" t="s">
        <v>404</v>
      </c>
      <c r="P15" s="145" t="s">
        <v>404</v>
      </c>
      <c r="Q15" s="10">
        <v>45670.0</v>
      </c>
      <c r="R15" s="150" t="s">
        <v>404</v>
      </c>
      <c r="S15" s="150" t="s">
        <v>404</v>
      </c>
      <c r="T15" s="145" t="s">
        <v>404</v>
      </c>
      <c r="U15" s="145" t="s">
        <v>404</v>
      </c>
      <c r="V15" s="150" t="s">
        <v>404</v>
      </c>
      <c r="W15" s="150" t="s">
        <v>404</v>
      </c>
      <c r="X15" s="145" t="s">
        <v>404</v>
      </c>
      <c r="Y15" s="145" t="s">
        <v>404</v>
      </c>
      <c r="Z15" s="145" t="s">
        <v>520</v>
      </c>
      <c r="AA15" s="146"/>
      <c r="AB15" s="145" t="s">
        <v>521</v>
      </c>
      <c r="AC15" s="146"/>
      <c r="AD15" s="145" t="s">
        <v>520</v>
      </c>
      <c r="AE15" s="146"/>
      <c r="AF15" s="145" t="s">
        <v>404</v>
      </c>
      <c r="AG15" s="145" t="s">
        <v>404</v>
      </c>
      <c r="AH15" s="145" t="s">
        <v>404</v>
      </c>
      <c r="AI15" s="145" t="s">
        <v>404</v>
      </c>
      <c r="AJ15" s="145" t="s">
        <v>404</v>
      </c>
      <c r="AK15" s="145" t="s">
        <v>404</v>
      </c>
      <c r="AL15" s="145" t="s">
        <v>404</v>
      </c>
      <c r="AM15" s="145" t="s">
        <v>404</v>
      </c>
      <c r="AN15" s="146"/>
      <c r="AO15" s="146"/>
      <c r="AP15" s="146"/>
      <c r="AQ15" s="146"/>
      <c r="AR15" s="146"/>
      <c r="AS15" s="146"/>
    </row>
    <row r="16">
      <c r="A16" s="9" t="s">
        <v>24</v>
      </c>
      <c r="B16" s="10">
        <v>45671.0</v>
      </c>
      <c r="C16" s="145" t="s">
        <v>522</v>
      </c>
      <c r="D16" s="145" t="s">
        <v>417</v>
      </c>
      <c r="E16" s="145" t="s">
        <v>404</v>
      </c>
      <c r="F16" s="145" t="s">
        <v>404</v>
      </c>
      <c r="G16" s="145" t="s">
        <v>523</v>
      </c>
      <c r="H16" s="145" t="s">
        <v>524</v>
      </c>
      <c r="I16" s="145" t="s">
        <v>523</v>
      </c>
      <c r="J16" s="145" t="s">
        <v>524</v>
      </c>
      <c r="K16" s="145" t="s">
        <v>525</v>
      </c>
      <c r="L16" s="145" t="s">
        <v>408</v>
      </c>
      <c r="M16" s="145" t="s">
        <v>404</v>
      </c>
      <c r="N16" s="145" t="s">
        <v>404</v>
      </c>
      <c r="O16" s="145" t="s">
        <v>526</v>
      </c>
      <c r="P16" s="145" t="s">
        <v>408</v>
      </c>
      <c r="Q16" s="10">
        <v>45671.0</v>
      </c>
      <c r="R16" s="150" t="s">
        <v>404</v>
      </c>
      <c r="S16" s="150" t="s">
        <v>404</v>
      </c>
      <c r="T16" s="146"/>
      <c r="U16" s="146"/>
      <c r="V16" s="150" t="s">
        <v>404</v>
      </c>
      <c r="W16" s="150" t="s">
        <v>404</v>
      </c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5" t="s">
        <v>404</v>
      </c>
      <c r="AI16" s="145" t="s">
        <v>404</v>
      </c>
      <c r="AJ16" s="145" t="s">
        <v>522</v>
      </c>
      <c r="AK16" s="145" t="s">
        <v>527</v>
      </c>
      <c r="AL16" s="145" t="s">
        <v>528</v>
      </c>
      <c r="AM16" s="145" t="s">
        <v>450</v>
      </c>
      <c r="AN16" s="146"/>
      <c r="AO16" s="146"/>
      <c r="AP16" s="146"/>
      <c r="AQ16" s="146"/>
      <c r="AR16" s="146"/>
      <c r="AS16" s="146"/>
    </row>
    <row r="17">
      <c r="A17" s="9" t="s">
        <v>12</v>
      </c>
      <c r="B17" s="10">
        <v>45672.0</v>
      </c>
      <c r="C17" s="145" t="s">
        <v>407</v>
      </c>
      <c r="D17" s="145" t="s">
        <v>415</v>
      </c>
      <c r="E17" s="145" t="s">
        <v>529</v>
      </c>
      <c r="F17" s="145" t="s">
        <v>450</v>
      </c>
      <c r="G17" s="145" t="s">
        <v>530</v>
      </c>
      <c r="H17" s="145" t="s">
        <v>403</v>
      </c>
      <c r="I17" s="145" t="s">
        <v>530</v>
      </c>
      <c r="J17" s="145" t="s">
        <v>403</v>
      </c>
      <c r="K17" s="145" t="s">
        <v>404</v>
      </c>
      <c r="L17" s="145" t="s">
        <v>404</v>
      </c>
      <c r="M17" s="145" t="s">
        <v>531</v>
      </c>
      <c r="N17" s="145" t="s">
        <v>457</v>
      </c>
      <c r="O17" s="145" t="s">
        <v>404</v>
      </c>
      <c r="P17" s="145" t="s">
        <v>404</v>
      </c>
      <c r="Q17" s="10">
        <v>45672.0</v>
      </c>
      <c r="R17" s="150" t="s">
        <v>404</v>
      </c>
      <c r="S17" s="150" t="s">
        <v>404</v>
      </c>
      <c r="T17" s="145" t="s">
        <v>404</v>
      </c>
      <c r="U17" s="145" t="s">
        <v>404</v>
      </c>
      <c r="V17" s="150" t="s">
        <v>404</v>
      </c>
      <c r="W17" s="150" t="s">
        <v>404</v>
      </c>
      <c r="X17" s="145" t="s">
        <v>453</v>
      </c>
      <c r="Y17" s="145" t="s">
        <v>532</v>
      </c>
      <c r="Z17" s="145" t="s">
        <v>398</v>
      </c>
      <c r="AA17" s="145" t="s">
        <v>532</v>
      </c>
      <c r="AB17" s="145" t="s">
        <v>533</v>
      </c>
      <c r="AC17" s="145" t="s">
        <v>534</v>
      </c>
      <c r="AD17" s="145" t="s">
        <v>398</v>
      </c>
      <c r="AE17" s="145" t="s">
        <v>532</v>
      </c>
      <c r="AF17" s="146"/>
      <c r="AG17" s="146"/>
      <c r="AH17" s="145" t="s">
        <v>404</v>
      </c>
      <c r="AI17" s="145" t="s">
        <v>404</v>
      </c>
      <c r="AJ17" s="145" t="s">
        <v>404</v>
      </c>
      <c r="AK17" s="145" t="s">
        <v>404</v>
      </c>
      <c r="AL17" s="145" t="s">
        <v>535</v>
      </c>
      <c r="AM17" s="145" t="s">
        <v>420</v>
      </c>
      <c r="AN17" s="146"/>
      <c r="AO17" s="146"/>
      <c r="AP17" s="146"/>
      <c r="AQ17" s="146"/>
      <c r="AR17" s="146"/>
      <c r="AS17" s="146"/>
    </row>
    <row r="18">
      <c r="A18" s="9" t="s">
        <v>13</v>
      </c>
      <c r="B18" s="10">
        <v>45673.0</v>
      </c>
      <c r="C18" s="145" t="s">
        <v>536</v>
      </c>
      <c r="D18" s="145" t="s">
        <v>524</v>
      </c>
      <c r="E18" s="145" t="s">
        <v>537</v>
      </c>
      <c r="F18" s="145" t="s">
        <v>538</v>
      </c>
      <c r="G18" s="145" t="s">
        <v>537</v>
      </c>
      <c r="H18" s="145" t="s">
        <v>413</v>
      </c>
      <c r="I18" s="145" t="s">
        <v>537</v>
      </c>
      <c r="J18" s="145" t="s">
        <v>413</v>
      </c>
      <c r="K18" s="145" t="s">
        <v>404</v>
      </c>
      <c r="L18" s="145" t="s">
        <v>404</v>
      </c>
      <c r="M18" s="145" t="s">
        <v>539</v>
      </c>
      <c r="N18" s="145" t="s">
        <v>519</v>
      </c>
      <c r="O18" s="145" t="s">
        <v>540</v>
      </c>
      <c r="P18" s="145" t="s">
        <v>538</v>
      </c>
      <c r="Q18" s="10">
        <v>45673.0</v>
      </c>
      <c r="R18" s="150" t="s">
        <v>404</v>
      </c>
      <c r="S18" s="150" t="s">
        <v>404</v>
      </c>
      <c r="T18" s="145" t="s">
        <v>404</v>
      </c>
      <c r="U18" s="145" t="s">
        <v>404</v>
      </c>
      <c r="V18" s="150" t="s">
        <v>404</v>
      </c>
      <c r="W18" s="150" t="s">
        <v>404</v>
      </c>
      <c r="X18" s="145" t="s">
        <v>418</v>
      </c>
      <c r="Y18" s="146"/>
      <c r="Z18" s="145" t="s">
        <v>430</v>
      </c>
      <c r="AA18" s="146"/>
      <c r="AB18" s="145" t="s">
        <v>541</v>
      </c>
      <c r="AC18" s="146"/>
      <c r="AD18" s="145" t="s">
        <v>430</v>
      </c>
      <c r="AE18" s="146"/>
      <c r="AF18" s="146"/>
      <c r="AG18" s="146"/>
      <c r="AH18" s="145" t="s">
        <v>404</v>
      </c>
      <c r="AI18" s="145" t="s">
        <v>404</v>
      </c>
      <c r="AJ18" s="145" t="s">
        <v>404</v>
      </c>
      <c r="AK18" s="145" t="s">
        <v>404</v>
      </c>
      <c r="AL18" s="145" t="s">
        <v>410</v>
      </c>
      <c r="AM18" s="145" t="s">
        <v>413</v>
      </c>
      <c r="AN18" s="146"/>
      <c r="AO18" s="146"/>
      <c r="AP18" s="146"/>
      <c r="AQ18" s="146"/>
      <c r="AR18" s="146"/>
      <c r="AS18" s="146"/>
    </row>
    <row r="19">
      <c r="A19" s="21" t="s">
        <v>18</v>
      </c>
      <c r="B19" s="22">
        <v>45674.0</v>
      </c>
      <c r="C19" s="147" t="s">
        <v>404</v>
      </c>
      <c r="D19" s="147" t="s">
        <v>404</v>
      </c>
      <c r="E19" s="147" t="s">
        <v>542</v>
      </c>
      <c r="F19" s="147" t="s">
        <v>413</v>
      </c>
      <c r="G19" s="147" t="s">
        <v>542</v>
      </c>
      <c r="H19" s="147" t="s">
        <v>413</v>
      </c>
      <c r="I19" s="147" t="s">
        <v>542</v>
      </c>
      <c r="J19" s="147" t="s">
        <v>413</v>
      </c>
      <c r="K19" s="147" t="s">
        <v>404</v>
      </c>
      <c r="L19" s="147" t="s">
        <v>404</v>
      </c>
      <c r="M19" s="147" t="s">
        <v>421</v>
      </c>
      <c r="N19" s="147" t="s">
        <v>471</v>
      </c>
      <c r="O19" s="147" t="s">
        <v>404</v>
      </c>
      <c r="P19" s="147" t="s">
        <v>404</v>
      </c>
      <c r="Q19" s="22">
        <v>45674.0</v>
      </c>
      <c r="R19" s="150" t="s">
        <v>404</v>
      </c>
      <c r="S19" s="150" t="s">
        <v>404</v>
      </c>
      <c r="T19" s="148"/>
      <c r="U19" s="148"/>
      <c r="V19" s="150" t="s">
        <v>404</v>
      </c>
      <c r="W19" s="150" t="s">
        <v>404</v>
      </c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7" t="s">
        <v>404</v>
      </c>
      <c r="AK19" s="147" t="s">
        <v>404</v>
      </c>
      <c r="AL19" s="147" t="s">
        <v>404</v>
      </c>
      <c r="AM19" s="147" t="s">
        <v>404</v>
      </c>
      <c r="AN19" s="148"/>
      <c r="AO19" s="148"/>
      <c r="AP19" s="148"/>
      <c r="AQ19" s="148"/>
      <c r="AR19" s="148"/>
      <c r="AS19" s="148"/>
    </row>
    <row r="20">
      <c r="A20" s="9" t="s">
        <v>19</v>
      </c>
      <c r="B20" s="10">
        <v>45675.0</v>
      </c>
      <c r="C20" s="145" t="s">
        <v>404</v>
      </c>
      <c r="D20" s="145" t="s">
        <v>404</v>
      </c>
      <c r="E20" s="145" t="s">
        <v>543</v>
      </c>
      <c r="F20" s="145" t="s">
        <v>544</v>
      </c>
      <c r="G20" s="145" t="s">
        <v>529</v>
      </c>
      <c r="H20" s="145" t="s">
        <v>545</v>
      </c>
      <c r="I20" s="145" t="s">
        <v>404</v>
      </c>
      <c r="J20" s="145" t="s">
        <v>404</v>
      </c>
      <c r="K20" s="145" t="s">
        <v>404</v>
      </c>
      <c r="L20" s="145" t="s">
        <v>404</v>
      </c>
      <c r="M20" s="145" t="s">
        <v>531</v>
      </c>
      <c r="N20" s="145" t="s">
        <v>544</v>
      </c>
      <c r="O20" s="145" t="s">
        <v>528</v>
      </c>
      <c r="P20" s="145" t="s">
        <v>544</v>
      </c>
      <c r="Q20" s="10">
        <v>45675.0</v>
      </c>
      <c r="R20" s="150" t="s">
        <v>404</v>
      </c>
      <c r="S20" s="150" t="s">
        <v>404</v>
      </c>
      <c r="T20" s="145" t="s">
        <v>404</v>
      </c>
      <c r="U20" s="145" t="s">
        <v>404</v>
      </c>
      <c r="V20" s="150" t="s">
        <v>404</v>
      </c>
      <c r="W20" s="150" t="s">
        <v>404</v>
      </c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5" t="s">
        <v>404</v>
      </c>
      <c r="AK20" s="145" t="s">
        <v>404</v>
      </c>
      <c r="AL20" s="145" t="s">
        <v>404</v>
      </c>
      <c r="AM20" s="145" t="s">
        <v>404</v>
      </c>
      <c r="AN20" s="146"/>
      <c r="AO20" s="146"/>
      <c r="AP20" s="146"/>
      <c r="AQ20" s="146"/>
      <c r="AR20" s="146"/>
      <c r="AS20" s="146"/>
    </row>
    <row r="21">
      <c r="A21" s="9" t="s">
        <v>20</v>
      </c>
      <c r="B21" s="10">
        <v>45676.0</v>
      </c>
      <c r="C21" s="145" t="s">
        <v>546</v>
      </c>
      <c r="D21" s="145" t="s">
        <v>426</v>
      </c>
      <c r="E21" s="145" t="s">
        <v>404</v>
      </c>
      <c r="F21" s="145" t="s">
        <v>404</v>
      </c>
      <c r="G21" s="145" t="s">
        <v>547</v>
      </c>
      <c r="H21" s="145" t="s">
        <v>426</v>
      </c>
      <c r="I21" s="145" t="s">
        <v>547</v>
      </c>
      <c r="J21" s="145" t="s">
        <v>426</v>
      </c>
      <c r="K21" s="145" t="s">
        <v>416</v>
      </c>
      <c r="L21" s="145" t="s">
        <v>404</v>
      </c>
      <c r="M21" s="145" t="s">
        <v>548</v>
      </c>
      <c r="N21" s="145" t="s">
        <v>549</v>
      </c>
      <c r="O21" s="145" t="s">
        <v>404</v>
      </c>
      <c r="P21" s="145" t="s">
        <v>404</v>
      </c>
      <c r="Q21" s="10">
        <v>45676.0</v>
      </c>
      <c r="R21" s="150" t="s">
        <v>404</v>
      </c>
      <c r="S21" s="150" t="s">
        <v>404</v>
      </c>
      <c r="T21" s="146"/>
      <c r="U21" s="146"/>
      <c r="V21" s="150" t="s">
        <v>404</v>
      </c>
      <c r="W21" s="150" t="s">
        <v>404</v>
      </c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5" t="s">
        <v>404</v>
      </c>
      <c r="AI21" s="145" t="s">
        <v>404</v>
      </c>
      <c r="AJ21" s="145" t="s">
        <v>404</v>
      </c>
      <c r="AK21" s="145" t="s">
        <v>404</v>
      </c>
      <c r="AL21" s="145" t="s">
        <v>410</v>
      </c>
      <c r="AM21" s="145" t="s">
        <v>426</v>
      </c>
      <c r="AN21" s="146"/>
      <c r="AO21" s="146"/>
      <c r="AP21" s="146"/>
      <c r="AQ21" s="146"/>
      <c r="AR21" s="146"/>
      <c r="AS21" s="146"/>
    </row>
    <row r="22">
      <c r="A22" s="9" t="s">
        <v>23</v>
      </c>
      <c r="B22" s="10">
        <v>45677.0</v>
      </c>
      <c r="C22" s="146"/>
      <c r="D22" s="146"/>
      <c r="E22" s="145" t="s">
        <v>404</v>
      </c>
      <c r="F22" s="145" t="s">
        <v>404</v>
      </c>
      <c r="G22" s="145" t="s">
        <v>404</v>
      </c>
      <c r="H22" s="145" t="s">
        <v>404</v>
      </c>
      <c r="I22" s="146"/>
      <c r="J22" s="146"/>
      <c r="K22" s="146"/>
      <c r="L22" s="146"/>
      <c r="M22" s="146"/>
      <c r="N22" s="146"/>
      <c r="O22" s="146"/>
      <c r="P22" s="146"/>
      <c r="Q22" s="10">
        <v>45677.0</v>
      </c>
      <c r="R22" s="150" t="s">
        <v>404</v>
      </c>
      <c r="S22" s="150" t="s">
        <v>404</v>
      </c>
      <c r="T22" s="146"/>
      <c r="U22" s="146"/>
      <c r="V22" s="150" t="s">
        <v>404</v>
      </c>
      <c r="W22" s="150" t="s">
        <v>404</v>
      </c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</row>
    <row r="23">
      <c r="A23" s="9" t="s">
        <v>24</v>
      </c>
      <c r="B23" s="10">
        <v>45678.0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0">
        <v>45678.0</v>
      </c>
      <c r="R23" s="150" t="s">
        <v>404</v>
      </c>
      <c r="S23" s="150" t="s">
        <v>404</v>
      </c>
      <c r="T23" s="146"/>
      <c r="U23" s="146"/>
      <c r="V23" s="150" t="s">
        <v>404</v>
      </c>
      <c r="W23" s="150" t="s">
        <v>404</v>
      </c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</row>
    <row r="24">
      <c r="A24" s="9" t="s">
        <v>12</v>
      </c>
      <c r="B24" s="10">
        <v>45679.0</v>
      </c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0">
        <v>45679.0</v>
      </c>
      <c r="R24" s="150" t="s">
        <v>404</v>
      </c>
      <c r="S24" s="150" t="s">
        <v>404</v>
      </c>
      <c r="T24" s="146"/>
      <c r="U24" s="146"/>
      <c r="V24" s="150" t="s">
        <v>404</v>
      </c>
      <c r="W24" s="150" t="s">
        <v>404</v>
      </c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</row>
    <row r="25">
      <c r="A25" s="9" t="s">
        <v>13</v>
      </c>
      <c r="B25" s="10">
        <v>45680.0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0">
        <v>45680.0</v>
      </c>
      <c r="R25" s="150" t="s">
        <v>404</v>
      </c>
      <c r="S25" s="150" t="s">
        <v>404</v>
      </c>
      <c r="T25" s="146"/>
      <c r="U25" s="146"/>
      <c r="V25" s="151"/>
      <c r="W25" s="151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</row>
    <row r="26">
      <c r="A26" s="21" t="s">
        <v>18</v>
      </c>
      <c r="B26" s="22">
        <v>45681.0</v>
      </c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22">
        <v>45681.0</v>
      </c>
      <c r="R26" s="150" t="s">
        <v>404</v>
      </c>
      <c r="S26" s="150" t="s">
        <v>404</v>
      </c>
      <c r="T26" s="148"/>
      <c r="U26" s="148"/>
      <c r="V26" s="151"/>
      <c r="W26" s="151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</row>
    <row r="27">
      <c r="A27" s="9" t="s">
        <v>19</v>
      </c>
      <c r="B27" s="10">
        <v>45682.0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0">
        <v>45682.0</v>
      </c>
      <c r="R27" s="150" t="s">
        <v>404</v>
      </c>
      <c r="S27" s="150" t="s">
        <v>404</v>
      </c>
      <c r="T27" s="146"/>
      <c r="U27" s="146"/>
      <c r="V27" s="151"/>
      <c r="W27" s="151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</row>
    <row r="28">
      <c r="A28" s="9" t="s">
        <v>20</v>
      </c>
      <c r="B28" s="10">
        <v>45683.0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0">
        <v>45683.0</v>
      </c>
      <c r="R28" s="150" t="s">
        <v>404</v>
      </c>
      <c r="S28" s="150" t="s">
        <v>404</v>
      </c>
      <c r="T28" s="146"/>
      <c r="U28" s="146"/>
      <c r="V28" s="151"/>
      <c r="W28" s="151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</row>
    <row r="29">
      <c r="A29" s="9" t="s">
        <v>23</v>
      </c>
      <c r="B29" s="10">
        <v>45684.0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0">
        <v>45684.0</v>
      </c>
      <c r="R29" s="150" t="s">
        <v>404</v>
      </c>
      <c r="S29" s="150" t="s">
        <v>404</v>
      </c>
      <c r="T29" s="146"/>
      <c r="U29" s="146"/>
      <c r="V29" s="151"/>
      <c r="W29" s="151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</row>
    <row r="30">
      <c r="A30" s="9" t="s">
        <v>24</v>
      </c>
      <c r="B30" s="10">
        <v>45685.0</v>
      </c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0">
        <v>45685.0</v>
      </c>
      <c r="R30" s="150" t="s">
        <v>404</v>
      </c>
      <c r="S30" s="150" t="s">
        <v>404</v>
      </c>
      <c r="T30" s="146"/>
      <c r="U30" s="146"/>
      <c r="V30" s="151"/>
      <c r="W30" s="151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</row>
    <row r="31">
      <c r="A31" s="9" t="s">
        <v>12</v>
      </c>
      <c r="B31" s="10">
        <v>45686.0</v>
      </c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0">
        <v>45686.0</v>
      </c>
      <c r="R31" s="150" t="s">
        <v>404</v>
      </c>
      <c r="S31" s="150" t="s">
        <v>550</v>
      </c>
      <c r="T31" s="146"/>
      <c r="U31" s="146"/>
      <c r="V31" s="151"/>
      <c r="W31" s="151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</row>
    <row r="32">
      <c r="A32" s="9" t="s">
        <v>13</v>
      </c>
      <c r="B32" s="10">
        <v>45687.0</v>
      </c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0">
        <v>45687.0</v>
      </c>
      <c r="R32" s="150" t="s">
        <v>416</v>
      </c>
      <c r="S32" s="150" t="s">
        <v>404</v>
      </c>
      <c r="T32" s="146"/>
      <c r="U32" s="146"/>
      <c r="V32" s="151"/>
      <c r="W32" s="151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</row>
    <row r="33">
      <c r="A33" s="21" t="s">
        <v>18</v>
      </c>
      <c r="B33" s="22">
        <v>45688.0</v>
      </c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50"/>
      <c r="R33" s="150" t="s">
        <v>404</v>
      </c>
      <c r="S33" s="150" t="s">
        <v>404</v>
      </c>
      <c r="T33" s="146"/>
      <c r="U33" s="146"/>
      <c r="V33" s="151"/>
      <c r="W33" s="151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</row>
  </sheetData>
  <mergeCells count="21">
    <mergeCell ref="C1:D1"/>
    <mergeCell ref="E1:F1"/>
    <mergeCell ref="G1:H1"/>
    <mergeCell ref="I1:J1"/>
    <mergeCell ref="K1:L1"/>
    <mergeCell ref="M1:N1"/>
    <mergeCell ref="O1:P1"/>
    <mergeCell ref="AF1:AG1"/>
    <mergeCell ref="AH1:AI1"/>
    <mergeCell ref="AJ1:AK1"/>
    <mergeCell ref="AL1:AM1"/>
    <mergeCell ref="AN1:AO1"/>
    <mergeCell ref="AP1:AQ1"/>
    <mergeCell ref="AR1:AS1"/>
    <mergeCell ref="R1:S1"/>
    <mergeCell ref="T1:U1"/>
    <mergeCell ref="V1:W1"/>
    <mergeCell ref="X1:Y1"/>
    <mergeCell ref="Z1:AA1"/>
    <mergeCell ref="AB1:AC1"/>
    <mergeCell ref="AD1:A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1.63"/>
    <col customWidth="1" min="3" max="3" width="19.63"/>
    <col customWidth="1" min="4" max="4" width="19.38"/>
    <col customWidth="1" min="5" max="5" width="19.63"/>
    <col customWidth="1" min="6" max="6" width="20.13"/>
    <col customWidth="1" min="7" max="7" width="26.38"/>
    <col customWidth="1" min="8" max="8" width="20.13"/>
    <col customWidth="1" min="9" max="9" width="18.63"/>
    <col customWidth="1" min="10" max="10" width="19.13"/>
    <col customWidth="1" min="11" max="11" width="18.88"/>
    <col customWidth="1" min="12" max="12" width="17.63"/>
    <col customWidth="1" min="13" max="13" width="18.88"/>
    <col customWidth="1" min="14" max="14" width="18.63"/>
    <col customWidth="1" min="15" max="15" width="19.63"/>
    <col customWidth="1" min="16" max="16" width="18.63"/>
    <col customWidth="1" min="17" max="17" width="18.13"/>
    <col customWidth="1" min="18" max="18" width="17.38"/>
    <col customWidth="1" min="19" max="20" width="18.88"/>
  </cols>
  <sheetData>
    <row r="1">
      <c r="A1" s="152"/>
      <c r="B1" s="153" t="s">
        <v>0</v>
      </c>
      <c r="C1" s="154" t="s">
        <v>50</v>
      </c>
      <c r="D1" s="154" t="s">
        <v>391</v>
      </c>
      <c r="E1" s="154" t="s">
        <v>54</v>
      </c>
      <c r="F1" s="154" t="s">
        <v>56</v>
      </c>
      <c r="G1" s="154" t="s">
        <v>58</v>
      </c>
      <c r="H1" s="154" t="s">
        <v>60</v>
      </c>
      <c r="I1" s="154" t="s">
        <v>381</v>
      </c>
      <c r="J1" s="154" t="s">
        <v>64</v>
      </c>
      <c r="K1" s="154" t="s">
        <v>66</v>
      </c>
      <c r="L1" s="154" t="s">
        <v>551</v>
      </c>
      <c r="M1" s="154" t="s">
        <v>70</v>
      </c>
      <c r="N1" s="154" t="s">
        <v>72</v>
      </c>
      <c r="O1" s="154" t="s">
        <v>74</v>
      </c>
      <c r="P1" s="154" t="s">
        <v>552</v>
      </c>
      <c r="Q1" s="154" t="s">
        <v>385</v>
      </c>
      <c r="R1" s="154" t="s">
        <v>386</v>
      </c>
      <c r="S1" s="154" t="s">
        <v>382</v>
      </c>
      <c r="T1" s="154" t="s">
        <v>387</v>
      </c>
      <c r="U1" s="155"/>
    </row>
    <row r="2">
      <c r="A2" s="156" t="s">
        <v>12</v>
      </c>
      <c r="B2" s="157">
        <v>45658.0</v>
      </c>
      <c r="C2" s="158">
        <v>1.0</v>
      </c>
      <c r="D2" s="158">
        <v>1.0</v>
      </c>
      <c r="E2" s="158">
        <v>1.0</v>
      </c>
      <c r="F2" s="158">
        <v>1.0</v>
      </c>
      <c r="G2" s="158">
        <v>0.0</v>
      </c>
      <c r="H2" s="158">
        <v>1.0</v>
      </c>
      <c r="I2" s="158">
        <v>1.0</v>
      </c>
      <c r="J2" s="158">
        <v>1.0</v>
      </c>
      <c r="K2" s="158">
        <v>0.0</v>
      </c>
      <c r="L2" s="158">
        <v>0.0</v>
      </c>
      <c r="M2" s="158">
        <v>1.0</v>
      </c>
      <c r="N2" s="158">
        <v>1.0</v>
      </c>
      <c r="O2" s="158">
        <v>1.0</v>
      </c>
      <c r="P2" s="158">
        <v>0.0</v>
      </c>
      <c r="Q2" s="159"/>
      <c r="R2" s="158">
        <v>0.0</v>
      </c>
      <c r="S2" s="158"/>
      <c r="T2" s="158">
        <v>3.5</v>
      </c>
      <c r="U2" s="158" t="s">
        <v>387</v>
      </c>
    </row>
    <row r="3">
      <c r="A3" s="156" t="s">
        <v>13</v>
      </c>
      <c r="B3" s="160">
        <v>45659.0</v>
      </c>
      <c r="C3" s="158">
        <v>1.0</v>
      </c>
      <c r="D3" s="158">
        <v>0.5</v>
      </c>
      <c r="E3" s="158">
        <v>1.0</v>
      </c>
      <c r="F3" s="158">
        <v>1.0</v>
      </c>
      <c r="G3" s="158">
        <v>0.0</v>
      </c>
      <c r="H3" s="158">
        <v>1.0</v>
      </c>
      <c r="I3" s="158">
        <v>0.0</v>
      </c>
      <c r="J3" s="158">
        <v>0.0</v>
      </c>
      <c r="K3" s="158">
        <v>0.0</v>
      </c>
      <c r="L3" s="158">
        <v>0.0</v>
      </c>
      <c r="M3" s="158">
        <v>1.0</v>
      </c>
      <c r="N3" s="158">
        <v>1.0</v>
      </c>
      <c r="O3" s="158">
        <v>1.0</v>
      </c>
      <c r="P3" s="158">
        <v>0.0</v>
      </c>
      <c r="Q3" s="159"/>
      <c r="R3" s="158">
        <v>0.0</v>
      </c>
      <c r="S3" s="158"/>
      <c r="T3" s="158">
        <v>2.5</v>
      </c>
      <c r="U3" s="158" t="s">
        <v>553</v>
      </c>
    </row>
    <row r="4">
      <c r="A4" s="161" t="s">
        <v>18</v>
      </c>
      <c r="B4" s="162">
        <v>45660.0</v>
      </c>
      <c r="C4" s="163">
        <v>0.0</v>
      </c>
      <c r="D4" s="163">
        <v>1.0</v>
      </c>
      <c r="E4" s="163">
        <v>1.0</v>
      </c>
      <c r="F4" s="163">
        <v>1.0</v>
      </c>
      <c r="G4" s="163">
        <v>0.0</v>
      </c>
      <c r="H4" s="163">
        <v>1.0</v>
      </c>
      <c r="I4" s="163">
        <v>1.0</v>
      </c>
      <c r="J4" s="163">
        <v>1.0</v>
      </c>
      <c r="K4" s="163">
        <v>0.0</v>
      </c>
      <c r="L4" s="163">
        <v>0.0</v>
      </c>
      <c r="M4" s="163">
        <v>0.0</v>
      </c>
      <c r="N4" s="163">
        <v>0.0</v>
      </c>
      <c r="O4" s="163">
        <v>0.0</v>
      </c>
      <c r="P4" s="163">
        <v>0.0</v>
      </c>
      <c r="Q4" s="164"/>
      <c r="R4" s="163">
        <v>1.0</v>
      </c>
      <c r="S4" s="163"/>
      <c r="T4" s="158">
        <v>8.0</v>
      </c>
      <c r="U4" s="163" t="s">
        <v>554</v>
      </c>
    </row>
    <row r="5">
      <c r="A5" s="156" t="s">
        <v>19</v>
      </c>
      <c r="B5" s="160">
        <v>45661.0</v>
      </c>
      <c r="C5" s="158">
        <v>0.0</v>
      </c>
      <c r="D5" s="158">
        <v>1.0</v>
      </c>
      <c r="E5" s="158">
        <v>1.0</v>
      </c>
      <c r="F5" s="158">
        <v>1.0</v>
      </c>
      <c r="G5" s="158">
        <v>0.0</v>
      </c>
      <c r="H5" s="158">
        <v>1.0</v>
      </c>
      <c r="I5" s="158">
        <v>0.0</v>
      </c>
      <c r="J5" s="158">
        <v>1.0</v>
      </c>
      <c r="K5" s="158">
        <v>0.0</v>
      </c>
      <c r="L5" s="158">
        <v>0.0</v>
      </c>
      <c r="M5" s="158">
        <v>0.0</v>
      </c>
      <c r="N5" s="158">
        <v>0.0</v>
      </c>
      <c r="O5" s="158">
        <v>1.0</v>
      </c>
      <c r="P5" s="158">
        <v>0.0</v>
      </c>
      <c r="Q5" s="158">
        <v>0.5</v>
      </c>
      <c r="R5" s="158">
        <v>1.0</v>
      </c>
      <c r="S5" s="159"/>
      <c r="T5" s="165"/>
      <c r="U5" s="159"/>
    </row>
    <row r="6">
      <c r="A6" s="156" t="s">
        <v>20</v>
      </c>
      <c r="B6" s="160">
        <v>45662.0</v>
      </c>
      <c r="C6" s="158">
        <v>1.0</v>
      </c>
      <c r="D6" s="158">
        <v>1.0</v>
      </c>
      <c r="E6" s="158">
        <v>0.0</v>
      </c>
      <c r="F6" s="158">
        <v>1.0</v>
      </c>
      <c r="G6" s="158">
        <v>0.0</v>
      </c>
      <c r="H6" s="158">
        <v>1.0</v>
      </c>
      <c r="I6" s="158">
        <v>1.0</v>
      </c>
      <c r="J6" s="158">
        <v>0.5</v>
      </c>
      <c r="K6" s="158">
        <v>0.0</v>
      </c>
      <c r="L6" s="158">
        <v>0.0</v>
      </c>
      <c r="M6" s="158">
        <v>1.0</v>
      </c>
      <c r="N6" s="158">
        <v>1.0</v>
      </c>
      <c r="O6" s="158">
        <v>1.0</v>
      </c>
      <c r="P6" s="158">
        <v>0.0</v>
      </c>
      <c r="Q6" s="158">
        <v>0.0</v>
      </c>
      <c r="R6" s="158">
        <v>0.0</v>
      </c>
      <c r="S6" s="159"/>
      <c r="T6" s="165"/>
      <c r="U6" s="159"/>
    </row>
    <row r="7">
      <c r="A7" s="156" t="s">
        <v>23</v>
      </c>
      <c r="B7" s="160">
        <v>45663.0</v>
      </c>
      <c r="C7" s="158">
        <v>1.0</v>
      </c>
      <c r="D7" s="158">
        <v>1.0</v>
      </c>
      <c r="E7" s="158">
        <v>1.0</v>
      </c>
      <c r="F7" s="158">
        <v>0.0</v>
      </c>
      <c r="G7" s="158">
        <v>0.0</v>
      </c>
      <c r="H7" s="158">
        <v>1.0</v>
      </c>
      <c r="I7" s="158">
        <v>0.0</v>
      </c>
      <c r="J7" s="158">
        <v>1.0</v>
      </c>
      <c r="K7" s="158">
        <v>1.0</v>
      </c>
      <c r="L7" s="158">
        <v>0.0</v>
      </c>
      <c r="M7" s="158">
        <v>0.0</v>
      </c>
      <c r="N7" s="158">
        <v>1.0</v>
      </c>
      <c r="O7" s="158">
        <v>1.0</v>
      </c>
      <c r="P7" s="158">
        <v>0.0</v>
      </c>
      <c r="Q7" s="158">
        <v>0.0</v>
      </c>
      <c r="R7" s="158">
        <v>0.0</v>
      </c>
      <c r="S7" s="159"/>
      <c r="T7" s="165"/>
      <c r="U7" s="159"/>
    </row>
    <row r="8">
      <c r="A8" s="156" t="s">
        <v>24</v>
      </c>
      <c r="B8" s="160">
        <v>45664.0</v>
      </c>
      <c r="C8" s="158">
        <v>1.0</v>
      </c>
      <c r="D8" s="158">
        <v>1.0</v>
      </c>
      <c r="E8" s="158">
        <v>1.0</v>
      </c>
      <c r="F8" s="158">
        <v>1.0</v>
      </c>
      <c r="G8" s="158">
        <v>0.0</v>
      </c>
      <c r="H8" s="158">
        <v>1.0</v>
      </c>
      <c r="I8" s="158">
        <v>0.0</v>
      </c>
      <c r="J8" s="158">
        <v>0.0</v>
      </c>
      <c r="K8" s="158">
        <v>1.0</v>
      </c>
      <c r="L8" s="158">
        <v>0.0</v>
      </c>
      <c r="M8" s="158">
        <v>1.0</v>
      </c>
      <c r="N8" s="158">
        <v>1.0</v>
      </c>
      <c r="O8" s="158">
        <v>1.0</v>
      </c>
      <c r="P8" s="158">
        <v>0.0</v>
      </c>
      <c r="Q8" s="158">
        <v>0.5</v>
      </c>
      <c r="R8" s="158">
        <v>0.0</v>
      </c>
      <c r="S8" s="159"/>
      <c r="T8" s="165"/>
      <c r="U8" s="159"/>
    </row>
    <row r="9">
      <c r="A9" s="156" t="s">
        <v>12</v>
      </c>
      <c r="B9" s="160">
        <v>45665.0</v>
      </c>
      <c r="C9" s="158">
        <v>1.0</v>
      </c>
      <c r="D9" s="158">
        <v>1.0</v>
      </c>
      <c r="E9" s="158">
        <v>1.0</v>
      </c>
      <c r="F9" s="158">
        <v>1.0</v>
      </c>
      <c r="G9" s="158">
        <v>1.0</v>
      </c>
      <c r="H9" s="158">
        <v>0.0</v>
      </c>
      <c r="I9" s="158">
        <v>1.0</v>
      </c>
      <c r="J9" s="158">
        <v>1.0</v>
      </c>
      <c r="K9" s="158">
        <v>1.0</v>
      </c>
      <c r="L9" s="158">
        <v>0.0</v>
      </c>
      <c r="M9" s="158">
        <v>1.0</v>
      </c>
      <c r="N9" s="158">
        <v>1.0</v>
      </c>
      <c r="O9" s="158">
        <v>1.0</v>
      </c>
      <c r="P9" s="158">
        <v>0.0</v>
      </c>
      <c r="Q9" s="158">
        <v>0.0</v>
      </c>
      <c r="R9" s="158">
        <v>0.0</v>
      </c>
      <c r="S9" s="159"/>
      <c r="T9" s="165"/>
      <c r="U9" s="159"/>
    </row>
    <row r="10">
      <c r="A10" s="156" t="s">
        <v>13</v>
      </c>
      <c r="B10" s="160">
        <v>45666.0</v>
      </c>
      <c r="C10" s="158">
        <v>1.0</v>
      </c>
      <c r="D10" s="158">
        <v>1.0</v>
      </c>
      <c r="E10" s="158">
        <v>1.0</v>
      </c>
      <c r="F10" s="158">
        <v>1.0</v>
      </c>
      <c r="G10" s="158">
        <v>0.0</v>
      </c>
      <c r="H10" s="158">
        <v>1.0</v>
      </c>
      <c r="I10" s="158">
        <v>0.0</v>
      </c>
      <c r="J10" s="158">
        <v>1.0</v>
      </c>
      <c r="K10" s="158">
        <v>0.0</v>
      </c>
      <c r="L10" s="158">
        <v>1.0</v>
      </c>
      <c r="M10" s="158">
        <v>1.0</v>
      </c>
      <c r="N10" s="158">
        <v>1.0</v>
      </c>
      <c r="O10" s="158">
        <v>1.0</v>
      </c>
      <c r="P10" s="158">
        <v>0.0</v>
      </c>
      <c r="Q10" s="158">
        <v>0.0</v>
      </c>
      <c r="R10" s="158">
        <v>0.0</v>
      </c>
      <c r="S10" s="159"/>
      <c r="T10" s="165"/>
      <c r="U10" s="159"/>
    </row>
    <row r="11">
      <c r="A11" s="161" t="s">
        <v>18</v>
      </c>
      <c r="B11" s="162">
        <v>45667.0</v>
      </c>
      <c r="C11" s="163">
        <v>0.0</v>
      </c>
      <c r="D11" s="163">
        <v>2.0</v>
      </c>
      <c r="E11" s="163">
        <v>2.0</v>
      </c>
      <c r="F11" s="163">
        <v>2.0</v>
      </c>
      <c r="G11" s="163">
        <v>0.0</v>
      </c>
      <c r="H11" s="163">
        <v>1.0</v>
      </c>
      <c r="I11" s="163">
        <v>1.0</v>
      </c>
      <c r="J11" s="163">
        <v>1.0</v>
      </c>
      <c r="K11" s="163">
        <v>1.0</v>
      </c>
      <c r="L11" s="163">
        <v>1.0</v>
      </c>
      <c r="M11" s="163">
        <v>0.0</v>
      </c>
      <c r="N11" s="163">
        <v>0.0</v>
      </c>
      <c r="O11" s="163">
        <v>0.0</v>
      </c>
      <c r="P11" s="163">
        <v>0.0</v>
      </c>
      <c r="Q11" s="163">
        <v>0.0</v>
      </c>
      <c r="R11" s="163">
        <v>1.0</v>
      </c>
      <c r="S11" s="164"/>
      <c r="T11" s="165"/>
      <c r="U11" s="164"/>
    </row>
    <row r="12">
      <c r="A12" s="156" t="s">
        <v>19</v>
      </c>
      <c r="B12" s="160">
        <v>45668.0</v>
      </c>
      <c r="C12" s="158">
        <v>2.0</v>
      </c>
      <c r="D12" s="158">
        <v>2.0</v>
      </c>
      <c r="E12" s="158">
        <v>2.0</v>
      </c>
      <c r="F12" s="158">
        <v>2.0</v>
      </c>
      <c r="G12" s="158">
        <v>0.0</v>
      </c>
      <c r="H12" s="158">
        <v>2.0</v>
      </c>
      <c r="I12" s="158">
        <v>0.0</v>
      </c>
      <c r="J12" s="158">
        <v>1.5</v>
      </c>
      <c r="K12" s="158">
        <v>1.0</v>
      </c>
      <c r="L12" s="158">
        <v>1.5</v>
      </c>
      <c r="M12" s="158">
        <v>0.0</v>
      </c>
      <c r="N12" s="158">
        <v>1.0</v>
      </c>
      <c r="O12" s="158">
        <v>1.0</v>
      </c>
      <c r="P12" s="158">
        <v>0.0</v>
      </c>
      <c r="Q12" s="159"/>
      <c r="R12" s="158">
        <v>0.0</v>
      </c>
      <c r="S12" s="159"/>
      <c r="T12" s="165"/>
      <c r="U12" s="159"/>
    </row>
    <row r="13">
      <c r="A13" s="156" t="s">
        <v>20</v>
      </c>
      <c r="B13" s="160">
        <v>45669.0</v>
      </c>
      <c r="C13" s="158">
        <v>1.3</v>
      </c>
      <c r="D13" s="158">
        <v>1.5</v>
      </c>
      <c r="E13" s="158">
        <v>1.0</v>
      </c>
      <c r="F13" s="158">
        <v>1.5</v>
      </c>
      <c r="G13" s="158">
        <v>0.0</v>
      </c>
      <c r="H13" s="158">
        <v>1.5</v>
      </c>
      <c r="I13" s="158">
        <v>1.0</v>
      </c>
      <c r="J13" s="158">
        <v>0.0</v>
      </c>
      <c r="K13" s="158">
        <v>1.0</v>
      </c>
      <c r="L13" s="158">
        <v>1.0</v>
      </c>
      <c r="M13" s="158">
        <v>0.0</v>
      </c>
      <c r="N13" s="158">
        <v>1.0</v>
      </c>
      <c r="O13" s="158">
        <v>1.0</v>
      </c>
      <c r="P13" s="158">
        <v>0.0</v>
      </c>
      <c r="Q13" s="159"/>
      <c r="R13" s="158">
        <v>0.0</v>
      </c>
      <c r="S13" s="159"/>
      <c r="T13" s="165"/>
      <c r="U13" s="159"/>
    </row>
    <row r="14">
      <c r="A14" s="156" t="s">
        <v>23</v>
      </c>
      <c r="B14" s="160">
        <v>45670.0</v>
      </c>
      <c r="C14" s="158">
        <v>1.0</v>
      </c>
      <c r="D14" s="158">
        <v>1.0</v>
      </c>
      <c r="E14" s="158">
        <v>1.0</v>
      </c>
      <c r="F14" s="158">
        <v>0.0</v>
      </c>
      <c r="G14" s="158">
        <v>0.0</v>
      </c>
      <c r="H14" s="158">
        <v>1.0</v>
      </c>
      <c r="I14" s="158">
        <v>0.0</v>
      </c>
      <c r="J14" s="158">
        <v>0.0</v>
      </c>
      <c r="K14" s="158">
        <v>0.0</v>
      </c>
      <c r="L14" s="158">
        <v>0.0</v>
      </c>
      <c r="M14" s="158">
        <v>0.0</v>
      </c>
      <c r="N14" s="158">
        <v>1.0</v>
      </c>
      <c r="O14" s="158">
        <v>1.0</v>
      </c>
      <c r="P14" s="158">
        <v>1.0</v>
      </c>
      <c r="Q14" s="159"/>
      <c r="R14" s="158">
        <v>0.0</v>
      </c>
      <c r="S14" s="159"/>
      <c r="T14" s="165"/>
      <c r="U14" s="159"/>
    </row>
    <row r="15">
      <c r="A15" s="156" t="s">
        <v>24</v>
      </c>
      <c r="B15" s="160">
        <v>45671.0</v>
      </c>
      <c r="C15" s="158">
        <v>1.0</v>
      </c>
      <c r="D15" s="158">
        <v>0.0</v>
      </c>
      <c r="E15" s="158">
        <v>1.0</v>
      </c>
      <c r="F15" s="158">
        <v>1.0</v>
      </c>
      <c r="G15" s="158">
        <v>1.0</v>
      </c>
      <c r="H15" s="158">
        <v>0.0</v>
      </c>
      <c r="I15" s="158">
        <v>1.0</v>
      </c>
      <c r="J15" s="158">
        <v>0.0</v>
      </c>
      <c r="K15" s="158">
        <v>0.0</v>
      </c>
      <c r="L15" s="158">
        <v>0.0</v>
      </c>
      <c r="M15" s="158">
        <v>1.0</v>
      </c>
      <c r="N15" s="158">
        <v>1.0</v>
      </c>
      <c r="O15" s="158">
        <v>1.0</v>
      </c>
      <c r="P15" s="158">
        <v>1.0</v>
      </c>
      <c r="Q15" s="159"/>
      <c r="R15" s="158">
        <v>0.0</v>
      </c>
      <c r="S15" s="159"/>
      <c r="T15" s="165"/>
      <c r="U15" s="159"/>
    </row>
    <row r="16">
      <c r="A16" s="156" t="s">
        <v>12</v>
      </c>
      <c r="B16" s="160">
        <v>45672.0</v>
      </c>
      <c r="C16" s="158">
        <v>1.0</v>
      </c>
      <c r="D16" s="158">
        <v>1.0</v>
      </c>
      <c r="E16" s="158">
        <v>1.0</v>
      </c>
      <c r="F16" s="158">
        <v>1.0</v>
      </c>
      <c r="G16" s="158">
        <v>0.0</v>
      </c>
      <c r="H16" s="158">
        <v>1.0</v>
      </c>
      <c r="I16" s="158">
        <v>0.0</v>
      </c>
      <c r="J16" s="158">
        <v>0.0</v>
      </c>
      <c r="K16" s="158">
        <v>0.0</v>
      </c>
      <c r="L16" s="158">
        <v>0.0</v>
      </c>
      <c r="M16" s="158">
        <v>1.0</v>
      </c>
      <c r="N16" s="158">
        <v>1.0</v>
      </c>
      <c r="O16" s="158">
        <v>1.0</v>
      </c>
      <c r="P16" s="158">
        <v>1.0</v>
      </c>
      <c r="Q16" s="159"/>
      <c r="R16" s="158">
        <v>0.0</v>
      </c>
      <c r="S16" s="159"/>
      <c r="T16" s="165"/>
      <c r="U16" s="159"/>
    </row>
    <row r="17">
      <c r="A17" s="156" t="s">
        <v>13</v>
      </c>
      <c r="B17" s="160">
        <v>45673.0</v>
      </c>
      <c r="C17" s="166">
        <v>1.0</v>
      </c>
      <c r="D17" s="166">
        <v>1.0</v>
      </c>
      <c r="E17" s="166">
        <v>1.0</v>
      </c>
      <c r="F17" s="166">
        <v>1.0</v>
      </c>
      <c r="G17" s="166">
        <v>0.0</v>
      </c>
      <c r="H17" s="166">
        <v>1.0</v>
      </c>
      <c r="I17" s="166">
        <v>1.0</v>
      </c>
      <c r="J17" s="158">
        <v>0.0</v>
      </c>
      <c r="K17" s="166">
        <v>0.0</v>
      </c>
      <c r="L17" s="158">
        <v>0.0</v>
      </c>
      <c r="M17" s="158">
        <v>1.0</v>
      </c>
      <c r="N17" s="158">
        <v>1.0</v>
      </c>
      <c r="O17" s="158">
        <v>1.0</v>
      </c>
      <c r="P17" s="158">
        <v>1.0</v>
      </c>
      <c r="Q17" s="159"/>
      <c r="R17" s="158">
        <v>0.0</v>
      </c>
      <c r="S17" s="159"/>
      <c r="T17" s="165"/>
      <c r="U17" s="159"/>
    </row>
    <row r="18">
      <c r="A18" s="161" t="s">
        <v>18</v>
      </c>
      <c r="B18" s="162">
        <v>45674.0</v>
      </c>
      <c r="C18" s="163">
        <v>0.0</v>
      </c>
      <c r="D18" s="163">
        <v>1.0</v>
      </c>
      <c r="E18" s="163">
        <v>1.0</v>
      </c>
      <c r="F18" s="163">
        <v>1.0</v>
      </c>
      <c r="G18" s="163">
        <v>0.0</v>
      </c>
      <c r="H18" s="163">
        <v>1.0</v>
      </c>
      <c r="I18" s="163">
        <v>0.0</v>
      </c>
      <c r="J18" s="163">
        <v>0.0</v>
      </c>
      <c r="K18" s="163">
        <v>1.0</v>
      </c>
      <c r="L18" s="163">
        <v>0.0</v>
      </c>
      <c r="M18" s="163">
        <v>0.0</v>
      </c>
      <c r="N18" s="163">
        <v>0.0</v>
      </c>
      <c r="O18" s="163">
        <v>0.0</v>
      </c>
      <c r="P18" s="163">
        <v>0.0</v>
      </c>
      <c r="Q18" s="164"/>
      <c r="R18" s="163">
        <v>1.0</v>
      </c>
      <c r="S18" s="164"/>
      <c r="T18" s="165"/>
      <c r="U18" s="164"/>
    </row>
    <row r="19">
      <c r="A19" s="156" t="s">
        <v>19</v>
      </c>
      <c r="B19" s="160">
        <v>45675.0</v>
      </c>
      <c r="C19" s="158">
        <v>0.0</v>
      </c>
      <c r="D19" s="158">
        <v>1.0</v>
      </c>
      <c r="E19" s="158">
        <v>1.0</v>
      </c>
      <c r="F19" s="158">
        <v>0.0</v>
      </c>
      <c r="G19" s="158">
        <v>0.0</v>
      </c>
      <c r="H19" s="158">
        <v>1.0</v>
      </c>
      <c r="I19" s="158">
        <v>1.0</v>
      </c>
      <c r="J19" s="158">
        <v>0.0</v>
      </c>
      <c r="K19" s="158">
        <v>0.0</v>
      </c>
      <c r="L19" s="158">
        <v>0.0</v>
      </c>
      <c r="M19" s="158">
        <v>1.0</v>
      </c>
      <c r="N19" s="158">
        <v>1.0</v>
      </c>
      <c r="O19" s="158">
        <v>1.0</v>
      </c>
      <c r="P19" s="158">
        <v>1.0</v>
      </c>
      <c r="Q19" s="159"/>
      <c r="R19" s="158">
        <v>1.0</v>
      </c>
      <c r="S19" s="159"/>
      <c r="T19" s="165"/>
      <c r="U19" s="159"/>
    </row>
    <row r="20">
      <c r="A20" s="156" t="s">
        <v>20</v>
      </c>
      <c r="B20" s="160">
        <v>45676.0</v>
      </c>
      <c r="C20" s="158">
        <v>1.0</v>
      </c>
      <c r="D20" s="158">
        <v>0.0</v>
      </c>
      <c r="E20" s="158">
        <v>1.0</v>
      </c>
      <c r="F20" s="158">
        <v>1.0</v>
      </c>
      <c r="G20" s="158">
        <v>0.0</v>
      </c>
      <c r="H20" s="158">
        <v>1.0</v>
      </c>
      <c r="I20" s="158">
        <v>0.0</v>
      </c>
      <c r="J20" s="158">
        <v>0.0</v>
      </c>
      <c r="K20" s="158">
        <v>0.0</v>
      </c>
      <c r="L20" s="158">
        <v>0.0</v>
      </c>
      <c r="M20" s="158">
        <v>1.0</v>
      </c>
      <c r="N20" s="158">
        <v>1.0</v>
      </c>
      <c r="O20" s="158">
        <v>1.0</v>
      </c>
      <c r="P20" s="158">
        <v>1.0</v>
      </c>
      <c r="Q20" s="159"/>
      <c r="R20" s="158">
        <v>0.0</v>
      </c>
      <c r="S20" s="159"/>
      <c r="T20" s="165"/>
      <c r="U20" s="159"/>
    </row>
    <row r="21">
      <c r="A21" s="156" t="s">
        <v>23</v>
      </c>
      <c r="B21" s="160">
        <v>45677.0</v>
      </c>
      <c r="C21" s="158">
        <v>1.0</v>
      </c>
      <c r="D21" s="158">
        <v>0.0</v>
      </c>
      <c r="E21" s="158">
        <v>0.0</v>
      </c>
      <c r="F21" s="158">
        <v>1.0</v>
      </c>
      <c r="G21" s="158">
        <v>0.0</v>
      </c>
      <c r="H21" s="158">
        <v>0.5</v>
      </c>
      <c r="I21" s="158">
        <v>1.0</v>
      </c>
      <c r="J21" s="158">
        <v>0.0</v>
      </c>
      <c r="K21" s="158">
        <v>0.0</v>
      </c>
      <c r="L21" s="158">
        <v>0.0</v>
      </c>
      <c r="M21" s="158">
        <v>1.0</v>
      </c>
      <c r="N21" s="158">
        <v>1.0</v>
      </c>
      <c r="O21" s="158">
        <v>1.0</v>
      </c>
      <c r="P21" s="158">
        <v>1.0</v>
      </c>
      <c r="Q21" s="158">
        <v>0.5</v>
      </c>
      <c r="R21" s="158">
        <v>0.0</v>
      </c>
      <c r="S21" s="159"/>
      <c r="T21" s="165"/>
      <c r="U21" s="159"/>
    </row>
    <row r="22">
      <c r="A22" s="156" t="s">
        <v>24</v>
      </c>
      <c r="B22" s="160">
        <v>45678.0</v>
      </c>
      <c r="C22" s="158">
        <v>1.0</v>
      </c>
      <c r="D22" s="158">
        <v>0.0</v>
      </c>
      <c r="E22" s="158">
        <v>1.0</v>
      </c>
      <c r="F22" s="158">
        <v>1.0</v>
      </c>
      <c r="G22" s="158">
        <v>1.0</v>
      </c>
      <c r="H22" s="158">
        <v>0.0</v>
      </c>
      <c r="I22" s="158">
        <v>0.0</v>
      </c>
      <c r="J22" s="158">
        <v>0.0</v>
      </c>
      <c r="K22" s="158">
        <v>0.0</v>
      </c>
      <c r="L22" s="158">
        <v>0.0</v>
      </c>
      <c r="M22" s="158">
        <v>1.0</v>
      </c>
      <c r="N22" s="158">
        <v>1.0</v>
      </c>
      <c r="O22" s="158">
        <v>1.0</v>
      </c>
      <c r="P22" s="158">
        <v>1.0</v>
      </c>
      <c r="Q22" s="158">
        <v>0.5</v>
      </c>
      <c r="R22" s="158">
        <v>0.0</v>
      </c>
      <c r="S22" s="159"/>
      <c r="T22" s="165"/>
      <c r="U22" s="159"/>
    </row>
    <row r="23">
      <c r="A23" s="156" t="s">
        <v>12</v>
      </c>
      <c r="B23" s="160">
        <v>45679.0</v>
      </c>
      <c r="C23" s="158">
        <v>1.0</v>
      </c>
      <c r="D23" s="158">
        <v>0.0</v>
      </c>
      <c r="E23" s="158">
        <v>1.0</v>
      </c>
      <c r="F23" s="158">
        <v>1.0</v>
      </c>
      <c r="G23" s="158">
        <v>1.0</v>
      </c>
      <c r="H23" s="158">
        <v>0.0</v>
      </c>
      <c r="I23" s="158">
        <v>1.0</v>
      </c>
      <c r="J23" s="158">
        <v>0.0</v>
      </c>
      <c r="K23" s="158">
        <v>1.0</v>
      </c>
      <c r="L23" s="158">
        <v>0.0</v>
      </c>
      <c r="M23" s="158">
        <v>1.0</v>
      </c>
      <c r="N23" s="158">
        <v>1.0</v>
      </c>
      <c r="O23" s="158">
        <v>1.0</v>
      </c>
      <c r="P23" s="158">
        <v>1.0</v>
      </c>
      <c r="Q23" s="158">
        <v>0.0</v>
      </c>
      <c r="R23" s="158">
        <v>0.0</v>
      </c>
      <c r="S23" s="159"/>
      <c r="T23" s="165"/>
      <c r="U23" s="159"/>
    </row>
    <row r="24">
      <c r="A24" s="156" t="s">
        <v>13</v>
      </c>
      <c r="B24" s="160">
        <v>45680.0</v>
      </c>
      <c r="C24" s="158">
        <v>1.0</v>
      </c>
      <c r="D24" s="158">
        <v>0.0</v>
      </c>
      <c r="E24" s="158">
        <v>1.0</v>
      </c>
      <c r="F24" s="158">
        <v>1.0</v>
      </c>
      <c r="G24" s="158">
        <v>1.0</v>
      </c>
      <c r="H24" s="158">
        <v>0.0</v>
      </c>
      <c r="I24" s="158">
        <v>0.0</v>
      </c>
      <c r="J24" s="158">
        <v>0.0</v>
      </c>
      <c r="K24" s="158">
        <v>0.0</v>
      </c>
      <c r="L24" s="158">
        <v>0.0</v>
      </c>
      <c r="M24" s="158">
        <v>1.0</v>
      </c>
      <c r="N24" s="158">
        <v>1.0</v>
      </c>
      <c r="O24" s="158">
        <v>1.0</v>
      </c>
      <c r="P24" s="158">
        <v>1.0</v>
      </c>
      <c r="Q24" s="158">
        <v>0.0</v>
      </c>
      <c r="R24" s="158">
        <v>0.0</v>
      </c>
      <c r="S24" s="159"/>
      <c r="T24" s="165"/>
      <c r="U24" s="159"/>
    </row>
    <row r="25">
      <c r="A25" s="161" t="s">
        <v>18</v>
      </c>
      <c r="B25" s="162">
        <v>45681.0</v>
      </c>
      <c r="C25" s="163">
        <v>0.0</v>
      </c>
      <c r="D25" s="163">
        <v>1.0</v>
      </c>
      <c r="E25" s="163">
        <v>1.0</v>
      </c>
      <c r="F25" s="163">
        <v>1.0</v>
      </c>
      <c r="G25" s="163">
        <v>0.0</v>
      </c>
      <c r="H25" s="163">
        <v>1.0</v>
      </c>
      <c r="I25" s="163">
        <v>1.0</v>
      </c>
      <c r="J25" s="163">
        <v>0.0</v>
      </c>
      <c r="K25" s="163">
        <v>1.0</v>
      </c>
      <c r="L25" s="163">
        <v>0.0</v>
      </c>
      <c r="M25" s="163">
        <v>0.0</v>
      </c>
      <c r="N25" s="163">
        <v>0.0</v>
      </c>
      <c r="O25" s="163">
        <v>0.0</v>
      </c>
      <c r="P25" s="163">
        <v>1.0</v>
      </c>
      <c r="Q25" s="163">
        <v>0.0</v>
      </c>
      <c r="R25" s="163">
        <v>0.0</v>
      </c>
      <c r="S25" s="163"/>
      <c r="T25" s="167">
        <v>0.0</v>
      </c>
      <c r="U25" s="164"/>
    </row>
    <row r="26">
      <c r="A26" s="156" t="s">
        <v>19</v>
      </c>
      <c r="B26" s="160">
        <v>45682.0</v>
      </c>
      <c r="C26" s="166">
        <v>1.0</v>
      </c>
      <c r="D26" s="166">
        <v>1.0</v>
      </c>
      <c r="E26" s="166">
        <v>1.0</v>
      </c>
      <c r="F26" s="166">
        <v>1.0</v>
      </c>
      <c r="G26" s="166">
        <v>0.0</v>
      </c>
      <c r="H26" s="166">
        <v>1.0</v>
      </c>
      <c r="I26" s="166">
        <v>1.0</v>
      </c>
      <c r="J26" s="166">
        <v>0.0</v>
      </c>
      <c r="K26" s="166">
        <v>0.0</v>
      </c>
      <c r="L26" s="166">
        <v>0.0</v>
      </c>
      <c r="M26" s="166">
        <v>1.0</v>
      </c>
      <c r="N26" s="158">
        <v>1.0</v>
      </c>
      <c r="O26" s="166">
        <v>1.0</v>
      </c>
      <c r="P26" s="166">
        <v>0.0</v>
      </c>
      <c r="Q26" s="166">
        <v>1.0</v>
      </c>
      <c r="R26" s="166">
        <v>0.0</v>
      </c>
      <c r="S26" s="166">
        <v>1.0</v>
      </c>
      <c r="T26" s="168"/>
      <c r="U26" s="158" t="s">
        <v>66</v>
      </c>
    </row>
    <row r="27">
      <c r="A27" s="156" t="s">
        <v>20</v>
      </c>
      <c r="B27" s="160">
        <v>45683.0</v>
      </c>
      <c r="C27" s="158">
        <v>1.0</v>
      </c>
      <c r="D27" s="158">
        <v>1.0</v>
      </c>
      <c r="E27" s="158">
        <v>0.0</v>
      </c>
      <c r="F27" s="158">
        <v>1.0</v>
      </c>
      <c r="G27" s="158">
        <v>1.0</v>
      </c>
      <c r="H27" s="158">
        <v>0.0</v>
      </c>
      <c r="I27" s="158">
        <v>0.0</v>
      </c>
      <c r="J27" s="158">
        <v>0.0</v>
      </c>
      <c r="K27" s="158">
        <v>0.0</v>
      </c>
      <c r="L27" s="158">
        <v>0.0</v>
      </c>
      <c r="M27" s="158">
        <v>1.0</v>
      </c>
      <c r="N27" s="158">
        <v>1.0</v>
      </c>
      <c r="O27" s="158">
        <v>1.0</v>
      </c>
      <c r="P27" s="158">
        <v>1.0</v>
      </c>
      <c r="Q27" s="158">
        <v>0.5</v>
      </c>
      <c r="R27" s="158">
        <v>0.0</v>
      </c>
      <c r="S27" s="158">
        <v>1.0</v>
      </c>
      <c r="T27" s="167">
        <v>1.0</v>
      </c>
      <c r="U27" s="158" t="s">
        <v>386</v>
      </c>
    </row>
    <row r="28">
      <c r="A28" s="156" t="s">
        <v>23</v>
      </c>
      <c r="B28" s="160">
        <v>45684.0</v>
      </c>
      <c r="C28" s="158">
        <v>1.0</v>
      </c>
      <c r="D28" s="158">
        <v>1.0</v>
      </c>
      <c r="E28" s="158">
        <v>1.0</v>
      </c>
      <c r="F28" s="158">
        <v>0.0</v>
      </c>
      <c r="G28" s="158">
        <v>1.0</v>
      </c>
      <c r="H28" s="158">
        <v>0.0</v>
      </c>
      <c r="I28" s="158">
        <v>1.0</v>
      </c>
      <c r="J28" s="158">
        <v>0.0</v>
      </c>
      <c r="K28" s="158">
        <v>0.0</v>
      </c>
      <c r="L28" s="158">
        <v>0.0</v>
      </c>
      <c r="M28" s="158">
        <v>1.0</v>
      </c>
      <c r="N28" s="158">
        <v>1.0</v>
      </c>
      <c r="O28" s="158">
        <v>1.0</v>
      </c>
      <c r="P28" s="158">
        <v>1.0</v>
      </c>
      <c r="Q28" s="158">
        <v>0.0</v>
      </c>
      <c r="R28" s="158">
        <v>0.0</v>
      </c>
      <c r="S28" s="158">
        <v>1.0</v>
      </c>
      <c r="T28" s="167">
        <v>1.0</v>
      </c>
      <c r="U28" s="159"/>
    </row>
    <row r="29">
      <c r="A29" s="156" t="s">
        <v>24</v>
      </c>
      <c r="B29" s="160">
        <v>45685.0</v>
      </c>
      <c r="C29" s="158">
        <v>1.0</v>
      </c>
      <c r="D29" s="158">
        <v>1.0</v>
      </c>
      <c r="E29" s="158">
        <v>1.0</v>
      </c>
      <c r="F29" s="158">
        <v>1.0</v>
      </c>
      <c r="G29" s="158">
        <v>0.0</v>
      </c>
      <c r="H29" s="158">
        <v>0.0</v>
      </c>
      <c r="I29" s="158">
        <v>0.0</v>
      </c>
      <c r="J29" s="158">
        <v>0.0</v>
      </c>
      <c r="K29" s="158">
        <v>0.0</v>
      </c>
      <c r="L29" s="158">
        <v>0.0</v>
      </c>
      <c r="M29" s="158">
        <v>1.0</v>
      </c>
      <c r="N29" s="158">
        <v>1.0</v>
      </c>
      <c r="O29" s="158">
        <v>1.0</v>
      </c>
      <c r="P29" s="158">
        <v>1.0</v>
      </c>
      <c r="Q29" s="158">
        <v>0.5</v>
      </c>
      <c r="R29" s="158">
        <v>0.0</v>
      </c>
      <c r="S29" s="158">
        <v>1.0</v>
      </c>
      <c r="T29" s="167">
        <v>1.0</v>
      </c>
      <c r="U29" s="159"/>
    </row>
    <row r="30">
      <c r="A30" s="169" t="s">
        <v>12</v>
      </c>
      <c r="B30" s="170">
        <v>45686.0</v>
      </c>
      <c r="C30" s="9">
        <v>1.0</v>
      </c>
      <c r="D30" s="14">
        <v>1.0</v>
      </c>
      <c r="E30" s="14">
        <v>1.0</v>
      </c>
      <c r="F30" s="14">
        <v>1.0</v>
      </c>
      <c r="G30" s="14">
        <v>1.0</v>
      </c>
      <c r="H30" s="14">
        <v>0.0</v>
      </c>
      <c r="I30" s="14">
        <v>1.0</v>
      </c>
      <c r="J30" s="14">
        <v>0.0</v>
      </c>
      <c r="K30" s="14">
        <v>0.0</v>
      </c>
      <c r="L30" s="14">
        <v>0.0</v>
      </c>
      <c r="M30" s="14">
        <v>1.0</v>
      </c>
      <c r="N30" s="14">
        <v>1.0</v>
      </c>
      <c r="O30" s="14">
        <v>1.0</v>
      </c>
      <c r="P30" s="14">
        <v>1.0</v>
      </c>
      <c r="Q30" s="14">
        <v>0.0</v>
      </c>
      <c r="R30" s="14">
        <v>0.0</v>
      </c>
      <c r="S30" s="14">
        <v>1.0</v>
      </c>
      <c r="T30" s="171">
        <v>1.0</v>
      </c>
      <c r="U30" s="12"/>
    </row>
    <row r="31">
      <c r="A31" s="169" t="s">
        <v>13</v>
      </c>
      <c r="B31" s="170">
        <v>45687.0</v>
      </c>
      <c r="C31" s="172">
        <v>1.0</v>
      </c>
      <c r="D31" s="173">
        <v>1.0</v>
      </c>
      <c r="E31" s="173">
        <v>1.0</v>
      </c>
      <c r="F31" s="173">
        <v>1.0</v>
      </c>
      <c r="G31" s="173">
        <v>0.0</v>
      </c>
      <c r="H31" s="173">
        <v>1.0</v>
      </c>
      <c r="I31" s="173">
        <v>0.0</v>
      </c>
      <c r="J31" s="173">
        <v>0.0</v>
      </c>
      <c r="K31" s="173">
        <v>0.0</v>
      </c>
      <c r="L31" s="173">
        <v>0.0</v>
      </c>
      <c r="M31" s="173">
        <v>1.0</v>
      </c>
      <c r="N31" s="14">
        <v>0.0</v>
      </c>
      <c r="O31" s="173">
        <v>1.0</v>
      </c>
      <c r="P31" s="173">
        <v>1.0</v>
      </c>
      <c r="Q31" s="173">
        <v>0.0</v>
      </c>
      <c r="R31" s="173">
        <v>0.0</v>
      </c>
      <c r="S31" s="173">
        <v>2.0</v>
      </c>
      <c r="T31" s="174">
        <v>1.0</v>
      </c>
      <c r="U31" s="12"/>
    </row>
    <row r="32">
      <c r="A32" s="175" t="s">
        <v>18</v>
      </c>
      <c r="B32" s="176" t="s">
        <v>555</v>
      </c>
      <c r="C32" s="177">
        <v>0.0</v>
      </c>
      <c r="D32" s="178">
        <v>1.0</v>
      </c>
      <c r="E32" s="178">
        <v>1.0</v>
      </c>
      <c r="F32" s="178">
        <v>1.0</v>
      </c>
      <c r="G32" s="178">
        <v>0.0</v>
      </c>
      <c r="H32" s="178">
        <v>1.0</v>
      </c>
      <c r="I32" s="178">
        <v>1.0</v>
      </c>
      <c r="J32" s="178">
        <v>0.0</v>
      </c>
      <c r="K32" s="178">
        <v>1.0</v>
      </c>
      <c r="L32" s="178">
        <v>0.0</v>
      </c>
      <c r="M32" s="178">
        <v>0.0</v>
      </c>
      <c r="N32" s="179">
        <v>1.0</v>
      </c>
      <c r="O32" s="178">
        <v>0.0</v>
      </c>
      <c r="P32" s="178">
        <v>1.0</v>
      </c>
      <c r="Q32" s="178">
        <v>0.0</v>
      </c>
      <c r="R32" s="178">
        <v>0.0</v>
      </c>
      <c r="S32" s="178">
        <v>1.0</v>
      </c>
      <c r="T32" s="174">
        <v>0.0</v>
      </c>
      <c r="U32" s="12"/>
    </row>
    <row r="33">
      <c r="A33" s="180" t="s">
        <v>80</v>
      </c>
      <c r="B33" s="181"/>
      <c r="C33" s="182"/>
      <c r="D33" s="173">
        <v>3.0</v>
      </c>
      <c r="E33" s="183"/>
      <c r="F33" s="183"/>
      <c r="G33" s="183"/>
      <c r="H33" s="183"/>
      <c r="I33" s="183"/>
      <c r="J33" s="173">
        <v>0.0</v>
      </c>
      <c r="K33" s="183"/>
      <c r="L33" s="173">
        <v>0.0</v>
      </c>
      <c r="M33" s="173">
        <v>2.0</v>
      </c>
      <c r="N33" s="14">
        <v>3.5</v>
      </c>
      <c r="O33" s="183"/>
      <c r="P33" s="183"/>
      <c r="Q33" s="183"/>
      <c r="R33" s="183"/>
      <c r="S33" s="183"/>
      <c r="T33" s="184"/>
      <c r="U33" s="12"/>
    </row>
    <row r="34">
      <c r="A34" s="185"/>
      <c r="B34" s="185"/>
      <c r="C34" s="186">
        <f t="shared" ref="C34:T34" si="1">SUM(C2:C33)</f>
        <v>25.3</v>
      </c>
      <c r="D34" s="187">
        <f t="shared" si="1"/>
        <v>30</v>
      </c>
      <c r="E34" s="187">
        <f t="shared" si="1"/>
        <v>30</v>
      </c>
      <c r="F34" s="187">
        <f t="shared" si="1"/>
        <v>29.5</v>
      </c>
      <c r="G34" s="187">
        <f t="shared" si="1"/>
        <v>8</v>
      </c>
      <c r="H34" s="187">
        <f t="shared" si="1"/>
        <v>23</v>
      </c>
      <c r="I34" s="187">
        <f t="shared" si="1"/>
        <v>16</v>
      </c>
      <c r="J34" s="187">
        <f t="shared" si="1"/>
        <v>9</v>
      </c>
      <c r="K34" s="187">
        <f t="shared" si="1"/>
        <v>10</v>
      </c>
      <c r="L34" s="97">
        <f t="shared" si="1"/>
        <v>4.5</v>
      </c>
      <c r="M34" s="188">
        <f t="shared" si="1"/>
        <v>23</v>
      </c>
      <c r="N34" s="189">
        <f t="shared" si="1"/>
        <v>28.5</v>
      </c>
      <c r="O34" s="189">
        <f t="shared" si="1"/>
        <v>26</v>
      </c>
      <c r="P34" s="189">
        <f t="shared" si="1"/>
        <v>17</v>
      </c>
      <c r="Q34" s="189">
        <f t="shared" si="1"/>
        <v>4</v>
      </c>
      <c r="R34" s="189">
        <f t="shared" si="1"/>
        <v>5</v>
      </c>
      <c r="S34" s="189">
        <f t="shared" si="1"/>
        <v>8</v>
      </c>
      <c r="T34" s="189">
        <f t="shared" si="1"/>
        <v>19</v>
      </c>
      <c r="U34" s="12"/>
    </row>
    <row r="35">
      <c r="A35" s="185"/>
      <c r="B35" s="185"/>
      <c r="C35" s="190">
        <v>1155.0</v>
      </c>
      <c r="D35" s="191">
        <v>1155.0</v>
      </c>
      <c r="E35" s="191">
        <v>1155.0</v>
      </c>
      <c r="F35" s="191">
        <v>1155.0</v>
      </c>
      <c r="G35" s="191">
        <v>1155.0</v>
      </c>
      <c r="H35" s="192">
        <v>1155.0</v>
      </c>
      <c r="I35" s="192">
        <v>1155.0</v>
      </c>
      <c r="J35" s="192">
        <v>1200.0</v>
      </c>
      <c r="K35" s="192">
        <v>1200.0</v>
      </c>
      <c r="L35" s="11">
        <v>1200.0</v>
      </c>
      <c r="M35" s="193">
        <v>1155.0</v>
      </c>
      <c r="N35" s="193">
        <v>1155.0</v>
      </c>
      <c r="O35" s="193">
        <v>1155.0</v>
      </c>
      <c r="P35" s="193">
        <v>1100.0</v>
      </c>
      <c r="Q35" s="193">
        <v>1200.0</v>
      </c>
      <c r="R35" s="193">
        <v>1200.0</v>
      </c>
      <c r="S35" s="193">
        <v>1200.0</v>
      </c>
      <c r="T35" s="193">
        <v>1000.0</v>
      </c>
      <c r="U35" s="15"/>
    </row>
    <row r="36">
      <c r="A36" s="194"/>
      <c r="B36" s="194"/>
      <c r="C36" s="195">
        <f t="shared" ref="C36:G36" si="2">C34*C35</f>
        <v>29221.5</v>
      </c>
      <c r="D36" s="196">
        <f t="shared" si="2"/>
        <v>34650</v>
      </c>
      <c r="E36" s="196">
        <f t="shared" si="2"/>
        <v>34650</v>
      </c>
      <c r="F36" s="196">
        <f t="shared" si="2"/>
        <v>34072.5</v>
      </c>
      <c r="G36" s="196">
        <f t="shared" si="2"/>
        <v>9240</v>
      </c>
      <c r="H36" s="197">
        <v>26500.0</v>
      </c>
      <c r="I36" s="198">
        <f t="shared" ref="I36:T36" si="3">I34*I35</f>
        <v>18480</v>
      </c>
      <c r="J36" s="198">
        <f t="shared" si="3"/>
        <v>10800</v>
      </c>
      <c r="K36" s="198">
        <f t="shared" si="3"/>
        <v>12000</v>
      </c>
      <c r="L36" s="17">
        <f t="shared" si="3"/>
        <v>5400</v>
      </c>
      <c r="M36" s="199">
        <f t="shared" si="3"/>
        <v>26565</v>
      </c>
      <c r="N36" s="200">
        <f t="shared" si="3"/>
        <v>32917.5</v>
      </c>
      <c r="O36" s="200">
        <f t="shared" si="3"/>
        <v>30030</v>
      </c>
      <c r="P36" s="200">
        <f t="shared" si="3"/>
        <v>18700</v>
      </c>
      <c r="Q36" s="200">
        <f t="shared" si="3"/>
        <v>4800</v>
      </c>
      <c r="R36" s="200">
        <f t="shared" si="3"/>
        <v>6000</v>
      </c>
      <c r="S36" s="200">
        <f t="shared" si="3"/>
        <v>9600</v>
      </c>
      <c r="T36" s="200">
        <f t="shared" si="3"/>
        <v>19000</v>
      </c>
      <c r="U36" s="201"/>
    </row>
    <row r="37">
      <c r="A37" s="194"/>
      <c r="B37" s="194"/>
      <c r="C37" s="202"/>
      <c r="D37" s="202"/>
      <c r="E37" s="202"/>
      <c r="F37" s="202"/>
      <c r="G37" s="202"/>
      <c r="H37" s="202"/>
      <c r="I37" s="203"/>
      <c r="J37" s="204"/>
      <c r="K37" s="205"/>
      <c r="L37" s="16"/>
      <c r="M37" s="199"/>
      <c r="N37" s="206"/>
      <c r="O37" s="206"/>
      <c r="P37" s="189"/>
      <c r="Q37" s="189"/>
      <c r="R37" s="12"/>
      <c r="S37" s="12"/>
      <c r="T37" s="12"/>
      <c r="U37" s="15"/>
    </row>
    <row r="38"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4.88"/>
    <col customWidth="1" min="10" max="10" width="31.63"/>
  </cols>
  <sheetData>
    <row r="19">
      <c r="I19" s="6"/>
      <c r="J19" s="207"/>
    </row>
    <row r="20">
      <c r="I20" s="30"/>
      <c r="J20" s="208" t="s">
        <v>556</v>
      </c>
    </row>
    <row r="21">
      <c r="I21" s="209" t="s">
        <v>2</v>
      </c>
      <c r="J21" s="210">
        <v>2033000.0</v>
      </c>
    </row>
    <row r="22">
      <c r="I22" s="209" t="s">
        <v>4</v>
      </c>
      <c r="J22" s="210">
        <v>854000.0</v>
      </c>
    </row>
    <row r="23">
      <c r="I23" s="209" t="s">
        <v>557</v>
      </c>
      <c r="J23" s="210">
        <v>427000.0</v>
      </c>
    </row>
    <row r="24">
      <c r="I24" s="209" t="s">
        <v>558</v>
      </c>
      <c r="J24" s="35">
        <v>62000.0</v>
      </c>
    </row>
    <row r="25">
      <c r="I25" s="211" t="s">
        <v>559</v>
      </c>
      <c r="J25" s="210">
        <v>180000.0</v>
      </c>
    </row>
    <row r="26">
      <c r="I26" s="209" t="s">
        <v>560</v>
      </c>
      <c r="J26" s="35">
        <f>J21-J22-J23-J24-J25</f>
        <v>510000</v>
      </c>
    </row>
    <row r="27">
      <c r="I27" s="6"/>
      <c r="J27" s="6"/>
    </row>
    <row r="28">
      <c r="I28" s="6"/>
      <c r="J28" s="6"/>
    </row>
  </sheetData>
  <drawing r:id="rId1"/>
</worksheet>
</file>