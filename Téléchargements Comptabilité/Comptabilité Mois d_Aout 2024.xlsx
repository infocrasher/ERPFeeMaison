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" sheetId="3" r:id="rId6"/>
    <sheet state="visible" name="Salaire" sheetId="4" r:id="rId7"/>
    <sheet state="visible" name="Feuille 5" sheetId="5" r:id="rId8"/>
    <sheet state="visible" name="Feuille 6" sheetId="6" r:id="rId9"/>
  </sheets>
  <definedNames>
    <definedName hidden="1" localSheetId="2" name="_xlnm._FilterDatabase">'Les Charges'!$B$3</definedName>
  </definedNames>
  <calcPr/>
</workbook>
</file>

<file path=xl/sharedStrings.xml><?xml version="1.0" encoding="utf-8"?>
<sst xmlns="http://schemas.openxmlformats.org/spreadsheetml/2006/main" count="489" uniqueCount="330">
  <si>
    <t>Date</t>
  </si>
  <si>
    <t>Recette Juillet 2024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</si>
  <si>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</si>
  <si>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</si>
  <si>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</si>
  <si>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</si>
  <si>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</si>
  <si>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</si>
  <si>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</si>
  <si>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Mois de Juin 2024</t>
  </si>
  <si>
    <t>Jeudi</t>
  </si>
  <si>
    <t>Vendredi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</si>
  <si>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</si>
  <si>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</si>
  <si>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</si>
  <si>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</si>
  <si>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Samedi</t>
  </si>
  <si>
    <t xml:space="preserve">Dimanche </t>
  </si>
  <si>
    <t xml:space="preserve">Lundi </t>
  </si>
  <si>
    <t xml:space="preserve">Moyenne des charges par jour </t>
  </si>
  <si>
    <t xml:space="preserve">Objectif </t>
  </si>
  <si>
    <t>Mardi</t>
  </si>
  <si>
    <t>Merdredi</t>
  </si>
  <si>
    <t>²</t>
  </si>
  <si>
    <t xml:space="preserve">Cash restant </t>
  </si>
  <si>
    <t>Magasin</t>
  </si>
  <si>
    <t>Cash réel</t>
  </si>
  <si>
    <t>Mes dettes pour le magasin</t>
  </si>
  <si>
    <t>Lundi</t>
  </si>
  <si>
    <t xml:space="preserve">Fond de Roulement </t>
  </si>
  <si>
    <t>CCP: 100000Da</t>
  </si>
  <si>
    <t>Mercredi</t>
  </si>
  <si>
    <t>sifou : 13850Da</t>
  </si>
  <si>
    <t xml:space="preserve">Cash réel : 154000Da </t>
  </si>
  <si>
    <t>cash chez Brahim: 570000Da</t>
  </si>
  <si>
    <t xml:space="preserve">Différence mois de juin </t>
  </si>
  <si>
    <t xml:space="preserve">la vraie caisse:5000Da </t>
  </si>
  <si>
    <t xml:space="preserve">Différence objectif </t>
  </si>
  <si>
    <t>réparation Tabouna</t>
  </si>
  <si>
    <t>Torchons</t>
  </si>
  <si>
    <t xml:space="preserve">Différence du Totale </t>
  </si>
  <si>
    <t>poelle</t>
  </si>
  <si>
    <t>Achoire</t>
  </si>
  <si>
    <t xml:space="preserve">Les vendredis </t>
  </si>
  <si>
    <t xml:space="preserve">Cash chez Sofiane </t>
  </si>
  <si>
    <t>Les étagères pour locale</t>
  </si>
  <si>
    <t>Merdcredi</t>
  </si>
  <si>
    <t>rest à payer</t>
  </si>
  <si>
    <t xml:space="preserve">Samedi </t>
  </si>
  <si>
    <t>-</t>
  </si>
  <si>
    <t xml:space="preserve">Lynda </t>
  </si>
  <si>
    <t xml:space="preserve">Hafida </t>
  </si>
  <si>
    <t>Yasmine Sidi Abd Allah</t>
  </si>
  <si>
    <t>Nawel</t>
  </si>
  <si>
    <t>Saida</t>
  </si>
  <si>
    <t>Nadjet</t>
  </si>
  <si>
    <t>Israa</t>
  </si>
  <si>
    <t>Samira</t>
  </si>
  <si>
    <t>Zohra</t>
  </si>
  <si>
    <t>Ahlem</t>
  </si>
  <si>
    <t>Sarah</t>
  </si>
  <si>
    <t>Karima</t>
  </si>
  <si>
    <t>Romayessa</t>
  </si>
  <si>
    <t>Kahina</t>
  </si>
  <si>
    <t xml:space="preserve">Hadjer+chiraz+ période d'éssaie </t>
  </si>
  <si>
    <t>Amina</t>
  </si>
  <si>
    <t xml:space="preserve">Wafa </t>
  </si>
  <si>
    <t>Salma</t>
  </si>
  <si>
    <t>Nesrine</t>
  </si>
  <si>
    <t>Kenza</t>
  </si>
  <si>
    <t>Yasmine</t>
  </si>
  <si>
    <t>Sara les 2 jours denjuillet</t>
  </si>
  <si>
    <t>wafa +Amina</t>
  </si>
  <si>
    <t>wafa +Amina+Bochra</t>
  </si>
  <si>
    <t>doulble journée du Off</t>
  </si>
  <si>
    <t>3,5 bouchera + 1,5 Allaa</t>
  </si>
  <si>
    <t>double journée pour la journée off</t>
  </si>
  <si>
    <t>Produit</t>
  </si>
  <si>
    <t>Quantité</t>
  </si>
  <si>
    <t xml:space="preserve">Prix unitaire </t>
  </si>
  <si>
    <t>Prix</t>
  </si>
  <si>
    <t>Date d'achat</t>
  </si>
  <si>
    <t>poulet Haché + blanc de poulet</t>
  </si>
  <si>
    <t>viande morceaux</t>
  </si>
  <si>
    <t>Légumes pour chakhechoukha</t>
  </si>
  <si>
    <t xml:space="preserve">Boite  en plastique </t>
  </si>
  <si>
    <t>Levure chimique</t>
  </si>
  <si>
    <t xml:space="preserve">Semoule Fine 25kg </t>
  </si>
  <si>
    <t xml:space="preserve">Livraison + manutention semoule </t>
  </si>
  <si>
    <t>Semoule Fine 10kg</t>
  </si>
  <si>
    <t>farine sousimie 10kg</t>
  </si>
  <si>
    <t>Levure Boulongère 750g</t>
  </si>
  <si>
    <t>Semoule grosse moula 2kg</t>
  </si>
  <si>
    <t>Khel</t>
  </si>
  <si>
    <t>Maiis</t>
  </si>
  <si>
    <t>Sucre cristalisé 1kg</t>
  </si>
  <si>
    <t>Crème fraiche</t>
  </si>
  <si>
    <t>Cheddar</t>
  </si>
  <si>
    <t>Tomate conserve</t>
  </si>
  <si>
    <t>Harrissa</t>
  </si>
  <si>
    <t>Curdents</t>
  </si>
  <si>
    <t>Fromage spécial pizza Napoli</t>
  </si>
  <si>
    <t>pain tacos</t>
  </si>
  <si>
    <t>Gherss</t>
  </si>
  <si>
    <t>pistache</t>
  </si>
  <si>
    <t>semoule Moula moyen + grosse 10kg</t>
  </si>
  <si>
    <t>werd chouche</t>
  </si>
  <si>
    <t>izem bouteille</t>
  </si>
  <si>
    <t>canette Hamoud + shwepess</t>
  </si>
  <si>
    <t>Jus Tchina 33 cl</t>
  </si>
  <si>
    <t>eau minirale 50 cl</t>
  </si>
  <si>
    <t>eau minirale 1,5 litres</t>
  </si>
  <si>
    <t xml:space="preserve">Amande moulu </t>
  </si>
  <si>
    <t xml:space="preserve">grants </t>
  </si>
  <si>
    <t xml:space="preserve">Décapant </t>
  </si>
  <si>
    <t>fromage bidon  Monte d'or 3.8kg</t>
  </si>
  <si>
    <t>Lait en poudre</t>
  </si>
  <si>
    <t>Chocolat wedjedane Noir</t>
  </si>
  <si>
    <t>Chocolat wedjedane au lait</t>
  </si>
  <si>
    <t>bessel</t>
  </si>
  <si>
    <t>Margarine Fleurial 500g</t>
  </si>
  <si>
    <t>Huile elio 5 litres</t>
  </si>
  <si>
    <t>Semen Madina 1,8kg</t>
  </si>
  <si>
    <t>Plateau oeuf</t>
  </si>
  <si>
    <t>rechta</t>
  </si>
  <si>
    <t>Fromage Bidon la bonne vache 3,8kg</t>
  </si>
  <si>
    <t>Fromage slices</t>
  </si>
  <si>
    <t xml:space="preserve">Maa zehar </t>
  </si>
  <si>
    <t>Confiture 1kg</t>
  </si>
  <si>
    <t>Farine Sim 1kg</t>
  </si>
  <si>
    <t>Raisins sec</t>
  </si>
  <si>
    <t>sucre glace</t>
  </si>
  <si>
    <t xml:space="preserve">boites décoration pate à sucre </t>
  </si>
  <si>
    <t>petite barquettes temina</t>
  </si>
  <si>
    <t>cuillière</t>
  </si>
  <si>
    <t>cuisses</t>
  </si>
  <si>
    <t xml:space="preserve">rechta </t>
  </si>
  <si>
    <t xml:space="preserve">poulet haché  </t>
  </si>
  <si>
    <t>gherss</t>
  </si>
  <si>
    <t xml:space="preserve">Fromage slices </t>
  </si>
  <si>
    <t>crème fraiche 1 litre</t>
  </si>
  <si>
    <t>Bali</t>
  </si>
  <si>
    <t>isis</t>
  </si>
  <si>
    <t>viande hachée</t>
  </si>
  <si>
    <t>deyoul</t>
  </si>
  <si>
    <t>légumes rechta</t>
  </si>
  <si>
    <t>poulet haché</t>
  </si>
  <si>
    <t>blanc de poulet</t>
  </si>
  <si>
    <t>Tomate fraiche</t>
  </si>
  <si>
    <t>salade</t>
  </si>
  <si>
    <t>légumes</t>
  </si>
  <si>
    <t>lahessen</t>
  </si>
  <si>
    <t>cuisses de poulet</t>
  </si>
  <si>
    <t>épinards</t>
  </si>
  <si>
    <t>olive</t>
  </si>
  <si>
    <t>Force expresse</t>
  </si>
  <si>
    <t>divers</t>
  </si>
  <si>
    <t>Serpièllere</t>
  </si>
  <si>
    <t>sac poubelle</t>
  </si>
  <si>
    <t xml:space="preserve">lave sol </t>
  </si>
  <si>
    <t>crème fraiche</t>
  </si>
  <si>
    <t>bingo</t>
  </si>
  <si>
    <t>esprit de sel+ naddaf</t>
  </si>
  <si>
    <t>chiffon</t>
  </si>
  <si>
    <t>pala</t>
  </si>
  <si>
    <t>canette IZEM</t>
  </si>
  <si>
    <t xml:space="preserve">Canette Coca </t>
  </si>
  <si>
    <t>Bouteille Hamoud</t>
  </si>
  <si>
    <t>Hamissa</t>
  </si>
  <si>
    <t>Lavette</t>
  </si>
  <si>
    <t>olive éffilet</t>
  </si>
  <si>
    <t>épinard + ma3ednouss</t>
  </si>
  <si>
    <t>thym</t>
  </si>
  <si>
    <t xml:space="preserve">épice </t>
  </si>
  <si>
    <t>Storm Modem Local</t>
  </si>
  <si>
    <t>Griwech</t>
  </si>
  <si>
    <t>Boite demie plateau</t>
  </si>
  <si>
    <t>barquette en plastique 1500cc</t>
  </si>
  <si>
    <t>navet + courgette</t>
  </si>
  <si>
    <t>hamissa</t>
  </si>
  <si>
    <t>pate à filo</t>
  </si>
  <si>
    <t>eau</t>
  </si>
  <si>
    <t>olive noir</t>
  </si>
  <si>
    <t>olive dényauté</t>
  </si>
  <si>
    <t>escalope+ poulet haché</t>
  </si>
  <si>
    <t>épice fromage</t>
  </si>
  <si>
    <t>ail en poudre</t>
  </si>
  <si>
    <t>canelle</t>
  </si>
  <si>
    <t>batons de canelle</t>
  </si>
  <si>
    <t>Boite 48/10</t>
  </si>
  <si>
    <t>Bioite 36</t>
  </si>
  <si>
    <t>Boite 24</t>
  </si>
  <si>
    <t>sac croissant 17</t>
  </si>
  <si>
    <t>sac croissant 23</t>
  </si>
  <si>
    <t xml:space="preserve">Sachets blanc 5kg </t>
  </si>
  <si>
    <t>couscous</t>
  </si>
  <si>
    <t>cuisse</t>
  </si>
  <si>
    <t xml:space="preserve">livraison   </t>
  </si>
  <si>
    <t>bons</t>
  </si>
  <si>
    <t>Storm portable Magasin</t>
  </si>
  <si>
    <t xml:space="preserve">sifon </t>
  </si>
  <si>
    <t xml:space="preserve">brosse métalique </t>
  </si>
  <si>
    <t xml:space="preserve">pomme de terre </t>
  </si>
  <si>
    <t>carottes</t>
  </si>
  <si>
    <t>courgette</t>
  </si>
  <si>
    <t>papier film</t>
  </si>
  <si>
    <t>Bessel</t>
  </si>
  <si>
    <t xml:space="preserve">escalope </t>
  </si>
  <si>
    <t>3akeri</t>
  </si>
  <si>
    <t>joint de four</t>
  </si>
  <si>
    <t>légumes couscous</t>
  </si>
  <si>
    <t>Thon 400g</t>
  </si>
  <si>
    <t>poivron</t>
  </si>
  <si>
    <t>épinard</t>
  </si>
  <si>
    <t>livraison marchandise</t>
  </si>
  <si>
    <t>cuisse de poulet</t>
  </si>
  <si>
    <t>BOITES TEMINA</t>
  </si>
  <si>
    <t xml:space="preserve">Rechta slimane </t>
  </si>
  <si>
    <t>poulet haché+ blanc de poulet</t>
  </si>
  <si>
    <t>oeufs</t>
  </si>
  <si>
    <t>eau 5 litres</t>
  </si>
  <si>
    <t>djelebana</t>
  </si>
  <si>
    <t>moutard</t>
  </si>
  <si>
    <t>hachiche</t>
  </si>
  <si>
    <t>tomate fraiche</t>
  </si>
  <si>
    <t>basmati</t>
  </si>
  <si>
    <t>riz</t>
  </si>
  <si>
    <t>boites blanc 36</t>
  </si>
  <si>
    <t>selerie</t>
  </si>
  <si>
    <t>demie cuisses</t>
  </si>
  <si>
    <t>candia</t>
  </si>
  <si>
    <t>café</t>
  </si>
  <si>
    <t xml:space="preserve">viande morceaux </t>
  </si>
  <si>
    <t>rande</t>
  </si>
  <si>
    <t>poivre noir</t>
  </si>
  <si>
    <t xml:space="preserve">3akeri </t>
  </si>
  <si>
    <t>gingenbre</t>
  </si>
  <si>
    <t>kosseber</t>
  </si>
  <si>
    <t>pates linguini</t>
  </si>
  <si>
    <t>sauce tomate Cab</t>
  </si>
  <si>
    <t>sauce tomate jambo</t>
  </si>
  <si>
    <t>sauce tomate Cab 2,5</t>
  </si>
  <si>
    <t>sauce barbcue + sauce fromagère</t>
  </si>
  <si>
    <t>semoule Moula moyenne 2kg</t>
  </si>
  <si>
    <t xml:space="preserve">ail  </t>
  </si>
  <si>
    <t xml:space="preserve">Sofiane </t>
  </si>
  <si>
    <t xml:space="preserve">poivron </t>
  </si>
  <si>
    <t xml:space="preserve">boites temina </t>
  </si>
  <si>
    <t>Thé</t>
  </si>
  <si>
    <t>3afessa1</t>
  </si>
  <si>
    <t xml:space="preserve">bessel </t>
  </si>
  <si>
    <t>aricot vert</t>
  </si>
  <si>
    <t>poulet haché + blanc de poulet</t>
  </si>
  <si>
    <t>les petits moules djouza</t>
  </si>
  <si>
    <t>margarine 500g</t>
  </si>
  <si>
    <t>salde</t>
  </si>
  <si>
    <t>yaourt</t>
  </si>
  <si>
    <t>khoubez</t>
  </si>
  <si>
    <t>fourchtte + cuillère</t>
  </si>
  <si>
    <t>Tomate conserve 1kg</t>
  </si>
  <si>
    <t>viande</t>
  </si>
  <si>
    <t>pate à sucre</t>
  </si>
  <si>
    <t>Livraison CCF</t>
  </si>
  <si>
    <t xml:space="preserve">vinigrette </t>
  </si>
  <si>
    <t xml:space="preserve">pain </t>
  </si>
  <si>
    <t xml:space="preserve">pates </t>
  </si>
  <si>
    <t>Fromage spéciale pizza</t>
  </si>
  <si>
    <t>carotte + concombre</t>
  </si>
  <si>
    <t>Tomate cerise</t>
  </si>
  <si>
    <t>Salade</t>
  </si>
  <si>
    <t>Pate feuillté</t>
  </si>
  <si>
    <t xml:space="preserve">barquette double compartiment </t>
  </si>
  <si>
    <t>boite 350cc</t>
  </si>
  <si>
    <t>sauce fromagère</t>
  </si>
  <si>
    <t>Livraisons CCF</t>
  </si>
  <si>
    <t>Farine SIM 1kg</t>
  </si>
  <si>
    <t>Thon 1,8</t>
  </si>
  <si>
    <t xml:space="preserve">sel </t>
  </si>
  <si>
    <t>cheddar</t>
  </si>
  <si>
    <t>sucre cristalisé</t>
  </si>
  <si>
    <t>Moutard</t>
  </si>
  <si>
    <t xml:space="preserve">candia </t>
  </si>
  <si>
    <t>Samsa</t>
  </si>
  <si>
    <t>boites demie plateaux</t>
  </si>
  <si>
    <t>ka3ek</t>
  </si>
  <si>
    <t>Bon non payé Mois de Juillet</t>
  </si>
  <si>
    <t>Barquettes 1120</t>
  </si>
  <si>
    <t>boites leben</t>
  </si>
  <si>
    <t>barquette 1065</t>
  </si>
  <si>
    <t>Quissetes blanc num 12</t>
  </si>
  <si>
    <t>barquettes 1185</t>
  </si>
  <si>
    <t>Boite 500CC</t>
  </si>
  <si>
    <t xml:space="preserve">Serviette </t>
  </si>
  <si>
    <t xml:space="preserve">balance </t>
  </si>
  <si>
    <t>sachet blanc 5kg</t>
  </si>
  <si>
    <t>sachets pain transparent</t>
  </si>
  <si>
    <t xml:space="preserve">Papier Aluminium </t>
  </si>
  <si>
    <t>Boite 48/07</t>
  </si>
  <si>
    <t>Boites 18</t>
  </si>
  <si>
    <t>Boite 08</t>
  </si>
  <si>
    <t>Boites 12</t>
  </si>
  <si>
    <t>Baghrir Amina mois de Juillet</t>
  </si>
  <si>
    <t>Ka3ek Naakach</t>
  </si>
  <si>
    <t>SOS Cafards</t>
  </si>
  <si>
    <t>Totale</t>
  </si>
  <si>
    <t xml:space="preserve">Nom </t>
  </si>
  <si>
    <t>Avance</t>
  </si>
  <si>
    <t xml:space="preserve">Salaire à payer </t>
  </si>
  <si>
    <t>19000+11000</t>
  </si>
  <si>
    <t>Amel</t>
  </si>
  <si>
    <t>Lynda</t>
  </si>
  <si>
    <t>4500+13500</t>
  </si>
  <si>
    <t xml:space="preserve">Yasmine  </t>
  </si>
  <si>
    <t>Karima Batna</t>
  </si>
  <si>
    <t>Wafa</t>
  </si>
  <si>
    <t>6000+2000</t>
  </si>
  <si>
    <t>2000+6000</t>
  </si>
  <si>
    <t xml:space="preserve">Hadjer + Chiraz+wafa+Amina </t>
  </si>
  <si>
    <t>TOTAL</t>
  </si>
  <si>
    <t xml:space="preserve">Mois de Janvier </t>
  </si>
  <si>
    <t xml:space="preserve">Mois de Février </t>
  </si>
  <si>
    <t>Mois de Mars</t>
  </si>
  <si>
    <t>Mois d'Avril</t>
  </si>
  <si>
    <t>Mois de Mai</t>
  </si>
  <si>
    <t xml:space="preserve">Mois de Jiun </t>
  </si>
  <si>
    <t>Mois de Juillet</t>
  </si>
  <si>
    <t>Mois d'Aout</t>
  </si>
  <si>
    <t xml:space="preserve">Mois d'Aout 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</si>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</sst>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20.0"/>
      <color theme="1"/>
      <name val="Arial"/>
    </font>
    <font>
      <b/>
      <sz val="20.0"/>
      <color theme="1"/>
      <name val="Arial"/>
    </font>
    <font>
      <sz val="15.0"/>
      <color theme="1"/>
      <name val="Arial"/>
    </font>
    <font>
      <sz val="18.0"/>
      <color rgb="FF434343"/>
      <name val="Arial"/>
    </font>
    <font>
      <sz val="18.0"/>
      <color rgb="FF000000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sz val="23.0"/>
      <color theme="1"/>
      <name val="Arial"/>
    </font>
    <font>
      <sz val="19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b/>
      <sz val="24.0"/>
      <color theme="1"/>
      <name val="Arial"/>
    </font>
    <font>
      <sz val="20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5" xfId="0" applyAlignment="1" applyBorder="1" applyFont="1" applyNumberFormat="1">
      <alignment vertical="bottom"/>
    </xf>
    <xf borderId="1" fillId="5" fontId="3" numFmtId="165" xfId="0" applyAlignment="1" applyBorder="1" applyFont="1" applyNumberFormat="1">
      <alignment horizontal="right"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3" fillId="4" fontId="3" numFmtId="0" xfId="0" applyAlignment="1" applyBorder="1" applyFont="1">
      <alignment horizontal="center" readingOrder="0" vertical="bottom"/>
    </xf>
    <xf borderId="1" fillId="4" fontId="3" numFmtId="164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1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readingOrder="0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3" numFmtId="165" xfId="0" applyAlignment="1" applyFont="1" applyNumberFormat="1">
      <alignment horizontal="center" readingOrder="0" vertical="bottom"/>
    </xf>
    <xf borderId="1" fillId="0" fontId="1" numFmtId="165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3" fillId="8" fontId="3" numFmtId="0" xfId="0" applyAlignment="1" applyBorder="1" applyFill="1" applyFon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center" readingOrder="0" vertical="bottom"/>
    </xf>
    <xf borderId="0" fillId="5" fontId="1" numFmtId="165" xfId="0" applyAlignment="1" applyFont="1" applyNumberFormat="1">
      <alignment vertical="bottom"/>
    </xf>
    <xf borderId="4" fillId="0" fontId="1" numFmtId="165" xfId="0" applyAlignment="1" applyBorder="1" applyFont="1" applyNumberFormat="1">
      <alignment vertical="bottom"/>
    </xf>
    <xf borderId="4" fillId="6" fontId="5" numFmtId="165" xfId="0" applyAlignment="1" applyBorder="1" applyFont="1" applyNumberFormat="1">
      <alignment horizontal="center" vertical="bottom"/>
    </xf>
    <xf borderId="0" fillId="0" fontId="4" numFmtId="165" xfId="0" applyAlignment="1" applyFont="1" applyNumberFormat="1">
      <alignment horizontal="right" readingOrder="0" vertical="bottom"/>
    </xf>
    <xf borderId="1" fillId="9" fontId="6" numFmtId="0" xfId="0" applyAlignment="1" applyBorder="1" applyFill="1" applyFont="1">
      <alignment horizontal="center" vertical="bottom"/>
    </xf>
    <xf borderId="5" fillId="0" fontId="1" numFmtId="165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10" fontId="3" numFmtId="165" xfId="0" applyAlignment="1" applyBorder="1" applyFill="1" applyFont="1" applyNumberForma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5" fontId="1" numFmtId="165" xfId="0" applyAlignment="1" applyBorder="1" applyFont="1" applyNumberFormat="1">
      <alignment vertical="bottom"/>
    </xf>
    <xf borderId="1" fillId="11" fontId="7" numFmtId="0" xfId="0" applyAlignment="1" applyBorder="1" applyFill="1" applyFont="1">
      <alignment horizontal="center" readingOrder="0" vertical="bottom"/>
    </xf>
    <xf borderId="1" fillId="11" fontId="7" numFmtId="165" xfId="0" applyAlignment="1" applyBorder="1" applyFont="1" applyNumberFormat="1">
      <alignment horizontal="center" readingOrder="0" vertical="bottom"/>
    </xf>
    <xf borderId="2" fillId="11" fontId="7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1" fillId="9" fontId="3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center" readingOrder="0" vertical="bottom"/>
    </xf>
    <xf borderId="1" fillId="5" fontId="3" numFmtId="165" xfId="0" applyAlignment="1" applyBorder="1" applyFont="1" applyNumberFormat="1">
      <alignment readingOrder="0" vertical="bottom"/>
    </xf>
    <xf borderId="1" fillId="0" fontId="8" numFmtId="165" xfId="0" applyAlignment="1" applyBorder="1" applyFont="1" applyNumberFormat="1">
      <alignment horizontal="right" vertical="bottom"/>
    </xf>
    <xf borderId="1" fillId="5" fontId="1" numFmtId="164" xfId="0" applyAlignment="1" applyBorder="1" applyFont="1" applyNumberFormat="1">
      <alignment vertical="bottom"/>
    </xf>
    <xf borderId="1" fillId="5" fontId="2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12" fontId="3" numFmtId="165" xfId="0" applyAlignment="1" applyBorder="1" applyFill="1" applyFont="1" applyNumberFormat="1">
      <alignment horizontal="center" vertical="bottom"/>
    </xf>
    <xf borderId="0" fillId="0" fontId="1" numFmtId="164" xfId="0" applyAlignment="1" applyFont="1" applyNumberFormat="1">
      <alignment vertical="bottom"/>
    </xf>
    <xf borderId="3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1" fillId="5" fontId="9" numFmtId="0" xfId="0" applyAlignment="1" applyBorder="1" applyFont="1">
      <alignment readingOrder="0" vertical="bottom"/>
    </xf>
    <xf borderId="1" fillId="8" fontId="9" numFmtId="0" xfId="0" applyAlignment="1" applyBorder="1" applyFont="1">
      <alignment vertical="bottom"/>
    </xf>
    <xf borderId="4" fillId="4" fontId="9" numFmtId="0" xfId="0" applyAlignment="1" applyBorder="1" applyFont="1">
      <alignment vertical="bottom"/>
    </xf>
    <xf borderId="1" fillId="4" fontId="9" numFmtId="0" xfId="0" applyAlignment="1" applyBorder="1" applyFont="1">
      <alignment vertical="bottom"/>
    </xf>
    <xf borderId="1" fillId="5" fontId="9" numFmtId="0" xfId="0" applyAlignment="1" applyBorder="1" applyFont="1">
      <alignment vertical="bottom"/>
    </xf>
    <xf borderId="3" fillId="5" fontId="10" numFmtId="0" xfId="0" applyAlignment="1" applyBorder="1" applyFont="1">
      <alignment horizontal="center" readingOrder="0" vertical="bottom"/>
    </xf>
    <xf borderId="1" fillId="5" fontId="10" numFmtId="0" xfId="0" applyAlignment="1" applyBorder="1" applyFont="1">
      <alignment horizontal="center" readingOrder="0" vertical="bottom"/>
    </xf>
    <xf borderId="1" fillId="4" fontId="10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 vertical="bottom"/>
    </xf>
    <xf borderId="3" fillId="8" fontId="12" numFmtId="0" xfId="0" applyAlignment="1" applyBorder="1" applyFont="1">
      <alignment horizontal="center" readingOrder="0" vertical="bottom"/>
    </xf>
    <xf borderId="1" fillId="8" fontId="11" numFmtId="0" xfId="0" applyAlignment="1" applyBorder="1" applyFont="1">
      <alignment horizontal="center" readingOrder="0" vertical="bottom"/>
    </xf>
    <xf borderId="1" fillId="8" fontId="10" numFmtId="0" xfId="0" applyAlignment="1" applyBorder="1" applyFont="1">
      <alignment horizontal="center" readingOrder="0" vertical="bottom"/>
    </xf>
    <xf borderId="3" fillId="5" fontId="12" numFmtId="0" xfId="0" applyAlignment="1" applyBorder="1" applyFont="1">
      <alignment horizontal="center" readingOrder="0" vertical="bottom"/>
    </xf>
    <xf borderId="3" fillId="5" fontId="8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horizontal="right" vertical="bottom"/>
    </xf>
    <xf borderId="5" fillId="5" fontId="12" numFmtId="165" xfId="0" applyAlignment="1" applyBorder="1" applyFont="1" applyNumberFormat="1">
      <alignment horizontal="center" readingOrder="0" vertical="bottom"/>
    </xf>
    <xf borderId="1" fillId="5" fontId="12" numFmtId="165" xfId="0" applyAlignment="1" applyBorder="1" applyFont="1" applyNumberFormat="1">
      <alignment horizontal="center" readingOrder="0" vertical="bottom"/>
    </xf>
    <xf borderId="1" fillId="5" fontId="8" numFmtId="165" xfId="0" applyAlignment="1" applyBorder="1" applyFont="1" applyNumberFormat="1">
      <alignment horizontal="center" readingOrder="0" vertical="bottom"/>
    </xf>
    <xf borderId="1" fillId="5" fontId="8" numFmtId="165" xfId="0" applyAlignment="1" applyBorder="1" applyFont="1" applyNumberFormat="1">
      <alignment horizontal="center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4" numFmtId="165" xfId="0" applyAlignment="1" applyBorder="1" applyFont="1" applyNumberFormat="1">
      <alignment horizontal="right" vertical="bottom"/>
    </xf>
    <xf borderId="1" fillId="12" fontId="13" numFmtId="165" xfId="0" applyAlignment="1" applyBorder="1" applyFont="1" applyNumberFormat="1">
      <alignment horizontal="center" vertical="bottom"/>
    </xf>
    <xf borderId="1" fillId="12" fontId="8" numFmtId="165" xfId="0" applyAlignment="1" applyBorder="1" applyFont="1" applyNumberFormat="1">
      <alignment horizontal="right" vertical="bottom"/>
    </xf>
    <xf borderId="1" fillId="12" fontId="4" numFmtId="165" xfId="0" applyAlignment="1" applyBorder="1" applyFont="1" applyNumberFormat="1">
      <alignment horizontal="right" vertical="bottom"/>
    </xf>
    <xf borderId="1" fillId="12" fontId="14" numFmtId="165" xfId="0" applyAlignment="1" applyBorder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4" fillId="0" fontId="7" numFmtId="165" xfId="0" applyAlignment="1" applyBorder="1" applyFont="1" applyNumberFormat="1">
      <alignment horizontal="right" vertical="bottom"/>
    </xf>
    <xf borderId="4" fillId="0" fontId="15" numFmtId="165" xfId="0" applyAlignment="1" applyBorder="1" applyFont="1" applyNumberFormat="1">
      <alignment horizontal="right" vertical="bottom"/>
    </xf>
    <xf borderId="1" fillId="0" fontId="7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12" fontId="8" numFmtId="0" xfId="0" applyAlignment="1" applyBorder="1" applyFont="1">
      <alignment horizontal="center" vertical="bottom"/>
    </xf>
    <xf borderId="2" fillId="12" fontId="8" numFmtId="0" xfId="0" applyAlignment="1" applyBorder="1" applyFont="1">
      <alignment horizontal="center" vertical="bottom"/>
    </xf>
    <xf borderId="6" fillId="5" fontId="7" numFmtId="0" xfId="0" applyAlignment="1" applyBorder="1" applyFont="1">
      <alignment horizontal="center" readingOrder="0" vertical="bottom"/>
    </xf>
    <xf borderId="2" fillId="5" fontId="7" numFmtId="0" xfId="0" applyAlignment="1" applyBorder="1" applyFont="1">
      <alignment horizontal="center" readingOrder="0" vertical="bottom"/>
    </xf>
    <xf borderId="2" fillId="5" fontId="7" numFmtId="165" xfId="0" applyAlignment="1" applyBorder="1" applyFont="1" applyNumberFormat="1">
      <alignment horizontal="center" readingOrder="0" vertical="bottom"/>
    </xf>
    <xf borderId="2" fillId="5" fontId="7" numFmtId="165" xfId="0" applyAlignment="1" applyBorder="1" applyFont="1" applyNumberFormat="1">
      <alignment horizontal="center" vertical="bottom"/>
    </xf>
    <xf borderId="1" fillId="5" fontId="7" numFmtId="164" xfId="0" applyAlignment="1" applyBorder="1" applyFont="1" applyNumberFormat="1">
      <alignment horizontal="center" readingOrder="0" vertical="bottom"/>
    </xf>
    <xf borderId="1" fillId="5" fontId="7" numFmtId="0" xfId="0" applyAlignment="1" applyBorder="1" applyFont="1">
      <alignment horizontal="center" vertical="bottom"/>
    </xf>
    <xf borderId="3" fillId="5" fontId="7" numFmtId="0" xfId="0" applyAlignment="1" applyBorder="1" applyFont="1">
      <alignment horizontal="center" readingOrder="0" vertical="bottom"/>
    </xf>
    <xf borderId="1" fillId="5" fontId="7" numFmtId="0" xfId="0" applyAlignment="1" applyBorder="1" applyFont="1">
      <alignment horizontal="center" readingOrder="0" vertical="bottom"/>
    </xf>
    <xf borderId="1" fillId="5" fontId="7" numFmtId="165" xfId="0" applyAlignment="1" applyBorder="1" applyFont="1" applyNumberFormat="1">
      <alignment horizontal="center" readingOrder="0" vertical="bottom"/>
    </xf>
    <xf borderId="2" fillId="5" fontId="7" numFmtId="0" xfId="0" applyAlignment="1" applyBorder="1" applyFont="1">
      <alignment horizontal="center" vertical="bottom"/>
    </xf>
    <xf borderId="3" fillId="13" fontId="7" numFmtId="0" xfId="0" applyAlignment="1" applyBorder="1" applyFill="1" applyFont="1">
      <alignment horizontal="center" readingOrder="0" vertical="bottom"/>
    </xf>
    <xf borderId="1" fillId="13" fontId="7" numFmtId="0" xfId="0" applyAlignment="1" applyBorder="1" applyFont="1">
      <alignment horizontal="center" readingOrder="0" vertical="bottom"/>
    </xf>
    <xf borderId="1" fillId="13" fontId="7" numFmtId="165" xfId="0" applyAlignment="1" applyBorder="1" applyFont="1" applyNumberFormat="1">
      <alignment horizontal="center" readingOrder="0" vertical="bottom"/>
    </xf>
    <xf borderId="2" fillId="13" fontId="7" numFmtId="165" xfId="0" applyAlignment="1" applyBorder="1" applyFont="1" applyNumberFormat="1">
      <alignment horizontal="center" vertical="bottom"/>
    </xf>
    <xf borderId="6" fillId="13" fontId="7" numFmtId="0" xfId="0" applyAlignment="1" applyBorder="1" applyFont="1">
      <alignment horizontal="center" vertical="bottom"/>
    </xf>
    <xf borderId="2" fillId="13" fontId="7" numFmtId="0" xfId="0" applyAlignment="1" applyBorder="1" applyFont="1">
      <alignment horizontal="center" readingOrder="0" vertical="bottom"/>
    </xf>
    <xf borderId="3" fillId="5" fontId="7" numFmtId="0" xfId="0" applyAlignment="1" applyBorder="1" applyFont="1">
      <alignment horizontal="center" vertical="bottom"/>
    </xf>
    <xf borderId="1" fillId="5" fontId="7" numFmtId="165" xfId="0" applyAlignment="1" applyBorder="1" applyFont="1" applyNumberFormat="1">
      <alignment horizontal="center" vertical="bottom"/>
    </xf>
    <xf borderId="3" fillId="13" fontId="7" numFmtId="0" xfId="0" applyAlignment="1" applyBorder="1" applyFont="1">
      <alignment horizontal="center" vertical="bottom"/>
    </xf>
    <xf borderId="1" fillId="13" fontId="7" numFmtId="165" xfId="0" applyAlignment="1" applyBorder="1" applyFont="1" applyNumberFormat="1">
      <alignment horizontal="center" vertical="bottom"/>
    </xf>
    <xf borderId="6" fillId="14" fontId="7" numFmtId="0" xfId="0" applyAlignment="1" applyBorder="1" applyFill="1" applyFont="1">
      <alignment horizontal="center" vertical="bottom"/>
    </xf>
    <xf borderId="2" fillId="14" fontId="7" numFmtId="0" xfId="0" applyAlignment="1" applyBorder="1" applyFont="1">
      <alignment horizontal="center" readingOrder="0" vertical="bottom"/>
    </xf>
    <xf borderId="2" fillId="14" fontId="7" numFmtId="165" xfId="0" applyAlignment="1" applyBorder="1" applyFont="1" applyNumberFormat="1">
      <alignment horizontal="center" vertical="bottom"/>
    </xf>
    <xf borderId="1" fillId="5" fontId="7" numFmtId="164" xfId="0" applyAlignment="1" applyBorder="1" applyFont="1" applyNumberFormat="1">
      <alignment horizontal="center" vertical="bottom"/>
    </xf>
    <xf borderId="1" fillId="14" fontId="7" numFmtId="0" xfId="0" applyAlignment="1" applyBorder="1" applyFont="1">
      <alignment horizontal="center" readingOrder="0" vertical="bottom"/>
    </xf>
    <xf borderId="1" fillId="15" fontId="7" numFmtId="0" xfId="0" applyAlignment="1" applyBorder="1" applyFill="1" applyFont="1">
      <alignment horizontal="center" readingOrder="0" vertical="bottom"/>
    </xf>
    <xf borderId="3" fillId="16" fontId="7" numFmtId="0" xfId="0" applyAlignment="1" applyBorder="1" applyFill="1" applyFont="1">
      <alignment horizontal="center" vertical="bottom"/>
    </xf>
    <xf borderId="1" fillId="16" fontId="7" numFmtId="0" xfId="0" applyAlignment="1" applyBorder="1" applyFont="1">
      <alignment horizontal="center" readingOrder="0" vertical="bottom"/>
    </xf>
    <xf borderId="1" fillId="16" fontId="7" numFmtId="165" xfId="0" applyAlignment="1" applyBorder="1" applyFont="1" applyNumberFormat="1">
      <alignment horizontal="center" vertical="bottom"/>
    </xf>
    <xf borderId="1" fillId="17" fontId="7" numFmtId="0" xfId="0" applyAlignment="1" applyBorder="1" applyFill="1" applyFont="1">
      <alignment horizontal="center" readingOrder="0" vertical="bottom"/>
    </xf>
    <xf borderId="1" fillId="17" fontId="7" numFmtId="165" xfId="0" applyAlignment="1" applyBorder="1" applyFont="1" applyNumberFormat="1">
      <alignment horizontal="center" readingOrder="0" vertical="bottom"/>
    </xf>
    <xf borderId="2" fillId="17" fontId="7" numFmtId="165" xfId="0" applyAlignment="1" applyBorder="1" applyFont="1" applyNumberFormat="1">
      <alignment horizontal="center" vertical="bottom"/>
    </xf>
    <xf borderId="3" fillId="17" fontId="7" numFmtId="0" xfId="0" applyAlignment="1" applyBorder="1" applyFont="1">
      <alignment horizontal="center" vertical="bottom"/>
    </xf>
    <xf borderId="1" fillId="17" fontId="7" numFmtId="165" xfId="0" applyAlignment="1" applyBorder="1" applyFont="1" applyNumberFormat="1">
      <alignment horizontal="center" vertical="bottom"/>
    </xf>
    <xf borderId="3" fillId="5" fontId="7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 readingOrder="0"/>
    </xf>
    <xf borderId="6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0" fillId="0" fontId="17" numFmtId="0" xfId="0" applyAlignment="1" applyFont="1">
      <alignment readingOrder="0"/>
    </xf>
    <xf borderId="1" fillId="18" fontId="4" numFmtId="0" xfId="0" applyAlignment="1" applyBorder="1" applyFill="1" applyFont="1">
      <alignment horizontal="center" readingOrder="0" vertical="bottom"/>
    </xf>
    <xf borderId="1" fillId="18" fontId="7" numFmtId="0" xfId="0" applyAlignment="1" applyBorder="1" applyFont="1">
      <alignment horizontal="center" readingOrder="0" vertical="bottom"/>
    </xf>
    <xf borderId="1" fillId="18" fontId="7" numFmtId="165" xfId="0" applyAlignment="1" applyBorder="1" applyFont="1" applyNumberFormat="1">
      <alignment horizontal="center" readingOrder="0" vertical="bottom"/>
    </xf>
    <xf borderId="1" fillId="19" fontId="7" numFmtId="165" xfId="0" applyAlignment="1" applyBorder="1" applyFill="1" applyFont="1" applyNumberFormat="1">
      <alignment horizontal="center" vertical="bottom"/>
    </xf>
    <xf borderId="0" fillId="0" fontId="18" numFmtId="0" xfId="0" applyAlignment="1" applyFont="1">
      <alignment readingOrder="0"/>
    </xf>
    <xf borderId="2" fillId="5" fontId="7" numFmtId="164" xfId="0" applyAlignment="1" applyBorder="1" applyFont="1" applyNumberFormat="1">
      <alignment horizontal="center" vertical="bottom"/>
    </xf>
    <xf borderId="3" fillId="8" fontId="7" numFmtId="0" xfId="0" applyAlignment="1" applyBorder="1" applyFont="1">
      <alignment horizontal="center" vertical="bottom"/>
    </xf>
    <xf borderId="1" fillId="8" fontId="7" numFmtId="0" xfId="0" applyAlignment="1" applyBorder="1" applyFont="1">
      <alignment horizontal="center" readingOrder="0" vertical="bottom"/>
    </xf>
    <xf borderId="1" fillId="8" fontId="7" numFmtId="165" xfId="0" applyAlignment="1" applyBorder="1" applyFont="1" applyNumberFormat="1">
      <alignment horizontal="center" vertical="bottom"/>
    </xf>
    <xf borderId="2" fillId="8" fontId="7" numFmtId="165" xfId="0" applyAlignment="1" applyBorder="1" applyFont="1" applyNumberFormat="1">
      <alignment horizontal="center" vertical="bottom"/>
    </xf>
    <xf borderId="6" fillId="5" fontId="7" numFmtId="0" xfId="0" applyAlignment="1" applyBorder="1" applyFont="1">
      <alignment horizontal="center" vertical="bottom"/>
    </xf>
    <xf borderId="3" fillId="18" fontId="7" numFmtId="0" xfId="0" applyAlignment="1" applyBorder="1" applyFont="1">
      <alignment horizontal="center" vertical="bottom"/>
    </xf>
    <xf borderId="1" fillId="18" fontId="7" numFmtId="165" xfId="0" applyAlignment="1" applyBorder="1" applyFont="1" applyNumberFormat="1">
      <alignment horizontal="center" vertical="bottom"/>
    </xf>
    <xf borderId="2" fillId="18" fontId="7" numFmtId="165" xfId="0" applyAlignment="1" applyBorder="1" applyFont="1" applyNumberFormat="1">
      <alignment horizontal="center" vertical="bottom"/>
    </xf>
    <xf borderId="1" fillId="18" fontId="7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vertical="bottom"/>
    </xf>
    <xf borderId="2" fillId="0" fontId="19" numFmtId="165" xfId="0" applyAlignment="1" applyBorder="1" applyFont="1" applyNumberFormat="1">
      <alignment horizontal="center" vertical="bottom"/>
    </xf>
    <xf borderId="2" fillId="0" fontId="1" numFmtId="164" xfId="0" applyAlignment="1" applyBorder="1" applyFont="1" applyNumberFormat="1">
      <alignment vertical="bottom"/>
    </xf>
    <xf borderId="1" fillId="4" fontId="2" numFmtId="0" xfId="0" applyAlignment="1" applyBorder="1" applyFont="1">
      <alignment horizontal="center" vertical="bottom"/>
    </xf>
    <xf borderId="4" fillId="6" fontId="2" numFmtId="0" xfId="0" applyAlignment="1" applyBorder="1" applyFont="1">
      <alignment horizontal="center" vertical="bottom"/>
    </xf>
    <xf borderId="1" fillId="5" fontId="2" numFmtId="165" xfId="0" applyAlignment="1" applyBorder="1" applyFont="1" applyNumberFormat="1">
      <alignment horizontal="center" readingOrder="0" vertical="bottom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horizontal="center"/>
    </xf>
    <xf borderId="0" fillId="0" fontId="20" numFmtId="165" xfId="0" applyAlignment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4" fontId="1" numFmtId="165" xfId="0" applyAlignment="1" applyBorder="1" applyFont="1" applyNumberFormat="1">
      <alignment vertical="bottom"/>
    </xf>
    <xf borderId="1" fillId="12" fontId="2" numFmtId="0" xfId="0" applyAlignment="1" applyBorder="1" applyFont="1">
      <alignment horizontal="center" vertical="bottom"/>
    </xf>
    <xf borderId="6" fillId="12" fontId="2" numFmtId="0" xfId="0" applyAlignment="1" applyBorder="1" applyFont="1">
      <alignment horizontal="center" vertical="bottom"/>
    </xf>
    <xf borderId="6" fillId="12" fontId="8" numFmtId="0" xfId="0" applyAlignment="1" applyBorder="1" applyFont="1">
      <alignment horizontal="center" readingOrder="0" vertical="bottom"/>
    </xf>
    <xf borderId="1" fillId="12" fontId="2" numFmtId="0" xfId="0" applyAlignment="1" applyBorder="1" applyFont="1">
      <alignment horizontal="center" readingOrder="0" vertical="bottom"/>
    </xf>
    <xf borderId="1" fillId="20" fontId="2" numFmtId="0" xfId="0" applyAlignment="1" applyBorder="1" applyFill="1" applyFont="1">
      <alignment horizontal="center" vertical="bottom"/>
    </xf>
    <xf borderId="6" fillId="0" fontId="3" numFmtId="165" xfId="0" applyAlignment="1" applyBorder="1" applyFont="1" applyNumberFormat="1">
      <alignment horizontal="center" vertical="bottom"/>
    </xf>
    <xf borderId="6" fillId="0" fontId="3" numFmtId="165" xfId="0" applyAlignment="1" applyBorder="1" applyFont="1" applyNumberFormat="1">
      <alignment horizontal="center" readingOrder="0" vertical="bottom"/>
    </xf>
    <xf borderId="6" fillId="0" fontId="7" numFmtId="165" xfId="0" applyAlignment="1" applyBorder="1" applyFont="1" applyNumberFormat="1">
      <alignment horizontal="center" vertical="bottom"/>
    </xf>
    <xf borderId="6" fillId="0" fontId="7" numFmtId="165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13"/>
    <col customWidth="1" min="3" max="3" width="32.88"/>
    <col customWidth="1" min="4" max="4" width="26.38"/>
    <col customWidth="1" min="5" max="5" width="25.38"/>
    <col customWidth="1" min="6" max="6" width="25.88"/>
    <col customWidth="1" min="7" max="7" width="25.13"/>
    <col customWidth="1" min="8" max="9" width="25.63"/>
    <col customWidth="1" min="11" max="11" width="26.13"/>
    <col customWidth="1" min="12" max="12" width="25.88"/>
    <col customWidth="1" min="13" max="13" width="38.38"/>
    <col customWidth="1" min="14" max="14" width="26.88"/>
    <col customWidth="1" min="15" max="15" width="38.88"/>
    <col customWidth="1" min="16" max="16" width="65.0"/>
    <col customWidth="1" min="17" max="17" width="47.38"/>
    <col customWidth="1" min="18" max="18" width="54.5"/>
    <col customWidth="1" min="19" max="19" width="27.5"/>
    <col customWidth="1" min="20" max="20" width="26.75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/>
      <c r="K1" s="6" t="s">
        <v>8</v>
      </c>
      <c r="L1" s="7" t="s">
        <v>9</v>
      </c>
      <c r="M1" s="5"/>
      <c r="N1" s="5"/>
      <c r="O1" s="5"/>
      <c r="P1" s="5"/>
      <c r="Q1" s="5"/>
      <c r="R1" s="5"/>
      <c r="S1" s="5"/>
    </row>
    <row r="2">
      <c r="A2" s="8" t="s">
        <v>10</v>
      </c>
      <c r="B2" s="9">
        <v>45505.0</v>
      </c>
      <c r="C2" s="10">
        <v>41000.0</v>
      </c>
      <c r="D2" s="11">
        <v>33000.0</v>
      </c>
      <c r="E2" s="12"/>
      <c r="F2" s="12"/>
      <c r="G2" s="12"/>
      <c r="H2" s="12"/>
      <c r="I2" s="13">
        <v>1.0</v>
      </c>
      <c r="J2" s="14"/>
      <c r="K2" s="15"/>
      <c r="L2" s="16">
        <v>41000.0</v>
      </c>
      <c r="M2" s="5"/>
      <c r="N2" s="5"/>
      <c r="O2" s="5"/>
      <c r="P2" s="5"/>
      <c r="Q2" s="5"/>
      <c r="R2" s="5"/>
      <c r="S2" s="5"/>
    </row>
    <row r="3">
      <c r="A3" s="8" t="s">
        <v>11</v>
      </c>
      <c r="B3" s="9">
        <v>45506.0</v>
      </c>
      <c r="C3" s="10">
        <v>37000.0</v>
      </c>
      <c r="D3" s="11">
        <v>60000.0</v>
      </c>
      <c r="E3" s="12"/>
      <c r="F3" s="12"/>
      <c r="G3" s="12"/>
      <c r="H3" s="12"/>
      <c r="I3" s="13">
        <v>1.0</v>
      </c>
      <c r="J3" s="14"/>
      <c r="K3" s="15"/>
      <c r="L3" s="16">
        <v>37000.0</v>
      </c>
      <c r="M3" s="17" t="s">
        <v>12</v>
      </c>
      <c r="N3" s="17" t="s">
        <v>13</v>
      </c>
      <c r="O3" s="18" t="s">
        <v>14</v>
      </c>
      <c r="P3" s="19" t="s">
        <v>15</v>
      </c>
      <c r="Q3" s="5"/>
      <c r="R3" s="5"/>
      <c r="S3" s="5"/>
    </row>
    <row r="4">
      <c r="A4" s="20" t="s">
        <v>16</v>
      </c>
      <c r="B4" s="21">
        <v>45507.0</v>
      </c>
      <c r="C4" s="22">
        <v>47000.0</v>
      </c>
      <c r="D4" s="23">
        <v>0.0</v>
      </c>
      <c r="E4" s="24"/>
      <c r="F4" s="24"/>
      <c r="G4" s="24"/>
      <c r="H4" s="24"/>
      <c r="I4" s="25">
        <v>0.0</v>
      </c>
      <c r="J4" s="14"/>
      <c r="K4" s="15"/>
      <c r="L4" s="16">
        <v>47000.0</v>
      </c>
      <c r="M4" s="22">
        <f>H33/I33</f>
        <v>13267.1574</v>
      </c>
      <c r="N4" s="22">
        <f>D33/I33</f>
        <v>57080</v>
      </c>
      <c r="O4" s="26"/>
      <c r="P4" s="27">
        <f>O4/N4</f>
        <v>0</v>
      </c>
      <c r="Q4" s="5"/>
      <c r="R4" s="5"/>
      <c r="S4" s="5"/>
    </row>
    <row r="5">
      <c r="A5" s="20" t="s">
        <v>17</v>
      </c>
      <c r="B5" s="21">
        <v>45508.0</v>
      </c>
      <c r="C5" s="22">
        <v>130000.0</v>
      </c>
      <c r="D5" s="23">
        <v>0.0</v>
      </c>
      <c r="E5" s="24"/>
      <c r="F5" s="24"/>
      <c r="G5" s="24"/>
      <c r="H5" s="24"/>
      <c r="I5" s="25">
        <v>0.0</v>
      </c>
      <c r="J5" s="14"/>
      <c r="K5" s="15"/>
      <c r="L5" s="16">
        <v>130000.0</v>
      </c>
      <c r="M5" s="1"/>
      <c r="N5" s="1"/>
      <c r="O5" s="5"/>
      <c r="P5" s="28"/>
      <c r="Q5" s="5"/>
      <c r="R5" s="5"/>
      <c r="S5" s="5"/>
    </row>
    <row r="6">
      <c r="A6" s="20" t="s">
        <v>18</v>
      </c>
      <c r="B6" s="21">
        <v>45509.0</v>
      </c>
      <c r="C6" s="22">
        <v>40000.0</v>
      </c>
      <c r="D6" s="23">
        <v>0.0</v>
      </c>
      <c r="E6" s="24"/>
      <c r="F6" s="24"/>
      <c r="G6" s="24"/>
      <c r="H6" s="24"/>
      <c r="I6" s="25">
        <v>0.0</v>
      </c>
      <c r="J6" s="14"/>
      <c r="K6" s="15"/>
      <c r="L6" s="16">
        <v>40000.0</v>
      </c>
      <c r="M6" s="29" t="s">
        <v>19</v>
      </c>
      <c r="N6" s="30" t="s">
        <v>20</v>
      </c>
      <c r="O6" s="5"/>
      <c r="P6" s="1"/>
      <c r="Q6" s="5"/>
      <c r="R6" s="5"/>
      <c r="S6" s="5"/>
    </row>
    <row r="7">
      <c r="A7" s="20" t="s">
        <v>21</v>
      </c>
      <c r="B7" s="21">
        <v>45510.0</v>
      </c>
      <c r="C7" s="22">
        <v>117000.0</v>
      </c>
      <c r="D7" s="23">
        <v>0.0</v>
      </c>
      <c r="E7" s="24"/>
      <c r="F7" s="24"/>
      <c r="G7" s="24"/>
      <c r="H7" s="24"/>
      <c r="I7" s="25">
        <v>0.0</v>
      </c>
      <c r="J7" s="14"/>
      <c r="K7" s="15"/>
      <c r="L7" s="16">
        <v>117000.0</v>
      </c>
      <c r="M7" s="31">
        <f>E33/I33</f>
        <v>25593.16</v>
      </c>
      <c r="N7" s="31">
        <v>100000.0</v>
      </c>
      <c r="O7" s="1"/>
      <c r="P7" s="1"/>
      <c r="Q7" s="5"/>
      <c r="R7" s="5"/>
      <c r="S7" s="5"/>
    </row>
    <row r="8">
      <c r="A8" s="20" t="s">
        <v>22</v>
      </c>
      <c r="B8" s="21">
        <v>45511.0</v>
      </c>
      <c r="C8" s="22">
        <v>90000.0</v>
      </c>
      <c r="D8" s="23">
        <v>4000.0</v>
      </c>
      <c r="E8" s="24"/>
      <c r="F8" s="24"/>
      <c r="G8" s="24"/>
      <c r="H8" s="24"/>
      <c r="I8" s="25">
        <v>1.0</v>
      </c>
      <c r="J8" s="14"/>
      <c r="K8" s="15"/>
      <c r="L8" s="16">
        <v>90000.0</v>
      </c>
      <c r="M8" s="1" t="s">
        <v>23</v>
      </c>
      <c r="N8" s="1"/>
      <c r="O8" s="1"/>
      <c r="P8" s="1"/>
      <c r="Q8" s="5"/>
      <c r="R8" s="5"/>
      <c r="S8" s="5"/>
    </row>
    <row r="9">
      <c r="A9" s="20" t="s">
        <v>10</v>
      </c>
      <c r="B9" s="21">
        <v>45512.0</v>
      </c>
      <c r="C9" s="22">
        <v>60000.0</v>
      </c>
      <c r="D9" s="23">
        <v>0.0</v>
      </c>
      <c r="E9" s="24"/>
      <c r="F9" s="24"/>
      <c r="G9" s="24"/>
      <c r="H9" s="24"/>
      <c r="I9" s="25">
        <v>0.0</v>
      </c>
      <c r="J9" s="14"/>
      <c r="K9" s="15"/>
      <c r="L9" s="16">
        <v>60000.0</v>
      </c>
      <c r="M9" s="1"/>
      <c r="N9" s="1"/>
      <c r="O9" s="1"/>
      <c r="P9" s="1"/>
      <c r="Q9" s="5"/>
      <c r="R9" s="5"/>
      <c r="S9" s="5"/>
    </row>
    <row r="10">
      <c r="A10" s="20" t="s">
        <v>11</v>
      </c>
      <c r="B10" s="21">
        <v>45513.0</v>
      </c>
      <c r="C10" s="22">
        <v>50000.0</v>
      </c>
      <c r="D10" s="23">
        <v>0.0</v>
      </c>
      <c r="E10" s="24"/>
      <c r="F10" s="24"/>
      <c r="G10" s="24"/>
      <c r="H10" s="24"/>
      <c r="I10" s="25">
        <v>0.0</v>
      </c>
      <c r="J10" s="14"/>
      <c r="K10" s="15"/>
      <c r="L10" s="16">
        <v>50000.0</v>
      </c>
      <c r="M10" s="32" t="s">
        <v>24</v>
      </c>
      <c r="N10" s="32" t="s">
        <v>25</v>
      </c>
      <c r="O10" s="33" t="s">
        <v>26</v>
      </c>
      <c r="P10" s="34" t="s">
        <v>27</v>
      </c>
      <c r="Q10" s="5"/>
      <c r="R10" s="5"/>
      <c r="S10" s="5"/>
    </row>
    <row r="11">
      <c r="A11" s="8" t="s">
        <v>16</v>
      </c>
      <c r="B11" s="9">
        <v>45514.0</v>
      </c>
      <c r="C11" s="11">
        <v>60000.0</v>
      </c>
      <c r="D11" s="11">
        <v>35000.0</v>
      </c>
      <c r="E11" s="12"/>
      <c r="F11" s="12"/>
      <c r="G11" s="12"/>
      <c r="H11" s="12"/>
      <c r="I11" s="13">
        <v>1.0</v>
      </c>
      <c r="J11" s="14"/>
      <c r="K11" s="15"/>
      <c r="L11" s="16">
        <v>60000.0</v>
      </c>
      <c r="M11" s="10">
        <f>M14+D33-E33-N11-P32-Salaire!L38</f>
        <v>802171</v>
      </c>
      <c r="N11" s="23">
        <v>8000.0</v>
      </c>
      <c r="O11" s="35">
        <v>824000.0</v>
      </c>
      <c r="P11" s="31">
        <f>M11-O11</f>
        <v>-21829</v>
      </c>
      <c r="Q11" s="5"/>
      <c r="R11" s="5"/>
      <c r="S11" s="5"/>
    </row>
    <row r="12">
      <c r="A12" s="8" t="s">
        <v>17</v>
      </c>
      <c r="B12" s="9">
        <v>45515.0</v>
      </c>
      <c r="C12" s="11">
        <v>67000.0</v>
      </c>
      <c r="D12" s="11">
        <v>18000.0</v>
      </c>
      <c r="E12" s="12"/>
      <c r="F12" s="12"/>
      <c r="G12" s="12"/>
      <c r="H12" s="12"/>
      <c r="I12" s="13">
        <v>1.0</v>
      </c>
      <c r="J12" s="14"/>
      <c r="K12" s="15"/>
      <c r="L12" s="16">
        <v>67000.0</v>
      </c>
      <c r="M12" s="1"/>
      <c r="N12" s="1"/>
      <c r="O12" s="36"/>
      <c r="P12" s="36"/>
      <c r="Q12" s="5"/>
      <c r="R12" s="5"/>
      <c r="S12" s="5"/>
    </row>
    <row r="13">
      <c r="A13" s="8" t="s">
        <v>28</v>
      </c>
      <c r="B13" s="9">
        <v>45516.0</v>
      </c>
      <c r="C13" s="11">
        <v>65000.0</v>
      </c>
      <c r="D13" s="11">
        <v>21000.0</v>
      </c>
      <c r="E13" s="12"/>
      <c r="F13" s="12"/>
      <c r="G13" s="12"/>
      <c r="H13" s="12"/>
      <c r="I13" s="13">
        <v>1.0</v>
      </c>
      <c r="J13" s="14"/>
      <c r="K13" s="15"/>
      <c r="L13" s="16">
        <v>65000.0</v>
      </c>
      <c r="M13" s="33" t="s">
        <v>29</v>
      </c>
      <c r="N13" s="36"/>
      <c r="O13" s="5"/>
      <c r="P13" s="36"/>
      <c r="Q13" s="5"/>
      <c r="R13" s="5"/>
      <c r="S13" s="14"/>
    </row>
    <row r="14">
      <c r="A14" s="8" t="s">
        <v>21</v>
      </c>
      <c r="B14" s="9">
        <v>45517.0</v>
      </c>
      <c r="C14" s="11">
        <v>470000.0</v>
      </c>
      <c r="D14" s="11">
        <v>23000.0</v>
      </c>
      <c r="E14" s="12"/>
      <c r="F14" s="12"/>
      <c r="G14" s="12"/>
      <c r="H14" s="12"/>
      <c r="I14" s="13">
        <v>1.0</v>
      </c>
      <c r="J14" s="14"/>
      <c r="K14" s="15"/>
      <c r="L14" s="16">
        <v>470000.0</v>
      </c>
      <c r="M14" s="37">
        <v>330000.0</v>
      </c>
      <c r="N14" s="36"/>
      <c r="O14" s="5"/>
      <c r="P14" s="38" t="s">
        <v>30</v>
      </c>
      <c r="Q14" s="5"/>
      <c r="R14" s="5"/>
      <c r="S14" s="14"/>
    </row>
    <row r="15">
      <c r="A15" s="8" t="s">
        <v>31</v>
      </c>
      <c r="B15" s="9">
        <v>45518.0</v>
      </c>
      <c r="C15" s="11">
        <v>52000.0</v>
      </c>
      <c r="D15" s="11">
        <v>20000.0</v>
      </c>
      <c r="E15" s="12"/>
      <c r="F15" s="12"/>
      <c r="G15" s="12"/>
      <c r="H15" s="12"/>
      <c r="I15" s="13">
        <v>1.0</v>
      </c>
      <c r="J15" s="14"/>
      <c r="K15" s="15"/>
      <c r="L15" s="16">
        <v>52000.0</v>
      </c>
      <c r="M15" s="35"/>
      <c r="N15" s="26"/>
      <c r="O15" s="14"/>
      <c r="P15" s="39" t="s">
        <v>32</v>
      </c>
      <c r="Q15" s="5"/>
      <c r="R15" s="5"/>
      <c r="S15" s="14"/>
    </row>
    <row r="16">
      <c r="A16" s="8" t="s">
        <v>10</v>
      </c>
      <c r="B16" s="9">
        <v>45519.0</v>
      </c>
      <c r="C16" s="11">
        <v>80000.0</v>
      </c>
      <c r="D16" s="11">
        <v>40000.0</v>
      </c>
      <c r="E16" s="12"/>
      <c r="F16" s="12"/>
      <c r="G16" s="12"/>
      <c r="H16" s="12"/>
      <c r="I16" s="13">
        <v>1.0</v>
      </c>
      <c r="J16" s="14"/>
      <c r="K16" s="15"/>
      <c r="L16" s="16">
        <v>80000.0</v>
      </c>
      <c r="M16" s="35"/>
      <c r="N16" s="26"/>
      <c r="O16" s="26"/>
      <c r="P16" s="39" t="s">
        <v>33</v>
      </c>
      <c r="Q16" s="5"/>
      <c r="R16" s="5"/>
      <c r="S16" s="14"/>
    </row>
    <row r="17">
      <c r="A17" s="40" t="s">
        <v>11</v>
      </c>
      <c r="B17" s="41">
        <v>45520.0</v>
      </c>
      <c r="C17" s="42">
        <v>70000.0</v>
      </c>
      <c r="D17" s="42">
        <v>45000.0</v>
      </c>
      <c r="E17" s="43"/>
      <c r="F17" s="43"/>
      <c r="G17" s="43"/>
      <c r="H17" s="43"/>
      <c r="I17" s="44">
        <v>1.0</v>
      </c>
      <c r="J17" s="14"/>
      <c r="K17" s="15"/>
      <c r="L17" s="16">
        <v>70000.0</v>
      </c>
      <c r="M17" s="45"/>
      <c r="N17" s="26"/>
      <c r="O17" s="26"/>
      <c r="P17" s="38" t="s">
        <v>34</v>
      </c>
      <c r="Q17" s="5"/>
      <c r="R17" s="5"/>
      <c r="S17" s="14"/>
    </row>
    <row r="18">
      <c r="A18" s="8" t="s">
        <v>16</v>
      </c>
      <c r="B18" s="9">
        <v>45521.0</v>
      </c>
      <c r="C18" s="11">
        <v>60000.0</v>
      </c>
      <c r="D18" s="11">
        <v>38000.0</v>
      </c>
      <c r="E18" s="12"/>
      <c r="F18" s="12"/>
      <c r="G18" s="12"/>
      <c r="H18" s="12"/>
      <c r="I18" s="13">
        <v>1.0</v>
      </c>
      <c r="J18" s="14"/>
      <c r="K18" s="15"/>
      <c r="L18" s="16">
        <v>60000.0</v>
      </c>
      <c r="M18" s="46"/>
      <c r="N18" s="26"/>
      <c r="O18" s="45"/>
      <c r="P18" s="38"/>
      <c r="Q18" s="5"/>
      <c r="R18" s="5"/>
      <c r="S18" s="14"/>
    </row>
    <row r="19">
      <c r="A19" s="8" t="s">
        <v>17</v>
      </c>
      <c r="B19" s="9">
        <v>45522.0</v>
      </c>
      <c r="C19" s="11">
        <v>43000.0</v>
      </c>
      <c r="D19" s="11">
        <v>37000.0</v>
      </c>
      <c r="E19" s="12"/>
      <c r="F19" s="12"/>
      <c r="G19" s="12"/>
      <c r="H19" s="12"/>
      <c r="I19" s="13">
        <v>1.0</v>
      </c>
      <c r="J19" s="14"/>
      <c r="K19" s="15"/>
      <c r="L19" s="16">
        <v>43000.0</v>
      </c>
      <c r="M19" s="47" t="s">
        <v>35</v>
      </c>
      <c r="N19" s="26"/>
      <c r="O19" s="26"/>
      <c r="P19" s="48" t="s">
        <v>36</v>
      </c>
      <c r="Q19" s="5"/>
      <c r="R19" s="5"/>
      <c r="S19" s="14"/>
    </row>
    <row r="20">
      <c r="A20" s="8" t="s">
        <v>28</v>
      </c>
      <c r="B20" s="9">
        <v>45523.0</v>
      </c>
      <c r="C20" s="11">
        <v>34000.0</v>
      </c>
      <c r="D20" s="11">
        <v>32000.0</v>
      </c>
      <c r="E20" s="12"/>
      <c r="F20" s="12"/>
      <c r="G20" s="12"/>
      <c r="H20" s="12"/>
      <c r="I20" s="13">
        <v>1.0</v>
      </c>
      <c r="J20" s="14"/>
      <c r="K20" s="15"/>
      <c r="L20" s="16">
        <v>34000.0</v>
      </c>
      <c r="M20" s="10">
        <f>D33-C33</f>
        <v>-833000</v>
      </c>
      <c r="N20" s="26"/>
      <c r="O20" s="5"/>
      <c r="P20" s="45"/>
      <c r="Q20" s="5"/>
      <c r="R20" s="5"/>
      <c r="S20" s="14"/>
    </row>
    <row r="21">
      <c r="A21" s="8" t="s">
        <v>21</v>
      </c>
      <c r="B21" s="9">
        <v>45524.0</v>
      </c>
      <c r="C21" s="11">
        <v>100000.0</v>
      </c>
      <c r="D21" s="11">
        <v>15000.0</v>
      </c>
      <c r="E21" s="12"/>
      <c r="F21" s="12"/>
      <c r="G21" s="12"/>
      <c r="H21" s="12"/>
      <c r="I21" s="13">
        <v>1.0</v>
      </c>
      <c r="J21" s="14"/>
      <c r="K21" s="15"/>
      <c r="L21" s="16">
        <v>100000.0</v>
      </c>
      <c r="M21" s="49" t="s">
        <v>37</v>
      </c>
      <c r="N21" s="50"/>
      <c r="O21" s="51" t="s">
        <v>38</v>
      </c>
      <c r="P21" s="10">
        <v>1.0</v>
      </c>
      <c r="Q21" s="10">
        <v>8800.0</v>
      </c>
      <c r="R21" s="10">
        <f>P21*Q21</f>
        <v>8800</v>
      </c>
      <c r="S21" s="14"/>
    </row>
    <row r="22">
      <c r="A22" s="8" t="s">
        <v>31</v>
      </c>
      <c r="B22" s="9">
        <v>45525.0</v>
      </c>
      <c r="C22" s="11">
        <v>28000.0</v>
      </c>
      <c r="D22" s="11">
        <v>25000.0</v>
      </c>
      <c r="E22" s="12"/>
      <c r="F22" s="12"/>
      <c r="G22" s="12"/>
      <c r="H22" s="12"/>
      <c r="I22" s="13">
        <v>1.0</v>
      </c>
      <c r="J22" s="14"/>
      <c r="K22" s="15"/>
      <c r="L22" s="16">
        <v>28000.0</v>
      </c>
      <c r="M22" s="31">
        <f>K36-E36</f>
        <v>0</v>
      </c>
      <c r="N22" s="50"/>
      <c r="O22" s="51" t="s">
        <v>39</v>
      </c>
      <c r="P22" s="10">
        <v>4.0</v>
      </c>
      <c r="Q22" s="10">
        <v>400.0</v>
      </c>
      <c r="R22" s="10">
        <v>600.0</v>
      </c>
      <c r="S22" s="14"/>
    </row>
    <row r="23">
      <c r="A23" s="8" t="s">
        <v>10</v>
      </c>
      <c r="B23" s="9">
        <v>45526.0</v>
      </c>
      <c r="C23" s="11">
        <v>74000.0</v>
      </c>
      <c r="D23" s="11">
        <v>38000.0</v>
      </c>
      <c r="E23" s="12"/>
      <c r="F23" s="12"/>
      <c r="G23" s="12"/>
      <c r="H23" s="12"/>
      <c r="I23" s="13">
        <v>1.0</v>
      </c>
      <c r="J23" s="14"/>
      <c r="K23" s="15"/>
      <c r="L23" s="16">
        <v>74000.0</v>
      </c>
      <c r="M23" s="52" t="s">
        <v>40</v>
      </c>
      <c r="N23" s="50"/>
      <c r="O23" s="51" t="s">
        <v>41</v>
      </c>
      <c r="P23" s="10">
        <v>1.0</v>
      </c>
      <c r="Q23" s="10">
        <v>2800.0</v>
      </c>
      <c r="R23" s="10">
        <f>P23*Q23</f>
        <v>2800</v>
      </c>
      <c r="S23" s="14"/>
    </row>
    <row r="24">
      <c r="A24" s="40" t="s">
        <v>11</v>
      </c>
      <c r="B24" s="41">
        <v>45527.0</v>
      </c>
      <c r="C24" s="42">
        <v>49000.0</v>
      </c>
      <c r="D24" s="53">
        <v>146000.0</v>
      </c>
      <c r="E24" s="43"/>
      <c r="F24" s="43"/>
      <c r="G24" s="43"/>
      <c r="H24" s="43"/>
      <c r="I24" s="44">
        <v>1.0</v>
      </c>
      <c r="J24" s="14"/>
      <c r="K24" s="15"/>
      <c r="L24" s="16">
        <v>49000.0</v>
      </c>
      <c r="M24" s="37">
        <f>D33-C33</f>
        <v>-833000</v>
      </c>
      <c r="N24" s="26"/>
      <c r="O24" s="54"/>
      <c r="P24" s="55"/>
      <c r="Q24" s="56" t="s">
        <v>42</v>
      </c>
      <c r="R24" s="56">
        <v>1.0</v>
      </c>
      <c r="S24" s="57">
        <v>2000.0</v>
      </c>
      <c r="T24" s="58">
        <f>R24*S24</f>
        <v>2000</v>
      </c>
    </row>
    <row r="25">
      <c r="A25" s="8" t="s">
        <v>16</v>
      </c>
      <c r="B25" s="9">
        <v>45528.0</v>
      </c>
      <c r="C25" s="11">
        <v>52000.0</v>
      </c>
      <c r="D25" s="11">
        <v>38000.0</v>
      </c>
      <c r="E25" s="12"/>
      <c r="F25" s="12"/>
      <c r="G25" s="12"/>
      <c r="H25" s="12"/>
      <c r="I25" s="13">
        <v>1.0</v>
      </c>
      <c r="J25" s="14"/>
      <c r="K25" s="15"/>
      <c r="L25" s="16">
        <v>52000.0</v>
      </c>
      <c r="M25" s="33" t="s">
        <v>43</v>
      </c>
      <c r="N25" s="50"/>
      <c r="O25" s="59" t="s">
        <v>44</v>
      </c>
      <c r="P25" s="36"/>
      <c r="Q25" s="56"/>
      <c r="R25" s="56"/>
      <c r="S25" s="57"/>
      <c r="T25" s="58"/>
    </row>
    <row r="26">
      <c r="A26" s="8" t="s">
        <v>17</v>
      </c>
      <c r="B26" s="9">
        <v>45529.0</v>
      </c>
      <c r="C26" s="11">
        <v>73000.0</v>
      </c>
      <c r="D26" s="11">
        <v>48000.0</v>
      </c>
      <c r="E26" s="12"/>
      <c r="F26" s="12"/>
      <c r="G26" s="12"/>
      <c r="H26" s="12"/>
      <c r="I26" s="13">
        <v>1.0</v>
      </c>
      <c r="J26" s="14"/>
      <c r="K26" s="15"/>
      <c r="L26" s="16">
        <v>73000.0</v>
      </c>
      <c r="M26" s="31">
        <f>D9+D16+D23+D30</f>
        <v>540000</v>
      </c>
      <c r="N26" s="60"/>
      <c r="O26" s="51"/>
      <c r="P26" s="10"/>
      <c r="Q26" s="56" t="s">
        <v>45</v>
      </c>
      <c r="R26" s="56">
        <v>1.0</v>
      </c>
      <c r="S26" s="57">
        <v>21000.0</v>
      </c>
      <c r="T26" s="58">
        <f>R26*S26</f>
        <v>21000</v>
      </c>
    </row>
    <row r="27">
      <c r="A27" s="8" t="s">
        <v>28</v>
      </c>
      <c r="B27" s="9">
        <v>45530.0</v>
      </c>
      <c r="C27" s="11">
        <v>24000.0</v>
      </c>
      <c r="D27" s="11">
        <v>51000.0</v>
      </c>
      <c r="E27" s="12"/>
      <c r="F27" s="12"/>
      <c r="G27" s="12"/>
      <c r="H27" s="12"/>
      <c r="I27" s="13">
        <v>1.0</v>
      </c>
      <c r="J27" s="14"/>
      <c r="K27" s="15"/>
      <c r="L27" s="16">
        <v>24000.0</v>
      </c>
      <c r="M27" s="36"/>
      <c r="N27" s="60"/>
      <c r="O27" s="51"/>
      <c r="P27" s="10"/>
      <c r="Q27" s="5"/>
      <c r="R27" s="5"/>
      <c r="S27" s="5"/>
    </row>
    <row r="28">
      <c r="A28" s="8" t="s">
        <v>21</v>
      </c>
      <c r="B28" s="9">
        <v>45531.0</v>
      </c>
      <c r="C28" s="11">
        <v>73000.0</v>
      </c>
      <c r="D28" s="11">
        <v>39000.0</v>
      </c>
      <c r="E28" s="12"/>
      <c r="F28" s="12"/>
      <c r="G28" s="12"/>
      <c r="H28" s="12"/>
      <c r="I28" s="13">
        <v>1.0</v>
      </c>
      <c r="J28" s="14"/>
      <c r="K28" s="15"/>
      <c r="L28" s="16">
        <v>73000.0</v>
      </c>
      <c r="M28" s="29" t="s">
        <v>26</v>
      </c>
      <c r="N28" s="60"/>
      <c r="O28" s="51"/>
      <c r="P28" s="10"/>
      <c r="Q28" s="5"/>
      <c r="R28" s="5"/>
      <c r="S28" s="5"/>
    </row>
    <row r="29">
      <c r="A29" s="8" t="s">
        <v>46</v>
      </c>
      <c r="B29" s="9">
        <v>45532.0</v>
      </c>
      <c r="C29" s="11">
        <v>35000.0</v>
      </c>
      <c r="D29" s="11">
        <v>34000.0</v>
      </c>
      <c r="E29" s="12"/>
      <c r="F29" s="12"/>
      <c r="G29" s="12"/>
      <c r="H29" s="12"/>
      <c r="I29" s="13">
        <v>1.0</v>
      </c>
      <c r="J29" s="14"/>
      <c r="K29" s="15"/>
      <c r="L29" s="16">
        <v>35000.0</v>
      </c>
      <c r="M29" s="31">
        <v>51000.0</v>
      </c>
      <c r="N29" s="50"/>
      <c r="O29" s="51"/>
      <c r="P29" s="10"/>
      <c r="Q29" s="5"/>
      <c r="R29" s="5"/>
      <c r="S29" s="5"/>
    </row>
    <row r="30">
      <c r="A30" s="8" t="s">
        <v>10</v>
      </c>
      <c r="B30" s="9">
        <v>45533.0</v>
      </c>
      <c r="C30" s="11">
        <v>34000.0</v>
      </c>
      <c r="D30" s="53">
        <v>462000.0</v>
      </c>
      <c r="E30" s="12"/>
      <c r="F30" s="12"/>
      <c r="G30" s="12"/>
      <c r="H30" s="12"/>
      <c r="I30" s="13">
        <v>1.0</v>
      </c>
      <c r="J30" s="14"/>
      <c r="K30" s="15"/>
      <c r="L30" s="16">
        <v>34000.0</v>
      </c>
      <c r="M30" s="61" t="s">
        <v>47</v>
      </c>
      <c r="N30" s="60"/>
      <c r="O30" s="51"/>
      <c r="P30" s="10"/>
      <c r="Q30" s="5"/>
      <c r="R30" s="5"/>
      <c r="S30" s="5"/>
    </row>
    <row r="31">
      <c r="A31" s="40" t="s">
        <v>11</v>
      </c>
      <c r="B31" s="41">
        <v>45534.0</v>
      </c>
      <c r="C31" s="42">
        <v>50000.0</v>
      </c>
      <c r="D31" s="53">
        <v>53000.0</v>
      </c>
      <c r="E31" s="43"/>
      <c r="F31" s="43"/>
      <c r="G31" s="43"/>
      <c r="H31" s="43"/>
      <c r="I31" s="44">
        <v>1.0</v>
      </c>
      <c r="J31" s="14"/>
      <c r="K31" s="15"/>
      <c r="L31" s="16">
        <v>50000.0</v>
      </c>
      <c r="M31" s="36"/>
      <c r="N31" s="60"/>
      <c r="O31" s="15"/>
      <c r="P31" s="62"/>
      <c r="Q31" s="5"/>
      <c r="R31" s="5"/>
      <c r="S31" s="5"/>
    </row>
    <row r="32">
      <c r="A32" s="8" t="s">
        <v>48</v>
      </c>
      <c r="B32" s="9">
        <v>45535.0</v>
      </c>
      <c r="C32" s="11">
        <v>55000.0</v>
      </c>
      <c r="D32" s="53">
        <v>72000.0</v>
      </c>
      <c r="E32" s="12"/>
      <c r="F32" s="12"/>
      <c r="G32" s="12"/>
      <c r="H32" s="12"/>
      <c r="I32" s="63">
        <v>1.0</v>
      </c>
      <c r="J32" s="14"/>
      <c r="K32" s="15"/>
      <c r="L32" s="64">
        <v>55000.0</v>
      </c>
      <c r="M32" s="36"/>
      <c r="N32" s="60"/>
      <c r="O32" s="36"/>
      <c r="P32" s="65">
        <f>SUM(P26:P31)</f>
        <v>0</v>
      </c>
      <c r="Q32" s="5"/>
      <c r="R32" s="5"/>
      <c r="S32" s="5"/>
    </row>
    <row r="33">
      <c r="A33" s="5"/>
      <c r="B33" s="66"/>
      <c r="C33" s="67">
        <f t="shared" ref="C33:D33" si="1">SUM(C2:C32)</f>
        <v>2260000</v>
      </c>
      <c r="D33" s="67">
        <f t="shared" si="1"/>
        <v>1427000</v>
      </c>
      <c r="E33" s="67">
        <f>'Les Charges'!G302</f>
        <v>639829</v>
      </c>
      <c r="F33" s="67">
        <f>Salaire!K38</f>
        <v>305492.065</v>
      </c>
      <c r="G33" s="67">
        <v>150000.0</v>
      </c>
      <c r="H33" s="67">
        <f>D33-E33-F33-G33</f>
        <v>331678.935</v>
      </c>
      <c r="I33" s="68">
        <f>SUM(I2:I32)</f>
        <v>25</v>
      </c>
      <c r="J33" s="5"/>
      <c r="K33" s="15"/>
      <c r="L33" s="69">
        <f>SUM(L2:L32)</f>
        <v>2260000</v>
      </c>
      <c r="M33" s="36"/>
      <c r="N33" s="26"/>
      <c r="O33" s="26"/>
      <c r="P33" s="26"/>
      <c r="Q33" s="5"/>
      <c r="R33" s="5"/>
      <c r="S33" s="5"/>
    </row>
    <row r="34">
      <c r="A34" s="5"/>
      <c r="B34" s="70"/>
      <c r="C34" s="26"/>
      <c r="D34" s="26"/>
      <c r="E34" s="5"/>
      <c r="F34" s="5"/>
      <c r="G34" s="5"/>
      <c r="H34" s="5"/>
      <c r="I34" s="5"/>
      <c r="J34" s="5"/>
      <c r="K34" s="26"/>
      <c r="L34" s="26"/>
      <c r="M34" s="36"/>
      <c r="N34" s="26"/>
      <c r="O34" s="26"/>
      <c r="P34" s="5"/>
      <c r="Q34" s="5"/>
      <c r="R34" s="5"/>
      <c r="S34" s="5"/>
    </row>
    <row r="35">
      <c r="A35" s="5"/>
      <c r="B35" s="70"/>
      <c r="C35" s="26"/>
      <c r="D35" s="26"/>
      <c r="E35" s="26"/>
      <c r="F35" s="26"/>
      <c r="G35" s="26"/>
      <c r="H35" s="26"/>
      <c r="I35" s="5"/>
      <c r="J35" s="5"/>
      <c r="K35" s="26"/>
      <c r="L35" s="26"/>
      <c r="M35" s="31">
        <f>M11-M29-M34</f>
        <v>751171</v>
      </c>
      <c r="N35" s="5"/>
      <c r="O35" s="26"/>
      <c r="P35" s="5"/>
      <c r="Q35" s="5"/>
      <c r="R35" s="5"/>
      <c r="S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>
      <c r="A38" s="5"/>
      <c r="B38" s="5"/>
      <c r="C38" s="5"/>
      <c r="D38" s="5" t="s">
        <v>49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25.63"/>
    <col customWidth="1" min="3" max="3" width="25.25"/>
    <col customWidth="1" min="4" max="4" width="26.0"/>
    <col customWidth="1" min="5" max="5" width="36.13"/>
    <col customWidth="1" min="6" max="6" width="27.13"/>
    <col customWidth="1" min="7" max="7" width="24.88"/>
    <col customWidth="1" min="8" max="8" width="25.63"/>
    <col customWidth="1" min="9" max="9" width="26.38"/>
    <col customWidth="1" min="10" max="10" width="25.25"/>
    <col customWidth="1" min="11" max="11" width="24.88"/>
    <col customWidth="1" min="12" max="12" width="25.63"/>
    <col customWidth="1" min="13" max="13" width="26.38"/>
    <col customWidth="1" min="14" max="14" width="24.88"/>
    <col customWidth="1" min="15" max="15" width="26.0"/>
    <col customWidth="1" min="16" max="16" width="25.25"/>
    <col customWidth="1" min="17" max="17" width="45.63"/>
    <col customWidth="1" min="18" max="21" width="25.63"/>
    <col customWidth="1" min="22" max="22" width="24.88"/>
    <col customWidth="1" min="23" max="23" width="24.5"/>
    <col customWidth="1" min="24" max="24" width="54.13"/>
  </cols>
  <sheetData>
    <row r="1">
      <c r="A1" s="1"/>
      <c r="B1" s="2" t="s">
        <v>0</v>
      </c>
      <c r="C1" s="71" t="s">
        <v>50</v>
      </c>
      <c r="D1" s="72" t="s">
        <v>51</v>
      </c>
      <c r="E1" s="4" t="s">
        <v>52</v>
      </c>
      <c r="F1" s="4" t="s">
        <v>53</v>
      </c>
      <c r="G1" s="3" t="s">
        <v>54</v>
      </c>
      <c r="H1" s="4" t="s">
        <v>55</v>
      </c>
      <c r="I1" s="3" t="s">
        <v>56</v>
      </c>
      <c r="J1" s="4" t="s">
        <v>57</v>
      </c>
      <c r="K1" s="4" t="s">
        <v>58</v>
      </c>
      <c r="L1" s="3" t="s">
        <v>59</v>
      </c>
      <c r="M1" s="4" t="s">
        <v>60</v>
      </c>
      <c r="N1" s="3" t="s">
        <v>61</v>
      </c>
      <c r="O1" s="4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4" t="s">
        <v>68</v>
      </c>
      <c r="V1" s="4" t="s">
        <v>69</v>
      </c>
      <c r="W1" s="4" t="s">
        <v>70</v>
      </c>
      <c r="X1" s="73"/>
      <c r="Y1" s="5"/>
      <c r="Z1" s="5"/>
    </row>
    <row r="2">
      <c r="A2" s="8" t="s">
        <v>10</v>
      </c>
      <c r="B2" s="9">
        <v>45505.0</v>
      </c>
      <c r="C2" s="8">
        <v>0.0</v>
      </c>
      <c r="D2" s="25">
        <v>1.0</v>
      </c>
      <c r="E2" s="13">
        <v>1.0</v>
      </c>
      <c r="F2" s="13">
        <v>1.0</v>
      </c>
      <c r="G2" s="13">
        <v>0.0</v>
      </c>
      <c r="H2" s="13">
        <v>1.5</v>
      </c>
      <c r="I2" s="13">
        <v>0.0</v>
      </c>
      <c r="J2" s="13">
        <v>1.5</v>
      </c>
      <c r="K2" s="13">
        <v>0.0</v>
      </c>
      <c r="L2" s="13">
        <v>0.0</v>
      </c>
      <c r="M2" s="13">
        <v>3.0</v>
      </c>
      <c r="N2" s="13">
        <v>0.0</v>
      </c>
      <c r="O2" s="13">
        <v>1.5</v>
      </c>
      <c r="P2" s="13">
        <v>0.0</v>
      </c>
      <c r="Q2" s="13">
        <v>0.0</v>
      </c>
      <c r="R2" s="13">
        <v>0.0</v>
      </c>
      <c r="S2" s="13">
        <v>0.0</v>
      </c>
      <c r="T2" s="13">
        <v>0.0</v>
      </c>
      <c r="U2" s="13">
        <v>1.0</v>
      </c>
      <c r="V2" s="13">
        <v>1.0</v>
      </c>
      <c r="W2" s="13">
        <v>1.0</v>
      </c>
      <c r="X2" s="74" t="s">
        <v>71</v>
      </c>
      <c r="Y2" s="14"/>
      <c r="Z2" s="5"/>
    </row>
    <row r="3">
      <c r="A3" s="40" t="s">
        <v>11</v>
      </c>
      <c r="B3" s="41">
        <v>45506.0</v>
      </c>
      <c r="C3" s="40">
        <v>0.0</v>
      </c>
      <c r="D3" s="25">
        <v>1.0</v>
      </c>
      <c r="E3" s="44">
        <v>1.0</v>
      </c>
      <c r="F3" s="44">
        <v>0.0</v>
      </c>
      <c r="G3" s="44">
        <v>0.0</v>
      </c>
      <c r="H3" s="44">
        <v>1.0</v>
      </c>
      <c r="I3" s="44">
        <v>0.0</v>
      </c>
      <c r="J3" s="44">
        <v>1.5</v>
      </c>
      <c r="K3" s="44">
        <v>2.0</v>
      </c>
      <c r="L3" s="44">
        <v>0.0</v>
      </c>
      <c r="M3" s="44">
        <v>1.0</v>
      </c>
      <c r="N3" s="44">
        <v>0.0</v>
      </c>
      <c r="O3" s="44">
        <v>1.0</v>
      </c>
      <c r="P3" s="44">
        <v>0.0</v>
      </c>
      <c r="Q3" s="44">
        <v>0.0</v>
      </c>
      <c r="R3" s="44">
        <v>0.0</v>
      </c>
      <c r="S3" s="44">
        <v>0.0</v>
      </c>
      <c r="T3" s="44">
        <v>0.0</v>
      </c>
      <c r="U3" s="44">
        <v>0.0</v>
      </c>
      <c r="V3" s="44">
        <v>1.0</v>
      </c>
      <c r="W3" s="44">
        <v>1.0</v>
      </c>
      <c r="X3" s="75"/>
      <c r="Y3" s="14"/>
      <c r="Z3" s="5"/>
    </row>
    <row r="4">
      <c r="A4" s="20" t="s">
        <v>16</v>
      </c>
      <c r="B4" s="21">
        <v>45507.0</v>
      </c>
      <c r="C4" s="20">
        <v>0.0</v>
      </c>
      <c r="D4" s="25">
        <v>1.0</v>
      </c>
      <c r="E4" s="25">
        <v>0.0</v>
      </c>
      <c r="F4" s="25">
        <v>0.0</v>
      </c>
      <c r="G4" s="25">
        <v>0.0</v>
      </c>
      <c r="H4" s="25">
        <v>0.0</v>
      </c>
      <c r="I4" s="25">
        <v>0.0</v>
      </c>
      <c r="J4" s="25">
        <v>1.0</v>
      </c>
      <c r="K4" s="25">
        <v>2.0</v>
      </c>
      <c r="L4" s="25">
        <v>0.0</v>
      </c>
      <c r="M4" s="25">
        <v>0.0</v>
      </c>
      <c r="N4" s="25">
        <v>0.0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0.0</v>
      </c>
      <c r="U4" s="25">
        <v>0.0</v>
      </c>
      <c r="V4" s="25">
        <v>0.0</v>
      </c>
      <c r="W4" s="25">
        <v>0.0</v>
      </c>
      <c r="X4" s="76"/>
      <c r="Y4" s="14"/>
      <c r="Z4" s="5"/>
    </row>
    <row r="5">
      <c r="A5" s="20" t="s">
        <v>17</v>
      </c>
      <c r="B5" s="21">
        <v>45508.0</v>
      </c>
      <c r="C5" s="20">
        <v>0.0</v>
      </c>
      <c r="D5" s="25">
        <v>1.0</v>
      </c>
      <c r="E5" s="25">
        <v>0.0</v>
      </c>
      <c r="F5" s="25">
        <v>0.0</v>
      </c>
      <c r="G5" s="25">
        <v>0.0</v>
      </c>
      <c r="H5" s="25">
        <v>0.0</v>
      </c>
      <c r="I5" s="25">
        <v>0.0</v>
      </c>
      <c r="J5" s="25">
        <v>1.0</v>
      </c>
      <c r="K5" s="25">
        <v>0.0</v>
      </c>
      <c r="L5" s="25">
        <v>0.0</v>
      </c>
      <c r="M5" s="25">
        <v>0.0</v>
      </c>
      <c r="N5" s="25">
        <v>0.0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/>
      <c r="U5" s="25">
        <v>0.0</v>
      </c>
      <c r="V5" s="25">
        <v>0.0</v>
      </c>
      <c r="W5" s="25">
        <v>0.0</v>
      </c>
      <c r="X5" s="77"/>
      <c r="Y5" s="14"/>
      <c r="Z5" s="5"/>
    </row>
    <row r="6">
      <c r="A6" s="20" t="s">
        <v>18</v>
      </c>
      <c r="B6" s="21">
        <v>45509.0</v>
      </c>
      <c r="C6" s="20">
        <v>0.0</v>
      </c>
      <c r="D6" s="25">
        <v>1.0</v>
      </c>
      <c r="E6" s="25">
        <v>0.0</v>
      </c>
      <c r="F6" s="25">
        <v>0.0</v>
      </c>
      <c r="G6" s="25">
        <v>0.0</v>
      </c>
      <c r="H6" s="25">
        <v>0.0</v>
      </c>
      <c r="I6" s="25">
        <v>0.0</v>
      </c>
      <c r="J6" s="25">
        <v>1.0</v>
      </c>
      <c r="K6" s="25">
        <v>0.0</v>
      </c>
      <c r="L6" s="25">
        <v>0.0</v>
      </c>
      <c r="M6" s="25">
        <v>0.0</v>
      </c>
      <c r="N6" s="25">
        <v>0.0</v>
      </c>
      <c r="O6" s="25">
        <v>0.0</v>
      </c>
      <c r="P6" s="25">
        <v>0.0</v>
      </c>
      <c r="Q6" s="25">
        <v>0.0</v>
      </c>
      <c r="R6" s="25">
        <v>0.0</v>
      </c>
      <c r="S6" s="25">
        <v>0.0</v>
      </c>
      <c r="T6" s="25">
        <v>0.0</v>
      </c>
      <c r="U6" s="25">
        <v>0.0</v>
      </c>
      <c r="V6" s="25">
        <v>0.0</v>
      </c>
      <c r="W6" s="25">
        <v>0.0</v>
      </c>
      <c r="X6" s="77"/>
      <c r="Y6" s="14"/>
      <c r="Z6" s="5"/>
    </row>
    <row r="7">
      <c r="A7" s="20" t="s">
        <v>21</v>
      </c>
      <c r="B7" s="21">
        <v>45510.0</v>
      </c>
      <c r="C7" s="20">
        <v>0.0</v>
      </c>
      <c r="D7" s="25">
        <v>1.0</v>
      </c>
      <c r="E7" s="25">
        <v>0.0</v>
      </c>
      <c r="F7" s="25">
        <v>0.0</v>
      </c>
      <c r="G7" s="25">
        <v>0.0</v>
      </c>
      <c r="H7" s="25">
        <v>0.0</v>
      </c>
      <c r="I7" s="25">
        <v>0.0</v>
      </c>
      <c r="J7" s="25">
        <v>1.0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25">
        <v>0.0</v>
      </c>
      <c r="X7" s="77"/>
      <c r="Y7" s="14"/>
      <c r="Z7" s="5"/>
    </row>
    <row r="8">
      <c r="A8" s="20" t="s">
        <v>22</v>
      </c>
      <c r="B8" s="21">
        <v>45511.0</v>
      </c>
      <c r="C8" s="20">
        <v>0.0</v>
      </c>
      <c r="D8" s="25">
        <v>1.0</v>
      </c>
      <c r="E8" s="25">
        <v>0.0</v>
      </c>
      <c r="F8" s="25">
        <v>0.0</v>
      </c>
      <c r="G8" s="25">
        <v>0.0</v>
      </c>
      <c r="H8" s="25">
        <v>0.0</v>
      </c>
      <c r="I8" s="25">
        <v>0.0</v>
      </c>
      <c r="J8" s="25">
        <v>1.0</v>
      </c>
      <c r="K8" s="25">
        <v>0.0</v>
      </c>
      <c r="L8" s="25">
        <v>0.0</v>
      </c>
      <c r="M8" s="25">
        <v>0.0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0.0</v>
      </c>
      <c r="V8" s="25">
        <v>0.0</v>
      </c>
      <c r="W8" s="25">
        <v>0.0</v>
      </c>
      <c r="X8" s="77"/>
      <c r="Y8" s="14"/>
      <c r="Z8" s="5"/>
    </row>
    <row r="9">
      <c r="A9" s="20" t="s">
        <v>10</v>
      </c>
      <c r="B9" s="21">
        <v>45512.0</v>
      </c>
      <c r="C9" s="20">
        <v>0.0</v>
      </c>
      <c r="D9" s="25">
        <v>1.0</v>
      </c>
      <c r="E9" s="25">
        <v>0.0</v>
      </c>
      <c r="F9" s="25">
        <v>0.0</v>
      </c>
      <c r="G9" s="25">
        <v>0.0</v>
      </c>
      <c r="H9" s="25">
        <v>0.0</v>
      </c>
      <c r="I9" s="25">
        <v>0.0</v>
      </c>
      <c r="J9" s="25">
        <v>1.0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25">
        <v>0.0</v>
      </c>
      <c r="X9" s="77"/>
      <c r="Y9" s="14"/>
      <c r="Z9" s="5"/>
    </row>
    <row r="10">
      <c r="A10" s="20" t="s">
        <v>11</v>
      </c>
      <c r="B10" s="21">
        <v>45513.0</v>
      </c>
      <c r="C10" s="20">
        <v>0.0</v>
      </c>
      <c r="D10" s="25">
        <v>1.0</v>
      </c>
      <c r="E10" s="25">
        <v>0.0</v>
      </c>
      <c r="F10" s="25">
        <v>0.0</v>
      </c>
      <c r="G10" s="25">
        <v>0.0</v>
      </c>
      <c r="H10" s="25">
        <v>0.0</v>
      </c>
      <c r="I10" s="25">
        <v>0.0</v>
      </c>
      <c r="J10" s="25">
        <v>1.0</v>
      </c>
      <c r="K10" s="25">
        <v>0.0</v>
      </c>
      <c r="L10" s="25">
        <v>0.0</v>
      </c>
      <c r="M10" s="25">
        <v>0.0</v>
      </c>
      <c r="N10" s="25">
        <v>0.0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  <c r="T10" s="25">
        <v>0.0</v>
      </c>
      <c r="U10" s="25">
        <v>0.0</v>
      </c>
      <c r="V10" s="25">
        <v>0.0</v>
      </c>
      <c r="W10" s="25">
        <v>0.0</v>
      </c>
      <c r="X10" s="77"/>
      <c r="Y10" s="14"/>
      <c r="Z10" s="5"/>
    </row>
    <row r="11">
      <c r="A11" s="8" t="s">
        <v>16</v>
      </c>
      <c r="B11" s="9">
        <v>45514.0</v>
      </c>
      <c r="C11" s="8">
        <v>0.0</v>
      </c>
      <c r="D11" s="25">
        <v>1.0</v>
      </c>
      <c r="E11" s="13">
        <v>1.3</v>
      </c>
      <c r="F11" s="13">
        <v>0.0</v>
      </c>
      <c r="G11" s="13">
        <v>0.0</v>
      </c>
      <c r="H11" s="13">
        <v>2.0</v>
      </c>
      <c r="I11" s="13">
        <v>0.0</v>
      </c>
      <c r="J11" s="25">
        <v>1.0</v>
      </c>
      <c r="K11" s="13">
        <v>0.0</v>
      </c>
      <c r="L11" s="13">
        <v>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3"/>
      <c r="S11" s="13">
        <v>0.0</v>
      </c>
      <c r="T11" s="13">
        <v>0.0</v>
      </c>
      <c r="U11" s="13">
        <v>1.0</v>
      </c>
      <c r="V11" s="13">
        <v>0.0</v>
      </c>
      <c r="W11" s="13">
        <v>0.0</v>
      </c>
      <c r="X11" s="78"/>
      <c r="Y11" s="14"/>
      <c r="Z11" s="5"/>
    </row>
    <row r="12">
      <c r="A12" s="8" t="s">
        <v>17</v>
      </c>
      <c r="B12" s="9">
        <v>45515.0</v>
      </c>
      <c r="C12" s="8">
        <v>0.0</v>
      </c>
      <c r="D12" s="13">
        <v>0.0</v>
      </c>
      <c r="E12" s="13">
        <v>1.3</v>
      </c>
      <c r="F12" s="13">
        <v>0.0</v>
      </c>
      <c r="G12" s="13">
        <v>0.0</v>
      </c>
      <c r="H12" s="13">
        <v>2.0</v>
      </c>
      <c r="I12" s="13">
        <v>0.0</v>
      </c>
      <c r="J12" s="25">
        <v>1.0</v>
      </c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13">
        <v>0.0</v>
      </c>
      <c r="Q12" s="13">
        <v>1.0</v>
      </c>
      <c r="R12" s="13">
        <v>0.0</v>
      </c>
      <c r="S12" s="13">
        <v>0.0</v>
      </c>
      <c r="T12" s="13">
        <v>0.0</v>
      </c>
      <c r="U12" s="13">
        <v>1.0</v>
      </c>
      <c r="V12" s="13">
        <v>0.0</v>
      </c>
      <c r="W12" s="13">
        <v>0.0</v>
      </c>
      <c r="X12" s="78"/>
      <c r="Y12" s="14"/>
      <c r="Z12" s="5"/>
    </row>
    <row r="13">
      <c r="A13" s="8" t="s">
        <v>28</v>
      </c>
      <c r="B13" s="9">
        <v>45516.0</v>
      </c>
      <c r="C13" s="8">
        <v>0.0</v>
      </c>
      <c r="D13" s="13">
        <v>0.0</v>
      </c>
      <c r="E13" s="13">
        <v>1.3</v>
      </c>
      <c r="F13" s="13">
        <v>0.0</v>
      </c>
      <c r="G13" s="13">
        <v>0.0</v>
      </c>
      <c r="H13" s="13">
        <v>2.0</v>
      </c>
      <c r="I13" s="13">
        <v>0.0</v>
      </c>
      <c r="J13" s="25">
        <v>1.0</v>
      </c>
      <c r="K13" s="13">
        <v>1.0</v>
      </c>
      <c r="L13" s="13">
        <v>0.0</v>
      </c>
      <c r="M13" s="13">
        <v>0.0</v>
      </c>
      <c r="N13" s="13">
        <v>0.0</v>
      </c>
      <c r="O13" s="13">
        <v>0.0</v>
      </c>
      <c r="P13" s="13">
        <v>0.0</v>
      </c>
      <c r="Q13" s="13">
        <v>1.0</v>
      </c>
      <c r="R13" s="13">
        <v>0.0</v>
      </c>
      <c r="S13" s="13">
        <v>0.0</v>
      </c>
      <c r="T13" s="13">
        <v>0.0</v>
      </c>
      <c r="U13" s="13">
        <v>1.0</v>
      </c>
      <c r="V13" s="13">
        <v>0.0</v>
      </c>
      <c r="W13" s="13">
        <v>0.0</v>
      </c>
      <c r="X13" s="78"/>
      <c r="Y13" s="14"/>
      <c r="Z13" s="5"/>
    </row>
    <row r="14">
      <c r="A14" s="8" t="s">
        <v>21</v>
      </c>
      <c r="B14" s="9">
        <v>45517.0</v>
      </c>
      <c r="C14" s="8">
        <v>0.0</v>
      </c>
      <c r="D14" s="13">
        <v>0.0</v>
      </c>
      <c r="E14" s="13">
        <v>2.0</v>
      </c>
      <c r="F14" s="13">
        <v>0.0</v>
      </c>
      <c r="G14" s="13">
        <v>0.0</v>
      </c>
      <c r="H14" s="13">
        <v>2.0</v>
      </c>
      <c r="I14" s="13">
        <v>0.0</v>
      </c>
      <c r="J14" s="25">
        <v>1.0</v>
      </c>
      <c r="K14" s="13">
        <v>0.0</v>
      </c>
      <c r="L14" s="13">
        <v>0.0</v>
      </c>
      <c r="M14" s="13">
        <v>0.0</v>
      </c>
      <c r="N14" s="13">
        <v>0.0</v>
      </c>
      <c r="O14" s="13">
        <v>0.0</v>
      </c>
      <c r="P14" s="13">
        <v>0.0</v>
      </c>
      <c r="Q14" s="13">
        <v>0.0</v>
      </c>
      <c r="R14" s="13">
        <v>0.0</v>
      </c>
      <c r="S14" s="13">
        <v>0.0</v>
      </c>
      <c r="T14" s="13">
        <v>0.0</v>
      </c>
      <c r="U14" s="13">
        <v>0.0</v>
      </c>
      <c r="V14" s="13">
        <v>0.0</v>
      </c>
      <c r="W14" s="13">
        <v>0.0</v>
      </c>
      <c r="X14" s="78"/>
      <c r="Y14" s="14"/>
      <c r="Z14" s="5"/>
    </row>
    <row r="15">
      <c r="A15" s="8" t="s">
        <v>31</v>
      </c>
      <c r="B15" s="9">
        <v>45518.0</v>
      </c>
      <c r="C15" s="8">
        <v>0.0</v>
      </c>
      <c r="D15" s="13">
        <v>0.0</v>
      </c>
      <c r="E15" s="13">
        <v>1.5</v>
      </c>
      <c r="F15" s="13">
        <v>0.0</v>
      </c>
      <c r="G15" s="13">
        <v>0.0</v>
      </c>
      <c r="H15" s="13">
        <v>1.5</v>
      </c>
      <c r="I15" s="13">
        <v>0.0</v>
      </c>
      <c r="J15" s="25">
        <v>1.0</v>
      </c>
      <c r="K15" s="13">
        <v>1.0</v>
      </c>
      <c r="L15" s="13">
        <v>1.0</v>
      </c>
      <c r="M15" s="13">
        <v>0.0</v>
      </c>
      <c r="N15" s="13">
        <v>0.0</v>
      </c>
      <c r="O15" s="13">
        <v>0.0</v>
      </c>
      <c r="P15" s="13">
        <v>0.0</v>
      </c>
      <c r="Q15" s="13">
        <v>0.0</v>
      </c>
      <c r="R15" s="13">
        <v>0.0</v>
      </c>
      <c r="S15" s="13">
        <v>0.0</v>
      </c>
      <c r="T15" s="13">
        <v>0.0</v>
      </c>
      <c r="U15" s="13">
        <v>0.0</v>
      </c>
      <c r="V15" s="13">
        <v>0.0</v>
      </c>
      <c r="W15" s="13">
        <v>0.0</v>
      </c>
      <c r="X15" s="78"/>
      <c r="Y15" s="14"/>
      <c r="Z15" s="5"/>
    </row>
    <row r="16">
      <c r="A16" s="8" t="s">
        <v>10</v>
      </c>
      <c r="B16" s="9">
        <v>45519.0</v>
      </c>
      <c r="C16" s="79">
        <v>0.0</v>
      </c>
      <c r="D16" s="80">
        <v>0.0</v>
      </c>
      <c r="E16" s="80">
        <v>2.0</v>
      </c>
      <c r="F16" s="80">
        <v>0.0</v>
      </c>
      <c r="G16" s="80">
        <v>1.0</v>
      </c>
      <c r="H16" s="80">
        <v>1.0</v>
      </c>
      <c r="I16" s="13">
        <v>1.0</v>
      </c>
      <c r="J16" s="81">
        <v>1.0</v>
      </c>
      <c r="K16" s="13">
        <v>0.0</v>
      </c>
      <c r="L16" s="13">
        <v>1.0</v>
      </c>
      <c r="M16" s="13">
        <v>0.0</v>
      </c>
      <c r="N16" s="13">
        <v>0.0</v>
      </c>
      <c r="O16" s="13">
        <v>0.0</v>
      </c>
      <c r="P16" s="13">
        <v>0.0</v>
      </c>
      <c r="Q16" s="13">
        <v>1.0</v>
      </c>
      <c r="R16" s="13">
        <v>0.0</v>
      </c>
      <c r="S16" s="13">
        <v>0.0</v>
      </c>
      <c r="T16" s="13">
        <v>0.0</v>
      </c>
      <c r="U16" s="13">
        <v>0.0</v>
      </c>
      <c r="V16" s="13">
        <v>0.0</v>
      </c>
      <c r="W16" s="13">
        <v>0.0</v>
      </c>
      <c r="X16" s="78"/>
      <c r="Y16" s="14"/>
      <c r="Z16" s="5"/>
    </row>
    <row r="17">
      <c r="A17" s="40" t="s">
        <v>11</v>
      </c>
      <c r="B17" s="41">
        <v>45520.0</v>
      </c>
      <c r="C17" s="40">
        <v>0.0</v>
      </c>
      <c r="D17" s="44">
        <v>0.0</v>
      </c>
      <c r="E17" s="44">
        <v>1.0</v>
      </c>
      <c r="F17" s="44">
        <v>0.0</v>
      </c>
      <c r="G17" s="44">
        <v>0.0</v>
      </c>
      <c r="H17" s="44">
        <v>1.0</v>
      </c>
      <c r="I17" s="44">
        <v>0.0</v>
      </c>
      <c r="J17" s="25">
        <v>1.0</v>
      </c>
      <c r="K17" s="44">
        <v>0.0</v>
      </c>
      <c r="L17" s="44">
        <v>0.0</v>
      </c>
      <c r="M17" s="44">
        <v>0.0</v>
      </c>
      <c r="N17" s="44">
        <v>1.0</v>
      </c>
      <c r="O17" s="44">
        <v>0.0</v>
      </c>
      <c r="P17" s="44">
        <v>1.0</v>
      </c>
      <c r="Q17" s="44">
        <v>1.0</v>
      </c>
      <c r="R17" s="44">
        <v>0.0</v>
      </c>
      <c r="S17" s="44">
        <v>0.0</v>
      </c>
      <c r="T17" s="44">
        <v>0.0</v>
      </c>
      <c r="U17" s="44">
        <v>0.0</v>
      </c>
      <c r="V17" s="44">
        <v>0.0</v>
      </c>
      <c r="W17" s="44">
        <v>0.0</v>
      </c>
      <c r="X17" s="75"/>
      <c r="Y17" s="14"/>
      <c r="Z17" s="5"/>
    </row>
    <row r="18">
      <c r="A18" s="8" t="s">
        <v>16</v>
      </c>
      <c r="B18" s="9">
        <v>45521.0</v>
      </c>
      <c r="C18" s="8">
        <v>0.0</v>
      </c>
      <c r="D18" s="13">
        <v>0.0</v>
      </c>
      <c r="E18" s="13">
        <v>1.3</v>
      </c>
      <c r="F18" s="13">
        <v>0.0</v>
      </c>
      <c r="G18" s="13">
        <v>1.0</v>
      </c>
      <c r="H18" s="13">
        <v>1.3</v>
      </c>
      <c r="I18" s="13">
        <v>1.0</v>
      </c>
      <c r="J18" s="25">
        <v>1.0</v>
      </c>
      <c r="K18" s="13">
        <v>0.0</v>
      </c>
      <c r="L18" s="13">
        <v>1.0</v>
      </c>
      <c r="M18" s="13">
        <v>0.0</v>
      </c>
      <c r="N18" s="13">
        <v>0.0</v>
      </c>
      <c r="O18" s="13">
        <v>0.0</v>
      </c>
      <c r="P18" s="13">
        <v>1.0</v>
      </c>
      <c r="Q18" s="13">
        <v>0.0</v>
      </c>
      <c r="R18" s="13">
        <v>0.0</v>
      </c>
      <c r="S18" s="13">
        <v>0.0</v>
      </c>
      <c r="T18" s="13">
        <v>0.0</v>
      </c>
      <c r="U18" s="13">
        <v>0.0</v>
      </c>
      <c r="V18" s="13">
        <v>0.0</v>
      </c>
      <c r="W18" s="13">
        <v>0.0</v>
      </c>
      <c r="X18" s="78"/>
      <c r="Y18" s="14"/>
      <c r="Z18" s="5"/>
    </row>
    <row r="19">
      <c r="A19" s="8" t="s">
        <v>17</v>
      </c>
      <c r="B19" s="9">
        <v>45522.0</v>
      </c>
      <c r="C19" s="8">
        <v>0.0</v>
      </c>
      <c r="D19" s="13">
        <v>0.0</v>
      </c>
      <c r="E19" s="13">
        <v>1.3</v>
      </c>
      <c r="F19" s="13">
        <v>0.0</v>
      </c>
      <c r="G19" s="13">
        <v>1.0</v>
      </c>
      <c r="H19" s="13">
        <v>1.3</v>
      </c>
      <c r="I19" s="13">
        <v>1.0</v>
      </c>
      <c r="J19" s="13">
        <v>0.0</v>
      </c>
      <c r="K19" s="13">
        <v>0.0</v>
      </c>
      <c r="L19" s="13">
        <v>1.0</v>
      </c>
      <c r="M19" s="13">
        <v>0.0</v>
      </c>
      <c r="N19" s="13">
        <v>0.0</v>
      </c>
      <c r="O19" s="13">
        <v>0.0</v>
      </c>
      <c r="P19" s="13">
        <v>1.0</v>
      </c>
      <c r="Q19" s="13">
        <v>2.0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78"/>
      <c r="Y19" s="14"/>
      <c r="Z19" s="5"/>
    </row>
    <row r="20">
      <c r="A20" s="8" t="s">
        <v>28</v>
      </c>
      <c r="B20" s="9">
        <v>45523.0</v>
      </c>
      <c r="C20" s="8">
        <v>0.0</v>
      </c>
      <c r="D20" s="13">
        <v>0.0</v>
      </c>
      <c r="E20" s="13">
        <v>1.0</v>
      </c>
      <c r="F20" s="13">
        <v>0.0</v>
      </c>
      <c r="G20" s="13">
        <v>1.0</v>
      </c>
      <c r="H20" s="13">
        <v>1.3</v>
      </c>
      <c r="I20" s="13">
        <v>1.0</v>
      </c>
      <c r="J20" s="13">
        <v>0.0</v>
      </c>
      <c r="K20" s="13">
        <v>0.0</v>
      </c>
      <c r="L20" s="13">
        <v>1.0</v>
      </c>
      <c r="M20" s="13">
        <v>0.0</v>
      </c>
      <c r="N20" s="13">
        <v>0.0</v>
      </c>
      <c r="O20" s="13">
        <v>0.0</v>
      </c>
      <c r="P20" s="13">
        <v>1.0</v>
      </c>
      <c r="Q20" s="13">
        <v>1.0</v>
      </c>
      <c r="R20" s="13">
        <v>0.0</v>
      </c>
      <c r="S20" s="13">
        <v>0.0</v>
      </c>
      <c r="T20" s="13">
        <v>0.0</v>
      </c>
      <c r="U20" s="13">
        <v>0.0</v>
      </c>
      <c r="V20" s="13">
        <v>0.0</v>
      </c>
      <c r="W20" s="13">
        <v>0.0</v>
      </c>
      <c r="X20" s="78"/>
      <c r="Y20" s="14"/>
      <c r="Z20" s="5"/>
    </row>
    <row r="21">
      <c r="A21" s="8" t="s">
        <v>21</v>
      </c>
      <c r="B21" s="9">
        <v>45524.0</v>
      </c>
      <c r="C21" s="8">
        <v>0.0</v>
      </c>
      <c r="D21" s="13">
        <v>0.0</v>
      </c>
      <c r="E21" s="13">
        <v>1.3</v>
      </c>
      <c r="F21" s="13">
        <v>0.0</v>
      </c>
      <c r="G21" s="13">
        <v>1.0</v>
      </c>
      <c r="H21" s="13">
        <v>1.3</v>
      </c>
      <c r="I21" s="13">
        <v>1.0</v>
      </c>
      <c r="J21" s="13">
        <v>0.0</v>
      </c>
      <c r="K21" s="13">
        <v>0.0</v>
      </c>
      <c r="L21" s="13">
        <v>1.0</v>
      </c>
      <c r="M21" s="13">
        <v>0.0</v>
      </c>
      <c r="N21" s="13">
        <v>0.0</v>
      </c>
      <c r="O21" s="13">
        <v>0.0</v>
      </c>
      <c r="P21" s="13">
        <v>0.0</v>
      </c>
      <c r="Q21" s="13">
        <v>1.0</v>
      </c>
      <c r="R21" s="13">
        <v>0.0</v>
      </c>
      <c r="S21" s="13">
        <v>0.0</v>
      </c>
      <c r="T21" s="13">
        <v>0.0</v>
      </c>
      <c r="U21" s="13">
        <v>0.0</v>
      </c>
      <c r="V21" s="13">
        <v>0.0</v>
      </c>
      <c r="W21" s="13">
        <v>1.0</v>
      </c>
      <c r="X21" s="78"/>
      <c r="Y21" s="14"/>
      <c r="Z21" s="5"/>
    </row>
    <row r="22">
      <c r="A22" s="8" t="s">
        <v>31</v>
      </c>
      <c r="B22" s="9">
        <v>45525.0</v>
      </c>
      <c r="C22" s="8">
        <v>0.0</v>
      </c>
      <c r="D22" s="13">
        <v>0.0</v>
      </c>
      <c r="E22" s="13">
        <v>1.0</v>
      </c>
      <c r="F22" s="13">
        <v>0.0</v>
      </c>
      <c r="G22" s="13">
        <v>1.0</v>
      </c>
      <c r="H22" s="13">
        <v>1.0</v>
      </c>
      <c r="I22" s="13">
        <v>1.0</v>
      </c>
      <c r="J22" s="13">
        <v>0.0</v>
      </c>
      <c r="K22" s="13">
        <v>0.0</v>
      </c>
      <c r="L22" s="13">
        <v>1.0</v>
      </c>
      <c r="M22" s="13">
        <v>0.0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0.0</v>
      </c>
      <c r="V22" s="13">
        <v>0.0</v>
      </c>
      <c r="W22" s="13">
        <v>0.0</v>
      </c>
      <c r="X22" s="78"/>
      <c r="Y22" s="14"/>
      <c r="Z22" s="5"/>
    </row>
    <row r="23">
      <c r="A23" s="8" t="s">
        <v>10</v>
      </c>
      <c r="B23" s="9">
        <v>45526.0</v>
      </c>
      <c r="C23" s="8">
        <v>0.0</v>
      </c>
      <c r="D23" s="13">
        <v>0.0</v>
      </c>
      <c r="E23" s="13">
        <v>1.5</v>
      </c>
      <c r="F23" s="13">
        <v>0.0</v>
      </c>
      <c r="G23" s="13">
        <v>1.0</v>
      </c>
      <c r="H23" s="13">
        <v>1.5</v>
      </c>
      <c r="I23" s="13">
        <v>1.0</v>
      </c>
      <c r="J23" s="13">
        <v>0.0</v>
      </c>
      <c r="K23" s="13">
        <v>0.0</v>
      </c>
      <c r="L23" s="13">
        <v>1.0</v>
      </c>
      <c r="M23" s="13">
        <v>0.0</v>
      </c>
      <c r="N23" s="13">
        <v>0.0</v>
      </c>
      <c r="O23" s="13">
        <v>0.0</v>
      </c>
      <c r="P23" s="13">
        <v>0.0</v>
      </c>
      <c r="Q23" s="13">
        <v>1.0</v>
      </c>
      <c r="R23" s="13">
        <v>0.0</v>
      </c>
      <c r="S23" s="13">
        <v>0.0</v>
      </c>
      <c r="T23" s="13">
        <v>0.0</v>
      </c>
      <c r="U23" s="13">
        <v>0.0</v>
      </c>
      <c r="V23" s="13">
        <v>0.0</v>
      </c>
      <c r="W23" s="13">
        <v>0.0</v>
      </c>
      <c r="X23" s="78"/>
      <c r="Y23" s="14"/>
      <c r="Z23" s="5"/>
    </row>
    <row r="24">
      <c r="A24" s="40" t="s">
        <v>11</v>
      </c>
      <c r="B24" s="41">
        <v>45527.0</v>
      </c>
      <c r="C24" s="40">
        <v>0.0</v>
      </c>
      <c r="D24" s="44">
        <v>0.0</v>
      </c>
      <c r="E24" s="44">
        <v>0.0</v>
      </c>
      <c r="F24" s="44">
        <v>0.0</v>
      </c>
      <c r="G24" s="44">
        <v>0.0</v>
      </c>
      <c r="H24" s="44">
        <v>0.0</v>
      </c>
      <c r="I24" s="44">
        <v>0.0</v>
      </c>
      <c r="J24" s="44">
        <v>0.0</v>
      </c>
      <c r="K24" s="44">
        <v>0.0</v>
      </c>
      <c r="L24" s="44">
        <v>0.0</v>
      </c>
      <c r="M24" s="44">
        <v>0.0</v>
      </c>
      <c r="N24" s="44">
        <v>0.0</v>
      </c>
      <c r="O24" s="44">
        <v>0.0</v>
      </c>
      <c r="P24" s="44">
        <v>0.0</v>
      </c>
      <c r="Q24" s="44">
        <v>0.0</v>
      </c>
      <c r="R24" s="44">
        <v>0.0</v>
      </c>
      <c r="S24" s="44">
        <v>0.0</v>
      </c>
      <c r="T24" s="44">
        <v>0.0</v>
      </c>
      <c r="U24" s="44">
        <v>0.0</v>
      </c>
      <c r="V24" s="44">
        <v>0.0</v>
      </c>
      <c r="W24" s="44">
        <v>0.0</v>
      </c>
      <c r="X24" s="75"/>
      <c r="Y24" s="14"/>
      <c r="Z24" s="5"/>
    </row>
    <row r="25">
      <c r="A25" s="8" t="s">
        <v>16</v>
      </c>
      <c r="B25" s="9">
        <v>45528.0</v>
      </c>
      <c r="C25" s="79">
        <v>0.0</v>
      </c>
      <c r="D25" s="80">
        <v>0.0</v>
      </c>
      <c r="E25" s="80">
        <v>1.0</v>
      </c>
      <c r="F25" s="80">
        <v>0.0</v>
      </c>
      <c r="G25" s="80">
        <v>1.0</v>
      </c>
      <c r="H25" s="80">
        <v>1.0</v>
      </c>
      <c r="I25" s="80">
        <v>1.0</v>
      </c>
      <c r="J25" s="80">
        <v>0.0</v>
      </c>
      <c r="K25" s="80">
        <v>0.0</v>
      </c>
      <c r="L25" s="80">
        <v>1.0</v>
      </c>
      <c r="M25" s="80">
        <v>0.0</v>
      </c>
      <c r="N25" s="80">
        <v>0.0</v>
      </c>
      <c r="O25" s="80">
        <v>0.0</v>
      </c>
      <c r="P25" s="80">
        <v>0.0</v>
      </c>
      <c r="Q25" s="80">
        <v>2.0</v>
      </c>
      <c r="R25" s="80">
        <v>1.0</v>
      </c>
      <c r="S25" s="80">
        <v>1.0</v>
      </c>
      <c r="T25" s="80">
        <v>0.0</v>
      </c>
      <c r="U25" s="80">
        <v>0.0</v>
      </c>
      <c r="V25" s="80">
        <v>0.0</v>
      </c>
      <c r="W25" s="80">
        <v>0.0</v>
      </c>
      <c r="X25" s="74" t="s">
        <v>72</v>
      </c>
      <c r="Y25" s="14"/>
      <c r="Z25" s="5"/>
    </row>
    <row r="26">
      <c r="A26" s="8" t="s">
        <v>17</v>
      </c>
      <c r="B26" s="9">
        <v>45529.0</v>
      </c>
      <c r="C26" s="8">
        <v>0.0</v>
      </c>
      <c r="D26" s="13">
        <v>0.0</v>
      </c>
      <c r="E26" s="13">
        <v>1.0</v>
      </c>
      <c r="F26" s="13">
        <v>0.0</v>
      </c>
      <c r="G26" s="13">
        <v>1.0</v>
      </c>
      <c r="H26" s="13">
        <v>1.0</v>
      </c>
      <c r="I26" s="13">
        <v>1.0</v>
      </c>
      <c r="J26" s="13">
        <v>0.0</v>
      </c>
      <c r="K26" s="13">
        <v>0.0</v>
      </c>
      <c r="L26" s="13">
        <v>1.0</v>
      </c>
      <c r="M26" s="13">
        <v>0.0</v>
      </c>
      <c r="N26" s="13">
        <v>0.0</v>
      </c>
      <c r="O26" s="13">
        <v>0.0</v>
      </c>
      <c r="P26" s="13">
        <v>0.0</v>
      </c>
      <c r="Q26" s="13">
        <v>2.0</v>
      </c>
      <c r="R26" s="13">
        <v>1.0</v>
      </c>
      <c r="S26" s="13">
        <v>1.0</v>
      </c>
      <c r="T26" s="13">
        <v>0.0</v>
      </c>
      <c r="U26" s="13">
        <v>0.0</v>
      </c>
      <c r="V26" s="13">
        <v>0.0</v>
      </c>
      <c r="W26" s="13">
        <v>0.0</v>
      </c>
      <c r="X26" s="74" t="s">
        <v>73</v>
      </c>
      <c r="Y26" s="14"/>
      <c r="Z26" s="5"/>
    </row>
    <row r="27">
      <c r="A27" s="8" t="s">
        <v>28</v>
      </c>
      <c r="B27" s="9">
        <v>45530.0</v>
      </c>
      <c r="C27" s="8">
        <v>0.0</v>
      </c>
      <c r="D27" s="13">
        <v>0.0</v>
      </c>
      <c r="E27" s="13">
        <v>1.0</v>
      </c>
      <c r="F27" s="13">
        <v>0.0</v>
      </c>
      <c r="G27" s="13">
        <v>1.0</v>
      </c>
      <c r="H27" s="13">
        <v>1.0</v>
      </c>
      <c r="I27" s="13">
        <v>1.0</v>
      </c>
      <c r="J27" s="13">
        <v>0.0</v>
      </c>
      <c r="K27" s="13">
        <v>1.0</v>
      </c>
      <c r="L27" s="13">
        <v>1.0</v>
      </c>
      <c r="M27" s="13">
        <v>0.0</v>
      </c>
      <c r="N27" s="13">
        <v>0.0</v>
      </c>
      <c r="O27" s="13">
        <v>0.0</v>
      </c>
      <c r="P27" s="13">
        <v>0.0</v>
      </c>
      <c r="Q27" s="13">
        <v>0.0</v>
      </c>
      <c r="R27" s="13">
        <v>1.0</v>
      </c>
      <c r="S27" s="13">
        <v>1.0</v>
      </c>
      <c r="T27" s="13">
        <v>0.0</v>
      </c>
      <c r="U27" s="13">
        <v>0.0</v>
      </c>
      <c r="V27" s="13">
        <v>0.0</v>
      </c>
      <c r="W27" s="13">
        <v>0.0</v>
      </c>
      <c r="X27" s="78"/>
      <c r="Y27" s="14"/>
      <c r="Z27" s="5"/>
    </row>
    <row r="28">
      <c r="A28" s="8" t="s">
        <v>21</v>
      </c>
      <c r="B28" s="9">
        <v>45531.0</v>
      </c>
      <c r="C28" s="8">
        <v>0.0</v>
      </c>
      <c r="D28" s="82">
        <v>0.0</v>
      </c>
      <c r="E28" s="13">
        <v>2.0</v>
      </c>
      <c r="F28" s="13">
        <v>0.0</v>
      </c>
      <c r="G28" s="13">
        <v>1.0</v>
      </c>
      <c r="H28" s="13">
        <v>2.0</v>
      </c>
      <c r="I28" s="13">
        <v>1.0</v>
      </c>
      <c r="J28" s="13">
        <v>0.0</v>
      </c>
      <c r="K28" s="13">
        <v>0.0</v>
      </c>
      <c r="L28" s="13">
        <v>1.0</v>
      </c>
      <c r="M28" s="13">
        <v>0.0</v>
      </c>
      <c r="N28" s="13">
        <v>0.0</v>
      </c>
      <c r="O28" s="13">
        <v>0.0</v>
      </c>
      <c r="P28" s="13">
        <v>0.0</v>
      </c>
      <c r="Q28" s="13">
        <v>0.0</v>
      </c>
      <c r="R28" s="13">
        <v>1.0</v>
      </c>
      <c r="S28" s="13">
        <v>1.0</v>
      </c>
      <c r="T28" s="13">
        <v>0.5</v>
      </c>
      <c r="U28" s="13">
        <v>0.0</v>
      </c>
      <c r="V28" s="13">
        <v>0.0</v>
      </c>
      <c r="W28" s="13">
        <v>0.0</v>
      </c>
      <c r="X28" s="74" t="s">
        <v>74</v>
      </c>
      <c r="Y28" s="14"/>
      <c r="Z28" s="5"/>
    </row>
    <row r="29">
      <c r="A29" s="8" t="s">
        <v>46</v>
      </c>
      <c r="B29" s="9">
        <v>45532.0</v>
      </c>
      <c r="C29" s="8">
        <v>0.0</v>
      </c>
      <c r="D29" s="82">
        <v>0.0</v>
      </c>
      <c r="E29" s="13">
        <v>1.0</v>
      </c>
      <c r="F29" s="13">
        <v>0.0</v>
      </c>
      <c r="G29" s="13">
        <v>1.0</v>
      </c>
      <c r="H29" s="13">
        <v>1.0</v>
      </c>
      <c r="I29" s="13">
        <v>1.0</v>
      </c>
      <c r="J29" s="13">
        <v>0.0</v>
      </c>
      <c r="K29" s="13">
        <v>1.0</v>
      </c>
      <c r="L29" s="13">
        <v>1.0</v>
      </c>
      <c r="M29" s="13">
        <v>0.0</v>
      </c>
      <c r="N29" s="13">
        <v>0.0</v>
      </c>
      <c r="O29" s="13">
        <v>0.0</v>
      </c>
      <c r="P29" s="13">
        <v>0.0</v>
      </c>
      <c r="Q29" s="13">
        <v>5.0</v>
      </c>
      <c r="R29" s="13">
        <v>1.0</v>
      </c>
      <c r="S29" s="13">
        <v>1.0</v>
      </c>
      <c r="T29" s="13">
        <v>0.0</v>
      </c>
      <c r="U29" s="13">
        <v>0.0</v>
      </c>
      <c r="V29" s="13">
        <v>0.0</v>
      </c>
      <c r="W29" s="13">
        <v>0.0</v>
      </c>
      <c r="X29" s="74" t="s">
        <v>75</v>
      </c>
      <c r="Y29" s="14"/>
      <c r="Z29" s="5"/>
    </row>
    <row r="30">
      <c r="A30" s="8" t="s">
        <v>10</v>
      </c>
      <c r="B30" s="9">
        <v>45533.0</v>
      </c>
      <c r="C30" s="79">
        <v>0.0</v>
      </c>
      <c r="D30" s="82">
        <v>0.0</v>
      </c>
      <c r="E30" s="80">
        <v>1.3</v>
      </c>
      <c r="F30" s="80">
        <v>0.0</v>
      </c>
      <c r="G30" s="80">
        <v>1.0</v>
      </c>
      <c r="H30" s="80">
        <v>1.0</v>
      </c>
      <c r="I30" s="80">
        <v>1.0</v>
      </c>
      <c r="J30" s="80">
        <v>0.0</v>
      </c>
      <c r="K30" s="80">
        <v>1.0</v>
      </c>
      <c r="L30" s="80">
        <v>1.0</v>
      </c>
      <c r="M30" s="80">
        <v>0.0</v>
      </c>
      <c r="N30" s="80">
        <v>0.0</v>
      </c>
      <c r="O30" s="80">
        <v>0.0</v>
      </c>
      <c r="P30" s="80">
        <v>0.0</v>
      </c>
      <c r="Q30" s="80">
        <v>0.0</v>
      </c>
      <c r="R30" s="80">
        <v>1.0</v>
      </c>
      <c r="S30" s="80">
        <v>1.0</v>
      </c>
      <c r="T30" s="80">
        <v>1.0</v>
      </c>
      <c r="U30" s="80">
        <v>0.0</v>
      </c>
      <c r="V30" s="80">
        <v>0.0</v>
      </c>
      <c r="W30" s="80">
        <v>0.0</v>
      </c>
      <c r="X30" s="78"/>
      <c r="Y30" s="14"/>
      <c r="Z30" s="5"/>
    </row>
    <row r="31">
      <c r="A31" s="40" t="s">
        <v>11</v>
      </c>
      <c r="B31" s="41">
        <v>45534.0</v>
      </c>
      <c r="C31" s="83">
        <v>0.0</v>
      </c>
      <c r="D31" s="84">
        <v>0.0</v>
      </c>
      <c r="E31" s="85">
        <v>1.5</v>
      </c>
      <c r="F31" s="85">
        <v>0.0</v>
      </c>
      <c r="G31" s="85">
        <v>0.0</v>
      </c>
      <c r="H31" s="85">
        <v>1.5</v>
      </c>
      <c r="I31" s="85">
        <v>0.0</v>
      </c>
      <c r="J31" s="85">
        <v>0.0</v>
      </c>
      <c r="K31" s="85">
        <v>0.0</v>
      </c>
      <c r="L31" s="85">
        <v>0.0</v>
      </c>
      <c r="M31" s="85">
        <v>0.0</v>
      </c>
      <c r="N31" s="85">
        <v>0.0</v>
      </c>
      <c r="O31" s="85">
        <v>0.0</v>
      </c>
      <c r="P31" s="85">
        <v>0.0</v>
      </c>
      <c r="Q31" s="85">
        <v>0.0</v>
      </c>
      <c r="R31" s="85">
        <v>1.0</v>
      </c>
      <c r="S31" s="85">
        <v>1.0</v>
      </c>
      <c r="T31" s="85">
        <v>0.0</v>
      </c>
      <c r="U31" s="85">
        <v>0.0</v>
      </c>
      <c r="V31" s="85">
        <v>0.0</v>
      </c>
      <c r="W31" s="85">
        <v>0.0</v>
      </c>
      <c r="X31" s="75"/>
      <c r="Y31" s="14"/>
      <c r="Z31" s="5"/>
    </row>
    <row r="32">
      <c r="A32" s="8" t="s">
        <v>48</v>
      </c>
      <c r="B32" s="9">
        <v>45535.0</v>
      </c>
      <c r="C32" s="86">
        <v>0.0</v>
      </c>
      <c r="D32" s="82">
        <v>0.0</v>
      </c>
      <c r="E32" s="13">
        <v>2.0</v>
      </c>
      <c r="F32" s="13">
        <v>0.0</v>
      </c>
      <c r="G32" s="80">
        <v>1.0</v>
      </c>
      <c r="H32" s="13">
        <v>2.0</v>
      </c>
      <c r="I32" s="80">
        <v>1.0</v>
      </c>
      <c r="J32" s="13">
        <v>0.0</v>
      </c>
      <c r="K32" s="13">
        <v>1.0</v>
      </c>
      <c r="L32" s="80">
        <v>1.0</v>
      </c>
      <c r="M32" s="13">
        <v>0.0</v>
      </c>
      <c r="N32" s="80">
        <v>0.0</v>
      </c>
      <c r="O32" s="13">
        <v>0.0</v>
      </c>
      <c r="P32" s="80">
        <v>0.0</v>
      </c>
      <c r="Q32" s="80">
        <v>0.0</v>
      </c>
      <c r="R32" s="13">
        <v>1.0</v>
      </c>
      <c r="S32" s="13">
        <v>1.0</v>
      </c>
      <c r="T32" s="13">
        <v>1.0</v>
      </c>
      <c r="U32" s="13">
        <v>0.0</v>
      </c>
      <c r="V32" s="13">
        <v>0.0</v>
      </c>
      <c r="W32" s="13">
        <v>0.0</v>
      </c>
      <c r="X32" s="13" t="s">
        <v>76</v>
      </c>
      <c r="Y32" s="5"/>
      <c r="Z32" s="5"/>
    </row>
    <row r="33">
      <c r="A33" s="5"/>
      <c r="B33" s="66"/>
      <c r="C33" s="87">
        <v>0.0</v>
      </c>
      <c r="D33" s="88">
        <f t="shared" ref="D33:W33" si="1">SUM(D2:D32)</f>
        <v>10</v>
      </c>
      <c r="E33" s="68">
        <f t="shared" si="1"/>
        <v>30.6</v>
      </c>
      <c r="F33" s="68">
        <f t="shared" si="1"/>
        <v>1</v>
      </c>
      <c r="G33" s="68">
        <f t="shared" si="1"/>
        <v>14</v>
      </c>
      <c r="H33" s="68">
        <f t="shared" si="1"/>
        <v>32.2</v>
      </c>
      <c r="I33" s="68">
        <f t="shared" si="1"/>
        <v>14</v>
      </c>
      <c r="J33" s="68">
        <f t="shared" si="1"/>
        <v>18</v>
      </c>
      <c r="K33" s="51">
        <f t="shared" si="1"/>
        <v>10</v>
      </c>
      <c r="L33" s="51">
        <f t="shared" si="1"/>
        <v>15</v>
      </c>
      <c r="M33" s="51">
        <f t="shared" si="1"/>
        <v>4</v>
      </c>
      <c r="N33" s="51">
        <f t="shared" si="1"/>
        <v>1</v>
      </c>
      <c r="O33" s="51">
        <f t="shared" si="1"/>
        <v>2.5</v>
      </c>
      <c r="P33" s="51">
        <f t="shared" si="1"/>
        <v>4</v>
      </c>
      <c r="Q33" s="51">
        <f t="shared" si="1"/>
        <v>18</v>
      </c>
      <c r="R33" s="51">
        <f t="shared" si="1"/>
        <v>8</v>
      </c>
      <c r="S33" s="51">
        <f t="shared" si="1"/>
        <v>8</v>
      </c>
      <c r="T33" s="51">
        <f t="shared" si="1"/>
        <v>2.5</v>
      </c>
      <c r="U33" s="51">
        <f t="shared" si="1"/>
        <v>4</v>
      </c>
      <c r="V33" s="51">
        <f t="shared" si="1"/>
        <v>2</v>
      </c>
      <c r="W33" s="51">
        <f t="shared" si="1"/>
        <v>3</v>
      </c>
      <c r="X33" s="51"/>
      <c r="Y33" s="5"/>
      <c r="Z33" s="5"/>
    </row>
    <row r="34">
      <c r="C34" s="89">
        <v>1384.61</v>
      </c>
      <c r="D34" s="90">
        <v>1538.46</v>
      </c>
      <c r="E34" s="90">
        <v>1153.84</v>
      </c>
      <c r="F34" s="90">
        <v>1153.84</v>
      </c>
      <c r="G34" s="91">
        <v>1153.84</v>
      </c>
      <c r="H34" s="92">
        <v>1500.0</v>
      </c>
      <c r="I34" s="91">
        <v>1076.92</v>
      </c>
      <c r="J34" s="91">
        <v>1000.0</v>
      </c>
      <c r="K34" s="31">
        <v>1200.0</v>
      </c>
      <c r="L34" s="93">
        <v>1076.92</v>
      </c>
      <c r="M34" s="93">
        <v>1384.61</v>
      </c>
      <c r="N34" s="93">
        <v>1384.61</v>
      </c>
      <c r="O34" s="93">
        <v>1384.61</v>
      </c>
      <c r="P34" s="93">
        <v>1000.0</v>
      </c>
      <c r="Q34" s="94">
        <v>1000.0</v>
      </c>
      <c r="R34" s="93">
        <v>1000.0</v>
      </c>
      <c r="S34" s="93">
        <v>1000.0</v>
      </c>
      <c r="T34" s="93">
        <v>1000.0</v>
      </c>
      <c r="U34" s="93">
        <v>1384.61</v>
      </c>
      <c r="V34" s="93">
        <v>1384.61</v>
      </c>
      <c r="W34" s="93">
        <v>1384.61</v>
      </c>
      <c r="X34" s="5"/>
      <c r="Y34" s="5"/>
      <c r="Z34" s="5"/>
    </row>
    <row r="35">
      <c r="C35" s="95">
        <f>C33*C34</f>
        <v>0</v>
      </c>
      <c r="D35" s="95">
        <f t="shared" ref="D35:E35" si="2">D34*D33</f>
        <v>15384.6</v>
      </c>
      <c r="E35" s="95">
        <f t="shared" si="2"/>
        <v>35307.504</v>
      </c>
      <c r="F35" s="95">
        <f t="shared" ref="F35:I35" si="3">F33*F34</f>
        <v>1153.84</v>
      </c>
      <c r="G35" s="96">
        <f t="shared" si="3"/>
        <v>16153.76</v>
      </c>
      <c r="H35" s="96">
        <f t="shared" si="3"/>
        <v>48300</v>
      </c>
      <c r="I35" s="96">
        <f t="shared" si="3"/>
        <v>15076.88</v>
      </c>
      <c r="J35" s="96">
        <f t="shared" ref="J35:K35" si="4">J34*J33</f>
        <v>18000</v>
      </c>
      <c r="K35" s="69">
        <f t="shared" si="4"/>
        <v>12000</v>
      </c>
      <c r="L35" s="97">
        <f t="shared" ref="L35:P35" si="5">L33*L34</f>
        <v>16153.8</v>
      </c>
      <c r="M35" s="98">
        <f t="shared" si="5"/>
        <v>5538.44</v>
      </c>
      <c r="N35" s="98">
        <f t="shared" si="5"/>
        <v>1384.61</v>
      </c>
      <c r="O35" s="98">
        <f t="shared" si="5"/>
        <v>3461.525</v>
      </c>
      <c r="P35" s="98">
        <f t="shared" si="5"/>
        <v>4000</v>
      </c>
      <c r="Q35" s="98">
        <f t="shared" ref="Q35:S35" si="6">Q34*Q33</f>
        <v>18000</v>
      </c>
      <c r="R35" s="98">
        <f t="shared" si="6"/>
        <v>8000</v>
      </c>
      <c r="S35" s="98">
        <f t="shared" si="6"/>
        <v>8000</v>
      </c>
      <c r="T35" s="98">
        <f>T33*T34</f>
        <v>2500</v>
      </c>
      <c r="U35" s="98">
        <f>U34*U33</f>
        <v>5538.44</v>
      </c>
      <c r="V35" s="98">
        <f t="shared" ref="V35:W35" si="7">V33*V34</f>
        <v>2769.22</v>
      </c>
      <c r="W35" s="98">
        <f t="shared" si="7"/>
        <v>4153.83</v>
      </c>
      <c r="X35" s="99" t="str">
        <f>SUM(#REF!)</f>
        <v>#REF!</v>
      </c>
      <c r="Y35" s="5"/>
      <c r="Z35" s="5"/>
    </row>
    <row r="36">
      <c r="C36" s="100">
        <v>36000.0</v>
      </c>
      <c r="D36" s="100">
        <v>40000.0</v>
      </c>
      <c r="E36" s="100">
        <v>30000.0</v>
      </c>
      <c r="F36" s="100">
        <v>30000.0</v>
      </c>
      <c r="G36" s="100">
        <v>36000.0</v>
      </c>
      <c r="H36" s="46"/>
      <c r="I36" s="101">
        <v>28000.0</v>
      </c>
      <c r="J36" s="102">
        <v>30000.0</v>
      </c>
      <c r="K36" s="36"/>
      <c r="L36" s="93">
        <v>28000.0</v>
      </c>
      <c r="M36" s="103">
        <v>30000.0</v>
      </c>
      <c r="N36" s="104">
        <v>30000.0</v>
      </c>
      <c r="O36" s="104">
        <v>30000.0</v>
      </c>
      <c r="P36" s="105">
        <v>30000.0</v>
      </c>
      <c r="Q36" s="1"/>
      <c r="R36" s="106"/>
      <c r="S36" s="106"/>
      <c r="T36" s="106"/>
      <c r="U36" s="106">
        <v>30000.0</v>
      </c>
      <c r="V36" s="106">
        <v>30000.0</v>
      </c>
      <c r="W36" s="105">
        <v>30000.0</v>
      </c>
      <c r="X36" s="5"/>
      <c r="Y36" s="5"/>
      <c r="Z36" s="5"/>
    </row>
    <row r="37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3.13"/>
    <col customWidth="1" min="5" max="5" width="25.63"/>
    <col customWidth="1" min="6" max="6" width="24.5"/>
    <col customWidth="1" min="7" max="7" width="24.88"/>
    <col customWidth="1" min="8" max="8" width="25.25"/>
  </cols>
  <sheetData>
    <row r="1">
      <c r="D1" s="107" t="s">
        <v>77</v>
      </c>
      <c r="E1" s="108" t="s">
        <v>78</v>
      </c>
      <c r="F1" s="108" t="s">
        <v>79</v>
      </c>
      <c r="G1" s="108" t="s">
        <v>80</v>
      </c>
      <c r="H1" s="108" t="s">
        <v>81</v>
      </c>
    </row>
    <row r="2">
      <c r="D2" s="109" t="s">
        <v>82</v>
      </c>
      <c r="E2" s="110">
        <v>5.0</v>
      </c>
      <c r="F2" s="111">
        <v>800.0</v>
      </c>
      <c r="G2" s="112">
        <f t="shared" ref="G2:G53" si="1">E2*F2</f>
        <v>4000</v>
      </c>
      <c r="H2" s="113">
        <v>45505.0</v>
      </c>
    </row>
    <row r="3">
      <c r="D3" s="109" t="s">
        <v>83</v>
      </c>
      <c r="E3" s="110">
        <v>2.0</v>
      </c>
      <c r="F3" s="111">
        <v>400.0</v>
      </c>
      <c r="G3" s="112">
        <f t="shared" si="1"/>
        <v>800</v>
      </c>
      <c r="H3" s="114"/>
    </row>
    <row r="4">
      <c r="D4" s="115" t="s">
        <v>84</v>
      </c>
      <c r="E4" s="116">
        <v>1.0</v>
      </c>
      <c r="F4" s="117">
        <v>300.0</v>
      </c>
      <c r="G4" s="112">
        <f t="shared" si="1"/>
        <v>300</v>
      </c>
      <c r="H4" s="118"/>
    </row>
    <row r="5">
      <c r="D5" s="115" t="s">
        <v>85</v>
      </c>
      <c r="E5" s="116">
        <v>2.0</v>
      </c>
      <c r="F5" s="117">
        <v>300.0</v>
      </c>
      <c r="G5" s="112">
        <f t="shared" si="1"/>
        <v>600</v>
      </c>
      <c r="H5" s="114"/>
    </row>
    <row r="6">
      <c r="D6" s="119" t="s">
        <v>86</v>
      </c>
      <c r="E6" s="120">
        <v>320.0</v>
      </c>
      <c r="F6" s="121">
        <v>6.5</v>
      </c>
      <c r="G6" s="122">
        <f t="shared" si="1"/>
        <v>2080</v>
      </c>
      <c r="H6" s="114"/>
    </row>
    <row r="7">
      <c r="D7" s="123" t="s">
        <v>87</v>
      </c>
      <c r="E7" s="124">
        <v>10.0</v>
      </c>
      <c r="F7" s="122">
        <v>1000.0</v>
      </c>
      <c r="G7" s="122">
        <f t="shared" si="1"/>
        <v>10000</v>
      </c>
      <c r="H7" s="118"/>
    </row>
    <row r="8">
      <c r="D8" s="125" t="s">
        <v>88</v>
      </c>
      <c r="E8" s="116">
        <v>1.0</v>
      </c>
      <c r="F8" s="126">
        <v>1500.0</v>
      </c>
      <c r="G8" s="126">
        <f t="shared" si="1"/>
        <v>1500</v>
      </c>
      <c r="H8" s="114"/>
    </row>
    <row r="9">
      <c r="D9" s="127" t="s">
        <v>89</v>
      </c>
      <c r="E9" s="120">
        <v>30.0</v>
      </c>
      <c r="F9" s="128">
        <v>370.0</v>
      </c>
      <c r="G9" s="122">
        <f t="shared" si="1"/>
        <v>11100</v>
      </c>
      <c r="H9" s="114"/>
    </row>
    <row r="10">
      <c r="D10" s="127" t="s">
        <v>90</v>
      </c>
      <c r="E10" s="120">
        <v>5.0</v>
      </c>
      <c r="F10" s="128">
        <v>580.0</v>
      </c>
      <c r="G10" s="122">
        <f t="shared" si="1"/>
        <v>2900</v>
      </c>
      <c r="H10" s="114"/>
    </row>
    <row r="11">
      <c r="D11" s="129" t="s">
        <v>91</v>
      </c>
      <c r="E11" s="130">
        <v>3.0</v>
      </c>
      <c r="F11" s="131">
        <v>780.0</v>
      </c>
      <c r="G11" s="131">
        <f t="shared" si="1"/>
        <v>2340</v>
      </c>
      <c r="H11" s="118"/>
    </row>
    <row r="12">
      <c r="D12" s="125" t="s">
        <v>92</v>
      </c>
      <c r="E12" s="116">
        <v>1.0</v>
      </c>
      <c r="F12" s="126">
        <v>280.0</v>
      </c>
      <c r="G12" s="112">
        <f t="shared" si="1"/>
        <v>280</v>
      </c>
      <c r="H12" s="114"/>
    </row>
    <row r="13">
      <c r="D13" s="123" t="s">
        <v>93</v>
      </c>
      <c r="E13" s="124">
        <v>0.0</v>
      </c>
      <c r="F13" s="122">
        <v>85.0</v>
      </c>
      <c r="G13" s="122">
        <f t="shared" si="1"/>
        <v>0</v>
      </c>
      <c r="H13" s="114"/>
    </row>
    <row r="14">
      <c r="D14" s="127" t="s">
        <v>94</v>
      </c>
      <c r="E14" s="120">
        <v>9.0</v>
      </c>
      <c r="F14" s="128">
        <v>250.0</v>
      </c>
      <c r="G14" s="128">
        <f t="shared" si="1"/>
        <v>2250</v>
      </c>
      <c r="H14" s="118"/>
    </row>
    <row r="15">
      <c r="D15" s="125" t="s">
        <v>95</v>
      </c>
      <c r="E15" s="116">
        <v>5.0</v>
      </c>
      <c r="F15" s="126">
        <v>90.0</v>
      </c>
      <c r="G15" s="112">
        <f t="shared" si="1"/>
        <v>450</v>
      </c>
      <c r="H15" s="132"/>
    </row>
    <row r="16">
      <c r="D16" s="116" t="s">
        <v>96</v>
      </c>
      <c r="E16" s="116">
        <v>4.0</v>
      </c>
      <c r="F16" s="117">
        <v>250.0</v>
      </c>
      <c r="G16" s="112">
        <f t="shared" si="1"/>
        <v>1000</v>
      </c>
      <c r="H16" s="132"/>
    </row>
    <row r="17">
      <c r="D17" s="125" t="s">
        <v>97</v>
      </c>
      <c r="E17" s="114">
        <v>1.65</v>
      </c>
      <c r="F17" s="126">
        <v>1800.0</v>
      </c>
      <c r="G17" s="112">
        <f t="shared" si="1"/>
        <v>2970</v>
      </c>
      <c r="H17" s="132"/>
    </row>
    <row r="18">
      <c r="D18" s="125" t="s">
        <v>98</v>
      </c>
      <c r="E18" s="116">
        <v>8.0</v>
      </c>
      <c r="F18" s="126">
        <v>330.0</v>
      </c>
      <c r="G18" s="112">
        <f t="shared" si="1"/>
        <v>2640</v>
      </c>
      <c r="H18" s="132"/>
    </row>
    <row r="19">
      <c r="D19" s="125" t="s">
        <v>99</v>
      </c>
      <c r="E19" s="116">
        <v>10.0</v>
      </c>
      <c r="F19" s="126">
        <v>260.0</v>
      </c>
      <c r="G19" s="112">
        <f t="shared" si="1"/>
        <v>2600</v>
      </c>
      <c r="H19" s="132"/>
    </row>
    <row r="20">
      <c r="D20" s="125" t="s">
        <v>100</v>
      </c>
      <c r="E20" s="133">
        <v>1.0</v>
      </c>
      <c r="F20" s="126">
        <v>120.0</v>
      </c>
      <c r="G20" s="112">
        <f t="shared" si="1"/>
        <v>120</v>
      </c>
      <c r="H20" s="132"/>
    </row>
    <row r="21">
      <c r="D21" s="125" t="s">
        <v>101</v>
      </c>
      <c r="E21" s="116">
        <v>1.0</v>
      </c>
      <c r="F21" s="126">
        <v>350.0</v>
      </c>
      <c r="G21" s="112">
        <f t="shared" si="1"/>
        <v>350</v>
      </c>
      <c r="H21" s="132"/>
    </row>
    <row r="22">
      <c r="D22" s="125" t="s">
        <v>102</v>
      </c>
      <c r="E22" s="114">
        <v>3.0</v>
      </c>
      <c r="F22" s="126">
        <v>350.0</v>
      </c>
      <c r="G22" s="112">
        <f t="shared" si="1"/>
        <v>1050</v>
      </c>
      <c r="H22" s="132"/>
    </row>
    <row r="23">
      <c r="D23" s="125" t="s">
        <v>103</v>
      </c>
      <c r="E23" s="116">
        <v>4.0</v>
      </c>
      <c r="F23" s="126">
        <v>160.0</v>
      </c>
      <c r="G23" s="112">
        <f t="shared" si="1"/>
        <v>640</v>
      </c>
      <c r="H23" s="132"/>
    </row>
    <row r="24">
      <c r="D24" s="125" t="s">
        <v>104</v>
      </c>
      <c r="E24" s="114">
        <v>0.25</v>
      </c>
      <c r="F24" s="126">
        <v>4000.0</v>
      </c>
      <c r="G24" s="112">
        <f t="shared" si="1"/>
        <v>1000</v>
      </c>
      <c r="H24" s="132"/>
    </row>
    <row r="25">
      <c r="D25" s="125" t="s">
        <v>105</v>
      </c>
      <c r="E25" s="116">
        <v>2.0</v>
      </c>
      <c r="F25" s="126">
        <v>950.0</v>
      </c>
      <c r="G25" s="112">
        <f t="shared" si="1"/>
        <v>1900</v>
      </c>
      <c r="H25" s="132"/>
    </row>
    <row r="26">
      <c r="D26" s="125" t="s">
        <v>106</v>
      </c>
      <c r="E26" s="134">
        <v>0.025</v>
      </c>
      <c r="F26" s="126">
        <v>9000.0</v>
      </c>
      <c r="G26" s="112">
        <f t="shared" si="1"/>
        <v>225</v>
      </c>
      <c r="H26" s="132"/>
    </row>
    <row r="27">
      <c r="D27" s="125" t="s">
        <v>107</v>
      </c>
      <c r="E27" s="116">
        <v>10.0</v>
      </c>
      <c r="F27" s="126">
        <v>90.0</v>
      </c>
      <c r="G27" s="112">
        <f t="shared" si="1"/>
        <v>900</v>
      </c>
      <c r="H27" s="132"/>
    </row>
    <row r="28">
      <c r="D28" s="125" t="s">
        <v>108</v>
      </c>
      <c r="E28" s="116">
        <v>10.0</v>
      </c>
      <c r="F28" s="126">
        <v>80.0</v>
      </c>
      <c r="G28" s="112">
        <f t="shared" si="1"/>
        <v>800</v>
      </c>
      <c r="H28" s="132"/>
    </row>
    <row r="29">
      <c r="D29" s="125" t="s">
        <v>109</v>
      </c>
      <c r="E29" s="116">
        <v>96.0</v>
      </c>
      <c r="F29" s="126">
        <v>60.0</v>
      </c>
      <c r="G29" s="112">
        <f t="shared" si="1"/>
        <v>5760</v>
      </c>
      <c r="H29" s="132"/>
    </row>
    <row r="30">
      <c r="D30" s="115" t="s">
        <v>110</v>
      </c>
      <c r="E30" s="133">
        <v>156.0</v>
      </c>
      <c r="F30" s="126">
        <v>17.0</v>
      </c>
      <c r="G30" s="112">
        <f t="shared" si="1"/>
        <v>2652</v>
      </c>
      <c r="H30" s="132"/>
    </row>
    <row r="31">
      <c r="D31" s="115" t="s">
        <v>111</v>
      </c>
      <c r="E31" s="133">
        <v>96.0</v>
      </c>
      <c r="F31" s="126">
        <v>30.0</v>
      </c>
      <c r="G31" s="112">
        <f t="shared" si="1"/>
        <v>2880</v>
      </c>
      <c r="H31" s="132"/>
    </row>
    <row r="32">
      <c r="D32" s="125" t="s">
        <v>112</v>
      </c>
      <c r="E32" s="133">
        <v>15.0</v>
      </c>
      <c r="F32" s="126">
        <v>1280.0</v>
      </c>
      <c r="G32" s="112">
        <f t="shared" si="1"/>
        <v>19200</v>
      </c>
      <c r="H32" s="132"/>
    </row>
    <row r="33">
      <c r="D33" s="125" t="s">
        <v>113</v>
      </c>
      <c r="E33" s="114">
        <v>1.0</v>
      </c>
      <c r="F33" s="126">
        <v>1200.0</v>
      </c>
      <c r="G33" s="112">
        <f t="shared" si="1"/>
        <v>1200</v>
      </c>
      <c r="H33" s="132"/>
    </row>
    <row r="34">
      <c r="D34" s="125" t="s">
        <v>114</v>
      </c>
      <c r="E34" s="114">
        <v>11.0</v>
      </c>
      <c r="F34" s="126">
        <v>140.0</v>
      </c>
      <c r="G34" s="112">
        <f t="shared" si="1"/>
        <v>1540</v>
      </c>
      <c r="H34" s="132"/>
    </row>
    <row r="35">
      <c r="D35" s="125" t="s">
        <v>115</v>
      </c>
      <c r="E35" s="114">
        <v>1.0</v>
      </c>
      <c r="F35" s="126">
        <v>1400.0</v>
      </c>
      <c r="G35" s="112">
        <f t="shared" si="1"/>
        <v>1400</v>
      </c>
      <c r="H35" s="132"/>
    </row>
    <row r="36">
      <c r="D36" s="135" t="s">
        <v>116</v>
      </c>
      <c r="E36" s="136">
        <v>3.0</v>
      </c>
      <c r="F36" s="137">
        <v>450.0</v>
      </c>
      <c r="G36" s="137">
        <f t="shared" si="1"/>
        <v>1350</v>
      </c>
      <c r="H36" s="132"/>
    </row>
    <row r="37">
      <c r="D37" s="125" t="s">
        <v>117</v>
      </c>
      <c r="E37" s="116">
        <v>1.0</v>
      </c>
      <c r="F37" s="126">
        <v>230.0</v>
      </c>
      <c r="G37" s="126">
        <f t="shared" si="1"/>
        <v>230</v>
      </c>
      <c r="H37" s="132"/>
    </row>
    <row r="38">
      <c r="D38" s="125" t="s">
        <v>118</v>
      </c>
      <c r="E38" s="116">
        <v>0.0</v>
      </c>
      <c r="F38" s="126">
        <v>230.0</v>
      </c>
      <c r="G38" s="126">
        <f t="shared" si="1"/>
        <v>0</v>
      </c>
      <c r="H38" s="132"/>
    </row>
    <row r="39">
      <c r="D39" s="125" t="s">
        <v>119</v>
      </c>
      <c r="E39" s="116">
        <v>30.0</v>
      </c>
      <c r="F39" s="126">
        <v>40.0</v>
      </c>
      <c r="G39" s="112">
        <f t="shared" si="1"/>
        <v>1200</v>
      </c>
      <c r="H39" s="132"/>
    </row>
    <row r="40">
      <c r="D40" s="125" t="s">
        <v>120</v>
      </c>
      <c r="E40" s="116">
        <v>8.0</v>
      </c>
      <c r="F40" s="117">
        <v>190.0</v>
      </c>
      <c r="G40" s="112">
        <f t="shared" si="1"/>
        <v>1520</v>
      </c>
      <c r="H40" s="132"/>
    </row>
    <row r="41">
      <c r="D41" s="138" t="s">
        <v>121</v>
      </c>
      <c r="E41" s="138">
        <v>8.0</v>
      </c>
      <c r="F41" s="139">
        <v>600.0</v>
      </c>
      <c r="G41" s="140">
        <f t="shared" si="1"/>
        <v>4800</v>
      </c>
      <c r="H41" s="132"/>
    </row>
    <row r="42">
      <c r="D42" s="141" t="s">
        <v>122</v>
      </c>
      <c r="E42" s="138">
        <v>4.0</v>
      </c>
      <c r="F42" s="142">
        <v>800.0</v>
      </c>
      <c r="G42" s="142">
        <f t="shared" si="1"/>
        <v>3200</v>
      </c>
      <c r="H42" s="132"/>
    </row>
    <row r="43">
      <c r="D43" s="116" t="s">
        <v>123</v>
      </c>
      <c r="E43" s="116">
        <v>4.0</v>
      </c>
      <c r="F43" s="117">
        <v>400.0</v>
      </c>
      <c r="G43" s="126">
        <f t="shared" si="1"/>
        <v>1600</v>
      </c>
      <c r="H43" s="132"/>
    </row>
    <row r="44">
      <c r="D44" s="116" t="s">
        <v>124</v>
      </c>
      <c r="E44" s="116">
        <v>20.0</v>
      </c>
      <c r="F44" s="117">
        <v>100.0</v>
      </c>
      <c r="G44" s="126">
        <f t="shared" si="1"/>
        <v>2000</v>
      </c>
      <c r="H44" s="132"/>
    </row>
    <row r="45">
      <c r="D45" s="116" t="s">
        <v>125</v>
      </c>
      <c r="E45" s="116">
        <v>1.0</v>
      </c>
      <c r="F45" s="117">
        <v>1300.0</v>
      </c>
      <c r="G45" s="126">
        <f t="shared" si="1"/>
        <v>1300</v>
      </c>
      <c r="H45" s="132"/>
    </row>
    <row r="46">
      <c r="D46" s="116" t="s">
        <v>126</v>
      </c>
      <c r="E46" s="116">
        <v>14.0</v>
      </c>
      <c r="F46" s="117">
        <v>195.0</v>
      </c>
      <c r="G46" s="126">
        <f t="shared" si="1"/>
        <v>2730</v>
      </c>
      <c r="H46" s="132"/>
    </row>
    <row r="47">
      <c r="D47" s="116" t="s">
        <v>118</v>
      </c>
      <c r="E47" s="116">
        <v>3.0</v>
      </c>
      <c r="F47" s="117">
        <v>230.0</v>
      </c>
      <c r="G47" s="126">
        <f t="shared" si="1"/>
        <v>690</v>
      </c>
      <c r="H47" s="132"/>
    </row>
    <row r="48">
      <c r="D48" s="116" t="s">
        <v>127</v>
      </c>
      <c r="E48" s="116">
        <v>12.0</v>
      </c>
      <c r="F48" s="117">
        <v>60.0</v>
      </c>
      <c r="G48" s="126">
        <f t="shared" si="1"/>
        <v>720</v>
      </c>
      <c r="H48" s="132"/>
    </row>
    <row r="49">
      <c r="D49" s="116" t="s">
        <v>128</v>
      </c>
      <c r="E49" s="116">
        <v>7.0</v>
      </c>
      <c r="F49" s="117">
        <v>245.0</v>
      </c>
      <c r="G49" s="126">
        <f t="shared" si="1"/>
        <v>1715</v>
      </c>
      <c r="H49" s="132"/>
    </row>
    <row r="50">
      <c r="D50" s="116" t="s">
        <v>129</v>
      </c>
      <c r="E50" s="116">
        <v>27.0</v>
      </c>
      <c r="F50" s="117">
        <v>84.0</v>
      </c>
      <c r="G50" s="126">
        <f t="shared" si="1"/>
        <v>2268</v>
      </c>
      <c r="H50" s="132"/>
    </row>
    <row r="51">
      <c r="D51" s="138" t="s">
        <v>130</v>
      </c>
      <c r="E51" s="138">
        <v>0.5</v>
      </c>
      <c r="F51" s="139">
        <v>1100.0</v>
      </c>
      <c r="G51" s="142">
        <f t="shared" si="1"/>
        <v>550</v>
      </c>
      <c r="H51" s="132"/>
    </row>
    <row r="52">
      <c r="D52" s="116" t="s">
        <v>131</v>
      </c>
      <c r="E52" s="116">
        <v>16.0</v>
      </c>
      <c r="F52" s="117">
        <v>120.0</v>
      </c>
      <c r="G52" s="126">
        <f t="shared" si="1"/>
        <v>1920</v>
      </c>
      <c r="H52" s="132"/>
    </row>
    <row r="53">
      <c r="D53" s="143" t="s">
        <v>132</v>
      </c>
      <c r="E53" s="116">
        <v>1.0</v>
      </c>
      <c r="F53" s="126">
        <v>200.0</v>
      </c>
      <c r="G53" s="112">
        <f t="shared" si="1"/>
        <v>200</v>
      </c>
      <c r="H53" s="132"/>
    </row>
    <row r="54">
      <c r="D54" s="116"/>
      <c r="E54" s="116"/>
      <c r="F54" s="117"/>
      <c r="G54" s="126"/>
      <c r="H54" s="132"/>
    </row>
    <row r="55">
      <c r="D55" s="116" t="s">
        <v>124</v>
      </c>
      <c r="E55" s="116">
        <v>10.0</v>
      </c>
      <c r="F55" s="117">
        <v>100.0</v>
      </c>
      <c r="G55" s="126">
        <f t="shared" ref="G55:G162" si="2">E55*F55</f>
        <v>1000</v>
      </c>
      <c r="H55" s="132"/>
    </row>
    <row r="56">
      <c r="D56" s="116" t="s">
        <v>133</v>
      </c>
      <c r="E56" s="116">
        <v>3.0</v>
      </c>
      <c r="F56" s="117">
        <v>500.0</v>
      </c>
      <c r="G56" s="126">
        <f t="shared" si="2"/>
        <v>1500</v>
      </c>
      <c r="H56" s="132"/>
    </row>
    <row r="57">
      <c r="D57" s="116" t="s">
        <v>134</v>
      </c>
      <c r="E57" s="116">
        <v>3.0</v>
      </c>
      <c r="F57" s="117">
        <v>100.0</v>
      </c>
      <c r="G57" s="126">
        <f t="shared" si="2"/>
        <v>300</v>
      </c>
      <c r="H57" s="132"/>
    </row>
    <row r="58">
      <c r="D58" s="116" t="s">
        <v>135</v>
      </c>
      <c r="E58" s="116">
        <v>4.0</v>
      </c>
      <c r="F58" s="117">
        <v>200.0</v>
      </c>
      <c r="G58" s="126">
        <f t="shared" si="2"/>
        <v>800</v>
      </c>
      <c r="H58" s="132"/>
    </row>
    <row r="59">
      <c r="D59" s="116" t="s">
        <v>136</v>
      </c>
      <c r="E59" s="116">
        <v>5.0</v>
      </c>
      <c r="F59" s="117">
        <v>120.0</v>
      </c>
      <c r="G59" s="126">
        <f t="shared" si="2"/>
        <v>600</v>
      </c>
      <c r="H59" s="132"/>
    </row>
    <row r="60">
      <c r="D60" s="116" t="s">
        <v>137</v>
      </c>
      <c r="E60" s="116">
        <v>1.0</v>
      </c>
      <c r="F60" s="117">
        <v>850.0</v>
      </c>
      <c r="G60" s="126">
        <f t="shared" si="2"/>
        <v>850</v>
      </c>
      <c r="H60" s="132"/>
    </row>
    <row r="61">
      <c r="D61" s="116" t="s">
        <v>84</v>
      </c>
      <c r="E61" s="116">
        <v>1.0</v>
      </c>
      <c r="F61" s="117">
        <v>800.0</v>
      </c>
      <c r="G61" s="126">
        <f t="shared" si="2"/>
        <v>800</v>
      </c>
      <c r="H61" s="132"/>
    </row>
    <row r="62">
      <c r="D62" s="116" t="s">
        <v>138</v>
      </c>
      <c r="E62" s="116">
        <v>20.0</v>
      </c>
      <c r="F62" s="117">
        <v>160.0</v>
      </c>
      <c r="G62" s="126">
        <f t="shared" si="2"/>
        <v>3200</v>
      </c>
      <c r="H62" s="132"/>
    </row>
    <row r="63">
      <c r="D63" s="116" t="s">
        <v>139</v>
      </c>
      <c r="E63" s="116">
        <v>3.0</v>
      </c>
      <c r="F63" s="117">
        <v>210.0</v>
      </c>
      <c r="G63" s="126">
        <f t="shared" si="2"/>
        <v>630</v>
      </c>
      <c r="H63" s="132"/>
    </row>
    <row r="64">
      <c r="D64" s="116" t="s">
        <v>140</v>
      </c>
      <c r="E64" s="116">
        <v>3.0</v>
      </c>
      <c r="F64" s="117">
        <v>450.0</v>
      </c>
      <c r="G64" s="126">
        <f t="shared" si="2"/>
        <v>1350</v>
      </c>
      <c r="H64" s="132"/>
    </row>
    <row r="65">
      <c r="D65" s="116" t="s">
        <v>141</v>
      </c>
      <c r="E65" s="116">
        <v>1.0</v>
      </c>
      <c r="F65" s="117">
        <v>450.0</v>
      </c>
      <c r="G65" s="126">
        <f t="shared" si="2"/>
        <v>450</v>
      </c>
      <c r="H65" s="132"/>
    </row>
    <row r="66">
      <c r="D66" s="116" t="s">
        <v>142</v>
      </c>
      <c r="E66" s="116">
        <v>2.0</v>
      </c>
      <c r="F66" s="117">
        <v>350.0</v>
      </c>
      <c r="G66" s="126">
        <f t="shared" si="2"/>
        <v>700</v>
      </c>
      <c r="H66" s="132"/>
    </row>
    <row r="67">
      <c r="D67" s="116" t="s">
        <v>143</v>
      </c>
      <c r="E67" s="116">
        <v>0.5</v>
      </c>
      <c r="F67" s="117">
        <v>1600.0</v>
      </c>
      <c r="G67" s="126">
        <f t="shared" si="2"/>
        <v>800</v>
      </c>
      <c r="H67" s="132"/>
    </row>
    <row r="68">
      <c r="D68" s="116" t="s">
        <v>144</v>
      </c>
      <c r="E68" s="116">
        <v>15.0</v>
      </c>
      <c r="F68" s="117">
        <v>100.0</v>
      </c>
      <c r="G68" s="126">
        <f t="shared" si="2"/>
        <v>1500</v>
      </c>
      <c r="H68" s="132"/>
    </row>
    <row r="69">
      <c r="D69" s="116" t="s">
        <v>145</v>
      </c>
      <c r="E69" s="116">
        <v>1.0</v>
      </c>
      <c r="F69" s="117">
        <v>300.0</v>
      </c>
      <c r="G69" s="126">
        <f t="shared" si="2"/>
        <v>300</v>
      </c>
      <c r="H69" s="132"/>
    </row>
    <row r="70">
      <c r="D70" s="116" t="s">
        <v>146</v>
      </c>
      <c r="E70" s="116">
        <v>3.0</v>
      </c>
      <c r="F70" s="117">
        <v>1000.0</v>
      </c>
      <c r="G70" s="126">
        <f t="shared" si="2"/>
        <v>3000</v>
      </c>
      <c r="H70" s="113">
        <v>45518.0</v>
      </c>
    </row>
    <row r="71">
      <c r="D71" s="116" t="s">
        <v>147</v>
      </c>
      <c r="E71" s="116">
        <v>3.0</v>
      </c>
      <c r="F71" s="117">
        <v>1000.0</v>
      </c>
      <c r="G71" s="126">
        <f t="shared" si="2"/>
        <v>3000</v>
      </c>
      <c r="H71" s="132"/>
    </row>
    <row r="72">
      <c r="D72" s="116" t="s">
        <v>119</v>
      </c>
      <c r="E72" s="116">
        <v>30.0</v>
      </c>
      <c r="F72" s="117">
        <v>50.0</v>
      </c>
      <c r="G72" s="126">
        <f t="shared" si="2"/>
        <v>1500</v>
      </c>
      <c r="H72" s="132"/>
    </row>
    <row r="73">
      <c r="D73" s="116" t="s">
        <v>148</v>
      </c>
      <c r="E73" s="116">
        <v>4.0</v>
      </c>
      <c r="F73" s="117">
        <v>100.0</v>
      </c>
      <c r="G73" s="126">
        <f t="shared" si="2"/>
        <v>400</v>
      </c>
      <c r="H73" s="132"/>
    </row>
    <row r="74">
      <c r="D74" s="116" t="s">
        <v>149</v>
      </c>
      <c r="E74" s="116">
        <v>2.0</v>
      </c>
      <c r="F74" s="117">
        <v>100.0</v>
      </c>
      <c r="G74" s="126">
        <f t="shared" si="2"/>
        <v>200</v>
      </c>
      <c r="H74" s="132"/>
    </row>
    <row r="75">
      <c r="D75" s="116" t="s">
        <v>150</v>
      </c>
      <c r="E75" s="116">
        <v>1.0</v>
      </c>
      <c r="F75" s="117">
        <v>300.0</v>
      </c>
      <c r="G75" s="126">
        <f t="shared" si="2"/>
        <v>300</v>
      </c>
      <c r="H75" s="132"/>
    </row>
    <row r="76">
      <c r="D76" s="116" t="s">
        <v>151</v>
      </c>
      <c r="E76" s="116">
        <v>1.0</v>
      </c>
      <c r="F76" s="117">
        <v>15600.0</v>
      </c>
      <c r="G76" s="126">
        <f t="shared" si="2"/>
        <v>15600</v>
      </c>
      <c r="H76" s="132"/>
    </row>
    <row r="77">
      <c r="D77" s="116" t="s">
        <v>123</v>
      </c>
      <c r="E77" s="116">
        <v>3.0</v>
      </c>
      <c r="F77" s="117">
        <v>500.0</v>
      </c>
      <c r="G77" s="126">
        <f t="shared" si="2"/>
        <v>1500</v>
      </c>
      <c r="H77" s="132"/>
    </row>
    <row r="78">
      <c r="D78" s="116" t="s">
        <v>124</v>
      </c>
      <c r="E78" s="116">
        <v>30.0</v>
      </c>
      <c r="F78" s="117">
        <v>100.0</v>
      </c>
      <c r="G78" s="126">
        <f t="shared" si="2"/>
        <v>3000</v>
      </c>
      <c r="H78" s="132"/>
    </row>
    <row r="79">
      <c r="D79" s="116" t="s">
        <v>143</v>
      </c>
      <c r="E79" s="116">
        <v>1.5</v>
      </c>
      <c r="F79" s="117">
        <v>1900.0</v>
      </c>
      <c r="G79" s="126">
        <f t="shared" si="2"/>
        <v>2850</v>
      </c>
      <c r="H79" s="132"/>
    </row>
    <row r="80">
      <c r="D80" s="116" t="s">
        <v>152</v>
      </c>
      <c r="E80" s="116">
        <v>12.0</v>
      </c>
      <c r="F80" s="117">
        <v>200.0</v>
      </c>
      <c r="G80" s="126">
        <f t="shared" si="2"/>
        <v>2400</v>
      </c>
      <c r="H80" s="132"/>
    </row>
    <row r="81">
      <c r="D81" s="109" t="s">
        <v>83</v>
      </c>
      <c r="E81" s="116">
        <v>3.0</v>
      </c>
      <c r="F81" s="117">
        <v>600.0</v>
      </c>
      <c r="G81" s="126">
        <f t="shared" si="2"/>
        <v>1800</v>
      </c>
      <c r="H81" s="132"/>
    </row>
    <row r="82">
      <c r="D82" s="144" t="s">
        <v>153</v>
      </c>
      <c r="E82" s="116">
        <v>3.0</v>
      </c>
      <c r="F82" s="117">
        <v>50.0</v>
      </c>
      <c r="G82" s="126">
        <f t="shared" si="2"/>
        <v>150</v>
      </c>
      <c r="H82" s="132"/>
    </row>
    <row r="83">
      <c r="D83" s="144" t="s">
        <v>154</v>
      </c>
      <c r="E83" s="116">
        <v>3.0</v>
      </c>
      <c r="F83" s="117">
        <v>600.0</v>
      </c>
      <c r="G83" s="126">
        <f t="shared" si="2"/>
        <v>1800</v>
      </c>
      <c r="H83" s="132"/>
    </row>
    <row r="84">
      <c r="D84" s="144" t="s">
        <v>101</v>
      </c>
      <c r="E84" s="116">
        <v>2.0</v>
      </c>
      <c r="F84" s="117">
        <v>350.0</v>
      </c>
      <c r="G84" s="126">
        <f t="shared" si="2"/>
        <v>700</v>
      </c>
      <c r="H84" s="132"/>
    </row>
    <row r="85">
      <c r="D85" s="144" t="s">
        <v>114</v>
      </c>
      <c r="E85" s="116">
        <v>5.0</v>
      </c>
      <c r="F85" s="117">
        <v>170.0</v>
      </c>
      <c r="G85" s="126">
        <f t="shared" si="2"/>
        <v>850</v>
      </c>
      <c r="H85" s="132"/>
    </row>
    <row r="86">
      <c r="D86" s="144" t="s">
        <v>155</v>
      </c>
      <c r="E86" s="116">
        <v>2.0</v>
      </c>
      <c r="F86" s="117">
        <v>350.0</v>
      </c>
      <c r="G86" s="126">
        <f t="shared" si="2"/>
        <v>700</v>
      </c>
      <c r="H86" s="132"/>
    </row>
    <row r="87">
      <c r="D87" s="144" t="s">
        <v>156</v>
      </c>
      <c r="E87" s="116">
        <v>1.0</v>
      </c>
      <c r="F87" s="117">
        <v>1200.0</v>
      </c>
      <c r="G87" s="126">
        <f t="shared" si="2"/>
        <v>1200</v>
      </c>
      <c r="H87" s="132"/>
    </row>
    <row r="88">
      <c r="D88" s="144" t="s">
        <v>157</v>
      </c>
      <c r="E88" s="116">
        <v>2.0</v>
      </c>
      <c r="F88" s="117">
        <v>100.0</v>
      </c>
      <c r="G88" s="126">
        <f t="shared" si="2"/>
        <v>200</v>
      </c>
      <c r="H88" s="132"/>
    </row>
    <row r="89">
      <c r="D89" s="144" t="s">
        <v>158</v>
      </c>
      <c r="E89" s="116">
        <v>2.0</v>
      </c>
      <c r="F89" s="117">
        <v>500.0</v>
      </c>
      <c r="G89" s="126">
        <f t="shared" si="2"/>
        <v>1000</v>
      </c>
      <c r="H89" s="132"/>
    </row>
    <row r="90">
      <c r="D90" s="144" t="s">
        <v>159</v>
      </c>
      <c r="E90" s="116">
        <v>1.0</v>
      </c>
      <c r="F90" s="117">
        <v>170.0</v>
      </c>
      <c r="G90" s="126">
        <f t="shared" si="2"/>
        <v>170</v>
      </c>
      <c r="H90" s="132"/>
    </row>
    <row r="91">
      <c r="D91" s="144" t="s">
        <v>144</v>
      </c>
      <c r="E91" s="116">
        <v>2.0</v>
      </c>
      <c r="F91" s="117">
        <v>150.0</v>
      </c>
      <c r="G91" s="126">
        <f t="shared" si="2"/>
        <v>300</v>
      </c>
      <c r="H91" s="132"/>
    </row>
    <row r="92">
      <c r="D92" s="144" t="s">
        <v>160</v>
      </c>
      <c r="E92" s="116">
        <v>2.0</v>
      </c>
      <c r="F92" s="117">
        <v>450.0</v>
      </c>
      <c r="G92" s="126">
        <f t="shared" si="2"/>
        <v>900</v>
      </c>
      <c r="H92" s="132"/>
    </row>
    <row r="93">
      <c r="D93" s="144" t="s">
        <v>161</v>
      </c>
      <c r="E93" s="116">
        <v>1.0</v>
      </c>
      <c r="F93" s="117">
        <v>240.0</v>
      </c>
      <c r="G93" s="126">
        <f t="shared" si="2"/>
        <v>240</v>
      </c>
      <c r="H93" s="113">
        <v>45521.0</v>
      </c>
    </row>
    <row r="94">
      <c r="D94" s="144" t="s">
        <v>162</v>
      </c>
      <c r="E94" s="116">
        <v>6.0</v>
      </c>
      <c r="F94" s="117">
        <v>170.0</v>
      </c>
      <c r="G94" s="126">
        <f t="shared" si="2"/>
        <v>1020</v>
      </c>
      <c r="H94" s="132"/>
    </row>
    <row r="95">
      <c r="D95" s="144" t="s">
        <v>163</v>
      </c>
      <c r="E95" s="116">
        <v>1.0</v>
      </c>
      <c r="F95" s="117">
        <v>150.0</v>
      </c>
      <c r="G95" s="126">
        <f t="shared" si="2"/>
        <v>150</v>
      </c>
      <c r="H95" s="132"/>
    </row>
    <row r="96">
      <c r="D96" s="144" t="s">
        <v>164</v>
      </c>
      <c r="E96" s="116">
        <v>1.0</v>
      </c>
      <c r="F96" s="117">
        <v>100.0</v>
      </c>
      <c r="G96" s="126">
        <f t="shared" si="2"/>
        <v>100</v>
      </c>
      <c r="H96" s="132"/>
    </row>
    <row r="97">
      <c r="D97" s="144" t="s">
        <v>165</v>
      </c>
      <c r="E97" s="116">
        <v>5.0</v>
      </c>
      <c r="F97" s="117">
        <v>100.0</v>
      </c>
      <c r="G97" s="126">
        <f t="shared" si="2"/>
        <v>500</v>
      </c>
      <c r="H97" s="132"/>
    </row>
    <row r="98">
      <c r="D98" s="144" t="s">
        <v>166</v>
      </c>
      <c r="E98" s="116">
        <v>20.0</v>
      </c>
      <c r="F98" s="117">
        <v>80.0</v>
      </c>
      <c r="G98" s="126">
        <f t="shared" si="2"/>
        <v>1600</v>
      </c>
      <c r="H98" s="132"/>
    </row>
    <row r="99">
      <c r="D99" s="144" t="s">
        <v>167</v>
      </c>
      <c r="E99" s="116">
        <v>30.0</v>
      </c>
      <c r="F99" s="117">
        <v>50.0</v>
      </c>
      <c r="G99" s="126">
        <f t="shared" si="2"/>
        <v>1500</v>
      </c>
      <c r="H99" s="132"/>
    </row>
    <row r="100">
      <c r="D100" s="145" t="s">
        <v>168</v>
      </c>
      <c r="E100" s="116">
        <v>1.0</v>
      </c>
      <c r="F100" s="117">
        <v>220.0</v>
      </c>
      <c r="G100" s="126">
        <f t="shared" si="2"/>
        <v>220</v>
      </c>
      <c r="H100" s="132"/>
    </row>
    <row r="101">
      <c r="D101" s="145" t="s">
        <v>169</v>
      </c>
      <c r="E101" s="116">
        <v>1.0</v>
      </c>
      <c r="F101" s="117">
        <v>60.0</v>
      </c>
      <c r="G101" s="126">
        <f t="shared" si="2"/>
        <v>60</v>
      </c>
      <c r="H101" s="132"/>
    </row>
    <row r="102">
      <c r="D102" s="146" t="s">
        <v>170</v>
      </c>
      <c r="E102" s="116">
        <v>1.0</v>
      </c>
      <c r="F102" s="117">
        <v>200.0</v>
      </c>
      <c r="G102" s="126">
        <f t="shared" si="2"/>
        <v>200</v>
      </c>
      <c r="H102" s="132"/>
    </row>
    <row r="103">
      <c r="D103" s="146" t="s">
        <v>146</v>
      </c>
      <c r="E103" s="116">
        <v>1.0</v>
      </c>
      <c r="F103" s="117">
        <v>1000.0</v>
      </c>
      <c r="G103" s="126">
        <f t="shared" si="2"/>
        <v>1000</v>
      </c>
      <c r="H103" s="132"/>
    </row>
    <row r="104">
      <c r="D104" s="146" t="s">
        <v>124</v>
      </c>
      <c r="E104" s="116">
        <v>10.0</v>
      </c>
      <c r="F104" s="117">
        <v>100.0</v>
      </c>
      <c r="G104" s="126">
        <f t="shared" si="2"/>
        <v>1000</v>
      </c>
      <c r="H104" s="132"/>
    </row>
    <row r="105">
      <c r="D105" s="146" t="s">
        <v>171</v>
      </c>
      <c r="E105" s="116">
        <v>4.0</v>
      </c>
      <c r="F105" s="117">
        <v>30.0</v>
      </c>
      <c r="G105" s="126">
        <f t="shared" si="2"/>
        <v>120</v>
      </c>
      <c r="H105" s="132"/>
    </row>
    <row r="106">
      <c r="D106" s="146" t="s">
        <v>172</v>
      </c>
      <c r="E106" s="116">
        <v>1.0</v>
      </c>
      <c r="F106" s="117">
        <v>250.0</v>
      </c>
      <c r="G106" s="126">
        <f t="shared" si="2"/>
        <v>250</v>
      </c>
      <c r="H106" s="132"/>
    </row>
    <row r="107">
      <c r="D107" s="146" t="s">
        <v>173</v>
      </c>
      <c r="E107" s="116">
        <v>5.0</v>
      </c>
      <c r="F107" s="117">
        <v>100.0</v>
      </c>
      <c r="G107" s="126">
        <f t="shared" si="2"/>
        <v>500</v>
      </c>
      <c r="H107" s="132"/>
    </row>
    <row r="108">
      <c r="D108" s="146" t="s">
        <v>174</v>
      </c>
      <c r="E108" s="116">
        <v>1.0</v>
      </c>
      <c r="F108" s="117">
        <v>1500.0</v>
      </c>
      <c r="G108" s="126">
        <f t="shared" si="2"/>
        <v>1500</v>
      </c>
      <c r="H108" s="113">
        <v>45515.0</v>
      </c>
    </row>
    <row r="109">
      <c r="D109" s="146" t="s">
        <v>175</v>
      </c>
      <c r="E109" s="116">
        <v>100.0</v>
      </c>
      <c r="F109" s="117">
        <v>40.0</v>
      </c>
      <c r="G109" s="126">
        <f t="shared" si="2"/>
        <v>4000</v>
      </c>
      <c r="H109" s="132"/>
    </row>
    <row r="110">
      <c r="D110" s="146" t="s">
        <v>176</v>
      </c>
      <c r="E110" s="116">
        <v>2.0</v>
      </c>
      <c r="F110" s="117">
        <v>100.0</v>
      </c>
      <c r="G110" s="126">
        <f t="shared" si="2"/>
        <v>200</v>
      </c>
      <c r="H110" s="132"/>
    </row>
    <row r="111">
      <c r="D111" s="146" t="s">
        <v>177</v>
      </c>
      <c r="E111" s="116">
        <v>5.0</v>
      </c>
      <c r="F111" s="117">
        <v>30.0</v>
      </c>
      <c r="G111" s="126">
        <f t="shared" si="2"/>
        <v>150</v>
      </c>
      <c r="H111" s="132"/>
    </row>
    <row r="112">
      <c r="D112" s="146" t="s">
        <v>135</v>
      </c>
      <c r="E112" s="116">
        <v>4.0</v>
      </c>
      <c r="F112" s="117">
        <v>300.0</v>
      </c>
      <c r="G112" s="126">
        <f t="shared" si="2"/>
        <v>1200</v>
      </c>
      <c r="H112" s="113">
        <v>45522.0</v>
      </c>
    </row>
    <row r="113">
      <c r="D113" s="146" t="s">
        <v>178</v>
      </c>
      <c r="E113" s="116">
        <v>2.0</v>
      </c>
      <c r="F113" s="117">
        <v>150.0</v>
      </c>
      <c r="G113" s="126">
        <f t="shared" si="2"/>
        <v>300</v>
      </c>
      <c r="H113" s="132"/>
    </row>
    <row r="114">
      <c r="D114" s="146" t="s">
        <v>179</v>
      </c>
      <c r="E114" s="116">
        <v>1.0</v>
      </c>
      <c r="F114" s="117">
        <v>220.0</v>
      </c>
      <c r="G114" s="126">
        <f t="shared" si="2"/>
        <v>220</v>
      </c>
      <c r="H114" s="132"/>
    </row>
    <row r="115">
      <c r="D115" s="146" t="s">
        <v>180</v>
      </c>
      <c r="E115" s="116">
        <v>1.0</v>
      </c>
      <c r="F115" s="117">
        <v>250.0</v>
      </c>
      <c r="G115" s="126">
        <f t="shared" si="2"/>
        <v>250</v>
      </c>
      <c r="H115" s="132"/>
    </row>
    <row r="116">
      <c r="D116" s="146" t="s">
        <v>181</v>
      </c>
      <c r="E116" s="116">
        <v>4.0</v>
      </c>
      <c r="F116" s="117">
        <v>100.0</v>
      </c>
      <c r="G116" s="126">
        <f t="shared" si="2"/>
        <v>400</v>
      </c>
      <c r="H116" s="113">
        <v>45523.0</v>
      </c>
    </row>
    <row r="117">
      <c r="D117" s="146" t="s">
        <v>160</v>
      </c>
      <c r="E117" s="116">
        <v>4.0</v>
      </c>
      <c r="F117" s="117">
        <v>250.0</v>
      </c>
      <c r="G117" s="126">
        <f t="shared" si="2"/>
        <v>1000</v>
      </c>
      <c r="H117" s="132"/>
    </row>
    <row r="118">
      <c r="D118" s="146" t="s">
        <v>170</v>
      </c>
      <c r="E118" s="116">
        <v>0.5</v>
      </c>
      <c r="F118" s="117">
        <v>600.0</v>
      </c>
      <c r="G118" s="126">
        <f t="shared" si="2"/>
        <v>300</v>
      </c>
      <c r="H118" s="132"/>
    </row>
    <row r="119">
      <c r="D119" s="146" t="s">
        <v>182</v>
      </c>
      <c r="E119" s="116">
        <v>0.5</v>
      </c>
      <c r="F119" s="117">
        <v>400.0</v>
      </c>
      <c r="G119" s="126">
        <f t="shared" si="2"/>
        <v>200</v>
      </c>
      <c r="H119" s="132"/>
    </row>
    <row r="120">
      <c r="D120" s="146" t="s">
        <v>183</v>
      </c>
      <c r="E120" s="116">
        <v>0.5</v>
      </c>
      <c r="F120" s="117">
        <v>600.0</v>
      </c>
      <c r="G120" s="126">
        <f t="shared" si="2"/>
        <v>300</v>
      </c>
      <c r="H120" s="132"/>
    </row>
    <row r="121">
      <c r="D121" s="146" t="s">
        <v>124</v>
      </c>
      <c r="E121" s="116">
        <v>7.0</v>
      </c>
      <c r="F121" s="117">
        <v>100.0</v>
      </c>
      <c r="G121" s="126">
        <f t="shared" si="2"/>
        <v>700</v>
      </c>
      <c r="H121" s="132"/>
    </row>
    <row r="122">
      <c r="D122" s="146" t="s">
        <v>179</v>
      </c>
      <c r="E122" s="116">
        <v>1.0</v>
      </c>
      <c r="F122" s="117">
        <v>220.0</v>
      </c>
      <c r="G122" s="126">
        <f t="shared" si="2"/>
        <v>220</v>
      </c>
      <c r="H122" s="132"/>
    </row>
    <row r="123">
      <c r="D123" s="146" t="s">
        <v>184</v>
      </c>
      <c r="E123" s="116">
        <v>3.0</v>
      </c>
      <c r="F123" s="117">
        <v>1000.0</v>
      </c>
      <c r="G123" s="126">
        <f t="shared" si="2"/>
        <v>3000</v>
      </c>
      <c r="H123" s="132"/>
    </row>
    <row r="124">
      <c r="D124" s="146" t="s">
        <v>185</v>
      </c>
      <c r="E124" s="116">
        <v>1.0</v>
      </c>
      <c r="F124" s="117">
        <v>200.0</v>
      </c>
      <c r="G124" s="126">
        <f t="shared" si="2"/>
        <v>200</v>
      </c>
      <c r="H124" s="132"/>
    </row>
    <row r="125">
      <c r="D125" s="146" t="s">
        <v>186</v>
      </c>
      <c r="E125" s="116">
        <v>1.0</v>
      </c>
      <c r="F125" s="117">
        <v>200.0</v>
      </c>
      <c r="G125" s="126">
        <f t="shared" si="2"/>
        <v>200</v>
      </c>
      <c r="H125" s="132"/>
    </row>
    <row r="126">
      <c r="D126" s="146" t="s">
        <v>187</v>
      </c>
      <c r="E126" s="116">
        <v>1.0</v>
      </c>
      <c r="F126" s="117">
        <v>150.0</v>
      </c>
      <c r="G126" s="126">
        <f t="shared" si="2"/>
        <v>150</v>
      </c>
      <c r="H126" s="132"/>
    </row>
    <row r="127">
      <c r="D127" s="146" t="s">
        <v>188</v>
      </c>
      <c r="E127" s="116">
        <v>1.0</v>
      </c>
      <c r="F127" s="117">
        <v>200.0</v>
      </c>
      <c r="G127" s="126">
        <f t="shared" si="2"/>
        <v>200</v>
      </c>
      <c r="H127" s="132"/>
    </row>
    <row r="128">
      <c r="D128" s="146" t="s">
        <v>119</v>
      </c>
      <c r="E128" s="116">
        <v>20.0</v>
      </c>
      <c r="F128" s="117">
        <v>50.0</v>
      </c>
      <c r="G128" s="126">
        <f t="shared" si="2"/>
        <v>1000</v>
      </c>
      <c r="H128" s="132"/>
    </row>
    <row r="129">
      <c r="D129" s="146" t="s">
        <v>149</v>
      </c>
      <c r="E129" s="116">
        <v>1.0</v>
      </c>
      <c r="F129" s="117">
        <v>100.0</v>
      </c>
      <c r="G129" s="126">
        <f t="shared" si="2"/>
        <v>100</v>
      </c>
      <c r="H129" s="132"/>
    </row>
    <row r="130">
      <c r="D130" s="146" t="s">
        <v>178</v>
      </c>
      <c r="E130" s="116">
        <v>2.0</v>
      </c>
      <c r="F130" s="117">
        <v>150.0</v>
      </c>
      <c r="G130" s="126">
        <f t="shared" si="2"/>
        <v>300</v>
      </c>
      <c r="H130" s="132"/>
    </row>
    <row r="131">
      <c r="D131" s="146" t="s">
        <v>152</v>
      </c>
      <c r="E131" s="116">
        <v>5.0</v>
      </c>
      <c r="F131" s="117">
        <v>300.0</v>
      </c>
      <c r="G131" s="126">
        <f t="shared" si="2"/>
        <v>1500</v>
      </c>
      <c r="H131" s="132"/>
    </row>
    <row r="132">
      <c r="D132" s="146" t="s">
        <v>124</v>
      </c>
      <c r="E132" s="116">
        <v>5.0</v>
      </c>
      <c r="F132" s="117">
        <v>100.0</v>
      </c>
      <c r="G132" s="126">
        <f t="shared" si="2"/>
        <v>500</v>
      </c>
      <c r="H132" s="132"/>
    </row>
    <row r="133">
      <c r="D133" s="146" t="s">
        <v>121</v>
      </c>
      <c r="E133" s="116">
        <v>20.0</v>
      </c>
      <c r="F133" s="117">
        <v>600.0</v>
      </c>
      <c r="G133" s="126">
        <f t="shared" si="2"/>
        <v>12000</v>
      </c>
      <c r="H133" s="113">
        <v>45524.0</v>
      </c>
    </row>
    <row r="134">
      <c r="D134" s="146" t="s">
        <v>189</v>
      </c>
      <c r="E134" s="116">
        <v>2.0</v>
      </c>
      <c r="F134" s="117">
        <v>1650.0</v>
      </c>
      <c r="G134" s="126">
        <f t="shared" si="2"/>
        <v>3300</v>
      </c>
      <c r="H134" s="132"/>
    </row>
    <row r="135">
      <c r="D135" s="146" t="s">
        <v>190</v>
      </c>
      <c r="E135" s="116">
        <v>2.0</v>
      </c>
      <c r="F135" s="117">
        <v>1050.0</v>
      </c>
      <c r="G135" s="126">
        <f t="shared" si="2"/>
        <v>2100</v>
      </c>
      <c r="H135" s="132"/>
    </row>
    <row r="136">
      <c r="D136" s="146" t="s">
        <v>191</v>
      </c>
      <c r="E136" s="116">
        <v>2.0</v>
      </c>
      <c r="F136" s="117">
        <v>1000.0</v>
      </c>
      <c r="G136" s="126">
        <f t="shared" si="2"/>
        <v>2000</v>
      </c>
      <c r="H136" s="132"/>
    </row>
    <row r="137">
      <c r="D137" s="146" t="s">
        <v>192</v>
      </c>
      <c r="E137" s="116">
        <v>1.0</v>
      </c>
      <c r="F137" s="117">
        <v>650.0</v>
      </c>
      <c r="G137" s="126">
        <f t="shared" si="2"/>
        <v>650</v>
      </c>
      <c r="H137" s="132"/>
    </row>
    <row r="138">
      <c r="D138" s="146" t="s">
        <v>193</v>
      </c>
      <c r="E138" s="116">
        <v>1.0</v>
      </c>
      <c r="F138" s="117">
        <v>750.0</v>
      </c>
      <c r="G138" s="126">
        <f t="shared" si="2"/>
        <v>750</v>
      </c>
      <c r="H138" s="132"/>
    </row>
    <row r="139">
      <c r="D139" s="146" t="s">
        <v>194</v>
      </c>
      <c r="E139" s="116">
        <v>1.0</v>
      </c>
      <c r="F139" s="117">
        <v>1050.0</v>
      </c>
      <c r="G139" s="126">
        <f t="shared" si="2"/>
        <v>1050</v>
      </c>
      <c r="H139" s="132"/>
    </row>
    <row r="140">
      <c r="D140" s="146" t="s">
        <v>195</v>
      </c>
      <c r="E140" s="116">
        <v>1.0</v>
      </c>
      <c r="F140" s="117">
        <v>150.0</v>
      </c>
      <c r="G140" s="126">
        <f t="shared" si="2"/>
        <v>150</v>
      </c>
      <c r="H140" s="132"/>
    </row>
    <row r="141">
      <c r="D141" s="146" t="s">
        <v>150</v>
      </c>
      <c r="E141" s="116">
        <v>1.0</v>
      </c>
      <c r="F141" s="117">
        <v>100.0</v>
      </c>
      <c r="G141" s="126">
        <f t="shared" si="2"/>
        <v>100</v>
      </c>
      <c r="H141" s="132"/>
    </row>
    <row r="142">
      <c r="D142" s="146" t="s">
        <v>196</v>
      </c>
      <c r="E142" s="116">
        <v>1.0</v>
      </c>
      <c r="F142" s="117">
        <v>290.0</v>
      </c>
      <c r="G142" s="126">
        <f t="shared" si="2"/>
        <v>290</v>
      </c>
      <c r="H142" s="132"/>
    </row>
    <row r="143">
      <c r="D143" s="146" t="s">
        <v>124</v>
      </c>
      <c r="E143" s="116">
        <v>12.0</v>
      </c>
      <c r="F143" s="117">
        <v>120.0</v>
      </c>
      <c r="G143" s="126">
        <f t="shared" si="2"/>
        <v>1440</v>
      </c>
      <c r="H143" s="132"/>
    </row>
    <row r="144">
      <c r="D144" s="146" t="s">
        <v>197</v>
      </c>
      <c r="E144" s="116">
        <v>1.0</v>
      </c>
      <c r="F144" s="117">
        <v>500.0</v>
      </c>
      <c r="G144" s="126">
        <f t="shared" si="2"/>
        <v>500</v>
      </c>
      <c r="H144" s="132"/>
    </row>
    <row r="145">
      <c r="D145" s="146" t="s">
        <v>198</v>
      </c>
      <c r="E145" s="116">
        <v>1.0</v>
      </c>
      <c r="F145" s="117">
        <v>400.0</v>
      </c>
      <c r="G145" s="126">
        <f t="shared" si="2"/>
        <v>400</v>
      </c>
      <c r="H145" s="132"/>
    </row>
    <row r="146">
      <c r="D146" s="146" t="s">
        <v>179</v>
      </c>
      <c r="E146" s="116">
        <v>1.0</v>
      </c>
      <c r="F146" s="117">
        <v>200.0</v>
      </c>
      <c r="G146" s="126">
        <f t="shared" si="2"/>
        <v>200</v>
      </c>
      <c r="H146" s="132"/>
    </row>
    <row r="147">
      <c r="D147" s="146" t="s">
        <v>199</v>
      </c>
      <c r="E147" s="116">
        <v>1.0</v>
      </c>
      <c r="F147" s="117">
        <v>2000.0</v>
      </c>
      <c r="G147" s="126">
        <f t="shared" si="2"/>
        <v>2000</v>
      </c>
      <c r="H147" s="132"/>
    </row>
    <row r="148">
      <c r="D148" s="146" t="s">
        <v>200</v>
      </c>
      <c r="E148" s="116">
        <v>2.0</v>
      </c>
      <c r="F148" s="117">
        <v>300.0</v>
      </c>
      <c r="G148" s="126">
        <f t="shared" si="2"/>
        <v>600</v>
      </c>
      <c r="H148" s="132"/>
    </row>
    <row r="149">
      <c r="D149" s="146" t="s">
        <v>201</v>
      </c>
      <c r="E149" s="116">
        <v>1.0</v>
      </c>
      <c r="F149" s="117">
        <v>150.0</v>
      </c>
      <c r="G149" s="126">
        <f t="shared" si="2"/>
        <v>150</v>
      </c>
      <c r="H149" s="132"/>
    </row>
    <row r="150">
      <c r="D150" s="146" t="s">
        <v>119</v>
      </c>
      <c r="E150" s="116">
        <v>20.0</v>
      </c>
      <c r="F150" s="117">
        <v>50.0</v>
      </c>
      <c r="G150" s="126">
        <f t="shared" si="2"/>
        <v>1000</v>
      </c>
      <c r="H150" s="113">
        <v>45525.0</v>
      </c>
    </row>
    <row r="151">
      <c r="D151" s="146" t="s">
        <v>124</v>
      </c>
      <c r="E151" s="116">
        <v>10.0</v>
      </c>
      <c r="F151" s="117">
        <v>100.0</v>
      </c>
      <c r="G151" s="126">
        <f t="shared" si="2"/>
        <v>1000</v>
      </c>
      <c r="H151" s="132"/>
    </row>
    <row r="152">
      <c r="D152" s="146" t="s">
        <v>146</v>
      </c>
      <c r="E152" s="116">
        <v>0.5</v>
      </c>
      <c r="F152" s="117">
        <v>1000.0</v>
      </c>
      <c r="G152" s="126">
        <f t="shared" si="2"/>
        <v>500</v>
      </c>
      <c r="H152" s="132"/>
    </row>
    <row r="153">
      <c r="D153" s="146" t="s">
        <v>202</v>
      </c>
      <c r="E153" s="116">
        <v>5.0</v>
      </c>
      <c r="F153" s="117">
        <v>130.0</v>
      </c>
      <c r="G153" s="126">
        <f t="shared" si="2"/>
        <v>650</v>
      </c>
      <c r="H153" s="113">
        <v>45526.0</v>
      </c>
    </row>
    <row r="154">
      <c r="D154" s="146" t="s">
        <v>203</v>
      </c>
      <c r="E154" s="116">
        <v>7.0</v>
      </c>
      <c r="F154" s="117">
        <v>80.0</v>
      </c>
      <c r="G154" s="126">
        <f t="shared" si="2"/>
        <v>560</v>
      </c>
      <c r="H154" s="132"/>
    </row>
    <row r="155">
      <c r="D155" s="146" t="s">
        <v>204</v>
      </c>
      <c r="E155" s="116">
        <v>7.0</v>
      </c>
      <c r="F155" s="117">
        <v>150.0</v>
      </c>
      <c r="G155" s="126">
        <f t="shared" si="2"/>
        <v>1050</v>
      </c>
      <c r="H155" s="132"/>
    </row>
    <row r="156">
      <c r="D156" s="146" t="s">
        <v>179</v>
      </c>
      <c r="E156" s="116">
        <v>2.0</v>
      </c>
      <c r="F156" s="117">
        <v>500.0</v>
      </c>
      <c r="G156" s="126">
        <f t="shared" si="2"/>
        <v>1000</v>
      </c>
      <c r="H156" s="132"/>
    </row>
    <row r="157">
      <c r="D157" s="146" t="s">
        <v>195</v>
      </c>
      <c r="E157" s="116">
        <v>20.0</v>
      </c>
      <c r="F157" s="117">
        <v>140.0</v>
      </c>
      <c r="G157" s="126">
        <f t="shared" si="2"/>
        <v>2800</v>
      </c>
      <c r="H157" s="132"/>
    </row>
    <row r="158">
      <c r="D158" s="146" t="s">
        <v>124</v>
      </c>
      <c r="E158" s="116">
        <v>20.0</v>
      </c>
      <c r="F158" s="117">
        <v>100.0</v>
      </c>
      <c r="G158" s="126">
        <f t="shared" si="2"/>
        <v>2000</v>
      </c>
      <c r="H158" s="132"/>
    </row>
    <row r="159">
      <c r="D159" s="146" t="s">
        <v>121</v>
      </c>
      <c r="E159" s="116">
        <v>10.0</v>
      </c>
      <c r="F159" s="117">
        <v>600.0</v>
      </c>
      <c r="G159" s="126">
        <f t="shared" si="2"/>
        <v>6000</v>
      </c>
      <c r="H159" s="132"/>
    </row>
    <row r="160">
      <c r="D160" s="146" t="s">
        <v>205</v>
      </c>
      <c r="E160" s="116">
        <v>1.0</v>
      </c>
      <c r="F160" s="117">
        <v>850.0</v>
      </c>
      <c r="G160" s="126">
        <f t="shared" si="2"/>
        <v>850</v>
      </c>
      <c r="H160" s="132"/>
    </row>
    <row r="161">
      <c r="D161" s="146" t="s">
        <v>124</v>
      </c>
      <c r="E161" s="116">
        <v>5.0</v>
      </c>
      <c r="F161" s="117">
        <v>120.0</v>
      </c>
      <c r="G161" s="126">
        <f t="shared" si="2"/>
        <v>600</v>
      </c>
      <c r="H161" s="113">
        <v>45529.0</v>
      </c>
    </row>
    <row r="162">
      <c r="D162" s="146" t="s">
        <v>206</v>
      </c>
      <c r="E162" s="116">
        <v>50.0</v>
      </c>
      <c r="F162" s="117">
        <v>40.0</v>
      </c>
      <c r="G162" s="126">
        <f t="shared" si="2"/>
        <v>2000</v>
      </c>
      <c r="H162" s="132"/>
    </row>
    <row r="163">
      <c r="D163" s="146" t="s">
        <v>207</v>
      </c>
      <c r="E163" s="116">
        <v>1.0</v>
      </c>
      <c r="F163" s="117">
        <v>1000.0</v>
      </c>
      <c r="G163" s="117">
        <v>1000.0</v>
      </c>
      <c r="H163" s="132"/>
    </row>
    <row r="164">
      <c r="D164" s="146" t="s">
        <v>208</v>
      </c>
      <c r="E164" s="116">
        <v>1.0</v>
      </c>
      <c r="F164" s="117">
        <v>1300.0</v>
      </c>
      <c r="G164" s="126">
        <f t="shared" ref="G164:G289" si="3">E164*F164</f>
        <v>1300</v>
      </c>
      <c r="H164" s="132"/>
    </row>
    <row r="165">
      <c r="D165" s="146" t="s">
        <v>209</v>
      </c>
      <c r="E165" s="116">
        <v>2.0</v>
      </c>
      <c r="F165" s="117">
        <v>1500.0</v>
      </c>
      <c r="G165" s="126">
        <f t="shared" si="3"/>
        <v>3000</v>
      </c>
      <c r="H165" s="132"/>
    </row>
    <row r="166">
      <c r="D166" s="146" t="s">
        <v>210</v>
      </c>
      <c r="E166" s="116">
        <v>1.0</v>
      </c>
      <c r="F166" s="117">
        <v>3600.0</v>
      </c>
      <c r="G166" s="126">
        <f t="shared" si="3"/>
        <v>3600</v>
      </c>
      <c r="H166" s="132"/>
    </row>
    <row r="167">
      <c r="D167" s="146" t="s">
        <v>195</v>
      </c>
      <c r="E167" s="116">
        <v>24.0</v>
      </c>
      <c r="F167" s="117">
        <v>140.0</v>
      </c>
      <c r="G167" s="126">
        <f t="shared" si="3"/>
        <v>3360</v>
      </c>
      <c r="H167" s="132"/>
    </row>
    <row r="168">
      <c r="D168" s="146" t="s">
        <v>179</v>
      </c>
      <c r="E168" s="116">
        <v>2.0</v>
      </c>
      <c r="F168" s="117">
        <v>500.0</v>
      </c>
      <c r="G168" s="126">
        <f t="shared" si="3"/>
        <v>1000</v>
      </c>
      <c r="H168" s="132"/>
    </row>
    <row r="169">
      <c r="D169" s="146" t="s">
        <v>149</v>
      </c>
      <c r="E169" s="116">
        <v>10.0</v>
      </c>
      <c r="F169" s="117">
        <v>125.0</v>
      </c>
      <c r="G169" s="126">
        <f t="shared" si="3"/>
        <v>1250</v>
      </c>
      <c r="H169" s="132"/>
    </row>
    <row r="170">
      <c r="D170" s="146" t="s">
        <v>154</v>
      </c>
      <c r="E170" s="116">
        <v>4.0</v>
      </c>
      <c r="F170" s="117">
        <v>200.0</v>
      </c>
      <c r="G170" s="126">
        <f t="shared" si="3"/>
        <v>800</v>
      </c>
      <c r="H170" s="132"/>
    </row>
    <row r="171">
      <c r="D171" s="146" t="s">
        <v>211</v>
      </c>
      <c r="E171" s="116">
        <v>2.0</v>
      </c>
      <c r="F171" s="117">
        <v>650.0</v>
      </c>
      <c r="G171" s="126">
        <f t="shared" si="3"/>
        <v>1300</v>
      </c>
      <c r="H171" s="132"/>
    </row>
    <row r="172">
      <c r="D172" s="146" t="s">
        <v>154</v>
      </c>
      <c r="E172" s="116">
        <v>2.5</v>
      </c>
      <c r="F172" s="117">
        <v>100.0</v>
      </c>
      <c r="G172" s="126">
        <f t="shared" si="3"/>
        <v>250</v>
      </c>
      <c r="H172" s="132"/>
    </row>
    <row r="173">
      <c r="D173" s="146" t="s">
        <v>124</v>
      </c>
      <c r="E173" s="116">
        <v>6.0</v>
      </c>
      <c r="F173" s="117">
        <v>150.0</v>
      </c>
      <c r="G173" s="126">
        <f t="shared" si="3"/>
        <v>900</v>
      </c>
      <c r="H173" s="132"/>
    </row>
    <row r="174">
      <c r="D174" s="146" t="s">
        <v>142</v>
      </c>
      <c r="E174" s="116">
        <v>2.0</v>
      </c>
      <c r="F174" s="117">
        <v>280.0</v>
      </c>
      <c r="G174" s="126">
        <f t="shared" si="3"/>
        <v>560</v>
      </c>
      <c r="H174" s="132"/>
    </row>
    <row r="175">
      <c r="D175" s="146" t="s">
        <v>83</v>
      </c>
      <c r="E175" s="116">
        <v>28.5</v>
      </c>
      <c r="F175" s="117">
        <v>1650.0</v>
      </c>
      <c r="G175" s="126">
        <f t="shared" si="3"/>
        <v>47025</v>
      </c>
      <c r="H175" s="132"/>
      <c r="I175" s="147">
        <v>1650.0</v>
      </c>
    </row>
    <row r="176">
      <c r="D176" s="146" t="s">
        <v>212</v>
      </c>
      <c r="E176" s="116">
        <v>1.0</v>
      </c>
      <c r="F176" s="117">
        <v>250.0</v>
      </c>
      <c r="G176" s="126">
        <f t="shared" si="3"/>
        <v>250</v>
      </c>
      <c r="H176" s="132"/>
    </row>
    <row r="177">
      <c r="D177" s="146" t="s">
        <v>146</v>
      </c>
      <c r="E177" s="116">
        <v>1.0</v>
      </c>
      <c r="F177" s="117">
        <v>950.0</v>
      </c>
      <c r="G177" s="126">
        <f t="shared" si="3"/>
        <v>950</v>
      </c>
      <c r="H177" s="113">
        <v>45530.0</v>
      </c>
    </row>
    <row r="178">
      <c r="D178" s="146" t="s">
        <v>213</v>
      </c>
      <c r="E178" s="116">
        <v>4.0</v>
      </c>
      <c r="F178" s="117">
        <v>30.0</v>
      </c>
      <c r="G178" s="126">
        <f t="shared" si="3"/>
        <v>120</v>
      </c>
      <c r="H178" s="132"/>
    </row>
    <row r="179">
      <c r="D179" s="146" t="s">
        <v>149</v>
      </c>
      <c r="E179" s="116">
        <v>1.0</v>
      </c>
      <c r="F179" s="117">
        <v>85.0</v>
      </c>
      <c r="G179" s="126">
        <f t="shared" si="3"/>
        <v>85</v>
      </c>
      <c r="H179" s="132"/>
    </row>
    <row r="180">
      <c r="D180" s="146" t="s">
        <v>154</v>
      </c>
      <c r="E180" s="116">
        <v>1.0</v>
      </c>
      <c r="F180" s="117">
        <v>200.0</v>
      </c>
      <c r="G180" s="126">
        <f t="shared" si="3"/>
        <v>200</v>
      </c>
      <c r="H180" s="132"/>
    </row>
    <row r="181">
      <c r="D181" s="146" t="s">
        <v>214</v>
      </c>
      <c r="E181" s="116">
        <v>1.0</v>
      </c>
      <c r="F181" s="117">
        <v>600.0</v>
      </c>
      <c r="G181" s="126">
        <f t="shared" si="3"/>
        <v>600</v>
      </c>
      <c r="H181" s="132"/>
    </row>
    <row r="182">
      <c r="D182" s="146" t="s">
        <v>215</v>
      </c>
      <c r="E182" s="116">
        <v>3.0</v>
      </c>
      <c r="F182" s="117">
        <v>200.0</v>
      </c>
      <c r="G182" s="126">
        <f t="shared" si="3"/>
        <v>600</v>
      </c>
      <c r="H182" s="132"/>
    </row>
    <row r="183">
      <c r="D183" s="146" t="s">
        <v>145</v>
      </c>
      <c r="E183" s="116">
        <v>2.0</v>
      </c>
      <c r="F183" s="117">
        <v>150.0</v>
      </c>
      <c r="G183" s="126">
        <f t="shared" si="3"/>
        <v>300</v>
      </c>
      <c r="H183" s="132"/>
    </row>
    <row r="184">
      <c r="D184" s="146" t="s">
        <v>124</v>
      </c>
      <c r="E184" s="116">
        <v>5.0</v>
      </c>
      <c r="F184" s="117">
        <v>100.0</v>
      </c>
      <c r="G184" s="126">
        <f t="shared" si="3"/>
        <v>500</v>
      </c>
      <c r="H184" s="132"/>
    </row>
    <row r="185">
      <c r="D185" s="146" t="s">
        <v>179</v>
      </c>
      <c r="E185" s="116">
        <v>3.0</v>
      </c>
      <c r="F185" s="117">
        <v>220.0</v>
      </c>
      <c r="G185" s="126">
        <f t="shared" si="3"/>
        <v>660</v>
      </c>
      <c r="H185" s="132"/>
    </row>
    <row r="186">
      <c r="D186" s="146" t="s">
        <v>155</v>
      </c>
      <c r="E186" s="116">
        <v>1.0</v>
      </c>
      <c r="F186" s="117">
        <v>350.0</v>
      </c>
      <c r="G186" s="126">
        <f t="shared" si="3"/>
        <v>350</v>
      </c>
      <c r="H186" s="132"/>
    </row>
    <row r="187">
      <c r="D187" s="146" t="s">
        <v>142</v>
      </c>
      <c r="E187" s="116">
        <v>2.0</v>
      </c>
      <c r="F187" s="117">
        <v>280.0</v>
      </c>
      <c r="G187" s="126">
        <f t="shared" si="3"/>
        <v>560</v>
      </c>
      <c r="H187" s="132"/>
    </row>
    <row r="188">
      <c r="D188" s="146" t="s">
        <v>216</v>
      </c>
      <c r="E188" s="116">
        <v>2.0</v>
      </c>
      <c r="F188" s="117">
        <v>400.0</v>
      </c>
      <c r="G188" s="126">
        <f t="shared" si="3"/>
        <v>800</v>
      </c>
      <c r="H188" s="113">
        <v>45533.0</v>
      </c>
    </row>
    <row r="189">
      <c r="D189" s="146" t="s">
        <v>217</v>
      </c>
      <c r="E189" s="116">
        <v>55.0</v>
      </c>
      <c r="F189" s="117">
        <v>100.0</v>
      </c>
      <c r="G189" s="126">
        <f t="shared" si="3"/>
        <v>5500</v>
      </c>
      <c r="H189" s="132"/>
    </row>
    <row r="190">
      <c r="D190" s="146" t="s">
        <v>218</v>
      </c>
      <c r="E190" s="116">
        <v>7.5</v>
      </c>
      <c r="F190" s="117">
        <v>1000.0</v>
      </c>
      <c r="G190" s="126">
        <f t="shared" si="3"/>
        <v>7500</v>
      </c>
      <c r="H190" s="132"/>
    </row>
    <row r="191">
      <c r="D191" s="146" t="s">
        <v>219</v>
      </c>
      <c r="E191" s="116">
        <v>4.0</v>
      </c>
      <c r="F191" s="117">
        <v>500.0</v>
      </c>
      <c r="G191" s="126">
        <f t="shared" si="3"/>
        <v>2000</v>
      </c>
      <c r="H191" s="132"/>
    </row>
    <row r="192">
      <c r="D192" s="146" t="s">
        <v>220</v>
      </c>
      <c r="E192" s="116">
        <v>6.0</v>
      </c>
      <c r="F192" s="117">
        <v>100.0</v>
      </c>
      <c r="G192" s="126">
        <f t="shared" si="3"/>
        <v>600</v>
      </c>
      <c r="H192" s="132"/>
    </row>
    <row r="193">
      <c r="D193" s="146" t="s">
        <v>119</v>
      </c>
      <c r="E193" s="116">
        <v>75.0</v>
      </c>
      <c r="F193" s="117">
        <v>50.0</v>
      </c>
      <c r="G193" s="126">
        <f t="shared" si="3"/>
        <v>3750</v>
      </c>
      <c r="H193" s="132"/>
    </row>
    <row r="194">
      <c r="D194" s="146" t="s">
        <v>221</v>
      </c>
      <c r="E194" s="116">
        <v>1.0</v>
      </c>
      <c r="F194" s="117">
        <v>300.0</v>
      </c>
      <c r="G194" s="126">
        <f t="shared" si="3"/>
        <v>300</v>
      </c>
      <c r="H194" s="132"/>
    </row>
    <row r="195">
      <c r="D195" s="146" t="s">
        <v>222</v>
      </c>
      <c r="E195" s="116">
        <v>2.0</v>
      </c>
      <c r="F195" s="117">
        <v>220.0</v>
      </c>
      <c r="G195" s="126">
        <f t="shared" si="3"/>
        <v>440</v>
      </c>
      <c r="H195" s="132"/>
    </row>
    <row r="196">
      <c r="D196" s="146" t="s">
        <v>223</v>
      </c>
      <c r="E196" s="116">
        <v>5.0</v>
      </c>
      <c r="F196" s="117">
        <v>150.0</v>
      </c>
      <c r="G196" s="126">
        <f t="shared" si="3"/>
        <v>750</v>
      </c>
      <c r="H196" s="132"/>
    </row>
    <row r="197">
      <c r="D197" s="146" t="s">
        <v>135</v>
      </c>
      <c r="E197" s="116">
        <v>15.0</v>
      </c>
      <c r="F197" s="117">
        <v>200.0</v>
      </c>
      <c r="G197" s="126">
        <f t="shared" si="3"/>
        <v>3000</v>
      </c>
      <c r="H197" s="132"/>
    </row>
    <row r="198">
      <c r="D198" s="146" t="s">
        <v>224</v>
      </c>
      <c r="E198" s="116">
        <v>4.0</v>
      </c>
      <c r="F198" s="117">
        <v>50.0</v>
      </c>
      <c r="G198" s="126">
        <f t="shared" si="3"/>
        <v>200</v>
      </c>
      <c r="H198" s="132"/>
    </row>
    <row r="199">
      <c r="D199" s="146" t="s">
        <v>225</v>
      </c>
      <c r="E199" s="116">
        <v>3.0</v>
      </c>
      <c r="F199" s="117">
        <v>400.0</v>
      </c>
      <c r="G199" s="126">
        <f t="shared" si="3"/>
        <v>1200</v>
      </c>
      <c r="H199" s="132"/>
    </row>
    <row r="200">
      <c r="D200" s="146" t="s">
        <v>226</v>
      </c>
      <c r="E200" s="116">
        <v>2.0</v>
      </c>
      <c r="F200" s="117">
        <v>250.0</v>
      </c>
      <c r="G200" s="126">
        <f t="shared" si="3"/>
        <v>500</v>
      </c>
      <c r="H200" s="132"/>
    </row>
    <row r="201">
      <c r="D201" s="146" t="s">
        <v>227</v>
      </c>
      <c r="E201" s="116">
        <v>50.0</v>
      </c>
      <c r="F201" s="117">
        <v>15.0</v>
      </c>
      <c r="G201" s="126">
        <f t="shared" si="3"/>
        <v>750</v>
      </c>
      <c r="H201" s="132"/>
    </row>
    <row r="202">
      <c r="D202" s="146" t="s">
        <v>228</v>
      </c>
      <c r="E202" s="116">
        <v>2.0</v>
      </c>
      <c r="F202" s="117">
        <v>100.0</v>
      </c>
      <c r="G202" s="126">
        <f t="shared" si="3"/>
        <v>200</v>
      </c>
      <c r="H202" s="132"/>
    </row>
    <row r="203">
      <c r="D203" s="146" t="s">
        <v>229</v>
      </c>
      <c r="E203" s="116">
        <v>10.0</v>
      </c>
      <c r="F203" s="117">
        <v>70.0</v>
      </c>
      <c r="G203" s="126">
        <f t="shared" si="3"/>
        <v>700</v>
      </c>
      <c r="H203" s="132"/>
    </row>
    <row r="204">
      <c r="D204" s="146" t="s">
        <v>147</v>
      </c>
      <c r="E204" s="116">
        <v>4.0</v>
      </c>
      <c r="F204" s="117">
        <v>950.0</v>
      </c>
      <c r="G204" s="126">
        <f t="shared" si="3"/>
        <v>3800</v>
      </c>
      <c r="H204" s="132"/>
    </row>
    <row r="205">
      <c r="D205" s="146" t="s">
        <v>230</v>
      </c>
      <c r="E205" s="116">
        <v>5.0</v>
      </c>
      <c r="F205" s="117">
        <v>130.0</v>
      </c>
      <c r="G205" s="126">
        <f t="shared" si="3"/>
        <v>650</v>
      </c>
      <c r="H205" s="132"/>
    </row>
    <row r="206">
      <c r="D206" s="146" t="s">
        <v>231</v>
      </c>
      <c r="E206" s="116">
        <v>2.0</v>
      </c>
      <c r="F206" s="117">
        <v>450.0</v>
      </c>
      <c r="G206" s="126">
        <f t="shared" si="3"/>
        <v>900</v>
      </c>
      <c r="H206" s="132"/>
    </row>
    <row r="207">
      <c r="D207" s="146" t="s">
        <v>102</v>
      </c>
      <c r="E207" s="116">
        <v>4.0</v>
      </c>
      <c r="F207" s="117">
        <v>450.0</v>
      </c>
      <c r="G207" s="126">
        <f t="shared" si="3"/>
        <v>1800</v>
      </c>
      <c r="H207" s="132"/>
    </row>
    <row r="208">
      <c r="D208" s="146" t="s">
        <v>149</v>
      </c>
      <c r="E208" s="116">
        <v>10.0</v>
      </c>
      <c r="F208" s="117">
        <v>40.0</v>
      </c>
      <c r="G208" s="126">
        <f t="shared" si="3"/>
        <v>400</v>
      </c>
      <c r="H208" s="132"/>
    </row>
    <row r="209">
      <c r="D209" s="146" t="s">
        <v>224</v>
      </c>
      <c r="E209" s="116">
        <v>20.0</v>
      </c>
      <c r="F209" s="117">
        <v>50.0</v>
      </c>
      <c r="G209" s="126">
        <f t="shared" si="3"/>
        <v>1000</v>
      </c>
      <c r="H209" s="132"/>
    </row>
    <row r="210">
      <c r="D210" s="148" t="s">
        <v>232</v>
      </c>
      <c r="E210" s="149">
        <v>24.3</v>
      </c>
      <c r="F210" s="150">
        <v>1350.0</v>
      </c>
      <c r="G210" s="151">
        <f t="shared" si="3"/>
        <v>32805</v>
      </c>
      <c r="H210" s="132"/>
    </row>
    <row r="211">
      <c r="D211" s="148" t="s">
        <v>147</v>
      </c>
      <c r="E211" s="149">
        <v>50.0</v>
      </c>
      <c r="F211" s="150">
        <v>900.0</v>
      </c>
      <c r="G211" s="151">
        <f t="shared" si="3"/>
        <v>45000</v>
      </c>
      <c r="H211" s="132"/>
    </row>
    <row r="212">
      <c r="D212" s="146" t="s">
        <v>233</v>
      </c>
      <c r="E212" s="116">
        <v>1.0</v>
      </c>
      <c r="F212" s="117">
        <v>150.0</v>
      </c>
      <c r="G212" s="126">
        <f t="shared" si="3"/>
        <v>150</v>
      </c>
      <c r="H212" s="132"/>
      <c r="I212" s="152">
        <v>900.0</v>
      </c>
    </row>
    <row r="213">
      <c r="D213" s="146" t="s">
        <v>234</v>
      </c>
      <c r="E213" s="116">
        <v>0.5</v>
      </c>
      <c r="F213" s="117">
        <v>1500.0</v>
      </c>
      <c r="G213" s="126">
        <f t="shared" si="3"/>
        <v>750</v>
      </c>
      <c r="H213" s="132"/>
    </row>
    <row r="214">
      <c r="D214" s="146" t="s">
        <v>235</v>
      </c>
      <c r="E214" s="116">
        <v>0.5</v>
      </c>
      <c r="F214" s="117">
        <v>1300.0</v>
      </c>
      <c r="G214" s="126">
        <f t="shared" si="3"/>
        <v>650</v>
      </c>
      <c r="H214" s="132"/>
    </row>
    <row r="215">
      <c r="D215" s="146" t="s">
        <v>236</v>
      </c>
      <c r="E215" s="116">
        <v>0.5</v>
      </c>
      <c r="F215" s="117">
        <v>1500.0</v>
      </c>
      <c r="G215" s="126">
        <f t="shared" si="3"/>
        <v>750</v>
      </c>
      <c r="H215" s="132"/>
    </row>
    <row r="216">
      <c r="D216" s="146" t="s">
        <v>237</v>
      </c>
      <c r="E216" s="116">
        <v>0.5</v>
      </c>
      <c r="F216" s="117">
        <v>1300.0</v>
      </c>
      <c r="G216" s="126">
        <f t="shared" si="3"/>
        <v>650</v>
      </c>
      <c r="H216" s="132"/>
    </row>
    <row r="217">
      <c r="D217" s="146" t="s">
        <v>238</v>
      </c>
      <c r="E217" s="116">
        <v>60.0</v>
      </c>
      <c r="F217" s="117">
        <v>125.0</v>
      </c>
      <c r="G217" s="126">
        <f t="shared" si="3"/>
        <v>7500</v>
      </c>
      <c r="H217" s="132"/>
    </row>
    <row r="218">
      <c r="D218" s="146" t="s">
        <v>239</v>
      </c>
      <c r="E218" s="116">
        <v>6.0</v>
      </c>
      <c r="F218" s="117">
        <v>170.0</v>
      </c>
      <c r="G218" s="126">
        <f t="shared" si="3"/>
        <v>1020</v>
      </c>
      <c r="H218" s="132"/>
    </row>
    <row r="219">
      <c r="D219" s="146" t="s">
        <v>240</v>
      </c>
      <c r="E219" s="116">
        <v>2.0</v>
      </c>
      <c r="F219" s="117">
        <v>225.0</v>
      </c>
      <c r="G219" s="126">
        <f t="shared" si="3"/>
        <v>450</v>
      </c>
      <c r="H219" s="132"/>
    </row>
    <row r="220">
      <c r="D220" s="146" t="s">
        <v>241</v>
      </c>
      <c r="E220" s="116">
        <v>1.0</v>
      </c>
      <c r="F220" s="117">
        <v>650.0</v>
      </c>
      <c r="G220" s="126">
        <f t="shared" si="3"/>
        <v>650</v>
      </c>
      <c r="H220" s="132"/>
    </row>
    <row r="221">
      <c r="D221" s="146" t="s">
        <v>242</v>
      </c>
      <c r="E221" s="116">
        <v>2.0</v>
      </c>
      <c r="F221" s="117">
        <v>350.0</v>
      </c>
      <c r="G221" s="126">
        <f t="shared" si="3"/>
        <v>700</v>
      </c>
      <c r="H221" s="132"/>
    </row>
    <row r="222">
      <c r="D222" s="146" t="s">
        <v>243</v>
      </c>
      <c r="E222" s="116">
        <v>9.0</v>
      </c>
      <c r="F222" s="117">
        <v>250.0</v>
      </c>
      <c r="G222" s="126">
        <f t="shared" si="3"/>
        <v>2250</v>
      </c>
      <c r="H222" s="132"/>
    </row>
    <row r="223">
      <c r="D223" s="146" t="s">
        <v>244</v>
      </c>
      <c r="E223" s="116">
        <v>1.0</v>
      </c>
      <c r="F223" s="117">
        <v>400.0</v>
      </c>
      <c r="G223" s="126">
        <f t="shared" si="3"/>
        <v>400</v>
      </c>
      <c r="H223" s="132"/>
    </row>
    <row r="224">
      <c r="D224" s="146" t="s">
        <v>124</v>
      </c>
      <c r="E224" s="116">
        <v>3.0</v>
      </c>
      <c r="F224" s="117">
        <v>100.0</v>
      </c>
      <c r="G224" s="126">
        <f t="shared" si="3"/>
        <v>300</v>
      </c>
      <c r="H224" s="116" t="s">
        <v>245</v>
      </c>
    </row>
    <row r="225">
      <c r="D225" s="146" t="s">
        <v>246</v>
      </c>
      <c r="E225" s="116">
        <v>12.0</v>
      </c>
      <c r="F225" s="117">
        <v>180.0</v>
      </c>
      <c r="G225" s="126">
        <f t="shared" si="3"/>
        <v>2160</v>
      </c>
      <c r="H225" s="132"/>
    </row>
    <row r="226">
      <c r="D226" s="146" t="s">
        <v>247</v>
      </c>
      <c r="E226" s="116">
        <v>2.0</v>
      </c>
      <c r="F226" s="117">
        <v>500.0</v>
      </c>
      <c r="G226" s="126">
        <f t="shared" si="3"/>
        <v>1000</v>
      </c>
      <c r="H226" s="116" t="s">
        <v>245</v>
      </c>
    </row>
    <row r="227">
      <c r="D227" s="146" t="s">
        <v>205</v>
      </c>
      <c r="E227" s="116">
        <v>1.0</v>
      </c>
      <c r="F227" s="117">
        <v>650.0</v>
      </c>
      <c r="G227" s="126">
        <f t="shared" si="3"/>
        <v>650</v>
      </c>
      <c r="H227" s="116"/>
    </row>
    <row r="228">
      <c r="D228" s="146" t="s">
        <v>248</v>
      </c>
      <c r="E228" s="116">
        <v>1.0</v>
      </c>
      <c r="F228" s="117">
        <v>750.0</v>
      </c>
      <c r="G228" s="126">
        <f t="shared" si="3"/>
        <v>750</v>
      </c>
      <c r="H228" s="116" t="s">
        <v>245</v>
      </c>
    </row>
    <row r="229">
      <c r="D229" s="146" t="s">
        <v>249</v>
      </c>
      <c r="E229" s="116">
        <v>1.0</v>
      </c>
      <c r="F229" s="117">
        <v>500.0</v>
      </c>
      <c r="G229" s="126">
        <f t="shared" si="3"/>
        <v>500</v>
      </c>
      <c r="H229" s="132"/>
    </row>
    <row r="230">
      <c r="D230" s="146" t="s">
        <v>250</v>
      </c>
      <c r="E230" s="116">
        <v>50.0</v>
      </c>
      <c r="F230" s="117">
        <v>40.0</v>
      </c>
      <c r="G230" s="126">
        <f t="shared" si="3"/>
        <v>2000</v>
      </c>
      <c r="H230" s="132"/>
    </row>
    <row r="231">
      <c r="D231" s="146" t="s">
        <v>203</v>
      </c>
      <c r="E231" s="116">
        <v>3.0</v>
      </c>
      <c r="F231" s="117">
        <v>80.0</v>
      </c>
      <c r="G231" s="126">
        <f t="shared" si="3"/>
        <v>240</v>
      </c>
      <c r="H231" s="132"/>
    </row>
    <row r="232">
      <c r="D232" s="146" t="s">
        <v>202</v>
      </c>
      <c r="E232" s="116">
        <v>3.0</v>
      </c>
      <c r="F232" s="117">
        <v>80.0</v>
      </c>
      <c r="G232" s="126">
        <f t="shared" si="3"/>
        <v>240</v>
      </c>
      <c r="H232" s="132"/>
    </row>
    <row r="233">
      <c r="D233" s="146" t="s">
        <v>251</v>
      </c>
      <c r="E233" s="116">
        <v>3.0</v>
      </c>
      <c r="F233" s="117">
        <v>70.0</v>
      </c>
      <c r="G233" s="126">
        <f t="shared" si="3"/>
        <v>210</v>
      </c>
      <c r="H233" s="132"/>
    </row>
    <row r="234">
      <c r="D234" s="146" t="s">
        <v>204</v>
      </c>
      <c r="E234" s="116">
        <v>3.0</v>
      </c>
      <c r="F234" s="117">
        <v>140.0</v>
      </c>
      <c r="G234" s="126">
        <f t="shared" si="3"/>
        <v>420</v>
      </c>
      <c r="H234" s="132"/>
    </row>
    <row r="235">
      <c r="D235" s="146" t="s">
        <v>252</v>
      </c>
      <c r="E235" s="116">
        <v>2.0</v>
      </c>
      <c r="F235" s="117">
        <v>1000.0</v>
      </c>
      <c r="G235" s="126">
        <f t="shared" si="3"/>
        <v>2000</v>
      </c>
      <c r="H235" s="132"/>
    </row>
    <row r="236">
      <c r="D236" s="146" t="s">
        <v>253</v>
      </c>
      <c r="E236" s="116">
        <v>100.0</v>
      </c>
      <c r="F236" s="117">
        <v>5.0</v>
      </c>
      <c r="G236" s="126">
        <f t="shared" si="3"/>
        <v>500</v>
      </c>
      <c r="H236" s="132"/>
    </row>
    <row r="237">
      <c r="D237" s="146" t="s">
        <v>210</v>
      </c>
      <c r="E237" s="116">
        <v>1.0</v>
      </c>
      <c r="F237" s="117">
        <v>3600.0</v>
      </c>
      <c r="G237" s="126">
        <f t="shared" si="3"/>
        <v>3600</v>
      </c>
      <c r="H237" s="132"/>
    </row>
    <row r="238">
      <c r="D238" s="146" t="s">
        <v>179</v>
      </c>
      <c r="E238" s="116">
        <v>1.0</v>
      </c>
      <c r="F238" s="117">
        <v>220.0</v>
      </c>
      <c r="G238" s="126">
        <f t="shared" si="3"/>
        <v>220</v>
      </c>
      <c r="H238" s="132"/>
    </row>
    <row r="239">
      <c r="D239" s="146" t="s">
        <v>179</v>
      </c>
      <c r="E239" s="116">
        <v>2.0</v>
      </c>
      <c r="F239" s="117">
        <v>500.0</v>
      </c>
      <c r="G239" s="126">
        <f t="shared" si="3"/>
        <v>1000</v>
      </c>
      <c r="H239" s="132"/>
    </row>
    <row r="240">
      <c r="D240" s="146" t="s">
        <v>149</v>
      </c>
      <c r="E240" s="116">
        <v>1.0</v>
      </c>
      <c r="F240" s="117">
        <v>1250.0</v>
      </c>
      <c r="G240" s="126">
        <f t="shared" si="3"/>
        <v>1250</v>
      </c>
      <c r="H240" s="132"/>
    </row>
    <row r="241">
      <c r="D241" s="146" t="s">
        <v>254</v>
      </c>
      <c r="E241" s="116">
        <v>32.0</v>
      </c>
      <c r="F241" s="117">
        <v>190.0</v>
      </c>
      <c r="G241" s="126">
        <f t="shared" si="3"/>
        <v>6080</v>
      </c>
      <c r="H241" s="132"/>
    </row>
    <row r="242">
      <c r="D242" s="146" t="s">
        <v>207</v>
      </c>
      <c r="E242" s="116">
        <v>2.8</v>
      </c>
      <c r="F242" s="117">
        <v>950.0</v>
      </c>
      <c r="G242" s="126">
        <f t="shared" si="3"/>
        <v>2660</v>
      </c>
      <c r="H242" s="132"/>
    </row>
    <row r="243">
      <c r="D243" s="146" t="s">
        <v>178</v>
      </c>
      <c r="E243" s="116">
        <v>1.0</v>
      </c>
      <c r="F243" s="117">
        <v>500.0</v>
      </c>
      <c r="G243" s="126">
        <f t="shared" si="3"/>
        <v>500</v>
      </c>
      <c r="H243" s="132"/>
    </row>
    <row r="244">
      <c r="D244" s="146" t="s">
        <v>255</v>
      </c>
      <c r="E244" s="116">
        <v>3.0</v>
      </c>
      <c r="F244" s="117">
        <v>70.0</v>
      </c>
      <c r="G244" s="126">
        <f t="shared" si="3"/>
        <v>210</v>
      </c>
      <c r="H244" s="132"/>
    </row>
    <row r="245">
      <c r="D245" s="146" t="s">
        <v>248</v>
      </c>
      <c r="E245" s="116">
        <v>1.0</v>
      </c>
      <c r="F245" s="117">
        <v>250.0</v>
      </c>
      <c r="G245" s="126">
        <f t="shared" si="3"/>
        <v>250</v>
      </c>
      <c r="H245" s="132"/>
    </row>
    <row r="246">
      <c r="D246" s="146" t="s">
        <v>256</v>
      </c>
      <c r="E246" s="116">
        <v>30.0</v>
      </c>
      <c r="F246" s="117">
        <v>30.0</v>
      </c>
      <c r="G246" s="126">
        <f t="shared" si="3"/>
        <v>900</v>
      </c>
      <c r="H246" s="132"/>
    </row>
    <row r="247">
      <c r="D247" s="146" t="s">
        <v>257</v>
      </c>
      <c r="E247" s="116">
        <v>15.0</v>
      </c>
      <c r="F247" s="117">
        <v>20.0</v>
      </c>
      <c r="G247" s="126">
        <f t="shared" si="3"/>
        <v>300</v>
      </c>
      <c r="H247" s="132"/>
    </row>
    <row r="248">
      <c r="D248" s="146" t="s">
        <v>258</v>
      </c>
      <c r="E248" s="116">
        <v>2.0</v>
      </c>
      <c r="F248" s="117">
        <v>300.0</v>
      </c>
      <c r="G248" s="126">
        <f t="shared" si="3"/>
        <v>600</v>
      </c>
      <c r="H248" s="132"/>
    </row>
    <row r="249">
      <c r="D249" s="146" t="s">
        <v>170</v>
      </c>
      <c r="E249" s="116">
        <v>0.5</v>
      </c>
      <c r="F249" s="117">
        <v>700.0</v>
      </c>
      <c r="G249" s="126">
        <f t="shared" si="3"/>
        <v>350</v>
      </c>
      <c r="H249" s="132"/>
    </row>
    <row r="250">
      <c r="D250" s="146" t="s">
        <v>259</v>
      </c>
      <c r="E250" s="116">
        <v>2.0</v>
      </c>
      <c r="F250" s="117">
        <v>400.0</v>
      </c>
      <c r="G250" s="126">
        <f t="shared" si="3"/>
        <v>800</v>
      </c>
      <c r="H250" s="132"/>
    </row>
    <row r="251">
      <c r="D251" s="146" t="s">
        <v>260</v>
      </c>
      <c r="E251" s="116">
        <v>2.0</v>
      </c>
      <c r="F251" s="117">
        <v>600.0</v>
      </c>
      <c r="G251" s="126">
        <f t="shared" si="3"/>
        <v>1200</v>
      </c>
      <c r="H251" s="132"/>
    </row>
    <row r="252">
      <c r="D252" s="146" t="s">
        <v>259</v>
      </c>
      <c r="E252" s="116">
        <v>1.0</v>
      </c>
      <c r="F252" s="117">
        <v>400.0</v>
      </c>
      <c r="G252" s="126">
        <f t="shared" si="3"/>
        <v>400</v>
      </c>
      <c r="H252" s="132"/>
    </row>
    <row r="253">
      <c r="D253" s="146" t="s">
        <v>261</v>
      </c>
      <c r="E253" s="116">
        <v>7.0</v>
      </c>
      <c r="F253" s="117">
        <v>150.0</v>
      </c>
      <c r="G253" s="126">
        <f t="shared" si="3"/>
        <v>1050</v>
      </c>
      <c r="H253" s="132"/>
    </row>
    <row r="254">
      <c r="D254" s="146" t="s">
        <v>262</v>
      </c>
      <c r="E254" s="116">
        <v>4.0</v>
      </c>
      <c r="F254" s="117">
        <v>600.0</v>
      </c>
      <c r="G254" s="126">
        <f t="shared" si="3"/>
        <v>2400</v>
      </c>
      <c r="H254" s="132"/>
    </row>
    <row r="255">
      <c r="D255" s="146" t="s">
        <v>263</v>
      </c>
      <c r="E255" s="116">
        <v>1.0</v>
      </c>
      <c r="F255" s="117">
        <v>250.0</v>
      </c>
      <c r="G255" s="126">
        <f t="shared" si="3"/>
        <v>250</v>
      </c>
      <c r="H255" s="132"/>
    </row>
    <row r="256">
      <c r="D256" s="146" t="s">
        <v>264</v>
      </c>
      <c r="E256" s="116">
        <v>3.0</v>
      </c>
      <c r="F256" s="117">
        <v>20.0</v>
      </c>
      <c r="G256" s="126">
        <f t="shared" si="3"/>
        <v>60</v>
      </c>
      <c r="H256" s="132"/>
    </row>
    <row r="257">
      <c r="D257" s="146" t="s">
        <v>265</v>
      </c>
      <c r="E257" s="116">
        <v>2.0</v>
      </c>
      <c r="F257" s="117">
        <v>100.0</v>
      </c>
      <c r="G257" s="126">
        <f t="shared" si="3"/>
        <v>200</v>
      </c>
      <c r="H257" s="132"/>
    </row>
    <row r="258">
      <c r="D258" s="146" t="s">
        <v>266</v>
      </c>
      <c r="E258" s="116">
        <v>1.0</v>
      </c>
      <c r="F258" s="117">
        <v>200.0</v>
      </c>
      <c r="G258" s="126">
        <f t="shared" si="3"/>
        <v>200</v>
      </c>
      <c r="H258" s="132"/>
    </row>
    <row r="259">
      <c r="D259" s="146" t="s">
        <v>146</v>
      </c>
      <c r="E259" s="116">
        <v>2.0</v>
      </c>
      <c r="F259" s="117">
        <v>1000.0</v>
      </c>
      <c r="G259" s="126">
        <f t="shared" si="3"/>
        <v>2000</v>
      </c>
      <c r="H259" s="132"/>
    </row>
    <row r="260">
      <c r="D260" s="146" t="s">
        <v>224</v>
      </c>
      <c r="E260" s="116">
        <v>4.0</v>
      </c>
      <c r="F260" s="117">
        <v>50.0</v>
      </c>
      <c r="G260" s="126">
        <f t="shared" si="3"/>
        <v>200</v>
      </c>
      <c r="H260" s="132"/>
    </row>
    <row r="261">
      <c r="D261" s="146" t="s">
        <v>202</v>
      </c>
      <c r="E261" s="116">
        <v>2.0</v>
      </c>
      <c r="F261" s="117">
        <v>150.0</v>
      </c>
      <c r="G261" s="126">
        <f t="shared" si="3"/>
        <v>300</v>
      </c>
      <c r="H261" s="132"/>
    </row>
    <row r="262">
      <c r="D262" s="146" t="s">
        <v>267</v>
      </c>
      <c r="E262" s="116">
        <v>2.0</v>
      </c>
      <c r="F262" s="117">
        <v>50.0</v>
      </c>
      <c r="G262" s="126">
        <f t="shared" si="3"/>
        <v>100</v>
      </c>
      <c r="H262" s="132"/>
    </row>
    <row r="263">
      <c r="D263" s="146" t="s">
        <v>268</v>
      </c>
      <c r="E263" s="116">
        <v>1.0</v>
      </c>
      <c r="F263" s="117">
        <v>250.0</v>
      </c>
      <c r="G263" s="126">
        <f t="shared" si="3"/>
        <v>250</v>
      </c>
      <c r="H263" s="132"/>
    </row>
    <row r="264">
      <c r="D264" s="146" t="s">
        <v>269</v>
      </c>
      <c r="E264" s="116">
        <v>1.0</v>
      </c>
      <c r="F264" s="117">
        <v>300.0</v>
      </c>
      <c r="G264" s="126">
        <f t="shared" si="3"/>
        <v>300</v>
      </c>
      <c r="H264" s="132"/>
    </row>
    <row r="265">
      <c r="D265" s="146" t="s">
        <v>270</v>
      </c>
      <c r="E265" s="116">
        <v>3.0</v>
      </c>
      <c r="F265" s="117">
        <v>400.0</v>
      </c>
      <c r="G265" s="126">
        <f t="shared" si="3"/>
        <v>1200</v>
      </c>
      <c r="H265" s="132"/>
    </row>
    <row r="266">
      <c r="D266" s="146" t="s">
        <v>271</v>
      </c>
      <c r="E266" s="116">
        <v>20.0</v>
      </c>
      <c r="F266" s="117">
        <v>30.0</v>
      </c>
      <c r="G266" s="126">
        <f t="shared" si="3"/>
        <v>600</v>
      </c>
      <c r="H266" s="132"/>
    </row>
    <row r="267">
      <c r="D267" s="146" t="s">
        <v>272</v>
      </c>
      <c r="E267" s="116">
        <v>20.0</v>
      </c>
      <c r="F267" s="117">
        <v>13.0</v>
      </c>
      <c r="G267" s="126">
        <f t="shared" si="3"/>
        <v>260</v>
      </c>
      <c r="H267" s="132"/>
    </row>
    <row r="268">
      <c r="D268" s="146" t="s">
        <v>273</v>
      </c>
      <c r="E268" s="116">
        <v>1.0</v>
      </c>
      <c r="F268" s="117">
        <v>350.0</v>
      </c>
      <c r="G268" s="126">
        <f t="shared" si="3"/>
        <v>350</v>
      </c>
      <c r="H268" s="132"/>
    </row>
    <row r="269">
      <c r="D269" s="146" t="s">
        <v>274</v>
      </c>
      <c r="E269" s="116">
        <v>4.0</v>
      </c>
      <c r="F269" s="117">
        <v>600.0</v>
      </c>
      <c r="G269" s="126">
        <f t="shared" si="3"/>
        <v>2400</v>
      </c>
      <c r="H269" s="132"/>
    </row>
    <row r="270">
      <c r="D270" s="146" t="s">
        <v>275</v>
      </c>
      <c r="E270" s="116">
        <v>9.0</v>
      </c>
      <c r="F270" s="117">
        <v>84.0</v>
      </c>
      <c r="G270" s="126">
        <f t="shared" si="3"/>
        <v>756</v>
      </c>
      <c r="H270" s="132"/>
    </row>
    <row r="271">
      <c r="D271" s="146" t="s">
        <v>276</v>
      </c>
      <c r="E271" s="116">
        <v>2.0</v>
      </c>
      <c r="F271" s="117">
        <v>1900.0</v>
      </c>
      <c r="G271" s="126">
        <f t="shared" si="3"/>
        <v>3800</v>
      </c>
      <c r="H271" s="132"/>
    </row>
    <row r="272">
      <c r="D272" s="146" t="s">
        <v>277</v>
      </c>
      <c r="E272" s="116">
        <v>22.0</v>
      </c>
      <c r="F272" s="117">
        <v>19.0</v>
      </c>
      <c r="G272" s="126">
        <f t="shared" si="3"/>
        <v>418</v>
      </c>
      <c r="H272" s="132"/>
    </row>
    <row r="273">
      <c r="D273" s="146" t="s">
        <v>278</v>
      </c>
      <c r="E273" s="116">
        <v>0.9</v>
      </c>
      <c r="F273" s="117">
        <v>1850.0</v>
      </c>
      <c r="G273" s="126">
        <f t="shared" si="3"/>
        <v>1665</v>
      </c>
      <c r="H273" s="132"/>
    </row>
    <row r="274">
      <c r="D274" s="146" t="s">
        <v>279</v>
      </c>
      <c r="E274" s="116">
        <v>5.0</v>
      </c>
      <c r="F274" s="117">
        <v>90.0</v>
      </c>
      <c r="G274" s="126">
        <f t="shared" si="3"/>
        <v>450</v>
      </c>
      <c r="H274" s="132"/>
    </row>
    <row r="275">
      <c r="D275" s="146" t="s">
        <v>280</v>
      </c>
      <c r="E275" s="116">
        <v>2.0</v>
      </c>
      <c r="F275" s="117">
        <v>220.0</v>
      </c>
      <c r="G275" s="126">
        <f t="shared" si="3"/>
        <v>440</v>
      </c>
      <c r="H275" s="132"/>
    </row>
    <row r="276">
      <c r="D276" s="146" t="s">
        <v>259</v>
      </c>
      <c r="E276" s="116">
        <v>2.0</v>
      </c>
      <c r="F276" s="117">
        <v>400.0</v>
      </c>
      <c r="G276" s="126">
        <f t="shared" si="3"/>
        <v>800</v>
      </c>
      <c r="H276" s="132"/>
    </row>
    <row r="277">
      <c r="D277" s="146" t="s">
        <v>281</v>
      </c>
      <c r="E277" s="116">
        <v>2.0</v>
      </c>
      <c r="F277" s="117">
        <v>130.0</v>
      </c>
      <c r="G277" s="126">
        <f t="shared" si="3"/>
        <v>260</v>
      </c>
      <c r="H277" s="132"/>
    </row>
    <row r="278">
      <c r="D278" s="146" t="s">
        <v>142</v>
      </c>
      <c r="E278" s="116">
        <v>2.0</v>
      </c>
      <c r="F278" s="117">
        <v>270.0</v>
      </c>
      <c r="G278" s="126">
        <f t="shared" si="3"/>
        <v>540</v>
      </c>
      <c r="H278" s="132"/>
    </row>
    <row r="279">
      <c r="D279" s="116" t="s">
        <v>282</v>
      </c>
      <c r="E279" s="116">
        <v>60.0</v>
      </c>
      <c r="F279" s="117">
        <v>55.0</v>
      </c>
      <c r="G279" s="112">
        <f t="shared" si="3"/>
        <v>3300</v>
      </c>
      <c r="H279" s="132"/>
    </row>
    <row r="280">
      <c r="D280" s="116" t="s">
        <v>283</v>
      </c>
      <c r="E280" s="116">
        <v>4.0</v>
      </c>
      <c r="F280" s="117">
        <v>90.0</v>
      </c>
      <c r="G280" s="112">
        <f t="shared" si="3"/>
        <v>360</v>
      </c>
      <c r="H280" s="132"/>
    </row>
    <row r="281">
      <c r="D281" s="116" t="s">
        <v>284</v>
      </c>
      <c r="E281" s="116">
        <v>334.0</v>
      </c>
      <c r="F281" s="117">
        <v>60.0</v>
      </c>
      <c r="G281" s="112">
        <f t="shared" si="3"/>
        <v>20040</v>
      </c>
      <c r="H281" s="132"/>
    </row>
    <row r="282">
      <c r="D282" s="116" t="s">
        <v>285</v>
      </c>
      <c r="E282" s="116">
        <v>1.0</v>
      </c>
      <c r="F282" s="117">
        <v>8500.0</v>
      </c>
      <c r="G282" s="112">
        <f t="shared" si="3"/>
        <v>8500</v>
      </c>
      <c r="H282" s="113">
        <v>45506.0</v>
      </c>
    </row>
    <row r="283">
      <c r="D283" s="125" t="s">
        <v>286</v>
      </c>
      <c r="E283" s="116">
        <v>50.0</v>
      </c>
      <c r="F283" s="126">
        <v>25.0</v>
      </c>
      <c r="G283" s="112">
        <f t="shared" si="3"/>
        <v>1250</v>
      </c>
      <c r="H283" s="132"/>
    </row>
    <row r="284">
      <c r="D284" s="125" t="s">
        <v>287</v>
      </c>
      <c r="E284" s="116">
        <v>10.0</v>
      </c>
      <c r="F284" s="126">
        <v>11.5</v>
      </c>
      <c r="G284" s="112">
        <f t="shared" si="3"/>
        <v>115</v>
      </c>
      <c r="H284" s="132"/>
    </row>
    <row r="285">
      <c r="D285" s="125" t="s">
        <v>288</v>
      </c>
      <c r="E285" s="114">
        <v>100.0</v>
      </c>
      <c r="F285" s="126">
        <v>17.0</v>
      </c>
      <c r="G285" s="112">
        <f t="shared" si="3"/>
        <v>1700</v>
      </c>
      <c r="H285" s="132"/>
    </row>
    <row r="286">
      <c r="D286" s="125" t="s">
        <v>289</v>
      </c>
      <c r="E286" s="114">
        <v>36.0</v>
      </c>
      <c r="F286" s="126">
        <v>40.0</v>
      </c>
      <c r="G286" s="112">
        <f t="shared" si="3"/>
        <v>1440</v>
      </c>
      <c r="H286" s="132"/>
    </row>
    <row r="287">
      <c r="D287" s="125" t="s">
        <v>290</v>
      </c>
      <c r="E287" s="116">
        <v>22.0</v>
      </c>
      <c r="F287" s="126">
        <v>38.0</v>
      </c>
      <c r="G287" s="112">
        <f t="shared" si="3"/>
        <v>836</v>
      </c>
      <c r="H287" s="132"/>
    </row>
    <row r="288">
      <c r="D288" s="125" t="s">
        <v>291</v>
      </c>
      <c r="E288" s="116">
        <v>10.0</v>
      </c>
      <c r="F288" s="126">
        <v>11.5</v>
      </c>
      <c r="G288" s="112">
        <f t="shared" si="3"/>
        <v>115</v>
      </c>
      <c r="H288" s="132"/>
    </row>
    <row r="289">
      <c r="D289" s="125" t="s">
        <v>292</v>
      </c>
      <c r="E289" s="116">
        <v>12.0</v>
      </c>
      <c r="F289" s="126">
        <v>32.0</v>
      </c>
      <c r="G289" s="112">
        <f t="shared" si="3"/>
        <v>384</v>
      </c>
      <c r="H289" s="114"/>
    </row>
    <row r="290">
      <c r="D290" s="115" t="s">
        <v>293</v>
      </c>
      <c r="E290" s="116">
        <v>1.0</v>
      </c>
      <c r="F290" s="117">
        <v>600.0</v>
      </c>
      <c r="G290" s="111">
        <v>600.0</v>
      </c>
      <c r="H290" s="132"/>
    </row>
    <row r="291">
      <c r="D291" s="125" t="s">
        <v>294</v>
      </c>
      <c r="E291" s="116">
        <v>1.0</v>
      </c>
      <c r="F291" s="126">
        <v>1100.0</v>
      </c>
      <c r="G291" s="112">
        <f t="shared" ref="G291:G301" si="4">E291*F291</f>
        <v>1100</v>
      </c>
      <c r="H291" s="153"/>
    </row>
    <row r="292">
      <c r="D292" s="125" t="s">
        <v>295</v>
      </c>
      <c r="E292" s="116">
        <v>5.0</v>
      </c>
      <c r="F292" s="117">
        <v>85.0</v>
      </c>
      <c r="G292" s="112">
        <f t="shared" si="4"/>
        <v>425</v>
      </c>
      <c r="H292" s="114"/>
    </row>
    <row r="293">
      <c r="D293" s="154" t="s">
        <v>296</v>
      </c>
      <c r="E293" s="155">
        <v>1.0</v>
      </c>
      <c r="F293" s="156">
        <v>1200.0</v>
      </c>
      <c r="G293" s="157">
        <f t="shared" si="4"/>
        <v>1200</v>
      </c>
      <c r="H293" s="114"/>
    </row>
    <row r="294">
      <c r="D294" s="125" t="s">
        <v>297</v>
      </c>
      <c r="E294" s="114">
        <v>2.0</v>
      </c>
      <c r="F294" s="126">
        <v>1450.0</v>
      </c>
      <c r="G294" s="112">
        <f t="shared" si="4"/>
        <v>2900</v>
      </c>
      <c r="H294" s="118"/>
    </row>
    <row r="295">
      <c r="D295" s="125" t="s">
        <v>191</v>
      </c>
      <c r="E295" s="114">
        <v>0.0</v>
      </c>
      <c r="F295" s="126">
        <v>1100.0</v>
      </c>
      <c r="G295" s="112">
        <f t="shared" si="4"/>
        <v>0</v>
      </c>
      <c r="H295" s="114"/>
    </row>
    <row r="296">
      <c r="D296" s="125" t="s">
        <v>298</v>
      </c>
      <c r="E296" s="116">
        <v>0.0</v>
      </c>
      <c r="F296" s="126">
        <v>1370.0</v>
      </c>
      <c r="G296" s="112">
        <f t="shared" si="4"/>
        <v>0</v>
      </c>
      <c r="H296" s="114"/>
    </row>
    <row r="297">
      <c r="D297" s="125" t="s">
        <v>299</v>
      </c>
      <c r="E297" s="116">
        <v>2.0</v>
      </c>
      <c r="F297" s="126">
        <v>900.0</v>
      </c>
      <c r="G297" s="112">
        <f t="shared" si="4"/>
        <v>1800</v>
      </c>
      <c r="H297" s="114"/>
    </row>
    <row r="298">
      <c r="D298" s="125" t="s">
        <v>300</v>
      </c>
      <c r="E298" s="116">
        <v>1.0</v>
      </c>
      <c r="F298" s="126">
        <v>1280.0</v>
      </c>
      <c r="G298" s="112">
        <f t="shared" si="4"/>
        <v>1280</v>
      </c>
      <c r="H298" s="114"/>
    </row>
    <row r="299">
      <c r="D299" s="115" t="s">
        <v>301</v>
      </c>
      <c r="E299" s="116">
        <v>1.0</v>
      </c>
      <c r="F299" s="117">
        <v>50000.0</v>
      </c>
      <c r="G299" s="112">
        <f t="shared" si="4"/>
        <v>50000</v>
      </c>
      <c r="H299" s="113">
        <v>45506.0</v>
      </c>
    </row>
    <row r="300">
      <c r="D300" s="158" t="s">
        <v>302</v>
      </c>
      <c r="E300" s="110">
        <v>400.0</v>
      </c>
      <c r="F300" s="112">
        <v>60.0</v>
      </c>
      <c r="G300" s="112">
        <f t="shared" si="4"/>
        <v>24000</v>
      </c>
      <c r="H300" s="114"/>
    </row>
    <row r="301">
      <c r="D301" s="159" t="s">
        <v>303</v>
      </c>
      <c r="E301" s="149">
        <v>1.0</v>
      </c>
      <c r="F301" s="160">
        <v>15000.0</v>
      </c>
      <c r="G301" s="161">
        <f t="shared" si="4"/>
        <v>15000</v>
      </c>
      <c r="H301" s="162"/>
    </row>
    <row r="302">
      <c r="D302" s="163" t="s">
        <v>304</v>
      </c>
      <c r="E302" s="164"/>
      <c r="F302" s="165"/>
      <c r="G302" s="166">
        <f>SUM(G2:G301)</f>
        <v>639829</v>
      </c>
      <c r="H302" s="167"/>
    </row>
  </sheetData>
  <autoFilter ref="$B$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47.38"/>
    <col customWidth="1" min="11" max="11" width="26.38"/>
    <col customWidth="1" min="12" max="12" width="26.0"/>
    <col customWidth="1" min="13" max="13" width="33.88"/>
    <col customWidth="1" min="14" max="14" width="39.13"/>
  </cols>
  <sheetData>
    <row r="13">
      <c r="H13" s="5"/>
      <c r="I13" s="54"/>
      <c r="J13" s="54"/>
      <c r="K13" s="54"/>
      <c r="L13" s="54"/>
      <c r="M13" s="54"/>
    </row>
    <row r="14">
      <c r="H14" s="60"/>
      <c r="I14" s="1"/>
      <c r="J14" s="168" t="s">
        <v>305</v>
      </c>
      <c r="K14" s="168" t="s">
        <v>4</v>
      </c>
      <c r="L14" s="168" t="s">
        <v>306</v>
      </c>
      <c r="M14" s="169" t="s">
        <v>307</v>
      </c>
    </row>
    <row r="15">
      <c r="H15" s="60"/>
      <c r="I15" s="1"/>
      <c r="J15" s="33" t="s">
        <v>245</v>
      </c>
      <c r="K15" s="10">
        <v>30000.0</v>
      </c>
      <c r="L15" s="170">
        <v>30000.0</v>
      </c>
      <c r="M15" s="10">
        <f t="shared" ref="M15:M39" si="1">K15-L15</f>
        <v>0</v>
      </c>
      <c r="N15" s="171" t="s">
        <v>308</v>
      </c>
    </row>
    <row r="16">
      <c r="H16" s="60"/>
      <c r="I16" s="1"/>
      <c r="J16" s="33" t="s">
        <v>309</v>
      </c>
      <c r="K16" s="10">
        <v>30000.0</v>
      </c>
      <c r="L16" s="170">
        <v>30000.0</v>
      </c>
      <c r="M16" s="10">
        <f t="shared" si="1"/>
        <v>0</v>
      </c>
      <c r="N16" s="172"/>
    </row>
    <row r="17">
      <c r="H17" s="60"/>
      <c r="I17" s="33">
        <v>1.0</v>
      </c>
      <c r="J17" s="33" t="s">
        <v>310</v>
      </c>
      <c r="K17" s="10">
        <f>Pointage!C35</f>
        <v>0</v>
      </c>
      <c r="L17" s="11">
        <v>0.0</v>
      </c>
      <c r="M17" s="10">
        <f t="shared" si="1"/>
        <v>0</v>
      </c>
      <c r="N17" s="172"/>
    </row>
    <row r="18">
      <c r="H18" s="60"/>
      <c r="I18" s="33">
        <v>2.0</v>
      </c>
      <c r="J18" s="33" t="s">
        <v>51</v>
      </c>
      <c r="K18" s="10">
        <f>Pointage!D35</f>
        <v>15384.6</v>
      </c>
      <c r="L18" s="11">
        <v>15500.0</v>
      </c>
      <c r="M18" s="10">
        <f t="shared" si="1"/>
        <v>-115.4</v>
      </c>
      <c r="N18" s="172"/>
    </row>
    <row r="19">
      <c r="H19" s="60"/>
      <c r="I19" s="33">
        <v>3.0</v>
      </c>
      <c r="J19" s="33" t="s">
        <v>52</v>
      </c>
      <c r="K19" s="11">
        <v>40000.0</v>
      </c>
      <c r="L19" s="11">
        <v>40000.0</v>
      </c>
      <c r="M19" s="10">
        <f t="shared" si="1"/>
        <v>0</v>
      </c>
      <c r="N19" s="173">
        <v>5000.0</v>
      </c>
    </row>
    <row r="20">
      <c r="H20" s="60"/>
      <c r="I20" s="33">
        <v>4.0</v>
      </c>
      <c r="J20" s="33" t="s">
        <v>53</v>
      </c>
      <c r="K20" s="10">
        <f>Pointage!F35</f>
        <v>1153.84</v>
      </c>
      <c r="L20" s="11">
        <v>1500.0</v>
      </c>
      <c r="M20" s="10">
        <f t="shared" si="1"/>
        <v>-346.16</v>
      </c>
      <c r="N20" s="172"/>
    </row>
    <row r="21">
      <c r="H21" s="60"/>
      <c r="I21" s="33">
        <v>5.0</v>
      </c>
      <c r="J21" s="174" t="s">
        <v>54</v>
      </c>
      <c r="K21" s="10">
        <f>Pointage!G35</f>
        <v>16153.76</v>
      </c>
      <c r="L21" s="11">
        <v>16500.0</v>
      </c>
      <c r="M21" s="10">
        <f t="shared" si="1"/>
        <v>-346.24</v>
      </c>
      <c r="N21" s="172"/>
    </row>
    <row r="22">
      <c r="H22" s="60"/>
      <c r="I22" s="33">
        <v>6.0</v>
      </c>
      <c r="J22" s="33" t="s">
        <v>55</v>
      </c>
      <c r="K22" s="10">
        <f>Pointage!H35</f>
        <v>48300</v>
      </c>
      <c r="L22" s="11">
        <v>48500.0</v>
      </c>
      <c r="M22" s="10">
        <f t="shared" si="1"/>
        <v>-200</v>
      </c>
      <c r="N22" s="172"/>
    </row>
    <row r="23">
      <c r="H23" s="60"/>
      <c r="I23" s="174">
        <v>7.0</v>
      </c>
      <c r="J23" s="174" t="s">
        <v>56</v>
      </c>
      <c r="K23" s="11">
        <v>15000.0</v>
      </c>
      <c r="L23" s="11">
        <v>15000.0</v>
      </c>
      <c r="M23" s="10">
        <f t="shared" si="1"/>
        <v>0</v>
      </c>
      <c r="N23" s="172"/>
    </row>
    <row r="24">
      <c r="H24" s="60"/>
      <c r="I24" s="33">
        <v>8.0</v>
      </c>
      <c r="J24" s="33" t="s">
        <v>57</v>
      </c>
      <c r="K24" s="10">
        <f>Pointage!J35</f>
        <v>18000</v>
      </c>
      <c r="L24" s="11">
        <v>18000.0</v>
      </c>
      <c r="M24" s="10">
        <f t="shared" si="1"/>
        <v>0</v>
      </c>
      <c r="N24" s="171" t="s">
        <v>311</v>
      </c>
    </row>
    <row r="25">
      <c r="H25" s="60"/>
      <c r="I25" s="33">
        <v>9.0</v>
      </c>
      <c r="J25" s="33" t="s">
        <v>58</v>
      </c>
      <c r="K25" s="10">
        <f>Pointage!K35</f>
        <v>12000</v>
      </c>
      <c r="L25" s="11">
        <v>12000.0</v>
      </c>
      <c r="M25" s="10">
        <f t="shared" si="1"/>
        <v>0</v>
      </c>
      <c r="N25" s="172"/>
    </row>
    <row r="26">
      <c r="H26" s="60"/>
      <c r="I26" s="33"/>
      <c r="J26" s="174" t="s">
        <v>59</v>
      </c>
      <c r="K26" s="11">
        <v>16153.8</v>
      </c>
      <c r="L26" s="11">
        <v>16500.0</v>
      </c>
      <c r="M26" s="10">
        <f t="shared" si="1"/>
        <v>-346.2</v>
      </c>
      <c r="N26" s="172"/>
    </row>
    <row r="27">
      <c r="H27" s="60"/>
      <c r="I27" s="33">
        <v>11.0</v>
      </c>
      <c r="J27" s="33" t="s">
        <v>312</v>
      </c>
      <c r="K27" s="10">
        <f>Pointage!W35</f>
        <v>4153.83</v>
      </c>
      <c r="L27" s="11">
        <v>4500.0</v>
      </c>
      <c r="M27" s="10">
        <f t="shared" si="1"/>
        <v>-346.17</v>
      </c>
      <c r="N27" s="172"/>
    </row>
    <row r="28">
      <c r="H28" s="60"/>
      <c r="I28" s="174">
        <v>12.0</v>
      </c>
      <c r="J28" s="174" t="s">
        <v>60</v>
      </c>
      <c r="K28" s="10">
        <f>Pointage!M35</f>
        <v>5538.44</v>
      </c>
      <c r="L28" s="11">
        <v>6000.0</v>
      </c>
      <c r="M28" s="10">
        <f t="shared" si="1"/>
        <v>-461.56</v>
      </c>
      <c r="N28" s="172"/>
    </row>
    <row r="29">
      <c r="H29" s="60"/>
      <c r="I29" s="33">
        <v>13.0</v>
      </c>
      <c r="J29" s="174" t="s">
        <v>313</v>
      </c>
      <c r="K29" s="10">
        <f>Pointage!N35</f>
        <v>1384.61</v>
      </c>
      <c r="L29" s="10"/>
      <c r="M29" s="10">
        <f t="shared" si="1"/>
        <v>1384.61</v>
      </c>
      <c r="N29" s="172"/>
    </row>
    <row r="30">
      <c r="H30" s="60"/>
      <c r="I30" s="33">
        <v>14.0</v>
      </c>
      <c r="J30" s="33" t="s">
        <v>69</v>
      </c>
      <c r="K30" s="10">
        <f>Pointage!V35</f>
        <v>2769.22</v>
      </c>
      <c r="L30" s="11">
        <v>3000.0</v>
      </c>
      <c r="M30" s="10">
        <f t="shared" si="1"/>
        <v>-230.78</v>
      </c>
      <c r="N30" s="172"/>
    </row>
    <row r="31">
      <c r="H31" s="60"/>
      <c r="I31" s="33">
        <v>15.0</v>
      </c>
      <c r="J31" s="33" t="s">
        <v>68</v>
      </c>
      <c r="K31" s="10">
        <f>Pointage!U35</f>
        <v>5538.44</v>
      </c>
      <c r="L31" s="11">
        <v>6000.0</v>
      </c>
      <c r="M31" s="10">
        <f t="shared" si="1"/>
        <v>-461.56</v>
      </c>
      <c r="N31" s="172"/>
    </row>
    <row r="32">
      <c r="H32" s="60"/>
      <c r="I32" s="33">
        <v>16.0</v>
      </c>
      <c r="J32" s="174" t="s">
        <v>63</v>
      </c>
      <c r="K32" s="10">
        <f>Pointage!P35</f>
        <v>4000</v>
      </c>
      <c r="L32" s="11">
        <v>4000.0</v>
      </c>
      <c r="M32" s="10">
        <f t="shared" si="1"/>
        <v>0</v>
      </c>
      <c r="N32" s="172"/>
    </row>
    <row r="33">
      <c r="H33" s="60"/>
      <c r="I33" s="174">
        <v>17.0</v>
      </c>
      <c r="J33" s="174" t="s">
        <v>314</v>
      </c>
      <c r="K33" s="10">
        <f>Pointage!S35</f>
        <v>8000</v>
      </c>
      <c r="L33" s="11">
        <v>8000.0</v>
      </c>
      <c r="M33" s="10">
        <f t="shared" si="1"/>
        <v>0</v>
      </c>
      <c r="N33" s="171" t="s">
        <v>315</v>
      </c>
    </row>
    <row r="34">
      <c r="H34" s="60"/>
      <c r="I34" s="174">
        <v>18.0</v>
      </c>
      <c r="J34" s="174" t="s">
        <v>65</v>
      </c>
      <c r="K34" s="10">
        <f>Pointage!R35</f>
        <v>8000</v>
      </c>
      <c r="L34" s="11">
        <v>8000.0</v>
      </c>
      <c r="M34" s="10">
        <f t="shared" si="1"/>
        <v>0</v>
      </c>
      <c r="N34" s="171" t="s">
        <v>316</v>
      </c>
    </row>
    <row r="35">
      <c r="H35" s="60"/>
      <c r="I35" s="174">
        <v>19.0</v>
      </c>
      <c r="J35" s="174" t="s">
        <v>67</v>
      </c>
      <c r="K35" s="10">
        <f>Pointage!T35</f>
        <v>2500</v>
      </c>
      <c r="L35" s="11">
        <v>2500.0</v>
      </c>
      <c r="M35" s="10">
        <f t="shared" si="1"/>
        <v>0</v>
      </c>
      <c r="N35" s="172"/>
    </row>
    <row r="36">
      <c r="H36" s="60"/>
      <c r="I36" s="174">
        <v>20.0</v>
      </c>
      <c r="J36" s="33" t="s">
        <v>62</v>
      </c>
      <c r="K36" s="10">
        <f>Pointage!O35</f>
        <v>3461.525</v>
      </c>
      <c r="L36" s="11">
        <v>3500.0</v>
      </c>
      <c r="M36" s="10">
        <f t="shared" si="1"/>
        <v>-38.475</v>
      </c>
      <c r="N36" s="172"/>
    </row>
    <row r="37">
      <c r="H37" s="60"/>
      <c r="I37" s="174">
        <v>21.0</v>
      </c>
      <c r="J37" s="174" t="s">
        <v>317</v>
      </c>
      <c r="K37" s="10">
        <f>Pointage!Q35</f>
        <v>18000</v>
      </c>
      <c r="L37" s="11">
        <v>18000.0</v>
      </c>
      <c r="M37" s="10">
        <f t="shared" si="1"/>
        <v>0</v>
      </c>
      <c r="N37" s="172"/>
    </row>
    <row r="38">
      <c r="H38" s="60"/>
      <c r="I38" s="1"/>
      <c r="J38" s="29" t="s">
        <v>318</v>
      </c>
      <c r="K38" s="31">
        <f t="shared" ref="K38:L38" si="2">SUM(K15:K37)</f>
        <v>305492.065</v>
      </c>
      <c r="L38" s="175">
        <f t="shared" si="2"/>
        <v>307000</v>
      </c>
      <c r="M38" s="176">
        <f t="shared" si="1"/>
        <v>-1507.935</v>
      </c>
      <c r="N38" s="172"/>
    </row>
    <row r="39">
      <c r="H39" s="60"/>
      <c r="I39" s="1"/>
      <c r="J39" s="177"/>
      <c r="K39" s="1"/>
      <c r="L39" s="1"/>
      <c r="M39" s="30">
        <f t="shared" si="1"/>
        <v>0</v>
      </c>
    </row>
    <row r="40">
      <c r="H40" s="5"/>
      <c r="I40" s="5"/>
      <c r="J40" s="5"/>
      <c r="K40" s="5"/>
      <c r="L40" s="5"/>
      <c r="M40" s="5"/>
    </row>
    <row r="41">
      <c r="H41" s="5"/>
      <c r="I41" s="5"/>
      <c r="J41" s="5"/>
      <c r="K41" s="5"/>
      <c r="L41" s="5"/>
      <c r="M41" s="5"/>
    </row>
    <row r="42">
      <c r="H42" s="5"/>
      <c r="I42" s="5"/>
      <c r="J42" s="5"/>
      <c r="K42" s="5"/>
      <c r="L42" s="5"/>
      <c r="M42" s="5"/>
    </row>
    <row r="43">
      <c r="H43" s="5"/>
      <c r="I43" s="5"/>
      <c r="J43" s="5"/>
      <c r="K43" s="5"/>
      <c r="L43" s="5"/>
      <c r="M43" s="5"/>
    </row>
    <row r="44">
      <c r="H44" s="5"/>
      <c r="I44" s="5"/>
      <c r="J44" s="5"/>
      <c r="K44" s="5"/>
      <c r="L44" s="5"/>
      <c r="M44" s="5"/>
    </row>
    <row r="45">
      <c r="H45" s="5"/>
      <c r="I45" s="5"/>
      <c r="J45" s="5"/>
      <c r="K45" s="5"/>
      <c r="L45" s="5"/>
      <c r="M45" s="5"/>
    </row>
    <row r="46">
      <c r="H46" s="5"/>
      <c r="I46" s="5"/>
      <c r="J46" s="5"/>
      <c r="K46" s="5"/>
      <c r="L46" s="5"/>
      <c r="M46" s="5"/>
    </row>
    <row r="47">
      <c r="H47" s="5"/>
      <c r="I47" s="5"/>
      <c r="J47" s="5"/>
      <c r="K47" s="5"/>
      <c r="L47" s="5"/>
      <c r="M47" s="5"/>
    </row>
    <row r="48">
      <c r="H48" s="5"/>
      <c r="I48" s="5"/>
      <c r="J48" s="5"/>
      <c r="K48" s="5"/>
      <c r="L48" s="5"/>
      <c r="M48" s="5"/>
    </row>
    <row r="49">
      <c r="H49" s="5"/>
      <c r="I49" s="5"/>
      <c r="J49" s="5"/>
      <c r="K49" s="5"/>
      <c r="L49" s="5"/>
      <c r="M49" s="5"/>
    </row>
    <row r="50">
      <c r="H50" s="5"/>
      <c r="I50" s="5"/>
      <c r="J50" s="5"/>
      <c r="K50" s="5"/>
      <c r="L50" s="5"/>
      <c r="M5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4" width="26.38"/>
    <col customWidth="1" min="5" max="5" width="25.88"/>
    <col customWidth="1" min="6" max="6" width="26.38"/>
    <col customWidth="1" min="7" max="7" width="24.88"/>
    <col customWidth="1" min="8" max="8" width="25.38"/>
    <col customWidth="1" min="9" max="9" width="26.13"/>
    <col customWidth="1" min="10" max="10" width="25.88"/>
    <col customWidth="1" min="11" max="12" width="25.38"/>
    <col customWidth="1" min="13" max="13" width="25.63"/>
    <col customWidth="1" min="14" max="14" width="26.63"/>
  </cols>
  <sheetData>
    <row r="16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>
      <c r="B17" s="5"/>
      <c r="C17" s="54"/>
      <c r="D17" s="54"/>
      <c r="E17" s="54"/>
      <c r="F17" s="54"/>
      <c r="G17" s="54"/>
      <c r="H17" s="54"/>
      <c r="I17" s="5"/>
      <c r="J17" s="5"/>
      <c r="K17" s="5"/>
      <c r="L17" s="5"/>
      <c r="M17" s="5"/>
      <c r="N17" s="54"/>
      <c r="O17" s="5"/>
    </row>
    <row r="18">
      <c r="B18" s="5"/>
      <c r="C18" s="54"/>
      <c r="D18" s="178" t="s">
        <v>319</v>
      </c>
      <c r="E18" s="178" t="s">
        <v>320</v>
      </c>
      <c r="F18" s="178" t="s">
        <v>321</v>
      </c>
      <c r="G18" s="178" t="s">
        <v>322</v>
      </c>
      <c r="H18" s="178" t="s">
        <v>323</v>
      </c>
      <c r="I18" s="179" t="s">
        <v>324</v>
      </c>
      <c r="J18" s="179" t="s">
        <v>325</v>
      </c>
      <c r="K18" s="180" t="s">
        <v>326</v>
      </c>
      <c r="L18" s="5"/>
      <c r="M18" s="1"/>
      <c r="N18" s="181" t="s">
        <v>327</v>
      </c>
      <c r="O18" s="5"/>
    </row>
    <row r="19">
      <c r="B19" s="5"/>
      <c r="C19" s="182" t="s">
        <v>2</v>
      </c>
      <c r="D19" s="31">
        <v>1756000.0</v>
      </c>
      <c r="E19" s="31">
        <v>2274000.0</v>
      </c>
      <c r="F19" s="31">
        <v>1984000.0</v>
      </c>
      <c r="G19" s="31">
        <v>1910000.0</v>
      </c>
      <c r="H19" s="31">
        <v>1342000.0</v>
      </c>
      <c r="I19" s="183">
        <v>1760000.0</v>
      </c>
      <c r="J19" s="184">
        <v>2260000.0</v>
      </c>
      <c r="K19" s="185">
        <f>RECAP!D33</f>
        <v>1427000</v>
      </c>
      <c r="L19" s="60"/>
      <c r="M19" s="182" t="s">
        <v>2</v>
      </c>
      <c r="N19" s="31">
        <f t="shared" ref="N19:N21" si="1">K19</f>
        <v>1427000</v>
      </c>
      <c r="O19" s="5"/>
    </row>
    <row r="20">
      <c r="B20" s="5"/>
      <c r="C20" s="182" t="s">
        <v>3</v>
      </c>
      <c r="D20" s="31">
        <v>920000.0</v>
      </c>
      <c r="E20" s="31">
        <v>914000.0</v>
      </c>
      <c r="F20" s="31">
        <v>928000.0</v>
      </c>
      <c r="G20" s="31">
        <v>744000.0</v>
      </c>
      <c r="H20" s="31">
        <v>646000.0</v>
      </c>
      <c r="I20" s="183">
        <v>804000.0</v>
      </c>
      <c r="J20" s="184">
        <v>958000.0</v>
      </c>
      <c r="K20" s="186">
        <v>640000.0</v>
      </c>
      <c r="L20" s="60"/>
      <c r="M20" s="182" t="s">
        <v>3</v>
      </c>
      <c r="N20" s="31">
        <f t="shared" si="1"/>
        <v>640000</v>
      </c>
      <c r="O20" s="5"/>
    </row>
    <row r="21">
      <c r="B21" s="5"/>
      <c r="C21" s="182" t="s">
        <v>328</v>
      </c>
      <c r="D21" s="31">
        <v>349000.0</v>
      </c>
      <c r="E21" s="31">
        <v>410000.0</v>
      </c>
      <c r="F21" s="31">
        <v>406000.0</v>
      </c>
      <c r="G21" s="31">
        <v>344000.0</v>
      </c>
      <c r="H21" s="31">
        <v>436000.0</v>
      </c>
      <c r="I21" s="183">
        <v>396000.0</v>
      </c>
      <c r="J21" s="184">
        <v>432000.0</v>
      </c>
      <c r="K21" s="186">
        <v>307000.0</v>
      </c>
      <c r="L21" s="60"/>
      <c r="M21" s="182" t="s">
        <v>328</v>
      </c>
      <c r="N21" s="31">
        <f t="shared" si="1"/>
        <v>307000</v>
      </c>
      <c r="O21" s="5"/>
    </row>
    <row r="22">
      <c r="B22" s="5"/>
      <c r="C22" s="182" t="s">
        <v>5</v>
      </c>
      <c r="D22" s="31">
        <v>140000.0</v>
      </c>
      <c r="E22" s="31">
        <v>140000.0</v>
      </c>
      <c r="F22" s="31">
        <v>140000.0</v>
      </c>
      <c r="G22" s="31">
        <v>140000.0</v>
      </c>
      <c r="H22" s="31">
        <v>140000.0</v>
      </c>
      <c r="I22" s="183">
        <v>140000.0</v>
      </c>
      <c r="J22" s="183">
        <v>150000.0</v>
      </c>
      <c r="K22" s="186">
        <v>150000.0</v>
      </c>
      <c r="L22" s="60"/>
      <c r="M22" s="182" t="s">
        <v>5</v>
      </c>
      <c r="N22" s="31">
        <v>150000.0</v>
      </c>
      <c r="O22" s="5"/>
    </row>
    <row r="23">
      <c r="B23" s="5"/>
      <c r="C23" s="182" t="s">
        <v>329</v>
      </c>
      <c r="D23" s="31">
        <f t="shared" ref="D23:F23" si="2">D19-D20-D21-D22</f>
        <v>347000</v>
      </c>
      <c r="E23" s="31">
        <f t="shared" si="2"/>
        <v>810000</v>
      </c>
      <c r="F23" s="31">
        <f t="shared" si="2"/>
        <v>510000</v>
      </c>
      <c r="G23" s="31">
        <v>680000.0</v>
      </c>
      <c r="H23" s="31">
        <f>H19-H20-H21-H22</f>
        <v>120000</v>
      </c>
      <c r="I23" s="183">
        <v>420000.0</v>
      </c>
      <c r="J23" s="183">
        <f t="shared" ref="J23:K23" si="3">J19-J20-J21-J22</f>
        <v>720000</v>
      </c>
      <c r="K23" s="185">
        <f t="shared" si="3"/>
        <v>330000</v>
      </c>
      <c r="L23" s="60"/>
      <c r="M23" s="182" t="s">
        <v>329</v>
      </c>
      <c r="N23" s="31">
        <f>K23</f>
        <v>330000</v>
      </c>
      <c r="O23" s="5"/>
    </row>
    <row r="2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