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" sheetId="4" r:id="rId7"/>
    <sheet state="visible" name="Magasin" sheetId="5" r:id="rId8"/>
    <sheet state="visible" name="Objectif" sheetId="6" r:id="rId9"/>
    <sheet state="visible" name="Charbate2020" sheetId="7" r:id="rId10"/>
  </sheets>
  <definedNames/>
  <calcPr/>
</workbook>
</file>

<file path=xl/sharedStrings.xml><?xml version="1.0" encoding="utf-8"?>
<sst xmlns="http://schemas.openxmlformats.org/spreadsheetml/2006/main" count="277" uniqueCount="188">
  <si>
    <t>Date</t>
  </si>
  <si>
    <t>Recette</t>
  </si>
  <si>
    <t>Charges</t>
  </si>
  <si>
    <t>Salaire</t>
  </si>
  <si>
    <t>Loyer</t>
  </si>
  <si>
    <t>Net Profit</t>
  </si>
  <si>
    <t>Samedi</t>
  </si>
  <si>
    <t>dimanche</t>
  </si>
  <si>
    <t>lundi</t>
  </si>
  <si>
    <t>mardi</t>
  </si>
  <si>
    <t>mercredi</t>
  </si>
  <si>
    <t>jeudi</t>
  </si>
  <si>
    <t>vendredi</t>
  </si>
  <si>
    <t>samedi</t>
  </si>
  <si>
    <t>Real Net Profit</t>
  </si>
  <si>
    <t>Cash restant</t>
  </si>
  <si>
    <t>TOTAL</t>
  </si>
  <si>
    <t>TAUX</t>
  </si>
  <si>
    <t>Produit</t>
  </si>
  <si>
    <t>Quantité</t>
  </si>
  <si>
    <t>Prix</t>
  </si>
  <si>
    <t>Date d'achat</t>
  </si>
  <si>
    <t>Semoule Extra Fin Habour</t>
  </si>
  <si>
    <t>15 Sachets de 25kg</t>
  </si>
  <si>
    <t>Levure chimique</t>
  </si>
  <si>
    <t>2 boite de 100</t>
  </si>
  <si>
    <t>jus ifruit</t>
  </si>
  <si>
    <t>4 Fardeaux</t>
  </si>
  <si>
    <t xml:space="preserve">Coca Cola cannette </t>
  </si>
  <si>
    <t xml:space="preserve">Coca Cola </t>
  </si>
  <si>
    <t>Rouiba</t>
  </si>
  <si>
    <t>Boites 48/10</t>
  </si>
  <si>
    <t>Boites 36/10</t>
  </si>
  <si>
    <t>Boites 36/07</t>
  </si>
  <si>
    <t>Boites 08/07</t>
  </si>
  <si>
    <t>Boites 08/06</t>
  </si>
  <si>
    <t>Sachet en papier 23</t>
  </si>
  <si>
    <t>3 fardeaux</t>
  </si>
  <si>
    <t>Gants</t>
  </si>
  <si>
    <t>1 Boite</t>
  </si>
  <si>
    <t>Aluminium</t>
  </si>
  <si>
    <t xml:space="preserve">3 Boites </t>
  </si>
  <si>
    <t>Vanille</t>
  </si>
  <si>
    <t>400g</t>
  </si>
  <si>
    <t>Sanoudj</t>
  </si>
  <si>
    <t>1kg</t>
  </si>
  <si>
    <t>Fromage spéciale Pizza</t>
  </si>
  <si>
    <t>12.5kg</t>
  </si>
  <si>
    <t>Tomate conserve</t>
  </si>
  <si>
    <t>1 carton</t>
  </si>
  <si>
    <t>Levure de bièrre</t>
  </si>
  <si>
    <t>eau de fleur</t>
  </si>
  <si>
    <t xml:space="preserve">5 Bouteilles </t>
  </si>
  <si>
    <t>eau de javel</t>
  </si>
  <si>
    <t xml:space="preserve">1 bidon de 5 litres </t>
  </si>
  <si>
    <t>isis</t>
  </si>
  <si>
    <t xml:space="preserve">Margarine Mani </t>
  </si>
  <si>
    <t>4 cartons</t>
  </si>
  <si>
    <t>Lait en poudre</t>
  </si>
  <si>
    <t>2kg</t>
  </si>
  <si>
    <t>Semoule Moyenne Extra Ben Hamadi</t>
  </si>
  <si>
    <t>10 sachets de 25kg</t>
  </si>
  <si>
    <t>Huile Fridor</t>
  </si>
  <si>
    <t>10 bidons de 10 litres</t>
  </si>
  <si>
    <t>Eau Lala khedidja 1 litre</t>
  </si>
  <si>
    <t>5 fardeaux</t>
  </si>
  <si>
    <t>eau Lala khedidja 1/2 litre</t>
  </si>
  <si>
    <t>5 Fardeaux</t>
  </si>
  <si>
    <t>Sacs poubellle</t>
  </si>
  <si>
    <t>3 paquets</t>
  </si>
  <si>
    <t>4 sachets de 10kg</t>
  </si>
  <si>
    <t>Na3ena3 yabess</t>
  </si>
  <si>
    <t>Sachets transparents</t>
  </si>
  <si>
    <t>2  Fardeaux</t>
  </si>
  <si>
    <t>Sachets blanc 5kg</t>
  </si>
  <si>
    <t>Gruyère</t>
  </si>
  <si>
    <t>3.5kg</t>
  </si>
  <si>
    <t xml:space="preserve">12 boites </t>
  </si>
  <si>
    <t>Gheress</t>
  </si>
  <si>
    <t>11kg</t>
  </si>
  <si>
    <t xml:space="preserve">persil en poudre </t>
  </si>
  <si>
    <t xml:space="preserve">60kg </t>
  </si>
  <si>
    <t>lait candia</t>
  </si>
  <si>
    <t>Herbes</t>
  </si>
  <si>
    <t>8 pouquets</t>
  </si>
  <si>
    <t>Transport yassir</t>
  </si>
  <si>
    <t xml:space="preserve">Recheta </t>
  </si>
  <si>
    <t>10kg</t>
  </si>
  <si>
    <t>20kg</t>
  </si>
  <si>
    <t>bessel</t>
  </si>
  <si>
    <t>120kg</t>
  </si>
  <si>
    <t>tomate fraiche</t>
  </si>
  <si>
    <t>1.5kg</t>
  </si>
  <si>
    <t xml:space="preserve">felfel guenawa </t>
  </si>
  <si>
    <t>200g</t>
  </si>
  <si>
    <t>Farine</t>
  </si>
  <si>
    <t>Transport Yassir</t>
  </si>
  <si>
    <t>3akeri</t>
  </si>
  <si>
    <t>Refiss</t>
  </si>
  <si>
    <t xml:space="preserve">40 pièces </t>
  </si>
  <si>
    <t>7 bouquets</t>
  </si>
  <si>
    <t>10.6kg</t>
  </si>
  <si>
    <t>serpière+pala</t>
  </si>
  <si>
    <t xml:space="preserve">Herbes </t>
  </si>
  <si>
    <t xml:space="preserve">7 bouquets </t>
  </si>
  <si>
    <t>Baghrir</t>
  </si>
  <si>
    <t>1 semaine</t>
  </si>
  <si>
    <t>Harrissa</t>
  </si>
  <si>
    <t>2 boites de 500g</t>
  </si>
  <si>
    <t>100kg</t>
  </si>
  <si>
    <t xml:space="preserve">semoule moyenne Extra Ben hamadi </t>
  </si>
  <si>
    <t xml:space="preserve">08 sachets de 10kg </t>
  </si>
  <si>
    <t>Détergeants:décapant,sepière, bali,lave glace, isis 5litre,gants, décapant pr F</t>
  </si>
  <si>
    <t>8+1+1+1+1+1+1</t>
  </si>
  <si>
    <t>5 boites de 1kg</t>
  </si>
  <si>
    <t xml:space="preserve">Transport Yassir </t>
  </si>
  <si>
    <t xml:space="preserve">2 fois </t>
  </si>
  <si>
    <t>15 kg</t>
  </si>
  <si>
    <t>Storme</t>
  </si>
  <si>
    <t>flexy connexion</t>
  </si>
  <si>
    <t xml:space="preserve">Semoule Safina </t>
  </si>
  <si>
    <t>1 sachet de 25kg</t>
  </si>
  <si>
    <t>semoule Bahar</t>
  </si>
  <si>
    <t>25kg</t>
  </si>
  <si>
    <t>Rechta</t>
  </si>
  <si>
    <t xml:space="preserve">herbes </t>
  </si>
  <si>
    <t xml:space="preserve">10 bouquets </t>
  </si>
  <si>
    <t>kosseber mere7i</t>
  </si>
  <si>
    <t>500g</t>
  </si>
  <si>
    <t>40 pièces</t>
  </si>
  <si>
    <t>Charbate</t>
  </si>
  <si>
    <t>/</t>
  </si>
  <si>
    <t xml:space="preserve">semoule extra fin Bahar et amor ben amor acheté par Saida </t>
  </si>
  <si>
    <t>Semoule extra fin Mama et Amor Ben Amor</t>
  </si>
  <si>
    <t>40kg</t>
  </si>
  <si>
    <t xml:space="preserve">transport </t>
  </si>
  <si>
    <t>herbes</t>
  </si>
  <si>
    <t>ralonge</t>
  </si>
  <si>
    <t xml:space="preserve">goblets </t>
  </si>
  <si>
    <t>Amina Baghrire</t>
  </si>
  <si>
    <t xml:space="preserve">bessel </t>
  </si>
  <si>
    <t>40kg+3kg</t>
  </si>
  <si>
    <t xml:space="preserve">Semoule extra fin Mama   </t>
  </si>
  <si>
    <t>10 sacs de 10kg</t>
  </si>
  <si>
    <t>La monnie dans la caisse</t>
  </si>
  <si>
    <t>TOTALE</t>
  </si>
  <si>
    <t xml:space="preserve">Somme initiale </t>
  </si>
  <si>
    <t>Rest</t>
  </si>
  <si>
    <t>Zehor</t>
  </si>
  <si>
    <t>Hadjer</t>
  </si>
  <si>
    <t>Zoubida</t>
  </si>
  <si>
    <t>Louiza</t>
  </si>
  <si>
    <t>Nouara</t>
  </si>
  <si>
    <t>Nawel</t>
  </si>
  <si>
    <t>Zahida</t>
  </si>
  <si>
    <t>Remarque</t>
  </si>
  <si>
    <t xml:space="preserve">Reste à payer  </t>
  </si>
  <si>
    <t>Dimanche</t>
  </si>
  <si>
    <t>Lundi</t>
  </si>
  <si>
    <t>Mardi</t>
  </si>
  <si>
    <t>Mercredi</t>
  </si>
  <si>
    <t>Jeudi</t>
  </si>
  <si>
    <t>Vendredi</t>
  </si>
  <si>
    <t>Dimenche</t>
  </si>
  <si>
    <t>Mardfi</t>
  </si>
  <si>
    <t>Salaire/jour</t>
  </si>
  <si>
    <t>SALAIRES</t>
  </si>
  <si>
    <t xml:space="preserve">Nom </t>
  </si>
  <si>
    <t>Avance</t>
  </si>
  <si>
    <t>Nowara</t>
  </si>
  <si>
    <t>Objectif</t>
  </si>
  <si>
    <t>Real</t>
  </si>
  <si>
    <t xml:space="preserve">Manque </t>
  </si>
  <si>
    <t>Bénéfice Prévu</t>
  </si>
  <si>
    <t>Bénéfice réel</t>
  </si>
  <si>
    <t>Charbate 2020</t>
  </si>
  <si>
    <t>225 kg citron</t>
  </si>
  <si>
    <t xml:space="preserve">200kg citron </t>
  </si>
  <si>
    <t>4   3assarates</t>
  </si>
  <si>
    <t>3 rapeuses</t>
  </si>
  <si>
    <t>3 cotaux</t>
  </si>
  <si>
    <t>8 bas de 14 litres</t>
  </si>
  <si>
    <t>3 bacs de 22 litres</t>
  </si>
  <si>
    <t>3 plats</t>
  </si>
  <si>
    <t>3assara éléctrique</t>
  </si>
  <si>
    <t xml:space="preserve">les filles </t>
  </si>
  <si>
    <t>100kg Sucre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</si>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</sst>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/>
    <font>
      <b/>
      <sz val="14.0"/>
      <color rgb="FF0000FF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2.0"/>
      <color rgb="FF0000FF"/>
      <name val="Arial"/>
    </font>
    <font>
      <sz val="12.0"/>
      <color rgb="FFFF0000"/>
      <name val="Arial"/>
    </font>
    <font>
      <sz val="12.0"/>
      <color rgb="FF00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readingOrder="0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vertical="bottom"/>
    </xf>
    <xf borderId="0" fillId="0" fontId="4" numFmtId="165" xfId="0" applyAlignment="1" applyFont="1" applyNumberFormat="1">
      <alignment readingOrder="0"/>
    </xf>
    <xf borderId="3" fillId="4" fontId="2" numFmtId="0" xfId="0" applyAlignment="1" applyBorder="1" applyFill="1" applyFont="1">
      <alignment horizontal="center" readingOrder="0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readingOrder="0" vertical="bottom"/>
    </xf>
    <xf borderId="4" fillId="5" fontId="5" numFmtId="0" xfId="0" applyAlignment="1" applyBorder="1" applyFill="1" applyFont="1">
      <alignment horizontal="center" readingOrder="0"/>
    </xf>
    <xf borderId="4" fillId="5" fontId="5" numFmtId="165" xfId="0" applyAlignment="1" applyBorder="1" applyFont="1" applyNumberFormat="1">
      <alignment horizontal="center"/>
    </xf>
    <xf borderId="4" fillId="6" fontId="6" numFmtId="0" xfId="0" applyAlignment="1" applyBorder="1" applyFill="1" applyFont="1">
      <alignment horizontal="center" readingOrder="0"/>
    </xf>
    <xf borderId="4" fillId="0" fontId="6" numFmtId="165" xfId="0" applyAlignment="1" applyBorder="1" applyFont="1" applyNumberFormat="1">
      <alignment horizontal="center"/>
    </xf>
    <xf borderId="4" fillId="6" fontId="7" numFmtId="165" xfId="0" applyAlignment="1" applyBorder="1" applyFont="1" applyNumberFormat="1">
      <alignment horizontal="center" vertical="bottom"/>
    </xf>
    <xf borderId="2" fillId="6" fontId="7" numFmtId="0" xfId="0" applyAlignment="1" applyBorder="1" applyFon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readingOrder="0" vertical="bottom"/>
    </xf>
    <xf borderId="1" fillId="0" fontId="8" numFmtId="0" xfId="0" applyBorder="1" applyFont="1"/>
    <xf borderId="1" fillId="6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0" fontId="9" numFmtId="165" xfId="0" applyAlignment="1" applyFont="1" applyNumberFormat="1">
      <alignment horizontal="center"/>
    </xf>
    <xf borderId="3" fillId="3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4" fontId="7" numFmtId="165" xfId="0" applyAlignment="1" applyBorder="1" applyFont="1" applyNumberFormat="1">
      <alignment horizontal="center" readingOrder="0" vertical="bottom"/>
    </xf>
    <xf borderId="6" fillId="9" fontId="4" numFmtId="0" xfId="0" applyAlignment="1" applyBorder="1" applyFill="1" applyFont="1">
      <alignment horizontal="center" readingOrder="0"/>
    </xf>
    <xf borderId="2" fillId="0" fontId="8" numFmtId="0" xfId="0" applyBorder="1" applyFont="1"/>
    <xf borderId="4" fillId="10" fontId="10" numFmtId="9" xfId="0" applyAlignment="1" applyBorder="1" applyFill="1" applyFont="1" applyNumberFormat="1">
      <alignment horizontal="center" readingOrder="0"/>
    </xf>
    <xf borderId="4" fillId="10" fontId="10" numFmtId="10" xfId="0" applyAlignment="1" applyBorder="1" applyFont="1" applyNumberFormat="1">
      <alignment horizontal="center"/>
    </xf>
    <xf borderId="4" fillId="6" fontId="11" numFmtId="0" xfId="0" applyAlignment="1" applyBorder="1" applyFont="1">
      <alignment horizontal="center" vertical="bottom"/>
    </xf>
    <xf borderId="2" fillId="6" fontId="11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" fillId="0" fontId="12" numFmtId="165" xfId="0" applyAlignment="1" applyBorder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horizontal="center" readingOrder="0" vertical="bottom"/>
    </xf>
    <xf borderId="3" fillId="8" fontId="12" numFmtId="0" xfId="0" applyAlignment="1" applyBorder="1" applyFont="1">
      <alignment horizontal="center" readingOrder="0" vertical="bottom"/>
    </xf>
    <xf borderId="1" fillId="8" fontId="12" numFmtId="0" xfId="0" applyAlignment="1" applyBorder="1" applyFont="1">
      <alignment horizontal="center" readingOrder="0" vertical="bottom"/>
    </xf>
    <xf borderId="1" fillId="8" fontId="12" numFmtId="165" xfId="0" applyAlignment="1" applyBorder="1" applyFont="1" applyNumberFormat="1">
      <alignment horizontal="center" readingOrder="0" vertical="bottom"/>
    </xf>
    <xf borderId="1" fillId="8" fontId="12" numFmtId="164" xfId="0" applyAlignment="1" applyBorder="1" applyFont="1" applyNumberFormat="1">
      <alignment horizontal="center" readingOrder="0" vertical="bottom"/>
    </xf>
    <xf borderId="3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1" fillId="0" fontId="12" numFmtId="165" xfId="0" applyAlignment="1" applyBorder="1" applyFont="1" applyNumberFormat="1">
      <alignment horizontal="center" vertical="bottom"/>
    </xf>
    <xf borderId="3" fillId="4" fontId="13" numFmtId="0" xfId="0" applyAlignment="1" applyBorder="1" applyFont="1">
      <alignment horizontal="center" vertical="bottom"/>
    </xf>
    <xf borderId="1" fillId="7" fontId="7" numFmtId="165" xfId="0" applyAlignment="1" applyBorder="1" applyFont="1" applyNumberFormat="1">
      <alignment horizontal="center" vertical="bottom"/>
    </xf>
    <xf borderId="1" fillId="5" fontId="7" numFmtId="165" xfId="0" applyAlignment="1" applyBorder="1" applyFont="1" applyNumberFormat="1">
      <alignment horizontal="center" vertical="bottom"/>
    </xf>
    <xf borderId="1" fillId="6" fontId="7" numFmtId="165" xfId="0" applyAlignment="1" applyBorder="1" applyFont="1" applyNumberFormat="1">
      <alignment horizontal="center" vertical="bottom"/>
    </xf>
    <xf borderId="0" fillId="3" fontId="1" numFmtId="0" xfId="0" applyAlignment="1" applyFont="1">
      <alignment vertical="bottom"/>
    </xf>
    <xf borderId="2" fillId="5" fontId="2" numFmtId="0" xfId="0" applyAlignment="1" applyBorder="1" applyFont="1">
      <alignment horizontal="center" vertical="bottom"/>
    </xf>
    <xf borderId="2" fillId="5" fontId="14" numFmtId="0" xfId="0" applyAlignment="1" applyBorder="1" applyFont="1">
      <alignment horizontal="center" vertical="bottom"/>
    </xf>
    <xf borderId="2" fillId="5" fontId="14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1" fillId="3" fontId="15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horizontal="right" readingOrder="0" vertical="bottom"/>
    </xf>
    <xf borderId="3" fillId="4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readingOrder="0" vertical="bottom"/>
    </xf>
    <xf borderId="1" fillId="4" fontId="16" numFmtId="0" xfId="0" applyAlignment="1" applyBorder="1" applyFont="1">
      <alignment horizontal="right" readingOrder="0" vertical="bottom"/>
    </xf>
    <xf borderId="1" fillId="4" fontId="16" numFmtId="0" xfId="0" applyAlignment="1" applyBorder="1" applyFont="1">
      <alignment horizontal="right" vertical="bottom"/>
    </xf>
    <xf borderId="1" fillId="6" fontId="13" numFmtId="0" xfId="0" applyAlignment="1" applyBorder="1" applyFont="1">
      <alignment horizontal="center" vertical="bottom"/>
    </xf>
    <xf borderId="1" fillId="6" fontId="1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7" fillId="0" fontId="2" numFmtId="165" xfId="0" applyAlignment="1" applyBorder="1" applyFont="1" applyNumberFormat="1">
      <alignment horizontal="center" vertical="bottom"/>
    </xf>
    <xf borderId="1" fillId="6" fontId="18" numFmtId="0" xfId="0" applyAlignment="1" applyBorder="1" applyFont="1">
      <alignment horizontal="center" vertical="bottom"/>
    </xf>
    <xf borderId="1" fillId="6" fontId="18" numFmtId="165" xfId="0" applyAlignment="1" applyBorder="1" applyFont="1" applyNumberFormat="1">
      <alignment horizontal="center" vertical="bottom"/>
    </xf>
    <xf borderId="0" fillId="4" fontId="1" numFmtId="165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2" fillId="4" fontId="7" numFmtId="0" xfId="0" applyAlignment="1" applyBorder="1" applyFont="1">
      <alignment horizontal="center" vertical="bottom"/>
    </xf>
    <xf borderId="3" fillId="0" fontId="12" numFmtId="0" xfId="0" applyAlignment="1" applyBorder="1" applyFont="1">
      <alignment horizontal="right" vertical="bottom"/>
    </xf>
    <xf borderId="1" fillId="0" fontId="12" numFmtId="165" xfId="0" applyAlignment="1" applyBorder="1" applyFont="1" applyNumberFormat="1">
      <alignment horizontal="right" vertical="bottom"/>
    </xf>
    <xf borderId="3" fillId="0" fontId="12" numFmtId="0" xfId="0" applyAlignment="1" applyBorder="1" applyFont="1">
      <alignment horizontal="right" readingOrder="0" vertical="bottom"/>
    </xf>
    <xf borderId="1" fillId="0" fontId="12" numFmtId="165" xfId="0" applyAlignment="1" applyBorder="1" applyFont="1" applyNumberFormat="1">
      <alignment readingOrder="0" vertical="bottom"/>
    </xf>
    <xf borderId="1" fillId="0" fontId="12" numFmtId="165" xfId="0" applyAlignment="1" applyBorder="1" applyFont="1" applyNumberFormat="1">
      <alignment horizontal="right" readingOrder="0" vertical="bottom"/>
    </xf>
    <xf borderId="8" fillId="0" fontId="1" numFmtId="0" xfId="0" applyAlignment="1" applyBorder="1" applyFont="1">
      <alignment vertical="bottom"/>
    </xf>
    <xf borderId="1" fillId="6" fontId="19" numFmtId="0" xfId="0" applyAlignment="1" applyBorder="1" applyFont="1">
      <alignment horizontal="center" vertical="bottom"/>
    </xf>
    <xf borderId="1" fillId="6" fontId="19" numFmtId="165" xfId="0" applyAlignment="1" applyBorder="1" applyFont="1" applyNumberFormat="1">
      <alignment horizontal="right" vertical="bottom"/>
    </xf>
    <xf borderId="0" fillId="7" fontId="19" numFmtId="165" xfId="0" applyAlignment="1" applyFont="1" applyNumberFormat="1">
      <alignment horizontal="right" vertical="bottom"/>
    </xf>
    <xf borderId="1" fillId="5" fontId="1" numFmtId="0" xfId="0" applyAlignment="1" applyBorder="1" applyFont="1">
      <alignment vertical="bottom"/>
    </xf>
    <xf borderId="1" fillId="5" fontId="19" numFmtId="165" xfId="0" applyAlignment="1" applyBorder="1" applyFont="1" applyNumberFormat="1">
      <alignment horizontal="right" vertical="bottom"/>
    </xf>
    <xf borderId="4" fillId="0" fontId="19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vertical="bottom"/>
    </xf>
    <xf borderId="3" fillId="11" fontId="19" numFmtId="165" xfId="0" applyAlignment="1" applyBorder="1" applyFill="1" applyFont="1" applyNumberFormat="1">
      <alignment horizontal="center" vertical="bottom"/>
    </xf>
    <xf borderId="1" fillId="6" fontId="19" numFmtId="165" xfId="0" applyAlignment="1" applyBorder="1" applyFont="1" applyNumberFormat="1">
      <alignment horizontal="center" vertical="bottom"/>
    </xf>
    <xf borderId="1" fillId="7" fontId="19" numFmtId="165" xfId="0" applyAlignment="1" applyBorder="1" applyFont="1" applyNumberFormat="1">
      <alignment horizontal="center" vertical="bottom"/>
    </xf>
    <xf borderId="1" fillId="4" fontId="19" numFmtId="165" xfId="0" applyAlignment="1" applyBorder="1" applyFont="1" applyNumberFormat="1">
      <alignment horizontal="center" vertical="bottom"/>
    </xf>
    <xf borderId="1" fillId="5" fontId="19" numFmtId="165" xfId="0" applyAlignment="1" applyBorder="1" applyFont="1" applyNumberFormat="1">
      <alignment horizontal="center" vertical="bottom"/>
    </xf>
    <xf borderId="0" fillId="0" fontId="4" numFmtId="165" xfId="0" applyFont="1" applyNumberFormat="1"/>
    <xf borderId="6" fillId="6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165" xfId="0" applyAlignment="1" applyBorder="1" applyFont="1" applyNumberFormat="1">
      <alignment horizontal="center" readingOrder="0"/>
    </xf>
    <xf borderId="4" fillId="4" fontId="5" numFmtId="165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>
        <color theme="1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5.38"/>
    <col customWidth="1" min="18" max="18" width="15.88"/>
    <col customWidth="1" min="20" max="20" width="16.2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43862.0</v>
      </c>
      <c r="C2" s="5">
        <v>17000.0</v>
      </c>
      <c r="D2" s="6"/>
      <c r="E2" s="6"/>
      <c r="F2" s="6"/>
      <c r="G2" s="6"/>
    </row>
    <row r="3">
      <c r="A3" s="3" t="s">
        <v>7</v>
      </c>
      <c r="B3" s="4">
        <v>43863.0</v>
      </c>
      <c r="C3" s="5">
        <v>20000.0</v>
      </c>
      <c r="D3" s="6"/>
      <c r="E3" s="6"/>
      <c r="F3" s="6"/>
      <c r="G3" s="6"/>
    </row>
    <row r="4">
      <c r="A4" s="3" t="s">
        <v>8</v>
      </c>
      <c r="B4" s="4">
        <v>43864.0</v>
      </c>
      <c r="C4" s="5">
        <v>25000.0</v>
      </c>
      <c r="D4" s="6"/>
      <c r="E4" s="6"/>
      <c r="F4" s="6"/>
      <c r="G4" s="6"/>
    </row>
    <row r="5">
      <c r="A5" s="3" t="s">
        <v>9</v>
      </c>
      <c r="B5" s="4">
        <v>43865.0</v>
      </c>
      <c r="C5" s="5">
        <v>20000.0</v>
      </c>
      <c r="D5" s="6"/>
      <c r="E5" s="6"/>
      <c r="F5" s="6"/>
      <c r="G5" s="6"/>
    </row>
    <row r="6">
      <c r="A6" s="3" t="s">
        <v>10</v>
      </c>
      <c r="B6" s="4">
        <v>43866.0</v>
      </c>
      <c r="C6" s="5">
        <v>18000.0</v>
      </c>
      <c r="D6" s="6"/>
      <c r="E6" s="6"/>
      <c r="F6" s="6"/>
      <c r="G6" s="6"/>
      <c r="K6" s="7"/>
    </row>
    <row r="7">
      <c r="A7" s="3" t="s">
        <v>11</v>
      </c>
      <c r="B7" s="4">
        <v>43867.0</v>
      </c>
      <c r="C7" s="5">
        <v>25000.0</v>
      </c>
      <c r="D7" s="6"/>
      <c r="E7" s="6"/>
      <c r="F7" s="6"/>
      <c r="G7" s="6"/>
    </row>
    <row r="8">
      <c r="A8" s="8" t="s">
        <v>12</v>
      </c>
      <c r="B8" s="9">
        <v>43868.0</v>
      </c>
      <c r="C8" s="10">
        <v>0.0</v>
      </c>
      <c r="D8" s="11">
        <v>0.0</v>
      </c>
      <c r="E8" s="11">
        <v>0.0</v>
      </c>
      <c r="F8" s="11">
        <v>0.0</v>
      </c>
      <c r="G8" s="11">
        <v>0.0</v>
      </c>
    </row>
    <row r="9">
      <c r="A9" s="3" t="s">
        <v>13</v>
      </c>
      <c r="B9" s="4">
        <v>43869.0</v>
      </c>
      <c r="C9" s="5">
        <v>23000.0</v>
      </c>
      <c r="D9" s="6"/>
      <c r="E9" s="6"/>
      <c r="F9" s="6"/>
      <c r="G9" s="6"/>
    </row>
    <row r="10">
      <c r="A10" s="3" t="s">
        <v>7</v>
      </c>
      <c r="B10" s="4">
        <v>43870.0</v>
      </c>
      <c r="C10" s="5">
        <v>22000.0</v>
      </c>
      <c r="D10" s="6"/>
      <c r="E10" s="6"/>
      <c r="F10" s="6"/>
      <c r="G10" s="6"/>
      <c r="K10" s="7"/>
    </row>
    <row r="11">
      <c r="A11" s="3" t="s">
        <v>8</v>
      </c>
      <c r="B11" s="4">
        <v>43871.0</v>
      </c>
      <c r="C11" s="5">
        <v>19000.0</v>
      </c>
      <c r="D11" s="6"/>
      <c r="E11" s="6"/>
      <c r="F11" s="6"/>
      <c r="G11" s="6"/>
    </row>
    <row r="12">
      <c r="A12" s="3" t="s">
        <v>9</v>
      </c>
      <c r="B12" s="4">
        <v>43872.0</v>
      </c>
      <c r="C12" s="5">
        <v>23000.0</v>
      </c>
      <c r="D12" s="6"/>
      <c r="E12" s="6"/>
      <c r="F12" s="6"/>
      <c r="G12" s="6"/>
    </row>
    <row r="13">
      <c r="A13" s="3" t="s">
        <v>10</v>
      </c>
      <c r="B13" s="4">
        <v>43873.0</v>
      </c>
      <c r="C13" s="5">
        <v>21000.0</v>
      </c>
      <c r="D13" s="6"/>
      <c r="E13" s="6"/>
      <c r="F13" s="6"/>
      <c r="G13" s="6"/>
      <c r="J13" s="12" t="s">
        <v>14</v>
      </c>
    </row>
    <row r="14">
      <c r="A14" s="3" t="s">
        <v>11</v>
      </c>
      <c r="B14" s="4">
        <v>43874.0</v>
      </c>
      <c r="C14" s="5">
        <v>32000.0</v>
      </c>
      <c r="D14" s="6"/>
      <c r="E14" s="6"/>
      <c r="F14" s="6"/>
      <c r="G14" s="6"/>
      <c r="J14" s="13">
        <f>C31-D31-E31-F31</f>
        <v>82000</v>
      </c>
    </row>
    <row r="15">
      <c r="A15" s="8" t="s">
        <v>12</v>
      </c>
      <c r="B15" s="9">
        <v>43875.0</v>
      </c>
      <c r="C15" s="10">
        <v>0.0</v>
      </c>
      <c r="D15" s="11">
        <v>0.0</v>
      </c>
      <c r="E15" s="11">
        <v>0.0</v>
      </c>
      <c r="F15" s="11">
        <v>0.0</v>
      </c>
      <c r="G15" s="11">
        <v>0.0</v>
      </c>
    </row>
    <row r="16">
      <c r="A16" s="3" t="s">
        <v>13</v>
      </c>
      <c r="B16" s="4">
        <v>43876.0</v>
      </c>
      <c r="C16" s="5">
        <v>12000.0</v>
      </c>
      <c r="D16" s="6"/>
      <c r="E16" s="6"/>
      <c r="F16" s="6"/>
      <c r="G16" s="6"/>
    </row>
    <row r="17">
      <c r="A17" s="3" t="s">
        <v>7</v>
      </c>
      <c r="B17" s="4">
        <v>43877.0</v>
      </c>
      <c r="C17" s="5">
        <v>17000.0</v>
      </c>
      <c r="D17" s="6"/>
      <c r="E17" s="6"/>
      <c r="F17" s="6"/>
      <c r="G17" s="6"/>
    </row>
    <row r="18">
      <c r="A18" s="3" t="s">
        <v>8</v>
      </c>
      <c r="B18" s="4">
        <v>43878.0</v>
      </c>
      <c r="C18" s="5">
        <v>17000.0</v>
      </c>
      <c r="D18" s="6"/>
      <c r="E18" s="6"/>
      <c r="F18" s="6"/>
      <c r="G18" s="6"/>
    </row>
    <row r="19">
      <c r="A19" s="3" t="s">
        <v>9</v>
      </c>
      <c r="B19" s="4">
        <v>43879.0</v>
      </c>
      <c r="C19" s="5">
        <v>21000.0</v>
      </c>
      <c r="D19" s="6"/>
      <c r="E19" s="6"/>
      <c r="F19" s="6"/>
      <c r="G19" s="6"/>
    </row>
    <row r="20">
      <c r="A20" s="3" t="s">
        <v>10</v>
      </c>
      <c r="B20" s="4">
        <v>43880.0</v>
      </c>
      <c r="C20" s="5">
        <v>19000.0</v>
      </c>
      <c r="D20" s="6"/>
      <c r="E20" s="6"/>
      <c r="F20" s="6"/>
      <c r="G20" s="6"/>
    </row>
    <row r="21">
      <c r="A21" s="3" t="s">
        <v>11</v>
      </c>
      <c r="B21" s="4">
        <v>43881.0</v>
      </c>
      <c r="C21" s="5">
        <v>23000.0</v>
      </c>
      <c r="D21" s="6"/>
      <c r="E21" s="6"/>
      <c r="F21" s="6"/>
      <c r="G21" s="6"/>
    </row>
    <row r="22">
      <c r="A22" s="8" t="s">
        <v>12</v>
      </c>
      <c r="B22" s="9">
        <v>43882.0</v>
      </c>
      <c r="C22" s="10">
        <v>0.0</v>
      </c>
      <c r="D22" s="11">
        <v>0.0</v>
      </c>
      <c r="E22" s="11">
        <v>0.0</v>
      </c>
      <c r="F22" s="11">
        <v>0.0</v>
      </c>
      <c r="G22" s="11">
        <v>0.0</v>
      </c>
    </row>
    <row r="23">
      <c r="A23" s="3" t="s">
        <v>13</v>
      </c>
      <c r="B23" s="4">
        <v>43883.0</v>
      </c>
      <c r="C23" s="5">
        <v>17000.0</v>
      </c>
      <c r="D23" s="6"/>
      <c r="E23" s="6"/>
      <c r="F23" s="6"/>
      <c r="G23" s="6"/>
    </row>
    <row r="24">
      <c r="A24" s="3" t="s">
        <v>7</v>
      </c>
      <c r="B24" s="4">
        <v>43884.0</v>
      </c>
      <c r="C24" s="5">
        <v>23000.0</v>
      </c>
      <c r="D24" s="6"/>
      <c r="E24" s="6"/>
      <c r="F24" s="6"/>
      <c r="G24" s="6"/>
    </row>
    <row r="25">
      <c r="A25" s="3" t="s">
        <v>8</v>
      </c>
      <c r="B25" s="4">
        <v>43885.0</v>
      </c>
      <c r="C25" s="5">
        <v>14000.0</v>
      </c>
      <c r="D25" s="6"/>
      <c r="E25" s="6"/>
      <c r="F25" s="6"/>
      <c r="G25" s="6"/>
    </row>
    <row r="26">
      <c r="A26" s="3" t="s">
        <v>9</v>
      </c>
      <c r="B26" s="4">
        <v>43886.0</v>
      </c>
      <c r="C26" s="5">
        <v>16000.0</v>
      </c>
      <c r="D26" s="6"/>
      <c r="E26" s="6"/>
      <c r="F26" s="6"/>
      <c r="G26" s="6"/>
    </row>
    <row r="27">
      <c r="A27" s="3" t="s">
        <v>10</v>
      </c>
      <c r="B27" s="4">
        <v>43887.0</v>
      </c>
      <c r="C27" s="5">
        <v>21000.0</v>
      </c>
      <c r="D27" s="6"/>
      <c r="E27" s="6"/>
      <c r="F27" s="6"/>
      <c r="G27" s="6"/>
    </row>
    <row r="28">
      <c r="A28" s="3" t="s">
        <v>11</v>
      </c>
      <c r="B28" s="4">
        <v>43888.0</v>
      </c>
      <c r="C28" s="5">
        <v>30000.0</v>
      </c>
      <c r="D28" s="6"/>
      <c r="E28" s="6"/>
      <c r="F28" s="6"/>
      <c r="G28" s="6"/>
    </row>
    <row r="29">
      <c r="A29" s="8" t="s">
        <v>12</v>
      </c>
      <c r="B29" s="9">
        <v>43889.0</v>
      </c>
      <c r="C29" s="10">
        <v>0.0</v>
      </c>
      <c r="D29" s="11">
        <v>0.0</v>
      </c>
      <c r="E29" s="11">
        <v>0.0</v>
      </c>
      <c r="F29" s="11">
        <v>0.0</v>
      </c>
      <c r="G29" s="11">
        <v>0.0</v>
      </c>
      <c r="J29" s="14" t="s">
        <v>15</v>
      </c>
    </row>
    <row r="30">
      <c r="A30" s="3" t="s">
        <v>13</v>
      </c>
      <c r="B30" s="4">
        <v>43890.0</v>
      </c>
      <c r="C30" s="5">
        <v>26000.0</v>
      </c>
      <c r="D30" s="6"/>
      <c r="E30" s="6"/>
      <c r="F30" s="6"/>
      <c r="G30" s="6"/>
      <c r="J30" s="15">
        <f>C31+Charges!E98-Salaires!J19-D31</f>
        <v>343400</v>
      </c>
      <c r="R30" s="16">
        <f>C31*1</f>
        <v>521000</v>
      </c>
      <c r="S30" s="17">
        <f>Pointage!I31*1</f>
        <v>25</v>
      </c>
      <c r="T30" s="18">
        <f>R30/S30</f>
        <v>20840</v>
      </c>
    </row>
    <row r="31">
      <c r="A31" s="19" t="s">
        <v>16</v>
      </c>
      <c r="B31" s="20"/>
      <c r="C31" s="21">
        <f>SUM(C2:C30)</f>
        <v>521000</v>
      </c>
      <c r="D31" s="22">
        <f>Charges!E97*1</f>
        <v>228600</v>
      </c>
      <c r="E31" s="23">
        <f>Pointage!J33*1</f>
        <v>165400</v>
      </c>
      <c r="F31" s="24">
        <v>45000.0</v>
      </c>
      <c r="G31" s="25">
        <f>C31+Charges!E98-Charges!E97-E31-F31</f>
        <v>162000</v>
      </c>
      <c r="J31" s="26">
        <f>C31+Charges!E98-Salaires!J19-Charbate2020!J17-Charges!E97</f>
        <v>249800</v>
      </c>
      <c r="R31" s="27"/>
      <c r="S31" s="28"/>
      <c r="T31" s="29">
        <v>30000.0</v>
      </c>
    </row>
    <row r="32">
      <c r="A32" s="30" t="s">
        <v>17</v>
      </c>
      <c r="B32" s="31"/>
      <c r="C32" s="32">
        <v>1.0</v>
      </c>
      <c r="D32" s="33">
        <f>D31/C31</f>
        <v>0.4387715931</v>
      </c>
      <c r="E32" s="33">
        <f>E31/C31</f>
        <v>0.3174664107</v>
      </c>
      <c r="F32" s="33">
        <f>F31/C31</f>
        <v>0.08637236084</v>
      </c>
      <c r="G32" s="33">
        <f>G31/C31</f>
        <v>0.310940499</v>
      </c>
    </row>
  </sheetData>
  <mergeCells count="2">
    <mergeCell ref="A31:B31"/>
    <mergeCell ref="A32:B32"/>
  </mergeCells>
  <conditionalFormatting sqref="D32">
    <cfRule type="colorScale" priority="1">
      <colorScale>
        <cfvo type="percent" val="30%"/>
        <cfvo type="percent" val="45%"/>
        <cfvo type="percent" val="50%"/>
        <color rgb="FF57BB8A"/>
        <color rgb="FFFF9900"/>
        <color rgb="FFEA4335"/>
      </colorScale>
    </cfRule>
  </conditionalFormatting>
  <conditionalFormatting sqref="E32">
    <cfRule type="colorScale" priority="2">
      <colorScale>
        <cfvo type="percent" val="40%"/>
        <cfvo type="percent" val="30%"/>
        <cfvo type="percent" val="25%"/>
        <color rgb="FFEA4335"/>
        <color rgb="FFFF9900"/>
        <color rgb="FFEA4335"/>
      </colorScale>
    </cfRule>
  </conditionalFormatting>
  <conditionalFormatting sqref="F32">
    <cfRule type="cellIs" dxfId="0" priority="3" operator="greaterThan">
      <formula>"7%"</formula>
    </cfRule>
  </conditionalFormatting>
  <conditionalFormatting sqref="G32">
    <cfRule type="cellIs" dxfId="1" priority="4" operator="lessThan">
      <formula>"35%"</formula>
    </cfRule>
  </conditionalFormatting>
  <conditionalFormatting sqref="G32">
    <cfRule type="cellIs" dxfId="2" priority="5" operator="between">
      <formula>"20%"</formula>
      <formula>"35%"</formula>
    </cfRule>
  </conditionalFormatting>
  <conditionalFormatting sqref="F32">
    <cfRule type="notContainsBlanks" dxfId="3" priority="6">
      <formula>LEN(TRIM(F32))&gt;0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83.13"/>
    <col customWidth="1" min="4" max="4" width="30.25"/>
    <col customWidth="1" min="5" max="5" width="14.5"/>
    <col customWidth="1" min="6" max="6" width="26.5"/>
  </cols>
  <sheetData>
    <row r="2">
      <c r="C2" s="34" t="s">
        <v>18</v>
      </c>
      <c r="D2" s="35" t="s">
        <v>19</v>
      </c>
      <c r="E2" s="35" t="s">
        <v>20</v>
      </c>
      <c r="F2" s="35" t="s">
        <v>21</v>
      </c>
    </row>
    <row r="3">
      <c r="C3" s="36" t="s">
        <v>22</v>
      </c>
      <c r="D3" s="37" t="s">
        <v>23</v>
      </c>
      <c r="E3" s="38">
        <v>17250.0</v>
      </c>
      <c r="F3" s="39">
        <v>43862.0</v>
      </c>
    </row>
    <row r="4">
      <c r="C4" s="36" t="s">
        <v>24</v>
      </c>
      <c r="D4" s="37" t="s">
        <v>25</v>
      </c>
      <c r="E4" s="38">
        <v>800.0</v>
      </c>
      <c r="F4" s="39">
        <v>43862.0</v>
      </c>
    </row>
    <row r="5">
      <c r="C5" s="36" t="s">
        <v>26</v>
      </c>
      <c r="D5" s="37" t="s">
        <v>27</v>
      </c>
      <c r="E5" s="38">
        <v>2000.0</v>
      </c>
      <c r="F5" s="39">
        <v>43862.0</v>
      </c>
    </row>
    <row r="6">
      <c r="C6" s="36" t="s">
        <v>28</v>
      </c>
      <c r="D6" s="37">
        <v>1.0</v>
      </c>
      <c r="E6" s="38">
        <v>1500.0</v>
      </c>
      <c r="F6" s="39">
        <v>43862.0</v>
      </c>
    </row>
    <row r="7">
      <c r="C7" s="36" t="s">
        <v>29</v>
      </c>
      <c r="D7" s="37">
        <v>1.0</v>
      </c>
      <c r="E7" s="38">
        <v>700.0</v>
      </c>
      <c r="F7" s="39">
        <v>43862.0</v>
      </c>
    </row>
    <row r="8">
      <c r="C8" s="36" t="s">
        <v>30</v>
      </c>
      <c r="D8" s="37">
        <v>1.0</v>
      </c>
      <c r="E8" s="38">
        <v>600.0</v>
      </c>
      <c r="F8" s="39">
        <v>43862.0</v>
      </c>
    </row>
    <row r="9">
      <c r="C9" s="36" t="s">
        <v>31</v>
      </c>
      <c r="D9" s="37">
        <v>3.0</v>
      </c>
      <c r="E9" s="38">
        <v>4200.0</v>
      </c>
      <c r="F9" s="39">
        <v>43862.0</v>
      </c>
    </row>
    <row r="10">
      <c r="C10" s="36" t="s">
        <v>32</v>
      </c>
      <c r="D10" s="37">
        <v>3.0</v>
      </c>
      <c r="E10" s="38">
        <v>3300.0</v>
      </c>
      <c r="F10" s="39">
        <v>43862.0</v>
      </c>
    </row>
    <row r="11">
      <c r="C11" s="36" t="s">
        <v>33</v>
      </c>
      <c r="D11" s="37">
        <v>2.0</v>
      </c>
      <c r="E11" s="38">
        <v>1560.0</v>
      </c>
      <c r="F11" s="39">
        <v>43862.0</v>
      </c>
    </row>
    <row r="12">
      <c r="C12" s="36" t="s">
        <v>34</v>
      </c>
      <c r="D12" s="37">
        <v>2.0</v>
      </c>
      <c r="E12" s="38">
        <v>1760.0</v>
      </c>
      <c r="F12" s="39">
        <v>43862.0</v>
      </c>
    </row>
    <row r="13">
      <c r="C13" s="36" t="s">
        <v>35</v>
      </c>
      <c r="D13" s="37">
        <v>1.0</v>
      </c>
      <c r="E13" s="38">
        <v>850.0</v>
      </c>
      <c r="F13" s="39">
        <v>43862.0</v>
      </c>
    </row>
    <row r="14">
      <c r="C14" s="36" t="s">
        <v>36</v>
      </c>
      <c r="D14" s="37" t="s">
        <v>37</v>
      </c>
      <c r="E14" s="38">
        <v>3300.0</v>
      </c>
      <c r="F14" s="39">
        <v>43862.0</v>
      </c>
    </row>
    <row r="15">
      <c r="C15" s="36" t="s">
        <v>38</v>
      </c>
      <c r="D15" s="37" t="s">
        <v>39</v>
      </c>
      <c r="E15" s="38">
        <v>850.0</v>
      </c>
      <c r="F15" s="39">
        <v>43862.0</v>
      </c>
    </row>
    <row r="16">
      <c r="C16" s="36" t="s">
        <v>40</v>
      </c>
      <c r="D16" s="37" t="s">
        <v>41</v>
      </c>
      <c r="E16" s="38">
        <v>2900.0</v>
      </c>
      <c r="F16" s="39">
        <v>43862.0</v>
      </c>
    </row>
    <row r="17">
      <c r="C17" s="36" t="s">
        <v>42</v>
      </c>
      <c r="D17" s="37" t="s">
        <v>43</v>
      </c>
      <c r="E17" s="38">
        <v>200.0</v>
      </c>
      <c r="F17" s="39">
        <v>43862.0</v>
      </c>
    </row>
    <row r="18">
      <c r="C18" s="36" t="s">
        <v>44</v>
      </c>
      <c r="D18" s="37" t="s">
        <v>45</v>
      </c>
      <c r="E18" s="38">
        <v>400.0</v>
      </c>
      <c r="F18" s="39">
        <v>43862.0</v>
      </c>
    </row>
    <row r="19">
      <c r="C19" s="36" t="s">
        <v>46</v>
      </c>
      <c r="D19" s="37" t="s">
        <v>47</v>
      </c>
      <c r="E19" s="38">
        <v>3200.0</v>
      </c>
      <c r="F19" s="39">
        <v>43862.0</v>
      </c>
    </row>
    <row r="20">
      <c r="C20" s="36" t="s">
        <v>48</v>
      </c>
      <c r="D20" s="37" t="s">
        <v>49</v>
      </c>
      <c r="E20" s="38">
        <v>2900.0</v>
      </c>
      <c r="F20" s="39">
        <v>43862.0</v>
      </c>
    </row>
    <row r="21">
      <c r="C21" s="36" t="s">
        <v>50</v>
      </c>
      <c r="D21" s="37" t="s">
        <v>49</v>
      </c>
      <c r="E21" s="38">
        <v>4900.0</v>
      </c>
      <c r="F21" s="39">
        <v>43862.0</v>
      </c>
    </row>
    <row r="22">
      <c r="C22" s="36" t="s">
        <v>51</v>
      </c>
      <c r="D22" s="37" t="s">
        <v>52</v>
      </c>
      <c r="E22" s="38">
        <v>275.0</v>
      </c>
      <c r="F22" s="39">
        <v>43862.0</v>
      </c>
    </row>
    <row r="23">
      <c r="C23" s="36" t="s">
        <v>53</v>
      </c>
      <c r="D23" s="37" t="s">
        <v>54</v>
      </c>
      <c r="E23" s="38">
        <v>200.0</v>
      </c>
      <c r="F23" s="39">
        <v>43862.0</v>
      </c>
    </row>
    <row r="24">
      <c r="C24" s="36" t="s">
        <v>55</v>
      </c>
      <c r="D24" s="37" t="s">
        <v>54</v>
      </c>
      <c r="E24" s="38">
        <v>520.0</v>
      </c>
      <c r="F24" s="39">
        <v>43862.0</v>
      </c>
    </row>
    <row r="25">
      <c r="C25" s="36" t="s">
        <v>56</v>
      </c>
      <c r="D25" s="37" t="s">
        <v>57</v>
      </c>
      <c r="E25" s="38">
        <v>11400.0</v>
      </c>
      <c r="F25" s="39">
        <v>43862.0</v>
      </c>
    </row>
    <row r="26">
      <c r="C26" s="36" t="s">
        <v>58</v>
      </c>
      <c r="D26" s="37" t="s">
        <v>59</v>
      </c>
      <c r="E26" s="38">
        <v>1350.0</v>
      </c>
      <c r="F26" s="39">
        <v>43862.0</v>
      </c>
    </row>
    <row r="27">
      <c r="C27" s="36" t="s">
        <v>58</v>
      </c>
      <c r="D27" s="37" t="s">
        <v>45</v>
      </c>
      <c r="E27" s="38">
        <v>720.0</v>
      </c>
      <c r="F27" s="39">
        <v>43862.0</v>
      </c>
    </row>
    <row r="28">
      <c r="C28" s="36" t="s">
        <v>60</v>
      </c>
      <c r="D28" s="37" t="s">
        <v>61</v>
      </c>
      <c r="E28" s="38">
        <v>13750.0</v>
      </c>
      <c r="F28" s="39">
        <v>43862.0</v>
      </c>
    </row>
    <row r="29">
      <c r="C29" s="36" t="s">
        <v>62</v>
      </c>
      <c r="D29" s="37" t="s">
        <v>63</v>
      </c>
      <c r="E29" s="38">
        <v>10500.0</v>
      </c>
      <c r="F29" s="39">
        <v>43862.0</v>
      </c>
    </row>
    <row r="30">
      <c r="C30" s="36" t="s">
        <v>64</v>
      </c>
      <c r="D30" s="37" t="s">
        <v>65</v>
      </c>
      <c r="E30" s="38">
        <v>730.0</v>
      </c>
      <c r="F30" s="39">
        <v>43862.0</v>
      </c>
    </row>
    <row r="31">
      <c r="C31" s="36" t="s">
        <v>66</v>
      </c>
      <c r="D31" s="37" t="s">
        <v>67</v>
      </c>
      <c r="E31" s="38">
        <v>730.0</v>
      </c>
      <c r="F31" s="39">
        <v>43862.0</v>
      </c>
    </row>
    <row r="32">
      <c r="C32" s="36" t="s">
        <v>68</v>
      </c>
      <c r="D32" s="37" t="s">
        <v>69</v>
      </c>
      <c r="E32" s="38">
        <v>600.0</v>
      </c>
      <c r="F32" s="39">
        <v>43862.0</v>
      </c>
    </row>
    <row r="33">
      <c r="C33" s="36" t="s">
        <v>60</v>
      </c>
      <c r="D33" s="37" t="s">
        <v>70</v>
      </c>
      <c r="E33" s="38">
        <v>2000.0</v>
      </c>
      <c r="F33" s="39">
        <v>43862.0</v>
      </c>
    </row>
    <row r="34">
      <c r="C34" s="36" t="s">
        <v>71</v>
      </c>
      <c r="D34" s="37" t="s">
        <v>45</v>
      </c>
      <c r="E34" s="38">
        <v>1000.0</v>
      </c>
      <c r="F34" s="39">
        <v>43862.0</v>
      </c>
    </row>
    <row r="35">
      <c r="C35" s="36" t="s">
        <v>72</v>
      </c>
      <c r="D35" s="37" t="s">
        <v>73</v>
      </c>
      <c r="E35" s="38">
        <v>1600.0</v>
      </c>
      <c r="F35" s="39">
        <v>43862.0</v>
      </c>
    </row>
    <row r="36">
      <c r="C36" s="36" t="s">
        <v>74</v>
      </c>
      <c r="D36" s="37" t="s">
        <v>37</v>
      </c>
      <c r="E36" s="38">
        <v>2400.0</v>
      </c>
      <c r="F36" s="39">
        <v>43862.0</v>
      </c>
    </row>
    <row r="37">
      <c r="C37" s="36" t="s">
        <v>75</v>
      </c>
      <c r="D37" s="37" t="s">
        <v>76</v>
      </c>
      <c r="E37" s="38">
        <v>6140.0</v>
      </c>
      <c r="F37" s="39">
        <v>43862.0</v>
      </c>
    </row>
    <row r="38">
      <c r="C38" s="40" t="s">
        <v>56</v>
      </c>
      <c r="D38" s="41" t="s">
        <v>77</v>
      </c>
      <c r="E38" s="42">
        <v>1560.0</v>
      </c>
      <c r="F38" s="43">
        <v>43862.0</v>
      </c>
    </row>
    <row r="39">
      <c r="C39" s="40" t="s">
        <v>78</v>
      </c>
      <c r="D39" s="41" t="s">
        <v>79</v>
      </c>
      <c r="E39" s="42">
        <v>1870.0</v>
      </c>
      <c r="F39" s="43">
        <v>43862.0</v>
      </c>
    </row>
    <row r="40">
      <c r="C40" s="36" t="s">
        <v>80</v>
      </c>
      <c r="D40" s="37" t="s">
        <v>45</v>
      </c>
      <c r="E40" s="38">
        <v>900.0</v>
      </c>
      <c r="F40" s="39">
        <v>43862.0</v>
      </c>
    </row>
    <row r="41">
      <c r="C41" s="36" t="s">
        <v>78</v>
      </c>
      <c r="D41" s="37" t="s">
        <v>81</v>
      </c>
      <c r="E41" s="38">
        <v>10200.0</v>
      </c>
      <c r="F41" s="39">
        <v>43862.0</v>
      </c>
    </row>
    <row r="42">
      <c r="C42" s="36" t="s">
        <v>82</v>
      </c>
      <c r="D42" s="37">
        <v>1.0</v>
      </c>
      <c r="E42" s="38">
        <v>55.0</v>
      </c>
      <c r="F42" s="39">
        <v>43863.0</v>
      </c>
    </row>
    <row r="43">
      <c r="C43" s="36" t="s">
        <v>83</v>
      </c>
      <c r="D43" s="37" t="s">
        <v>84</v>
      </c>
      <c r="E43" s="38">
        <v>200.0</v>
      </c>
      <c r="F43" s="39">
        <v>43864.0</v>
      </c>
    </row>
    <row r="44">
      <c r="C44" s="36" t="s">
        <v>85</v>
      </c>
      <c r="D44" s="37">
        <v>1.0</v>
      </c>
      <c r="E44" s="38">
        <v>300.0</v>
      </c>
      <c r="F44" s="39">
        <v>43864.0</v>
      </c>
    </row>
    <row r="45">
      <c r="C45" s="36" t="s">
        <v>86</v>
      </c>
      <c r="D45" s="37" t="s">
        <v>87</v>
      </c>
      <c r="E45" s="38">
        <v>1000.0</v>
      </c>
      <c r="F45" s="39">
        <v>43864.0</v>
      </c>
    </row>
    <row r="46">
      <c r="C46" s="36" t="s">
        <v>86</v>
      </c>
      <c r="D46" s="37" t="s">
        <v>88</v>
      </c>
      <c r="E46" s="38">
        <v>2000.0</v>
      </c>
      <c r="F46" s="39">
        <v>43865.0</v>
      </c>
    </row>
    <row r="47">
      <c r="C47" s="36" t="s">
        <v>89</v>
      </c>
      <c r="D47" s="37" t="s">
        <v>90</v>
      </c>
      <c r="E47" s="38">
        <v>7200.0</v>
      </c>
      <c r="F47" s="39">
        <v>43865.0</v>
      </c>
    </row>
    <row r="48">
      <c r="C48" s="36" t="s">
        <v>91</v>
      </c>
      <c r="D48" s="37" t="s">
        <v>92</v>
      </c>
      <c r="E48" s="38">
        <v>100.0</v>
      </c>
      <c r="F48" s="39">
        <v>43865.0</v>
      </c>
    </row>
    <row r="49">
      <c r="C49" s="36" t="s">
        <v>93</v>
      </c>
      <c r="D49" s="37" t="s">
        <v>94</v>
      </c>
      <c r="E49" s="38">
        <v>100.0</v>
      </c>
      <c r="F49" s="39">
        <v>43865.0</v>
      </c>
    </row>
    <row r="50">
      <c r="C50" s="36" t="s">
        <v>95</v>
      </c>
      <c r="D50" s="37" t="s">
        <v>45</v>
      </c>
      <c r="E50" s="38">
        <v>80.0</v>
      </c>
      <c r="F50" s="39">
        <v>43865.0</v>
      </c>
    </row>
    <row r="51">
      <c r="C51" s="36" t="s">
        <v>85</v>
      </c>
      <c r="D51" s="37">
        <v>1.0</v>
      </c>
      <c r="E51" s="38">
        <v>500.0</v>
      </c>
      <c r="F51" s="39">
        <v>43865.0</v>
      </c>
    </row>
    <row r="52">
      <c r="C52" s="36" t="s">
        <v>86</v>
      </c>
      <c r="D52" s="37" t="s">
        <v>87</v>
      </c>
      <c r="E52" s="38">
        <v>1000.0</v>
      </c>
      <c r="F52" s="39">
        <v>43867.0</v>
      </c>
    </row>
    <row r="53">
      <c r="C53" s="36" t="s">
        <v>96</v>
      </c>
      <c r="D53" s="37">
        <v>1.0</v>
      </c>
      <c r="E53" s="38">
        <v>400.0</v>
      </c>
      <c r="F53" s="39">
        <v>43867.0</v>
      </c>
    </row>
    <row r="54">
      <c r="C54" s="36" t="s">
        <v>97</v>
      </c>
      <c r="D54" s="37" t="s">
        <v>45</v>
      </c>
      <c r="E54" s="38">
        <v>800.0</v>
      </c>
      <c r="F54" s="39">
        <v>43867.0</v>
      </c>
    </row>
    <row r="55">
      <c r="C55" s="36" t="s">
        <v>98</v>
      </c>
      <c r="D55" s="37" t="s">
        <v>99</v>
      </c>
      <c r="E55" s="38">
        <v>1600.0</v>
      </c>
      <c r="F55" s="39">
        <v>43869.0</v>
      </c>
    </row>
    <row r="56">
      <c r="C56" s="36" t="s">
        <v>83</v>
      </c>
      <c r="D56" s="37" t="s">
        <v>100</v>
      </c>
      <c r="E56" s="38">
        <v>130.0</v>
      </c>
      <c r="F56" s="39">
        <v>43869.0</v>
      </c>
    </row>
    <row r="57">
      <c r="C57" s="36" t="s">
        <v>46</v>
      </c>
      <c r="D57" s="37" t="s">
        <v>101</v>
      </c>
      <c r="E57" s="38">
        <v>2860.0</v>
      </c>
      <c r="F57" s="39">
        <v>43871.0</v>
      </c>
    </row>
    <row r="58">
      <c r="C58" s="36" t="s">
        <v>102</v>
      </c>
      <c r="D58" s="37">
        <v>2.0</v>
      </c>
      <c r="E58" s="38">
        <v>240.0</v>
      </c>
      <c r="F58" s="39">
        <v>43871.0</v>
      </c>
    </row>
    <row r="59">
      <c r="C59" s="36" t="s">
        <v>60</v>
      </c>
      <c r="D59" s="37" t="s">
        <v>88</v>
      </c>
      <c r="E59" s="38">
        <v>1000.0</v>
      </c>
      <c r="F59" s="39">
        <v>43871.0</v>
      </c>
    </row>
    <row r="60">
      <c r="C60" s="36" t="s">
        <v>103</v>
      </c>
      <c r="D60" s="37" t="s">
        <v>104</v>
      </c>
      <c r="E60" s="38">
        <v>250.0</v>
      </c>
      <c r="F60" s="39">
        <v>43872.0</v>
      </c>
    </row>
    <row r="61">
      <c r="C61" s="36" t="s">
        <v>105</v>
      </c>
      <c r="D61" s="37" t="s">
        <v>106</v>
      </c>
      <c r="E61" s="38">
        <v>9000.0</v>
      </c>
      <c r="F61" s="39">
        <v>43873.0</v>
      </c>
    </row>
    <row r="62">
      <c r="C62" s="36" t="s">
        <v>107</v>
      </c>
      <c r="D62" s="37" t="s">
        <v>108</v>
      </c>
      <c r="E62" s="38">
        <v>240.0</v>
      </c>
      <c r="F62" s="39">
        <v>43873.0</v>
      </c>
    </row>
    <row r="63">
      <c r="C63" s="36" t="s">
        <v>89</v>
      </c>
      <c r="D63" s="37" t="s">
        <v>109</v>
      </c>
      <c r="E63" s="38">
        <v>5000.0</v>
      </c>
      <c r="F63" s="39">
        <v>43873.0</v>
      </c>
    </row>
    <row r="64">
      <c r="C64" s="36" t="s">
        <v>62</v>
      </c>
      <c r="D64" s="37" t="s">
        <v>63</v>
      </c>
      <c r="E64" s="38">
        <v>10600.0</v>
      </c>
      <c r="F64" s="39">
        <v>43873.0</v>
      </c>
    </row>
    <row r="65">
      <c r="C65" s="36" t="s">
        <v>110</v>
      </c>
      <c r="D65" s="37" t="s">
        <v>111</v>
      </c>
      <c r="E65" s="38">
        <v>4880.0</v>
      </c>
      <c r="F65" s="39">
        <v>43874.0</v>
      </c>
    </row>
    <row r="66">
      <c r="C66" s="36" t="s">
        <v>112</v>
      </c>
      <c r="D66" s="37" t="s">
        <v>113</v>
      </c>
      <c r="E66" s="38">
        <v>2500.0</v>
      </c>
      <c r="F66" s="39">
        <v>43874.0</v>
      </c>
    </row>
    <row r="67">
      <c r="C67" s="36" t="s">
        <v>107</v>
      </c>
      <c r="D67" s="37" t="s">
        <v>114</v>
      </c>
      <c r="E67" s="38">
        <v>1000.0</v>
      </c>
      <c r="F67" s="39">
        <v>43874.0</v>
      </c>
    </row>
    <row r="68">
      <c r="C68" s="36" t="s">
        <v>115</v>
      </c>
      <c r="D68" s="37" t="s">
        <v>116</v>
      </c>
      <c r="E68" s="38">
        <v>1500.0</v>
      </c>
      <c r="F68" s="39">
        <v>43874.0</v>
      </c>
    </row>
    <row r="69">
      <c r="C69" s="36" t="s">
        <v>86</v>
      </c>
      <c r="D69" s="37" t="s">
        <v>117</v>
      </c>
      <c r="E69" s="38">
        <v>1500.0</v>
      </c>
      <c r="F69" s="39">
        <v>43874.0</v>
      </c>
    </row>
    <row r="70">
      <c r="C70" s="36" t="s">
        <v>118</v>
      </c>
      <c r="D70" s="37">
        <v>1.0</v>
      </c>
      <c r="E70" s="38">
        <v>1000.0</v>
      </c>
      <c r="F70" s="39">
        <v>43874.0</v>
      </c>
    </row>
    <row r="71">
      <c r="C71" s="36" t="s">
        <v>119</v>
      </c>
      <c r="D71" s="37">
        <v>1.0</v>
      </c>
      <c r="E71" s="38">
        <v>1000.0</v>
      </c>
      <c r="F71" s="39">
        <v>43903.0</v>
      </c>
    </row>
    <row r="72">
      <c r="C72" s="36" t="s">
        <v>120</v>
      </c>
      <c r="D72" s="37" t="s">
        <v>121</v>
      </c>
      <c r="E72" s="38">
        <v>1150.0</v>
      </c>
      <c r="F72" s="39">
        <v>43877.0</v>
      </c>
    </row>
    <row r="73">
      <c r="C73" s="36" t="s">
        <v>89</v>
      </c>
      <c r="D73" s="37" t="s">
        <v>88</v>
      </c>
      <c r="E73" s="38">
        <v>1200.0</v>
      </c>
      <c r="F73" s="39">
        <v>43879.0</v>
      </c>
    </row>
    <row r="74">
      <c r="C74" s="36" t="s">
        <v>122</v>
      </c>
      <c r="D74" s="37" t="s">
        <v>123</v>
      </c>
      <c r="E74" s="38">
        <v>2200.0</v>
      </c>
      <c r="F74" s="39">
        <v>43879.0</v>
      </c>
    </row>
    <row r="75">
      <c r="C75" s="36" t="s">
        <v>124</v>
      </c>
      <c r="D75" s="37" t="s">
        <v>88</v>
      </c>
      <c r="E75" s="38">
        <v>2000.0</v>
      </c>
      <c r="F75" s="39">
        <v>43880.0</v>
      </c>
    </row>
    <row r="76">
      <c r="C76" s="36" t="s">
        <v>125</v>
      </c>
      <c r="D76" s="37" t="s">
        <v>126</v>
      </c>
      <c r="E76" s="38">
        <v>500.0</v>
      </c>
      <c r="F76" s="39">
        <v>43879.0</v>
      </c>
    </row>
    <row r="77">
      <c r="C77" s="36" t="s">
        <v>127</v>
      </c>
      <c r="D77" s="37" t="s">
        <v>128</v>
      </c>
      <c r="E77" s="38">
        <v>500.0</v>
      </c>
      <c r="F77" s="39">
        <v>43879.0</v>
      </c>
    </row>
    <row r="78">
      <c r="C78" s="36" t="s">
        <v>98</v>
      </c>
      <c r="D78" s="37" t="s">
        <v>129</v>
      </c>
      <c r="E78" s="38">
        <v>1600.0</v>
      </c>
      <c r="F78" s="39">
        <v>43880.0</v>
      </c>
    </row>
    <row r="79">
      <c r="C79" s="36" t="s">
        <v>130</v>
      </c>
      <c r="D79" s="37" t="s">
        <v>131</v>
      </c>
      <c r="E79" s="38">
        <v>7800.0</v>
      </c>
      <c r="F79" s="39">
        <v>43882.0</v>
      </c>
    </row>
    <row r="80">
      <c r="C80" s="36" t="s">
        <v>132</v>
      </c>
      <c r="D80" s="37" t="s">
        <v>88</v>
      </c>
      <c r="E80" s="38">
        <v>1600.0</v>
      </c>
      <c r="F80" s="39">
        <v>43884.0</v>
      </c>
    </row>
    <row r="81">
      <c r="C81" s="36" t="s">
        <v>133</v>
      </c>
      <c r="D81" s="37" t="s">
        <v>134</v>
      </c>
      <c r="E81" s="38">
        <v>2000.0</v>
      </c>
      <c r="F81" s="39">
        <v>43885.0</v>
      </c>
    </row>
    <row r="82">
      <c r="C82" s="36" t="s">
        <v>135</v>
      </c>
      <c r="D82" s="37">
        <v>1.0</v>
      </c>
      <c r="E82" s="38">
        <v>500.0</v>
      </c>
      <c r="F82" s="39">
        <v>43885.0</v>
      </c>
    </row>
    <row r="83">
      <c r="C83" s="36" t="s">
        <v>89</v>
      </c>
      <c r="D83" s="37" t="s">
        <v>87</v>
      </c>
      <c r="E83" s="38">
        <v>750.0</v>
      </c>
      <c r="F83" s="39">
        <v>43885.0</v>
      </c>
    </row>
    <row r="84">
      <c r="C84" s="36" t="s">
        <v>136</v>
      </c>
      <c r="D84" s="37">
        <v>7.0</v>
      </c>
      <c r="E84" s="38">
        <v>250.0</v>
      </c>
      <c r="F84" s="39">
        <v>43885.0</v>
      </c>
    </row>
    <row r="85">
      <c r="C85" s="36" t="s">
        <v>86</v>
      </c>
      <c r="D85" s="37" t="s">
        <v>87</v>
      </c>
      <c r="E85" s="38">
        <v>1000.0</v>
      </c>
      <c r="F85" s="39">
        <v>43885.0</v>
      </c>
    </row>
    <row r="86">
      <c r="C86" s="36" t="s">
        <v>137</v>
      </c>
      <c r="D86" s="37">
        <v>1.0</v>
      </c>
      <c r="E86" s="38">
        <v>1800.0</v>
      </c>
      <c r="F86" s="39">
        <v>43886.0</v>
      </c>
    </row>
    <row r="87">
      <c r="C87" s="36" t="s">
        <v>138</v>
      </c>
      <c r="D87" s="37">
        <v>2.0</v>
      </c>
      <c r="E87" s="38">
        <v>1700.0</v>
      </c>
      <c r="F87" s="39">
        <v>43886.0</v>
      </c>
    </row>
    <row r="88">
      <c r="C88" s="36" t="s">
        <v>139</v>
      </c>
      <c r="D88" s="37">
        <v>1.0</v>
      </c>
      <c r="E88" s="38">
        <v>9000.0</v>
      </c>
      <c r="F88" s="39">
        <v>43886.0</v>
      </c>
    </row>
    <row r="89">
      <c r="C89" s="36" t="s">
        <v>89</v>
      </c>
      <c r="D89" s="37" t="s">
        <v>87</v>
      </c>
      <c r="E89" s="38">
        <v>900.0</v>
      </c>
      <c r="F89" s="39">
        <v>43886.0</v>
      </c>
    </row>
    <row r="90">
      <c r="C90" s="36" t="s">
        <v>140</v>
      </c>
      <c r="D90" s="37" t="s">
        <v>141</v>
      </c>
      <c r="E90" s="38">
        <v>3000.0</v>
      </c>
      <c r="F90" s="39">
        <v>43886.0</v>
      </c>
    </row>
    <row r="91">
      <c r="C91" s="36" t="s">
        <v>142</v>
      </c>
      <c r="D91" s="37" t="s">
        <v>143</v>
      </c>
      <c r="E91" s="38">
        <v>4500.0</v>
      </c>
      <c r="F91" s="39">
        <v>43886.0</v>
      </c>
    </row>
    <row r="92">
      <c r="C92" s="44"/>
      <c r="D92" s="45"/>
      <c r="E92" s="46"/>
      <c r="F92" s="45"/>
    </row>
    <row r="93">
      <c r="C93" s="44"/>
      <c r="D93" s="45"/>
      <c r="E93" s="46"/>
      <c r="F93" s="45"/>
    </row>
    <row r="94">
      <c r="C94" s="44"/>
      <c r="D94" s="45"/>
      <c r="E94" s="46"/>
      <c r="F94" s="45"/>
    </row>
    <row r="95">
      <c r="C95" s="44"/>
      <c r="D95" s="45"/>
      <c r="E95" s="46"/>
      <c r="F95" s="45"/>
    </row>
    <row r="96">
      <c r="C96" s="36" t="s">
        <v>144</v>
      </c>
      <c r="D96" s="37" t="s">
        <v>131</v>
      </c>
      <c r="E96" s="38">
        <v>5000.0</v>
      </c>
      <c r="F96" s="39">
        <v>43862.0</v>
      </c>
    </row>
    <row r="97">
      <c r="C97" s="47" t="s">
        <v>145</v>
      </c>
      <c r="D97" s="1"/>
      <c r="E97" s="48">
        <f>SUM(E3:E96)</f>
        <v>228600</v>
      </c>
      <c r="F97" s="1"/>
    </row>
    <row r="98">
      <c r="C98" s="47" t="s">
        <v>146</v>
      </c>
      <c r="D98" s="1"/>
      <c r="E98" s="49">
        <v>80000.0</v>
      </c>
      <c r="F98" s="1"/>
    </row>
    <row r="99">
      <c r="C99" s="47" t="s">
        <v>147</v>
      </c>
      <c r="D99" s="1"/>
      <c r="E99" s="50">
        <f>E98-E97</f>
        <v>-148600</v>
      </c>
      <c r="F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63"/>
  </cols>
  <sheetData>
    <row r="1">
      <c r="A1" s="51"/>
      <c r="B1" s="52" t="s">
        <v>0</v>
      </c>
      <c r="C1" s="53" t="s">
        <v>148</v>
      </c>
      <c r="D1" s="53" t="s">
        <v>149</v>
      </c>
      <c r="E1" s="53" t="s">
        <v>150</v>
      </c>
      <c r="F1" s="54" t="s">
        <v>151</v>
      </c>
      <c r="G1" s="54" t="s">
        <v>152</v>
      </c>
      <c r="H1" s="54" t="s">
        <v>153</v>
      </c>
      <c r="I1" s="53" t="s">
        <v>154</v>
      </c>
      <c r="J1" s="17" t="s">
        <v>155</v>
      </c>
      <c r="K1" s="17" t="s">
        <v>156</v>
      </c>
    </row>
    <row r="2">
      <c r="A2" s="55" t="s">
        <v>6</v>
      </c>
      <c r="B2" s="4">
        <v>43862.0</v>
      </c>
      <c r="C2" s="56">
        <v>1.0</v>
      </c>
      <c r="D2" s="57">
        <v>1.0</v>
      </c>
      <c r="E2" s="57">
        <v>1.0</v>
      </c>
      <c r="F2" s="57">
        <v>0.0</v>
      </c>
      <c r="G2" s="57">
        <v>0.0</v>
      </c>
      <c r="H2" s="57">
        <v>0.0</v>
      </c>
      <c r="I2" s="56">
        <v>1.0</v>
      </c>
      <c r="J2" s="51"/>
      <c r="K2" s="58"/>
    </row>
    <row r="3">
      <c r="A3" s="55" t="s">
        <v>157</v>
      </c>
      <c r="B3" s="4">
        <v>43863.0</v>
      </c>
      <c r="C3" s="56">
        <v>1.0</v>
      </c>
      <c r="D3" s="56">
        <v>0.0</v>
      </c>
      <c r="E3" s="57">
        <v>1.0</v>
      </c>
      <c r="F3" s="57">
        <v>0.0</v>
      </c>
      <c r="G3" s="57">
        <v>0.0</v>
      </c>
      <c r="H3" s="57">
        <v>0.0</v>
      </c>
      <c r="I3" s="56">
        <v>1.0</v>
      </c>
      <c r="J3" s="51"/>
      <c r="K3" s="58"/>
    </row>
    <row r="4">
      <c r="A4" s="55" t="s">
        <v>158</v>
      </c>
      <c r="B4" s="4">
        <v>43864.0</v>
      </c>
      <c r="C4" s="57">
        <v>1.0</v>
      </c>
      <c r="D4" s="57">
        <v>1.0</v>
      </c>
      <c r="E4" s="57">
        <v>1.0</v>
      </c>
      <c r="F4" s="57">
        <v>1.0</v>
      </c>
      <c r="G4" s="57">
        <v>0.0</v>
      </c>
      <c r="H4" s="57">
        <v>0.0</v>
      </c>
      <c r="I4" s="57">
        <v>1.0</v>
      </c>
      <c r="J4" s="51"/>
      <c r="K4" s="58"/>
    </row>
    <row r="5">
      <c r="A5" s="55" t="s">
        <v>159</v>
      </c>
      <c r="B5" s="4">
        <v>43865.0</v>
      </c>
      <c r="C5" s="57">
        <v>1.0</v>
      </c>
      <c r="D5" s="57">
        <v>1.0</v>
      </c>
      <c r="E5" s="57">
        <v>1.0</v>
      </c>
      <c r="F5" s="57">
        <v>1.0</v>
      </c>
      <c r="G5" s="57">
        <v>0.0</v>
      </c>
      <c r="H5" s="57">
        <v>0.0</v>
      </c>
      <c r="I5" s="57">
        <v>1.0</v>
      </c>
      <c r="J5" s="51"/>
      <c r="K5" s="58"/>
    </row>
    <row r="6">
      <c r="A6" s="55" t="s">
        <v>160</v>
      </c>
      <c r="B6" s="4">
        <v>43866.0</v>
      </c>
      <c r="C6" s="59">
        <v>1.0</v>
      </c>
      <c r="D6" s="57">
        <v>1.0</v>
      </c>
      <c r="E6" s="57">
        <v>1.0</v>
      </c>
      <c r="F6" s="57">
        <v>1.0</v>
      </c>
      <c r="G6" s="57">
        <v>1.0</v>
      </c>
      <c r="H6" s="57">
        <v>1.0</v>
      </c>
      <c r="I6" s="57">
        <v>1.0</v>
      </c>
      <c r="J6" s="51"/>
      <c r="K6" s="58"/>
    </row>
    <row r="7">
      <c r="A7" s="55" t="s">
        <v>161</v>
      </c>
      <c r="B7" s="4">
        <v>43867.0</v>
      </c>
      <c r="C7" s="60">
        <v>1.0</v>
      </c>
      <c r="D7" s="60">
        <v>1.0</v>
      </c>
      <c r="E7" s="60">
        <v>1.0</v>
      </c>
      <c r="F7" s="60">
        <v>1.0</v>
      </c>
      <c r="G7" s="60">
        <v>1.0</v>
      </c>
      <c r="H7" s="60">
        <v>1.0</v>
      </c>
      <c r="I7" s="60">
        <v>1.0</v>
      </c>
      <c r="J7" s="51"/>
      <c r="K7" s="58"/>
    </row>
    <row r="8">
      <c r="A8" s="61" t="s">
        <v>162</v>
      </c>
      <c r="B8" s="9">
        <v>43868.0</v>
      </c>
      <c r="C8" s="62">
        <v>0.0</v>
      </c>
      <c r="D8" s="62">
        <v>0.0</v>
      </c>
      <c r="E8" s="62">
        <v>0.0</v>
      </c>
      <c r="F8" s="63">
        <v>0.0</v>
      </c>
      <c r="G8" s="63">
        <v>0.0</v>
      </c>
      <c r="H8" s="63">
        <v>0.0</v>
      </c>
      <c r="I8" s="63">
        <v>0.0</v>
      </c>
      <c r="J8" s="51"/>
      <c r="K8" s="58"/>
    </row>
    <row r="9">
      <c r="A9" s="55" t="s">
        <v>6</v>
      </c>
      <c r="B9" s="4">
        <v>43869.0</v>
      </c>
      <c r="C9" s="57">
        <v>1.0</v>
      </c>
      <c r="D9" s="57">
        <v>0.0</v>
      </c>
      <c r="E9" s="57">
        <v>1.0</v>
      </c>
      <c r="F9" s="57">
        <v>1.0</v>
      </c>
      <c r="G9" s="57">
        <v>1.0</v>
      </c>
      <c r="H9" s="57">
        <v>1.0</v>
      </c>
      <c r="I9" s="57">
        <v>1.0</v>
      </c>
      <c r="J9" s="51"/>
      <c r="K9" s="58"/>
    </row>
    <row r="10">
      <c r="A10" s="55" t="s">
        <v>157</v>
      </c>
      <c r="B10" s="4">
        <v>43870.0</v>
      </c>
      <c r="C10" s="57">
        <v>1.0</v>
      </c>
      <c r="D10" s="57">
        <v>0.0</v>
      </c>
      <c r="E10" s="57">
        <v>1.0</v>
      </c>
      <c r="F10" s="57">
        <v>1.0</v>
      </c>
      <c r="G10" s="57">
        <v>1.0</v>
      </c>
      <c r="H10" s="57">
        <v>1.0</v>
      </c>
      <c r="I10" s="57">
        <v>1.0</v>
      </c>
      <c r="J10" s="51"/>
      <c r="K10" s="58"/>
    </row>
    <row r="11">
      <c r="A11" s="55" t="s">
        <v>158</v>
      </c>
      <c r="B11" s="4">
        <v>43871.0</v>
      </c>
      <c r="C11" s="57">
        <v>1.0</v>
      </c>
      <c r="D11" s="57">
        <v>0.0</v>
      </c>
      <c r="E11" s="57">
        <v>1.0</v>
      </c>
      <c r="F11" s="57">
        <v>1.0</v>
      </c>
      <c r="G11" s="57">
        <v>1.0</v>
      </c>
      <c r="H11" s="57">
        <v>1.0</v>
      </c>
      <c r="I11" s="57">
        <v>1.0</v>
      </c>
      <c r="J11" s="51"/>
      <c r="K11" s="58"/>
    </row>
    <row r="12">
      <c r="A12" s="55" t="s">
        <v>159</v>
      </c>
      <c r="B12" s="4">
        <v>43872.0</v>
      </c>
      <c r="C12" s="57">
        <v>1.0</v>
      </c>
      <c r="D12" s="57">
        <v>0.0</v>
      </c>
      <c r="E12" s="57">
        <v>1.0</v>
      </c>
      <c r="F12" s="57">
        <v>1.0</v>
      </c>
      <c r="G12" s="57">
        <v>1.0</v>
      </c>
      <c r="H12" s="57">
        <v>1.0</v>
      </c>
      <c r="I12" s="57">
        <v>1.0</v>
      </c>
      <c r="J12" s="51"/>
      <c r="K12" s="58"/>
    </row>
    <row r="13">
      <c r="A13" s="55" t="s">
        <v>160</v>
      </c>
      <c r="B13" s="4">
        <v>43873.0</v>
      </c>
      <c r="C13" s="57">
        <v>1.0</v>
      </c>
      <c r="D13" s="57">
        <v>0.0</v>
      </c>
      <c r="E13" s="57">
        <v>1.0</v>
      </c>
      <c r="F13" s="57">
        <v>1.0</v>
      </c>
      <c r="G13" s="57">
        <v>1.0</v>
      </c>
      <c r="H13" s="57">
        <v>1.0</v>
      </c>
      <c r="I13" s="57">
        <v>1.0</v>
      </c>
      <c r="J13" s="51"/>
      <c r="K13" s="58"/>
    </row>
    <row r="14">
      <c r="A14" s="55" t="s">
        <v>161</v>
      </c>
      <c r="B14" s="4">
        <v>43874.0</v>
      </c>
      <c r="C14" s="60">
        <v>1.0</v>
      </c>
      <c r="D14" s="60">
        <v>0.0</v>
      </c>
      <c r="E14" s="60">
        <v>1.0</v>
      </c>
      <c r="F14" s="60">
        <v>1.0</v>
      </c>
      <c r="G14" s="60">
        <v>1.0</v>
      </c>
      <c r="H14" s="60">
        <v>1.0</v>
      </c>
      <c r="I14" s="60">
        <v>1.0</v>
      </c>
      <c r="J14" s="51"/>
      <c r="K14" s="58"/>
    </row>
    <row r="15">
      <c r="A15" s="61" t="s">
        <v>162</v>
      </c>
      <c r="B15" s="9">
        <v>43875.0</v>
      </c>
      <c r="C15" s="62">
        <v>0.0</v>
      </c>
      <c r="D15" s="62">
        <v>0.0</v>
      </c>
      <c r="E15" s="62">
        <v>0.0</v>
      </c>
      <c r="F15" s="63">
        <v>1.0</v>
      </c>
      <c r="G15" s="63">
        <v>0.0</v>
      </c>
      <c r="H15" s="63">
        <v>0.0</v>
      </c>
      <c r="I15" s="62">
        <v>0.0</v>
      </c>
      <c r="J15" s="51"/>
      <c r="K15" s="58"/>
    </row>
    <row r="16">
      <c r="A16" s="55" t="s">
        <v>6</v>
      </c>
      <c r="B16" s="4">
        <v>43876.0</v>
      </c>
      <c r="C16" s="57">
        <v>1.0</v>
      </c>
      <c r="D16" s="57">
        <v>0.0</v>
      </c>
      <c r="E16" s="57">
        <v>1.0</v>
      </c>
      <c r="F16" s="57">
        <v>1.0</v>
      </c>
      <c r="G16" s="57">
        <v>1.0</v>
      </c>
      <c r="H16" s="57">
        <v>1.0</v>
      </c>
      <c r="I16" s="57">
        <v>1.0</v>
      </c>
      <c r="J16" s="51"/>
      <c r="K16" s="58"/>
    </row>
    <row r="17">
      <c r="A17" s="55" t="s">
        <v>157</v>
      </c>
      <c r="B17" s="4">
        <v>43877.0</v>
      </c>
      <c r="C17" s="57">
        <v>0.0</v>
      </c>
      <c r="D17" s="57">
        <v>0.0</v>
      </c>
      <c r="E17" s="57">
        <v>1.0</v>
      </c>
      <c r="F17" s="57">
        <v>1.0</v>
      </c>
      <c r="G17" s="57">
        <v>1.0</v>
      </c>
      <c r="H17" s="57">
        <v>1.0</v>
      </c>
      <c r="I17" s="57">
        <v>1.0</v>
      </c>
      <c r="J17" s="51"/>
      <c r="K17" s="58"/>
    </row>
    <row r="18">
      <c r="A18" s="55" t="s">
        <v>158</v>
      </c>
      <c r="B18" s="4">
        <v>43878.0</v>
      </c>
      <c r="C18" s="57">
        <v>0.0</v>
      </c>
      <c r="D18" s="57">
        <v>0.0</v>
      </c>
      <c r="E18" s="57">
        <v>1.0</v>
      </c>
      <c r="F18" s="57">
        <v>1.0</v>
      </c>
      <c r="G18" s="57">
        <v>1.0</v>
      </c>
      <c r="H18" s="57">
        <v>1.0</v>
      </c>
      <c r="I18" s="57">
        <v>1.0</v>
      </c>
      <c r="J18" s="51"/>
      <c r="K18" s="58"/>
    </row>
    <row r="19">
      <c r="A19" s="55" t="s">
        <v>159</v>
      </c>
      <c r="B19" s="4">
        <v>43879.0</v>
      </c>
      <c r="C19" s="57">
        <v>1.0</v>
      </c>
      <c r="D19" s="57">
        <v>0.0</v>
      </c>
      <c r="E19" s="57">
        <v>1.0</v>
      </c>
      <c r="F19" s="57">
        <v>1.0</v>
      </c>
      <c r="G19" s="57">
        <v>1.0</v>
      </c>
      <c r="H19" s="57">
        <v>1.0</v>
      </c>
      <c r="I19" s="57">
        <v>1.0</v>
      </c>
      <c r="J19" s="51"/>
      <c r="K19" s="58"/>
    </row>
    <row r="20">
      <c r="A20" s="55" t="s">
        <v>160</v>
      </c>
      <c r="B20" s="4">
        <v>43880.0</v>
      </c>
      <c r="C20" s="57">
        <v>1.0</v>
      </c>
      <c r="D20" s="57">
        <v>0.0</v>
      </c>
      <c r="E20" s="57">
        <v>1.0</v>
      </c>
      <c r="F20" s="57">
        <v>1.0</v>
      </c>
      <c r="G20" s="57">
        <v>1.0</v>
      </c>
      <c r="H20" s="57">
        <v>1.0</v>
      </c>
      <c r="I20" s="57">
        <v>1.0</v>
      </c>
      <c r="J20" s="51"/>
      <c r="K20" s="58"/>
    </row>
    <row r="21">
      <c r="A21" s="55" t="s">
        <v>161</v>
      </c>
      <c r="B21" s="4">
        <v>43881.0</v>
      </c>
      <c r="C21" s="60">
        <v>1.0</v>
      </c>
      <c r="D21" s="60">
        <v>0.0</v>
      </c>
      <c r="E21" s="60">
        <v>1.0</v>
      </c>
      <c r="F21" s="60">
        <v>1.0</v>
      </c>
      <c r="G21" s="60">
        <v>1.0</v>
      </c>
      <c r="H21" s="60">
        <v>1.0</v>
      </c>
      <c r="I21" s="60">
        <v>1.0</v>
      </c>
      <c r="J21" s="51"/>
      <c r="K21" s="58"/>
    </row>
    <row r="22">
      <c r="A22" s="61" t="s">
        <v>162</v>
      </c>
      <c r="B22" s="9">
        <v>43882.0</v>
      </c>
      <c r="C22" s="62">
        <v>0.0</v>
      </c>
      <c r="D22" s="62">
        <v>0.0</v>
      </c>
      <c r="E22" s="62">
        <v>0.0</v>
      </c>
      <c r="F22" s="63">
        <v>1.0</v>
      </c>
      <c r="G22" s="63">
        <v>0.0</v>
      </c>
      <c r="H22" s="63">
        <v>0.0</v>
      </c>
      <c r="I22" s="62">
        <v>0.0</v>
      </c>
      <c r="J22" s="51"/>
      <c r="K22" s="58"/>
    </row>
    <row r="23">
      <c r="A23" s="55" t="s">
        <v>6</v>
      </c>
      <c r="B23" s="4">
        <v>43883.0</v>
      </c>
      <c r="C23" s="60">
        <v>1.0</v>
      </c>
      <c r="D23" s="60">
        <v>0.0</v>
      </c>
      <c r="E23" s="60">
        <v>1.0</v>
      </c>
      <c r="F23" s="60">
        <v>1.0</v>
      </c>
      <c r="G23" s="60">
        <v>1.0</v>
      </c>
      <c r="H23" s="60">
        <v>1.0</v>
      </c>
      <c r="I23" s="60">
        <v>1.0</v>
      </c>
      <c r="J23" s="51"/>
      <c r="K23" s="58"/>
    </row>
    <row r="24">
      <c r="A24" s="55" t="s">
        <v>163</v>
      </c>
      <c r="B24" s="4">
        <v>43884.0</v>
      </c>
      <c r="C24" s="60">
        <v>1.0</v>
      </c>
      <c r="D24" s="60">
        <v>0.0</v>
      </c>
      <c r="E24" s="60">
        <v>1.0</v>
      </c>
      <c r="F24" s="60">
        <v>1.0</v>
      </c>
      <c r="G24" s="60">
        <v>1.0</v>
      </c>
      <c r="H24" s="60">
        <v>1.0</v>
      </c>
      <c r="I24" s="60">
        <v>1.0</v>
      </c>
      <c r="J24" s="51"/>
      <c r="K24" s="58"/>
    </row>
    <row r="25">
      <c r="A25" s="55" t="s">
        <v>158</v>
      </c>
      <c r="B25" s="4">
        <v>43885.0</v>
      </c>
      <c r="C25" s="60">
        <v>1.0</v>
      </c>
      <c r="D25" s="60">
        <v>0.0</v>
      </c>
      <c r="E25" s="60">
        <v>1.0</v>
      </c>
      <c r="F25" s="60">
        <v>1.0</v>
      </c>
      <c r="G25" s="60">
        <v>1.0</v>
      </c>
      <c r="H25" s="60">
        <v>1.0</v>
      </c>
      <c r="I25" s="60">
        <v>1.0</v>
      </c>
      <c r="J25" s="51"/>
      <c r="K25" s="58"/>
    </row>
    <row r="26">
      <c r="A26" s="55" t="s">
        <v>164</v>
      </c>
      <c r="B26" s="4">
        <v>43886.0</v>
      </c>
      <c r="C26" s="60">
        <v>1.0</v>
      </c>
      <c r="D26" s="60">
        <v>0.0</v>
      </c>
      <c r="E26" s="60">
        <v>1.0</v>
      </c>
      <c r="F26" s="60">
        <v>1.0</v>
      </c>
      <c r="G26" s="60">
        <v>1.0</v>
      </c>
      <c r="H26" s="60">
        <v>1.0</v>
      </c>
      <c r="I26" s="60">
        <v>1.0</v>
      </c>
      <c r="J26" s="51"/>
      <c r="K26" s="58"/>
    </row>
    <row r="27">
      <c r="A27" s="55" t="s">
        <v>160</v>
      </c>
      <c r="B27" s="4">
        <v>43887.0</v>
      </c>
      <c r="C27" s="60">
        <v>1.0</v>
      </c>
      <c r="D27" s="60">
        <v>0.0</v>
      </c>
      <c r="E27" s="60">
        <v>1.0</v>
      </c>
      <c r="F27" s="60">
        <v>1.0</v>
      </c>
      <c r="G27" s="60">
        <v>1.0</v>
      </c>
      <c r="H27" s="60">
        <v>1.0</v>
      </c>
      <c r="I27" s="60">
        <v>1.0</v>
      </c>
      <c r="J27" s="51"/>
      <c r="K27" s="58"/>
    </row>
    <row r="28">
      <c r="A28" s="55" t="s">
        <v>161</v>
      </c>
      <c r="B28" s="4">
        <v>43888.0</v>
      </c>
      <c r="C28" s="60">
        <v>1.0</v>
      </c>
      <c r="D28" s="60">
        <v>0.0</v>
      </c>
      <c r="E28" s="60">
        <v>1.0</v>
      </c>
      <c r="F28" s="60">
        <v>1.0</v>
      </c>
      <c r="G28" s="60">
        <v>1.0</v>
      </c>
      <c r="H28" s="60">
        <v>1.0</v>
      </c>
      <c r="I28" s="60">
        <v>1.0</v>
      </c>
      <c r="J28" s="51"/>
      <c r="K28" s="58"/>
    </row>
    <row r="29">
      <c r="A29" s="8" t="s">
        <v>162</v>
      </c>
      <c r="B29" s="9">
        <v>43889.0</v>
      </c>
      <c r="C29" s="64">
        <v>0.0</v>
      </c>
      <c r="D29" s="65"/>
      <c r="E29" s="65"/>
      <c r="F29" s="64">
        <v>0.0</v>
      </c>
      <c r="G29" s="64">
        <v>0.0</v>
      </c>
      <c r="H29" s="64">
        <v>0.0</v>
      </c>
      <c r="I29" s="64">
        <v>0.0</v>
      </c>
      <c r="J29" s="51"/>
      <c r="K29" s="58"/>
    </row>
    <row r="30">
      <c r="A30" s="3" t="s">
        <v>6</v>
      </c>
      <c r="B30" s="4">
        <v>43890.0</v>
      </c>
      <c r="C30" s="60">
        <v>1.0</v>
      </c>
      <c r="D30" s="60">
        <v>0.0</v>
      </c>
      <c r="E30" s="60">
        <v>1.0</v>
      </c>
      <c r="F30" s="60">
        <v>0.0</v>
      </c>
      <c r="G30" s="60">
        <v>1.0</v>
      </c>
      <c r="H30" s="60">
        <v>1.0</v>
      </c>
      <c r="I30" s="60">
        <v>1.0</v>
      </c>
      <c r="J30" s="51"/>
      <c r="K30" s="58"/>
    </row>
    <row r="31">
      <c r="A31" s="51"/>
      <c r="B31" s="66" t="s">
        <v>16</v>
      </c>
      <c r="C31" s="67">
        <f t="shared" ref="C31:I31" si="1">SUM(C2:C30)</f>
        <v>23</v>
      </c>
      <c r="D31" s="67">
        <f t="shared" si="1"/>
        <v>5</v>
      </c>
      <c r="E31" s="67">
        <f t="shared" si="1"/>
        <v>25</v>
      </c>
      <c r="F31" s="67">
        <f t="shared" si="1"/>
        <v>24</v>
      </c>
      <c r="G31" s="67">
        <f t="shared" si="1"/>
        <v>21</v>
      </c>
      <c r="H31" s="67">
        <f t="shared" si="1"/>
        <v>21</v>
      </c>
      <c r="I31" s="67">
        <f t="shared" si="1"/>
        <v>25</v>
      </c>
      <c r="J31" s="58"/>
      <c r="K31" s="58"/>
    </row>
    <row r="32">
      <c r="A32" s="51"/>
      <c r="B32" s="68" t="s">
        <v>165</v>
      </c>
      <c r="C32" s="69">
        <v>2000.0</v>
      </c>
      <c r="D32" s="69">
        <v>600.0</v>
      </c>
      <c r="E32" s="69">
        <v>1200.0</v>
      </c>
      <c r="F32" s="69">
        <v>600.0</v>
      </c>
      <c r="G32" s="70">
        <v>1000.0</v>
      </c>
      <c r="H32" s="70">
        <v>1000.0</v>
      </c>
      <c r="I32" s="69">
        <v>1200.0</v>
      </c>
      <c r="J32" s="71">
        <f t="shared" ref="J32:J33" si="3">SUM(C32:I32)</f>
        <v>7600</v>
      </c>
      <c r="K32" s="58"/>
    </row>
    <row r="33">
      <c r="A33" s="51"/>
      <c r="B33" s="72" t="s">
        <v>166</v>
      </c>
      <c r="C33" s="73">
        <f>C31*C32</f>
        <v>46000</v>
      </c>
      <c r="D33" s="73">
        <f t="shared" ref="D33:H33" si="2">D32*D31</f>
        <v>3000</v>
      </c>
      <c r="E33" s="73">
        <f t="shared" si="2"/>
        <v>30000</v>
      </c>
      <c r="F33" s="73">
        <f t="shared" si="2"/>
        <v>14400</v>
      </c>
      <c r="G33" s="73">
        <f t="shared" si="2"/>
        <v>21000</v>
      </c>
      <c r="H33" s="73">
        <f t="shared" si="2"/>
        <v>21000</v>
      </c>
      <c r="I33" s="73">
        <f>I31*I32</f>
        <v>30000</v>
      </c>
      <c r="J33" s="48">
        <f t="shared" si="3"/>
        <v>165400</v>
      </c>
      <c r="K33" s="7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88"/>
    <col customWidth="1" min="9" max="9" width="16.0"/>
    <col customWidth="1" min="10" max="10" width="15.88"/>
  </cols>
  <sheetData>
    <row r="11">
      <c r="G11" s="75"/>
      <c r="H11" s="76" t="s">
        <v>167</v>
      </c>
      <c r="I11" s="76" t="s">
        <v>3</v>
      </c>
      <c r="J11" s="76" t="s">
        <v>168</v>
      </c>
    </row>
    <row r="12">
      <c r="G12" s="77">
        <v>1.0</v>
      </c>
      <c r="H12" s="45" t="s">
        <v>148</v>
      </c>
      <c r="I12" s="78">
        <f>Pointage!C33*1</f>
        <v>46000</v>
      </c>
      <c r="J12" s="78"/>
    </row>
    <row r="13">
      <c r="G13" s="79">
        <v>2.0</v>
      </c>
      <c r="H13" s="37" t="s">
        <v>151</v>
      </c>
      <c r="I13" s="78">
        <f>Pointage!F33*1</f>
        <v>14400</v>
      </c>
      <c r="J13" s="80">
        <v>14000.0</v>
      </c>
    </row>
    <row r="14">
      <c r="G14" s="79">
        <v>3.0</v>
      </c>
      <c r="H14" s="37" t="s">
        <v>153</v>
      </c>
      <c r="I14" s="78">
        <f>Pointage!H33*1</f>
        <v>21000</v>
      </c>
      <c r="J14" s="81">
        <v>12000.0</v>
      </c>
    </row>
    <row r="15">
      <c r="G15" s="79">
        <v>4.0</v>
      </c>
      <c r="H15" s="37" t="s">
        <v>169</v>
      </c>
      <c r="I15" s="78">
        <f>Pointage!G33*1</f>
        <v>21000</v>
      </c>
      <c r="J15" s="78"/>
    </row>
    <row r="16">
      <c r="G16" s="79">
        <v>5.0</v>
      </c>
      <c r="H16" s="45" t="s">
        <v>149</v>
      </c>
      <c r="I16" s="78">
        <f>Pointage!D33*1</f>
        <v>3000</v>
      </c>
      <c r="J16" s="81">
        <v>3000.0</v>
      </c>
    </row>
    <row r="17">
      <c r="G17" s="79">
        <v>6.0</v>
      </c>
      <c r="H17" s="45" t="s">
        <v>150</v>
      </c>
      <c r="I17" s="78">
        <f>Pointage!E33*1</f>
        <v>30000</v>
      </c>
      <c r="J17" s="78"/>
    </row>
    <row r="18">
      <c r="G18" s="79">
        <v>7.0</v>
      </c>
      <c r="H18" s="45" t="s">
        <v>154</v>
      </c>
      <c r="I18" s="78">
        <f>Pointage!I33*1</f>
        <v>30000</v>
      </c>
      <c r="J18" s="78"/>
    </row>
    <row r="19">
      <c r="G19" s="82"/>
      <c r="H19" s="83" t="s">
        <v>16</v>
      </c>
      <c r="I19" s="84">
        <f t="shared" ref="I19:J19" si="1">SUM(I12:I18)</f>
        <v>165400</v>
      </c>
      <c r="J19" s="85">
        <f t="shared" si="1"/>
        <v>29000</v>
      </c>
    </row>
    <row r="20">
      <c r="G20" s="82"/>
      <c r="H20" s="86"/>
      <c r="I20" s="87">
        <f>I19-J19</f>
        <v>136400</v>
      </c>
      <c r="J20" s="5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5.13"/>
    <col customWidth="1" min="8" max="8" width="25.88"/>
    <col customWidth="1" min="9" max="9" width="25.38"/>
    <col customWidth="1" min="10" max="10" width="25.75"/>
    <col customWidth="1" min="11" max="11" width="25.38"/>
  </cols>
  <sheetData>
    <row r="9">
      <c r="G9" s="88" t="s">
        <v>170</v>
      </c>
      <c r="H9" s="89" t="s">
        <v>171</v>
      </c>
      <c r="I9" s="89" t="s">
        <v>172</v>
      </c>
      <c r="J9" s="89" t="s">
        <v>173</v>
      </c>
      <c r="K9" s="89" t="s">
        <v>174</v>
      </c>
    </row>
    <row r="10">
      <c r="G10" s="90">
        <f>RECAP!T31*RECAP!S30</f>
        <v>750000</v>
      </c>
      <c r="H10" s="91">
        <f>RECAP!C31*1</f>
        <v>521000</v>
      </c>
      <c r="I10" s="92">
        <f>G10-H10</f>
        <v>229000</v>
      </c>
      <c r="J10" s="93">
        <f>G10+Charges!E98-Charges!E97-RECAP!F31-RECAP!E31</f>
        <v>391000</v>
      </c>
      <c r="K10" s="94">
        <f>RECAP!G31*1</f>
        <v>162000</v>
      </c>
    </row>
    <row r="19">
      <c r="G19" s="95">
        <f>RECAP!C31+Charges!E98-Charges!E97-Salaires!J19-RECAP!F31-RECAP!F31</f>
        <v>253400</v>
      </c>
    </row>
    <row r="20">
      <c r="G20" s="95">
        <f>Charges!E98+Salaires!I20+RECAP!G31</f>
        <v>378400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75"/>
    <col customWidth="1" min="10" max="10" width="25.88"/>
  </cols>
  <sheetData>
    <row r="5">
      <c r="I5" s="96" t="s">
        <v>175</v>
      </c>
      <c r="J5" s="31"/>
    </row>
    <row r="6">
      <c r="I6" s="97" t="s">
        <v>176</v>
      </c>
      <c r="J6" s="98">
        <v>31500.0</v>
      </c>
    </row>
    <row r="7">
      <c r="I7" s="97" t="s">
        <v>177</v>
      </c>
      <c r="J7" s="98">
        <v>29000.0</v>
      </c>
    </row>
    <row r="8">
      <c r="I8" s="97" t="s">
        <v>178</v>
      </c>
      <c r="J8" s="98">
        <v>480.0</v>
      </c>
    </row>
    <row r="9">
      <c r="I9" s="97" t="s">
        <v>179</v>
      </c>
      <c r="J9" s="98">
        <v>900.0</v>
      </c>
    </row>
    <row r="10">
      <c r="I10" s="97" t="s">
        <v>180</v>
      </c>
      <c r="J10" s="98">
        <v>270.0</v>
      </c>
    </row>
    <row r="11">
      <c r="I11" s="97" t="s">
        <v>181</v>
      </c>
      <c r="J11" s="98">
        <v>2800.0</v>
      </c>
    </row>
    <row r="12">
      <c r="I12" s="97" t="s">
        <v>182</v>
      </c>
      <c r="J12" s="98">
        <v>1050.0</v>
      </c>
    </row>
    <row r="13">
      <c r="I13" s="97" t="s">
        <v>183</v>
      </c>
      <c r="J13" s="98">
        <v>600.0</v>
      </c>
    </row>
    <row r="14">
      <c r="I14" s="97" t="s">
        <v>184</v>
      </c>
      <c r="J14" s="98">
        <v>2400.0</v>
      </c>
    </row>
    <row r="15">
      <c r="I15" s="97" t="s">
        <v>185</v>
      </c>
      <c r="J15" s="98">
        <v>18000.0</v>
      </c>
    </row>
    <row r="16">
      <c r="I16" s="97" t="s">
        <v>186</v>
      </c>
      <c r="J16" s="98">
        <v>6600.0</v>
      </c>
    </row>
    <row r="17">
      <c r="I17" s="12" t="s">
        <v>187</v>
      </c>
      <c r="J17" s="99">
        <f>SUM(J6:J16)</f>
        <v>93600</v>
      </c>
    </row>
  </sheetData>
  <mergeCells count="1">
    <mergeCell ref="I5:J5"/>
  </mergeCells>
  <drawing r:id="rId1"/>
</worksheet>
</file>