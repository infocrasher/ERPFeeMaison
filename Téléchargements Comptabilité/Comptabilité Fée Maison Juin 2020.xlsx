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Charges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<sst xmlns="http://schemas.openxmlformats.org/spreadsheetml/2006/main" count="361" uniqueCount="216">
  <si>
    <t>Date</t>
  </si>
  <si>
    <t>Recette</t>
  </si>
  <si>
    <t>Charges</t>
  </si>
  <si>
    <t>Salaire</t>
  </si>
  <si>
    <t>Loyer</t>
  </si>
  <si>
    <t>Net Profit</t>
  </si>
  <si>
    <t>lundi</t>
  </si>
  <si>
    <t>mardi</t>
  </si>
  <si>
    <t>mercredi</t>
  </si>
  <si>
    <t>jeudi</t>
  </si>
  <si>
    <t>vendredi</t>
  </si>
  <si>
    <t>samedi</t>
  </si>
  <si>
    <t xml:space="preserve">Moyenne </t>
  </si>
  <si>
    <t>dimanche</t>
  </si>
  <si>
    <t xml:space="preserve"> </t>
  </si>
  <si>
    <t>cash restant</t>
  </si>
  <si>
    <t>Samedi</t>
  </si>
  <si>
    <t>Dimanche</t>
  </si>
  <si>
    <t>Lundi</t>
  </si>
  <si>
    <t>Mardi</t>
  </si>
  <si>
    <t>TOTAL</t>
  </si>
  <si>
    <t>TAUX</t>
  </si>
  <si>
    <t>Zehor</t>
  </si>
  <si>
    <t>Zoubida</t>
  </si>
  <si>
    <t>Amel</t>
  </si>
  <si>
    <t>Karima</t>
  </si>
  <si>
    <t>Nouara</t>
  </si>
  <si>
    <t>Zahida</t>
  </si>
  <si>
    <t>Remarque</t>
  </si>
  <si>
    <t>Mercredi</t>
  </si>
  <si>
    <t>Jeudi</t>
  </si>
  <si>
    <t>Vendredi</t>
  </si>
  <si>
    <t>Dimenche</t>
  </si>
  <si>
    <t>Salaire/jour</t>
  </si>
  <si>
    <t>SALAIRES</t>
  </si>
  <si>
    <t>Produit</t>
  </si>
  <si>
    <t>Quantité</t>
  </si>
  <si>
    <t>Prix</t>
  </si>
  <si>
    <t>Date d'achat</t>
  </si>
  <si>
    <t>Semoule fine Baraka 25kg</t>
  </si>
  <si>
    <t>6 sachets</t>
  </si>
  <si>
    <t>Semoule Extra Ben Hamadi Moyenne 25kg</t>
  </si>
  <si>
    <t xml:space="preserve">3 sachets </t>
  </si>
  <si>
    <t>Semoule Extra Ben Hamadi Moyenne 10kg</t>
  </si>
  <si>
    <t>1 sachet</t>
  </si>
  <si>
    <t xml:space="preserve">Semoule Moyenne Amour </t>
  </si>
  <si>
    <t>Semoule Baraka Moyenne 10kg</t>
  </si>
  <si>
    <t xml:space="preserve">4 sachets </t>
  </si>
  <si>
    <t xml:space="preserve">Margarine Mani </t>
  </si>
  <si>
    <t>1 carton</t>
  </si>
  <si>
    <t xml:space="preserve">Huile Fridor 10 litres </t>
  </si>
  <si>
    <t xml:space="preserve">Levure de Bièrre </t>
  </si>
  <si>
    <t xml:space="preserve">jus thchina </t>
  </si>
  <si>
    <t>2 fardeaux</t>
  </si>
  <si>
    <t>eau miniral petit</t>
  </si>
  <si>
    <t>4 fardeaux</t>
  </si>
  <si>
    <t xml:space="preserve">Coca Cola cannette </t>
  </si>
  <si>
    <t xml:space="preserve"> 1 fardeau</t>
  </si>
  <si>
    <t xml:space="preserve">Gazouz Hamoud </t>
  </si>
  <si>
    <t>2 Fardeaux</t>
  </si>
  <si>
    <t>Jus Ifruit</t>
  </si>
  <si>
    <t>1 fardeau</t>
  </si>
  <si>
    <t>Jus Rouiba</t>
  </si>
  <si>
    <t xml:space="preserve">Tomate conserve </t>
  </si>
  <si>
    <t xml:space="preserve">11 Boites </t>
  </si>
  <si>
    <t>Farine Sim</t>
  </si>
  <si>
    <t>9 kg</t>
  </si>
  <si>
    <t xml:space="preserve">Fromage Gouda </t>
  </si>
  <si>
    <t xml:space="preserve">1kg </t>
  </si>
  <si>
    <t xml:space="preserve">Sucre </t>
  </si>
  <si>
    <t>10kg</t>
  </si>
  <si>
    <t>Sel</t>
  </si>
  <si>
    <t>20kg</t>
  </si>
  <si>
    <t>Maa Zehar</t>
  </si>
  <si>
    <t xml:space="preserve">Madina </t>
  </si>
  <si>
    <t>3 boites</t>
  </si>
  <si>
    <t xml:space="preserve">amandes </t>
  </si>
  <si>
    <t>1kg</t>
  </si>
  <si>
    <t>arachide efilet</t>
  </si>
  <si>
    <t>500g</t>
  </si>
  <si>
    <t>djeldjelan</t>
  </si>
  <si>
    <t>Maizina</t>
  </si>
  <si>
    <t>/</t>
  </si>
  <si>
    <t xml:space="preserve">Vanille </t>
  </si>
  <si>
    <t>7alwet torek</t>
  </si>
  <si>
    <t>1 boite</t>
  </si>
  <si>
    <t xml:space="preserve">Papier Aluminium </t>
  </si>
  <si>
    <t>180m</t>
  </si>
  <si>
    <t>Miel</t>
  </si>
  <si>
    <t>les quissetes</t>
  </si>
  <si>
    <t>les bavettes</t>
  </si>
  <si>
    <t>gel désinféctant</t>
  </si>
  <si>
    <t>Dakin</t>
  </si>
  <si>
    <t xml:space="preserve">Eau miniral grande bouteilles </t>
  </si>
  <si>
    <t>5 fardeaux</t>
  </si>
  <si>
    <t xml:space="preserve">bouteilles de charbet </t>
  </si>
  <si>
    <t xml:space="preserve">déteregents </t>
  </si>
  <si>
    <t>herbes</t>
  </si>
  <si>
    <t>Flexy modem</t>
  </si>
  <si>
    <t>40Go</t>
  </si>
  <si>
    <t xml:space="preserve">storm </t>
  </si>
  <si>
    <t xml:space="preserve">1 mois </t>
  </si>
  <si>
    <t>Boite 08/06</t>
  </si>
  <si>
    <t>Boite 36/07</t>
  </si>
  <si>
    <t>2 cartons</t>
  </si>
  <si>
    <t xml:space="preserve">lait en poudre </t>
  </si>
  <si>
    <t>3kg</t>
  </si>
  <si>
    <t xml:space="preserve">arome citron </t>
  </si>
  <si>
    <t>1 bouteille</t>
  </si>
  <si>
    <t>na3ena3 yabess</t>
  </si>
  <si>
    <t>coriandre moulu</t>
  </si>
  <si>
    <t>levure chimique</t>
  </si>
  <si>
    <t xml:space="preserve">1 boite </t>
  </si>
  <si>
    <t>eau de javel +isis</t>
  </si>
  <si>
    <t>Gheress</t>
  </si>
  <si>
    <t>2kg</t>
  </si>
  <si>
    <t xml:space="preserve">Bessel </t>
  </si>
  <si>
    <t>60kg</t>
  </si>
  <si>
    <t>30kg</t>
  </si>
  <si>
    <t>huile 5 litres</t>
  </si>
  <si>
    <t>3akeri</t>
  </si>
  <si>
    <t xml:space="preserve">herbes </t>
  </si>
  <si>
    <t>transport</t>
  </si>
  <si>
    <t>semoule fine Mama</t>
  </si>
  <si>
    <t>Fromage spéciale pizza</t>
  </si>
  <si>
    <t>1.2kg</t>
  </si>
  <si>
    <t xml:space="preserve">Gouda </t>
  </si>
  <si>
    <t>1.7kg</t>
  </si>
  <si>
    <t>Poulet Hachée</t>
  </si>
  <si>
    <t>Viande hachée</t>
  </si>
  <si>
    <t>450g</t>
  </si>
  <si>
    <t>Fromage blanc</t>
  </si>
  <si>
    <t>12kg</t>
  </si>
  <si>
    <t xml:space="preserve">7abet 7elawa </t>
  </si>
  <si>
    <t>100kg</t>
  </si>
  <si>
    <t>Tomate Fraiche</t>
  </si>
  <si>
    <t>50kg</t>
  </si>
  <si>
    <t>Poulet hachée</t>
  </si>
  <si>
    <t xml:space="preserve">les gants </t>
  </si>
  <si>
    <t xml:space="preserve">2 boites </t>
  </si>
  <si>
    <t>sac en papier num23</t>
  </si>
  <si>
    <t>3 fardeaux</t>
  </si>
  <si>
    <t xml:space="preserve">semoule fine </t>
  </si>
  <si>
    <t>25kg</t>
  </si>
  <si>
    <t xml:space="preserve">confiture </t>
  </si>
  <si>
    <t>6 faredeaux de 12</t>
  </si>
  <si>
    <t>4 fois</t>
  </si>
  <si>
    <t>che3ir</t>
  </si>
  <si>
    <t>1.8kg</t>
  </si>
  <si>
    <t>3 Fardeaux de 15kg</t>
  </si>
  <si>
    <t>Semoule Moyenne Sim</t>
  </si>
  <si>
    <t>1 fardeau de 12kg</t>
  </si>
  <si>
    <t xml:space="preserve">Transport </t>
  </si>
  <si>
    <t>Isis + Eau de javel</t>
  </si>
  <si>
    <t>Semoule Fine Mama</t>
  </si>
  <si>
    <t>3 fardeaux de 15kg</t>
  </si>
  <si>
    <t>poulet hachée</t>
  </si>
  <si>
    <t>1 kg</t>
  </si>
  <si>
    <t>Semoule</t>
  </si>
  <si>
    <t>5 Fardeaux de 15kg</t>
  </si>
  <si>
    <t>Harissa</t>
  </si>
  <si>
    <t xml:space="preserve">Goblets Sorbet </t>
  </si>
  <si>
    <t xml:space="preserve">3 fardeaux </t>
  </si>
  <si>
    <t>Excelence</t>
  </si>
  <si>
    <t>Negawess</t>
  </si>
  <si>
    <t>Limonade Slim</t>
  </si>
  <si>
    <t>huile</t>
  </si>
  <si>
    <t xml:space="preserve">10 bidons de5 litre </t>
  </si>
  <si>
    <t>Baghrir</t>
  </si>
  <si>
    <t xml:space="preserve">15 jours </t>
  </si>
  <si>
    <t>800g</t>
  </si>
  <si>
    <t>thon</t>
  </si>
  <si>
    <t>1 boite de 400g</t>
  </si>
  <si>
    <t>Viande et poulet hachée</t>
  </si>
  <si>
    <t>Boite de Thon</t>
  </si>
  <si>
    <t xml:space="preserve">2 de  1 kg </t>
  </si>
  <si>
    <t>boites 36/07</t>
  </si>
  <si>
    <t>1 fardeau de 50</t>
  </si>
  <si>
    <t>viande hachée+ poulet haché</t>
  </si>
  <si>
    <t xml:space="preserve">5 fois </t>
  </si>
  <si>
    <t>viande hachée, poulet haché</t>
  </si>
  <si>
    <t>Gateaux</t>
  </si>
  <si>
    <t>Louz</t>
  </si>
  <si>
    <t xml:space="preserve">viande hachée , poulet Hachée </t>
  </si>
  <si>
    <t xml:space="preserve">Transport frégidaire </t>
  </si>
  <si>
    <t>Transport personnel</t>
  </si>
  <si>
    <t>12.5kg</t>
  </si>
  <si>
    <t>fromage fondu</t>
  </si>
  <si>
    <t>une barre de 1.8kg</t>
  </si>
  <si>
    <t>sac poubelle</t>
  </si>
  <si>
    <t xml:space="preserve">eau </t>
  </si>
  <si>
    <t>traveaux</t>
  </si>
  <si>
    <t>Fardeau Farine</t>
  </si>
  <si>
    <t>Semoule Mama</t>
  </si>
  <si>
    <t>3 fardeaux  de 15kg</t>
  </si>
  <si>
    <t>Viande haché</t>
  </si>
  <si>
    <t xml:space="preserve">Sofiane </t>
  </si>
  <si>
    <t xml:space="preserve">Facture d'eau </t>
  </si>
  <si>
    <t xml:space="preserve">trimestre </t>
  </si>
  <si>
    <t>Semoule fine Mama</t>
  </si>
  <si>
    <t>Plats</t>
  </si>
  <si>
    <t>15 jours</t>
  </si>
  <si>
    <t>6 kg</t>
  </si>
  <si>
    <t>eau miniral 1.5 litres</t>
  </si>
  <si>
    <t>Herbes</t>
  </si>
  <si>
    <t>allumettes</t>
  </si>
  <si>
    <t>Transport</t>
  </si>
  <si>
    <t>pinture et tt</t>
  </si>
  <si>
    <t xml:space="preserve">Gateaux souad </t>
  </si>
  <si>
    <t>fond de caisse</t>
  </si>
  <si>
    <t>TOTALE</t>
  </si>
  <si>
    <t xml:space="preserve">Somme initiale </t>
  </si>
  <si>
    <t>Rest</t>
  </si>
  <si>
    <t xml:space="preserve">Nom </t>
  </si>
  <si>
    <t>Avance</t>
  </si>
  <si>
    <t>Nowara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</si>
</sst>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/>
    <font>
      <b/>
      <color theme="1"/>
      <name val="Arial"/>
    </font>
    <font>
      <b/>
      <sz val="12.0"/>
      <color rgb="FF0000FF"/>
      <name val="Arial"/>
    </font>
    <font>
      <b/>
      <sz val="14.0"/>
      <color theme="1"/>
      <name val="Arial"/>
    </font>
    <font>
      <sz val="12.0"/>
      <color rgb="FFFF0000"/>
      <name val="Arial"/>
    </font>
    <font>
      <sz val="12.0"/>
      <color rgb="FF000000"/>
      <name val="Arial"/>
    </font>
    <font>
      <b/>
      <sz val="14.0"/>
      <color rgb="FFFF0000"/>
      <name val="Arial"/>
    </font>
    <font>
      <b/>
      <sz val="12.0"/>
      <color rgb="FFFF0000"/>
      <name val="Arial"/>
    </font>
    <font>
      <b/>
      <sz val="14.0"/>
      <color rgb="FF1C4587"/>
      <name val="Arial"/>
    </font>
    <font>
      <b/>
      <sz val="18.0"/>
      <color theme="1"/>
      <name val="Arial"/>
    </font>
    <font>
      <sz val="14.0"/>
      <color theme="1"/>
      <name val="Arial"/>
    </font>
    <font>
      <sz val="1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4" fontId="2" numFmtId="0" xfId="0" applyAlignment="1" applyBorder="1" applyFill="1" applyFont="1">
      <alignment horizontal="center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horizontal="center" readingOrder="0"/>
    </xf>
    <xf borderId="1" fillId="5" fontId="4" numFmtId="165" xfId="0" applyAlignment="1" applyBorder="1" applyFill="1" applyFont="1" applyNumberFormat="1">
      <alignment horizontal="center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1" fillId="6" fontId="6" numFmtId="165" xfId="0" applyAlignment="1" applyBorder="1" applyFill="1" applyFont="1" applyNumberFormat="1">
      <alignment horizontal="center"/>
    </xf>
    <xf borderId="0" fillId="0" fontId="5" numFmtId="165" xfId="0" applyFont="1" applyNumberFormat="1"/>
    <xf borderId="1" fillId="4" fontId="3" numFmtId="165" xfId="0" applyAlignment="1" applyBorder="1" applyFont="1" applyNumberForma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3" fillId="0" fontId="7" numFmtId="0" xfId="0" applyBorder="1" applyFont="1"/>
    <xf borderId="1" fillId="6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5" fontId="3" numFmtId="165" xfId="0" applyAlignment="1" applyBorder="1" applyFont="1" applyNumberFormat="1">
      <alignment vertical="bottom"/>
    </xf>
    <xf borderId="2" fillId="9" fontId="1" numFmtId="0" xfId="0" applyAlignment="1" applyBorder="1" applyFill="1" applyFont="1">
      <alignment horizontal="center" vertical="bottom"/>
    </xf>
    <xf borderId="1" fillId="10" fontId="8" numFmtId="9" xfId="0" applyAlignment="1" applyBorder="1" applyFill="1" applyFont="1" applyNumberFormat="1">
      <alignment horizontal="center" vertical="bottom"/>
    </xf>
    <xf borderId="1" fillId="11" fontId="8" numFmtId="10" xfId="0" applyAlignment="1" applyBorder="1" applyFill="1" applyFont="1" applyNumberFormat="1">
      <alignment horizontal="center" vertical="bottom"/>
    </xf>
    <xf borderId="1" fillId="3" fontId="1" numFmtId="0" xfId="0" applyAlignment="1" applyBorder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6" fontId="10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readingOrder="0" vertical="bottom"/>
    </xf>
    <xf borderId="0" fillId="3" fontId="1" numFmtId="0" xfId="0" applyAlignment="1" applyFont="1">
      <alignment vertical="bottom"/>
    </xf>
    <xf borderId="1" fillId="3" fontId="11" numFmtId="0" xfId="0" applyAlignment="1" applyBorder="1" applyFont="1">
      <alignment horizontal="right" readingOrder="0" vertical="bottom"/>
    </xf>
    <xf borderId="1" fillId="3" fontId="12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readingOrder="0" vertical="bottom"/>
    </xf>
    <xf borderId="1" fillId="3" fontId="1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right" readingOrder="0" vertical="bottom"/>
    </xf>
    <xf borderId="1" fillId="4" fontId="1" numFmtId="0" xfId="0" applyAlignment="1" applyBorder="1" applyFont="1">
      <alignment horizontal="right" readingOrder="0" vertical="bottom"/>
    </xf>
    <xf borderId="1" fillId="4" fontId="12" numFmtId="0" xfId="0" applyAlignment="1" applyBorder="1" applyFont="1">
      <alignment horizontal="right" vertical="bottom"/>
    </xf>
    <xf borderId="1" fillId="6" fontId="13" numFmtId="0" xfId="0" applyAlignment="1" applyBorder="1" applyFont="1">
      <alignment horizontal="center" vertical="bottom"/>
    </xf>
    <xf borderId="1" fillId="6" fontId="14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6" fontId="15" numFmtId="0" xfId="0" applyAlignment="1" applyBorder="1" applyFont="1">
      <alignment horizontal="center" vertical="bottom"/>
    </xf>
    <xf borderId="1" fillId="6" fontId="15" numFmtId="165" xfId="0" applyAlignment="1" applyBorder="1" applyFont="1" applyNumberFormat="1">
      <alignment horizontal="center" vertical="bottom"/>
    </xf>
    <xf borderId="1" fillId="7" fontId="10" numFmtId="165" xfId="0" applyAlignment="1" applyBorder="1" applyFont="1" applyNumberFormat="1">
      <alignment horizontal="center" vertical="bottom"/>
    </xf>
    <xf borderId="0" fillId="6" fontId="16" numFmtId="0" xfId="0" applyAlignment="1" applyFont="1">
      <alignment horizontal="center" vertical="bottom"/>
    </xf>
    <xf borderId="1" fillId="6" fontId="16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readingOrder="0" vertical="bottom"/>
    </xf>
    <xf borderId="1" fillId="0" fontId="17" numFmtId="165" xfId="0" applyAlignment="1" applyBorder="1" applyFont="1" applyNumberFormat="1">
      <alignment horizontal="center" readingOrder="0" vertical="bottom"/>
    </xf>
    <xf borderId="1" fillId="0" fontId="17" numFmtId="164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horizontal="center" vertical="bottom"/>
    </xf>
    <xf borderId="1" fillId="0" fontId="17" numFmtId="165" xfId="0" applyAlignment="1" applyBorder="1" applyFont="1" applyNumberFormat="1">
      <alignment horizontal="center" vertical="bottom"/>
    </xf>
    <xf borderId="1" fillId="0" fontId="17" numFmtId="164" xfId="0" applyAlignment="1" applyBorder="1" applyFont="1" applyNumberFormat="1">
      <alignment horizontal="center" vertical="bottom"/>
    </xf>
    <xf borderId="1" fillId="4" fontId="13" numFmtId="0" xfId="0" applyAlignment="1" applyBorder="1" applyFont="1">
      <alignment horizontal="center" vertical="bottom"/>
    </xf>
    <xf borderId="1" fillId="5" fontId="17" numFmtId="165" xfId="0" applyAlignment="1" applyBorder="1" applyFont="1" applyNumberFormat="1">
      <alignment horizontal="center" readingOrder="0" vertical="bottom"/>
    </xf>
    <xf borderId="1" fillId="6" fontId="10" numFmtId="165" xfId="0" applyAlignment="1" applyBorder="1" applyFont="1" applyNumberFormat="1">
      <alignment horizontal="center" vertical="bottom"/>
    </xf>
    <xf borderId="1" fillId="4" fontId="10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right" vertical="bottom"/>
    </xf>
    <xf borderId="1" fillId="0" fontId="17" numFmtId="165" xfId="0" applyAlignment="1" applyBorder="1" applyFont="1" applyNumberFormat="1">
      <alignment horizontal="right" vertical="bottom"/>
    </xf>
    <xf borderId="1" fillId="0" fontId="17" numFmtId="165" xfId="0" applyAlignment="1" applyBorder="1" applyFont="1" applyNumberFormat="1">
      <alignment horizontal="right" readingOrder="0" vertical="bottom"/>
    </xf>
    <xf borderId="1" fillId="0" fontId="17" numFmtId="0" xfId="0" applyAlignment="1" applyBorder="1" applyFont="1">
      <alignment horizontal="right" readingOrder="0" vertical="bottom"/>
    </xf>
    <xf borderId="1" fillId="6" fontId="18" numFmtId="0" xfId="0" applyAlignment="1" applyBorder="1" applyFont="1">
      <alignment horizontal="center" vertical="bottom"/>
    </xf>
    <xf borderId="1" fillId="6" fontId="18" numFmtId="165" xfId="0" applyAlignment="1" applyBorder="1" applyFont="1" applyNumberFormat="1">
      <alignment horizontal="right" vertical="bottom"/>
    </xf>
    <xf borderId="0" fillId="7" fontId="18" numFmtId="165" xfId="0" applyAlignment="1" applyFont="1" applyNumberFormat="1">
      <alignment horizontal="right" vertical="bottom"/>
    </xf>
    <xf borderId="1" fillId="5" fontId="1" numFmtId="0" xfId="0" applyAlignment="1" applyBorder="1" applyFont="1">
      <alignment vertical="bottom"/>
    </xf>
    <xf borderId="1" fillId="5" fontId="18" numFmtId="165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5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43983.0</v>
      </c>
      <c r="C2" s="5">
        <v>20000.0</v>
      </c>
      <c r="D2" s="6"/>
      <c r="E2" s="6"/>
      <c r="F2" s="6"/>
      <c r="G2" s="6"/>
      <c r="N2" s="5">
        <v>20000.0</v>
      </c>
    </row>
    <row r="3">
      <c r="A3" s="3" t="s">
        <v>7</v>
      </c>
      <c r="B3" s="4">
        <v>43984.0</v>
      </c>
      <c r="C3" s="5">
        <v>20000.0</v>
      </c>
      <c r="D3" s="6"/>
      <c r="E3" s="6"/>
      <c r="F3" s="6"/>
      <c r="G3" s="6"/>
      <c r="N3" s="5">
        <v>20000.0</v>
      </c>
    </row>
    <row r="4">
      <c r="A4" s="3" t="s">
        <v>8</v>
      </c>
      <c r="B4" s="4">
        <v>43985.0</v>
      </c>
      <c r="C4" s="5">
        <v>14000.0</v>
      </c>
      <c r="D4" s="6"/>
      <c r="E4" s="6"/>
      <c r="F4" s="6"/>
      <c r="G4" s="6"/>
      <c r="N4" s="5">
        <v>14000.0</v>
      </c>
    </row>
    <row r="5">
      <c r="A5" s="3" t="s">
        <v>9</v>
      </c>
      <c r="B5" s="4">
        <v>43986.0</v>
      </c>
      <c r="C5" s="5">
        <v>20000.0</v>
      </c>
      <c r="D5" s="6"/>
      <c r="E5" s="6"/>
      <c r="F5" s="6"/>
      <c r="G5" s="6"/>
      <c r="N5" s="5">
        <v>20000.0</v>
      </c>
    </row>
    <row r="6">
      <c r="A6" s="7" t="s">
        <v>10</v>
      </c>
      <c r="B6" s="8">
        <v>43987.0</v>
      </c>
      <c r="C6" s="9">
        <v>0.0</v>
      </c>
      <c r="D6" s="10">
        <v>0.0</v>
      </c>
      <c r="E6" s="10">
        <v>0.0</v>
      </c>
      <c r="F6" s="10">
        <v>0.0</v>
      </c>
      <c r="G6" s="10">
        <v>0.0</v>
      </c>
      <c r="N6" s="9">
        <v>0.0</v>
      </c>
    </row>
    <row r="7">
      <c r="A7" s="3" t="s">
        <v>11</v>
      </c>
      <c r="B7" s="4">
        <v>43988.0</v>
      </c>
      <c r="C7" s="5">
        <v>19000.0</v>
      </c>
      <c r="D7" s="6"/>
      <c r="E7" s="6"/>
      <c r="F7" s="6"/>
      <c r="G7" s="6"/>
      <c r="K7" s="11" t="s">
        <v>12</v>
      </c>
      <c r="N7" s="5">
        <v>19000.0</v>
      </c>
    </row>
    <row r="8">
      <c r="A8" s="3" t="s">
        <v>13</v>
      </c>
      <c r="B8" s="4">
        <v>43989.0</v>
      </c>
      <c r="C8" s="5">
        <v>19000.0</v>
      </c>
      <c r="D8" s="6"/>
      <c r="E8" s="6"/>
      <c r="F8" s="6"/>
      <c r="G8" s="6"/>
      <c r="K8" s="12">
        <f>C32/Pointage!E32</f>
        <v>18538.46154</v>
      </c>
      <c r="N8" s="5">
        <v>19000.0</v>
      </c>
    </row>
    <row r="9">
      <c r="A9" s="3" t="s">
        <v>6</v>
      </c>
      <c r="B9" s="4">
        <v>43990.0</v>
      </c>
      <c r="C9" s="5">
        <v>25000.0</v>
      </c>
      <c r="D9" s="6"/>
      <c r="E9" s="6"/>
      <c r="F9" s="6"/>
      <c r="G9" s="6"/>
      <c r="N9" s="5">
        <v>25000.0</v>
      </c>
    </row>
    <row r="10">
      <c r="A10" s="3" t="s">
        <v>7</v>
      </c>
      <c r="B10" s="4">
        <v>43991.0</v>
      </c>
      <c r="C10" s="5">
        <v>24000.0</v>
      </c>
      <c r="D10" s="6"/>
      <c r="E10" s="6"/>
      <c r="F10" s="6"/>
      <c r="G10" s="6"/>
      <c r="N10" s="5">
        <v>24000.0</v>
      </c>
    </row>
    <row r="11">
      <c r="A11" s="3" t="s">
        <v>8</v>
      </c>
      <c r="B11" s="4">
        <v>43992.0</v>
      </c>
      <c r="C11" s="5">
        <v>22000.0</v>
      </c>
      <c r="D11" s="6"/>
      <c r="E11" s="6"/>
      <c r="F11" s="6"/>
      <c r="G11" s="6"/>
      <c r="N11" s="5">
        <v>22000.0</v>
      </c>
    </row>
    <row r="12">
      <c r="A12" s="3" t="s">
        <v>9</v>
      </c>
      <c r="B12" s="4">
        <v>43993.0</v>
      </c>
      <c r="C12" s="5">
        <v>27000.0</v>
      </c>
      <c r="D12" s="6"/>
      <c r="E12" s="6"/>
      <c r="F12" s="6"/>
      <c r="G12" s="6"/>
      <c r="N12" s="5">
        <v>27000.0</v>
      </c>
    </row>
    <row r="13">
      <c r="A13" s="7" t="s">
        <v>10</v>
      </c>
      <c r="B13" s="8">
        <v>43994.0</v>
      </c>
      <c r="C13" s="9">
        <v>0.0</v>
      </c>
      <c r="D13" s="10">
        <v>0.0</v>
      </c>
      <c r="E13" s="10">
        <v>0.0</v>
      </c>
      <c r="F13" s="10">
        <v>0.0</v>
      </c>
      <c r="G13" s="10">
        <v>0.0</v>
      </c>
      <c r="N13" s="9">
        <v>0.0</v>
      </c>
    </row>
    <row r="14">
      <c r="A14" s="3" t="s">
        <v>11</v>
      </c>
      <c r="B14" s="4">
        <v>43995.0</v>
      </c>
      <c r="C14" s="5">
        <v>21000.0</v>
      </c>
      <c r="D14" s="6"/>
      <c r="E14" s="6"/>
      <c r="F14" s="6"/>
      <c r="G14" s="6"/>
      <c r="N14" s="5">
        <v>21000.0</v>
      </c>
    </row>
    <row r="15">
      <c r="A15" s="3" t="s">
        <v>13</v>
      </c>
      <c r="B15" s="4">
        <v>43996.0</v>
      </c>
      <c r="C15" s="5">
        <v>17000.0</v>
      </c>
      <c r="D15" s="6"/>
      <c r="E15" s="6"/>
      <c r="F15" s="6"/>
      <c r="G15" s="6"/>
      <c r="J15" s="13" t="s">
        <v>14</v>
      </c>
      <c r="N15" s="5">
        <v>17000.0</v>
      </c>
    </row>
    <row r="16">
      <c r="A16" s="3" t="s">
        <v>6</v>
      </c>
      <c r="B16" s="4">
        <v>43997.0</v>
      </c>
      <c r="C16" s="5">
        <v>15000.0</v>
      </c>
      <c r="D16" s="6"/>
      <c r="E16" s="6"/>
      <c r="F16" s="6"/>
      <c r="G16" s="6"/>
      <c r="K16" s="14" t="s">
        <v>15</v>
      </c>
      <c r="N16" s="5">
        <v>15000.0</v>
      </c>
    </row>
    <row r="17">
      <c r="A17" s="3" t="s">
        <v>7</v>
      </c>
      <c r="B17" s="4">
        <v>43998.0</v>
      </c>
      <c r="C17" s="5">
        <v>19000.0</v>
      </c>
      <c r="D17" s="6"/>
      <c r="E17" s="6"/>
      <c r="F17" s="6"/>
      <c r="G17" s="6"/>
      <c r="K17" s="15">
        <f>C32+Charges!G154-Charges!G153-Salaires!J20</f>
        <v>249000</v>
      </c>
      <c r="N17" s="5">
        <v>19000.0</v>
      </c>
    </row>
    <row r="18">
      <c r="A18" s="3" t="s">
        <v>8</v>
      </c>
      <c r="B18" s="4">
        <v>43999.0</v>
      </c>
      <c r="C18" s="5">
        <v>21000.0</v>
      </c>
      <c r="D18" s="6"/>
      <c r="E18" s="6"/>
      <c r="F18" s="6"/>
      <c r="G18" s="6"/>
      <c r="N18" s="5">
        <v>21000.0</v>
      </c>
    </row>
    <row r="19">
      <c r="A19" s="3" t="s">
        <v>9</v>
      </c>
      <c r="B19" s="4">
        <v>44000.0</v>
      </c>
      <c r="C19" s="5">
        <v>16000.0</v>
      </c>
      <c r="D19" s="6"/>
      <c r="E19" s="6"/>
      <c r="F19" s="6"/>
      <c r="G19" s="6"/>
      <c r="N19" s="5">
        <v>16000.0</v>
      </c>
    </row>
    <row r="20">
      <c r="A20" s="7" t="s">
        <v>10</v>
      </c>
      <c r="B20" s="8">
        <v>44001.0</v>
      </c>
      <c r="C20" s="9">
        <v>0.0</v>
      </c>
      <c r="D20" s="10">
        <v>0.0</v>
      </c>
      <c r="E20" s="10">
        <v>0.0</v>
      </c>
      <c r="F20" s="10">
        <v>0.0</v>
      </c>
      <c r="G20" s="10">
        <v>0.0</v>
      </c>
      <c r="N20" s="9">
        <v>0.0</v>
      </c>
    </row>
    <row r="21">
      <c r="A21" s="3" t="s">
        <v>11</v>
      </c>
      <c r="B21" s="4">
        <v>44002.0</v>
      </c>
      <c r="C21" s="5">
        <v>15000.0</v>
      </c>
      <c r="D21" s="6"/>
      <c r="E21" s="6"/>
      <c r="F21" s="6"/>
      <c r="G21" s="6"/>
      <c r="N21" s="5">
        <v>15000.0</v>
      </c>
    </row>
    <row r="22">
      <c r="A22" s="3" t="s">
        <v>13</v>
      </c>
      <c r="B22" s="4">
        <v>44003.0</v>
      </c>
      <c r="C22" s="5">
        <v>13000.0</v>
      </c>
      <c r="D22" s="6"/>
      <c r="E22" s="6"/>
      <c r="F22" s="6"/>
      <c r="G22" s="6"/>
      <c r="N22" s="5">
        <v>13000.0</v>
      </c>
    </row>
    <row r="23">
      <c r="A23" s="3" t="s">
        <v>6</v>
      </c>
      <c r="B23" s="4">
        <v>44004.0</v>
      </c>
      <c r="C23" s="5">
        <v>13000.0</v>
      </c>
      <c r="D23" s="6"/>
      <c r="E23" s="6"/>
      <c r="F23" s="6"/>
      <c r="G23" s="6"/>
      <c r="N23" s="5">
        <v>13000.0</v>
      </c>
    </row>
    <row r="24">
      <c r="A24" s="3" t="s">
        <v>7</v>
      </c>
      <c r="B24" s="4">
        <v>44005.0</v>
      </c>
      <c r="C24" s="5">
        <v>13000.0</v>
      </c>
      <c r="D24" s="6"/>
      <c r="E24" s="6"/>
      <c r="F24" s="6"/>
      <c r="G24" s="6"/>
      <c r="N24" s="5">
        <v>13000.0</v>
      </c>
    </row>
    <row r="25">
      <c r="A25" s="3" t="s">
        <v>8</v>
      </c>
      <c r="B25" s="4">
        <v>44006.0</v>
      </c>
      <c r="C25" s="5">
        <v>27000.0</v>
      </c>
      <c r="D25" s="6"/>
      <c r="E25" s="6"/>
      <c r="F25" s="6"/>
      <c r="G25" s="6"/>
      <c r="N25" s="16">
        <f>SUM(N2:N24)</f>
        <v>373000</v>
      </c>
    </row>
    <row r="26">
      <c r="A26" s="3" t="s">
        <v>9</v>
      </c>
      <c r="B26" s="4">
        <v>44007.0</v>
      </c>
      <c r="C26" s="5">
        <v>25000.0</v>
      </c>
      <c r="D26" s="6"/>
      <c r="E26" s="6"/>
      <c r="F26" s="6"/>
      <c r="G26" s="6"/>
    </row>
    <row r="27">
      <c r="A27" s="7" t="s">
        <v>10</v>
      </c>
      <c r="B27" s="8">
        <v>44008.0</v>
      </c>
      <c r="C27" s="17">
        <v>0.0</v>
      </c>
      <c r="D27" s="10">
        <v>0.0</v>
      </c>
      <c r="E27" s="10">
        <v>0.0</v>
      </c>
      <c r="F27" s="10">
        <v>0.0</v>
      </c>
      <c r="G27" s="10">
        <v>0.0</v>
      </c>
    </row>
    <row r="28">
      <c r="A28" s="3" t="s">
        <v>16</v>
      </c>
      <c r="B28" s="4">
        <v>44009.0</v>
      </c>
      <c r="C28" s="5">
        <v>21000.0</v>
      </c>
      <c r="D28" s="6"/>
      <c r="E28" s="6"/>
      <c r="F28" s="6"/>
      <c r="G28" s="6"/>
    </row>
    <row r="29">
      <c r="A29" s="3" t="s">
        <v>17</v>
      </c>
      <c r="B29" s="4">
        <v>44010.0</v>
      </c>
      <c r="C29" s="5">
        <v>8000.0</v>
      </c>
      <c r="D29" s="6"/>
      <c r="E29" s="6"/>
      <c r="F29" s="6"/>
      <c r="G29" s="6"/>
    </row>
    <row r="30">
      <c r="A30" s="3" t="s">
        <v>18</v>
      </c>
      <c r="B30" s="4">
        <v>44011.0</v>
      </c>
      <c r="C30" s="5">
        <v>18000.0</v>
      </c>
      <c r="D30" s="6"/>
      <c r="E30" s="6"/>
      <c r="F30" s="6"/>
      <c r="G30" s="6"/>
    </row>
    <row r="31">
      <c r="A31" s="3" t="s">
        <v>19</v>
      </c>
      <c r="B31" s="4">
        <v>44012.0</v>
      </c>
      <c r="C31" s="5">
        <v>10000.0</v>
      </c>
      <c r="D31" s="6"/>
      <c r="E31" s="6"/>
      <c r="F31" s="6"/>
      <c r="G31" s="6"/>
    </row>
    <row r="32">
      <c r="A32" s="18" t="s">
        <v>20</v>
      </c>
      <c r="B32" s="19"/>
      <c r="C32" s="20">
        <f>SUM(C2:C31)</f>
        <v>482000</v>
      </c>
      <c r="D32" s="21">
        <f>Charges!G153*1</f>
        <v>292000</v>
      </c>
      <c r="E32" s="22">
        <f>Salaires!I20*1</f>
        <v>141000</v>
      </c>
      <c r="F32" s="17">
        <v>77000.0</v>
      </c>
      <c r="G32" s="23">
        <f>C32-D32-E32-F32</f>
        <v>-28000</v>
      </c>
    </row>
    <row r="33">
      <c r="A33" s="24" t="s">
        <v>21</v>
      </c>
      <c r="B33" s="19"/>
      <c r="C33" s="25">
        <v>1.0</v>
      </c>
      <c r="D33" s="26">
        <f>D32/C32</f>
        <v>0.6058091286</v>
      </c>
      <c r="E33" s="26">
        <f>E32/C32</f>
        <v>0.2925311203</v>
      </c>
      <c r="F33" s="26">
        <f>F32/C32</f>
        <v>0.1597510373</v>
      </c>
      <c r="G33" s="26">
        <f>G32/C32</f>
        <v>-0.05809128631</v>
      </c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</sheetData>
  <mergeCells count="2">
    <mergeCell ref="A32:B32"/>
    <mergeCell ref="A33:B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/>
      <c r="B1" s="28" t="s">
        <v>0</v>
      </c>
      <c r="C1" s="29" t="s">
        <v>22</v>
      </c>
      <c r="D1" s="29" t="s">
        <v>23</v>
      </c>
      <c r="E1" s="29" t="s">
        <v>24</v>
      </c>
      <c r="F1" s="29" t="s">
        <v>25</v>
      </c>
      <c r="G1" s="29" t="s">
        <v>26</v>
      </c>
      <c r="H1" s="29" t="s">
        <v>27</v>
      </c>
      <c r="I1" s="30" t="s">
        <v>28</v>
      </c>
    </row>
    <row r="2">
      <c r="A2" s="3" t="s">
        <v>18</v>
      </c>
      <c r="B2" s="4">
        <v>43983.0</v>
      </c>
      <c r="C2" s="31">
        <v>0.0</v>
      </c>
      <c r="D2" s="31">
        <v>1.0</v>
      </c>
      <c r="E2" s="31">
        <v>1.0</v>
      </c>
      <c r="F2" s="31">
        <v>1.0</v>
      </c>
      <c r="G2" s="31">
        <v>1.0</v>
      </c>
      <c r="H2" s="31">
        <v>1.0</v>
      </c>
      <c r="I2" s="32"/>
    </row>
    <row r="3">
      <c r="A3" s="3" t="s">
        <v>19</v>
      </c>
      <c r="B3" s="4">
        <v>43984.0</v>
      </c>
      <c r="C3" s="31">
        <v>0.0</v>
      </c>
      <c r="D3" s="31">
        <v>1.0</v>
      </c>
      <c r="E3" s="31">
        <v>1.0</v>
      </c>
      <c r="F3" s="31">
        <v>1.0</v>
      </c>
      <c r="G3" s="31">
        <v>1.0</v>
      </c>
      <c r="H3" s="31">
        <v>1.0</v>
      </c>
      <c r="I3" s="32"/>
    </row>
    <row r="4">
      <c r="A4" s="3" t="s">
        <v>29</v>
      </c>
      <c r="B4" s="4">
        <v>43985.0</v>
      </c>
      <c r="C4" s="33">
        <v>0.0</v>
      </c>
      <c r="D4" s="31">
        <v>1.0</v>
      </c>
      <c r="E4" s="31">
        <v>1.0</v>
      </c>
      <c r="F4" s="31">
        <v>1.0</v>
      </c>
      <c r="G4" s="31">
        <v>1.0</v>
      </c>
      <c r="H4" s="31">
        <v>1.0</v>
      </c>
      <c r="I4" s="32"/>
    </row>
    <row r="5">
      <c r="A5" s="3" t="s">
        <v>30</v>
      </c>
      <c r="B5" s="4">
        <v>43986.0</v>
      </c>
      <c r="C5" s="34">
        <v>0.0</v>
      </c>
      <c r="D5" s="34">
        <v>1.0</v>
      </c>
      <c r="E5" s="34">
        <v>1.0</v>
      </c>
      <c r="F5" s="34">
        <v>1.0</v>
      </c>
      <c r="G5" s="34">
        <v>1.0</v>
      </c>
      <c r="H5" s="34">
        <v>1.5</v>
      </c>
      <c r="I5" s="32"/>
    </row>
    <row r="6">
      <c r="A6" s="7" t="s">
        <v>31</v>
      </c>
      <c r="B6" s="8">
        <v>43987.0</v>
      </c>
      <c r="C6" s="35">
        <v>0.0</v>
      </c>
      <c r="D6" s="35">
        <v>0.0</v>
      </c>
      <c r="E6" s="36">
        <v>0.0</v>
      </c>
      <c r="F6" s="35">
        <v>0.0</v>
      </c>
      <c r="G6" s="35">
        <v>0.0</v>
      </c>
      <c r="H6" s="35">
        <v>0.0</v>
      </c>
      <c r="I6" s="32"/>
    </row>
    <row r="7">
      <c r="A7" s="3" t="s">
        <v>16</v>
      </c>
      <c r="B7" s="4">
        <v>43988.0</v>
      </c>
      <c r="C7" s="31">
        <v>0.0</v>
      </c>
      <c r="D7" s="31">
        <v>1.0</v>
      </c>
      <c r="E7" s="31">
        <v>1.0</v>
      </c>
      <c r="F7" s="31">
        <v>1.0</v>
      </c>
      <c r="G7" s="31">
        <v>1.0</v>
      </c>
      <c r="H7" s="31">
        <v>1.5</v>
      </c>
      <c r="I7" s="32"/>
    </row>
    <row r="8">
      <c r="A8" s="3" t="s">
        <v>17</v>
      </c>
      <c r="B8" s="4">
        <v>43989.0</v>
      </c>
      <c r="C8" s="31">
        <v>0.0</v>
      </c>
      <c r="D8" s="31">
        <v>1.0</v>
      </c>
      <c r="E8" s="31">
        <v>1.0</v>
      </c>
      <c r="F8" s="31">
        <v>1.0</v>
      </c>
      <c r="G8" s="31">
        <v>1.0</v>
      </c>
      <c r="H8" s="31">
        <v>1.5</v>
      </c>
      <c r="I8" s="32"/>
    </row>
    <row r="9">
      <c r="A9" s="3" t="s">
        <v>18</v>
      </c>
      <c r="B9" s="4">
        <v>43990.0</v>
      </c>
      <c r="C9" s="31">
        <v>0.0</v>
      </c>
      <c r="D9" s="31">
        <v>1.0</v>
      </c>
      <c r="E9" s="31">
        <v>1.0</v>
      </c>
      <c r="F9" s="31">
        <v>1.0</v>
      </c>
      <c r="G9" s="31">
        <v>1.0</v>
      </c>
      <c r="H9" s="31">
        <v>1.0</v>
      </c>
      <c r="I9" s="32"/>
    </row>
    <row r="10">
      <c r="A10" s="3" t="s">
        <v>19</v>
      </c>
      <c r="B10" s="4">
        <v>43991.0</v>
      </c>
      <c r="C10" s="31">
        <v>0.0</v>
      </c>
      <c r="D10" s="31">
        <v>1.0</v>
      </c>
      <c r="E10" s="31">
        <v>1.0</v>
      </c>
      <c r="F10" s="31">
        <v>1.0</v>
      </c>
      <c r="G10" s="31">
        <v>1.0</v>
      </c>
      <c r="H10" s="31">
        <v>1.5</v>
      </c>
      <c r="I10" s="32"/>
    </row>
    <row r="11">
      <c r="A11" s="3" t="s">
        <v>29</v>
      </c>
      <c r="B11" s="4">
        <v>43992.0</v>
      </c>
      <c r="C11" s="31">
        <v>0.0</v>
      </c>
      <c r="D11" s="31">
        <v>1.0</v>
      </c>
      <c r="E11" s="31">
        <v>1.0</v>
      </c>
      <c r="F11" s="31">
        <v>1.0</v>
      </c>
      <c r="G11" s="31">
        <v>1.0</v>
      </c>
      <c r="H11" s="31">
        <v>1.5</v>
      </c>
      <c r="I11" s="32"/>
    </row>
    <row r="12">
      <c r="A12" s="3" t="s">
        <v>30</v>
      </c>
      <c r="B12" s="4">
        <v>43993.0</v>
      </c>
      <c r="C12" s="34">
        <v>0.0</v>
      </c>
      <c r="D12" s="34">
        <v>1.0</v>
      </c>
      <c r="E12" s="34">
        <v>1.0</v>
      </c>
      <c r="F12" s="34">
        <v>1.0</v>
      </c>
      <c r="G12" s="34">
        <v>1.0</v>
      </c>
      <c r="H12" s="34">
        <v>1.5</v>
      </c>
      <c r="I12" s="32"/>
    </row>
    <row r="13">
      <c r="A13" s="7" t="s">
        <v>31</v>
      </c>
      <c r="B13" s="8">
        <v>43994.0</v>
      </c>
      <c r="C13" s="35">
        <v>0.0</v>
      </c>
      <c r="D13" s="35">
        <v>0.0</v>
      </c>
      <c r="E13" s="35">
        <v>0.0</v>
      </c>
      <c r="F13" s="35">
        <v>0.0</v>
      </c>
      <c r="G13" s="35">
        <v>0.0</v>
      </c>
      <c r="H13" s="35">
        <v>0.0</v>
      </c>
      <c r="I13" s="32"/>
    </row>
    <row r="14">
      <c r="A14" s="3" t="s">
        <v>16</v>
      </c>
      <c r="B14" s="4">
        <v>43995.0</v>
      </c>
      <c r="C14" s="31">
        <v>0.0</v>
      </c>
      <c r="D14" s="31">
        <v>1.0</v>
      </c>
      <c r="E14" s="31">
        <v>1.0</v>
      </c>
      <c r="F14" s="31">
        <v>1.0</v>
      </c>
      <c r="G14" s="31">
        <v>1.0</v>
      </c>
      <c r="H14" s="31">
        <v>1.0</v>
      </c>
      <c r="I14" s="32"/>
    </row>
    <row r="15">
      <c r="A15" s="3" t="s">
        <v>17</v>
      </c>
      <c r="B15" s="4">
        <v>43996.0</v>
      </c>
      <c r="C15" s="31">
        <v>0.0</v>
      </c>
      <c r="D15" s="31">
        <v>1.0</v>
      </c>
      <c r="E15" s="31">
        <v>1.0</v>
      </c>
      <c r="F15" s="31">
        <v>1.0</v>
      </c>
      <c r="G15" s="31">
        <v>1.0</v>
      </c>
      <c r="H15" s="31">
        <v>1.0</v>
      </c>
      <c r="I15" s="32"/>
    </row>
    <row r="16">
      <c r="A16" s="3" t="s">
        <v>18</v>
      </c>
      <c r="B16" s="4">
        <v>43997.0</v>
      </c>
      <c r="C16" s="31">
        <v>0.0</v>
      </c>
      <c r="D16" s="31">
        <v>1.0</v>
      </c>
      <c r="E16" s="31">
        <v>1.0</v>
      </c>
      <c r="F16" s="31">
        <v>1.0</v>
      </c>
      <c r="G16" s="31">
        <v>1.0</v>
      </c>
      <c r="H16" s="31">
        <v>1.0</v>
      </c>
      <c r="I16" s="32"/>
    </row>
    <row r="17">
      <c r="A17" s="3" t="s">
        <v>19</v>
      </c>
      <c r="B17" s="4">
        <v>43998.0</v>
      </c>
      <c r="C17" s="31">
        <v>0.0</v>
      </c>
      <c r="D17" s="31">
        <v>1.0</v>
      </c>
      <c r="E17" s="31">
        <v>1.0</v>
      </c>
      <c r="F17" s="31">
        <v>1.0</v>
      </c>
      <c r="G17" s="31">
        <v>1.0</v>
      </c>
      <c r="H17" s="31">
        <v>1.0</v>
      </c>
      <c r="I17" s="32"/>
    </row>
    <row r="18">
      <c r="A18" s="3" t="s">
        <v>29</v>
      </c>
      <c r="B18" s="4">
        <v>43999.0</v>
      </c>
      <c r="C18" s="31">
        <v>0.0</v>
      </c>
      <c r="D18" s="31">
        <v>1.0</v>
      </c>
      <c r="E18" s="31">
        <v>1.0</v>
      </c>
      <c r="F18" s="31">
        <v>1.0</v>
      </c>
      <c r="G18" s="31">
        <v>1.0</v>
      </c>
      <c r="H18" s="31">
        <v>1.0</v>
      </c>
      <c r="I18" s="32"/>
    </row>
    <row r="19">
      <c r="A19" s="3" t="s">
        <v>30</v>
      </c>
      <c r="B19" s="4">
        <v>44000.0</v>
      </c>
      <c r="C19" s="34">
        <v>0.0</v>
      </c>
      <c r="D19" s="34">
        <v>0.0</v>
      </c>
      <c r="E19" s="34">
        <v>1.0</v>
      </c>
      <c r="F19" s="34">
        <v>1.0</v>
      </c>
      <c r="G19" s="34">
        <v>1.0</v>
      </c>
      <c r="H19" s="34">
        <v>1.5</v>
      </c>
      <c r="I19" s="32"/>
    </row>
    <row r="20">
      <c r="A20" s="7" t="s">
        <v>31</v>
      </c>
      <c r="B20" s="8">
        <v>44001.0</v>
      </c>
      <c r="C20" s="35">
        <v>0.0</v>
      </c>
      <c r="D20" s="35">
        <v>0.0</v>
      </c>
      <c r="E20" s="35">
        <v>0.0</v>
      </c>
      <c r="F20" s="36">
        <v>0.0</v>
      </c>
      <c r="G20" s="35">
        <v>0.0</v>
      </c>
      <c r="H20" s="35">
        <v>0.0</v>
      </c>
      <c r="I20" s="32"/>
    </row>
    <row r="21">
      <c r="A21" s="3" t="s">
        <v>16</v>
      </c>
      <c r="B21" s="4">
        <v>44002.0</v>
      </c>
      <c r="C21" s="34">
        <v>0.0</v>
      </c>
      <c r="D21" s="34">
        <v>1.0</v>
      </c>
      <c r="E21" s="34">
        <v>1.0</v>
      </c>
      <c r="F21" s="34">
        <v>1.0</v>
      </c>
      <c r="G21" s="34">
        <v>1.0</v>
      </c>
      <c r="H21" s="34">
        <v>1.0</v>
      </c>
      <c r="I21" s="32"/>
    </row>
    <row r="22">
      <c r="A22" s="3" t="s">
        <v>32</v>
      </c>
      <c r="B22" s="4">
        <v>44003.0</v>
      </c>
      <c r="C22" s="34">
        <v>0.0</v>
      </c>
      <c r="D22" s="37">
        <v>1.0</v>
      </c>
      <c r="E22" s="34">
        <v>1.0</v>
      </c>
      <c r="F22" s="34">
        <v>1.0</v>
      </c>
      <c r="G22" s="34">
        <v>1.0</v>
      </c>
      <c r="H22" s="34">
        <v>1.0</v>
      </c>
      <c r="I22" s="32"/>
    </row>
    <row r="23">
      <c r="A23" s="3" t="s">
        <v>18</v>
      </c>
      <c r="B23" s="4">
        <v>44004.0</v>
      </c>
      <c r="C23" s="34">
        <v>0.0</v>
      </c>
      <c r="D23" s="34">
        <v>1.0</v>
      </c>
      <c r="E23" s="34">
        <v>1.0</v>
      </c>
      <c r="F23" s="34">
        <v>1.0</v>
      </c>
      <c r="G23" s="34">
        <v>1.0</v>
      </c>
      <c r="H23" s="34">
        <v>1.0</v>
      </c>
      <c r="I23" s="32"/>
    </row>
    <row r="24">
      <c r="A24" s="38" t="s">
        <v>19</v>
      </c>
      <c r="B24" s="4">
        <v>44005.0</v>
      </c>
      <c r="C24" s="34">
        <v>1.0</v>
      </c>
      <c r="D24" s="34">
        <v>1.0</v>
      </c>
      <c r="E24" s="34">
        <v>1.0</v>
      </c>
      <c r="F24" s="34">
        <v>1.0</v>
      </c>
      <c r="G24" s="34">
        <v>1.0</v>
      </c>
      <c r="H24" s="34">
        <v>1.0</v>
      </c>
      <c r="I24" s="32"/>
    </row>
    <row r="25">
      <c r="A25" s="3" t="s">
        <v>29</v>
      </c>
      <c r="B25" s="4">
        <v>44006.0</v>
      </c>
      <c r="C25" s="34">
        <v>1.0</v>
      </c>
      <c r="D25" s="34">
        <v>1.0</v>
      </c>
      <c r="E25" s="34">
        <v>1.0</v>
      </c>
      <c r="F25" s="34">
        <v>1.0</v>
      </c>
      <c r="G25" s="34">
        <v>1.0</v>
      </c>
      <c r="H25" s="34">
        <v>1.0</v>
      </c>
      <c r="I25" s="32"/>
    </row>
    <row r="26">
      <c r="A26" s="3" t="s">
        <v>30</v>
      </c>
      <c r="B26" s="4">
        <v>44007.0</v>
      </c>
      <c r="C26" s="34">
        <v>1.0</v>
      </c>
      <c r="D26" s="34">
        <v>1.0</v>
      </c>
      <c r="E26" s="34">
        <v>1.0</v>
      </c>
      <c r="F26" s="34">
        <v>1.0</v>
      </c>
      <c r="G26" s="34">
        <v>1.0</v>
      </c>
      <c r="H26" s="34">
        <v>1.0</v>
      </c>
      <c r="I26" s="32"/>
    </row>
    <row r="27">
      <c r="A27" s="7" t="s">
        <v>31</v>
      </c>
      <c r="B27" s="8">
        <v>44008.0</v>
      </c>
      <c r="C27" s="39">
        <v>0.0</v>
      </c>
      <c r="D27" s="40">
        <v>0.0</v>
      </c>
      <c r="E27" s="39">
        <v>0.0</v>
      </c>
      <c r="F27" s="41">
        <v>0.0</v>
      </c>
      <c r="G27" s="39">
        <v>0.0</v>
      </c>
      <c r="H27" s="39">
        <v>0.0</v>
      </c>
      <c r="I27" s="32"/>
    </row>
    <row r="28">
      <c r="A28" s="3" t="s">
        <v>16</v>
      </c>
      <c r="B28" s="4">
        <v>44009.0</v>
      </c>
      <c r="C28" s="34">
        <v>1.0</v>
      </c>
      <c r="D28" s="34">
        <v>1.0</v>
      </c>
      <c r="E28" s="34">
        <v>1.0</v>
      </c>
      <c r="F28" s="34">
        <v>1.0</v>
      </c>
      <c r="G28" s="34">
        <v>1.0</v>
      </c>
      <c r="H28" s="34">
        <v>1.0</v>
      </c>
      <c r="I28" s="32"/>
    </row>
    <row r="29">
      <c r="A29" s="3" t="s">
        <v>17</v>
      </c>
      <c r="B29" s="4">
        <v>44010.0</v>
      </c>
      <c r="C29" s="34">
        <v>1.0</v>
      </c>
      <c r="D29" s="34">
        <v>1.0</v>
      </c>
      <c r="E29" s="34">
        <v>1.0</v>
      </c>
      <c r="F29" s="34">
        <v>1.0</v>
      </c>
      <c r="G29" s="34">
        <v>1.0</v>
      </c>
      <c r="H29" s="34">
        <v>1.0</v>
      </c>
      <c r="I29" s="32"/>
    </row>
    <row r="30">
      <c r="A30" s="3" t="s">
        <v>18</v>
      </c>
      <c r="B30" s="4">
        <v>44011.0</v>
      </c>
      <c r="C30" s="34">
        <v>1.0</v>
      </c>
      <c r="D30" s="34">
        <v>1.0</v>
      </c>
      <c r="E30" s="34">
        <v>1.0</v>
      </c>
      <c r="F30" s="34">
        <v>1.0</v>
      </c>
      <c r="G30" s="34">
        <v>1.0</v>
      </c>
      <c r="H30" s="34">
        <v>1.0</v>
      </c>
      <c r="I30" s="32"/>
    </row>
    <row r="31">
      <c r="A31" s="3" t="s">
        <v>19</v>
      </c>
      <c r="B31" s="4">
        <v>44012.0</v>
      </c>
      <c r="C31" s="34">
        <v>1.0</v>
      </c>
      <c r="D31" s="34">
        <v>1.0</v>
      </c>
      <c r="E31" s="34">
        <v>1.0</v>
      </c>
      <c r="F31" s="34">
        <v>1.0</v>
      </c>
      <c r="G31" s="34">
        <v>1.0</v>
      </c>
      <c r="H31" s="34">
        <v>1.0</v>
      </c>
      <c r="I31" s="32"/>
    </row>
    <row r="32">
      <c r="A32" s="27"/>
      <c r="B32" s="42" t="s">
        <v>20</v>
      </c>
      <c r="C32" s="43">
        <f t="shared" ref="C32:H32" si="1">SUM(C2:C31)</f>
        <v>7</v>
      </c>
      <c r="D32" s="43">
        <f t="shared" si="1"/>
        <v>25</v>
      </c>
      <c r="E32" s="43">
        <f t="shared" si="1"/>
        <v>26</v>
      </c>
      <c r="F32" s="43">
        <f t="shared" si="1"/>
        <v>26</v>
      </c>
      <c r="G32" s="43">
        <f t="shared" si="1"/>
        <v>26</v>
      </c>
      <c r="H32" s="43">
        <f t="shared" si="1"/>
        <v>29.5</v>
      </c>
      <c r="I32" s="44"/>
    </row>
    <row r="33">
      <c r="A33" s="27"/>
      <c r="B33" s="45" t="s">
        <v>33</v>
      </c>
      <c r="C33" s="46">
        <v>2000.0</v>
      </c>
      <c r="D33" s="47">
        <v>1160.0</v>
      </c>
      <c r="E33" s="47">
        <v>962.0</v>
      </c>
      <c r="F33" s="46">
        <v>600.0</v>
      </c>
      <c r="G33" s="47">
        <v>962.0</v>
      </c>
      <c r="H33" s="47">
        <v>1160.0</v>
      </c>
      <c r="I33" s="48">
        <f t="shared" ref="I33:I34" si="3">SUM(C33:H33)</f>
        <v>6844</v>
      </c>
    </row>
    <row r="34">
      <c r="A34" s="27"/>
      <c r="B34" s="49" t="s">
        <v>34</v>
      </c>
      <c r="C34" s="50">
        <f t="shared" ref="C34:G34" si="2">C33*C32</f>
        <v>14000</v>
      </c>
      <c r="D34" s="50">
        <f t="shared" si="2"/>
        <v>29000</v>
      </c>
      <c r="E34" s="50">
        <f t="shared" si="2"/>
        <v>25012</v>
      </c>
      <c r="F34" s="50">
        <f t="shared" si="2"/>
        <v>15600</v>
      </c>
      <c r="G34" s="50">
        <f t="shared" si="2"/>
        <v>25012</v>
      </c>
      <c r="H34" s="50">
        <f>H32*H33</f>
        <v>34220</v>
      </c>
      <c r="I34" s="51">
        <f t="shared" si="3"/>
        <v>142844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1.13"/>
    <col customWidth="1" min="6" max="6" width="27.75"/>
    <col customWidth="1" min="7" max="7" width="18.75"/>
    <col customWidth="1" min="8" max="8" width="26.0"/>
  </cols>
  <sheetData>
    <row r="2">
      <c r="E2" s="52" t="s">
        <v>35</v>
      </c>
      <c r="F2" s="53" t="s">
        <v>36</v>
      </c>
      <c r="G2" s="53" t="s">
        <v>37</v>
      </c>
      <c r="H2" s="53" t="s">
        <v>38</v>
      </c>
    </row>
    <row r="3">
      <c r="E3" s="54" t="s">
        <v>39</v>
      </c>
      <c r="F3" s="54" t="s">
        <v>40</v>
      </c>
      <c r="G3" s="55">
        <v>7200.0</v>
      </c>
      <c r="H3" s="56">
        <v>43983.0</v>
      </c>
    </row>
    <row r="4">
      <c r="E4" s="54" t="s">
        <v>41</v>
      </c>
      <c r="F4" s="54" t="s">
        <v>42</v>
      </c>
      <c r="G4" s="55">
        <v>4050.0</v>
      </c>
      <c r="H4" s="56">
        <v>43983.0</v>
      </c>
    </row>
    <row r="5">
      <c r="E5" s="54" t="s">
        <v>43</v>
      </c>
      <c r="F5" s="54" t="s">
        <v>44</v>
      </c>
      <c r="G5" s="55">
        <v>600.0</v>
      </c>
      <c r="H5" s="56">
        <v>43983.0</v>
      </c>
    </row>
    <row r="6">
      <c r="E6" s="54" t="s">
        <v>45</v>
      </c>
      <c r="F6" s="54">
        <v>2.0</v>
      </c>
      <c r="G6" s="55">
        <v>2400.0</v>
      </c>
      <c r="H6" s="56">
        <v>43983.0</v>
      </c>
    </row>
    <row r="7">
      <c r="E7" s="54" t="s">
        <v>46</v>
      </c>
      <c r="F7" s="54" t="s">
        <v>47</v>
      </c>
      <c r="G7" s="55">
        <v>2200.0</v>
      </c>
      <c r="H7" s="56">
        <v>43983.0</v>
      </c>
    </row>
    <row r="8">
      <c r="E8" s="54" t="s">
        <v>48</v>
      </c>
      <c r="F8" s="54" t="s">
        <v>49</v>
      </c>
      <c r="G8" s="55">
        <v>2900.0</v>
      </c>
      <c r="H8" s="56">
        <v>43983.0</v>
      </c>
    </row>
    <row r="9">
      <c r="E9" s="54" t="s">
        <v>50</v>
      </c>
      <c r="F9" s="54">
        <v>8.0</v>
      </c>
      <c r="G9" s="55">
        <v>8480.0</v>
      </c>
      <c r="H9" s="56">
        <v>43983.0</v>
      </c>
    </row>
    <row r="10">
      <c r="E10" s="54" t="s">
        <v>51</v>
      </c>
      <c r="F10" s="54">
        <v>22.0</v>
      </c>
      <c r="G10" s="55">
        <v>5500.0</v>
      </c>
      <c r="H10" s="56">
        <v>43983.0</v>
      </c>
    </row>
    <row r="11">
      <c r="E11" s="54" t="s">
        <v>52</v>
      </c>
      <c r="F11" s="54" t="s">
        <v>53</v>
      </c>
      <c r="G11" s="55">
        <v>880.0</v>
      </c>
      <c r="H11" s="56">
        <v>43983.0</v>
      </c>
    </row>
    <row r="12">
      <c r="E12" s="54" t="s">
        <v>54</v>
      </c>
      <c r="F12" s="54" t="s">
        <v>55</v>
      </c>
      <c r="G12" s="55">
        <v>640.0</v>
      </c>
      <c r="H12" s="56">
        <v>43983.0</v>
      </c>
    </row>
    <row r="13">
      <c r="E13" s="54" t="s">
        <v>56</v>
      </c>
      <c r="F13" s="54" t="s">
        <v>57</v>
      </c>
      <c r="G13" s="55">
        <v>1200.0</v>
      </c>
      <c r="H13" s="56">
        <v>43983.0</v>
      </c>
    </row>
    <row r="14">
      <c r="E14" s="54" t="s">
        <v>58</v>
      </c>
      <c r="F14" s="54" t="s">
        <v>59</v>
      </c>
      <c r="G14" s="55">
        <v>800.0</v>
      </c>
      <c r="H14" s="56">
        <v>43983.0</v>
      </c>
    </row>
    <row r="15">
      <c r="E15" s="54" t="s">
        <v>60</v>
      </c>
      <c r="F15" s="54" t="s">
        <v>61</v>
      </c>
      <c r="G15" s="55">
        <v>550.0</v>
      </c>
      <c r="H15" s="56">
        <v>43983.0</v>
      </c>
    </row>
    <row r="16">
      <c r="E16" s="54" t="s">
        <v>62</v>
      </c>
      <c r="F16" s="54" t="s">
        <v>61</v>
      </c>
      <c r="G16" s="55">
        <v>600.0</v>
      </c>
      <c r="H16" s="56">
        <v>43983.0</v>
      </c>
    </row>
    <row r="17">
      <c r="E17" s="54" t="s">
        <v>63</v>
      </c>
      <c r="F17" s="54" t="s">
        <v>64</v>
      </c>
      <c r="G17" s="55">
        <v>1870.0</v>
      </c>
      <c r="H17" s="56">
        <v>43983.0</v>
      </c>
    </row>
    <row r="18">
      <c r="E18" s="54" t="s">
        <v>65</v>
      </c>
      <c r="F18" s="54" t="s">
        <v>66</v>
      </c>
      <c r="G18" s="55">
        <v>700.0</v>
      </c>
      <c r="H18" s="56">
        <v>43983.0</v>
      </c>
    </row>
    <row r="19">
      <c r="E19" s="54" t="s">
        <v>67</v>
      </c>
      <c r="F19" s="54" t="s">
        <v>68</v>
      </c>
      <c r="G19" s="55">
        <v>1600.0</v>
      </c>
      <c r="H19" s="56">
        <v>43983.0</v>
      </c>
    </row>
    <row r="20">
      <c r="E20" s="54" t="s">
        <v>69</v>
      </c>
      <c r="F20" s="54" t="s">
        <v>70</v>
      </c>
      <c r="G20" s="55">
        <v>750.0</v>
      </c>
      <c r="H20" s="56">
        <v>43983.0</v>
      </c>
    </row>
    <row r="21">
      <c r="E21" s="54" t="s">
        <v>71</v>
      </c>
      <c r="F21" s="54" t="s">
        <v>72</v>
      </c>
      <c r="G21" s="55">
        <v>350.0</v>
      </c>
      <c r="H21" s="56">
        <v>43983.0</v>
      </c>
    </row>
    <row r="22">
      <c r="E22" s="54" t="s">
        <v>73</v>
      </c>
      <c r="F22" s="54">
        <v>12.0</v>
      </c>
      <c r="G22" s="55">
        <v>900.0</v>
      </c>
      <c r="H22" s="56">
        <v>43983.0</v>
      </c>
    </row>
    <row r="23">
      <c r="E23" s="54" t="s">
        <v>74</v>
      </c>
      <c r="F23" s="54" t="s">
        <v>75</v>
      </c>
      <c r="G23" s="55">
        <v>1290.0</v>
      </c>
      <c r="H23" s="56">
        <v>43983.0</v>
      </c>
    </row>
    <row r="24">
      <c r="E24" s="54" t="s">
        <v>76</v>
      </c>
      <c r="F24" s="54" t="s">
        <v>77</v>
      </c>
      <c r="G24" s="55">
        <v>1700.0</v>
      </c>
      <c r="H24" s="56">
        <v>43983.0</v>
      </c>
    </row>
    <row r="25">
      <c r="E25" s="54" t="s">
        <v>78</v>
      </c>
      <c r="F25" s="54" t="s">
        <v>79</v>
      </c>
      <c r="G25" s="55">
        <v>300.0</v>
      </c>
      <c r="H25" s="56">
        <v>43983.0</v>
      </c>
    </row>
    <row r="26">
      <c r="E26" s="54" t="s">
        <v>80</v>
      </c>
      <c r="F26" s="54" t="s">
        <v>79</v>
      </c>
      <c r="G26" s="55">
        <v>200.0</v>
      </c>
      <c r="H26" s="56">
        <v>43983.0</v>
      </c>
    </row>
    <row r="27">
      <c r="E27" s="54" t="s">
        <v>78</v>
      </c>
      <c r="F27" s="54" t="s">
        <v>77</v>
      </c>
      <c r="G27" s="55">
        <v>390.0</v>
      </c>
      <c r="H27" s="56">
        <v>43983.0</v>
      </c>
    </row>
    <row r="28">
      <c r="E28" s="54" t="s">
        <v>81</v>
      </c>
      <c r="F28" s="54" t="s">
        <v>82</v>
      </c>
      <c r="G28" s="55">
        <v>300.0</v>
      </c>
      <c r="H28" s="56">
        <v>43983.0</v>
      </c>
    </row>
    <row r="29">
      <c r="E29" s="54" t="s">
        <v>83</v>
      </c>
      <c r="F29" s="54" t="s">
        <v>82</v>
      </c>
      <c r="G29" s="55">
        <v>200.0</v>
      </c>
      <c r="H29" s="56">
        <v>43983.0</v>
      </c>
    </row>
    <row r="30">
      <c r="E30" s="54" t="s">
        <v>84</v>
      </c>
      <c r="F30" s="54" t="s">
        <v>85</v>
      </c>
      <c r="G30" s="55">
        <v>500.0</v>
      </c>
      <c r="H30" s="56">
        <v>43983.0</v>
      </c>
    </row>
    <row r="31">
      <c r="E31" s="54" t="s">
        <v>86</v>
      </c>
      <c r="F31" s="54" t="s">
        <v>87</v>
      </c>
      <c r="G31" s="55">
        <v>1300.0</v>
      </c>
      <c r="H31" s="56">
        <v>43983.0</v>
      </c>
    </row>
    <row r="32">
      <c r="E32" s="54" t="s">
        <v>88</v>
      </c>
      <c r="F32" s="54" t="s">
        <v>70</v>
      </c>
      <c r="G32" s="55">
        <v>1200.0</v>
      </c>
      <c r="H32" s="56">
        <v>43983.0</v>
      </c>
    </row>
    <row r="33">
      <c r="E33" s="54" t="s">
        <v>89</v>
      </c>
      <c r="F33" s="54">
        <v>3.0</v>
      </c>
      <c r="G33" s="55">
        <v>300.0</v>
      </c>
      <c r="H33" s="56">
        <v>43983.0</v>
      </c>
    </row>
    <row r="34">
      <c r="E34" s="54" t="s">
        <v>90</v>
      </c>
      <c r="F34" s="54">
        <v>5.0</v>
      </c>
      <c r="G34" s="55">
        <v>350.0</v>
      </c>
      <c r="H34" s="56">
        <v>43983.0</v>
      </c>
    </row>
    <row r="35">
      <c r="E35" s="54" t="s">
        <v>91</v>
      </c>
      <c r="F35" s="54">
        <v>2.0</v>
      </c>
      <c r="G35" s="55">
        <v>400.0</v>
      </c>
      <c r="H35" s="56">
        <v>43983.0</v>
      </c>
    </row>
    <row r="36">
      <c r="E36" s="54" t="s">
        <v>92</v>
      </c>
      <c r="F36" s="54">
        <v>1.0</v>
      </c>
      <c r="G36" s="55">
        <v>100.0</v>
      </c>
      <c r="H36" s="56">
        <v>43983.0</v>
      </c>
    </row>
    <row r="37">
      <c r="E37" s="54" t="s">
        <v>93</v>
      </c>
      <c r="F37" s="54" t="s">
        <v>94</v>
      </c>
      <c r="G37" s="55">
        <v>850.0</v>
      </c>
      <c r="H37" s="56">
        <v>43983.0</v>
      </c>
    </row>
    <row r="38">
      <c r="E38" s="54" t="s">
        <v>95</v>
      </c>
      <c r="F38" s="54">
        <v>400.0</v>
      </c>
      <c r="G38" s="55">
        <v>5200.0</v>
      </c>
      <c r="H38" s="56">
        <v>43983.0</v>
      </c>
    </row>
    <row r="39">
      <c r="E39" s="54" t="s">
        <v>96</v>
      </c>
      <c r="F39" s="54">
        <v>5.0</v>
      </c>
      <c r="G39" s="55">
        <v>600.0</v>
      </c>
      <c r="H39" s="56">
        <v>43983.0</v>
      </c>
    </row>
    <row r="40">
      <c r="E40" s="54" t="s">
        <v>97</v>
      </c>
      <c r="F40" s="54">
        <v>7.0</v>
      </c>
      <c r="G40" s="55">
        <v>150.0</v>
      </c>
      <c r="H40" s="56">
        <v>43983.0</v>
      </c>
    </row>
    <row r="41">
      <c r="E41" s="54" t="s">
        <v>98</v>
      </c>
      <c r="F41" s="54" t="s">
        <v>99</v>
      </c>
      <c r="G41" s="55">
        <v>1500.0</v>
      </c>
      <c r="H41" s="56">
        <v>43983.0</v>
      </c>
    </row>
    <row r="42">
      <c r="E42" s="54" t="s">
        <v>100</v>
      </c>
      <c r="F42" s="54" t="s">
        <v>101</v>
      </c>
      <c r="G42" s="55">
        <v>1000.0</v>
      </c>
      <c r="H42" s="56">
        <v>43983.0</v>
      </c>
    </row>
    <row r="43">
      <c r="E43" s="54" t="s">
        <v>102</v>
      </c>
      <c r="F43" s="54" t="s">
        <v>49</v>
      </c>
      <c r="G43" s="55">
        <v>850.0</v>
      </c>
      <c r="H43" s="56">
        <v>43983.0</v>
      </c>
    </row>
    <row r="44">
      <c r="E44" s="54" t="s">
        <v>103</v>
      </c>
      <c r="F44" s="54" t="s">
        <v>104</v>
      </c>
      <c r="G44" s="55">
        <v>1720.0</v>
      </c>
      <c r="H44" s="56">
        <v>43983.0</v>
      </c>
    </row>
    <row r="45">
      <c r="E45" s="54" t="s">
        <v>105</v>
      </c>
      <c r="F45" s="54" t="s">
        <v>106</v>
      </c>
      <c r="G45" s="55">
        <v>1540.0</v>
      </c>
      <c r="H45" s="56">
        <v>43983.0</v>
      </c>
    </row>
    <row r="46">
      <c r="E46" s="54" t="s">
        <v>76</v>
      </c>
      <c r="F46" s="54" t="s">
        <v>77</v>
      </c>
      <c r="G46" s="55">
        <v>1700.0</v>
      </c>
      <c r="H46" s="56">
        <v>43983.0</v>
      </c>
    </row>
    <row r="47">
      <c r="E47" s="54" t="s">
        <v>107</v>
      </c>
      <c r="F47" s="54" t="s">
        <v>108</v>
      </c>
      <c r="G47" s="55">
        <v>700.0</v>
      </c>
      <c r="H47" s="56">
        <v>43983.0</v>
      </c>
    </row>
    <row r="48">
      <c r="E48" s="54" t="s">
        <v>109</v>
      </c>
      <c r="F48" s="54" t="s">
        <v>77</v>
      </c>
      <c r="G48" s="55">
        <v>850.0</v>
      </c>
      <c r="H48" s="56">
        <v>43983.0</v>
      </c>
    </row>
    <row r="49">
      <c r="E49" s="54" t="s">
        <v>110</v>
      </c>
      <c r="F49" s="54" t="s">
        <v>77</v>
      </c>
      <c r="G49" s="55">
        <v>800.0</v>
      </c>
      <c r="H49" s="56">
        <v>43983.0</v>
      </c>
    </row>
    <row r="50">
      <c r="E50" s="54" t="s">
        <v>111</v>
      </c>
      <c r="F50" s="54" t="s">
        <v>112</v>
      </c>
      <c r="G50" s="55">
        <v>750.0</v>
      </c>
      <c r="H50" s="56">
        <v>43983.0</v>
      </c>
    </row>
    <row r="51">
      <c r="E51" s="54" t="s">
        <v>113</v>
      </c>
      <c r="F51" s="54">
        <v>2.0</v>
      </c>
      <c r="G51" s="55">
        <v>550.0</v>
      </c>
      <c r="H51" s="56">
        <v>43983.0</v>
      </c>
    </row>
    <row r="52">
      <c r="E52" s="54" t="s">
        <v>114</v>
      </c>
      <c r="F52" s="54" t="s">
        <v>115</v>
      </c>
      <c r="G52" s="55">
        <v>400.0</v>
      </c>
      <c r="H52" s="56">
        <v>43983.0</v>
      </c>
    </row>
    <row r="53">
      <c r="E53" s="54" t="s">
        <v>116</v>
      </c>
      <c r="F53" s="54" t="s">
        <v>117</v>
      </c>
      <c r="G53" s="55">
        <v>2100.0</v>
      </c>
      <c r="H53" s="56">
        <v>43984.0</v>
      </c>
    </row>
    <row r="54">
      <c r="E54" s="54" t="s">
        <v>114</v>
      </c>
      <c r="F54" s="54" t="s">
        <v>118</v>
      </c>
      <c r="G54" s="55">
        <v>6600.0</v>
      </c>
      <c r="H54" s="56">
        <v>43984.0</v>
      </c>
    </row>
    <row r="55">
      <c r="E55" s="54" t="s">
        <v>119</v>
      </c>
      <c r="F55" s="54">
        <v>10.0</v>
      </c>
      <c r="G55" s="55">
        <v>5350.0</v>
      </c>
      <c r="H55" s="56">
        <v>43985.0</v>
      </c>
    </row>
    <row r="56">
      <c r="E56" s="54" t="s">
        <v>116</v>
      </c>
      <c r="F56" s="54" t="s">
        <v>117</v>
      </c>
      <c r="G56" s="55">
        <v>2100.0</v>
      </c>
      <c r="H56" s="56">
        <v>43985.0</v>
      </c>
    </row>
    <row r="57">
      <c r="E57" s="54" t="s">
        <v>120</v>
      </c>
      <c r="F57" s="54" t="s">
        <v>77</v>
      </c>
      <c r="G57" s="55">
        <v>950.0</v>
      </c>
      <c r="H57" s="56">
        <v>43986.0</v>
      </c>
    </row>
    <row r="58">
      <c r="E58" s="54" t="s">
        <v>121</v>
      </c>
      <c r="F58" s="54">
        <v>4.0</v>
      </c>
      <c r="G58" s="55">
        <v>120.0</v>
      </c>
      <c r="H58" s="56">
        <v>43986.0</v>
      </c>
    </row>
    <row r="59">
      <c r="E59" s="54" t="s">
        <v>122</v>
      </c>
      <c r="F59" s="54">
        <v>4.0</v>
      </c>
      <c r="G59" s="55">
        <v>2000.0</v>
      </c>
      <c r="H59" s="56">
        <v>43986.0</v>
      </c>
    </row>
    <row r="60">
      <c r="E60" s="54" t="s">
        <v>123</v>
      </c>
      <c r="F60" s="54" t="s">
        <v>115</v>
      </c>
      <c r="G60" s="55">
        <v>120.0</v>
      </c>
      <c r="H60" s="56">
        <v>43986.0</v>
      </c>
    </row>
    <row r="61">
      <c r="E61" s="54" t="s">
        <v>124</v>
      </c>
      <c r="F61" s="54" t="s">
        <v>125</v>
      </c>
      <c r="G61" s="55">
        <v>500.0</v>
      </c>
      <c r="H61" s="56">
        <v>43988.0</v>
      </c>
    </row>
    <row r="62">
      <c r="E62" s="54" t="s">
        <v>126</v>
      </c>
      <c r="F62" s="54" t="s">
        <v>127</v>
      </c>
      <c r="G62" s="55">
        <v>2290.0</v>
      </c>
      <c r="H62" s="56">
        <v>43988.0</v>
      </c>
    </row>
    <row r="63">
      <c r="E63" s="54" t="s">
        <v>128</v>
      </c>
      <c r="F63" s="54" t="s">
        <v>79</v>
      </c>
      <c r="G63" s="55">
        <v>300.0</v>
      </c>
      <c r="H63" s="56">
        <v>43988.0</v>
      </c>
    </row>
    <row r="64">
      <c r="E64" s="54" t="s">
        <v>129</v>
      </c>
      <c r="F64" s="54" t="s">
        <v>130</v>
      </c>
      <c r="G64" s="55">
        <v>600.0</v>
      </c>
      <c r="H64" s="56">
        <v>43988.0</v>
      </c>
    </row>
    <row r="65">
      <c r="E65" s="54" t="s">
        <v>131</v>
      </c>
      <c r="F65" s="54" t="s">
        <v>115</v>
      </c>
      <c r="G65" s="55">
        <v>700.0</v>
      </c>
      <c r="H65" s="56">
        <v>43988.0</v>
      </c>
    </row>
    <row r="66">
      <c r="E66" s="54" t="s">
        <v>124</v>
      </c>
      <c r="F66" s="54" t="s">
        <v>132</v>
      </c>
      <c r="G66" s="55">
        <v>2500.0</v>
      </c>
      <c r="H66" s="56">
        <v>43988.0</v>
      </c>
    </row>
    <row r="67">
      <c r="E67" s="54" t="s">
        <v>133</v>
      </c>
      <c r="F67" s="54" t="s">
        <v>77</v>
      </c>
      <c r="G67" s="55">
        <v>800.0</v>
      </c>
      <c r="H67" s="56">
        <v>43988.0</v>
      </c>
    </row>
    <row r="68">
      <c r="E68" s="54" t="s">
        <v>116</v>
      </c>
      <c r="F68" s="54" t="s">
        <v>134</v>
      </c>
      <c r="G68" s="55">
        <v>3500.0</v>
      </c>
      <c r="H68" s="56">
        <v>43989.0</v>
      </c>
    </row>
    <row r="69">
      <c r="E69" s="54" t="s">
        <v>135</v>
      </c>
      <c r="F69" s="54" t="s">
        <v>136</v>
      </c>
      <c r="G69" s="55">
        <v>4000.0</v>
      </c>
      <c r="H69" s="56">
        <v>43989.0</v>
      </c>
    </row>
    <row r="70">
      <c r="E70" s="54" t="s">
        <v>129</v>
      </c>
      <c r="F70" s="54" t="s">
        <v>77</v>
      </c>
      <c r="G70" s="55">
        <v>1400.0</v>
      </c>
      <c r="H70" s="56">
        <v>43989.0</v>
      </c>
    </row>
    <row r="71">
      <c r="E71" s="54" t="s">
        <v>137</v>
      </c>
      <c r="F71" s="54" t="s">
        <v>77</v>
      </c>
      <c r="G71" s="55">
        <v>600.0</v>
      </c>
      <c r="H71" s="56">
        <v>43989.0</v>
      </c>
    </row>
    <row r="72">
      <c r="E72" s="54" t="s">
        <v>138</v>
      </c>
      <c r="F72" s="54" t="s">
        <v>139</v>
      </c>
      <c r="G72" s="55">
        <v>1500.0</v>
      </c>
      <c r="H72" s="56">
        <v>43989.0</v>
      </c>
    </row>
    <row r="73">
      <c r="E73" s="54" t="s">
        <v>140</v>
      </c>
      <c r="F73" s="54" t="s">
        <v>141</v>
      </c>
      <c r="G73" s="55">
        <v>3300.0</v>
      </c>
      <c r="H73" s="56">
        <v>43990.0</v>
      </c>
    </row>
    <row r="74">
      <c r="E74" s="54" t="s">
        <v>142</v>
      </c>
      <c r="F74" s="54" t="s">
        <v>143</v>
      </c>
      <c r="G74" s="55">
        <v>1400.0</v>
      </c>
      <c r="H74" s="56">
        <v>43990.0</v>
      </c>
    </row>
    <row r="75">
      <c r="E75" s="54" t="s">
        <v>144</v>
      </c>
      <c r="F75" s="54" t="s">
        <v>145</v>
      </c>
      <c r="G75" s="55">
        <v>11000.0</v>
      </c>
      <c r="H75" s="56">
        <v>43990.0</v>
      </c>
    </row>
    <row r="76">
      <c r="E76" s="54" t="s">
        <v>122</v>
      </c>
      <c r="F76" s="54" t="s">
        <v>146</v>
      </c>
      <c r="G76" s="55">
        <v>2000.0</v>
      </c>
      <c r="H76" s="56">
        <v>43990.0</v>
      </c>
    </row>
    <row r="77">
      <c r="E77" s="54" t="s">
        <v>147</v>
      </c>
      <c r="F77" s="54" t="s">
        <v>143</v>
      </c>
      <c r="G77" s="55">
        <v>3000.0</v>
      </c>
      <c r="H77" s="56">
        <v>43991.0</v>
      </c>
    </row>
    <row r="78">
      <c r="E78" s="54" t="s">
        <v>129</v>
      </c>
      <c r="F78" s="54" t="s">
        <v>68</v>
      </c>
      <c r="G78" s="55">
        <v>1200.0</v>
      </c>
      <c r="H78" s="56">
        <v>43991.0</v>
      </c>
    </row>
    <row r="79">
      <c r="E79" s="54" t="s">
        <v>137</v>
      </c>
      <c r="F79" s="54" t="s">
        <v>125</v>
      </c>
      <c r="G79" s="55">
        <v>600.0</v>
      </c>
      <c r="H79" s="56">
        <v>43991.0</v>
      </c>
    </row>
    <row r="80">
      <c r="E80" s="54" t="s">
        <v>131</v>
      </c>
      <c r="F80" s="54" t="s">
        <v>148</v>
      </c>
      <c r="G80" s="55">
        <v>800.0</v>
      </c>
      <c r="H80" s="56">
        <v>43991.0</v>
      </c>
    </row>
    <row r="81">
      <c r="E81" s="54" t="s">
        <v>97</v>
      </c>
      <c r="F81" s="54">
        <v>6.0</v>
      </c>
      <c r="G81" s="55">
        <v>120.0</v>
      </c>
      <c r="H81" s="56">
        <v>43991.0</v>
      </c>
    </row>
    <row r="82">
      <c r="E82" s="54" t="s">
        <v>123</v>
      </c>
      <c r="F82" s="54" t="s">
        <v>149</v>
      </c>
      <c r="G82" s="55">
        <v>3000.0</v>
      </c>
      <c r="H82" s="56">
        <v>43992.0</v>
      </c>
    </row>
    <row r="83">
      <c r="E83" s="54" t="s">
        <v>150</v>
      </c>
      <c r="F83" s="54" t="s">
        <v>151</v>
      </c>
      <c r="G83" s="55">
        <v>900.0</v>
      </c>
      <c r="H83" s="56">
        <v>43992.0</v>
      </c>
    </row>
    <row r="84">
      <c r="E84" s="54" t="s">
        <v>152</v>
      </c>
      <c r="F84" s="54">
        <v>2.0</v>
      </c>
      <c r="G84" s="55">
        <v>1000.0</v>
      </c>
      <c r="H84" s="56">
        <v>43992.0</v>
      </c>
    </row>
    <row r="85">
      <c r="E85" s="54" t="s">
        <v>153</v>
      </c>
      <c r="F85" s="54">
        <v>2.0</v>
      </c>
      <c r="G85" s="55">
        <v>300.0</v>
      </c>
      <c r="H85" s="56">
        <v>43992.0</v>
      </c>
    </row>
    <row r="86">
      <c r="E86" s="54" t="s">
        <v>154</v>
      </c>
      <c r="F86" s="54" t="s">
        <v>155</v>
      </c>
      <c r="G86" s="55">
        <v>3000.0</v>
      </c>
      <c r="H86" s="56">
        <v>43993.0</v>
      </c>
    </row>
    <row r="87">
      <c r="E87" s="54" t="s">
        <v>156</v>
      </c>
      <c r="F87" s="54" t="s">
        <v>157</v>
      </c>
      <c r="G87" s="55">
        <v>500.0</v>
      </c>
      <c r="H87" s="56">
        <v>43993.0</v>
      </c>
    </row>
    <row r="88">
      <c r="E88" s="54" t="s">
        <v>97</v>
      </c>
      <c r="F88" s="54">
        <v>5.0</v>
      </c>
      <c r="G88" s="55">
        <v>100.0</v>
      </c>
      <c r="H88" s="56">
        <v>43993.0</v>
      </c>
    </row>
    <row r="89">
      <c r="E89" s="54" t="s">
        <v>158</v>
      </c>
      <c r="F89" s="54" t="s">
        <v>159</v>
      </c>
      <c r="G89" s="55">
        <v>5250.0</v>
      </c>
      <c r="H89" s="56">
        <v>43995.0</v>
      </c>
    </row>
    <row r="90">
      <c r="E90" s="54" t="s">
        <v>97</v>
      </c>
      <c r="F90" s="54">
        <v>6.0</v>
      </c>
      <c r="G90" s="55">
        <v>140.0</v>
      </c>
      <c r="H90" s="56">
        <v>43995.0</v>
      </c>
    </row>
    <row r="91">
      <c r="E91" s="54" t="s">
        <v>152</v>
      </c>
      <c r="F91" s="54">
        <v>1.0</v>
      </c>
      <c r="G91" s="55">
        <v>600.0</v>
      </c>
      <c r="H91" s="56">
        <v>43995.0</v>
      </c>
    </row>
    <row r="92">
      <c r="E92" s="54" t="s">
        <v>48</v>
      </c>
      <c r="F92" s="54" t="s">
        <v>104</v>
      </c>
      <c r="G92" s="55">
        <v>5520.0</v>
      </c>
      <c r="H92" s="56">
        <v>43996.0</v>
      </c>
    </row>
    <row r="93">
      <c r="E93" s="54" t="s">
        <v>63</v>
      </c>
      <c r="F93" s="54" t="s">
        <v>49</v>
      </c>
      <c r="G93" s="55">
        <v>1860.0</v>
      </c>
      <c r="H93" s="56">
        <v>43996.0</v>
      </c>
    </row>
    <row r="94">
      <c r="E94" s="54" t="s">
        <v>160</v>
      </c>
      <c r="F94" s="54" t="s">
        <v>49</v>
      </c>
      <c r="G94" s="55">
        <v>2520.0</v>
      </c>
      <c r="H94" s="56">
        <v>43996.0</v>
      </c>
    </row>
    <row r="95">
      <c r="E95" s="54" t="s">
        <v>161</v>
      </c>
      <c r="F95" s="54">
        <v>2.0</v>
      </c>
      <c r="G95" s="55">
        <v>1650.0</v>
      </c>
      <c r="H95" s="56">
        <v>43996.0</v>
      </c>
    </row>
    <row r="96">
      <c r="E96" s="54" t="s">
        <v>54</v>
      </c>
      <c r="F96" s="54" t="s">
        <v>162</v>
      </c>
      <c r="G96" s="55">
        <v>540.0</v>
      </c>
      <c r="H96" s="56">
        <v>43996.0</v>
      </c>
    </row>
    <row r="97">
      <c r="E97" s="54" t="s">
        <v>56</v>
      </c>
      <c r="F97" s="54">
        <v>2.0</v>
      </c>
      <c r="G97" s="55">
        <v>2500.0</v>
      </c>
      <c r="H97" s="56">
        <v>43996.0</v>
      </c>
    </row>
    <row r="98">
      <c r="E98" s="54" t="s">
        <v>163</v>
      </c>
      <c r="F98" s="54" t="s">
        <v>61</v>
      </c>
      <c r="G98" s="55">
        <v>580.0</v>
      </c>
      <c r="H98" s="56">
        <v>43996.0</v>
      </c>
    </row>
    <row r="99">
      <c r="E99" s="54" t="s">
        <v>164</v>
      </c>
      <c r="F99" s="54" t="s">
        <v>61</v>
      </c>
      <c r="G99" s="55">
        <v>400.0</v>
      </c>
      <c r="H99" s="56">
        <v>43996.0</v>
      </c>
    </row>
    <row r="100">
      <c r="E100" s="54" t="s">
        <v>165</v>
      </c>
      <c r="F100" s="54" t="s">
        <v>53</v>
      </c>
      <c r="G100" s="55">
        <v>900.0</v>
      </c>
      <c r="H100" s="56">
        <v>43996.0</v>
      </c>
    </row>
    <row r="101">
      <c r="E101" s="54" t="s">
        <v>166</v>
      </c>
      <c r="F101" s="54" t="s">
        <v>167</v>
      </c>
      <c r="G101" s="55">
        <v>5350.0</v>
      </c>
      <c r="H101" s="56">
        <v>43997.0</v>
      </c>
    </row>
    <row r="102">
      <c r="E102" s="54" t="s">
        <v>168</v>
      </c>
      <c r="F102" s="54" t="s">
        <v>169</v>
      </c>
      <c r="G102" s="55">
        <v>13000.0</v>
      </c>
      <c r="H102" s="56">
        <v>43997.0</v>
      </c>
    </row>
    <row r="103">
      <c r="E103" s="54" t="s">
        <v>156</v>
      </c>
      <c r="F103" s="54" t="s">
        <v>170</v>
      </c>
      <c r="G103" s="55">
        <v>450.0</v>
      </c>
      <c r="H103" s="56">
        <v>43998.0</v>
      </c>
    </row>
    <row r="104">
      <c r="E104" s="54" t="s">
        <v>129</v>
      </c>
      <c r="F104" s="54" t="s">
        <v>82</v>
      </c>
      <c r="G104" s="55">
        <v>400.0</v>
      </c>
      <c r="H104" s="56">
        <v>43998.0</v>
      </c>
    </row>
    <row r="105">
      <c r="E105" s="54" t="s">
        <v>171</v>
      </c>
      <c r="F105" s="54" t="s">
        <v>172</v>
      </c>
      <c r="G105" s="55">
        <v>500.0</v>
      </c>
      <c r="H105" s="56">
        <v>43998.0</v>
      </c>
    </row>
    <row r="106">
      <c r="E106" s="54" t="s">
        <v>173</v>
      </c>
      <c r="F106" s="54" t="s">
        <v>82</v>
      </c>
      <c r="G106" s="55">
        <v>1600.0</v>
      </c>
      <c r="H106" s="56">
        <v>43999.0</v>
      </c>
    </row>
    <row r="107">
      <c r="E107" s="54" t="s">
        <v>174</v>
      </c>
      <c r="F107" s="54">
        <v>2.0</v>
      </c>
      <c r="G107" s="55">
        <v>400.0</v>
      </c>
      <c r="H107" s="56">
        <v>43999.0</v>
      </c>
      <c r="I107" s="13">
        <v>6.0</v>
      </c>
    </row>
    <row r="108">
      <c r="E108" s="54" t="s">
        <v>174</v>
      </c>
      <c r="F108" s="54" t="s">
        <v>175</v>
      </c>
      <c r="G108" s="55">
        <v>1900.0</v>
      </c>
      <c r="H108" s="56">
        <v>43999.0</v>
      </c>
    </row>
    <row r="109">
      <c r="E109" s="54" t="s">
        <v>176</v>
      </c>
      <c r="F109" s="54" t="s">
        <v>177</v>
      </c>
      <c r="G109" s="55">
        <v>780.0</v>
      </c>
      <c r="H109" s="56">
        <v>44000.0</v>
      </c>
    </row>
    <row r="110">
      <c r="E110" s="54" t="s">
        <v>178</v>
      </c>
      <c r="F110" s="54" t="s">
        <v>82</v>
      </c>
      <c r="G110" s="55">
        <v>500.0</v>
      </c>
      <c r="H110" s="56">
        <v>44000.0</v>
      </c>
    </row>
    <row r="111">
      <c r="E111" s="54" t="s">
        <v>152</v>
      </c>
      <c r="F111" s="54" t="s">
        <v>179</v>
      </c>
      <c r="G111" s="55">
        <v>3000.0</v>
      </c>
      <c r="H111" s="56">
        <v>44000.0</v>
      </c>
    </row>
    <row r="112">
      <c r="E112" s="54" t="s">
        <v>180</v>
      </c>
      <c r="F112" s="54" t="s">
        <v>82</v>
      </c>
      <c r="G112" s="55">
        <v>1500.0</v>
      </c>
      <c r="H112" s="56">
        <v>44002.0</v>
      </c>
    </row>
    <row r="113">
      <c r="E113" s="54" t="s">
        <v>181</v>
      </c>
      <c r="F113" s="54" t="s">
        <v>82</v>
      </c>
      <c r="G113" s="55">
        <v>10000.0</v>
      </c>
      <c r="H113" s="56">
        <v>44002.0</v>
      </c>
    </row>
    <row r="114">
      <c r="E114" s="54" t="s">
        <v>182</v>
      </c>
      <c r="F114" s="54" t="s">
        <v>70</v>
      </c>
      <c r="G114" s="55">
        <v>16000.0</v>
      </c>
      <c r="H114" s="56">
        <v>44003.0</v>
      </c>
    </row>
    <row r="115">
      <c r="E115" s="54" t="s">
        <v>116</v>
      </c>
      <c r="F115" s="54" t="s">
        <v>134</v>
      </c>
      <c r="G115" s="55">
        <v>2500.0</v>
      </c>
      <c r="H115" s="56">
        <v>44003.0</v>
      </c>
    </row>
    <row r="116">
      <c r="E116" s="54" t="s">
        <v>183</v>
      </c>
      <c r="F116" s="54" t="s">
        <v>82</v>
      </c>
      <c r="G116" s="55">
        <v>1000.0</v>
      </c>
      <c r="H116" s="56">
        <v>44003.0</v>
      </c>
    </row>
    <row r="117">
      <c r="E117" s="54" t="s">
        <v>124</v>
      </c>
      <c r="F117" s="54" t="s">
        <v>82</v>
      </c>
      <c r="G117" s="55">
        <v>200.0</v>
      </c>
      <c r="H117" s="56">
        <v>44003.0</v>
      </c>
    </row>
    <row r="118">
      <c r="E118" s="54" t="s">
        <v>184</v>
      </c>
      <c r="F118" s="54">
        <v>1.0</v>
      </c>
      <c r="G118" s="55">
        <v>1000.0</v>
      </c>
      <c r="H118" s="56">
        <v>44003.0</v>
      </c>
    </row>
    <row r="119">
      <c r="E119" s="54" t="s">
        <v>185</v>
      </c>
      <c r="F119" s="54">
        <v>2.0</v>
      </c>
      <c r="G119" s="55">
        <v>1200.0</v>
      </c>
      <c r="H119" s="56">
        <v>44003.0</v>
      </c>
    </row>
    <row r="120">
      <c r="E120" s="54" t="s">
        <v>124</v>
      </c>
      <c r="F120" s="54" t="s">
        <v>186</v>
      </c>
      <c r="G120" s="55">
        <v>2650.0</v>
      </c>
      <c r="H120" s="56">
        <v>44004.0</v>
      </c>
    </row>
    <row r="121">
      <c r="E121" s="54" t="s">
        <v>187</v>
      </c>
      <c r="F121" s="54" t="s">
        <v>188</v>
      </c>
      <c r="G121" s="55">
        <v>350.0</v>
      </c>
      <c r="H121" s="56">
        <v>44004.0</v>
      </c>
    </row>
    <row r="122">
      <c r="E122" s="54" t="s">
        <v>156</v>
      </c>
      <c r="F122" s="54" t="s">
        <v>77</v>
      </c>
      <c r="G122" s="55">
        <v>590.0</v>
      </c>
      <c r="H122" s="56">
        <v>44004.0</v>
      </c>
    </row>
    <row r="123">
      <c r="E123" s="54" t="s">
        <v>189</v>
      </c>
      <c r="F123" s="54">
        <v>5.0</v>
      </c>
      <c r="G123" s="55">
        <v>120.0</v>
      </c>
      <c r="H123" s="56">
        <v>44005.0</v>
      </c>
    </row>
    <row r="124">
      <c r="E124" s="54" t="s">
        <v>190</v>
      </c>
      <c r="F124" s="54" t="s">
        <v>141</v>
      </c>
      <c r="G124" s="55">
        <v>600.0</v>
      </c>
      <c r="H124" s="56">
        <v>44005.0</v>
      </c>
    </row>
    <row r="125">
      <c r="E125" s="54" t="s">
        <v>191</v>
      </c>
      <c r="F125" s="57"/>
      <c r="G125" s="55">
        <v>6000.0</v>
      </c>
      <c r="H125" s="56">
        <v>44005.0</v>
      </c>
    </row>
    <row r="126">
      <c r="E126" s="54" t="s">
        <v>185</v>
      </c>
      <c r="F126" s="54">
        <v>2.0</v>
      </c>
      <c r="G126" s="55">
        <v>1200.0</v>
      </c>
      <c r="H126" s="56">
        <v>44005.0</v>
      </c>
    </row>
    <row r="127">
      <c r="E127" s="54" t="s">
        <v>176</v>
      </c>
      <c r="F127" s="54" t="s">
        <v>104</v>
      </c>
      <c r="G127" s="55">
        <v>1700.0</v>
      </c>
      <c r="H127" s="56">
        <v>44005.0</v>
      </c>
    </row>
    <row r="128">
      <c r="E128" s="54" t="s">
        <v>192</v>
      </c>
      <c r="F128" s="54" t="s">
        <v>61</v>
      </c>
      <c r="G128" s="55">
        <v>650.0</v>
      </c>
      <c r="H128" s="56">
        <v>44005.0</v>
      </c>
    </row>
    <row r="129">
      <c r="E129" s="54" t="s">
        <v>193</v>
      </c>
      <c r="F129" s="54" t="s">
        <v>194</v>
      </c>
      <c r="G129" s="55">
        <v>3150.0</v>
      </c>
      <c r="H129" s="56">
        <v>44006.0</v>
      </c>
    </row>
    <row r="130">
      <c r="E130" s="54" t="s">
        <v>195</v>
      </c>
      <c r="F130" s="54" t="s">
        <v>82</v>
      </c>
      <c r="G130" s="55">
        <v>500.0</v>
      </c>
      <c r="H130" s="56">
        <v>44006.0</v>
      </c>
    </row>
    <row r="131">
      <c r="E131" s="54" t="s">
        <v>196</v>
      </c>
      <c r="F131" s="57"/>
      <c r="G131" s="55">
        <v>2200.0</v>
      </c>
      <c r="H131" s="56">
        <v>44005.0</v>
      </c>
    </row>
    <row r="132">
      <c r="E132" s="54" t="s">
        <v>193</v>
      </c>
      <c r="F132" s="54" t="s">
        <v>70</v>
      </c>
      <c r="G132" s="55">
        <v>700.0</v>
      </c>
      <c r="H132" s="56">
        <v>44007.0</v>
      </c>
    </row>
    <row r="133">
      <c r="E133" s="54" t="s">
        <v>96</v>
      </c>
      <c r="F133" s="54">
        <v>5.0</v>
      </c>
      <c r="G133" s="55">
        <v>1300.0</v>
      </c>
      <c r="H133" s="56">
        <v>44007.0</v>
      </c>
    </row>
    <row r="134">
      <c r="E134" s="54" t="s">
        <v>156</v>
      </c>
      <c r="F134" s="54" t="s">
        <v>82</v>
      </c>
      <c r="G134" s="55">
        <v>500.0</v>
      </c>
      <c r="H134" s="56">
        <v>44007.0</v>
      </c>
    </row>
    <row r="135">
      <c r="E135" s="54" t="s">
        <v>116</v>
      </c>
      <c r="F135" s="54" t="s">
        <v>134</v>
      </c>
      <c r="G135" s="55">
        <v>2500.0</v>
      </c>
      <c r="H135" s="56">
        <v>44007.0</v>
      </c>
    </row>
    <row r="136">
      <c r="E136" s="54" t="s">
        <v>197</v>
      </c>
      <c r="F136" s="54" t="s">
        <v>198</v>
      </c>
      <c r="G136" s="55">
        <v>3000.0</v>
      </c>
      <c r="H136" s="57"/>
    </row>
    <row r="137">
      <c r="E137" s="54" t="s">
        <v>199</v>
      </c>
      <c r="F137" s="54" t="s">
        <v>72</v>
      </c>
      <c r="G137" s="55">
        <v>1400.0</v>
      </c>
      <c r="H137" s="56">
        <v>44009.0</v>
      </c>
    </row>
    <row r="138">
      <c r="E138" s="54" t="s">
        <v>129</v>
      </c>
      <c r="F138" s="54" t="s">
        <v>82</v>
      </c>
      <c r="G138" s="55">
        <v>600.0</v>
      </c>
      <c r="H138" s="56">
        <v>44009.0</v>
      </c>
    </row>
    <row r="139">
      <c r="E139" s="54" t="s">
        <v>200</v>
      </c>
      <c r="F139" s="54">
        <v>5.0</v>
      </c>
      <c r="G139" s="55">
        <v>7000.0</v>
      </c>
      <c r="H139" s="56">
        <v>44009.0</v>
      </c>
    </row>
    <row r="140">
      <c r="E140" s="54" t="s">
        <v>168</v>
      </c>
      <c r="F140" s="54" t="s">
        <v>201</v>
      </c>
      <c r="G140" s="55">
        <v>8000.0</v>
      </c>
      <c r="H140" s="56">
        <v>44009.0</v>
      </c>
    </row>
    <row r="141">
      <c r="E141" s="54" t="s">
        <v>150</v>
      </c>
      <c r="F141" s="54" t="s">
        <v>202</v>
      </c>
      <c r="G141" s="55">
        <v>540.0</v>
      </c>
      <c r="H141" s="56">
        <v>44009.0</v>
      </c>
    </row>
    <row r="142">
      <c r="E142" s="54" t="s">
        <v>203</v>
      </c>
      <c r="F142" s="54" t="s">
        <v>94</v>
      </c>
      <c r="G142" s="55">
        <v>700.0</v>
      </c>
      <c r="H142" s="56">
        <v>44009.0</v>
      </c>
    </row>
    <row r="143">
      <c r="E143" s="54" t="s">
        <v>204</v>
      </c>
      <c r="F143" s="54">
        <v>7.0</v>
      </c>
      <c r="G143" s="55">
        <v>200.0</v>
      </c>
      <c r="H143" s="56">
        <v>44009.0</v>
      </c>
    </row>
    <row r="144">
      <c r="E144" s="54" t="s">
        <v>156</v>
      </c>
      <c r="F144" s="54" t="s">
        <v>77</v>
      </c>
      <c r="G144" s="55">
        <v>500.0</v>
      </c>
      <c r="H144" s="56">
        <v>44009.0</v>
      </c>
    </row>
    <row r="145">
      <c r="E145" s="54" t="s">
        <v>205</v>
      </c>
      <c r="F145" s="54" t="s">
        <v>75</v>
      </c>
      <c r="G145" s="55">
        <v>150.0</v>
      </c>
      <c r="H145" s="56">
        <v>44009.0</v>
      </c>
    </row>
    <row r="146">
      <c r="E146" s="54" t="s">
        <v>181</v>
      </c>
      <c r="F146" s="54" t="s">
        <v>82</v>
      </c>
      <c r="G146" s="55">
        <v>5000.0</v>
      </c>
      <c r="H146" s="56">
        <v>44009.0</v>
      </c>
    </row>
    <row r="147">
      <c r="E147" s="54" t="s">
        <v>206</v>
      </c>
      <c r="F147" s="54">
        <v>1.0</v>
      </c>
      <c r="G147" s="55">
        <v>500.0</v>
      </c>
      <c r="H147" s="56">
        <v>44009.0</v>
      </c>
    </row>
    <row r="148">
      <c r="E148" s="54" t="s">
        <v>196</v>
      </c>
      <c r="F148" s="54" t="s">
        <v>207</v>
      </c>
      <c r="G148" s="55">
        <v>3000.0</v>
      </c>
      <c r="H148" s="56">
        <v>44010.0</v>
      </c>
    </row>
    <row r="149">
      <c r="E149" s="54" t="s">
        <v>156</v>
      </c>
      <c r="F149" s="54" t="s">
        <v>82</v>
      </c>
      <c r="G149" s="55">
        <v>350.0</v>
      </c>
      <c r="H149" s="56">
        <v>44010.0</v>
      </c>
    </row>
    <row r="150">
      <c r="E150" s="54" t="s">
        <v>208</v>
      </c>
      <c r="F150" s="57"/>
      <c r="G150" s="55">
        <v>10000.0</v>
      </c>
      <c r="H150" s="56">
        <v>44010.0</v>
      </c>
    </row>
    <row r="151">
      <c r="E151" s="57"/>
      <c r="F151" s="57"/>
      <c r="G151" s="58"/>
      <c r="H151" s="57"/>
    </row>
    <row r="152">
      <c r="E152" s="57" t="s">
        <v>209</v>
      </c>
      <c r="F152" s="57"/>
      <c r="G152" s="58">
        <v>500.0</v>
      </c>
      <c r="H152" s="59">
        <v>43948.0</v>
      </c>
    </row>
    <row r="153">
      <c r="E153" s="60" t="s">
        <v>210</v>
      </c>
      <c r="F153" s="44"/>
      <c r="G153" s="51">
        <f>SUM(G3:G152)</f>
        <v>292000</v>
      </c>
      <c r="H153" s="44"/>
    </row>
    <row r="154">
      <c r="E154" s="60" t="s">
        <v>211</v>
      </c>
      <c r="F154" s="44"/>
      <c r="G154" s="61">
        <v>62000.0</v>
      </c>
      <c r="H154" s="44"/>
    </row>
    <row r="155">
      <c r="E155" s="60" t="s">
        <v>212</v>
      </c>
      <c r="F155" s="44"/>
      <c r="G155" s="62">
        <f>G154-G153</f>
        <v>-230000</v>
      </c>
      <c r="H155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  <col customWidth="1" min="10" max="10" width="18.88"/>
  </cols>
  <sheetData>
    <row r="11">
      <c r="G11" s="1"/>
      <c r="H11" s="1"/>
      <c r="I11" s="1"/>
      <c r="J11" s="1"/>
      <c r="K11" s="1"/>
    </row>
    <row r="12">
      <c r="G12" s="1"/>
      <c r="H12" s="44"/>
      <c r="I12" s="44"/>
      <c r="J12" s="44"/>
      <c r="K12" s="1"/>
    </row>
    <row r="13">
      <c r="G13" s="44"/>
      <c r="H13" s="63" t="s">
        <v>213</v>
      </c>
      <c r="I13" s="63" t="s">
        <v>3</v>
      </c>
      <c r="J13" s="63" t="s">
        <v>214</v>
      </c>
      <c r="K13" s="1"/>
    </row>
    <row r="14">
      <c r="G14" s="64">
        <v>1.0</v>
      </c>
      <c r="H14" s="57" t="s">
        <v>22</v>
      </c>
      <c r="I14" s="65">
        <f>Pointage!C34*1</f>
        <v>14000</v>
      </c>
      <c r="J14" s="65"/>
      <c r="K14" s="1"/>
    </row>
    <row r="15">
      <c r="G15" s="64">
        <v>2.0</v>
      </c>
      <c r="H15" s="57" t="s">
        <v>25</v>
      </c>
      <c r="I15" s="66">
        <v>15000.0</v>
      </c>
      <c r="J15" s="65"/>
      <c r="K15" s="1"/>
    </row>
    <row r="16">
      <c r="G16" s="64">
        <v>3.0</v>
      </c>
      <c r="H16" s="57" t="s">
        <v>24</v>
      </c>
      <c r="I16" s="66">
        <v>25000.0</v>
      </c>
      <c r="J16" s="66">
        <v>3000.0</v>
      </c>
      <c r="K16" s="1"/>
    </row>
    <row r="17">
      <c r="G17" s="64">
        <v>4.0</v>
      </c>
      <c r="H17" s="57" t="s">
        <v>215</v>
      </c>
      <c r="I17" s="66">
        <v>25000.0</v>
      </c>
      <c r="J17" s="65"/>
      <c r="K17" s="1"/>
    </row>
    <row r="18">
      <c r="G18" s="64">
        <v>5.0</v>
      </c>
      <c r="H18" s="57" t="s">
        <v>23</v>
      </c>
      <c r="I18" s="65">
        <f>Pointage!D34*1</f>
        <v>29000</v>
      </c>
      <c r="J18" s="65"/>
      <c r="K18" s="1"/>
    </row>
    <row r="19">
      <c r="G19" s="67">
        <v>6.0</v>
      </c>
      <c r="H19" s="57" t="s">
        <v>27</v>
      </c>
      <c r="I19" s="66">
        <v>33000.0</v>
      </c>
      <c r="J19" s="65"/>
      <c r="K19" s="1"/>
    </row>
    <row r="20">
      <c r="G20" s="44"/>
      <c r="H20" s="68" t="s">
        <v>20</v>
      </c>
      <c r="I20" s="69">
        <f t="shared" ref="I20:J20" si="1">SUM(I14:I19)</f>
        <v>141000</v>
      </c>
      <c r="J20" s="70">
        <f t="shared" si="1"/>
        <v>3000</v>
      </c>
      <c r="K20" s="1"/>
    </row>
    <row r="21">
      <c r="G21" s="44"/>
      <c r="H21" s="71"/>
      <c r="I21" s="72">
        <f>I20-J20</f>
        <v>138000</v>
      </c>
      <c r="J21" s="1"/>
      <c r="K21" s="1"/>
    </row>
    <row r="22">
      <c r="G22" s="1"/>
      <c r="H22" s="1"/>
      <c r="I22" s="1"/>
      <c r="J22" s="1"/>
      <c r="K22" s="1"/>
    </row>
    <row r="23">
      <c r="G23" s="1"/>
      <c r="H23" s="1"/>
      <c r="I23" s="1"/>
      <c r="J23" s="1"/>
      <c r="K23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J7" s="73">
        <v>6900.0</v>
      </c>
    </row>
    <row r="8">
      <c r="J8" s="73">
        <v>7800.0</v>
      </c>
    </row>
    <row r="9">
      <c r="J9" s="73">
        <v>4500.0</v>
      </c>
    </row>
    <row r="10">
      <c r="J10" s="73">
        <v>1200.0</v>
      </c>
    </row>
    <row r="11">
      <c r="J11" s="73">
        <v>10000.0</v>
      </c>
    </row>
    <row r="12">
      <c r="J12" s="73">
        <v>3000.0</v>
      </c>
    </row>
    <row r="13">
      <c r="J13" s="73">
        <v>3000.0</v>
      </c>
    </row>
    <row r="14">
      <c r="J14" s="74">
        <f>SUM(J7:J13)</f>
        <v>36400</v>
      </c>
    </row>
  </sheetData>
  <drawing r:id="rId1"/>
</worksheet>
</file>