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3"/>
    <sheet state="visible" name="Charges" sheetId="2" r:id="rId4"/>
    <sheet state="visible" name="Pointage" sheetId="3" r:id="rId5"/>
    <sheet state="visible" name="Salaire" sheetId="4" r:id="rId6"/>
  </sheets>
  <definedNames/>
  <calcPr/>
</workbook>
</file>

<file path=xl/sharedStrings.xml><?xml version="1.0" encoding="utf-8"?>
<sst xmlns="http://schemas.openxmlformats.org/spreadsheetml/2006/main" count="135" uniqueCount="63">
  <si>
    <t>Date</t>
  </si>
  <si>
    <t>Recette</t>
  </si>
  <si>
    <t>Charges</t>
  </si>
  <si>
    <t>Salaire</t>
  </si>
  <si>
    <t>Loyer</t>
  </si>
  <si>
    <t>Net Profit</t>
  </si>
  <si>
    <t>Samedi</t>
  </si>
  <si>
    <t>Dimanche</t>
  </si>
  <si>
    <t>Lundi</t>
  </si>
  <si>
    <t>Mardi</t>
  </si>
  <si>
    <t>Mercredi</t>
  </si>
  <si>
    <t>Jeudi</t>
  </si>
  <si>
    <t>Vendredi</t>
  </si>
  <si>
    <t>TOTAL</t>
  </si>
  <si>
    <t>Produit</t>
  </si>
  <si>
    <t>Quantité</t>
  </si>
  <si>
    <t>Prix</t>
  </si>
  <si>
    <t>Date d'achat</t>
  </si>
  <si>
    <t>Huile</t>
  </si>
  <si>
    <t>19 Bidons de 5 litres</t>
  </si>
  <si>
    <t>Ognion</t>
  </si>
  <si>
    <t>les petits sachets en papier</t>
  </si>
  <si>
    <t>isis</t>
  </si>
  <si>
    <t>eau minéral</t>
  </si>
  <si>
    <t>Jus Negaous</t>
  </si>
  <si>
    <t>Coca canette</t>
  </si>
  <si>
    <t xml:space="preserve">Coca1/2 litre </t>
  </si>
  <si>
    <t>Excelence</t>
  </si>
  <si>
    <t>7abet 7elawa</t>
  </si>
  <si>
    <t>1kg</t>
  </si>
  <si>
    <t>Sanoudj</t>
  </si>
  <si>
    <t xml:space="preserve">kosber </t>
  </si>
  <si>
    <t>600g</t>
  </si>
  <si>
    <t>Semoule</t>
  </si>
  <si>
    <t>35 sachets de 25kg</t>
  </si>
  <si>
    <t>Sucre</t>
  </si>
  <si>
    <t>25kg</t>
  </si>
  <si>
    <t>Semoule moyenne</t>
  </si>
  <si>
    <t>10kg</t>
  </si>
  <si>
    <t xml:space="preserve">Tomate conserve </t>
  </si>
  <si>
    <t xml:space="preserve">1 carton </t>
  </si>
  <si>
    <t xml:space="preserve">Goblets </t>
  </si>
  <si>
    <t xml:space="preserve">50 pièces </t>
  </si>
  <si>
    <t>Sachets plastiques de 5kg</t>
  </si>
  <si>
    <t>eau</t>
  </si>
  <si>
    <t>/</t>
  </si>
  <si>
    <t xml:space="preserve">Herbes </t>
  </si>
  <si>
    <t>lave vitre +utenciles+serpière</t>
  </si>
  <si>
    <t>30kg</t>
  </si>
  <si>
    <t>tadjine</t>
  </si>
  <si>
    <t>sel</t>
  </si>
  <si>
    <t>1 fardeau</t>
  </si>
  <si>
    <t>Somme initiale</t>
  </si>
  <si>
    <r>
      <rPr>
        <b/>
        <color rgb="FF274E13"/>
        <sz val="12.0"/>
      </rPr>
      <t>Reste</t>
    </r>
    <r>
      <rPr>
        <color rgb="FF274E13"/>
      </rPr>
      <t xml:space="preserve"> </t>
    </r>
  </si>
  <si>
    <t>Zehor</t>
  </si>
  <si>
    <t>Loubna</t>
  </si>
  <si>
    <t>Souad</t>
  </si>
  <si>
    <t>Lamia</t>
  </si>
  <si>
    <t>Hakima</t>
  </si>
  <si>
    <t>Amina</t>
  </si>
  <si>
    <t>0.5</t>
  </si>
  <si>
    <t>Salaire/jour</t>
  </si>
  <si>
    <t xml:space="preserve">SALAIRE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</si>
</sst>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9">
    <font>
      <sz val="10.0"/>
      <color rgb="FF000000"/>
      <name val="Arial"/>
    </font>
    <font>
      <sz val="12.0"/>
    </font>
    <font>
      <b/>
      <sz val="12.0"/>
    </font>
    <font>
      <b/>
      <sz val="12.0"/>
      <color rgb="FF0B5394"/>
    </font>
    <font>
      <sz val="12.0"/>
      <color rgb="FF0B5394"/>
    </font>
    <font>
      <b/>
      <sz val="12.0"/>
      <color rgb="FFFF0000"/>
    </font>
    <font>
      <b/>
      <sz val="12.0"/>
      <name val="Arial"/>
    </font>
    <font>
      <sz val="12.0"/>
      <name val="Arial"/>
    </font>
    <font>
      <b/>
      <sz val="12.0"/>
      <color rgb="FF1155CC"/>
    </font>
    <font/>
    <font>
      <color rgb="FF274E13"/>
    </font>
    <font>
      <b/>
      <sz val="12.0"/>
      <color rgb="FF434343"/>
    </font>
    <font>
      <b/>
      <sz val="12.0"/>
      <color rgb="FF0000FF"/>
    </font>
    <font>
      <b/>
      <sz val="12.0"/>
      <color rgb="FF9900FF"/>
    </font>
    <font>
      <sz val="12.0"/>
      <color rgb="FFFF0000"/>
    </font>
    <font>
      <sz val="12.0"/>
      <color rgb="FFFF9900"/>
    </font>
    <font>
      <b/>
      <sz val="12.0"/>
      <color rgb="FFFFFF00"/>
    </font>
    <font>
      <sz val="12.0"/>
      <color rgb="FFFFFF00"/>
    </font>
    <font>
      <sz val="12.0"/>
      <color rgb="FF434343"/>
    </font>
  </fonts>
  <fills count="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6459"/>
        <bgColor rgb="FFFF6459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readingOrder="0"/>
    </xf>
    <xf borderId="1" fillId="0" fontId="1" numFmtId="165" xfId="0" applyBorder="1" applyFont="1" applyNumberFormat="1"/>
    <xf borderId="1" fillId="3" fontId="3" numFmtId="0" xfId="0" applyAlignment="1" applyBorder="1" applyFill="1" applyFont="1">
      <alignment readingOrder="0"/>
    </xf>
    <xf borderId="1" fillId="3" fontId="4" numFmtId="164" xfId="0" applyAlignment="1" applyBorder="1" applyFont="1" applyNumberFormat="1">
      <alignment horizontal="center" readingOrder="0"/>
    </xf>
    <xf borderId="1" fillId="3" fontId="4" numFmtId="165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1" fillId="4" fontId="1" numFmtId="165" xfId="0" applyBorder="1" applyFill="1" applyFont="1" applyNumberFormat="1"/>
    <xf borderId="1" fillId="4" fontId="6" numFmtId="0" xfId="0" applyAlignment="1" applyBorder="1" applyFont="1">
      <alignment horizontal="center" vertical="bottom"/>
    </xf>
    <xf borderId="2" fillId="4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readingOrder="0" vertical="bottom"/>
    </xf>
    <xf borderId="4" fillId="0" fontId="7" numFmtId="165" xfId="0" applyAlignment="1" applyBorder="1" applyFont="1" applyNumberFormat="1">
      <alignment horizontal="center" readingOrder="0" vertical="bottom"/>
    </xf>
    <xf borderId="4" fillId="0" fontId="7" numFmtId="164" xfId="0" applyAlignment="1" applyBorder="1" applyFont="1" applyNumberForma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center" readingOrder="0"/>
    </xf>
    <xf borderId="1" fillId="5" fontId="1" numFmtId="165" xfId="0" applyAlignment="1" applyBorder="1" applyFill="1" applyFont="1" applyNumberFormat="1">
      <alignment horizontal="center"/>
    </xf>
    <xf borderId="1" fillId="6" fontId="8" numFmtId="0" xfId="0" applyAlignment="1" applyBorder="1" applyFill="1" applyFont="1">
      <alignment horizontal="center" readingOrder="0"/>
    </xf>
    <xf borderId="1" fillId="0" fontId="9" numFmtId="0" xfId="0" applyBorder="1" applyFont="1"/>
    <xf borderId="1" fillId="6" fontId="1" numFmtId="165" xfId="0" applyAlignment="1" applyBorder="1" applyFont="1" applyNumberFormat="1">
      <alignment readingOrder="0"/>
    </xf>
    <xf borderId="1" fillId="4" fontId="10" numFmtId="0" xfId="0" applyAlignment="1" applyBorder="1" applyFont="1">
      <alignment horizontal="center" readingOrder="0"/>
    </xf>
    <xf borderId="1" fillId="6" fontId="11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/>
    </xf>
    <xf borderId="1" fillId="6" fontId="13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horizontal="right" readingOrder="0"/>
    </xf>
    <xf borderId="1" fillId="4" fontId="5" numFmtId="0" xfId="0" applyAlignment="1" applyBorder="1" applyFont="1">
      <alignment horizontal="center" readingOrder="0"/>
    </xf>
    <xf borderId="1" fillId="4" fontId="14" numFmtId="0" xfId="0" applyBorder="1" applyFont="1"/>
    <xf borderId="1" fillId="4" fontId="15" numFmtId="0" xfId="0" applyBorder="1" applyFont="1"/>
    <xf borderId="1" fillId="4" fontId="16" numFmtId="0" xfId="0" applyAlignment="1" applyBorder="1" applyFont="1">
      <alignment horizontal="center" readingOrder="0"/>
    </xf>
    <xf borderId="1" fillId="4" fontId="17" numFmtId="165" xfId="0" applyBorder="1" applyFont="1" applyNumberFormat="1"/>
    <xf borderId="1" fillId="7" fontId="2" numFmtId="165" xfId="0" applyBorder="1" applyFill="1" applyFont="1" applyNumberFormat="1"/>
    <xf borderId="1" fillId="0" fontId="1" numFmtId="0" xfId="0" applyBorder="1" applyFont="1"/>
    <xf borderId="1" fillId="3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8" fontId="18" numFmtId="0" xfId="0" applyAlignment="1" applyBorder="1" applyFill="1" applyFont="1">
      <alignment horizontal="center" readingOrder="0"/>
    </xf>
    <xf borderId="1" fillId="8" fontId="1" numFmtId="165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4" fontId="1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1"/>
      <c r="I1" s="1"/>
      <c r="J1" s="1"/>
    </row>
    <row r="2">
      <c r="A2" s="3" t="s">
        <v>6</v>
      </c>
      <c r="B2" s="4">
        <v>43617.0</v>
      </c>
      <c r="C2" s="5">
        <v>16900.0</v>
      </c>
      <c r="D2" s="6"/>
      <c r="E2" s="6"/>
      <c r="F2" s="6"/>
      <c r="G2" s="6"/>
      <c r="H2" s="1"/>
      <c r="I2" s="1"/>
      <c r="J2" s="1"/>
    </row>
    <row r="3">
      <c r="A3" s="3" t="s">
        <v>7</v>
      </c>
      <c r="B3" s="4">
        <v>43618.0</v>
      </c>
      <c r="C3" s="5">
        <v>19500.0</v>
      </c>
      <c r="D3" s="6"/>
      <c r="E3" s="6"/>
      <c r="F3" s="6"/>
      <c r="G3" s="6"/>
      <c r="H3" s="1"/>
      <c r="I3" s="1"/>
      <c r="J3" s="1"/>
    </row>
    <row r="4">
      <c r="A4" s="3" t="s">
        <v>8</v>
      </c>
      <c r="B4" s="4">
        <v>43619.0</v>
      </c>
      <c r="C4" s="5">
        <v>20000.0</v>
      </c>
      <c r="D4" s="6"/>
      <c r="E4" s="6"/>
      <c r="F4" s="6"/>
      <c r="G4" s="6"/>
      <c r="H4" s="1"/>
      <c r="I4" s="1"/>
      <c r="J4" s="1"/>
    </row>
    <row r="5">
      <c r="A5" s="3" t="s">
        <v>9</v>
      </c>
      <c r="B5" s="4">
        <v>43620.0</v>
      </c>
      <c r="C5" s="5">
        <v>0.0</v>
      </c>
      <c r="D5" s="6"/>
      <c r="E5" s="6"/>
      <c r="F5" s="6"/>
      <c r="G5" s="6"/>
      <c r="H5" s="1"/>
      <c r="I5" s="1"/>
      <c r="J5" s="1"/>
    </row>
    <row r="6">
      <c r="A6" s="3" t="s">
        <v>10</v>
      </c>
      <c r="B6" s="4">
        <v>43621.0</v>
      </c>
      <c r="C6" s="5">
        <v>0.0</v>
      </c>
      <c r="D6" s="6"/>
      <c r="E6" s="6"/>
      <c r="F6" s="6"/>
      <c r="G6" s="6"/>
      <c r="H6" s="1"/>
      <c r="I6" s="1"/>
      <c r="J6" s="1"/>
    </row>
    <row r="7">
      <c r="A7" s="3" t="s">
        <v>11</v>
      </c>
      <c r="B7" s="4">
        <v>43622.0</v>
      </c>
      <c r="C7" s="5">
        <v>0.0</v>
      </c>
      <c r="D7" s="6"/>
      <c r="E7" s="6"/>
      <c r="F7" s="6"/>
      <c r="G7" s="6"/>
      <c r="H7" s="1"/>
      <c r="I7" s="1"/>
      <c r="J7" s="1"/>
    </row>
    <row r="8">
      <c r="A8" s="7" t="s">
        <v>12</v>
      </c>
      <c r="B8" s="8">
        <v>43623.0</v>
      </c>
      <c r="C8" s="9">
        <v>0.0</v>
      </c>
      <c r="D8" s="9">
        <v>0.0</v>
      </c>
      <c r="E8" s="9">
        <v>0.0</v>
      </c>
      <c r="F8" s="9">
        <v>0.0</v>
      </c>
      <c r="G8" s="9">
        <v>0.0</v>
      </c>
      <c r="H8" s="1"/>
      <c r="I8" s="1"/>
      <c r="J8" s="1"/>
    </row>
    <row r="9">
      <c r="A9" s="3" t="s">
        <v>6</v>
      </c>
      <c r="B9" s="4">
        <v>43624.0</v>
      </c>
      <c r="C9" s="5">
        <v>0.0</v>
      </c>
      <c r="D9" s="6"/>
      <c r="E9" s="6"/>
      <c r="F9" s="6"/>
      <c r="G9" s="6"/>
      <c r="H9" s="1"/>
      <c r="I9" s="1"/>
      <c r="J9" s="1"/>
    </row>
    <row r="10">
      <c r="A10" s="3" t="s">
        <v>7</v>
      </c>
      <c r="B10" s="4">
        <v>43625.0</v>
      </c>
      <c r="C10" s="5">
        <v>0.0</v>
      </c>
      <c r="D10" s="6"/>
      <c r="E10" s="6"/>
      <c r="F10" s="6"/>
      <c r="G10" s="6"/>
      <c r="H10" s="1"/>
      <c r="I10" s="1"/>
      <c r="J10" s="1"/>
    </row>
    <row r="11">
      <c r="A11" s="3" t="s">
        <v>8</v>
      </c>
      <c r="B11" s="4">
        <v>43626.0</v>
      </c>
      <c r="C11" s="5">
        <v>10700.0</v>
      </c>
      <c r="D11" s="6"/>
      <c r="E11" s="6"/>
      <c r="F11" s="6"/>
      <c r="G11" s="6"/>
      <c r="H11" s="1"/>
      <c r="I11" s="1"/>
      <c r="J11" s="1"/>
    </row>
    <row r="12">
      <c r="A12" s="3" t="s">
        <v>9</v>
      </c>
      <c r="B12" s="4">
        <v>43627.0</v>
      </c>
      <c r="C12" s="5">
        <v>8000.0</v>
      </c>
      <c r="D12" s="6"/>
      <c r="E12" s="6"/>
      <c r="F12" s="6"/>
      <c r="G12" s="6"/>
      <c r="H12" s="1"/>
      <c r="I12" s="1"/>
      <c r="J12" s="1"/>
    </row>
    <row r="13">
      <c r="A13" s="3" t="s">
        <v>10</v>
      </c>
      <c r="B13" s="4">
        <v>43628.0</v>
      </c>
      <c r="C13" s="6"/>
      <c r="D13" s="6"/>
      <c r="E13" s="6"/>
      <c r="F13" s="6"/>
      <c r="G13" s="6"/>
      <c r="H13" s="1"/>
      <c r="I13" s="1"/>
      <c r="J13" s="1"/>
    </row>
    <row r="14">
      <c r="A14" s="3" t="s">
        <v>11</v>
      </c>
      <c r="B14" s="4">
        <v>43629.0</v>
      </c>
      <c r="C14" s="5">
        <v>16700.0</v>
      </c>
      <c r="D14" s="6"/>
      <c r="E14" s="6"/>
      <c r="F14" s="6"/>
      <c r="G14" s="6"/>
      <c r="H14" s="1"/>
      <c r="I14" s="1"/>
      <c r="J14" s="1"/>
    </row>
    <row r="15">
      <c r="A15" s="7" t="s">
        <v>12</v>
      </c>
      <c r="B15" s="8">
        <v>43630.0</v>
      </c>
      <c r="C15" s="9">
        <v>0.0</v>
      </c>
      <c r="D15" s="9">
        <v>0.0</v>
      </c>
      <c r="E15" s="9">
        <v>0.0</v>
      </c>
      <c r="F15" s="9">
        <v>0.0</v>
      </c>
      <c r="G15" s="9">
        <v>0.0</v>
      </c>
      <c r="H15" s="1"/>
      <c r="I15" s="1"/>
      <c r="J15" s="1"/>
    </row>
    <row r="16">
      <c r="A16" s="3" t="s">
        <v>6</v>
      </c>
      <c r="B16" s="4">
        <v>43631.0</v>
      </c>
      <c r="C16" s="5">
        <v>9000.0</v>
      </c>
      <c r="D16" s="6"/>
      <c r="E16" s="6"/>
      <c r="F16" s="6"/>
      <c r="G16" s="6"/>
      <c r="H16" s="1"/>
      <c r="I16" s="1"/>
      <c r="J16" s="1"/>
    </row>
    <row r="17">
      <c r="A17" s="3" t="s">
        <v>7</v>
      </c>
      <c r="B17" s="4">
        <v>43632.0</v>
      </c>
      <c r="C17" s="5">
        <v>14500.0</v>
      </c>
      <c r="D17" s="6"/>
      <c r="E17" s="6"/>
      <c r="F17" s="6"/>
      <c r="G17" s="6"/>
      <c r="H17" s="1"/>
      <c r="I17" s="1"/>
      <c r="J17" s="1"/>
    </row>
    <row r="18">
      <c r="A18" s="3" t="s">
        <v>8</v>
      </c>
      <c r="B18" s="4">
        <v>43633.0</v>
      </c>
      <c r="C18" s="5">
        <v>15000.0</v>
      </c>
      <c r="D18" s="6"/>
      <c r="E18" s="6"/>
      <c r="F18" s="6"/>
      <c r="G18" s="6"/>
      <c r="H18" s="1"/>
      <c r="I18" s="1"/>
      <c r="J18" s="1"/>
    </row>
    <row r="19">
      <c r="A19" s="3" t="s">
        <v>9</v>
      </c>
      <c r="B19" s="4">
        <v>43634.0</v>
      </c>
      <c r="C19" s="5">
        <v>8500.0</v>
      </c>
      <c r="D19" s="6"/>
      <c r="E19" s="6"/>
      <c r="F19" s="6"/>
      <c r="G19" s="6"/>
      <c r="H19" s="1"/>
      <c r="I19" s="1"/>
      <c r="J19" s="1"/>
    </row>
    <row r="20">
      <c r="A20" s="3" t="s">
        <v>10</v>
      </c>
      <c r="B20" s="4">
        <v>43635.0</v>
      </c>
      <c r="C20" s="5">
        <v>12500.0</v>
      </c>
      <c r="D20" s="6"/>
      <c r="E20" s="6"/>
      <c r="F20" s="6"/>
      <c r="G20" s="6"/>
      <c r="H20" s="1"/>
      <c r="I20" s="1"/>
      <c r="J20" s="1"/>
    </row>
    <row r="21">
      <c r="A21" s="3" t="s">
        <v>11</v>
      </c>
      <c r="B21" s="4">
        <v>43636.0</v>
      </c>
      <c r="C21" s="5">
        <v>14000.0</v>
      </c>
      <c r="D21" s="6"/>
      <c r="E21" s="6"/>
      <c r="F21" s="6"/>
      <c r="G21" s="6"/>
      <c r="H21" s="1"/>
      <c r="I21" s="1"/>
      <c r="J21" s="1"/>
    </row>
    <row r="22">
      <c r="A22" s="7" t="s">
        <v>12</v>
      </c>
      <c r="B22" s="8">
        <v>43637.0</v>
      </c>
      <c r="C22" s="9">
        <v>0.0</v>
      </c>
      <c r="D22" s="9">
        <v>0.0</v>
      </c>
      <c r="E22" s="9">
        <v>0.0</v>
      </c>
      <c r="F22" s="9">
        <v>0.0</v>
      </c>
      <c r="G22" s="9">
        <v>0.0</v>
      </c>
      <c r="H22" s="1"/>
      <c r="I22" s="1"/>
      <c r="J22" s="1"/>
    </row>
    <row r="23">
      <c r="A23" s="3" t="s">
        <v>6</v>
      </c>
      <c r="B23" s="4">
        <v>43638.0</v>
      </c>
      <c r="C23" s="5">
        <v>15500.0</v>
      </c>
      <c r="D23" s="6"/>
      <c r="E23" s="6"/>
      <c r="F23" s="6"/>
      <c r="G23" s="6"/>
      <c r="H23" s="1"/>
      <c r="I23" s="1"/>
      <c r="J23" s="1"/>
    </row>
    <row r="24">
      <c r="A24" s="3" t="s">
        <v>7</v>
      </c>
      <c r="B24" s="4">
        <v>43639.0</v>
      </c>
      <c r="C24" s="5">
        <v>9000.0</v>
      </c>
      <c r="D24" s="6"/>
      <c r="E24" s="6"/>
      <c r="F24" s="6"/>
      <c r="G24" s="6"/>
      <c r="H24" s="1"/>
      <c r="I24" s="1"/>
      <c r="J24" s="1"/>
    </row>
    <row r="25">
      <c r="A25" s="3" t="s">
        <v>8</v>
      </c>
      <c r="B25" s="4">
        <v>43640.0</v>
      </c>
      <c r="C25" s="5">
        <v>11200.0</v>
      </c>
      <c r="D25" s="6"/>
      <c r="E25" s="6"/>
      <c r="F25" s="6"/>
      <c r="G25" s="6"/>
      <c r="H25" s="1"/>
      <c r="I25" s="1"/>
      <c r="J25" s="1"/>
    </row>
    <row r="26">
      <c r="A26" s="3" t="s">
        <v>9</v>
      </c>
      <c r="B26" s="4">
        <v>43641.0</v>
      </c>
      <c r="C26" s="5">
        <v>13300.0</v>
      </c>
      <c r="D26" s="6"/>
      <c r="E26" s="6"/>
      <c r="F26" s="6"/>
      <c r="G26" s="6"/>
      <c r="H26" s="1"/>
      <c r="I26" s="1"/>
      <c r="J26" s="1"/>
    </row>
    <row r="27">
      <c r="A27" s="3" t="s">
        <v>10</v>
      </c>
      <c r="B27" s="4">
        <v>43642.0</v>
      </c>
      <c r="C27" s="5">
        <v>13700.0</v>
      </c>
      <c r="D27" s="6"/>
      <c r="E27" s="6"/>
      <c r="F27" s="6"/>
      <c r="G27" s="6"/>
      <c r="H27" s="1"/>
      <c r="I27" s="1"/>
      <c r="J27" s="1"/>
    </row>
    <row r="28">
      <c r="A28" s="3" t="s">
        <v>11</v>
      </c>
      <c r="B28" s="4">
        <v>43643.0</v>
      </c>
      <c r="C28" s="5">
        <v>12800.0</v>
      </c>
      <c r="D28" s="6"/>
      <c r="E28" s="6"/>
      <c r="F28" s="6"/>
      <c r="G28" s="6"/>
      <c r="H28" s="1"/>
      <c r="I28" s="1"/>
      <c r="J28" s="1"/>
    </row>
    <row r="29">
      <c r="A29" s="7" t="s">
        <v>12</v>
      </c>
      <c r="B29" s="8">
        <v>43644.0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1"/>
      <c r="I29" s="1"/>
      <c r="J29" s="1"/>
    </row>
    <row r="30">
      <c r="A30" s="3" t="s">
        <v>6</v>
      </c>
      <c r="B30" s="4">
        <v>43645.0</v>
      </c>
      <c r="C30" s="5">
        <v>13000.0</v>
      </c>
      <c r="D30" s="6"/>
      <c r="E30" s="6"/>
      <c r="F30" s="6"/>
      <c r="G30" s="6"/>
      <c r="H30" s="1"/>
      <c r="I30" s="1"/>
      <c r="J30" s="1"/>
    </row>
    <row r="31">
      <c r="A31" s="3" t="s">
        <v>7</v>
      </c>
      <c r="B31" s="4">
        <v>43646.0</v>
      </c>
      <c r="C31" s="5">
        <v>13000.0</v>
      </c>
      <c r="D31" s="6"/>
      <c r="E31" s="6"/>
      <c r="F31" s="6"/>
      <c r="G31" s="6"/>
      <c r="H31" s="1"/>
      <c r="I31" s="1"/>
      <c r="J31" s="1"/>
    </row>
    <row r="32">
      <c r="A32" s="1"/>
      <c r="B32" s="10" t="s">
        <v>13</v>
      </c>
      <c r="C32" s="11">
        <f t="shared" ref="C32:G32" si="1">SUM(C2:C31)</f>
        <v>266800</v>
      </c>
      <c r="D32" s="6">
        <f t="shared" si="1"/>
        <v>0</v>
      </c>
      <c r="E32" s="6">
        <f t="shared" si="1"/>
        <v>0</v>
      </c>
      <c r="F32" s="6">
        <f t="shared" si="1"/>
        <v>0</v>
      </c>
      <c r="G32" s="6">
        <f t="shared" si="1"/>
        <v>0</v>
      </c>
      <c r="H32" s="1"/>
      <c r="I32" s="1"/>
      <c r="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25.5"/>
  </cols>
  <sheetData>
    <row r="2">
      <c r="B2" s="12" t="s">
        <v>14</v>
      </c>
      <c r="C2" s="13" t="s">
        <v>15</v>
      </c>
      <c r="D2" s="13" t="s">
        <v>16</v>
      </c>
      <c r="E2" s="13" t="s">
        <v>17</v>
      </c>
    </row>
    <row r="3">
      <c r="B3" s="14" t="s">
        <v>18</v>
      </c>
      <c r="C3" s="15" t="s">
        <v>19</v>
      </c>
      <c r="D3" s="16">
        <v>10735.0</v>
      </c>
      <c r="E3" s="17">
        <v>43617.0</v>
      </c>
    </row>
    <row r="4">
      <c r="B4" s="14" t="s">
        <v>20</v>
      </c>
      <c r="C4" s="15">
        <v>30.0</v>
      </c>
      <c r="D4" s="16">
        <v>1200.0</v>
      </c>
      <c r="E4" s="17">
        <v>43617.0</v>
      </c>
    </row>
    <row r="5">
      <c r="B5" s="14" t="s">
        <v>21</v>
      </c>
      <c r="C5" s="15">
        <v>1.0</v>
      </c>
      <c r="D5" s="16">
        <v>1100.0</v>
      </c>
      <c r="E5" s="17">
        <v>43626.0</v>
      </c>
    </row>
    <row r="6">
      <c r="B6" s="18" t="s">
        <v>22</v>
      </c>
      <c r="C6" s="15">
        <v>1.0</v>
      </c>
      <c r="D6" s="16">
        <v>500.0</v>
      </c>
      <c r="E6" s="17">
        <v>43626.0</v>
      </c>
    </row>
    <row r="7">
      <c r="B7" s="18" t="s">
        <v>23</v>
      </c>
      <c r="C7" s="15">
        <v>2.0</v>
      </c>
      <c r="D7" s="16">
        <v>360.0</v>
      </c>
      <c r="E7" s="17">
        <v>43626.0</v>
      </c>
    </row>
    <row r="8">
      <c r="B8" s="18" t="s">
        <v>24</v>
      </c>
      <c r="C8" s="15">
        <v>1.0</v>
      </c>
      <c r="D8" s="16">
        <v>400.0</v>
      </c>
      <c r="E8" s="17">
        <v>43626.0</v>
      </c>
    </row>
    <row r="9">
      <c r="B9" s="18" t="s">
        <v>25</v>
      </c>
      <c r="C9" s="15">
        <v>1.0</v>
      </c>
      <c r="D9" s="16">
        <v>1550.0</v>
      </c>
      <c r="E9" s="17">
        <v>43626.0</v>
      </c>
    </row>
    <row r="10">
      <c r="B10" s="18" t="s">
        <v>26</v>
      </c>
      <c r="C10" s="15">
        <v>1.0</v>
      </c>
      <c r="D10" s="16">
        <v>650.0</v>
      </c>
      <c r="E10" s="17">
        <v>43626.0</v>
      </c>
    </row>
    <row r="11">
      <c r="B11" s="18" t="s">
        <v>27</v>
      </c>
      <c r="C11" s="15">
        <v>1.0</v>
      </c>
      <c r="D11" s="16">
        <v>550.0</v>
      </c>
      <c r="E11" s="17">
        <v>43626.0</v>
      </c>
    </row>
    <row r="12">
      <c r="B12" s="14" t="s">
        <v>28</v>
      </c>
      <c r="C12" s="19" t="s">
        <v>29</v>
      </c>
      <c r="D12" s="16">
        <v>1000.0</v>
      </c>
      <c r="E12" s="17">
        <v>43617.0</v>
      </c>
    </row>
    <row r="13">
      <c r="B13" s="18" t="s">
        <v>30</v>
      </c>
      <c r="C13" s="15" t="s">
        <v>29</v>
      </c>
      <c r="D13" s="16">
        <v>1000.0</v>
      </c>
      <c r="E13" s="17">
        <v>43617.0</v>
      </c>
    </row>
    <row r="14">
      <c r="B14" s="20" t="s">
        <v>31</v>
      </c>
      <c r="C14" s="21" t="s">
        <v>32</v>
      </c>
      <c r="D14" s="22">
        <v>600.0</v>
      </c>
      <c r="E14" s="4">
        <v>43617.0</v>
      </c>
    </row>
    <row r="15">
      <c r="B15" s="20" t="s">
        <v>33</v>
      </c>
      <c r="C15" s="21" t="s">
        <v>34</v>
      </c>
      <c r="D15" s="22">
        <v>35000.0</v>
      </c>
      <c r="E15" s="4">
        <v>43627.0</v>
      </c>
    </row>
    <row r="16">
      <c r="B16" s="20" t="s">
        <v>35</v>
      </c>
      <c r="C16" s="21" t="s">
        <v>36</v>
      </c>
      <c r="D16" s="22">
        <v>1713.0</v>
      </c>
      <c r="E16" s="4">
        <v>43617.0</v>
      </c>
    </row>
    <row r="17">
      <c r="B17" s="20" t="s">
        <v>37</v>
      </c>
      <c r="C17" s="21" t="s">
        <v>38</v>
      </c>
      <c r="D17" s="22">
        <v>500.0</v>
      </c>
      <c r="E17" s="4">
        <v>43626.0</v>
      </c>
    </row>
    <row r="18">
      <c r="B18" s="20" t="s">
        <v>39</v>
      </c>
      <c r="C18" s="21" t="s">
        <v>40</v>
      </c>
      <c r="D18" s="22">
        <v>2460.0</v>
      </c>
      <c r="E18" s="4">
        <v>43626.0</v>
      </c>
    </row>
    <row r="19">
      <c r="B19" s="20" t="s">
        <v>41</v>
      </c>
      <c r="C19" s="21" t="s">
        <v>42</v>
      </c>
      <c r="D19" s="22">
        <v>800.0</v>
      </c>
      <c r="E19" s="4">
        <v>43626.0</v>
      </c>
    </row>
    <row r="20">
      <c r="B20" s="20" t="s">
        <v>43</v>
      </c>
      <c r="C20" s="21">
        <v>1.0</v>
      </c>
      <c r="D20" s="22">
        <v>1200.0</v>
      </c>
      <c r="E20" s="4">
        <v>43626.0</v>
      </c>
    </row>
    <row r="21">
      <c r="B21" s="20" t="s">
        <v>44</v>
      </c>
      <c r="C21" s="21" t="s">
        <v>45</v>
      </c>
      <c r="D21" s="22">
        <v>9000.0</v>
      </c>
      <c r="E21" s="4">
        <v>43627.0</v>
      </c>
    </row>
    <row r="22">
      <c r="B22" s="20" t="s">
        <v>46</v>
      </c>
      <c r="C22" s="21" t="s">
        <v>45</v>
      </c>
      <c r="D22" s="22">
        <v>300.0</v>
      </c>
      <c r="E22" s="4">
        <v>43627.0</v>
      </c>
    </row>
    <row r="23">
      <c r="B23" s="20" t="s">
        <v>47</v>
      </c>
      <c r="C23" s="21" t="s">
        <v>45</v>
      </c>
      <c r="D23" s="22">
        <v>650.0</v>
      </c>
      <c r="E23" s="4">
        <v>43633.0</v>
      </c>
    </row>
    <row r="24">
      <c r="B24" s="20" t="s">
        <v>20</v>
      </c>
      <c r="C24" s="21" t="s">
        <v>48</v>
      </c>
      <c r="D24" s="22">
        <v>1200.0</v>
      </c>
      <c r="E24" s="4">
        <v>43634.0</v>
      </c>
    </row>
    <row r="25">
      <c r="B25" s="20" t="s">
        <v>49</v>
      </c>
      <c r="C25" s="21">
        <v>1.0</v>
      </c>
      <c r="D25" s="22">
        <v>700.0</v>
      </c>
      <c r="E25" s="4">
        <v>43634.0</v>
      </c>
    </row>
    <row r="26">
      <c r="B26" s="20" t="s">
        <v>20</v>
      </c>
      <c r="C26" s="21" t="s">
        <v>48</v>
      </c>
      <c r="D26" s="22">
        <v>1200.0</v>
      </c>
      <c r="E26" s="4">
        <v>43640.0</v>
      </c>
    </row>
    <row r="27">
      <c r="B27" s="20" t="s">
        <v>50</v>
      </c>
      <c r="C27" s="21" t="s">
        <v>51</v>
      </c>
      <c r="D27" s="22">
        <v>350.0</v>
      </c>
      <c r="E27" s="4">
        <v>43640.0</v>
      </c>
    </row>
    <row r="28">
      <c r="B28" s="23"/>
      <c r="C28" s="24"/>
      <c r="D28" s="25"/>
      <c r="E28" s="24"/>
    </row>
    <row r="29">
      <c r="B29" s="23"/>
      <c r="C29" s="24"/>
      <c r="D29" s="25"/>
      <c r="E29" s="24"/>
    </row>
    <row r="30">
      <c r="B30" s="23"/>
      <c r="C30" s="24"/>
      <c r="D30" s="25"/>
      <c r="E30" s="24"/>
    </row>
    <row r="31">
      <c r="B31" s="26" t="s">
        <v>13</v>
      </c>
      <c r="C31" s="24"/>
      <c r="D31" s="27">
        <f>SUM(D3:D30)</f>
        <v>74718</v>
      </c>
      <c r="E31" s="24"/>
    </row>
    <row r="32">
      <c r="B32" s="28" t="s">
        <v>52</v>
      </c>
      <c r="C32" s="29"/>
      <c r="D32" s="30">
        <v>80000.0</v>
      </c>
      <c r="E32" s="29"/>
    </row>
    <row r="33">
      <c r="B33" s="31" t="s">
        <v>53</v>
      </c>
      <c r="C33" s="29"/>
      <c r="D33" s="11">
        <f>D32-D31</f>
        <v>5282</v>
      </c>
      <c r="E33" s="2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2" t="s">
        <v>0</v>
      </c>
      <c r="C1" s="33" t="s">
        <v>54</v>
      </c>
      <c r="D1" s="33" t="s">
        <v>55</v>
      </c>
      <c r="E1" s="33" t="s">
        <v>56</v>
      </c>
      <c r="F1" s="33" t="s">
        <v>57</v>
      </c>
      <c r="G1" s="34" t="s">
        <v>58</v>
      </c>
      <c r="H1" s="33" t="s">
        <v>59</v>
      </c>
    </row>
    <row r="2">
      <c r="A2" s="3" t="s">
        <v>6</v>
      </c>
      <c r="B2" s="4">
        <v>43617.0</v>
      </c>
      <c r="C2" s="35">
        <v>1.0</v>
      </c>
      <c r="D2" s="35">
        <v>1.0</v>
      </c>
      <c r="E2" s="35">
        <v>1.0</v>
      </c>
      <c r="F2" s="35">
        <v>1.0</v>
      </c>
      <c r="G2" s="36">
        <v>0.0</v>
      </c>
      <c r="H2" s="36">
        <v>0.0</v>
      </c>
    </row>
    <row r="3">
      <c r="A3" s="3" t="s">
        <v>7</v>
      </c>
      <c r="B3" s="4">
        <v>43618.0</v>
      </c>
      <c r="C3" s="35">
        <v>1.0</v>
      </c>
      <c r="D3" s="35">
        <v>0.0</v>
      </c>
      <c r="E3" s="35">
        <v>1.0</v>
      </c>
      <c r="F3" s="35">
        <v>1.0</v>
      </c>
      <c r="G3" s="36">
        <v>0.0</v>
      </c>
      <c r="H3" s="36">
        <v>0.0</v>
      </c>
    </row>
    <row r="4">
      <c r="A4" s="3" t="s">
        <v>8</v>
      </c>
      <c r="B4" s="4">
        <v>43619.0</v>
      </c>
      <c r="C4" s="35">
        <v>1.0</v>
      </c>
      <c r="D4" s="35">
        <v>1.0</v>
      </c>
      <c r="E4" s="35">
        <v>0.0</v>
      </c>
      <c r="F4" s="35">
        <v>1.0</v>
      </c>
      <c r="G4" s="36">
        <v>0.0</v>
      </c>
      <c r="H4" s="36">
        <v>0.0</v>
      </c>
    </row>
    <row r="5">
      <c r="A5" s="3" t="s">
        <v>9</v>
      </c>
      <c r="B5" s="4">
        <v>43620.0</v>
      </c>
      <c r="C5" s="35">
        <v>0.0</v>
      </c>
      <c r="D5" s="35">
        <v>0.0</v>
      </c>
      <c r="E5" s="35">
        <v>0.0</v>
      </c>
      <c r="F5" s="35">
        <v>0.0</v>
      </c>
      <c r="G5" s="36">
        <v>0.0</v>
      </c>
      <c r="H5" s="36">
        <v>0.0</v>
      </c>
    </row>
    <row r="6">
      <c r="A6" s="3" t="s">
        <v>10</v>
      </c>
      <c r="B6" s="4">
        <v>43621.0</v>
      </c>
      <c r="C6" s="35">
        <v>0.0</v>
      </c>
      <c r="D6" s="35">
        <v>0.0</v>
      </c>
      <c r="E6" s="35">
        <v>0.0</v>
      </c>
      <c r="F6" s="35">
        <v>0.0</v>
      </c>
      <c r="G6" s="36">
        <v>0.0</v>
      </c>
      <c r="H6" s="36">
        <v>0.0</v>
      </c>
    </row>
    <row r="7">
      <c r="A7" s="3" t="s">
        <v>11</v>
      </c>
      <c r="B7" s="4">
        <v>43622.0</v>
      </c>
      <c r="C7" s="35">
        <v>0.0</v>
      </c>
      <c r="D7" s="35">
        <v>0.0</v>
      </c>
      <c r="E7" s="35">
        <v>0.0</v>
      </c>
      <c r="F7" s="35">
        <v>0.0</v>
      </c>
      <c r="G7" s="36">
        <v>0.0</v>
      </c>
      <c r="H7" s="36">
        <v>0.0</v>
      </c>
    </row>
    <row r="8">
      <c r="A8" s="7" t="s">
        <v>12</v>
      </c>
      <c r="B8" s="8">
        <v>43623.0</v>
      </c>
      <c r="C8" s="37">
        <v>0.0</v>
      </c>
      <c r="D8" s="37">
        <v>0.0</v>
      </c>
      <c r="E8" s="37">
        <v>0.0</v>
      </c>
      <c r="F8" s="37">
        <v>0.0</v>
      </c>
      <c r="G8" s="38">
        <v>0.0</v>
      </c>
      <c r="H8" s="38">
        <v>0.0</v>
      </c>
    </row>
    <row r="9">
      <c r="A9" s="3" t="s">
        <v>6</v>
      </c>
      <c r="B9" s="4">
        <v>43624.0</v>
      </c>
      <c r="C9" s="35">
        <v>0.0</v>
      </c>
      <c r="D9" s="35">
        <v>0.0</v>
      </c>
      <c r="E9" s="35">
        <v>0.0</v>
      </c>
      <c r="F9" s="35">
        <v>0.0</v>
      </c>
      <c r="G9" s="36">
        <v>0.0</v>
      </c>
      <c r="H9" s="36">
        <v>0.0</v>
      </c>
    </row>
    <row r="10">
      <c r="A10" s="3" t="s">
        <v>7</v>
      </c>
      <c r="B10" s="4">
        <v>43625.0</v>
      </c>
      <c r="C10" s="35">
        <v>0.0</v>
      </c>
      <c r="D10" s="35">
        <v>1.0</v>
      </c>
      <c r="E10" s="35">
        <v>1.0</v>
      </c>
      <c r="F10" s="35">
        <v>0.0</v>
      </c>
      <c r="G10" s="36">
        <v>0.0</v>
      </c>
      <c r="H10" s="36">
        <v>0.0</v>
      </c>
    </row>
    <row r="11">
      <c r="A11" s="3" t="s">
        <v>8</v>
      </c>
      <c r="B11" s="4">
        <v>43626.0</v>
      </c>
      <c r="C11" s="35">
        <v>1.0</v>
      </c>
      <c r="D11" s="35">
        <v>0.0</v>
      </c>
      <c r="E11" s="35">
        <v>1.0</v>
      </c>
      <c r="F11" s="35">
        <v>1.0</v>
      </c>
      <c r="G11" s="36">
        <v>0.0</v>
      </c>
      <c r="H11" s="36">
        <v>0.0</v>
      </c>
    </row>
    <row r="12">
      <c r="A12" s="3" t="s">
        <v>9</v>
      </c>
      <c r="B12" s="4">
        <v>43627.0</v>
      </c>
      <c r="C12" s="35">
        <v>1.0</v>
      </c>
      <c r="D12" s="35">
        <v>0.0</v>
      </c>
      <c r="E12" s="35">
        <v>1.0</v>
      </c>
      <c r="F12" s="35">
        <v>1.0</v>
      </c>
      <c r="G12" s="36">
        <v>0.0</v>
      </c>
      <c r="H12" s="36">
        <v>0.0</v>
      </c>
    </row>
    <row r="13">
      <c r="A13" s="3" t="s">
        <v>10</v>
      </c>
      <c r="B13" s="4">
        <v>43628.0</v>
      </c>
      <c r="C13" s="35">
        <v>1.0</v>
      </c>
      <c r="D13" s="35">
        <v>1.0</v>
      </c>
      <c r="E13" s="35">
        <v>0.0</v>
      </c>
      <c r="F13" s="35">
        <v>1.0</v>
      </c>
      <c r="G13" s="36">
        <v>0.0</v>
      </c>
      <c r="H13" s="36">
        <v>0.0</v>
      </c>
    </row>
    <row r="14">
      <c r="A14" s="3" t="s">
        <v>11</v>
      </c>
      <c r="B14" s="4">
        <v>43629.0</v>
      </c>
      <c r="C14" s="35">
        <v>1.0</v>
      </c>
      <c r="D14" s="35">
        <v>1.0</v>
      </c>
      <c r="E14" s="35">
        <v>0.0</v>
      </c>
      <c r="F14" s="35">
        <v>1.0</v>
      </c>
      <c r="G14" s="36">
        <v>0.0</v>
      </c>
      <c r="H14" s="36">
        <v>0.0</v>
      </c>
    </row>
    <row r="15">
      <c r="A15" s="7" t="s">
        <v>12</v>
      </c>
      <c r="B15" s="8">
        <v>43630.0</v>
      </c>
      <c r="C15" s="37">
        <v>0.0</v>
      </c>
      <c r="D15" s="37">
        <v>0.0</v>
      </c>
      <c r="E15" s="37">
        <v>0.0</v>
      </c>
      <c r="F15" s="37">
        <v>0.0</v>
      </c>
      <c r="G15" s="38">
        <v>0.0</v>
      </c>
      <c r="H15" s="38">
        <v>0.0</v>
      </c>
    </row>
    <row r="16">
      <c r="A16" s="3" t="s">
        <v>6</v>
      </c>
      <c r="B16" s="4">
        <v>43631.0</v>
      </c>
      <c r="C16" s="35">
        <v>1.0</v>
      </c>
      <c r="D16" s="35">
        <v>1.0</v>
      </c>
      <c r="E16" s="35">
        <v>1.0</v>
      </c>
      <c r="F16" s="35">
        <v>1.0</v>
      </c>
      <c r="G16" s="36">
        <v>1.0</v>
      </c>
      <c r="H16" s="36">
        <v>0.0</v>
      </c>
    </row>
    <row r="17">
      <c r="A17" s="3" t="s">
        <v>7</v>
      </c>
      <c r="B17" s="4">
        <v>43632.0</v>
      </c>
      <c r="C17" s="35">
        <v>1.0</v>
      </c>
      <c r="D17" s="35">
        <v>0.0</v>
      </c>
      <c r="E17" s="35">
        <v>1.0</v>
      </c>
      <c r="F17" s="35">
        <v>1.0</v>
      </c>
      <c r="G17" s="36">
        <v>1.0</v>
      </c>
      <c r="H17" s="36">
        <v>0.0</v>
      </c>
    </row>
    <row r="18">
      <c r="A18" s="3" t="s">
        <v>8</v>
      </c>
      <c r="B18" s="4">
        <v>43633.0</v>
      </c>
      <c r="C18" s="35">
        <v>1.0</v>
      </c>
      <c r="D18" s="35">
        <v>0.0</v>
      </c>
      <c r="E18" s="35">
        <v>1.0</v>
      </c>
      <c r="F18" s="35">
        <v>1.0</v>
      </c>
      <c r="G18" s="36">
        <v>1.0</v>
      </c>
      <c r="H18" s="36">
        <v>0.0</v>
      </c>
    </row>
    <row r="19">
      <c r="A19" s="3" t="s">
        <v>9</v>
      </c>
      <c r="B19" s="4">
        <v>43634.0</v>
      </c>
      <c r="C19" s="35">
        <v>1.0</v>
      </c>
      <c r="D19" s="35">
        <v>0.0</v>
      </c>
      <c r="E19" s="35">
        <v>1.0</v>
      </c>
      <c r="F19" s="35">
        <v>1.0</v>
      </c>
      <c r="G19" s="36" t="s">
        <v>60</v>
      </c>
      <c r="H19" s="36">
        <v>1.0</v>
      </c>
    </row>
    <row r="20">
      <c r="A20" s="3" t="s">
        <v>10</v>
      </c>
      <c r="B20" s="4">
        <v>43635.0</v>
      </c>
      <c r="C20" s="35">
        <v>1.0</v>
      </c>
      <c r="D20" s="35">
        <v>0.0</v>
      </c>
      <c r="E20" s="35">
        <v>1.0</v>
      </c>
      <c r="F20" s="35">
        <v>1.0</v>
      </c>
      <c r="G20" s="36">
        <v>0.0</v>
      </c>
      <c r="H20" s="36">
        <v>1.0</v>
      </c>
    </row>
    <row r="21">
      <c r="A21" s="3" t="s">
        <v>11</v>
      </c>
      <c r="B21" s="4">
        <v>43636.0</v>
      </c>
      <c r="C21" s="35">
        <v>1.0</v>
      </c>
      <c r="D21" s="35">
        <v>0.0</v>
      </c>
      <c r="E21" s="35">
        <v>1.0</v>
      </c>
      <c r="F21" s="35">
        <v>1.0</v>
      </c>
      <c r="G21" s="36">
        <v>0.0</v>
      </c>
      <c r="H21" s="36">
        <v>1.0</v>
      </c>
    </row>
    <row r="22">
      <c r="A22" s="7" t="s">
        <v>12</v>
      </c>
      <c r="B22" s="8">
        <v>43637.0</v>
      </c>
      <c r="C22" s="37">
        <v>0.0</v>
      </c>
      <c r="D22" s="37">
        <v>0.0</v>
      </c>
      <c r="E22" s="37">
        <v>0.0</v>
      </c>
      <c r="F22" s="37">
        <v>0.0</v>
      </c>
      <c r="G22" s="38">
        <v>0.0</v>
      </c>
      <c r="H22" s="38">
        <v>0.0</v>
      </c>
    </row>
    <row r="23">
      <c r="A23" s="3" t="s">
        <v>6</v>
      </c>
      <c r="B23" s="4">
        <v>43638.0</v>
      </c>
      <c r="C23" s="35">
        <v>1.0</v>
      </c>
      <c r="D23" s="35">
        <v>0.0</v>
      </c>
      <c r="E23" s="35">
        <v>1.0</v>
      </c>
      <c r="F23" s="35">
        <v>1.0</v>
      </c>
      <c r="G23" s="36">
        <v>0.0</v>
      </c>
      <c r="H23" s="36">
        <v>1.0</v>
      </c>
    </row>
    <row r="24">
      <c r="A24" s="3" t="s">
        <v>7</v>
      </c>
      <c r="B24" s="4">
        <v>43639.0</v>
      </c>
      <c r="C24" s="35">
        <v>1.0</v>
      </c>
      <c r="D24" s="35">
        <v>0.0</v>
      </c>
      <c r="E24" s="35">
        <v>1.0</v>
      </c>
      <c r="F24" s="35">
        <v>1.0</v>
      </c>
      <c r="G24" s="36">
        <v>0.0</v>
      </c>
      <c r="H24" s="36">
        <v>1.0</v>
      </c>
    </row>
    <row r="25">
      <c r="A25" s="3" t="s">
        <v>8</v>
      </c>
      <c r="B25" s="4">
        <v>43640.0</v>
      </c>
      <c r="C25" s="35">
        <v>1.0</v>
      </c>
      <c r="D25" s="35">
        <v>0.0</v>
      </c>
      <c r="E25" s="35">
        <v>1.0</v>
      </c>
      <c r="F25" s="35">
        <v>1.0</v>
      </c>
      <c r="G25" s="36">
        <v>0.0</v>
      </c>
      <c r="H25" s="36">
        <v>1.0</v>
      </c>
    </row>
    <row r="26">
      <c r="A26" s="3" t="s">
        <v>9</v>
      </c>
      <c r="B26" s="4">
        <v>43641.0</v>
      </c>
      <c r="C26" s="35">
        <v>1.0</v>
      </c>
      <c r="D26" s="35">
        <v>0.0</v>
      </c>
      <c r="E26" s="35">
        <v>1.0</v>
      </c>
      <c r="F26" s="35">
        <v>1.0</v>
      </c>
      <c r="G26" s="36">
        <v>0.0</v>
      </c>
      <c r="H26" s="36">
        <v>1.0</v>
      </c>
    </row>
    <row r="27">
      <c r="A27" s="3" t="s">
        <v>10</v>
      </c>
      <c r="B27" s="4">
        <v>43642.0</v>
      </c>
      <c r="C27" s="35">
        <v>1.0</v>
      </c>
      <c r="D27" s="35">
        <v>0.0</v>
      </c>
      <c r="E27" s="35">
        <v>1.0</v>
      </c>
      <c r="F27" s="35">
        <v>1.0</v>
      </c>
      <c r="G27" s="36">
        <v>0.0</v>
      </c>
      <c r="H27" s="36">
        <v>1.0</v>
      </c>
    </row>
    <row r="28">
      <c r="A28" s="3" t="s">
        <v>11</v>
      </c>
      <c r="B28" s="4">
        <v>43643.0</v>
      </c>
      <c r="C28" s="35">
        <v>1.0</v>
      </c>
      <c r="D28" s="35">
        <v>0.0</v>
      </c>
      <c r="E28" s="35">
        <v>1.0</v>
      </c>
      <c r="F28" s="35">
        <v>1.0</v>
      </c>
      <c r="G28" s="36">
        <v>0.0</v>
      </c>
      <c r="H28" s="36">
        <v>1.0</v>
      </c>
    </row>
    <row r="29">
      <c r="A29" s="7" t="s">
        <v>12</v>
      </c>
      <c r="B29" s="8">
        <v>43644.0</v>
      </c>
      <c r="C29" s="37">
        <v>0.0</v>
      </c>
      <c r="D29" s="37">
        <v>0.0</v>
      </c>
      <c r="E29" s="37">
        <v>0.0</v>
      </c>
      <c r="F29" s="37">
        <v>0.0</v>
      </c>
      <c r="G29" s="38">
        <v>0.0</v>
      </c>
      <c r="H29" s="38">
        <v>0.0</v>
      </c>
    </row>
    <row r="30">
      <c r="A30" s="3" t="s">
        <v>6</v>
      </c>
      <c r="B30" s="4">
        <v>43645.0</v>
      </c>
      <c r="C30" s="35">
        <v>1.0</v>
      </c>
      <c r="D30" s="35">
        <v>1.0</v>
      </c>
      <c r="E30" s="35">
        <v>1.0</v>
      </c>
      <c r="F30" s="35">
        <v>1.0</v>
      </c>
      <c r="G30" s="36">
        <v>0.0</v>
      </c>
      <c r="H30" s="36">
        <v>1.0</v>
      </c>
    </row>
    <row r="31">
      <c r="A31" s="3" t="s">
        <v>7</v>
      </c>
      <c r="B31" s="4">
        <v>43646.0</v>
      </c>
      <c r="C31" s="35">
        <v>1.0</v>
      </c>
      <c r="D31" s="35">
        <v>0.0</v>
      </c>
      <c r="E31" s="35">
        <v>1.0</v>
      </c>
      <c r="F31" s="35">
        <v>0.0</v>
      </c>
      <c r="G31" s="36">
        <v>0.0</v>
      </c>
      <c r="H31" s="36">
        <v>1.0</v>
      </c>
    </row>
    <row r="32">
      <c r="B32" s="39" t="s">
        <v>13</v>
      </c>
      <c r="C32" s="40">
        <f t="shared" ref="C32:H32" si="1">SUM(C2:C31)</f>
        <v>21</v>
      </c>
      <c r="D32" s="40">
        <f t="shared" si="1"/>
        <v>7</v>
      </c>
      <c r="E32" s="40">
        <f t="shared" si="1"/>
        <v>19</v>
      </c>
      <c r="F32" s="40">
        <f t="shared" si="1"/>
        <v>20</v>
      </c>
      <c r="G32" s="41">
        <f t="shared" si="1"/>
        <v>3</v>
      </c>
      <c r="H32" s="41">
        <f t="shared" si="1"/>
        <v>11</v>
      </c>
    </row>
    <row r="33">
      <c r="B33" s="35" t="s">
        <v>61</v>
      </c>
      <c r="C33" s="5">
        <v>2000.0</v>
      </c>
      <c r="D33" s="5">
        <v>1000.0</v>
      </c>
      <c r="E33" s="5">
        <v>1200.0</v>
      </c>
      <c r="F33" s="5">
        <v>1000.0</v>
      </c>
      <c r="G33" s="5">
        <v>1000.0</v>
      </c>
      <c r="H33" s="5">
        <v>1000.0</v>
      </c>
    </row>
    <row r="34">
      <c r="B34" s="42" t="s">
        <v>62</v>
      </c>
      <c r="C34" s="43">
        <f t="shared" ref="C34:F34" si="2">C33*C32</f>
        <v>42000</v>
      </c>
      <c r="D34" s="43">
        <f t="shared" si="2"/>
        <v>7000</v>
      </c>
      <c r="E34" s="43">
        <f t="shared" si="2"/>
        <v>22800</v>
      </c>
      <c r="F34" s="43">
        <f t="shared" si="2"/>
        <v>20000</v>
      </c>
      <c r="G34" s="43">
        <f t="shared" ref="G34:H34" si="3">G32*G33</f>
        <v>3000</v>
      </c>
      <c r="H34" s="43">
        <f t="shared" si="3"/>
        <v>11000</v>
      </c>
      <c r="I34" s="44">
        <f>SUM(C34:H34)</f>
        <v>105800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45"/>
      <c r="C5" s="46" t="s">
        <v>3</v>
      </c>
      <c r="D5" s="46" t="s">
        <v>0</v>
      </c>
      <c r="E5" s="1"/>
      <c r="F5" s="1"/>
      <c r="G5" s="1"/>
      <c r="H5" s="1"/>
      <c r="I5" s="1"/>
      <c r="J5" s="1"/>
      <c r="K5" s="1"/>
    </row>
    <row r="6">
      <c r="A6" s="1"/>
      <c r="B6" s="21" t="s">
        <v>54</v>
      </c>
      <c r="C6" s="5">
        <v>42000.0</v>
      </c>
      <c r="D6" s="47">
        <v>43617.0</v>
      </c>
      <c r="E6" s="1"/>
      <c r="F6" s="1"/>
      <c r="G6" s="1"/>
      <c r="H6" s="1"/>
      <c r="I6" s="1"/>
      <c r="J6" s="1"/>
      <c r="K6" s="1"/>
    </row>
    <row r="7">
      <c r="A7" s="1"/>
      <c r="B7" s="21" t="s">
        <v>56</v>
      </c>
      <c r="C7" s="5">
        <v>22800.0</v>
      </c>
      <c r="D7" s="47">
        <v>43617.0</v>
      </c>
      <c r="E7" s="1"/>
      <c r="F7" s="1"/>
      <c r="G7" s="1"/>
      <c r="H7" s="1"/>
      <c r="I7" s="1"/>
      <c r="J7" s="1"/>
      <c r="K7" s="1"/>
    </row>
    <row r="8">
      <c r="A8" s="1"/>
      <c r="B8" s="21" t="s">
        <v>55</v>
      </c>
      <c r="C8" s="5">
        <v>7000.0</v>
      </c>
      <c r="D8" s="47">
        <v>43617.0</v>
      </c>
      <c r="E8" s="1"/>
      <c r="F8" s="1"/>
      <c r="G8" s="1"/>
      <c r="H8" s="1"/>
      <c r="I8" s="1"/>
      <c r="J8" s="1"/>
      <c r="K8" s="1"/>
    </row>
    <row r="9">
      <c r="A9" s="1"/>
      <c r="B9" s="21" t="s">
        <v>57</v>
      </c>
      <c r="C9" s="5">
        <v>20000.0</v>
      </c>
      <c r="D9" s="47">
        <v>43617.0</v>
      </c>
      <c r="E9" s="48"/>
      <c r="F9" s="1"/>
      <c r="G9" s="1"/>
      <c r="H9" s="1"/>
      <c r="I9" s="1"/>
      <c r="J9" s="1"/>
      <c r="K9" s="1"/>
    </row>
    <row r="10">
      <c r="A10" s="1"/>
      <c r="B10" s="49" t="s">
        <v>58</v>
      </c>
      <c r="C10" s="50">
        <v>3500.0</v>
      </c>
      <c r="D10" s="4">
        <v>43631.0</v>
      </c>
      <c r="E10" s="51">
        <v>43634.0</v>
      </c>
      <c r="F10" s="1"/>
      <c r="G10" s="1"/>
      <c r="H10" s="1"/>
      <c r="I10" s="1"/>
      <c r="J10" s="1"/>
      <c r="K10" s="1"/>
    </row>
    <row r="11">
      <c r="A11" s="1"/>
      <c r="B11" s="49" t="s">
        <v>59</v>
      </c>
      <c r="C11" s="50">
        <v>11000.0</v>
      </c>
      <c r="D11" s="4">
        <v>43634.0</v>
      </c>
      <c r="E11" s="1"/>
      <c r="F11" s="1"/>
      <c r="G11" s="1"/>
      <c r="H11" s="1"/>
      <c r="I11" s="1"/>
      <c r="J11" s="1"/>
      <c r="K11" s="1"/>
    </row>
    <row r="12">
      <c r="A12" s="1"/>
      <c r="B12" s="52" t="s">
        <v>13</v>
      </c>
      <c r="C12" s="11">
        <f>SUM(C6:C11)</f>
        <v>106300</v>
      </c>
      <c r="D12" s="21" t="s">
        <v>45</v>
      </c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</sheetData>
  <drawing r:id="rId1"/>
</worksheet>
</file>