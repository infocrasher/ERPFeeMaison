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AP" sheetId="1" r:id="rId4"/>
    <sheet state="visible" name="Pointage " sheetId="2" r:id="rId5"/>
    <sheet state="visible" name="les salaires " sheetId="3" r:id="rId6"/>
    <sheet state="visible" name="Les charges " sheetId="4" r:id="rId7"/>
    <sheet state="visible" name="Feuille 5" sheetId="5" r:id="rId8"/>
    <sheet state="visible" name="hhh" sheetId="6" r:id="rId9"/>
  </sheets>
  <definedNames/>
  <calcPr/>
</workbook>
</file>

<file path=xl/sharedStrings.xml><?xml version="1.0" encoding="utf-8"?>
<sst xmlns="http://schemas.openxmlformats.org/spreadsheetml/2006/main" count="516" uniqueCount="280">
  <si>
    <t>Date</t>
  </si>
  <si>
    <t>Recette Mars 2023</t>
  </si>
  <si>
    <t xml:space="preserve">Recette </t>
  </si>
  <si>
    <t>Charges</t>
  </si>
  <si>
    <t>Salaire</t>
  </si>
  <si>
    <t>Loyer</t>
  </si>
  <si>
    <t>Net Profit</t>
  </si>
  <si>
    <t>Nb de jours</t>
  </si>
  <si>
    <t>Objectif</t>
  </si>
  <si>
    <t>Décembre</t>
  </si>
  <si>
    <t>Bénéfice Moyen par jour</t>
  </si>
  <si>
    <t xml:space="preserve">Moyenne </t>
  </si>
  <si>
    <t xml:space="preserve">Moyenne salaire </t>
  </si>
  <si>
    <t xml:space="preserve">pourcentage du salaire vis à vis la recettte </t>
  </si>
  <si>
    <t>Samedi</t>
  </si>
  <si>
    <t>dimanche</t>
  </si>
  <si>
    <t>lundi</t>
  </si>
  <si>
    <t xml:space="preserve">Moyenne des charges par jour </t>
  </si>
  <si>
    <t xml:space="preserve">Objectif </t>
  </si>
  <si>
    <t>mardi</t>
  </si>
  <si>
    <t>mercredi</t>
  </si>
  <si>
    <t>²</t>
  </si>
  <si>
    <t>jeudi</t>
  </si>
  <si>
    <t>vendredi</t>
  </si>
  <si>
    <t xml:space="preserve">Cash restant </t>
  </si>
  <si>
    <t>Magasin</t>
  </si>
  <si>
    <t xml:space="preserve">caisse </t>
  </si>
  <si>
    <t>samedi</t>
  </si>
  <si>
    <t xml:space="preserve"> </t>
  </si>
  <si>
    <t>Sofiane: 14000+20000+42000+38000-1800-1250+17000-59700+21000+15000+22000+28000+16000-1500+3000+50000-12000+53500+30000-70000+13000+36000+31000</t>
  </si>
  <si>
    <t>loyer</t>
  </si>
  <si>
    <t>caisse : 26000+ Brahim 1250+1000+2000</t>
  </si>
  <si>
    <t xml:space="preserve">charges Mais </t>
  </si>
  <si>
    <t>Literie Soummam: 171000</t>
  </si>
  <si>
    <t>Différence mois de Janvier</t>
  </si>
  <si>
    <t xml:space="preserve">Recette Février </t>
  </si>
  <si>
    <t xml:space="preserve">Différence objectif </t>
  </si>
  <si>
    <t xml:space="preserve">charges </t>
  </si>
  <si>
    <t>Caisse</t>
  </si>
  <si>
    <t xml:space="preserve">Les vendredis </t>
  </si>
  <si>
    <t>Avance salaire</t>
  </si>
  <si>
    <t>Cash réel</t>
  </si>
  <si>
    <t>Cash restant</t>
  </si>
  <si>
    <t>rest à payer</t>
  </si>
  <si>
    <t xml:space="preserve">Mois de Janvier </t>
  </si>
  <si>
    <t>Ndjet</t>
  </si>
  <si>
    <t>Wahiba</t>
  </si>
  <si>
    <t>Lynda</t>
  </si>
  <si>
    <t>Fouzia</t>
  </si>
  <si>
    <t>Youssera</t>
  </si>
  <si>
    <t>Hafida</t>
  </si>
  <si>
    <t>Djamila</t>
  </si>
  <si>
    <t>Yasmine</t>
  </si>
  <si>
    <t>Kenza</t>
  </si>
  <si>
    <t>Samira</t>
  </si>
  <si>
    <t>Sarah</t>
  </si>
  <si>
    <t>Vendeuse</t>
  </si>
  <si>
    <t>Salima</t>
  </si>
  <si>
    <t>Remarque</t>
  </si>
  <si>
    <t xml:space="preserve">Nom </t>
  </si>
  <si>
    <t>Avance</t>
  </si>
  <si>
    <t xml:space="preserve">Salaire à payer </t>
  </si>
  <si>
    <t xml:space="preserve">Sofiane </t>
  </si>
  <si>
    <t>1800+1200+2000+11000+10000+14000</t>
  </si>
  <si>
    <t>viande + batterie +messerouf</t>
  </si>
  <si>
    <t>Amel</t>
  </si>
  <si>
    <t>le reste des 6k je les pris du salaire de Mai</t>
  </si>
  <si>
    <t>Nadjet</t>
  </si>
  <si>
    <t>6000+2000</t>
  </si>
  <si>
    <t>5000+5000</t>
  </si>
  <si>
    <t>TOTAL</t>
  </si>
  <si>
    <t>Produit</t>
  </si>
  <si>
    <t>Quantité</t>
  </si>
  <si>
    <t xml:space="preserve">Prix unitaire </t>
  </si>
  <si>
    <t>Prix</t>
  </si>
  <si>
    <t>Date d'achat</t>
  </si>
  <si>
    <t>levure nouara</t>
  </si>
  <si>
    <t>24/01/203</t>
  </si>
  <si>
    <t>vanille</t>
  </si>
  <si>
    <t>21/01/2023</t>
  </si>
  <si>
    <t xml:space="preserve">Chocolat wedjedane Noir </t>
  </si>
  <si>
    <t>chocolat wedjedene noisette</t>
  </si>
  <si>
    <t xml:space="preserve">chocolat wedjedane blanc </t>
  </si>
  <si>
    <t>chocolat wedjedane au lait</t>
  </si>
  <si>
    <t>Noix de cajou</t>
  </si>
  <si>
    <t xml:space="preserve">chocolat à tartiner </t>
  </si>
  <si>
    <t>sachet transparent</t>
  </si>
  <si>
    <t xml:space="preserve">fromage bidon Mont d'or </t>
  </si>
  <si>
    <t>270/03/2023</t>
  </si>
  <si>
    <t xml:space="preserve">fromage blanc </t>
  </si>
  <si>
    <t>les assietes</t>
  </si>
  <si>
    <t xml:space="preserve">3assila </t>
  </si>
  <si>
    <t>25/03/2023</t>
  </si>
  <si>
    <t>sanoudj</t>
  </si>
  <si>
    <t>djeldjelane</t>
  </si>
  <si>
    <t>habet halawa</t>
  </si>
  <si>
    <t>cerise confit</t>
  </si>
  <si>
    <t>les quissetes argentée</t>
  </si>
  <si>
    <t>Margarine Fleurial 250g 40 boites</t>
  </si>
  <si>
    <t>semen Madina 1,8kg</t>
  </si>
  <si>
    <t>huille elio 5 litres</t>
  </si>
  <si>
    <t>huile 1 litre</t>
  </si>
  <si>
    <t xml:space="preserve">Semoule Fine  Safina 25kg </t>
  </si>
  <si>
    <t>semoule sahel 10kg</t>
  </si>
  <si>
    <t>18/02/2023</t>
  </si>
  <si>
    <t>semoule Sahel 25kg</t>
  </si>
  <si>
    <t>17/01/2023</t>
  </si>
  <si>
    <t>semoule gros Moula 1kg</t>
  </si>
  <si>
    <t>semoule Moula Fine 10kg</t>
  </si>
  <si>
    <t>semoule gros Moula 10kg</t>
  </si>
  <si>
    <t>semoule Mama 1kg</t>
  </si>
  <si>
    <t xml:space="preserve">Leuvure Boulagère </t>
  </si>
  <si>
    <t>Khel</t>
  </si>
  <si>
    <t>14/12/2022</t>
  </si>
  <si>
    <t>fromage bidonprisident</t>
  </si>
  <si>
    <t>gherss</t>
  </si>
  <si>
    <t>cheddar</t>
  </si>
  <si>
    <t>Maa zehar</t>
  </si>
  <si>
    <t xml:space="preserve">boîte demie plateaux </t>
  </si>
  <si>
    <t>lave main</t>
  </si>
  <si>
    <t xml:space="preserve">sucre glace </t>
  </si>
  <si>
    <t>amande efilet</t>
  </si>
  <si>
    <t>amande</t>
  </si>
  <si>
    <t>pistache</t>
  </si>
  <si>
    <t>farine SIM 1kg</t>
  </si>
  <si>
    <t>amandes blanc</t>
  </si>
  <si>
    <t>Sucre 25kg</t>
  </si>
  <si>
    <t>Boites 48/10</t>
  </si>
  <si>
    <t>Boites 36/07</t>
  </si>
  <si>
    <t>Boites 08/07</t>
  </si>
  <si>
    <t>Sac croissant 24</t>
  </si>
  <si>
    <t>sac croissant 18</t>
  </si>
  <si>
    <t>Maiis 800g</t>
  </si>
  <si>
    <t>barquettes 1185</t>
  </si>
  <si>
    <t>hamoud bt 33cl</t>
  </si>
  <si>
    <t>soda canette</t>
  </si>
  <si>
    <t>soda canette Ananas</t>
  </si>
  <si>
    <t>Sel</t>
  </si>
  <si>
    <t>farine 25kg Sahel</t>
  </si>
  <si>
    <t>Barquette aluminium 1065</t>
  </si>
  <si>
    <t>sachets blanc 5kg</t>
  </si>
  <si>
    <t>boite polystere salade</t>
  </si>
  <si>
    <t xml:space="preserve">amndes blanc </t>
  </si>
  <si>
    <t>Tomate conserve 1kg</t>
  </si>
  <si>
    <t xml:space="preserve">Thon </t>
  </si>
  <si>
    <t>oeufs</t>
  </si>
  <si>
    <t xml:space="preserve">creme fraiche </t>
  </si>
  <si>
    <t>zebib</t>
  </si>
  <si>
    <t>poivre noir</t>
  </si>
  <si>
    <t>épice poulet</t>
  </si>
  <si>
    <t>Speciale pizza</t>
  </si>
  <si>
    <t>chalumeau</t>
  </si>
  <si>
    <t>24/03/2023</t>
  </si>
  <si>
    <t>tofia 2kg</t>
  </si>
  <si>
    <t>Cacao</t>
  </si>
  <si>
    <t>deyoul</t>
  </si>
  <si>
    <t>9etayef</t>
  </si>
  <si>
    <t xml:space="preserve">blanc de poulet </t>
  </si>
  <si>
    <t>cuisses</t>
  </si>
  <si>
    <t>isis</t>
  </si>
  <si>
    <t>bingo</t>
  </si>
  <si>
    <t>décapant</t>
  </si>
  <si>
    <t>Amir</t>
  </si>
  <si>
    <t>nechaf</t>
  </si>
  <si>
    <t>chou</t>
  </si>
  <si>
    <t>tomate fraiche</t>
  </si>
  <si>
    <t>pomme de terre</t>
  </si>
  <si>
    <t>carotte</t>
  </si>
  <si>
    <t>Salde</t>
  </si>
  <si>
    <t>bessel</t>
  </si>
  <si>
    <t>bessel+ poivre</t>
  </si>
  <si>
    <t>Hamissa</t>
  </si>
  <si>
    <t>kerouiya</t>
  </si>
  <si>
    <t>pain tacos</t>
  </si>
  <si>
    <t>fromage</t>
  </si>
  <si>
    <t>poivron</t>
  </si>
  <si>
    <t>frptoir</t>
  </si>
  <si>
    <t>papier absorbant</t>
  </si>
  <si>
    <t xml:space="preserve">salade </t>
  </si>
  <si>
    <t xml:space="preserve">persil + coriandre + menth </t>
  </si>
  <si>
    <t>poivre + herbe</t>
  </si>
  <si>
    <t xml:space="preserve">viande </t>
  </si>
  <si>
    <t>pate feuilleté</t>
  </si>
  <si>
    <t>poulet et blanc de poulet</t>
  </si>
  <si>
    <t xml:space="preserve">olive noir </t>
  </si>
  <si>
    <t xml:space="preserve">épinards+ slade </t>
  </si>
  <si>
    <t xml:space="preserve">flexy internet locale </t>
  </si>
  <si>
    <t xml:space="preserve">margarine flerial 500g 24 boites </t>
  </si>
  <si>
    <t xml:space="preserve">terida </t>
  </si>
  <si>
    <t>légumes</t>
  </si>
  <si>
    <t>légumes Dely Brahim</t>
  </si>
  <si>
    <t>Maizina</t>
  </si>
  <si>
    <t>Amande blanc</t>
  </si>
  <si>
    <t xml:space="preserve">levure boulongère </t>
  </si>
  <si>
    <t>aluminium</t>
  </si>
  <si>
    <t>papier cuisson</t>
  </si>
  <si>
    <t>fromage slice</t>
  </si>
  <si>
    <t>cème fraiche</t>
  </si>
  <si>
    <t>fromage bidon</t>
  </si>
  <si>
    <t>fromage Kokecheese</t>
  </si>
  <si>
    <t>keteyef</t>
  </si>
  <si>
    <t xml:space="preserve">poivre + poivron + tomate </t>
  </si>
  <si>
    <t>poivre poivron</t>
  </si>
  <si>
    <t>poulet haché et blanc d poulet</t>
  </si>
  <si>
    <t xml:space="preserve">épinards+ persil+coriandre </t>
  </si>
  <si>
    <t xml:space="preserve">blanc de poulet + poulet haché </t>
  </si>
  <si>
    <t xml:space="preserve">9etayef </t>
  </si>
  <si>
    <t>Lahecen</t>
  </si>
  <si>
    <t xml:space="preserve">les légumes </t>
  </si>
  <si>
    <t>viande hachée</t>
  </si>
  <si>
    <t xml:space="preserve">éssuit tout </t>
  </si>
  <si>
    <t>petit pois</t>
  </si>
  <si>
    <t>Javel +isis</t>
  </si>
  <si>
    <t xml:space="preserve">Facture d'eau </t>
  </si>
  <si>
    <t>tomte +poivre poivron</t>
  </si>
  <si>
    <t>fromage mot d'or</t>
  </si>
  <si>
    <t>les feuilles de Tacos</t>
  </si>
  <si>
    <t>lavettes</t>
  </si>
  <si>
    <t>Tofia caramel</t>
  </si>
  <si>
    <t>Sachers transparent</t>
  </si>
  <si>
    <t>Feuilletines</t>
  </si>
  <si>
    <t>colorant blanc</t>
  </si>
  <si>
    <t>Nacré</t>
  </si>
  <si>
    <t>Dentelle blanc 5,5</t>
  </si>
  <si>
    <t>Dentelle blanc 4,5</t>
  </si>
  <si>
    <t>Dentelle dorée 5,5</t>
  </si>
  <si>
    <t>Dentelle dorée 4,5</t>
  </si>
  <si>
    <t>Quissestes cigarzes</t>
  </si>
  <si>
    <t>épinards+ herbes</t>
  </si>
  <si>
    <t>citron</t>
  </si>
  <si>
    <t>ka3ek Nakkach</t>
  </si>
  <si>
    <t>rechta</t>
  </si>
  <si>
    <t>ketayef</t>
  </si>
  <si>
    <t>14004/2023</t>
  </si>
  <si>
    <t>miel 5kg</t>
  </si>
  <si>
    <t>huile 5 litres</t>
  </si>
  <si>
    <t>margarine Fleurial 500g 16 boites</t>
  </si>
  <si>
    <t>Boite</t>
  </si>
  <si>
    <t xml:space="preserve">Deyoul </t>
  </si>
  <si>
    <t>15/04/2023</t>
  </si>
  <si>
    <t xml:space="preserve">entre viande hachéé + poulet haché + blanc de poulet et viande </t>
  </si>
  <si>
    <t>facture éléctrité</t>
  </si>
  <si>
    <t>chajhfchiykhar gyy0</t>
  </si>
  <si>
    <t>legumes</t>
  </si>
  <si>
    <t>poulet</t>
  </si>
  <si>
    <t>viande hchéz</t>
  </si>
  <si>
    <t>ouef</t>
  </si>
  <si>
    <t xml:space="preserve">farine bk" </t>
  </si>
  <si>
    <t>farine normal</t>
  </si>
  <si>
    <t xml:space="preserve">sachets 3kg </t>
  </si>
  <si>
    <t xml:space="preserve">optella a tartiner </t>
  </si>
  <si>
    <t>déjancteur + rparation</t>
  </si>
  <si>
    <t>slimane boucher dely brahim</t>
  </si>
  <si>
    <t>flexy internet / credit ,,,</t>
  </si>
  <si>
    <t>détergents</t>
  </si>
  <si>
    <t xml:space="preserve">poulet </t>
  </si>
  <si>
    <t>25/04/2023bessel</t>
  </si>
  <si>
    <t>sachet+++</t>
  </si>
  <si>
    <t>tomate</t>
  </si>
  <si>
    <t>suce glace</t>
  </si>
  <si>
    <t>fromage mont d'or</t>
  </si>
  <si>
    <t>caowcao</t>
  </si>
  <si>
    <t>25/022</t>
  </si>
  <si>
    <t>sel</t>
  </si>
  <si>
    <t>viande morceau</t>
  </si>
  <si>
    <t>grande barquet</t>
  </si>
  <si>
    <t>blanc</t>
  </si>
  <si>
    <t>bénéfice</t>
  </si>
  <si>
    <t>Recette Avril</t>
  </si>
  <si>
    <t xml:space="preserve">Les Charges Mois d'Avril </t>
  </si>
  <si>
    <t>Laiterie Soummam</t>
  </si>
  <si>
    <t xml:space="preserve">Cash chez Sofiane </t>
  </si>
  <si>
    <t xml:space="preserve">Avance salaires </t>
  </si>
  <si>
    <t xml:space="preserve">La caisse </t>
  </si>
  <si>
    <t xml:space="preserve">Mois de Février </t>
  </si>
  <si>
    <t xml:space="preserve">Mois de Mars </t>
  </si>
  <si>
    <t>Mois d'Avril</t>
  </si>
  <si>
    <t>Salaires</t>
  </si>
  <si>
    <t xml:space="preserve">Profit Net </t>
  </si>
  <si>
    <t xml:space="preserve">cash restant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</si>
</sst>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#,##0.00\ [$€-1]"/>
    <numFmt numFmtId="166" formatCode="d/m/yyyy"/>
    <numFmt numFmtId="167" formatCode="dd/mm"/>
  </numFmts>
  <fonts count="22">
    <font>
      <sz val="10.0"/>
      <color rgb="FF000000"/>
      <name val="Arial"/>
      <scheme val="minor"/>
    </font>
    <font>
      <color theme="1"/>
      <name val="Arial"/>
    </font>
    <font>
      <b/>
      <sz val="14.0"/>
      <color theme="1"/>
      <name val="Arial"/>
    </font>
    <font>
      <sz val="18.0"/>
      <color theme="1"/>
      <name val="Arial"/>
    </font>
    <font>
      <sz val="18.0"/>
      <color rgb="FFFF0000"/>
      <name val="Arial"/>
    </font>
    <font>
      <sz val="18.0"/>
      <color rgb="FFFFFF00"/>
      <name val="Arial"/>
    </font>
    <font>
      <sz val="16.0"/>
      <color theme="1"/>
      <name val="Arial"/>
    </font>
    <font>
      <sz val="14.0"/>
      <color theme="1"/>
      <name val="Arial"/>
    </font>
    <font>
      <b/>
      <sz val="16.0"/>
      <color rgb="FFFF0000"/>
      <name val="Arial"/>
    </font>
    <font>
      <sz val="16.0"/>
      <color rgb="FFFF00FF"/>
      <name val="Arial"/>
    </font>
    <font>
      <sz val="16.0"/>
      <color rgb="FF434343"/>
      <name val="Arial"/>
    </font>
    <font>
      <sz val="18.0"/>
      <color rgb="FF1C4587"/>
      <name val="Arial"/>
    </font>
    <font>
      <b/>
      <sz val="18.0"/>
      <color theme="1"/>
      <name val="Arial"/>
    </font>
    <font>
      <sz val="19.0"/>
      <color theme="1"/>
      <name val="Arial"/>
      <scheme val="minor"/>
    </font>
    <font>
      <sz val="17.0"/>
      <color theme="1"/>
      <name val="Arial"/>
      <scheme val="minor"/>
    </font>
    <font>
      <color theme="1"/>
      <name val="Arial"/>
      <scheme val="minor"/>
    </font>
    <font>
      <b/>
      <sz val="24.0"/>
      <color theme="1"/>
      <name val="Arial"/>
    </font>
    <font>
      <sz val="18.0"/>
      <color theme="1"/>
      <name val="Arial"/>
      <scheme val="minor"/>
    </font>
    <font>
      <b/>
      <sz val="17.0"/>
      <color theme="1"/>
      <name val="Arial"/>
      <scheme val="minor"/>
    </font>
    <font>
      <b/>
      <sz val="18.0"/>
      <color theme="1"/>
      <name val="Arial"/>
      <scheme val="minor"/>
    </font>
    <font>
      <sz val="16.0"/>
      <color theme="1"/>
      <name val="Arial"/>
      <scheme val="minor"/>
    </font>
    <font>
      <sz val="15.0"/>
      <color theme="1"/>
      <name val="Arial"/>
      <scheme val="minor"/>
    </font>
  </fonts>
  <fills count="18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F0000"/>
        <bgColor rgb="FFFF0000"/>
      </patternFill>
    </fill>
    <fill>
      <patternFill patternType="solid">
        <fgColor rgb="FFC9DAF8"/>
        <bgColor rgb="FFC9DAF8"/>
      </patternFill>
    </fill>
    <fill>
      <patternFill patternType="solid">
        <fgColor rgb="FFEA9999"/>
        <bgColor rgb="FFEA9999"/>
      </patternFill>
    </fill>
    <fill>
      <patternFill patternType="solid">
        <fgColor rgb="FF3C78D8"/>
        <bgColor rgb="FF3C78D8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DD7E6B"/>
        <bgColor rgb="FFDD7E6B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</fills>
  <borders count="7"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5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2" fontId="2" numFmtId="0" xfId="0" applyAlignment="1" applyBorder="1" applyFill="1" applyFont="1">
      <alignment horizontal="center" vertical="bottom"/>
    </xf>
    <xf borderId="2" fillId="2" fontId="3" numFmtId="0" xfId="0" applyAlignment="1" applyBorder="1" applyFont="1">
      <alignment horizontal="center" readingOrder="0" vertical="bottom"/>
    </xf>
    <xf borderId="2" fillId="2" fontId="3" numFmtId="0" xfId="0" applyAlignment="1" applyBorder="1" applyFont="1">
      <alignment horizontal="center" vertical="bottom"/>
    </xf>
    <xf borderId="3" fillId="3" fontId="3" numFmtId="0" xfId="0" applyAlignment="1" applyBorder="1" applyFill="1" applyFont="1">
      <alignment horizontal="center" vertical="bottom"/>
    </xf>
    <xf borderId="2" fillId="4" fontId="3" numFmtId="0" xfId="0" applyAlignment="1" applyBorder="1" applyFill="1" applyFont="1">
      <alignment horizontal="center" vertical="bottom"/>
    </xf>
    <xf borderId="4" fillId="5" fontId="3" numFmtId="0" xfId="0" applyAlignment="1" applyBorder="1" applyFill="1" applyFont="1">
      <alignment horizontal="center" vertical="bottom"/>
    </xf>
    <xf borderId="0" fillId="6" fontId="3" numFmtId="0" xfId="0" applyAlignment="1" applyFill="1" applyFont="1">
      <alignment horizontal="center" vertical="bottom"/>
    </xf>
    <xf borderId="0" fillId="0" fontId="3" numFmtId="0" xfId="0" applyAlignment="1" applyFont="1">
      <alignment shrinkToFit="0" vertical="bottom" wrapText="0"/>
    </xf>
    <xf borderId="0" fillId="0" fontId="1" numFmtId="0" xfId="0" applyAlignment="1" applyFont="1">
      <alignment vertical="bottom"/>
    </xf>
    <xf borderId="5" fillId="7" fontId="3" numFmtId="0" xfId="0" applyAlignment="1" applyBorder="1" applyFill="1" applyFont="1">
      <alignment horizontal="center" readingOrder="0" vertical="bottom"/>
    </xf>
    <xf borderId="1" fillId="7" fontId="3" numFmtId="164" xfId="0" applyAlignment="1" applyBorder="1" applyFont="1" applyNumberFormat="1">
      <alignment horizontal="center" readingOrder="0" vertical="bottom"/>
    </xf>
    <xf borderId="1" fillId="7" fontId="3" numFmtId="165" xfId="0" applyAlignment="1" applyBorder="1" applyFont="1" applyNumberFormat="1">
      <alignment horizontal="center" readingOrder="0" vertical="bottom"/>
    </xf>
    <xf borderId="1" fillId="7" fontId="1" numFmtId="0" xfId="0" applyAlignment="1" applyBorder="1" applyFont="1">
      <alignment vertical="bottom"/>
    </xf>
    <xf borderId="1" fillId="7" fontId="3" numFmtId="0" xfId="0" applyAlignment="1" applyBorder="1" applyFont="1">
      <alignment horizontal="center" readingOrder="0" vertical="bottom"/>
    </xf>
    <xf borderId="5" fillId="7" fontId="1" numFmtId="165" xfId="0" applyAlignment="1" applyBorder="1" applyFont="1" applyNumberFormat="1">
      <alignment vertical="bottom"/>
    </xf>
    <xf borderId="1" fillId="7" fontId="3" numFmtId="165" xfId="0" applyAlignment="1" applyBorder="1" applyFont="1" applyNumberFormat="1">
      <alignment horizontal="center" vertical="bottom"/>
    </xf>
    <xf borderId="1" fillId="4" fontId="3" numFmtId="165" xfId="0" applyAlignment="1" applyBorder="1" applyFont="1" applyNumberFormat="1">
      <alignment horizontal="center" vertical="bottom"/>
    </xf>
    <xf borderId="0" fillId="0" fontId="3" numFmtId="165" xfId="0" applyAlignment="1" applyFont="1" applyNumberFormat="1">
      <alignment horizontal="center" vertical="bottom"/>
    </xf>
    <xf borderId="0" fillId="0" fontId="3" numFmtId="10" xfId="0" applyAlignment="1" applyFont="1" applyNumberFormat="1">
      <alignment horizontal="center" vertical="bottom"/>
    </xf>
    <xf borderId="0" fillId="0" fontId="1" numFmtId="10" xfId="0" applyAlignment="1" applyFont="1" applyNumberFormat="1">
      <alignment vertical="bottom"/>
    </xf>
    <xf borderId="1" fillId="8" fontId="3" numFmtId="165" xfId="0" applyAlignment="1" applyBorder="1" applyFill="1" applyFont="1" applyNumberFormat="1">
      <alignment horizontal="center" vertical="bottom"/>
    </xf>
    <xf borderId="1" fillId="6" fontId="3" numFmtId="0" xfId="0" applyAlignment="1" applyBorder="1" applyFont="1">
      <alignment horizontal="center" vertical="bottom"/>
    </xf>
    <xf borderId="1" fillId="6" fontId="3" numFmtId="165" xfId="0" applyAlignment="1" applyBorder="1" applyFont="1" applyNumberFormat="1">
      <alignment horizontal="center" vertical="bottom"/>
    </xf>
    <xf borderId="1" fillId="0" fontId="3" numFmtId="165" xfId="0" applyAlignment="1" applyBorder="1" applyFont="1" applyNumberFormat="1">
      <alignment horizontal="center" vertical="bottom"/>
    </xf>
    <xf borderId="5" fillId="8" fontId="3" numFmtId="0" xfId="0" applyAlignment="1" applyBorder="1" applyFont="1">
      <alignment horizontal="center" readingOrder="0" vertical="bottom"/>
    </xf>
    <xf borderId="1" fillId="8" fontId="3" numFmtId="164" xfId="0" applyAlignment="1" applyBorder="1" applyFont="1" applyNumberFormat="1">
      <alignment horizontal="center" readingOrder="0" vertical="bottom"/>
    </xf>
    <xf borderId="1" fillId="8" fontId="3" numFmtId="165" xfId="0" applyAlignment="1" applyBorder="1" applyFont="1" applyNumberFormat="1">
      <alignment horizontal="center" readingOrder="0" vertical="bottom"/>
    </xf>
    <xf borderId="1" fillId="8" fontId="1" numFmtId="0" xfId="0" applyAlignment="1" applyBorder="1" applyFont="1">
      <alignment vertical="bottom"/>
    </xf>
    <xf borderId="1" fillId="8" fontId="3" numFmtId="0" xfId="0" applyAlignment="1" applyBorder="1" applyFont="1">
      <alignment horizontal="center" readingOrder="0" vertical="bottom"/>
    </xf>
    <xf borderId="1" fillId="5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vertical="bottom"/>
    </xf>
    <xf borderId="4" fillId="0" fontId="1" numFmtId="0" xfId="0" applyAlignment="1" applyBorder="1" applyFont="1">
      <alignment vertical="bottom"/>
    </xf>
    <xf borderId="0" fillId="0" fontId="3" numFmtId="165" xfId="0" applyAlignment="1" applyFont="1" applyNumberFormat="1">
      <alignment horizontal="right" readingOrder="0" vertical="bottom"/>
    </xf>
    <xf borderId="1" fillId="0" fontId="1" numFmtId="165" xfId="0" applyAlignment="1" applyBorder="1" applyFont="1" applyNumberFormat="1">
      <alignment vertical="bottom"/>
    </xf>
    <xf borderId="1" fillId="0" fontId="1" numFmtId="0" xfId="0" applyAlignment="1" applyBorder="1" applyFont="1">
      <alignment horizontal="right" vertical="bottom"/>
    </xf>
    <xf borderId="1" fillId="0" fontId="3" numFmtId="165" xfId="0" applyAlignment="1" applyBorder="1" applyFont="1" applyNumberFormat="1">
      <alignment readingOrder="0" vertical="bottom"/>
    </xf>
    <xf borderId="1" fillId="0" fontId="3" numFmtId="165" xfId="0" applyAlignment="1" applyBorder="1" applyFont="1" applyNumberFormat="1">
      <alignment horizontal="right" readingOrder="0" vertical="bottom"/>
    </xf>
    <xf borderId="1" fillId="0" fontId="3" numFmtId="0" xfId="0" applyAlignment="1" applyBorder="1" applyFont="1">
      <alignment horizontal="center" vertical="bottom"/>
    </xf>
    <xf borderId="1" fillId="0" fontId="3" numFmtId="165" xfId="0" applyAlignment="1" applyBorder="1" applyFont="1" applyNumberFormat="1">
      <alignment horizontal="center" readingOrder="0" vertical="bottom"/>
    </xf>
    <xf borderId="0" fillId="0" fontId="3" numFmtId="0" xfId="0" applyAlignment="1" applyFont="1">
      <alignment readingOrder="0" vertical="bottom"/>
    </xf>
    <xf borderId="0" fillId="0" fontId="1" numFmtId="165" xfId="0" applyAlignment="1" applyFont="1" applyNumberFormat="1">
      <alignment vertical="bottom"/>
    </xf>
    <xf borderId="0" fillId="0" fontId="3" numFmtId="165" xfId="0" applyAlignment="1" applyFont="1" applyNumberFormat="1">
      <alignment horizontal="center" readingOrder="0" vertical="bottom"/>
    </xf>
    <xf borderId="0" fillId="0" fontId="3" numFmtId="0" xfId="0" applyAlignment="1" applyFont="1">
      <alignment vertical="bottom"/>
    </xf>
    <xf borderId="0" fillId="7" fontId="1" numFmtId="165" xfId="0" applyAlignment="1" applyFont="1" applyNumberFormat="1">
      <alignment vertical="bottom"/>
    </xf>
    <xf borderId="4" fillId="0" fontId="1" numFmtId="165" xfId="0" applyAlignment="1" applyBorder="1" applyFont="1" applyNumberFormat="1">
      <alignment vertical="bottom"/>
    </xf>
    <xf borderId="1" fillId="5" fontId="4" numFmtId="165" xfId="0" applyAlignment="1" applyBorder="1" applyFont="1" applyNumberFormat="1">
      <alignment horizontal="center" vertical="bottom"/>
    </xf>
    <xf borderId="6" fillId="0" fontId="1" numFmtId="165" xfId="0" applyAlignment="1" applyBorder="1" applyFont="1" applyNumberFormat="1">
      <alignment vertical="bottom"/>
    </xf>
    <xf borderId="1" fillId="9" fontId="5" numFmtId="0" xfId="0" applyAlignment="1" applyBorder="1" applyFill="1" applyFont="1">
      <alignment horizontal="center" vertical="bottom"/>
    </xf>
    <xf borderId="6" fillId="0" fontId="1" numFmtId="0" xfId="0" applyAlignment="1" applyBorder="1" applyFont="1">
      <alignment vertical="bottom"/>
    </xf>
    <xf borderId="1" fillId="9" fontId="3" numFmtId="0" xfId="0" applyAlignment="1" applyBorder="1" applyFont="1">
      <alignment horizontal="center" vertical="bottom"/>
    </xf>
    <xf borderId="1" fillId="10" fontId="3" numFmtId="165" xfId="0" applyAlignment="1" applyBorder="1" applyFill="1" applyFont="1" applyNumberFormat="1">
      <alignment horizontal="center" vertical="bottom"/>
    </xf>
    <xf borderId="1" fillId="11" fontId="3" numFmtId="165" xfId="0" applyAlignment="1" applyBorder="1" applyFill="1" applyFont="1" applyNumberFormat="1">
      <alignment horizontal="center" vertical="bottom"/>
    </xf>
    <xf borderId="1" fillId="12" fontId="3" numFmtId="165" xfId="0" applyAlignment="1" applyBorder="1" applyFill="1" applyFont="1" applyNumberFormat="1">
      <alignment horizontal="center" vertical="bottom"/>
    </xf>
    <xf borderId="1" fillId="13" fontId="3" numFmtId="165" xfId="0" applyAlignment="1" applyBorder="1" applyFill="1" applyFont="1" applyNumberFormat="1">
      <alignment horizontal="center" vertical="bottom"/>
    </xf>
    <xf borderId="1" fillId="3" fontId="3" numFmtId="0" xfId="0" applyAlignment="1" applyBorder="1" applyFont="1">
      <alignment horizontal="center" vertical="bottom"/>
    </xf>
    <xf borderId="5" fillId="0" fontId="1" numFmtId="165" xfId="0" applyAlignment="1" applyBorder="1" applyFont="1" applyNumberFormat="1">
      <alignment vertical="bottom"/>
    </xf>
    <xf borderId="1" fillId="7" fontId="3" numFmtId="165" xfId="0" applyAlignment="1" applyBorder="1" applyFont="1" applyNumberFormat="1">
      <alignment horizontal="right" vertical="bottom"/>
    </xf>
    <xf borderId="1" fillId="7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8" fontId="1" numFmtId="165" xfId="0" applyAlignment="1" applyBorder="1" applyFont="1" applyNumberFormat="1">
      <alignment vertical="bottom"/>
    </xf>
    <xf borderId="1" fillId="11" fontId="1" numFmtId="165" xfId="0" applyAlignment="1" applyBorder="1" applyFont="1" applyNumberFormat="1">
      <alignment vertical="bottom"/>
    </xf>
    <xf borderId="1" fillId="12" fontId="1" numFmtId="165" xfId="0" applyAlignment="1" applyBorder="1" applyFont="1" applyNumberFormat="1">
      <alignment vertical="bottom"/>
    </xf>
    <xf borderId="1" fillId="13" fontId="1" numFmtId="165" xfId="0" applyAlignment="1" applyBorder="1" applyFont="1" applyNumberFormat="1">
      <alignment vertical="bottom"/>
    </xf>
    <xf borderId="1" fillId="4" fontId="1" numFmtId="165" xfId="0" applyAlignment="1" applyBorder="1" applyFont="1" applyNumberFormat="1">
      <alignment vertical="bottom"/>
    </xf>
    <xf borderId="0" fillId="7" fontId="1" numFmtId="0" xfId="0" applyAlignment="1" applyFont="1">
      <alignment vertical="bottom"/>
    </xf>
    <xf borderId="1" fillId="2" fontId="3" numFmtId="0" xfId="0" applyAlignment="1" applyBorder="1" applyFont="1">
      <alignment horizontal="center" readingOrder="0" vertical="bottom"/>
    </xf>
    <xf borderId="5" fillId="2" fontId="3" numFmtId="0" xfId="0" applyAlignment="1" applyBorder="1" applyFont="1">
      <alignment horizontal="center" vertical="bottom"/>
    </xf>
    <xf borderId="1" fillId="7" fontId="6" numFmtId="0" xfId="0" applyAlignment="1" applyBorder="1" applyFont="1">
      <alignment horizontal="center" readingOrder="0" vertical="bottom"/>
    </xf>
    <xf borderId="5" fillId="7" fontId="6" numFmtId="0" xfId="0" applyAlignment="1" applyBorder="1" applyFont="1">
      <alignment horizontal="center" readingOrder="0" vertical="bottom"/>
    </xf>
    <xf borderId="1" fillId="7" fontId="7" numFmtId="0" xfId="0" applyAlignment="1" applyBorder="1" applyFont="1">
      <alignment vertical="bottom"/>
    </xf>
    <xf borderId="1" fillId="7" fontId="8" numFmtId="0" xfId="0" applyAlignment="1" applyBorder="1" applyFont="1">
      <alignment horizontal="center" readingOrder="0" vertical="bottom"/>
    </xf>
    <xf borderId="1" fillId="7" fontId="7" numFmtId="0" xfId="0" applyAlignment="1" applyBorder="1" applyFont="1">
      <alignment horizontal="center" vertical="bottom"/>
    </xf>
    <xf borderId="5" fillId="14" fontId="3" numFmtId="0" xfId="0" applyAlignment="1" applyBorder="1" applyFill="1" applyFont="1">
      <alignment horizontal="center" readingOrder="0" vertical="bottom"/>
    </xf>
    <xf borderId="1" fillId="14" fontId="3" numFmtId="164" xfId="0" applyAlignment="1" applyBorder="1" applyFont="1" applyNumberFormat="1">
      <alignment horizontal="center" readingOrder="0" vertical="bottom"/>
    </xf>
    <xf borderId="1" fillId="14" fontId="6" numFmtId="0" xfId="0" applyAlignment="1" applyBorder="1" applyFont="1">
      <alignment horizontal="center" readingOrder="0" vertical="bottom"/>
    </xf>
    <xf borderId="5" fillId="14" fontId="6" numFmtId="0" xfId="0" applyAlignment="1" applyBorder="1" applyFont="1">
      <alignment horizontal="center" readingOrder="0" vertical="bottom"/>
    </xf>
    <xf borderId="1" fillId="14" fontId="9" numFmtId="0" xfId="0" applyAlignment="1" applyBorder="1" applyFont="1">
      <alignment horizontal="center" readingOrder="0" vertical="bottom"/>
    </xf>
    <xf borderId="5" fillId="14" fontId="9" numFmtId="0" xfId="0" applyAlignment="1" applyBorder="1" applyFont="1">
      <alignment horizontal="center" readingOrder="0" vertical="bottom"/>
    </xf>
    <xf borderId="1" fillId="7" fontId="9" numFmtId="0" xfId="0" applyAlignment="1" applyBorder="1" applyFont="1">
      <alignment horizontal="center" readingOrder="0" vertical="bottom"/>
    </xf>
    <xf borderId="5" fillId="7" fontId="9" numFmtId="0" xfId="0" applyAlignment="1" applyBorder="1" applyFont="1">
      <alignment horizontal="center" readingOrder="0" vertical="bottom"/>
    </xf>
    <xf borderId="0" fillId="0" fontId="6" numFmtId="0" xfId="0" applyAlignment="1" applyFont="1">
      <alignment horizontal="center" readingOrder="0" vertical="bottom"/>
    </xf>
    <xf borderId="5" fillId="0" fontId="6" numFmtId="0" xfId="0" applyAlignment="1" applyBorder="1" applyFont="1">
      <alignment horizontal="center" readingOrder="0" vertical="bottom"/>
    </xf>
    <xf borderId="1" fillId="0" fontId="6" numFmtId="0" xfId="0" applyAlignment="1" applyBorder="1" applyFont="1">
      <alignment horizontal="center" readingOrder="0" vertical="bottom"/>
    </xf>
    <xf borderId="1" fillId="0" fontId="6" numFmtId="0" xfId="0" applyAlignment="1" applyBorder="1" applyFont="1">
      <alignment horizontal="center" vertical="bottom"/>
    </xf>
    <xf borderId="0" fillId="7" fontId="10" numFmtId="165" xfId="0" applyAlignment="1" applyFont="1" applyNumberFormat="1">
      <alignment horizontal="center" readingOrder="0" vertical="bottom"/>
    </xf>
    <xf borderId="5" fillId="7" fontId="10" numFmtId="165" xfId="0" applyAlignment="1" applyBorder="1" applyFont="1" applyNumberFormat="1">
      <alignment horizontal="center" readingOrder="0" vertical="bottom"/>
    </xf>
    <xf borderId="1" fillId="7" fontId="10" numFmtId="165" xfId="0" applyAlignment="1" applyBorder="1" applyFont="1" applyNumberFormat="1">
      <alignment horizontal="center" readingOrder="0" vertical="bottom"/>
    </xf>
    <xf borderId="1" fillId="7" fontId="6" numFmtId="165" xfId="0" applyAlignment="1" applyBorder="1" applyFont="1" applyNumberFormat="1">
      <alignment horizontal="center" vertical="bottom"/>
    </xf>
    <xf borderId="1" fillId="7" fontId="6" numFmtId="165" xfId="0" applyAlignment="1" applyBorder="1" applyFont="1" applyNumberFormat="1">
      <alignment horizontal="center" readingOrder="0" vertical="bottom"/>
    </xf>
    <xf borderId="1" fillId="7" fontId="1" numFmtId="165" xfId="0" applyAlignment="1" applyBorder="1" applyFont="1" applyNumberFormat="1">
      <alignment vertical="bottom"/>
    </xf>
    <xf borderId="0" fillId="6" fontId="11" numFmtId="165" xfId="0" applyAlignment="1" applyFont="1" applyNumberFormat="1">
      <alignment horizontal="center" vertical="bottom"/>
    </xf>
    <xf borderId="5" fillId="6" fontId="11" numFmtId="165" xfId="0" applyAlignment="1" applyBorder="1" applyFont="1" applyNumberFormat="1">
      <alignment horizontal="center" vertical="bottom"/>
    </xf>
    <xf borderId="1" fillId="6" fontId="11" numFmtId="165" xfId="0" applyAlignment="1" applyBorder="1" applyFont="1" applyNumberFormat="1">
      <alignment horizontal="center" vertical="bottom"/>
    </xf>
    <xf borderId="1" fillId="6" fontId="3" numFmtId="165" xfId="0" applyAlignment="1" applyBorder="1" applyFont="1" applyNumberFormat="1">
      <alignment horizontal="right" vertical="bottom"/>
    </xf>
    <xf borderId="1" fillId="9" fontId="3" numFmtId="165" xfId="0" applyAlignment="1" applyBorder="1" applyFont="1" applyNumberFormat="1">
      <alignment horizontal="right" vertical="bottom"/>
    </xf>
    <xf borderId="3" fillId="0" fontId="1" numFmtId="0" xfId="0" applyAlignment="1" applyBorder="1" applyFont="1">
      <alignment vertical="bottom"/>
    </xf>
    <xf borderId="2" fillId="4" fontId="12" numFmtId="0" xfId="0" applyAlignment="1" applyBorder="1" applyFont="1">
      <alignment horizontal="center" vertical="bottom"/>
    </xf>
    <xf borderId="2" fillId="5" fontId="12" numFmtId="0" xfId="0" applyAlignment="1" applyBorder="1" applyFont="1">
      <alignment horizontal="center" vertical="bottom"/>
    </xf>
    <xf borderId="0" fillId="0" fontId="13" numFmtId="0" xfId="0" applyAlignment="1" applyFont="1">
      <alignment readingOrder="0"/>
    </xf>
    <xf borderId="5" fillId="0" fontId="3" numFmtId="0" xfId="0" applyAlignment="1" applyBorder="1" applyFont="1">
      <alignment horizontal="center" vertical="bottom"/>
    </xf>
    <xf borderId="0" fillId="0" fontId="14" numFmtId="0" xfId="0" applyAlignment="1" applyFont="1">
      <alignment readingOrder="0"/>
    </xf>
    <xf borderId="0" fillId="0" fontId="13" numFmtId="0" xfId="0" applyFont="1"/>
    <xf borderId="0" fillId="0" fontId="15" numFmtId="0" xfId="0" applyAlignment="1" applyFont="1">
      <alignment readingOrder="0"/>
    </xf>
    <xf borderId="5" fillId="0" fontId="3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readingOrder="0" vertical="bottom"/>
    </xf>
    <xf borderId="5" fillId="0" fontId="1" numFmtId="0" xfId="0" applyAlignment="1" applyBorder="1" applyFont="1">
      <alignment vertical="bottom"/>
    </xf>
    <xf borderId="1" fillId="3" fontId="3" numFmtId="165" xfId="0" applyAlignment="1" applyBorder="1" applyFont="1" applyNumberFormat="1">
      <alignment horizontal="center" vertical="bottom"/>
    </xf>
    <xf borderId="1" fillId="6" fontId="12" numFmtId="165" xfId="0" applyAlignment="1" applyBorder="1" applyFont="1" applyNumberFormat="1">
      <alignment horizontal="center" vertical="bottom"/>
    </xf>
    <xf borderId="1" fillId="4" fontId="12" numFmtId="165" xfId="0" applyAlignment="1" applyBorder="1" applyFont="1" applyNumberFormat="1">
      <alignment horizontal="center" vertical="bottom"/>
    </xf>
    <xf borderId="1" fillId="6" fontId="16" numFmtId="0" xfId="0" applyAlignment="1" applyBorder="1" applyFont="1">
      <alignment horizontal="center" vertical="bottom"/>
    </xf>
    <xf borderId="2" fillId="6" fontId="16" numFmtId="0" xfId="0" applyAlignment="1" applyBorder="1" applyFont="1">
      <alignment horizontal="center" vertical="bottom"/>
    </xf>
    <xf borderId="5" fillId="7" fontId="3" numFmtId="0" xfId="0" applyAlignment="1" applyBorder="1" applyFont="1">
      <alignment horizontal="center" vertical="bottom"/>
    </xf>
    <xf borderId="1" fillId="7" fontId="3" numFmtId="0" xfId="0" applyAlignment="1" applyBorder="1" applyFont="1">
      <alignment horizontal="center" vertical="bottom"/>
    </xf>
    <xf borderId="3" fillId="7" fontId="3" numFmtId="0" xfId="0" applyAlignment="1" applyBorder="1" applyFont="1">
      <alignment horizontal="center" vertical="bottom"/>
    </xf>
    <xf borderId="2" fillId="7" fontId="3" numFmtId="0" xfId="0" applyAlignment="1" applyBorder="1" applyFont="1">
      <alignment horizontal="center" vertical="bottom"/>
    </xf>
    <xf borderId="2" fillId="7" fontId="3" numFmtId="165" xfId="0" applyAlignment="1" applyBorder="1" applyFont="1" applyNumberFormat="1">
      <alignment horizontal="center" vertical="bottom"/>
    </xf>
    <xf borderId="1" fillId="7" fontId="3" numFmtId="164" xfId="0" applyAlignment="1" applyBorder="1" applyFont="1" applyNumberFormat="1">
      <alignment horizontal="center" vertical="bottom"/>
    </xf>
    <xf borderId="2" fillId="7" fontId="3" numFmtId="164" xfId="0" applyAlignment="1" applyBorder="1" applyFont="1" applyNumberFormat="1">
      <alignment horizontal="center" vertical="bottom"/>
    </xf>
    <xf borderId="2" fillId="7" fontId="3" numFmtId="0" xfId="0" applyAlignment="1" applyBorder="1" applyFont="1">
      <alignment horizontal="center" readingOrder="0" vertical="bottom"/>
    </xf>
    <xf borderId="2" fillId="7" fontId="3" numFmtId="165" xfId="0" applyAlignment="1" applyBorder="1" applyFont="1" applyNumberFormat="1">
      <alignment horizontal="center" readingOrder="0" vertical="bottom"/>
    </xf>
    <xf borderId="2" fillId="3" fontId="3" numFmtId="0" xfId="0" applyAlignment="1" applyBorder="1" applyFont="1">
      <alignment horizontal="center" readingOrder="0" vertical="bottom"/>
    </xf>
    <xf borderId="2" fillId="3" fontId="3" numFmtId="165" xfId="0" applyAlignment="1" applyBorder="1" applyFont="1" applyNumberFormat="1">
      <alignment horizontal="center" readingOrder="0" vertical="bottom"/>
    </xf>
    <xf borderId="2" fillId="3" fontId="3" numFmtId="165" xfId="0" applyAlignment="1" applyBorder="1" applyFont="1" applyNumberFormat="1">
      <alignment horizontal="center" vertical="bottom"/>
    </xf>
    <xf borderId="2" fillId="3" fontId="3" numFmtId="164" xfId="0" applyAlignment="1" applyBorder="1" applyFont="1" applyNumberFormat="1">
      <alignment horizontal="center" vertical="bottom"/>
    </xf>
    <xf borderId="2" fillId="7" fontId="3" numFmtId="0" xfId="0" applyAlignment="1" applyBorder="1" applyFont="1">
      <alignment horizontal="center" vertical="bottom"/>
    </xf>
    <xf borderId="2" fillId="7" fontId="3" numFmtId="166" xfId="0" applyAlignment="1" applyBorder="1" applyFont="1" applyNumberFormat="1">
      <alignment horizontal="center" vertical="bottom"/>
    </xf>
    <xf borderId="3" fillId="0" fontId="17" numFmtId="0" xfId="0" applyAlignment="1" applyBorder="1" applyFont="1">
      <alignment horizontal="center" readingOrder="0"/>
    </xf>
    <xf borderId="3" fillId="0" fontId="17" numFmtId="165" xfId="0" applyAlignment="1" applyBorder="1" applyFont="1" applyNumberFormat="1">
      <alignment horizontal="center"/>
    </xf>
    <xf borderId="3" fillId="0" fontId="17" numFmtId="164" xfId="0" applyAlignment="1" applyBorder="1" applyFont="1" applyNumberFormat="1">
      <alignment horizontal="center" readingOrder="0"/>
    </xf>
    <xf borderId="3" fillId="5" fontId="3" numFmtId="0" xfId="0" applyAlignment="1" applyBorder="1" applyFont="1">
      <alignment horizontal="center" vertical="bottom"/>
    </xf>
    <xf borderId="2" fillId="5" fontId="3" numFmtId="0" xfId="0" applyAlignment="1" applyBorder="1" applyFont="1">
      <alignment horizontal="center" vertical="bottom"/>
    </xf>
    <xf borderId="2" fillId="5" fontId="3" numFmtId="165" xfId="0" applyAlignment="1" applyBorder="1" applyFont="1" applyNumberFormat="1">
      <alignment horizontal="center" vertical="bottom"/>
    </xf>
    <xf borderId="3" fillId="0" fontId="17" numFmtId="165" xfId="0" applyAlignment="1" applyBorder="1" applyFont="1" applyNumberFormat="1">
      <alignment horizontal="center" readingOrder="0"/>
    </xf>
    <xf borderId="3" fillId="0" fontId="17" numFmtId="167" xfId="0" applyAlignment="1" applyBorder="1" applyFont="1" applyNumberFormat="1">
      <alignment horizontal="center" readingOrder="0"/>
    </xf>
    <xf borderId="3" fillId="15" fontId="17" numFmtId="0" xfId="0" applyAlignment="1" applyBorder="1" applyFill="1" applyFont="1">
      <alignment horizontal="center" readingOrder="0"/>
    </xf>
    <xf borderId="3" fillId="15" fontId="17" numFmtId="165" xfId="0" applyAlignment="1" applyBorder="1" applyFont="1" applyNumberFormat="1">
      <alignment horizontal="center"/>
    </xf>
    <xf borderId="3" fillId="15" fontId="17" numFmtId="164" xfId="0" applyAlignment="1" applyBorder="1" applyFont="1" applyNumberFormat="1">
      <alignment horizontal="center" readingOrder="0"/>
    </xf>
    <xf borderId="3" fillId="0" fontId="17" numFmtId="0" xfId="0" applyAlignment="1" applyBorder="1" applyFont="1">
      <alignment horizontal="center"/>
    </xf>
    <xf borderId="3" fillId="0" fontId="17" numFmtId="0" xfId="0" applyAlignment="1" applyBorder="1" applyFont="1">
      <alignment readingOrder="0"/>
    </xf>
    <xf borderId="3" fillId="0" fontId="17" numFmtId="165" xfId="0" applyAlignment="1" applyBorder="1" applyFont="1" applyNumberFormat="1">
      <alignment readingOrder="0"/>
    </xf>
    <xf borderId="2" fillId="16" fontId="12" numFmtId="0" xfId="0" applyAlignment="1" applyBorder="1" applyFill="1" applyFont="1">
      <alignment horizontal="center" vertical="bottom"/>
    </xf>
    <xf borderId="3" fillId="17" fontId="18" numFmtId="0" xfId="0" applyAlignment="1" applyBorder="1" applyFill="1" applyFont="1">
      <alignment horizontal="center" readingOrder="0"/>
    </xf>
    <xf borderId="5" fillId="10" fontId="12" numFmtId="0" xfId="0" applyAlignment="1" applyBorder="1" applyFont="1">
      <alignment horizontal="center" vertical="bottom"/>
    </xf>
    <xf borderId="0" fillId="0" fontId="15" numFmtId="0" xfId="0" applyAlignment="1" applyFont="1">
      <alignment horizontal="center"/>
    </xf>
    <xf borderId="3" fillId="0" fontId="19" numFmtId="0" xfId="0" applyAlignment="1" applyBorder="1" applyFont="1">
      <alignment horizontal="center" readingOrder="0"/>
    </xf>
    <xf borderId="0" fillId="0" fontId="14" numFmtId="165" xfId="0" applyFont="1" applyNumberFormat="1"/>
    <xf borderId="0" fillId="0" fontId="20" numFmtId="0" xfId="0" applyAlignment="1" applyFont="1">
      <alignment readingOrder="0"/>
    </xf>
    <xf borderId="0" fillId="0" fontId="2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21.63"/>
    <col customWidth="1" min="3" max="3" width="30.63"/>
    <col customWidth="1" min="4" max="4" width="23.63"/>
    <col customWidth="1" min="5" max="5" width="20.38"/>
    <col customWidth="1" min="6" max="6" width="18.63"/>
    <col customWidth="1" min="7" max="7" width="20.38"/>
    <col customWidth="1" min="8" max="8" width="19.88"/>
    <col customWidth="1" min="9" max="9" width="20.88"/>
    <col customWidth="1" min="13" max="13" width="24.38"/>
    <col customWidth="1" min="14" max="14" width="23.63"/>
    <col customWidth="1" min="15" max="15" width="42.63"/>
    <col customWidth="1" min="16" max="16" width="26.13"/>
    <col customWidth="1" min="17" max="17" width="266.88"/>
    <col customWidth="1" min="18" max="18" width="32.13"/>
  </cols>
  <sheetData>
    <row r="1">
      <c r="A1" s="1"/>
      <c r="B1" s="2" t="s">
        <v>0</v>
      </c>
      <c r="C1" s="3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M1" s="5" t="s">
        <v>8</v>
      </c>
      <c r="N1" s="6" t="s">
        <v>9</v>
      </c>
      <c r="O1" s="7" t="s">
        <v>10</v>
      </c>
      <c r="P1" s="7" t="s">
        <v>11</v>
      </c>
      <c r="Q1" s="8" t="s">
        <v>12</v>
      </c>
      <c r="R1" s="9" t="s">
        <v>13</v>
      </c>
      <c r="S1" s="10"/>
    </row>
    <row r="2">
      <c r="A2" s="11" t="s">
        <v>14</v>
      </c>
      <c r="B2" s="12">
        <v>45017.0</v>
      </c>
      <c r="C2" s="13">
        <v>48000.0</v>
      </c>
      <c r="D2" s="13">
        <v>33000.0</v>
      </c>
      <c r="E2" s="14"/>
      <c r="F2" s="14"/>
      <c r="G2" s="14"/>
      <c r="H2" s="14"/>
      <c r="I2" s="15">
        <v>1.0</v>
      </c>
      <c r="M2" s="16"/>
      <c r="N2" s="17">
        <v>48000.0</v>
      </c>
      <c r="O2" s="18" t="str">
        <f>I33/J33</f>
        <v>#DIV/0!</v>
      </c>
      <c r="P2" s="18" t="str">
        <f>E33/J33</f>
        <v>#DIV/0!</v>
      </c>
      <c r="Q2" s="19"/>
      <c r="R2" s="20" t="str">
        <f>Q2/P2</f>
        <v>#DIV/0!</v>
      </c>
      <c r="S2" s="10"/>
    </row>
    <row r="3">
      <c r="A3" s="11" t="s">
        <v>15</v>
      </c>
      <c r="B3" s="12">
        <v>45018.0</v>
      </c>
      <c r="C3" s="13">
        <v>100000.0</v>
      </c>
      <c r="D3" s="13">
        <v>37000.0</v>
      </c>
      <c r="E3" s="14"/>
      <c r="F3" s="14"/>
      <c r="G3" s="14"/>
      <c r="H3" s="14"/>
      <c r="I3" s="15">
        <v>1.0</v>
      </c>
      <c r="M3" s="16"/>
      <c r="N3" s="17">
        <v>100000.0</v>
      </c>
      <c r="O3" s="1"/>
      <c r="P3" s="1"/>
      <c r="Q3" s="10"/>
      <c r="R3" s="21"/>
      <c r="S3" s="10"/>
    </row>
    <row r="4">
      <c r="A4" s="11" t="s">
        <v>16</v>
      </c>
      <c r="B4" s="12">
        <v>45019.0</v>
      </c>
      <c r="C4" s="13">
        <v>52000.0</v>
      </c>
      <c r="D4" s="13">
        <v>43000.0</v>
      </c>
      <c r="E4" s="14"/>
      <c r="F4" s="14"/>
      <c r="G4" s="14"/>
      <c r="H4" s="14"/>
      <c r="I4" s="15">
        <v>1.0</v>
      </c>
      <c r="M4" s="16"/>
      <c r="N4" s="22">
        <v>52000.0</v>
      </c>
      <c r="O4" s="23" t="s">
        <v>17</v>
      </c>
      <c r="P4" s="24" t="s">
        <v>18</v>
      </c>
      <c r="Q4" s="10"/>
      <c r="R4" s="1"/>
      <c r="S4" s="10"/>
    </row>
    <row r="5">
      <c r="A5" s="11" t="s">
        <v>19</v>
      </c>
      <c r="B5" s="12">
        <v>45020.0</v>
      </c>
      <c r="C5" s="13">
        <v>65000.0</v>
      </c>
      <c r="D5" s="13">
        <v>36000.0</v>
      </c>
      <c r="E5" s="14"/>
      <c r="F5" s="14"/>
      <c r="G5" s="14"/>
      <c r="H5" s="14"/>
      <c r="I5" s="15">
        <v>1.0</v>
      </c>
      <c r="M5" s="16"/>
      <c r="N5" s="17">
        <v>65000.0</v>
      </c>
      <c r="O5" s="25" t="str">
        <f>F33/J33</f>
        <v>#DIV/0!</v>
      </c>
      <c r="P5" s="25">
        <v>100000.0</v>
      </c>
      <c r="Q5" s="1"/>
      <c r="R5" s="1"/>
      <c r="S5" s="10"/>
    </row>
    <row r="6">
      <c r="A6" s="11" t="s">
        <v>20</v>
      </c>
      <c r="B6" s="12">
        <v>45021.0</v>
      </c>
      <c r="C6" s="13">
        <v>67000.0</v>
      </c>
      <c r="D6" s="13">
        <v>49000.0</v>
      </c>
      <c r="E6" s="14"/>
      <c r="F6" s="14"/>
      <c r="G6" s="14"/>
      <c r="H6" s="14"/>
      <c r="I6" s="15">
        <v>1.0</v>
      </c>
      <c r="M6" s="16"/>
      <c r="N6" s="17">
        <v>67000.0</v>
      </c>
      <c r="O6" s="1" t="s">
        <v>21</v>
      </c>
      <c r="P6" s="1"/>
      <c r="Q6" s="1"/>
      <c r="R6" s="1"/>
      <c r="S6" s="10"/>
    </row>
    <row r="7">
      <c r="A7" s="11" t="s">
        <v>22</v>
      </c>
      <c r="B7" s="12">
        <v>45022.0</v>
      </c>
      <c r="C7" s="13">
        <v>53000.0</v>
      </c>
      <c r="D7" s="13">
        <v>59000.0</v>
      </c>
      <c r="E7" s="14"/>
      <c r="F7" s="14"/>
      <c r="G7" s="14"/>
      <c r="H7" s="14"/>
      <c r="I7" s="15">
        <v>1.0</v>
      </c>
      <c r="M7" s="16"/>
      <c r="N7" s="17">
        <v>53000.0</v>
      </c>
      <c r="O7" s="1"/>
      <c r="P7" s="1"/>
      <c r="Q7" s="1"/>
      <c r="R7" s="1"/>
      <c r="S7" s="10"/>
    </row>
    <row r="8">
      <c r="A8" s="26" t="s">
        <v>23</v>
      </c>
      <c r="B8" s="27">
        <v>45023.0</v>
      </c>
      <c r="C8" s="28">
        <v>50000.0</v>
      </c>
      <c r="D8" s="28">
        <v>41000.0</v>
      </c>
      <c r="E8" s="29"/>
      <c r="F8" s="29"/>
      <c r="G8" s="29"/>
      <c r="H8" s="29"/>
      <c r="I8" s="30">
        <v>1.0</v>
      </c>
      <c r="M8" s="16"/>
      <c r="N8" s="17">
        <v>50000.0</v>
      </c>
      <c r="O8" s="31" t="s">
        <v>24</v>
      </c>
      <c r="P8" s="31" t="s">
        <v>25</v>
      </c>
      <c r="Q8" s="32" t="s">
        <v>26</v>
      </c>
      <c r="R8" s="33"/>
      <c r="S8" s="10"/>
    </row>
    <row r="9">
      <c r="A9" s="11" t="s">
        <v>27</v>
      </c>
      <c r="B9" s="12">
        <v>45024.0</v>
      </c>
      <c r="C9" s="13">
        <v>72000.0</v>
      </c>
      <c r="D9" s="13">
        <v>50000.0</v>
      </c>
      <c r="E9" s="14"/>
      <c r="F9" s="14"/>
      <c r="G9" s="14"/>
      <c r="H9" s="14"/>
      <c r="I9" s="15">
        <v>1.0</v>
      </c>
      <c r="M9" s="16"/>
      <c r="N9" s="17">
        <v>72000.0</v>
      </c>
      <c r="O9" s="24">
        <f>D33-P9-E33-'les salaires '!J28</f>
        <v>185993</v>
      </c>
      <c r="P9" s="18">
        <f>Q9*1</f>
        <v>495250</v>
      </c>
      <c r="Q9" s="34">
        <v>495250.0</v>
      </c>
      <c r="R9" s="35"/>
      <c r="S9" s="10"/>
    </row>
    <row r="10">
      <c r="A10" s="11" t="s">
        <v>15</v>
      </c>
      <c r="B10" s="12">
        <v>45025.0</v>
      </c>
      <c r="C10" s="13">
        <v>63000.0</v>
      </c>
      <c r="D10" s="13">
        <v>40000.0</v>
      </c>
      <c r="E10" s="14"/>
      <c r="F10" s="14"/>
      <c r="G10" s="14"/>
      <c r="H10" s="14"/>
      <c r="I10" s="15">
        <v>1.0</v>
      </c>
      <c r="M10" s="16"/>
      <c r="N10" s="17">
        <v>63000.0</v>
      </c>
      <c r="O10" s="36">
        <v>161000.0</v>
      </c>
      <c r="P10" s="1" t="s">
        <v>28</v>
      </c>
      <c r="Q10" s="37" t="s">
        <v>29</v>
      </c>
      <c r="R10" s="38">
        <v>259250.0</v>
      </c>
      <c r="S10" s="10"/>
    </row>
    <row r="11">
      <c r="A11" s="11" t="s">
        <v>16</v>
      </c>
      <c r="B11" s="12">
        <v>45026.0</v>
      </c>
      <c r="C11" s="13">
        <v>82000.0</v>
      </c>
      <c r="D11" s="13">
        <v>22000.0</v>
      </c>
      <c r="E11" s="14"/>
      <c r="F11" s="14"/>
      <c r="G11" s="14"/>
      <c r="H11" s="14"/>
      <c r="I11" s="15">
        <v>1.0</v>
      </c>
      <c r="M11" s="16"/>
      <c r="N11" s="22">
        <v>82000.0</v>
      </c>
      <c r="O11" s="39" t="s">
        <v>30</v>
      </c>
      <c r="P11" s="40">
        <v>26000.0</v>
      </c>
      <c r="Q11" s="41" t="s">
        <v>31</v>
      </c>
      <c r="R11" s="35"/>
      <c r="S11" s="10"/>
    </row>
    <row r="12">
      <c r="A12" s="11" t="s">
        <v>19</v>
      </c>
      <c r="B12" s="12">
        <v>45027.0</v>
      </c>
      <c r="C12" s="13">
        <v>32000.0</v>
      </c>
      <c r="D12" s="13">
        <v>22000.0</v>
      </c>
      <c r="E12" s="14"/>
      <c r="F12" s="14"/>
      <c r="G12" s="14"/>
      <c r="H12" s="14"/>
      <c r="I12" s="15">
        <v>1.0</v>
      </c>
      <c r="M12" s="16"/>
      <c r="N12" s="17">
        <v>32000.0</v>
      </c>
      <c r="O12" s="35"/>
      <c r="P12" s="35"/>
      <c r="Q12" s="41">
        <v>17000.0</v>
      </c>
      <c r="R12" s="10"/>
      <c r="S12" s="10"/>
    </row>
    <row r="13">
      <c r="A13" s="11" t="s">
        <v>20</v>
      </c>
      <c r="B13" s="12">
        <v>45028.0</v>
      </c>
      <c r="C13" s="13">
        <v>43000.0</v>
      </c>
      <c r="D13" s="13">
        <v>25000.0</v>
      </c>
      <c r="E13" s="14"/>
      <c r="F13" s="14"/>
      <c r="G13" s="14"/>
      <c r="H13" s="14"/>
      <c r="I13" s="15">
        <v>1.0</v>
      </c>
      <c r="M13" s="16"/>
      <c r="N13" s="17">
        <v>43000.0</v>
      </c>
      <c r="O13" s="42"/>
      <c r="P13" s="43" t="s">
        <v>32</v>
      </c>
      <c r="Q13" s="44" t="s">
        <v>33</v>
      </c>
      <c r="R13" s="10"/>
      <c r="S13" s="10"/>
    </row>
    <row r="14">
      <c r="A14" s="11" t="s">
        <v>22</v>
      </c>
      <c r="B14" s="12">
        <v>45029.0</v>
      </c>
      <c r="C14" s="13">
        <v>30000.0</v>
      </c>
      <c r="D14" s="13">
        <v>35000.0</v>
      </c>
      <c r="E14" s="14"/>
      <c r="F14" s="14"/>
      <c r="G14" s="14"/>
      <c r="H14" s="14"/>
      <c r="I14" s="15">
        <v>1.0</v>
      </c>
      <c r="M14" s="16"/>
      <c r="N14" s="17">
        <v>30000.0</v>
      </c>
      <c r="O14" s="42"/>
      <c r="P14" s="43">
        <v>293000.0</v>
      </c>
      <c r="Q14" s="41"/>
      <c r="R14" s="10"/>
      <c r="S14" s="10"/>
    </row>
    <row r="15">
      <c r="A15" s="26" t="s">
        <v>23</v>
      </c>
      <c r="B15" s="27">
        <v>45030.0</v>
      </c>
      <c r="C15" s="28">
        <v>58000.0</v>
      </c>
      <c r="D15" s="28">
        <v>34000.0</v>
      </c>
      <c r="E15" s="29"/>
      <c r="F15" s="29"/>
      <c r="G15" s="29"/>
      <c r="H15" s="29"/>
      <c r="I15" s="30">
        <v>1.0</v>
      </c>
      <c r="M15" s="16"/>
      <c r="N15" s="17">
        <v>58000.0</v>
      </c>
      <c r="O15" s="45"/>
      <c r="P15" s="42"/>
      <c r="Q15" s="10"/>
      <c r="R15" s="10"/>
      <c r="S15" s="10"/>
    </row>
    <row r="16">
      <c r="A16" s="11" t="s">
        <v>27</v>
      </c>
      <c r="B16" s="12">
        <v>45031.0</v>
      </c>
      <c r="C16" s="13">
        <v>48000.0</v>
      </c>
      <c r="D16" s="13">
        <v>40000.0</v>
      </c>
      <c r="E16" s="14"/>
      <c r="F16" s="14"/>
      <c r="G16" s="14"/>
      <c r="H16" s="14"/>
      <c r="I16" s="15">
        <v>1.0</v>
      </c>
      <c r="M16" s="16"/>
      <c r="N16" s="17">
        <v>48000.0</v>
      </c>
      <c r="O16" s="46"/>
      <c r="P16" s="42"/>
      <c r="Q16" s="10"/>
      <c r="R16" s="19"/>
      <c r="S16" s="10"/>
    </row>
    <row r="17">
      <c r="A17" s="11" t="s">
        <v>15</v>
      </c>
      <c r="B17" s="12">
        <v>45032.0</v>
      </c>
      <c r="C17" s="13">
        <v>80000.0</v>
      </c>
      <c r="D17" s="13">
        <v>21000.0</v>
      </c>
      <c r="E17" s="14"/>
      <c r="F17" s="14"/>
      <c r="G17" s="14"/>
      <c r="H17" s="14"/>
      <c r="I17" s="15">
        <v>1.0</v>
      </c>
      <c r="M17" s="16"/>
      <c r="N17" s="17">
        <v>80000.0</v>
      </c>
      <c r="O17" s="47" t="s">
        <v>34</v>
      </c>
      <c r="P17" s="42"/>
      <c r="Q17" s="33"/>
      <c r="R17" s="46"/>
      <c r="S17" s="10"/>
    </row>
    <row r="18">
      <c r="A18" s="11" t="s">
        <v>16</v>
      </c>
      <c r="B18" s="12">
        <v>45033.0</v>
      </c>
      <c r="C18" s="13">
        <v>40000.0</v>
      </c>
      <c r="D18" s="13">
        <v>46000.0</v>
      </c>
      <c r="E18" s="14"/>
      <c r="F18" s="14"/>
      <c r="G18" s="14"/>
      <c r="H18" s="14"/>
      <c r="I18" s="15">
        <v>1.0</v>
      </c>
      <c r="M18" s="16"/>
      <c r="N18" s="22">
        <v>40000.0</v>
      </c>
      <c r="O18" s="17">
        <f>D33-C33</f>
        <v>-362000</v>
      </c>
      <c r="P18" s="48"/>
      <c r="Q18" s="39" t="s">
        <v>35</v>
      </c>
      <c r="R18" s="25">
        <f>E33*1</f>
        <v>669757</v>
      </c>
      <c r="S18" s="10"/>
    </row>
    <row r="19">
      <c r="A19" s="11" t="s">
        <v>19</v>
      </c>
      <c r="B19" s="12">
        <v>45034.0</v>
      </c>
      <c r="C19" s="13">
        <v>50000.0</v>
      </c>
      <c r="D19" s="13">
        <v>91000.0</v>
      </c>
      <c r="E19" s="14"/>
      <c r="F19" s="14"/>
      <c r="G19" s="14"/>
      <c r="H19" s="14"/>
      <c r="I19" s="15">
        <v>1.0</v>
      </c>
      <c r="M19" s="16"/>
      <c r="N19" s="17">
        <v>50000.0</v>
      </c>
      <c r="O19" s="49" t="s">
        <v>36</v>
      </c>
      <c r="P19" s="48"/>
      <c r="Q19" s="39" t="s">
        <v>37</v>
      </c>
      <c r="R19" s="25">
        <f>F33*1</f>
        <v>341786</v>
      </c>
      <c r="S19" s="10"/>
    </row>
    <row r="20">
      <c r="A20" s="11" t="s">
        <v>20</v>
      </c>
      <c r="B20" s="12">
        <v>45035.0</v>
      </c>
      <c r="C20" s="13">
        <v>55000.0</v>
      </c>
      <c r="D20" s="13">
        <v>280000.0</v>
      </c>
      <c r="E20" s="14"/>
      <c r="F20" s="14"/>
      <c r="G20" s="14"/>
      <c r="H20" s="14"/>
      <c r="I20" s="15">
        <v>1.0</v>
      </c>
      <c r="M20" s="16"/>
      <c r="N20" s="17">
        <v>55000.0</v>
      </c>
      <c r="O20" s="25">
        <f>M33-E33</f>
        <v>-669757</v>
      </c>
      <c r="P20" s="48"/>
      <c r="Q20" s="39"/>
      <c r="R20" s="25"/>
      <c r="S20" s="10"/>
    </row>
    <row r="21">
      <c r="A21" s="11" t="s">
        <v>22</v>
      </c>
      <c r="B21" s="12">
        <v>45036.0</v>
      </c>
      <c r="C21" s="13">
        <v>44000.0</v>
      </c>
      <c r="D21" s="13">
        <v>220000.0</v>
      </c>
      <c r="E21" s="14"/>
      <c r="F21" s="14"/>
      <c r="G21" s="14"/>
      <c r="H21" s="14"/>
      <c r="I21" s="15">
        <v>1.0</v>
      </c>
      <c r="M21" s="16"/>
      <c r="N21" s="17">
        <v>44000.0</v>
      </c>
      <c r="O21" s="1"/>
      <c r="P21" s="48"/>
      <c r="Q21" s="39"/>
      <c r="R21" s="25"/>
      <c r="S21" s="10"/>
    </row>
    <row r="22">
      <c r="A22" s="26" t="s">
        <v>23</v>
      </c>
      <c r="B22" s="27">
        <v>45037.0</v>
      </c>
      <c r="C22" s="28">
        <v>70000.0</v>
      </c>
      <c r="D22" s="28">
        <v>0.0</v>
      </c>
      <c r="E22" s="29"/>
      <c r="F22" s="29"/>
      <c r="G22" s="29"/>
      <c r="H22" s="29"/>
      <c r="I22" s="30">
        <v>1.0</v>
      </c>
      <c r="M22" s="16"/>
      <c r="N22" s="17">
        <v>70000.0</v>
      </c>
      <c r="O22" s="1"/>
      <c r="P22" s="48"/>
      <c r="Q22" s="39" t="s">
        <v>38</v>
      </c>
      <c r="R22" s="25">
        <f>P9*1</f>
        <v>495250</v>
      </c>
      <c r="S22" s="10"/>
    </row>
    <row r="23">
      <c r="A23" s="11" t="s">
        <v>27</v>
      </c>
      <c r="B23" s="12">
        <v>45038.0</v>
      </c>
      <c r="C23" s="13">
        <v>106000.0</v>
      </c>
      <c r="D23" s="13">
        <v>0.0</v>
      </c>
      <c r="E23" s="14"/>
      <c r="F23" s="14"/>
      <c r="G23" s="14"/>
      <c r="H23" s="14"/>
      <c r="I23" s="15">
        <v>1.0</v>
      </c>
      <c r="M23" s="16"/>
      <c r="N23" s="17">
        <v>106000.0</v>
      </c>
      <c r="O23" s="39" t="s">
        <v>39</v>
      </c>
      <c r="P23" s="48"/>
      <c r="Q23" s="39" t="s">
        <v>40</v>
      </c>
      <c r="R23" s="25" t="str">
        <f>'les salaires'!L33*1</f>
        <v>#REF!</v>
      </c>
      <c r="S23" s="10"/>
    </row>
    <row r="24">
      <c r="A24" s="11" t="s">
        <v>15</v>
      </c>
      <c r="B24" s="12">
        <v>45039.0</v>
      </c>
      <c r="C24" s="13">
        <v>106000.0</v>
      </c>
      <c r="D24" s="13">
        <v>0.0</v>
      </c>
      <c r="E24" s="14"/>
      <c r="F24" s="14"/>
      <c r="G24" s="14"/>
      <c r="H24" s="14"/>
      <c r="I24" s="15">
        <v>1.0</v>
      </c>
      <c r="M24" s="16"/>
      <c r="N24" s="17">
        <v>106000.0</v>
      </c>
      <c r="O24" s="25">
        <f>E4+E11+E18+E25</f>
        <v>0</v>
      </c>
      <c r="P24" s="50"/>
      <c r="Q24" s="39"/>
      <c r="R24" s="25"/>
      <c r="S24" s="10"/>
    </row>
    <row r="25">
      <c r="A25" s="11" t="s">
        <v>16</v>
      </c>
      <c r="B25" s="12">
        <v>45040.0</v>
      </c>
      <c r="C25" s="13">
        <v>45000.0</v>
      </c>
      <c r="D25" s="13">
        <v>20000.0</v>
      </c>
      <c r="E25" s="14"/>
      <c r="F25" s="14"/>
      <c r="G25" s="14"/>
      <c r="H25" s="14"/>
      <c r="I25" s="15">
        <v>1.0</v>
      </c>
      <c r="M25" s="16"/>
      <c r="N25" s="22">
        <v>45000.0</v>
      </c>
      <c r="O25" s="25"/>
      <c r="P25" s="50"/>
      <c r="Q25" s="39"/>
      <c r="R25" s="25"/>
      <c r="S25" s="10"/>
    </row>
    <row r="26">
      <c r="A26" s="11" t="s">
        <v>19</v>
      </c>
      <c r="B26" s="12">
        <v>45041.0</v>
      </c>
      <c r="C26" s="13">
        <v>68000.0</v>
      </c>
      <c r="D26" s="13">
        <v>37000.0</v>
      </c>
      <c r="E26" s="14"/>
      <c r="F26" s="14"/>
      <c r="G26" s="14"/>
      <c r="H26" s="14"/>
      <c r="I26" s="15">
        <v>1.0</v>
      </c>
      <c r="M26" s="16"/>
      <c r="N26" s="17">
        <v>68000.0</v>
      </c>
      <c r="O26" s="23" t="s">
        <v>41</v>
      </c>
      <c r="P26" s="50"/>
      <c r="Q26" s="25" t="s">
        <v>42</v>
      </c>
      <c r="R26" s="25" t="str">
        <f>R18-R19-R22-R23</f>
        <v>#REF!</v>
      </c>
      <c r="S26" s="10"/>
    </row>
    <row r="27">
      <c r="A27" s="11" t="s">
        <v>20</v>
      </c>
      <c r="B27" s="12">
        <v>45042.0</v>
      </c>
      <c r="C27" s="13">
        <v>59000.0</v>
      </c>
      <c r="D27" s="13">
        <v>30000.0</v>
      </c>
      <c r="E27" s="14"/>
      <c r="F27" s="14"/>
      <c r="G27" s="14"/>
      <c r="H27" s="14"/>
      <c r="I27" s="15">
        <v>1.0</v>
      </c>
      <c r="M27" s="16"/>
      <c r="N27" s="17">
        <v>59000.0</v>
      </c>
      <c r="O27" s="25">
        <f>D33-E33-'les salaires '!J28-Q12</f>
        <v>664243</v>
      </c>
      <c r="P27" s="42"/>
      <c r="Q27" s="42"/>
      <c r="R27" s="10"/>
      <c r="S27" s="10"/>
    </row>
    <row r="28">
      <c r="A28" s="11" t="s">
        <v>22</v>
      </c>
      <c r="B28" s="12">
        <v>45043.0</v>
      </c>
      <c r="C28" s="13">
        <v>61000.0</v>
      </c>
      <c r="D28" s="13">
        <v>57000.0</v>
      </c>
      <c r="E28" s="14"/>
      <c r="F28" s="14"/>
      <c r="G28" s="14"/>
      <c r="H28" s="14"/>
      <c r="I28" s="15">
        <v>1.0</v>
      </c>
      <c r="M28" s="16"/>
      <c r="N28" s="17">
        <v>61000.0</v>
      </c>
      <c r="O28" s="51" t="s">
        <v>43</v>
      </c>
      <c r="P28" s="10"/>
      <c r="Q28" s="42"/>
      <c r="R28" s="10"/>
      <c r="S28" s="10"/>
    </row>
    <row r="29">
      <c r="A29" s="26" t="s">
        <v>23</v>
      </c>
      <c r="B29" s="27">
        <v>45044.0</v>
      </c>
      <c r="C29" s="28">
        <v>64000.0</v>
      </c>
      <c r="D29" s="28">
        <v>23000.0</v>
      </c>
      <c r="E29" s="29"/>
      <c r="F29" s="29"/>
      <c r="G29" s="29"/>
      <c r="H29" s="29"/>
      <c r="I29" s="30">
        <v>1.0</v>
      </c>
      <c r="M29" s="16"/>
      <c r="N29" s="17">
        <v>64000.0</v>
      </c>
      <c r="O29" s="25"/>
      <c r="P29" s="10"/>
      <c r="Q29" s="42"/>
      <c r="R29" s="10"/>
      <c r="S29" s="10"/>
    </row>
    <row r="30">
      <c r="A30" s="11" t="s">
        <v>27</v>
      </c>
      <c r="B30" s="12">
        <v>45045.0</v>
      </c>
      <c r="C30" s="13">
        <v>65000.0</v>
      </c>
      <c r="D30" s="13">
        <v>48000.0</v>
      </c>
      <c r="E30" s="14"/>
      <c r="F30" s="14"/>
      <c r="G30" s="14"/>
      <c r="H30" s="14"/>
      <c r="I30" s="15">
        <v>1.0</v>
      </c>
      <c r="M30" s="16"/>
      <c r="N30" s="17">
        <v>65000.0</v>
      </c>
      <c r="O30" s="25"/>
      <c r="P30" s="10"/>
      <c r="Q30" s="42"/>
      <c r="R30" s="10"/>
      <c r="S30" s="10"/>
    </row>
    <row r="31">
      <c r="A31" s="11" t="s">
        <v>15</v>
      </c>
      <c r="B31" s="12">
        <v>45046.0</v>
      </c>
      <c r="C31" s="13">
        <v>74000.0</v>
      </c>
      <c r="D31" s="13">
        <v>49000.0</v>
      </c>
      <c r="E31" s="14"/>
      <c r="F31" s="14"/>
      <c r="G31" s="14"/>
      <c r="H31" s="14"/>
      <c r="I31" s="15">
        <v>1.0</v>
      </c>
      <c r="M31" s="16"/>
      <c r="N31" s="17">
        <v>74000.0</v>
      </c>
      <c r="O31" s="25"/>
      <c r="P31" s="10"/>
      <c r="Q31" s="42"/>
      <c r="R31" s="10"/>
      <c r="S31" s="10"/>
    </row>
    <row r="32">
      <c r="A32" s="11"/>
      <c r="B32" s="12"/>
      <c r="C32" s="17"/>
      <c r="D32" s="17"/>
      <c r="E32" s="14"/>
      <c r="F32" s="14"/>
      <c r="G32" s="14"/>
      <c r="H32" s="14"/>
      <c r="I32" s="14"/>
      <c r="M32" s="16"/>
      <c r="N32" s="22">
        <v>78000.0</v>
      </c>
      <c r="O32" s="25">
        <f>O9-O27</f>
        <v>-478250</v>
      </c>
      <c r="P32" s="10"/>
      <c r="Q32" s="42"/>
      <c r="R32" s="10"/>
      <c r="S32" s="10"/>
    </row>
    <row r="33">
      <c r="A33" s="10"/>
      <c r="B33" s="50"/>
      <c r="C33" s="52">
        <f t="shared" ref="C33:D33" si="1">SUM(C2:C32)</f>
        <v>1850000</v>
      </c>
      <c r="D33" s="22">
        <f t="shared" si="1"/>
        <v>1488000</v>
      </c>
      <c r="E33" s="53">
        <f>'Les charges '!I244*1</f>
        <v>669757</v>
      </c>
      <c r="F33" s="54">
        <f>'les salaires '!I28*1</f>
        <v>341786</v>
      </c>
      <c r="G33" s="55">
        <v>110000.0</v>
      </c>
      <c r="H33" s="18">
        <f>D33-G33-F33-E33</f>
        <v>366457</v>
      </c>
      <c r="I33" s="56">
        <f>SUM(I2:I32)</f>
        <v>30</v>
      </c>
      <c r="M33" s="57"/>
      <c r="N33" s="58">
        <f>SUM(N2:N32)</f>
        <v>1928000</v>
      </c>
      <c r="O33" s="10"/>
      <c r="P33" s="10"/>
      <c r="Q33" s="10"/>
      <c r="R33" s="19"/>
      <c r="S33" s="10"/>
    </row>
    <row r="34">
      <c r="A34" s="10"/>
      <c r="B34" s="50"/>
      <c r="C34" s="1"/>
      <c r="D34" s="1"/>
      <c r="E34" s="1"/>
      <c r="F34" s="1"/>
      <c r="G34" s="1"/>
      <c r="H34" s="1"/>
      <c r="I34" s="10"/>
      <c r="M34" s="10"/>
      <c r="N34" s="42"/>
      <c r="O34" s="10"/>
      <c r="P34" s="10"/>
      <c r="Q34" s="10"/>
      <c r="R34" s="19"/>
      <c r="S34" s="10"/>
    </row>
    <row r="35">
      <c r="A35" s="10"/>
      <c r="B35" s="50"/>
      <c r="C35" s="59" t="s">
        <v>8</v>
      </c>
      <c r="D35" s="35"/>
      <c r="E35" s="35"/>
      <c r="F35" s="35"/>
      <c r="G35" s="35"/>
      <c r="H35" s="35"/>
      <c r="I35" s="10"/>
      <c r="M35" s="10"/>
      <c r="N35" s="10"/>
      <c r="O35" s="10"/>
      <c r="P35" s="10"/>
      <c r="Q35" s="10"/>
      <c r="R35" s="19"/>
      <c r="S35" s="10"/>
    </row>
    <row r="36">
      <c r="A36" s="10"/>
      <c r="B36" s="50"/>
      <c r="C36" s="60" t="s">
        <v>44</v>
      </c>
      <c r="D36" s="61"/>
      <c r="E36" s="62"/>
      <c r="F36" s="63"/>
      <c r="G36" s="64"/>
      <c r="H36" s="65"/>
      <c r="I36" s="10"/>
      <c r="M36" s="10"/>
      <c r="N36" s="10"/>
      <c r="O36" s="10"/>
      <c r="P36" s="10"/>
      <c r="Q36" s="10"/>
      <c r="R36" s="19"/>
      <c r="S36" s="10"/>
    </row>
    <row r="37">
      <c r="A37" s="10"/>
      <c r="B37" s="50"/>
      <c r="C37" s="1"/>
      <c r="D37" s="1"/>
      <c r="E37" s="1"/>
      <c r="F37" s="1"/>
      <c r="G37" s="1"/>
      <c r="H37" s="1"/>
      <c r="I37" s="10"/>
      <c r="M37" s="10"/>
      <c r="N37" s="10"/>
      <c r="O37" s="66"/>
      <c r="P37" s="10"/>
      <c r="Q37" s="10"/>
      <c r="R37" s="19"/>
      <c r="S37" s="10"/>
    </row>
    <row r="38">
      <c r="A38" s="10"/>
      <c r="B38" s="50"/>
      <c r="C38" s="1"/>
      <c r="D38" s="1"/>
      <c r="E38" s="1"/>
      <c r="F38" s="1"/>
      <c r="G38" s="1"/>
      <c r="H38" s="1"/>
      <c r="I38" s="10"/>
      <c r="M38" s="10"/>
      <c r="N38" s="10"/>
      <c r="O38" s="45"/>
      <c r="P38" s="10"/>
      <c r="Q38" s="10"/>
      <c r="R38" s="19"/>
      <c r="S38" s="10"/>
    </row>
    <row r="39">
      <c r="M39" s="10"/>
      <c r="N39" s="10"/>
      <c r="O39" s="66"/>
      <c r="P39" s="10"/>
      <c r="Q39" s="10"/>
      <c r="R39" s="19"/>
      <c r="S39" s="10"/>
    </row>
    <row r="40">
      <c r="M40" s="10"/>
      <c r="N40" s="10"/>
      <c r="O40" s="66"/>
      <c r="P40" s="10"/>
      <c r="Q40" s="19"/>
      <c r="R40" s="19"/>
      <c r="S40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25.13"/>
    <col customWidth="1" min="3" max="4" width="21.63"/>
    <col customWidth="1" min="5" max="5" width="18.63"/>
    <col customWidth="1" min="6" max="7" width="19.13"/>
    <col customWidth="1" min="8" max="9" width="18.63"/>
    <col customWidth="1" min="10" max="10" width="19.13"/>
    <col customWidth="1" min="11" max="11" width="18.88"/>
    <col customWidth="1" min="12" max="12" width="19.38"/>
    <col customWidth="1" min="13" max="13" width="18.88"/>
    <col customWidth="1" min="14" max="14" width="19.63"/>
    <col customWidth="1" min="15" max="15" width="18.63"/>
    <col customWidth="1" min="16" max="16" width="47.63"/>
  </cols>
  <sheetData>
    <row r="1">
      <c r="A1" s="1"/>
      <c r="B1" s="2" t="s">
        <v>0</v>
      </c>
      <c r="C1" s="67" t="s">
        <v>45</v>
      </c>
      <c r="D1" s="68" t="s">
        <v>46</v>
      </c>
      <c r="E1" s="4" t="s">
        <v>47</v>
      </c>
      <c r="F1" s="4" t="s">
        <v>48</v>
      </c>
      <c r="G1" s="4" t="s">
        <v>49</v>
      </c>
      <c r="H1" s="4" t="s">
        <v>50</v>
      </c>
      <c r="I1" s="4" t="s">
        <v>51</v>
      </c>
      <c r="J1" s="4" t="s">
        <v>52</v>
      </c>
      <c r="K1" s="4" t="s">
        <v>53</v>
      </c>
      <c r="L1" s="4" t="s">
        <v>54</v>
      </c>
      <c r="M1" s="4" t="s">
        <v>55</v>
      </c>
      <c r="N1" s="4" t="s">
        <v>56</v>
      </c>
      <c r="O1" s="4" t="s">
        <v>57</v>
      </c>
      <c r="P1" s="4" t="s">
        <v>58</v>
      </c>
      <c r="Q1" s="10"/>
    </row>
    <row r="2">
      <c r="A2" s="11" t="s">
        <v>14</v>
      </c>
      <c r="B2" s="12">
        <v>45017.0</v>
      </c>
      <c r="C2" s="69">
        <v>0.0</v>
      </c>
      <c r="D2" s="70">
        <v>1.0</v>
      </c>
      <c r="E2" s="69">
        <v>1.0</v>
      </c>
      <c r="F2" s="69">
        <v>0.0</v>
      </c>
      <c r="G2" s="69">
        <v>1.0</v>
      </c>
      <c r="H2" s="69">
        <v>1.0</v>
      </c>
      <c r="I2" s="69">
        <v>0.0</v>
      </c>
      <c r="J2" s="69">
        <v>0.0</v>
      </c>
      <c r="K2" s="69">
        <v>0.0</v>
      </c>
      <c r="L2" s="69">
        <v>0.0</v>
      </c>
      <c r="M2" s="69">
        <v>0.0</v>
      </c>
      <c r="N2" s="69">
        <v>1.0</v>
      </c>
      <c r="O2" s="69">
        <v>1.0</v>
      </c>
      <c r="P2" s="14"/>
      <c r="Q2" s="10"/>
    </row>
    <row r="3">
      <c r="A3" s="11" t="s">
        <v>15</v>
      </c>
      <c r="B3" s="12">
        <v>45018.0</v>
      </c>
      <c r="C3" s="69">
        <v>0.0</v>
      </c>
      <c r="D3" s="70">
        <v>1.0</v>
      </c>
      <c r="E3" s="69">
        <v>2.0</v>
      </c>
      <c r="F3" s="69">
        <v>0.0</v>
      </c>
      <c r="G3" s="69">
        <v>1.0</v>
      </c>
      <c r="H3" s="69">
        <v>1.0</v>
      </c>
      <c r="I3" s="69">
        <v>1.0</v>
      </c>
      <c r="J3" s="69">
        <v>0.0</v>
      </c>
      <c r="K3" s="69">
        <v>0.0</v>
      </c>
      <c r="L3" s="69">
        <v>1.0</v>
      </c>
      <c r="M3" s="69">
        <v>0.0</v>
      </c>
      <c r="N3" s="69">
        <v>1.0</v>
      </c>
      <c r="O3" s="69">
        <v>1.0</v>
      </c>
      <c r="P3" s="71"/>
      <c r="Q3" s="10"/>
    </row>
    <row r="4">
      <c r="A4" s="11" t="s">
        <v>16</v>
      </c>
      <c r="B4" s="12">
        <v>45019.0</v>
      </c>
      <c r="C4" s="69">
        <v>0.0</v>
      </c>
      <c r="D4" s="70">
        <v>1.0</v>
      </c>
      <c r="E4" s="72">
        <v>1.0</v>
      </c>
      <c r="F4" s="69">
        <v>0.0</v>
      </c>
      <c r="G4" s="69">
        <v>1.0</v>
      </c>
      <c r="H4" s="69">
        <v>1.0</v>
      </c>
      <c r="I4" s="69">
        <v>1.0</v>
      </c>
      <c r="J4" s="69">
        <v>0.0</v>
      </c>
      <c r="K4" s="72">
        <v>0.0</v>
      </c>
      <c r="L4" s="69">
        <v>1.0</v>
      </c>
      <c r="M4" s="69">
        <v>1.0</v>
      </c>
      <c r="N4" s="69">
        <v>1.0</v>
      </c>
      <c r="O4" s="69">
        <v>1.0</v>
      </c>
      <c r="P4" s="71"/>
      <c r="Q4" s="10"/>
    </row>
    <row r="5">
      <c r="A5" s="11" t="s">
        <v>19</v>
      </c>
      <c r="B5" s="12">
        <v>45020.0</v>
      </c>
      <c r="C5" s="69">
        <v>0.0</v>
      </c>
      <c r="D5" s="70">
        <v>1.0</v>
      </c>
      <c r="E5" s="69">
        <v>1.0</v>
      </c>
      <c r="F5" s="69">
        <v>0.0</v>
      </c>
      <c r="G5" s="69">
        <v>0.0</v>
      </c>
      <c r="H5" s="69">
        <v>1.0</v>
      </c>
      <c r="I5" s="69">
        <v>1.0</v>
      </c>
      <c r="J5" s="69">
        <v>0.0</v>
      </c>
      <c r="K5" s="69">
        <v>0.0</v>
      </c>
      <c r="L5" s="69">
        <v>0.0</v>
      </c>
      <c r="M5" s="69">
        <v>1.0</v>
      </c>
      <c r="N5" s="69">
        <v>1.0</v>
      </c>
      <c r="O5" s="69">
        <v>1.0</v>
      </c>
      <c r="P5" s="73"/>
      <c r="Q5" s="10"/>
    </row>
    <row r="6">
      <c r="A6" s="11" t="s">
        <v>20</v>
      </c>
      <c r="B6" s="12">
        <v>45021.0</v>
      </c>
      <c r="C6" s="69">
        <v>0.0</v>
      </c>
      <c r="D6" s="70">
        <v>1.0</v>
      </c>
      <c r="E6" s="69">
        <v>1.0</v>
      </c>
      <c r="F6" s="69">
        <v>0.0</v>
      </c>
      <c r="G6" s="69">
        <v>1.0</v>
      </c>
      <c r="H6" s="69">
        <v>1.0</v>
      </c>
      <c r="I6" s="69">
        <v>1.0</v>
      </c>
      <c r="J6" s="69">
        <v>0.0</v>
      </c>
      <c r="K6" s="69">
        <v>0.0</v>
      </c>
      <c r="L6" s="69">
        <v>0.0</v>
      </c>
      <c r="M6" s="69">
        <v>0.0</v>
      </c>
      <c r="N6" s="69">
        <v>1.0</v>
      </c>
      <c r="O6" s="69">
        <v>1.0</v>
      </c>
      <c r="P6" s="71"/>
      <c r="Q6" s="10"/>
    </row>
    <row r="7">
      <c r="A7" s="11" t="s">
        <v>22</v>
      </c>
      <c r="B7" s="12">
        <v>45022.0</v>
      </c>
      <c r="C7" s="69">
        <v>0.0</v>
      </c>
      <c r="D7" s="70">
        <v>1.0</v>
      </c>
      <c r="E7" s="69">
        <v>1.5</v>
      </c>
      <c r="F7" s="69">
        <v>0.0</v>
      </c>
      <c r="G7" s="69">
        <v>0.0</v>
      </c>
      <c r="H7" s="69">
        <v>1.0</v>
      </c>
      <c r="I7" s="69">
        <v>1.0</v>
      </c>
      <c r="J7" s="69">
        <v>0.0</v>
      </c>
      <c r="K7" s="69">
        <v>0.0</v>
      </c>
      <c r="L7" s="69">
        <v>0.0</v>
      </c>
      <c r="M7" s="69">
        <v>1.0</v>
      </c>
      <c r="N7" s="69">
        <v>1.0</v>
      </c>
      <c r="O7" s="69">
        <v>0.0</v>
      </c>
      <c r="P7" s="14"/>
      <c r="Q7" s="10"/>
    </row>
    <row r="8">
      <c r="A8" s="74" t="s">
        <v>23</v>
      </c>
      <c r="B8" s="75">
        <v>45023.0</v>
      </c>
      <c r="C8" s="76">
        <v>0.0</v>
      </c>
      <c r="D8" s="77">
        <v>1.0</v>
      </c>
      <c r="E8" s="76">
        <v>2.0</v>
      </c>
      <c r="F8" s="76">
        <v>0.0</v>
      </c>
      <c r="G8" s="76">
        <v>0.0</v>
      </c>
      <c r="H8" s="76">
        <v>1.0</v>
      </c>
      <c r="I8" s="76">
        <v>1.0</v>
      </c>
      <c r="J8" s="76">
        <v>0.0</v>
      </c>
      <c r="K8" s="76">
        <v>0.0</v>
      </c>
      <c r="L8" s="76">
        <v>1.0</v>
      </c>
      <c r="M8" s="76">
        <v>0.0</v>
      </c>
      <c r="N8" s="76">
        <v>1.0</v>
      </c>
      <c r="O8" s="76">
        <v>0.0</v>
      </c>
      <c r="P8" s="14"/>
      <c r="Q8" s="10"/>
    </row>
    <row r="9">
      <c r="A9" s="11" t="s">
        <v>27</v>
      </c>
      <c r="B9" s="12">
        <v>45024.0</v>
      </c>
      <c r="C9" s="69">
        <v>0.0</v>
      </c>
      <c r="D9" s="70">
        <v>0.0</v>
      </c>
      <c r="E9" s="69">
        <v>1.0</v>
      </c>
      <c r="F9" s="69">
        <v>0.0</v>
      </c>
      <c r="G9" s="69">
        <v>1.0</v>
      </c>
      <c r="H9" s="69">
        <v>1.0</v>
      </c>
      <c r="I9" s="69">
        <v>1.0</v>
      </c>
      <c r="J9" s="69">
        <v>0.0</v>
      </c>
      <c r="K9" s="69">
        <v>0.0</v>
      </c>
      <c r="L9" s="69">
        <v>1.0</v>
      </c>
      <c r="M9" s="69">
        <v>0.5</v>
      </c>
      <c r="N9" s="69">
        <v>1.0</v>
      </c>
      <c r="O9" s="69">
        <v>0.0</v>
      </c>
      <c r="P9" s="14"/>
      <c r="Q9" s="10"/>
    </row>
    <row r="10">
      <c r="A10" s="11" t="s">
        <v>15</v>
      </c>
      <c r="B10" s="12">
        <v>45025.0</v>
      </c>
      <c r="C10" s="69">
        <v>0.0</v>
      </c>
      <c r="D10" s="70">
        <v>1.0</v>
      </c>
      <c r="E10" s="69">
        <v>1.0</v>
      </c>
      <c r="F10" s="69">
        <v>0.0</v>
      </c>
      <c r="G10" s="69">
        <v>1.0</v>
      </c>
      <c r="H10" s="69">
        <v>1.0</v>
      </c>
      <c r="I10" s="69">
        <v>1.0</v>
      </c>
      <c r="J10" s="69">
        <v>0.0</v>
      </c>
      <c r="K10" s="69">
        <v>0.0</v>
      </c>
      <c r="L10" s="69">
        <v>1.0</v>
      </c>
      <c r="M10" s="69">
        <v>0.5</v>
      </c>
      <c r="N10" s="69">
        <v>1.0</v>
      </c>
      <c r="O10" s="69">
        <v>0.0</v>
      </c>
      <c r="P10" s="71"/>
      <c r="Q10" s="10"/>
    </row>
    <row r="11">
      <c r="A11" s="11" t="s">
        <v>16</v>
      </c>
      <c r="B11" s="12">
        <v>45026.0</v>
      </c>
      <c r="C11" s="69">
        <v>0.0</v>
      </c>
      <c r="D11" s="70">
        <v>1.0</v>
      </c>
      <c r="E11" s="69">
        <v>1.0</v>
      </c>
      <c r="F11" s="69">
        <v>0.0</v>
      </c>
      <c r="G11" s="69">
        <v>1.0</v>
      </c>
      <c r="H11" s="69">
        <v>1.0</v>
      </c>
      <c r="I11" s="69">
        <v>1.0</v>
      </c>
      <c r="J11" s="69">
        <v>0.0</v>
      </c>
      <c r="K11" s="69">
        <v>0.0</v>
      </c>
      <c r="L11" s="69">
        <v>1.0</v>
      </c>
      <c r="M11" s="69">
        <v>1.0</v>
      </c>
      <c r="N11" s="69">
        <v>1.0</v>
      </c>
      <c r="O11" s="69">
        <v>0.0</v>
      </c>
      <c r="P11" s="14"/>
      <c r="Q11" s="10"/>
    </row>
    <row r="12">
      <c r="A12" s="11" t="s">
        <v>19</v>
      </c>
      <c r="B12" s="12">
        <v>45027.0</v>
      </c>
      <c r="C12" s="69">
        <v>0.0</v>
      </c>
      <c r="D12" s="70">
        <v>1.0</v>
      </c>
      <c r="E12" s="69">
        <v>1.0</v>
      </c>
      <c r="F12" s="69">
        <v>1.0</v>
      </c>
      <c r="G12" s="69">
        <v>1.0</v>
      </c>
      <c r="H12" s="69">
        <v>1.0</v>
      </c>
      <c r="I12" s="69">
        <v>1.0</v>
      </c>
      <c r="J12" s="69">
        <v>0.0</v>
      </c>
      <c r="K12" s="69">
        <v>0.0</v>
      </c>
      <c r="L12" s="69">
        <v>1.0</v>
      </c>
      <c r="M12" s="69">
        <v>1.0</v>
      </c>
      <c r="N12" s="69">
        <v>1.0</v>
      </c>
      <c r="O12" s="69">
        <v>0.0</v>
      </c>
      <c r="P12" s="14"/>
      <c r="Q12" s="10"/>
    </row>
    <row r="13">
      <c r="A13" s="11" t="s">
        <v>20</v>
      </c>
      <c r="B13" s="12">
        <v>45028.0</v>
      </c>
      <c r="C13" s="69">
        <v>0.0</v>
      </c>
      <c r="D13" s="70">
        <v>1.0</v>
      </c>
      <c r="E13" s="69">
        <v>2.0</v>
      </c>
      <c r="F13" s="69">
        <v>1.0</v>
      </c>
      <c r="G13" s="69">
        <v>1.0</v>
      </c>
      <c r="H13" s="69">
        <v>1.0</v>
      </c>
      <c r="I13" s="69">
        <v>1.0</v>
      </c>
      <c r="J13" s="69">
        <v>1.0</v>
      </c>
      <c r="K13" s="69">
        <v>0.0</v>
      </c>
      <c r="L13" s="69">
        <v>1.0</v>
      </c>
      <c r="M13" s="69">
        <v>0.0</v>
      </c>
      <c r="N13" s="69">
        <v>1.0</v>
      </c>
      <c r="O13" s="69">
        <v>0.0</v>
      </c>
      <c r="P13" s="71"/>
      <c r="Q13" s="10"/>
    </row>
    <row r="14">
      <c r="A14" s="11" t="s">
        <v>22</v>
      </c>
      <c r="B14" s="12">
        <v>45029.0</v>
      </c>
      <c r="C14" s="69">
        <v>0.0</v>
      </c>
      <c r="D14" s="70">
        <v>1.0</v>
      </c>
      <c r="E14" s="69">
        <v>2.0</v>
      </c>
      <c r="F14" s="69">
        <v>1.0</v>
      </c>
      <c r="G14" s="69">
        <v>1.0</v>
      </c>
      <c r="H14" s="69">
        <v>1.0</v>
      </c>
      <c r="I14" s="69">
        <v>1.0</v>
      </c>
      <c r="J14" s="69">
        <v>1.0</v>
      </c>
      <c r="K14" s="69">
        <v>1.0</v>
      </c>
      <c r="L14" s="69">
        <v>1.0</v>
      </c>
      <c r="M14" s="69">
        <v>1.0</v>
      </c>
      <c r="N14" s="69">
        <v>1.0</v>
      </c>
      <c r="O14" s="69">
        <v>0.0</v>
      </c>
      <c r="P14" s="14"/>
      <c r="Q14" s="10"/>
    </row>
    <row r="15">
      <c r="A15" s="74" t="s">
        <v>23</v>
      </c>
      <c r="B15" s="75">
        <v>45030.0</v>
      </c>
      <c r="C15" s="76">
        <v>0.0</v>
      </c>
      <c r="D15" s="77">
        <v>0.0</v>
      </c>
      <c r="E15" s="76">
        <v>2.0</v>
      </c>
      <c r="F15" s="76">
        <v>1.0</v>
      </c>
      <c r="G15" s="76">
        <v>0.0</v>
      </c>
      <c r="H15" s="76">
        <v>1.0</v>
      </c>
      <c r="I15" s="76">
        <v>1.0</v>
      </c>
      <c r="J15" s="76">
        <v>1.0</v>
      </c>
      <c r="K15" s="76">
        <v>1.0</v>
      </c>
      <c r="L15" s="76">
        <v>1.0</v>
      </c>
      <c r="M15" s="76">
        <v>0.0</v>
      </c>
      <c r="N15" s="76">
        <v>1.0</v>
      </c>
      <c r="O15" s="76">
        <v>0.0</v>
      </c>
      <c r="P15" s="14"/>
      <c r="Q15" s="10"/>
    </row>
    <row r="16">
      <c r="A16" s="11" t="s">
        <v>27</v>
      </c>
      <c r="B16" s="12">
        <v>45031.0</v>
      </c>
      <c r="C16" s="69">
        <v>0.0</v>
      </c>
      <c r="D16" s="70">
        <v>1.5</v>
      </c>
      <c r="E16" s="69">
        <v>2.0</v>
      </c>
      <c r="F16" s="69">
        <v>1.0</v>
      </c>
      <c r="G16" s="69">
        <v>0.0</v>
      </c>
      <c r="H16" s="69">
        <v>1.0</v>
      </c>
      <c r="I16" s="69">
        <v>1.0</v>
      </c>
      <c r="J16" s="69">
        <v>0.0</v>
      </c>
      <c r="K16" s="69">
        <v>0.0</v>
      </c>
      <c r="L16" s="69">
        <v>0.0</v>
      </c>
      <c r="M16" s="69">
        <v>0.5</v>
      </c>
      <c r="N16" s="69">
        <v>1.0</v>
      </c>
      <c r="O16" s="69">
        <v>0.0</v>
      </c>
      <c r="P16" s="14"/>
      <c r="Q16" s="10"/>
    </row>
    <row r="17">
      <c r="A17" s="11" t="s">
        <v>15</v>
      </c>
      <c r="B17" s="12">
        <v>45032.0</v>
      </c>
      <c r="C17" s="69">
        <v>1.0</v>
      </c>
      <c r="D17" s="70">
        <v>1.0</v>
      </c>
      <c r="E17" s="69">
        <v>2.0</v>
      </c>
      <c r="F17" s="69">
        <v>1.0</v>
      </c>
      <c r="G17" s="69">
        <v>1.0</v>
      </c>
      <c r="H17" s="69">
        <v>1.0</v>
      </c>
      <c r="I17" s="69">
        <v>1.0</v>
      </c>
      <c r="J17" s="69">
        <v>0.0</v>
      </c>
      <c r="K17" s="69">
        <v>0.0</v>
      </c>
      <c r="L17" s="69">
        <v>1.0</v>
      </c>
      <c r="M17" s="69">
        <v>0.5</v>
      </c>
      <c r="N17" s="69">
        <v>1.0</v>
      </c>
      <c r="O17" s="69">
        <v>0.0</v>
      </c>
      <c r="P17" s="14"/>
      <c r="Q17" s="10"/>
    </row>
    <row r="18">
      <c r="A18" s="11" t="s">
        <v>16</v>
      </c>
      <c r="B18" s="12">
        <v>45033.0</v>
      </c>
      <c r="C18" s="69">
        <v>1.0</v>
      </c>
      <c r="D18" s="70">
        <v>1.0</v>
      </c>
      <c r="E18" s="69">
        <v>2.0</v>
      </c>
      <c r="F18" s="69">
        <v>0.0</v>
      </c>
      <c r="G18" s="69">
        <v>1.0</v>
      </c>
      <c r="H18" s="69">
        <v>1.0</v>
      </c>
      <c r="I18" s="69">
        <v>1.0</v>
      </c>
      <c r="J18" s="69">
        <v>2.0</v>
      </c>
      <c r="K18" s="69">
        <v>1.0</v>
      </c>
      <c r="L18" s="69">
        <v>1.0</v>
      </c>
      <c r="M18" s="69">
        <v>1.0</v>
      </c>
      <c r="N18" s="69">
        <v>1.0</v>
      </c>
      <c r="O18" s="69">
        <v>0.0</v>
      </c>
      <c r="P18" s="14"/>
      <c r="Q18" s="10"/>
    </row>
    <row r="19">
      <c r="A19" s="11" t="s">
        <v>19</v>
      </c>
      <c r="B19" s="12">
        <v>45034.0</v>
      </c>
      <c r="C19" s="69">
        <v>1.0</v>
      </c>
      <c r="D19" s="70">
        <v>2.0</v>
      </c>
      <c r="E19" s="69">
        <v>2.5</v>
      </c>
      <c r="F19" s="69">
        <v>2.0</v>
      </c>
      <c r="G19" s="69">
        <v>1.0</v>
      </c>
      <c r="H19" s="69">
        <v>1.0</v>
      </c>
      <c r="I19" s="69">
        <v>0.0</v>
      </c>
      <c r="J19" s="69">
        <v>1.5</v>
      </c>
      <c r="K19" s="69">
        <v>1.5</v>
      </c>
      <c r="L19" s="69">
        <v>1.0</v>
      </c>
      <c r="M19" s="69">
        <v>1.0</v>
      </c>
      <c r="N19" s="69">
        <v>1.0</v>
      </c>
      <c r="O19" s="69">
        <v>0.0</v>
      </c>
      <c r="P19" s="14"/>
      <c r="Q19" s="10"/>
    </row>
    <row r="20">
      <c r="A20" s="11" t="s">
        <v>20</v>
      </c>
      <c r="B20" s="12">
        <v>45035.0</v>
      </c>
      <c r="C20" s="69">
        <v>1.0</v>
      </c>
      <c r="D20" s="70">
        <v>1.0</v>
      </c>
      <c r="E20" s="69">
        <v>3.0</v>
      </c>
      <c r="F20" s="69">
        <v>2.0</v>
      </c>
      <c r="G20" s="69">
        <v>1.0</v>
      </c>
      <c r="H20" s="69">
        <v>1.0</v>
      </c>
      <c r="I20" s="69">
        <v>1.0</v>
      </c>
      <c r="J20" s="69">
        <v>2.0</v>
      </c>
      <c r="K20" s="69">
        <v>1.0</v>
      </c>
      <c r="L20" s="69">
        <v>1.0</v>
      </c>
      <c r="M20" s="69">
        <v>0.0</v>
      </c>
      <c r="N20" s="69">
        <v>0.0</v>
      </c>
      <c r="O20" s="69">
        <v>0.0</v>
      </c>
      <c r="P20" s="14"/>
      <c r="Q20" s="10"/>
    </row>
    <row r="21">
      <c r="A21" s="11" t="s">
        <v>22</v>
      </c>
      <c r="B21" s="12">
        <v>45036.0</v>
      </c>
      <c r="C21" s="69">
        <v>1.0</v>
      </c>
      <c r="D21" s="70">
        <v>0.0</v>
      </c>
      <c r="E21" s="69">
        <v>1.0</v>
      </c>
      <c r="F21" s="69">
        <v>1.0</v>
      </c>
      <c r="G21" s="69">
        <v>1.0</v>
      </c>
      <c r="H21" s="69">
        <v>1.0</v>
      </c>
      <c r="I21" s="69">
        <v>1.0</v>
      </c>
      <c r="J21" s="69">
        <v>0.0</v>
      </c>
      <c r="K21" s="69">
        <v>1.0</v>
      </c>
      <c r="L21" s="69">
        <v>1.0</v>
      </c>
      <c r="M21" s="69">
        <v>0.0</v>
      </c>
      <c r="N21" s="69">
        <v>0.0</v>
      </c>
      <c r="O21" s="69">
        <v>0.0</v>
      </c>
      <c r="P21" s="14"/>
      <c r="Q21" s="10"/>
    </row>
    <row r="22">
      <c r="A22" s="74" t="s">
        <v>23</v>
      </c>
      <c r="B22" s="75">
        <v>45037.0</v>
      </c>
      <c r="C22" s="78">
        <v>1.0</v>
      </c>
      <c r="D22" s="79">
        <v>1.0</v>
      </c>
      <c r="E22" s="78">
        <v>1.0</v>
      </c>
      <c r="F22" s="78">
        <v>1.0</v>
      </c>
      <c r="G22" s="78">
        <v>1.0</v>
      </c>
      <c r="H22" s="78">
        <v>1.0</v>
      </c>
      <c r="I22" s="78">
        <v>1.0</v>
      </c>
      <c r="J22" s="78">
        <v>1.0</v>
      </c>
      <c r="K22" s="78">
        <v>1.0</v>
      </c>
      <c r="L22" s="78">
        <v>1.0</v>
      </c>
      <c r="M22" s="78">
        <v>0.0</v>
      </c>
      <c r="N22" s="78">
        <v>1.0</v>
      </c>
      <c r="O22" s="78">
        <v>0.0</v>
      </c>
      <c r="P22" s="14"/>
      <c r="Q22" s="10"/>
    </row>
    <row r="23">
      <c r="A23" s="11" t="s">
        <v>27</v>
      </c>
      <c r="B23" s="12">
        <v>45038.0</v>
      </c>
      <c r="C23" s="80">
        <v>1.0</v>
      </c>
      <c r="D23" s="81">
        <v>1.0</v>
      </c>
      <c r="E23" s="80">
        <v>1.0</v>
      </c>
      <c r="F23" s="80">
        <v>1.0</v>
      </c>
      <c r="G23" s="80">
        <v>1.0</v>
      </c>
      <c r="H23" s="80">
        <v>1.0</v>
      </c>
      <c r="I23" s="80">
        <v>1.0</v>
      </c>
      <c r="J23" s="80">
        <v>1.0</v>
      </c>
      <c r="K23" s="80">
        <v>1.0</v>
      </c>
      <c r="L23" s="80">
        <v>1.0</v>
      </c>
      <c r="M23" s="80">
        <v>0.0</v>
      </c>
      <c r="N23" s="80">
        <v>1.0</v>
      </c>
      <c r="O23" s="80">
        <v>0.0</v>
      </c>
      <c r="P23" s="71"/>
      <c r="Q23" s="10"/>
    </row>
    <row r="24">
      <c r="A24" s="11" t="s">
        <v>15</v>
      </c>
      <c r="B24" s="12">
        <v>45039.0</v>
      </c>
      <c r="C24" s="69">
        <v>0.0</v>
      </c>
      <c r="D24" s="70">
        <v>0.0</v>
      </c>
      <c r="E24" s="69">
        <v>1.0</v>
      </c>
      <c r="F24" s="69">
        <v>0.0</v>
      </c>
      <c r="G24" s="69">
        <v>0.0</v>
      </c>
      <c r="H24" s="69">
        <v>0.0</v>
      </c>
      <c r="I24" s="69">
        <v>0.0</v>
      </c>
      <c r="J24" s="69">
        <v>1.0</v>
      </c>
      <c r="K24" s="69">
        <v>0.0</v>
      </c>
      <c r="L24" s="69">
        <v>0.0</v>
      </c>
      <c r="M24" s="69">
        <v>0.0</v>
      </c>
      <c r="N24" s="69">
        <v>0.0</v>
      </c>
      <c r="O24" s="69">
        <v>0.0</v>
      </c>
      <c r="P24" s="14"/>
      <c r="Q24" s="10"/>
    </row>
    <row r="25">
      <c r="A25" s="11" t="s">
        <v>16</v>
      </c>
      <c r="B25" s="12">
        <v>45040.0</v>
      </c>
      <c r="C25" s="69">
        <v>0.0</v>
      </c>
      <c r="D25" s="70">
        <v>1.0</v>
      </c>
      <c r="E25" s="69">
        <v>1.0</v>
      </c>
      <c r="F25" s="69">
        <v>0.0</v>
      </c>
      <c r="G25" s="69">
        <v>0.0</v>
      </c>
      <c r="H25" s="69">
        <v>1.0</v>
      </c>
      <c r="I25" s="69">
        <v>0.0</v>
      </c>
      <c r="J25" s="69">
        <v>0.0</v>
      </c>
      <c r="K25" s="69">
        <v>1.0</v>
      </c>
      <c r="L25" s="69">
        <v>1.0</v>
      </c>
      <c r="M25" s="69">
        <v>0.0</v>
      </c>
      <c r="N25" s="69">
        <v>1.0</v>
      </c>
      <c r="O25" s="69">
        <v>0.0</v>
      </c>
      <c r="P25" s="14"/>
      <c r="Q25" s="10"/>
    </row>
    <row r="26">
      <c r="A26" s="11" t="s">
        <v>19</v>
      </c>
      <c r="B26" s="12">
        <v>45041.0</v>
      </c>
      <c r="C26" s="69">
        <v>0.0</v>
      </c>
      <c r="D26" s="70">
        <v>1.0</v>
      </c>
      <c r="E26" s="69">
        <v>1.0</v>
      </c>
      <c r="F26" s="69">
        <v>0.0</v>
      </c>
      <c r="G26" s="69">
        <v>0.0</v>
      </c>
      <c r="H26" s="69">
        <v>1.0</v>
      </c>
      <c r="I26" s="69">
        <v>0.0</v>
      </c>
      <c r="J26" s="69">
        <v>0.0</v>
      </c>
      <c r="K26" s="69">
        <v>0.0</v>
      </c>
      <c r="L26" s="69">
        <v>1.0</v>
      </c>
      <c r="M26" s="69">
        <v>0.0</v>
      </c>
      <c r="N26" s="69">
        <v>1.0</v>
      </c>
      <c r="O26" s="69">
        <v>0.0</v>
      </c>
      <c r="P26" s="14"/>
      <c r="Q26" s="10"/>
    </row>
    <row r="27">
      <c r="A27" s="11" t="s">
        <v>20</v>
      </c>
      <c r="B27" s="12">
        <v>45042.0</v>
      </c>
      <c r="C27" s="69">
        <v>1.0</v>
      </c>
      <c r="D27" s="70">
        <v>1.0</v>
      </c>
      <c r="E27" s="69">
        <v>1.0</v>
      </c>
      <c r="F27" s="69">
        <v>0.0</v>
      </c>
      <c r="G27" s="69">
        <v>0.0</v>
      </c>
      <c r="H27" s="69">
        <v>1.0</v>
      </c>
      <c r="I27" s="69">
        <v>0.0</v>
      </c>
      <c r="J27" s="69">
        <v>0.0</v>
      </c>
      <c r="K27" s="69">
        <v>0.0</v>
      </c>
      <c r="L27" s="69">
        <v>1.0</v>
      </c>
      <c r="M27" s="69">
        <v>0.0</v>
      </c>
      <c r="N27" s="69">
        <v>0.0</v>
      </c>
      <c r="O27" s="69">
        <v>0.0</v>
      </c>
      <c r="P27" s="14"/>
      <c r="Q27" s="10"/>
    </row>
    <row r="28">
      <c r="A28" s="11" t="s">
        <v>22</v>
      </c>
      <c r="B28" s="12">
        <v>45043.0</v>
      </c>
      <c r="C28" s="69">
        <v>0.0</v>
      </c>
      <c r="D28" s="70">
        <v>1.0</v>
      </c>
      <c r="E28" s="69">
        <v>1.0</v>
      </c>
      <c r="F28" s="69">
        <v>0.0</v>
      </c>
      <c r="G28" s="69">
        <v>0.0</v>
      </c>
      <c r="H28" s="69">
        <v>2.0</v>
      </c>
      <c r="I28" s="69">
        <v>0.0</v>
      </c>
      <c r="J28" s="69">
        <v>0.0</v>
      </c>
      <c r="K28" s="69">
        <v>1.0</v>
      </c>
      <c r="L28" s="69">
        <v>1.0</v>
      </c>
      <c r="M28" s="69">
        <v>0.0</v>
      </c>
      <c r="N28" s="69">
        <v>0.0</v>
      </c>
      <c r="O28" s="69">
        <v>0.0</v>
      </c>
      <c r="P28" s="71"/>
      <c r="Q28" s="10"/>
    </row>
    <row r="29">
      <c r="A29" s="74" t="s">
        <v>23</v>
      </c>
      <c r="B29" s="75">
        <v>45044.0</v>
      </c>
      <c r="C29" s="76">
        <v>0.0</v>
      </c>
      <c r="D29" s="77">
        <v>1.0</v>
      </c>
      <c r="E29" s="76">
        <v>0.0</v>
      </c>
      <c r="F29" s="76">
        <v>0.0</v>
      </c>
      <c r="G29" s="76">
        <v>0.0</v>
      </c>
      <c r="H29" s="76">
        <v>1.0</v>
      </c>
      <c r="I29" s="76">
        <v>0.0</v>
      </c>
      <c r="J29" s="76">
        <v>1.0</v>
      </c>
      <c r="K29" s="76">
        <v>0.0</v>
      </c>
      <c r="L29" s="76">
        <v>1.0</v>
      </c>
      <c r="M29" s="76">
        <v>0.0</v>
      </c>
      <c r="N29" s="76">
        <v>1.0</v>
      </c>
      <c r="O29" s="76">
        <v>0.0</v>
      </c>
      <c r="P29" s="14"/>
      <c r="Q29" s="10"/>
    </row>
    <row r="30">
      <c r="A30" s="11" t="s">
        <v>27</v>
      </c>
      <c r="B30" s="12">
        <v>45045.0</v>
      </c>
      <c r="C30" s="69">
        <v>0.0</v>
      </c>
      <c r="D30" s="70">
        <v>1.0</v>
      </c>
      <c r="E30" s="69">
        <v>1.0</v>
      </c>
      <c r="F30" s="69">
        <v>0.0</v>
      </c>
      <c r="G30" s="69">
        <v>0.0</v>
      </c>
      <c r="H30" s="69">
        <v>1.0</v>
      </c>
      <c r="I30" s="69">
        <v>0.0</v>
      </c>
      <c r="J30" s="69">
        <v>0.0</v>
      </c>
      <c r="K30" s="69">
        <v>0.0</v>
      </c>
      <c r="L30" s="69">
        <v>1.0</v>
      </c>
      <c r="M30" s="69">
        <v>0.0</v>
      </c>
      <c r="N30" s="69">
        <v>1.0</v>
      </c>
      <c r="O30" s="69">
        <v>0.0</v>
      </c>
      <c r="P30" s="14"/>
      <c r="Q30" s="10"/>
    </row>
    <row r="31">
      <c r="A31" s="11" t="s">
        <v>15</v>
      </c>
      <c r="B31" s="12">
        <v>45046.0</v>
      </c>
      <c r="C31" s="69">
        <v>0.0</v>
      </c>
      <c r="D31" s="70">
        <v>0.0</v>
      </c>
      <c r="E31" s="69">
        <v>1.0</v>
      </c>
      <c r="F31" s="69">
        <v>0.0</v>
      </c>
      <c r="G31" s="69">
        <v>0.0</v>
      </c>
      <c r="H31" s="69">
        <v>1.0</v>
      </c>
      <c r="I31" s="69">
        <v>1.0</v>
      </c>
      <c r="J31" s="69">
        <v>0.0</v>
      </c>
      <c r="K31" s="69">
        <v>0.0</v>
      </c>
      <c r="L31" s="69">
        <v>1.0</v>
      </c>
      <c r="M31" s="69">
        <v>0.0</v>
      </c>
      <c r="N31" s="69">
        <v>1.0</v>
      </c>
      <c r="O31" s="69">
        <v>0.0</v>
      </c>
      <c r="P31" s="14"/>
      <c r="Q31" s="10"/>
    </row>
    <row r="32">
      <c r="C32" s="82">
        <f t="shared" ref="C32:O32" si="1">SUM(C2:C31)</f>
        <v>8</v>
      </c>
      <c r="D32" s="83">
        <f t="shared" si="1"/>
        <v>26.5</v>
      </c>
      <c r="E32" s="84">
        <f t="shared" si="1"/>
        <v>41</v>
      </c>
      <c r="F32" s="85">
        <f t="shared" si="1"/>
        <v>13</v>
      </c>
      <c r="G32" s="85">
        <f t="shared" si="1"/>
        <v>17</v>
      </c>
      <c r="H32" s="85">
        <f t="shared" si="1"/>
        <v>30</v>
      </c>
      <c r="I32" s="85">
        <f t="shared" si="1"/>
        <v>21</v>
      </c>
      <c r="J32" s="85">
        <f t="shared" si="1"/>
        <v>12.5</v>
      </c>
      <c r="K32" s="85">
        <f t="shared" si="1"/>
        <v>10.5</v>
      </c>
      <c r="L32" s="85">
        <f t="shared" si="1"/>
        <v>24</v>
      </c>
      <c r="M32" s="85">
        <f t="shared" si="1"/>
        <v>10</v>
      </c>
      <c r="N32" s="85">
        <f t="shared" si="1"/>
        <v>25</v>
      </c>
      <c r="O32" s="85">
        <f t="shared" si="1"/>
        <v>5</v>
      </c>
      <c r="P32" s="1"/>
      <c r="Q32" s="10"/>
    </row>
    <row r="33">
      <c r="C33" s="86">
        <v>1200.0</v>
      </c>
      <c r="D33" s="87">
        <v>1180.0</v>
      </c>
      <c r="E33" s="88">
        <v>1270.0</v>
      </c>
      <c r="F33" s="88">
        <v>1180.0</v>
      </c>
      <c r="G33" s="88">
        <v>1180.0</v>
      </c>
      <c r="H33" s="88">
        <v>1346.0</v>
      </c>
      <c r="I33" s="88">
        <v>1180.0</v>
      </c>
      <c r="J33" s="88">
        <v>1038.0</v>
      </c>
      <c r="K33" s="88">
        <v>1038.0</v>
      </c>
      <c r="L33" s="88">
        <v>1038.0</v>
      </c>
      <c r="M33" s="88">
        <v>1000.0</v>
      </c>
      <c r="N33" s="89">
        <v>1000.0</v>
      </c>
      <c r="O33" s="90">
        <v>900.0</v>
      </c>
      <c r="P33" s="91"/>
      <c r="Q33" s="10"/>
    </row>
    <row r="34">
      <c r="C34" s="92">
        <f>C32*C33</f>
        <v>9600</v>
      </c>
      <c r="D34" s="93">
        <f t="shared" ref="D34:N34" si="2">D33*D32</f>
        <v>31270</v>
      </c>
      <c r="E34" s="94">
        <f t="shared" si="2"/>
        <v>52070</v>
      </c>
      <c r="F34" s="94">
        <f t="shared" si="2"/>
        <v>15340</v>
      </c>
      <c r="G34" s="94">
        <f t="shared" si="2"/>
        <v>20060</v>
      </c>
      <c r="H34" s="94">
        <f t="shared" si="2"/>
        <v>40380</v>
      </c>
      <c r="I34" s="94">
        <f t="shared" si="2"/>
        <v>24780</v>
      </c>
      <c r="J34" s="94">
        <f t="shared" si="2"/>
        <v>12975</v>
      </c>
      <c r="K34" s="94">
        <f t="shared" si="2"/>
        <v>10899</v>
      </c>
      <c r="L34" s="94">
        <f t="shared" si="2"/>
        <v>24912</v>
      </c>
      <c r="M34" s="94">
        <f t="shared" si="2"/>
        <v>10000</v>
      </c>
      <c r="N34" s="95">
        <f t="shared" si="2"/>
        <v>25000</v>
      </c>
      <c r="O34" s="95">
        <f>O32*O33</f>
        <v>4500</v>
      </c>
      <c r="P34" s="96">
        <f>SUM(D34:M34)</f>
        <v>242686</v>
      </c>
      <c r="Q34" s="10"/>
    </row>
    <row r="35"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</row>
    <row r="36"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</row>
    <row r="37"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</row>
    <row r="38"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</row>
    <row r="39"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</row>
    <row r="40"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5.38"/>
    <col customWidth="1" min="9" max="9" width="27.13"/>
    <col customWidth="1" min="10" max="10" width="26.13"/>
    <col customWidth="1" min="11" max="11" width="28.38"/>
    <col customWidth="1" min="12" max="12" width="70.88"/>
    <col customWidth="1" min="13" max="13" width="47.38"/>
  </cols>
  <sheetData>
    <row r="12">
      <c r="G12" s="97"/>
      <c r="H12" s="98" t="s">
        <v>59</v>
      </c>
      <c r="I12" s="98" t="s">
        <v>4</v>
      </c>
      <c r="J12" s="98" t="s">
        <v>60</v>
      </c>
      <c r="K12" s="99" t="s">
        <v>61</v>
      </c>
      <c r="L12" s="100"/>
    </row>
    <row r="13">
      <c r="G13" s="101">
        <v>1.0</v>
      </c>
      <c r="H13" s="39" t="s">
        <v>62</v>
      </c>
      <c r="I13" s="17">
        <v>30000.0</v>
      </c>
      <c r="J13" s="13">
        <v>30000.0</v>
      </c>
      <c r="K13" s="17">
        <f t="shared" ref="K13:K27" si="1">I13-J13</f>
        <v>0</v>
      </c>
      <c r="L13" s="100" t="s">
        <v>63</v>
      </c>
      <c r="M13" s="102" t="s">
        <v>64</v>
      </c>
    </row>
    <row r="14">
      <c r="G14" s="101">
        <v>2.0</v>
      </c>
      <c r="H14" s="39" t="s">
        <v>65</v>
      </c>
      <c r="I14" s="17">
        <v>30000.0</v>
      </c>
      <c r="J14" s="13">
        <v>30000.0</v>
      </c>
      <c r="K14" s="17">
        <f t="shared" si="1"/>
        <v>0</v>
      </c>
      <c r="L14" s="103"/>
      <c r="M14" s="104" t="s">
        <v>66</v>
      </c>
    </row>
    <row r="15">
      <c r="G15" s="105">
        <v>3.0</v>
      </c>
      <c r="H15" s="106" t="s">
        <v>67</v>
      </c>
      <c r="I15" s="17">
        <f>'Pointage '!C34*1</f>
        <v>9600</v>
      </c>
      <c r="J15" s="13">
        <v>8000.0</v>
      </c>
      <c r="K15" s="17">
        <f t="shared" si="1"/>
        <v>1600</v>
      </c>
      <c r="L15" s="100" t="s">
        <v>68</v>
      </c>
    </row>
    <row r="16">
      <c r="G16" s="101">
        <v>3.0</v>
      </c>
      <c r="H16" s="39" t="s">
        <v>46</v>
      </c>
      <c r="I16" s="17">
        <f>'Pointage '!D34*1</f>
        <v>31270</v>
      </c>
      <c r="J16" s="17"/>
      <c r="K16" s="17">
        <f t="shared" si="1"/>
        <v>31270</v>
      </c>
      <c r="L16" s="103"/>
    </row>
    <row r="17">
      <c r="G17" s="101">
        <v>4.0</v>
      </c>
      <c r="H17" s="39" t="s">
        <v>47</v>
      </c>
      <c r="I17" s="17">
        <f>'Pointage '!E34*1</f>
        <v>52070</v>
      </c>
      <c r="J17" s="13">
        <v>6000.0</v>
      </c>
      <c r="K17" s="17">
        <f t="shared" si="1"/>
        <v>46070</v>
      </c>
      <c r="L17" s="103"/>
    </row>
    <row r="18">
      <c r="G18" s="101">
        <v>5.0</v>
      </c>
      <c r="H18" s="39" t="s">
        <v>48</v>
      </c>
      <c r="I18" s="17">
        <f>'Pointage '!F34*1</f>
        <v>15340</v>
      </c>
      <c r="J18" s="17"/>
      <c r="K18" s="17">
        <f t="shared" si="1"/>
        <v>15340</v>
      </c>
      <c r="L18" s="103"/>
    </row>
    <row r="19">
      <c r="G19" s="101">
        <v>6.0</v>
      </c>
      <c r="H19" s="39" t="s">
        <v>49</v>
      </c>
      <c r="I19" s="17">
        <f>'Pointage '!G34*1</f>
        <v>20060</v>
      </c>
      <c r="J19" s="13">
        <v>10000.0</v>
      </c>
      <c r="K19" s="17">
        <f t="shared" si="1"/>
        <v>10060</v>
      </c>
      <c r="L19" s="100" t="s">
        <v>69</v>
      </c>
    </row>
    <row r="20">
      <c r="G20" s="101">
        <v>7.0</v>
      </c>
      <c r="H20" s="39" t="s">
        <v>50</v>
      </c>
      <c r="I20" s="17">
        <f>'Pointage '!H34*1</f>
        <v>40380</v>
      </c>
      <c r="J20" s="13">
        <v>30000.0</v>
      </c>
      <c r="K20" s="17">
        <f t="shared" si="1"/>
        <v>10380</v>
      </c>
      <c r="L20" s="103"/>
    </row>
    <row r="21">
      <c r="G21" s="101">
        <v>8.0</v>
      </c>
      <c r="H21" s="39" t="s">
        <v>51</v>
      </c>
      <c r="I21" s="17">
        <f>'Pointage '!I34*1</f>
        <v>24780</v>
      </c>
      <c r="J21" s="17"/>
      <c r="K21" s="17">
        <f t="shared" si="1"/>
        <v>24780</v>
      </c>
      <c r="L21" s="103"/>
    </row>
    <row r="22">
      <c r="G22" s="105">
        <v>9.0</v>
      </c>
      <c r="H22" s="39" t="s">
        <v>52</v>
      </c>
      <c r="I22" s="17">
        <f>12975</f>
        <v>12975</v>
      </c>
      <c r="J22" s="17"/>
      <c r="K22" s="17">
        <f t="shared" si="1"/>
        <v>12975</v>
      </c>
      <c r="L22" s="103"/>
    </row>
    <row r="23">
      <c r="G23" s="105">
        <v>10.0</v>
      </c>
      <c r="H23" s="39" t="s">
        <v>53</v>
      </c>
      <c r="I23" s="17">
        <f>'Pointage '!K34*1</f>
        <v>10899</v>
      </c>
      <c r="J23" s="17"/>
      <c r="K23" s="17">
        <f t="shared" si="1"/>
        <v>10899</v>
      </c>
      <c r="L23" s="103"/>
    </row>
    <row r="24">
      <c r="G24" s="105">
        <v>11.0</v>
      </c>
      <c r="H24" s="39" t="s">
        <v>54</v>
      </c>
      <c r="I24" s="17">
        <f>'Pointage '!L34*1</f>
        <v>24912</v>
      </c>
      <c r="J24" s="13">
        <v>5000.0</v>
      </c>
      <c r="K24" s="17">
        <f t="shared" si="1"/>
        <v>19912</v>
      </c>
      <c r="L24" s="103"/>
    </row>
    <row r="25">
      <c r="G25" s="105">
        <v>12.0</v>
      </c>
      <c r="H25" s="39" t="s">
        <v>57</v>
      </c>
      <c r="I25" s="17">
        <f>'Pointage '!O34*1</f>
        <v>4500</v>
      </c>
      <c r="J25" s="17"/>
      <c r="K25" s="17">
        <f t="shared" si="1"/>
        <v>4500</v>
      </c>
      <c r="L25" s="103"/>
    </row>
    <row r="26">
      <c r="G26" s="105">
        <v>13.0</v>
      </c>
      <c r="H26" s="39" t="s">
        <v>55</v>
      </c>
      <c r="I26" s="17">
        <f>'Pointage '!M34*1</f>
        <v>10000</v>
      </c>
      <c r="J26" s="17"/>
      <c r="K26" s="17">
        <f t="shared" si="1"/>
        <v>10000</v>
      </c>
      <c r="L26" s="103"/>
    </row>
    <row r="27">
      <c r="G27" s="105">
        <v>14.0</v>
      </c>
      <c r="H27" s="39" t="s">
        <v>56</v>
      </c>
      <c r="I27" s="17">
        <f>'Pointage '!N34*1</f>
        <v>25000</v>
      </c>
      <c r="J27" s="13">
        <v>18000.0</v>
      </c>
      <c r="K27" s="17">
        <f t="shared" si="1"/>
        <v>7000</v>
      </c>
      <c r="L27" s="103"/>
    </row>
    <row r="28">
      <c r="G28" s="107"/>
      <c r="H28" s="23" t="s">
        <v>70</v>
      </c>
      <c r="I28" s="25">
        <f t="shared" ref="I28:K28" si="2">SUM(I13:I27)</f>
        <v>341786</v>
      </c>
      <c r="J28" s="108">
        <f t="shared" si="2"/>
        <v>137000</v>
      </c>
      <c r="K28" s="109">
        <f t="shared" si="2"/>
        <v>204786</v>
      </c>
      <c r="L28" s="103"/>
    </row>
    <row r="29">
      <c r="G29" s="107"/>
      <c r="H29" s="110">
        <f>I28-J28</f>
        <v>204786</v>
      </c>
      <c r="I29" s="1"/>
      <c r="J29" s="1"/>
      <c r="K29" s="24">
        <f>I29-J29</f>
        <v>0</v>
      </c>
      <c r="L29" s="103"/>
    </row>
    <row r="30">
      <c r="G30" s="10"/>
      <c r="H30" s="10"/>
      <c r="I30" s="10"/>
      <c r="J30" s="10"/>
      <c r="K30" s="10"/>
      <c r="L30" s="10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76.88"/>
    <col customWidth="1" min="7" max="7" width="22.88"/>
    <col customWidth="1" min="8" max="8" width="24.13"/>
    <col customWidth="1" min="9" max="10" width="25.38"/>
  </cols>
  <sheetData>
    <row r="2">
      <c r="F2" s="111" t="s">
        <v>71</v>
      </c>
      <c r="G2" s="112" t="s">
        <v>72</v>
      </c>
      <c r="H2" s="112" t="s">
        <v>73</v>
      </c>
      <c r="I2" s="112" t="s">
        <v>74</v>
      </c>
      <c r="J2" s="112" t="s">
        <v>75</v>
      </c>
    </row>
    <row r="3">
      <c r="F3" s="113" t="s">
        <v>76</v>
      </c>
      <c r="G3" s="114">
        <v>2.0</v>
      </c>
      <c r="H3" s="17">
        <v>600.0</v>
      </c>
      <c r="I3" s="17">
        <f t="shared" ref="I3:I4" si="1">H3*G3</f>
        <v>1200</v>
      </c>
      <c r="J3" s="114" t="s">
        <v>77</v>
      </c>
    </row>
    <row r="4">
      <c r="F4" s="115" t="s">
        <v>78</v>
      </c>
      <c r="G4" s="116">
        <v>1.0</v>
      </c>
      <c r="H4" s="117">
        <v>2350.0</v>
      </c>
      <c r="I4" s="117">
        <f t="shared" si="1"/>
        <v>2350</v>
      </c>
      <c r="J4" s="116" t="s">
        <v>79</v>
      </c>
    </row>
    <row r="5">
      <c r="F5" s="11" t="s">
        <v>80</v>
      </c>
      <c r="G5" s="15">
        <v>6.0</v>
      </c>
      <c r="H5" s="13">
        <v>250.0</v>
      </c>
      <c r="I5" s="17">
        <f>G5*H5</f>
        <v>1500</v>
      </c>
      <c r="J5" s="12">
        <v>45006.0</v>
      </c>
    </row>
    <row r="6">
      <c r="F6" s="113" t="s">
        <v>81</v>
      </c>
      <c r="G6" s="15">
        <v>6.0</v>
      </c>
      <c r="H6" s="17">
        <v>260.0</v>
      </c>
      <c r="I6" s="17">
        <f t="shared" ref="I6:I7" si="2">H6*G6</f>
        <v>1560</v>
      </c>
      <c r="J6" s="114" t="s">
        <v>79</v>
      </c>
    </row>
    <row r="7">
      <c r="F7" s="114" t="s">
        <v>82</v>
      </c>
      <c r="G7" s="15">
        <v>10.0</v>
      </c>
      <c r="H7" s="17">
        <v>250.0</v>
      </c>
      <c r="I7" s="17">
        <f t="shared" si="2"/>
        <v>2500</v>
      </c>
      <c r="J7" s="118">
        <v>44947.0</v>
      </c>
    </row>
    <row r="8">
      <c r="F8" s="114" t="s">
        <v>83</v>
      </c>
      <c r="G8" s="15">
        <v>21.0</v>
      </c>
      <c r="H8" s="17">
        <v>250.0</v>
      </c>
      <c r="I8" s="17">
        <v>2500.0</v>
      </c>
      <c r="J8" s="114"/>
    </row>
    <row r="9">
      <c r="F9" s="113" t="s">
        <v>84</v>
      </c>
      <c r="G9" s="114">
        <v>0.5</v>
      </c>
      <c r="H9" s="17">
        <v>2300.0</v>
      </c>
      <c r="I9" s="17">
        <f t="shared" ref="I9:I116" si="3">H9*G9</f>
        <v>1150</v>
      </c>
      <c r="J9" s="114" t="s">
        <v>79</v>
      </c>
    </row>
    <row r="10">
      <c r="F10" s="115" t="s">
        <v>85</v>
      </c>
      <c r="G10" s="116">
        <v>1.0</v>
      </c>
      <c r="H10" s="117">
        <v>3500.0</v>
      </c>
      <c r="I10" s="117">
        <f t="shared" si="3"/>
        <v>3500</v>
      </c>
      <c r="J10" s="116" t="s">
        <v>79</v>
      </c>
    </row>
    <row r="11">
      <c r="F11" s="115" t="s">
        <v>86</v>
      </c>
      <c r="G11" s="116">
        <v>1.0</v>
      </c>
      <c r="H11" s="117">
        <v>1320.0</v>
      </c>
      <c r="I11" s="117">
        <f t="shared" si="3"/>
        <v>1320</v>
      </c>
      <c r="J11" s="119">
        <v>45012.0</v>
      </c>
    </row>
    <row r="12">
      <c r="F12" s="115" t="s">
        <v>87</v>
      </c>
      <c r="G12" s="116">
        <v>2.0</v>
      </c>
      <c r="H12" s="117">
        <v>750.0</v>
      </c>
      <c r="I12" s="117">
        <f t="shared" si="3"/>
        <v>1500</v>
      </c>
      <c r="J12" s="116" t="s">
        <v>88</v>
      </c>
    </row>
    <row r="13">
      <c r="F13" s="113" t="s">
        <v>89</v>
      </c>
      <c r="G13" s="114">
        <v>1.0</v>
      </c>
      <c r="H13" s="17">
        <v>1250.0</v>
      </c>
      <c r="I13" s="17">
        <f t="shared" si="3"/>
        <v>1250</v>
      </c>
      <c r="J13" s="118">
        <v>45012.0</v>
      </c>
    </row>
    <row r="14">
      <c r="F14" s="115" t="s">
        <v>90</v>
      </c>
      <c r="G14" s="120">
        <v>110.0</v>
      </c>
      <c r="H14" s="117">
        <v>7.5</v>
      </c>
      <c r="I14" s="117">
        <f t="shared" si="3"/>
        <v>825</v>
      </c>
      <c r="J14" s="119">
        <v>45012.0</v>
      </c>
    </row>
    <row r="15">
      <c r="F15" s="115" t="s">
        <v>91</v>
      </c>
      <c r="G15" s="116">
        <v>10.0</v>
      </c>
      <c r="H15" s="117">
        <v>750.0</v>
      </c>
      <c r="I15" s="117">
        <f t="shared" si="3"/>
        <v>7500</v>
      </c>
      <c r="J15" s="116" t="s">
        <v>92</v>
      </c>
    </row>
    <row r="16">
      <c r="F16" s="115" t="s">
        <v>93</v>
      </c>
      <c r="G16" s="120">
        <v>1.0</v>
      </c>
      <c r="H16" s="117">
        <v>1200.0</v>
      </c>
      <c r="I16" s="117">
        <f t="shared" si="3"/>
        <v>1200</v>
      </c>
      <c r="J16" s="119">
        <v>45007.0</v>
      </c>
    </row>
    <row r="17">
      <c r="F17" s="113" t="s">
        <v>94</v>
      </c>
      <c r="G17" s="114">
        <v>1.0</v>
      </c>
      <c r="H17" s="17">
        <v>800.0</v>
      </c>
      <c r="I17" s="17">
        <f t="shared" si="3"/>
        <v>800</v>
      </c>
      <c r="J17" s="118">
        <v>45007.0</v>
      </c>
    </row>
    <row r="18">
      <c r="F18" s="113" t="s">
        <v>95</v>
      </c>
      <c r="G18" s="114">
        <v>2.0</v>
      </c>
      <c r="H18" s="17">
        <v>900.0</v>
      </c>
      <c r="I18" s="17">
        <f t="shared" si="3"/>
        <v>1800</v>
      </c>
      <c r="J18" s="118">
        <v>45007.0</v>
      </c>
    </row>
    <row r="19">
      <c r="F19" s="113" t="s">
        <v>96</v>
      </c>
      <c r="G19" s="114">
        <v>1.0</v>
      </c>
      <c r="H19" s="17">
        <v>2000.0</v>
      </c>
      <c r="I19" s="17">
        <f t="shared" si="3"/>
        <v>2000</v>
      </c>
      <c r="J19" s="118">
        <v>45007.0</v>
      </c>
    </row>
    <row r="20">
      <c r="F20" s="115" t="s">
        <v>97</v>
      </c>
      <c r="G20" s="116">
        <v>100.0</v>
      </c>
      <c r="H20" s="117">
        <v>40.0</v>
      </c>
      <c r="I20" s="117">
        <f t="shared" si="3"/>
        <v>4000</v>
      </c>
      <c r="J20" s="119">
        <v>45001.0</v>
      </c>
    </row>
    <row r="21">
      <c r="F21" s="115" t="s">
        <v>98</v>
      </c>
      <c r="G21" s="120">
        <v>60.0</v>
      </c>
      <c r="H21" s="121">
        <v>85.0</v>
      </c>
      <c r="I21" s="117">
        <f t="shared" si="3"/>
        <v>5100</v>
      </c>
      <c r="J21" s="119">
        <v>44999.0</v>
      </c>
    </row>
    <row r="22">
      <c r="F22" s="115" t="s">
        <v>99</v>
      </c>
      <c r="G22" s="120">
        <v>10.0</v>
      </c>
      <c r="H22" s="117">
        <v>805.0</v>
      </c>
      <c r="I22" s="117">
        <f t="shared" si="3"/>
        <v>8050</v>
      </c>
      <c r="J22" s="119">
        <v>44999.0</v>
      </c>
    </row>
    <row r="23">
      <c r="F23" s="115" t="s">
        <v>100</v>
      </c>
      <c r="G23" s="120">
        <v>10.0</v>
      </c>
      <c r="H23" s="117">
        <v>600.0</v>
      </c>
      <c r="I23" s="117">
        <f t="shared" si="3"/>
        <v>6000</v>
      </c>
      <c r="J23" s="116" t="s">
        <v>92</v>
      </c>
    </row>
    <row r="24">
      <c r="F24" s="5" t="s">
        <v>101</v>
      </c>
      <c r="G24" s="122">
        <v>4.0</v>
      </c>
      <c r="H24" s="123">
        <v>1800.0</v>
      </c>
      <c r="I24" s="124">
        <f t="shared" si="3"/>
        <v>7200</v>
      </c>
      <c r="J24" s="125">
        <v>45007.0</v>
      </c>
    </row>
    <row r="25">
      <c r="F25" s="113" t="s">
        <v>102</v>
      </c>
      <c r="G25" s="114">
        <v>5.0</v>
      </c>
      <c r="H25" s="17">
        <v>1600.0</v>
      </c>
      <c r="I25" s="17">
        <f t="shared" si="3"/>
        <v>8000</v>
      </c>
      <c r="J25" s="118">
        <v>45005.0</v>
      </c>
    </row>
    <row r="26">
      <c r="F26" s="115" t="s">
        <v>103</v>
      </c>
      <c r="G26" s="120">
        <v>80.0</v>
      </c>
      <c r="H26" s="121">
        <v>500.0</v>
      </c>
      <c r="I26" s="117">
        <f t="shared" si="3"/>
        <v>40000</v>
      </c>
      <c r="J26" s="116" t="s">
        <v>104</v>
      </c>
    </row>
    <row r="27">
      <c r="F27" s="115" t="s">
        <v>105</v>
      </c>
      <c r="G27" s="120">
        <v>5.0</v>
      </c>
      <c r="H27" s="117">
        <v>1000.0</v>
      </c>
      <c r="I27" s="117">
        <f t="shared" si="3"/>
        <v>5000</v>
      </c>
      <c r="J27" s="116" t="s">
        <v>106</v>
      </c>
    </row>
    <row r="28">
      <c r="F28" s="113" t="s">
        <v>107</v>
      </c>
      <c r="G28" s="15">
        <v>5.0</v>
      </c>
      <c r="H28" s="17">
        <v>160.0</v>
      </c>
      <c r="I28" s="17">
        <f t="shared" si="3"/>
        <v>800</v>
      </c>
      <c r="J28" s="118">
        <v>44941.0</v>
      </c>
    </row>
    <row r="29">
      <c r="F29" s="115" t="s">
        <v>108</v>
      </c>
      <c r="G29" s="126">
        <v>3.0</v>
      </c>
      <c r="H29" s="117">
        <v>700.0</v>
      </c>
      <c r="I29" s="117">
        <f t="shared" si="3"/>
        <v>2100</v>
      </c>
      <c r="J29" s="119">
        <v>45003.0</v>
      </c>
    </row>
    <row r="30">
      <c r="F30" s="115" t="s">
        <v>109</v>
      </c>
      <c r="G30" s="120">
        <v>3.0</v>
      </c>
      <c r="H30" s="117">
        <v>1280.0</v>
      </c>
      <c r="I30" s="117">
        <f t="shared" si="3"/>
        <v>3840</v>
      </c>
      <c r="J30" s="119">
        <v>45004.0</v>
      </c>
    </row>
    <row r="31">
      <c r="F31" s="115" t="s">
        <v>110</v>
      </c>
      <c r="G31" s="116">
        <v>9.0</v>
      </c>
      <c r="H31" s="117">
        <v>130.0</v>
      </c>
      <c r="I31" s="117">
        <f t="shared" si="3"/>
        <v>1170</v>
      </c>
      <c r="J31" s="119">
        <v>44994.0</v>
      </c>
    </row>
    <row r="32">
      <c r="F32" s="115" t="s">
        <v>111</v>
      </c>
      <c r="G32" s="120">
        <v>10.0</v>
      </c>
      <c r="H32" s="117">
        <v>385.0</v>
      </c>
      <c r="I32" s="117">
        <f t="shared" si="3"/>
        <v>3850</v>
      </c>
      <c r="J32" s="127">
        <v>44920.0</v>
      </c>
    </row>
    <row r="33">
      <c r="F33" s="113" t="s">
        <v>112</v>
      </c>
      <c r="G33" s="15">
        <v>3.0</v>
      </c>
      <c r="H33" s="17">
        <v>75.0</v>
      </c>
      <c r="I33" s="17">
        <f t="shared" si="3"/>
        <v>225</v>
      </c>
      <c r="J33" s="114" t="s">
        <v>113</v>
      </c>
    </row>
    <row r="34">
      <c r="F34" s="115" t="s">
        <v>114</v>
      </c>
      <c r="G34" s="116">
        <v>3.0</v>
      </c>
      <c r="H34" s="117">
        <v>900.0</v>
      </c>
      <c r="I34" s="117">
        <f t="shared" si="3"/>
        <v>2700</v>
      </c>
      <c r="J34" s="119">
        <v>45015.0</v>
      </c>
    </row>
    <row r="35">
      <c r="F35" s="115" t="s">
        <v>115</v>
      </c>
      <c r="G35" s="120">
        <v>7.0</v>
      </c>
      <c r="H35" s="117">
        <v>140.0</v>
      </c>
      <c r="I35" s="117">
        <f t="shared" si="3"/>
        <v>980</v>
      </c>
      <c r="J35" s="119">
        <v>45015.0</v>
      </c>
    </row>
    <row r="36">
      <c r="F36" s="113" t="s">
        <v>116</v>
      </c>
      <c r="G36" s="114">
        <v>1.7</v>
      </c>
      <c r="H36" s="17">
        <v>1700.0</v>
      </c>
      <c r="I36" s="17">
        <f t="shared" si="3"/>
        <v>2890</v>
      </c>
      <c r="J36" s="118">
        <v>45005.0</v>
      </c>
    </row>
    <row r="37">
      <c r="F37" s="113" t="s">
        <v>117</v>
      </c>
      <c r="G37" s="15">
        <v>14.0</v>
      </c>
      <c r="H37" s="17">
        <v>70.0</v>
      </c>
      <c r="I37" s="17">
        <f t="shared" si="3"/>
        <v>980</v>
      </c>
      <c r="J37" s="118">
        <v>45005.0</v>
      </c>
    </row>
    <row r="38">
      <c r="F38" s="115" t="s">
        <v>118</v>
      </c>
      <c r="G38" s="120">
        <v>25.0</v>
      </c>
      <c r="H38" s="117">
        <v>90.0</v>
      </c>
      <c r="I38" s="117">
        <f t="shared" si="3"/>
        <v>2250</v>
      </c>
      <c r="J38" s="119">
        <v>44992.0</v>
      </c>
    </row>
    <row r="39">
      <c r="F39" s="115" t="s">
        <v>119</v>
      </c>
      <c r="G39" s="116">
        <v>2.0</v>
      </c>
      <c r="H39" s="117">
        <v>150.0</v>
      </c>
      <c r="I39" s="117">
        <f t="shared" si="3"/>
        <v>300</v>
      </c>
      <c r="J39" s="119">
        <v>45013.0</v>
      </c>
    </row>
    <row r="40">
      <c r="F40" s="115" t="s">
        <v>120</v>
      </c>
      <c r="G40" s="116">
        <v>24.0</v>
      </c>
      <c r="H40" s="117">
        <v>115.0</v>
      </c>
      <c r="I40" s="117">
        <f t="shared" si="3"/>
        <v>2760</v>
      </c>
      <c r="J40" s="119">
        <v>45001.0</v>
      </c>
    </row>
    <row r="41">
      <c r="F41" s="113" t="s">
        <v>121</v>
      </c>
      <c r="G41" s="114">
        <v>1.0</v>
      </c>
      <c r="H41" s="17">
        <v>1980.0</v>
      </c>
      <c r="I41" s="17">
        <f t="shared" si="3"/>
        <v>1980</v>
      </c>
      <c r="J41" s="118">
        <v>45001.0</v>
      </c>
    </row>
    <row r="42">
      <c r="F42" s="113" t="s">
        <v>122</v>
      </c>
      <c r="G42" s="114">
        <v>1.0</v>
      </c>
      <c r="H42" s="17">
        <v>1650.0</v>
      </c>
      <c r="I42" s="17">
        <f t="shared" si="3"/>
        <v>1650</v>
      </c>
      <c r="J42" s="118">
        <v>45001.0</v>
      </c>
    </row>
    <row r="43">
      <c r="F43" s="113" t="s">
        <v>123</v>
      </c>
      <c r="G43" s="114">
        <v>1.0</v>
      </c>
      <c r="H43" s="17">
        <v>4400.0</v>
      </c>
      <c r="I43" s="17">
        <f t="shared" si="3"/>
        <v>4400</v>
      </c>
      <c r="J43" s="118">
        <v>45001.0</v>
      </c>
    </row>
    <row r="44">
      <c r="F44" s="115" t="s">
        <v>124</v>
      </c>
      <c r="G44" s="120">
        <v>86.0</v>
      </c>
      <c r="H44" s="117">
        <v>82.0</v>
      </c>
      <c r="I44" s="117">
        <f t="shared" si="3"/>
        <v>7052</v>
      </c>
      <c r="J44" s="119">
        <v>45001.0</v>
      </c>
    </row>
    <row r="45">
      <c r="F45" s="115" t="s">
        <v>125</v>
      </c>
      <c r="G45" s="120">
        <v>5.0</v>
      </c>
      <c r="H45" s="117">
        <v>1650.0</v>
      </c>
      <c r="I45" s="117">
        <f t="shared" si="3"/>
        <v>8250</v>
      </c>
      <c r="J45" s="119">
        <v>45001.0</v>
      </c>
    </row>
    <row r="46">
      <c r="F46" s="115" t="s">
        <v>126</v>
      </c>
      <c r="G46" s="120">
        <v>1.0</v>
      </c>
      <c r="H46" s="117">
        <v>2670.0</v>
      </c>
      <c r="I46" s="117">
        <f t="shared" si="3"/>
        <v>2670</v>
      </c>
      <c r="J46" s="119">
        <v>44999.0</v>
      </c>
    </row>
    <row r="47">
      <c r="F47" s="113" t="s">
        <v>127</v>
      </c>
      <c r="G47" s="15">
        <v>4.0</v>
      </c>
      <c r="H47" s="17">
        <v>2050.0</v>
      </c>
      <c r="I47" s="17">
        <f t="shared" si="3"/>
        <v>8200</v>
      </c>
      <c r="J47" s="118">
        <v>44999.0</v>
      </c>
    </row>
    <row r="48">
      <c r="F48" s="113" t="s">
        <v>128</v>
      </c>
      <c r="G48" s="15">
        <v>6.0</v>
      </c>
      <c r="H48" s="13">
        <v>1300.0</v>
      </c>
      <c r="I48" s="17">
        <f t="shared" si="3"/>
        <v>7800</v>
      </c>
      <c r="J48" s="118">
        <v>44999.0</v>
      </c>
    </row>
    <row r="49">
      <c r="F49" s="113" t="s">
        <v>129</v>
      </c>
      <c r="G49" s="114">
        <v>3.0</v>
      </c>
      <c r="H49" s="17">
        <v>1150.0</v>
      </c>
      <c r="I49" s="17">
        <f t="shared" si="3"/>
        <v>3450</v>
      </c>
      <c r="J49" s="118">
        <v>44999.0</v>
      </c>
    </row>
    <row r="50">
      <c r="F50" s="113" t="s">
        <v>130</v>
      </c>
      <c r="G50" s="114">
        <v>2.0</v>
      </c>
      <c r="H50" s="17">
        <v>800.0</v>
      </c>
      <c r="I50" s="17">
        <f t="shared" si="3"/>
        <v>1600</v>
      </c>
      <c r="J50" s="118">
        <v>44999.0</v>
      </c>
    </row>
    <row r="51">
      <c r="F51" s="115" t="s">
        <v>131</v>
      </c>
      <c r="G51" s="116">
        <v>1.0</v>
      </c>
      <c r="H51" s="117">
        <v>850.0</v>
      </c>
      <c r="I51" s="117">
        <f t="shared" si="3"/>
        <v>850</v>
      </c>
      <c r="J51" s="119">
        <v>44986.0</v>
      </c>
    </row>
    <row r="52">
      <c r="F52" s="115" t="s">
        <v>132</v>
      </c>
      <c r="G52" s="120">
        <v>18.0</v>
      </c>
      <c r="H52" s="117">
        <v>390.0</v>
      </c>
      <c r="I52" s="117">
        <f t="shared" si="3"/>
        <v>7020</v>
      </c>
      <c r="J52" s="116" t="s">
        <v>104</v>
      </c>
    </row>
    <row r="53">
      <c r="F53" s="115" t="s">
        <v>133</v>
      </c>
      <c r="G53" s="120">
        <v>30.0</v>
      </c>
      <c r="H53" s="117">
        <v>41.0</v>
      </c>
      <c r="I53" s="117">
        <f t="shared" si="3"/>
        <v>1230</v>
      </c>
      <c r="J53" s="119">
        <v>44980.0</v>
      </c>
    </row>
    <row r="54">
      <c r="F54" s="115" t="s">
        <v>134</v>
      </c>
      <c r="G54" s="116">
        <v>6.0</v>
      </c>
      <c r="H54" s="117">
        <v>420.0</v>
      </c>
      <c r="I54" s="117">
        <f t="shared" si="3"/>
        <v>2520</v>
      </c>
      <c r="J54" s="119">
        <v>44982.0</v>
      </c>
    </row>
    <row r="55">
      <c r="F55" s="115" t="s">
        <v>135</v>
      </c>
      <c r="G55" s="116">
        <v>4.0</v>
      </c>
      <c r="H55" s="117">
        <v>360.0</v>
      </c>
      <c r="I55" s="117">
        <f t="shared" si="3"/>
        <v>1440</v>
      </c>
      <c r="J55" s="119">
        <v>44982.0</v>
      </c>
    </row>
    <row r="56">
      <c r="F56" s="113" t="s">
        <v>136</v>
      </c>
      <c r="G56" s="114">
        <v>1.0</v>
      </c>
      <c r="H56" s="17">
        <v>720.0</v>
      </c>
      <c r="I56" s="17">
        <f t="shared" si="3"/>
        <v>720</v>
      </c>
      <c r="J56" s="118">
        <v>44982.0</v>
      </c>
    </row>
    <row r="57">
      <c r="F57" s="128" t="s">
        <v>137</v>
      </c>
      <c r="G57" s="128">
        <v>8.0</v>
      </c>
      <c r="H57" s="128">
        <v>25.0</v>
      </c>
      <c r="I57" s="129">
        <f t="shared" si="3"/>
        <v>200</v>
      </c>
      <c r="J57" s="130">
        <v>45010.0</v>
      </c>
    </row>
    <row r="58">
      <c r="F58" s="115" t="s">
        <v>138</v>
      </c>
      <c r="G58" s="120">
        <v>3.0</v>
      </c>
      <c r="H58" s="117">
        <v>850.0</v>
      </c>
      <c r="I58" s="117">
        <f t="shared" si="3"/>
        <v>2550</v>
      </c>
      <c r="J58" s="119">
        <v>44997.0</v>
      </c>
    </row>
    <row r="59">
      <c r="F59" s="128" t="s">
        <v>139</v>
      </c>
      <c r="G59" s="128">
        <v>50.0</v>
      </c>
      <c r="H59" s="128">
        <v>23.0</v>
      </c>
      <c r="I59" s="129">
        <f t="shared" si="3"/>
        <v>1150</v>
      </c>
      <c r="J59" s="130">
        <v>45016.0</v>
      </c>
    </row>
    <row r="60">
      <c r="F60" s="128" t="s">
        <v>140</v>
      </c>
      <c r="G60" s="128">
        <v>1.0</v>
      </c>
      <c r="H60" s="128">
        <v>1200.0</v>
      </c>
      <c r="I60" s="129">
        <f t="shared" si="3"/>
        <v>1200</v>
      </c>
      <c r="J60" s="130">
        <v>45013.0</v>
      </c>
    </row>
    <row r="61">
      <c r="F61" s="128" t="s">
        <v>141</v>
      </c>
      <c r="G61" s="128">
        <v>50.0</v>
      </c>
      <c r="H61" s="128">
        <v>7.0</v>
      </c>
      <c r="I61" s="129">
        <f t="shared" si="3"/>
        <v>350</v>
      </c>
      <c r="J61" s="130">
        <v>45013.0</v>
      </c>
    </row>
    <row r="62">
      <c r="F62" s="128" t="s">
        <v>142</v>
      </c>
      <c r="G62" s="128">
        <v>10.0</v>
      </c>
      <c r="H62" s="128">
        <v>1800.0</v>
      </c>
      <c r="I62" s="129">
        <f t="shared" si="3"/>
        <v>18000</v>
      </c>
      <c r="J62" s="130">
        <v>45013.0</v>
      </c>
    </row>
    <row r="63">
      <c r="F63" s="128" t="s">
        <v>143</v>
      </c>
      <c r="G63" s="128">
        <v>12.0</v>
      </c>
      <c r="H63" s="128">
        <v>230.0</v>
      </c>
      <c r="I63" s="129">
        <f t="shared" si="3"/>
        <v>2760</v>
      </c>
      <c r="J63" s="130">
        <v>45013.0</v>
      </c>
    </row>
    <row r="64">
      <c r="F64" s="128" t="s">
        <v>144</v>
      </c>
      <c r="G64" s="128">
        <v>6.0</v>
      </c>
      <c r="H64" s="128">
        <v>1900.0</v>
      </c>
      <c r="I64" s="129">
        <f t="shared" si="3"/>
        <v>11400</v>
      </c>
      <c r="J64" s="130">
        <v>45013.0</v>
      </c>
    </row>
    <row r="65">
      <c r="F65" s="128" t="s">
        <v>145</v>
      </c>
      <c r="G65" s="128">
        <v>5.0</v>
      </c>
      <c r="H65" s="128">
        <v>580.0</v>
      </c>
      <c r="I65" s="129">
        <f t="shared" si="3"/>
        <v>2900</v>
      </c>
      <c r="J65" s="130">
        <v>45013.0</v>
      </c>
    </row>
    <row r="66">
      <c r="F66" s="128" t="s">
        <v>146</v>
      </c>
      <c r="G66" s="128">
        <v>5.0</v>
      </c>
      <c r="H66" s="128">
        <v>340.0</v>
      </c>
      <c r="I66" s="129">
        <f t="shared" si="3"/>
        <v>1700</v>
      </c>
      <c r="J66" s="130">
        <v>45013.0</v>
      </c>
    </row>
    <row r="67">
      <c r="F67" s="128" t="s">
        <v>147</v>
      </c>
      <c r="G67" s="128">
        <v>1.0</v>
      </c>
      <c r="H67" s="128">
        <v>950.0</v>
      </c>
      <c r="I67" s="129">
        <f t="shared" si="3"/>
        <v>950</v>
      </c>
      <c r="J67" s="130">
        <v>45013.0</v>
      </c>
    </row>
    <row r="68">
      <c r="F68" s="128" t="s">
        <v>148</v>
      </c>
      <c r="G68" s="128">
        <v>1.0</v>
      </c>
      <c r="H68" s="128">
        <v>500.0</v>
      </c>
      <c r="I68" s="129">
        <f t="shared" si="3"/>
        <v>500</v>
      </c>
      <c r="J68" s="130">
        <v>45013.0</v>
      </c>
    </row>
    <row r="69">
      <c r="F69" s="128" t="s">
        <v>149</v>
      </c>
      <c r="G69" s="128">
        <v>1.0</v>
      </c>
      <c r="H69" s="128">
        <v>500.0</v>
      </c>
      <c r="I69" s="129">
        <f t="shared" si="3"/>
        <v>500</v>
      </c>
      <c r="J69" s="130">
        <v>45013.0</v>
      </c>
    </row>
    <row r="70">
      <c r="F70" s="128" t="s">
        <v>116</v>
      </c>
      <c r="G70" s="128">
        <v>1.9</v>
      </c>
      <c r="H70" s="128">
        <v>1700.0</v>
      </c>
      <c r="I70" s="129">
        <f t="shared" si="3"/>
        <v>3230</v>
      </c>
      <c r="J70" s="130">
        <v>45013.0</v>
      </c>
    </row>
    <row r="71">
      <c r="F71" s="128" t="s">
        <v>150</v>
      </c>
      <c r="G71" s="128">
        <v>2.0</v>
      </c>
      <c r="H71" s="128">
        <v>340.0</v>
      </c>
      <c r="I71" s="129">
        <f t="shared" si="3"/>
        <v>680</v>
      </c>
      <c r="J71" s="130">
        <v>45013.0</v>
      </c>
    </row>
    <row r="72">
      <c r="F72" s="131" t="s">
        <v>151</v>
      </c>
      <c r="G72" s="132">
        <v>1.0</v>
      </c>
      <c r="H72" s="133">
        <v>1500.0</v>
      </c>
      <c r="I72" s="133">
        <f t="shared" si="3"/>
        <v>1500</v>
      </c>
      <c r="J72" s="132" t="s">
        <v>152</v>
      </c>
    </row>
    <row r="73">
      <c r="F73" s="115" t="s">
        <v>153</v>
      </c>
      <c r="G73" s="116">
        <v>1.0</v>
      </c>
      <c r="H73" s="117">
        <v>970.0</v>
      </c>
      <c r="I73" s="117">
        <f t="shared" si="3"/>
        <v>970</v>
      </c>
      <c r="J73" s="119">
        <v>44899.0</v>
      </c>
    </row>
    <row r="74">
      <c r="F74" s="115" t="s">
        <v>154</v>
      </c>
      <c r="G74" s="116">
        <v>1.0</v>
      </c>
      <c r="H74" s="117">
        <v>750.0</v>
      </c>
      <c r="I74" s="117">
        <f t="shared" si="3"/>
        <v>750</v>
      </c>
      <c r="J74" s="119">
        <v>44963.0</v>
      </c>
    </row>
    <row r="75">
      <c r="F75" s="128" t="s">
        <v>155</v>
      </c>
      <c r="G75" s="128">
        <v>60.0</v>
      </c>
      <c r="H75" s="128">
        <v>110.0</v>
      </c>
      <c r="I75" s="129">
        <f t="shared" si="3"/>
        <v>6600</v>
      </c>
      <c r="J75" s="130">
        <v>45016.0</v>
      </c>
    </row>
    <row r="76">
      <c r="F76" s="128" t="s">
        <v>156</v>
      </c>
      <c r="G76" s="128">
        <v>50.0</v>
      </c>
      <c r="H76" s="128">
        <v>70.0</v>
      </c>
      <c r="I76" s="129">
        <f t="shared" si="3"/>
        <v>3500</v>
      </c>
      <c r="J76" s="130">
        <v>45016.0</v>
      </c>
    </row>
    <row r="77">
      <c r="F77" s="128" t="s">
        <v>157</v>
      </c>
      <c r="G77" s="128">
        <v>4.0</v>
      </c>
      <c r="H77" s="128">
        <v>850.0</v>
      </c>
      <c r="I77" s="129">
        <f t="shared" si="3"/>
        <v>3400</v>
      </c>
      <c r="J77" s="130">
        <v>45016.0</v>
      </c>
    </row>
    <row r="78">
      <c r="F78" s="128" t="s">
        <v>158</v>
      </c>
      <c r="G78" s="128">
        <v>20.0</v>
      </c>
      <c r="H78" s="128">
        <v>150.0</v>
      </c>
      <c r="I78" s="129">
        <f t="shared" si="3"/>
        <v>3000</v>
      </c>
      <c r="J78" s="130">
        <v>45016.0</v>
      </c>
    </row>
    <row r="79">
      <c r="F79" s="128" t="s">
        <v>159</v>
      </c>
      <c r="G79" s="128">
        <v>2.0</v>
      </c>
      <c r="H79" s="128">
        <v>250.0</v>
      </c>
      <c r="I79" s="129">
        <f t="shared" si="3"/>
        <v>500</v>
      </c>
      <c r="J79" s="130">
        <v>45016.0</v>
      </c>
    </row>
    <row r="80">
      <c r="F80" s="128" t="s">
        <v>160</v>
      </c>
      <c r="G80" s="128">
        <v>1.0</v>
      </c>
      <c r="H80" s="128">
        <v>250.0</v>
      </c>
      <c r="I80" s="129">
        <f t="shared" si="3"/>
        <v>250</v>
      </c>
      <c r="J80" s="130">
        <v>45016.0</v>
      </c>
    </row>
    <row r="81">
      <c r="F81" s="128" t="s">
        <v>161</v>
      </c>
      <c r="G81" s="128">
        <v>2.0</v>
      </c>
      <c r="H81" s="128">
        <v>170.0</v>
      </c>
      <c r="I81" s="129">
        <f t="shared" si="3"/>
        <v>340</v>
      </c>
      <c r="J81" s="130">
        <v>45016.0</v>
      </c>
    </row>
    <row r="82">
      <c r="F82" s="128" t="s">
        <v>162</v>
      </c>
      <c r="G82" s="128">
        <v>1.0</v>
      </c>
      <c r="H82" s="128">
        <v>180.0</v>
      </c>
      <c r="I82" s="129">
        <f t="shared" si="3"/>
        <v>180</v>
      </c>
      <c r="J82" s="130">
        <v>45016.0</v>
      </c>
    </row>
    <row r="83">
      <c r="F83" s="128" t="s">
        <v>163</v>
      </c>
      <c r="G83" s="128">
        <v>2.0</v>
      </c>
      <c r="H83" s="128">
        <v>100.0</v>
      </c>
      <c r="I83" s="129">
        <f t="shared" si="3"/>
        <v>200</v>
      </c>
      <c r="J83" s="130">
        <v>45016.0</v>
      </c>
    </row>
    <row r="84">
      <c r="F84" s="128" t="s">
        <v>164</v>
      </c>
      <c r="G84" s="128">
        <v>2.0</v>
      </c>
      <c r="H84" s="128">
        <v>200.0</v>
      </c>
      <c r="I84" s="129">
        <f t="shared" si="3"/>
        <v>400</v>
      </c>
      <c r="J84" s="130">
        <v>45016.0</v>
      </c>
    </row>
    <row r="85">
      <c r="F85" s="128" t="s">
        <v>165</v>
      </c>
      <c r="G85" s="128">
        <v>10.0</v>
      </c>
      <c r="H85" s="128">
        <v>140.0</v>
      </c>
      <c r="I85" s="129">
        <f t="shared" si="3"/>
        <v>1400</v>
      </c>
      <c r="J85" s="130">
        <v>45016.0</v>
      </c>
    </row>
    <row r="86">
      <c r="F86" s="128" t="s">
        <v>166</v>
      </c>
      <c r="G86" s="128">
        <v>5.0</v>
      </c>
      <c r="H86" s="128">
        <v>70.0</v>
      </c>
      <c r="I86" s="129">
        <f t="shared" si="3"/>
        <v>350</v>
      </c>
      <c r="J86" s="130">
        <v>45016.0</v>
      </c>
    </row>
    <row r="87">
      <c r="F87" s="128" t="s">
        <v>167</v>
      </c>
      <c r="G87" s="128">
        <v>2.0</v>
      </c>
      <c r="H87" s="128">
        <v>100.0</v>
      </c>
      <c r="I87" s="129">
        <f t="shared" si="3"/>
        <v>200</v>
      </c>
      <c r="J87" s="130">
        <v>45016.0</v>
      </c>
    </row>
    <row r="88">
      <c r="F88" s="128" t="s">
        <v>168</v>
      </c>
      <c r="G88" s="128">
        <v>2.0</v>
      </c>
      <c r="H88" s="128">
        <v>150.0</v>
      </c>
      <c r="I88" s="129">
        <f t="shared" si="3"/>
        <v>300</v>
      </c>
      <c r="J88" s="130">
        <v>45016.0</v>
      </c>
    </row>
    <row r="89">
      <c r="F89" s="128" t="s">
        <v>155</v>
      </c>
      <c r="G89" s="128">
        <v>27.0</v>
      </c>
      <c r="H89" s="128">
        <v>110.0</v>
      </c>
      <c r="I89" s="129">
        <f t="shared" si="3"/>
        <v>2970</v>
      </c>
      <c r="J89" s="130">
        <v>45017.0</v>
      </c>
    </row>
    <row r="90">
      <c r="F90" s="128" t="s">
        <v>156</v>
      </c>
      <c r="G90" s="128">
        <v>25.0</v>
      </c>
      <c r="H90" s="128">
        <v>70.0</v>
      </c>
      <c r="I90" s="129">
        <f t="shared" si="3"/>
        <v>1750</v>
      </c>
      <c r="J90" s="130">
        <v>45017.0</v>
      </c>
    </row>
    <row r="91">
      <c r="F91" s="128" t="s">
        <v>157</v>
      </c>
      <c r="G91" s="128">
        <v>2.0</v>
      </c>
      <c r="H91" s="128">
        <v>850.0</v>
      </c>
      <c r="I91" s="129">
        <f t="shared" si="3"/>
        <v>1700</v>
      </c>
      <c r="J91" s="130">
        <v>45017.0</v>
      </c>
    </row>
    <row r="92">
      <c r="F92" s="128" t="s">
        <v>169</v>
      </c>
      <c r="G92" s="128">
        <v>1.0</v>
      </c>
      <c r="H92" s="128">
        <v>300.0</v>
      </c>
      <c r="I92" s="129">
        <f t="shared" si="3"/>
        <v>300</v>
      </c>
      <c r="J92" s="130">
        <v>44986.0</v>
      </c>
    </row>
    <row r="93">
      <c r="F93" s="128" t="s">
        <v>170</v>
      </c>
      <c r="G93" s="128">
        <v>1.0</v>
      </c>
      <c r="H93" s="128">
        <v>500.0</v>
      </c>
      <c r="I93" s="129">
        <f t="shared" si="3"/>
        <v>500</v>
      </c>
      <c r="J93" s="130">
        <v>45017.0</v>
      </c>
    </row>
    <row r="94">
      <c r="F94" s="128" t="s">
        <v>171</v>
      </c>
      <c r="G94" s="128">
        <v>1.0</v>
      </c>
      <c r="H94" s="128">
        <v>400.0</v>
      </c>
      <c r="I94" s="129">
        <f t="shared" si="3"/>
        <v>400</v>
      </c>
      <c r="J94" s="130">
        <v>45017.0</v>
      </c>
    </row>
    <row r="95">
      <c r="F95" s="128" t="s">
        <v>172</v>
      </c>
      <c r="G95" s="128">
        <v>1.0</v>
      </c>
      <c r="H95" s="128">
        <v>100.0</v>
      </c>
      <c r="I95" s="129">
        <f t="shared" si="3"/>
        <v>100</v>
      </c>
      <c r="J95" s="130">
        <v>45017.0</v>
      </c>
    </row>
    <row r="96">
      <c r="F96" s="128" t="s">
        <v>173</v>
      </c>
      <c r="G96" s="128">
        <v>5.0</v>
      </c>
      <c r="H96" s="128">
        <v>480.0</v>
      </c>
      <c r="I96" s="129">
        <f t="shared" si="3"/>
        <v>2400</v>
      </c>
      <c r="J96" s="130">
        <v>45017.0</v>
      </c>
    </row>
    <row r="97">
      <c r="F97" s="128" t="s">
        <v>174</v>
      </c>
      <c r="G97" s="128">
        <v>1.0</v>
      </c>
      <c r="H97" s="128">
        <v>1000.0</v>
      </c>
      <c r="I97" s="129">
        <f t="shared" si="3"/>
        <v>1000</v>
      </c>
      <c r="J97" s="130">
        <v>45017.0</v>
      </c>
    </row>
    <row r="98">
      <c r="F98" s="128" t="s">
        <v>175</v>
      </c>
      <c r="G98" s="128">
        <v>3.0</v>
      </c>
      <c r="H98" s="128">
        <v>200.0</v>
      </c>
      <c r="I98" s="129">
        <f t="shared" si="3"/>
        <v>600</v>
      </c>
      <c r="J98" s="130">
        <v>45017.0</v>
      </c>
    </row>
    <row r="99">
      <c r="F99" s="128" t="s">
        <v>176</v>
      </c>
      <c r="G99" s="128">
        <v>1.0</v>
      </c>
      <c r="H99" s="128">
        <v>350.0</v>
      </c>
      <c r="I99" s="129">
        <f t="shared" si="3"/>
        <v>350</v>
      </c>
      <c r="J99" s="130">
        <v>45017.0</v>
      </c>
    </row>
    <row r="100">
      <c r="F100" s="128" t="s">
        <v>177</v>
      </c>
      <c r="G100" s="128">
        <v>1.0</v>
      </c>
      <c r="H100" s="128">
        <v>300.0</v>
      </c>
      <c r="I100" s="129">
        <f t="shared" si="3"/>
        <v>300</v>
      </c>
      <c r="J100" s="130">
        <v>45017.0</v>
      </c>
    </row>
    <row r="101">
      <c r="F101" s="128" t="s">
        <v>155</v>
      </c>
      <c r="G101" s="128">
        <v>15.0</v>
      </c>
      <c r="H101" s="128">
        <v>11.0</v>
      </c>
      <c r="I101" s="129">
        <f t="shared" si="3"/>
        <v>165</v>
      </c>
      <c r="J101" s="130">
        <v>45017.0</v>
      </c>
    </row>
    <row r="102">
      <c r="F102" s="128" t="s">
        <v>165</v>
      </c>
      <c r="G102" s="128">
        <v>5.0</v>
      </c>
      <c r="H102" s="128">
        <v>100.0</v>
      </c>
      <c r="I102" s="129">
        <f t="shared" si="3"/>
        <v>500</v>
      </c>
      <c r="J102" s="130">
        <v>45017.0</v>
      </c>
    </row>
    <row r="103">
      <c r="F103" s="128" t="s">
        <v>178</v>
      </c>
      <c r="G103" s="128">
        <v>1.0</v>
      </c>
      <c r="H103" s="128">
        <v>140.0</v>
      </c>
      <c r="I103" s="129">
        <f t="shared" si="3"/>
        <v>140</v>
      </c>
      <c r="J103" s="130">
        <v>45017.0</v>
      </c>
    </row>
    <row r="104">
      <c r="F104" s="128" t="s">
        <v>179</v>
      </c>
      <c r="G104" s="128">
        <v>10.0</v>
      </c>
      <c r="H104" s="128">
        <v>30.0</v>
      </c>
      <c r="I104" s="129">
        <f t="shared" si="3"/>
        <v>300</v>
      </c>
      <c r="J104" s="130">
        <v>45017.0</v>
      </c>
    </row>
    <row r="105">
      <c r="F105" s="128" t="s">
        <v>180</v>
      </c>
      <c r="G105" s="128">
        <v>1.0</v>
      </c>
      <c r="H105" s="128">
        <v>300.0</v>
      </c>
      <c r="I105" s="129">
        <f t="shared" si="3"/>
        <v>300</v>
      </c>
      <c r="J105" s="130">
        <v>45019.0</v>
      </c>
    </row>
    <row r="106">
      <c r="F106" s="128" t="s">
        <v>145</v>
      </c>
      <c r="G106" s="128">
        <v>2.0</v>
      </c>
      <c r="H106" s="128">
        <v>480.0</v>
      </c>
      <c r="I106" s="129">
        <f t="shared" si="3"/>
        <v>960</v>
      </c>
      <c r="J106" s="130">
        <v>45019.0</v>
      </c>
    </row>
    <row r="107">
      <c r="F107" s="128" t="s">
        <v>181</v>
      </c>
      <c r="G107" s="128">
        <v>1.0</v>
      </c>
      <c r="H107" s="128">
        <v>400.0</v>
      </c>
      <c r="I107" s="129">
        <f t="shared" si="3"/>
        <v>400</v>
      </c>
      <c r="J107" s="130">
        <v>45019.0</v>
      </c>
    </row>
    <row r="108">
      <c r="F108" s="128" t="s">
        <v>165</v>
      </c>
      <c r="G108" s="128">
        <v>5.0</v>
      </c>
      <c r="H108" s="128">
        <v>130.0</v>
      </c>
      <c r="I108" s="129">
        <f t="shared" si="3"/>
        <v>650</v>
      </c>
      <c r="J108" s="130">
        <v>45020.0</v>
      </c>
    </row>
    <row r="109">
      <c r="F109" s="128" t="s">
        <v>182</v>
      </c>
      <c r="G109" s="128">
        <v>5.0</v>
      </c>
      <c r="H109" s="128">
        <v>300.0</v>
      </c>
      <c r="I109" s="129">
        <f t="shared" si="3"/>
        <v>1500</v>
      </c>
      <c r="J109" s="130">
        <v>45020.0</v>
      </c>
    </row>
    <row r="110">
      <c r="F110" s="128" t="s">
        <v>183</v>
      </c>
      <c r="G110" s="128">
        <v>4.0</v>
      </c>
      <c r="H110" s="128">
        <v>850.0</v>
      </c>
      <c r="I110" s="129">
        <f t="shared" si="3"/>
        <v>3400</v>
      </c>
      <c r="J110" s="130">
        <v>45020.0</v>
      </c>
    </row>
    <row r="111">
      <c r="F111" s="128" t="s">
        <v>184</v>
      </c>
      <c r="G111" s="128">
        <v>1.0</v>
      </c>
      <c r="H111" s="128">
        <v>450.0</v>
      </c>
      <c r="I111" s="129">
        <f t="shared" si="3"/>
        <v>450</v>
      </c>
      <c r="J111" s="130">
        <v>45020.0</v>
      </c>
    </row>
    <row r="112">
      <c r="F112" s="128" t="s">
        <v>155</v>
      </c>
      <c r="G112" s="128">
        <v>2.0</v>
      </c>
      <c r="H112" s="128">
        <v>100.0</v>
      </c>
      <c r="I112" s="129">
        <f t="shared" si="3"/>
        <v>200</v>
      </c>
      <c r="J112" s="130">
        <v>45020.0</v>
      </c>
    </row>
    <row r="113">
      <c r="F113" s="128" t="s">
        <v>185</v>
      </c>
      <c r="G113" s="128">
        <v>1.0</v>
      </c>
      <c r="H113" s="128">
        <v>220.0</v>
      </c>
      <c r="I113" s="129">
        <f t="shared" si="3"/>
        <v>220</v>
      </c>
      <c r="J113" s="130">
        <v>45020.0</v>
      </c>
    </row>
    <row r="114">
      <c r="F114" s="128" t="s">
        <v>186</v>
      </c>
      <c r="G114" s="128">
        <v>1.0</v>
      </c>
      <c r="H114" s="128">
        <v>1500.0</v>
      </c>
      <c r="I114" s="129">
        <f t="shared" si="3"/>
        <v>1500</v>
      </c>
      <c r="J114" s="130">
        <v>45020.0</v>
      </c>
    </row>
    <row r="115">
      <c r="F115" s="128" t="s">
        <v>187</v>
      </c>
      <c r="G115" s="128">
        <v>3.0</v>
      </c>
      <c r="H115" s="128">
        <v>3250.0</v>
      </c>
      <c r="I115" s="129">
        <f t="shared" si="3"/>
        <v>9750</v>
      </c>
      <c r="J115" s="130">
        <v>45020.0</v>
      </c>
    </row>
    <row r="116">
      <c r="F116" s="128" t="s">
        <v>188</v>
      </c>
      <c r="G116" s="128">
        <v>1.0</v>
      </c>
      <c r="H116" s="128">
        <v>200.0</v>
      </c>
      <c r="I116" s="129">
        <f t="shared" si="3"/>
        <v>200</v>
      </c>
      <c r="J116" s="130">
        <v>45021.0</v>
      </c>
    </row>
    <row r="117">
      <c r="F117" s="128" t="s">
        <v>189</v>
      </c>
      <c r="G117" s="128">
        <v>1.0</v>
      </c>
      <c r="H117" s="128">
        <v>700.0</v>
      </c>
      <c r="I117" s="134">
        <v>850.0</v>
      </c>
      <c r="J117" s="130">
        <v>45021.0</v>
      </c>
    </row>
    <row r="118">
      <c r="F118" s="128" t="s">
        <v>190</v>
      </c>
      <c r="G118" s="128">
        <v>1.0</v>
      </c>
      <c r="H118" s="128">
        <v>2000.0</v>
      </c>
      <c r="I118" s="129">
        <f t="shared" ref="I118:I243" si="4">H118*G118</f>
        <v>2000</v>
      </c>
      <c r="J118" s="130">
        <v>45021.0</v>
      </c>
    </row>
    <row r="119">
      <c r="F119" s="128" t="s">
        <v>155</v>
      </c>
      <c r="G119" s="128">
        <v>5.0</v>
      </c>
      <c r="H119" s="128">
        <v>120.0</v>
      </c>
      <c r="I119" s="129">
        <f t="shared" si="4"/>
        <v>600</v>
      </c>
      <c r="J119" s="130">
        <v>45021.0</v>
      </c>
    </row>
    <row r="120">
      <c r="F120" s="128" t="s">
        <v>189</v>
      </c>
      <c r="G120" s="128">
        <v>1.0</v>
      </c>
      <c r="H120" s="128">
        <v>500.0</v>
      </c>
      <c r="I120" s="129">
        <f t="shared" si="4"/>
        <v>500</v>
      </c>
      <c r="J120" s="130">
        <v>45021.0</v>
      </c>
    </row>
    <row r="121">
      <c r="F121" s="128" t="s">
        <v>76</v>
      </c>
      <c r="G121" s="128">
        <v>1.0</v>
      </c>
      <c r="H121" s="128">
        <v>650.0</v>
      </c>
      <c r="I121" s="129">
        <f t="shared" si="4"/>
        <v>650</v>
      </c>
      <c r="J121" s="130">
        <v>45022.0</v>
      </c>
    </row>
    <row r="122">
      <c r="F122" s="128" t="s">
        <v>191</v>
      </c>
      <c r="G122" s="128">
        <v>5.0</v>
      </c>
      <c r="H122" s="128">
        <v>180.0</v>
      </c>
      <c r="I122" s="129">
        <f t="shared" si="4"/>
        <v>900</v>
      </c>
      <c r="J122" s="130">
        <v>45022.0</v>
      </c>
    </row>
    <row r="123">
      <c r="F123" s="128" t="s">
        <v>117</v>
      </c>
      <c r="G123" s="128">
        <v>12.0</v>
      </c>
      <c r="H123" s="128">
        <v>70.0</v>
      </c>
      <c r="I123" s="129">
        <f t="shared" si="4"/>
        <v>840</v>
      </c>
      <c r="J123" s="130">
        <v>45022.0</v>
      </c>
    </row>
    <row r="124">
      <c r="F124" s="128" t="s">
        <v>192</v>
      </c>
      <c r="G124" s="128">
        <v>22.0</v>
      </c>
      <c r="H124" s="128">
        <v>1830.0</v>
      </c>
      <c r="I124" s="129">
        <f t="shared" si="4"/>
        <v>40260</v>
      </c>
      <c r="J124" s="130">
        <v>45022.0</v>
      </c>
    </row>
    <row r="125">
      <c r="F125" s="128" t="s">
        <v>193</v>
      </c>
      <c r="G125" s="128">
        <v>20.0</v>
      </c>
      <c r="H125" s="128">
        <v>380.0</v>
      </c>
      <c r="I125" s="129">
        <f t="shared" si="4"/>
        <v>7600</v>
      </c>
      <c r="J125" s="130">
        <v>45022.0</v>
      </c>
    </row>
    <row r="126">
      <c r="F126" s="128" t="s">
        <v>194</v>
      </c>
      <c r="G126" s="128">
        <v>5.0</v>
      </c>
      <c r="H126" s="128">
        <v>1000.0</v>
      </c>
      <c r="I126" s="129">
        <f t="shared" si="4"/>
        <v>5000</v>
      </c>
      <c r="J126" s="130">
        <v>45022.0</v>
      </c>
    </row>
    <row r="127">
      <c r="F127" s="128" t="s">
        <v>195</v>
      </c>
      <c r="G127" s="128">
        <v>1.0</v>
      </c>
      <c r="H127" s="128">
        <v>800.0</v>
      </c>
      <c r="I127" s="129">
        <f t="shared" si="4"/>
        <v>800</v>
      </c>
      <c r="J127" s="130">
        <v>45022.0</v>
      </c>
    </row>
    <row r="128">
      <c r="F128" s="128" t="s">
        <v>196</v>
      </c>
      <c r="G128" s="128">
        <v>14.0</v>
      </c>
      <c r="H128" s="128">
        <v>190.0</v>
      </c>
      <c r="I128" s="129">
        <f t="shared" si="4"/>
        <v>2660</v>
      </c>
      <c r="J128" s="130">
        <v>45022.0</v>
      </c>
    </row>
    <row r="129">
      <c r="F129" s="128" t="s">
        <v>145</v>
      </c>
      <c r="G129" s="128">
        <v>8.0</v>
      </c>
      <c r="H129" s="128">
        <v>520.0</v>
      </c>
      <c r="I129" s="129">
        <f t="shared" si="4"/>
        <v>4160</v>
      </c>
      <c r="J129" s="130">
        <v>45022.0</v>
      </c>
    </row>
    <row r="130">
      <c r="F130" s="128" t="s">
        <v>197</v>
      </c>
      <c r="G130" s="128">
        <v>5.0</v>
      </c>
      <c r="H130" s="128">
        <v>330.0</v>
      </c>
      <c r="I130" s="129">
        <f t="shared" si="4"/>
        <v>1650</v>
      </c>
      <c r="J130" s="130">
        <v>45022.0</v>
      </c>
    </row>
    <row r="131">
      <c r="F131" s="128" t="s">
        <v>198</v>
      </c>
      <c r="G131" s="128">
        <v>3.0</v>
      </c>
      <c r="H131" s="128">
        <v>780.0</v>
      </c>
      <c r="I131" s="129">
        <f t="shared" si="4"/>
        <v>2340</v>
      </c>
      <c r="J131" s="130">
        <v>45022.0</v>
      </c>
    </row>
    <row r="132">
      <c r="F132" s="128" t="s">
        <v>199</v>
      </c>
      <c r="G132" s="128">
        <v>1.0</v>
      </c>
      <c r="H132" s="128">
        <v>690.0</v>
      </c>
      <c r="I132" s="129">
        <f t="shared" si="4"/>
        <v>690</v>
      </c>
      <c r="J132" s="130">
        <v>45022.0</v>
      </c>
    </row>
    <row r="133">
      <c r="F133" s="128" t="s">
        <v>155</v>
      </c>
      <c r="G133" s="128">
        <v>15.0</v>
      </c>
      <c r="H133" s="128">
        <v>110.0</v>
      </c>
      <c r="I133" s="129">
        <f t="shared" si="4"/>
        <v>1650</v>
      </c>
      <c r="J133" s="130">
        <v>45022.0</v>
      </c>
    </row>
    <row r="134">
      <c r="F134" s="128" t="s">
        <v>200</v>
      </c>
      <c r="G134" s="128">
        <v>10.0</v>
      </c>
      <c r="H134" s="128">
        <v>70.0</v>
      </c>
      <c r="I134" s="129">
        <f t="shared" si="4"/>
        <v>700</v>
      </c>
      <c r="J134" s="130">
        <v>45022.0</v>
      </c>
    </row>
    <row r="135">
      <c r="F135" s="128" t="s">
        <v>201</v>
      </c>
      <c r="G135" s="128">
        <v>1.0</v>
      </c>
      <c r="H135" s="128">
        <v>600.0</v>
      </c>
      <c r="I135" s="129">
        <f t="shared" si="4"/>
        <v>600</v>
      </c>
      <c r="J135" s="130">
        <v>45022.0</v>
      </c>
    </row>
    <row r="136">
      <c r="F136" s="128" t="s">
        <v>202</v>
      </c>
      <c r="G136" s="128">
        <v>2.0</v>
      </c>
      <c r="H136" s="128">
        <v>200.0</v>
      </c>
      <c r="I136" s="129">
        <f t="shared" si="4"/>
        <v>400</v>
      </c>
      <c r="J136" s="130">
        <v>45023.0</v>
      </c>
    </row>
    <row r="137">
      <c r="F137" s="128" t="s">
        <v>155</v>
      </c>
      <c r="G137" s="128">
        <v>7.0</v>
      </c>
      <c r="H137" s="128">
        <v>100.0</v>
      </c>
      <c r="I137" s="129">
        <f t="shared" si="4"/>
        <v>700</v>
      </c>
      <c r="J137" s="130">
        <v>45023.0</v>
      </c>
    </row>
    <row r="138">
      <c r="F138" s="128" t="s">
        <v>203</v>
      </c>
      <c r="G138" s="128">
        <v>4.0</v>
      </c>
      <c r="H138" s="128">
        <v>850.0</v>
      </c>
      <c r="I138" s="129">
        <f t="shared" si="4"/>
        <v>3400</v>
      </c>
      <c r="J138" s="130">
        <v>45023.0</v>
      </c>
    </row>
    <row r="139">
      <c r="F139" s="128" t="s">
        <v>169</v>
      </c>
      <c r="G139" s="128">
        <v>30.0</v>
      </c>
      <c r="H139" s="128">
        <v>100.0</v>
      </c>
      <c r="I139" s="129">
        <f t="shared" si="4"/>
        <v>3000</v>
      </c>
      <c r="J139" s="130">
        <v>45023.0</v>
      </c>
    </row>
    <row r="140">
      <c r="F140" s="128" t="s">
        <v>204</v>
      </c>
      <c r="G140" s="128">
        <v>10.0</v>
      </c>
      <c r="H140" s="128">
        <v>30.0</v>
      </c>
      <c r="I140" s="129">
        <f t="shared" si="4"/>
        <v>300</v>
      </c>
      <c r="J140" s="130">
        <v>44992.0</v>
      </c>
    </row>
    <row r="141">
      <c r="F141" s="128" t="s">
        <v>205</v>
      </c>
      <c r="G141" s="128">
        <v>4.0</v>
      </c>
      <c r="H141" s="128">
        <v>900.0</v>
      </c>
      <c r="I141" s="129">
        <f t="shared" si="4"/>
        <v>3600</v>
      </c>
      <c r="J141" s="130">
        <v>45025.0</v>
      </c>
    </row>
    <row r="142">
      <c r="F142" s="128" t="s">
        <v>206</v>
      </c>
      <c r="G142" s="128">
        <v>7.0</v>
      </c>
      <c r="H142" s="128">
        <v>70.0</v>
      </c>
      <c r="I142" s="129">
        <f t="shared" si="4"/>
        <v>490</v>
      </c>
      <c r="J142" s="130">
        <v>45025.0</v>
      </c>
    </row>
    <row r="143">
      <c r="F143" s="128" t="s">
        <v>207</v>
      </c>
      <c r="G143" s="128">
        <v>1.0</v>
      </c>
      <c r="H143" s="128">
        <v>18000.0</v>
      </c>
      <c r="I143" s="129">
        <f t="shared" si="4"/>
        <v>18000</v>
      </c>
      <c r="J143" s="130">
        <v>45025.0</v>
      </c>
    </row>
    <row r="144">
      <c r="F144" s="128" t="s">
        <v>155</v>
      </c>
      <c r="G144" s="128">
        <v>20.0</v>
      </c>
      <c r="H144" s="128">
        <v>110.0</v>
      </c>
      <c r="I144" s="129">
        <f t="shared" si="4"/>
        <v>2200</v>
      </c>
      <c r="J144" s="130">
        <v>45025.0</v>
      </c>
    </row>
    <row r="145">
      <c r="F145" s="128" t="s">
        <v>208</v>
      </c>
      <c r="G145" s="128">
        <v>1.0</v>
      </c>
      <c r="H145" s="128">
        <v>2500.0</v>
      </c>
      <c r="I145" s="129">
        <f t="shared" si="4"/>
        <v>2500</v>
      </c>
      <c r="J145" s="130">
        <v>45026.0</v>
      </c>
    </row>
    <row r="146">
      <c r="F146" s="128" t="s">
        <v>209</v>
      </c>
      <c r="G146" s="128">
        <v>1.0</v>
      </c>
      <c r="H146" s="128">
        <v>500.0</v>
      </c>
      <c r="I146" s="129">
        <f t="shared" si="4"/>
        <v>500</v>
      </c>
      <c r="J146" s="130">
        <v>45026.0</v>
      </c>
    </row>
    <row r="147">
      <c r="F147" s="128" t="s">
        <v>210</v>
      </c>
      <c r="G147" s="128">
        <v>1.0</v>
      </c>
      <c r="H147" s="128">
        <v>200.0</v>
      </c>
      <c r="I147" s="129">
        <f t="shared" si="4"/>
        <v>200</v>
      </c>
      <c r="J147" s="130">
        <v>45026.0</v>
      </c>
    </row>
    <row r="148">
      <c r="F148" s="128" t="s">
        <v>211</v>
      </c>
      <c r="G148" s="128">
        <v>1.0</v>
      </c>
      <c r="H148" s="128">
        <v>350.0</v>
      </c>
      <c r="I148" s="129">
        <f t="shared" si="4"/>
        <v>350</v>
      </c>
      <c r="J148" s="130">
        <v>45027.0</v>
      </c>
    </row>
    <row r="149">
      <c r="F149" s="128" t="s">
        <v>212</v>
      </c>
      <c r="G149" s="128">
        <v>2.0</v>
      </c>
      <c r="H149" s="128">
        <v>200.0</v>
      </c>
      <c r="I149" s="129">
        <f t="shared" si="4"/>
        <v>400</v>
      </c>
      <c r="J149" s="130">
        <v>45027.0</v>
      </c>
    </row>
    <row r="150">
      <c r="F150" s="128" t="s">
        <v>213</v>
      </c>
      <c r="G150" s="128">
        <v>1.0</v>
      </c>
      <c r="H150" s="128">
        <v>1520.0</v>
      </c>
      <c r="I150" s="129">
        <f t="shared" si="4"/>
        <v>1520</v>
      </c>
      <c r="J150" s="130">
        <v>45027.0</v>
      </c>
    </row>
    <row r="151">
      <c r="F151" s="128" t="s">
        <v>182</v>
      </c>
      <c r="G151" s="128">
        <v>10.0</v>
      </c>
      <c r="H151" s="128">
        <v>170.0</v>
      </c>
      <c r="I151" s="129">
        <f t="shared" si="4"/>
        <v>1700</v>
      </c>
      <c r="J151" s="130">
        <v>45028.0</v>
      </c>
    </row>
    <row r="152">
      <c r="F152" s="128" t="s">
        <v>203</v>
      </c>
      <c r="G152" s="128">
        <v>4.0</v>
      </c>
      <c r="H152" s="128">
        <v>900.0</v>
      </c>
      <c r="I152" s="129">
        <f t="shared" si="4"/>
        <v>3600</v>
      </c>
      <c r="J152" s="130">
        <v>45028.0</v>
      </c>
    </row>
    <row r="153">
      <c r="F153" s="128" t="s">
        <v>214</v>
      </c>
      <c r="G153" s="128">
        <v>1.0</v>
      </c>
      <c r="H153" s="128">
        <v>900.0</v>
      </c>
      <c r="I153" s="129">
        <f t="shared" si="4"/>
        <v>900</v>
      </c>
      <c r="J153" s="130">
        <v>45028.0</v>
      </c>
    </row>
    <row r="154">
      <c r="F154" s="128" t="s">
        <v>215</v>
      </c>
      <c r="G154" s="128">
        <v>1.0</v>
      </c>
      <c r="H154" s="128">
        <v>900.0</v>
      </c>
      <c r="I154" s="129">
        <f t="shared" si="4"/>
        <v>900</v>
      </c>
      <c r="J154" s="130">
        <v>45028.0</v>
      </c>
    </row>
    <row r="155">
      <c r="F155" s="128" t="s">
        <v>216</v>
      </c>
      <c r="G155" s="128">
        <v>2.0</v>
      </c>
      <c r="H155" s="128">
        <v>250.0</v>
      </c>
      <c r="I155" s="129">
        <f t="shared" si="4"/>
        <v>500</v>
      </c>
      <c r="J155" s="130">
        <v>45028.0</v>
      </c>
    </row>
    <row r="156">
      <c r="F156" s="128" t="s">
        <v>217</v>
      </c>
      <c r="G156" s="128">
        <v>2.0</v>
      </c>
      <c r="H156" s="128">
        <v>100.0</v>
      </c>
      <c r="I156" s="129">
        <f t="shared" si="4"/>
        <v>200</v>
      </c>
      <c r="J156" s="130">
        <v>45028.0</v>
      </c>
    </row>
    <row r="157">
      <c r="F157" s="128" t="s">
        <v>218</v>
      </c>
      <c r="G157" s="128">
        <v>2.0</v>
      </c>
      <c r="H157" s="128">
        <v>970.0</v>
      </c>
      <c r="I157" s="129">
        <f t="shared" si="4"/>
        <v>1940</v>
      </c>
      <c r="J157" s="130">
        <v>45028.0</v>
      </c>
    </row>
    <row r="158">
      <c r="F158" s="128" t="s">
        <v>219</v>
      </c>
      <c r="G158" s="128">
        <v>1.0</v>
      </c>
      <c r="H158" s="128">
        <v>1100.0</v>
      </c>
      <c r="I158" s="129">
        <f t="shared" si="4"/>
        <v>1100</v>
      </c>
      <c r="J158" s="130">
        <v>45028.0</v>
      </c>
    </row>
    <row r="159">
      <c r="F159" s="128" t="s">
        <v>220</v>
      </c>
      <c r="G159" s="128">
        <v>1.0</v>
      </c>
      <c r="H159" s="128">
        <v>500.0</v>
      </c>
      <c r="I159" s="129">
        <f t="shared" si="4"/>
        <v>500</v>
      </c>
      <c r="J159" s="130">
        <v>45028.0</v>
      </c>
    </row>
    <row r="160">
      <c r="F160" s="128" t="s">
        <v>221</v>
      </c>
      <c r="G160" s="128">
        <v>1.0</v>
      </c>
      <c r="H160" s="128">
        <v>500.0</v>
      </c>
      <c r="I160" s="129">
        <f t="shared" si="4"/>
        <v>500</v>
      </c>
      <c r="J160" s="130">
        <v>45028.0</v>
      </c>
    </row>
    <row r="161">
      <c r="F161" s="128" t="s">
        <v>222</v>
      </c>
      <c r="G161" s="128">
        <v>1.0</v>
      </c>
      <c r="H161" s="128">
        <v>500.0</v>
      </c>
      <c r="I161" s="129">
        <f t="shared" si="4"/>
        <v>500</v>
      </c>
      <c r="J161" s="130">
        <v>45028.0</v>
      </c>
    </row>
    <row r="162">
      <c r="F162" s="128" t="s">
        <v>223</v>
      </c>
      <c r="G162" s="128">
        <v>8.0</v>
      </c>
      <c r="H162" s="128">
        <v>120.0</v>
      </c>
      <c r="I162" s="129">
        <f t="shared" si="4"/>
        <v>960</v>
      </c>
      <c r="J162" s="130">
        <v>45028.0</v>
      </c>
    </row>
    <row r="163">
      <c r="F163" s="128" t="s">
        <v>224</v>
      </c>
      <c r="G163" s="128">
        <v>10.0</v>
      </c>
      <c r="H163" s="128">
        <v>100.0</v>
      </c>
      <c r="I163" s="129">
        <f t="shared" si="4"/>
        <v>1000</v>
      </c>
      <c r="J163" s="130">
        <v>45028.0</v>
      </c>
    </row>
    <row r="164">
      <c r="F164" s="128" t="s">
        <v>225</v>
      </c>
      <c r="G164" s="128">
        <v>5.0</v>
      </c>
      <c r="H164" s="128">
        <v>100.0</v>
      </c>
      <c r="I164" s="129">
        <f t="shared" si="4"/>
        <v>500</v>
      </c>
      <c r="J164" s="130">
        <v>45028.0</v>
      </c>
    </row>
    <row r="165">
      <c r="F165" s="128" t="s">
        <v>226</v>
      </c>
      <c r="G165" s="128">
        <v>7.0</v>
      </c>
      <c r="H165" s="128">
        <v>90.0</v>
      </c>
      <c r="I165" s="129">
        <f t="shared" si="4"/>
        <v>630</v>
      </c>
      <c r="J165" s="130">
        <v>45028.0</v>
      </c>
    </row>
    <row r="166">
      <c r="F166" s="128" t="s">
        <v>227</v>
      </c>
      <c r="G166" s="128">
        <v>5.0</v>
      </c>
      <c r="H166" s="128">
        <v>50.0</v>
      </c>
      <c r="I166" s="129">
        <f t="shared" si="4"/>
        <v>250</v>
      </c>
      <c r="J166" s="130">
        <v>45028.0</v>
      </c>
    </row>
    <row r="167">
      <c r="F167" s="128" t="s">
        <v>190</v>
      </c>
      <c r="G167" s="128">
        <v>1.0</v>
      </c>
      <c r="H167" s="128">
        <v>1000.0</v>
      </c>
      <c r="I167" s="129">
        <f t="shared" si="4"/>
        <v>1000</v>
      </c>
      <c r="J167" s="130">
        <v>45028.0</v>
      </c>
    </row>
    <row r="168">
      <c r="F168" s="128" t="s">
        <v>155</v>
      </c>
      <c r="G168" s="128">
        <v>25.0</v>
      </c>
      <c r="H168" s="128">
        <v>110.0</v>
      </c>
      <c r="I168" s="129">
        <f t="shared" si="4"/>
        <v>2750</v>
      </c>
      <c r="J168" s="130">
        <v>45029.0</v>
      </c>
    </row>
    <row r="169">
      <c r="F169" s="128" t="s">
        <v>228</v>
      </c>
      <c r="G169" s="128">
        <v>10.0</v>
      </c>
      <c r="H169" s="128">
        <v>30.0</v>
      </c>
      <c r="I169" s="129">
        <f t="shared" si="4"/>
        <v>300</v>
      </c>
      <c r="J169" s="130">
        <v>44998.0</v>
      </c>
    </row>
    <row r="170">
      <c r="F170" s="128" t="s">
        <v>229</v>
      </c>
      <c r="G170" s="128">
        <v>1.0</v>
      </c>
      <c r="H170" s="128">
        <v>400.0</v>
      </c>
      <c r="I170" s="129">
        <f t="shared" si="4"/>
        <v>400</v>
      </c>
      <c r="J170" s="130">
        <v>45029.0</v>
      </c>
    </row>
    <row r="171">
      <c r="F171" s="128" t="s">
        <v>230</v>
      </c>
      <c r="G171" s="128">
        <v>266.0</v>
      </c>
      <c r="H171" s="128">
        <v>50.0</v>
      </c>
      <c r="I171" s="129">
        <f t="shared" si="4"/>
        <v>13300</v>
      </c>
      <c r="J171" s="135">
        <v>45030.0</v>
      </c>
    </row>
    <row r="172">
      <c r="F172" s="128" t="s">
        <v>157</v>
      </c>
      <c r="G172" s="128">
        <v>1.0</v>
      </c>
      <c r="H172" s="128">
        <v>850.0</v>
      </c>
      <c r="I172" s="129">
        <f t="shared" si="4"/>
        <v>850</v>
      </c>
      <c r="J172" s="130">
        <v>45030.0</v>
      </c>
    </row>
    <row r="173">
      <c r="F173" s="128" t="s">
        <v>231</v>
      </c>
      <c r="G173" s="128">
        <v>2.0</v>
      </c>
      <c r="H173" s="128">
        <v>100.0</v>
      </c>
      <c r="I173" s="129">
        <f t="shared" si="4"/>
        <v>200</v>
      </c>
      <c r="J173" s="130">
        <v>45030.0</v>
      </c>
    </row>
    <row r="174">
      <c r="F174" s="128" t="s">
        <v>232</v>
      </c>
      <c r="G174" s="128">
        <v>8.0</v>
      </c>
      <c r="H174" s="128">
        <v>70.0</v>
      </c>
      <c r="I174" s="129">
        <f t="shared" si="4"/>
        <v>560</v>
      </c>
      <c r="J174" s="128" t="s">
        <v>233</v>
      </c>
    </row>
    <row r="175">
      <c r="F175" s="128" t="s">
        <v>155</v>
      </c>
      <c r="G175" s="128">
        <v>3.0</v>
      </c>
      <c r="H175" s="128">
        <v>100.0</v>
      </c>
      <c r="I175" s="129">
        <f t="shared" si="4"/>
        <v>300</v>
      </c>
      <c r="J175" s="130">
        <v>45030.0</v>
      </c>
    </row>
    <row r="176">
      <c r="F176" s="128" t="s">
        <v>99</v>
      </c>
      <c r="G176" s="128">
        <v>16.0</v>
      </c>
      <c r="H176" s="128">
        <v>820.0</v>
      </c>
      <c r="I176" s="129">
        <f t="shared" si="4"/>
        <v>13120</v>
      </c>
      <c r="J176" s="130">
        <v>45030.0</v>
      </c>
    </row>
    <row r="177">
      <c r="F177" s="128" t="s">
        <v>234</v>
      </c>
      <c r="G177" s="128">
        <v>5.0</v>
      </c>
      <c r="H177" s="128">
        <v>750.0</v>
      </c>
      <c r="I177" s="129">
        <f t="shared" si="4"/>
        <v>3750</v>
      </c>
      <c r="J177" s="130">
        <v>45030.0</v>
      </c>
    </row>
    <row r="178">
      <c r="F178" s="128" t="s">
        <v>235</v>
      </c>
      <c r="G178" s="128">
        <v>20.0</v>
      </c>
      <c r="H178" s="128">
        <v>600.0</v>
      </c>
      <c r="I178" s="129">
        <f t="shared" si="4"/>
        <v>12000</v>
      </c>
      <c r="J178" s="130">
        <v>45030.0</v>
      </c>
    </row>
    <row r="179">
      <c r="F179" s="128" t="s">
        <v>236</v>
      </c>
      <c r="G179" s="128">
        <v>64.0</v>
      </c>
      <c r="H179" s="128">
        <v>200.0</v>
      </c>
      <c r="I179" s="129">
        <f t="shared" si="4"/>
        <v>12800</v>
      </c>
      <c r="J179" s="130">
        <v>45030.0</v>
      </c>
    </row>
    <row r="180">
      <c r="F180" s="128" t="s">
        <v>237</v>
      </c>
      <c r="G180" s="128">
        <v>1.0</v>
      </c>
      <c r="H180" s="128">
        <v>400.0</v>
      </c>
      <c r="I180" s="129">
        <f t="shared" si="4"/>
        <v>400</v>
      </c>
      <c r="J180" s="130">
        <v>45030.0</v>
      </c>
    </row>
    <row r="181">
      <c r="F181" s="128" t="s">
        <v>238</v>
      </c>
      <c r="G181" s="128">
        <v>85.0</v>
      </c>
      <c r="H181" s="128">
        <v>130.0</v>
      </c>
      <c r="I181" s="129">
        <f t="shared" si="4"/>
        <v>11050</v>
      </c>
      <c r="J181" s="128" t="s">
        <v>239</v>
      </c>
    </row>
    <row r="182">
      <c r="F182" s="128" t="s">
        <v>240</v>
      </c>
      <c r="G182" s="128">
        <v>1.0</v>
      </c>
      <c r="H182" s="128">
        <v>8040.0</v>
      </c>
      <c r="I182" s="129">
        <f t="shared" si="4"/>
        <v>8040</v>
      </c>
      <c r="J182" s="128" t="s">
        <v>239</v>
      </c>
    </row>
    <row r="183">
      <c r="F183" s="128" t="s">
        <v>205</v>
      </c>
      <c r="G183" s="128">
        <v>2.0</v>
      </c>
      <c r="H183" s="128">
        <v>850.0</v>
      </c>
      <c r="I183" s="129">
        <f t="shared" si="4"/>
        <v>1700</v>
      </c>
      <c r="J183" s="128" t="s">
        <v>239</v>
      </c>
    </row>
    <row r="184">
      <c r="F184" s="128" t="s">
        <v>189</v>
      </c>
      <c r="G184" s="128">
        <v>1.0</v>
      </c>
      <c r="H184" s="128">
        <v>600.0</v>
      </c>
      <c r="I184" s="129">
        <f t="shared" si="4"/>
        <v>600</v>
      </c>
      <c r="J184" s="128" t="s">
        <v>239</v>
      </c>
    </row>
    <row r="185">
      <c r="F185" s="128" t="s">
        <v>232</v>
      </c>
      <c r="G185" s="128">
        <v>1.0</v>
      </c>
      <c r="H185" s="128">
        <v>280.0</v>
      </c>
      <c r="I185" s="129">
        <f t="shared" si="4"/>
        <v>280</v>
      </c>
      <c r="J185" s="128" t="s">
        <v>239</v>
      </c>
    </row>
    <row r="186">
      <c r="F186" s="128" t="s">
        <v>169</v>
      </c>
      <c r="G186" s="128">
        <v>1.0</v>
      </c>
      <c r="H186" s="128">
        <v>200.0</v>
      </c>
      <c r="I186" s="129">
        <f t="shared" si="4"/>
        <v>200</v>
      </c>
      <c r="J186" s="128" t="s">
        <v>239</v>
      </c>
    </row>
    <row r="187">
      <c r="F187" s="128" t="s">
        <v>155</v>
      </c>
      <c r="G187" s="128">
        <v>15.0</v>
      </c>
      <c r="H187" s="128">
        <v>110.0</v>
      </c>
      <c r="I187" s="129">
        <f t="shared" si="4"/>
        <v>1650</v>
      </c>
      <c r="J187" s="130">
        <v>45032.0</v>
      </c>
    </row>
    <row r="188">
      <c r="F188" s="128" t="s">
        <v>231</v>
      </c>
      <c r="G188" s="128">
        <v>10.0</v>
      </c>
      <c r="H188" s="128">
        <v>100.0</v>
      </c>
      <c r="I188" s="129">
        <f t="shared" si="4"/>
        <v>1000</v>
      </c>
      <c r="J188" s="130">
        <v>45032.0</v>
      </c>
    </row>
    <row r="189">
      <c r="F189" s="128" t="s">
        <v>189</v>
      </c>
      <c r="G189" s="128">
        <v>3.0</v>
      </c>
      <c r="H189" s="128">
        <v>300.0</v>
      </c>
      <c r="I189" s="129">
        <f t="shared" si="4"/>
        <v>900</v>
      </c>
      <c r="J189" s="130">
        <v>45032.0</v>
      </c>
    </row>
    <row r="190">
      <c r="F190" s="136" t="s">
        <v>241</v>
      </c>
      <c r="G190" s="136">
        <v>1.0</v>
      </c>
      <c r="H190" s="136">
        <v>19330.0</v>
      </c>
      <c r="I190" s="137">
        <f t="shared" si="4"/>
        <v>19330</v>
      </c>
      <c r="J190" s="138">
        <v>45032.0</v>
      </c>
    </row>
    <row r="191">
      <c r="F191" s="128" t="s">
        <v>231</v>
      </c>
      <c r="G191" s="128">
        <v>100.0</v>
      </c>
      <c r="H191" s="128">
        <v>100.0</v>
      </c>
      <c r="I191" s="129">
        <f t="shared" si="4"/>
        <v>10000</v>
      </c>
      <c r="J191" s="130">
        <v>45035.0</v>
      </c>
    </row>
    <row r="192">
      <c r="F192" s="128" t="s">
        <v>155</v>
      </c>
      <c r="G192" s="128">
        <v>60.0</v>
      </c>
      <c r="H192" s="128">
        <v>110.0</v>
      </c>
      <c r="I192" s="129">
        <f t="shared" si="4"/>
        <v>6600</v>
      </c>
      <c r="J192" s="130">
        <v>2.9264435E7</v>
      </c>
    </row>
    <row r="193">
      <c r="F193" s="128" t="s">
        <v>209</v>
      </c>
      <c r="G193" s="128">
        <v>1.0</v>
      </c>
      <c r="H193" s="128">
        <v>2000.0</v>
      </c>
      <c r="I193" s="129">
        <f t="shared" si="4"/>
        <v>2000</v>
      </c>
      <c r="J193" s="130">
        <v>45035.0</v>
      </c>
    </row>
    <row r="194">
      <c r="F194" s="128" t="s">
        <v>231</v>
      </c>
      <c r="G194" s="128">
        <v>33.0</v>
      </c>
      <c r="H194" s="128">
        <v>100.0</v>
      </c>
      <c r="I194" s="129">
        <f t="shared" si="4"/>
        <v>3300</v>
      </c>
      <c r="J194" s="130">
        <v>45035.0</v>
      </c>
    </row>
    <row r="195">
      <c r="F195" s="128" t="s">
        <v>242</v>
      </c>
      <c r="G195" s="128">
        <v>2.0</v>
      </c>
      <c r="H195" s="128">
        <v>250.0</v>
      </c>
      <c r="I195" s="129">
        <f t="shared" si="4"/>
        <v>500</v>
      </c>
      <c r="J195" s="139"/>
    </row>
    <row r="196">
      <c r="F196" s="128" t="s">
        <v>243</v>
      </c>
      <c r="G196" s="128">
        <v>2.0</v>
      </c>
      <c r="H196" s="128">
        <v>500.0</v>
      </c>
      <c r="I196" s="129">
        <f t="shared" si="4"/>
        <v>1000</v>
      </c>
      <c r="J196" s="130">
        <v>45035.0</v>
      </c>
    </row>
    <row r="197">
      <c r="F197" s="128" t="s">
        <v>244</v>
      </c>
      <c r="G197" s="128">
        <v>6.0</v>
      </c>
      <c r="H197" s="128">
        <v>900.0</v>
      </c>
      <c r="I197" s="129">
        <f t="shared" si="4"/>
        <v>5400</v>
      </c>
      <c r="J197" s="130">
        <v>45035.0</v>
      </c>
    </row>
    <row r="198">
      <c r="F198" s="128" t="s">
        <v>231</v>
      </c>
      <c r="G198" s="128">
        <v>20.0</v>
      </c>
      <c r="H198" s="128">
        <v>100.0</v>
      </c>
      <c r="I198" s="129">
        <f t="shared" si="4"/>
        <v>2000</v>
      </c>
      <c r="J198" s="130">
        <v>45035.0</v>
      </c>
    </row>
    <row r="199">
      <c r="F199" s="128" t="s">
        <v>245</v>
      </c>
      <c r="G199" s="128">
        <v>1.0</v>
      </c>
      <c r="H199" s="128">
        <v>1000.0</v>
      </c>
      <c r="I199" s="129">
        <f t="shared" si="4"/>
        <v>1000</v>
      </c>
      <c r="J199" s="130">
        <v>6695736.0</v>
      </c>
    </row>
    <row r="200">
      <c r="F200" s="128" t="s">
        <v>144</v>
      </c>
      <c r="G200" s="128">
        <v>1.0</v>
      </c>
      <c r="H200" s="128">
        <v>1200.0</v>
      </c>
      <c r="I200" s="129">
        <f t="shared" si="4"/>
        <v>1200</v>
      </c>
      <c r="J200" s="130">
        <v>45035.0</v>
      </c>
    </row>
    <row r="201">
      <c r="F201" s="128" t="s">
        <v>229</v>
      </c>
      <c r="G201" s="128">
        <v>2.0</v>
      </c>
      <c r="H201" s="128">
        <v>400.0</v>
      </c>
      <c r="I201" s="129">
        <f t="shared" si="4"/>
        <v>800</v>
      </c>
      <c r="J201" s="130">
        <v>45035.0</v>
      </c>
    </row>
    <row r="202">
      <c r="F202" s="128" t="s">
        <v>246</v>
      </c>
      <c r="G202" s="128">
        <v>5.0</v>
      </c>
      <c r="H202" s="128">
        <v>560.0</v>
      </c>
      <c r="I202" s="129">
        <f t="shared" si="4"/>
        <v>2800</v>
      </c>
      <c r="J202" s="130">
        <v>45035.0</v>
      </c>
    </row>
    <row r="203">
      <c r="F203" s="128" t="s">
        <v>247</v>
      </c>
      <c r="G203" s="128">
        <v>3.0</v>
      </c>
      <c r="H203" s="128">
        <v>150.0</v>
      </c>
      <c r="I203" s="129">
        <f t="shared" si="4"/>
        <v>450</v>
      </c>
      <c r="J203" s="139"/>
    </row>
    <row r="204">
      <c r="F204" s="128" t="s">
        <v>248</v>
      </c>
      <c r="G204" s="128">
        <v>9.0</v>
      </c>
      <c r="H204" s="128">
        <v>110.0</v>
      </c>
      <c r="I204" s="129">
        <f t="shared" si="4"/>
        <v>990</v>
      </c>
      <c r="J204" s="139"/>
    </row>
    <row r="205">
      <c r="F205" s="128" t="s">
        <v>231</v>
      </c>
      <c r="G205" s="128">
        <v>110.0</v>
      </c>
      <c r="H205" s="128">
        <v>100.0</v>
      </c>
      <c r="I205" s="129">
        <f t="shared" si="4"/>
        <v>11000</v>
      </c>
      <c r="J205" s="130">
        <v>45036.0</v>
      </c>
    </row>
    <row r="206">
      <c r="F206" s="128" t="s">
        <v>155</v>
      </c>
      <c r="G206" s="128">
        <v>10.0</v>
      </c>
      <c r="H206" s="128">
        <v>110.0</v>
      </c>
      <c r="I206" s="129">
        <f t="shared" si="4"/>
        <v>1100</v>
      </c>
      <c r="J206" s="130">
        <v>45036.0</v>
      </c>
    </row>
    <row r="207">
      <c r="F207" s="128" t="s">
        <v>232</v>
      </c>
      <c r="G207" s="128">
        <v>10.0</v>
      </c>
      <c r="H207" s="128">
        <v>70.0</v>
      </c>
      <c r="I207" s="129">
        <f t="shared" si="4"/>
        <v>700</v>
      </c>
      <c r="J207" s="130">
        <v>45036.0</v>
      </c>
    </row>
    <row r="208">
      <c r="F208" s="128" t="s">
        <v>249</v>
      </c>
      <c r="G208" s="128">
        <v>1.0</v>
      </c>
      <c r="H208" s="139"/>
      <c r="I208" s="129">
        <f t="shared" si="4"/>
        <v>0</v>
      </c>
      <c r="J208" s="139"/>
    </row>
    <row r="209">
      <c r="F209" s="128" t="s">
        <v>218</v>
      </c>
      <c r="G209" s="128">
        <v>1.0</v>
      </c>
      <c r="H209" s="128">
        <v>1100.0</v>
      </c>
      <c r="I209" s="129">
        <f t="shared" si="4"/>
        <v>1100</v>
      </c>
      <c r="J209" s="130">
        <v>45036.0</v>
      </c>
    </row>
    <row r="210">
      <c r="F210" s="128" t="s">
        <v>250</v>
      </c>
      <c r="G210" s="128">
        <v>1.0</v>
      </c>
      <c r="H210" s="139"/>
      <c r="I210" s="129">
        <f t="shared" si="4"/>
        <v>0</v>
      </c>
      <c r="J210" s="130">
        <v>45036.0</v>
      </c>
    </row>
    <row r="211">
      <c r="F211" s="128" t="s">
        <v>251</v>
      </c>
      <c r="G211" s="128">
        <v>1.0</v>
      </c>
      <c r="H211" s="128">
        <v>6800.0</v>
      </c>
      <c r="I211" s="129">
        <f t="shared" si="4"/>
        <v>6800</v>
      </c>
      <c r="J211" s="130">
        <v>45036.0</v>
      </c>
    </row>
    <row r="212">
      <c r="F212" s="128" t="s">
        <v>252</v>
      </c>
      <c r="G212" s="128">
        <v>1.0</v>
      </c>
      <c r="H212" s="128">
        <v>20000.0</v>
      </c>
      <c r="I212" s="129">
        <f t="shared" si="4"/>
        <v>20000</v>
      </c>
      <c r="J212" s="130">
        <v>45037.0</v>
      </c>
    </row>
    <row r="213">
      <c r="F213" s="128" t="s">
        <v>253</v>
      </c>
      <c r="G213" s="128">
        <v>1.0</v>
      </c>
      <c r="H213" s="128">
        <v>10000.0</v>
      </c>
      <c r="I213" s="129">
        <f t="shared" si="4"/>
        <v>10000</v>
      </c>
      <c r="J213" s="130">
        <v>45037.0</v>
      </c>
    </row>
    <row r="214">
      <c r="F214" s="128" t="s">
        <v>254</v>
      </c>
      <c r="G214" s="128">
        <v>1.0</v>
      </c>
      <c r="H214" s="128">
        <v>1500.0</v>
      </c>
      <c r="I214" s="129">
        <f t="shared" si="4"/>
        <v>1500</v>
      </c>
      <c r="J214" s="130">
        <v>45039.0</v>
      </c>
    </row>
    <row r="215">
      <c r="F215" s="128" t="s">
        <v>255</v>
      </c>
      <c r="G215" s="128">
        <v>3.0</v>
      </c>
      <c r="H215" s="128">
        <v>900.0</v>
      </c>
      <c r="I215" s="129">
        <f t="shared" si="4"/>
        <v>2700</v>
      </c>
      <c r="J215" s="128" t="s">
        <v>256</v>
      </c>
    </row>
    <row r="216">
      <c r="F216" s="128" t="s">
        <v>169</v>
      </c>
      <c r="G216" s="128">
        <v>50.0</v>
      </c>
      <c r="H216" s="128">
        <v>100.0</v>
      </c>
      <c r="I216" s="129">
        <f t="shared" si="4"/>
        <v>5000</v>
      </c>
      <c r="J216" s="130">
        <v>45041.0</v>
      </c>
    </row>
    <row r="217">
      <c r="F217" s="128" t="s">
        <v>184</v>
      </c>
      <c r="G217" s="128">
        <v>1.0</v>
      </c>
      <c r="H217" s="128">
        <v>100.0</v>
      </c>
      <c r="I217" s="129">
        <f t="shared" si="4"/>
        <v>100</v>
      </c>
      <c r="J217" s="130">
        <v>45041.0</v>
      </c>
    </row>
    <row r="218">
      <c r="F218" s="128" t="s">
        <v>209</v>
      </c>
      <c r="G218" s="128">
        <v>1.0</v>
      </c>
      <c r="H218" s="128">
        <v>1000.0</v>
      </c>
      <c r="I218" s="129">
        <f t="shared" si="4"/>
        <v>1000</v>
      </c>
      <c r="J218" s="130">
        <v>45041.0</v>
      </c>
    </row>
    <row r="219">
      <c r="F219" s="128" t="s">
        <v>257</v>
      </c>
      <c r="G219" s="128">
        <v>1.0</v>
      </c>
      <c r="H219" s="128">
        <v>1000.0</v>
      </c>
      <c r="I219" s="129">
        <f t="shared" si="4"/>
        <v>1000</v>
      </c>
      <c r="J219" s="130">
        <v>45041.0</v>
      </c>
    </row>
    <row r="220">
      <c r="F220" s="128" t="s">
        <v>204</v>
      </c>
      <c r="G220" s="128">
        <v>10.0</v>
      </c>
      <c r="H220" s="128">
        <v>30.0</v>
      </c>
      <c r="I220" s="129">
        <f t="shared" si="4"/>
        <v>300</v>
      </c>
      <c r="J220" s="130">
        <v>45041.0</v>
      </c>
    </row>
    <row r="221">
      <c r="F221" s="128" t="s">
        <v>258</v>
      </c>
      <c r="G221" s="128">
        <v>2.0</v>
      </c>
      <c r="H221" s="128">
        <v>150.0</v>
      </c>
      <c r="I221" s="129">
        <f t="shared" si="4"/>
        <v>300</v>
      </c>
      <c r="J221" s="130">
        <v>45041.0</v>
      </c>
    </row>
    <row r="222">
      <c r="F222" s="128" t="s">
        <v>178</v>
      </c>
      <c r="G222" s="128">
        <v>1.0</v>
      </c>
      <c r="H222" s="128">
        <v>150.0</v>
      </c>
      <c r="I222" s="129">
        <f t="shared" si="4"/>
        <v>150</v>
      </c>
      <c r="J222" s="130">
        <v>45041.0</v>
      </c>
    </row>
    <row r="223">
      <c r="F223" s="128" t="s">
        <v>231</v>
      </c>
      <c r="G223" s="128">
        <v>6.0</v>
      </c>
      <c r="H223" s="128">
        <v>100.0</v>
      </c>
      <c r="I223" s="129">
        <f t="shared" si="4"/>
        <v>600</v>
      </c>
      <c r="J223" s="130">
        <v>45041.0</v>
      </c>
    </row>
    <row r="224">
      <c r="F224" s="128" t="s">
        <v>259</v>
      </c>
      <c r="G224" s="128">
        <v>16.0</v>
      </c>
      <c r="H224" s="128">
        <v>105.0</v>
      </c>
      <c r="I224" s="129">
        <f t="shared" si="4"/>
        <v>1680</v>
      </c>
      <c r="J224" s="130">
        <v>45041.0</v>
      </c>
    </row>
    <row r="225">
      <c r="F225" s="128" t="s">
        <v>260</v>
      </c>
      <c r="G225" s="128">
        <v>3.0</v>
      </c>
      <c r="H225" s="128">
        <v>850.0</v>
      </c>
      <c r="I225" s="129">
        <f t="shared" si="4"/>
        <v>2550</v>
      </c>
      <c r="J225" s="130">
        <v>45041.0</v>
      </c>
    </row>
    <row r="226">
      <c r="F226" s="128" t="s">
        <v>261</v>
      </c>
      <c r="G226" s="128">
        <v>2.0</v>
      </c>
      <c r="H226" s="128">
        <v>540.0</v>
      </c>
      <c r="I226" s="129">
        <f t="shared" si="4"/>
        <v>1080</v>
      </c>
      <c r="J226" s="128" t="s">
        <v>262</v>
      </c>
    </row>
    <row r="227">
      <c r="F227" s="128" t="s">
        <v>116</v>
      </c>
      <c r="G227" s="128">
        <v>1.6</v>
      </c>
      <c r="H227" s="128">
        <v>1650.0</v>
      </c>
      <c r="I227" s="129">
        <f t="shared" si="4"/>
        <v>2640</v>
      </c>
      <c r="J227" s="135">
        <v>45010.0</v>
      </c>
    </row>
    <row r="228">
      <c r="F228" s="128" t="s">
        <v>263</v>
      </c>
      <c r="G228" s="128">
        <v>1.0</v>
      </c>
      <c r="H228" s="128">
        <v>400.0</v>
      </c>
      <c r="I228" s="129">
        <f t="shared" si="4"/>
        <v>400</v>
      </c>
      <c r="J228" s="139"/>
    </row>
    <row r="229">
      <c r="F229" s="128" t="s">
        <v>144</v>
      </c>
      <c r="G229" s="128">
        <v>1.0</v>
      </c>
      <c r="H229" s="128">
        <v>1900.0</v>
      </c>
      <c r="I229" s="129">
        <f t="shared" si="4"/>
        <v>1900</v>
      </c>
      <c r="J229" s="139"/>
    </row>
    <row r="230">
      <c r="F230" s="128" t="s">
        <v>145</v>
      </c>
      <c r="G230" s="128">
        <v>3.0</v>
      </c>
      <c r="H230" s="128">
        <v>600.0</v>
      </c>
      <c r="I230" s="129">
        <f t="shared" si="4"/>
        <v>1800</v>
      </c>
      <c r="J230" s="139"/>
    </row>
    <row r="231">
      <c r="F231" s="128" t="s">
        <v>155</v>
      </c>
      <c r="G231" s="128">
        <v>10.0</v>
      </c>
      <c r="H231" s="128">
        <v>130.0</v>
      </c>
      <c r="I231" s="129">
        <f t="shared" si="4"/>
        <v>1300</v>
      </c>
      <c r="J231" s="139"/>
    </row>
    <row r="232">
      <c r="F232" s="128" t="s">
        <v>189</v>
      </c>
      <c r="G232" s="128">
        <v>1.0</v>
      </c>
      <c r="H232" s="128">
        <v>500.0</v>
      </c>
      <c r="I232" s="129">
        <f t="shared" si="4"/>
        <v>500</v>
      </c>
      <c r="J232" s="130">
        <v>45041.0</v>
      </c>
    </row>
    <row r="233">
      <c r="F233" s="128" t="s">
        <v>231</v>
      </c>
      <c r="G233" s="128">
        <v>50.0</v>
      </c>
      <c r="H233" s="128">
        <v>100.0</v>
      </c>
      <c r="I233" s="129">
        <f t="shared" si="4"/>
        <v>5000</v>
      </c>
      <c r="J233" s="130">
        <v>45041.0</v>
      </c>
    </row>
    <row r="234">
      <c r="F234" s="128" t="s">
        <v>264</v>
      </c>
      <c r="G234" s="128">
        <v>8.0</v>
      </c>
      <c r="H234" s="128">
        <v>450.0</v>
      </c>
      <c r="I234" s="129">
        <f t="shared" si="4"/>
        <v>3600</v>
      </c>
      <c r="J234" s="139"/>
    </row>
    <row r="235">
      <c r="F235" s="128" t="s">
        <v>265</v>
      </c>
      <c r="G235" s="128">
        <v>2.0</v>
      </c>
      <c r="H235" s="128">
        <v>100.0</v>
      </c>
      <c r="I235" s="129">
        <f t="shared" si="4"/>
        <v>200</v>
      </c>
      <c r="J235" s="139"/>
    </row>
    <row r="236">
      <c r="F236" s="128" t="s">
        <v>189</v>
      </c>
      <c r="G236" s="128">
        <v>1.0</v>
      </c>
      <c r="H236" s="128">
        <v>1500.0</v>
      </c>
      <c r="I236" s="129">
        <f t="shared" si="4"/>
        <v>1500</v>
      </c>
      <c r="J236" s="139"/>
    </row>
    <row r="237">
      <c r="F237" s="128" t="s">
        <v>184</v>
      </c>
      <c r="G237" s="128">
        <v>1.0</v>
      </c>
      <c r="H237" s="128">
        <v>100.0</v>
      </c>
      <c r="I237" s="129">
        <f t="shared" si="4"/>
        <v>100</v>
      </c>
      <c r="J237" s="139"/>
    </row>
    <row r="238">
      <c r="F238" s="128" t="s">
        <v>178</v>
      </c>
      <c r="G238" s="128">
        <v>1.0</v>
      </c>
      <c r="H238" s="128">
        <v>50.0</v>
      </c>
      <c r="I238" s="129">
        <f t="shared" si="4"/>
        <v>50</v>
      </c>
      <c r="J238" s="139"/>
    </row>
    <row r="239">
      <c r="F239" s="128" t="s">
        <v>266</v>
      </c>
      <c r="G239" s="128">
        <v>1.0</v>
      </c>
      <c r="H239" s="128">
        <v>900.0</v>
      </c>
      <c r="I239" s="129">
        <f t="shared" si="4"/>
        <v>900</v>
      </c>
      <c r="J239" s="139"/>
    </row>
    <row r="240">
      <c r="F240" s="128" t="s">
        <v>231</v>
      </c>
      <c r="G240" s="128">
        <v>5.0</v>
      </c>
      <c r="H240" s="128">
        <v>120.0</v>
      </c>
      <c r="I240" s="129">
        <f t="shared" si="4"/>
        <v>600</v>
      </c>
      <c r="J240" s="139"/>
    </row>
    <row r="241">
      <c r="F241" s="139"/>
      <c r="G241" s="139"/>
      <c r="H241" s="139"/>
      <c r="I241" s="129">
        <f t="shared" si="4"/>
        <v>0</v>
      </c>
      <c r="J241" s="139"/>
    </row>
    <row r="242">
      <c r="F242" s="139"/>
      <c r="G242" s="139"/>
      <c r="H242" s="139"/>
      <c r="I242" s="129">
        <f t="shared" si="4"/>
        <v>0</v>
      </c>
      <c r="J242" s="139"/>
    </row>
    <row r="243">
      <c r="F243" s="139"/>
      <c r="G243" s="139"/>
      <c r="H243" s="139"/>
      <c r="I243" s="129">
        <f t="shared" si="4"/>
        <v>0</v>
      </c>
      <c r="J243" s="139"/>
    </row>
    <row r="244">
      <c r="F244" s="139"/>
      <c r="G244" s="139"/>
      <c r="H244" s="139"/>
      <c r="I244" s="129">
        <f>SUM(I3:I243)</f>
        <v>669757</v>
      </c>
      <c r="J244" s="13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38.13"/>
    <col customWidth="1" min="7" max="7" width="38.38"/>
    <col customWidth="1" min="10" max="10" width="25.38"/>
    <col customWidth="1" min="11" max="11" width="27.38"/>
    <col customWidth="1" min="12" max="12" width="25.63"/>
    <col customWidth="1" min="13" max="13" width="26.63"/>
    <col customWidth="1" min="15" max="15" width="33.13"/>
  </cols>
  <sheetData>
    <row r="4">
      <c r="F4" s="140" t="s">
        <v>267</v>
      </c>
      <c r="G4" s="141">
        <v>520000.0</v>
      </c>
    </row>
    <row r="5">
      <c r="F5" s="140" t="s">
        <v>5</v>
      </c>
      <c r="G5" s="141">
        <v>110000.0</v>
      </c>
    </row>
    <row r="6">
      <c r="F6" s="140" t="s">
        <v>268</v>
      </c>
      <c r="G6" s="141">
        <f>RECAP!D33*1</f>
        <v>1488000</v>
      </c>
    </row>
    <row r="7">
      <c r="F7" s="140" t="s">
        <v>269</v>
      </c>
      <c r="G7" s="141">
        <f>'Les charges '!I244*1</f>
        <v>669757</v>
      </c>
    </row>
    <row r="8">
      <c r="F8" s="140" t="s">
        <v>270</v>
      </c>
      <c r="G8" s="141">
        <v>171000.0</v>
      </c>
    </row>
    <row r="9">
      <c r="F9" s="140" t="s">
        <v>271</v>
      </c>
      <c r="G9" s="141">
        <v>303000.0</v>
      </c>
    </row>
    <row r="10">
      <c r="F10" s="140" t="s">
        <v>272</v>
      </c>
      <c r="G10" s="141">
        <f>'les salaires '!J28*1</f>
        <v>137000</v>
      </c>
    </row>
    <row r="11">
      <c r="F11" s="140" t="s">
        <v>273</v>
      </c>
      <c r="G11" s="141">
        <v>7000.0</v>
      </c>
    </row>
    <row r="12">
      <c r="F12" s="128"/>
      <c r="G12" s="134">
        <f>G4+G5+G6-G7-G8-G9-G10-G11</f>
        <v>830243</v>
      </c>
    </row>
    <row r="17">
      <c r="J17" s="97"/>
      <c r="K17" s="142" t="s">
        <v>274</v>
      </c>
      <c r="L17" s="142" t="s">
        <v>275</v>
      </c>
      <c r="M17" s="143" t="s">
        <v>276</v>
      </c>
    </row>
    <row r="18">
      <c r="J18" s="144" t="s">
        <v>2</v>
      </c>
      <c r="K18" s="25">
        <v>1400000.0</v>
      </c>
      <c r="L18" s="25">
        <v>1928000.0</v>
      </c>
      <c r="M18" s="129">
        <f>RECAP!D33*1</f>
        <v>1488000</v>
      </c>
    </row>
    <row r="19">
      <c r="J19" s="144" t="s">
        <v>3</v>
      </c>
      <c r="K19" s="25">
        <v>597000.0</v>
      </c>
      <c r="L19" s="25">
        <v>938000.0</v>
      </c>
      <c r="M19" s="134">
        <v>670000.0</v>
      </c>
    </row>
    <row r="20">
      <c r="J20" s="144" t="s">
        <v>277</v>
      </c>
      <c r="K20" s="25">
        <v>413000.0</v>
      </c>
      <c r="L20" s="25">
        <v>360000.0</v>
      </c>
      <c r="M20" s="134">
        <v>335000.0</v>
      </c>
    </row>
    <row r="21">
      <c r="J21" s="144" t="s">
        <v>5</v>
      </c>
      <c r="K21" s="25">
        <v>110000.0</v>
      </c>
      <c r="L21" s="25">
        <v>110000.0</v>
      </c>
      <c r="M21" s="134">
        <v>110000.0</v>
      </c>
    </row>
    <row r="22">
      <c r="J22" s="144" t="s">
        <v>278</v>
      </c>
      <c r="K22" s="25">
        <v>280000.0</v>
      </c>
      <c r="L22" s="25">
        <v>520000.0</v>
      </c>
      <c r="M22" s="134">
        <v>370000.0</v>
      </c>
    </row>
    <row r="23">
      <c r="M23" s="145"/>
      <c r="O23" s="146" t="s">
        <v>279</v>
      </c>
    </row>
    <row r="24">
      <c r="O24" s="129">
        <f>M18-M19-'les salaires '!J28-RECAP!P11-RECAP!P14</f>
        <v>362000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88"/>
    <col customWidth="1" min="2" max="2" width="26.13"/>
    <col customWidth="1" min="3" max="3" width="32.38"/>
    <col customWidth="1" min="6" max="7" width="25.38"/>
    <col customWidth="1" min="8" max="8" width="29.38"/>
    <col customWidth="1" min="15" max="15" width="26.88"/>
    <col customWidth="1" min="16" max="16" width="27.88"/>
    <col customWidth="1" min="17" max="17" width="27.13"/>
  </cols>
  <sheetData>
    <row r="2">
      <c r="A2" s="1"/>
      <c r="B2" s="2" t="s">
        <v>0</v>
      </c>
      <c r="C2" s="4" t="s">
        <v>54</v>
      </c>
      <c r="O2" s="1"/>
      <c r="P2" s="2" t="s">
        <v>0</v>
      </c>
      <c r="Q2" s="4" t="s">
        <v>52</v>
      </c>
    </row>
    <row r="3">
      <c r="A3" s="11" t="s">
        <v>14</v>
      </c>
      <c r="B3" s="12">
        <v>45017.0</v>
      </c>
      <c r="C3" s="69">
        <v>0.0</v>
      </c>
      <c r="O3" s="11" t="s">
        <v>14</v>
      </c>
      <c r="P3" s="12">
        <v>45017.0</v>
      </c>
      <c r="Q3" s="69">
        <v>0.0</v>
      </c>
    </row>
    <row r="4">
      <c r="A4" s="11" t="s">
        <v>15</v>
      </c>
      <c r="B4" s="12">
        <v>45018.0</v>
      </c>
      <c r="C4" s="69">
        <v>1.0</v>
      </c>
      <c r="O4" s="11" t="s">
        <v>15</v>
      </c>
      <c r="P4" s="12">
        <v>45018.0</v>
      </c>
      <c r="Q4" s="69">
        <v>0.0</v>
      </c>
    </row>
    <row r="5">
      <c r="A5" s="11" t="s">
        <v>16</v>
      </c>
      <c r="B5" s="12">
        <v>45019.0</v>
      </c>
      <c r="C5" s="69">
        <v>1.0</v>
      </c>
      <c r="O5" s="11" t="s">
        <v>16</v>
      </c>
      <c r="P5" s="12">
        <v>45019.0</v>
      </c>
      <c r="Q5" s="69">
        <v>0.0</v>
      </c>
    </row>
    <row r="6">
      <c r="A6" s="11" t="s">
        <v>19</v>
      </c>
      <c r="B6" s="12">
        <v>45020.0</v>
      </c>
      <c r="C6" s="69">
        <v>0.0</v>
      </c>
      <c r="O6" s="11" t="s">
        <v>19</v>
      </c>
      <c r="P6" s="12">
        <v>45020.0</v>
      </c>
      <c r="Q6" s="69">
        <v>0.0</v>
      </c>
    </row>
    <row r="7">
      <c r="A7" s="11" t="s">
        <v>20</v>
      </c>
      <c r="B7" s="12">
        <v>45021.0</v>
      </c>
      <c r="C7" s="69">
        <v>0.0</v>
      </c>
      <c r="O7" s="11" t="s">
        <v>20</v>
      </c>
      <c r="P7" s="12">
        <v>45021.0</v>
      </c>
      <c r="Q7" s="69">
        <v>0.0</v>
      </c>
    </row>
    <row r="8">
      <c r="A8" s="11" t="s">
        <v>22</v>
      </c>
      <c r="B8" s="12">
        <v>45022.0</v>
      </c>
      <c r="C8" s="69">
        <v>0.0</v>
      </c>
      <c r="O8" s="11" t="s">
        <v>22</v>
      </c>
      <c r="P8" s="12">
        <v>45022.0</v>
      </c>
      <c r="Q8" s="69">
        <v>0.0</v>
      </c>
    </row>
    <row r="9">
      <c r="A9" s="74" t="s">
        <v>23</v>
      </c>
      <c r="B9" s="75">
        <v>45023.0</v>
      </c>
      <c r="C9" s="76">
        <v>1.0</v>
      </c>
      <c r="O9" s="74" t="s">
        <v>23</v>
      </c>
      <c r="P9" s="75">
        <v>45023.0</v>
      </c>
      <c r="Q9" s="76">
        <v>0.0</v>
      </c>
    </row>
    <row r="10">
      <c r="A10" s="11" t="s">
        <v>27</v>
      </c>
      <c r="B10" s="12">
        <v>45024.0</v>
      </c>
      <c r="C10" s="69">
        <v>1.0</v>
      </c>
      <c r="O10" s="11" t="s">
        <v>27</v>
      </c>
      <c r="P10" s="12">
        <v>45024.0</v>
      </c>
      <c r="Q10" s="69">
        <v>0.0</v>
      </c>
    </row>
    <row r="11">
      <c r="A11" s="11" t="s">
        <v>15</v>
      </c>
      <c r="B11" s="12">
        <v>45025.0</v>
      </c>
      <c r="C11" s="69">
        <v>1.0</v>
      </c>
      <c r="O11" s="11" t="s">
        <v>15</v>
      </c>
      <c r="P11" s="12">
        <v>45025.0</v>
      </c>
      <c r="Q11" s="69">
        <v>0.0</v>
      </c>
    </row>
    <row r="12">
      <c r="A12" s="11" t="s">
        <v>16</v>
      </c>
      <c r="B12" s="12">
        <v>45026.0</v>
      </c>
      <c r="C12" s="69">
        <v>1.0</v>
      </c>
      <c r="O12" s="11" t="s">
        <v>16</v>
      </c>
      <c r="P12" s="12">
        <v>45026.0</v>
      </c>
      <c r="Q12" s="69">
        <v>0.0</v>
      </c>
    </row>
    <row r="13">
      <c r="A13" s="11" t="s">
        <v>19</v>
      </c>
      <c r="B13" s="12">
        <v>45027.0</v>
      </c>
      <c r="C13" s="69">
        <v>1.0</v>
      </c>
      <c r="O13" s="11" t="s">
        <v>19</v>
      </c>
      <c r="P13" s="12">
        <v>45027.0</v>
      </c>
      <c r="Q13" s="69">
        <v>0.0</v>
      </c>
    </row>
    <row r="14">
      <c r="A14" s="11" t="s">
        <v>20</v>
      </c>
      <c r="B14" s="12">
        <v>45028.0</v>
      </c>
      <c r="C14" s="69">
        <v>1.0</v>
      </c>
      <c r="O14" s="11" t="s">
        <v>20</v>
      </c>
      <c r="P14" s="12">
        <v>45028.0</v>
      </c>
      <c r="Q14" s="69">
        <v>1.0</v>
      </c>
    </row>
    <row r="15">
      <c r="A15" s="11" t="s">
        <v>22</v>
      </c>
      <c r="B15" s="12">
        <v>45029.0</v>
      </c>
      <c r="C15" s="69">
        <v>1.0</v>
      </c>
      <c r="O15" s="11" t="s">
        <v>22</v>
      </c>
      <c r="P15" s="12">
        <v>45029.0</v>
      </c>
      <c r="Q15" s="69">
        <v>1.0</v>
      </c>
    </row>
    <row r="16">
      <c r="A16" s="74" t="s">
        <v>23</v>
      </c>
      <c r="B16" s="75">
        <v>45030.0</v>
      </c>
      <c r="C16" s="76">
        <v>1.0</v>
      </c>
      <c r="O16" s="74" t="s">
        <v>23</v>
      </c>
      <c r="P16" s="75">
        <v>45030.0</v>
      </c>
      <c r="Q16" s="76">
        <v>1.0</v>
      </c>
    </row>
    <row r="17">
      <c r="A17" s="11" t="s">
        <v>27</v>
      </c>
      <c r="B17" s="12">
        <v>45031.0</v>
      </c>
      <c r="C17" s="69">
        <v>0.0</v>
      </c>
      <c r="O17" s="11" t="s">
        <v>27</v>
      </c>
      <c r="P17" s="12">
        <v>45031.0</v>
      </c>
      <c r="Q17" s="69">
        <v>0.0</v>
      </c>
    </row>
    <row r="18">
      <c r="A18" s="11" t="s">
        <v>15</v>
      </c>
      <c r="B18" s="12">
        <v>45032.0</v>
      </c>
      <c r="C18" s="69">
        <v>1.0</v>
      </c>
      <c r="O18" s="11" t="s">
        <v>15</v>
      </c>
      <c r="P18" s="12">
        <v>45032.0</v>
      </c>
      <c r="Q18" s="69">
        <v>0.0</v>
      </c>
    </row>
    <row r="19">
      <c r="A19" s="11" t="s">
        <v>16</v>
      </c>
      <c r="B19" s="12">
        <v>45033.0</v>
      </c>
      <c r="C19" s="69">
        <v>1.0</v>
      </c>
      <c r="O19" s="11" t="s">
        <v>16</v>
      </c>
      <c r="P19" s="12">
        <v>45033.0</v>
      </c>
      <c r="Q19" s="69">
        <v>2.0</v>
      </c>
    </row>
    <row r="20">
      <c r="A20" s="11" t="s">
        <v>19</v>
      </c>
      <c r="B20" s="12">
        <v>45034.0</v>
      </c>
      <c r="C20" s="69">
        <v>1.0</v>
      </c>
      <c r="O20" s="11" t="s">
        <v>19</v>
      </c>
      <c r="P20" s="12">
        <v>45034.0</v>
      </c>
      <c r="Q20" s="69">
        <v>1.5</v>
      </c>
    </row>
    <row r="21">
      <c r="A21" s="11" t="s">
        <v>20</v>
      </c>
      <c r="B21" s="12">
        <v>45035.0</v>
      </c>
      <c r="C21" s="69">
        <v>1.0</v>
      </c>
      <c r="O21" s="11" t="s">
        <v>20</v>
      </c>
      <c r="P21" s="12">
        <v>45035.0</v>
      </c>
      <c r="Q21" s="69">
        <v>2.0</v>
      </c>
    </row>
    <row r="22">
      <c r="A22" s="11" t="s">
        <v>22</v>
      </c>
      <c r="B22" s="12">
        <v>45036.0</v>
      </c>
      <c r="C22" s="69">
        <v>1.0</v>
      </c>
      <c r="O22" s="11" t="s">
        <v>22</v>
      </c>
      <c r="P22" s="12">
        <v>45036.0</v>
      </c>
      <c r="Q22" s="69">
        <v>0.0</v>
      </c>
    </row>
    <row r="23">
      <c r="A23" s="74" t="s">
        <v>23</v>
      </c>
      <c r="B23" s="75">
        <v>45037.0</v>
      </c>
      <c r="C23" s="78">
        <v>1.0</v>
      </c>
      <c r="O23" s="74" t="s">
        <v>23</v>
      </c>
      <c r="P23" s="75">
        <v>45037.0</v>
      </c>
      <c r="Q23" s="78">
        <v>1.0</v>
      </c>
    </row>
    <row r="24">
      <c r="A24" s="11" t="s">
        <v>27</v>
      </c>
      <c r="B24" s="12">
        <v>45038.0</v>
      </c>
      <c r="C24" s="80">
        <v>1.0</v>
      </c>
      <c r="O24" s="11" t="s">
        <v>27</v>
      </c>
      <c r="P24" s="12">
        <v>45038.0</v>
      </c>
      <c r="Q24" s="80">
        <v>1.0</v>
      </c>
    </row>
    <row r="25">
      <c r="A25" s="11" t="s">
        <v>15</v>
      </c>
      <c r="B25" s="12">
        <v>45039.0</v>
      </c>
      <c r="C25" s="69">
        <v>0.0</v>
      </c>
      <c r="O25" s="11" t="s">
        <v>15</v>
      </c>
      <c r="P25" s="12">
        <v>45039.0</v>
      </c>
      <c r="Q25" s="69">
        <v>1.0</v>
      </c>
    </row>
    <row r="26">
      <c r="A26" s="11" t="s">
        <v>16</v>
      </c>
      <c r="B26" s="12">
        <v>45040.0</v>
      </c>
      <c r="C26" s="69">
        <v>1.0</v>
      </c>
      <c r="O26" s="11" t="s">
        <v>16</v>
      </c>
      <c r="P26" s="12">
        <v>45040.0</v>
      </c>
      <c r="Q26" s="69">
        <v>0.0</v>
      </c>
    </row>
    <row r="27">
      <c r="A27" s="11" t="s">
        <v>19</v>
      </c>
      <c r="B27" s="12">
        <v>45041.0</v>
      </c>
      <c r="C27" s="69">
        <v>1.0</v>
      </c>
      <c r="O27" s="11" t="s">
        <v>19</v>
      </c>
      <c r="P27" s="12">
        <v>45041.0</v>
      </c>
      <c r="Q27" s="69">
        <v>0.0</v>
      </c>
    </row>
    <row r="28">
      <c r="A28" s="11" t="s">
        <v>20</v>
      </c>
      <c r="B28" s="12">
        <v>45042.0</v>
      </c>
      <c r="C28" s="69">
        <v>1.0</v>
      </c>
      <c r="O28" s="11" t="s">
        <v>20</v>
      </c>
      <c r="P28" s="12">
        <v>45042.0</v>
      </c>
      <c r="Q28" s="69">
        <v>0.0</v>
      </c>
    </row>
    <row r="29">
      <c r="A29" s="11" t="s">
        <v>22</v>
      </c>
      <c r="B29" s="12">
        <v>45043.0</v>
      </c>
      <c r="C29" s="69">
        <v>1.0</v>
      </c>
      <c r="O29" s="11" t="s">
        <v>22</v>
      </c>
      <c r="P29" s="12">
        <v>45043.0</v>
      </c>
      <c r="Q29" s="69">
        <v>0.0</v>
      </c>
    </row>
    <row r="30">
      <c r="A30" s="74" t="s">
        <v>23</v>
      </c>
      <c r="B30" s="75">
        <v>45044.0</v>
      </c>
      <c r="C30" s="76">
        <v>1.0</v>
      </c>
      <c r="O30" s="74" t="s">
        <v>23</v>
      </c>
      <c r="P30" s="75">
        <v>45044.0</v>
      </c>
      <c r="Q30" s="76">
        <v>1.0</v>
      </c>
    </row>
    <row r="31">
      <c r="A31" s="11" t="s">
        <v>27</v>
      </c>
      <c r="B31" s="12">
        <v>45045.0</v>
      </c>
      <c r="C31" s="69">
        <v>1.0</v>
      </c>
      <c r="O31" s="11" t="s">
        <v>27</v>
      </c>
      <c r="P31" s="12">
        <v>45045.0</v>
      </c>
      <c r="Q31" s="69">
        <v>0.0</v>
      </c>
    </row>
    <row r="32">
      <c r="A32" s="11" t="s">
        <v>15</v>
      </c>
      <c r="B32" s="12">
        <v>45046.0</v>
      </c>
      <c r="C32" s="69">
        <v>1.0</v>
      </c>
      <c r="O32" s="11" t="s">
        <v>15</v>
      </c>
      <c r="P32" s="12">
        <v>45046.0</v>
      </c>
      <c r="Q32" s="69">
        <v>0.0</v>
      </c>
    </row>
    <row r="33">
      <c r="C33" s="85">
        <f>SUM(C3:C32)</f>
        <v>24</v>
      </c>
      <c r="Q33" s="85">
        <f>SUM(Q3:Q32)</f>
        <v>12.5</v>
      </c>
    </row>
    <row r="34">
      <c r="C34" s="88">
        <v>1077.0</v>
      </c>
      <c r="Q34" s="88">
        <v>1077.0</v>
      </c>
    </row>
    <row r="35">
      <c r="C35" s="147">
        <f>C34*C33</f>
        <v>25848</v>
      </c>
      <c r="Q35" s="94">
        <f>Q34*Q33</f>
        <v>13462.5</v>
      </c>
    </row>
    <row r="36">
      <c r="C36" s="148">
        <v>24912.0</v>
      </c>
      <c r="Q36" s="149">
        <v>12975.0</v>
      </c>
    </row>
    <row r="85">
      <c r="F85" s="1"/>
      <c r="G85" s="2" t="s">
        <v>0</v>
      </c>
      <c r="H85" s="4" t="s">
        <v>56</v>
      </c>
    </row>
    <row r="86">
      <c r="F86" s="11" t="s">
        <v>14</v>
      </c>
      <c r="G86" s="12">
        <v>45017.0</v>
      </c>
      <c r="H86" s="69">
        <v>1.0</v>
      </c>
    </row>
    <row r="87">
      <c r="F87" s="11" t="s">
        <v>15</v>
      </c>
      <c r="G87" s="12">
        <v>45018.0</v>
      </c>
      <c r="H87" s="69">
        <v>1.0</v>
      </c>
    </row>
    <row r="88">
      <c r="F88" s="11" t="s">
        <v>16</v>
      </c>
      <c r="G88" s="12">
        <v>45019.0</v>
      </c>
      <c r="H88" s="69">
        <v>1.0</v>
      </c>
    </row>
    <row r="89">
      <c r="F89" s="11" t="s">
        <v>19</v>
      </c>
      <c r="G89" s="12">
        <v>45020.0</v>
      </c>
      <c r="H89" s="69">
        <v>1.0</v>
      </c>
    </row>
    <row r="90">
      <c r="F90" s="11" t="s">
        <v>20</v>
      </c>
      <c r="G90" s="12">
        <v>45021.0</v>
      </c>
      <c r="H90" s="69">
        <v>1.0</v>
      </c>
    </row>
    <row r="91">
      <c r="F91" s="11" t="s">
        <v>22</v>
      </c>
      <c r="G91" s="12">
        <v>45022.0</v>
      </c>
      <c r="H91" s="69">
        <v>1.0</v>
      </c>
    </row>
    <row r="92">
      <c r="F92" s="74" t="s">
        <v>23</v>
      </c>
      <c r="G92" s="75">
        <v>45023.0</v>
      </c>
      <c r="H92" s="76">
        <v>1.0</v>
      </c>
    </row>
    <row r="93">
      <c r="F93" s="11" t="s">
        <v>27</v>
      </c>
      <c r="G93" s="12">
        <v>45024.0</v>
      </c>
      <c r="H93" s="69">
        <v>1.0</v>
      </c>
    </row>
    <row r="94">
      <c r="F94" s="11" t="s">
        <v>15</v>
      </c>
      <c r="G94" s="12">
        <v>45025.0</v>
      </c>
      <c r="H94" s="69">
        <v>1.0</v>
      </c>
    </row>
    <row r="95">
      <c r="F95" s="11" t="s">
        <v>16</v>
      </c>
      <c r="G95" s="12">
        <v>45026.0</v>
      </c>
      <c r="H95" s="69">
        <v>1.0</v>
      </c>
    </row>
    <row r="96">
      <c r="F96" s="11" t="s">
        <v>19</v>
      </c>
      <c r="G96" s="12">
        <v>45027.0</v>
      </c>
      <c r="H96" s="69">
        <v>1.0</v>
      </c>
    </row>
    <row r="97">
      <c r="F97" s="11" t="s">
        <v>20</v>
      </c>
      <c r="G97" s="12">
        <v>45028.0</v>
      </c>
      <c r="H97" s="69">
        <v>1.0</v>
      </c>
    </row>
    <row r="98">
      <c r="F98" s="11" t="s">
        <v>22</v>
      </c>
      <c r="G98" s="12">
        <v>45029.0</v>
      </c>
      <c r="H98" s="69">
        <v>1.0</v>
      </c>
    </row>
    <row r="99">
      <c r="F99" s="74" t="s">
        <v>23</v>
      </c>
      <c r="G99" s="75">
        <v>45030.0</v>
      </c>
      <c r="H99" s="76">
        <v>1.0</v>
      </c>
    </row>
    <row r="100">
      <c r="F100" s="11" t="s">
        <v>27</v>
      </c>
      <c r="G100" s="12">
        <v>45031.0</v>
      </c>
      <c r="H100" s="69">
        <v>1.0</v>
      </c>
    </row>
    <row r="101">
      <c r="F101" s="11" t="s">
        <v>15</v>
      </c>
      <c r="G101" s="12">
        <v>45032.0</v>
      </c>
      <c r="H101" s="69">
        <v>1.0</v>
      </c>
    </row>
    <row r="102">
      <c r="F102" s="11" t="s">
        <v>16</v>
      </c>
      <c r="G102" s="12">
        <v>45033.0</v>
      </c>
      <c r="H102" s="69">
        <v>1.0</v>
      </c>
    </row>
    <row r="103">
      <c r="F103" s="11" t="s">
        <v>19</v>
      </c>
      <c r="G103" s="12">
        <v>45034.0</v>
      </c>
      <c r="H103" s="69">
        <v>1.0</v>
      </c>
    </row>
    <row r="104">
      <c r="F104" s="11" t="s">
        <v>20</v>
      </c>
      <c r="G104" s="12">
        <v>45035.0</v>
      </c>
      <c r="H104" s="69">
        <v>0.0</v>
      </c>
    </row>
    <row r="105">
      <c r="F105" s="11" t="s">
        <v>22</v>
      </c>
      <c r="G105" s="12">
        <v>45036.0</v>
      </c>
      <c r="H105" s="69">
        <v>0.0</v>
      </c>
    </row>
    <row r="106">
      <c r="F106" s="74" t="s">
        <v>23</v>
      </c>
      <c r="G106" s="75">
        <v>45037.0</v>
      </c>
      <c r="H106" s="78">
        <v>1.0</v>
      </c>
    </row>
    <row r="107">
      <c r="F107" s="11" t="s">
        <v>27</v>
      </c>
      <c r="G107" s="12">
        <v>45038.0</v>
      </c>
      <c r="H107" s="80">
        <v>1.0</v>
      </c>
    </row>
    <row r="108">
      <c r="F108" s="11" t="s">
        <v>15</v>
      </c>
      <c r="G108" s="12">
        <v>45039.0</v>
      </c>
      <c r="H108" s="69">
        <v>0.0</v>
      </c>
    </row>
    <row r="109">
      <c r="F109" s="11" t="s">
        <v>16</v>
      </c>
      <c r="G109" s="12">
        <v>45040.0</v>
      </c>
      <c r="H109" s="69">
        <v>1.0</v>
      </c>
    </row>
    <row r="110">
      <c r="F110" s="11" t="s">
        <v>19</v>
      </c>
      <c r="G110" s="12">
        <v>45041.0</v>
      </c>
      <c r="H110" s="69">
        <v>1.0</v>
      </c>
    </row>
    <row r="111">
      <c r="F111" s="11" t="s">
        <v>20</v>
      </c>
      <c r="G111" s="12">
        <v>45042.0</v>
      </c>
      <c r="H111" s="69">
        <v>0.0</v>
      </c>
    </row>
    <row r="112">
      <c r="F112" s="11" t="s">
        <v>22</v>
      </c>
      <c r="G112" s="12">
        <v>45043.0</v>
      </c>
      <c r="H112" s="69">
        <v>0.0</v>
      </c>
    </row>
    <row r="113">
      <c r="F113" s="74" t="s">
        <v>23</v>
      </c>
      <c r="G113" s="75">
        <v>45044.0</v>
      </c>
      <c r="H113" s="76">
        <v>1.0</v>
      </c>
    </row>
    <row r="114">
      <c r="F114" s="11" t="s">
        <v>27</v>
      </c>
      <c r="G114" s="12">
        <v>45045.0</v>
      </c>
      <c r="H114" s="69">
        <v>1.0</v>
      </c>
    </row>
    <row r="115">
      <c r="F115" s="11" t="s">
        <v>15</v>
      </c>
      <c r="G115" s="12">
        <v>45046.0</v>
      </c>
      <c r="H115" s="69">
        <v>1.0</v>
      </c>
    </row>
    <row r="116">
      <c r="H116" s="85">
        <f>SUM(H86:H115)</f>
        <v>25</v>
      </c>
    </row>
    <row r="117">
      <c r="H117" s="89">
        <v>1000.0</v>
      </c>
    </row>
    <row r="118">
      <c r="H118" s="95">
        <f>H117*H116</f>
        <v>25000</v>
      </c>
    </row>
    <row r="119">
      <c r="H119" s="10"/>
    </row>
  </sheetData>
  <drawing r:id="rId1"/>
</worksheet>
</file>