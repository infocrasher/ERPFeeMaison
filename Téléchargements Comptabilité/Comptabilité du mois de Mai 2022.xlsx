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 " sheetId="3" r:id="rId6"/>
    <sheet state="visible" name="Salaire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<sst xmlns="http://schemas.openxmlformats.org/spreadsheetml/2006/main" count="611" uniqueCount="390">
  <si>
    <t>Date</t>
  </si>
  <si>
    <t>Recette d'Avril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</si>
  <si>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</si>
  <si>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</si>
  <si>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</si>
  <si>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</si>
  <si>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</si>
  <si>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</si>
  <si>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</si>
  <si>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Avril</t>
  </si>
  <si>
    <t>Bénéfice Moyen par jour</t>
  </si>
  <si>
    <t xml:space="preserve">Moyenne </t>
  </si>
  <si>
    <t>Dimanche</t>
  </si>
  <si>
    <t>Lundi</t>
  </si>
  <si>
    <t>Mardi</t>
  </si>
  <si>
    <t xml:space="preserve">Moyenne des charges par jour </t>
  </si>
  <si>
    <t xml:space="preserve">Objectif </t>
  </si>
  <si>
    <t>Mercredi</t>
  </si>
  <si>
    <t>Jeudi</t>
  </si>
  <si>
    <t>²</t>
  </si>
  <si>
    <t>Vendredi</t>
  </si>
  <si>
    <t>Samedi</t>
  </si>
  <si>
    <t xml:space="preserve">Cash restant </t>
  </si>
  <si>
    <t>Magasin</t>
  </si>
  <si>
    <t>caisse</t>
  </si>
  <si>
    <t>Sousou+islem+ hayet</t>
  </si>
  <si>
    <t>islem</t>
  </si>
  <si>
    <t>Hayet</t>
  </si>
  <si>
    <t xml:space="preserve"> </t>
  </si>
  <si>
    <t>cliente</t>
  </si>
  <si>
    <t>1000+4000+(12*300)+1000+5000+(3*500)</t>
  </si>
  <si>
    <t>loyer</t>
  </si>
  <si>
    <t xml:space="preserve">caissse réelle </t>
  </si>
  <si>
    <t>pétrin+ four</t>
  </si>
  <si>
    <t>75000+145000</t>
  </si>
  <si>
    <t>Rest Bénifice Avril</t>
  </si>
  <si>
    <t>Différence mois de Février</t>
  </si>
  <si>
    <t>Sofiane messerouf</t>
  </si>
  <si>
    <t>Sofiane les pneus</t>
  </si>
  <si>
    <t xml:space="preserve">Différence objectif </t>
  </si>
  <si>
    <t>Amel analyses et echo</t>
  </si>
  <si>
    <t>Chèque +cash</t>
  </si>
  <si>
    <t xml:space="preserve">sofiane fare + tolier </t>
  </si>
  <si>
    <t xml:space="preserve">Les vendredis </t>
  </si>
  <si>
    <t>Totale bénifice Avril</t>
  </si>
  <si>
    <t>Cash réel</t>
  </si>
  <si>
    <t>rest à payer</t>
  </si>
  <si>
    <t>Mois de Mars</t>
  </si>
  <si>
    <t>Produit</t>
  </si>
  <si>
    <t>Quantité</t>
  </si>
  <si>
    <t xml:space="preserve">Prix unitaire </t>
  </si>
  <si>
    <t>Prix</t>
  </si>
  <si>
    <t>Date d'achat</t>
  </si>
  <si>
    <t>Boites 48/10</t>
  </si>
  <si>
    <t>shewepess canette</t>
  </si>
  <si>
    <t>Coca canette</t>
  </si>
  <si>
    <t xml:space="preserve">Coca bouteille </t>
  </si>
  <si>
    <t>Ifruit 33cl</t>
  </si>
  <si>
    <t>Rouiba 33cl</t>
  </si>
  <si>
    <t>Hamoud</t>
  </si>
  <si>
    <t>Pepsi</t>
  </si>
  <si>
    <t xml:space="preserve">Arome Maa zehar </t>
  </si>
  <si>
    <t>semoule fine Sa7el 10kg</t>
  </si>
  <si>
    <t xml:space="preserve">36 sachets </t>
  </si>
  <si>
    <t>Amandes blanc</t>
  </si>
  <si>
    <t>20kg</t>
  </si>
  <si>
    <t xml:space="preserve">miel mordjane </t>
  </si>
  <si>
    <t>ka3ek nakach</t>
  </si>
  <si>
    <t xml:space="preserve">3arayech + mechekela </t>
  </si>
  <si>
    <t>plateaux d'oeuf</t>
  </si>
  <si>
    <t xml:space="preserve">deyoul </t>
  </si>
  <si>
    <t xml:space="preserve">sucre glace </t>
  </si>
  <si>
    <t>1 fardeau</t>
  </si>
  <si>
    <t xml:space="preserve">maa zehar </t>
  </si>
  <si>
    <t xml:space="preserve">1 carton </t>
  </si>
  <si>
    <t xml:space="preserve">rechta </t>
  </si>
  <si>
    <t xml:space="preserve">50 kg </t>
  </si>
  <si>
    <t>boites transparents 500cc</t>
  </si>
  <si>
    <t>1 fardeau de 100</t>
  </si>
  <si>
    <t>boites transparents 750cc</t>
  </si>
  <si>
    <t>noix</t>
  </si>
  <si>
    <t xml:space="preserve">1 carton de 1kg </t>
  </si>
  <si>
    <t>Lait en Poudre</t>
  </si>
  <si>
    <t>1 sachet de 25kg/10kg</t>
  </si>
  <si>
    <t>Maizina</t>
  </si>
  <si>
    <t>1 sachet de 25kg</t>
  </si>
  <si>
    <t>Semoule Fine Mama 2kg</t>
  </si>
  <si>
    <t>10 fardeau de 12kg</t>
  </si>
  <si>
    <t xml:space="preserve">3akeri </t>
  </si>
  <si>
    <t>02 kg</t>
  </si>
  <si>
    <t>Leuvre de Bièrre 500g la boite</t>
  </si>
  <si>
    <t>2 boites de 500g</t>
  </si>
  <si>
    <t>semoule SIM moyenne 5kg</t>
  </si>
  <si>
    <t>07 sachets</t>
  </si>
  <si>
    <t>semoule fine SIM 5kg</t>
  </si>
  <si>
    <t>15 sachets</t>
  </si>
  <si>
    <t>margarine fleurial 500g barquette</t>
  </si>
  <si>
    <t>Semen Madina 1,8kg</t>
  </si>
  <si>
    <t>1 cartons</t>
  </si>
  <si>
    <t>Magarine fleurial 250g</t>
  </si>
  <si>
    <t xml:space="preserve">ELIO 2 litres </t>
  </si>
  <si>
    <t xml:space="preserve">18 fardeaux </t>
  </si>
  <si>
    <t>Sucre 10kg</t>
  </si>
  <si>
    <t>Eau minirale lala khedidja 1.5l</t>
  </si>
  <si>
    <t>Eau minirale lala khedidja 0.5l</t>
  </si>
  <si>
    <t>semoule Amor Ben Amor 25kg</t>
  </si>
  <si>
    <t>Semoule Sosemie moyenne 10kg</t>
  </si>
  <si>
    <t>SIM moyenne 10kg</t>
  </si>
  <si>
    <t>Semoule SIM moyenne 2kg</t>
  </si>
  <si>
    <t>1 fardeau de 12kg</t>
  </si>
  <si>
    <t>Farine Alama T55</t>
  </si>
  <si>
    <t xml:space="preserve"> 1 fardedeaux de 9kg</t>
  </si>
  <si>
    <t xml:space="preserve">Tomate conserve </t>
  </si>
  <si>
    <t>Farine SIM 1kg</t>
  </si>
  <si>
    <t>Semoule demie Grosse Moula  2kg</t>
  </si>
  <si>
    <t>Assila 5kg</t>
  </si>
  <si>
    <t>moule silicon</t>
  </si>
  <si>
    <t>pique enfant</t>
  </si>
  <si>
    <t>pique halfa</t>
  </si>
  <si>
    <t>Mais princesse 800 g</t>
  </si>
  <si>
    <t>vanille Baraka</t>
  </si>
  <si>
    <t>2kg /3 kg</t>
  </si>
  <si>
    <t>Mayonnaise 1kg</t>
  </si>
  <si>
    <t xml:space="preserve">5 Bouteille </t>
  </si>
  <si>
    <t>Margarine Parisienne 500g</t>
  </si>
  <si>
    <t xml:space="preserve">10 Boites </t>
  </si>
  <si>
    <t>Confiture teloise 1kg</t>
  </si>
  <si>
    <t>Vinaigre 1 litre</t>
  </si>
  <si>
    <t>Levure Chimique 100 Sachets /Boite</t>
  </si>
  <si>
    <t xml:space="preserve">2 boites </t>
  </si>
  <si>
    <t>chocolat wedjedane blanc</t>
  </si>
  <si>
    <t>6 boites de 250g</t>
  </si>
  <si>
    <t>chocolat wedjedane noir</t>
  </si>
  <si>
    <t>8 boites de 250g</t>
  </si>
  <si>
    <t>Farine Alama T45 5kg</t>
  </si>
  <si>
    <t xml:space="preserve">Maa zehar </t>
  </si>
  <si>
    <t>pate à filo 500g</t>
  </si>
  <si>
    <t>aluminium 200m</t>
  </si>
  <si>
    <t xml:space="preserve">oeufs </t>
  </si>
  <si>
    <t xml:space="preserve">3 plateaux </t>
  </si>
  <si>
    <t>sel</t>
  </si>
  <si>
    <t>3  faredaux</t>
  </si>
  <si>
    <t xml:space="preserve">Thon 2kg SETONA </t>
  </si>
  <si>
    <t>Fromage blanc issam 1.8kg</t>
  </si>
  <si>
    <t xml:space="preserve">formage spéciale pizza </t>
  </si>
  <si>
    <t>14 kg</t>
  </si>
  <si>
    <t>chocolat boudjedir 9kg</t>
  </si>
  <si>
    <t>3kg</t>
  </si>
  <si>
    <t>cheddar</t>
  </si>
  <si>
    <t>1kg</t>
  </si>
  <si>
    <t>curdent</t>
  </si>
  <si>
    <t xml:space="preserve">Portable pour magasin </t>
  </si>
  <si>
    <t xml:space="preserve">2kg </t>
  </si>
  <si>
    <t>poulet haché</t>
  </si>
  <si>
    <t>2kg</t>
  </si>
  <si>
    <t>les détergents</t>
  </si>
  <si>
    <t>/</t>
  </si>
  <si>
    <t xml:space="preserve">tomate fraiche </t>
  </si>
  <si>
    <t xml:space="preserve">salade </t>
  </si>
  <si>
    <t xml:space="preserve">fromage slices </t>
  </si>
  <si>
    <t xml:space="preserve">plateau de bakelawa </t>
  </si>
  <si>
    <t>amandes efilet</t>
  </si>
  <si>
    <t xml:space="preserve">sucre galce </t>
  </si>
  <si>
    <t>1 carton</t>
  </si>
  <si>
    <t>bessel</t>
  </si>
  <si>
    <t xml:space="preserve">4 de 5kg </t>
  </si>
  <si>
    <t xml:space="preserve">amandes blanc </t>
  </si>
  <si>
    <t xml:space="preserve">pétale wered echouch </t>
  </si>
  <si>
    <t xml:space="preserve">chocolat </t>
  </si>
  <si>
    <t>chocolat widjedane noistte 250g</t>
  </si>
  <si>
    <t xml:space="preserve">sucre glace nakhela </t>
  </si>
  <si>
    <t>cacao</t>
  </si>
  <si>
    <t xml:space="preserve">poche a douille jetable </t>
  </si>
  <si>
    <t>2.5kg</t>
  </si>
  <si>
    <t xml:space="preserve">demie cuisses </t>
  </si>
  <si>
    <t xml:space="preserve">pomme de terre </t>
  </si>
  <si>
    <t>4kg</t>
  </si>
  <si>
    <t>kheyar+ carotte + petit pois + haricot vert</t>
  </si>
  <si>
    <t>1+1+1+1</t>
  </si>
  <si>
    <t>épinard+ persil+ coriandre + menth</t>
  </si>
  <si>
    <t>olive</t>
  </si>
  <si>
    <t xml:space="preserve">mélange </t>
  </si>
  <si>
    <t>boites 08 et 24</t>
  </si>
  <si>
    <t>barquettes 1065+ boites leben</t>
  </si>
  <si>
    <t>25+15</t>
  </si>
  <si>
    <t>10kg</t>
  </si>
  <si>
    <t>éscalope</t>
  </si>
  <si>
    <t xml:space="preserve">14 tranches </t>
  </si>
  <si>
    <t xml:space="preserve">cuisses entiers </t>
  </si>
  <si>
    <t>blanc de poulet</t>
  </si>
  <si>
    <t>500g</t>
  </si>
  <si>
    <t>courgette + navet+ carotte +pomme de terre</t>
  </si>
  <si>
    <t>1+1+1+</t>
  </si>
  <si>
    <t>javel+isis+lave sol</t>
  </si>
  <si>
    <t xml:space="preserve">kheyar </t>
  </si>
  <si>
    <t xml:space="preserve">tomate </t>
  </si>
  <si>
    <t>hamissa</t>
  </si>
  <si>
    <t>poivre</t>
  </si>
  <si>
    <t>fromage</t>
  </si>
  <si>
    <t xml:space="preserve">crème légère </t>
  </si>
  <si>
    <t>orgonza dorée</t>
  </si>
  <si>
    <t>orgonza silofane</t>
  </si>
  <si>
    <t>orgonza 5.5</t>
  </si>
  <si>
    <t>feuille d'or</t>
  </si>
  <si>
    <t>levure boulangère</t>
  </si>
  <si>
    <t>djeldjelan</t>
  </si>
  <si>
    <t xml:space="preserve">1.5kg </t>
  </si>
  <si>
    <t xml:space="preserve">olive </t>
  </si>
  <si>
    <t>500g*3</t>
  </si>
  <si>
    <t xml:space="preserve">poivre+ tomate cerise </t>
  </si>
  <si>
    <t>3+2</t>
  </si>
  <si>
    <t>250+150</t>
  </si>
  <si>
    <t xml:space="preserve">épinard + persil </t>
  </si>
  <si>
    <t>5+5</t>
  </si>
  <si>
    <t>1,5kg</t>
  </si>
  <si>
    <t>Thon 2kg Ricamar</t>
  </si>
  <si>
    <t xml:space="preserve">fromage bidon 2.2 kg </t>
  </si>
  <si>
    <t xml:space="preserve">fromage spécial pizza </t>
  </si>
  <si>
    <t>2.57kg</t>
  </si>
  <si>
    <t xml:space="preserve">chocolat au lait widjedane </t>
  </si>
  <si>
    <t xml:space="preserve">chcolat noisette widjedane </t>
  </si>
  <si>
    <t xml:space="preserve">huile Elio 5 litres </t>
  </si>
  <si>
    <t>593.25</t>
  </si>
  <si>
    <t>2 cartons</t>
  </si>
  <si>
    <t>margarine fleurial 250g</t>
  </si>
  <si>
    <t>1 carton de 40 pièces</t>
  </si>
  <si>
    <t>orgonza</t>
  </si>
  <si>
    <t xml:space="preserve">décoration </t>
  </si>
  <si>
    <t>40kg</t>
  </si>
  <si>
    <t xml:space="preserve">poulet haché et blanc de poulet </t>
  </si>
  <si>
    <t xml:space="preserve">6.5kg </t>
  </si>
  <si>
    <t>4 plateaux</t>
  </si>
  <si>
    <t>viande hachéé</t>
  </si>
  <si>
    <t>800g</t>
  </si>
  <si>
    <t xml:space="preserve">épinards + persil+ thym + celrie </t>
  </si>
  <si>
    <t>5+2+1+1</t>
  </si>
  <si>
    <t>carrote et navet</t>
  </si>
  <si>
    <t>500g+500g</t>
  </si>
  <si>
    <t>haricot vert</t>
  </si>
  <si>
    <t>700g</t>
  </si>
  <si>
    <t>poivre et poivron</t>
  </si>
  <si>
    <t>1+1</t>
  </si>
  <si>
    <t xml:space="preserve">courgette+ pomme de terre </t>
  </si>
  <si>
    <t>kheyar</t>
  </si>
  <si>
    <t xml:space="preserve">champinon </t>
  </si>
  <si>
    <t>300g</t>
  </si>
  <si>
    <t>fromage caré</t>
  </si>
  <si>
    <t>moutard</t>
  </si>
  <si>
    <t>tacos</t>
  </si>
  <si>
    <t>zehor transport</t>
  </si>
  <si>
    <t xml:space="preserve">vinigrette </t>
  </si>
  <si>
    <t>120kg</t>
  </si>
  <si>
    <t xml:space="preserve">escalope de dinde </t>
  </si>
  <si>
    <t xml:space="preserve">les assiètes et verrines </t>
  </si>
  <si>
    <t xml:space="preserve">banane </t>
  </si>
  <si>
    <t xml:space="preserve">poulet hachée + blanc de poulet </t>
  </si>
  <si>
    <t>1.5kg</t>
  </si>
  <si>
    <t xml:space="preserve">poissons </t>
  </si>
  <si>
    <t>3+1</t>
  </si>
  <si>
    <t>150+100</t>
  </si>
  <si>
    <t>café</t>
  </si>
  <si>
    <t>Barquette 1185</t>
  </si>
  <si>
    <t xml:space="preserve">pistache </t>
  </si>
  <si>
    <t>100g</t>
  </si>
  <si>
    <t>noix de cajou</t>
  </si>
  <si>
    <t>amande</t>
  </si>
  <si>
    <t xml:space="preserve">zehor transport 2 jours </t>
  </si>
  <si>
    <t>1.1kg</t>
  </si>
  <si>
    <t xml:space="preserve">légumes </t>
  </si>
  <si>
    <t>légumes dely brahim</t>
  </si>
  <si>
    <t xml:space="preserve">viande morceux </t>
  </si>
  <si>
    <t xml:space="preserve">poulet haché+ blanc de poulet </t>
  </si>
  <si>
    <t xml:space="preserve">poichiche </t>
  </si>
  <si>
    <t>mélange</t>
  </si>
  <si>
    <t>huile d'olive</t>
  </si>
  <si>
    <t xml:space="preserve">cème liquide + fromage </t>
  </si>
  <si>
    <t>1+2</t>
  </si>
  <si>
    <t>ail</t>
  </si>
  <si>
    <t>32kg</t>
  </si>
  <si>
    <t>bessel yabess</t>
  </si>
  <si>
    <t>3.5kg</t>
  </si>
  <si>
    <t>maiis</t>
  </si>
  <si>
    <t>sachets transparents</t>
  </si>
  <si>
    <t>eau lala khedidja1.5litre</t>
  </si>
  <si>
    <t>lala khedidja 0.5</t>
  </si>
  <si>
    <t>souad nakach</t>
  </si>
  <si>
    <t xml:space="preserve">olive dénoyauté </t>
  </si>
  <si>
    <t>21/05/0222</t>
  </si>
  <si>
    <t xml:space="preserve">carrote  </t>
  </si>
  <si>
    <t xml:space="preserve">tomate cerise </t>
  </si>
  <si>
    <t>olive efilet</t>
  </si>
  <si>
    <t xml:space="preserve">maiis </t>
  </si>
  <si>
    <t>flexy</t>
  </si>
  <si>
    <t>barquettes 1130</t>
  </si>
  <si>
    <t xml:space="preserve">assiettes en plastique </t>
  </si>
  <si>
    <t>fromage blanc *4</t>
  </si>
  <si>
    <t>oeuf p</t>
  </si>
  <si>
    <t>1 plateau</t>
  </si>
  <si>
    <t>oeuf</t>
  </si>
  <si>
    <t>3 plateaux</t>
  </si>
  <si>
    <t>15kg</t>
  </si>
  <si>
    <t>30kg</t>
  </si>
  <si>
    <t>5kg</t>
  </si>
  <si>
    <t>viande hachée</t>
  </si>
  <si>
    <t xml:space="preserve">isis + javel moussant </t>
  </si>
  <si>
    <t>couteau</t>
  </si>
  <si>
    <t xml:space="preserve">RECHTA </t>
  </si>
  <si>
    <t xml:space="preserve">semoule blé complet+ farine blé complet </t>
  </si>
  <si>
    <t>/+5kg</t>
  </si>
  <si>
    <t>1750+350</t>
  </si>
  <si>
    <t>détergents</t>
  </si>
  <si>
    <t>poivre et brocoli</t>
  </si>
  <si>
    <t>colorant</t>
  </si>
  <si>
    <t xml:space="preserve">viande </t>
  </si>
  <si>
    <t>90kg</t>
  </si>
  <si>
    <t>Navet +courgette</t>
  </si>
  <si>
    <t>22kg</t>
  </si>
  <si>
    <t>bocaux poichiche</t>
  </si>
  <si>
    <t>batonnet canelle</t>
  </si>
  <si>
    <t>poivre noir</t>
  </si>
  <si>
    <t>ognion</t>
  </si>
  <si>
    <t>datte</t>
  </si>
  <si>
    <t>paquets de fourchette</t>
  </si>
  <si>
    <t>les pilles</t>
  </si>
  <si>
    <t>poulet haché + blanc de poulet</t>
  </si>
  <si>
    <t>barquettes 1185</t>
  </si>
  <si>
    <t>boites raib</t>
  </si>
  <si>
    <t>25kg</t>
  </si>
  <si>
    <t xml:space="preserve">clanc de poulet </t>
  </si>
  <si>
    <t>Harrissa</t>
  </si>
  <si>
    <t xml:space="preserve">isis  </t>
  </si>
  <si>
    <t>tomate fraiche + kheyar</t>
  </si>
  <si>
    <t>herebes</t>
  </si>
  <si>
    <t>citron</t>
  </si>
  <si>
    <t>les charges Mois de Juin</t>
  </si>
  <si>
    <t>Zehor</t>
  </si>
  <si>
    <t>Soumia</t>
  </si>
  <si>
    <t xml:space="preserve">Nadjet </t>
  </si>
  <si>
    <t>Hadjer</t>
  </si>
  <si>
    <t>djamila</t>
  </si>
  <si>
    <t xml:space="preserve">Mounia </t>
  </si>
  <si>
    <t xml:space="preserve">Chiraz </t>
  </si>
  <si>
    <t>Yousera</t>
  </si>
  <si>
    <t>Nafissa</t>
  </si>
  <si>
    <t xml:space="preserve">Samira </t>
  </si>
  <si>
    <t>Hafidha</t>
  </si>
  <si>
    <t xml:space="preserve">Wahiba </t>
  </si>
  <si>
    <t>Zahida</t>
  </si>
  <si>
    <t>youssera djate a 09h les filles khalitehom yokheredjou à 14h30</t>
  </si>
  <si>
    <t xml:space="preserve">youssera djate à 09h mounia à 10h les filles à 10h30 kharedjou 14h30 sans permission </t>
  </si>
  <si>
    <t xml:space="preserve">hadjer djate à 09h kharedjet à 09h30 3awedet welate à 15h khardjet à 18h </t>
  </si>
  <si>
    <t>les filles dakhelou à 09h kharedjou 15h30</t>
  </si>
  <si>
    <t xml:space="preserve">les filles dakhelou à 09h et Mounia 09h30 kharedjou à 15h makach khadema </t>
  </si>
  <si>
    <t>zehor djate à 11h30, soumeya 08h45, youssera 09h10 et kharedjou à 15h30 autorisées</t>
  </si>
  <si>
    <t xml:space="preserve">soumeya et dakhlou à 08h30 et mounia à 13h </t>
  </si>
  <si>
    <t>soumia djate à08h40 youssera 09h, Mounia 09h15 Mounia avait la télécomande donc dakhelou kaaamel à 09h15</t>
  </si>
  <si>
    <t>les filles djaw à 09h et ma kharedjouch les salés sauf mini pizzas + poulet avarié</t>
  </si>
  <si>
    <t>Totale</t>
  </si>
  <si>
    <t xml:space="preserve">Nom </t>
  </si>
  <si>
    <t>Avance</t>
  </si>
  <si>
    <t xml:space="preserve">Salaire à payer </t>
  </si>
  <si>
    <t>6000+2000+2400+2000+1000+10400</t>
  </si>
  <si>
    <t>Nadjet</t>
  </si>
  <si>
    <t>2000+1200</t>
  </si>
  <si>
    <t>1000+17000</t>
  </si>
  <si>
    <t>Djamila</t>
  </si>
  <si>
    <t>Mounia</t>
  </si>
  <si>
    <t>1500+15500</t>
  </si>
  <si>
    <t>1000+1000+19500</t>
  </si>
  <si>
    <t>Hafida</t>
  </si>
  <si>
    <t>7000+2000+5000+11200</t>
  </si>
  <si>
    <t>Samira</t>
  </si>
  <si>
    <t>4000+3000+11500</t>
  </si>
  <si>
    <t>Youssera</t>
  </si>
  <si>
    <t>2000+20000</t>
  </si>
  <si>
    <t>Chiraz</t>
  </si>
  <si>
    <t>Wahiba</t>
  </si>
  <si>
    <t>1500+10000</t>
  </si>
  <si>
    <t xml:space="preserve">1500da pour souhila </t>
  </si>
  <si>
    <t xml:space="preserve">Zahida </t>
  </si>
  <si>
    <t>3000+25800</t>
  </si>
  <si>
    <t>TOTAL</t>
  </si>
  <si>
    <t xml:space="preserve">Mois de Janvier </t>
  </si>
  <si>
    <t>Mois de Février</t>
  </si>
  <si>
    <t>Mois d'Avril</t>
  </si>
  <si>
    <t xml:space="preserve">Mois de Mai </t>
  </si>
  <si>
    <t>Salaires</t>
  </si>
  <si>
    <t xml:space="preserve">Profit Net </t>
  </si>
  <si>
    <t>Moyenne / jour</t>
  </si>
  <si>
    <t>Moyenne réelle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</si>
</sst>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.m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color rgb="FF000000"/>
      <name val="Arial"/>
    </font>
    <font>
      <b/>
      <sz val="14.0"/>
      <color rgb="FFFF0000"/>
      <name val="Arial"/>
    </font>
    <font>
      <b/>
      <sz val="14.0"/>
      <color rgb="FFFFFF00"/>
      <name val="Arial"/>
    </font>
    <font>
      <b/>
      <sz val="18.0"/>
      <color theme="1"/>
      <name val="Arial"/>
    </font>
    <font>
      <sz val="14.0"/>
      <color theme="1"/>
      <name val="Arial"/>
      <scheme val="minor"/>
    </font>
    <font>
      <sz val="18.0"/>
      <color theme="1"/>
      <name val="Arial"/>
      <scheme val="minor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rgb="FFFF00FF"/>
      <name val="Arial"/>
    </font>
    <font>
      <sz val="14.0"/>
      <color rgb="FF434343"/>
      <name val="Arial"/>
    </font>
    <font>
      <b/>
      <sz val="14.0"/>
      <color rgb="FF1C4587"/>
      <name val="Arial"/>
    </font>
    <font>
      <sz val="1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0" fillId="6" fontId="2" numFmtId="0" xfId="0" applyAlignment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0" fillId="3" fontId="3" numFmtId="165" xfId="0" applyAlignment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7" fontId="2" numFmtId="0" xfId="0" applyAlignment="1" applyFill="1" applyFont="1">
      <alignment horizontal="center" vertical="bottom"/>
    </xf>
    <xf borderId="0" fillId="7" fontId="2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7" fontId="2" numFmtId="0" xfId="0" applyAlignment="1" applyBorder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/>
    </xf>
    <xf borderId="1" fillId="8" fontId="2" numFmtId="0" xfId="0" applyAlignment="1" applyBorder="1" applyFill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3" fontId="6" numFmtId="0" xfId="0" applyAlignment="1" applyFont="1">
      <alignment horizontal="left" readingOrder="0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0" fillId="3" fontId="1" numFmtId="165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6" fontId="7" numFmtId="165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9" fontId="8" numFmtId="0" xfId="0" applyAlignment="1" applyFill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0" fillId="0" fontId="4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1" fillId="9" fontId="3" numFmtId="0" xfId="0" applyAlignment="1" applyBorder="1" applyFont="1">
      <alignment horizontal="center" vertical="bottom"/>
    </xf>
    <xf borderId="1" fillId="9" fontId="2" numFmtId="165" xfId="0" applyAlignment="1" applyBorder="1" applyFont="1" applyNumberFormat="1">
      <alignment horizontal="center" vertical="bottom"/>
    </xf>
    <xf borderId="1" fillId="10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7" fontId="9" numFmtId="0" xfId="0" applyAlignment="1" applyFont="1">
      <alignment horizontal="center" vertical="bottom"/>
    </xf>
    <xf borderId="1" fillId="7" fontId="9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3" fontId="3" numFmtId="166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4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readingOrder="0"/>
    </xf>
    <xf borderId="1" fillId="5" fontId="10" numFmtId="165" xfId="0" applyAlignment="1" applyBorder="1" applyFont="1" applyNumberFormat="1">
      <alignment horizontal="center" readingOrder="0"/>
    </xf>
    <xf borderId="1" fillId="5" fontId="10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165" xfId="0" applyAlignment="1" applyBorder="1" applyFont="1" applyNumberFormat="1">
      <alignment horizontal="center" readingOrder="0"/>
    </xf>
    <xf borderId="1" fillId="0" fontId="10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/>
    </xf>
    <xf borderId="1" fillId="0" fontId="10" numFmtId="165" xfId="0" applyAlignment="1" applyBorder="1" applyFont="1" applyNumberFormat="1">
      <alignment horizontal="center"/>
    </xf>
    <xf borderId="1" fillId="0" fontId="5" numFmtId="0" xfId="0" applyBorder="1" applyFont="1"/>
    <xf borderId="1" fillId="0" fontId="11" numFmtId="165" xfId="0" applyBorder="1" applyFont="1" applyNumberFormat="1"/>
    <xf borderId="0" fillId="2" fontId="2" numFmtId="0" xfId="0" applyAlignment="1" applyFont="1">
      <alignment horizontal="center" vertical="bottom"/>
    </xf>
    <xf borderId="1" fillId="3" fontId="12" numFmtId="0" xfId="0" applyAlignment="1" applyBorder="1" applyFont="1">
      <alignment horizontal="center" readingOrder="0" vertical="bottom"/>
    </xf>
    <xf borderId="1" fillId="3" fontId="13" numFmtId="0" xfId="0" applyAlignment="1" applyBorder="1" applyFont="1">
      <alignment horizontal="center" readingOrder="0" vertical="bottom"/>
    </xf>
    <xf borderId="1" fillId="7" fontId="12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1" fillId="7" fontId="4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bottom"/>
    </xf>
    <xf borderId="1" fillId="3" fontId="14" numFmtId="0" xfId="0" applyAlignment="1" applyBorder="1" applyFont="1">
      <alignment horizontal="center" readingOrder="0" vertical="bottom"/>
    </xf>
    <xf borderId="1" fillId="7" fontId="14" numFmtId="0" xfId="0" applyAlignment="1" applyBorder="1" applyFont="1">
      <alignment horizontal="center" readingOrder="0" vertical="bottom"/>
    </xf>
    <xf borderId="1" fillId="3" fontId="15" numFmtId="165" xfId="0" applyAlignment="1" applyBorder="1" applyFont="1" applyNumberFormat="1">
      <alignment horizontal="center" vertical="bottom"/>
    </xf>
    <xf borderId="1" fillId="3" fontId="15" numFmtId="165" xfId="0" applyAlignment="1" applyBorder="1" applyFont="1" applyNumberFormat="1">
      <alignment horizontal="center" readingOrder="0" vertical="bottom"/>
    </xf>
    <xf borderId="1" fillId="7" fontId="16" numFmtId="165" xfId="0" applyAlignment="1" applyBorder="1" applyFont="1" applyNumberFormat="1">
      <alignment horizontal="center" vertical="bottom"/>
    </xf>
    <xf borderId="0" fillId="0" fontId="5" numFmtId="0" xfId="0" applyFont="1"/>
    <xf borderId="1" fillId="5" fontId="2" numFmtId="0" xfId="0" applyAlignment="1" applyBorder="1" applyFont="1">
      <alignment horizontal="center" vertical="bottom"/>
    </xf>
    <xf borderId="0" fillId="0" fontId="10" numFmtId="165" xfId="0" applyAlignment="1" applyFont="1" applyNumberFormat="1">
      <alignment readingOrder="0"/>
    </xf>
    <xf borderId="0" fillId="0" fontId="10" numFmtId="165" xfId="0" applyFont="1" applyNumberFormat="1"/>
    <xf borderId="1" fillId="0" fontId="3" numFmtId="0" xfId="0" applyAlignment="1" applyBorder="1" applyFont="1">
      <alignment horizontal="center" readingOrder="0" vertical="bottom"/>
    </xf>
    <xf borderId="1" fillId="7" fontId="17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readingOrder="0" vertical="bottom"/>
    </xf>
    <xf borderId="1" fillId="3" fontId="2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4.88"/>
    <col customWidth="1" min="4" max="4" width="20.25"/>
    <col customWidth="1" min="5" max="5" width="18.75"/>
    <col customWidth="1" min="6" max="6" width="18.25"/>
    <col customWidth="1" min="7" max="7" width="17.38"/>
    <col customWidth="1" min="8" max="8" width="20.25"/>
    <col customWidth="1" min="10" max="10" width="6.13"/>
    <col customWidth="1" min="11" max="12" width="19.13"/>
    <col customWidth="1" min="13" max="13" width="38.63"/>
    <col customWidth="1" min="14" max="14" width="23.88"/>
    <col customWidth="1" min="15" max="15" width="28.75"/>
    <col customWidth="1" min="16" max="16" width="19.0"/>
    <col customWidth="1" min="17" max="17" width="29.75"/>
    <col customWidth="1" min="18" max="18" width="33.3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1"/>
      <c r="P1" s="1"/>
      <c r="Q1" s="1"/>
    </row>
    <row r="2">
      <c r="A2" s="9" t="s">
        <v>12</v>
      </c>
      <c r="B2" s="10">
        <v>44682.0</v>
      </c>
      <c r="C2" s="11">
        <v>0.0</v>
      </c>
      <c r="D2" s="11">
        <v>40000.0</v>
      </c>
      <c r="E2" s="5"/>
      <c r="F2" s="5"/>
      <c r="G2" s="5"/>
      <c r="H2" s="5"/>
      <c r="I2" s="12">
        <v>1.0</v>
      </c>
      <c r="J2" s="13"/>
      <c r="K2" s="11">
        <v>50000.0</v>
      </c>
      <c r="L2" s="14">
        <v>0.0</v>
      </c>
      <c r="M2" s="15">
        <f>H33/I33</f>
        <v>6430.428571</v>
      </c>
      <c r="N2" s="15">
        <f>D33/I33</f>
        <v>42357.14286</v>
      </c>
      <c r="O2" s="1"/>
      <c r="P2" s="1"/>
      <c r="Q2" s="1"/>
    </row>
    <row r="3">
      <c r="A3" s="9" t="s">
        <v>13</v>
      </c>
      <c r="B3" s="10">
        <v>44683.0</v>
      </c>
      <c r="C3" s="11">
        <v>80000.0</v>
      </c>
      <c r="D3" s="11">
        <v>0.0</v>
      </c>
      <c r="E3" s="5"/>
      <c r="F3" s="5"/>
      <c r="G3" s="5"/>
      <c r="H3" s="5"/>
      <c r="I3" s="16"/>
      <c r="J3" s="13"/>
      <c r="K3" s="11">
        <v>0.0</v>
      </c>
      <c r="L3" s="17">
        <v>80000.0</v>
      </c>
      <c r="M3" s="1"/>
      <c r="N3" s="1"/>
      <c r="O3" s="1"/>
      <c r="P3" s="1"/>
      <c r="Q3" s="1"/>
    </row>
    <row r="4">
      <c r="A4" s="9" t="s">
        <v>14</v>
      </c>
      <c r="B4" s="10">
        <v>44684.0</v>
      </c>
      <c r="C4" s="11">
        <v>50000.0</v>
      </c>
      <c r="D4" s="11">
        <v>0.0</v>
      </c>
      <c r="E4" s="5"/>
      <c r="F4" s="5"/>
      <c r="G4" s="5"/>
      <c r="H4" s="5"/>
      <c r="I4" s="16"/>
      <c r="J4" s="13"/>
      <c r="K4" s="11">
        <v>0.0</v>
      </c>
      <c r="L4" s="17">
        <v>50000.0</v>
      </c>
      <c r="M4" s="18" t="s">
        <v>15</v>
      </c>
      <c r="N4" s="19" t="s">
        <v>16</v>
      </c>
      <c r="O4" s="1"/>
      <c r="P4" s="1"/>
      <c r="Q4" s="1"/>
    </row>
    <row r="5">
      <c r="A5" s="9" t="s">
        <v>17</v>
      </c>
      <c r="B5" s="10">
        <v>44685.0</v>
      </c>
      <c r="C5" s="11">
        <v>55000.0</v>
      </c>
      <c r="D5" s="11">
        <v>0.0</v>
      </c>
      <c r="E5" s="5"/>
      <c r="F5" s="5"/>
      <c r="G5" s="5"/>
      <c r="H5" s="5"/>
      <c r="I5" s="16"/>
      <c r="J5" s="13"/>
      <c r="K5" s="11">
        <v>0.0</v>
      </c>
      <c r="L5" s="17">
        <v>55000.0</v>
      </c>
      <c r="M5" s="20">
        <f>E33/I33</f>
        <v>22808.71429</v>
      </c>
      <c r="N5" s="21">
        <v>50000.0</v>
      </c>
      <c r="O5" s="1"/>
      <c r="P5" s="1"/>
      <c r="Q5" s="1"/>
    </row>
    <row r="6">
      <c r="A6" s="9" t="s">
        <v>18</v>
      </c>
      <c r="B6" s="10">
        <v>44686.0</v>
      </c>
      <c r="C6" s="11">
        <v>65000.0</v>
      </c>
      <c r="D6" s="11">
        <v>15000.0</v>
      </c>
      <c r="E6" s="5"/>
      <c r="F6" s="5"/>
      <c r="G6" s="5"/>
      <c r="H6" s="5"/>
      <c r="I6" s="12">
        <v>1.0</v>
      </c>
      <c r="J6" s="13"/>
      <c r="K6" s="11">
        <v>50000.0</v>
      </c>
      <c r="L6" s="17">
        <v>65000.0</v>
      </c>
      <c r="M6" s="22" t="s">
        <v>19</v>
      </c>
      <c r="N6" s="22"/>
      <c r="O6" s="1"/>
      <c r="P6" s="1"/>
      <c r="Q6" s="1"/>
    </row>
    <row r="7">
      <c r="A7" s="23" t="s">
        <v>20</v>
      </c>
      <c r="B7" s="24">
        <v>44687.0</v>
      </c>
      <c r="C7" s="25">
        <v>50000.0</v>
      </c>
      <c r="D7" s="25">
        <v>18000.0</v>
      </c>
      <c r="E7" s="26"/>
      <c r="F7" s="26"/>
      <c r="G7" s="26"/>
      <c r="H7" s="26"/>
      <c r="I7" s="27">
        <v>1.0</v>
      </c>
      <c r="J7" s="13"/>
      <c r="K7" s="11">
        <v>50000.0</v>
      </c>
      <c r="L7" s="17">
        <v>50000.0</v>
      </c>
      <c r="M7" s="22"/>
      <c r="N7" s="22"/>
      <c r="O7" s="1"/>
      <c r="P7" s="1"/>
      <c r="Q7" s="1"/>
    </row>
    <row r="8">
      <c r="A8" s="9" t="s">
        <v>21</v>
      </c>
      <c r="B8" s="10">
        <v>44688.0</v>
      </c>
      <c r="C8" s="11">
        <v>55000.0</v>
      </c>
      <c r="D8" s="11">
        <v>40000.0</v>
      </c>
      <c r="E8" s="5"/>
      <c r="F8" s="5"/>
      <c r="G8" s="5"/>
      <c r="H8" s="5"/>
      <c r="I8" s="12">
        <v>1.0</v>
      </c>
      <c r="J8" s="13"/>
      <c r="K8" s="11">
        <v>50000.0</v>
      </c>
      <c r="L8" s="17">
        <v>55000.0</v>
      </c>
      <c r="M8" s="28" t="s">
        <v>22</v>
      </c>
      <c r="N8" s="28" t="s">
        <v>23</v>
      </c>
      <c r="O8" s="1"/>
      <c r="P8" s="1" t="s">
        <v>24</v>
      </c>
      <c r="Q8" s="29" t="s">
        <v>25</v>
      </c>
      <c r="R8" s="30" t="s">
        <v>26</v>
      </c>
      <c r="S8" s="30" t="s">
        <v>27</v>
      </c>
    </row>
    <row r="9">
      <c r="A9" s="31" t="s">
        <v>12</v>
      </c>
      <c r="B9" s="32">
        <v>44689.0</v>
      </c>
      <c r="C9" s="33">
        <v>55000.0</v>
      </c>
      <c r="D9" s="33">
        <v>40000.0</v>
      </c>
      <c r="E9" s="34"/>
      <c r="F9" s="34"/>
      <c r="G9" s="34"/>
      <c r="H9" s="34"/>
      <c r="I9" s="35">
        <v>1.0</v>
      </c>
      <c r="J9" s="13"/>
      <c r="K9" s="11">
        <v>50000.0</v>
      </c>
      <c r="L9" s="36">
        <v>55000.0</v>
      </c>
      <c r="M9" s="37">
        <f>N11+N16+D33-N9-N12-E33-Salaire!I23</f>
        <v>558456</v>
      </c>
      <c r="N9" s="38">
        <f>P9+Q9</f>
        <v>51600</v>
      </c>
      <c r="O9" s="39"/>
      <c r="P9" s="40">
        <f>P10+P11</f>
        <v>30000</v>
      </c>
      <c r="Q9" s="41">
        <f>R9+S9</f>
        <v>21600</v>
      </c>
      <c r="R9" s="30">
        <v>16100.0</v>
      </c>
      <c r="S9" s="30">
        <v>5500.0</v>
      </c>
    </row>
    <row r="10">
      <c r="A10" s="31" t="s">
        <v>13</v>
      </c>
      <c r="B10" s="32">
        <v>44690.0</v>
      </c>
      <c r="C10" s="33">
        <v>51000.0</v>
      </c>
      <c r="D10" s="33">
        <v>50000.0</v>
      </c>
      <c r="E10" s="34"/>
      <c r="F10" s="34"/>
      <c r="G10" s="34"/>
      <c r="H10" s="34"/>
      <c r="I10" s="35">
        <v>1.0</v>
      </c>
      <c r="J10" s="13"/>
      <c r="K10" s="11">
        <v>50000.0</v>
      </c>
      <c r="L10" s="17">
        <v>51000.0</v>
      </c>
      <c r="M10" s="22"/>
      <c r="N10" s="22" t="s">
        <v>28</v>
      </c>
      <c r="O10" s="39"/>
      <c r="P10" s="42">
        <v>20000.0</v>
      </c>
      <c r="Q10" s="43" t="s">
        <v>29</v>
      </c>
      <c r="R10" s="44" t="s">
        <v>30</v>
      </c>
    </row>
    <row r="11">
      <c r="A11" s="31" t="s">
        <v>14</v>
      </c>
      <c r="B11" s="32">
        <v>44691.0</v>
      </c>
      <c r="C11" s="33">
        <v>64000.0</v>
      </c>
      <c r="D11" s="33">
        <v>94000.0</v>
      </c>
      <c r="E11" s="34"/>
      <c r="F11" s="34"/>
      <c r="G11" s="34"/>
      <c r="H11" s="34"/>
      <c r="I11" s="35">
        <v>1.0</v>
      </c>
      <c r="J11" s="13"/>
      <c r="K11" s="11">
        <v>50000.0</v>
      </c>
      <c r="L11" s="17">
        <v>64000.0</v>
      </c>
      <c r="M11" s="45" t="s">
        <v>31</v>
      </c>
      <c r="N11" s="46">
        <v>470000.0</v>
      </c>
      <c r="O11" s="39"/>
      <c r="P11" s="42">
        <v>10000.0</v>
      </c>
      <c r="Q11" s="43" t="s">
        <v>32</v>
      </c>
    </row>
    <row r="12">
      <c r="A12" s="31" t="s">
        <v>17</v>
      </c>
      <c r="B12" s="32">
        <v>44692.0</v>
      </c>
      <c r="C12" s="33">
        <v>60000.0</v>
      </c>
      <c r="D12" s="33">
        <v>25000.0</v>
      </c>
      <c r="E12" s="34"/>
      <c r="F12" s="34"/>
      <c r="G12" s="34"/>
      <c r="H12" s="34"/>
      <c r="I12" s="35">
        <v>1.0</v>
      </c>
      <c r="J12" s="13"/>
      <c r="K12" s="11">
        <v>50000.0</v>
      </c>
      <c r="L12" s="17">
        <v>60000.0</v>
      </c>
      <c r="M12" s="47" t="s">
        <v>33</v>
      </c>
      <c r="N12" s="47">
        <v>220000.0</v>
      </c>
      <c r="O12" s="1"/>
      <c r="P12" s="1"/>
      <c r="Q12" s="1"/>
    </row>
    <row r="13">
      <c r="A13" s="31" t="s">
        <v>18</v>
      </c>
      <c r="B13" s="32">
        <v>44693.0</v>
      </c>
      <c r="C13" s="33">
        <v>74000.0</v>
      </c>
      <c r="D13" s="33">
        <v>45000.0</v>
      </c>
      <c r="E13" s="34"/>
      <c r="F13" s="34"/>
      <c r="G13" s="34"/>
      <c r="H13" s="34"/>
      <c r="I13" s="35">
        <v>1.0</v>
      </c>
      <c r="J13" s="13"/>
      <c r="K13" s="11">
        <v>50000.0</v>
      </c>
      <c r="L13" s="17">
        <v>74000.0</v>
      </c>
      <c r="M13" s="39"/>
      <c r="N13" s="20" t="s">
        <v>34</v>
      </c>
      <c r="O13" s="1"/>
      <c r="P13" s="1"/>
      <c r="Q13" s="1"/>
    </row>
    <row r="14">
      <c r="A14" s="23" t="s">
        <v>20</v>
      </c>
      <c r="B14" s="24">
        <v>44694.0</v>
      </c>
      <c r="C14" s="25">
        <v>85000.0</v>
      </c>
      <c r="D14" s="25">
        <v>60000.0</v>
      </c>
      <c r="E14" s="26"/>
      <c r="F14" s="26"/>
      <c r="G14" s="26"/>
      <c r="H14" s="26"/>
      <c r="I14" s="27">
        <v>1.0</v>
      </c>
      <c r="J14" s="13"/>
      <c r="K14" s="11">
        <v>50000.0</v>
      </c>
      <c r="L14" s="17">
        <v>85000.0</v>
      </c>
      <c r="M14" s="39"/>
      <c r="N14" s="20"/>
      <c r="O14" s="1"/>
      <c r="P14" s="1"/>
      <c r="Q14" s="1"/>
    </row>
    <row r="15">
      <c r="A15" s="31" t="s">
        <v>21</v>
      </c>
      <c r="B15" s="32">
        <v>44695.0</v>
      </c>
      <c r="C15" s="33">
        <v>100000.0</v>
      </c>
      <c r="D15" s="33">
        <v>52000.0</v>
      </c>
      <c r="E15" s="34"/>
      <c r="F15" s="34"/>
      <c r="G15" s="34"/>
      <c r="H15" s="34"/>
      <c r="I15" s="35">
        <v>1.0</v>
      </c>
      <c r="J15" s="13"/>
      <c r="K15" s="11">
        <v>50000.0</v>
      </c>
      <c r="L15" s="17">
        <v>100000.0</v>
      </c>
      <c r="M15" s="48"/>
      <c r="N15" s="1"/>
      <c r="O15" s="1"/>
      <c r="P15" s="1"/>
      <c r="Q15" s="1"/>
    </row>
    <row r="16">
      <c r="A16" s="31" t="s">
        <v>12</v>
      </c>
      <c r="B16" s="32">
        <v>44696.0</v>
      </c>
      <c r="C16" s="33">
        <v>55000.0</v>
      </c>
      <c r="D16" s="33">
        <v>30000.0</v>
      </c>
      <c r="E16" s="34"/>
      <c r="F16" s="34"/>
      <c r="G16" s="34"/>
      <c r="H16" s="34"/>
      <c r="I16" s="35">
        <v>1.0</v>
      </c>
      <c r="J16" s="13"/>
      <c r="K16" s="11">
        <v>50000.0</v>
      </c>
      <c r="L16" s="36">
        <v>55000.0</v>
      </c>
      <c r="M16" s="39"/>
      <c r="N16" s="21">
        <v>70000.0</v>
      </c>
      <c r="O16" s="49" t="s">
        <v>35</v>
      </c>
      <c r="P16" s="1"/>
      <c r="Q16" s="1"/>
    </row>
    <row r="17">
      <c r="A17" s="31" t="s">
        <v>13</v>
      </c>
      <c r="B17" s="32">
        <v>44697.0</v>
      </c>
      <c r="C17" s="33">
        <v>54000.0</v>
      </c>
      <c r="D17" s="33">
        <v>36000.0</v>
      </c>
      <c r="E17" s="34"/>
      <c r="F17" s="34"/>
      <c r="G17" s="34"/>
      <c r="H17" s="34"/>
      <c r="I17" s="35">
        <v>1.0</v>
      </c>
      <c r="J17" s="13"/>
      <c r="K17" s="11">
        <v>50000.0</v>
      </c>
      <c r="L17" s="17">
        <v>54000.0</v>
      </c>
      <c r="M17" s="50" t="s">
        <v>36</v>
      </c>
      <c r="N17" s="21">
        <v>20000.0</v>
      </c>
      <c r="O17" s="49" t="s">
        <v>37</v>
      </c>
      <c r="P17" s="1"/>
      <c r="Q17" s="1"/>
    </row>
    <row r="18">
      <c r="A18" s="31" t="s">
        <v>14</v>
      </c>
      <c r="B18" s="32">
        <v>44698.0</v>
      </c>
      <c r="C18" s="33">
        <v>66000.0</v>
      </c>
      <c r="D18" s="33">
        <v>30000.0</v>
      </c>
      <c r="E18" s="34"/>
      <c r="F18" s="34"/>
      <c r="G18" s="34"/>
      <c r="H18" s="34"/>
      <c r="I18" s="35">
        <v>1.0</v>
      </c>
      <c r="J18" s="13"/>
      <c r="K18" s="11">
        <v>50000.0</v>
      </c>
      <c r="L18" s="17">
        <v>66000.0</v>
      </c>
      <c r="M18" s="14">
        <f>D33-C33</f>
        <v>-1011000</v>
      </c>
      <c r="N18" s="21">
        <v>20000.0</v>
      </c>
      <c r="O18" s="51" t="s">
        <v>38</v>
      </c>
      <c r="P18" s="1"/>
      <c r="Q18" s="1"/>
    </row>
    <row r="19">
      <c r="A19" s="31" t="s">
        <v>17</v>
      </c>
      <c r="B19" s="32">
        <v>44699.0</v>
      </c>
      <c r="C19" s="33">
        <v>45000.0</v>
      </c>
      <c r="D19" s="33">
        <v>30000.0</v>
      </c>
      <c r="E19" s="34"/>
      <c r="F19" s="34"/>
      <c r="G19" s="34"/>
      <c r="H19" s="34"/>
      <c r="I19" s="35">
        <v>1.0</v>
      </c>
      <c r="J19" s="13"/>
      <c r="K19" s="11">
        <v>50000.0</v>
      </c>
      <c r="L19" s="17">
        <v>45000.0</v>
      </c>
      <c r="M19" s="52" t="s">
        <v>39</v>
      </c>
      <c r="N19" s="21">
        <v>20000.0</v>
      </c>
      <c r="O19" s="51" t="s">
        <v>40</v>
      </c>
      <c r="P19" s="1"/>
      <c r="Q19" s="1"/>
    </row>
    <row r="20">
      <c r="A20" s="31" t="s">
        <v>18</v>
      </c>
      <c r="B20" s="32">
        <v>44700.0</v>
      </c>
      <c r="C20" s="33">
        <v>100000.0</v>
      </c>
      <c r="D20" s="33">
        <v>35000.0</v>
      </c>
      <c r="E20" s="34"/>
      <c r="F20" s="34"/>
      <c r="G20" s="34"/>
      <c r="H20" s="34"/>
      <c r="I20" s="35">
        <v>1.0</v>
      </c>
      <c r="J20" s="13"/>
      <c r="K20" s="11">
        <v>50000.0</v>
      </c>
      <c r="L20" s="17">
        <v>100000.0</v>
      </c>
      <c r="M20" s="20">
        <f>D33-K33</f>
        <v>-214000</v>
      </c>
      <c r="N20" s="21">
        <v>100000.0</v>
      </c>
      <c r="O20" s="51" t="s">
        <v>41</v>
      </c>
      <c r="P20" s="1"/>
      <c r="Q20" s="1"/>
    </row>
    <row r="21">
      <c r="A21" s="23" t="s">
        <v>20</v>
      </c>
      <c r="B21" s="24">
        <v>44701.0</v>
      </c>
      <c r="C21" s="25">
        <v>60000.0</v>
      </c>
      <c r="D21" s="25">
        <v>15000.0</v>
      </c>
      <c r="E21" s="26"/>
      <c r="F21" s="26"/>
      <c r="G21" s="26"/>
      <c r="H21" s="26"/>
      <c r="I21" s="27">
        <v>1.0</v>
      </c>
      <c r="J21" s="13"/>
      <c r="K21" s="11">
        <v>50000.0</v>
      </c>
      <c r="L21" s="17">
        <v>60000.0</v>
      </c>
      <c r="M21" s="22"/>
      <c r="N21" s="21">
        <v>70000.0</v>
      </c>
      <c r="O21" s="49" t="s">
        <v>42</v>
      </c>
      <c r="P21" s="1"/>
      <c r="Q21" s="1"/>
    </row>
    <row r="22">
      <c r="A22" s="31" t="s">
        <v>21</v>
      </c>
      <c r="B22" s="32">
        <v>44702.0</v>
      </c>
      <c r="C22" s="33">
        <v>95000.0</v>
      </c>
      <c r="D22" s="33">
        <v>56000.0</v>
      </c>
      <c r="E22" s="34"/>
      <c r="F22" s="34"/>
      <c r="G22" s="34"/>
      <c r="H22" s="34"/>
      <c r="I22" s="35">
        <v>1.0</v>
      </c>
      <c r="J22" s="13"/>
      <c r="K22" s="11">
        <v>50000.0</v>
      </c>
      <c r="L22" s="17">
        <v>95000.0</v>
      </c>
      <c r="M22" s="22"/>
      <c r="N22" s="1"/>
      <c r="O22" s="1"/>
      <c r="P22" s="1"/>
      <c r="Q22" s="1"/>
    </row>
    <row r="23">
      <c r="A23" s="31" t="s">
        <v>12</v>
      </c>
      <c r="B23" s="32">
        <v>44703.0</v>
      </c>
      <c r="C23" s="33">
        <v>50000.0</v>
      </c>
      <c r="D23" s="33">
        <v>60000.0</v>
      </c>
      <c r="E23" s="34"/>
      <c r="F23" s="34"/>
      <c r="G23" s="34"/>
      <c r="H23" s="34"/>
      <c r="I23" s="35">
        <v>1.0</v>
      </c>
      <c r="J23" s="13"/>
      <c r="K23" s="11">
        <v>50000.0</v>
      </c>
      <c r="L23" s="36">
        <v>50000.0</v>
      </c>
      <c r="M23" s="45" t="s">
        <v>43</v>
      </c>
      <c r="N23" s="20">
        <f>SUM(N16:N22)</f>
        <v>300000</v>
      </c>
      <c r="O23" s="51" t="s">
        <v>44</v>
      </c>
      <c r="P23" s="1"/>
      <c r="Q23" s="1"/>
    </row>
    <row r="24">
      <c r="A24" s="31" t="s">
        <v>13</v>
      </c>
      <c r="B24" s="32">
        <v>44704.0</v>
      </c>
      <c r="C24" s="33">
        <v>65000.0</v>
      </c>
      <c r="D24" s="33">
        <v>30000.0</v>
      </c>
      <c r="E24" s="34"/>
      <c r="F24" s="34"/>
      <c r="G24" s="34"/>
      <c r="H24" s="34"/>
      <c r="I24" s="35">
        <v>1.0</v>
      </c>
      <c r="J24" s="13"/>
      <c r="K24" s="11">
        <v>50000.0</v>
      </c>
      <c r="L24" s="17">
        <v>65000.0</v>
      </c>
      <c r="M24" s="47">
        <f>D7+D14+D21+D28</f>
        <v>133000</v>
      </c>
      <c r="N24" s="1"/>
      <c r="O24" s="1"/>
      <c r="P24" s="1"/>
      <c r="Q24" s="1"/>
    </row>
    <row r="25">
      <c r="A25" s="31" t="s">
        <v>14</v>
      </c>
      <c r="B25" s="32">
        <v>44705.0</v>
      </c>
      <c r="C25" s="33">
        <v>53000.0</v>
      </c>
      <c r="D25" s="33">
        <v>12000.0</v>
      </c>
      <c r="E25" s="34"/>
      <c r="F25" s="34"/>
      <c r="G25" s="34"/>
      <c r="H25" s="34"/>
      <c r="I25" s="35">
        <v>1.0</v>
      </c>
      <c r="J25" s="13"/>
      <c r="K25" s="11">
        <v>50000.0</v>
      </c>
      <c r="L25" s="17">
        <v>53000.0</v>
      </c>
      <c r="M25" s="47">
        <f>L9+L16+L23+L30</f>
        <v>260000</v>
      </c>
      <c r="N25" s="1"/>
      <c r="O25" s="1"/>
      <c r="P25" s="1"/>
      <c r="Q25" s="1"/>
    </row>
    <row r="26">
      <c r="A26" s="31" t="s">
        <v>17</v>
      </c>
      <c r="B26" s="32">
        <v>44706.0</v>
      </c>
      <c r="C26" s="33">
        <v>60000.0</v>
      </c>
      <c r="D26" s="33">
        <v>32000.0</v>
      </c>
      <c r="E26" s="34"/>
      <c r="F26" s="34"/>
      <c r="G26" s="34"/>
      <c r="H26" s="34"/>
      <c r="I26" s="35">
        <v>1.0</v>
      </c>
      <c r="J26" s="13"/>
      <c r="K26" s="11">
        <v>50000.0</v>
      </c>
      <c r="L26" s="17">
        <v>60000.0</v>
      </c>
      <c r="M26" s="53" t="s">
        <v>45</v>
      </c>
      <c r="N26" s="1"/>
      <c r="O26" s="1"/>
      <c r="P26" s="1"/>
      <c r="Q26" s="1"/>
    </row>
    <row r="27">
      <c r="A27" s="31" t="s">
        <v>18</v>
      </c>
      <c r="B27" s="32">
        <v>44707.0</v>
      </c>
      <c r="C27" s="33">
        <v>60000.0</v>
      </c>
      <c r="D27" s="33">
        <v>150000.0</v>
      </c>
      <c r="E27" s="34"/>
      <c r="F27" s="34"/>
      <c r="G27" s="34"/>
      <c r="H27" s="34"/>
      <c r="I27" s="35">
        <v>1.0</v>
      </c>
      <c r="J27" s="13"/>
      <c r="K27" s="11">
        <v>50000.0</v>
      </c>
      <c r="L27" s="17">
        <v>60000.0</v>
      </c>
      <c r="M27" s="46">
        <v>150000.0</v>
      </c>
      <c r="N27" s="39"/>
      <c r="O27" s="54"/>
      <c r="P27" s="55"/>
      <c r="Q27" s="1"/>
    </row>
    <row r="28">
      <c r="A28" s="23" t="s">
        <v>20</v>
      </c>
      <c r="B28" s="24">
        <v>44708.0</v>
      </c>
      <c r="C28" s="25">
        <v>140000.0</v>
      </c>
      <c r="D28" s="25">
        <v>40000.0</v>
      </c>
      <c r="E28" s="26"/>
      <c r="F28" s="26"/>
      <c r="G28" s="26"/>
      <c r="H28" s="26"/>
      <c r="I28" s="27">
        <v>1.0</v>
      </c>
      <c r="J28" s="13"/>
      <c r="K28" s="11">
        <v>50000.0</v>
      </c>
      <c r="L28" s="17">
        <v>140000.0</v>
      </c>
      <c r="M28" s="56" t="s">
        <v>46</v>
      </c>
      <c r="N28" s="1"/>
      <c r="O28" s="1"/>
      <c r="P28" s="1"/>
      <c r="Q28" s="1"/>
    </row>
    <row r="29">
      <c r="A29" s="31" t="s">
        <v>21</v>
      </c>
      <c r="B29" s="32">
        <v>44709.0</v>
      </c>
      <c r="C29" s="33">
        <v>100000.0</v>
      </c>
      <c r="D29" s="33">
        <v>30000.0</v>
      </c>
      <c r="E29" s="34"/>
      <c r="F29" s="34"/>
      <c r="G29" s="34"/>
      <c r="H29" s="34"/>
      <c r="I29" s="35">
        <v>1.0</v>
      </c>
      <c r="J29" s="13"/>
      <c r="K29" s="11">
        <v>50000.0</v>
      </c>
      <c r="L29" s="17">
        <v>100000.0</v>
      </c>
      <c r="M29" s="47">
        <f>M9-M27</f>
        <v>408456</v>
      </c>
      <c r="N29" s="1"/>
      <c r="O29" s="1"/>
      <c r="P29" s="1"/>
      <c r="Q29" s="1"/>
    </row>
    <row r="30">
      <c r="A30" s="31" t="s">
        <v>12</v>
      </c>
      <c r="B30" s="32">
        <v>44710.0</v>
      </c>
      <c r="C30" s="33">
        <v>100000.0</v>
      </c>
      <c r="D30" s="33">
        <v>21000.0</v>
      </c>
      <c r="E30" s="34"/>
      <c r="F30" s="34"/>
      <c r="G30" s="34"/>
      <c r="H30" s="34"/>
      <c r="I30" s="35">
        <v>1.0</v>
      </c>
      <c r="J30" s="13"/>
      <c r="K30" s="11">
        <v>50000.0</v>
      </c>
      <c r="L30" s="36">
        <v>100000.0</v>
      </c>
      <c r="M30" s="1"/>
      <c r="N30" s="1"/>
      <c r="O30" s="1"/>
      <c r="P30" s="1"/>
      <c r="Q30" s="1"/>
    </row>
    <row r="31">
      <c r="A31" s="31" t="s">
        <v>13</v>
      </c>
      <c r="B31" s="32">
        <v>44711.0</v>
      </c>
      <c r="C31" s="33">
        <v>250000.0</v>
      </c>
      <c r="D31" s="33">
        <v>40000.0</v>
      </c>
      <c r="E31" s="34"/>
      <c r="F31" s="34"/>
      <c r="G31" s="34"/>
      <c r="H31" s="34"/>
      <c r="I31" s="35">
        <v>1.0</v>
      </c>
      <c r="J31" s="13"/>
      <c r="K31" s="11">
        <v>50000.0</v>
      </c>
      <c r="L31" s="17">
        <v>250000.0</v>
      </c>
      <c r="M31" s="1"/>
      <c r="N31" s="1"/>
      <c r="O31" s="1"/>
      <c r="P31" s="1"/>
      <c r="Q31" s="1"/>
    </row>
    <row r="32">
      <c r="A32" s="9" t="s">
        <v>14</v>
      </c>
      <c r="B32" s="10">
        <v>44712.0</v>
      </c>
      <c r="C32" s="11">
        <v>0.0</v>
      </c>
      <c r="D32" s="11">
        <v>60000.0</v>
      </c>
      <c r="E32" s="5"/>
      <c r="F32" s="5"/>
      <c r="G32" s="5"/>
      <c r="H32" s="5"/>
      <c r="I32" s="12">
        <v>1.0</v>
      </c>
      <c r="J32" s="13"/>
      <c r="K32" s="11">
        <v>50000.0</v>
      </c>
      <c r="L32" s="17"/>
      <c r="M32" s="1"/>
      <c r="N32" s="1"/>
      <c r="O32" s="1"/>
      <c r="P32" s="1"/>
      <c r="Q32" s="1"/>
    </row>
    <row r="33">
      <c r="A33" s="22"/>
      <c r="B33" s="22"/>
      <c r="C33" s="38">
        <f t="shared" ref="C33:D33" si="1">SUM(C2:C32)</f>
        <v>2197000</v>
      </c>
      <c r="D33" s="37">
        <f t="shared" si="1"/>
        <v>1186000</v>
      </c>
      <c r="E33" s="57">
        <f>'Les Charges '!F287*1</f>
        <v>638644</v>
      </c>
      <c r="F33" s="58">
        <f>Salaire!H23</f>
        <v>257304</v>
      </c>
      <c r="G33" s="59">
        <v>110000.0</v>
      </c>
      <c r="H33" s="38">
        <f>D33-G33-F33-E33</f>
        <v>180052</v>
      </c>
      <c r="I33" s="6">
        <f>SUM(I2:I32)</f>
        <v>28</v>
      </c>
      <c r="J33" s="22"/>
      <c r="K33" s="47">
        <f>SUM(K2:K32)</f>
        <v>1400000</v>
      </c>
      <c r="L33" s="17"/>
      <c r="M33" s="1"/>
      <c r="N33" s="1"/>
      <c r="O33" s="1"/>
      <c r="P33" s="1"/>
      <c r="Q33" s="1"/>
    </row>
    <row r="34">
      <c r="A34" s="22"/>
      <c r="B34" s="22"/>
      <c r="C34" s="22"/>
      <c r="D34" s="22"/>
      <c r="E34" s="22"/>
      <c r="F34" s="22"/>
      <c r="G34" s="22"/>
      <c r="H34" s="22"/>
      <c r="I34" s="1"/>
      <c r="J34" s="1"/>
      <c r="K34" s="1"/>
      <c r="L34" s="60">
        <f>SUM(L2:L33)</f>
        <v>2197000</v>
      </c>
      <c r="M34" s="1"/>
      <c r="N34" s="1"/>
      <c r="O34" s="1"/>
      <c r="P34" s="1"/>
      <c r="Q34" s="1"/>
    </row>
    <row r="35">
      <c r="A35" s="22"/>
      <c r="B35" s="22"/>
      <c r="C35" s="61" t="s">
        <v>8</v>
      </c>
      <c r="D35" s="62">
        <v>2030000.0</v>
      </c>
      <c r="E35" s="62">
        <v>700000.0</v>
      </c>
      <c r="F35" s="62">
        <v>320000.0</v>
      </c>
      <c r="G35" s="62">
        <v>110000.0</v>
      </c>
      <c r="H35" s="62">
        <f>D35-E35-F35-G35</f>
        <v>900000</v>
      </c>
      <c r="I35" s="1"/>
      <c r="J35" s="1"/>
      <c r="K35" s="1"/>
      <c r="L35" s="1"/>
      <c r="M35" s="1"/>
      <c r="N35" s="1"/>
      <c r="O35" s="1"/>
      <c r="P35" s="1"/>
      <c r="Q35" s="1"/>
    </row>
    <row r="36">
      <c r="A36" s="22"/>
      <c r="B36" s="22"/>
      <c r="C36" s="63" t="s">
        <v>47</v>
      </c>
      <c r="D36" s="37">
        <v>1581000.0</v>
      </c>
      <c r="E36" s="57">
        <v>591000.0</v>
      </c>
      <c r="F36" s="58">
        <v>300000.0</v>
      </c>
      <c r="G36" s="59">
        <v>90000.0</v>
      </c>
      <c r="H36" s="38">
        <v>600000.0</v>
      </c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  <col customWidth="1" min="4" max="4" width="25.25"/>
    <col customWidth="1" min="5" max="5" width="25.63"/>
    <col customWidth="1" min="6" max="6" width="25.38"/>
    <col customWidth="1" min="7" max="7" width="25.63"/>
  </cols>
  <sheetData>
    <row r="2">
      <c r="C2" s="64" t="s">
        <v>48</v>
      </c>
      <c r="D2" s="65" t="s">
        <v>49</v>
      </c>
      <c r="E2" s="65" t="s">
        <v>50</v>
      </c>
      <c r="F2" s="65" t="s">
        <v>51</v>
      </c>
      <c r="G2" s="65" t="s">
        <v>52</v>
      </c>
    </row>
    <row r="3">
      <c r="C3" s="66" t="s">
        <v>53</v>
      </c>
      <c r="D3" s="67">
        <v>5.0</v>
      </c>
      <c r="E3" s="68">
        <v>2700.0</v>
      </c>
      <c r="F3" s="68">
        <f>D3*E3</f>
        <v>13500</v>
      </c>
      <c r="G3" s="69">
        <v>44641.0</v>
      </c>
    </row>
    <row r="4">
      <c r="C4" s="16" t="s">
        <v>54</v>
      </c>
      <c r="D4" s="16">
        <v>1.0</v>
      </c>
      <c r="E4" s="17">
        <v>1500.0</v>
      </c>
      <c r="F4" s="17">
        <v>1500.0</v>
      </c>
      <c r="G4" s="70">
        <v>44613.0</v>
      </c>
    </row>
    <row r="5">
      <c r="C5" s="16" t="s">
        <v>55</v>
      </c>
      <c r="D5" s="16">
        <v>1.0</v>
      </c>
      <c r="E5" s="17">
        <v>1450.0</v>
      </c>
      <c r="F5" s="17">
        <v>1450.0</v>
      </c>
      <c r="G5" s="70">
        <v>44613.0</v>
      </c>
    </row>
    <row r="6">
      <c r="C6" s="16" t="s">
        <v>56</v>
      </c>
      <c r="D6" s="16">
        <v>2.0</v>
      </c>
      <c r="E6" s="17">
        <v>520.0</v>
      </c>
      <c r="F6" s="17">
        <v>1040.0</v>
      </c>
      <c r="G6" s="70">
        <v>44613.0</v>
      </c>
    </row>
    <row r="7">
      <c r="C7" s="16" t="s">
        <v>57</v>
      </c>
      <c r="D7" s="16">
        <v>8.0</v>
      </c>
      <c r="E7" s="17">
        <v>520.0</v>
      </c>
      <c r="F7" s="11">
        <v>4100.0</v>
      </c>
      <c r="G7" s="70">
        <v>44613.0</v>
      </c>
    </row>
    <row r="8">
      <c r="C8" s="16" t="s">
        <v>58</v>
      </c>
      <c r="D8" s="16">
        <v>3.0</v>
      </c>
      <c r="E8" s="17">
        <v>430.0</v>
      </c>
      <c r="F8" s="17">
        <v>1290.0</v>
      </c>
      <c r="G8" s="70">
        <v>44613.0</v>
      </c>
    </row>
    <row r="9">
      <c r="C9" s="16" t="s">
        <v>59</v>
      </c>
      <c r="D9" s="16">
        <v>3.0</v>
      </c>
      <c r="E9" s="17">
        <v>430.0</v>
      </c>
      <c r="F9" s="17">
        <v>1290.0</v>
      </c>
      <c r="G9" s="70">
        <v>44613.0</v>
      </c>
    </row>
    <row r="10">
      <c r="C10" s="16" t="s">
        <v>60</v>
      </c>
      <c r="D10" s="16">
        <v>4.0</v>
      </c>
      <c r="E10" s="17">
        <v>390.0</v>
      </c>
      <c r="F10" s="17">
        <v>1560.0</v>
      </c>
      <c r="G10" s="70">
        <v>44613.0</v>
      </c>
    </row>
    <row r="11">
      <c r="C11" s="12" t="s">
        <v>61</v>
      </c>
      <c r="D11" s="12">
        <v>5.0</v>
      </c>
      <c r="E11" s="11">
        <v>200.0</v>
      </c>
      <c r="F11" s="11">
        <v>1000.0</v>
      </c>
      <c r="G11" s="10">
        <v>44682.0</v>
      </c>
    </row>
    <row r="12">
      <c r="C12" s="67" t="s">
        <v>62</v>
      </c>
      <c r="D12" s="67" t="s">
        <v>63</v>
      </c>
      <c r="E12" s="71">
        <v>650.0</v>
      </c>
      <c r="F12" s="71">
        <v>23400.0</v>
      </c>
      <c r="G12" s="72">
        <v>44672.0</v>
      </c>
    </row>
    <row r="13">
      <c r="C13" s="12" t="s">
        <v>64</v>
      </c>
      <c r="D13" s="12" t="s">
        <v>65</v>
      </c>
      <c r="E13" s="11">
        <v>2000.0</v>
      </c>
      <c r="F13" s="11">
        <v>40000.0</v>
      </c>
      <c r="G13" s="10">
        <v>44677.0</v>
      </c>
    </row>
    <row r="14">
      <c r="C14" s="12" t="s">
        <v>66</v>
      </c>
      <c r="D14" s="12">
        <v>6.0</v>
      </c>
      <c r="E14" s="11">
        <v>750.0</v>
      </c>
      <c r="F14" s="11">
        <v>4500.0</v>
      </c>
      <c r="G14" s="10">
        <v>44677.0</v>
      </c>
    </row>
    <row r="15">
      <c r="C15" s="12" t="s">
        <v>67</v>
      </c>
      <c r="D15" s="12">
        <v>1000.0</v>
      </c>
      <c r="E15" s="11">
        <v>50.0</v>
      </c>
      <c r="F15" s="11">
        <v>50000.0</v>
      </c>
      <c r="G15" s="10">
        <v>44681.0</v>
      </c>
    </row>
    <row r="16">
      <c r="C16" s="12" t="s">
        <v>68</v>
      </c>
      <c r="D16" s="12">
        <v>64.0</v>
      </c>
      <c r="E16" s="11">
        <v>140.0</v>
      </c>
      <c r="F16" s="17">
        <f>D16*E16</f>
        <v>8960</v>
      </c>
      <c r="G16" s="10">
        <v>44681.0</v>
      </c>
    </row>
    <row r="17">
      <c r="C17" s="12" t="s">
        <v>69</v>
      </c>
      <c r="D17" s="12">
        <v>3.0</v>
      </c>
      <c r="E17" s="11">
        <v>450.0</v>
      </c>
      <c r="F17" s="11">
        <v>1350.0</v>
      </c>
      <c r="G17" s="10">
        <v>44681.0</v>
      </c>
    </row>
    <row r="18">
      <c r="C18" s="12" t="s">
        <v>70</v>
      </c>
      <c r="D18" s="12">
        <v>3.0</v>
      </c>
      <c r="E18" s="11">
        <v>100.0</v>
      </c>
      <c r="F18" s="11">
        <v>300.0</v>
      </c>
      <c r="G18" s="10">
        <v>44681.0</v>
      </c>
    </row>
    <row r="19">
      <c r="C19" s="12" t="s">
        <v>71</v>
      </c>
      <c r="D19" s="12" t="s">
        <v>72</v>
      </c>
      <c r="E19" s="11">
        <v>1300.0</v>
      </c>
      <c r="F19" s="11">
        <v>1300.0</v>
      </c>
      <c r="G19" s="10">
        <v>44681.0</v>
      </c>
    </row>
    <row r="20">
      <c r="C20" s="12" t="s">
        <v>73</v>
      </c>
      <c r="D20" s="12" t="s">
        <v>74</v>
      </c>
      <c r="E20" s="11">
        <v>750.0</v>
      </c>
      <c r="F20" s="11">
        <v>750.0</v>
      </c>
      <c r="G20" s="10">
        <v>44681.0</v>
      </c>
    </row>
    <row r="21">
      <c r="C21" s="12" t="s">
        <v>75</v>
      </c>
      <c r="D21" s="12" t="s">
        <v>76</v>
      </c>
      <c r="E21" s="11">
        <v>100.0</v>
      </c>
      <c r="F21" s="11">
        <v>5000.0</v>
      </c>
      <c r="G21" s="10">
        <v>44682.0</v>
      </c>
    </row>
    <row r="22">
      <c r="C22" s="16" t="s">
        <v>77</v>
      </c>
      <c r="D22" s="16" t="s">
        <v>78</v>
      </c>
      <c r="E22" s="17">
        <v>13.0</v>
      </c>
      <c r="F22" s="17">
        <v>1300.0</v>
      </c>
      <c r="G22" s="70">
        <v>44641.0</v>
      </c>
    </row>
    <row r="23">
      <c r="C23" s="16" t="s">
        <v>79</v>
      </c>
      <c r="D23" s="16" t="s">
        <v>78</v>
      </c>
      <c r="E23" s="73">
        <v>44726.0</v>
      </c>
      <c r="F23" s="17">
        <v>1460.0</v>
      </c>
      <c r="G23" s="70">
        <v>44641.0</v>
      </c>
    </row>
    <row r="24">
      <c r="C24" s="16" t="s">
        <v>80</v>
      </c>
      <c r="D24" s="12" t="s">
        <v>81</v>
      </c>
      <c r="E24" s="17">
        <v>1380.0</v>
      </c>
      <c r="F24" s="11">
        <v>1380.0</v>
      </c>
      <c r="G24" s="70">
        <v>44641.0</v>
      </c>
    </row>
    <row r="25">
      <c r="C25" s="74" t="s">
        <v>82</v>
      </c>
      <c r="D25" s="75" t="s">
        <v>83</v>
      </c>
      <c r="E25" s="76">
        <v>565.0</v>
      </c>
      <c r="F25" s="77">
        <v>3125.0</v>
      </c>
      <c r="G25" s="78">
        <v>44501.0</v>
      </c>
    </row>
    <row r="26">
      <c r="C26" s="74" t="s">
        <v>84</v>
      </c>
      <c r="D26" s="74" t="s">
        <v>85</v>
      </c>
      <c r="E26" s="76">
        <v>135.0</v>
      </c>
      <c r="F26" s="77">
        <v>2000.0</v>
      </c>
      <c r="G26" s="78">
        <v>44501.0</v>
      </c>
    </row>
    <row r="27">
      <c r="C27" s="16" t="s">
        <v>86</v>
      </c>
      <c r="D27" s="12" t="s">
        <v>87</v>
      </c>
      <c r="E27" s="17">
        <v>1600.0</v>
      </c>
      <c r="F27" s="11">
        <v>16000.0</v>
      </c>
      <c r="G27" s="70">
        <v>44649.0</v>
      </c>
    </row>
    <row r="28">
      <c r="C28" s="66" t="s">
        <v>88</v>
      </c>
      <c r="D28" s="67" t="s">
        <v>89</v>
      </c>
      <c r="E28" s="68">
        <v>800.0</v>
      </c>
      <c r="F28" s="71">
        <v>1600.0</v>
      </c>
      <c r="G28" s="69">
        <v>44607.0</v>
      </c>
    </row>
    <row r="29">
      <c r="C29" s="16" t="s">
        <v>90</v>
      </c>
      <c r="D29" s="16" t="s">
        <v>91</v>
      </c>
      <c r="E29" s="17">
        <v>270.5</v>
      </c>
      <c r="F29" s="17">
        <v>541.0</v>
      </c>
      <c r="G29" s="70">
        <v>44593.0</v>
      </c>
    </row>
    <row r="30">
      <c r="C30" s="16" t="s">
        <v>92</v>
      </c>
      <c r="D30" s="12" t="s">
        <v>93</v>
      </c>
      <c r="E30" s="17">
        <v>350.0</v>
      </c>
      <c r="F30" s="11">
        <v>2450.0</v>
      </c>
      <c r="G30" s="70">
        <v>44637.0</v>
      </c>
    </row>
    <row r="31">
      <c r="C31" s="66" t="s">
        <v>94</v>
      </c>
      <c r="D31" s="67" t="s">
        <v>95</v>
      </c>
      <c r="E31" s="68">
        <v>350.0</v>
      </c>
      <c r="F31" s="71">
        <v>5250.0</v>
      </c>
      <c r="G31" s="69">
        <v>44637.0</v>
      </c>
    </row>
    <row r="32">
      <c r="C32" s="16" t="s">
        <v>96</v>
      </c>
      <c r="D32" s="12">
        <v>8.0</v>
      </c>
      <c r="E32" s="11">
        <v>130.0</v>
      </c>
      <c r="F32" s="11">
        <v>1040.0</v>
      </c>
      <c r="G32" s="70">
        <v>44637.0</v>
      </c>
    </row>
    <row r="33">
      <c r="C33" s="16" t="s">
        <v>97</v>
      </c>
      <c r="D33" s="12" t="s">
        <v>98</v>
      </c>
      <c r="E33" s="17">
        <v>2988.0</v>
      </c>
      <c r="F33" s="11">
        <v>2988.0</v>
      </c>
      <c r="G33" s="70">
        <v>44637.0</v>
      </c>
    </row>
    <row r="34">
      <c r="C34" s="16" t="s">
        <v>99</v>
      </c>
      <c r="D34" s="12">
        <v>100.0</v>
      </c>
      <c r="E34" s="11">
        <v>84.0</v>
      </c>
      <c r="F34" s="11">
        <v>8400.0</v>
      </c>
      <c r="G34" s="70">
        <v>44637.0</v>
      </c>
    </row>
    <row r="35">
      <c r="C35" s="66" t="s">
        <v>100</v>
      </c>
      <c r="D35" s="67" t="s">
        <v>101</v>
      </c>
      <c r="E35" s="68">
        <v>1416.0</v>
      </c>
      <c r="F35" s="71">
        <v>25488.0</v>
      </c>
      <c r="G35" s="69">
        <v>44637.0</v>
      </c>
    </row>
    <row r="36">
      <c r="C36" s="66" t="s">
        <v>102</v>
      </c>
      <c r="D36" s="67">
        <v>2.0</v>
      </c>
      <c r="E36" s="68">
        <v>920.0</v>
      </c>
      <c r="F36" s="71">
        <v>1840.0</v>
      </c>
      <c r="G36" s="69">
        <v>44637.0</v>
      </c>
    </row>
    <row r="37">
      <c r="C37" s="66" t="s">
        <v>103</v>
      </c>
      <c r="D37" s="67">
        <v>5.0</v>
      </c>
      <c r="E37" s="68">
        <v>190.0</v>
      </c>
      <c r="F37" s="71">
        <v>950.0</v>
      </c>
      <c r="G37" s="69">
        <v>44637.0</v>
      </c>
    </row>
    <row r="38">
      <c r="C38" s="66" t="s">
        <v>104</v>
      </c>
      <c r="D38" s="67">
        <v>5.0</v>
      </c>
      <c r="E38" s="68">
        <v>200.0</v>
      </c>
      <c r="F38" s="71">
        <v>1000.0</v>
      </c>
      <c r="G38" s="69">
        <v>44637.0</v>
      </c>
    </row>
    <row r="39">
      <c r="C39" s="16" t="s">
        <v>105</v>
      </c>
      <c r="D39" s="12">
        <v>4.0</v>
      </c>
      <c r="E39" s="17">
        <v>1300.0</v>
      </c>
      <c r="F39" s="11">
        <v>5200.0</v>
      </c>
      <c r="G39" s="70">
        <v>44633.0</v>
      </c>
    </row>
    <row r="40">
      <c r="C40" s="16" t="s">
        <v>106</v>
      </c>
      <c r="D40" s="12">
        <v>2.0</v>
      </c>
      <c r="E40" s="17">
        <v>480.0</v>
      </c>
      <c r="F40" s="11">
        <v>960.0</v>
      </c>
      <c r="G40" s="70">
        <v>44633.0</v>
      </c>
    </row>
    <row r="41">
      <c r="C41" s="16" t="s">
        <v>107</v>
      </c>
      <c r="D41" s="16">
        <v>2.0</v>
      </c>
      <c r="E41" s="17">
        <v>600.0</v>
      </c>
      <c r="F41" s="17">
        <v>1200.0</v>
      </c>
      <c r="G41" s="70">
        <v>44635.0</v>
      </c>
    </row>
    <row r="42">
      <c r="C42" s="16" t="s">
        <v>108</v>
      </c>
      <c r="D42" s="16" t="s">
        <v>109</v>
      </c>
      <c r="E42" s="17">
        <v>100.0</v>
      </c>
      <c r="F42" s="17">
        <v>1200.0</v>
      </c>
      <c r="G42" s="70">
        <v>44635.0</v>
      </c>
    </row>
    <row r="43">
      <c r="C43" s="16" t="s">
        <v>110</v>
      </c>
      <c r="D43" s="12" t="s">
        <v>111</v>
      </c>
      <c r="E43" s="17">
        <v>360.0</v>
      </c>
      <c r="F43" s="11">
        <v>360.0</v>
      </c>
      <c r="G43" s="70">
        <v>44608.0</v>
      </c>
    </row>
    <row r="44">
      <c r="C44" s="16" t="s">
        <v>112</v>
      </c>
      <c r="D44" s="12">
        <v>7.0</v>
      </c>
      <c r="E44" s="17">
        <v>160.0</v>
      </c>
      <c r="F44" s="11">
        <v>1120.0</v>
      </c>
      <c r="G44" s="70">
        <v>44633.0</v>
      </c>
    </row>
    <row r="45">
      <c r="C45" s="16" t="s">
        <v>113</v>
      </c>
      <c r="D45" s="12">
        <v>15.0</v>
      </c>
      <c r="E45" s="17">
        <v>620.0</v>
      </c>
      <c r="F45" s="11">
        <f>E45*D45</f>
        <v>9300</v>
      </c>
      <c r="G45" s="70">
        <v>44633.0</v>
      </c>
    </row>
    <row r="46">
      <c r="C46" s="16" t="s">
        <v>114</v>
      </c>
      <c r="D46" s="16">
        <v>4.0</v>
      </c>
      <c r="E46" s="17">
        <v>220.0</v>
      </c>
      <c r="F46" s="17">
        <v>880.0</v>
      </c>
      <c r="G46" s="70">
        <v>44633.0</v>
      </c>
    </row>
    <row r="47">
      <c r="C47" s="16" t="s">
        <v>115</v>
      </c>
      <c r="D47" s="12">
        <v>6.0</v>
      </c>
      <c r="E47" s="17">
        <v>750.0</v>
      </c>
      <c r="F47" s="11">
        <v>4500.0</v>
      </c>
      <c r="G47" s="70">
        <v>44633.0</v>
      </c>
    </row>
    <row r="48">
      <c r="C48" s="16" t="s">
        <v>116</v>
      </c>
      <c r="D48" s="16">
        <v>2.0</v>
      </c>
      <c r="E48" s="17">
        <v>350.0</v>
      </c>
      <c r="F48" s="17">
        <v>700.0</v>
      </c>
      <c r="G48" s="70">
        <v>44629.0</v>
      </c>
    </row>
    <row r="49">
      <c r="C49" s="16" t="s">
        <v>117</v>
      </c>
      <c r="D49" s="16">
        <v>3.0</v>
      </c>
      <c r="E49" s="17">
        <v>150.0</v>
      </c>
      <c r="F49" s="17">
        <v>450.0</v>
      </c>
      <c r="G49" s="70">
        <v>44629.0</v>
      </c>
    </row>
    <row r="50">
      <c r="C50" s="16" t="s">
        <v>118</v>
      </c>
      <c r="D50" s="16">
        <v>2.0</v>
      </c>
      <c r="E50" s="17">
        <v>250.0</v>
      </c>
      <c r="F50" s="17">
        <v>500.0</v>
      </c>
      <c r="G50" s="70">
        <v>44629.0</v>
      </c>
    </row>
    <row r="51">
      <c r="C51" s="16" t="s">
        <v>119</v>
      </c>
      <c r="D51" s="12">
        <v>7.0</v>
      </c>
      <c r="E51" s="17">
        <v>330.0</v>
      </c>
      <c r="F51" s="11">
        <v>2310.0</v>
      </c>
      <c r="G51" s="70">
        <v>44622.0</v>
      </c>
    </row>
    <row r="52">
      <c r="C52" s="16" t="s">
        <v>120</v>
      </c>
      <c r="D52" s="16" t="s">
        <v>121</v>
      </c>
      <c r="E52" s="17">
        <v>600.0</v>
      </c>
      <c r="F52" s="17">
        <v>1200.0</v>
      </c>
      <c r="G52" s="70">
        <v>44593.0</v>
      </c>
    </row>
    <row r="53">
      <c r="C53" s="16" t="s">
        <v>122</v>
      </c>
      <c r="D53" s="12" t="s">
        <v>123</v>
      </c>
      <c r="E53" s="17">
        <v>160.0</v>
      </c>
      <c r="F53" s="11">
        <v>800.0</v>
      </c>
      <c r="G53" s="70">
        <v>44593.0</v>
      </c>
    </row>
    <row r="54">
      <c r="C54" s="16" t="s">
        <v>124</v>
      </c>
      <c r="D54" s="16" t="s">
        <v>125</v>
      </c>
      <c r="E54" s="17">
        <v>300.0</v>
      </c>
      <c r="F54" s="17">
        <v>3000.0</v>
      </c>
      <c r="G54" s="70">
        <v>44593.0</v>
      </c>
    </row>
    <row r="55">
      <c r="C55" s="16" t="s">
        <v>126</v>
      </c>
      <c r="D55" s="12">
        <v>11.0</v>
      </c>
      <c r="E55" s="17">
        <v>182.0</v>
      </c>
      <c r="F55" s="11">
        <v>2002.0</v>
      </c>
      <c r="G55" s="70">
        <v>44593.0</v>
      </c>
    </row>
    <row r="56">
      <c r="C56" s="16" t="s">
        <v>127</v>
      </c>
      <c r="D56" s="12">
        <v>4.0</v>
      </c>
      <c r="E56" s="17">
        <v>60.0</v>
      </c>
      <c r="F56" s="11">
        <v>240.0</v>
      </c>
      <c r="G56" s="70">
        <v>44593.0</v>
      </c>
    </row>
    <row r="57">
      <c r="C57" s="16" t="s">
        <v>128</v>
      </c>
      <c r="D57" s="12" t="s">
        <v>129</v>
      </c>
      <c r="E57" s="17">
        <v>375.0</v>
      </c>
      <c r="F57" s="11">
        <v>750.0</v>
      </c>
      <c r="G57" s="70">
        <v>44562.0</v>
      </c>
    </row>
    <row r="58">
      <c r="C58" s="16" t="s">
        <v>130</v>
      </c>
      <c r="D58" s="12" t="s">
        <v>131</v>
      </c>
      <c r="E58" s="17">
        <v>225.0</v>
      </c>
      <c r="F58" s="11">
        <v>1350.0</v>
      </c>
      <c r="G58" s="70">
        <v>44593.0</v>
      </c>
    </row>
    <row r="59">
      <c r="C59" s="16" t="s">
        <v>132</v>
      </c>
      <c r="D59" s="12" t="s">
        <v>133</v>
      </c>
      <c r="E59" s="17">
        <v>225.0</v>
      </c>
      <c r="F59" s="11">
        <v>1800.0</v>
      </c>
      <c r="G59" s="70">
        <v>44593.0</v>
      </c>
    </row>
    <row r="60">
      <c r="C60" s="16" t="s">
        <v>134</v>
      </c>
      <c r="D60" s="12">
        <v>5.0</v>
      </c>
      <c r="E60" s="17">
        <v>260.0</v>
      </c>
      <c r="F60" s="11">
        <v>1300.0</v>
      </c>
      <c r="G60" s="70">
        <v>44633.0</v>
      </c>
    </row>
    <row r="61">
      <c r="C61" s="16" t="s">
        <v>135</v>
      </c>
      <c r="D61" s="12">
        <v>4.0</v>
      </c>
      <c r="E61" s="17">
        <v>63.0</v>
      </c>
      <c r="F61" s="11">
        <v>252.0</v>
      </c>
      <c r="G61" s="70">
        <v>44651.0</v>
      </c>
    </row>
    <row r="62">
      <c r="C62" s="16" t="s">
        <v>136</v>
      </c>
      <c r="D62" s="16">
        <v>4.0</v>
      </c>
      <c r="E62" s="17">
        <v>250.0</v>
      </c>
      <c r="F62" s="17">
        <v>1000.0</v>
      </c>
      <c r="G62" s="70">
        <v>44656.0</v>
      </c>
    </row>
    <row r="63">
      <c r="C63" s="16" t="s">
        <v>137</v>
      </c>
      <c r="D63" s="12">
        <v>2.0</v>
      </c>
      <c r="E63" s="17">
        <v>1730.0</v>
      </c>
      <c r="F63" s="11">
        <v>3460.0</v>
      </c>
      <c r="G63" s="70">
        <v>44657.0</v>
      </c>
    </row>
    <row r="64">
      <c r="C64" s="16" t="s">
        <v>138</v>
      </c>
      <c r="D64" s="16" t="s">
        <v>139</v>
      </c>
      <c r="E64" s="17">
        <v>450.0</v>
      </c>
      <c r="F64" s="17">
        <v>1350.0</v>
      </c>
      <c r="G64" s="10">
        <v>44682.0</v>
      </c>
    </row>
    <row r="65">
      <c r="C65" s="16" t="s">
        <v>86</v>
      </c>
      <c r="D65" s="12">
        <v>1.0</v>
      </c>
      <c r="E65" s="17">
        <v>1500.0</v>
      </c>
      <c r="F65" s="11">
        <v>1500.0</v>
      </c>
      <c r="G65" s="70">
        <v>44659.0</v>
      </c>
    </row>
    <row r="66">
      <c r="C66" s="16" t="s">
        <v>140</v>
      </c>
      <c r="D66" s="16" t="s">
        <v>141</v>
      </c>
      <c r="E66" s="17">
        <v>360.0</v>
      </c>
      <c r="F66" s="17">
        <v>1080.0</v>
      </c>
      <c r="G66" s="70">
        <v>44660.0</v>
      </c>
    </row>
    <row r="67">
      <c r="C67" s="16" t="s">
        <v>142</v>
      </c>
      <c r="D67" s="12">
        <v>4.0</v>
      </c>
      <c r="E67" s="17">
        <v>1950.0</v>
      </c>
      <c r="F67" s="17">
        <f t="shared" ref="F67:F68" si="1">E67*D67</f>
        <v>7800</v>
      </c>
      <c r="G67" s="70">
        <v>44668.0</v>
      </c>
    </row>
    <row r="68">
      <c r="C68" s="16" t="s">
        <v>143</v>
      </c>
      <c r="D68" s="16">
        <v>4.0</v>
      </c>
      <c r="E68" s="17">
        <v>660.0</v>
      </c>
      <c r="F68" s="17">
        <f t="shared" si="1"/>
        <v>2640</v>
      </c>
      <c r="G68" s="70">
        <v>44668.0</v>
      </c>
    </row>
    <row r="69">
      <c r="C69" s="16" t="s">
        <v>144</v>
      </c>
      <c r="D69" s="16" t="s">
        <v>145</v>
      </c>
      <c r="E69" s="17">
        <v>350.0</v>
      </c>
      <c r="F69" s="17">
        <v>4900.0</v>
      </c>
      <c r="G69" s="70">
        <v>44668.0</v>
      </c>
    </row>
    <row r="70">
      <c r="C70" s="16" t="s">
        <v>146</v>
      </c>
      <c r="D70" s="12" t="s">
        <v>147</v>
      </c>
      <c r="E70" s="11">
        <v>530.0</v>
      </c>
      <c r="F70" s="11">
        <v>1590.0</v>
      </c>
      <c r="G70" s="70">
        <v>44674.0</v>
      </c>
    </row>
    <row r="71">
      <c r="C71" s="16" t="s">
        <v>148</v>
      </c>
      <c r="D71" s="12" t="s">
        <v>149</v>
      </c>
      <c r="E71" s="17">
        <v>2700.0</v>
      </c>
      <c r="F71" s="11">
        <v>3000.0</v>
      </c>
      <c r="G71" s="70">
        <v>44674.0</v>
      </c>
    </row>
    <row r="72">
      <c r="C72" s="16" t="s">
        <v>150</v>
      </c>
      <c r="D72" s="16">
        <v>1.0</v>
      </c>
      <c r="E72" s="17">
        <v>1200.0</v>
      </c>
      <c r="F72" s="17">
        <v>1200.0</v>
      </c>
      <c r="G72" s="70">
        <v>44674.0</v>
      </c>
    </row>
    <row r="73">
      <c r="C73" s="79" t="s">
        <v>151</v>
      </c>
      <c r="D73" s="79">
        <v>1.0</v>
      </c>
      <c r="E73" s="80">
        <v>15000.0</v>
      </c>
      <c r="F73" s="80">
        <v>15000.0</v>
      </c>
      <c r="G73" s="81">
        <v>44682.0</v>
      </c>
    </row>
    <row r="74">
      <c r="C74" s="82" t="s">
        <v>64</v>
      </c>
      <c r="D74" s="82" t="s">
        <v>152</v>
      </c>
      <c r="E74" s="83">
        <v>2100.0</v>
      </c>
      <c r="F74" s="83">
        <v>4200.0</v>
      </c>
      <c r="G74" s="84">
        <v>44685.0</v>
      </c>
    </row>
    <row r="75">
      <c r="C75" s="82" t="s">
        <v>153</v>
      </c>
      <c r="D75" s="82" t="s">
        <v>154</v>
      </c>
      <c r="E75" s="83">
        <v>850.0</v>
      </c>
      <c r="F75" s="83">
        <v>1700.0</v>
      </c>
      <c r="G75" s="84">
        <v>44685.0</v>
      </c>
    </row>
    <row r="76">
      <c r="C76" s="82" t="s">
        <v>155</v>
      </c>
      <c r="D76" s="82" t="s">
        <v>156</v>
      </c>
      <c r="E76" s="83" t="s">
        <v>156</v>
      </c>
      <c r="F76" s="83">
        <v>2500.0</v>
      </c>
      <c r="G76" s="84">
        <v>44685.0</v>
      </c>
    </row>
    <row r="77">
      <c r="C77" s="82" t="s">
        <v>157</v>
      </c>
      <c r="D77" s="82" t="s">
        <v>149</v>
      </c>
      <c r="E77" s="83">
        <v>100.0</v>
      </c>
      <c r="F77" s="83">
        <v>100.0</v>
      </c>
      <c r="G77" s="84">
        <v>44685.0</v>
      </c>
    </row>
    <row r="78">
      <c r="C78" s="82" t="s">
        <v>158</v>
      </c>
      <c r="D78" s="82">
        <v>1.0</v>
      </c>
      <c r="E78" s="83">
        <v>50.0</v>
      </c>
      <c r="F78" s="83">
        <v>50.0</v>
      </c>
      <c r="G78" s="84">
        <v>44685.0</v>
      </c>
    </row>
    <row r="79">
      <c r="C79" s="82" t="s">
        <v>159</v>
      </c>
      <c r="D79" s="82">
        <v>3.0</v>
      </c>
      <c r="E79" s="83">
        <v>180.0</v>
      </c>
      <c r="F79" s="83">
        <v>540.0</v>
      </c>
      <c r="G79" s="84">
        <v>44685.0</v>
      </c>
    </row>
    <row r="80">
      <c r="C80" s="82" t="s">
        <v>160</v>
      </c>
      <c r="D80" s="82">
        <v>1.0</v>
      </c>
      <c r="E80" s="83">
        <v>800.0</v>
      </c>
      <c r="F80" s="83">
        <v>800.0</v>
      </c>
      <c r="G80" s="84">
        <v>44685.0</v>
      </c>
    </row>
    <row r="81">
      <c r="C81" s="82" t="s">
        <v>161</v>
      </c>
      <c r="D81" s="82" t="s">
        <v>156</v>
      </c>
      <c r="E81" s="83" t="s">
        <v>156</v>
      </c>
      <c r="F81" s="83">
        <v>100.0</v>
      </c>
      <c r="G81" s="84">
        <v>44685.0</v>
      </c>
    </row>
    <row r="82">
      <c r="C82" s="82" t="s">
        <v>162</v>
      </c>
      <c r="D82" s="82" t="s">
        <v>72</v>
      </c>
      <c r="E82" s="83">
        <v>1320.0</v>
      </c>
      <c r="F82" s="83">
        <v>1320.0</v>
      </c>
      <c r="G82" s="84">
        <v>44685.0</v>
      </c>
    </row>
    <row r="83">
      <c r="C83" s="82" t="s">
        <v>73</v>
      </c>
      <c r="D83" s="82" t="s">
        <v>163</v>
      </c>
      <c r="E83" s="83">
        <v>720.0</v>
      </c>
      <c r="F83" s="83">
        <v>720.0</v>
      </c>
      <c r="G83" s="84">
        <v>44685.0</v>
      </c>
    </row>
    <row r="84">
      <c r="C84" s="82" t="s">
        <v>164</v>
      </c>
      <c r="D84" s="82" t="s">
        <v>65</v>
      </c>
      <c r="E84" s="83">
        <v>60.0</v>
      </c>
      <c r="F84" s="83">
        <v>1200.0</v>
      </c>
      <c r="G84" s="84">
        <v>44689.0</v>
      </c>
    </row>
    <row r="85">
      <c r="C85" s="82" t="s">
        <v>66</v>
      </c>
      <c r="D85" s="82" t="s">
        <v>165</v>
      </c>
      <c r="E85" s="83">
        <v>760.0</v>
      </c>
      <c r="F85" s="83">
        <v>3040.0</v>
      </c>
      <c r="G85" s="84">
        <v>44689.0</v>
      </c>
    </row>
    <row r="86">
      <c r="C86" s="82" t="s">
        <v>166</v>
      </c>
      <c r="D86" s="82" t="s">
        <v>65</v>
      </c>
      <c r="E86" s="83">
        <v>1940.0</v>
      </c>
      <c r="F86" s="83">
        <v>38800.0</v>
      </c>
      <c r="G86" s="84">
        <v>44689.0</v>
      </c>
    </row>
    <row r="87">
      <c r="C87" s="82" t="s">
        <v>167</v>
      </c>
      <c r="D87" s="82">
        <v>1.0</v>
      </c>
      <c r="E87" s="83">
        <v>120.0</v>
      </c>
      <c r="F87" s="83">
        <v>120.0</v>
      </c>
      <c r="G87" s="84">
        <v>44689.0</v>
      </c>
    </row>
    <row r="88">
      <c r="C88" s="82" t="s">
        <v>168</v>
      </c>
      <c r="D88" s="82">
        <v>1.0</v>
      </c>
      <c r="E88" s="83">
        <v>400.0</v>
      </c>
      <c r="F88" s="83">
        <v>400.0</v>
      </c>
      <c r="G88" s="84">
        <v>44659.0</v>
      </c>
    </row>
    <row r="89">
      <c r="C89" s="82" t="s">
        <v>169</v>
      </c>
      <c r="D89" s="82">
        <v>10.0</v>
      </c>
      <c r="E89" s="83">
        <v>260.0</v>
      </c>
      <c r="F89" s="83">
        <v>2600.0</v>
      </c>
      <c r="G89" s="84">
        <v>44659.0</v>
      </c>
    </row>
    <row r="90">
      <c r="C90" s="82" t="s">
        <v>170</v>
      </c>
      <c r="D90" s="82" t="s">
        <v>72</v>
      </c>
      <c r="E90" s="83">
        <v>1.0</v>
      </c>
      <c r="F90" s="83">
        <v>1150.0</v>
      </c>
      <c r="G90" s="84">
        <v>44689.0</v>
      </c>
    </row>
    <row r="91">
      <c r="C91" s="82" t="s">
        <v>171</v>
      </c>
      <c r="D91" s="82" t="s">
        <v>156</v>
      </c>
      <c r="E91" s="83" t="s">
        <v>156</v>
      </c>
      <c r="F91" s="83">
        <v>200.0</v>
      </c>
      <c r="G91" s="84">
        <v>44689.0</v>
      </c>
    </row>
    <row r="92">
      <c r="C92" s="82" t="s">
        <v>172</v>
      </c>
      <c r="D92" s="82">
        <v>1.0</v>
      </c>
      <c r="E92" s="83">
        <v>300.0</v>
      </c>
      <c r="F92" s="83">
        <v>300.0</v>
      </c>
      <c r="G92" s="84">
        <v>44689.0</v>
      </c>
    </row>
    <row r="93">
      <c r="C93" s="82" t="s">
        <v>153</v>
      </c>
      <c r="D93" s="82" t="s">
        <v>173</v>
      </c>
      <c r="E93" s="83">
        <v>800.0</v>
      </c>
      <c r="F93" s="83">
        <v>2000.0</v>
      </c>
      <c r="G93" s="84">
        <v>44690.0</v>
      </c>
    </row>
    <row r="94">
      <c r="C94" s="82" t="s">
        <v>174</v>
      </c>
      <c r="D94" s="82">
        <v>12.0</v>
      </c>
      <c r="E94" s="83">
        <v>100.0</v>
      </c>
      <c r="F94" s="83">
        <v>1200.0</v>
      </c>
      <c r="G94" s="84">
        <v>44690.0</v>
      </c>
    </row>
    <row r="95">
      <c r="C95" s="82" t="s">
        <v>175</v>
      </c>
      <c r="D95" s="82" t="s">
        <v>176</v>
      </c>
      <c r="E95" s="83">
        <v>200.0</v>
      </c>
      <c r="F95" s="83">
        <v>800.0</v>
      </c>
      <c r="G95" s="84">
        <v>44690.0</v>
      </c>
    </row>
    <row r="96">
      <c r="C96" s="82" t="s">
        <v>164</v>
      </c>
      <c r="D96" s="82" t="s">
        <v>65</v>
      </c>
      <c r="E96" s="83">
        <v>60.0</v>
      </c>
      <c r="F96" s="83">
        <v>1200.0</v>
      </c>
      <c r="G96" s="84">
        <v>44690.0</v>
      </c>
    </row>
    <row r="97">
      <c r="C97" s="82" t="s">
        <v>158</v>
      </c>
      <c r="D97" s="82">
        <v>2.0</v>
      </c>
      <c r="E97" s="83">
        <v>50.0</v>
      </c>
      <c r="F97" s="83">
        <v>100.0</v>
      </c>
      <c r="G97" s="84">
        <v>44690.0</v>
      </c>
    </row>
    <row r="98">
      <c r="C98" s="82" t="s">
        <v>177</v>
      </c>
      <c r="D98" s="82" t="s">
        <v>178</v>
      </c>
      <c r="E98" s="83">
        <v>100.0</v>
      </c>
      <c r="F98" s="83">
        <v>400.0</v>
      </c>
      <c r="G98" s="84">
        <v>44690.0</v>
      </c>
    </row>
    <row r="99">
      <c r="C99" s="82" t="s">
        <v>179</v>
      </c>
      <c r="D99" s="82">
        <v>25.0</v>
      </c>
      <c r="E99" s="83">
        <v>20.0</v>
      </c>
      <c r="F99" s="83">
        <v>500.0</v>
      </c>
      <c r="G99" s="84">
        <v>44690.0</v>
      </c>
    </row>
    <row r="100">
      <c r="C100" s="82" t="s">
        <v>138</v>
      </c>
      <c r="D100" s="82">
        <v>3.0</v>
      </c>
      <c r="E100" s="83">
        <v>450.0</v>
      </c>
      <c r="F100" s="83">
        <v>1350.0</v>
      </c>
      <c r="G100" s="84">
        <v>44690.0</v>
      </c>
    </row>
    <row r="101">
      <c r="C101" s="82" t="s">
        <v>180</v>
      </c>
      <c r="D101" s="82" t="s">
        <v>181</v>
      </c>
      <c r="E101" s="83">
        <v>200.0</v>
      </c>
      <c r="F101" s="83">
        <v>200.0</v>
      </c>
      <c r="G101" s="84">
        <v>44690.0</v>
      </c>
    </row>
    <row r="102">
      <c r="C102" s="82" t="s">
        <v>182</v>
      </c>
      <c r="D102" s="85"/>
      <c r="E102" s="86"/>
      <c r="F102" s="83">
        <v>7000.0</v>
      </c>
      <c r="G102" s="84">
        <v>44690.0</v>
      </c>
    </row>
    <row r="103">
      <c r="C103" s="82" t="s">
        <v>183</v>
      </c>
      <c r="D103" s="82" t="s">
        <v>184</v>
      </c>
      <c r="E103" s="83" t="s">
        <v>184</v>
      </c>
      <c r="F103" s="83">
        <v>850.0</v>
      </c>
      <c r="G103" s="84">
        <v>44691.0</v>
      </c>
    </row>
    <row r="104">
      <c r="C104" s="82" t="s">
        <v>164</v>
      </c>
      <c r="D104" s="82" t="s">
        <v>185</v>
      </c>
      <c r="E104" s="83">
        <v>60.0</v>
      </c>
      <c r="F104" s="83">
        <v>600.0</v>
      </c>
      <c r="G104" s="84">
        <v>44691.0</v>
      </c>
    </row>
    <row r="105">
      <c r="C105" s="82" t="s">
        <v>186</v>
      </c>
      <c r="D105" s="82" t="s">
        <v>187</v>
      </c>
      <c r="E105" s="83">
        <v>1500.0</v>
      </c>
      <c r="F105" s="83">
        <v>1500.0</v>
      </c>
      <c r="G105" s="84">
        <v>44691.0</v>
      </c>
    </row>
    <row r="106">
      <c r="C106" s="82" t="s">
        <v>188</v>
      </c>
      <c r="D106" s="82">
        <v>2.0</v>
      </c>
      <c r="E106" s="83">
        <v>150.0</v>
      </c>
      <c r="F106" s="83">
        <v>300.0</v>
      </c>
      <c r="G106" s="84">
        <v>44691.0</v>
      </c>
    </row>
    <row r="107">
      <c r="C107" s="82" t="s">
        <v>189</v>
      </c>
      <c r="D107" s="82" t="s">
        <v>190</v>
      </c>
      <c r="E107" s="83">
        <v>800.0</v>
      </c>
      <c r="F107" s="83">
        <v>400.0</v>
      </c>
      <c r="G107" s="84">
        <v>44691.0</v>
      </c>
    </row>
    <row r="108">
      <c r="C108" s="82" t="s">
        <v>191</v>
      </c>
      <c r="D108" s="82" t="s">
        <v>192</v>
      </c>
      <c r="E108" s="83">
        <v>100.0</v>
      </c>
      <c r="F108" s="83">
        <v>400.0</v>
      </c>
      <c r="G108" s="84">
        <v>44691.0</v>
      </c>
    </row>
    <row r="109">
      <c r="C109" s="82" t="s">
        <v>193</v>
      </c>
      <c r="D109" s="82">
        <v>3.0</v>
      </c>
      <c r="E109" s="83">
        <v>200.0</v>
      </c>
      <c r="F109" s="83">
        <v>600.0</v>
      </c>
      <c r="G109" s="84">
        <v>44691.0</v>
      </c>
    </row>
    <row r="110">
      <c r="C110" s="82" t="s">
        <v>158</v>
      </c>
      <c r="D110" s="82">
        <v>2.0</v>
      </c>
      <c r="E110" s="83">
        <v>100.0</v>
      </c>
      <c r="F110" s="83">
        <v>200.0</v>
      </c>
      <c r="G110" s="84">
        <v>44691.0</v>
      </c>
    </row>
    <row r="111">
      <c r="C111" s="82" t="s">
        <v>194</v>
      </c>
      <c r="D111" s="82">
        <v>1.0</v>
      </c>
      <c r="E111" s="83">
        <v>100.0</v>
      </c>
      <c r="F111" s="83">
        <v>100.0</v>
      </c>
      <c r="G111" s="84">
        <v>44691.0</v>
      </c>
    </row>
    <row r="112">
      <c r="C112" s="82" t="s">
        <v>195</v>
      </c>
      <c r="D112" s="82">
        <v>1.0</v>
      </c>
      <c r="E112" s="83">
        <v>100.0</v>
      </c>
      <c r="F112" s="83">
        <v>100.0</v>
      </c>
      <c r="G112" s="84">
        <v>44691.0</v>
      </c>
    </row>
    <row r="113">
      <c r="C113" s="82" t="s">
        <v>196</v>
      </c>
      <c r="D113" s="82">
        <v>1.0</v>
      </c>
      <c r="E113" s="83">
        <v>200.0</v>
      </c>
      <c r="F113" s="83">
        <v>200.0</v>
      </c>
      <c r="G113" s="84">
        <v>44691.0</v>
      </c>
    </row>
    <row r="114">
      <c r="C114" s="82" t="s">
        <v>197</v>
      </c>
      <c r="D114" s="82">
        <v>1.0</v>
      </c>
      <c r="E114" s="83">
        <v>150.0</v>
      </c>
      <c r="F114" s="83">
        <v>150.0</v>
      </c>
      <c r="G114" s="84">
        <v>44691.0</v>
      </c>
    </row>
    <row r="115">
      <c r="C115" s="82" t="s">
        <v>198</v>
      </c>
      <c r="D115" s="82">
        <v>1.0</v>
      </c>
      <c r="E115" s="83">
        <v>750.0</v>
      </c>
      <c r="F115" s="83">
        <v>750.0</v>
      </c>
      <c r="G115" s="84">
        <v>44691.0</v>
      </c>
    </row>
    <row r="116">
      <c r="C116" s="82" t="s">
        <v>70</v>
      </c>
      <c r="D116" s="82">
        <v>3.0</v>
      </c>
      <c r="E116" s="83">
        <v>150.0</v>
      </c>
      <c r="F116" s="83">
        <v>450.0</v>
      </c>
      <c r="G116" s="84">
        <v>44691.0</v>
      </c>
    </row>
    <row r="117">
      <c r="C117" s="82" t="s">
        <v>199</v>
      </c>
      <c r="D117" s="82">
        <v>4.0</v>
      </c>
      <c r="E117" s="83">
        <v>220.0</v>
      </c>
      <c r="F117" s="83">
        <v>880.0</v>
      </c>
      <c r="G117" s="84">
        <v>44691.0</v>
      </c>
    </row>
    <row r="118">
      <c r="C118" s="82" t="s">
        <v>198</v>
      </c>
      <c r="D118" s="82">
        <v>2.0</v>
      </c>
      <c r="E118" s="83">
        <v>75.0</v>
      </c>
      <c r="F118" s="83">
        <v>150.0</v>
      </c>
      <c r="G118" s="84">
        <v>44691.0</v>
      </c>
    </row>
    <row r="119">
      <c r="C119" s="82" t="s">
        <v>200</v>
      </c>
      <c r="D119" s="82">
        <v>2.0</v>
      </c>
      <c r="E119" s="83">
        <v>85.0</v>
      </c>
      <c r="F119" s="83">
        <v>170.0</v>
      </c>
      <c r="G119" s="84">
        <v>44691.0</v>
      </c>
    </row>
    <row r="120">
      <c r="C120" s="82" t="s">
        <v>201</v>
      </c>
      <c r="D120" s="82">
        <v>5.0</v>
      </c>
      <c r="E120" s="83">
        <v>95.0</v>
      </c>
      <c r="F120" s="83">
        <v>475.0</v>
      </c>
      <c r="G120" s="84">
        <v>44673.0</v>
      </c>
    </row>
    <row r="121">
      <c r="C121" s="82" t="s">
        <v>202</v>
      </c>
      <c r="D121" s="82">
        <v>6.0</v>
      </c>
      <c r="E121" s="83">
        <v>90.0</v>
      </c>
      <c r="F121" s="83">
        <v>540.0</v>
      </c>
      <c r="G121" s="84">
        <v>44673.0</v>
      </c>
    </row>
    <row r="122">
      <c r="C122" s="82" t="s">
        <v>203</v>
      </c>
      <c r="D122" s="82">
        <v>1.0</v>
      </c>
      <c r="E122" s="83">
        <v>300.0</v>
      </c>
      <c r="F122" s="83">
        <v>300.0</v>
      </c>
      <c r="G122" s="84">
        <v>44673.0</v>
      </c>
    </row>
    <row r="123">
      <c r="C123" s="82" t="s">
        <v>204</v>
      </c>
      <c r="D123" s="82">
        <v>4.0</v>
      </c>
      <c r="E123" s="83">
        <v>370.0</v>
      </c>
      <c r="F123" s="86">
        <f>D123*E123</f>
        <v>1480</v>
      </c>
      <c r="G123" s="84">
        <v>44691.0</v>
      </c>
    </row>
    <row r="124">
      <c r="C124" s="82" t="s">
        <v>205</v>
      </c>
      <c r="D124" s="82" t="s">
        <v>149</v>
      </c>
      <c r="E124" s="83">
        <v>800.0</v>
      </c>
      <c r="F124" s="83">
        <v>800.0</v>
      </c>
      <c r="G124" s="84">
        <v>44691.0</v>
      </c>
    </row>
    <row r="125">
      <c r="C125" s="82" t="s">
        <v>153</v>
      </c>
      <c r="D125" s="82" t="s">
        <v>206</v>
      </c>
      <c r="E125" s="83">
        <v>600.0</v>
      </c>
      <c r="F125" s="83">
        <v>900.0</v>
      </c>
      <c r="G125" s="84">
        <v>44692.0</v>
      </c>
    </row>
    <row r="126">
      <c r="C126" s="82" t="s">
        <v>189</v>
      </c>
      <c r="D126" s="82" t="s">
        <v>149</v>
      </c>
      <c r="E126" s="83">
        <v>600.0</v>
      </c>
      <c r="F126" s="83">
        <v>600.0</v>
      </c>
      <c r="G126" s="84">
        <v>44692.0</v>
      </c>
    </row>
    <row r="127">
      <c r="C127" s="82" t="s">
        <v>164</v>
      </c>
      <c r="D127" s="82" t="s">
        <v>65</v>
      </c>
      <c r="E127" s="83">
        <v>35.0</v>
      </c>
      <c r="F127" s="83">
        <v>700.0</v>
      </c>
      <c r="G127" s="84">
        <v>44693.0</v>
      </c>
    </row>
    <row r="128">
      <c r="C128" s="82" t="s">
        <v>158</v>
      </c>
      <c r="D128" s="82">
        <v>2.0</v>
      </c>
      <c r="E128" s="83">
        <v>100.0</v>
      </c>
      <c r="F128" s="83">
        <v>200.0</v>
      </c>
      <c r="G128" s="84">
        <v>44693.0</v>
      </c>
    </row>
    <row r="129">
      <c r="C129" s="82" t="s">
        <v>157</v>
      </c>
      <c r="D129" s="82" t="s">
        <v>154</v>
      </c>
      <c r="E129" s="83">
        <v>100.0</v>
      </c>
      <c r="F129" s="83">
        <v>200.0</v>
      </c>
      <c r="G129" s="84">
        <v>44693.0</v>
      </c>
    </row>
    <row r="130">
      <c r="C130" s="82" t="s">
        <v>207</v>
      </c>
      <c r="D130" s="82" t="s">
        <v>208</v>
      </c>
      <c r="E130" s="83">
        <v>200.0</v>
      </c>
      <c r="F130" s="83">
        <v>650.0</v>
      </c>
      <c r="G130" s="84">
        <v>44693.0</v>
      </c>
    </row>
    <row r="131">
      <c r="C131" s="82" t="s">
        <v>138</v>
      </c>
      <c r="D131" s="82">
        <v>1.0</v>
      </c>
      <c r="E131" s="83">
        <v>450.0</v>
      </c>
      <c r="F131" s="83">
        <v>450.0</v>
      </c>
      <c r="G131" s="84">
        <v>44693.0</v>
      </c>
    </row>
    <row r="132">
      <c r="C132" s="82" t="s">
        <v>175</v>
      </c>
      <c r="D132" s="82" t="s">
        <v>149</v>
      </c>
      <c r="E132" s="83">
        <v>100.0</v>
      </c>
      <c r="F132" s="83">
        <v>100.0</v>
      </c>
      <c r="G132" s="84">
        <v>44693.0</v>
      </c>
    </row>
    <row r="133">
      <c r="C133" s="82" t="s">
        <v>209</v>
      </c>
      <c r="D133" s="82" t="s">
        <v>210</v>
      </c>
      <c r="E133" s="83" t="s">
        <v>211</v>
      </c>
      <c r="F133" s="83">
        <v>400.0</v>
      </c>
      <c r="G133" s="84">
        <v>44693.0</v>
      </c>
    </row>
    <row r="134">
      <c r="C134" s="82" t="s">
        <v>212</v>
      </c>
      <c r="D134" s="82" t="s">
        <v>213</v>
      </c>
      <c r="E134" s="83">
        <v>20.0</v>
      </c>
      <c r="F134" s="83">
        <v>200.0</v>
      </c>
      <c r="G134" s="84">
        <v>44693.0</v>
      </c>
    </row>
    <row r="135">
      <c r="C135" s="82" t="s">
        <v>148</v>
      </c>
      <c r="D135" s="82" t="s">
        <v>214</v>
      </c>
      <c r="E135" s="83">
        <v>2450.0</v>
      </c>
      <c r="F135" s="83">
        <v>3400.0</v>
      </c>
      <c r="G135" s="84">
        <v>44692.0</v>
      </c>
    </row>
    <row r="136">
      <c r="C136" s="82" t="s">
        <v>215</v>
      </c>
      <c r="D136" s="82">
        <v>5.0</v>
      </c>
      <c r="E136" s="83">
        <v>2000.0</v>
      </c>
      <c r="F136" s="83">
        <v>10000.0</v>
      </c>
      <c r="G136" s="84">
        <v>44692.0</v>
      </c>
    </row>
    <row r="137">
      <c r="C137" s="82" t="s">
        <v>216</v>
      </c>
      <c r="D137" s="82">
        <v>2.0</v>
      </c>
      <c r="E137" s="83">
        <v>800.0</v>
      </c>
      <c r="F137" s="83">
        <v>1600.0</v>
      </c>
      <c r="G137" s="84">
        <v>44692.0</v>
      </c>
    </row>
    <row r="138">
      <c r="C138" s="82" t="s">
        <v>217</v>
      </c>
      <c r="D138" s="82" t="s">
        <v>218</v>
      </c>
      <c r="E138" s="83">
        <v>315.0</v>
      </c>
      <c r="F138" s="83">
        <v>850.0</v>
      </c>
      <c r="G138" s="84">
        <v>44692.0</v>
      </c>
    </row>
    <row r="139">
      <c r="C139" s="82" t="s">
        <v>135</v>
      </c>
      <c r="D139" s="82">
        <v>10.0</v>
      </c>
      <c r="E139" s="83">
        <v>73.0</v>
      </c>
      <c r="F139" s="83">
        <v>730.0</v>
      </c>
      <c r="G139" s="84">
        <v>44693.0</v>
      </c>
    </row>
    <row r="140">
      <c r="C140" s="82" t="s">
        <v>219</v>
      </c>
      <c r="D140" s="82">
        <v>8.0</v>
      </c>
      <c r="E140" s="83">
        <v>235.0</v>
      </c>
      <c r="F140" s="83">
        <f t="shared" ref="F140:F141" si="2">D140*E140</f>
        <v>1880</v>
      </c>
      <c r="G140" s="84">
        <v>44693.0</v>
      </c>
    </row>
    <row r="141">
      <c r="C141" s="82" t="s">
        <v>220</v>
      </c>
      <c r="D141" s="82">
        <v>3.0</v>
      </c>
      <c r="E141" s="83">
        <v>255.0</v>
      </c>
      <c r="F141" s="83">
        <f t="shared" si="2"/>
        <v>765</v>
      </c>
      <c r="G141" s="84">
        <v>44693.0</v>
      </c>
    </row>
    <row r="142">
      <c r="C142" s="82" t="s">
        <v>221</v>
      </c>
      <c r="D142" s="82">
        <v>20.0</v>
      </c>
      <c r="E142" s="83" t="s">
        <v>222</v>
      </c>
      <c r="F142" s="83">
        <v>11865.0</v>
      </c>
      <c r="G142" s="84">
        <v>44693.0</v>
      </c>
    </row>
    <row r="143">
      <c r="C143" s="82" t="s">
        <v>96</v>
      </c>
      <c r="D143" s="82" t="s">
        <v>223</v>
      </c>
      <c r="E143" s="83">
        <v>3112.0</v>
      </c>
      <c r="F143" s="83">
        <v>6224.0</v>
      </c>
      <c r="G143" s="84">
        <v>44693.0</v>
      </c>
    </row>
    <row r="144">
      <c r="C144" s="82" t="s">
        <v>224</v>
      </c>
      <c r="D144" s="82" t="s">
        <v>225</v>
      </c>
      <c r="E144" s="83">
        <v>3440.0</v>
      </c>
      <c r="F144" s="83">
        <v>3440.0</v>
      </c>
      <c r="G144" s="84">
        <v>44693.0</v>
      </c>
    </row>
    <row r="145">
      <c r="C145" s="82" t="s">
        <v>226</v>
      </c>
      <c r="D145" s="82">
        <v>8.0</v>
      </c>
      <c r="E145" s="83">
        <v>100.0</v>
      </c>
      <c r="F145" s="83">
        <v>800.0</v>
      </c>
      <c r="G145" s="84">
        <v>44693.0</v>
      </c>
    </row>
    <row r="146">
      <c r="C146" s="82" t="s">
        <v>227</v>
      </c>
      <c r="D146" s="82">
        <v>4.0</v>
      </c>
      <c r="E146" s="83">
        <v>200.0</v>
      </c>
      <c r="F146" s="83">
        <v>800.0</v>
      </c>
      <c r="G146" s="84">
        <v>44693.0</v>
      </c>
    </row>
    <row r="147">
      <c r="C147" s="82" t="s">
        <v>164</v>
      </c>
      <c r="D147" s="82" t="s">
        <v>65</v>
      </c>
      <c r="E147" s="83">
        <v>60.0</v>
      </c>
      <c r="F147" s="83">
        <v>1200.0</v>
      </c>
      <c r="G147" s="84">
        <v>44692.0</v>
      </c>
    </row>
    <row r="148">
      <c r="C148" s="82" t="s">
        <v>75</v>
      </c>
      <c r="D148" s="82" t="s">
        <v>228</v>
      </c>
      <c r="E148" s="83">
        <v>100.0</v>
      </c>
      <c r="F148" s="83">
        <v>4000.0</v>
      </c>
      <c r="G148" s="84">
        <v>44692.0</v>
      </c>
    </row>
    <row r="149">
      <c r="C149" s="82" t="s">
        <v>229</v>
      </c>
      <c r="D149" s="82" t="s">
        <v>230</v>
      </c>
      <c r="E149" s="83">
        <v>600.0</v>
      </c>
      <c r="F149" s="83">
        <v>3900.0</v>
      </c>
      <c r="G149" s="84">
        <v>44694.0</v>
      </c>
    </row>
    <row r="150">
      <c r="C150" s="82" t="s">
        <v>138</v>
      </c>
      <c r="D150" s="82" t="s">
        <v>231</v>
      </c>
      <c r="E150" s="83">
        <v>450.0</v>
      </c>
      <c r="F150" s="83">
        <v>1800.0</v>
      </c>
      <c r="G150" s="84">
        <v>44694.0</v>
      </c>
    </row>
    <row r="151">
      <c r="C151" s="82" t="s">
        <v>232</v>
      </c>
      <c r="D151" s="82" t="s">
        <v>233</v>
      </c>
      <c r="E151" s="83">
        <v>1800.0</v>
      </c>
      <c r="F151" s="83">
        <v>1400.0</v>
      </c>
      <c r="G151" s="84">
        <v>44694.0</v>
      </c>
    </row>
    <row r="152">
      <c r="C152" s="82" t="s">
        <v>234</v>
      </c>
      <c r="D152" s="82" t="s">
        <v>235</v>
      </c>
      <c r="E152" s="83">
        <v>20.0</v>
      </c>
      <c r="F152" s="83">
        <v>200.0</v>
      </c>
      <c r="G152" s="84">
        <v>44694.0</v>
      </c>
    </row>
    <row r="153">
      <c r="C153" s="82" t="s">
        <v>158</v>
      </c>
      <c r="D153" s="82">
        <v>3.0</v>
      </c>
      <c r="E153" s="83">
        <v>100.0</v>
      </c>
      <c r="F153" s="83">
        <v>300.0</v>
      </c>
      <c r="G153" s="84">
        <v>44694.0</v>
      </c>
    </row>
    <row r="154">
      <c r="C154" s="82" t="s">
        <v>236</v>
      </c>
      <c r="D154" s="82" t="s">
        <v>237</v>
      </c>
      <c r="E154" s="83">
        <v>100.0</v>
      </c>
      <c r="F154" s="83">
        <v>100.0</v>
      </c>
      <c r="G154" s="84">
        <v>44694.0</v>
      </c>
    </row>
    <row r="155">
      <c r="C155" s="82" t="s">
        <v>238</v>
      </c>
      <c r="D155" s="82" t="s">
        <v>239</v>
      </c>
      <c r="E155" s="83">
        <v>300.0</v>
      </c>
      <c r="F155" s="83">
        <v>200.0</v>
      </c>
      <c r="G155" s="84">
        <v>44694.0</v>
      </c>
    </row>
    <row r="156">
      <c r="C156" s="82" t="s">
        <v>240</v>
      </c>
      <c r="D156" s="82" t="s">
        <v>241</v>
      </c>
      <c r="E156" s="83">
        <v>100.0</v>
      </c>
      <c r="F156" s="83">
        <v>200.0</v>
      </c>
      <c r="G156" s="84">
        <v>44694.0</v>
      </c>
    </row>
    <row r="157">
      <c r="C157" s="82" t="s">
        <v>157</v>
      </c>
      <c r="D157" s="82">
        <v>1.0</v>
      </c>
      <c r="E157" s="83">
        <v>100.0</v>
      </c>
      <c r="F157" s="83">
        <v>100.0</v>
      </c>
      <c r="G157" s="84">
        <v>44694.0</v>
      </c>
    </row>
    <row r="158">
      <c r="C158" s="82" t="s">
        <v>242</v>
      </c>
      <c r="D158" s="82" t="s">
        <v>241</v>
      </c>
      <c r="E158" s="83">
        <v>100.0</v>
      </c>
      <c r="F158" s="83">
        <v>200.0</v>
      </c>
      <c r="G158" s="84">
        <v>44694.0</v>
      </c>
    </row>
    <row r="159">
      <c r="C159" s="82" t="s">
        <v>243</v>
      </c>
      <c r="D159" s="82">
        <v>3.0</v>
      </c>
      <c r="E159" s="83">
        <v>100.0</v>
      </c>
      <c r="F159" s="83">
        <v>100.0</v>
      </c>
      <c r="G159" s="84">
        <v>44694.0</v>
      </c>
    </row>
    <row r="160">
      <c r="C160" s="82" t="s">
        <v>75</v>
      </c>
      <c r="D160" s="82" t="s">
        <v>65</v>
      </c>
      <c r="E160" s="83">
        <v>100.0</v>
      </c>
      <c r="F160" s="83">
        <v>2000.0</v>
      </c>
      <c r="G160" s="84">
        <v>44694.0</v>
      </c>
    </row>
    <row r="161">
      <c r="C161" s="82" t="s">
        <v>244</v>
      </c>
      <c r="D161" s="82" t="s">
        <v>245</v>
      </c>
      <c r="E161" s="83">
        <v>1200.0</v>
      </c>
      <c r="F161" s="83">
        <v>300.0</v>
      </c>
      <c r="G161" s="84">
        <v>44694.0</v>
      </c>
    </row>
    <row r="162">
      <c r="C162" s="82" t="s">
        <v>207</v>
      </c>
      <c r="D162" s="82" t="s">
        <v>190</v>
      </c>
      <c r="E162" s="83">
        <v>400.0</v>
      </c>
      <c r="F162" s="83">
        <v>200.0</v>
      </c>
      <c r="G162" s="84">
        <v>44694.0</v>
      </c>
    </row>
    <row r="163">
      <c r="C163" s="82" t="s">
        <v>189</v>
      </c>
      <c r="D163" s="82">
        <v>1.0</v>
      </c>
      <c r="E163" s="83">
        <v>500.0</v>
      </c>
      <c r="F163" s="83">
        <v>500.0</v>
      </c>
      <c r="G163" s="84">
        <v>44694.0</v>
      </c>
    </row>
    <row r="164">
      <c r="C164" s="82" t="s">
        <v>246</v>
      </c>
      <c r="D164" s="82">
        <v>6.0</v>
      </c>
      <c r="E164" s="83">
        <v>50.0</v>
      </c>
      <c r="F164" s="83">
        <v>300.0</v>
      </c>
      <c r="G164" s="84">
        <v>44694.0</v>
      </c>
    </row>
    <row r="165">
      <c r="C165" s="82" t="s">
        <v>247</v>
      </c>
      <c r="D165" s="82">
        <v>1.0</v>
      </c>
      <c r="E165" s="83">
        <v>220.0</v>
      </c>
      <c r="F165" s="83">
        <v>220.0</v>
      </c>
      <c r="G165" s="84">
        <v>44694.0</v>
      </c>
    </row>
    <row r="166">
      <c r="C166" s="82" t="s">
        <v>199</v>
      </c>
      <c r="D166" s="82">
        <v>1.0</v>
      </c>
      <c r="E166" s="83">
        <v>250.0</v>
      </c>
      <c r="F166" s="83">
        <v>250.0</v>
      </c>
      <c r="G166" s="84">
        <v>44694.0</v>
      </c>
    </row>
    <row r="167">
      <c r="C167" s="82" t="s">
        <v>248</v>
      </c>
      <c r="D167" s="82">
        <v>1.0</v>
      </c>
      <c r="E167" s="83">
        <v>250.0</v>
      </c>
      <c r="F167" s="83">
        <v>250.0</v>
      </c>
      <c r="G167" s="84">
        <v>44694.0</v>
      </c>
    </row>
    <row r="168">
      <c r="C168" s="82" t="s">
        <v>249</v>
      </c>
      <c r="D168" s="82">
        <v>2.0</v>
      </c>
      <c r="E168" s="83">
        <v>1000.0</v>
      </c>
      <c r="F168" s="83">
        <v>2000.0</v>
      </c>
      <c r="G168" s="84">
        <v>44694.0</v>
      </c>
    </row>
    <row r="169">
      <c r="C169" s="82" t="s">
        <v>250</v>
      </c>
      <c r="D169" s="82">
        <v>1.0</v>
      </c>
      <c r="E169" s="83">
        <v>250.0</v>
      </c>
      <c r="F169" s="83">
        <v>250.0</v>
      </c>
      <c r="G169" s="84">
        <v>44694.0</v>
      </c>
    </row>
    <row r="170">
      <c r="C170" s="82" t="s">
        <v>75</v>
      </c>
      <c r="D170" s="82" t="s">
        <v>65</v>
      </c>
      <c r="E170" s="83">
        <v>100.0</v>
      </c>
      <c r="F170" s="83">
        <v>2000.0</v>
      </c>
      <c r="G170" s="84">
        <v>44695.0</v>
      </c>
    </row>
    <row r="171">
      <c r="C171" s="82" t="s">
        <v>164</v>
      </c>
      <c r="D171" s="82" t="s">
        <v>251</v>
      </c>
      <c r="E171" s="83">
        <v>40.0</v>
      </c>
      <c r="F171" s="83">
        <v>4800.0</v>
      </c>
      <c r="G171" s="84">
        <v>44695.0</v>
      </c>
    </row>
    <row r="172">
      <c r="C172" s="82" t="s">
        <v>212</v>
      </c>
      <c r="D172" s="82">
        <v>10.0</v>
      </c>
      <c r="E172" s="83">
        <v>20.0</v>
      </c>
      <c r="F172" s="83">
        <v>200.0</v>
      </c>
      <c r="G172" s="84">
        <v>44695.0</v>
      </c>
    </row>
    <row r="173">
      <c r="C173" s="82" t="s">
        <v>229</v>
      </c>
      <c r="D173" s="82" t="s">
        <v>154</v>
      </c>
      <c r="E173" s="83">
        <v>600.0</v>
      </c>
      <c r="F173" s="83">
        <v>1200.0</v>
      </c>
      <c r="G173" s="84">
        <v>44695.0</v>
      </c>
    </row>
    <row r="174">
      <c r="C174" s="82" t="s">
        <v>252</v>
      </c>
      <c r="D174" s="82" t="s">
        <v>190</v>
      </c>
      <c r="E174" s="83">
        <v>900.0</v>
      </c>
      <c r="F174" s="83">
        <v>450.0</v>
      </c>
      <c r="G174" s="84">
        <v>44695.0</v>
      </c>
    </row>
    <row r="175">
      <c r="C175" s="82" t="s">
        <v>253</v>
      </c>
      <c r="D175" s="82">
        <v>3.0</v>
      </c>
      <c r="E175" s="83">
        <v>350.0</v>
      </c>
      <c r="F175" s="83">
        <v>1050.0</v>
      </c>
      <c r="G175" s="84">
        <v>44695.0</v>
      </c>
    </row>
    <row r="176">
      <c r="C176" s="82" t="s">
        <v>254</v>
      </c>
      <c r="D176" s="82" t="s">
        <v>147</v>
      </c>
      <c r="E176" s="83">
        <v>450.0</v>
      </c>
      <c r="F176" s="83">
        <v>1400.0</v>
      </c>
      <c r="G176" s="84">
        <v>44695.0</v>
      </c>
    </row>
    <row r="177">
      <c r="C177" s="82" t="s">
        <v>255</v>
      </c>
      <c r="D177" s="82" t="s">
        <v>256</v>
      </c>
      <c r="E177" s="83">
        <v>600.0</v>
      </c>
      <c r="F177" s="83">
        <v>900.0</v>
      </c>
      <c r="G177" s="84">
        <v>44696.0</v>
      </c>
    </row>
    <row r="178">
      <c r="C178" s="82" t="s">
        <v>212</v>
      </c>
      <c r="D178" s="82" t="s">
        <v>213</v>
      </c>
      <c r="E178" s="83">
        <v>20.0</v>
      </c>
      <c r="F178" s="83">
        <v>200.0</v>
      </c>
      <c r="G178" s="84">
        <v>44696.0</v>
      </c>
    </row>
    <row r="179">
      <c r="C179" s="82" t="s">
        <v>175</v>
      </c>
      <c r="D179" s="82">
        <v>1.0</v>
      </c>
      <c r="E179" s="83">
        <v>100.0</v>
      </c>
      <c r="F179" s="83">
        <v>100.0</v>
      </c>
      <c r="G179" s="84">
        <v>44696.0</v>
      </c>
    </row>
    <row r="180">
      <c r="C180" s="82" t="s">
        <v>157</v>
      </c>
      <c r="D180" s="82" t="s">
        <v>147</v>
      </c>
      <c r="E180" s="83">
        <v>100.0</v>
      </c>
      <c r="F180" s="83">
        <v>300.0</v>
      </c>
      <c r="G180" s="84">
        <v>44697.0</v>
      </c>
    </row>
    <row r="181">
      <c r="C181" s="82" t="s">
        <v>257</v>
      </c>
      <c r="D181" s="82" t="s">
        <v>190</v>
      </c>
      <c r="E181" s="83">
        <v>1200.0</v>
      </c>
      <c r="F181" s="83">
        <v>600.0</v>
      </c>
      <c r="G181" s="84">
        <v>44697.0</v>
      </c>
    </row>
    <row r="182">
      <c r="C182" s="82" t="s">
        <v>240</v>
      </c>
      <c r="D182" s="82" t="s">
        <v>258</v>
      </c>
      <c r="E182" s="83" t="s">
        <v>259</v>
      </c>
      <c r="F182" s="83">
        <v>250.0</v>
      </c>
      <c r="G182" s="84">
        <v>44697.0</v>
      </c>
    </row>
    <row r="183">
      <c r="C183" s="82" t="s">
        <v>158</v>
      </c>
      <c r="D183" s="82">
        <v>1.0</v>
      </c>
      <c r="E183" s="83">
        <v>100.0</v>
      </c>
      <c r="F183" s="83">
        <v>100.0</v>
      </c>
      <c r="G183" s="84">
        <v>44697.0</v>
      </c>
    </row>
    <row r="184">
      <c r="C184" s="82" t="s">
        <v>260</v>
      </c>
      <c r="D184" s="82">
        <v>1.0</v>
      </c>
      <c r="E184" s="83">
        <v>250.0</v>
      </c>
      <c r="F184" s="83">
        <v>250.0</v>
      </c>
      <c r="G184" s="84">
        <v>44697.0</v>
      </c>
    </row>
    <row r="185">
      <c r="C185" s="82" t="s">
        <v>261</v>
      </c>
      <c r="D185" s="82">
        <v>10.0</v>
      </c>
      <c r="E185" s="83">
        <v>60.0</v>
      </c>
      <c r="F185" s="83">
        <v>600.0</v>
      </c>
      <c r="G185" s="84">
        <v>44685.0</v>
      </c>
    </row>
    <row r="186">
      <c r="C186" s="82" t="s">
        <v>262</v>
      </c>
      <c r="D186" s="82" t="s">
        <v>263</v>
      </c>
      <c r="E186" s="83">
        <v>4000.0</v>
      </c>
      <c r="F186" s="83">
        <v>400.0</v>
      </c>
      <c r="G186" s="84">
        <v>44698.0</v>
      </c>
    </row>
    <row r="187">
      <c r="C187" s="82" t="s">
        <v>264</v>
      </c>
      <c r="D187" s="82" t="s">
        <v>263</v>
      </c>
      <c r="E187" s="83">
        <v>2000.0</v>
      </c>
      <c r="F187" s="83">
        <v>200.0</v>
      </c>
      <c r="G187" s="84">
        <v>44698.0</v>
      </c>
    </row>
    <row r="188">
      <c r="C188" s="82" t="s">
        <v>265</v>
      </c>
      <c r="D188" s="82" t="s">
        <v>263</v>
      </c>
      <c r="E188" s="83">
        <v>1900.0</v>
      </c>
      <c r="F188" s="83">
        <v>190.0</v>
      </c>
      <c r="G188" s="84">
        <v>44698.0</v>
      </c>
    </row>
    <row r="189">
      <c r="C189" s="82" t="s">
        <v>266</v>
      </c>
      <c r="D189" s="82">
        <v>3.0</v>
      </c>
      <c r="E189" s="83">
        <v>1000.0</v>
      </c>
      <c r="F189" s="83">
        <v>3000.0</v>
      </c>
      <c r="G189" s="84">
        <v>44698.0</v>
      </c>
    </row>
    <row r="190">
      <c r="C190" s="82" t="s">
        <v>174</v>
      </c>
      <c r="D190" s="82">
        <v>14.0</v>
      </c>
      <c r="E190" s="83">
        <v>125.0</v>
      </c>
      <c r="F190" s="83">
        <v>1750.0</v>
      </c>
      <c r="G190" s="84">
        <v>44698.0</v>
      </c>
    </row>
    <row r="191">
      <c r="C191" s="82" t="s">
        <v>232</v>
      </c>
      <c r="D191" s="82" t="s">
        <v>267</v>
      </c>
      <c r="E191" s="83">
        <v>1800.0</v>
      </c>
      <c r="F191" s="83">
        <v>2000.0</v>
      </c>
      <c r="G191" s="84">
        <v>44698.0</v>
      </c>
    </row>
    <row r="192">
      <c r="C192" s="82" t="s">
        <v>268</v>
      </c>
      <c r="D192" s="85"/>
      <c r="E192" s="86"/>
      <c r="F192" s="83">
        <v>1000.0</v>
      </c>
      <c r="G192" s="84">
        <v>44698.0</v>
      </c>
    </row>
    <row r="193">
      <c r="C193" s="82" t="s">
        <v>269</v>
      </c>
      <c r="D193" s="85"/>
      <c r="E193" s="86"/>
      <c r="F193" s="83">
        <v>500.0</v>
      </c>
      <c r="G193" s="84">
        <v>44698.0</v>
      </c>
    </row>
    <row r="194">
      <c r="C194" s="82" t="s">
        <v>188</v>
      </c>
      <c r="D194" s="82">
        <v>6.0</v>
      </c>
      <c r="E194" s="83">
        <v>200.0</v>
      </c>
      <c r="F194" s="83">
        <v>1200.0</v>
      </c>
      <c r="G194" s="84">
        <v>44698.0</v>
      </c>
    </row>
    <row r="195">
      <c r="C195" s="82" t="s">
        <v>270</v>
      </c>
      <c r="D195" s="82">
        <v>6.0</v>
      </c>
      <c r="E195" s="83">
        <v>450.0</v>
      </c>
      <c r="F195" s="83">
        <v>2700.0</v>
      </c>
      <c r="G195" s="84">
        <v>44698.0</v>
      </c>
    </row>
    <row r="196">
      <c r="C196" s="82" t="s">
        <v>271</v>
      </c>
      <c r="D196" s="82" t="s">
        <v>147</v>
      </c>
      <c r="E196" s="83">
        <v>500.0</v>
      </c>
      <c r="F196" s="83">
        <v>1500.0</v>
      </c>
      <c r="G196" s="84">
        <v>44698.0</v>
      </c>
    </row>
    <row r="197">
      <c r="C197" s="82" t="s">
        <v>272</v>
      </c>
      <c r="D197" s="82">
        <v>1.0</v>
      </c>
      <c r="E197" s="83">
        <v>200.0</v>
      </c>
      <c r="F197" s="83">
        <v>200.0</v>
      </c>
      <c r="G197" s="84">
        <v>44698.0</v>
      </c>
    </row>
    <row r="198">
      <c r="C198" s="82" t="s">
        <v>158</v>
      </c>
      <c r="D198" s="82">
        <v>4.0</v>
      </c>
      <c r="E198" s="83">
        <v>40.0</v>
      </c>
      <c r="F198" s="83">
        <v>160.0</v>
      </c>
      <c r="G198" s="84">
        <v>44698.0</v>
      </c>
    </row>
    <row r="199">
      <c r="C199" s="82" t="s">
        <v>207</v>
      </c>
      <c r="D199" s="82" t="s">
        <v>273</v>
      </c>
      <c r="E199" s="83">
        <v>400.0</v>
      </c>
      <c r="F199" s="83">
        <v>200.0</v>
      </c>
      <c r="G199" s="84">
        <v>44698.0</v>
      </c>
    </row>
    <row r="200">
      <c r="C200" s="82" t="s">
        <v>274</v>
      </c>
      <c r="D200" s="82">
        <v>1.0</v>
      </c>
      <c r="E200" s="83">
        <v>450.0</v>
      </c>
      <c r="F200" s="83">
        <v>450.0</v>
      </c>
      <c r="G200" s="84">
        <v>44698.0</v>
      </c>
    </row>
    <row r="201">
      <c r="C201" s="82" t="s">
        <v>250</v>
      </c>
      <c r="D201" s="82">
        <v>1.0</v>
      </c>
      <c r="E201" s="83">
        <v>250.0</v>
      </c>
      <c r="F201" s="83">
        <v>250.0</v>
      </c>
      <c r="G201" s="84">
        <v>44698.0</v>
      </c>
    </row>
    <row r="202">
      <c r="C202" s="82" t="s">
        <v>275</v>
      </c>
      <c r="D202" s="82" t="s">
        <v>276</v>
      </c>
      <c r="E202" s="83" t="s">
        <v>156</v>
      </c>
      <c r="F202" s="83">
        <v>360.0</v>
      </c>
      <c r="G202" s="84">
        <v>44701.0</v>
      </c>
    </row>
    <row r="203">
      <c r="C203" s="82" t="s">
        <v>277</v>
      </c>
      <c r="D203" s="82">
        <v>3.0</v>
      </c>
      <c r="E203" s="83" t="s">
        <v>156</v>
      </c>
      <c r="F203" s="83">
        <v>300.0</v>
      </c>
      <c r="G203" s="84">
        <v>44701.0</v>
      </c>
    </row>
    <row r="204">
      <c r="C204" s="82" t="s">
        <v>75</v>
      </c>
      <c r="D204" s="82" t="s">
        <v>278</v>
      </c>
      <c r="E204" s="83">
        <v>120.0</v>
      </c>
      <c r="F204" s="83">
        <v>3840.0</v>
      </c>
      <c r="G204" s="84">
        <v>44701.0</v>
      </c>
    </row>
    <row r="205">
      <c r="C205" s="82" t="s">
        <v>164</v>
      </c>
      <c r="D205" s="82" t="s">
        <v>228</v>
      </c>
      <c r="E205" s="83">
        <v>40.0</v>
      </c>
      <c r="F205" s="83">
        <v>1600.0</v>
      </c>
      <c r="G205" s="84">
        <v>44701.0</v>
      </c>
    </row>
    <row r="206">
      <c r="C206" s="82" t="s">
        <v>279</v>
      </c>
      <c r="D206" s="82" t="s">
        <v>65</v>
      </c>
      <c r="E206" s="83">
        <v>120.0</v>
      </c>
      <c r="F206" s="83">
        <v>2400.0</v>
      </c>
      <c r="G206" s="84">
        <v>44701.0</v>
      </c>
    </row>
    <row r="207">
      <c r="C207" s="82" t="s">
        <v>232</v>
      </c>
      <c r="D207" s="82" t="s">
        <v>280</v>
      </c>
      <c r="E207" s="83">
        <v>1800.0</v>
      </c>
      <c r="F207" s="83">
        <v>6300.0</v>
      </c>
      <c r="G207" s="84">
        <v>44701.0</v>
      </c>
    </row>
    <row r="208">
      <c r="C208" s="82" t="s">
        <v>188</v>
      </c>
      <c r="D208" s="82">
        <v>15.0</v>
      </c>
      <c r="E208" s="83">
        <v>240.0</v>
      </c>
      <c r="F208" s="86">
        <f>E208*D208</f>
        <v>3600</v>
      </c>
      <c r="G208" s="84">
        <v>44701.0</v>
      </c>
    </row>
    <row r="209">
      <c r="C209" s="82" t="s">
        <v>153</v>
      </c>
      <c r="D209" s="82" t="s">
        <v>147</v>
      </c>
      <c r="E209" s="83">
        <v>700.0</v>
      </c>
      <c r="F209" s="83">
        <v>2100.0</v>
      </c>
      <c r="G209" s="84">
        <v>44701.0</v>
      </c>
    </row>
    <row r="210">
      <c r="C210" s="82" t="s">
        <v>75</v>
      </c>
      <c r="D210" s="82" t="s">
        <v>154</v>
      </c>
      <c r="E210" s="83">
        <v>120.0</v>
      </c>
      <c r="F210" s="83">
        <v>240.0</v>
      </c>
      <c r="G210" s="84">
        <v>44701.0</v>
      </c>
    </row>
    <row r="211">
      <c r="C211" s="82" t="s">
        <v>281</v>
      </c>
      <c r="D211" s="82">
        <v>9.0</v>
      </c>
      <c r="E211" s="83">
        <v>350.0</v>
      </c>
      <c r="F211" s="83">
        <v>3150.0</v>
      </c>
      <c r="G211" s="84">
        <v>44701.0</v>
      </c>
    </row>
    <row r="212">
      <c r="C212" s="82" t="s">
        <v>282</v>
      </c>
      <c r="D212" s="82">
        <v>1.0</v>
      </c>
      <c r="E212" s="83">
        <v>1150.0</v>
      </c>
      <c r="F212" s="83">
        <v>1150.0</v>
      </c>
      <c r="G212" s="84">
        <v>44698.0</v>
      </c>
    </row>
    <row r="213">
      <c r="C213" s="82" t="s">
        <v>283</v>
      </c>
      <c r="D213" s="82">
        <v>10.0</v>
      </c>
      <c r="E213" s="83">
        <v>190.0</v>
      </c>
      <c r="F213" s="83">
        <v>1900.0</v>
      </c>
      <c r="G213" s="84">
        <v>44698.0</v>
      </c>
    </row>
    <row r="214">
      <c r="C214" s="82" t="s">
        <v>284</v>
      </c>
      <c r="D214" s="82">
        <v>20.0</v>
      </c>
      <c r="E214" s="83">
        <v>200.0</v>
      </c>
      <c r="F214" s="83">
        <v>4000.0</v>
      </c>
      <c r="G214" s="84">
        <v>44698.0</v>
      </c>
    </row>
    <row r="215">
      <c r="C215" s="82" t="s">
        <v>221</v>
      </c>
      <c r="D215" s="82">
        <v>12.0</v>
      </c>
      <c r="E215" s="83">
        <v>593.25</v>
      </c>
      <c r="F215" s="86">
        <f>E215*D215</f>
        <v>7119</v>
      </c>
      <c r="G215" s="84">
        <v>44700.0</v>
      </c>
    </row>
    <row r="216">
      <c r="C216" s="82" t="s">
        <v>285</v>
      </c>
      <c r="D216" s="82">
        <v>100.0</v>
      </c>
      <c r="E216" s="83">
        <v>50.0</v>
      </c>
      <c r="F216" s="83">
        <v>5000.0</v>
      </c>
      <c r="G216" s="84">
        <v>44701.0</v>
      </c>
    </row>
    <row r="217">
      <c r="C217" s="82" t="s">
        <v>75</v>
      </c>
      <c r="D217" s="82" t="s">
        <v>185</v>
      </c>
      <c r="E217" s="83">
        <v>120.0</v>
      </c>
      <c r="F217" s="83">
        <v>1200.0</v>
      </c>
      <c r="G217" s="84">
        <v>44702.0</v>
      </c>
    </row>
    <row r="218">
      <c r="C218" s="82" t="s">
        <v>188</v>
      </c>
      <c r="D218" s="82">
        <v>14.0</v>
      </c>
      <c r="E218" s="83">
        <v>110.0</v>
      </c>
      <c r="F218" s="83">
        <v>1540.0</v>
      </c>
      <c r="G218" s="84">
        <v>44702.0</v>
      </c>
    </row>
    <row r="219">
      <c r="C219" s="82" t="s">
        <v>229</v>
      </c>
      <c r="D219" s="82" t="s">
        <v>154</v>
      </c>
      <c r="E219" s="83">
        <v>500.0</v>
      </c>
      <c r="F219" s="83">
        <v>1100.0</v>
      </c>
      <c r="G219" s="84">
        <v>44702.0</v>
      </c>
    </row>
    <row r="220">
      <c r="C220" s="82" t="s">
        <v>286</v>
      </c>
      <c r="D220" s="82" t="s">
        <v>149</v>
      </c>
      <c r="E220" s="83">
        <v>400.0</v>
      </c>
      <c r="F220" s="83">
        <v>400.0</v>
      </c>
      <c r="G220" s="84">
        <v>44702.0</v>
      </c>
    </row>
    <row r="221">
      <c r="C221" s="82" t="s">
        <v>244</v>
      </c>
      <c r="D221" s="82" t="s">
        <v>156</v>
      </c>
      <c r="E221" s="83">
        <v>200.0</v>
      </c>
      <c r="F221" s="83">
        <v>200.0</v>
      </c>
      <c r="G221" s="84" t="s">
        <v>287</v>
      </c>
    </row>
    <row r="222">
      <c r="C222" s="82" t="s">
        <v>157</v>
      </c>
      <c r="D222" s="82" t="s">
        <v>149</v>
      </c>
      <c r="E222" s="83">
        <v>120.0</v>
      </c>
      <c r="F222" s="83">
        <v>120.0</v>
      </c>
      <c r="G222" s="84">
        <v>44702.0</v>
      </c>
    </row>
    <row r="223">
      <c r="C223" s="82" t="s">
        <v>288</v>
      </c>
      <c r="D223" s="82" t="s">
        <v>149</v>
      </c>
      <c r="E223" s="83">
        <v>60.0</v>
      </c>
      <c r="F223" s="83">
        <v>60.0</v>
      </c>
      <c r="G223" s="84">
        <v>44702.0</v>
      </c>
    </row>
    <row r="224">
      <c r="C224" s="82" t="s">
        <v>289</v>
      </c>
      <c r="D224" s="82" t="s">
        <v>149</v>
      </c>
      <c r="E224" s="83">
        <v>300.0</v>
      </c>
      <c r="F224" s="83">
        <v>300.0</v>
      </c>
      <c r="G224" s="84">
        <v>44702.0</v>
      </c>
    </row>
    <row r="225">
      <c r="C225" s="82" t="s">
        <v>197</v>
      </c>
      <c r="D225" s="82" t="s">
        <v>149</v>
      </c>
      <c r="E225" s="83">
        <v>200.0</v>
      </c>
      <c r="F225" s="83">
        <v>200.0</v>
      </c>
      <c r="G225" s="84">
        <v>44702.0</v>
      </c>
    </row>
    <row r="226">
      <c r="C226" s="82" t="s">
        <v>290</v>
      </c>
      <c r="D226" s="82" t="s">
        <v>190</v>
      </c>
      <c r="E226" s="83">
        <v>400.0</v>
      </c>
      <c r="F226" s="83">
        <v>200.0</v>
      </c>
      <c r="G226" s="84">
        <v>44702.0</v>
      </c>
    </row>
    <row r="227">
      <c r="C227" s="82" t="s">
        <v>291</v>
      </c>
      <c r="D227" s="82">
        <v>1.0</v>
      </c>
      <c r="E227" s="83">
        <v>300.0</v>
      </c>
      <c r="F227" s="83">
        <v>300.0</v>
      </c>
      <c r="G227" s="84">
        <v>44702.0</v>
      </c>
    </row>
    <row r="228">
      <c r="C228" s="82" t="s">
        <v>282</v>
      </c>
      <c r="D228" s="82">
        <v>1.0</v>
      </c>
      <c r="E228" s="83">
        <v>1100.0</v>
      </c>
      <c r="F228" s="83">
        <v>1100.0</v>
      </c>
      <c r="G228" s="84">
        <v>44702.0</v>
      </c>
    </row>
    <row r="229">
      <c r="C229" s="82" t="s">
        <v>292</v>
      </c>
      <c r="D229" s="82">
        <v>2.0</v>
      </c>
      <c r="E229" s="83">
        <v>1500.0</v>
      </c>
      <c r="F229" s="83">
        <v>3000.0</v>
      </c>
      <c r="G229" s="84">
        <v>44702.0</v>
      </c>
    </row>
    <row r="230">
      <c r="C230" s="82" t="s">
        <v>199</v>
      </c>
      <c r="D230" s="82">
        <v>3.0</v>
      </c>
      <c r="E230" s="83">
        <v>250.0</v>
      </c>
      <c r="F230" s="83">
        <v>750.0</v>
      </c>
      <c r="G230" s="84">
        <v>44702.0</v>
      </c>
    </row>
    <row r="231">
      <c r="C231" s="82" t="s">
        <v>293</v>
      </c>
      <c r="D231" s="82">
        <v>6.0</v>
      </c>
      <c r="E231" s="83">
        <v>45.0</v>
      </c>
      <c r="F231" s="83">
        <v>270.0</v>
      </c>
      <c r="G231" s="84">
        <v>44702.0</v>
      </c>
    </row>
    <row r="232">
      <c r="C232" s="82" t="s">
        <v>294</v>
      </c>
      <c r="D232" s="82">
        <v>1.0</v>
      </c>
      <c r="E232" s="83">
        <v>300.0</v>
      </c>
      <c r="F232" s="83">
        <v>300.0</v>
      </c>
      <c r="G232" s="84">
        <v>44702.0</v>
      </c>
    </row>
    <row r="233">
      <c r="C233" s="82" t="s">
        <v>295</v>
      </c>
      <c r="D233" s="82">
        <v>4.0</v>
      </c>
      <c r="E233" s="83">
        <v>60.0</v>
      </c>
      <c r="F233" s="83">
        <v>240.0</v>
      </c>
      <c r="G233" s="84">
        <v>44702.0</v>
      </c>
    </row>
    <row r="234">
      <c r="C234" s="82" t="s">
        <v>296</v>
      </c>
      <c r="D234" s="82" t="s">
        <v>297</v>
      </c>
      <c r="E234" s="83">
        <v>450.0</v>
      </c>
      <c r="F234" s="83">
        <v>450.0</v>
      </c>
      <c r="G234" s="84">
        <v>44702.0</v>
      </c>
    </row>
    <row r="235">
      <c r="C235" s="82" t="s">
        <v>255</v>
      </c>
      <c r="D235" s="82" t="s">
        <v>256</v>
      </c>
      <c r="E235" s="83">
        <v>600.0</v>
      </c>
      <c r="F235" s="83">
        <v>900.0</v>
      </c>
      <c r="G235" s="84">
        <v>44703.0</v>
      </c>
    </row>
    <row r="236">
      <c r="C236" s="82" t="s">
        <v>157</v>
      </c>
      <c r="D236" s="82" t="s">
        <v>154</v>
      </c>
      <c r="E236" s="83">
        <v>150.0</v>
      </c>
      <c r="F236" s="83">
        <v>300.0</v>
      </c>
      <c r="G236" s="84">
        <v>44703.0</v>
      </c>
    </row>
    <row r="237">
      <c r="C237" s="82" t="s">
        <v>254</v>
      </c>
      <c r="D237" s="82" t="s">
        <v>147</v>
      </c>
      <c r="E237" s="83">
        <v>500.0</v>
      </c>
      <c r="F237" s="83">
        <v>1500.0</v>
      </c>
      <c r="G237" s="84">
        <v>44703.0</v>
      </c>
    </row>
    <row r="238">
      <c r="C238" s="82" t="s">
        <v>159</v>
      </c>
      <c r="D238" s="82">
        <v>3.0</v>
      </c>
      <c r="E238" s="83">
        <v>180.0</v>
      </c>
      <c r="F238" s="83">
        <v>540.0</v>
      </c>
      <c r="G238" s="84">
        <v>44703.0</v>
      </c>
    </row>
    <row r="239">
      <c r="C239" s="82" t="s">
        <v>138</v>
      </c>
      <c r="D239" s="82" t="s">
        <v>297</v>
      </c>
      <c r="E239" s="83">
        <v>450.0</v>
      </c>
      <c r="F239" s="83">
        <v>450.0</v>
      </c>
      <c r="G239" s="84">
        <v>44703.0</v>
      </c>
    </row>
    <row r="240">
      <c r="C240" s="82" t="s">
        <v>298</v>
      </c>
      <c r="D240" s="82" t="s">
        <v>299</v>
      </c>
      <c r="E240" s="83">
        <v>350.0</v>
      </c>
      <c r="F240" s="83">
        <v>1050.0</v>
      </c>
      <c r="G240" s="84">
        <v>44704.0</v>
      </c>
    </row>
    <row r="241">
      <c r="C241" s="82" t="s">
        <v>279</v>
      </c>
      <c r="D241" s="82" t="s">
        <v>300</v>
      </c>
      <c r="E241" s="83">
        <v>120.0</v>
      </c>
      <c r="F241" s="83">
        <v>1800.0</v>
      </c>
      <c r="G241" s="84">
        <v>44704.0</v>
      </c>
    </row>
    <row r="242">
      <c r="C242" s="82" t="s">
        <v>164</v>
      </c>
      <c r="D242" s="82" t="s">
        <v>301</v>
      </c>
      <c r="E242" s="83">
        <v>50.0</v>
      </c>
      <c r="F242" s="83">
        <v>1500.0</v>
      </c>
      <c r="G242" s="84">
        <v>44704.0</v>
      </c>
    </row>
    <row r="243">
      <c r="C243" s="82" t="s">
        <v>195</v>
      </c>
      <c r="D243" s="82" t="s">
        <v>173</v>
      </c>
      <c r="E243" s="83">
        <v>120.0</v>
      </c>
      <c r="F243" s="83">
        <v>300.0</v>
      </c>
      <c r="G243" s="84">
        <v>44704.0</v>
      </c>
    </row>
    <row r="244">
      <c r="C244" s="82" t="s">
        <v>175</v>
      </c>
      <c r="D244" s="82" t="s">
        <v>173</v>
      </c>
      <c r="E244" s="83">
        <v>80.0</v>
      </c>
      <c r="F244" s="83">
        <v>200.0</v>
      </c>
      <c r="G244" s="84">
        <v>44704.0</v>
      </c>
    </row>
    <row r="245">
      <c r="C245" s="82" t="s">
        <v>153</v>
      </c>
      <c r="D245" s="82" t="s">
        <v>154</v>
      </c>
      <c r="E245" s="83">
        <v>550.0</v>
      </c>
      <c r="F245" s="83">
        <v>1100.0</v>
      </c>
      <c r="G245" s="84">
        <v>44704.0</v>
      </c>
    </row>
    <row r="246">
      <c r="C246" s="82" t="s">
        <v>75</v>
      </c>
      <c r="D246" s="82" t="s">
        <v>302</v>
      </c>
      <c r="E246" s="83">
        <v>120.0</v>
      </c>
      <c r="F246" s="83">
        <v>600.0</v>
      </c>
      <c r="G246" s="84">
        <v>44704.0</v>
      </c>
    </row>
    <row r="247">
      <c r="C247" s="82" t="s">
        <v>303</v>
      </c>
      <c r="D247" s="82" t="s">
        <v>190</v>
      </c>
      <c r="E247" s="83">
        <v>1800.0</v>
      </c>
      <c r="F247" s="83">
        <v>1000.0</v>
      </c>
      <c r="G247" s="84">
        <v>44704.0</v>
      </c>
    </row>
    <row r="248">
      <c r="C248" s="82" t="s">
        <v>268</v>
      </c>
      <c r="D248" s="82">
        <v>3.0</v>
      </c>
      <c r="E248" s="83" t="s">
        <v>156</v>
      </c>
      <c r="F248" s="83">
        <v>300.0</v>
      </c>
      <c r="G248" s="84">
        <v>44704.0</v>
      </c>
    </row>
    <row r="249">
      <c r="C249" s="82" t="s">
        <v>304</v>
      </c>
      <c r="D249" s="82">
        <v>4.0</v>
      </c>
      <c r="E249" s="83">
        <v>150.0</v>
      </c>
      <c r="F249" s="83">
        <v>600.0</v>
      </c>
      <c r="G249" s="84">
        <v>44704.0</v>
      </c>
    </row>
    <row r="250">
      <c r="C250" s="82" t="s">
        <v>305</v>
      </c>
      <c r="D250" s="82">
        <v>2.0</v>
      </c>
      <c r="E250" s="83">
        <v>150.0</v>
      </c>
      <c r="F250" s="83">
        <v>300.0</v>
      </c>
      <c r="G250" s="84">
        <v>44704.0</v>
      </c>
    </row>
    <row r="251">
      <c r="C251" s="82" t="s">
        <v>306</v>
      </c>
      <c r="D251" s="82" t="s">
        <v>302</v>
      </c>
      <c r="E251" s="83">
        <v>12.0</v>
      </c>
      <c r="F251" s="83">
        <v>600.0</v>
      </c>
      <c r="G251" s="84">
        <v>44705.0</v>
      </c>
    </row>
    <row r="252">
      <c r="C252" s="82" t="s">
        <v>307</v>
      </c>
      <c r="D252" s="82" t="s">
        <v>308</v>
      </c>
      <c r="E252" s="83" t="s">
        <v>309</v>
      </c>
      <c r="F252" s="83">
        <v>2100.0</v>
      </c>
      <c r="G252" s="84">
        <v>44706.0</v>
      </c>
    </row>
    <row r="253">
      <c r="C253" s="82" t="s">
        <v>189</v>
      </c>
      <c r="D253" s="82" t="s">
        <v>154</v>
      </c>
      <c r="E253" s="83">
        <v>550.0</v>
      </c>
      <c r="F253" s="83">
        <v>1100.0</v>
      </c>
      <c r="G253" s="84">
        <v>44706.0</v>
      </c>
    </row>
    <row r="254">
      <c r="C254" s="82" t="s">
        <v>310</v>
      </c>
      <c r="D254" s="82">
        <v>5.0</v>
      </c>
      <c r="E254" s="83">
        <v>200.0</v>
      </c>
      <c r="F254" s="83">
        <v>1000.0</v>
      </c>
      <c r="G254" s="84">
        <v>44706.0</v>
      </c>
    </row>
    <row r="255">
      <c r="C255" s="82" t="s">
        <v>311</v>
      </c>
      <c r="D255" s="82" t="s">
        <v>210</v>
      </c>
      <c r="E255" s="83" t="s">
        <v>156</v>
      </c>
      <c r="F255" s="83">
        <v>300.0</v>
      </c>
      <c r="G255" s="84">
        <v>44706.0</v>
      </c>
    </row>
    <row r="256">
      <c r="C256" s="82" t="s">
        <v>303</v>
      </c>
      <c r="D256" s="82" t="s">
        <v>245</v>
      </c>
      <c r="E256" s="83">
        <v>1800.0</v>
      </c>
      <c r="F256" s="83">
        <v>600.0</v>
      </c>
      <c r="G256" s="84">
        <v>44706.0</v>
      </c>
    </row>
    <row r="257">
      <c r="C257" s="82" t="s">
        <v>312</v>
      </c>
      <c r="D257" s="82">
        <v>3.0</v>
      </c>
      <c r="E257" s="83">
        <v>120.0</v>
      </c>
      <c r="F257" s="83">
        <v>360.0</v>
      </c>
      <c r="G257" s="84">
        <v>44706.0</v>
      </c>
    </row>
    <row r="258">
      <c r="C258" s="82" t="s">
        <v>313</v>
      </c>
      <c r="D258" s="82">
        <v>2.0</v>
      </c>
      <c r="E258" s="83">
        <v>500.0</v>
      </c>
      <c r="F258" s="83">
        <v>1000.0</v>
      </c>
      <c r="G258" s="84">
        <v>44706.0</v>
      </c>
    </row>
    <row r="259">
      <c r="C259" s="82" t="s">
        <v>188</v>
      </c>
      <c r="D259" s="82">
        <v>170.0</v>
      </c>
      <c r="E259" s="83">
        <v>150.0</v>
      </c>
      <c r="F259" s="83">
        <v>25500.0</v>
      </c>
      <c r="G259" s="84">
        <v>44707.0</v>
      </c>
    </row>
    <row r="260">
      <c r="C260" s="82" t="s">
        <v>306</v>
      </c>
      <c r="D260" s="82" t="s">
        <v>314</v>
      </c>
      <c r="E260" s="83">
        <v>120.0</v>
      </c>
      <c r="F260" s="83">
        <v>10800.0</v>
      </c>
      <c r="G260" s="84">
        <v>44707.0</v>
      </c>
    </row>
    <row r="261">
      <c r="C261" s="82" t="s">
        <v>315</v>
      </c>
      <c r="D261" s="82" t="s">
        <v>316</v>
      </c>
      <c r="E261" s="83">
        <v>100.0</v>
      </c>
      <c r="F261" s="83">
        <v>2200.0</v>
      </c>
      <c r="G261" s="84">
        <v>44707.0</v>
      </c>
    </row>
    <row r="262">
      <c r="C262" s="82" t="s">
        <v>317</v>
      </c>
      <c r="D262" s="82">
        <v>10.0</v>
      </c>
      <c r="E262" s="83">
        <v>150.0</v>
      </c>
      <c r="F262" s="83">
        <v>1500.0</v>
      </c>
      <c r="G262" s="84">
        <v>44707.0</v>
      </c>
    </row>
    <row r="263">
      <c r="C263" s="82" t="s">
        <v>318</v>
      </c>
      <c r="D263" s="82">
        <v>3.0</v>
      </c>
      <c r="E263" s="83">
        <v>100.0</v>
      </c>
      <c r="F263" s="83">
        <v>300.0</v>
      </c>
      <c r="G263" s="84">
        <v>44707.0</v>
      </c>
    </row>
    <row r="264">
      <c r="C264" s="82" t="s">
        <v>319</v>
      </c>
      <c r="D264" s="82">
        <v>300.0</v>
      </c>
      <c r="E264" s="83">
        <v>1000.0</v>
      </c>
      <c r="F264" s="83">
        <v>300.0</v>
      </c>
      <c r="G264" s="84">
        <v>44707.0</v>
      </c>
    </row>
    <row r="265">
      <c r="C265" s="82" t="s">
        <v>320</v>
      </c>
      <c r="D265" s="82" t="s">
        <v>65</v>
      </c>
      <c r="E265" s="83">
        <v>50.0</v>
      </c>
      <c r="F265" s="83">
        <v>1000.0</v>
      </c>
      <c r="G265" s="84">
        <v>44707.0</v>
      </c>
    </row>
    <row r="266">
      <c r="C266" s="82" t="s">
        <v>279</v>
      </c>
      <c r="D266" s="82" t="s">
        <v>185</v>
      </c>
      <c r="E266" s="83">
        <v>120.0</v>
      </c>
      <c r="F266" s="83">
        <v>1200.0</v>
      </c>
      <c r="G266" s="84">
        <v>44707.0</v>
      </c>
    </row>
    <row r="267">
      <c r="C267" s="82" t="s">
        <v>321</v>
      </c>
      <c r="D267" s="82" t="s">
        <v>149</v>
      </c>
      <c r="E267" s="83">
        <v>600.0</v>
      </c>
      <c r="F267" s="83">
        <v>600.0</v>
      </c>
      <c r="G267" s="84">
        <v>44707.0</v>
      </c>
    </row>
    <row r="268">
      <c r="C268" s="82" t="s">
        <v>322</v>
      </c>
      <c r="D268" s="82">
        <v>4.0</v>
      </c>
      <c r="E268" s="83">
        <v>100.0</v>
      </c>
      <c r="F268" s="83">
        <v>400.0</v>
      </c>
      <c r="G268" s="84">
        <v>44707.0</v>
      </c>
    </row>
    <row r="269">
      <c r="C269" s="82" t="s">
        <v>323</v>
      </c>
      <c r="D269" s="82">
        <v>4.0</v>
      </c>
      <c r="E269" s="83">
        <v>100.0</v>
      </c>
      <c r="F269" s="83">
        <v>400.0</v>
      </c>
      <c r="G269" s="84">
        <v>44707.0</v>
      </c>
    </row>
    <row r="270">
      <c r="C270" s="82" t="s">
        <v>324</v>
      </c>
      <c r="D270" s="82" t="s">
        <v>154</v>
      </c>
      <c r="E270" s="83">
        <v>550.0</v>
      </c>
      <c r="F270" s="83">
        <v>1100.0</v>
      </c>
      <c r="G270" s="84">
        <v>44707.0</v>
      </c>
    </row>
    <row r="271">
      <c r="C271" s="82" t="s">
        <v>325</v>
      </c>
      <c r="D271" s="82">
        <v>30.0</v>
      </c>
      <c r="E271" s="83">
        <v>60.0</v>
      </c>
      <c r="F271" s="83">
        <v>1800.0</v>
      </c>
      <c r="G271" s="84">
        <v>44707.0</v>
      </c>
    </row>
    <row r="272">
      <c r="C272" s="82" t="s">
        <v>326</v>
      </c>
      <c r="D272" s="82">
        <v>60.0</v>
      </c>
      <c r="E272" s="83">
        <v>15.0</v>
      </c>
      <c r="F272" s="83">
        <v>900.0</v>
      </c>
      <c r="G272" s="84">
        <v>44707.0</v>
      </c>
    </row>
    <row r="273">
      <c r="C273" s="82" t="s">
        <v>164</v>
      </c>
      <c r="D273" s="82" t="s">
        <v>327</v>
      </c>
      <c r="E273" s="83">
        <v>60.0</v>
      </c>
      <c r="F273" s="83">
        <v>3000.0</v>
      </c>
      <c r="G273" s="84">
        <v>44707.0</v>
      </c>
    </row>
    <row r="274">
      <c r="C274" s="82" t="s">
        <v>328</v>
      </c>
      <c r="D274" s="82" t="s">
        <v>147</v>
      </c>
      <c r="E274" s="83">
        <v>600.0</v>
      </c>
      <c r="F274" s="83">
        <v>1800.0</v>
      </c>
      <c r="G274" s="84">
        <v>44709.0</v>
      </c>
    </row>
    <row r="275">
      <c r="C275" s="82" t="s">
        <v>329</v>
      </c>
      <c r="D275" s="82">
        <v>2.0</v>
      </c>
      <c r="E275" s="83">
        <v>250.0</v>
      </c>
      <c r="F275" s="83">
        <v>500.0</v>
      </c>
      <c r="G275" s="84">
        <v>44709.0</v>
      </c>
    </row>
    <row r="276">
      <c r="C276" s="82" t="s">
        <v>330</v>
      </c>
      <c r="D276" s="82">
        <v>1.0</v>
      </c>
      <c r="E276" s="83">
        <v>250.0</v>
      </c>
      <c r="F276" s="83">
        <v>250.0</v>
      </c>
      <c r="G276" s="84">
        <v>44709.0</v>
      </c>
    </row>
    <row r="277">
      <c r="C277" s="82" t="s">
        <v>331</v>
      </c>
      <c r="D277" s="82" t="s">
        <v>156</v>
      </c>
      <c r="E277" s="83" t="s">
        <v>156</v>
      </c>
      <c r="F277" s="83">
        <v>300.0</v>
      </c>
      <c r="G277" s="84">
        <v>44709.0</v>
      </c>
    </row>
    <row r="278">
      <c r="C278" s="82" t="s">
        <v>303</v>
      </c>
      <c r="D278" s="82" t="s">
        <v>149</v>
      </c>
      <c r="E278" s="83">
        <v>1800.0</v>
      </c>
      <c r="F278" s="83">
        <v>1800.0</v>
      </c>
      <c r="G278" s="84">
        <v>44709.0</v>
      </c>
    </row>
    <row r="279">
      <c r="C279" s="82" t="s">
        <v>244</v>
      </c>
      <c r="D279" s="82">
        <v>1.0</v>
      </c>
      <c r="E279" s="83">
        <v>200.0</v>
      </c>
      <c r="F279" s="83">
        <v>200.0</v>
      </c>
      <c r="G279" s="84">
        <v>44709.0</v>
      </c>
    </row>
    <row r="280">
      <c r="C280" s="82" t="s">
        <v>180</v>
      </c>
      <c r="D280" s="82" t="s">
        <v>190</v>
      </c>
      <c r="E280" s="83">
        <v>400.0</v>
      </c>
      <c r="F280" s="83">
        <v>200.0</v>
      </c>
      <c r="G280" s="84">
        <v>44709.0</v>
      </c>
    </row>
    <row r="281">
      <c r="C281" s="82" t="s">
        <v>332</v>
      </c>
      <c r="D281" s="82">
        <v>5.0</v>
      </c>
      <c r="E281" s="83">
        <v>20.0</v>
      </c>
      <c r="F281" s="83">
        <v>100.0</v>
      </c>
      <c r="G281" s="84">
        <v>44709.0</v>
      </c>
    </row>
    <row r="282">
      <c r="C282" s="82" t="s">
        <v>333</v>
      </c>
      <c r="D282" s="82" t="s">
        <v>149</v>
      </c>
      <c r="E282" s="83">
        <v>400.0</v>
      </c>
      <c r="F282" s="83">
        <v>400.0</v>
      </c>
      <c r="G282" s="84">
        <v>44709.0</v>
      </c>
    </row>
    <row r="283">
      <c r="C283" s="82" t="s">
        <v>334</v>
      </c>
      <c r="D283" s="85"/>
      <c r="E283" s="86"/>
      <c r="F283" s="83"/>
      <c r="G283" s="84"/>
    </row>
    <row r="284">
      <c r="C284" s="85"/>
      <c r="D284" s="85"/>
      <c r="E284" s="86"/>
      <c r="F284" s="86"/>
      <c r="G284" s="85"/>
    </row>
    <row r="285">
      <c r="C285" s="85"/>
      <c r="D285" s="85"/>
      <c r="E285" s="86"/>
      <c r="F285" s="86"/>
      <c r="G285" s="85"/>
    </row>
    <row r="286">
      <c r="C286" s="85"/>
      <c r="D286" s="85"/>
      <c r="E286" s="86"/>
      <c r="F286" s="86"/>
      <c r="G286" s="85"/>
    </row>
    <row r="287">
      <c r="C287" s="87"/>
      <c r="D287" s="87"/>
      <c r="E287" s="87"/>
      <c r="F287" s="88">
        <f>SUM(F3:F286)</f>
        <v>638644</v>
      </c>
      <c r="G287" s="8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75.5"/>
  </cols>
  <sheetData>
    <row r="1">
      <c r="A1" s="1"/>
      <c r="B1" s="2" t="s">
        <v>0</v>
      </c>
      <c r="C1" s="89" t="s">
        <v>335</v>
      </c>
      <c r="D1" s="2" t="s">
        <v>336</v>
      </c>
      <c r="E1" s="2" t="s">
        <v>337</v>
      </c>
      <c r="F1" s="2" t="s">
        <v>338</v>
      </c>
      <c r="G1" s="2" t="s">
        <v>339</v>
      </c>
      <c r="H1" s="2" t="s">
        <v>340</v>
      </c>
      <c r="I1" s="3" t="s">
        <v>341</v>
      </c>
      <c r="J1" s="2" t="s">
        <v>342</v>
      </c>
      <c r="K1" s="2" t="s">
        <v>343</v>
      </c>
      <c r="L1" s="2" t="s">
        <v>344</v>
      </c>
      <c r="M1" s="2" t="s">
        <v>345</v>
      </c>
      <c r="N1" s="3" t="s">
        <v>346</v>
      </c>
      <c r="O1" s="2" t="s">
        <v>347</v>
      </c>
      <c r="P1" s="2"/>
    </row>
    <row r="2">
      <c r="A2" s="9" t="s">
        <v>12</v>
      </c>
      <c r="B2" s="10">
        <v>44682.0</v>
      </c>
      <c r="C2" s="12">
        <v>0.0</v>
      </c>
      <c r="D2" s="12">
        <v>0.0</v>
      </c>
      <c r="E2" s="90">
        <v>0.0</v>
      </c>
      <c r="F2" s="12">
        <v>0.0</v>
      </c>
      <c r="G2" s="12">
        <v>0.0</v>
      </c>
      <c r="H2" s="12">
        <v>0.0</v>
      </c>
      <c r="I2" s="12">
        <v>0.0</v>
      </c>
      <c r="J2" s="12">
        <v>1.0</v>
      </c>
      <c r="K2" s="12">
        <v>1.0</v>
      </c>
      <c r="L2" s="12">
        <v>0.0</v>
      </c>
      <c r="M2" s="12">
        <v>1.0</v>
      </c>
      <c r="N2" s="12">
        <v>0.0</v>
      </c>
      <c r="O2" s="12">
        <v>1.0</v>
      </c>
      <c r="P2" s="5"/>
    </row>
    <row r="3">
      <c r="A3" s="9" t="s">
        <v>13</v>
      </c>
      <c r="B3" s="10">
        <v>44683.0</v>
      </c>
      <c r="C3" s="12">
        <v>0.0</v>
      </c>
      <c r="D3" s="12">
        <v>0.0</v>
      </c>
      <c r="E3" s="91">
        <v>0.0</v>
      </c>
      <c r="F3" s="12">
        <v>0.0</v>
      </c>
      <c r="G3" s="12">
        <v>0.0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5"/>
    </row>
    <row r="4">
      <c r="A4" s="9" t="s">
        <v>14</v>
      </c>
      <c r="B4" s="10">
        <v>44684.0</v>
      </c>
      <c r="C4" s="12">
        <v>0.0</v>
      </c>
      <c r="D4" s="12">
        <v>0.0</v>
      </c>
      <c r="E4" s="90">
        <v>0.0</v>
      </c>
      <c r="F4" s="12">
        <v>0.0</v>
      </c>
      <c r="G4" s="12">
        <v>0.0</v>
      </c>
      <c r="H4" s="12">
        <v>0.0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5"/>
    </row>
    <row r="5">
      <c r="A5" s="9" t="s">
        <v>17</v>
      </c>
      <c r="B5" s="10">
        <v>44685.0</v>
      </c>
      <c r="C5" s="12">
        <v>0.0</v>
      </c>
      <c r="D5" s="12">
        <v>0.5</v>
      </c>
      <c r="E5" s="90">
        <v>0.0</v>
      </c>
      <c r="F5" s="12">
        <v>0.0</v>
      </c>
      <c r="G5" s="12">
        <v>0.0</v>
      </c>
      <c r="H5" s="12">
        <v>0.5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5"/>
    </row>
    <row r="6">
      <c r="A6" s="9" t="s">
        <v>18</v>
      </c>
      <c r="B6" s="10">
        <v>44686.0</v>
      </c>
      <c r="C6" s="12">
        <v>0.0</v>
      </c>
      <c r="D6" s="12">
        <v>0.0</v>
      </c>
      <c r="E6" s="90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5"/>
    </row>
    <row r="7">
      <c r="A7" s="23" t="s">
        <v>20</v>
      </c>
      <c r="B7" s="24">
        <v>44687.0</v>
      </c>
      <c r="C7" s="27">
        <v>0.0</v>
      </c>
      <c r="D7" s="27">
        <v>0.0</v>
      </c>
      <c r="E7" s="92">
        <v>1.67</v>
      </c>
      <c r="F7" s="27">
        <v>0.0</v>
      </c>
      <c r="G7" s="27">
        <v>0.0</v>
      </c>
      <c r="H7" s="27">
        <v>0.0</v>
      </c>
      <c r="I7" s="27">
        <v>0.0</v>
      </c>
      <c r="J7" s="27">
        <v>0.0</v>
      </c>
      <c r="K7" s="27">
        <v>1.0</v>
      </c>
      <c r="L7" s="27">
        <v>1.0</v>
      </c>
      <c r="M7" s="27">
        <v>0.0</v>
      </c>
      <c r="N7" s="27">
        <v>0.0</v>
      </c>
      <c r="O7" s="27">
        <v>0.0</v>
      </c>
      <c r="P7" s="26"/>
    </row>
    <row r="8">
      <c r="A8" s="9" t="s">
        <v>21</v>
      </c>
      <c r="B8" s="10">
        <v>44688.0</v>
      </c>
      <c r="C8" s="12">
        <v>1.0</v>
      </c>
      <c r="D8" s="12">
        <v>1.0</v>
      </c>
      <c r="E8" s="90">
        <v>0.0</v>
      </c>
      <c r="F8" s="12">
        <v>1.0</v>
      </c>
      <c r="G8" s="12">
        <v>0.0</v>
      </c>
      <c r="H8" s="12">
        <v>1.0</v>
      </c>
      <c r="I8" s="12">
        <v>0.0</v>
      </c>
      <c r="J8" s="12">
        <v>1.0</v>
      </c>
      <c r="K8" s="12">
        <v>1.0</v>
      </c>
      <c r="L8" s="12">
        <v>0.0</v>
      </c>
      <c r="M8" s="12">
        <v>1.0</v>
      </c>
      <c r="N8" s="12">
        <v>0.0</v>
      </c>
      <c r="O8" s="12">
        <v>1.0</v>
      </c>
      <c r="P8" s="5"/>
    </row>
    <row r="9">
      <c r="A9" s="31" t="s">
        <v>12</v>
      </c>
      <c r="B9" s="32">
        <v>44689.0</v>
      </c>
      <c r="C9" s="12">
        <v>1.0</v>
      </c>
      <c r="D9" s="12">
        <v>1.0</v>
      </c>
      <c r="E9" s="12">
        <v>0.0</v>
      </c>
      <c r="F9" s="12">
        <v>1.0</v>
      </c>
      <c r="G9" s="12">
        <v>0.0</v>
      </c>
      <c r="H9" s="12">
        <v>1.0</v>
      </c>
      <c r="I9" s="12">
        <v>0.0</v>
      </c>
      <c r="J9" s="12">
        <v>1.0</v>
      </c>
      <c r="K9" s="12">
        <v>1.0</v>
      </c>
      <c r="L9" s="12">
        <v>0.0</v>
      </c>
      <c r="M9" s="12">
        <v>1.0</v>
      </c>
      <c r="N9" s="12">
        <v>0.0</v>
      </c>
      <c r="O9" s="12">
        <v>1.0</v>
      </c>
      <c r="P9" s="5"/>
    </row>
    <row r="10">
      <c r="A10" s="31" t="s">
        <v>13</v>
      </c>
      <c r="B10" s="32">
        <v>44690.0</v>
      </c>
      <c r="C10" s="12">
        <v>1.0</v>
      </c>
      <c r="D10" s="12">
        <v>1.0</v>
      </c>
      <c r="E10" s="12">
        <v>0.0</v>
      </c>
      <c r="F10" s="12">
        <v>1.0</v>
      </c>
      <c r="G10" s="12">
        <v>0.0</v>
      </c>
      <c r="H10" s="12">
        <v>1.0</v>
      </c>
      <c r="I10" s="12">
        <v>0.0</v>
      </c>
      <c r="J10" s="12">
        <v>0.5</v>
      </c>
      <c r="K10" s="12">
        <v>1.0</v>
      </c>
      <c r="L10" s="12">
        <v>1.0</v>
      </c>
      <c r="M10" s="12">
        <v>1.0</v>
      </c>
      <c r="N10" s="12">
        <v>0.0</v>
      </c>
      <c r="O10" s="12">
        <v>1.0</v>
      </c>
      <c r="P10" s="5"/>
    </row>
    <row r="11">
      <c r="A11" s="31" t="s">
        <v>14</v>
      </c>
      <c r="B11" s="32">
        <v>44691.0</v>
      </c>
      <c r="C11" s="12">
        <v>1.0</v>
      </c>
      <c r="D11" s="12">
        <v>1.0</v>
      </c>
      <c r="E11" s="12">
        <v>0.0</v>
      </c>
      <c r="F11" s="12">
        <v>1.0</v>
      </c>
      <c r="G11" s="12">
        <v>0.0</v>
      </c>
      <c r="H11" s="12">
        <v>0.0</v>
      </c>
      <c r="I11" s="12">
        <v>0.0</v>
      </c>
      <c r="J11" s="12">
        <v>1.0</v>
      </c>
      <c r="K11" s="12">
        <v>1.0</v>
      </c>
      <c r="L11" s="12">
        <v>1.0</v>
      </c>
      <c r="M11" s="12">
        <v>1.0</v>
      </c>
      <c r="N11" s="12">
        <v>0.0</v>
      </c>
      <c r="O11" s="12">
        <v>1.0</v>
      </c>
      <c r="P11" s="93" t="s">
        <v>348</v>
      </c>
    </row>
    <row r="12">
      <c r="A12" s="31" t="s">
        <v>17</v>
      </c>
      <c r="B12" s="32">
        <v>44692.0</v>
      </c>
      <c r="C12" s="12">
        <v>1.0</v>
      </c>
      <c r="D12" s="12">
        <v>0.5</v>
      </c>
      <c r="E12" s="12">
        <v>0.0</v>
      </c>
      <c r="F12" s="12">
        <v>0.0</v>
      </c>
      <c r="G12" s="12">
        <v>1.0</v>
      </c>
      <c r="H12" s="12">
        <v>1.0</v>
      </c>
      <c r="I12" s="12">
        <v>0.0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93" t="s">
        <v>349</v>
      </c>
    </row>
    <row r="13">
      <c r="A13" s="31" t="s">
        <v>18</v>
      </c>
      <c r="B13" s="32">
        <v>44693.0</v>
      </c>
      <c r="C13" s="12">
        <v>1.0</v>
      </c>
      <c r="D13" s="12">
        <v>0.0</v>
      </c>
      <c r="E13" s="12">
        <v>0.0</v>
      </c>
      <c r="F13" s="12">
        <v>0.5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93" t="s">
        <v>350</v>
      </c>
    </row>
    <row r="14">
      <c r="A14" s="23" t="s">
        <v>20</v>
      </c>
      <c r="B14" s="24">
        <v>44694.0</v>
      </c>
      <c r="C14" s="27">
        <v>1.0</v>
      </c>
      <c r="D14" s="27">
        <v>0.0</v>
      </c>
      <c r="E14" s="27">
        <v>0.0</v>
      </c>
      <c r="F14" s="27">
        <v>1.0</v>
      </c>
      <c r="G14" s="27">
        <v>1.0</v>
      </c>
      <c r="H14" s="27">
        <v>0.0</v>
      </c>
      <c r="I14" s="27">
        <v>1.0</v>
      </c>
      <c r="J14" s="27">
        <v>1.0</v>
      </c>
      <c r="K14" s="27">
        <v>1.0</v>
      </c>
      <c r="L14" s="27">
        <v>0.0</v>
      </c>
      <c r="M14" s="27">
        <v>0.0</v>
      </c>
      <c r="N14" s="27">
        <v>0.0</v>
      </c>
      <c r="O14" s="27">
        <v>1.0</v>
      </c>
      <c r="P14" s="94"/>
    </row>
    <row r="15">
      <c r="A15" s="31" t="s">
        <v>21</v>
      </c>
      <c r="B15" s="32">
        <v>44695.0</v>
      </c>
      <c r="C15" s="12">
        <v>1.0</v>
      </c>
      <c r="D15" s="12">
        <v>0.5</v>
      </c>
      <c r="E15" s="12">
        <v>0.0</v>
      </c>
      <c r="F15" s="12">
        <v>1.0</v>
      </c>
      <c r="G15" s="12">
        <v>0.0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93" t="s">
        <v>351</v>
      </c>
    </row>
    <row r="16">
      <c r="A16" s="31" t="s">
        <v>12</v>
      </c>
      <c r="B16" s="32">
        <v>44696.0</v>
      </c>
      <c r="C16" s="12">
        <v>1.0</v>
      </c>
      <c r="D16" s="12">
        <v>1.0</v>
      </c>
      <c r="E16" s="12">
        <v>0.0</v>
      </c>
      <c r="F16" s="12">
        <v>0.0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93" t="s">
        <v>352</v>
      </c>
    </row>
    <row r="17">
      <c r="A17" s="31" t="s">
        <v>13</v>
      </c>
      <c r="B17" s="32">
        <v>44697.0</v>
      </c>
      <c r="C17" s="9">
        <v>0.5</v>
      </c>
      <c r="D17" s="12">
        <v>1.0</v>
      </c>
      <c r="E17" s="9">
        <v>0.0</v>
      </c>
      <c r="F17" s="12">
        <v>0.0</v>
      </c>
      <c r="G17" s="9">
        <v>1.0</v>
      </c>
      <c r="H17" s="9">
        <v>0.0</v>
      </c>
      <c r="I17" s="9">
        <v>1.0</v>
      </c>
      <c r="J17" s="9">
        <v>1.0</v>
      </c>
      <c r="K17" s="12">
        <v>1.0</v>
      </c>
      <c r="L17" s="12">
        <v>1.0</v>
      </c>
      <c r="M17" s="12">
        <v>1.0</v>
      </c>
      <c r="N17" s="9">
        <v>1.0</v>
      </c>
      <c r="O17" s="9">
        <v>1.0</v>
      </c>
      <c r="P17" s="95" t="s">
        <v>353</v>
      </c>
    </row>
    <row r="18">
      <c r="A18" s="31" t="s">
        <v>14</v>
      </c>
      <c r="B18" s="32">
        <v>44698.0</v>
      </c>
      <c r="C18" s="12">
        <v>1.0</v>
      </c>
      <c r="D18" s="12">
        <v>0.5</v>
      </c>
      <c r="E18" s="12">
        <v>0.0</v>
      </c>
      <c r="F18" s="12">
        <v>0.0</v>
      </c>
      <c r="G18" s="12">
        <v>1.0</v>
      </c>
      <c r="H18" s="12">
        <v>0.5</v>
      </c>
      <c r="I18" s="12">
        <v>1.0</v>
      </c>
      <c r="J18" s="12">
        <v>0.5</v>
      </c>
      <c r="K18" s="12">
        <v>1.0</v>
      </c>
      <c r="L18" s="12">
        <v>0.0</v>
      </c>
      <c r="M18" s="12">
        <v>1.0</v>
      </c>
      <c r="N18" s="12">
        <v>1.0</v>
      </c>
      <c r="O18" s="12">
        <v>1.0</v>
      </c>
      <c r="P18" s="5"/>
    </row>
    <row r="19">
      <c r="A19" s="31" t="s">
        <v>17</v>
      </c>
      <c r="B19" s="32">
        <v>44699.0</v>
      </c>
      <c r="C19" s="9">
        <v>1.0</v>
      </c>
      <c r="D19" s="12">
        <v>1.0</v>
      </c>
      <c r="E19" s="12">
        <v>0.0</v>
      </c>
      <c r="F19" s="12">
        <v>1.0</v>
      </c>
      <c r="G19" s="12">
        <v>0.0</v>
      </c>
      <c r="H19" s="12">
        <v>1.0</v>
      </c>
      <c r="I19" s="12">
        <v>0.0</v>
      </c>
      <c r="J19" s="12">
        <v>1.0</v>
      </c>
      <c r="K19" s="12">
        <v>0.5</v>
      </c>
      <c r="L19" s="12">
        <v>1.0</v>
      </c>
      <c r="M19" s="12">
        <v>1.0</v>
      </c>
      <c r="N19" s="9">
        <v>1.0</v>
      </c>
      <c r="O19" s="9">
        <v>1.0</v>
      </c>
      <c r="P19" s="5"/>
    </row>
    <row r="20">
      <c r="A20" s="31" t="s">
        <v>18</v>
      </c>
      <c r="B20" s="32">
        <v>44700.0</v>
      </c>
      <c r="C20" s="12">
        <v>1.0</v>
      </c>
      <c r="D20" s="12">
        <v>1.0</v>
      </c>
      <c r="E20" s="12">
        <v>0.0</v>
      </c>
      <c r="F20" s="12">
        <v>0.0</v>
      </c>
      <c r="G20" s="12">
        <v>1.0</v>
      </c>
      <c r="H20" s="12">
        <v>1.0</v>
      </c>
      <c r="I20" s="12">
        <v>0.0</v>
      </c>
      <c r="J20" s="12">
        <v>1.0</v>
      </c>
      <c r="K20" s="12">
        <v>1.0</v>
      </c>
      <c r="L20" s="12">
        <v>1.0</v>
      </c>
      <c r="M20" s="12">
        <v>1.0</v>
      </c>
      <c r="N20" s="12">
        <v>1.0</v>
      </c>
      <c r="O20" s="12">
        <v>1.0</v>
      </c>
      <c r="P20" s="5"/>
    </row>
    <row r="21">
      <c r="A21" s="23" t="s">
        <v>20</v>
      </c>
      <c r="B21" s="24">
        <v>44701.0</v>
      </c>
      <c r="C21" s="27">
        <v>1.0</v>
      </c>
      <c r="D21" s="27">
        <v>1.0</v>
      </c>
      <c r="E21" s="27">
        <v>0.0</v>
      </c>
      <c r="F21" s="27">
        <v>0.0</v>
      </c>
      <c r="G21" s="27">
        <v>1.0</v>
      </c>
      <c r="H21" s="27">
        <v>0.0</v>
      </c>
      <c r="I21" s="27">
        <v>0.0</v>
      </c>
      <c r="J21" s="27">
        <v>0.0</v>
      </c>
      <c r="K21" s="27">
        <v>0.0</v>
      </c>
      <c r="L21" s="27">
        <v>0.0</v>
      </c>
      <c r="M21" s="96">
        <v>0.0</v>
      </c>
      <c r="N21" s="27">
        <v>1.0</v>
      </c>
      <c r="O21" s="27">
        <v>1.0</v>
      </c>
      <c r="P21" s="26"/>
    </row>
    <row r="22">
      <c r="A22" s="31" t="s">
        <v>21</v>
      </c>
      <c r="B22" s="32">
        <v>44702.0</v>
      </c>
      <c r="C22" s="12">
        <v>1.0</v>
      </c>
      <c r="D22" s="12">
        <v>0.5</v>
      </c>
      <c r="E22" s="12">
        <v>0.0</v>
      </c>
      <c r="F22" s="12">
        <v>1.0</v>
      </c>
      <c r="G22" s="12">
        <v>1.0</v>
      </c>
      <c r="H22" s="12">
        <v>0.5</v>
      </c>
      <c r="I22" s="12">
        <v>0.0</v>
      </c>
      <c r="J22" s="12">
        <v>1.0</v>
      </c>
      <c r="K22" s="12">
        <v>1.0</v>
      </c>
      <c r="L22" s="12">
        <v>0.0</v>
      </c>
      <c r="M22" s="12">
        <v>1.0</v>
      </c>
      <c r="N22" s="12">
        <v>0.0</v>
      </c>
      <c r="O22" s="12">
        <v>0.0</v>
      </c>
      <c r="P22" s="95" t="s">
        <v>354</v>
      </c>
    </row>
    <row r="23">
      <c r="A23" s="31" t="s">
        <v>12</v>
      </c>
      <c r="B23" s="32">
        <v>44703.0</v>
      </c>
      <c r="C23" s="12">
        <v>1.0</v>
      </c>
      <c r="D23" s="12">
        <v>1.0</v>
      </c>
      <c r="E23" s="12">
        <v>1.0</v>
      </c>
      <c r="F23" s="12">
        <v>1.0</v>
      </c>
      <c r="G23" s="12">
        <v>0.0</v>
      </c>
      <c r="H23" s="12">
        <v>1.0</v>
      </c>
      <c r="I23" s="12">
        <v>0.0</v>
      </c>
      <c r="J23" s="12">
        <v>1.0</v>
      </c>
      <c r="K23" s="12">
        <v>0.0</v>
      </c>
      <c r="L23" s="12">
        <v>1.0</v>
      </c>
      <c r="M23" s="12">
        <v>1.0</v>
      </c>
      <c r="N23" s="12">
        <v>0.0</v>
      </c>
      <c r="O23" s="12">
        <v>1.0</v>
      </c>
      <c r="P23" s="95" t="s">
        <v>355</v>
      </c>
    </row>
    <row r="24">
      <c r="A24" s="31" t="s">
        <v>13</v>
      </c>
      <c r="B24" s="32">
        <v>44704.0</v>
      </c>
      <c r="C24" s="12">
        <v>1.0</v>
      </c>
      <c r="D24" s="12">
        <v>1.0</v>
      </c>
      <c r="E24" s="12">
        <v>0.0</v>
      </c>
      <c r="F24" s="12">
        <v>0.0</v>
      </c>
      <c r="G24" s="12">
        <v>1.0</v>
      </c>
      <c r="H24" s="12">
        <v>0.5</v>
      </c>
      <c r="I24" s="12">
        <v>0.0</v>
      </c>
      <c r="J24" s="12">
        <v>1.0</v>
      </c>
      <c r="K24" s="12">
        <v>0.0</v>
      </c>
      <c r="L24" s="12">
        <v>1.0</v>
      </c>
      <c r="M24" s="12">
        <v>1.0</v>
      </c>
      <c r="N24" s="12">
        <v>0.0</v>
      </c>
      <c r="O24" s="12">
        <v>1.0</v>
      </c>
      <c r="P24" s="5"/>
    </row>
    <row r="25">
      <c r="A25" s="31" t="s">
        <v>14</v>
      </c>
      <c r="B25" s="32">
        <v>44705.0</v>
      </c>
      <c r="C25" s="9">
        <v>1.0</v>
      </c>
      <c r="D25" s="9">
        <v>1.0</v>
      </c>
      <c r="E25" s="9">
        <v>0.0</v>
      </c>
      <c r="F25" s="9">
        <v>0.0</v>
      </c>
      <c r="G25" s="9">
        <v>0.0</v>
      </c>
      <c r="H25" s="9">
        <v>1.0</v>
      </c>
      <c r="I25" s="9">
        <v>0.0</v>
      </c>
      <c r="J25" s="9">
        <v>0.0</v>
      </c>
      <c r="K25" s="9">
        <v>0.0</v>
      </c>
      <c r="L25" s="9">
        <v>1.0</v>
      </c>
      <c r="M25" s="9">
        <v>1.0</v>
      </c>
      <c r="N25" s="9">
        <v>0.0</v>
      </c>
      <c r="O25" s="9">
        <v>1.0</v>
      </c>
      <c r="P25" s="5"/>
    </row>
    <row r="26">
      <c r="A26" s="31" t="s">
        <v>17</v>
      </c>
      <c r="B26" s="32">
        <v>44706.0</v>
      </c>
      <c r="C26" s="9">
        <v>1.0</v>
      </c>
      <c r="D26" s="9">
        <v>1.0</v>
      </c>
      <c r="E26" s="9">
        <v>0.0</v>
      </c>
      <c r="F26" s="9">
        <v>0.0</v>
      </c>
      <c r="G26" s="9">
        <v>1.0</v>
      </c>
      <c r="H26" s="9">
        <v>0.5</v>
      </c>
      <c r="I26" s="9">
        <v>0.0</v>
      </c>
      <c r="J26" s="9">
        <v>1.0</v>
      </c>
      <c r="K26" s="9">
        <v>0.0</v>
      </c>
      <c r="L26" s="9">
        <v>1.0</v>
      </c>
      <c r="M26" s="9">
        <v>1.0</v>
      </c>
      <c r="N26" s="9">
        <v>0.0</v>
      </c>
      <c r="O26" s="9">
        <v>1.0</v>
      </c>
      <c r="P26" s="5"/>
    </row>
    <row r="27">
      <c r="A27" s="31" t="s">
        <v>18</v>
      </c>
      <c r="B27" s="32">
        <v>44707.0</v>
      </c>
      <c r="C27" s="9">
        <v>1.0</v>
      </c>
      <c r="D27" s="9">
        <v>1.0</v>
      </c>
      <c r="E27" s="9">
        <v>0.0</v>
      </c>
      <c r="F27" s="9">
        <v>1.0</v>
      </c>
      <c r="G27" s="9">
        <v>1.0</v>
      </c>
      <c r="H27" s="9">
        <v>1.0</v>
      </c>
      <c r="I27" s="9">
        <v>0.0</v>
      </c>
      <c r="J27" s="9">
        <v>1.0</v>
      </c>
      <c r="K27" s="9">
        <v>1.0</v>
      </c>
      <c r="L27" s="9">
        <v>1.5</v>
      </c>
      <c r="M27" s="9">
        <v>0.0</v>
      </c>
      <c r="N27" s="97">
        <v>1.5</v>
      </c>
      <c r="O27" s="9">
        <v>1.0</v>
      </c>
      <c r="P27" s="5"/>
    </row>
    <row r="28">
      <c r="A28" s="23" t="s">
        <v>20</v>
      </c>
      <c r="B28" s="24">
        <v>44708.0</v>
      </c>
      <c r="C28" s="23">
        <v>1.0</v>
      </c>
      <c r="D28" s="23">
        <v>0.0</v>
      </c>
      <c r="E28" s="23">
        <v>0.0</v>
      </c>
      <c r="F28" s="23">
        <v>1.0</v>
      </c>
      <c r="G28" s="23">
        <v>1.0</v>
      </c>
      <c r="H28" s="23">
        <v>0.0</v>
      </c>
      <c r="I28" s="23">
        <v>0.0</v>
      </c>
      <c r="J28" s="23">
        <v>0.0</v>
      </c>
      <c r="K28" s="23">
        <v>1.0</v>
      </c>
      <c r="L28" s="23">
        <v>0.0</v>
      </c>
      <c r="M28" s="23">
        <v>0.0</v>
      </c>
      <c r="N28" s="98">
        <v>0.0</v>
      </c>
      <c r="O28" s="23">
        <v>1.0</v>
      </c>
      <c r="P28" s="26"/>
    </row>
    <row r="29">
      <c r="A29" s="31" t="s">
        <v>21</v>
      </c>
      <c r="B29" s="32">
        <v>44709.0</v>
      </c>
      <c r="C29" s="9">
        <v>1.0</v>
      </c>
      <c r="D29" s="9">
        <v>0.5</v>
      </c>
      <c r="E29" s="9">
        <v>0.0</v>
      </c>
      <c r="F29" s="9">
        <v>0.5</v>
      </c>
      <c r="G29" s="9">
        <v>0.0</v>
      </c>
      <c r="H29" s="9">
        <v>0.5</v>
      </c>
      <c r="I29" s="9">
        <v>0.0</v>
      </c>
      <c r="J29" s="9">
        <v>1.0</v>
      </c>
      <c r="K29" s="9">
        <v>1.0</v>
      </c>
      <c r="L29" s="9">
        <v>1.0</v>
      </c>
      <c r="M29" s="9">
        <v>0.0</v>
      </c>
      <c r="N29" s="97">
        <v>1.0</v>
      </c>
      <c r="O29" s="9">
        <v>0.0</v>
      </c>
      <c r="P29" s="5"/>
    </row>
    <row r="30">
      <c r="A30" s="31" t="s">
        <v>12</v>
      </c>
      <c r="B30" s="32">
        <v>44710.0</v>
      </c>
      <c r="C30" s="9">
        <v>1.0</v>
      </c>
      <c r="D30" s="9">
        <v>1.0</v>
      </c>
      <c r="E30" s="9">
        <v>0.0</v>
      </c>
      <c r="F30" s="9">
        <v>1.0</v>
      </c>
      <c r="G30" s="9">
        <v>1.0</v>
      </c>
      <c r="H30" s="9">
        <v>1.0</v>
      </c>
      <c r="I30" s="9">
        <v>0.0</v>
      </c>
      <c r="J30" s="9">
        <v>1.0</v>
      </c>
      <c r="K30" s="9">
        <v>1.0</v>
      </c>
      <c r="L30" s="9">
        <v>0.0</v>
      </c>
      <c r="M30" s="9">
        <v>1.0</v>
      </c>
      <c r="N30" s="97">
        <v>0.0</v>
      </c>
      <c r="O30" s="9">
        <v>1.0</v>
      </c>
      <c r="P30" s="95" t="s">
        <v>356</v>
      </c>
    </row>
    <row r="31">
      <c r="A31" s="31" t="s">
        <v>13</v>
      </c>
      <c r="B31" s="32">
        <v>44711.0</v>
      </c>
      <c r="C31" s="9">
        <v>0.5</v>
      </c>
      <c r="D31" s="9">
        <v>1.0</v>
      </c>
      <c r="E31" s="9">
        <v>0.0</v>
      </c>
      <c r="F31" s="9">
        <v>1.0</v>
      </c>
      <c r="G31" s="9">
        <v>1.0</v>
      </c>
      <c r="H31" s="9">
        <v>1.0</v>
      </c>
      <c r="I31" s="9">
        <v>0.0</v>
      </c>
      <c r="J31" s="9">
        <v>0.0</v>
      </c>
      <c r="K31" s="9">
        <v>1.0</v>
      </c>
      <c r="L31" s="9">
        <v>1.0</v>
      </c>
      <c r="M31" s="9">
        <v>1.0</v>
      </c>
      <c r="N31" s="97"/>
      <c r="O31" s="9">
        <v>1.0</v>
      </c>
      <c r="P31" s="13"/>
    </row>
    <row r="32">
      <c r="A32" s="31" t="s">
        <v>14</v>
      </c>
      <c r="B32" s="32">
        <v>44712.0</v>
      </c>
      <c r="C32" s="9">
        <v>1.0</v>
      </c>
      <c r="D32" s="9">
        <v>1.0</v>
      </c>
      <c r="E32" s="9">
        <v>0.0</v>
      </c>
      <c r="F32" s="9">
        <v>1.0</v>
      </c>
      <c r="G32" s="9">
        <v>1.0</v>
      </c>
      <c r="H32" s="9">
        <v>0.0</v>
      </c>
      <c r="I32" s="9">
        <v>0.0</v>
      </c>
      <c r="J32" s="9">
        <v>1.0</v>
      </c>
      <c r="K32" s="9">
        <v>1.0</v>
      </c>
      <c r="L32" s="9">
        <v>1.0</v>
      </c>
      <c r="M32" s="9">
        <v>1.0</v>
      </c>
      <c r="N32" s="97">
        <v>0.0</v>
      </c>
      <c r="O32" s="9">
        <v>1.0</v>
      </c>
      <c r="P32" s="13"/>
    </row>
    <row r="33">
      <c r="A33" s="9"/>
      <c r="B33" s="12" t="s">
        <v>357</v>
      </c>
      <c r="C33" s="99">
        <f t="shared" ref="C33:O33" si="1">SUM(C2:C32)</f>
        <v>24</v>
      </c>
      <c r="D33" s="99">
        <f t="shared" si="1"/>
        <v>20</v>
      </c>
      <c r="E33" s="99">
        <f t="shared" si="1"/>
        <v>2.67</v>
      </c>
      <c r="F33" s="99">
        <f t="shared" si="1"/>
        <v>15</v>
      </c>
      <c r="G33" s="99">
        <f t="shared" si="1"/>
        <v>16</v>
      </c>
      <c r="H33" s="99">
        <f t="shared" si="1"/>
        <v>17</v>
      </c>
      <c r="I33" s="99">
        <f t="shared" si="1"/>
        <v>6</v>
      </c>
      <c r="J33" s="99">
        <f t="shared" si="1"/>
        <v>22</v>
      </c>
      <c r="K33" s="99">
        <f t="shared" si="1"/>
        <v>21.5</v>
      </c>
      <c r="L33" s="99">
        <f t="shared" si="1"/>
        <v>18.5</v>
      </c>
      <c r="M33" s="99">
        <f t="shared" si="1"/>
        <v>21</v>
      </c>
      <c r="N33" s="99">
        <f t="shared" si="1"/>
        <v>11.5</v>
      </c>
      <c r="O33" s="99">
        <f t="shared" si="1"/>
        <v>24</v>
      </c>
      <c r="P33" s="13"/>
    </row>
    <row r="34">
      <c r="C34" s="100">
        <v>2000.0</v>
      </c>
      <c r="D34" s="100">
        <v>1200.0</v>
      </c>
      <c r="E34" s="100">
        <v>1200.0</v>
      </c>
      <c r="F34" s="100">
        <v>1200.0</v>
      </c>
      <c r="G34" s="100">
        <v>1000.0</v>
      </c>
      <c r="H34" s="100">
        <v>1000.0</v>
      </c>
      <c r="I34" s="100">
        <v>600.0</v>
      </c>
      <c r="J34" s="100">
        <v>1000.0</v>
      </c>
      <c r="K34" s="100">
        <v>1000.0</v>
      </c>
      <c r="L34" s="100">
        <v>1000.0</v>
      </c>
      <c r="M34" s="100">
        <v>1200.0</v>
      </c>
      <c r="N34" s="100">
        <v>1000.0</v>
      </c>
      <c r="O34" s="100">
        <v>1200.0</v>
      </c>
      <c r="P34" s="13"/>
    </row>
    <row r="35">
      <c r="C35" s="101">
        <f t="shared" ref="C35:O35" si="2">C34*C33</f>
        <v>48000</v>
      </c>
      <c r="D35" s="101">
        <f t="shared" si="2"/>
        <v>24000</v>
      </c>
      <c r="E35" s="101">
        <f t="shared" si="2"/>
        <v>3204</v>
      </c>
      <c r="F35" s="101">
        <f t="shared" si="2"/>
        <v>18000</v>
      </c>
      <c r="G35" s="101">
        <f t="shared" si="2"/>
        <v>16000</v>
      </c>
      <c r="H35" s="101">
        <f t="shared" si="2"/>
        <v>17000</v>
      </c>
      <c r="I35" s="101">
        <f t="shared" si="2"/>
        <v>3600</v>
      </c>
      <c r="J35" s="101">
        <f t="shared" si="2"/>
        <v>22000</v>
      </c>
      <c r="K35" s="101">
        <f t="shared" si="2"/>
        <v>21500</v>
      </c>
      <c r="L35" s="101">
        <f t="shared" si="2"/>
        <v>18500</v>
      </c>
      <c r="M35" s="101">
        <f t="shared" si="2"/>
        <v>25200</v>
      </c>
      <c r="N35" s="101">
        <f t="shared" si="2"/>
        <v>11500</v>
      </c>
      <c r="O35" s="101">
        <f t="shared" si="2"/>
        <v>28800</v>
      </c>
      <c r="P35" s="57">
        <f>SUM(C35:O35)</f>
        <v>257304</v>
      </c>
    </row>
    <row r="43">
      <c r="H43" s="30">
        <v>257304.0</v>
      </c>
    </row>
    <row r="44">
      <c r="H44" s="30">
        <v>238501.0</v>
      </c>
    </row>
    <row r="45">
      <c r="H45" s="102">
        <f>H43-H44</f>
        <v>18803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8" max="8" width="24.25"/>
    <col customWidth="1" min="9" max="9" width="23.13"/>
    <col customWidth="1" min="10" max="10" width="30.88"/>
    <col customWidth="1" min="11" max="11" width="37.63"/>
  </cols>
  <sheetData>
    <row r="9">
      <c r="F9" s="22"/>
      <c r="G9" s="103" t="s">
        <v>358</v>
      </c>
      <c r="H9" s="103" t="s">
        <v>4</v>
      </c>
      <c r="I9" s="103" t="s">
        <v>359</v>
      </c>
      <c r="J9" s="28" t="s">
        <v>360</v>
      </c>
    </row>
    <row r="10">
      <c r="F10" s="45">
        <v>1.0</v>
      </c>
      <c r="G10" s="45" t="s">
        <v>335</v>
      </c>
      <c r="H10" s="17">
        <f>'Pointage '!C35*1</f>
        <v>48000</v>
      </c>
      <c r="I10" s="11">
        <v>48000.0</v>
      </c>
      <c r="J10" s="17">
        <f t="shared" ref="J10:J22" si="1">H10-I10</f>
        <v>0</v>
      </c>
      <c r="K10" s="104">
        <v>48000.0</v>
      </c>
    </row>
    <row r="11">
      <c r="F11" s="45">
        <v>2.0</v>
      </c>
      <c r="G11" s="45" t="s">
        <v>336</v>
      </c>
      <c r="H11" s="17">
        <f>'Pointage '!D35*1</f>
        <v>24000</v>
      </c>
      <c r="I11" s="11">
        <v>24000.0</v>
      </c>
      <c r="J11" s="17">
        <f t="shared" si="1"/>
        <v>0</v>
      </c>
      <c r="K11" s="104" t="s">
        <v>361</v>
      </c>
    </row>
    <row r="12">
      <c r="F12" s="45">
        <v>3.0</v>
      </c>
      <c r="G12" s="45" t="s">
        <v>362</v>
      </c>
      <c r="H12" s="17">
        <f>'Pointage '!E35*1</f>
        <v>3204</v>
      </c>
      <c r="I12" s="11">
        <v>3200.0</v>
      </c>
      <c r="J12" s="17">
        <f t="shared" si="1"/>
        <v>4</v>
      </c>
      <c r="K12" s="104" t="s">
        <v>363</v>
      </c>
    </row>
    <row r="13">
      <c r="F13" s="45">
        <v>4.0</v>
      </c>
      <c r="G13" s="45" t="s">
        <v>338</v>
      </c>
      <c r="H13" s="17">
        <f>'Pointage '!F35*1</f>
        <v>18000</v>
      </c>
      <c r="I13" s="11">
        <v>18000.0</v>
      </c>
      <c r="J13" s="17">
        <f t="shared" si="1"/>
        <v>0</v>
      </c>
      <c r="K13" s="104" t="s">
        <v>364</v>
      </c>
    </row>
    <row r="14">
      <c r="F14" s="45">
        <v>6.0</v>
      </c>
      <c r="G14" s="45" t="s">
        <v>365</v>
      </c>
      <c r="H14" s="17">
        <f>'Pointage '!G35*1</f>
        <v>16000</v>
      </c>
      <c r="I14" s="11">
        <v>16000.0</v>
      </c>
      <c r="J14" s="17">
        <f t="shared" si="1"/>
        <v>0</v>
      </c>
      <c r="K14" s="105"/>
    </row>
    <row r="15">
      <c r="F15" s="45">
        <v>7.0</v>
      </c>
      <c r="G15" s="45" t="s">
        <v>366</v>
      </c>
      <c r="H15" s="17">
        <f>'Pointage '!H35*1</f>
        <v>17000</v>
      </c>
      <c r="I15" s="11">
        <v>17000.0</v>
      </c>
      <c r="J15" s="17">
        <f t="shared" si="1"/>
        <v>0</v>
      </c>
      <c r="K15" s="104" t="s">
        <v>367</v>
      </c>
    </row>
    <row r="16">
      <c r="F16" s="45">
        <v>8.0</v>
      </c>
      <c r="G16" s="45" t="s">
        <v>343</v>
      </c>
      <c r="H16" s="17">
        <f>'Pointage '!K35*1</f>
        <v>21500</v>
      </c>
      <c r="I16" s="11">
        <v>21500.0</v>
      </c>
      <c r="J16" s="17">
        <f t="shared" si="1"/>
        <v>0</v>
      </c>
      <c r="K16" s="104" t="s">
        <v>368</v>
      </c>
    </row>
    <row r="17">
      <c r="F17" s="45">
        <v>9.0</v>
      </c>
      <c r="G17" s="45" t="s">
        <v>369</v>
      </c>
      <c r="H17" s="17">
        <f>'Pointage '!M35*1</f>
        <v>25200</v>
      </c>
      <c r="I17" s="11">
        <v>25200.0</v>
      </c>
      <c r="J17" s="17">
        <f t="shared" si="1"/>
        <v>0</v>
      </c>
      <c r="K17" s="104" t="s">
        <v>370</v>
      </c>
    </row>
    <row r="18">
      <c r="F18" s="45">
        <v>11.0</v>
      </c>
      <c r="G18" s="45" t="s">
        <v>371</v>
      </c>
      <c r="H18" s="17">
        <f>'Pointage '!L35*1</f>
        <v>18500</v>
      </c>
      <c r="I18" s="11">
        <v>18500.0</v>
      </c>
      <c r="J18" s="17">
        <f t="shared" si="1"/>
        <v>0</v>
      </c>
      <c r="K18" s="104" t="s">
        <v>372</v>
      </c>
    </row>
    <row r="19">
      <c r="F19" s="45">
        <v>12.0</v>
      </c>
      <c r="G19" s="45" t="s">
        <v>373</v>
      </c>
      <c r="H19" s="17">
        <f>'Pointage '!J35*1</f>
        <v>22000</v>
      </c>
      <c r="I19" s="11">
        <v>22000.0</v>
      </c>
      <c r="J19" s="17">
        <f t="shared" si="1"/>
        <v>0</v>
      </c>
      <c r="K19" s="30" t="s">
        <v>374</v>
      </c>
    </row>
    <row r="20">
      <c r="F20" s="106">
        <v>13.0</v>
      </c>
      <c r="G20" s="106" t="s">
        <v>375</v>
      </c>
      <c r="H20" s="17">
        <f>'Pointage '!I35*1</f>
        <v>3600</v>
      </c>
      <c r="I20" s="11">
        <v>3600.0</v>
      </c>
      <c r="J20" s="17">
        <f t="shared" si="1"/>
        <v>0</v>
      </c>
    </row>
    <row r="21">
      <c r="F21" s="106">
        <v>14.0</v>
      </c>
      <c r="G21" s="106" t="s">
        <v>376</v>
      </c>
      <c r="H21" s="17">
        <f>'Pointage '!N35*1</f>
        <v>11500</v>
      </c>
      <c r="I21" s="11">
        <v>11500.0</v>
      </c>
      <c r="J21" s="17">
        <f t="shared" si="1"/>
        <v>0</v>
      </c>
      <c r="K21" s="30" t="s">
        <v>377</v>
      </c>
      <c r="L21" s="30" t="s">
        <v>378</v>
      </c>
    </row>
    <row r="22">
      <c r="F22" s="106">
        <v>15.0</v>
      </c>
      <c r="G22" s="45" t="s">
        <v>379</v>
      </c>
      <c r="H22" s="17">
        <f>'Pointage '!O35*1</f>
        <v>28800</v>
      </c>
      <c r="I22" s="11">
        <v>28800.0</v>
      </c>
      <c r="J22" s="17">
        <f t="shared" si="1"/>
        <v>0</v>
      </c>
      <c r="K22" s="30" t="s">
        <v>380</v>
      </c>
    </row>
    <row r="23">
      <c r="F23" s="22"/>
      <c r="G23" s="107" t="s">
        <v>381</v>
      </c>
      <c r="H23" s="47">
        <f t="shared" ref="H23:J23" si="2">SUM(H10:H22)</f>
        <v>257304</v>
      </c>
      <c r="I23" s="47">
        <f t="shared" si="2"/>
        <v>257300</v>
      </c>
      <c r="J23" s="37">
        <f t="shared" si="2"/>
        <v>4</v>
      </c>
    </row>
    <row r="24">
      <c r="F24" s="22"/>
      <c r="G24" s="38">
        <f>H23-I23</f>
        <v>4</v>
      </c>
      <c r="H24" s="22"/>
      <c r="I24" s="22"/>
      <c r="J24" s="36">
        <f>H24-I24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0"/>
    <col customWidth="1" min="8" max="8" width="24.88"/>
    <col customWidth="1" min="9" max="9" width="20.88"/>
    <col customWidth="1" min="10" max="10" width="19.88"/>
    <col customWidth="1" min="11" max="11" width="19.13"/>
    <col customWidth="1" min="12" max="13" width="22.13"/>
  </cols>
  <sheetData>
    <row r="9">
      <c r="G9" s="22"/>
      <c r="H9" s="22"/>
      <c r="I9" s="22"/>
      <c r="J9" s="22"/>
      <c r="K9" s="22"/>
      <c r="L9" s="22"/>
      <c r="M9" s="22"/>
    </row>
    <row r="10">
      <c r="G10" s="22"/>
      <c r="H10" s="108" t="s">
        <v>382</v>
      </c>
      <c r="I10" s="108" t="s">
        <v>383</v>
      </c>
      <c r="J10" s="108" t="s">
        <v>47</v>
      </c>
      <c r="K10" s="108" t="s">
        <v>384</v>
      </c>
      <c r="L10" s="109" t="s">
        <v>385</v>
      </c>
      <c r="M10" s="108" t="s">
        <v>8</v>
      </c>
    </row>
    <row r="11">
      <c r="G11" s="28" t="s">
        <v>2</v>
      </c>
      <c r="H11" s="47">
        <v>1051000.0</v>
      </c>
      <c r="I11" s="47">
        <v>1300000.0</v>
      </c>
      <c r="J11" s="46">
        <v>700000.0</v>
      </c>
      <c r="K11" s="47">
        <v>2197000.0</v>
      </c>
      <c r="L11" s="46">
        <v>1186000.0</v>
      </c>
      <c r="M11" s="46">
        <v>1400000.0</v>
      </c>
    </row>
    <row r="12">
      <c r="G12" s="28" t="s">
        <v>3</v>
      </c>
      <c r="H12" s="47">
        <v>435000.0</v>
      </c>
      <c r="I12" s="47">
        <v>462400.0</v>
      </c>
      <c r="J12" s="46">
        <v>690000.0</v>
      </c>
      <c r="K12" s="47">
        <v>1033000.0</v>
      </c>
      <c r="L12" s="46">
        <v>639000.0</v>
      </c>
      <c r="M12" s="47"/>
    </row>
    <row r="13">
      <c r="G13" s="28" t="s">
        <v>386</v>
      </c>
      <c r="H13" s="47">
        <v>226000.0</v>
      </c>
      <c r="I13" s="47">
        <v>277600.0</v>
      </c>
      <c r="J13" s="46">
        <v>300000.0</v>
      </c>
      <c r="K13" s="47">
        <v>331500.0</v>
      </c>
      <c r="L13" s="46">
        <v>257000.0</v>
      </c>
      <c r="M13" s="47"/>
    </row>
    <row r="14">
      <c r="G14" s="28" t="s">
        <v>5</v>
      </c>
      <c r="H14" s="47">
        <v>90000.0</v>
      </c>
      <c r="I14" s="47">
        <v>90000.0</v>
      </c>
      <c r="J14" s="46">
        <v>110000.0</v>
      </c>
      <c r="K14" s="47">
        <v>110000.0</v>
      </c>
      <c r="L14" s="46">
        <v>110000.0</v>
      </c>
      <c r="M14" s="46">
        <v>110000.0</v>
      </c>
    </row>
    <row r="15">
      <c r="G15" s="28" t="s">
        <v>387</v>
      </c>
      <c r="H15" s="47">
        <v>300000.0</v>
      </c>
      <c r="I15" s="47">
        <v>470000.0</v>
      </c>
      <c r="J15" s="47">
        <v>600000.0</v>
      </c>
      <c r="K15" s="47">
        <v>720000.0</v>
      </c>
      <c r="L15" s="46">
        <v>180000.0</v>
      </c>
      <c r="M15" s="47"/>
    </row>
    <row r="16">
      <c r="G16" s="1"/>
      <c r="H16" s="1"/>
      <c r="I16" s="1"/>
      <c r="J16" s="1"/>
      <c r="K16" s="1"/>
      <c r="L16" s="1"/>
      <c r="M16" s="1"/>
    </row>
    <row r="17">
      <c r="G17" s="1"/>
      <c r="H17" s="1"/>
      <c r="I17" s="1"/>
      <c r="J17" s="1"/>
      <c r="K17" s="1"/>
      <c r="L17" s="1"/>
      <c r="M17" s="1"/>
    </row>
    <row r="18">
      <c r="G18" s="1"/>
      <c r="H18" s="1"/>
      <c r="I18" s="1"/>
      <c r="J18" s="1"/>
      <c r="K18" s="1"/>
      <c r="L18" s="1"/>
      <c r="M18" s="1"/>
    </row>
    <row r="19">
      <c r="G19" s="1"/>
      <c r="H19" s="1"/>
      <c r="I19" s="1"/>
      <c r="J19" s="1"/>
      <c r="K19" s="1"/>
      <c r="L19" s="1"/>
      <c r="M19" s="1"/>
    </row>
    <row r="20">
      <c r="G20" s="1"/>
      <c r="H20" s="1"/>
      <c r="I20" s="1"/>
      <c r="J20" s="1"/>
      <c r="K20" s="1"/>
      <c r="L20" s="1"/>
      <c r="M20" s="1"/>
    </row>
    <row r="21">
      <c r="G21" s="1"/>
      <c r="H21" s="1"/>
      <c r="I21" s="22"/>
      <c r="J21" s="1"/>
      <c r="K21" s="1"/>
      <c r="L21" s="1"/>
      <c r="M21" s="1"/>
    </row>
    <row r="22">
      <c r="G22" s="1"/>
      <c r="H22" s="22"/>
      <c r="I22" s="6" t="s">
        <v>388</v>
      </c>
      <c r="J22" s="1"/>
      <c r="K22" s="1"/>
      <c r="L22" s="1"/>
      <c r="M22" s="1"/>
    </row>
    <row r="23">
      <c r="G23" s="22"/>
      <c r="H23" s="45" t="s">
        <v>389</v>
      </c>
      <c r="I23" s="110">
        <v>42000.0</v>
      </c>
      <c r="J23" s="1"/>
      <c r="K23" s="1"/>
      <c r="L23" s="1"/>
      <c r="M23" s="1"/>
    </row>
    <row r="24">
      <c r="G24" s="22"/>
      <c r="H24" s="45" t="s">
        <v>16</v>
      </c>
      <c r="I24" s="110">
        <v>50000.0</v>
      </c>
      <c r="J24" s="1"/>
      <c r="K24" s="1"/>
      <c r="L24" s="1"/>
      <c r="M24" s="1"/>
    </row>
    <row r="25">
      <c r="G25" s="1"/>
      <c r="H25" s="1"/>
      <c r="I25" s="1"/>
      <c r="J25" s="1"/>
      <c r="K25" s="1"/>
      <c r="L25" s="1"/>
      <c r="M25" s="1"/>
    </row>
  </sheetData>
  <drawing r:id="rId1"/>
</worksheet>
</file>