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Charges" sheetId="2" r:id="rId5"/>
    <sheet state="visible" name="Pointage" sheetId="3" r:id="rId6"/>
    <sheet state="visible" name="Salaires" sheetId="4" r:id="rId7"/>
    <sheet state="visible" name="Statistiques ADS" sheetId="5" r:id="rId8"/>
  </sheets>
  <definedNames/>
  <calcPr/>
</workbook>
</file>

<file path=xl/sharedStrings.xml><?xml version="1.0" encoding="utf-8"?>
<sst xmlns="http://schemas.openxmlformats.org/spreadsheetml/2006/main" count="690" uniqueCount="393">
  <si>
    <t>Date</t>
  </si>
  <si>
    <t>Recette  de juin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</si>
  <si>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</si>
  <si>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</si>
  <si>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</si>
  <si>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</si>
  <si>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</si>
  <si>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</si>
  <si>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</si>
  <si>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Juin</t>
  </si>
  <si>
    <t xml:space="preserve">Moyenne </t>
  </si>
  <si>
    <t>Jeudi</t>
  </si>
  <si>
    <t>Vendredi</t>
  </si>
  <si>
    <t>Samedi</t>
  </si>
  <si>
    <t>Dimanche</t>
  </si>
  <si>
    <t>Lundi</t>
  </si>
  <si>
    <t>Mardi</t>
  </si>
  <si>
    <t>Mercredi</t>
  </si>
  <si>
    <t>Différence mois d'Avril</t>
  </si>
  <si>
    <t xml:space="preserve">Cash restant </t>
  </si>
  <si>
    <t>Magasin</t>
  </si>
  <si>
    <t xml:space="preserve">Différence objectif </t>
  </si>
  <si>
    <t>Accentis 07/07/2021</t>
  </si>
  <si>
    <t>Accentis  08/07/2021</t>
  </si>
  <si>
    <t>Accentis  09/07/2021</t>
  </si>
  <si>
    <t>Accentis 10/07/2021</t>
  </si>
  <si>
    <t>cash supposé</t>
  </si>
  <si>
    <t>loyer</t>
  </si>
  <si>
    <t>cash réel</t>
  </si>
  <si>
    <t>Sofiane</t>
  </si>
  <si>
    <t>40000+10000</t>
  </si>
  <si>
    <t>.</t>
  </si>
  <si>
    <t>Mois de juin</t>
  </si>
  <si>
    <t>Produit</t>
  </si>
  <si>
    <t>Quantité</t>
  </si>
  <si>
    <t xml:space="preserve">Prix unitaire </t>
  </si>
  <si>
    <t>Prix</t>
  </si>
  <si>
    <t>Date d'achat</t>
  </si>
  <si>
    <t xml:space="preserve">eau miniral grande bouteille </t>
  </si>
  <si>
    <t>10 fardeaux</t>
  </si>
  <si>
    <t>eau miniral petite bouteille</t>
  </si>
  <si>
    <t>6 fardeaux</t>
  </si>
  <si>
    <t>Rouiba 20cl</t>
  </si>
  <si>
    <t xml:space="preserve">Coca canette </t>
  </si>
  <si>
    <t xml:space="preserve">Rouiba 33cl </t>
  </si>
  <si>
    <t>Hamoud 33cl</t>
  </si>
  <si>
    <t>Coca 33cl</t>
  </si>
  <si>
    <t>Pepsi</t>
  </si>
  <si>
    <t>Ifruit 33 cl</t>
  </si>
  <si>
    <t xml:space="preserve">semoule fine 25 kg </t>
  </si>
  <si>
    <t>margarine 500g</t>
  </si>
  <si>
    <t>margarine 250 g</t>
  </si>
  <si>
    <t>Boites 36/07</t>
  </si>
  <si>
    <t>alumnium</t>
  </si>
  <si>
    <t>Sorbet</t>
  </si>
  <si>
    <t>barquette 1185</t>
  </si>
  <si>
    <t>chedar</t>
  </si>
  <si>
    <t>3.40kg</t>
  </si>
  <si>
    <t>Fromage bidon</t>
  </si>
  <si>
    <t xml:space="preserve">levure de bièrre </t>
  </si>
  <si>
    <t xml:space="preserve">sachet de transparent </t>
  </si>
  <si>
    <t>3o9ach</t>
  </si>
  <si>
    <t>fromage spéciale pizza</t>
  </si>
  <si>
    <t>11.5kg</t>
  </si>
  <si>
    <t>Farine Sim 5kg</t>
  </si>
  <si>
    <t>boite GM</t>
  </si>
  <si>
    <t>1 fardeau</t>
  </si>
  <si>
    <t>Boite PM</t>
  </si>
  <si>
    <t>démarcheur</t>
  </si>
  <si>
    <t xml:space="preserve">Huile 5 litres Elio la concorde </t>
  </si>
  <si>
    <t xml:space="preserve">Huile 5 litres Elio </t>
  </si>
  <si>
    <t xml:space="preserve">Semoule fine Boumsail 25kg </t>
  </si>
  <si>
    <t xml:space="preserve">semoule fine Sim 25kg </t>
  </si>
  <si>
    <t>semoule sim moyenne 2kg</t>
  </si>
  <si>
    <t>Semoule fine Mama + Amor Ben Amor</t>
  </si>
  <si>
    <t xml:space="preserve">maa zehar </t>
  </si>
  <si>
    <t>miel</t>
  </si>
  <si>
    <t>sucre glace</t>
  </si>
  <si>
    <t>semen Madina 1.8kg</t>
  </si>
  <si>
    <t>eau miniral 5 litre s</t>
  </si>
  <si>
    <t>épices chawarma et poulet roti</t>
  </si>
  <si>
    <t>1kg</t>
  </si>
  <si>
    <t>7abet 7alawa</t>
  </si>
  <si>
    <t>lait en poudre</t>
  </si>
  <si>
    <t>5kg</t>
  </si>
  <si>
    <t>Semoule fine 25kg</t>
  </si>
  <si>
    <t>noix de cajoux +250g abricot séché+100g 3awina + zebib+pèche+fraise+banane+kiwi</t>
  </si>
  <si>
    <t>/</t>
  </si>
  <si>
    <t xml:space="preserve">nappage+2 crème fraiche+thon + crème chantillé </t>
  </si>
  <si>
    <t>rechta</t>
  </si>
  <si>
    <t>20kg</t>
  </si>
  <si>
    <t xml:space="preserve">huile Fridor 5litre </t>
  </si>
  <si>
    <t>poulet haché</t>
  </si>
  <si>
    <t>2kg</t>
  </si>
  <si>
    <t>épinards</t>
  </si>
  <si>
    <t>citron</t>
  </si>
  <si>
    <t>décapant</t>
  </si>
  <si>
    <t>pois chiche</t>
  </si>
  <si>
    <t>4kg</t>
  </si>
  <si>
    <t xml:space="preserve">rechta </t>
  </si>
  <si>
    <t>15kg</t>
  </si>
  <si>
    <t>cuissses de poulet</t>
  </si>
  <si>
    <t xml:space="preserve">blanc de poulet </t>
  </si>
  <si>
    <t>500g</t>
  </si>
  <si>
    <t xml:space="preserve"> viande hachée</t>
  </si>
  <si>
    <t>mais</t>
  </si>
  <si>
    <t>olive noir</t>
  </si>
  <si>
    <t>thon</t>
  </si>
  <si>
    <t>1.8kg</t>
  </si>
  <si>
    <t>tliteli</t>
  </si>
  <si>
    <t>1.5kg</t>
  </si>
  <si>
    <t xml:space="preserve">les herbes </t>
  </si>
  <si>
    <t>isis + lave main</t>
  </si>
  <si>
    <t>5+2</t>
  </si>
  <si>
    <t>navet</t>
  </si>
  <si>
    <t>semoule Mama 2kg</t>
  </si>
  <si>
    <t>transport</t>
  </si>
  <si>
    <t>poivre +tomate</t>
  </si>
  <si>
    <t>fromge blanc</t>
  </si>
  <si>
    <t>2*600g</t>
  </si>
  <si>
    <t xml:space="preserve">salade </t>
  </si>
  <si>
    <t xml:space="preserve">cuisses de poulet </t>
  </si>
  <si>
    <t>courgette</t>
  </si>
  <si>
    <t>Navet</t>
  </si>
  <si>
    <t xml:space="preserve">poivre piquant </t>
  </si>
  <si>
    <t>viande hachée</t>
  </si>
  <si>
    <t>transport zehor</t>
  </si>
  <si>
    <t>12kg</t>
  </si>
  <si>
    <t>transport huile de chez Saida</t>
  </si>
  <si>
    <t xml:space="preserve">ka3ek nakach </t>
  </si>
  <si>
    <t>oeuf</t>
  </si>
  <si>
    <t>1 plateau</t>
  </si>
  <si>
    <t>courgette+navet</t>
  </si>
  <si>
    <t>4+2</t>
  </si>
  <si>
    <t>3kg</t>
  </si>
  <si>
    <t>tomate fraiche</t>
  </si>
  <si>
    <t>30kg</t>
  </si>
  <si>
    <t>bessel</t>
  </si>
  <si>
    <t>35kg</t>
  </si>
  <si>
    <t>fromage blanc 600g</t>
  </si>
  <si>
    <t>crème fraiche</t>
  </si>
  <si>
    <t>transport marchandise cheraga</t>
  </si>
  <si>
    <t>confiture 1kg</t>
  </si>
  <si>
    <t>farine Sim 1kg</t>
  </si>
  <si>
    <t>tomate conserve 1kg</t>
  </si>
  <si>
    <t>harissa 1kg</t>
  </si>
  <si>
    <t>fromage blanc 1.8kg</t>
  </si>
  <si>
    <t>04./07/2021</t>
  </si>
  <si>
    <t>fromage sandwich</t>
  </si>
  <si>
    <t>chocolat Dada noir</t>
  </si>
  <si>
    <t>vinaigre</t>
  </si>
  <si>
    <t>5 plateaux</t>
  </si>
  <si>
    <t>farine sim 5kg</t>
  </si>
  <si>
    <t>Thon 1.8kg</t>
  </si>
  <si>
    <t xml:space="preserve">mayonaise </t>
  </si>
  <si>
    <t>Maiis</t>
  </si>
  <si>
    <t>cheddar</t>
  </si>
  <si>
    <t>4.8kg</t>
  </si>
  <si>
    <t>djeldjelan</t>
  </si>
  <si>
    <t>amandes</t>
  </si>
  <si>
    <t>gherss</t>
  </si>
  <si>
    <t>Boites 36/7</t>
  </si>
  <si>
    <t>3 cartons</t>
  </si>
  <si>
    <t>Boites 36/10</t>
  </si>
  <si>
    <t>Boites 48/10</t>
  </si>
  <si>
    <t>1 carton</t>
  </si>
  <si>
    <t>Boites 12/07</t>
  </si>
  <si>
    <t xml:space="preserve">2 cartons </t>
  </si>
  <si>
    <t>Boites 08/07</t>
  </si>
  <si>
    <t>2 cartons</t>
  </si>
  <si>
    <t xml:space="preserve">serviettes en papier </t>
  </si>
  <si>
    <t>papier aluminium</t>
  </si>
  <si>
    <t xml:space="preserve">morceaux de viande </t>
  </si>
  <si>
    <t>Thon 160g</t>
  </si>
  <si>
    <t xml:space="preserve">viande hachée </t>
  </si>
  <si>
    <t xml:space="preserve">1kg </t>
  </si>
  <si>
    <t xml:space="preserve">Thon + Mais </t>
  </si>
  <si>
    <t xml:space="preserve">poivre </t>
  </si>
  <si>
    <t>2.5kg</t>
  </si>
  <si>
    <t>ze3itera + persil</t>
  </si>
  <si>
    <t>pain tacos</t>
  </si>
  <si>
    <t>semoule 2kg</t>
  </si>
  <si>
    <t>crème légère</t>
  </si>
  <si>
    <t>Nutella 1kg</t>
  </si>
  <si>
    <t>Semoule 25kg kawetar + trasport</t>
  </si>
  <si>
    <t xml:space="preserve">détergents </t>
  </si>
  <si>
    <t xml:space="preserve">transport </t>
  </si>
  <si>
    <t>fromage slices cheezy</t>
  </si>
  <si>
    <t>4*7</t>
  </si>
  <si>
    <t>olive noir+ olive éffilet+ olive dénoyauté</t>
  </si>
  <si>
    <t>7kg</t>
  </si>
  <si>
    <t>chaplure</t>
  </si>
  <si>
    <t>100kg</t>
  </si>
  <si>
    <t>25kg</t>
  </si>
  <si>
    <t xml:space="preserve">herebes </t>
  </si>
  <si>
    <t>Facture d'eau période 12/2020-06/2021</t>
  </si>
  <si>
    <t xml:space="preserve">6 mois </t>
  </si>
  <si>
    <t>les grandes boites 70/50</t>
  </si>
  <si>
    <t xml:space="preserve">les pétales </t>
  </si>
  <si>
    <t>les dragés</t>
  </si>
  <si>
    <t>100g</t>
  </si>
  <si>
    <t xml:space="preserve">le récépient </t>
  </si>
  <si>
    <t>fruits</t>
  </si>
  <si>
    <t>3+4+3+1</t>
  </si>
  <si>
    <t>épinards+ thym3+3</t>
  </si>
  <si>
    <t>3+3</t>
  </si>
  <si>
    <t xml:space="preserve">tacos </t>
  </si>
  <si>
    <t>massassek</t>
  </si>
  <si>
    <t xml:space="preserve">tomate fraiche </t>
  </si>
  <si>
    <t>6kg</t>
  </si>
  <si>
    <t>eau miniral tres 1.5 l</t>
  </si>
  <si>
    <t xml:space="preserve">poulet moureaceaux </t>
  </si>
  <si>
    <t>10.5kg</t>
  </si>
  <si>
    <t xml:space="preserve">épinards + persil + coriandre </t>
  </si>
  <si>
    <t>3+3+3+1</t>
  </si>
  <si>
    <t>courgette + carrote+ navet</t>
  </si>
  <si>
    <t>1+1+1</t>
  </si>
  <si>
    <t xml:space="preserve">transport marchandise    </t>
  </si>
  <si>
    <t>poulet Haché</t>
  </si>
  <si>
    <t xml:space="preserve">tranches de poulet </t>
  </si>
  <si>
    <t>salade verte</t>
  </si>
  <si>
    <t>Nutella 600g</t>
  </si>
  <si>
    <t xml:space="preserve">légumes </t>
  </si>
  <si>
    <t xml:space="preserve">mourceaux </t>
  </si>
  <si>
    <t>sacs poubelle</t>
  </si>
  <si>
    <t>lavettes</t>
  </si>
  <si>
    <t xml:space="preserve">boite de sauces </t>
  </si>
  <si>
    <t xml:space="preserve">les quissetes </t>
  </si>
  <si>
    <t>couregette et navet</t>
  </si>
  <si>
    <t xml:space="preserve">carotte </t>
  </si>
  <si>
    <t>pomme de terre</t>
  </si>
  <si>
    <t>salade</t>
  </si>
  <si>
    <t xml:space="preserve">isis  </t>
  </si>
  <si>
    <t>chantillé</t>
  </si>
  <si>
    <t>barquettes</t>
  </si>
  <si>
    <t>cuilère</t>
  </si>
  <si>
    <t xml:space="preserve">cuillère en bois </t>
  </si>
  <si>
    <t>cerise confis</t>
  </si>
  <si>
    <t>messassek</t>
  </si>
  <si>
    <t>recepiant</t>
  </si>
  <si>
    <t>yaourt</t>
  </si>
  <si>
    <t>crème liquide</t>
  </si>
  <si>
    <t>eau 33cl</t>
  </si>
  <si>
    <t>coca bouteille</t>
  </si>
  <si>
    <t>hamoud 33cl</t>
  </si>
  <si>
    <t>rouiba 33cl</t>
  </si>
  <si>
    <t>coca canette</t>
  </si>
  <si>
    <t>rouiba 20 cl</t>
  </si>
  <si>
    <t>viande morceaux</t>
  </si>
  <si>
    <t>poulet escalope</t>
  </si>
  <si>
    <t>storm</t>
  </si>
  <si>
    <t xml:space="preserve">tomate+ 3akeri </t>
  </si>
  <si>
    <t>2kg+3</t>
  </si>
  <si>
    <t>100+70</t>
  </si>
  <si>
    <t>récépiant</t>
  </si>
  <si>
    <t>carrote</t>
  </si>
  <si>
    <t>3akeri</t>
  </si>
  <si>
    <t>vinegrette</t>
  </si>
  <si>
    <t>gherss+ légumes</t>
  </si>
  <si>
    <t>flexy djezzy internet</t>
  </si>
  <si>
    <t>huile d'olive</t>
  </si>
  <si>
    <t>0.5 litre</t>
  </si>
  <si>
    <t>gel désinfectant</t>
  </si>
  <si>
    <t>javel</t>
  </si>
  <si>
    <t>lave sol</t>
  </si>
  <si>
    <t>fromage</t>
  </si>
  <si>
    <t>diver</t>
  </si>
  <si>
    <t>semoule Amor Ben Amor 10kg</t>
  </si>
  <si>
    <t>semoule emkawethar 25kg</t>
  </si>
  <si>
    <t>8kg</t>
  </si>
  <si>
    <t>70kg</t>
  </si>
  <si>
    <t>4 plateaux</t>
  </si>
  <si>
    <t xml:space="preserve">thon </t>
  </si>
  <si>
    <t xml:space="preserve">bon de livraison </t>
  </si>
  <si>
    <t>Poulet haché</t>
  </si>
  <si>
    <t xml:space="preserve">le succés : 150 croissant ,petit pain, brioche+ 50 éclair+ 50 mille feuilles </t>
  </si>
  <si>
    <t>150+50+50</t>
  </si>
  <si>
    <t>30+60+60</t>
  </si>
  <si>
    <t>huile elio 5 litres</t>
  </si>
  <si>
    <t>escalope</t>
  </si>
  <si>
    <t>viande</t>
  </si>
  <si>
    <t>3 morceaux</t>
  </si>
  <si>
    <t>thon 1.8kg</t>
  </si>
  <si>
    <t>feliyou</t>
  </si>
  <si>
    <t>isis + javel</t>
  </si>
  <si>
    <t>5+1,5</t>
  </si>
  <si>
    <t xml:space="preserve">herbes </t>
  </si>
  <si>
    <t>15/07/0201</t>
  </si>
  <si>
    <t>courgette et navet</t>
  </si>
  <si>
    <t xml:space="preserve">pomme de terre </t>
  </si>
  <si>
    <t>épinard</t>
  </si>
  <si>
    <t>600g</t>
  </si>
  <si>
    <t>transport personels + marchandise:2 zehor+ fatiha et hafida</t>
  </si>
  <si>
    <t>Baghrir Amina</t>
  </si>
  <si>
    <t>gherss traité</t>
  </si>
  <si>
    <t>10kg</t>
  </si>
  <si>
    <t>300kg</t>
  </si>
  <si>
    <t>boites alumium 1165</t>
  </si>
  <si>
    <t>40kg</t>
  </si>
  <si>
    <t>colorant jaun e</t>
  </si>
  <si>
    <t>500,500,1000</t>
  </si>
  <si>
    <t>semoule kawether 25kg</t>
  </si>
  <si>
    <t>semoule Mama 25kg</t>
  </si>
  <si>
    <t xml:space="preserve">maizina </t>
  </si>
  <si>
    <t>chantilly</t>
  </si>
  <si>
    <t xml:space="preserve">colorant blanc </t>
  </si>
  <si>
    <t>sachets</t>
  </si>
  <si>
    <t>chocolat</t>
  </si>
  <si>
    <t>vermicel</t>
  </si>
  <si>
    <t>maa zehar</t>
  </si>
  <si>
    <t>noix</t>
  </si>
  <si>
    <t>cacao</t>
  </si>
  <si>
    <t>levure chimique</t>
  </si>
  <si>
    <t>roses</t>
  </si>
  <si>
    <t>quissetes</t>
  </si>
  <si>
    <t>quissetes  sulfirisée</t>
  </si>
  <si>
    <t>dentelles</t>
  </si>
  <si>
    <t>oeufs</t>
  </si>
  <si>
    <t>poulet</t>
  </si>
  <si>
    <t>10+1</t>
  </si>
  <si>
    <t>Semoule SIM moyenne 2kg</t>
  </si>
  <si>
    <t>les glaces</t>
  </si>
  <si>
    <t>50kg</t>
  </si>
  <si>
    <t>épinards+menth + coriandre</t>
  </si>
  <si>
    <t>tomate</t>
  </si>
  <si>
    <t>colorant, fleur</t>
  </si>
  <si>
    <t>semoule</t>
  </si>
  <si>
    <t>semoule mama fine 2kg</t>
  </si>
  <si>
    <t>1.3kg</t>
  </si>
  <si>
    <t>boite</t>
  </si>
  <si>
    <t>poulet hachée</t>
  </si>
  <si>
    <t xml:space="preserve">zitoune </t>
  </si>
  <si>
    <t>sele9+ze3itera</t>
  </si>
  <si>
    <t>navet +courgette</t>
  </si>
  <si>
    <t>6+3</t>
  </si>
  <si>
    <t>2707/2021</t>
  </si>
  <si>
    <t>tomate et poivron</t>
  </si>
  <si>
    <t xml:space="preserve">poulet </t>
  </si>
  <si>
    <t>TOTALE</t>
  </si>
  <si>
    <t xml:space="preserve">Somme initiale </t>
  </si>
  <si>
    <t>Rest</t>
  </si>
  <si>
    <t>Charges Magasin</t>
  </si>
  <si>
    <t xml:space="preserve">Boites de congéltion </t>
  </si>
  <si>
    <t xml:space="preserve">récépiant inox </t>
  </si>
  <si>
    <t xml:space="preserve">jerricans 30 litres </t>
  </si>
  <si>
    <t xml:space="preserve">balance </t>
  </si>
  <si>
    <t>Pyasera</t>
  </si>
  <si>
    <t>Zehor</t>
  </si>
  <si>
    <t>Yossera</t>
  </si>
  <si>
    <t>Soumia</t>
  </si>
  <si>
    <t xml:space="preserve">Nadjet </t>
  </si>
  <si>
    <t>Hadjer</t>
  </si>
  <si>
    <t>Amel</t>
  </si>
  <si>
    <t>Hafida</t>
  </si>
  <si>
    <t>Fatiha</t>
  </si>
  <si>
    <t>Safia</t>
  </si>
  <si>
    <t>Samira</t>
  </si>
  <si>
    <t>Dalila</t>
  </si>
  <si>
    <t xml:space="preserve">Linda </t>
  </si>
  <si>
    <t>Zahida</t>
  </si>
  <si>
    <t>Remarque</t>
  </si>
  <si>
    <t xml:space="preserve">elyoum makach khadema kharedjou bekeri </t>
  </si>
  <si>
    <t>zahida n'est pas venue 3anedha djanaza de la maman de son amie</t>
  </si>
  <si>
    <t>Lynda est tombé malade et elle est sortie à 12h</t>
  </si>
  <si>
    <t xml:space="preserve">Hafida a laissé 8 boules sans couverture et Amel a laissé 500g de poulet haché au refrigirateur </t>
  </si>
  <si>
    <t xml:space="preserve">zahida nest pas venu 3anedeha djanaza et linda est malade </t>
  </si>
  <si>
    <t>zahida nest pas venu 3anedeha djanaza de sa belle soeur</t>
  </si>
  <si>
    <t>zahida est sortie à 17h à cause du teste covide 19</t>
  </si>
  <si>
    <t>Amel khalate 5kg de poulet yefou7ou</t>
  </si>
  <si>
    <t xml:space="preserve">samira djate à 13h, zahida n'est pas venu kan 3anedeha cheghoul avec son père après ra7et la plage </t>
  </si>
  <si>
    <t xml:space="preserve">khalate 5.5kg de poulet 7ata fa7ou on a pas pu les sauver </t>
  </si>
  <si>
    <t xml:space="preserve">Soumia </t>
  </si>
  <si>
    <t xml:space="preserve">7are9et 10 pièces de tcharak </t>
  </si>
  <si>
    <t xml:space="preserve">khalate la pate fel frigidaire 7ata welate verte </t>
  </si>
  <si>
    <t xml:space="preserve">Yossera </t>
  </si>
  <si>
    <t>e</t>
  </si>
  <si>
    <t xml:space="preserve">Nom </t>
  </si>
  <si>
    <t>Avance</t>
  </si>
  <si>
    <t>8400+1000+3000</t>
  </si>
  <si>
    <t>500+500+1000+500+25000</t>
  </si>
  <si>
    <t>Nadjet</t>
  </si>
  <si>
    <t>500+22500</t>
  </si>
  <si>
    <t>10000+3000+10000</t>
  </si>
  <si>
    <t>Linda</t>
  </si>
  <si>
    <t xml:space="preserve">Samira </t>
  </si>
  <si>
    <t>17300+6700</t>
  </si>
  <si>
    <t>TOTAL</t>
  </si>
  <si>
    <t xml:space="preserve">Nb de messages </t>
  </si>
  <si>
    <t xml:space="preserve">Nb de commandes </t>
  </si>
  <si>
    <t xml:space="preserve">La somme </t>
  </si>
  <si>
    <t>2 parts zeviti</t>
  </si>
  <si>
    <t>10 mehadjeb+10khefaf+2kg rechta</t>
  </si>
  <si>
    <t>Totale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</si>
</sst>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.m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b/>
      <sz val="12.0"/>
      <color rgb="FFFF0000"/>
      <name val="Arial"/>
    </font>
    <font>
      <b/>
      <sz val="12.0"/>
      <color rgb="FFFFFF00"/>
      <name val="Arial"/>
    </font>
    <font>
      <b/>
      <sz val="14.0"/>
      <color rgb="FFFFFF00"/>
      <name val="Arial"/>
    </font>
    <font>
      <color theme="1"/>
      <name val="Arial"/>
      <scheme val="minor"/>
    </font>
    <font>
      <sz val="14.0"/>
      <color rgb="FF000000"/>
      <name val="Arial"/>
    </font>
    <font>
      <sz val="14.0"/>
      <color theme="1"/>
      <name val="Arial"/>
    </font>
    <font>
      <b/>
      <sz val="18.0"/>
      <color theme="1"/>
      <name val="Arial"/>
    </font>
    <font>
      <sz val="14.0"/>
      <color theme="1"/>
      <name val="Arial"/>
      <scheme val="minor"/>
    </font>
    <font/>
    <font>
      <b/>
      <sz val="14.0"/>
      <color rgb="FFFF0000"/>
      <name val="Arial"/>
    </font>
    <font>
      <sz val="12.0"/>
      <color theme="1"/>
      <name val="Arial"/>
      <scheme val="minor"/>
    </font>
    <font>
      <b/>
      <sz val="12.0"/>
      <color rgb="FF0000FF"/>
      <name val="Arial"/>
    </font>
    <font>
      <sz val="12.0"/>
      <color rgb="FF000000"/>
      <name val="Arial"/>
    </font>
    <font>
      <sz val="14.0"/>
      <color rgb="FFFFFF00"/>
      <name val="Arial"/>
    </font>
    <font>
      <b/>
      <sz val="14.0"/>
      <color rgb="FF1C4587"/>
      <name val="Arial"/>
    </font>
    <font>
      <sz val="18.0"/>
      <color theme="1"/>
      <name val="Arial"/>
    </font>
    <font>
      <b/>
      <sz val="14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vertical="bottom"/>
    </xf>
    <xf borderId="0" fillId="3" fontId="4" numFmtId="0" xfId="0" applyAlignment="1" applyFont="1">
      <alignment horizontal="center" vertical="bottom"/>
    </xf>
    <xf borderId="1" fillId="5" fontId="2" numFmtId="0" xfId="0" applyAlignment="1" applyBorder="1" applyFill="1" applyFont="1">
      <alignment horizontal="center" readingOrder="0" vertical="bottom"/>
    </xf>
    <xf borderId="1" fillId="5" fontId="3" numFmtId="164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6" fontId="3" numFmtId="165" xfId="0" applyAlignment="1" applyBorder="1" applyFill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3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right" readingOrder="0" vertical="bottom"/>
    </xf>
    <xf borderId="1" fillId="7" fontId="3" numFmtId="165" xfId="0" applyAlignment="1" applyBorder="1" applyFill="1" applyFont="1" applyNumberFormat="1">
      <alignment horizontal="center" vertical="bottom"/>
    </xf>
    <xf borderId="0" fillId="4" fontId="4" numFmtId="165" xfId="0" applyAlignment="1" applyFont="1" applyNumberFormat="1">
      <alignment horizontal="center" vertical="bottom"/>
    </xf>
    <xf borderId="1" fillId="6" fontId="2" numFmtId="0" xfId="0" applyAlignment="1" applyBorder="1" applyFont="1">
      <alignment horizontal="center" readingOrder="0" vertical="bottom"/>
    </xf>
    <xf borderId="1" fillId="6" fontId="3" numFmtId="164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6" fontId="1" numFmtId="0" xfId="0" applyAlignment="1" applyBorder="1" applyFont="1">
      <alignment vertical="bottom"/>
    </xf>
    <xf borderId="1" fillId="6" fontId="3" numFmtId="0" xfId="0" applyAlignment="1" applyBorder="1" applyFont="1">
      <alignment horizontal="center" readingOrder="0" vertical="bottom"/>
    </xf>
    <xf borderId="2" fillId="8" fontId="3" numFmtId="165" xfId="0" applyAlignment="1" applyBorder="1" applyFill="1" applyFont="1" applyNumberFormat="1">
      <alignment horizontal="center" vertical="bottom"/>
    </xf>
    <xf borderId="1" fillId="7" fontId="3" numFmtId="165" xfId="0" applyAlignment="1" applyBorder="1" applyFont="1" applyNumberFormat="1">
      <alignment horizontal="center" readingOrder="0" vertical="bottom"/>
    </xf>
    <xf borderId="2" fillId="5" fontId="3" numFmtId="165" xfId="0" applyAlignment="1" applyBorder="1" applyFont="1" applyNumberFormat="1">
      <alignment horizontal="center" vertical="bottom"/>
    </xf>
    <xf borderId="0" fillId="6" fontId="4" numFmtId="165" xfId="0" applyAlignment="1" applyFont="1" applyNumberFormat="1">
      <alignment horizontal="center" vertical="bottom"/>
    </xf>
    <xf borderId="2" fillId="7" fontId="3" numFmtId="165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8" fontId="5" numFmtId="0" xfId="0" applyAlignment="1" applyFont="1">
      <alignment horizontal="center" vertical="bottom"/>
    </xf>
    <xf borderId="2" fillId="6" fontId="3" numFmtId="165" xfId="0" applyAlignment="1" applyBorder="1" applyFont="1" applyNumberFormat="1">
      <alignment horizontal="center" vertical="bottom"/>
    </xf>
    <xf borderId="0" fillId="5" fontId="3" numFmtId="165" xfId="0" applyAlignment="1" applyFont="1" applyNumberFormat="1">
      <alignment horizontal="center" vertical="bottom"/>
    </xf>
    <xf borderId="1" fillId="3" fontId="6" numFmtId="165" xfId="0" applyAlignment="1" applyBorder="1" applyFont="1" applyNumberFormat="1">
      <alignment horizontal="center" readingOrder="0" vertical="bottom"/>
    </xf>
    <xf borderId="2" fillId="4" fontId="3" numFmtId="165" xfId="0" applyAlignment="1" applyBorder="1" applyFont="1" applyNumberFormat="1">
      <alignment horizontal="center" vertical="bottom"/>
    </xf>
    <xf borderId="0" fillId="5" fontId="1" numFmtId="0" xfId="0" applyAlignment="1" applyFont="1">
      <alignment vertical="bottom"/>
    </xf>
    <xf borderId="0" fillId="8" fontId="4" numFmtId="0" xfId="0" applyAlignment="1" applyFont="1">
      <alignment horizontal="center" vertical="bottom"/>
    </xf>
    <xf borderId="0" fillId="9" fontId="6" numFmtId="0" xfId="0" applyAlignment="1" applyFill="1" applyFont="1">
      <alignment horizontal="center" vertical="bottom"/>
    </xf>
    <xf borderId="0" fillId="4" fontId="4" numFmtId="165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readingOrder="0" vertical="bottom"/>
    </xf>
    <xf borderId="1" fillId="9" fontId="7" numFmtId="165" xfId="0" applyAlignment="1" applyBorder="1" applyFont="1" applyNumberFormat="1">
      <alignment horizontal="center" readingOrder="0" vertical="bottom"/>
    </xf>
    <xf borderId="0" fillId="0" fontId="1" numFmtId="165" xfId="0" applyAlignment="1" applyFont="1" applyNumberFormat="1">
      <alignment vertical="bottom"/>
    </xf>
    <xf borderId="1" fillId="10" fontId="3" numFmtId="165" xfId="0" applyAlignment="1" applyBorder="1" applyFill="1" applyFont="1" applyNumberFormat="1">
      <alignment horizontal="center" readingOrder="0" vertical="bottom"/>
    </xf>
    <xf borderId="1" fillId="10" fontId="1" numFmtId="0" xfId="0" applyAlignment="1" applyBorder="1" applyFont="1">
      <alignment vertical="bottom"/>
    </xf>
    <xf borderId="1" fillId="10" fontId="3" numFmtId="0" xfId="0" applyAlignment="1" applyBorder="1" applyFont="1">
      <alignment horizontal="center" readingOrder="0" vertical="bottom"/>
    </xf>
    <xf borderId="0" fillId="0" fontId="8" numFmtId="0" xfId="0" applyAlignment="1" applyFont="1">
      <alignment readingOrder="0"/>
    </xf>
    <xf borderId="0" fillId="0" fontId="8" numFmtId="165" xfId="0" applyFont="1" applyNumberFormat="1"/>
    <xf borderId="0" fillId="0" fontId="8" numFmtId="165" xfId="0" applyAlignment="1" applyFont="1" applyNumberFormat="1">
      <alignment readingOrder="0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readingOrder="0" vertical="bottom"/>
    </xf>
    <xf borderId="1" fillId="6" fontId="3" numFmtId="165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5" fontId="1" numFmtId="164" xfId="0" applyAlignment="1" applyBorder="1" applyFont="1" applyNumberFormat="1">
      <alignment vertical="bottom"/>
    </xf>
    <xf borderId="1" fillId="4" fontId="2" numFmtId="165" xfId="0" applyAlignment="1" applyBorder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1" fillId="9" fontId="2" numFmtId="165" xfId="0" applyAlignment="1" applyBorder="1" applyFont="1" applyNumberFormat="1">
      <alignment horizontal="center" vertical="bottom"/>
    </xf>
    <xf borderId="1" fillId="11" fontId="2" numFmtId="165" xfId="0" applyAlignment="1" applyBorder="1" applyFill="1" applyFont="1" applyNumberFormat="1">
      <alignment horizontal="center" vertical="bottom"/>
    </xf>
    <xf borderId="1" fillId="8" fontId="2" numFmtId="165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4" fontId="3" numFmtId="165" xfId="0" applyAlignment="1" applyBorder="1" applyFont="1" applyNumberFormat="1">
      <alignment horizontal="right" vertical="bottom"/>
    </xf>
    <xf borderId="1" fillId="5" fontId="9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readingOrder="0" vertical="bottom"/>
    </xf>
    <xf borderId="1" fillId="0" fontId="10" numFmtId="0" xfId="0" applyAlignment="1" applyBorder="1" applyFont="1">
      <alignment horizontal="center" readingOrder="0" vertical="bottom"/>
    </xf>
    <xf borderId="1" fillId="6" fontId="2" numFmtId="165" xfId="0" applyAlignment="1" applyBorder="1" applyFont="1" applyNumberFormat="1">
      <alignment horizontal="center" readingOrder="0" vertical="bottom"/>
    </xf>
    <xf borderId="1" fillId="9" fontId="3" numFmtId="165" xfId="0" applyAlignment="1" applyBorder="1" applyFont="1" applyNumberFormat="1">
      <alignment horizontal="center" readingOrder="0" vertical="bottom"/>
    </xf>
    <xf borderId="1" fillId="11" fontId="3" numFmtId="165" xfId="0" applyAlignment="1" applyBorder="1" applyFont="1" applyNumberFormat="1">
      <alignment horizontal="center" readingOrder="0" vertical="bottom"/>
    </xf>
    <xf borderId="1" fillId="8" fontId="3" numFmtId="165" xfId="0" applyAlignment="1" applyBorder="1" applyFont="1" applyNumberFormat="1">
      <alignment horizontal="center" vertical="bottom"/>
    </xf>
    <xf borderId="1" fillId="6" fontId="11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10" numFmtId="165" xfId="0" applyAlignment="1" applyBorder="1" applyFont="1" applyNumberFormat="1">
      <alignment horizontal="center" readingOrder="0" vertical="bottom"/>
    </xf>
    <xf borderId="3" fillId="0" fontId="12" numFmtId="164" xfId="0" applyAlignment="1" applyBorder="1" applyFont="1" applyNumberFormat="1">
      <alignment horizontal="center" readingOrder="0"/>
    </xf>
    <xf borderId="1" fillId="0" fontId="10" numFmtId="165" xfId="0" applyAlignment="1" applyBorder="1" applyFont="1" applyNumberFormat="1">
      <alignment horizontal="center" vertical="bottom"/>
    </xf>
    <xf borderId="4" fillId="0" fontId="13" numFmtId="0" xfId="0" applyBorder="1" applyFont="1"/>
    <xf borderId="1" fillId="0" fontId="12" numFmtId="0" xfId="0" applyAlignment="1" applyBorder="1" applyFont="1">
      <alignment horizontal="center" readingOrder="0"/>
    </xf>
    <xf borderId="1" fillId="0" fontId="12" numFmtId="165" xfId="0" applyAlignment="1" applyBorder="1" applyFont="1" applyNumberFormat="1">
      <alignment horizontal="center" readingOrder="0"/>
    </xf>
    <xf borderId="2" fillId="0" fontId="13" numFmtId="0" xfId="0" applyBorder="1" applyFont="1"/>
    <xf borderId="1" fillId="0" fontId="12" numFmtId="164" xfId="0" applyAlignment="1" applyBorder="1" applyFont="1" applyNumberFormat="1">
      <alignment horizontal="center" readingOrder="0"/>
    </xf>
    <xf borderId="3" fillId="0" fontId="10" numFmtId="164" xfId="0" applyAlignment="1" applyBorder="1" applyFont="1" applyNumberFormat="1">
      <alignment horizontal="center" readingOrder="0" vertical="bottom"/>
    </xf>
    <xf borderId="1" fillId="0" fontId="12" numFmtId="0" xfId="0" applyAlignment="1" applyBorder="1" applyFont="1">
      <alignment horizontal="center"/>
    </xf>
    <xf borderId="1" fillId="0" fontId="12" numFmtId="165" xfId="0" applyAlignment="1" applyBorder="1" applyFont="1" applyNumberFormat="1">
      <alignment horizontal="center"/>
    </xf>
    <xf borderId="1" fillId="4" fontId="12" numFmtId="0" xfId="0" applyAlignment="1" applyBorder="1" applyFont="1">
      <alignment horizontal="center" readingOrder="0"/>
    </xf>
    <xf borderId="1" fillId="4" fontId="12" numFmtId="165" xfId="0" applyAlignment="1" applyBorder="1" applyFont="1" applyNumberFormat="1">
      <alignment horizontal="center" readingOrder="0"/>
    </xf>
    <xf borderId="1" fillId="4" fontId="12" numFmtId="0" xfId="0" applyAlignment="1" applyBorder="1" applyFont="1">
      <alignment horizontal="center"/>
    </xf>
    <xf borderId="1" fillId="0" fontId="10" numFmtId="164" xfId="0" applyAlignment="1" applyBorder="1" applyFont="1" applyNumberFormat="1">
      <alignment horizontal="center" readingOrder="0" vertical="bottom"/>
    </xf>
    <xf borderId="1" fillId="0" fontId="10" numFmtId="0" xfId="0" applyAlignment="1" applyBorder="1" applyFont="1">
      <alignment horizontal="center" vertical="bottom"/>
    </xf>
    <xf borderId="1" fillId="6" fontId="10" numFmtId="0" xfId="0" applyAlignment="1" applyBorder="1" applyFont="1">
      <alignment horizontal="center" vertical="bottom"/>
    </xf>
    <xf borderId="1" fillId="6" fontId="10" numFmtId="165" xfId="0" applyAlignment="1" applyBorder="1" applyFont="1" applyNumberFormat="1">
      <alignment horizontal="center" vertical="bottom"/>
    </xf>
    <xf borderId="1" fillId="6" fontId="10" numFmtId="164" xfId="0" applyAlignment="1" applyBorder="1" applyFont="1" applyNumberFormat="1">
      <alignment horizontal="center" readingOrder="0" vertical="bottom"/>
    </xf>
    <xf borderId="1" fillId="8" fontId="12" numFmtId="0" xfId="0" applyAlignment="1" applyBorder="1" applyFont="1">
      <alignment horizontal="center" readingOrder="0"/>
    </xf>
    <xf borderId="1" fillId="8" fontId="12" numFmtId="165" xfId="0" applyAlignment="1" applyBorder="1" applyFont="1" applyNumberFormat="1">
      <alignment horizontal="center" readingOrder="0"/>
    </xf>
    <xf borderId="1" fillId="8" fontId="12" numFmtId="164" xfId="0" applyAlignment="1" applyBorder="1" applyFont="1" applyNumberFormat="1">
      <alignment horizontal="center" readingOrder="0"/>
    </xf>
    <xf borderId="1" fillId="3" fontId="12" numFmtId="0" xfId="0" applyAlignment="1" applyBorder="1" applyFont="1">
      <alignment horizontal="center" readingOrder="0"/>
    </xf>
    <xf borderId="1" fillId="3" fontId="12" numFmtId="165" xfId="0" applyAlignment="1" applyBorder="1" applyFont="1" applyNumberFormat="1">
      <alignment horizontal="center" readingOrder="0"/>
    </xf>
    <xf borderId="1" fillId="3" fontId="12" numFmtId="164" xfId="0" applyAlignment="1" applyBorder="1" applyFont="1" applyNumberFormat="1">
      <alignment horizontal="center" readingOrder="0"/>
    </xf>
    <xf borderId="1" fillId="0" fontId="12" numFmtId="166" xfId="0" applyAlignment="1" applyBorder="1" applyFont="1" applyNumberFormat="1">
      <alignment horizontal="center" readingOrder="0"/>
    </xf>
    <xf borderId="1" fillId="8" fontId="14" numFmtId="0" xfId="0" applyAlignment="1" applyBorder="1" applyFont="1">
      <alignment horizontal="center" vertical="bottom"/>
    </xf>
    <xf borderId="1" fillId="9" fontId="1" numFmtId="165" xfId="0" applyAlignment="1" applyBorder="1" applyFont="1" applyNumberFormat="1">
      <alignment vertical="bottom"/>
    </xf>
    <xf borderId="1" fillId="9" fontId="10" numFmtId="165" xfId="0" applyAlignment="1" applyBorder="1" applyFont="1" applyNumberFormat="1">
      <alignment horizontal="right" vertical="bottom"/>
    </xf>
    <xf borderId="1" fillId="4" fontId="1" numFmtId="165" xfId="0" applyAlignment="1" applyBorder="1" applyFont="1" applyNumberFormat="1">
      <alignment vertical="bottom"/>
    </xf>
    <xf borderId="1" fillId="4" fontId="10" numFmtId="165" xfId="0" applyAlignment="1" applyBorder="1" applyFont="1" applyNumberFormat="1">
      <alignment horizontal="right" vertical="bottom"/>
    </xf>
    <xf borderId="1" fillId="6" fontId="1" numFmtId="165" xfId="0" applyAlignment="1" applyBorder="1" applyFont="1" applyNumberFormat="1">
      <alignment vertical="bottom"/>
    </xf>
    <xf borderId="1" fillId="6" fontId="10" numFmtId="165" xfId="0" applyAlignment="1" applyBorder="1" applyFont="1" applyNumberFormat="1">
      <alignment horizontal="right" vertical="bottom"/>
    </xf>
    <xf borderId="1" fillId="3" fontId="15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/>
    </xf>
    <xf borderId="1" fillId="0" fontId="8" numFmtId="0" xfId="0" applyBorder="1" applyFont="1"/>
    <xf borderId="1" fillId="0" fontId="15" numFmtId="0" xfId="0" applyAlignment="1" applyBorder="1" applyFont="1">
      <alignment horizontal="center" readingOrder="0"/>
    </xf>
    <xf borderId="1" fillId="0" fontId="15" numFmtId="165" xfId="0" applyAlignment="1" applyBorder="1" applyFont="1" applyNumberFormat="1">
      <alignment horizontal="center" readingOrder="0"/>
    </xf>
    <xf borderId="1" fillId="0" fontId="15" numFmtId="164" xfId="0" applyAlignment="1" applyBorder="1" applyFont="1" applyNumberFormat="1">
      <alignment horizontal="center" readingOrder="0"/>
    </xf>
    <xf borderId="1" fillId="0" fontId="15" numFmtId="165" xfId="0" applyAlignment="1" applyBorder="1" applyFont="1" applyNumberFormat="1">
      <alignment horizontal="center"/>
    </xf>
    <xf borderId="0" fillId="4" fontId="16" numFmtId="0" xfId="0" applyAlignment="1" applyFont="1">
      <alignment horizontal="center" vertical="bottom"/>
    </xf>
    <xf borderId="1" fillId="4" fontId="16" numFmtId="0" xfId="0" applyAlignment="1" applyBorder="1" applyFont="1">
      <alignment horizontal="center" vertical="bottom"/>
    </xf>
    <xf borderId="1" fillId="4" fontId="16" numFmtId="0" xfId="0" applyAlignment="1" applyBorder="1" applyFont="1">
      <alignment horizontal="center" readingOrder="0" vertical="bottom"/>
    </xf>
    <xf borderId="1" fillId="6" fontId="4" numFmtId="0" xfId="0" applyAlignment="1" applyBorder="1" applyFont="1">
      <alignment horizontal="center" vertical="bottom"/>
    </xf>
    <xf borderId="1" fillId="5" fontId="9" numFmtId="0" xfId="0" applyAlignment="1" applyBorder="1" applyFont="1">
      <alignment horizontal="right" readingOrder="0" vertical="bottom"/>
    </xf>
    <xf borderId="1" fillId="6" fontId="3" numFmtId="0" xfId="0" applyAlignment="1" applyBorder="1" applyFont="1">
      <alignment horizontal="right" readingOrder="0" vertical="bottom"/>
    </xf>
    <xf borderId="1" fillId="5" fontId="3" numFmtId="0" xfId="0" applyAlignment="1" applyBorder="1" applyFont="1">
      <alignment horizontal="right" readingOrder="0" vertical="bottom"/>
    </xf>
    <xf borderId="1" fillId="9" fontId="3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horizontal="right" readingOrder="0" vertical="bottom"/>
    </xf>
    <xf borderId="1" fillId="5" fontId="17" numFmtId="0" xfId="0" applyAlignment="1" applyBorder="1" applyFont="1">
      <alignment horizontal="right" readingOrder="0" vertical="bottom"/>
    </xf>
    <xf borderId="1" fillId="9" fontId="17" numFmtId="0" xfId="0" applyAlignment="1" applyBorder="1" applyFont="1">
      <alignment horizontal="right" readingOrder="0" vertical="bottom"/>
    </xf>
    <xf borderId="1" fillId="9" fontId="18" numFmtId="0" xfId="0" applyAlignment="1" applyBorder="1" applyFont="1">
      <alignment horizontal="right" readingOrder="0" vertical="bottom"/>
    </xf>
    <xf borderId="1" fillId="6" fontId="17" numFmtId="0" xfId="0" applyAlignment="1" applyBorder="1" applyFont="1">
      <alignment horizontal="right" readingOrder="0" vertical="bottom"/>
    </xf>
    <xf borderId="1" fillId="4" fontId="17" numFmtId="0" xfId="0" applyAlignment="1" applyBorder="1" applyFont="1">
      <alignment horizontal="right" readingOrder="0" vertical="bottom"/>
    </xf>
    <xf borderId="1" fillId="5" fontId="17" numFmtId="0" xfId="0" applyAlignment="1" applyBorder="1" applyFont="1">
      <alignment readingOrder="0" vertical="bottom"/>
    </xf>
    <xf borderId="1" fillId="9" fontId="17" numFmtId="0" xfId="0" applyAlignment="1" applyBorder="1" applyFont="1">
      <alignment readingOrder="0" vertical="bottom"/>
    </xf>
    <xf borderId="1" fillId="9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4" fontId="17" numFmtId="0" xfId="0" applyAlignment="1" applyBorder="1" applyFont="1">
      <alignment readingOrder="0" vertical="bottom"/>
    </xf>
    <xf borderId="1" fillId="6" fontId="17" numFmtId="0" xfId="0" applyAlignment="1" applyBorder="1" applyFont="1">
      <alignment readingOrder="0" vertical="bottom"/>
    </xf>
    <xf borderId="1" fillId="6" fontId="5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6" fontId="19" numFmtId="165" xfId="0" applyAlignment="1" applyBorder="1" applyFont="1" applyNumberFormat="1">
      <alignment horizontal="center" vertical="bottom"/>
    </xf>
    <xf borderId="1" fillId="9" fontId="4" numFmtId="165" xfId="0" applyAlignment="1" applyBorder="1" applyFont="1" applyNumberFormat="1">
      <alignment horizontal="center" vertical="bottom"/>
    </xf>
    <xf borderId="1" fillId="8" fontId="4" numFmtId="0" xfId="0" applyAlignment="1" applyBorder="1" applyFont="1">
      <alignment horizontal="center" vertical="bottom"/>
    </xf>
    <xf borderId="1" fillId="6" fontId="20" numFmtId="0" xfId="0" applyAlignment="1" applyBorder="1" applyFont="1">
      <alignment horizontal="center" vertical="bottom"/>
    </xf>
    <xf borderId="1" fillId="6" fontId="20" numFmtId="165" xfId="0" applyAlignment="1" applyBorder="1" applyFont="1" applyNumberFormat="1">
      <alignment horizontal="center" vertical="bottom"/>
    </xf>
    <xf borderId="0" fillId="9" fontId="20" numFmtId="165" xfId="0" applyAlignment="1" applyFont="1" applyNumberFormat="1">
      <alignment horizontal="center" vertical="bottom"/>
    </xf>
    <xf borderId="1" fillId="4" fontId="1" numFmtId="0" xfId="0" applyAlignment="1" applyBorder="1" applyFont="1">
      <alignment vertical="bottom"/>
    </xf>
    <xf borderId="1" fillId="4" fontId="20" numFmtId="165" xfId="0" applyAlignment="1" applyBorder="1" applyFont="1" applyNumberFormat="1">
      <alignment horizontal="center" vertical="bottom"/>
    </xf>
    <xf borderId="1" fillId="0" fontId="2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4" max="4" width="16.0"/>
    <col customWidth="1" min="5" max="5" width="18.63"/>
    <col customWidth="1" min="6" max="6" width="16.88"/>
    <col customWidth="1" min="7" max="7" width="15.38"/>
    <col customWidth="1" min="8" max="8" width="15.88"/>
    <col customWidth="1" min="11" max="11" width="18.0"/>
    <col customWidth="1" min="12" max="12" width="16.13"/>
    <col customWidth="1" min="13" max="13" width="19.13"/>
    <col customWidth="1" min="14" max="14" width="18.63"/>
    <col customWidth="1" min="17" max="17" width="28.75"/>
    <col customWidth="1" min="18" max="18" width="17.38"/>
  </cols>
  <sheetData>
    <row r="1">
      <c r="A1" s="1">
        <v>87000.0</v>
      </c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 t="s">
        <v>8</v>
      </c>
      <c r="K1" s="6" t="s">
        <v>9</v>
      </c>
      <c r="L1" s="7"/>
      <c r="M1" s="7"/>
      <c r="N1" s="8" t="s">
        <v>10</v>
      </c>
    </row>
    <row r="2">
      <c r="A2" s="9" t="s">
        <v>11</v>
      </c>
      <c r="B2" s="10">
        <v>44378.0</v>
      </c>
      <c r="C2" s="11">
        <v>27000.0</v>
      </c>
      <c r="D2" s="12">
        <v>47000.0</v>
      </c>
      <c r="E2" s="13"/>
      <c r="F2" s="13"/>
      <c r="G2" s="13"/>
      <c r="H2" s="13"/>
      <c r="I2" s="14">
        <v>1.0</v>
      </c>
      <c r="J2" s="15">
        <v>50000.0</v>
      </c>
      <c r="K2" s="16">
        <v>27000.0</v>
      </c>
      <c r="L2" s="7"/>
      <c r="M2" s="7"/>
      <c r="N2" s="17">
        <f>D33/I33</f>
        <v>41838.70968</v>
      </c>
    </row>
    <row r="3">
      <c r="A3" s="18" t="s">
        <v>12</v>
      </c>
      <c r="B3" s="19">
        <v>44379.0</v>
      </c>
      <c r="C3" s="12">
        <v>18000.0</v>
      </c>
      <c r="D3" s="20">
        <v>50000.0</v>
      </c>
      <c r="E3" s="21"/>
      <c r="F3" s="21"/>
      <c r="G3" s="21"/>
      <c r="H3" s="21"/>
      <c r="I3" s="22">
        <v>1.0</v>
      </c>
      <c r="J3" s="15">
        <v>50000.0</v>
      </c>
      <c r="K3" s="23">
        <v>18000.0</v>
      </c>
      <c r="L3" s="7"/>
      <c r="M3" s="7"/>
      <c r="N3" s="7"/>
    </row>
    <row r="4">
      <c r="A4" s="9" t="s">
        <v>13</v>
      </c>
      <c r="B4" s="10">
        <v>44380.0</v>
      </c>
      <c r="C4" s="11">
        <v>36000.0</v>
      </c>
      <c r="D4" s="24">
        <v>24000.0</v>
      </c>
      <c r="E4" s="13"/>
      <c r="F4" s="13"/>
      <c r="G4" s="13"/>
      <c r="H4" s="13"/>
      <c r="I4" s="14">
        <v>1.0</v>
      </c>
      <c r="J4" s="15">
        <v>50000.0</v>
      </c>
      <c r="K4" s="25">
        <v>36000.0</v>
      </c>
      <c r="L4" s="7"/>
      <c r="M4" s="7"/>
      <c r="N4" s="26">
        <v>50000.0</v>
      </c>
    </row>
    <row r="5">
      <c r="A5" s="9" t="s">
        <v>14</v>
      </c>
      <c r="B5" s="10">
        <v>44381.0</v>
      </c>
      <c r="C5" s="11">
        <v>28000.0</v>
      </c>
      <c r="D5" s="12">
        <v>40000.0</v>
      </c>
      <c r="E5" s="13"/>
      <c r="F5" s="13"/>
      <c r="G5" s="13"/>
      <c r="H5" s="13"/>
      <c r="I5" s="14">
        <v>1.0</v>
      </c>
      <c r="J5" s="15">
        <v>50000.0</v>
      </c>
      <c r="K5" s="27">
        <v>28000.0</v>
      </c>
      <c r="L5" s="7"/>
      <c r="M5" s="7"/>
      <c r="N5" s="7"/>
    </row>
    <row r="6">
      <c r="A6" s="9" t="s">
        <v>15</v>
      </c>
      <c r="B6" s="10">
        <v>44382.0</v>
      </c>
      <c r="C6" s="11">
        <v>34000.0</v>
      </c>
      <c r="D6" s="11">
        <v>31000.0</v>
      </c>
      <c r="E6" s="13"/>
      <c r="F6" s="13"/>
      <c r="G6" s="13"/>
      <c r="H6" s="13"/>
      <c r="I6" s="14">
        <v>1.0</v>
      </c>
      <c r="J6" s="15">
        <v>50000.0</v>
      </c>
      <c r="K6" s="25">
        <v>34000.0</v>
      </c>
      <c r="L6" s="7"/>
      <c r="M6" s="7"/>
      <c r="N6" s="7"/>
    </row>
    <row r="7">
      <c r="A7" s="9" t="s">
        <v>16</v>
      </c>
      <c r="B7" s="10">
        <v>44383.0</v>
      </c>
      <c r="C7" s="11">
        <v>37000.0</v>
      </c>
      <c r="D7" s="11">
        <v>33000.0</v>
      </c>
      <c r="E7" s="13"/>
      <c r="F7" s="13"/>
      <c r="G7" s="13"/>
      <c r="H7" s="13"/>
      <c r="I7" s="14">
        <v>1.0</v>
      </c>
      <c r="J7" s="15">
        <v>50000.0</v>
      </c>
      <c r="K7" s="25">
        <v>37000.0</v>
      </c>
      <c r="L7" s="7"/>
      <c r="M7" s="7"/>
      <c r="N7" s="7"/>
    </row>
    <row r="8">
      <c r="A8" s="9" t="s">
        <v>17</v>
      </c>
      <c r="B8" s="10">
        <v>44384.0</v>
      </c>
      <c r="C8" s="11">
        <v>28000.0</v>
      </c>
      <c r="D8" s="12">
        <v>44000.0</v>
      </c>
      <c r="E8" s="13"/>
      <c r="F8" s="13"/>
      <c r="G8" s="13"/>
      <c r="H8" s="13"/>
      <c r="I8" s="14">
        <v>1.0</v>
      </c>
      <c r="J8" s="15">
        <v>50000.0</v>
      </c>
      <c r="K8" s="27">
        <v>28000.0</v>
      </c>
      <c r="L8" s="7"/>
      <c r="M8" s="7"/>
      <c r="N8" s="7"/>
    </row>
    <row r="9">
      <c r="A9" s="9" t="s">
        <v>11</v>
      </c>
      <c r="B9" s="10">
        <v>44385.0</v>
      </c>
      <c r="C9" s="11">
        <v>31000.0</v>
      </c>
      <c r="D9" s="28">
        <v>77000.0</v>
      </c>
      <c r="E9" s="13"/>
      <c r="F9" s="13"/>
      <c r="G9" s="13"/>
      <c r="H9" s="13"/>
      <c r="I9" s="14">
        <v>1.0</v>
      </c>
      <c r="J9" s="15">
        <v>50000.0</v>
      </c>
      <c r="K9" s="25">
        <v>31000.0</v>
      </c>
      <c r="L9" s="7"/>
      <c r="M9" s="7"/>
      <c r="N9" s="7"/>
      <c r="Q9" s="29" t="s">
        <v>18</v>
      </c>
    </row>
    <row r="10">
      <c r="A10" s="18" t="s">
        <v>12</v>
      </c>
      <c r="B10" s="19">
        <v>44386.0</v>
      </c>
      <c r="C10" s="12">
        <v>42000.0</v>
      </c>
      <c r="D10" s="20">
        <v>52000.0</v>
      </c>
      <c r="E10" s="21"/>
      <c r="F10" s="21"/>
      <c r="G10" s="21"/>
      <c r="H10" s="21"/>
      <c r="I10" s="22">
        <v>1.0</v>
      </c>
      <c r="J10" s="15">
        <v>50000.0</v>
      </c>
      <c r="K10" s="30">
        <v>42000.0</v>
      </c>
      <c r="L10" s="7"/>
      <c r="M10" s="7"/>
      <c r="N10" s="7"/>
      <c r="Q10" s="31">
        <f>D33-C33</f>
        <v>337000</v>
      </c>
    </row>
    <row r="11">
      <c r="A11" s="9" t="s">
        <v>13</v>
      </c>
      <c r="B11" s="10">
        <v>44387.0</v>
      </c>
      <c r="C11" s="11">
        <v>57000.0</v>
      </c>
      <c r="D11" s="32">
        <v>87000.0</v>
      </c>
      <c r="E11" s="13"/>
      <c r="F11" s="13"/>
      <c r="G11" s="13"/>
      <c r="H11" s="13"/>
      <c r="I11" s="14">
        <v>1.0</v>
      </c>
      <c r="J11" s="15">
        <v>50000.0</v>
      </c>
      <c r="K11" s="33">
        <v>57000.0</v>
      </c>
      <c r="L11" s="34"/>
      <c r="M11" s="35" t="s">
        <v>19</v>
      </c>
      <c r="N11" s="35" t="s">
        <v>20</v>
      </c>
      <c r="Q11" s="36" t="s">
        <v>21</v>
      </c>
    </row>
    <row r="12">
      <c r="A12" s="9" t="s">
        <v>14</v>
      </c>
      <c r="B12" s="10">
        <v>44388.0</v>
      </c>
      <c r="C12" s="11">
        <v>30000.0</v>
      </c>
      <c r="D12" s="11">
        <v>36000.0</v>
      </c>
      <c r="E12" s="13"/>
      <c r="F12" s="13"/>
      <c r="G12" s="13"/>
      <c r="H12" s="13"/>
      <c r="I12" s="14">
        <v>1.0</v>
      </c>
      <c r="J12" s="15">
        <v>50000.0</v>
      </c>
      <c r="K12" s="25">
        <v>30000.0</v>
      </c>
      <c r="L12" s="34"/>
      <c r="M12" s="26">
        <f>D33+Charges!H362-N12-Charges!H361-Charges!H382-Salaires!K25</f>
        <v>516255</v>
      </c>
      <c r="N12" s="37">
        <v>10000.0</v>
      </c>
      <c r="Q12" s="38">
        <f>D33-J33</f>
        <v>-253000</v>
      </c>
    </row>
    <row r="13">
      <c r="A13" s="9" t="s">
        <v>15</v>
      </c>
      <c r="B13" s="10">
        <v>44389.0</v>
      </c>
      <c r="C13" s="11">
        <v>41000.0</v>
      </c>
      <c r="D13" s="24">
        <v>22000.0</v>
      </c>
      <c r="E13" s="13"/>
      <c r="F13" s="13"/>
      <c r="G13" s="13"/>
      <c r="H13" s="13"/>
      <c r="I13" s="14">
        <v>1.0</v>
      </c>
      <c r="J13" s="15">
        <v>50000.0</v>
      </c>
      <c r="K13" s="30">
        <v>41000.0</v>
      </c>
      <c r="L13" s="7"/>
      <c r="M13" s="7"/>
      <c r="N13" s="7"/>
    </row>
    <row r="14">
      <c r="A14" s="9" t="s">
        <v>16</v>
      </c>
      <c r="B14" s="10">
        <v>44390.0</v>
      </c>
      <c r="C14" s="11">
        <v>15000.0</v>
      </c>
      <c r="D14" s="12">
        <v>40000.0</v>
      </c>
      <c r="E14" s="13"/>
      <c r="F14" s="13"/>
      <c r="G14" s="13"/>
      <c r="H14" s="13"/>
      <c r="I14" s="14">
        <v>1.0</v>
      </c>
      <c r="J14" s="15">
        <v>50000.0</v>
      </c>
      <c r="K14" s="23">
        <v>15000.0</v>
      </c>
      <c r="L14" s="7"/>
      <c r="M14" s="7"/>
      <c r="N14" s="7"/>
    </row>
    <row r="15">
      <c r="A15" s="9" t="s">
        <v>17</v>
      </c>
      <c r="B15" s="10">
        <v>44391.0</v>
      </c>
      <c r="C15" s="11">
        <v>42000.0</v>
      </c>
      <c r="D15" s="11">
        <v>33000.0</v>
      </c>
      <c r="E15" s="13"/>
      <c r="F15" s="13"/>
      <c r="G15" s="13"/>
      <c r="H15" s="13"/>
      <c r="I15" s="14">
        <v>1.0</v>
      </c>
      <c r="J15" s="15">
        <v>50000.0</v>
      </c>
      <c r="K15" s="30">
        <v>42000.0</v>
      </c>
      <c r="L15" s="7"/>
      <c r="M15" s="39">
        <v>14000.0</v>
      </c>
      <c r="N15" s="1" t="s">
        <v>22</v>
      </c>
    </row>
    <row r="16">
      <c r="A16" s="9" t="s">
        <v>11</v>
      </c>
      <c r="B16" s="10">
        <v>44392.0</v>
      </c>
      <c r="C16" s="11">
        <v>32000.0</v>
      </c>
      <c r="D16" s="11">
        <v>36000.0</v>
      </c>
      <c r="E16" s="13"/>
      <c r="F16" s="13"/>
      <c r="G16" s="13"/>
      <c r="H16" s="13"/>
      <c r="I16" s="14">
        <v>1.0</v>
      </c>
      <c r="J16" s="15">
        <v>50000.0</v>
      </c>
      <c r="K16" s="25">
        <v>32000.0</v>
      </c>
      <c r="L16" s="40">
        <v>1500.0</v>
      </c>
      <c r="M16" s="39">
        <v>14000.0</v>
      </c>
      <c r="N16" s="1" t="s">
        <v>23</v>
      </c>
    </row>
    <row r="17">
      <c r="A17" s="18" t="s">
        <v>12</v>
      </c>
      <c r="B17" s="19">
        <v>44393.0</v>
      </c>
      <c r="C17" s="12">
        <v>24000.0</v>
      </c>
      <c r="D17" s="12">
        <v>45000.0</v>
      </c>
      <c r="E17" s="21"/>
      <c r="F17" s="21"/>
      <c r="G17" s="21"/>
      <c r="H17" s="21"/>
      <c r="I17" s="22">
        <v>1.0</v>
      </c>
      <c r="J17" s="15">
        <v>50000.0</v>
      </c>
      <c r="K17" s="27">
        <v>24000.0</v>
      </c>
      <c r="L17" s="40">
        <v>1500.0</v>
      </c>
      <c r="M17" s="39">
        <v>14000.0</v>
      </c>
      <c r="N17" s="1" t="s">
        <v>24</v>
      </c>
    </row>
    <row r="18">
      <c r="A18" s="9" t="s">
        <v>13</v>
      </c>
      <c r="B18" s="10">
        <v>44394.0</v>
      </c>
      <c r="C18" s="11">
        <v>45000.0</v>
      </c>
      <c r="D18" s="12">
        <v>47000.0</v>
      </c>
      <c r="E18" s="13"/>
      <c r="F18" s="13"/>
      <c r="G18" s="13"/>
      <c r="H18" s="13"/>
      <c r="I18" s="14">
        <v>1.0</v>
      </c>
      <c r="J18" s="15">
        <v>50000.0</v>
      </c>
      <c r="K18" s="30">
        <v>45000.0</v>
      </c>
      <c r="L18" s="40">
        <v>1500.0</v>
      </c>
      <c r="M18" s="39">
        <v>14000.0</v>
      </c>
      <c r="N18" s="1" t="s">
        <v>25</v>
      </c>
    </row>
    <row r="19">
      <c r="A19" s="9" t="s">
        <v>14</v>
      </c>
      <c r="B19" s="10">
        <v>44395.0</v>
      </c>
      <c r="C19" s="11">
        <v>41000.0</v>
      </c>
      <c r="D19" s="20">
        <v>55000.0</v>
      </c>
      <c r="E19" s="13"/>
      <c r="F19" s="13"/>
      <c r="G19" s="13"/>
      <c r="H19" s="13"/>
      <c r="I19" s="14">
        <v>1.0</v>
      </c>
      <c r="J19" s="15">
        <v>50000.0</v>
      </c>
      <c r="K19" s="30">
        <v>41000.0</v>
      </c>
      <c r="L19" s="7"/>
      <c r="M19" s="7"/>
      <c r="N19" s="7"/>
    </row>
    <row r="20">
      <c r="A20" s="9" t="s">
        <v>15</v>
      </c>
      <c r="B20" s="10">
        <v>44396.0</v>
      </c>
      <c r="C20" s="11">
        <v>39000.0</v>
      </c>
      <c r="D20" s="41">
        <v>129000.0</v>
      </c>
      <c r="E20" s="13"/>
      <c r="F20" s="13"/>
      <c r="G20" s="13"/>
      <c r="H20" s="13"/>
      <c r="I20" s="14">
        <v>1.0</v>
      </c>
      <c r="J20" s="15">
        <v>50000.0</v>
      </c>
      <c r="K20" s="25">
        <v>39000.0</v>
      </c>
      <c r="L20" s="7"/>
      <c r="M20" s="42">
        <f>SUM(M15:M19)</f>
        <v>56000</v>
      </c>
      <c r="N20" s="7"/>
    </row>
    <row r="21">
      <c r="A21" s="9" t="s">
        <v>16</v>
      </c>
      <c r="B21" s="10">
        <v>44397.0</v>
      </c>
      <c r="C21" s="43">
        <v>28000.0</v>
      </c>
      <c r="D21" s="43">
        <v>0.0</v>
      </c>
      <c r="E21" s="44"/>
      <c r="F21" s="44"/>
      <c r="G21" s="44"/>
      <c r="H21" s="44"/>
      <c r="I21" s="45">
        <v>1.0</v>
      </c>
      <c r="J21" s="15">
        <v>50000.0</v>
      </c>
      <c r="K21" s="27">
        <v>28000.0</v>
      </c>
      <c r="L21" s="7"/>
      <c r="M21" s="7"/>
      <c r="N21" s="7"/>
    </row>
    <row r="22">
      <c r="A22" s="9" t="s">
        <v>17</v>
      </c>
      <c r="B22" s="10">
        <v>44398.0</v>
      </c>
      <c r="C22" s="43">
        <v>20000.0</v>
      </c>
      <c r="D22" s="43">
        <v>0.0</v>
      </c>
      <c r="E22" s="44"/>
      <c r="F22" s="44"/>
      <c r="G22" s="44"/>
      <c r="H22" s="44"/>
      <c r="I22" s="45">
        <v>1.0</v>
      </c>
      <c r="J22" s="15">
        <v>50000.0</v>
      </c>
      <c r="K22" s="27">
        <v>20000.0</v>
      </c>
      <c r="L22" s="7"/>
      <c r="M22" s="7"/>
      <c r="N22" s="7"/>
    </row>
    <row r="23">
      <c r="A23" s="9" t="s">
        <v>11</v>
      </c>
      <c r="B23" s="10">
        <v>44399.0</v>
      </c>
      <c r="C23" s="11">
        <v>21000.0</v>
      </c>
      <c r="D23" s="24">
        <v>27000.0</v>
      </c>
      <c r="E23" s="13"/>
      <c r="F23" s="13"/>
      <c r="G23" s="13"/>
      <c r="H23" s="13"/>
      <c r="I23" s="14">
        <v>1.0</v>
      </c>
      <c r="J23" s="15">
        <v>50000.0</v>
      </c>
      <c r="K23" s="27">
        <v>21000.0</v>
      </c>
      <c r="L23" s="7"/>
      <c r="M23" s="7"/>
      <c r="N23" s="7"/>
    </row>
    <row r="24">
      <c r="A24" s="18" t="s">
        <v>12</v>
      </c>
      <c r="B24" s="19">
        <v>44400.0</v>
      </c>
      <c r="C24" s="12">
        <v>25000.0</v>
      </c>
      <c r="D24" s="11">
        <v>32000.0</v>
      </c>
      <c r="E24" s="21"/>
      <c r="F24" s="21"/>
      <c r="G24" s="21"/>
      <c r="H24" s="21"/>
      <c r="I24" s="22">
        <v>1.0</v>
      </c>
      <c r="J24" s="15">
        <v>50000.0</v>
      </c>
      <c r="K24" s="27">
        <v>25000.0</v>
      </c>
      <c r="L24" s="7"/>
      <c r="M24" s="7"/>
      <c r="N24" s="7"/>
      <c r="P24" s="46" t="s">
        <v>26</v>
      </c>
      <c r="Q24" s="47">
        <f>M12-M20</f>
        <v>460255</v>
      </c>
    </row>
    <row r="25">
      <c r="A25" s="9" t="s">
        <v>13</v>
      </c>
      <c r="B25" s="10">
        <v>44401.0</v>
      </c>
      <c r="C25" s="11">
        <v>30000.0</v>
      </c>
      <c r="D25" s="24">
        <v>26000.0</v>
      </c>
      <c r="E25" s="13"/>
      <c r="F25" s="13"/>
      <c r="G25" s="13"/>
      <c r="H25" s="13"/>
      <c r="I25" s="14">
        <v>1.0</v>
      </c>
      <c r="J25" s="15">
        <v>50000.0</v>
      </c>
      <c r="K25" s="25">
        <v>30000.0</v>
      </c>
      <c r="L25" s="7"/>
      <c r="M25" s="7"/>
      <c r="N25" s="7"/>
      <c r="P25" s="46" t="s">
        <v>27</v>
      </c>
      <c r="Q25" s="48">
        <v>300000.0</v>
      </c>
    </row>
    <row r="26">
      <c r="A26" s="9" t="s">
        <v>14</v>
      </c>
      <c r="B26" s="10">
        <v>44402.0</v>
      </c>
      <c r="C26" s="11">
        <v>32000.0</v>
      </c>
      <c r="D26" s="24">
        <v>21000.0</v>
      </c>
      <c r="E26" s="13"/>
      <c r="F26" s="13"/>
      <c r="G26" s="13"/>
      <c r="H26" s="13"/>
      <c r="I26" s="14">
        <v>1.0</v>
      </c>
      <c r="J26" s="49">
        <v>50000.0</v>
      </c>
      <c r="K26" s="25">
        <v>32000.0</v>
      </c>
      <c r="L26" s="7"/>
      <c r="M26" s="7"/>
      <c r="N26" s="7"/>
      <c r="P26" s="46" t="s">
        <v>28</v>
      </c>
      <c r="Q26" s="48">
        <v>383000.0</v>
      </c>
    </row>
    <row r="27">
      <c r="A27" s="9" t="s">
        <v>15</v>
      </c>
      <c r="B27" s="10">
        <v>44403.0</v>
      </c>
      <c r="C27" s="11">
        <v>29000.0</v>
      </c>
      <c r="D27" s="12">
        <v>42000.0</v>
      </c>
      <c r="E27" s="13"/>
      <c r="F27" s="13"/>
      <c r="G27" s="13"/>
      <c r="H27" s="13"/>
      <c r="I27" s="14">
        <v>1.0</v>
      </c>
      <c r="J27" s="50">
        <v>50000.0</v>
      </c>
      <c r="K27" s="16">
        <v>29000.0</v>
      </c>
      <c r="L27" s="7"/>
      <c r="M27" s="7"/>
      <c r="N27" s="7"/>
      <c r="P27" s="46" t="s">
        <v>29</v>
      </c>
      <c r="Q27" s="48">
        <v>50000.0</v>
      </c>
      <c r="R27" s="48" t="s">
        <v>30</v>
      </c>
    </row>
    <row r="28">
      <c r="A28" s="9" t="s">
        <v>16</v>
      </c>
      <c r="B28" s="10">
        <v>44404.0</v>
      </c>
      <c r="C28" s="11">
        <v>47000.0</v>
      </c>
      <c r="D28" s="12">
        <v>40000.0</v>
      </c>
      <c r="E28" s="13"/>
      <c r="F28" s="13"/>
      <c r="G28" s="13"/>
      <c r="H28" s="13"/>
      <c r="I28" s="14">
        <v>1.0</v>
      </c>
      <c r="J28" s="50">
        <v>50000.0</v>
      </c>
      <c r="K28" s="51">
        <v>47000.0</v>
      </c>
      <c r="L28" s="7"/>
      <c r="M28" s="7"/>
      <c r="N28" s="7"/>
      <c r="Q28" s="47">
        <f>Q24+Q25-Q26-Q27</f>
        <v>327255</v>
      </c>
    </row>
    <row r="29">
      <c r="A29" s="9" t="s">
        <v>17</v>
      </c>
      <c r="B29" s="10">
        <v>44405.0</v>
      </c>
      <c r="C29" s="11">
        <v>26000.0</v>
      </c>
      <c r="D29" s="12">
        <v>45000.0</v>
      </c>
      <c r="E29" s="13"/>
      <c r="F29" s="13"/>
      <c r="G29" s="13"/>
      <c r="H29" s="13"/>
      <c r="I29" s="14">
        <v>1.0</v>
      </c>
      <c r="J29" s="50">
        <v>50000.0</v>
      </c>
      <c r="K29" s="16">
        <v>26000.0</v>
      </c>
      <c r="L29" s="7" t="s">
        <v>31</v>
      </c>
      <c r="M29" s="7"/>
      <c r="N29" s="7"/>
    </row>
    <row r="30">
      <c r="A30" s="9" t="s">
        <v>11</v>
      </c>
      <c r="B30" s="10">
        <v>44406.0</v>
      </c>
      <c r="C30" s="11">
        <v>31000.0</v>
      </c>
      <c r="D30" s="20">
        <v>58000.0</v>
      </c>
      <c r="E30" s="13"/>
      <c r="F30" s="13"/>
      <c r="G30" s="13"/>
      <c r="H30" s="13"/>
      <c r="I30" s="14">
        <v>1.0</v>
      </c>
      <c r="J30" s="50">
        <v>50000.0</v>
      </c>
      <c r="K30" s="11">
        <v>31000.0</v>
      </c>
      <c r="L30" s="7"/>
      <c r="M30" s="7"/>
      <c r="N30" s="7"/>
    </row>
    <row r="31">
      <c r="A31" s="18" t="s">
        <v>12</v>
      </c>
      <c r="B31" s="19">
        <v>44407.0</v>
      </c>
      <c r="C31" s="12">
        <v>24000.0</v>
      </c>
      <c r="D31" s="11">
        <v>34000.0</v>
      </c>
      <c r="E31" s="21"/>
      <c r="F31" s="21"/>
      <c r="G31" s="21"/>
      <c r="H31" s="21"/>
      <c r="I31" s="52">
        <v>1.0</v>
      </c>
      <c r="J31" s="50">
        <v>50000.0</v>
      </c>
      <c r="K31" s="24">
        <v>24000.0</v>
      </c>
      <c r="L31" s="7"/>
      <c r="M31" s="7"/>
      <c r="N31" s="7"/>
    </row>
    <row r="32">
      <c r="A32" s="9" t="s">
        <v>13</v>
      </c>
      <c r="B32" s="10">
        <v>44408.0</v>
      </c>
      <c r="C32" s="11">
        <v>0.0</v>
      </c>
      <c r="D32" s="11">
        <v>44000.0</v>
      </c>
      <c r="E32" s="13"/>
      <c r="F32" s="13"/>
      <c r="G32" s="13"/>
      <c r="H32" s="13"/>
      <c r="I32" s="53">
        <v>1.0</v>
      </c>
      <c r="J32" s="50">
        <v>50000.0</v>
      </c>
      <c r="K32" s="11">
        <v>0.0</v>
      </c>
      <c r="L32" s="7"/>
      <c r="M32" s="7"/>
      <c r="N32" s="7"/>
    </row>
    <row r="33">
      <c r="A33" s="54"/>
      <c r="B33" s="55"/>
      <c r="C33" s="56">
        <f t="shared" ref="C33:D33" si="1">SUM(C2:C32)</f>
        <v>960000</v>
      </c>
      <c r="D33" s="57">
        <f t="shared" si="1"/>
        <v>1297000</v>
      </c>
      <c r="E33" s="58">
        <f>Charges!H361*1</f>
        <v>504845</v>
      </c>
      <c r="F33" s="59">
        <f>Pointage!P35*1</f>
        <v>221758</v>
      </c>
      <c r="G33" s="60">
        <v>50000.0</v>
      </c>
      <c r="H33" s="56">
        <f>D33+Charges!H362-G33-F33-E33</f>
        <v>540397</v>
      </c>
      <c r="I33" s="61">
        <f t="shared" ref="I33:K33" si="2">SUM(I2:I32)</f>
        <v>31</v>
      </c>
      <c r="J33" s="62">
        <f t="shared" si="2"/>
        <v>1550000</v>
      </c>
      <c r="K33" s="51">
        <f t="shared" si="2"/>
        <v>960000</v>
      </c>
      <c r="L33" s="7"/>
      <c r="M33" s="7"/>
      <c r="N33" s="7"/>
    </row>
    <row r="34">
      <c r="A34" s="7"/>
      <c r="B34" s="7"/>
      <c r="C34" s="7"/>
      <c r="D34" s="54"/>
      <c r="E34" s="54"/>
      <c r="F34" s="54"/>
      <c r="G34" s="54"/>
      <c r="H34" s="54"/>
      <c r="I34" s="7"/>
      <c r="J34" s="7"/>
      <c r="K34" s="7"/>
      <c r="L34" s="7"/>
      <c r="M34" s="7"/>
      <c r="N34" s="7"/>
    </row>
    <row r="35">
      <c r="A35" s="7"/>
      <c r="B35" s="7"/>
      <c r="C35" s="63" t="s">
        <v>8</v>
      </c>
      <c r="D35" s="64">
        <v>1365000.0</v>
      </c>
      <c r="E35" s="64">
        <v>500000.0</v>
      </c>
      <c r="F35" s="65">
        <v>280000.0</v>
      </c>
      <c r="G35" s="64">
        <v>50000.0</v>
      </c>
      <c r="H35" s="64">
        <v>600000.0</v>
      </c>
      <c r="I35" s="7"/>
      <c r="J35" s="7"/>
      <c r="K35" s="7"/>
      <c r="L35" s="7"/>
      <c r="M35" s="7"/>
      <c r="N35" s="7"/>
    </row>
    <row r="36">
      <c r="A36" s="7"/>
      <c r="B36" s="54"/>
      <c r="C36" s="66" t="s">
        <v>32</v>
      </c>
      <c r="D36" s="67">
        <v>960000.0</v>
      </c>
      <c r="E36" s="68">
        <v>485000.0</v>
      </c>
      <c r="F36" s="69">
        <v>305000.0</v>
      </c>
      <c r="G36" s="70">
        <v>50000.0</v>
      </c>
      <c r="H36" s="20">
        <v>140000.0</v>
      </c>
      <c r="I36" s="7"/>
      <c r="J36" s="7"/>
      <c r="K36" s="7"/>
      <c r="L36" s="7"/>
      <c r="M36" s="7"/>
      <c r="N3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4.63"/>
    <col customWidth="1" min="6" max="6" width="18.25"/>
    <col customWidth="1" min="7" max="7" width="26.5"/>
    <col customWidth="1" min="8" max="8" width="16.13"/>
    <col customWidth="1" min="9" max="9" width="22.13"/>
  </cols>
  <sheetData>
    <row r="4">
      <c r="E4" s="71" t="s">
        <v>33</v>
      </c>
      <c r="F4" s="71" t="s">
        <v>34</v>
      </c>
      <c r="G4" s="71" t="s">
        <v>35</v>
      </c>
      <c r="H4" s="71" t="s">
        <v>36</v>
      </c>
      <c r="I4" s="71" t="s">
        <v>37</v>
      </c>
    </row>
    <row r="5">
      <c r="E5" s="72" t="s">
        <v>38</v>
      </c>
      <c r="F5" s="72" t="s">
        <v>39</v>
      </c>
      <c r="G5" s="73">
        <v>150.0</v>
      </c>
      <c r="H5" s="73">
        <v>1500.0</v>
      </c>
      <c r="I5" s="74">
        <v>44378.0</v>
      </c>
    </row>
    <row r="6">
      <c r="E6" s="72" t="s">
        <v>40</v>
      </c>
      <c r="F6" s="72" t="s">
        <v>41</v>
      </c>
      <c r="G6" s="75">
        <v>160.0</v>
      </c>
      <c r="H6" s="75">
        <v>960.0</v>
      </c>
      <c r="I6" s="76"/>
    </row>
    <row r="7">
      <c r="E7" s="72" t="s">
        <v>42</v>
      </c>
      <c r="F7" s="72">
        <v>1.0</v>
      </c>
      <c r="G7" s="75">
        <v>520.0</v>
      </c>
      <c r="H7" s="75">
        <v>520.0</v>
      </c>
      <c r="I7" s="76"/>
    </row>
    <row r="8">
      <c r="E8" s="72" t="s">
        <v>43</v>
      </c>
      <c r="F8" s="66">
        <v>1.0</v>
      </c>
      <c r="G8" s="73">
        <v>1450.0</v>
      </c>
      <c r="H8" s="73">
        <v>1450.0</v>
      </c>
      <c r="I8" s="76"/>
    </row>
    <row r="9">
      <c r="E9" s="72" t="s">
        <v>44</v>
      </c>
      <c r="F9" s="66">
        <v>2.0</v>
      </c>
      <c r="G9" s="75">
        <v>430.0</v>
      </c>
      <c r="H9" s="73">
        <v>860.0</v>
      </c>
      <c r="I9" s="76"/>
    </row>
    <row r="10">
      <c r="E10" s="72" t="s">
        <v>45</v>
      </c>
      <c r="F10" s="66">
        <v>4.0</v>
      </c>
      <c r="G10" s="75">
        <v>380.0</v>
      </c>
      <c r="H10" s="73">
        <v>1520.0</v>
      </c>
      <c r="I10" s="76"/>
    </row>
    <row r="11">
      <c r="E11" s="72" t="s">
        <v>46</v>
      </c>
      <c r="F11" s="72">
        <v>1.0</v>
      </c>
      <c r="G11" s="73">
        <v>510.0</v>
      </c>
      <c r="H11" s="73">
        <v>510.0</v>
      </c>
      <c r="I11" s="76"/>
    </row>
    <row r="12">
      <c r="E12" s="72" t="s">
        <v>47</v>
      </c>
      <c r="F12" s="66">
        <v>1.0</v>
      </c>
      <c r="G12" s="73">
        <v>400.0</v>
      </c>
      <c r="H12" s="73">
        <v>400.0</v>
      </c>
      <c r="I12" s="76"/>
    </row>
    <row r="13">
      <c r="E13" s="77" t="s">
        <v>48</v>
      </c>
      <c r="F13" s="77">
        <v>2.0</v>
      </c>
      <c r="G13" s="78">
        <v>480.0</v>
      </c>
      <c r="H13" s="78">
        <v>960.0</v>
      </c>
      <c r="I13" s="79"/>
    </row>
    <row r="14">
      <c r="E14" s="77" t="s">
        <v>49</v>
      </c>
      <c r="F14" s="77">
        <v>4.0</v>
      </c>
      <c r="G14" s="78">
        <v>1450.0</v>
      </c>
      <c r="H14" s="78">
        <v>5800.0</v>
      </c>
      <c r="I14" s="80">
        <v>44378.0</v>
      </c>
    </row>
    <row r="15">
      <c r="E15" s="72" t="s">
        <v>50</v>
      </c>
      <c r="F15" s="72">
        <v>3.0</v>
      </c>
      <c r="G15" s="75">
        <v>2130.0</v>
      </c>
      <c r="H15" s="75">
        <v>6390.0</v>
      </c>
      <c r="I15" s="81">
        <v>44378.0</v>
      </c>
    </row>
    <row r="16">
      <c r="E16" s="72" t="s">
        <v>51</v>
      </c>
      <c r="F16" s="72">
        <v>2.0</v>
      </c>
      <c r="G16" s="75">
        <v>2600.0</v>
      </c>
      <c r="H16" s="75">
        <v>5200.0</v>
      </c>
      <c r="I16" s="79"/>
    </row>
    <row r="17">
      <c r="E17" s="77" t="s">
        <v>52</v>
      </c>
      <c r="F17" s="77">
        <v>2.0</v>
      </c>
      <c r="G17" s="78">
        <v>1050.0</v>
      </c>
      <c r="H17" s="78">
        <v>2100.0</v>
      </c>
      <c r="I17" s="74">
        <v>44378.0</v>
      </c>
    </row>
    <row r="18">
      <c r="E18" s="77" t="s">
        <v>53</v>
      </c>
      <c r="F18" s="77">
        <v>1.0</v>
      </c>
      <c r="G18" s="78">
        <v>1450.0</v>
      </c>
      <c r="H18" s="78">
        <v>1450.0</v>
      </c>
      <c r="I18" s="76"/>
    </row>
    <row r="19">
      <c r="E19" s="77" t="s">
        <v>54</v>
      </c>
      <c r="F19" s="77">
        <v>1.0</v>
      </c>
      <c r="G19" s="78">
        <v>900.0</v>
      </c>
      <c r="H19" s="78">
        <v>900.0</v>
      </c>
      <c r="I19" s="76"/>
    </row>
    <row r="20">
      <c r="E20" s="77" t="s">
        <v>55</v>
      </c>
      <c r="F20" s="77">
        <v>1.0</v>
      </c>
      <c r="G20" s="78">
        <v>3300.0</v>
      </c>
      <c r="H20" s="78">
        <v>3300.0</v>
      </c>
      <c r="I20" s="76"/>
    </row>
    <row r="21">
      <c r="E21" s="77" t="s">
        <v>56</v>
      </c>
      <c r="F21" s="77" t="s">
        <v>57</v>
      </c>
      <c r="G21" s="78">
        <v>1350.0</v>
      </c>
      <c r="H21" s="78">
        <v>4550.0</v>
      </c>
      <c r="I21" s="76"/>
    </row>
    <row r="22">
      <c r="E22" s="77" t="s">
        <v>58</v>
      </c>
      <c r="F22" s="77">
        <v>3.0</v>
      </c>
      <c r="G22" s="78">
        <v>600.0</v>
      </c>
      <c r="H22" s="78">
        <v>1800.0</v>
      </c>
      <c r="I22" s="76"/>
    </row>
    <row r="23">
      <c r="E23" s="77" t="s">
        <v>59</v>
      </c>
      <c r="F23" s="77">
        <v>1.0</v>
      </c>
      <c r="G23" s="78">
        <v>5600.0</v>
      </c>
      <c r="H23" s="78">
        <v>5600.0</v>
      </c>
      <c r="I23" s="76"/>
    </row>
    <row r="24">
      <c r="E24" s="77" t="s">
        <v>60</v>
      </c>
      <c r="F24" s="77">
        <v>1.0</v>
      </c>
      <c r="G24" s="78">
        <v>1200.0</v>
      </c>
      <c r="H24" s="78">
        <v>1200.0</v>
      </c>
      <c r="I24" s="76"/>
    </row>
    <row r="25">
      <c r="E25" s="77" t="s">
        <v>61</v>
      </c>
      <c r="F25" s="77">
        <v>2.0</v>
      </c>
      <c r="G25" s="78">
        <v>150.0</v>
      </c>
      <c r="H25" s="78">
        <v>300.0</v>
      </c>
      <c r="I25" s="76"/>
    </row>
    <row r="26">
      <c r="E26" s="82"/>
      <c r="F26" s="77">
        <v>1.0</v>
      </c>
      <c r="G26" s="83"/>
      <c r="H26" s="78">
        <v>250.0</v>
      </c>
      <c r="I26" s="79"/>
    </row>
    <row r="27">
      <c r="E27" s="77" t="s">
        <v>62</v>
      </c>
      <c r="F27" s="77" t="s">
        <v>63</v>
      </c>
      <c r="G27" s="78">
        <v>230.0</v>
      </c>
      <c r="H27" s="78">
        <v>2650.0</v>
      </c>
      <c r="I27" s="74">
        <v>44378.0</v>
      </c>
    </row>
    <row r="28">
      <c r="E28" s="77" t="s">
        <v>64</v>
      </c>
      <c r="F28" s="77">
        <v>10.0</v>
      </c>
      <c r="G28" s="78">
        <v>190.0</v>
      </c>
      <c r="H28" s="78">
        <v>1900.0</v>
      </c>
      <c r="I28" s="76"/>
    </row>
    <row r="29">
      <c r="E29" s="77" t="s">
        <v>65</v>
      </c>
      <c r="F29" s="77" t="s">
        <v>66</v>
      </c>
      <c r="G29" s="78">
        <v>1600.0</v>
      </c>
      <c r="H29" s="78">
        <v>1600.0</v>
      </c>
      <c r="I29" s="76"/>
    </row>
    <row r="30">
      <c r="E30" s="77" t="s">
        <v>67</v>
      </c>
      <c r="F30" s="77" t="s">
        <v>66</v>
      </c>
      <c r="G30" s="78">
        <v>1300.0</v>
      </c>
      <c r="H30" s="78">
        <v>1300.0</v>
      </c>
      <c r="I30" s="79"/>
    </row>
    <row r="31">
      <c r="E31" s="77" t="s">
        <v>68</v>
      </c>
      <c r="F31" s="77">
        <v>1.0</v>
      </c>
      <c r="G31" s="78">
        <v>1200.0</v>
      </c>
      <c r="H31" s="78">
        <v>1200.0</v>
      </c>
      <c r="I31" s="80">
        <v>44378.0</v>
      </c>
    </row>
    <row r="32">
      <c r="E32" s="84" t="s">
        <v>69</v>
      </c>
      <c r="F32" s="84">
        <v>34.0</v>
      </c>
      <c r="G32" s="85">
        <v>590.0</v>
      </c>
      <c r="H32" s="85">
        <v>20060.0</v>
      </c>
      <c r="I32" s="86"/>
    </row>
    <row r="33">
      <c r="E33" s="77" t="s">
        <v>70</v>
      </c>
      <c r="F33" s="77">
        <v>6.0</v>
      </c>
      <c r="G33" s="78">
        <v>590.0</v>
      </c>
      <c r="H33" s="78">
        <v>3540.0</v>
      </c>
      <c r="I33" s="80">
        <v>44378.0</v>
      </c>
    </row>
    <row r="34">
      <c r="E34" s="72" t="s">
        <v>71</v>
      </c>
      <c r="F34" s="66">
        <v>4.0</v>
      </c>
      <c r="G34" s="75">
        <v>1100.0</v>
      </c>
      <c r="H34" s="73">
        <v>4400.0</v>
      </c>
      <c r="I34" s="87">
        <v>44378.0</v>
      </c>
    </row>
    <row r="35">
      <c r="E35" s="77" t="s">
        <v>72</v>
      </c>
      <c r="F35" s="77">
        <v>4.0</v>
      </c>
      <c r="G35" s="78">
        <v>1100.0</v>
      </c>
      <c r="H35" s="78">
        <v>4400.0</v>
      </c>
      <c r="I35" s="80">
        <v>44378.0</v>
      </c>
    </row>
    <row r="36">
      <c r="E36" s="72" t="s">
        <v>73</v>
      </c>
      <c r="F36" s="66">
        <v>12.0</v>
      </c>
      <c r="G36" s="73">
        <v>200.0</v>
      </c>
      <c r="H36" s="73">
        <v>2400.0</v>
      </c>
      <c r="I36" s="87">
        <v>44378.0</v>
      </c>
    </row>
    <row r="37">
      <c r="E37" s="77" t="s">
        <v>74</v>
      </c>
      <c r="F37" s="77">
        <v>4.0</v>
      </c>
      <c r="G37" s="78">
        <v>1400.0</v>
      </c>
      <c r="H37" s="78">
        <v>5600.0</v>
      </c>
      <c r="I37" s="80">
        <v>44378.0</v>
      </c>
    </row>
    <row r="38">
      <c r="E38" s="88" t="s">
        <v>75</v>
      </c>
      <c r="F38" s="66">
        <v>1.0</v>
      </c>
      <c r="G38" s="75">
        <v>720.0</v>
      </c>
      <c r="H38" s="73">
        <v>720.0</v>
      </c>
      <c r="I38" s="87">
        <v>44378.0</v>
      </c>
    </row>
    <row r="39">
      <c r="E39" s="72" t="s">
        <v>76</v>
      </c>
      <c r="F39" s="72">
        <v>4.0</v>
      </c>
      <c r="G39" s="75">
        <v>590.0</v>
      </c>
      <c r="H39" s="75">
        <v>2360.0</v>
      </c>
      <c r="I39" s="87">
        <v>44378.0</v>
      </c>
    </row>
    <row r="40">
      <c r="E40" s="72" t="s">
        <v>77</v>
      </c>
      <c r="F40" s="72" t="s">
        <v>66</v>
      </c>
      <c r="G40" s="75">
        <v>1140.0</v>
      </c>
      <c r="H40" s="75">
        <v>1140.0</v>
      </c>
      <c r="I40" s="87">
        <v>44378.0</v>
      </c>
    </row>
    <row r="41">
      <c r="E41" s="72" t="s">
        <v>78</v>
      </c>
      <c r="F41" s="66">
        <v>6.0</v>
      </c>
      <c r="G41" s="75">
        <v>520.0</v>
      </c>
      <c r="H41" s="73">
        <v>3120.0</v>
      </c>
      <c r="I41" s="87">
        <v>44378.0</v>
      </c>
    </row>
    <row r="42">
      <c r="E42" s="77" t="s">
        <v>79</v>
      </c>
      <c r="F42" s="77">
        <v>12.0</v>
      </c>
      <c r="G42" s="78">
        <v>175.0</v>
      </c>
      <c r="H42" s="78">
        <v>1020.0</v>
      </c>
      <c r="I42" s="80">
        <v>44378.0</v>
      </c>
    </row>
    <row r="43">
      <c r="E43" s="77" t="s">
        <v>80</v>
      </c>
      <c r="F43" s="77" t="s">
        <v>81</v>
      </c>
      <c r="G43" s="78">
        <v>1200.0</v>
      </c>
      <c r="H43" s="78">
        <v>1200.0</v>
      </c>
      <c r="I43" s="80">
        <v>44378.0</v>
      </c>
    </row>
    <row r="44">
      <c r="E44" s="77" t="s">
        <v>82</v>
      </c>
      <c r="F44" s="77" t="s">
        <v>81</v>
      </c>
      <c r="G44" s="78">
        <v>1000.0</v>
      </c>
      <c r="H44" s="78">
        <v>1000.0</v>
      </c>
      <c r="I44" s="80">
        <v>44378.0</v>
      </c>
    </row>
    <row r="45">
      <c r="E45" s="72" t="s">
        <v>83</v>
      </c>
      <c r="F45" s="72" t="s">
        <v>84</v>
      </c>
      <c r="G45" s="75">
        <v>600.0</v>
      </c>
      <c r="H45" s="75">
        <v>3000.0</v>
      </c>
      <c r="I45" s="87">
        <v>44378.0</v>
      </c>
    </row>
    <row r="46">
      <c r="E46" s="77" t="s">
        <v>85</v>
      </c>
      <c r="F46" s="77">
        <v>5.0</v>
      </c>
      <c r="G46" s="78">
        <v>1400.0</v>
      </c>
      <c r="H46" s="78">
        <v>7000.0</v>
      </c>
      <c r="I46" s="80">
        <v>44378.0</v>
      </c>
    </row>
    <row r="47">
      <c r="E47" s="72" t="s">
        <v>86</v>
      </c>
      <c r="F47" s="72" t="s">
        <v>87</v>
      </c>
      <c r="G47" s="75">
        <v>1700.0</v>
      </c>
      <c r="H47" s="75">
        <v>1700.0</v>
      </c>
      <c r="I47" s="87">
        <v>44378.0</v>
      </c>
    </row>
    <row r="48">
      <c r="E48" s="72" t="s">
        <v>88</v>
      </c>
      <c r="F48" s="72" t="s">
        <v>87</v>
      </c>
      <c r="G48" s="75" t="s">
        <v>87</v>
      </c>
      <c r="H48" s="75">
        <v>1250.0</v>
      </c>
      <c r="I48" s="87">
        <v>44378.0</v>
      </c>
    </row>
    <row r="49">
      <c r="E49" s="72" t="s">
        <v>89</v>
      </c>
      <c r="F49" s="72" t="s">
        <v>90</v>
      </c>
      <c r="G49" s="75">
        <v>100.0</v>
      </c>
      <c r="H49" s="75">
        <v>2000.0</v>
      </c>
      <c r="I49" s="87">
        <v>44378.0</v>
      </c>
    </row>
    <row r="50">
      <c r="E50" s="89" t="s">
        <v>91</v>
      </c>
      <c r="F50" s="89">
        <v>9.0</v>
      </c>
      <c r="G50" s="90">
        <v>580.0</v>
      </c>
      <c r="H50" s="90">
        <v>5220.0</v>
      </c>
      <c r="I50" s="91">
        <v>44378.0</v>
      </c>
    </row>
    <row r="51">
      <c r="E51" s="77" t="s">
        <v>89</v>
      </c>
      <c r="F51" s="77" t="s">
        <v>84</v>
      </c>
      <c r="G51" s="78">
        <v>100.0</v>
      </c>
      <c r="H51" s="78">
        <v>500.0</v>
      </c>
      <c r="I51" s="80">
        <v>44378.0</v>
      </c>
    </row>
    <row r="52">
      <c r="E52" s="77" t="s">
        <v>92</v>
      </c>
      <c r="F52" s="77" t="s">
        <v>93</v>
      </c>
      <c r="G52" s="78">
        <v>700.0</v>
      </c>
      <c r="H52" s="78">
        <v>1400.0</v>
      </c>
      <c r="I52" s="80">
        <v>44378.0</v>
      </c>
    </row>
    <row r="53">
      <c r="E53" s="77" t="s">
        <v>94</v>
      </c>
      <c r="F53" s="77">
        <v>5.0</v>
      </c>
      <c r="G53" s="78">
        <v>20.0</v>
      </c>
      <c r="H53" s="78">
        <v>100.0</v>
      </c>
      <c r="I53" s="80">
        <v>44378.0</v>
      </c>
    </row>
    <row r="54">
      <c r="E54" s="77" t="s">
        <v>95</v>
      </c>
      <c r="F54" s="77">
        <v>3.0</v>
      </c>
      <c r="G54" s="78">
        <v>300.0</v>
      </c>
      <c r="H54" s="78">
        <v>300.0</v>
      </c>
      <c r="I54" s="80">
        <v>44378.0</v>
      </c>
    </row>
    <row r="55">
      <c r="E55" s="77" t="s">
        <v>96</v>
      </c>
      <c r="F55" s="77">
        <v>5.0</v>
      </c>
      <c r="G55" s="78">
        <v>120.0</v>
      </c>
      <c r="H55" s="78">
        <v>600.0</v>
      </c>
      <c r="I55" s="80">
        <v>44378.0</v>
      </c>
    </row>
    <row r="56">
      <c r="E56" s="77" t="s">
        <v>97</v>
      </c>
      <c r="F56" s="77" t="s">
        <v>98</v>
      </c>
      <c r="G56" s="78">
        <v>250.0</v>
      </c>
      <c r="H56" s="78">
        <v>1000.0</v>
      </c>
      <c r="I56" s="80">
        <v>44378.0</v>
      </c>
    </row>
    <row r="57">
      <c r="E57" s="77" t="s">
        <v>99</v>
      </c>
      <c r="F57" s="77" t="s">
        <v>100</v>
      </c>
      <c r="G57" s="78">
        <v>100.0</v>
      </c>
      <c r="H57" s="78">
        <v>1500.0</v>
      </c>
      <c r="I57" s="80">
        <v>44378.0</v>
      </c>
    </row>
    <row r="58">
      <c r="E58" s="77" t="s">
        <v>101</v>
      </c>
      <c r="F58" s="77">
        <v>15.0</v>
      </c>
      <c r="G58" s="78">
        <v>100.0</v>
      </c>
      <c r="H58" s="78">
        <v>1500.0</v>
      </c>
      <c r="I58" s="80">
        <v>44378.0</v>
      </c>
    </row>
    <row r="59">
      <c r="E59" s="77" t="s">
        <v>92</v>
      </c>
      <c r="F59" s="77" t="s">
        <v>81</v>
      </c>
      <c r="G59" s="78">
        <v>700.0</v>
      </c>
      <c r="H59" s="78">
        <v>700.0</v>
      </c>
      <c r="I59" s="80">
        <v>44378.0</v>
      </c>
    </row>
    <row r="60">
      <c r="E60" s="77" t="s">
        <v>102</v>
      </c>
      <c r="F60" s="77" t="s">
        <v>103</v>
      </c>
      <c r="G60" s="78">
        <v>700.0</v>
      </c>
      <c r="H60" s="78">
        <v>350.0</v>
      </c>
      <c r="I60" s="80">
        <v>44378.0</v>
      </c>
    </row>
    <row r="61">
      <c r="E61" s="77" t="s">
        <v>104</v>
      </c>
      <c r="F61" s="77" t="s">
        <v>103</v>
      </c>
      <c r="G61" s="78">
        <v>1400.0</v>
      </c>
      <c r="H61" s="78">
        <v>700.0</v>
      </c>
      <c r="I61" s="80">
        <v>44378.0</v>
      </c>
    </row>
    <row r="62">
      <c r="E62" s="77" t="s">
        <v>105</v>
      </c>
      <c r="F62" s="77">
        <v>1.0</v>
      </c>
      <c r="G62" s="78">
        <v>400.0</v>
      </c>
      <c r="H62" s="78">
        <v>400.0</v>
      </c>
      <c r="I62" s="80">
        <v>44378.0</v>
      </c>
    </row>
    <row r="63">
      <c r="E63" s="77" t="s">
        <v>106</v>
      </c>
      <c r="F63" s="77" t="s">
        <v>81</v>
      </c>
      <c r="G63" s="78">
        <v>350.0</v>
      </c>
      <c r="H63" s="78">
        <v>350.0</v>
      </c>
      <c r="I63" s="80">
        <v>44378.0</v>
      </c>
    </row>
    <row r="64">
      <c r="E64" s="77" t="s">
        <v>107</v>
      </c>
      <c r="F64" s="77" t="s">
        <v>108</v>
      </c>
      <c r="G64" s="78">
        <v>1450.0</v>
      </c>
      <c r="H64" s="78">
        <v>1450.0</v>
      </c>
      <c r="I64" s="80">
        <v>44378.0</v>
      </c>
    </row>
    <row r="65">
      <c r="E65" s="77" t="s">
        <v>109</v>
      </c>
      <c r="F65" s="77" t="s">
        <v>110</v>
      </c>
      <c r="G65" s="83"/>
      <c r="H65" s="78">
        <v>510.0</v>
      </c>
      <c r="I65" s="80">
        <v>44378.0</v>
      </c>
    </row>
    <row r="66">
      <c r="E66" s="77" t="s">
        <v>111</v>
      </c>
      <c r="F66" s="77">
        <v>5.0</v>
      </c>
      <c r="G66" s="78">
        <v>100.0</v>
      </c>
      <c r="H66" s="78">
        <v>100.0</v>
      </c>
      <c r="I66" s="80">
        <v>44378.0</v>
      </c>
    </row>
    <row r="67">
      <c r="E67" s="77" t="s">
        <v>112</v>
      </c>
      <c r="F67" s="77" t="s">
        <v>113</v>
      </c>
      <c r="G67" s="78">
        <v>850.0</v>
      </c>
      <c r="H67" s="78">
        <v>850.0</v>
      </c>
      <c r="I67" s="80">
        <v>44378.0</v>
      </c>
    </row>
    <row r="68">
      <c r="E68" s="77" t="s">
        <v>114</v>
      </c>
      <c r="F68" s="77" t="s">
        <v>81</v>
      </c>
      <c r="G68" s="78">
        <v>100.0</v>
      </c>
      <c r="H68" s="78">
        <v>100.0</v>
      </c>
      <c r="I68" s="80">
        <v>44378.0</v>
      </c>
    </row>
    <row r="69">
      <c r="E69" s="77" t="s">
        <v>115</v>
      </c>
      <c r="F69" s="77">
        <v>5.0</v>
      </c>
      <c r="G69" s="78">
        <v>240.0</v>
      </c>
      <c r="H69" s="78">
        <v>1200.0</v>
      </c>
      <c r="I69" s="80">
        <v>44378.0</v>
      </c>
    </row>
    <row r="70">
      <c r="E70" s="77" t="s">
        <v>116</v>
      </c>
      <c r="F70" s="77">
        <v>2.0</v>
      </c>
      <c r="G70" s="78" t="s">
        <v>87</v>
      </c>
      <c r="H70" s="78">
        <v>1500.0</v>
      </c>
      <c r="I70" s="80">
        <v>44378.0</v>
      </c>
    </row>
    <row r="71">
      <c r="E71" s="77" t="s">
        <v>92</v>
      </c>
      <c r="F71" s="77" t="s">
        <v>110</v>
      </c>
      <c r="G71" s="78">
        <v>800.0</v>
      </c>
      <c r="H71" s="78">
        <v>1200.0</v>
      </c>
      <c r="I71" s="80">
        <v>44379.0</v>
      </c>
    </row>
    <row r="72">
      <c r="E72" s="77" t="s">
        <v>117</v>
      </c>
      <c r="F72" s="77" t="s">
        <v>93</v>
      </c>
      <c r="G72" s="78">
        <v>100.0</v>
      </c>
      <c r="H72" s="78">
        <v>250.0</v>
      </c>
      <c r="I72" s="80">
        <v>44379.0</v>
      </c>
    </row>
    <row r="73">
      <c r="E73" s="77" t="s">
        <v>118</v>
      </c>
      <c r="F73" s="77" t="s">
        <v>119</v>
      </c>
      <c r="G73" s="78">
        <v>400.0</v>
      </c>
      <c r="H73" s="78">
        <v>800.0</v>
      </c>
      <c r="I73" s="80">
        <v>44379.0</v>
      </c>
    </row>
    <row r="74">
      <c r="E74" s="77" t="s">
        <v>120</v>
      </c>
      <c r="F74" s="77">
        <v>1.0</v>
      </c>
      <c r="G74" s="78">
        <v>100.0</v>
      </c>
      <c r="H74" s="78">
        <v>100.0</v>
      </c>
      <c r="I74" s="80">
        <v>44379.0</v>
      </c>
    </row>
    <row r="75">
      <c r="E75" s="77" t="s">
        <v>121</v>
      </c>
      <c r="F75" s="77">
        <v>10.0</v>
      </c>
      <c r="G75" s="78">
        <v>120.0</v>
      </c>
      <c r="H75" s="78">
        <v>1200.0</v>
      </c>
      <c r="I75" s="80">
        <v>44379.0</v>
      </c>
      <c r="J75" s="46">
        <v>3.0</v>
      </c>
    </row>
    <row r="76">
      <c r="E76" s="77" t="s">
        <v>102</v>
      </c>
      <c r="F76" s="77">
        <v>3.0</v>
      </c>
      <c r="G76" s="78">
        <v>350.0</v>
      </c>
      <c r="H76" s="78">
        <v>1050.0</v>
      </c>
      <c r="I76" s="80">
        <v>44379.0</v>
      </c>
    </row>
    <row r="77">
      <c r="E77" s="77" t="s">
        <v>122</v>
      </c>
      <c r="F77" s="77" t="s">
        <v>81</v>
      </c>
      <c r="G77" s="78">
        <v>100.0</v>
      </c>
      <c r="H77" s="78">
        <v>100.0</v>
      </c>
      <c r="I77" s="80">
        <v>44379.0</v>
      </c>
    </row>
    <row r="78">
      <c r="E78" s="77" t="s">
        <v>123</v>
      </c>
      <c r="F78" s="77" t="s">
        <v>110</v>
      </c>
      <c r="G78" s="78">
        <v>150.0</v>
      </c>
      <c r="H78" s="78">
        <v>250.0</v>
      </c>
      <c r="I78" s="80">
        <v>44379.0</v>
      </c>
    </row>
    <row r="79">
      <c r="E79" s="77" t="s">
        <v>124</v>
      </c>
      <c r="F79" s="77" t="s">
        <v>103</v>
      </c>
      <c r="G79" s="78">
        <v>100.0</v>
      </c>
      <c r="H79" s="78">
        <v>50.0</v>
      </c>
      <c r="I79" s="80">
        <v>44379.0</v>
      </c>
    </row>
    <row r="80">
      <c r="E80" s="77" t="s">
        <v>125</v>
      </c>
      <c r="F80" s="77" t="s">
        <v>103</v>
      </c>
      <c r="G80" s="78">
        <v>1500.0</v>
      </c>
      <c r="H80" s="78">
        <v>750.0</v>
      </c>
      <c r="I80" s="80">
        <v>44379.0</v>
      </c>
    </row>
    <row r="81">
      <c r="E81" s="77" t="s">
        <v>94</v>
      </c>
      <c r="F81" s="77">
        <v>5.0</v>
      </c>
      <c r="G81" s="78">
        <v>20.0</v>
      </c>
      <c r="H81" s="78">
        <v>100.0</v>
      </c>
      <c r="I81" s="80">
        <v>44379.0</v>
      </c>
    </row>
    <row r="82">
      <c r="E82" s="77" t="s">
        <v>126</v>
      </c>
      <c r="F82" s="77">
        <v>1.0</v>
      </c>
      <c r="G82" s="78">
        <v>1000.0</v>
      </c>
      <c r="H82" s="78">
        <v>1000.0</v>
      </c>
      <c r="I82" s="80">
        <v>44379.0</v>
      </c>
    </row>
    <row r="83">
      <c r="E83" s="77" t="s">
        <v>89</v>
      </c>
      <c r="F83" s="77" t="s">
        <v>127</v>
      </c>
      <c r="G83" s="78">
        <v>100.0</v>
      </c>
      <c r="H83" s="78">
        <v>1200.0</v>
      </c>
      <c r="I83" s="80">
        <v>44379.0</v>
      </c>
    </row>
    <row r="84">
      <c r="E84" s="77" t="s">
        <v>128</v>
      </c>
      <c r="F84" s="77">
        <v>1.0</v>
      </c>
      <c r="G84" s="78">
        <v>1000.0</v>
      </c>
      <c r="H84" s="78">
        <v>1000.0</v>
      </c>
      <c r="I84" s="80">
        <v>44379.0</v>
      </c>
    </row>
    <row r="85">
      <c r="E85" s="92" t="s">
        <v>129</v>
      </c>
      <c r="F85" s="92">
        <v>400.0</v>
      </c>
      <c r="G85" s="93">
        <v>50.0</v>
      </c>
      <c r="H85" s="93">
        <v>20000.0</v>
      </c>
      <c r="I85" s="94">
        <v>44379.0</v>
      </c>
    </row>
    <row r="86">
      <c r="E86" s="77" t="s">
        <v>130</v>
      </c>
      <c r="F86" s="77" t="s">
        <v>131</v>
      </c>
      <c r="G86" s="78">
        <v>350.0</v>
      </c>
      <c r="H86" s="78">
        <v>350.0</v>
      </c>
      <c r="I86" s="80">
        <v>44380.0</v>
      </c>
    </row>
    <row r="87">
      <c r="E87" s="77" t="s">
        <v>92</v>
      </c>
      <c r="F87" s="77" t="s">
        <v>110</v>
      </c>
      <c r="G87" s="78">
        <v>700.0</v>
      </c>
      <c r="H87" s="78">
        <v>1050.0</v>
      </c>
      <c r="I87" s="80">
        <v>44380.0</v>
      </c>
    </row>
    <row r="88">
      <c r="E88" s="77" t="s">
        <v>132</v>
      </c>
      <c r="F88" s="77" t="s">
        <v>133</v>
      </c>
      <c r="G88" s="78">
        <v>150.0</v>
      </c>
      <c r="H88" s="78">
        <v>300.0</v>
      </c>
      <c r="I88" s="80">
        <v>44380.0</v>
      </c>
    </row>
    <row r="89">
      <c r="E89" s="77" t="s">
        <v>89</v>
      </c>
      <c r="F89" s="77" t="s">
        <v>134</v>
      </c>
      <c r="G89" s="78">
        <v>100.0</v>
      </c>
      <c r="H89" s="78">
        <v>300.0</v>
      </c>
      <c r="I89" s="80">
        <v>44380.0</v>
      </c>
    </row>
    <row r="90">
      <c r="E90" s="77" t="s">
        <v>135</v>
      </c>
      <c r="F90" s="77">
        <v>6.0</v>
      </c>
      <c r="G90" s="78">
        <v>35.0</v>
      </c>
      <c r="H90" s="78">
        <v>200.0</v>
      </c>
      <c r="I90" s="80">
        <v>44380.0</v>
      </c>
    </row>
    <row r="91">
      <c r="E91" s="77" t="s">
        <v>125</v>
      </c>
      <c r="F91" s="77" t="s">
        <v>81</v>
      </c>
      <c r="G91" s="78">
        <v>1500.0</v>
      </c>
      <c r="H91" s="78">
        <v>1500.0</v>
      </c>
      <c r="I91" s="80">
        <v>44380.0</v>
      </c>
    </row>
    <row r="92">
      <c r="E92" s="77" t="s">
        <v>135</v>
      </c>
      <c r="F92" s="77" t="s">
        <v>136</v>
      </c>
      <c r="G92" s="78">
        <v>40.0</v>
      </c>
      <c r="H92" s="78">
        <v>1200.0</v>
      </c>
      <c r="I92" s="80">
        <v>44380.0</v>
      </c>
    </row>
    <row r="93">
      <c r="E93" s="77" t="s">
        <v>137</v>
      </c>
      <c r="F93" s="77" t="s">
        <v>138</v>
      </c>
      <c r="G93" s="78">
        <v>40.0</v>
      </c>
      <c r="H93" s="78">
        <v>1400.0</v>
      </c>
      <c r="I93" s="80">
        <v>44380.0</v>
      </c>
    </row>
    <row r="94">
      <c r="E94" s="77" t="s">
        <v>139</v>
      </c>
      <c r="F94" s="77">
        <v>1.0</v>
      </c>
      <c r="G94" s="78">
        <v>400.0</v>
      </c>
      <c r="H94" s="78">
        <v>400.0</v>
      </c>
      <c r="I94" s="80">
        <v>44380.0</v>
      </c>
    </row>
    <row r="95">
      <c r="E95" s="77" t="s">
        <v>140</v>
      </c>
      <c r="F95" s="77">
        <v>1.0</v>
      </c>
      <c r="G95" s="78">
        <v>200.0</v>
      </c>
      <c r="H95" s="78">
        <v>200.0</v>
      </c>
      <c r="I95" s="80">
        <v>44380.0</v>
      </c>
    </row>
    <row r="96">
      <c r="E96" s="77" t="s">
        <v>141</v>
      </c>
      <c r="F96" s="77">
        <v>1.0</v>
      </c>
      <c r="G96" s="78">
        <v>1000.0</v>
      </c>
      <c r="H96" s="78">
        <v>1000.0</v>
      </c>
      <c r="I96" s="80">
        <v>44380.0</v>
      </c>
    </row>
    <row r="97">
      <c r="E97" s="77" t="s">
        <v>142</v>
      </c>
      <c r="F97" s="77">
        <v>12.0</v>
      </c>
      <c r="G97" s="78">
        <v>175.0</v>
      </c>
      <c r="H97" s="78">
        <v>2100.0</v>
      </c>
      <c r="I97" s="80">
        <v>44381.0</v>
      </c>
    </row>
    <row r="98">
      <c r="E98" s="77" t="s">
        <v>143</v>
      </c>
      <c r="F98" s="77" t="s">
        <v>39</v>
      </c>
      <c r="G98" s="78">
        <v>580.0</v>
      </c>
      <c r="H98" s="78">
        <v>5800.0</v>
      </c>
      <c r="I98" s="80">
        <v>44381.0</v>
      </c>
    </row>
    <row r="99">
      <c r="E99" s="77" t="s">
        <v>144</v>
      </c>
      <c r="F99" s="77">
        <v>12.0</v>
      </c>
      <c r="G99" s="78">
        <v>205.0</v>
      </c>
      <c r="H99" s="78">
        <v>2460.0</v>
      </c>
      <c r="I99" s="80">
        <v>44381.0</v>
      </c>
    </row>
    <row r="100">
      <c r="E100" s="77" t="s">
        <v>145</v>
      </c>
      <c r="F100" s="77">
        <v>12.0</v>
      </c>
      <c r="G100" s="78">
        <v>175.0</v>
      </c>
      <c r="H100" s="78">
        <v>2100.0</v>
      </c>
      <c r="I100" s="80">
        <v>44381.0</v>
      </c>
    </row>
    <row r="101">
      <c r="E101" s="77" t="s">
        <v>146</v>
      </c>
      <c r="F101" s="77">
        <v>2.0</v>
      </c>
      <c r="G101" s="78">
        <v>780.0</v>
      </c>
      <c r="H101" s="78">
        <v>1560.0</v>
      </c>
      <c r="I101" s="77" t="s">
        <v>147</v>
      </c>
    </row>
    <row r="102">
      <c r="E102" s="77" t="s">
        <v>148</v>
      </c>
      <c r="F102" s="77">
        <v>4.0</v>
      </c>
      <c r="G102" s="78">
        <v>650.0</v>
      </c>
      <c r="H102" s="78">
        <v>2600.0</v>
      </c>
      <c r="I102" s="80">
        <v>44381.0</v>
      </c>
    </row>
    <row r="103">
      <c r="E103" s="77" t="s">
        <v>149</v>
      </c>
      <c r="F103" s="77">
        <v>10.0</v>
      </c>
      <c r="G103" s="78">
        <v>190.0</v>
      </c>
      <c r="H103" s="78">
        <v>1900.0</v>
      </c>
      <c r="I103" s="80">
        <v>44381.0</v>
      </c>
    </row>
    <row r="104">
      <c r="E104" s="77" t="s">
        <v>75</v>
      </c>
      <c r="F104" s="77">
        <v>10.0</v>
      </c>
      <c r="G104" s="78">
        <v>65.0</v>
      </c>
      <c r="H104" s="78">
        <v>650.0</v>
      </c>
      <c r="I104" s="80">
        <v>44381.0</v>
      </c>
    </row>
    <row r="105">
      <c r="E105" s="77" t="s">
        <v>150</v>
      </c>
      <c r="F105" s="77">
        <v>10.0</v>
      </c>
      <c r="G105" s="78">
        <v>63.0</v>
      </c>
      <c r="H105" s="78">
        <v>630.0</v>
      </c>
      <c r="I105" s="80">
        <v>44381.0</v>
      </c>
    </row>
    <row r="106">
      <c r="E106" s="77" t="s">
        <v>130</v>
      </c>
      <c r="F106" s="77" t="s">
        <v>151</v>
      </c>
      <c r="G106" s="78">
        <v>330.0</v>
      </c>
      <c r="H106" s="78">
        <v>1650.0</v>
      </c>
      <c r="I106" s="80">
        <v>44381.0</v>
      </c>
    </row>
    <row r="107">
      <c r="E107" s="77" t="s">
        <v>152</v>
      </c>
      <c r="F107" s="77">
        <v>5.0</v>
      </c>
      <c r="G107" s="78">
        <v>190.0</v>
      </c>
      <c r="H107" s="78">
        <v>950.0</v>
      </c>
      <c r="I107" s="80">
        <v>44381.0</v>
      </c>
    </row>
    <row r="108">
      <c r="E108" s="77" t="s">
        <v>153</v>
      </c>
      <c r="F108" s="77">
        <v>3.0</v>
      </c>
      <c r="G108" s="78">
        <v>1480.0</v>
      </c>
      <c r="H108" s="78">
        <v>4440.0</v>
      </c>
      <c r="I108" s="80">
        <v>44381.0</v>
      </c>
    </row>
    <row r="109">
      <c r="E109" s="77" t="s">
        <v>154</v>
      </c>
      <c r="F109" s="77">
        <v>9.0</v>
      </c>
      <c r="G109" s="78">
        <v>155.0</v>
      </c>
      <c r="H109" s="78">
        <v>1395.0</v>
      </c>
      <c r="I109" s="80">
        <v>44381.0</v>
      </c>
    </row>
    <row r="110">
      <c r="E110" s="77" t="s">
        <v>62</v>
      </c>
      <c r="F110" s="77" t="s">
        <v>84</v>
      </c>
      <c r="G110" s="78">
        <v>230.0</v>
      </c>
      <c r="H110" s="78">
        <v>1150.0</v>
      </c>
      <c r="I110" s="80">
        <v>44381.0</v>
      </c>
    </row>
    <row r="111">
      <c r="E111" s="77" t="s">
        <v>155</v>
      </c>
      <c r="F111" s="77">
        <v>12.0</v>
      </c>
      <c r="G111" s="78">
        <v>305.0</v>
      </c>
      <c r="H111" s="78">
        <v>3660.0</v>
      </c>
      <c r="I111" s="80">
        <v>44381.0</v>
      </c>
    </row>
    <row r="112">
      <c r="E112" s="77" t="s">
        <v>156</v>
      </c>
      <c r="F112" s="77" t="s">
        <v>157</v>
      </c>
      <c r="G112" s="78">
        <v>1250.0</v>
      </c>
      <c r="H112" s="78">
        <v>6000.0</v>
      </c>
      <c r="I112" s="80">
        <v>44381.0</v>
      </c>
    </row>
    <row r="113">
      <c r="E113" s="77" t="s">
        <v>158</v>
      </c>
      <c r="F113" s="77" t="s">
        <v>81</v>
      </c>
      <c r="G113" s="78">
        <v>500.0</v>
      </c>
      <c r="H113" s="78">
        <v>500.0</v>
      </c>
      <c r="I113" s="80">
        <v>44381.0</v>
      </c>
    </row>
    <row r="114">
      <c r="E114" s="77" t="s">
        <v>159</v>
      </c>
      <c r="F114" s="77" t="s">
        <v>81</v>
      </c>
      <c r="G114" s="78">
        <v>1680.0</v>
      </c>
      <c r="H114" s="78">
        <v>1680.0</v>
      </c>
      <c r="I114" s="80">
        <v>44381.0</v>
      </c>
    </row>
    <row r="115">
      <c r="E115" s="77" t="s">
        <v>160</v>
      </c>
      <c r="F115" s="77" t="s">
        <v>134</v>
      </c>
      <c r="G115" s="78">
        <v>140.0</v>
      </c>
      <c r="H115" s="78">
        <v>420.0</v>
      </c>
      <c r="I115" s="80">
        <v>44381.0</v>
      </c>
    </row>
    <row r="116">
      <c r="E116" s="77" t="s">
        <v>161</v>
      </c>
      <c r="F116" s="77" t="s">
        <v>162</v>
      </c>
      <c r="G116" s="78">
        <v>1050.0</v>
      </c>
      <c r="H116" s="78">
        <v>3150.0</v>
      </c>
      <c r="I116" s="80">
        <v>44381.0</v>
      </c>
    </row>
    <row r="117">
      <c r="E117" s="77" t="s">
        <v>163</v>
      </c>
      <c r="F117" s="77" t="s">
        <v>162</v>
      </c>
      <c r="G117" s="78">
        <v>1600.0</v>
      </c>
      <c r="H117" s="78">
        <v>4800.0</v>
      </c>
      <c r="I117" s="80">
        <v>44381.0</v>
      </c>
    </row>
    <row r="118">
      <c r="E118" s="77" t="s">
        <v>164</v>
      </c>
      <c r="F118" s="77" t="s">
        <v>165</v>
      </c>
      <c r="G118" s="78">
        <v>1650.0</v>
      </c>
      <c r="H118" s="78">
        <v>1650.0</v>
      </c>
      <c r="I118" s="80">
        <v>44381.0</v>
      </c>
    </row>
    <row r="119">
      <c r="E119" s="77" t="s">
        <v>166</v>
      </c>
      <c r="F119" s="77" t="s">
        <v>167</v>
      </c>
      <c r="G119" s="78">
        <v>1300.0</v>
      </c>
      <c r="H119" s="78">
        <v>2600.0</v>
      </c>
      <c r="I119" s="80">
        <v>44381.0</v>
      </c>
    </row>
    <row r="120">
      <c r="E120" s="77" t="s">
        <v>168</v>
      </c>
      <c r="F120" s="77" t="s">
        <v>169</v>
      </c>
      <c r="G120" s="78">
        <v>1250.0</v>
      </c>
      <c r="H120" s="78">
        <v>2500.0</v>
      </c>
      <c r="I120" s="80">
        <v>44381.0</v>
      </c>
    </row>
    <row r="121">
      <c r="E121" s="77" t="s">
        <v>170</v>
      </c>
      <c r="F121" s="77" t="s">
        <v>66</v>
      </c>
      <c r="G121" s="78">
        <v>1000.0</v>
      </c>
      <c r="H121" s="78">
        <v>1000.0</v>
      </c>
      <c r="I121" s="80">
        <v>44381.0</v>
      </c>
    </row>
    <row r="122">
      <c r="E122" s="77" t="s">
        <v>171</v>
      </c>
      <c r="F122" s="77">
        <v>2.0</v>
      </c>
      <c r="G122" s="78">
        <v>1100.0</v>
      </c>
      <c r="H122" s="78">
        <v>2200.0</v>
      </c>
      <c r="I122" s="80">
        <v>44381.0</v>
      </c>
    </row>
    <row r="123">
      <c r="E123" s="77" t="s">
        <v>172</v>
      </c>
      <c r="F123" s="77">
        <v>4.0</v>
      </c>
      <c r="G123" s="78">
        <v>400.0</v>
      </c>
      <c r="H123" s="78">
        <v>1600.0</v>
      </c>
      <c r="I123" s="80">
        <v>44381.0</v>
      </c>
    </row>
    <row r="124">
      <c r="E124" s="77" t="s">
        <v>173</v>
      </c>
      <c r="F124" s="77">
        <v>1.0</v>
      </c>
      <c r="G124" s="78">
        <v>210.0</v>
      </c>
      <c r="H124" s="78">
        <v>210.0</v>
      </c>
      <c r="I124" s="80">
        <v>44381.0</v>
      </c>
    </row>
    <row r="125">
      <c r="E125" s="77" t="s">
        <v>174</v>
      </c>
      <c r="F125" s="77" t="s">
        <v>175</v>
      </c>
      <c r="G125" s="78">
        <v>1400.0</v>
      </c>
      <c r="H125" s="78">
        <v>1400.0</v>
      </c>
      <c r="I125" s="80">
        <v>44381.0</v>
      </c>
    </row>
    <row r="126">
      <c r="E126" s="77" t="s">
        <v>176</v>
      </c>
      <c r="F126" s="77">
        <v>2.0</v>
      </c>
      <c r="G126" s="78">
        <v>850.0</v>
      </c>
      <c r="H126" s="78">
        <v>850.0</v>
      </c>
      <c r="I126" s="80">
        <v>44381.0</v>
      </c>
    </row>
    <row r="127">
      <c r="E127" s="77" t="s">
        <v>177</v>
      </c>
      <c r="F127" s="77" t="s">
        <v>178</v>
      </c>
      <c r="G127" s="78">
        <v>100.0</v>
      </c>
      <c r="H127" s="78">
        <v>250.0</v>
      </c>
      <c r="I127" s="80">
        <v>44381.0</v>
      </c>
    </row>
    <row r="128">
      <c r="E128" s="77" t="s">
        <v>137</v>
      </c>
      <c r="F128" s="77" t="s">
        <v>90</v>
      </c>
      <c r="G128" s="78">
        <v>30.0</v>
      </c>
      <c r="H128" s="78">
        <v>600.0</v>
      </c>
      <c r="I128" s="80">
        <v>44381.0</v>
      </c>
    </row>
    <row r="129">
      <c r="E129" s="77" t="s">
        <v>179</v>
      </c>
      <c r="F129" s="77">
        <v>4.0</v>
      </c>
      <c r="G129" s="78">
        <v>25.0</v>
      </c>
      <c r="H129" s="78">
        <v>100.0</v>
      </c>
      <c r="I129" s="80">
        <v>44381.0</v>
      </c>
    </row>
    <row r="130">
      <c r="E130" s="77" t="s">
        <v>94</v>
      </c>
      <c r="F130" s="77">
        <v>3.0</v>
      </c>
      <c r="G130" s="78">
        <v>20.0</v>
      </c>
      <c r="H130" s="78">
        <v>60.0</v>
      </c>
      <c r="I130" s="80">
        <v>44381.0</v>
      </c>
    </row>
    <row r="131">
      <c r="E131" s="77" t="s">
        <v>180</v>
      </c>
      <c r="F131" s="77">
        <v>2.0</v>
      </c>
      <c r="G131" s="78">
        <v>300.0</v>
      </c>
      <c r="H131" s="78">
        <v>600.0</v>
      </c>
      <c r="I131" s="80">
        <v>44381.0</v>
      </c>
    </row>
    <row r="132">
      <c r="E132" s="77" t="s">
        <v>181</v>
      </c>
      <c r="F132" s="77">
        <v>12.0</v>
      </c>
      <c r="G132" s="78">
        <v>240.0</v>
      </c>
      <c r="H132" s="78">
        <f>G132*F132</f>
        <v>2880</v>
      </c>
      <c r="I132" s="80">
        <v>44381.0</v>
      </c>
    </row>
    <row r="133">
      <c r="E133" s="77" t="s">
        <v>182</v>
      </c>
      <c r="F133" s="77">
        <v>1.0</v>
      </c>
      <c r="G133" s="78">
        <v>200.0</v>
      </c>
      <c r="H133" s="78">
        <v>200.0</v>
      </c>
      <c r="I133" s="80">
        <v>44381.0</v>
      </c>
    </row>
    <row r="134">
      <c r="E134" s="77" t="s">
        <v>92</v>
      </c>
      <c r="F134" s="77" t="s">
        <v>110</v>
      </c>
      <c r="G134" s="78">
        <v>750.0</v>
      </c>
      <c r="H134" s="78">
        <v>1050.0</v>
      </c>
      <c r="I134" s="80">
        <v>44381.0</v>
      </c>
    </row>
    <row r="135">
      <c r="E135" s="77" t="s">
        <v>183</v>
      </c>
      <c r="F135" s="77">
        <v>1.0</v>
      </c>
      <c r="G135" s="78">
        <v>1500.0</v>
      </c>
      <c r="H135" s="78">
        <v>1500.0</v>
      </c>
      <c r="I135" s="80">
        <v>44381.0</v>
      </c>
    </row>
    <row r="136">
      <c r="E136" s="77" t="s">
        <v>184</v>
      </c>
      <c r="F136" s="77">
        <v>4.0</v>
      </c>
      <c r="G136" s="78">
        <v>1450.0</v>
      </c>
      <c r="H136" s="78">
        <v>6400.0</v>
      </c>
      <c r="I136" s="80">
        <v>44381.0</v>
      </c>
    </row>
    <row r="137">
      <c r="E137" s="77" t="s">
        <v>185</v>
      </c>
      <c r="F137" s="77">
        <v>10.0</v>
      </c>
      <c r="G137" s="78">
        <v>2500.0</v>
      </c>
      <c r="H137" s="78">
        <v>2500.0</v>
      </c>
      <c r="I137" s="80">
        <v>44381.0</v>
      </c>
    </row>
    <row r="138">
      <c r="E138" s="77" t="s">
        <v>186</v>
      </c>
      <c r="F138" s="77">
        <v>1.0</v>
      </c>
      <c r="G138" s="78">
        <v>500.0</v>
      </c>
      <c r="H138" s="78">
        <v>500.0</v>
      </c>
      <c r="I138" s="80">
        <v>44381.0</v>
      </c>
    </row>
    <row r="139">
      <c r="E139" s="77" t="s">
        <v>187</v>
      </c>
      <c r="F139" s="77" t="s">
        <v>188</v>
      </c>
      <c r="G139" s="78">
        <v>125.0</v>
      </c>
      <c r="H139" s="78">
        <v>3500.0</v>
      </c>
      <c r="I139" s="80">
        <v>44381.0</v>
      </c>
    </row>
    <row r="140">
      <c r="E140" s="77" t="s">
        <v>189</v>
      </c>
      <c r="F140" s="77" t="s">
        <v>190</v>
      </c>
      <c r="G140" s="78">
        <v>400.0</v>
      </c>
      <c r="H140" s="78">
        <v>2900.0</v>
      </c>
      <c r="I140" s="80">
        <v>44382.0</v>
      </c>
    </row>
    <row r="141">
      <c r="E141" s="77" t="s">
        <v>92</v>
      </c>
      <c r="F141" s="77" t="s">
        <v>110</v>
      </c>
      <c r="G141" s="78">
        <v>750.0</v>
      </c>
      <c r="H141" s="78">
        <v>1000.0</v>
      </c>
      <c r="I141" s="80">
        <v>44382.0</v>
      </c>
    </row>
    <row r="142">
      <c r="E142" s="77" t="s">
        <v>191</v>
      </c>
      <c r="F142" s="77">
        <v>2.0</v>
      </c>
      <c r="G142" s="78">
        <v>150.0</v>
      </c>
      <c r="H142" s="78">
        <v>300.0</v>
      </c>
      <c r="I142" s="80">
        <v>44382.0</v>
      </c>
    </row>
    <row r="143">
      <c r="E143" s="77" t="s">
        <v>92</v>
      </c>
      <c r="F143" s="77" t="s">
        <v>110</v>
      </c>
      <c r="G143" s="78">
        <v>750.0</v>
      </c>
      <c r="H143" s="78">
        <v>1000.0</v>
      </c>
      <c r="I143" s="80">
        <v>44383.0</v>
      </c>
    </row>
    <row r="144">
      <c r="E144" s="77" t="s">
        <v>99</v>
      </c>
      <c r="F144" s="77" t="s">
        <v>84</v>
      </c>
      <c r="G144" s="78">
        <v>100.0</v>
      </c>
      <c r="H144" s="78">
        <v>500.0</v>
      </c>
      <c r="I144" s="80">
        <v>44383.0</v>
      </c>
    </row>
    <row r="145">
      <c r="E145" s="77" t="s">
        <v>125</v>
      </c>
      <c r="F145" s="77" t="s">
        <v>110</v>
      </c>
      <c r="G145" s="78">
        <v>1400.0</v>
      </c>
      <c r="H145" s="78">
        <v>2100.0</v>
      </c>
      <c r="I145" s="80">
        <v>44383.0</v>
      </c>
    </row>
    <row r="146">
      <c r="E146" s="77" t="s">
        <v>120</v>
      </c>
      <c r="F146" s="77">
        <v>1.0</v>
      </c>
      <c r="G146" s="78">
        <v>100.0</v>
      </c>
      <c r="H146" s="78">
        <v>100.0</v>
      </c>
      <c r="I146" s="80">
        <v>44383.0</v>
      </c>
    </row>
    <row r="147">
      <c r="E147" s="77" t="s">
        <v>137</v>
      </c>
      <c r="F147" s="77" t="s">
        <v>192</v>
      </c>
      <c r="G147" s="78">
        <v>25.0</v>
      </c>
      <c r="H147" s="78">
        <v>2500.0</v>
      </c>
      <c r="I147" s="80">
        <v>44383.0</v>
      </c>
    </row>
    <row r="148">
      <c r="E148" s="77" t="s">
        <v>95</v>
      </c>
      <c r="F148" s="77" t="s">
        <v>193</v>
      </c>
      <c r="G148" s="78">
        <v>230.0</v>
      </c>
      <c r="H148" s="78">
        <v>5750.0</v>
      </c>
      <c r="I148" s="80">
        <v>44383.0</v>
      </c>
    </row>
    <row r="149">
      <c r="E149" s="77" t="s">
        <v>194</v>
      </c>
      <c r="F149" s="77">
        <v>7.0</v>
      </c>
      <c r="G149" s="78">
        <v>20.0</v>
      </c>
      <c r="H149" s="78">
        <v>140.0</v>
      </c>
      <c r="I149" s="80">
        <v>44383.0</v>
      </c>
    </row>
    <row r="150">
      <c r="E150" s="77" t="s">
        <v>195</v>
      </c>
      <c r="F150" s="77" t="s">
        <v>196</v>
      </c>
      <c r="G150" s="78" t="s">
        <v>87</v>
      </c>
      <c r="H150" s="78">
        <v>10020.0</v>
      </c>
      <c r="I150" s="80">
        <v>44383.0</v>
      </c>
    </row>
    <row r="151">
      <c r="E151" s="77" t="s">
        <v>197</v>
      </c>
      <c r="F151" s="77">
        <v>10.0</v>
      </c>
      <c r="G151" s="78">
        <v>160.0</v>
      </c>
      <c r="H151" s="78">
        <v>1600.0</v>
      </c>
      <c r="I151" s="80">
        <v>44383.0</v>
      </c>
    </row>
    <row r="152">
      <c r="E152" s="77" t="s">
        <v>198</v>
      </c>
      <c r="F152" s="77">
        <v>1.0</v>
      </c>
      <c r="G152" s="78">
        <v>250.0</v>
      </c>
      <c r="H152" s="78">
        <v>250.0</v>
      </c>
      <c r="I152" s="80">
        <v>44383.0</v>
      </c>
    </row>
    <row r="153">
      <c r="E153" s="77" t="s">
        <v>199</v>
      </c>
      <c r="F153" s="77" t="s">
        <v>200</v>
      </c>
      <c r="G153" s="78">
        <v>1300.0</v>
      </c>
      <c r="H153" s="78">
        <v>130.0</v>
      </c>
      <c r="I153" s="80">
        <v>44383.0</v>
      </c>
    </row>
    <row r="154">
      <c r="E154" s="77" t="s">
        <v>201</v>
      </c>
      <c r="F154" s="77">
        <v>1.0</v>
      </c>
      <c r="G154" s="78">
        <v>250.0</v>
      </c>
      <c r="H154" s="78">
        <v>250.0</v>
      </c>
      <c r="I154" s="80">
        <v>44383.0</v>
      </c>
    </row>
    <row r="155">
      <c r="E155" s="77" t="s">
        <v>92</v>
      </c>
      <c r="F155" s="77" t="s">
        <v>110</v>
      </c>
      <c r="G155" s="78">
        <v>700.0</v>
      </c>
      <c r="H155" s="78">
        <v>1050.0</v>
      </c>
      <c r="I155" s="80">
        <v>44384.0</v>
      </c>
    </row>
    <row r="156">
      <c r="E156" s="77" t="s">
        <v>202</v>
      </c>
      <c r="F156" s="77" t="s">
        <v>203</v>
      </c>
      <c r="G156" s="78" t="s">
        <v>87</v>
      </c>
      <c r="H156" s="78">
        <v>500.0</v>
      </c>
      <c r="I156" s="80">
        <v>44384.0</v>
      </c>
    </row>
    <row r="157">
      <c r="E157" s="77" t="s">
        <v>204</v>
      </c>
      <c r="F157" s="77" t="s">
        <v>205</v>
      </c>
      <c r="G157" s="78">
        <v>30.0</v>
      </c>
      <c r="H157" s="78">
        <v>150.0</v>
      </c>
      <c r="I157" s="80">
        <v>44384.0</v>
      </c>
    </row>
    <row r="158">
      <c r="E158" s="77" t="s">
        <v>206</v>
      </c>
      <c r="F158" s="77">
        <v>2.0</v>
      </c>
      <c r="G158" s="78">
        <v>250.0</v>
      </c>
      <c r="H158" s="78">
        <v>500.0</v>
      </c>
      <c r="I158" s="80">
        <v>44384.0</v>
      </c>
    </row>
    <row r="159">
      <c r="E159" s="77" t="s">
        <v>207</v>
      </c>
      <c r="F159" s="77">
        <v>2.0</v>
      </c>
      <c r="G159" s="78">
        <v>200.0</v>
      </c>
      <c r="H159" s="78">
        <v>400.0</v>
      </c>
      <c r="I159" s="80">
        <v>44384.0</v>
      </c>
    </row>
    <row r="160">
      <c r="E160" s="77" t="s">
        <v>92</v>
      </c>
      <c r="F160" s="77" t="s">
        <v>93</v>
      </c>
      <c r="G160" s="78">
        <v>700.0</v>
      </c>
      <c r="H160" s="78">
        <v>1400.0</v>
      </c>
      <c r="I160" s="80">
        <v>44386.0</v>
      </c>
    </row>
    <row r="161">
      <c r="E161" s="77" t="s">
        <v>208</v>
      </c>
      <c r="F161" s="77" t="s">
        <v>209</v>
      </c>
      <c r="G161" s="78">
        <v>35.0</v>
      </c>
      <c r="H161" s="78">
        <v>200.0</v>
      </c>
      <c r="I161" s="80">
        <v>44386.0</v>
      </c>
    </row>
    <row r="162">
      <c r="E162" s="77" t="s">
        <v>79</v>
      </c>
      <c r="F162" s="77">
        <v>5.0</v>
      </c>
      <c r="G162" s="78">
        <v>85.0</v>
      </c>
      <c r="H162" s="78">
        <v>420.0</v>
      </c>
      <c r="I162" s="80">
        <v>44386.0</v>
      </c>
    </row>
    <row r="163">
      <c r="E163" s="77" t="s">
        <v>210</v>
      </c>
      <c r="F163" s="77">
        <v>5.0</v>
      </c>
      <c r="G163" s="78">
        <v>175.0</v>
      </c>
      <c r="H163" s="78">
        <v>965.0</v>
      </c>
      <c r="I163" s="80">
        <v>44386.0</v>
      </c>
    </row>
    <row r="164">
      <c r="E164" s="77" t="s">
        <v>125</v>
      </c>
      <c r="F164" s="77" t="s">
        <v>81</v>
      </c>
      <c r="G164" s="78">
        <v>1500.0</v>
      </c>
      <c r="H164" s="78">
        <v>1500.0</v>
      </c>
      <c r="I164" s="80">
        <v>44386.0</v>
      </c>
    </row>
    <row r="165">
      <c r="E165" s="77" t="s">
        <v>211</v>
      </c>
      <c r="F165" s="77" t="s">
        <v>212</v>
      </c>
      <c r="G165" s="78">
        <v>380.0</v>
      </c>
      <c r="H165" s="78">
        <v>4120.0</v>
      </c>
      <c r="I165" s="80">
        <v>44386.0</v>
      </c>
    </row>
    <row r="166">
      <c r="E166" s="77" t="s">
        <v>213</v>
      </c>
      <c r="F166" s="77" t="s">
        <v>214</v>
      </c>
      <c r="G166" s="78">
        <v>20.0</v>
      </c>
      <c r="H166" s="78">
        <v>200.0</v>
      </c>
      <c r="I166" s="80">
        <v>44386.0</v>
      </c>
    </row>
    <row r="167">
      <c r="E167" s="77" t="s">
        <v>215</v>
      </c>
      <c r="F167" s="77" t="s">
        <v>216</v>
      </c>
      <c r="G167" s="78" t="s">
        <v>87</v>
      </c>
      <c r="H167" s="78">
        <v>80.0</v>
      </c>
      <c r="I167" s="80">
        <v>44386.0</v>
      </c>
    </row>
    <row r="168">
      <c r="E168" s="77" t="s">
        <v>177</v>
      </c>
      <c r="F168" s="77" t="s">
        <v>81</v>
      </c>
      <c r="G168" s="78">
        <v>100.0</v>
      </c>
      <c r="H168" s="78">
        <v>100.0</v>
      </c>
      <c r="I168" s="80">
        <v>44386.0</v>
      </c>
    </row>
    <row r="169">
      <c r="E169" s="77" t="s">
        <v>217</v>
      </c>
      <c r="F169" s="77">
        <v>1.0</v>
      </c>
      <c r="G169" s="78">
        <v>500.0</v>
      </c>
      <c r="H169" s="78">
        <v>500.0</v>
      </c>
      <c r="I169" s="80">
        <v>44386.0</v>
      </c>
    </row>
    <row r="170">
      <c r="E170" s="77" t="s">
        <v>218</v>
      </c>
      <c r="F170" s="77" t="s">
        <v>81</v>
      </c>
      <c r="G170" s="78">
        <v>700.0</v>
      </c>
      <c r="H170" s="78">
        <v>700.0</v>
      </c>
      <c r="I170" s="80">
        <v>44386.0</v>
      </c>
    </row>
    <row r="171">
      <c r="E171" s="77" t="s">
        <v>89</v>
      </c>
      <c r="F171" s="77" t="s">
        <v>84</v>
      </c>
      <c r="G171" s="78">
        <v>120.0</v>
      </c>
      <c r="H171" s="78">
        <v>600.0</v>
      </c>
      <c r="I171" s="80">
        <v>44386.0</v>
      </c>
    </row>
    <row r="172">
      <c r="E172" s="77" t="s">
        <v>106</v>
      </c>
      <c r="F172" s="77" t="s">
        <v>81</v>
      </c>
      <c r="G172" s="78">
        <v>350.0</v>
      </c>
      <c r="H172" s="78">
        <v>350.0</v>
      </c>
      <c r="I172" s="80">
        <v>44386.0</v>
      </c>
    </row>
    <row r="173">
      <c r="E173" s="77" t="s">
        <v>219</v>
      </c>
      <c r="F173" s="77">
        <v>4.0</v>
      </c>
      <c r="G173" s="78">
        <v>500.0</v>
      </c>
      <c r="H173" s="78">
        <v>400.0</v>
      </c>
      <c r="I173" s="80">
        <v>44386.0</v>
      </c>
    </row>
    <row r="174">
      <c r="E174" s="77" t="s">
        <v>220</v>
      </c>
      <c r="F174" s="77">
        <v>1.0</v>
      </c>
      <c r="G174" s="78">
        <v>100.0</v>
      </c>
      <c r="H174" s="78">
        <v>100.0</v>
      </c>
      <c r="I174" s="80">
        <v>44386.0</v>
      </c>
    </row>
    <row r="175">
      <c r="E175" s="77" t="s">
        <v>221</v>
      </c>
      <c r="F175" s="77">
        <v>1.0</v>
      </c>
      <c r="G175" s="78">
        <v>1150.0</v>
      </c>
      <c r="H175" s="78">
        <v>1150.0</v>
      </c>
      <c r="I175" s="80">
        <v>44386.0</v>
      </c>
    </row>
    <row r="176">
      <c r="E176" s="77" t="s">
        <v>146</v>
      </c>
      <c r="F176" s="77">
        <v>1.0</v>
      </c>
      <c r="G176" s="78">
        <v>800.0</v>
      </c>
      <c r="H176" s="78">
        <v>800.0</v>
      </c>
      <c r="I176" s="80">
        <v>44386.0</v>
      </c>
    </row>
    <row r="177">
      <c r="E177" s="77" t="s">
        <v>94</v>
      </c>
      <c r="F177" s="77">
        <v>6.0</v>
      </c>
      <c r="G177" s="78">
        <v>20.0</v>
      </c>
      <c r="H177" s="78">
        <v>120.0</v>
      </c>
      <c r="I177" s="80">
        <v>44386.0</v>
      </c>
    </row>
    <row r="178">
      <c r="E178" s="77" t="s">
        <v>222</v>
      </c>
      <c r="F178" s="77" t="s">
        <v>110</v>
      </c>
      <c r="G178" s="78">
        <v>100.0</v>
      </c>
      <c r="H178" s="78">
        <v>150.0</v>
      </c>
      <c r="I178" s="80">
        <v>44386.0</v>
      </c>
    </row>
    <row r="179">
      <c r="E179" s="77" t="s">
        <v>223</v>
      </c>
      <c r="F179" s="77">
        <v>4.0</v>
      </c>
      <c r="G179" s="78">
        <v>350.0</v>
      </c>
      <c r="H179" s="78">
        <v>1400.0</v>
      </c>
      <c r="I179" s="80">
        <v>44386.0</v>
      </c>
    </row>
    <row r="180">
      <c r="E180" s="77" t="s">
        <v>224</v>
      </c>
      <c r="F180" s="77">
        <v>1.0</v>
      </c>
      <c r="G180" s="78">
        <v>350.0</v>
      </c>
      <c r="H180" s="78">
        <v>350.0</v>
      </c>
      <c r="I180" s="80">
        <v>44386.0</v>
      </c>
    </row>
    <row r="181">
      <c r="E181" s="77" t="s">
        <v>225</v>
      </c>
      <c r="F181" s="77">
        <v>2.0</v>
      </c>
      <c r="G181" s="78">
        <v>50.0</v>
      </c>
      <c r="H181" s="78">
        <v>100.0</v>
      </c>
      <c r="I181" s="80">
        <v>44386.0</v>
      </c>
    </row>
    <row r="182">
      <c r="E182" s="77" t="s">
        <v>126</v>
      </c>
      <c r="F182" s="77">
        <v>1.0</v>
      </c>
      <c r="G182" s="78">
        <v>1000.0</v>
      </c>
      <c r="H182" s="78">
        <v>1000.0</v>
      </c>
      <c r="I182" s="80">
        <v>44386.0</v>
      </c>
    </row>
    <row r="183">
      <c r="E183" s="77" t="s">
        <v>226</v>
      </c>
      <c r="F183" s="77" t="s">
        <v>66</v>
      </c>
      <c r="G183" s="78">
        <v>1500.0</v>
      </c>
      <c r="H183" s="78">
        <v>1500.0</v>
      </c>
      <c r="I183" s="80">
        <v>44387.0</v>
      </c>
    </row>
    <row r="184">
      <c r="E184" s="77" t="s">
        <v>227</v>
      </c>
      <c r="F184" s="77">
        <v>2.0</v>
      </c>
      <c r="G184" s="78">
        <v>100.0</v>
      </c>
      <c r="H184" s="78">
        <v>200.0</v>
      </c>
      <c r="I184" s="80">
        <v>44387.0</v>
      </c>
    </row>
    <row r="185">
      <c r="E185" s="77" t="s">
        <v>228</v>
      </c>
      <c r="F185" s="77">
        <v>2.0</v>
      </c>
      <c r="G185" s="78">
        <v>150.0</v>
      </c>
      <c r="H185" s="78">
        <v>350.0</v>
      </c>
      <c r="I185" s="80">
        <v>44387.0</v>
      </c>
    </row>
    <row r="186">
      <c r="E186" s="77" t="s">
        <v>228</v>
      </c>
      <c r="F186" s="77" t="s">
        <v>93</v>
      </c>
      <c r="G186" s="78">
        <v>100.0</v>
      </c>
      <c r="H186" s="78">
        <v>200.0</v>
      </c>
      <c r="I186" s="80">
        <v>44387.0</v>
      </c>
    </row>
    <row r="187">
      <c r="E187" s="77" t="s">
        <v>229</v>
      </c>
      <c r="F187" s="77" t="s">
        <v>81</v>
      </c>
      <c r="G187" s="78">
        <v>50.0</v>
      </c>
      <c r="H187" s="78">
        <v>50.0</v>
      </c>
      <c r="I187" s="80">
        <v>44387.0</v>
      </c>
    </row>
    <row r="188">
      <c r="E188" s="77" t="s">
        <v>114</v>
      </c>
      <c r="F188" s="77" t="s">
        <v>93</v>
      </c>
      <c r="G188" s="78">
        <v>150.0</v>
      </c>
      <c r="H188" s="78">
        <v>300.0</v>
      </c>
      <c r="I188" s="80">
        <v>44296.0</v>
      </c>
    </row>
    <row r="189">
      <c r="E189" s="77" t="s">
        <v>121</v>
      </c>
      <c r="F189" s="77">
        <v>20.0</v>
      </c>
      <c r="G189" s="78">
        <v>110.0</v>
      </c>
      <c r="H189" s="78">
        <v>2200.0</v>
      </c>
      <c r="I189" s="80">
        <v>44387.0</v>
      </c>
    </row>
    <row r="190">
      <c r="E190" s="77" t="s">
        <v>218</v>
      </c>
      <c r="F190" s="77" t="s">
        <v>81</v>
      </c>
      <c r="G190" s="78">
        <v>700.0</v>
      </c>
      <c r="H190" s="78">
        <v>700.0</v>
      </c>
      <c r="I190" s="80">
        <v>44387.0</v>
      </c>
    </row>
    <row r="191">
      <c r="E191" s="77" t="s">
        <v>102</v>
      </c>
      <c r="F191" s="77" t="s">
        <v>103</v>
      </c>
      <c r="G191" s="78">
        <v>700.0</v>
      </c>
      <c r="H191" s="78">
        <v>350.0</v>
      </c>
      <c r="I191" s="80">
        <v>44387.0</v>
      </c>
    </row>
    <row r="192">
      <c r="E192" s="77" t="s">
        <v>89</v>
      </c>
      <c r="F192" s="77" t="s">
        <v>84</v>
      </c>
      <c r="G192" s="78">
        <v>100.0</v>
      </c>
      <c r="H192" s="78">
        <v>500.0</v>
      </c>
      <c r="I192" s="80">
        <v>44387.0</v>
      </c>
    </row>
    <row r="193">
      <c r="E193" s="77" t="s">
        <v>230</v>
      </c>
      <c r="F193" s="77" t="s">
        <v>81</v>
      </c>
      <c r="G193" s="78">
        <v>50.0</v>
      </c>
      <c r="H193" s="78">
        <v>50.0</v>
      </c>
      <c r="I193" s="80">
        <v>44387.0</v>
      </c>
    </row>
    <row r="194">
      <c r="E194" s="77" t="s">
        <v>111</v>
      </c>
      <c r="F194" s="77">
        <v>7.0</v>
      </c>
      <c r="G194" s="78">
        <v>20.0</v>
      </c>
      <c r="H194" s="78">
        <v>150.0</v>
      </c>
      <c r="I194" s="80">
        <v>44387.0</v>
      </c>
    </row>
    <row r="195">
      <c r="E195" s="77" t="s">
        <v>177</v>
      </c>
      <c r="F195" s="77" t="s">
        <v>103</v>
      </c>
      <c r="G195" s="78">
        <v>100.0</v>
      </c>
      <c r="H195" s="78">
        <v>50.0</v>
      </c>
      <c r="I195" s="80">
        <v>44387.0</v>
      </c>
    </row>
    <row r="196">
      <c r="E196" s="77" t="s">
        <v>231</v>
      </c>
      <c r="F196" s="77">
        <v>3.0</v>
      </c>
      <c r="G196" s="78">
        <v>120.0</v>
      </c>
      <c r="H196" s="78">
        <v>200.0</v>
      </c>
      <c r="I196" s="80">
        <v>44387.0</v>
      </c>
    </row>
    <row r="197">
      <c r="E197" s="77" t="s">
        <v>159</v>
      </c>
      <c r="F197" s="77" t="s">
        <v>81</v>
      </c>
      <c r="G197" s="78">
        <v>1700.0</v>
      </c>
      <c r="H197" s="78">
        <v>1700.0</v>
      </c>
      <c r="I197" s="80">
        <v>44387.0</v>
      </c>
    </row>
    <row r="198">
      <c r="E198" s="77" t="s">
        <v>232</v>
      </c>
      <c r="F198" s="77">
        <v>1.0</v>
      </c>
      <c r="G198" s="78">
        <v>150.0</v>
      </c>
      <c r="H198" s="78">
        <v>150.0</v>
      </c>
      <c r="I198" s="80">
        <v>44387.0</v>
      </c>
    </row>
    <row r="199">
      <c r="E199" s="77" t="s">
        <v>233</v>
      </c>
      <c r="F199" s="77" t="s">
        <v>81</v>
      </c>
      <c r="G199" s="78">
        <v>650.0</v>
      </c>
      <c r="H199" s="78">
        <v>650.0</v>
      </c>
      <c r="I199" s="80">
        <v>44387.0</v>
      </c>
    </row>
    <row r="200">
      <c r="E200" s="77" t="s">
        <v>234</v>
      </c>
      <c r="F200" s="77">
        <v>50.0</v>
      </c>
      <c r="G200" s="78">
        <v>300.0</v>
      </c>
      <c r="H200" s="78">
        <v>300.0</v>
      </c>
      <c r="I200" s="80">
        <v>44387.0</v>
      </c>
    </row>
    <row r="201">
      <c r="E201" s="77" t="s">
        <v>235</v>
      </c>
      <c r="F201" s="77">
        <v>1.0</v>
      </c>
      <c r="G201" s="78">
        <v>100.0</v>
      </c>
      <c r="H201" s="78">
        <v>100.0</v>
      </c>
      <c r="I201" s="80">
        <v>44387.0</v>
      </c>
    </row>
    <row r="202">
      <c r="E202" s="77" t="s">
        <v>236</v>
      </c>
      <c r="F202" s="77">
        <v>1.0</v>
      </c>
      <c r="G202" s="78">
        <v>100.0</v>
      </c>
      <c r="H202" s="78">
        <v>100.0</v>
      </c>
      <c r="I202" s="80">
        <v>44387.0</v>
      </c>
    </row>
    <row r="203">
      <c r="E203" s="77" t="s">
        <v>237</v>
      </c>
      <c r="F203" s="77">
        <v>1.0</v>
      </c>
      <c r="G203" s="78">
        <v>250.0</v>
      </c>
      <c r="H203" s="78">
        <v>250.0</v>
      </c>
      <c r="I203" s="80">
        <v>44387.0</v>
      </c>
    </row>
    <row r="204">
      <c r="E204" s="77" t="s">
        <v>238</v>
      </c>
      <c r="F204" s="77">
        <v>4.0</v>
      </c>
      <c r="G204" s="78">
        <v>1750.0</v>
      </c>
      <c r="H204" s="78">
        <v>700.0</v>
      </c>
      <c r="I204" s="80">
        <v>44387.0</v>
      </c>
    </row>
    <row r="205">
      <c r="E205" s="77" t="s">
        <v>239</v>
      </c>
      <c r="F205" s="77">
        <v>1.0</v>
      </c>
      <c r="G205" s="78">
        <v>150.0</v>
      </c>
      <c r="H205" s="78">
        <v>150.0</v>
      </c>
      <c r="I205" s="80">
        <v>44387.0</v>
      </c>
    </row>
    <row r="206">
      <c r="E206" s="77" t="s">
        <v>240</v>
      </c>
      <c r="F206" s="77">
        <v>6.0</v>
      </c>
      <c r="G206" s="78">
        <v>15.0</v>
      </c>
      <c r="H206" s="78">
        <v>90.0</v>
      </c>
      <c r="I206" s="80">
        <v>44387.0</v>
      </c>
    </row>
    <row r="207">
      <c r="E207" s="77" t="s">
        <v>241</v>
      </c>
      <c r="F207" s="77">
        <v>3.0</v>
      </c>
      <c r="G207" s="78">
        <v>185.0</v>
      </c>
      <c r="H207" s="78">
        <v>555.0</v>
      </c>
      <c r="I207" s="80">
        <v>44387.0</v>
      </c>
    </row>
    <row r="208">
      <c r="E208" s="77" t="s">
        <v>180</v>
      </c>
      <c r="F208" s="77">
        <v>3.0</v>
      </c>
      <c r="G208" s="78">
        <v>250.0</v>
      </c>
      <c r="H208" s="78">
        <v>750.0</v>
      </c>
      <c r="I208" s="80">
        <v>44387.0</v>
      </c>
    </row>
    <row r="209">
      <c r="E209" s="77" t="s">
        <v>242</v>
      </c>
      <c r="F209" s="77" t="s">
        <v>39</v>
      </c>
      <c r="G209" s="78">
        <v>170.0</v>
      </c>
      <c r="H209" s="78">
        <v>1700.0</v>
      </c>
      <c r="I209" s="80">
        <v>44387.0</v>
      </c>
    </row>
    <row r="210">
      <c r="E210" s="77" t="s">
        <v>243</v>
      </c>
      <c r="F210" s="77">
        <v>2.0</v>
      </c>
      <c r="G210" s="78">
        <v>510.0</v>
      </c>
      <c r="H210" s="78">
        <v>1020.0</v>
      </c>
      <c r="I210" s="80">
        <v>44387.0</v>
      </c>
    </row>
    <row r="211">
      <c r="E211" s="77" t="s">
        <v>244</v>
      </c>
      <c r="F211" s="77">
        <v>5.0</v>
      </c>
      <c r="G211" s="78">
        <v>380.0</v>
      </c>
      <c r="H211" s="78">
        <v>1900.0</v>
      </c>
      <c r="I211" s="80">
        <v>44387.0</v>
      </c>
    </row>
    <row r="212">
      <c r="E212" s="77" t="s">
        <v>245</v>
      </c>
      <c r="F212" s="77">
        <v>3.0</v>
      </c>
      <c r="G212" s="78">
        <v>430.0</v>
      </c>
      <c r="H212" s="78">
        <v>1290.0</v>
      </c>
      <c r="I212" s="80">
        <v>44387.0</v>
      </c>
    </row>
    <row r="213">
      <c r="E213" s="77" t="s">
        <v>246</v>
      </c>
      <c r="F213" s="77">
        <v>1.0</v>
      </c>
      <c r="G213" s="78">
        <v>1450.0</v>
      </c>
      <c r="H213" s="78">
        <v>1450.0</v>
      </c>
      <c r="I213" s="80">
        <v>44387.0</v>
      </c>
    </row>
    <row r="214">
      <c r="E214" s="77" t="s">
        <v>247</v>
      </c>
      <c r="F214" s="77">
        <v>1.0</v>
      </c>
      <c r="G214" s="78">
        <v>820.0</v>
      </c>
      <c r="H214" s="78">
        <v>520.0</v>
      </c>
      <c r="I214" s="80">
        <v>44387.0</v>
      </c>
    </row>
    <row r="215">
      <c r="E215" s="77" t="s">
        <v>248</v>
      </c>
      <c r="F215" s="77">
        <v>5.0</v>
      </c>
      <c r="G215" s="78">
        <v>300.0</v>
      </c>
      <c r="H215" s="78">
        <v>1500.0</v>
      </c>
      <c r="I215" s="80">
        <v>44387.0</v>
      </c>
    </row>
    <row r="216">
      <c r="E216" s="77" t="s">
        <v>249</v>
      </c>
      <c r="F216" s="77">
        <v>6.0</v>
      </c>
      <c r="G216" s="78">
        <v>500.0</v>
      </c>
      <c r="H216" s="78">
        <v>500.0</v>
      </c>
      <c r="I216" s="80">
        <v>44387.0</v>
      </c>
    </row>
    <row r="217">
      <c r="E217" s="77" t="s">
        <v>92</v>
      </c>
      <c r="F217" s="77" t="s">
        <v>81</v>
      </c>
      <c r="G217" s="78">
        <v>800.0</v>
      </c>
      <c r="H217" s="78">
        <v>800.0</v>
      </c>
      <c r="I217" s="80">
        <v>44387.0</v>
      </c>
    </row>
    <row r="218">
      <c r="E218" s="77" t="s">
        <v>125</v>
      </c>
      <c r="F218" s="77" t="s">
        <v>81</v>
      </c>
      <c r="G218" s="78">
        <v>1500.0</v>
      </c>
      <c r="H218" s="78">
        <v>1500.0</v>
      </c>
      <c r="I218" s="80">
        <v>44387.0</v>
      </c>
    </row>
    <row r="219">
      <c r="E219" s="77" t="s">
        <v>250</v>
      </c>
      <c r="F219" s="77">
        <v>1.0</v>
      </c>
      <c r="G219" s="78">
        <v>1000.0</v>
      </c>
      <c r="H219" s="78">
        <v>1000.0</v>
      </c>
      <c r="I219" s="80">
        <v>44387.0</v>
      </c>
    </row>
    <row r="220">
      <c r="E220" s="77" t="s">
        <v>251</v>
      </c>
      <c r="F220" s="77" t="s">
        <v>252</v>
      </c>
      <c r="G220" s="78" t="s">
        <v>253</v>
      </c>
      <c r="H220" s="78">
        <v>400.0</v>
      </c>
      <c r="I220" s="80">
        <v>44387.0</v>
      </c>
    </row>
    <row r="221">
      <c r="E221" s="77" t="s">
        <v>159</v>
      </c>
      <c r="F221" s="77" t="s">
        <v>84</v>
      </c>
      <c r="G221" s="78">
        <v>1650.0</v>
      </c>
      <c r="H221" s="78">
        <v>8250.0</v>
      </c>
      <c r="I221" s="80">
        <v>44388.0</v>
      </c>
    </row>
    <row r="222">
      <c r="E222" s="77" t="s">
        <v>254</v>
      </c>
      <c r="F222" s="77">
        <v>1.0</v>
      </c>
      <c r="G222" s="78">
        <v>350.0</v>
      </c>
      <c r="H222" s="78">
        <v>350.0</v>
      </c>
      <c r="I222" s="80">
        <v>44388.0</v>
      </c>
    </row>
    <row r="223">
      <c r="E223" s="77" t="s">
        <v>160</v>
      </c>
      <c r="F223" s="77">
        <v>1.0</v>
      </c>
      <c r="G223" s="78">
        <v>150.0</v>
      </c>
      <c r="H223" s="78">
        <v>150.0</v>
      </c>
      <c r="I223" s="80">
        <v>44388.0</v>
      </c>
    </row>
    <row r="224">
      <c r="E224" s="77" t="s">
        <v>135</v>
      </c>
      <c r="F224" s="77" t="s">
        <v>90</v>
      </c>
      <c r="G224" s="78">
        <v>35.0</v>
      </c>
      <c r="H224" s="78">
        <v>700.0</v>
      </c>
      <c r="I224" s="80">
        <v>44388.0</v>
      </c>
    </row>
    <row r="225">
      <c r="E225" s="77" t="s">
        <v>238</v>
      </c>
      <c r="F225" s="77">
        <v>3.0</v>
      </c>
      <c r="G225" s="78">
        <v>200.0</v>
      </c>
      <c r="H225" s="78">
        <v>600.0</v>
      </c>
      <c r="I225" s="80">
        <v>44388.0</v>
      </c>
    </row>
    <row r="226">
      <c r="E226" s="77" t="s">
        <v>116</v>
      </c>
      <c r="F226" s="77">
        <v>1.0</v>
      </c>
      <c r="G226" s="78">
        <v>500.0</v>
      </c>
      <c r="H226" s="78">
        <v>500.0</v>
      </c>
      <c r="I226" s="80">
        <v>44388.0</v>
      </c>
    </row>
    <row r="227">
      <c r="E227" s="77" t="s">
        <v>121</v>
      </c>
      <c r="F227" s="77">
        <v>20.0</v>
      </c>
      <c r="G227" s="78">
        <v>120.0</v>
      </c>
      <c r="H227" s="78">
        <v>2400.0</v>
      </c>
      <c r="I227" s="80">
        <v>44389.0</v>
      </c>
    </row>
    <row r="228">
      <c r="E228" s="77" t="s">
        <v>102</v>
      </c>
      <c r="F228" s="77" t="s">
        <v>81</v>
      </c>
      <c r="G228" s="78">
        <v>700.0</v>
      </c>
      <c r="H228" s="78">
        <v>700.0</v>
      </c>
      <c r="I228" s="80">
        <v>44389.0</v>
      </c>
    </row>
    <row r="229">
      <c r="E229" s="77" t="s">
        <v>122</v>
      </c>
      <c r="F229" s="77" t="s">
        <v>93</v>
      </c>
      <c r="G229" s="78">
        <v>100.0</v>
      </c>
      <c r="H229" s="78">
        <v>200.0</v>
      </c>
      <c r="I229" s="80">
        <v>44389.0</v>
      </c>
    </row>
    <row r="230">
      <c r="E230" s="77" t="s">
        <v>114</v>
      </c>
      <c r="F230" s="77" t="s">
        <v>93</v>
      </c>
      <c r="G230" s="78">
        <v>100.0</v>
      </c>
      <c r="H230" s="78">
        <v>200.0</v>
      </c>
      <c r="I230" s="80">
        <v>44389.0</v>
      </c>
    </row>
    <row r="231">
      <c r="E231" s="77" t="s">
        <v>255</v>
      </c>
      <c r="F231" s="77" t="s">
        <v>81</v>
      </c>
      <c r="G231" s="78">
        <v>50.0</v>
      </c>
      <c r="H231" s="78">
        <v>50.0</v>
      </c>
      <c r="I231" s="80">
        <v>44389.0</v>
      </c>
    </row>
    <row r="232">
      <c r="E232" s="77" t="s">
        <v>76</v>
      </c>
      <c r="F232" s="77">
        <v>1.0</v>
      </c>
      <c r="G232" s="78">
        <v>600.0</v>
      </c>
      <c r="H232" s="78">
        <v>600.0</v>
      </c>
      <c r="I232" s="80">
        <v>44389.0</v>
      </c>
    </row>
    <row r="233">
      <c r="E233" s="77" t="s">
        <v>256</v>
      </c>
      <c r="F233" s="77" t="s">
        <v>93</v>
      </c>
      <c r="G233" s="78">
        <v>800.0</v>
      </c>
      <c r="H233" s="78">
        <v>1600.0</v>
      </c>
      <c r="I233" s="80">
        <v>44389.0</v>
      </c>
    </row>
    <row r="234">
      <c r="E234" s="77" t="s">
        <v>194</v>
      </c>
      <c r="F234" s="77">
        <v>10.0</v>
      </c>
      <c r="G234" s="78">
        <v>20.0</v>
      </c>
      <c r="H234" s="78">
        <v>400.0</v>
      </c>
      <c r="I234" s="80">
        <v>44389.0</v>
      </c>
    </row>
    <row r="235">
      <c r="E235" s="77" t="s">
        <v>257</v>
      </c>
      <c r="F235" s="77">
        <v>1.0</v>
      </c>
      <c r="G235" s="78">
        <v>200.0</v>
      </c>
      <c r="H235" s="78">
        <v>200.0</v>
      </c>
      <c r="I235" s="80">
        <v>44389.0</v>
      </c>
    </row>
    <row r="236">
      <c r="E236" s="77" t="s">
        <v>258</v>
      </c>
      <c r="F236" s="77">
        <v>3.0</v>
      </c>
      <c r="G236" s="83"/>
      <c r="H236" s="78">
        <v>900.0</v>
      </c>
      <c r="I236" s="80">
        <v>44389.0</v>
      </c>
    </row>
    <row r="237">
      <c r="E237" s="77" t="s">
        <v>259</v>
      </c>
      <c r="F237" s="77">
        <v>1.0</v>
      </c>
      <c r="G237" s="78">
        <v>1500.0</v>
      </c>
      <c r="H237" s="78">
        <v>1500.0</v>
      </c>
      <c r="I237" s="80">
        <v>44389.0</v>
      </c>
    </row>
    <row r="238">
      <c r="E238" s="77" t="s">
        <v>260</v>
      </c>
      <c r="F238" s="77" t="s">
        <v>261</v>
      </c>
      <c r="G238" s="78">
        <v>800.0</v>
      </c>
      <c r="H238" s="78">
        <v>400.0</v>
      </c>
      <c r="I238" s="80">
        <v>44389.0</v>
      </c>
    </row>
    <row r="239">
      <c r="E239" s="77" t="s">
        <v>262</v>
      </c>
      <c r="F239" s="77">
        <v>1.0</v>
      </c>
      <c r="G239" s="78">
        <v>750.0</v>
      </c>
      <c r="H239" s="78">
        <v>750.0</v>
      </c>
      <c r="I239" s="80">
        <v>44389.0</v>
      </c>
    </row>
    <row r="240">
      <c r="E240" s="77" t="s">
        <v>191</v>
      </c>
      <c r="F240" s="77">
        <v>1.0</v>
      </c>
      <c r="G240" s="78">
        <v>100.0</v>
      </c>
      <c r="H240" s="78">
        <v>100.0</v>
      </c>
      <c r="I240" s="80">
        <v>44389.0</v>
      </c>
    </row>
    <row r="241">
      <c r="E241" s="77" t="s">
        <v>263</v>
      </c>
      <c r="F241" s="77">
        <v>1.0</v>
      </c>
      <c r="G241" s="78">
        <v>115.0</v>
      </c>
      <c r="H241" s="78">
        <v>115.0</v>
      </c>
      <c r="I241" s="80">
        <v>44389.0</v>
      </c>
    </row>
    <row r="242">
      <c r="E242" s="77" t="s">
        <v>182</v>
      </c>
      <c r="F242" s="77">
        <v>2.0</v>
      </c>
      <c r="G242" s="78">
        <v>200.0</v>
      </c>
      <c r="H242" s="78">
        <v>400.0</v>
      </c>
      <c r="I242" s="80">
        <v>44389.0</v>
      </c>
    </row>
    <row r="243">
      <c r="E243" s="77" t="s">
        <v>264</v>
      </c>
      <c r="F243" s="77">
        <v>1.0</v>
      </c>
      <c r="G243" s="78">
        <v>160.0</v>
      </c>
      <c r="H243" s="78">
        <v>160.0</v>
      </c>
      <c r="I243" s="80">
        <v>44389.0</v>
      </c>
    </row>
    <row r="244">
      <c r="E244" s="77" t="s">
        <v>265</v>
      </c>
      <c r="F244" s="77">
        <v>2.0</v>
      </c>
      <c r="G244" s="78">
        <v>150.0</v>
      </c>
      <c r="H244" s="78">
        <v>300.0</v>
      </c>
      <c r="I244" s="80">
        <v>44389.0</v>
      </c>
    </row>
    <row r="245">
      <c r="E245" s="77" t="s">
        <v>266</v>
      </c>
      <c r="F245" s="77">
        <v>1.0</v>
      </c>
      <c r="G245" s="78">
        <v>500.0</v>
      </c>
      <c r="H245" s="78">
        <v>500.0</v>
      </c>
      <c r="I245" s="80">
        <v>44389.0</v>
      </c>
    </row>
    <row r="246">
      <c r="E246" s="77" t="s">
        <v>267</v>
      </c>
      <c r="F246" s="77">
        <v>650.0</v>
      </c>
      <c r="G246" s="78">
        <v>3.0</v>
      </c>
      <c r="H246" s="78">
        <v>1950.0</v>
      </c>
      <c r="I246" s="80">
        <v>44390.0</v>
      </c>
    </row>
    <row r="247">
      <c r="E247" s="77" t="s">
        <v>268</v>
      </c>
      <c r="F247" s="77">
        <v>2.0</v>
      </c>
      <c r="G247" s="78">
        <v>1450.0</v>
      </c>
      <c r="H247" s="78">
        <v>2900.0</v>
      </c>
      <c r="I247" s="80">
        <v>44390.0</v>
      </c>
    </row>
    <row r="248">
      <c r="E248" s="77" t="s">
        <v>102</v>
      </c>
      <c r="F248" s="77">
        <v>4.0</v>
      </c>
      <c r="G248" s="78">
        <v>350.0</v>
      </c>
      <c r="H248" s="78">
        <v>1450.0</v>
      </c>
      <c r="I248" s="80">
        <v>44390.0</v>
      </c>
    </row>
    <row r="249">
      <c r="E249" s="77" t="s">
        <v>89</v>
      </c>
      <c r="F249" s="77" t="s">
        <v>269</v>
      </c>
      <c r="G249" s="78">
        <v>100.0</v>
      </c>
      <c r="H249" s="78">
        <v>800.0</v>
      </c>
      <c r="I249" s="80">
        <v>44390.0</v>
      </c>
    </row>
    <row r="250">
      <c r="E250" s="77" t="s">
        <v>137</v>
      </c>
      <c r="F250" s="77" t="s">
        <v>270</v>
      </c>
      <c r="G250" s="78">
        <v>30.0</v>
      </c>
      <c r="H250" s="78">
        <v>2100.0</v>
      </c>
      <c r="I250" s="80">
        <v>44390.0</v>
      </c>
    </row>
    <row r="251">
      <c r="E251" s="77" t="s">
        <v>130</v>
      </c>
      <c r="F251" s="77" t="s">
        <v>271</v>
      </c>
      <c r="G251" s="78">
        <v>350.0</v>
      </c>
      <c r="H251" s="78">
        <v>1400.0</v>
      </c>
      <c r="I251" s="80">
        <v>44390.0</v>
      </c>
    </row>
    <row r="252">
      <c r="E252" s="77" t="s">
        <v>177</v>
      </c>
      <c r="F252" s="77" t="s">
        <v>93</v>
      </c>
      <c r="G252" s="78">
        <v>100.0</v>
      </c>
      <c r="H252" s="78">
        <v>200.0</v>
      </c>
      <c r="I252" s="80">
        <v>44390.0</v>
      </c>
    </row>
    <row r="253">
      <c r="E253" s="77" t="s">
        <v>208</v>
      </c>
      <c r="F253" s="77" t="s">
        <v>90</v>
      </c>
      <c r="G253" s="78">
        <v>25.0</v>
      </c>
      <c r="H253" s="78">
        <v>500.0</v>
      </c>
      <c r="I253" s="80">
        <v>44390.0</v>
      </c>
    </row>
    <row r="254">
      <c r="E254" s="77" t="s">
        <v>272</v>
      </c>
      <c r="F254" s="77">
        <v>1.0</v>
      </c>
      <c r="G254" s="78">
        <v>300.0</v>
      </c>
      <c r="H254" s="78">
        <v>300.0</v>
      </c>
      <c r="I254" s="80">
        <v>44390.0</v>
      </c>
    </row>
    <row r="255">
      <c r="E255" s="77" t="s">
        <v>273</v>
      </c>
      <c r="F255" s="77">
        <v>4.0</v>
      </c>
      <c r="G255" s="78">
        <v>100.0</v>
      </c>
      <c r="H255" s="78">
        <v>400.0</v>
      </c>
      <c r="I255" s="80">
        <v>44390.0</v>
      </c>
    </row>
    <row r="256">
      <c r="E256" s="77" t="s">
        <v>274</v>
      </c>
      <c r="F256" s="77" t="s">
        <v>81</v>
      </c>
      <c r="G256" s="78">
        <v>800.0</v>
      </c>
      <c r="H256" s="78">
        <v>800.0</v>
      </c>
      <c r="I256" s="80">
        <v>44390.0</v>
      </c>
    </row>
    <row r="257">
      <c r="E257" s="95" t="s">
        <v>275</v>
      </c>
      <c r="F257" s="95" t="s">
        <v>276</v>
      </c>
      <c r="G257" s="96" t="s">
        <v>277</v>
      </c>
      <c r="H257" s="96">
        <v>10500.0</v>
      </c>
      <c r="I257" s="97">
        <v>44390.0</v>
      </c>
    </row>
    <row r="258">
      <c r="E258" s="77" t="s">
        <v>278</v>
      </c>
      <c r="F258" s="77">
        <v>20.0</v>
      </c>
      <c r="G258" s="78">
        <v>580.0</v>
      </c>
      <c r="H258" s="78">
        <v>11600.0</v>
      </c>
      <c r="I258" s="80">
        <v>44391.0</v>
      </c>
    </row>
    <row r="259">
      <c r="E259" s="77" t="s">
        <v>92</v>
      </c>
      <c r="F259" s="77" t="s">
        <v>81</v>
      </c>
      <c r="G259" s="78">
        <v>700.0</v>
      </c>
      <c r="H259" s="78">
        <v>700.0</v>
      </c>
      <c r="I259" s="80">
        <v>44391.0</v>
      </c>
    </row>
    <row r="260">
      <c r="E260" s="77" t="s">
        <v>279</v>
      </c>
      <c r="F260" s="77">
        <v>2.0</v>
      </c>
      <c r="G260" s="78">
        <v>150.0</v>
      </c>
      <c r="H260" s="78">
        <v>300.0</v>
      </c>
      <c r="I260" s="80">
        <v>44391.0</v>
      </c>
    </row>
    <row r="261">
      <c r="E261" s="77" t="s">
        <v>280</v>
      </c>
      <c r="F261" s="77" t="s">
        <v>281</v>
      </c>
      <c r="G261" s="78">
        <v>400.0</v>
      </c>
      <c r="H261" s="78">
        <v>1200.0</v>
      </c>
      <c r="I261" s="80">
        <v>44391.0</v>
      </c>
    </row>
    <row r="262">
      <c r="E262" s="77" t="s">
        <v>222</v>
      </c>
      <c r="F262" s="77" t="s">
        <v>87</v>
      </c>
      <c r="G262" s="78">
        <v>230.0</v>
      </c>
      <c r="H262" s="78">
        <v>230.0</v>
      </c>
      <c r="I262" s="80">
        <v>44391.0</v>
      </c>
    </row>
    <row r="263">
      <c r="E263" s="77" t="s">
        <v>89</v>
      </c>
      <c r="F263" s="77" t="s">
        <v>84</v>
      </c>
      <c r="G263" s="78">
        <v>100.0</v>
      </c>
      <c r="H263" s="78">
        <v>500.0</v>
      </c>
      <c r="I263" s="80">
        <v>44391.0</v>
      </c>
    </row>
    <row r="264">
      <c r="E264" s="77" t="s">
        <v>282</v>
      </c>
      <c r="F264" s="77">
        <v>2.0</v>
      </c>
      <c r="G264" s="78">
        <v>850.0</v>
      </c>
      <c r="H264" s="78">
        <v>1700.0</v>
      </c>
      <c r="I264" s="80">
        <v>44391.0</v>
      </c>
    </row>
    <row r="265">
      <c r="E265" s="77" t="s">
        <v>283</v>
      </c>
      <c r="F265" s="77">
        <v>1.0</v>
      </c>
      <c r="G265" s="78">
        <v>50.0</v>
      </c>
      <c r="H265" s="78">
        <v>50.0</v>
      </c>
      <c r="I265" s="80">
        <v>44391.0</v>
      </c>
    </row>
    <row r="266">
      <c r="E266" s="77" t="s">
        <v>222</v>
      </c>
      <c r="F266" s="77" t="s">
        <v>87</v>
      </c>
      <c r="G266" s="78">
        <v>500.0</v>
      </c>
      <c r="H266" s="78">
        <v>500.0</v>
      </c>
      <c r="I266" s="80">
        <v>44391.0</v>
      </c>
    </row>
    <row r="267">
      <c r="E267" s="77" t="s">
        <v>116</v>
      </c>
      <c r="F267" s="77">
        <v>2.0</v>
      </c>
      <c r="G267" s="78">
        <v>500.0</v>
      </c>
      <c r="H267" s="78">
        <v>1000.0</v>
      </c>
      <c r="I267" s="80">
        <v>44391.0</v>
      </c>
    </row>
    <row r="268">
      <c r="E268" s="77" t="s">
        <v>92</v>
      </c>
      <c r="F268" s="77" t="s">
        <v>103</v>
      </c>
      <c r="G268" s="78">
        <v>700.0</v>
      </c>
      <c r="H268" s="78">
        <v>350.0</v>
      </c>
      <c r="I268" s="80">
        <v>44392.0</v>
      </c>
    </row>
    <row r="269">
      <c r="E269" s="77" t="s">
        <v>89</v>
      </c>
      <c r="F269" s="77" t="s">
        <v>190</v>
      </c>
      <c r="G269" s="78">
        <v>100.0</v>
      </c>
      <c r="H269" s="78">
        <v>700.0</v>
      </c>
      <c r="I269" s="80">
        <v>44392.0</v>
      </c>
    </row>
    <row r="270">
      <c r="E270" s="77" t="s">
        <v>284</v>
      </c>
      <c r="F270" s="77" t="s">
        <v>285</v>
      </c>
      <c r="G270" s="78">
        <v>800.0</v>
      </c>
      <c r="H270" s="78">
        <v>800.0</v>
      </c>
      <c r="I270" s="80">
        <v>44392.0</v>
      </c>
    </row>
    <row r="271">
      <c r="E271" s="77" t="s">
        <v>286</v>
      </c>
      <c r="F271" s="77">
        <v>6.0</v>
      </c>
      <c r="G271" s="78">
        <v>120.0</v>
      </c>
      <c r="H271" s="78">
        <v>120.0</v>
      </c>
      <c r="I271" s="80">
        <v>44392.0</v>
      </c>
    </row>
    <row r="272">
      <c r="E272" s="77" t="s">
        <v>106</v>
      </c>
      <c r="F272" s="77" t="s">
        <v>81</v>
      </c>
      <c r="G272" s="78">
        <v>350.0</v>
      </c>
      <c r="H272" s="78">
        <v>350.0</v>
      </c>
      <c r="I272" s="80" t="s">
        <v>287</v>
      </c>
    </row>
    <row r="273">
      <c r="E273" s="77" t="s">
        <v>154</v>
      </c>
      <c r="F273" s="77">
        <v>1.0</v>
      </c>
      <c r="G273" s="78">
        <v>150.0</v>
      </c>
      <c r="H273" s="78">
        <v>150.0</v>
      </c>
      <c r="I273" s="80">
        <v>44392.0</v>
      </c>
    </row>
    <row r="274">
      <c r="E274" s="77" t="s">
        <v>116</v>
      </c>
      <c r="F274" s="77">
        <v>3.0</v>
      </c>
      <c r="G274" s="78">
        <v>500.0</v>
      </c>
      <c r="H274" s="78">
        <v>1500.0</v>
      </c>
      <c r="I274" s="80">
        <v>44392.0</v>
      </c>
    </row>
    <row r="275">
      <c r="E275" s="77" t="s">
        <v>288</v>
      </c>
      <c r="F275" s="77" t="s">
        <v>205</v>
      </c>
      <c r="G275" s="78">
        <v>250.0</v>
      </c>
      <c r="H275" s="78">
        <v>200.0</v>
      </c>
      <c r="I275" s="80">
        <v>44393.0</v>
      </c>
    </row>
    <row r="276">
      <c r="E276" s="77" t="s">
        <v>289</v>
      </c>
      <c r="F276" s="77" t="s">
        <v>81</v>
      </c>
      <c r="G276" s="78">
        <v>65.0</v>
      </c>
      <c r="H276" s="78">
        <v>65.0</v>
      </c>
      <c r="I276" s="80">
        <v>44393.0</v>
      </c>
    </row>
    <row r="277">
      <c r="E277" s="77" t="s">
        <v>89</v>
      </c>
      <c r="F277" s="77" t="s">
        <v>90</v>
      </c>
      <c r="G277" s="78">
        <v>100.0</v>
      </c>
      <c r="H277" s="78">
        <v>2000.0</v>
      </c>
      <c r="I277" s="80">
        <v>44393.0</v>
      </c>
    </row>
    <row r="278">
      <c r="E278" s="77" t="s">
        <v>92</v>
      </c>
      <c r="F278" s="77" t="s">
        <v>81</v>
      </c>
      <c r="G278" s="78">
        <v>800.0</v>
      </c>
      <c r="H278" s="78">
        <v>800.0</v>
      </c>
      <c r="I278" s="80">
        <v>44393.0</v>
      </c>
    </row>
    <row r="279">
      <c r="E279" s="77" t="s">
        <v>121</v>
      </c>
      <c r="F279" s="77">
        <v>1.0</v>
      </c>
      <c r="G279" s="78">
        <v>150.0</v>
      </c>
      <c r="H279" s="78">
        <v>150.0</v>
      </c>
      <c r="I279" s="80">
        <v>44393.0</v>
      </c>
    </row>
    <row r="280">
      <c r="E280" s="77" t="s">
        <v>290</v>
      </c>
      <c r="F280" s="77">
        <v>2.0</v>
      </c>
      <c r="G280" s="78">
        <v>25.0</v>
      </c>
      <c r="H280" s="78">
        <v>50.0</v>
      </c>
      <c r="I280" s="80">
        <v>44393.0</v>
      </c>
    </row>
    <row r="281">
      <c r="E281" s="77" t="s">
        <v>125</v>
      </c>
      <c r="F281" s="77" t="s">
        <v>291</v>
      </c>
      <c r="G281" s="78">
        <v>1700.0</v>
      </c>
      <c r="H281" s="78">
        <v>1000.0</v>
      </c>
      <c r="I281" s="80">
        <v>44393.0</v>
      </c>
    </row>
    <row r="282">
      <c r="E282" s="77" t="s">
        <v>222</v>
      </c>
      <c r="F282" s="77" t="s">
        <v>87</v>
      </c>
      <c r="G282" s="78" t="s">
        <v>87</v>
      </c>
      <c r="H282" s="78">
        <v>640.0</v>
      </c>
      <c r="I282" s="80">
        <v>44393.0</v>
      </c>
    </row>
    <row r="283">
      <c r="E283" s="77" t="s">
        <v>292</v>
      </c>
      <c r="F283" s="77">
        <v>4.0</v>
      </c>
      <c r="G283" s="78" t="s">
        <v>87</v>
      </c>
      <c r="H283" s="78">
        <v>3000.0</v>
      </c>
      <c r="I283" s="80">
        <v>44393.0</v>
      </c>
    </row>
    <row r="284">
      <c r="E284" s="92" t="s">
        <v>129</v>
      </c>
      <c r="F284" s="92">
        <v>360.0</v>
      </c>
      <c r="G284" s="93">
        <v>50.0</v>
      </c>
      <c r="H284" s="93">
        <v>18000.0</v>
      </c>
      <c r="I284" s="94">
        <v>44393.0</v>
      </c>
    </row>
    <row r="285">
      <c r="E285" s="77" t="s">
        <v>293</v>
      </c>
      <c r="F285" s="82"/>
      <c r="G285" s="83"/>
      <c r="H285" s="78">
        <v>20000.0</v>
      </c>
      <c r="I285" s="80">
        <v>44394.0</v>
      </c>
    </row>
    <row r="286">
      <c r="E286" s="77" t="s">
        <v>294</v>
      </c>
      <c r="F286" s="77" t="s">
        <v>295</v>
      </c>
      <c r="G286" s="78" t="s">
        <v>296</v>
      </c>
      <c r="H286" s="78">
        <v>3000.0</v>
      </c>
      <c r="I286" s="80">
        <v>44394.0</v>
      </c>
    </row>
    <row r="287">
      <c r="E287" s="77" t="s">
        <v>92</v>
      </c>
      <c r="F287" s="77" t="s">
        <v>81</v>
      </c>
      <c r="G287" s="78">
        <v>800.0</v>
      </c>
      <c r="H287" s="78">
        <v>800.0</v>
      </c>
      <c r="I287" s="80">
        <v>44395.0</v>
      </c>
    </row>
    <row r="288">
      <c r="E288" s="77" t="s">
        <v>121</v>
      </c>
      <c r="F288" s="77">
        <v>5.0</v>
      </c>
      <c r="G288" s="78">
        <v>140.0</v>
      </c>
      <c r="H288" s="78">
        <v>700.0</v>
      </c>
      <c r="I288" s="80">
        <v>44395.0</v>
      </c>
    </row>
    <row r="289">
      <c r="E289" s="77" t="s">
        <v>76</v>
      </c>
      <c r="F289" s="77">
        <v>3.0</v>
      </c>
      <c r="G289" s="78">
        <v>620.0</v>
      </c>
      <c r="H289" s="78">
        <v>1860.0</v>
      </c>
      <c r="I289" s="80">
        <v>44395.0</v>
      </c>
    </row>
    <row r="290">
      <c r="E290" s="77" t="s">
        <v>158</v>
      </c>
      <c r="F290" s="77" t="s">
        <v>81</v>
      </c>
      <c r="G290" s="78">
        <v>800.0</v>
      </c>
      <c r="H290" s="78">
        <v>800.0</v>
      </c>
      <c r="I290" s="80">
        <v>44395.0</v>
      </c>
    </row>
    <row r="291">
      <c r="E291" s="77" t="s">
        <v>297</v>
      </c>
      <c r="F291" s="77">
        <v>5.0</v>
      </c>
      <c r="G291" s="78">
        <v>20.0</v>
      </c>
      <c r="H291" s="78">
        <v>100.0</v>
      </c>
      <c r="I291" s="80">
        <v>44395.0</v>
      </c>
    </row>
    <row r="292">
      <c r="E292" s="77" t="s">
        <v>99</v>
      </c>
      <c r="F292" s="77" t="s">
        <v>298</v>
      </c>
      <c r="G292" s="78">
        <v>100.0</v>
      </c>
      <c r="H292" s="78">
        <v>4000.0</v>
      </c>
      <c r="I292" s="80">
        <v>44395.0</v>
      </c>
    </row>
    <row r="293">
      <c r="E293" s="77" t="s">
        <v>299</v>
      </c>
      <c r="F293" s="77">
        <v>1.0</v>
      </c>
      <c r="G293" s="78">
        <v>100.0</v>
      </c>
      <c r="H293" s="78">
        <v>100.0</v>
      </c>
      <c r="I293" s="80">
        <v>44395.0</v>
      </c>
    </row>
    <row r="294">
      <c r="E294" s="77" t="s">
        <v>272</v>
      </c>
      <c r="F294" s="77">
        <v>1.0</v>
      </c>
      <c r="G294" s="78">
        <v>550.0</v>
      </c>
      <c r="H294" s="78">
        <v>550.0</v>
      </c>
      <c r="I294" s="80">
        <v>44395.0</v>
      </c>
    </row>
    <row r="295">
      <c r="E295" s="77" t="s">
        <v>116</v>
      </c>
      <c r="F295" s="77">
        <v>3.0</v>
      </c>
      <c r="G295" s="78" t="s">
        <v>300</v>
      </c>
      <c r="H295" s="78">
        <v>2000.0</v>
      </c>
      <c r="I295" s="80">
        <v>44395.0</v>
      </c>
    </row>
    <row r="296">
      <c r="E296" s="77" t="s">
        <v>301</v>
      </c>
      <c r="F296" s="77">
        <v>1.0</v>
      </c>
      <c r="G296" s="78">
        <v>1450.0</v>
      </c>
      <c r="H296" s="78">
        <v>1450.0</v>
      </c>
      <c r="I296" s="80">
        <v>44395.0</v>
      </c>
    </row>
    <row r="297">
      <c r="E297" s="77" t="s">
        <v>302</v>
      </c>
      <c r="F297" s="77">
        <v>1.0</v>
      </c>
      <c r="G297" s="78">
        <v>1400.0</v>
      </c>
      <c r="H297" s="78">
        <v>1400.0</v>
      </c>
      <c r="I297" s="80">
        <v>44395.0</v>
      </c>
    </row>
    <row r="298">
      <c r="E298" s="77" t="s">
        <v>267</v>
      </c>
      <c r="F298" s="77">
        <v>5.0</v>
      </c>
      <c r="G298" s="78">
        <v>650.0</v>
      </c>
      <c r="H298" s="78">
        <v>650.0</v>
      </c>
      <c r="I298" s="80">
        <v>44395.0</v>
      </c>
    </row>
    <row r="299">
      <c r="E299" s="77" t="s">
        <v>217</v>
      </c>
      <c r="F299" s="77">
        <v>1.0</v>
      </c>
      <c r="G299" s="78">
        <v>1000.0</v>
      </c>
      <c r="H299" s="78">
        <v>1000.0</v>
      </c>
      <c r="I299" s="80">
        <v>44395.0</v>
      </c>
    </row>
    <row r="300">
      <c r="E300" s="77" t="s">
        <v>303</v>
      </c>
      <c r="F300" s="77" t="s">
        <v>93</v>
      </c>
      <c r="G300" s="78">
        <v>200.0</v>
      </c>
      <c r="H300" s="78">
        <v>400.0</v>
      </c>
      <c r="I300" s="80">
        <v>44396.0</v>
      </c>
    </row>
    <row r="301">
      <c r="E301" s="77" t="s">
        <v>304</v>
      </c>
      <c r="F301" s="77" t="s">
        <v>81</v>
      </c>
      <c r="G301" s="78">
        <v>650.0</v>
      </c>
      <c r="H301" s="78">
        <v>650.0</v>
      </c>
      <c r="I301" s="80">
        <v>44396.0</v>
      </c>
    </row>
    <row r="302">
      <c r="E302" s="77" t="s">
        <v>305</v>
      </c>
      <c r="F302" s="77">
        <v>2.0</v>
      </c>
      <c r="G302" s="78">
        <v>150.0</v>
      </c>
      <c r="H302" s="78">
        <v>30.0</v>
      </c>
      <c r="I302" s="80">
        <v>44396.0</v>
      </c>
    </row>
    <row r="303">
      <c r="E303" s="77" t="s">
        <v>306</v>
      </c>
      <c r="F303" s="77">
        <v>1.0</v>
      </c>
      <c r="G303" s="78">
        <v>30.0</v>
      </c>
      <c r="H303" s="78">
        <v>30.0</v>
      </c>
      <c r="I303" s="80">
        <v>44396.0</v>
      </c>
    </row>
    <row r="304">
      <c r="E304" s="77" t="s">
        <v>307</v>
      </c>
      <c r="F304" s="77">
        <v>2.0</v>
      </c>
      <c r="G304" s="78">
        <v>195.0</v>
      </c>
      <c r="H304" s="78">
        <v>390.0</v>
      </c>
      <c r="I304" s="80">
        <v>44396.0</v>
      </c>
    </row>
    <row r="305">
      <c r="E305" s="77" t="s">
        <v>308</v>
      </c>
      <c r="F305" s="77">
        <v>1.0</v>
      </c>
      <c r="G305" s="78">
        <v>100.0</v>
      </c>
      <c r="H305" s="78">
        <v>100.0</v>
      </c>
      <c r="I305" s="80">
        <v>44396.0</v>
      </c>
    </row>
    <row r="306">
      <c r="E306" s="77" t="s">
        <v>309</v>
      </c>
      <c r="F306" s="77">
        <v>5.0</v>
      </c>
      <c r="G306" s="78">
        <v>60.0</v>
      </c>
      <c r="H306" s="78">
        <v>300.0</v>
      </c>
      <c r="I306" s="80">
        <v>44396.0</v>
      </c>
    </row>
    <row r="307">
      <c r="E307" s="77" t="s">
        <v>310</v>
      </c>
      <c r="F307" s="77" t="s">
        <v>87</v>
      </c>
      <c r="G307" s="78">
        <v>500.0</v>
      </c>
      <c r="H307" s="78">
        <v>500.0</v>
      </c>
      <c r="I307" s="80">
        <v>44396.0</v>
      </c>
    </row>
    <row r="308">
      <c r="E308" s="77" t="s">
        <v>311</v>
      </c>
      <c r="F308" s="77" t="s">
        <v>87</v>
      </c>
      <c r="G308" s="78">
        <v>200.0</v>
      </c>
      <c r="H308" s="78">
        <v>200.0</v>
      </c>
      <c r="I308" s="80">
        <v>44396.0</v>
      </c>
    </row>
    <row r="309">
      <c r="E309" s="77" t="s">
        <v>312</v>
      </c>
      <c r="F309" s="77">
        <v>20.0</v>
      </c>
      <c r="G309" s="78">
        <v>5.0</v>
      </c>
      <c r="H309" s="78">
        <v>100.0</v>
      </c>
      <c r="I309" s="80">
        <v>44396.0</v>
      </c>
    </row>
    <row r="310">
      <c r="E310" s="77" t="s">
        <v>313</v>
      </c>
      <c r="F310" s="77">
        <v>2.0</v>
      </c>
      <c r="G310" s="78">
        <v>150.0</v>
      </c>
      <c r="H310" s="78">
        <v>300.0</v>
      </c>
      <c r="I310" s="80">
        <v>44396.0</v>
      </c>
    </row>
    <row r="311">
      <c r="E311" s="77" t="s">
        <v>314</v>
      </c>
      <c r="F311" s="77">
        <v>9.0</v>
      </c>
      <c r="G311" s="78">
        <v>50.0</v>
      </c>
      <c r="H311" s="78">
        <v>450.0</v>
      </c>
      <c r="I311" s="80">
        <v>44396.0</v>
      </c>
    </row>
    <row r="312">
      <c r="E312" s="77" t="s">
        <v>315</v>
      </c>
      <c r="F312" s="77">
        <v>1.0</v>
      </c>
      <c r="G312" s="78">
        <v>120.0</v>
      </c>
      <c r="H312" s="78">
        <v>120.0</v>
      </c>
      <c r="I312" s="80">
        <v>44396.0</v>
      </c>
    </row>
    <row r="313">
      <c r="E313" s="77" t="s">
        <v>316</v>
      </c>
      <c r="F313" s="77">
        <v>3.0</v>
      </c>
      <c r="G313" s="78">
        <v>80.0</v>
      </c>
      <c r="H313" s="78">
        <v>240.0</v>
      </c>
      <c r="I313" s="80">
        <v>44396.0</v>
      </c>
    </row>
    <row r="314">
      <c r="E314" s="77" t="s">
        <v>317</v>
      </c>
      <c r="F314" s="77" t="s">
        <v>271</v>
      </c>
      <c r="G314" s="78">
        <v>320.0</v>
      </c>
      <c r="H314" s="78">
        <v>1280.0</v>
      </c>
      <c r="I314" s="80">
        <v>44396.0</v>
      </c>
    </row>
    <row r="315">
      <c r="E315" s="77" t="s">
        <v>318</v>
      </c>
      <c r="F315" s="77" t="s">
        <v>319</v>
      </c>
      <c r="G315" s="78">
        <v>110.0</v>
      </c>
      <c r="H315" s="78">
        <v>1450.0</v>
      </c>
      <c r="I315" s="80">
        <v>44396.0</v>
      </c>
    </row>
    <row r="316">
      <c r="E316" s="77" t="s">
        <v>320</v>
      </c>
      <c r="F316" s="77">
        <v>3.0</v>
      </c>
      <c r="G316" s="78">
        <v>200.0</v>
      </c>
      <c r="H316" s="78">
        <v>600.0</v>
      </c>
      <c r="I316" s="80">
        <v>44396.0</v>
      </c>
    </row>
    <row r="317">
      <c r="E317" s="77" t="s">
        <v>321</v>
      </c>
      <c r="F317" s="77">
        <v>8.0</v>
      </c>
      <c r="G317" s="78">
        <v>50.0</v>
      </c>
      <c r="H317" s="78">
        <v>400.0</v>
      </c>
      <c r="I317" s="80">
        <v>44396.0</v>
      </c>
    </row>
    <row r="318">
      <c r="E318" s="77" t="s">
        <v>116</v>
      </c>
      <c r="F318" s="77">
        <v>3.0</v>
      </c>
      <c r="G318" s="78" t="s">
        <v>87</v>
      </c>
      <c r="H318" s="78">
        <v>2000.0</v>
      </c>
      <c r="I318" s="80">
        <v>44396.0</v>
      </c>
    </row>
    <row r="319">
      <c r="E319" s="77" t="s">
        <v>89</v>
      </c>
      <c r="F319" s="77" t="s">
        <v>322</v>
      </c>
      <c r="G319" s="78">
        <v>100.0</v>
      </c>
      <c r="H319" s="78">
        <v>5000.0</v>
      </c>
      <c r="I319" s="80">
        <v>44396.0</v>
      </c>
    </row>
    <row r="320">
      <c r="E320" s="77" t="s">
        <v>92</v>
      </c>
      <c r="F320" s="77" t="s">
        <v>81</v>
      </c>
      <c r="G320" s="78">
        <v>800.0</v>
      </c>
      <c r="H320" s="78">
        <v>800.0</v>
      </c>
      <c r="I320" s="80">
        <v>44396.0</v>
      </c>
    </row>
    <row r="321">
      <c r="E321" s="77" t="s">
        <v>323</v>
      </c>
      <c r="F321" s="77">
        <v>5.0</v>
      </c>
      <c r="G321" s="78">
        <v>30.0</v>
      </c>
      <c r="H321" s="78">
        <v>150.0</v>
      </c>
      <c r="I321" s="80">
        <v>44396.0</v>
      </c>
    </row>
    <row r="322">
      <c r="E322" s="77" t="s">
        <v>107</v>
      </c>
      <c r="F322" s="77">
        <v>1.0</v>
      </c>
      <c r="G322" s="78">
        <v>550.0</v>
      </c>
      <c r="H322" s="78">
        <v>550.0</v>
      </c>
      <c r="I322" s="80">
        <v>44396.0</v>
      </c>
    </row>
    <row r="323">
      <c r="E323" s="77" t="s">
        <v>120</v>
      </c>
      <c r="F323" s="77">
        <v>1.0</v>
      </c>
      <c r="G323" s="78">
        <v>100.0</v>
      </c>
      <c r="H323" s="78">
        <v>100.0</v>
      </c>
      <c r="I323" s="80">
        <v>44400.0</v>
      </c>
    </row>
    <row r="324">
      <c r="E324" s="77" t="s">
        <v>324</v>
      </c>
      <c r="F324" s="77" t="s">
        <v>81</v>
      </c>
      <c r="G324" s="78">
        <v>100.0</v>
      </c>
      <c r="H324" s="78">
        <v>100.0</v>
      </c>
      <c r="I324" s="80">
        <v>44400.0</v>
      </c>
    </row>
    <row r="325">
      <c r="E325" s="77" t="s">
        <v>107</v>
      </c>
      <c r="F325" s="77">
        <v>1.0</v>
      </c>
      <c r="G325" s="78">
        <v>950.0</v>
      </c>
      <c r="H325" s="78">
        <v>950.0</v>
      </c>
      <c r="I325" s="80">
        <v>44400.0</v>
      </c>
    </row>
    <row r="326">
      <c r="E326" s="77" t="s">
        <v>325</v>
      </c>
      <c r="F326" s="77">
        <v>3.0</v>
      </c>
      <c r="G326" s="78">
        <v>400.0</v>
      </c>
      <c r="H326" s="78">
        <v>400.0</v>
      </c>
      <c r="I326" s="80">
        <v>44400.0</v>
      </c>
    </row>
    <row r="327">
      <c r="E327" s="77" t="s">
        <v>217</v>
      </c>
      <c r="F327" s="77">
        <v>1.0</v>
      </c>
      <c r="G327" s="78">
        <v>500.0</v>
      </c>
      <c r="H327" s="78">
        <v>500.0</v>
      </c>
      <c r="I327" s="80">
        <v>44400.0</v>
      </c>
    </row>
    <row r="328">
      <c r="E328" s="77" t="s">
        <v>222</v>
      </c>
      <c r="F328" s="77">
        <v>4.0</v>
      </c>
      <c r="G328" s="78">
        <v>100.0</v>
      </c>
      <c r="H328" s="78">
        <v>500.0</v>
      </c>
      <c r="I328" s="80">
        <v>44400.0</v>
      </c>
    </row>
    <row r="329">
      <c r="E329" s="77" t="s">
        <v>326</v>
      </c>
      <c r="F329" s="77" t="s">
        <v>190</v>
      </c>
      <c r="G329" s="78">
        <v>65.0</v>
      </c>
      <c r="H329" s="78">
        <v>400.0</v>
      </c>
      <c r="I329" s="80">
        <v>44400.0</v>
      </c>
    </row>
    <row r="330">
      <c r="E330" s="77" t="s">
        <v>126</v>
      </c>
      <c r="F330" s="77">
        <v>2.0</v>
      </c>
      <c r="G330" s="78">
        <v>1000.0</v>
      </c>
      <c r="H330" s="78">
        <v>2000.0</v>
      </c>
      <c r="I330" s="80">
        <v>44400.0</v>
      </c>
    </row>
    <row r="331">
      <c r="E331" s="77" t="s">
        <v>327</v>
      </c>
      <c r="F331" s="77">
        <v>3.0</v>
      </c>
      <c r="G331" s="78">
        <v>240.0</v>
      </c>
      <c r="H331" s="78">
        <v>720.0</v>
      </c>
      <c r="I331" s="80">
        <v>44400.0</v>
      </c>
    </row>
    <row r="332">
      <c r="E332" s="77" t="s">
        <v>107</v>
      </c>
      <c r="F332" s="77">
        <v>1.0</v>
      </c>
      <c r="G332" s="78">
        <v>560.0</v>
      </c>
      <c r="H332" s="78">
        <v>560.0</v>
      </c>
      <c r="I332" s="80">
        <v>44400.0</v>
      </c>
    </row>
    <row r="333">
      <c r="E333" s="77" t="s">
        <v>92</v>
      </c>
      <c r="F333" s="77" t="s">
        <v>81</v>
      </c>
      <c r="G333" s="78">
        <v>1100.0</v>
      </c>
      <c r="H333" s="78">
        <v>1100.0</v>
      </c>
      <c r="I333" s="80">
        <v>44400.0</v>
      </c>
    </row>
    <row r="334">
      <c r="E334" s="77" t="s">
        <v>312</v>
      </c>
      <c r="F334" s="77">
        <v>10.0</v>
      </c>
      <c r="G334" s="78">
        <v>5.0</v>
      </c>
      <c r="H334" s="78">
        <v>50.0</v>
      </c>
      <c r="I334" s="80">
        <v>44400.0</v>
      </c>
    </row>
    <row r="335">
      <c r="E335" s="77" t="s">
        <v>186</v>
      </c>
      <c r="F335" s="77">
        <v>1.0</v>
      </c>
      <c r="G335" s="78">
        <v>500.0</v>
      </c>
      <c r="H335" s="78">
        <v>500.0</v>
      </c>
      <c r="I335" s="80">
        <v>44400.0</v>
      </c>
    </row>
    <row r="336">
      <c r="E336" s="77" t="s">
        <v>92</v>
      </c>
      <c r="F336" s="77" t="s">
        <v>328</v>
      </c>
      <c r="G336" s="78">
        <v>850.0</v>
      </c>
      <c r="H336" s="78">
        <v>1000.0</v>
      </c>
      <c r="I336" s="80">
        <v>44402.0</v>
      </c>
    </row>
    <row r="337">
      <c r="E337" s="77" t="s">
        <v>121</v>
      </c>
      <c r="F337" s="77">
        <v>5.0</v>
      </c>
      <c r="G337" s="78">
        <v>120.0</v>
      </c>
      <c r="H337" s="78">
        <v>600.0</v>
      </c>
      <c r="I337" s="80">
        <v>44402.0</v>
      </c>
    </row>
    <row r="338">
      <c r="E338" s="77" t="s">
        <v>329</v>
      </c>
      <c r="F338" s="77">
        <v>1.0</v>
      </c>
      <c r="G338" s="78">
        <v>400.0</v>
      </c>
      <c r="H338" s="78">
        <v>400.0</v>
      </c>
      <c r="I338" s="80">
        <v>44402.0</v>
      </c>
    </row>
    <row r="339">
      <c r="E339" s="77" t="s">
        <v>286</v>
      </c>
      <c r="F339" s="77">
        <v>10.0</v>
      </c>
      <c r="G339" s="78">
        <v>20.0</v>
      </c>
      <c r="H339" s="78">
        <v>200.0</v>
      </c>
      <c r="I339" s="80">
        <v>44402.0</v>
      </c>
    </row>
    <row r="340">
      <c r="E340" s="77" t="s">
        <v>217</v>
      </c>
      <c r="F340" s="77">
        <v>1.0</v>
      </c>
      <c r="G340" s="78">
        <v>500.0</v>
      </c>
      <c r="H340" s="78">
        <v>500.0</v>
      </c>
      <c r="I340" s="80">
        <v>44402.0</v>
      </c>
    </row>
    <row r="341">
      <c r="E341" s="77" t="s">
        <v>330</v>
      </c>
      <c r="F341" s="98">
        <v>44317.0</v>
      </c>
      <c r="G341" s="78">
        <v>850.0</v>
      </c>
      <c r="H341" s="78">
        <v>1000.0</v>
      </c>
      <c r="I341" s="80">
        <v>44404.0</v>
      </c>
    </row>
    <row r="342">
      <c r="E342" s="77" t="s">
        <v>121</v>
      </c>
      <c r="F342" s="77">
        <v>5.0</v>
      </c>
      <c r="G342" s="78">
        <v>120.0</v>
      </c>
      <c r="H342" s="78">
        <v>600.0</v>
      </c>
      <c r="I342" s="80">
        <v>44404.0</v>
      </c>
    </row>
    <row r="343">
      <c r="E343" s="77" t="s">
        <v>135</v>
      </c>
      <c r="F343" s="77" t="s">
        <v>209</v>
      </c>
      <c r="G343" s="78">
        <v>40.0</v>
      </c>
      <c r="H343" s="78">
        <v>300.0</v>
      </c>
      <c r="I343" s="80">
        <v>44404.0</v>
      </c>
    </row>
    <row r="344">
      <c r="E344" s="77" t="s">
        <v>137</v>
      </c>
      <c r="F344" s="77" t="s">
        <v>100</v>
      </c>
      <c r="G344" s="78">
        <v>30.0</v>
      </c>
      <c r="H344" s="78">
        <v>450.0</v>
      </c>
      <c r="I344" s="80">
        <v>44404.0</v>
      </c>
    </row>
    <row r="345">
      <c r="E345" s="77" t="s">
        <v>331</v>
      </c>
      <c r="F345" s="77" t="s">
        <v>81</v>
      </c>
      <c r="G345" s="78">
        <v>400.0</v>
      </c>
      <c r="H345" s="78">
        <v>400.0</v>
      </c>
      <c r="I345" s="80">
        <v>44404.0</v>
      </c>
    </row>
    <row r="346">
      <c r="E346" s="77" t="s">
        <v>332</v>
      </c>
      <c r="F346" s="77">
        <v>6.0</v>
      </c>
      <c r="G346" s="78">
        <v>30.0</v>
      </c>
      <c r="H346" s="78">
        <v>150.0</v>
      </c>
      <c r="I346" s="80">
        <v>44404.0</v>
      </c>
    </row>
    <row r="347">
      <c r="E347" s="77" t="s">
        <v>333</v>
      </c>
      <c r="F347" s="77" t="s">
        <v>334</v>
      </c>
      <c r="G347" s="78" t="s">
        <v>87</v>
      </c>
      <c r="H347" s="78">
        <v>100.0</v>
      </c>
      <c r="I347" s="77" t="s">
        <v>335</v>
      </c>
    </row>
    <row r="348">
      <c r="E348" s="77" t="s">
        <v>125</v>
      </c>
      <c r="F348" s="77" t="s">
        <v>87</v>
      </c>
      <c r="G348" s="78" t="s">
        <v>87</v>
      </c>
      <c r="H348" s="78">
        <v>500.0</v>
      </c>
      <c r="I348" s="80">
        <v>44405.0</v>
      </c>
    </row>
    <row r="349">
      <c r="E349" s="77" t="s">
        <v>332</v>
      </c>
      <c r="F349" s="77">
        <v>2.0</v>
      </c>
      <c r="G349" s="78">
        <v>30.0</v>
      </c>
      <c r="H349" s="78">
        <v>60.0</v>
      </c>
      <c r="I349" s="80">
        <v>44405.0</v>
      </c>
    </row>
    <row r="350">
      <c r="E350" s="77" t="s">
        <v>92</v>
      </c>
      <c r="F350" s="77" t="s">
        <v>103</v>
      </c>
      <c r="G350" s="78">
        <v>800.0</v>
      </c>
      <c r="H350" s="78">
        <v>400.0</v>
      </c>
      <c r="I350" s="80">
        <v>44405.0</v>
      </c>
    </row>
    <row r="351">
      <c r="E351" s="77" t="s">
        <v>125</v>
      </c>
      <c r="F351" s="77" t="s">
        <v>87</v>
      </c>
      <c r="G351" s="78">
        <v>1500.0</v>
      </c>
      <c r="H351" s="78">
        <v>1000.0</v>
      </c>
      <c r="I351" s="80">
        <v>44406.0</v>
      </c>
    </row>
    <row r="352">
      <c r="E352" s="77" t="s">
        <v>89</v>
      </c>
      <c r="F352" s="77" t="s">
        <v>90</v>
      </c>
      <c r="G352" s="78">
        <v>100.0</v>
      </c>
      <c r="H352" s="78">
        <v>2000.0</v>
      </c>
      <c r="I352" s="80">
        <v>44406.0</v>
      </c>
    </row>
    <row r="353">
      <c r="E353" s="77" t="s">
        <v>217</v>
      </c>
      <c r="F353" s="77">
        <v>1.0</v>
      </c>
      <c r="G353" s="78">
        <v>500.0</v>
      </c>
      <c r="H353" s="78">
        <v>500.0</v>
      </c>
      <c r="I353" s="80">
        <v>44406.0</v>
      </c>
    </row>
    <row r="354">
      <c r="E354" s="77" t="s">
        <v>336</v>
      </c>
      <c r="F354" s="77" t="s">
        <v>87</v>
      </c>
      <c r="G354" s="78" t="s">
        <v>87</v>
      </c>
      <c r="H354" s="78">
        <v>200.0</v>
      </c>
      <c r="I354" s="80">
        <v>44406.0</v>
      </c>
    </row>
    <row r="355">
      <c r="E355" s="77" t="s">
        <v>337</v>
      </c>
      <c r="F355" s="77">
        <v>5.0</v>
      </c>
      <c r="G355" s="78">
        <v>120.0</v>
      </c>
      <c r="H355" s="78">
        <v>600.0</v>
      </c>
      <c r="I355" s="80">
        <v>44407.0</v>
      </c>
    </row>
    <row r="356">
      <c r="E356" s="77" t="s">
        <v>92</v>
      </c>
      <c r="F356" s="77" t="s">
        <v>103</v>
      </c>
      <c r="G356" s="78">
        <v>800.0</v>
      </c>
      <c r="H356" s="78">
        <v>400.0</v>
      </c>
      <c r="I356" s="80">
        <v>44407.0</v>
      </c>
    </row>
    <row r="357">
      <c r="E357" s="77" t="s">
        <v>326</v>
      </c>
      <c r="F357" s="77" t="s">
        <v>295</v>
      </c>
      <c r="G357" s="78">
        <v>75.0</v>
      </c>
      <c r="H357" s="78">
        <v>750.0</v>
      </c>
      <c r="I357" s="80">
        <v>44407.0</v>
      </c>
    </row>
    <row r="358">
      <c r="E358" s="77" t="s">
        <v>222</v>
      </c>
      <c r="F358" s="77">
        <v>6.0</v>
      </c>
      <c r="G358" s="78">
        <v>100.0</v>
      </c>
      <c r="H358" s="78">
        <v>600.0</v>
      </c>
      <c r="I358" s="80">
        <v>44407.0</v>
      </c>
    </row>
    <row r="359">
      <c r="E359" s="82"/>
      <c r="F359" s="82"/>
      <c r="G359" s="83"/>
      <c r="H359" s="83"/>
      <c r="I359" s="82"/>
    </row>
    <row r="360">
      <c r="E360" s="82"/>
      <c r="F360" s="82"/>
      <c r="G360" s="83"/>
      <c r="H360" s="83"/>
      <c r="I360" s="82"/>
    </row>
    <row r="361">
      <c r="E361" s="99" t="s">
        <v>338</v>
      </c>
      <c r="F361" s="54"/>
      <c r="G361" s="100"/>
      <c r="H361" s="101">
        <f>SUM(H5:H360)</f>
        <v>504845</v>
      </c>
      <c r="I361" s="54"/>
    </row>
    <row r="362">
      <c r="E362" s="99" t="s">
        <v>339</v>
      </c>
      <c r="F362" s="54"/>
      <c r="G362" s="102"/>
      <c r="H362" s="103">
        <v>20000.0</v>
      </c>
      <c r="I362" s="54"/>
    </row>
    <row r="363">
      <c r="E363" s="99" t="s">
        <v>340</v>
      </c>
      <c r="F363" s="54"/>
      <c r="G363" s="104"/>
      <c r="H363" s="105">
        <f>H362-H361</f>
        <v>-484845</v>
      </c>
      <c r="I363" s="54"/>
    </row>
    <row r="371">
      <c r="E371" s="106" t="s">
        <v>341</v>
      </c>
      <c r="F371" s="107"/>
      <c r="G371" s="107"/>
      <c r="H371" s="108"/>
      <c r="I371" s="108"/>
    </row>
    <row r="372">
      <c r="E372" s="109" t="s">
        <v>342</v>
      </c>
      <c r="F372" s="109">
        <v>2.0</v>
      </c>
      <c r="G372" s="110">
        <v>350.0</v>
      </c>
      <c r="H372" s="110">
        <v>700.0</v>
      </c>
      <c r="I372" s="111">
        <v>44383.0</v>
      </c>
    </row>
    <row r="373">
      <c r="E373" s="109" t="s">
        <v>343</v>
      </c>
      <c r="F373" s="109">
        <v>1.0</v>
      </c>
      <c r="G373" s="110">
        <v>300.0</v>
      </c>
      <c r="H373" s="110">
        <v>300.0</v>
      </c>
      <c r="I373" s="111">
        <v>44383.0</v>
      </c>
    </row>
    <row r="374">
      <c r="E374" s="109" t="s">
        <v>343</v>
      </c>
      <c r="F374" s="109">
        <v>2.0</v>
      </c>
      <c r="G374" s="110">
        <v>500.0</v>
      </c>
      <c r="H374" s="110">
        <v>2000.0</v>
      </c>
      <c r="I374" s="111">
        <v>44383.0</v>
      </c>
    </row>
    <row r="375">
      <c r="E375" s="109" t="s">
        <v>343</v>
      </c>
      <c r="F375" s="109">
        <v>3.0</v>
      </c>
      <c r="G375" s="110">
        <v>900.0</v>
      </c>
      <c r="H375" s="110">
        <v>2700.0</v>
      </c>
      <c r="I375" s="111">
        <v>44386.0</v>
      </c>
    </row>
    <row r="376">
      <c r="E376" s="109" t="s">
        <v>344</v>
      </c>
      <c r="F376" s="109">
        <v>2.0</v>
      </c>
      <c r="G376" s="110">
        <v>600.0</v>
      </c>
      <c r="H376" s="110">
        <v>1200.0</v>
      </c>
      <c r="I376" s="111">
        <v>44386.0</v>
      </c>
    </row>
    <row r="377">
      <c r="E377" s="109" t="s">
        <v>345</v>
      </c>
      <c r="F377" s="109">
        <v>1.0</v>
      </c>
      <c r="G377" s="110">
        <v>4000.0</v>
      </c>
      <c r="H377" s="110">
        <v>4000.0</v>
      </c>
      <c r="I377" s="111">
        <v>44389.0</v>
      </c>
    </row>
    <row r="378">
      <c r="E378" s="109" t="s">
        <v>346</v>
      </c>
      <c r="F378" s="109">
        <v>250.0</v>
      </c>
      <c r="G378" s="110">
        <v>54000.0</v>
      </c>
      <c r="H378" s="110">
        <v>54000.0</v>
      </c>
      <c r="I378" s="111">
        <v>44402.0</v>
      </c>
    </row>
    <row r="379">
      <c r="E379" s="107"/>
      <c r="F379" s="107"/>
      <c r="G379" s="112"/>
      <c r="H379" s="112"/>
      <c r="I379" s="107"/>
    </row>
    <row r="380">
      <c r="E380" s="107"/>
      <c r="F380" s="107"/>
      <c r="G380" s="112"/>
      <c r="H380" s="112"/>
      <c r="I380" s="107"/>
    </row>
    <row r="381">
      <c r="E381" s="107"/>
      <c r="F381" s="107"/>
      <c r="G381" s="112"/>
      <c r="H381" s="112"/>
      <c r="I381" s="107"/>
    </row>
    <row r="382">
      <c r="E382" s="107"/>
      <c r="F382" s="107"/>
      <c r="G382" s="112"/>
      <c r="H382" s="112">
        <f>SUM(H372:H381)</f>
        <v>64900</v>
      </c>
      <c r="I382" s="107"/>
    </row>
  </sheetData>
  <mergeCells count="4">
    <mergeCell ref="I5:I13"/>
    <mergeCell ref="I15:I16"/>
    <mergeCell ref="I17:I26"/>
    <mergeCell ref="I27:I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76.63"/>
  </cols>
  <sheetData>
    <row r="1">
      <c r="A1" s="7"/>
      <c r="B1" s="2" t="s">
        <v>0</v>
      </c>
      <c r="C1" s="113" t="s">
        <v>347</v>
      </c>
      <c r="D1" s="114" t="s">
        <v>348</v>
      </c>
      <c r="E1" s="115" t="s">
        <v>349</v>
      </c>
      <c r="F1" s="114" t="s">
        <v>350</v>
      </c>
      <c r="G1" s="114" t="s">
        <v>351</v>
      </c>
      <c r="H1" s="114" t="s">
        <v>352</v>
      </c>
      <c r="I1" s="114" t="s">
        <v>353</v>
      </c>
      <c r="J1" s="114" t="s">
        <v>354</v>
      </c>
      <c r="K1" s="115" t="s">
        <v>355</v>
      </c>
      <c r="L1" s="114" t="s">
        <v>356</v>
      </c>
      <c r="M1" s="114" t="s">
        <v>357</v>
      </c>
      <c r="N1" s="114" t="s">
        <v>358</v>
      </c>
      <c r="O1" s="114" t="s">
        <v>359</v>
      </c>
      <c r="P1" s="116" t="s">
        <v>360</v>
      </c>
    </row>
    <row r="2">
      <c r="A2" s="9" t="s">
        <v>11</v>
      </c>
      <c r="B2" s="10">
        <v>44378.0</v>
      </c>
      <c r="C2" s="117">
        <v>1.0</v>
      </c>
      <c r="D2" s="117">
        <v>1.0</v>
      </c>
      <c r="E2" s="117">
        <v>0.0</v>
      </c>
      <c r="F2" s="117">
        <v>1.0</v>
      </c>
      <c r="G2" s="117">
        <v>0.0</v>
      </c>
      <c r="H2" s="117">
        <v>1.0</v>
      </c>
      <c r="I2" s="117">
        <v>1.0</v>
      </c>
      <c r="J2" s="117">
        <v>0.0</v>
      </c>
      <c r="K2" s="117">
        <v>0.0</v>
      </c>
      <c r="L2" s="117">
        <v>1.0</v>
      </c>
      <c r="M2" s="117">
        <v>1.0</v>
      </c>
      <c r="N2" s="117">
        <v>1.0</v>
      </c>
      <c r="O2" s="117">
        <v>1.0</v>
      </c>
      <c r="P2" s="54"/>
    </row>
    <row r="3">
      <c r="A3" s="18" t="s">
        <v>12</v>
      </c>
      <c r="B3" s="19">
        <v>44379.0</v>
      </c>
      <c r="C3" s="118">
        <v>1.0</v>
      </c>
      <c r="D3" s="118">
        <v>1.0</v>
      </c>
      <c r="E3" s="118">
        <v>0.0</v>
      </c>
      <c r="F3" s="118">
        <v>0.0</v>
      </c>
      <c r="G3" s="118">
        <v>1.0</v>
      </c>
      <c r="H3" s="118">
        <v>0.0</v>
      </c>
      <c r="I3" s="118">
        <v>1.0</v>
      </c>
      <c r="J3" s="118">
        <v>1.0</v>
      </c>
      <c r="K3" s="118">
        <v>0.0</v>
      </c>
      <c r="L3" s="118">
        <v>0.0</v>
      </c>
      <c r="M3" s="118">
        <v>0.0</v>
      </c>
      <c r="N3" s="118">
        <v>1.0</v>
      </c>
      <c r="O3" s="118">
        <v>1.0</v>
      </c>
      <c r="P3" s="54"/>
    </row>
    <row r="4">
      <c r="A4" s="9" t="s">
        <v>13</v>
      </c>
      <c r="B4" s="10">
        <v>44380.0</v>
      </c>
      <c r="C4" s="119">
        <v>0.0</v>
      </c>
      <c r="D4" s="119">
        <v>1.0</v>
      </c>
      <c r="E4" s="119">
        <v>0.0</v>
      </c>
      <c r="F4" s="119">
        <v>0.0</v>
      </c>
      <c r="G4" s="120">
        <v>0.0</v>
      </c>
      <c r="H4" s="119">
        <v>1.0</v>
      </c>
      <c r="I4" s="119">
        <v>0.0</v>
      </c>
      <c r="J4" s="119">
        <v>1.0</v>
      </c>
      <c r="K4" s="119">
        <v>0.0</v>
      </c>
      <c r="L4" s="119">
        <v>1.0</v>
      </c>
      <c r="M4" s="119">
        <v>1.0</v>
      </c>
      <c r="N4" s="119">
        <v>1.0</v>
      </c>
      <c r="O4" s="119">
        <v>1.0</v>
      </c>
      <c r="P4" s="121" t="s">
        <v>361</v>
      </c>
    </row>
    <row r="5">
      <c r="A5" s="9" t="s">
        <v>14</v>
      </c>
      <c r="B5" s="10">
        <v>44381.0</v>
      </c>
      <c r="C5" s="119">
        <v>1.0</v>
      </c>
      <c r="D5" s="119">
        <v>1.0</v>
      </c>
      <c r="E5" s="119">
        <v>0.0</v>
      </c>
      <c r="F5" s="119">
        <v>1.0</v>
      </c>
      <c r="G5" s="120">
        <v>0.0</v>
      </c>
      <c r="H5" s="119">
        <v>1.0</v>
      </c>
      <c r="I5" s="119">
        <v>1.0</v>
      </c>
      <c r="J5" s="119">
        <v>0.0</v>
      </c>
      <c r="K5" s="119">
        <v>0.0</v>
      </c>
      <c r="L5" s="119">
        <v>1.0</v>
      </c>
      <c r="M5" s="120">
        <v>0.0</v>
      </c>
      <c r="N5" s="119">
        <v>1.0</v>
      </c>
      <c r="O5" s="119">
        <v>0.0</v>
      </c>
      <c r="P5" s="121" t="s">
        <v>362</v>
      </c>
    </row>
    <row r="6">
      <c r="A6" s="9" t="s">
        <v>15</v>
      </c>
      <c r="B6" s="10">
        <v>44382.0</v>
      </c>
      <c r="C6" s="119">
        <v>1.0</v>
      </c>
      <c r="D6" s="119">
        <v>1.0</v>
      </c>
      <c r="E6" s="119">
        <v>0.0</v>
      </c>
      <c r="F6" s="119">
        <v>1.0</v>
      </c>
      <c r="G6" s="120">
        <v>0.0</v>
      </c>
      <c r="H6" s="119">
        <v>1.0</v>
      </c>
      <c r="I6" s="119">
        <v>1.0</v>
      </c>
      <c r="J6" s="119">
        <v>0.0</v>
      </c>
      <c r="K6" s="119">
        <v>0.0</v>
      </c>
      <c r="L6" s="119">
        <v>1.0</v>
      </c>
      <c r="M6" s="120">
        <v>0.0</v>
      </c>
      <c r="N6" s="119">
        <v>0.5</v>
      </c>
      <c r="O6" s="119">
        <v>1.0</v>
      </c>
      <c r="P6" s="122" t="s">
        <v>363</v>
      </c>
    </row>
    <row r="7">
      <c r="A7" s="9" t="s">
        <v>16</v>
      </c>
      <c r="B7" s="10">
        <v>44383.0</v>
      </c>
      <c r="C7" s="119">
        <v>1.0</v>
      </c>
      <c r="D7" s="119">
        <v>0.0</v>
      </c>
      <c r="E7" s="119">
        <v>0.0</v>
      </c>
      <c r="F7" s="119">
        <v>1.0</v>
      </c>
      <c r="G7" s="120">
        <v>0.0</v>
      </c>
      <c r="H7" s="119">
        <v>1.0</v>
      </c>
      <c r="I7" s="119">
        <v>1.0</v>
      </c>
      <c r="J7" s="119">
        <v>0.0</v>
      </c>
      <c r="K7" s="119">
        <v>0.0</v>
      </c>
      <c r="L7" s="119">
        <v>1.0</v>
      </c>
      <c r="M7" s="120">
        <v>0.0</v>
      </c>
      <c r="N7" s="119">
        <v>0.0</v>
      </c>
      <c r="O7" s="119">
        <v>0.0</v>
      </c>
      <c r="P7" s="121" t="s">
        <v>364</v>
      </c>
    </row>
    <row r="8">
      <c r="A8" s="9" t="s">
        <v>17</v>
      </c>
      <c r="B8" s="10">
        <v>44384.0</v>
      </c>
      <c r="C8" s="119">
        <v>1.0</v>
      </c>
      <c r="D8" s="119">
        <v>1.0</v>
      </c>
      <c r="E8" s="119">
        <v>0.0</v>
      </c>
      <c r="F8" s="119">
        <v>0.0</v>
      </c>
      <c r="G8" s="120">
        <v>0.0</v>
      </c>
      <c r="H8" s="119">
        <v>1.0</v>
      </c>
      <c r="I8" s="119">
        <v>1.0</v>
      </c>
      <c r="J8" s="119">
        <v>0.0</v>
      </c>
      <c r="K8" s="119">
        <v>0.0</v>
      </c>
      <c r="L8" s="119">
        <v>1.0</v>
      </c>
      <c r="M8" s="120">
        <v>0.0</v>
      </c>
      <c r="N8" s="119">
        <v>1.0</v>
      </c>
      <c r="O8" s="119">
        <v>1.0</v>
      </c>
      <c r="P8" s="54"/>
    </row>
    <row r="9">
      <c r="A9" s="9" t="s">
        <v>11</v>
      </c>
      <c r="B9" s="10">
        <v>44385.0</v>
      </c>
      <c r="C9" s="119">
        <v>1.0</v>
      </c>
      <c r="D9" s="119">
        <v>1.0</v>
      </c>
      <c r="E9" s="119">
        <v>1.0</v>
      </c>
      <c r="F9" s="119">
        <v>1.0</v>
      </c>
      <c r="G9" s="120">
        <v>0.0</v>
      </c>
      <c r="H9" s="119">
        <v>1.0</v>
      </c>
      <c r="I9" s="119">
        <v>1.0</v>
      </c>
      <c r="J9" s="119">
        <v>1.0</v>
      </c>
      <c r="K9" s="119">
        <v>0.0</v>
      </c>
      <c r="L9" s="119">
        <v>1.0</v>
      </c>
      <c r="M9" s="120">
        <v>0.0</v>
      </c>
      <c r="N9" s="120">
        <v>0.0</v>
      </c>
      <c r="O9" s="119">
        <v>0.0</v>
      </c>
      <c r="P9" s="121" t="s">
        <v>365</v>
      </c>
    </row>
    <row r="10">
      <c r="A10" s="18" t="s">
        <v>12</v>
      </c>
      <c r="B10" s="19">
        <v>44386.0</v>
      </c>
      <c r="C10" s="118">
        <v>1.0</v>
      </c>
      <c r="D10" s="118">
        <v>0.0</v>
      </c>
      <c r="E10" s="118">
        <v>1.0</v>
      </c>
      <c r="F10" s="118">
        <v>0.0</v>
      </c>
      <c r="G10" s="120">
        <v>0.0</v>
      </c>
      <c r="H10" s="118">
        <v>2.0</v>
      </c>
      <c r="I10" s="118">
        <v>1.0</v>
      </c>
      <c r="J10" s="118">
        <v>1.0</v>
      </c>
      <c r="K10" s="118">
        <v>0.0</v>
      </c>
      <c r="L10" s="118">
        <v>1.0</v>
      </c>
      <c r="M10" s="120">
        <v>0.0</v>
      </c>
      <c r="N10" s="120">
        <v>0.0</v>
      </c>
      <c r="O10" s="118">
        <v>0.0</v>
      </c>
      <c r="P10" s="122" t="s">
        <v>366</v>
      </c>
    </row>
    <row r="11">
      <c r="A11" s="9" t="s">
        <v>13</v>
      </c>
      <c r="B11" s="10">
        <v>44387.0</v>
      </c>
      <c r="C11" s="119">
        <v>1.0</v>
      </c>
      <c r="D11" s="119">
        <v>0.0</v>
      </c>
      <c r="E11" s="119">
        <v>1.0</v>
      </c>
      <c r="F11" s="119">
        <v>1.0</v>
      </c>
      <c r="G11" s="120">
        <v>0.0</v>
      </c>
      <c r="H11" s="119">
        <v>1.0</v>
      </c>
      <c r="I11" s="119">
        <v>0.0</v>
      </c>
      <c r="J11" s="119">
        <v>1.0</v>
      </c>
      <c r="K11" s="119">
        <v>0.0</v>
      </c>
      <c r="L11" s="119">
        <v>1.0</v>
      </c>
      <c r="M11" s="120">
        <v>0.0</v>
      </c>
      <c r="N11" s="120">
        <v>0.0</v>
      </c>
      <c r="O11" s="119">
        <v>1.0</v>
      </c>
      <c r="P11" s="54"/>
    </row>
    <row r="12">
      <c r="A12" s="9" t="s">
        <v>14</v>
      </c>
      <c r="B12" s="10">
        <v>44388.0</v>
      </c>
      <c r="C12" s="119">
        <v>1.0</v>
      </c>
      <c r="D12" s="119">
        <v>0.0</v>
      </c>
      <c r="E12" s="119">
        <v>1.0</v>
      </c>
      <c r="F12" s="119">
        <v>1.0</v>
      </c>
      <c r="G12" s="120">
        <v>0.0</v>
      </c>
      <c r="H12" s="119">
        <v>1.0</v>
      </c>
      <c r="I12" s="119">
        <v>1.0</v>
      </c>
      <c r="J12" s="119">
        <v>0.0</v>
      </c>
      <c r="K12" s="119">
        <v>0.0</v>
      </c>
      <c r="L12" s="119">
        <v>1.0</v>
      </c>
      <c r="M12" s="120">
        <v>0.0</v>
      </c>
      <c r="N12" s="120">
        <v>0.0</v>
      </c>
      <c r="O12" s="119">
        <v>1.0</v>
      </c>
      <c r="P12" s="54"/>
    </row>
    <row r="13">
      <c r="A13" s="9" t="s">
        <v>15</v>
      </c>
      <c r="B13" s="10">
        <v>44389.0</v>
      </c>
      <c r="C13" s="119">
        <v>0.0</v>
      </c>
      <c r="D13" s="119">
        <v>0.0</v>
      </c>
      <c r="E13" s="119">
        <v>1.0</v>
      </c>
      <c r="F13" s="119">
        <v>1.0</v>
      </c>
      <c r="G13" s="120">
        <v>0.0</v>
      </c>
      <c r="H13" s="119">
        <v>1.0</v>
      </c>
      <c r="I13" s="119">
        <v>1.0</v>
      </c>
      <c r="J13" s="119">
        <v>0.0</v>
      </c>
      <c r="K13" s="119">
        <v>0.0</v>
      </c>
      <c r="L13" s="119">
        <v>1.0</v>
      </c>
      <c r="M13" s="120">
        <v>0.0</v>
      </c>
      <c r="N13" s="120">
        <v>0.0</v>
      </c>
      <c r="O13" s="119">
        <v>1.0</v>
      </c>
      <c r="P13" s="122" t="s">
        <v>367</v>
      </c>
    </row>
    <row r="14">
      <c r="A14" s="9" t="s">
        <v>16</v>
      </c>
      <c r="B14" s="10">
        <v>44390.0</v>
      </c>
      <c r="C14" s="119">
        <v>1.0</v>
      </c>
      <c r="D14" s="119">
        <v>0.0</v>
      </c>
      <c r="E14" s="119">
        <v>1.0</v>
      </c>
      <c r="F14" s="119">
        <v>1.0</v>
      </c>
      <c r="G14" s="120">
        <v>0.0</v>
      </c>
      <c r="H14" s="119">
        <v>1.0</v>
      </c>
      <c r="I14" s="119">
        <v>1.0</v>
      </c>
      <c r="J14" s="119">
        <v>0.0</v>
      </c>
      <c r="K14" s="119">
        <v>0.0</v>
      </c>
      <c r="L14" s="119">
        <v>1.0</v>
      </c>
      <c r="M14" s="120">
        <v>0.0</v>
      </c>
      <c r="N14" s="120">
        <v>0.0</v>
      </c>
      <c r="O14" s="119">
        <v>1.0</v>
      </c>
      <c r="P14" s="121" t="s">
        <v>368</v>
      </c>
    </row>
    <row r="15">
      <c r="A15" s="9" t="s">
        <v>17</v>
      </c>
      <c r="B15" s="10">
        <v>44391.0</v>
      </c>
      <c r="C15" s="119">
        <v>1.0</v>
      </c>
      <c r="D15" s="119">
        <v>0.0</v>
      </c>
      <c r="E15" s="119">
        <v>1.0</v>
      </c>
      <c r="F15" s="119">
        <v>1.0</v>
      </c>
      <c r="G15" s="120">
        <v>0.0</v>
      </c>
      <c r="H15" s="119">
        <v>0.0</v>
      </c>
      <c r="I15" s="119">
        <v>1.0</v>
      </c>
      <c r="J15" s="119">
        <v>0.0</v>
      </c>
      <c r="K15" s="119">
        <v>0.0</v>
      </c>
      <c r="L15" s="119">
        <v>1.0</v>
      </c>
      <c r="M15" s="120">
        <v>0.0</v>
      </c>
      <c r="N15" s="120">
        <v>0.0</v>
      </c>
      <c r="O15" s="119">
        <v>0.0</v>
      </c>
      <c r="P15" s="122" t="s">
        <v>369</v>
      </c>
    </row>
    <row r="16">
      <c r="A16" s="9" t="s">
        <v>11</v>
      </c>
      <c r="B16" s="10">
        <v>44392.0</v>
      </c>
      <c r="C16" s="119">
        <v>1.0</v>
      </c>
      <c r="D16" s="119">
        <v>0.0</v>
      </c>
      <c r="E16" s="119">
        <v>0.5</v>
      </c>
      <c r="F16" s="119">
        <v>1.0</v>
      </c>
      <c r="G16" s="120">
        <v>0.0</v>
      </c>
      <c r="H16" s="119">
        <v>1.0</v>
      </c>
      <c r="I16" s="119">
        <v>1.0</v>
      </c>
      <c r="J16" s="119">
        <v>0.0</v>
      </c>
      <c r="K16" s="119">
        <v>0.0</v>
      </c>
      <c r="L16" s="119">
        <v>1.0</v>
      </c>
      <c r="M16" s="120">
        <v>0.0</v>
      </c>
      <c r="N16" s="120">
        <v>0.0</v>
      </c>
      <c r="O16" s="119">
        <v>1.0</v>
      </c>
      <c r="P16" s="123"/>
    </row>
    <row r="17">
      <c r="A17" s="18" t="s">
        <v>12</v>
      </c>
      <c r="B17" s="19">
        <v>44393.0</v>
      </c>
      <c r="C17" s="118">
        <v>1.0</v>
      </c>
      <c r="D17" s="118">
        <v>1.75</v>
      </c>
      <c r="E17" s="120">
        <v>0.0</v>
      </c>
      <c r="F17" s="118">
        <v>0.0</v>
      </c>
      <c r="G17" s="120">
        <v>0.0</v>
      </c>
      <c r="H17" s="118">
        <v>0.0</v>
      </c>
      <c r="I17" s="118">
        <v>1.0</v>
      </c>
      <c r="J17" s="118">
        <v>1.0</v>
      </c>
      <c r="K17" s="118">
        <v>0.0</v>
      </c>
      <c r="L17" s="118">
        <v>1.0</v>
      </c>
      <c r="M17" s="120">
        <v>0.0</v>
      </c>
      <c r="N17" s="120">
        <v>0.0</v>
      </c>
      <c r="O17" s="118">
        <v>1.0</v>
      </c>
      <c r="P17" s="123"/>
    </row>
    <row r="18">
      <c r="A18" s="9" t="s">
        <v>13</v>
      </c>
      <c r="B18" s="10">
        <v>44394.0</v>
      </c>
      <c r="C18" s="119">
        <v>1.0</v>
      </c>
      <c r="D18" s="119">
        <v>1.75</v>
      </c>
      <c r="E18" s="120">
        <v>0.0</v>
      </c>
      <c r="F18" s="119">
        <v>1.0</v>
      </c>
      <c r="G18" s="120">
        <v>0.0</v>
      </c>
      <c r="H18" s="119">
        <v>1.0</v>
      </c>
      <c r="I18" s="119">
        <v>0.0</v>
      </c>
      <c r="J18" s="119">
        <v>1.0</v>
      </c>
      <c r="K18" s="119">
        <v>0.0</v>
      </c>
      <c r="L18" s="119">
        <v>1.0</v>
      </c>
      <c r="M18" s="120">
        <v>0.0</v>
      </c>
      <c r="N18" s="120">
        <v>0.0</v>
      </c>
      <c r="O18" s="119">
        <v>1.0</v>
      </c>
      <c r="P18" s="124"/>
    </row>
    <row r="19">
      <c r="A19" s="9" t="s">
        <v>14</v>
      </c>
      <c r="B19" s="10">
        <v>44395.0</v>
      </c>
      <c r="C19" s="119">
        <v>1.0</v>
      </c>
      <c r="D19" s="119">
        <v>1.75</v>
      </c>
      <c r="E19" s="120">
        <v>0.0</v>
      </c>
      <c r="F19" s="119">
        <v>1.0</v>
      </c>
      <c r="G19" s="120">
        <v>0.0</v>
      </c>
      <c r="H19" s="119">
        <v>1.0</v>
      </c>
      <c r="I19" s="119">
        <v>1.0</v>
      </c>
      <c r="J19" s="119">
        <v>1.0</v>
      </c>
      <c r="K19" s="119">
        <v>0.0</v>
      </c>
      <c r="L19" s="119">
        <v>1.0</v>
      </c>
      <c r="M19" s="120">
        <v>0.0</v>
      </c>
      <c r="N19" s="120">
        <v>0.0</v>
      </c>
      <c r="O19" s="119">
        <v>1.0</v>
      </c>
      <c r="P19" s="54"/>
    </row>
    <row r="20">
      <c r="A20" s="9" t="s">
        <v>15</v>
      </c>
      <c r="B20" s="10">
        <v>44396.0</v>
      </c>
      <c r="C20" s="119">
        <v>1.0</v>
      </c>
      <c r="D20" s="119">
        <v>1.75</v>
      </c>
      <c r="E20" s="120">
        <v>0.0</v>
      </c>
      <c r="F20" s="119">
        <v>1.0</v>
      </c>
      <c r="G20" s="120">
        <v>0.0</v>
      </c>
      <c r="H20" s="119">
        <v>1.0</v>
      </c>
      <c r="I20" s="119">
        <v>1.0</v>
      </c>
      <c r="J20" s="119">
        <v>1.0</v>
      </c>
      <c r="K20" s="119">
        <v>0.0</v>
      </c>
      <c r="L20" s="119">
        <v>1.0</v>
      </c>
      <c r="M20" s="120">
        <v>0.0</v>
      </c>
      <c r="N20" s="120">
        <v>0.0</v>
      </c>
      <c r="O20" s="119">
        <v>1.0</v>
      </c>
      <c r="P20" s="123"/>
    </row>
    <row r="21">
      <c r="A21" s="9" t="s">
        <v>16</v>
      </c>
      <c r="B21" s="10">
        <v>44397.0</v>
      </c>
      <c r="C21" s="125">
        <v>0.0</v>
      </c>
      <c r="D21" s="125">
        <v>0.0</v>
      </c>
      <c r="E21" s="125">
        <v>0.0</v>
      </c>
      <c r="F21" s="125">
        <v>0.0</v>
      </c>
      <c r="G21" s="125">
        <v>0.0</v>
      </c>
      <c r="H21" s="125">
        <v>0.0</v>
      </c>
      <c r="I21" s="125">
        <v>0.0</v>
      </c>
      <c r="J21" s="125">
        <v>0.0</v>
      </c>
      <c r="K21" s="125">
        <v>0.0</v>
      </c>
      <c r="L21" s="125">
        <v>0.0</v>
      </c>
      <c r="M21" s="125">
        <v>0.0</v>
      </c>
      <c r="N21" s="125">
        <v>0.0</v>
      </c>
      <c r="O21" s="125">
        <v>0.0</v>
      </c>
      <c r="P21" s="123"/>
    </row>
    <row r="22">
      <c r="A22" s="9" t="s">
        <v>17</v>
      </c>
      <c r="B22" s="10">
        <v>44398.0</v>
      </c>
      <c r="C22" s="125">
        <v>0.0</v>
      </c>
      <c r="D22" s="125">
        <v>0.0</v>
      </c>
      <c r="E22" s="125">
        <v>0.0</v>
      </c>
      <c r="F22" s="125">
        <v>0.0</v>
      </c>
      <c r="G22" s="125">
        <v>0.0</v>
      </c>
      <c r="H22" s="125">
        <v>0.0</v>
      </c>
      <c r="I22" s="125">
        <v>0.0</v>
      </c>
      <c r="J22" s="125">
        <v>0.0</v>
      </c>
      <c r="K22" s="125">
        <v>0.0</v>
      </c>
      <c r="L22" s="125">
        <v>0.0</v>
      </c>
      <c r="M22" s="125">
        <v>0.0</v>
      </c>
      <c r="N22" s="125">
        <v>0.0</v>
      </c>
      <c r="O22" s="125">
        <v>0.0</v>
      </c>
      <c r="P22" s="123"/>
    </row>
    <row r="23">
      <c r="A23" s="9" t="s">
        <v>11</v>
      </c>
      <c r="B23" s="10">
        <v>44399.0</v>
      </c>
      <c r="C23" s="126">
        <v>1.0</v>
      </c>
      <c r="D23" s="126">
        <v>0.0</v>
      </c>
      <c r="E23" s="127">
        <v>0.0</v>
      </c>
      <c r="F23" s="126">
        <v>1.0</v>
      </c>
      <c r="G23" s="127">
        <v>0.0</v>
      </c>
      <c r="H23" s="126">
        <v>0.0</v>
      </c>
      <c r="I23" s="126">
        <v>1.0</v>
      </c>
      <c r="J23" s="126">
        <v>0.0</v>
      </c>
      <c r="K23" s="126">
        <v>0.0</v>
      </c>
      <c r="L23" s="126">
        <v>0.0</v>
      </c>
      <c r="M23" s="127">
        <v>0.0</v>
      </c>
      <c r="N23" s="127">
        <v>0.0</v>
      </c>
      <c r="O23" s="128">
        <v>13.0</v>
      </c>
      <c r="P23" s="123"/>
    </row>
    <row r="24">
      <c r="A24" s="18" t="s">
        <v>12</v>
      </c>
      <c r="B24" s="19">
        <v>44400.0</v>
      </c>
      <c r="C24" s="129">
        <v>1.0</v>
      </c>
      <c r="D24" s="129">
        <v>0.0</v>
      </c>
      <c r="E24" s="127">
        <v>0.0</v>
      </c>
      <c r="F24" s="129">
        <v>1.0</v>
      </c>
      <c r="G24" s="127">
        <v>0.0</v>
      </c>
      <c r="H24" s="129">
        <v>0.0</v>
      </c>
      <c r="I24" s="129">
        <v>1.0</v>
      </c>
      <c r="J24" s="129">
        <v>0.0</v>
      </c>
      <c r="K24" s="129">
        <v>0.0</v>
      </c>
      <c r="L24" s="129">
        <v>0.0</v>
      </c>
      <c r="M24" s="127">
        <v>0.0</v>
      </c>
      <c r="N24" s="127">
        <v>0.0</v>
      </c>
      <c r="O24" s="130">
        <v>0.0</v>
      </c>
      <c r="P24" s="123"/>
    </row>
    <row r="25">
      <c r="A25" s="9" t="s">
        <v>13</v>
      </c>
      <c r="B25" s="10">
        <v>44401.0</v>
      </c>
      <c r="C25" s="126">
        <v>1.0</v>
      </c>
      <c r="D25" s="126">
        <v>1.0</v>
      </c>
      <c r="E25" s="127">
        <v>0.0</v>
      </c>
      <c r="F25" s="126">
        <v>1.0</v>
      </c>
      <c r="G25" s="127">
        <v>0.0</v>
      </c>
      <c r="H25" s="126">
        <v>1.0</v>
      </c>
      <c r="I25" s="126">
        <v>0.0</v>
      </c>
      <c r="J25" s="126">
        <v>0.0</v>
      </c>
      <c r="K25" s="126">
        <v>0.0</v>
      </c>
      <c r="L25" s="126">
        <v>1.0</v>
      </c>
      <c r="M25" s="127">
        <v>0.0</v>
      </c>
      <c r="N25" s="127">
        <v>0.0</v>
      </c>
      <c r="O25" s="130">
        <v>0.0</v>
      </c>
      <c r="P25" s="123"/>
    </row>
    <row r="26">
      <c r="A26" s="9" t="s">
        <v>14</v>
      </c>
      <c r="B26" s="10">
        <v>44402.0</v>
      </c>
      <c r="C26" s="126">
        <v>0.0</v>
      </c>
      <c r="D26" s="126">
        <v>1.0</v>
      </c>
      <c r="E26" s="127">
        <v>0.0</v>
      </c>
      <c r="F26" s="126">
        <v>1.0</v>
      </c>
      <c r="G26" s="127">
        <v>0.0</v>
      </c>
      <c r="H26" s="126">
        <v>1.0</v>
      </c>
      <c r="I26" s="126">
        <v>1.0</v>
      </c>
      <c r="J26" s="126">
        <v>0.0</v>
      </c>
      <c r="K26" s="126">
        <v>1.0</v>
      </c>
      <c r="L26" s="126">
        <v>1.0</v>
      </c>
      <c r="M26" s="120">
        <v>0.0</v>
      </c>
      <c r="N26" s="120">
        <v>0.0</v>
      </c>
      <c r="O26" s="125">
        <v>0.0</v>
      </c>
      <c r="P26" s="54"/>
    </row>
    <row r="27">
      <c r="A27" s="9" t="s">
        <v>15</v>
      </c>
      <c r="B27" s="10">
        <v>44403.0</v>
      </c>
      <c r="C27" s="131">
        <v>1.0</v>
      </c>
      <c r="D27" s="131">
        <v>1.0</v>
      </c>
      <c r="E27" s="132">
        <v>0.0</v>
      </c>
      <c r="F27" s="131">
        <v>1.0</v>
      </c>
      <c r="G27" s="132">
        <v>0.0</v>
      </c>
      <c r="H27" s="131">
        <v>1.0</v>
      </c>
      <c r="I27" s="131">
        <v>1.0</v>
      </c>
      <c r="J27" s="131">
        <v>0.0</v>
      </c>
      <c r="K27" s="131">
        <v>1.0</v>
      </c>
      <c r="L27" s="131">
        <v>1.0</v>
      </c>
      <c r="M27" s="133">
        <v>0.0</v>
      </c>
      <c r="N27" s="133">
        <v>0.0</v>
      </c>
      <c r="O27" s="134">
        <v>0.0</v>
      </c>
      <c r="P27" s="54"/>
    </row>
    <row r="28">
      <c r="A28" s="9" t="s">
        <v>16</v>
      </c>
      <c r="B28" s="10">
        <v>44404.0</v>
      </c>
      <c r="C28" s="131">
        <v>1.0</v>
      </c>
      <c r="D28" s="131">
        <v>1.0</v>
      </c>
      <c r="E28" s="132">
        <v>0.0</v>
      </c>
      <c r="F28" s="131">
        <v>1.0</v>
      </c>
      <c r="G28" s="132">
        <v>0.0</v>
      </c>
      <c r="H28" s="131">
        <v>1.0</v>
      </c>
      <c r="I28" s="131">
        <v>1.0</v>
      </c>
      <c r="J28" s="131">
        <v>0.0</v>
      </c>
      <c r="K28" s="131">
        <v>0.5</v>
      </c>
      <c r="L28" s="131">
        <v>0.0</v>
      </c>
      <c r="M28" s="132">
        <v>0.0</v>
      </c>
      <c r="N28" s="132">
        <v>0.0</v>
      </c>
      <c r="O28" s="135">
        <v>0.0</v>
      </c>
      <c r="P28" s="54"/>
    </row>
    <row r="29">
      <c r="A29" s="9" t="s">
        <v>17</v>
      </c>
      <c r="B29" s="10">
        <v>44405.0</v>
      </c>
      <c r="C29" s="131">
        <v>1.0</v>
      </c>
      <c r="D29" s="131">
        <v>1.0</v>
      </c>
      <c r="E29" s="132">
        <v>0.0</v>
      </c>
      <c r="F29" s="131">
        <v>1.0</v>
      </c>
      <c r="G29" s="132">
        <v>0.0</v>
      </c>
      <c r="H29" s="131">
        <v>1.0</v>
      </c>
      <c r="I29" s="131">
        <v>1.0</v>
      </c>
      <c r="J29" s="131">
        <v>0.0</v>
      </c>
      <c r="K29" s="131">
        <v>1.0</v>
      </c>
      <c r="L29" s="131">
        <v>1.0</v>
      </c>
      <c r="M29" s="133">
        <v>0.0</v>
      </c>
      <c r="N29" s="133">
        <v>0.0</v>
      </c>
      <c r="O29" s="134">
        <v>0.0</v>
      </c>
      <c r="P29" s="54"/>
    </row>
    <row r="30">
      <c r="A30" s="9" t="s">
        <v>11</v>
      </c>
      <c r="B30" s="10">
        <v>44406.0</v>
      </c>
      <c r="C30" s="131">
        <v>1.0</v>
      </c>
      <c r="D30" s="131">
        <v>1.0</v>
      </c>
      <c r="E30" s="132">
        <v>0.0</v>
      </c>
      <c r="F30" s="131">
        <v>1.0</v>
      </c>
      <c r="G30" s="132">
        <v>0.0</v>
      </c>
      <c r="H30" s="131">
        <v>1.0</v>
      </c>
      <c r="I30" s="131">
        <v>1.0</v>
      </c>
      <c r="J30" s="131">
        <v>0.0</v>
      </c>
      <c r="K30" s="131">
        <v>0.0</v>
      </c>
      <c r="L30" s="131">
        <v>1.0</v>
      </c>
      <c r="M30" s="132">
        <v>0.0</v>
      </c>
      <c r="N30" s="132">
        <v>0.0</v>
      </c>
      <c r="O30" s="134">
        <v>0.0</v>
      </c>
      <c r="P30" s="54"/>
    </row>
    <row r="31">
      <c r="A31" s="18" t="s">
        <v>12</v>
      </c>
      <c r="B31" s="19">
        <v>44407.0</v>
      </c>
      <c r="C31" s="136">
        <v>1.0</v>
      </c>
      <c r="D31" s="136">
        <v>0.0</v>
      </c>
      <c r="E31" s="132">
        <v>0.0</v>
      </c>
      <c r="F31" s="136">
        <v>0.0</v>
      </c>
      <c r="G31" s="132">
        <v>0.0</v>
      </c>
      <c r="H31" s="136">
        <v>0.0</v>
      </c>
      <c r="I31" s="136">
        <v>1.0</v>
      </c>
      <c r="J31" s="136">
        <v>0.0</v>
      </c>
      <c r="K31" s="136">
        <v>0.0</v>
      </c>
      <c r="L31" s="136">
        <v>1.0</v>
      </c>
      <c r="M31" s="133">
        <v>0.0</v>
      </c>
      <c r="N31" s="133">
        <v>0.0</v>
      </c>
      <c r="O31" s="134">
        <v>0.0</v>
      </c>
      <c r="P31" s="54"/>
    </row>
    <row r="32">
      <c r="A32" s="9" t="s">
        <v>13</v>
      </c>
      <c r="B32" s="10">
        <v>44408.0</v>
      </c>
      <c r="C32" s="131">
        <v>1.0</v>
      </c>
      <c r="D32" s="131">
        <v>0.0</v>
      </c>
      <c r="E32" s="132">
        <v>0.0</v>
      </c>
      <c r="F32" s="131">
        <v>1.0</v>
      </c>
      <c r="G32" s="132">
        <v>0.0</v>
      </c>
      <c r="H32" s="131">
        <v>1.0</v>
      </c>
      <c r="I32" s="131">
        <v>0.0</v>
      </c>
      <c r="J32" s="131">
        <v>0.0</v>
      </c>
      <c r="K32" s="131">
        <v>1.0</v>
      </c>
      <c r="L32" s="131">
        <v>1.0</v>
      </c>
      <c r="M32" s="132">
        <v>0.0</v>
      </c>
      <c r="N32" s="132">
        <v>0.0</v>
      </c>
      <c r="O32" s="135">
        <v>0.0</v>
      </c>
      <c r="P32" s="54"/>
    </row>
    <row r="33">
      <c r="C33" s="137">
        <f t="shared" ref="C33:D33" si="1">SUM(C1:C32)</f>
        <v>26</v>
      </c>
      <c r="D33" s="137">
        <f t="shared" si="1"/>
        <v>20</v>
      </c>
      <c r="E33" s="137">
        <f>SUM(E2:E32)</f>
        <v>7.5</v>
      </c>
      <c r="F33" s="137">
        <f t="shared" ref="F33:J33" si="2">SUM(F1:F32)</f>
        <v>23</v>
      </c>
      <c r="G33" s="137">
        <f t="shared" si="2"/>
        <v>1</v>
      </c>
      <c r="H33" s="137">
        <f t="shared" si="2"/>
        <v>24</v>
      </c>
      <c r="I33" s="137">
        <f t="shared" si="2"/>
        <v>24</v>
      </c>
      <c r="J33" s="137">
        <f t="shared" si="2"/>
        <v>9</v>
      </c>
      <c r="K33" s="137">
        <f t="shared" ref="K33:N33" si="3">SUM(K2:K32)</f>
        <v>4.5</v>
      </c>
      <c r="L33" s="137">
        <f t="shared" si="3"/>
        <v>25</v>
      </c>
      <c r="M33" s="137">
        <f t="shared" si="3"/>
        <v>2</v>
      </c>
      <c r="N33" s="137">
        <f t="shared" si="3"/>
        <v>5.5</v>
      </c>
      <c r="O33" s="137">
        <f>SUM(O1:O32)</f>
        <v>27</v>
      </c>
      <c r="P33" s="54"/>
    </row>
    <row r="34">
      <c r="C34" s="75">
        <v>1923.0</v>
      </c>
      <c r="D34" s="75">
        <v>600.0</v>
      </c>
      <c r="E34" s="73">
        <v>962.0</v>
      </c>
      <c r="F34" s="75">
        <v>1000.0</v>
      </c>
      <c r="G34" s="75">
        <v>1000.0</v>
      </c>
      <c r="H34" s="75">
        <v>1154.0</v>
      </c>
      <c r="I34" s="75">
        <v>962.0</v>
      </c>
      <c r="J34" s="75">
        <v>1200.0</v>
      </c>
      <c r="K34" s="73">
        <v>962.0</v>
      </c>
      <c r="L34" s="75">
        <v>962.0</v>
      </c>
      <c r="M34" s="75">
        <v>962.0</v>
      </c>
      <c r="N34" s="75">
        <v>1000.0</v>
      </c>
      <c r="O34" s="75">
        <v>1154.0</v>
      </c>
      <c r="P34" s="138">
        <f t="shared" ref="P34:P35" si="5">SUM(C34:O34)</f>
        <v>13841</v>
      </c>
    </row>
    <row r="35">
      <c r="C35" s="139">
        <f>C34*C33</f>
        <v>49998</v>
      </c>
      <c r="D35" s="139">
        <f>D33*D34</f>
        <v>12000</v>
      </c>
      <c r="E35" s="139">
        <f t="shared" ref="E35:N35" si="4">E34*E33</f>
        <v>7215</v>
      </c>
      <c r="F35" s="139">
        <f t="shared" si="4"/>
        <v>23000</v>
      </c>
      <c r="G35" s="139">
        <f t="shared" si="4"/>
        <v>1000</v>
      </c>
      <c r="H35" s="139">
        <f t="shared" si="4"/>
        <v>27696</v>
      </c>
      <c r="I35" s="139">
        <f t="shared" si="4"/>
        <v>23088</v>
      </c>
      <c r="J35" s="139">
        <f t="shared" si="4"/>
        <v>10800</v>
      </c>
      <c r="K35" s="139">
        <f t="shared" si="4"/>
        <v>4329</v>
      </c>
      <c r="L35" s="139">
        <f t="shared" si="4"/>
        <v>24050</v>
      </c>
      <c r="M35" s="139">
        <f t="shared" si="4"/>
        <v>1924</v>
      </c>
      <c r="N35" s="139">
        <f t="shared" si="4"/>
        <v>5500</v>
      </c>
      <c r="O35" s="139">
        <f>O33*O34</f>
        <v>31158</v>
      </c>
      <c r="P35" s="140">
        <f t="shared" si="5"/>
        <v>221758</v>
      </c>
    </row>
    <row r="37">
      <c r="N37" s="46" t="s">
        <v>352</v>
      </c>
      <c r="O37" s="46">
        <v>-600.0</v>
      </c>
      <c r="P37" s="46" t="s">
        <v>370</v>
      </c>
    </row>
    <row r="38">
      <c r="N38" s="46" t="s">
        <v>371</v>
      </c>
      <c r="O38" s="46">
        <v>-500.0</v>
      </c>
      <c r="P38" s="46" t="s">
        <v>372</v>
      </c>
    </row>
    <row r="39">
      <c r="N39" s="46" t="s">
        <v>353</v>
      </c>
      <c r="O39" s="46">
        <v>-500.0</v>
      </c>
      <c r="P39" s="46" t="s">
        <v>373</v>
      </c>
    </row>
    <row r="40">
      <c r="N40" s="46" t="s">
        <v>374</v>
      </c>
      <c r="O40" s="46">
        <v>-300.0</v>
      </c>
      <c r="P40" s="46" t="s">
        <v>375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0.13"/>
    <col customWidth="1" min="10" max="10" width="21.0"/>
    <col customWidth="1" min="11" max="11" width="22.63"/>
    <col customWidth="1" min="12" max="12" width="25.63"/>
  </cols>
  <sheetData>
    <row r="11">
      <c r="H11" s="7"/>
      <c r="I11" s="141" t="s">
        <v>376</v>
      </c>
      <c r="J11" s="141" t="s">
        <v>4</v>
      </c>
      <c r="K11" s="141" t="s">
        <v>377</v>
      </c>
    </row>
    <row r="12">
      <c r="H12" s="72">
        <v>1.0</v>
      </c>
      <c r="I12" s="72" t="s">
        <v>347</v>
      </c>
      <c r="J12" s="75">
        <f>Pointage!C35*1</f>
        <v>49998</v>
      </c>
      <c r="K12" s="73">
        <v>50000.0</v>
      </c>
    </row>
    <row r="13">
      <c r="H13" s="72">
        <v>2.0</v>
      </c>
      <c r="I13" s="72" t="s">
        <v>348</v>
      </c>
      <c r="J13" s="75">
        <f>Pointage!D35*1</f>
        <v>12000</v>
      </c>
      <c r="K13" s="73">
        <v>12000.0</v>
      </c>
      <c r="L13" s="46" t="s">
        <v>378</v>
      </c>
    </row>
    <row r="14">
      <c r="H14" s="66">
        <v>3.0</v>
      </c>
      <c r="I14" s="66" t="s">
        <v>349</v>
      </c>
      <c r="J14" s="75">
        <f>Pointage!E35*1</f>
        <v>7215</v>
      </c>
      <c r="K14" s="73">
        <v>7000.0</v>
      </c>
    </row>
    <row r="15">
      <c r="H15" s="66">
        <v>4.0</v>
      </c>
      <c r="I15" s="72" t="s">
        <v>352</v>
      </c>
      <c r="J15" s="75">
        <f>Pointage!H35*1</f>
        <v>27696</v>
      </c>
      <c r="K15" s="73">
        <v>28000.0</v>
      </c>
      <c r="L15" s="46" t="s">
        <v>379</v>
      </c>
    </row>
    <row r="16">
      <c r="H16" s="66">
        <v>5.0</v>
      </c>
      <c r="I16" s="72" t="s">
        <v>380</v>
      </c>
      <c r="J16" s="75">
        <f>Pointage!F35*1</f>
        <v>23000</v>
      </c>
      <c r="K16" s="73">
        <v>23000.0</v>
      </c>
      <c r="L16" s="46" t="s">
        <v>381</v>
      </c>
    </row>
    <row r="17">
      <c r="H17" s="66">
        <v>6.0</v>
      </c>
      <c r="I17" s="72" t="s">
        <v>351</v>
      </c>
      <c r="J17" s="75">
        <f>Pointage!G35*1</f>
        <v>1000</v>
      </c>
      <c r="K17" s="73">
        <v>1000.0</v>
      </c>
    </row>
    <row r="18">
      <c r="H18" s="66">
        <v>7.0</v>
      </c>
      <c r="I18" s="72" t="s">
        <v>353</v>
      </c>
      <c r="J18" s="75">
        <f>Pointage!I35*1</f>
        <v>23088</v>
      </c>
      <c r="K18" s="73">
        <v>23000.0</v>
      </c>
      <c r="L18" s="46" t="s">
        <v>382</v>
      </c>
    </row>
    <row r="19">
      <c r="H19" s="66">
        <v>8.0</v>
      </c>
      <c r="I19" s="72" t="s">
        <v>383</v>
      </c>
      <c r="J19" s="75">
        <f>Pointage!N35*1</f>
        <v>5500</v>
      </c>
      <c r="K19" s="73">
        <v>5000.0</v>
      </c>
    </row>
    <row r="20">
      <c r="H20" s="66">
        <v>9.0</v>
      </c>
      <c r="I20" s="72" t="s">
        <v>354</v>
      </c>
      <c r="J20" s="75">
        <f>Pointage!J35*1</f>
        <v>10800</v>
      </c>
      <c r="K20" s="73">
        <v>10800.0</v>
      </c>
    </row>
    <row r="21">
      <c r="H21" s="66">
        <v>10.0</v>
      </c>
      <c r="I21" s="72" t="s">
        <v>357</v>
      </c>
      <c r="J21" s="75">
        <f>Pointage!M35*1</f>
        <v>1924</v>
      </c>
      <c r="K21" s="73">
        <v>1900.0</v>
      </c>
    </row>
    <row r="22">
      <c r="H22" s="66">
        <v>11.0</v>
      </c>
      <c r="I22" s="66" t="s">
        <v>355</v>
      </c>
      <c r="J22" s="75">
        <f>Pointage!K35*1</f>
        <v>4329</v>
      </c>
      <c r="K22" s="73">
        <v>4300.0</v>
      </c>
    </row>
    <row r="23">
      <c r="H23" s="66">
        <v>12.0</v>
      </c>
      <c r="I23" s="72" t="s">
        <v>384</v>
      </c>
      <c r="J23" s="75">
        <f>Pointage!L35*1</f>
        <v>24050</v>
      </c>
      <c r="K23" s="73">
        <v>24000.0</v>
      </c>
      <c r="L23" s="46" t="s">
        <v>385</v>
      </c>
    </row>
    <row r="24">
      <c r="H24" s="66">
        <v>13.0</v>
      </c>
      <c r="I24" s="72" t="s">
        <v>359</v>
      </c>
      <c r="J24" s="75">
        <f>Pointage!O35*1</f>
        <v>31158</v>
      </c>
      <c r="K24" s="73">
        <v>31000.0</v>
      </c>
    </row>
    <row r="25">
      <c r="H25" s="54"/>
      <c r="I25" s="142" t="s">
        <v>386</v>
      </c>
      <c r="J25" s="143">
        <f t="shared" ref="J25:K25" si="1">SUM(J12:J24)</f>
        <v>221758</v>
      </c>
      <c r="K25" s="144">
        <f t="shared" si="1"/>
        <v>221000</v>
      </c>
    </row>
    <row r="26">
      <c r="H26" s="54"/>
      <c r="I26" s="145"/>
      <c r="J26" s="146">
        <f>J25-K25</f>
        <v>758</v>
      </c>
      <c r="K26" s="4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38"/>
    <col customWidth="1" min="8" max="8" width="25.75"/>
    <col customWidth="1" min="9" max="9" width="25.5"/>
    <col customWidth="1" min="10" max="10" width="25.63"/>
  </cols>
  <sheetData>
    <row r="2">
      <c r="G2" s="147" t="s">
        <v>0</v>
      </c>
      <c r="H2" s="147" t="s">
        <v>387</v>
      </c>
      <c r="I2" s="147" t="s">
        <v>388</v>
      </c>
      <c r="J2" s="147" t="s">
        <v>389</v>
      </c>
    </row>
    <row r="3">
      <c r="G3" s="80">
        <v>44379.0</v>
      </c>
      <c r="H3" s="77">
        <v>0.0</v>
      </c>
      <c r="I3" s="77">
        <v>0.0</v>
      </c>
      <c r="J3" s="78">
        <v>0.0</v>
      </c>
    </row>
    <row r="4">
      <c r="G4" s="80">
        <v>44380.0</v>
      </c>
      <c r="H4" s="77">
        <v>3.0</v>
      </c>
      <c r="I4" s="77">
        <v>0.0</v>
      </c>
      <c r="J4" s="78">
        <v>0.0</v>
      </c>
    </row>
    <row r="5">
      <c r="G5" s="80">
        <v>44381.0</v>
      </c>
      <c r="H5" s="77">
        <v>4.0</v>
      </c>
      <c r="I5" s="77">
        <v>0.0</v>
      </c>
      <c r="J5" s="78">
        <v>0.0</v>
      </c>
    </row>
    <row r="6">
      <c r="G6" s="80">
        <v>44382.0</v>
      </c>
      <c r="H6" s="77">
        <v>5.0</v>
      </c>
      <c r="I6" s="77">
        <v>0.0</v>
      </c>
      <c r="J6" s="78">
        <v>0.0</v>
      </c>
    </row>
    <row r="7">
      <c r="G7" s="80">
        <v>44383.0</v>
      </c>
      <c r="H7" s="77">
        <v>3.0</v>
      </c>
      <c r="I7" s="77">
        <v>0.0</v>
      </c>
      <c r="J7" s="78">
        <v>0.0</v>
      </c>
    </row>
    <row r="8">
      <c r="G8" s="80">
        <v>44384.0</v>
      </c>
      <c r="H8" s="77">
        <v>6.0</v>
      </c>
      <c r="I8" s="77">
        <v>0.0</v>
      </c>
      <c r="J8" s="78">
        <v>0.0</v>
      </c>
    </row>
    <row r="9">
      <c r="G9" s="80">
        <v>44385.0</v>
      </c>
      <c r="H9" s="77">
        <v>6.0</v>
      </c>
      <c r="I9" s="77">
        <v>1.0</v>
      </c>
      <c r="J9" s="78">
        <v>800.0</v>
      </c>
      <c r="K9" s="46" t="s">
        <v>390</v>
      </c>
    </row>
    <row r="10">
      <c r="G10" s="80">
        <v>44386.0</v>
      </c>
      <c r="H10" s="77">
        <v>4.0</v>
      </c>
      <c r="I10" s="77">
        <v>1.0</v>
      </c>
      <c r="J10" s="78">
        <v>2400.0</v>
      </c>
      <c r="K10" s="46" t="s">
        <v>391</v>
      </c>
    </row>
    <row r="11">
      <c r="G11" s="80">
        <v>44387.0</v>
      </c>
      <c r="H11" s="82"/>
      <c r="I11" s="82"/>
      <c r="J11" s="83"/>
    </row>
    <row r="12">
      <c r="G12" s="80">
        <v>44388.0</v>
      </c>
      <c r="H12" s="82"/>
      <c r="I12" s="82"/>
      <c r="J12" s="83"/>
    </row>
    <row r="13">
      <c r="G13" s="80">
        <v>44389.0</v>
      </c>
      <c r="H13" s="82"/>
      <c r="I13" s="82"/>
      <c r="J13" s="83"/>
    </row>
    <row r="14">
      <c r="G14" s="80">
        <v>44390.0</v>
      </c>
      <c r="H14" s="82"/>
      <c r="I14" s="82"/>
      <c r="J14" s="83"/>
    </row>
    <row r="15">
      <c r="G15" s="80">
        <v>44391.0</v>
      </c>
      <c r="H15" s="82"/>
      <c r="I15" s="82"/>
      <c r="J15" s="83"/>
    </row>
    <row r="16">
      <c r="G16" s="80">
        <v>44392.0</v>
      </c>
      <c r="H16" s="82"/>
      <c r="I16" s="82"/>
      <c r="J16" s="83"/>
    </row>
    <row r="17">
      <c r="G17" s="80">
        <v>44393.0</v>
      </c>
      <c r="H17" s="82"/>
      <c r="I17" s="82"/>
      <c r="J17" s="83"/>
    </row>
    <row r="18">
      <c r="G18" s="80">
        <v>44394.0</v>
      </c>
      <c r="H18" s="82"/>
      <c r="I18" s="82"/>
      <c r="J18" s="83"/>
    </row>
    <row r="19">
      <c r="G19" s="80">
        <v>44395.0</v>
      </c>
      <c r="H19" s="82"/>
      <c r="I19" s="82"/>
      <c r="J19" s="83"/>
    </row>
    <row r="20">
      <c r="G20" s="80">
        <v>44396.0</v>
      </c>
      <c r="H20" s="82"/>
      <c r="I20" s="82"/>
      <c r="J20" s="83"/>
    </row>
    <row r="21">
      <c r="G21" s="80">
        <v>44397.0</v>
      </c>
      <c r="H21" s="82"/>
      <c r="I21" s="82"/>
      <c r="J21" s="83"/>
    </row>
    <row r="22">
      <c r="G22" s="80">
        <v>44398.0</v>
      </c>
      <c r="H22" s="82"/>
      <c r="I22" s="82"/>
      <c r="J22" s="83"/>
    </row>
    <row r="23">
      <c r="G23" s="80">
        <v>44399.0</v>
      </c>
      <c r="H23" s="82"/>
      <c r="I23" s="82"/>
      <c r="J23" s="83"/>
    </row>
    <row r="24">
      <c r="G24" s="80">
        <v>44400.0</v>
      </c>
      <c r="H24" s="82"/>
      <c r="I24" s="82"/>
      <c r="J24" s="83"/>
    </row>
    <row r="25">
      <c r="G25" s="80">
        <v>44401.0</v>
      </c>
      <c r="H25" s="82"/>
      <c r="I25" s="82"/>
      <c r="J25" s="83"/>
    </row>
    <row r="26">
      <c r="G26" s="80">
        <v>44402.0</v>
      </c>
      <c r="H26" s="82"/>
      <c r="I26" s="82"/>
      <c r="J26" s="83"/>
    </row>
    <row r="27">
      <c r="G27" s="80">
        <v>44403.0</v>
      </c>
      <c r="H27" s="82"/>
      <c r="I27" s="82"/>
      <c r="J27" s="83"/>
    </row>
    <row r="28">
      <c r="G28" s="80">
        <v>44404.0</v>
      </c>
      <c r="H28" s="82"/>
      <c r="I28" s="82"/>
      <c r="J28" s="83"/>
    </row>
    <row r="29">
      <c r="G29" s="80">
        <v>44405.0</v>
      </c>
      <c r="H29" s="82"/>
      <c r="I29" s="82"/>
      <c r="J29" s="83"/>
    </row>
    <row r="30">
      <c r="G30" s="80">
        <v>44406.0</v>
      </c>
      <c r="H30" s="82"/>
      <c r="I30" s="82"/>
      <c r="J30" s="83"/>
    </row>
    <row r="31">
      <c r="G31" s="80">
        <v>44407.0</v>
      </c>
      <c r="H31" s="82"/>
      <c r="I31" s="82"/>
      <c r="J31" s="83"/>
    </row>
    <row r="32">
      <c r="G32" s="80">
        <v>44408.0</v>
      </c>
      <c r="H32" s="82"/>
      <c r="I32" s="82"/>
      <c r="J32" s="83"/>
    </row>
    <row r="33">
      <c r="G33" s="147" t="s">
        <v>392</v>
      </c>
      <c r="H33" s="82">
        <f t="shared" ref="H33:J33" si="1">SUM(H3:H32)</f>
        <v>31</v>
      </c>
      <c r="I33" s="82">
        <f t="shared" si="1"/>
        <v>2</v>
      </c>
      <c r="J33" s="83">
        <f t="shared" si="1"/>
        <v>3200</v>
      </c>
    </row>
  </sheetData>
  <drawing r:id="rId1"/>
</worksheet>
</file>