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" sheetId="2" r:id="rId5"/>
    <sheet state="visible" name="Pointage" sheetId="3" r:id="rId6"/>
    <sheet state="visible" name="Salaires " sheetId="4" r:id="rId7"/>
  </sheets>
  <definedNames/>
  <calcPr/>
</workbook>
</file>

<file path=xl/sharedStrings.xml><?xml version="1.0" encoding="utf-8"?>
<sst xmlns="http://schemas.openxmlformats.org/spreadsheetml/2006/main" count="483" uniqueCount="234">
  <si>
    <t>Date</t>
  </si>
  <si>
    <t>Recette  de juillet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</si>
  <si>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</si>
  <si>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</si>
  <si>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</si>
  <si>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</si>
  <si>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</si>
  <si>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</si>
  <si>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</si>
  <si>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Juillet</t>
  </si>
  <si>
    <t xml:space="preserve">Moyenne </t>
  </si>
  <si>
    <t>Dimanche</t>
  </si>
  <si>
    <t>Lundi</t>
  </si>
  <si>
    <t>Mardi</t>
  </si>
  <si>
    <t>Mercredi</t>
  </si>
  <si>
    <t>Jeudi</t>
  </si>
  <si>
    <t>Vendredi</t>
  </si>
  <si>
    <t>Samedi</t>
  </si>
  <si>
    <t>Différence mois de juillet</t>
  </si>
  <si>
    <t xml:space="preserve">Cash restant </t>
  </si>
  <si>
    <t>Magasin</t>
  </si>
  <si>
    <t xml:space="preserve">Différence objectif </t>
  </si>
  <si>
    <t xml:space="preserve">Loyer </t>
  </si>
  <si>
    <t>L+Cash restant</t>
  </si>
  <si>
    <t>cash disponible</t>
  </si>
  <si>
    <t>Sofiane cash</t>
  </si>
  <si>
    <t>ccp</t>
  </si>
  <si>
    <t>Sofiane Paypal</t>
  </si>
  <si>
    <t>.</t>
  </si>
  <si>
    <t xml:space="preserve">Mois de Juillet </t>
  </si>
  <si>
    <t>Produit</t>
  </si>
  <si>
    <t>Quantité</t>
  </si>
  <si>
    <t xml:space="preserve">Prix unitaire </t>
  </si>
  <si>
    <t>Prix</t>
  </si>
  <si>
    <t>Date d'achat</t>
  </si>
  <si>
    <t>Semoule Mama 25kg</t>
  </si>
  <si>
    <t>Semoule Amor Ben Amor</t>
  </si>
  <si>
    <t>Farine Sim 1kg</t>
  </si>
  <si>
    <t>10 fardeaux</t>
  </si>
  <si>
    <t>Farine Agrodive 5kg</t>
  </si>
  <si>
    <t xml:space="preserve">amandes </t>
  </si>
  <si>
    <t>13kg</t>
  </si>
  <si>
    <t>Nutella 1kg</t>
  </si>
  <si>
    <t>Maa zehar</t>
  </si>
  <si>
    <t>Sucre glace 1kg</t>
  </si>
  <si>
    <t>Tomate</t>
  </si>
  <si>
    <t>cerise</t>
  </si>
  <si>
    <t>boites demie plateaux</t>
  </si>
  <si>
    <t xml:space="preserve">lait en poudre </t>
  </si>
  <si>
    <t>1kg</t>
  </si>
  <si>
    <t>Boites36/07</t>
  </si>
  <si>
    <t>Boites 36/10</t>
  </si>
  <si>
    <t>Boites Aluminium 1165</t>
  </si>
  <si>
    <t>1 fardeau de 100</t>
  </si>
  <si>
    <t>pate d'arome citron</t>
  </si>
  <si>
    <t>Sachet 5kg</t>
  </si>
  <si>
    <t>1 fardeau de 1000</t>
  </si>
  <si>
    <t>chocolat Boudjedir à tartiner 9kg</t>
  </si>
  <si>
    <t>Levure chimique</t>
  </si>
  <si>
    <t>Thon</t>
  </si>
  <si>
    <t>Maizina</t>
  </si>
  <si>
    <t>2kg</t>
  </si>
  <si>
    <t>Fromage sandwich</t>
  </si>
  <si>
    <t>chedar</t>
  </si>
  <si>
    <t>1,5kg</t>
  </si>
  <si>
    <t>Confiture</t>
  </si>
  <si>
    <t>semoule Sim moyenne 2kg</t>
  </si>
  <si>
    <t>bessel</t>
  </si>
  <si>
    <t>75kg</t>
  </si>
  <si>
    <t>oeufs</t>
  </si>
  <si>
    <t>5 plateaux</t>
  </si>
  <si>
    <t>transport marchandises</t>
  </si>
  <si>
    <t>/</t>
  </si>
  <si>
    <t>ka3ek enakach</t>
  </si>
  <si>
    <t>huile elio la concorde</t>
  </si>
  <si>
    <t xml:space="preserve">huile elio  </t>
  </si>
  <si>
    <t>viande hachée</t>
  </si>
  <si>
    <t>poulet haché</t>
  </si>
  <si>
    <t>fromage spéciale pizza</t>
  </si>
  <si>
    <t>8kg</t>
  </si>
  <si>
    <t>Semoule moyenne Sim 10kg</t>
  </si>
  <si>
    <t>rechta</t>
  </si>
  <si>
    <t>30kg</t>
  </si>
  <si>
    <t xml:space="preserve">boite </t>
  </si>
  <si>
    <t xml:space="preserve">djefena </t>
  </si>
  <si>
    <t>viande morceaux</t>
  </si>
  <si>
    <t>2.5kg</t>
  </si>
  <si>
    <t xml:space="preserve">cuisses de poulet </t>
  </si>
  <si>
    <t>herbes</t>
  </si>
  <si>
    <t xml:space="preserve">pomme de terre </t>
  </si>
  <si>
    <t xml:space="preserve">carotte </t>
  </si>
  <si>
    <t>isis</t>
  </si>
  <si>
    <t>10kg</t>
  </si>
  <si>
    <t>salade</t>
  </si>
  <si>
    <t xml:space="preserve">Thon </t>
  </si>
  <si>
    <t>3akeri</t>
  </si>
  <si>
    <t>Semoule Baraka 25kg</t>
  </si>
  <si>
    <t>semoule Amor Ben Amor 10kg</t>
  </si>
  <si>
    <t>Mais</t>
  </si>
  <si>
    <t>500g</t>
  </si>
  <si>
    <t>tomate et poivre</t>
  </si>
  <si>
    <t>5+2</t>
  </si>
  <si>
    <t xml:space="preserve">légumes: courgette, navet, carotte, poivre </t>
  </si>
  <si>
    <t>storm</t>
  </si>
  <si>
    <t>Boissons</t>
  </si>
  <si>
    <t>margarine fleurial 500g</t>
  </si>
  <si>
    <t>huile elio 5 litres</t>
  </si>
  <si>
    <t>thon</t>
  </si>
  <si>
    <t>deyoul</t>
  </si>
  <si>
    <t>2+2+1+1</t>
  </si>
  <si>
    <t>tomate</t>
  </si>
  <si>
    <t>3kg</t>
  </si>
  <si>
    <t>cheddar</t>
  </si>
  <si>
    <t>4 fardeaux de 9kg</t>
  </si>
  <si>
    <t xml:space="preserve">tomate conserve </t>
  </si>
  <si>
    <t xml:space="preserve">Harrissa </t>
  </si>
  <si>
    <t>19 boites de 500g</t>
  </si>
  <si>
    <t>sel</t>
  </si>
  <si>
    <t>1 fardeau</t>
  </si>
  <si>
    <t>semoule moyenne Sim 2kg</t>
  </si>
  <si>
    <t>2 fardeaux de 16kg</t>
  </si>
  <si>
    <t>lait enpoudre</t>
  </si>
  <si>
    <t xml:space="preserve">cheddar </t>
  </si>
  <si>
    <t xml:space="preserve">2 barres </t>
  </si>
  <si>
    <t xml:space="preserve">5 barres </t>
  </si>
  <si>
    <t>Boites 48/10</t>
  </si>
  <si>
    <t>Boites 36/07</t>
  </si>
  <si>
    <t>Boites 12/07</t>
  </si>
  <si>
    <t>Boite s 08/06</t>
  </si>
  <si>
    <t>les gants</t>
  </si>
  <si>
    <t>15kg</t>
  </si>
  <si>
    <t xml:space="preserve">les légumes : navets, courgette, carotte, poivre </t>
  </si>
  <si>
    <t>120kg</t>
  </si>
  <si>
    <t>54kg</t>
  </si>
  <si>
    <t>2+2+1+1+1</t>
  </si>
  <si>
    <t>mais</t>
  </si>
  <si>
    <t>olive éffilet</t>
  </si>
  <si>
    <t xml:space="preserve">herbes </t>
  </si>
  <si>
    <t>Bons de livraison</t>
  </si>
  <si>
    <t>detergents</t>
  </si>
  <si>
    <t>viande</t>
  </si>
  <si>
    <t xml:space="preserve">boites  de sauce </t>
  </si>
  <si>
    <t>gherss</t>
  </si>
  <si>
    <t>5kg</t>
  </si>
  <si>
    <t>80kg</t>
  </si>
  <si>
    <t>20kg</t>
  </si>
  <si>
    <t>1KG</t>
  </si>
  <si>
    <t xml:space="preserve">chakhechoukhate defer </t>
  </si>
  <si>
    <t xml:space="preserve">viande </t>
  </si>
  <si>
    <t>eau</t>
  </si>
  <si>
    <t>couscous</t>
  </si>
  <si>
    <t>tomate, pomme de terre , navet</t>
  </si>
  <si>
    <t>poischich</t>
  </si>
  <si>
    <t>40kg</t>
  </si>
  <si>
    <t>balnc de polet</t>
  </si>
  <si>
    <t>olivedénoyauté</t>
  </si>
  <si>
    <t>2plateaux</t>
  </si>
  <si>
    <t>terida</t>
  </si>
  <si>
    <t>epinard</t>
  </si>
  <si>
    <t>détergents</t>
  </si>
  <si>
    <t>semoule Albaraka 25kg</t>
  </si>
  <si>
    <t>sachet 3kg</t>
  </si>
  <si>
    <t>huile Elio 5litres</t>
  </si>
  <si>
    <t>eau de javel</t>
  </si>
  <si>
    <t xml:space="preserve">eau bidon de 5litres </t>
  </si>
  <si>
    <t>Terida</t>
  </si>
  <si>
    <t>hamoud 33cl</t>
  </si>
  <si>
    <t xml:space="preserve">Hamoud cannet </t>
  </si>
  <si>
    <t>Fayçal Transport</t>
  </si>
  <si>
    <t>Rafik transport</t>
  </si>
  <si>
    <t>felexy internet</t>
  </si>
  <si>
    <t>nassah décapant</t>
  </si>
  <si>
    <t>salade persil coriande ..</t>
  </si>
  <si>
    <t xml:space="preserve">olive efilet </t>
  </si>
  <si>
    <t xml:space="preserve">huile </t>
  </si>
  <si>
    <t>javel</t>
  </si>
  <si>
    <t xml:space="preserve">1 de 5 litres </t>
  </si>
  <si>
    <t>fromage</t>
  </si>
  <si>
    <t>fromage sandwich</t>
  </si>
  <si>
    <t>maiis</t>
  </si>
  <si>
    <t>sachets5 kg</t>
  </si>
  <si>
    <t>1 plateaux</t>
  </si>
  <si>
    <t>épinards</t>
  </si>
  <si>
    <t>viande hachéé</t>
  </si>
  <si>
    <t>tomate fraiche</t>
  </si>
  <si>
    <t>légumes: courgette, navet, carotte, poivre tomate</t>
  </si>
  <si>
    <t>1+1+2+5</t>
  </si>
  <si>
    <t>boites</t>
  </si>
  <si>
    <t>3+3+2+2+2</t>
  </si>
  <si>
    <t xml:space="preserve">blanc de poulet </t>
  </si>
  <si>
    <t>viande de veau</t>
  </si>
  <si>
    <t xml:space="preserve">deyoul </t>
  </si>
  <si>
    <t>huile</t>
  </si>
  <si>
    <t>transport personnel</t>
  </si>
  <si>
    <t xml:space="preserve">rechta </t>
  </si>
  <si>
    <t>50kg</t>
  </si>
  <si>
    <t>hamissa</t>
  </si>
  <si>
    <t>herbes +salade</t>
  </si>
  <si>
    <t>20 kg</t>
  </si>
  <si>
    <t>boites 1185</t>
  </si>
  <si>
    <t>serpiére</t>
  </si>
  <si>
    <t xml:space="preserve">tomate fraiche </t>
  </si>
  <si>
    <t xml:space="preserve">transport zehor </t>
  </si>
  <si>
    <t>TOTALE</t>
  </si>
  <si>
    <t xml:space="preserve">Somme initiale </t>
  </si>
  <si>
    <t>Rest</t>
  </si>
  <si>
    <t>Charges Magasin</t>
  </si>
  <si>
    <t xml:space="preserve">récépiant inox </t>
  </si>
  <si>
    <t xml:space="preserve">gérican de 30 litres </t>
  </si>
  <si>
    <t>tuyeaux 10m</t>
  </si>
  <si>
    <t>10m</t>
  </si>
  <si>
    <t>Zehor</t>
  </si>
  <si>
    <t>Yossera</t>
  </si>
  <si>
    <t>Soumia</t>
  </si>
  <si>
    <t xml:space="preserve">Nadjet </t>
  </si>
  <si>
    <t>Hadjer</t>
  </si>
  <si>
    <t>Souad</t>
  </si>
  <si>
    <t>Amel</t>
  </si>
  <si>
    <t>Hafida</t>
  </si>
  <si>
    <t>Safia</t>
  </si>
  <si>
    <t>Samira</t>
  </si>
  <si>
    <t xml:space="preserve">Linda </t>
  </si>
  <si>
    <t>Zahida</t>
  </si>
  <si>
    <t>Remarque</t>
  </si>
  <si>
    <t>Safia djagte à 09h30</t>
  </si>
  <si>
    <t>Safia djagte à 09h45</t>
  </si>
  <si>
    <t xml:space="preserve">Nom </t>
  </si>
  <si>
    <t>Avance</t>
  </si>
  <si>
    <t>Nadjet</t>
  </si>
  <si>
    <t>5000+1000+1000+500+500+500+500</t>
  </si>
  <si>
    <t>Linda</t>
  </si>
  <si>
    <t xml:space="preserve">Samira </t>
  </si>
  <si>
    <t>1200+150+100+400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</si>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</sst>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.m"/>
    <numFmt numFmtId="167" formatCode="d/m"/>
  </numFmts>
  <fonts count="23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sz val="12.0"/>
      <color rgb="FF000000"/>
      <name val="Arial"/>
    </font>
    <font>
      <color rgb="FF000000"/>
      <name val="Arial"/>
    </font>
    <font>
      <b/>
      <sz val="12.0"/>
      <color rgb="FFFF0000"/>
      <name val="Arial"/>
    </font>
    <font>
      <b/>
      <sz val="14.0"/>
      <color rgb="FFFFFF00"/>
      <name val="Arial"/>
    </font>
    <font>
      <b/>
      <sz val="12.0"/>
      <color rgb="FF000000"/>
      <name val="Arial"/>
    </font>
    <font>
      <b/>
      <sz val="12.0"/>
      <color rgb="FFFFFF00"/>
      <name val="Arial"/>
    </font>
    <font>
      <b/>
      <sz val="12.0"/>
      <color rgb="FF0000FF"/>
      <name val="Arial"/>
    </font>
    <font>
      <b/>
      <sz val="14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color theme="1"/>
      <name val="Arial"/>
      <scheme val="minor"/>
    </font>
    <font>
      <b/>
      <sz val="18.0"/>
      <color theme="1"/>
      <name val="Arial"/>
    </font>
    <font>
      <sz val="14.0"/>
      <color theme="1"/>
      <name val="Arial"/>
      <scheme val="minor"/>
    </font>
    <font>
      <b/>
      <sz val="14.0"/>
      <color rgb="FFFF0000"/>
      <name val="Arial"/>
    </font>
    <font>
      <sz val="12.0"/>
      <color rgb="FF434343"/>
      <name val="Arial"/>
    </font>
    <font>
      <b/>
      <sz val="14.0"/>
      <color rgb="FF1C4587"/>
      <name val="Arial"/>
    </font>
    <font>
      <sz val="12.0"/>
      <color theme="1"/>
      <name val="Arial"/>
      <scheme val="minor"/>
    </font>
    <font>
      <sz val="18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1" fillId="5" fontId="2" numFmtId="0" xfId="0" applyAlignment="1" applyBorder="1" applyFill="1" applyFon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6" fontId="3" numFmtId="165" xfId="0" applyAlignment="1" applyBorder="1" applyFill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6" fontId="3" numFmtId="165" xfId="0" applyAlignment="1" applyFont="1" applyNumberFormat="1">
      <alignment horizontal="center" vertical="bottom"/>
    </xf>
    <xf borderId="0" fillId="4" fontId="4" numFmtId="165" xfId="0" applyAlignment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1" fillId="7" fontId="3" numFmtId="165" xfId="0" applyAlignment="1" applyBorder="1" applyFill="1" applyFont="1" applyNumberFormat="1">
      <alignment horizontal="center" vertical="bottom"/>
    </xf>
    <xf borderId="0" fillId="6" fontId="4" numFmtId="165" xfId="0" applyAlignment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6" fontId="3" numFmtId="165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8" fontId="5" numFmtId="164" xfId="0" applyAlignment="1" applyBorder="1" applyFill="1" applyFont="1" applyNumberFormat="1">
      <alignment horizontal="center" readingOrder="0" vertical="bottom"/>
    </xf>
    <xf borderId="1" fillId="8" fontId="5" numFmtId="165" xfId="0" applyAlignment="1" applyBorder="1" applyFont="1" applyNumberFormat="1">
      <alignment horizontal="center" readingOrder="0" vertical="bottom"/>
    </xf>
    <xf borderId="1" fillId="8" fontId="6" numFmtId="0" xfId="0" applyAlignment="1" applyBorder="1" applyFont="1">
      <alignment vertical="bottom"/>
    </xf>
    <xf borderId="1" fillId="8" fontId="5" numFmtId="0" xfId="0" applyAlignment="1" applyBorder="1" applyFon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0" fillId="9" fontId="7" numFmtId="0" xfId="0" applyAlignment="1" applyFill="1" applyFont="1">
      <alignment horizontal="center" readingOrder="0" vertical="bottom"/>
    </xf>
    <xf borderId="1" fillId="3" fontId="8" numFmtId="165" xfId="0" applyAlignment="1" applyBorder="1" applyFont="1" applyNumberFormat="1">
      <alignment horizontal="center" readingOrder="0" vertical="bottom"/>
    </xf>
    <xf borderId="0" fillId="5" fontId="3" numFmtId="165" xfId="0" applyAlignment="1" applyFont="1" applyNumberFormat="1">
      <alignment horizontal="center" vertical="bottom"/>
    </xf>
    <xf borderId="1" fillId="3" fontId="9" numFmtId="165" xfId="0" applyAlignment="1" applyBorder="1" applyFont="1" applyNumberFormat="1">
      <alignment horizontal="center" readingOrder="0" vertical="bottom"/>
    </xf>
    <xf borderId="1" fillId="3" fontId="10" numFmtId="165" xfId="0" applyAlignment="1" applyBorder="1" applyFont="1" applyNumberFormat="1">
      <alignment horizontal="center" vertical="bottom"/>
    </xf>
    <xf borderId="0" fillId="5" fontId="1" numFmtId="0" xfId="0" applyAlignment="1" applyFont="1">
      <alignment vertical="bottom"/>
    </xf>
    <xf borderId="0" fillId="9" fontId="4" numFmtId="0" xfId="0" applyAlignment="1" applyFont="1">
      <alignment horizontal="center" vertical="bottom"/>
    </xf>
    <xf borderId="0" fillId="8" fontId="10" numFmtId="0" xfId="0" applyAlignment="1" applyFont="1">
      <alignment horizontal="center" vertical="bottom"/>
    </xf>
    <xf borderId="0" fillId="6" fontId="4" numFmtId="165" xfId="0" applyAlignment="1" applyFont="1" applyNumberFormat="1">
      <alignment horizontal="center" vertical="bottom"/>
    </xf>
    <xf borderId="0" fillId="4" fontId="4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9" fontId="3" numFmtId="165" xfId="0" applyAlignment="1" applyBorder="1" applyFont="1" applyNumberFormat="1">
      <alignment horizontal="center"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1" fillId="4" fontId="11" numFmtId="165" xfId="0" applyAlignment="1" applyBorder="1" applyFont="1" applyNumberFormat="1">
      <alignment horizontal="center" readingOrder="0" vertical="bottom"/>
    </xf>
    <xf borderId="1" fillId="3" fontId="12" numFmtId="165" xfId="0" applyAlignment="1" applyBorder="1" applyFont="1" applyNumberFormat="1">
      <alignment horizontal="center" readingOrder="0" vertical="bottom"/>
    </xf>
    <xf borderId="1" fillId="8" fontId="8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1" fillId="5" fontId="5" numFmtId="165" xfId="0" applyAlignment="1" applyBorder="1" applyFont="1" applyNumberFormat="1">
      <alignment horizontal="center" readingOrder="0" vertical="bottom"/>
    </xf>
    <xf borderId="1" fillId="10" fontId="3" numFmtId="165" xfId="0" applyAlignment="1" applyBorder="1" applyFill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readingOrder="0" vertical="bottom"/>
    </xf>
    <xf borderId="1" fillId="4" fontId="1" numFmtId="0" xfId="0" applyAlignment="1" applyBorder="1" applyFont="1">
      <alignment vertical="bottom"/>
    </xf>
    <xf borderId="1" fillId="4" fontId="3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1" fillId="4" fontId="3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4" fontId="2" numFmtId="165" xfId="0" applyAlignment="1" applyBorder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8" fontId="2" numFmtId="165" xfId="0" applyAlignment="1" applyBorder="1" applyFont="1" applyNumberFormat="1">
      <alignment horizontal="center" vertical="bottom"/>
    </xf>
    <xf borderId="1" fillId="11" fontId="2" numFmtId="165" xfId="0" applyAlignment="1" applyBorder="1" applyFill="1" applyFont="1" applyNumberFormat="1">
      <alignment horizontal="center" vertical="bottom"/>
    </xf>
    <xf borderId="1" fillId="9" fontId="2" numFmtId="165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4" fontId="3" numFmtId="165" xfId="0" applyAlignment="1" applyBorder="1" applyFont="1" applyNumberFormat="1">
      <alignment horizontal="right" vertical="bottom"/>
    </xf>
    <xf borderId="1" fillId="5" fontId="13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vertical="bottom"/>
    </xf>
    <xf borderId="1" fillId="0" fontId="14" numFmtId="0" xfId="0" applyAlignment="1" applyBorder="1" applyFont="1">
      <alignment horizontal="center" readingOrder="0" vertical="bottom"/>
    </xf>
    <xf borderId="1" fillId="6" fontId="2" numFmtId="165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11" fontId="3" numFmtId="165" xfId="0" applyAlignment="1" applyBorder="1" applyFont="1" applyNumberFormat="1">
      <alignment horizontal="center" readingOrder="0" vertical="bottom"/>
    </xf>
    <xf borderId="1" fillId="9" fontId="3" numFmtId="165" xfId="0" applyAlignment="1" applyBorder="1" applyFont="1" applyNumberFormat="1">
      <alignment horizontal="center" vertical="bottom"/>
    </xf>
    <xf borderId="0" fillId="0" fontId="15" numFmtId="0" xfId="0" applyAlignment="1" applyFont="1">
      <alignment readingOrder="0"/>
    </xf>
    <xf borderId="0" fillId="6" fontId="16" numFmtId="0" xfId="0" applyAlignment="1" applyFont="1">
      <alignment horizontal="center" vertical="bottom"/>
    </xf>
    <xf borderId="1" fillId="6" fontId="16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center" readingOrder="0"/>
    </xf>
    <xf borderId="1" fillId="0" fontId="17" numFmtId="165" xfId="0" applyAlignment="1" applyBorder="1" applyFont="1" applyNumberFormat="1">
      <alignment horizontal="center" readingOrder="0"/>
    </xf>
    <xf borderId="1" fillId="0" fontId="17" numFmtId="164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 vertical="bottom"/>
    </xf>
    <xf borderId="1" fillId="0" fontId="14" numFmtId="165" xfId="0" applyAlignment="1" applyBorder="1" applyFont="1" applyNumberFormat="1">
      <alignment horizontal="center" vertical="bottom"/>
    </xf>
    <xf borderId="1" fillId="0" fontId="14" numFmtId="165" xfId="0" applyAlignment="1" applyBorder="1" applyFont="1" applyNumberFormat="1">
      <alignment horizontal="center" readingOrder="0" vertical="bottom"/>
    </xf>
    <xf borderId="1" fillId="0" fontId="14" numFmtId="164" xfId="0" applyAlignment="1" applyBorder="1" applyFont="1" applyNumberFormat="1">
      <alignment horizontal="center" readingOrder="0" vertical="bottom"/>
    </xf>
    <xf borderId="1" fillId="4" fontId="17" numFmtId="0" xfId="0" applyAlignment="1" applyBorder="1" applyFont="1">
      <alignment horizontal="center" readingOrder="0"/>
    </xf>
    <xf borderId="1" fillId="4" fontId="17" numFmtId="165" xfId="0" applyAlignment="1" applyBorder="1" applyFont="1" applyNumberFormat="1">
      <alignment horizontal="center" readingOrder="0"/>
    </xf>
    <xf borderId="1" fillId="0" fontId="17" numFmtId="0" xfId="0" applyAlignment="1" applyBorder="1" applyFont="1">
      <alignment horizontal="center"/>
    </xf>
    <xf borderId="1" fillId="0" fontId="17" numFmtId="166" xfId="0" applyAlignment="1" applyBorder="1" applyFont="1" applyNumberFormat="1">
      <alignment horizontal="center" readingOrder="0"/>
    </xf>
    <xf borderId="1" fillId="3" fontId="17" numFmtId="0" xfId="0" applyAlignment="1" applyBorder="1" applyFont="1">
      <alignment horizontal="center" readingOrder="0"/>
    </xf>
    <xf borderId="1" fillId="3" fontId="17" numFmtId="0" xfId="0" applyAlignment="1" applyBorder="1" applyFont="1">
      <alignment horizontal="center"/>
    </xf>
    <xf borderId="1" fillId="3" fontId="17" numFmtId="165" xfId="0" applyAlignment="1" applyBorder="1" applyFont="1" applyNumberFormat="1">
      <alignment horizontal="center"/>
    </xf>
    <xf borderId="1" fillId="3" fontId="17" numFmtId="165" xfId="0" applyAlignment="1" applyBorder="1" applyFont="1" applyNumberFormat="1">
      <alignment horizontal="center" readingOrder="0"/>
    </xf>
    <xf borderId="1" fillId="3" fontId="17" numFmtId="164" xfId="0" applyAlignment="1" applyBorder="1" applyFont="1" applyNumberFormat="1">
      <alignment horizontal="center" readingOrder="0"/>
    </xf>
    <xf borderId="1" fillId="5" fontId="17" numFmtId="0" xfId="0" applyAlignment="1" applyBorder="1" applyFont="1">
      <alignment horizontal="center" readingOrder="0"/>
    </xf>
    <xf borderId="1" fillId="5" fontId="17" numFmtId="165" xfId="0" applyAlignment="1" applyBorder="1" applyFont="1" applyNumberFormat="1">
      <alignment horizontal="center" readingOrder="0"/>
    </xf>
    <xf borderId="1" fillId="5" fontId="17" numFmtId="164" xfId="0" applyAlignment="1" applyBorder="1" applyFont="1" applyNumberFormat="1">
      <alignment horizontal="center" readingOrder="0"/>
    </xf>
    <xf borderId="1" fillId="0" fontId="17" numFmtId="165" xfId="0" applyAlignment="1" applyBorder="1" applyFont="1" applyNumberFormat="1">
      <alignment horizontal="center"/>
    </xf>
    <xf borderId="1" fillId="0" fontId="17" numFmtId="167" xfId="0" applyAlignment="1" applyBorder="1" applyFont="1" applyNumberFormat="1">
      <alignment horizontal="center" readingOrder="0"/>
    </xf>
    <xf borderId="0" fillId="9" fontId="18" numFmtId="0" xfId="0" applyAlignment="1" applyFont="1">
      <alignment horizontal="center" vertical="bottom"/>
    </xf>
    <xf borderId="1" fillId="8" fontId="1" numFmtId="165" xfId="0" applyAlignment="1" applyBorder="1" applyFont="1" applyNumberFormat="1">
      <alignment vertical="bottom"/>
    </xf>
    <xf borderId="1" fillId="8" fontId="14" numFmtId="165" xfId="0" applyAlignment="1" applyBorder="1" applyFont="1" applyNumberFormat="1">
      <alignment horizontal="right" vertical="bottom"/>
    </xf>
    <xf borderId="1" fillId="9" fontId="18" numFmtId="0" xfId="0" applyAlignment="1" applyBorder="1" applyFont="1">
      <alignment horizontal="center" vertical="bottom"/>
    </xf>
    <xf borderId="1" fillId="4" fontId="1" numFmtId="165" xfId="0" applyAlignment="1" applyBorder="1" applyFont="1" applyNumberFormat="1">
      <alignment vertical="bottom"/>
    </xf>
    <xf borderId="1" fillId="4" fontId="14" numFmtId="165" xfId="0" applyAlignment="1" applyBorder="1" applyFont="1" applyNumberFormat="1">
      <alignment horizontal="right" vertical="bottom"/>
    </xf>
    <xf borderId="1" fillId="6" fontId="1" numFmtId="165" xfId="0" applyAlignment="1" applyBorder="1" applyFont="1" applyNumberFormat="1">
      <alignment vertical="bottom"/>
    </xf>
    <xf borderId="1" fillId="6" fontId="14" numFmtId="165" xfId="0" applyAlignment="1" applyBorder="1" applyFont="1" applyNumberFormat="1">
      <alignment horizontal="right" vertical="bottom"/>
    </xf>
    <xf borderId="0" fillId="3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4" fontId="11" numFmtId="0" xfId="0" applyAlignment="1" applyBorder="1" applyFont="1">
      <alignment horizontal="center" vertical="bottom"/>
    </xf>
    <xf borderId="1" fillId="4" fontId="11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right" readingOrder="0" vertical="bottom"/>
    </xf>
    <xf borderId="1" fillId="5" fontId="5" numFmtId="0" xfId="0" applyAlignment="1" applyBorder="1" applyFont="1">
      <alignment horizontal="right" readingOrder="0" vertical="bottom"/>
    </xf>
    <xf borderId="1" fillId="4" fontId="5" numFmtId="0" xfId="0" applyAlignment="1" applyBorder="1" applyFont="1">
      <alignment horizontal="right" vertical="bottom"/>
    </xf>
    <xf borderId="1" fillId="4" fontId="1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readingOrder="0" vertical="bottom"/>
    </xf>
    <xf borderId="1" fillId="5" fontId="3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6" fontId="2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right" readingOrder="0" vertical="bottom"/>
    </xf>
    <xf borderId="1" fillId="6" fontId="3" numFmtId="0" xfId="0" applyAlignment="1" applyBorder="1" applyFont="1">
      <alignment horizontal="right" vertical="bottom"/>
    </xf>
    <xf borderId="1" fillId="5" fontId="18" numFmtId="0" xfId="0" applyAlignment="1" applyBorder="1" applyFont="1">
      <alignment horizontal="right" readingOrder="0" vertical="bottom"/>
    </xf>
    <xf borderId="1" fillId="4" fontId="19" numFmtId="0" xfId="0" applyAlignment="1" applyBorder="1" applyFont="1">
      <alignment horizontal="right" readingOrder="0" vertical="bottom"/>
    </xf>
    <xf borderId="1" fillId="6" fontId="19" numFmtId="0" xfId="0" applyAlignment="1" applyBorder="1" applyFont="1">
      <alignment horizontal="right" readingOrder="0" vertical="bottom"/>
    </xf>
    <xf borderId="1" fillId="4" fontId="19" numFmtId="0" xfId="0" applyAlignment="1" applyBorder="1" applyFont="1">
      <alignment horizontal="right" vertical="bottom"/>
    </xf>
    <xf borderId="1" fillId="5" fontId="19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vertical="bottom"/>
    </xf>
    <xf borderId="1" fillId="4" fontId="12" numFmtId="0" xfId="0" applyAlignment="1" applyBorder="1" applyFont="1">
      <alignment horizontal="right" readingOrder="0" vertical="bottom"/>
    </xf>
    <xf borderId="1" fillId="5" fontId="7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6" fontId="20" numFmtId="165" xfId="0" applyAlignment="1" applyBorder="1" applyFont="1" applyNumberFormat="1">
      <alignment horizontal="center" vertical="bottom"/>
    </xf>
    <xf borderId="1" fillId="8" fontId="4" numFmtId="165" xfId="0" applyAlignment="1" applyBorder="1" applyFont="1" applyNumberFormat="1">
      <alignment horizontal="center" vertical="bottom"/>
    </xf>
    <xf borderId="1" fillId="9" fontId="4" numFmtId="0" xfId="0" applyAlignment="1" applyBorder="1" applyFont="1">
      <alignment horizontal="center" vertical="bottom"/>
    </xf>
    <xf borderId="0" fillId="0" fontId="21" numFmtId="165" xfId="0" applyAlignment="1" applyFont="1" applyNumberFormat="1">
      <alignment readingOrder="0"/>
    </xf>
    <xf borderId="1" fillId="6" fontId="22" numFmtId="0" xfId="0" applyAlignment="1" applyBorder="1" applyFont="1">
      <alignment horizontal="center" vertical="bottom"/>
    </xf>
    <xf borderId="1" fillId="6" fontId="22" numFmtId="165" xfId="0" applyAlignment="1" applyBorder="1" applyFont="1" applyNumberFormat="1">
      <alignment horizontal="center" vertical="bottom"/>
    </xf>
    <xf borderId="0" fillId="8" fontId="22" numFmtId="165" xfId="0" applyAlignment="1" applyFont="1" applyNumberFormat="1">
      <alignment horizontal="center" vertical="bottom"/>
    </xf>
    <xf borderId="1" fillId="4" fontId="22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19.5"/>
    <col customWidth="1" min="5" max="5" width="15.5"/>
    <col customWidth="1" min="6" max="6" width="15.38"/>
    <col customWidth="1" min="7" max="7" width="15.75"/>
    <col customWidth="1" min="8" max="8" width="15.25"/>
    <col customWidth="1" min="10" max="10" width="18.0"/>
    <col customWidth="1" min="11" max="11" width="21.38"/>
    <col customWidth="1" min="13" max="13" width="19.13"/>
    <col customWidth="1" min="14" max="14" width="18.25"/>
    <col customWidth="1" min="15" max="15" width="7.75"/>
    <col customWidth="1" min="16" max="16" width="18.5"/>
    <col customWidth="1" min="17" max="17" width="24.75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 t="s">
        <v>8</v>
      </c>
      <c r="K1" s="6" t="s">
        <v>9</v>
      </c>
      <c r="L1" s="7"/>
      <c r="M1" s="7"/>
      <c r="N1" s="8" t="s">
        <v>10</v>
      </c>
      <c r="O1" s="7"/>
      <c r="P1" s="7"/>
      <c r="Q1" s="7"/>
    </row>
    <row r="2">
      <c r="A2" s="9" t="s">
        <v>11</v>
      </c>
      <c r="B2" s="10">
        <v>44409.0</v>
      </c>
      <c r="C2" s="11">
        <v>47000.0</v>
      </c>
      <c r="D2" s="12">
        <v>40000.0</v>
      </c>
      <c r="E2" s="13"/>
      <c r="F2" s="13"/>
      <c r="G2" s="13"/>
      <c r="H2" s="13"/>
      <c r="I2" s="14">
        <v>1.0</v>
      </c>
      <c r="J2" s="11">
        <v>60000.0</v>
      </c>
      <c r="K2" s="15">
        <v>47000.0</v>
      </c>
      <c r="L2" s="7"/>
      <c r="M2" s="7"/>
      <c r="N2" s="16">
        <f>D33/I33</f>
        <v>49947.36842</v>
      </c>
      <c r="O2" s="7"/>
      <c r="P2" s="7"/>
      <c r="Q2" s="7"/>
    </row>
    <row r="3">
      <c r="A3" s="9" t="s">
        <v>12</v>
      </c>
      <c r="B3" s="10">
        <v>44410.0</v>
      </c>
      <c r="C3" s="11">
        <v>50000.0</v>
      </c>
      <c r="D3" s="12">
        <v>47000.0</v>
      </c>
      <c r="E3" s="13"/>
      <c r="F3" s="13"/>
      <c r="G3" s="13"/>
      <c r="H3" s="13"/>
      <c r="I3" s="14">
        <v>1.0</v>
      </c>
      <c r="J3" s="11">
        <v>60000.0</v>
      </c>
      <c r="K3" s="17">
        <v>50000.0</v>
      </c>
      <c r="L3" s="7"/>
      <c r="M3" s="7"/>
      <c r="N3" s="7"/>
      <c r="O3" s="7"/>
      <c r="P3" s="7"/>
      <c r="Q3" s="7"/>
    </row>
    <row r="4">
      <c r="A4" s="9" t="s">
        <v>13</v>
      </c>
      <c r="B4" s="10">
        <v>44411.0</v>
      </c>
      <c r="C4" s="11">
        <v>24000.0</v>
      </c>
      <c r="D4" s="12">
        <v>40000.0</v>
      </c>
      <c r="E4" s="13"/>
      <c r="F4" s="13"/>
      <c r="G4" s="13"/>
      <c r="H4" s="13"/>
      <c r="I4" s="14">
        <v>1.0</v>
      </c>
      <c r="J4" s="11">
        <v>60000.0</v>
      </c>
      <c r="K4" s="18">
        <v>24000.0</v>
      </c>
      <c r="L4" s="7"/>
      <c r="M4" s="7"/>
      <c r="N4" s="19">
        <v>60000.0</v>
      </c>
      <c r="O4" s="7"/>
      <c r="P4" s="7"/>
      <c r="Q4" s="7"/>
    </row>
    <row r="5">
      <c r="A5" s="9" t="s">
        <v>14</v>
      </c>
      <c r="B5" s="10">
        <v>44412.0</v>
      </c>
      <c r="C5" s="11">
        <v>40000.0</v>
      </c>
      <c r="D5" s="20">
        <v>50000.0</v>
      </c>
      <c r="E5" s="13"/>
      <c r="F5" s="13"/>
      <c r="G5" s="13"/>
      <c r="H5" s="13"/>
      <c r="I5" s="14">
        <v>1.0</v>
      </c>
      <c r="J5" s="11">
        <v>60000.0</v>
      </c>
      <c r="K5" s="21">
        <v>40000.0</v>
      </c>
      <c r="L5" s="7"/>
      <c r="M5" s="7"/>
      <c r="N5" s="7"/>
      <c r="O5" s="7"/>
      <c r="P5" s="7"/>
      <c r="Q5" s="7"/>
    </row>
    <row r="6">
      <c r="A6" s="9" t="s">
        <v>15</v>
      </c>
      <c r="B6" s="10">
        <v>44413.0</v>
      </c>
      <c r="C6" s="11">
        <v>31000.0</v>
      </c>
      <c r="D6" s="22">
        <v>70000.0</v>
      </c>
      <c r="E6" s="13"/>
      <c r="F6" s="13"/>
      <c r="G6" s="13"/>
      <c r="H6" s="13"/>
      <c r="I6" s="14">
        <v>1.0</v>
      </c>
      <c r="J6" s="11">
        <v>60000.0</v>
      </c>
      <c r="K6" s="23">
        <v>31000.0</v>
      </c>
      <c r="L6" s="7"/>
      <c r="M6" s="7"/>
      <c r="N6" s="7"/>
      <c r="O6" s="7"/>
      <c r="P6" s="7"/>
      <c r="Q6" s="7"/>
    </row>
    <row r="7">
      <c r="A7" s="9" t="s">
        <v>16</v>
      </c>
      <c r="B7" s="24">
        <v>44414.0</v>
      </c>
      <c r="C7" s="25">
        <v>33000.0</v>
      </c>
      <c r="D7" s="25">
        <v>0.0</v>
      </c>
      <c r="E7" s="26"/>
      <c r="F7" s="26"/>
      <c r="G7" s="26"/>
      <c r="H7" s="26"/>
      <c r="I7" s="27"/>
      <c r="J7" s="25">
        <v>0.0</v>
      </c>
      <c r="K7" s="23">
        <v>33000.0</v>
      </c>
      <c r="L7" s="7"/>
      <c r="M7" s="7"/>
      <c r="N7" s="7"/>
      <c r="O7" s="7"/>
      <c r="P7" s="7"/>
      <c r="Q7" s="7"/>
    </row>
    <row r="8">
      <c r="A8" s="9" t="s">
        <v>17</v>
      </c>
      <c r="B8" s="10">
        <v>44415.0</v>
      </c>
      <c r="C8" s="11">
        <v>44000.0</v>
      </c>
      <c r="D8" s="20">
        <v>56000.0</v>
      </c>
      <c r="E8" s="13"/>
      <c r="F8" s="13"/>
      <c r="G8" s="13"/>
      <c r="H8" s="13"/>
      <c r="I8" s="14">
        <v>1.0</v>
      </c>
      <c r="J8" s="11">
        <v>60000.0</v>
      </c>
      <c r="K8" s="21">
        <v>44000.0</v>
      </c>
      <c r="L8" s="7"/>
      <c r="M8" s="7"/>
      <c r="N8" s="7"/>
      <c r="O8" s="7"/>
      <c r="P8" s="7"/>
      <c r="Q8" s="7"/>
    </row>
    <row r="9">
      <c r="A9" s="9" t="s">
        <v>11</v>
      </c>
      <c r="B9" s="10">
        <v>44416.0</v>
      </c>
      <c r="C9" s="11">
        <v>77000.0</v>
      </c>
      <c r="D9" s="20">
        <v>51000.0</v>
      </c>
      <c r="E9" s="13"/>
      <c r="F9" s="13"/>
      <c r="G9" s="13"/>
      <c r="H9" s="13"/>
      <c r="I9" s="14">
        <v>1.0</v>
      </c>
      <c r="J9" s="11">
        <v>60000.0</v>
      </c>
      <c r="K9" s="28">
        <v>77000.0</v>
      </c>
      <c r="L9" s="7"/>
      <c r="M9" s="7"/>
      <c r="N9" s="7"/>
      <c r="O9" s="7"/>
      <c r="P9" s="7"/>
      <c r="Q9" s="29" t="s">
        <v>18</v>
      </c>
    </row>
    <row r="10">
      <c r="A10" s="9" t="s">
        <v>12</v>
      </c>
      <c r="B10" s="10">
        <v>44417.0</v>
      </c>
      <c r="C10" s="11">
        <v>52000.0</v>
      </c>
      <c r="D10" s="30">
        <v>87000.0</v>
      </c>
      <c r="E10" s="13"/>
      <c r="F10" s="13"/>
      <c r="G10" s="13"/>
      <c r="H10" s="13"/>
      <c r="I10" s="14">
        <v>1.0</v>
      </c>
      <c r="J10" s="11">
        <v>60000.0</v>
      </c>
      <c r="K10" s="17">
        <v>52000.0</v>
      </c>
      <c r="L10" s="7"/>
      <c r="M10" s="7"/>
      <c r="N10" s="7"/>
      <c r="O10" s="7"/>
      <c r="P10" s="7"/>
      <c r="Q10" s="31">
        <f>D33-C33</f>
        <v>21000</v>
      </c>
    </row>
    <row r="11">
      <c r="A11" s="9" t="s">
        <v>13</v>
      </c>
      <c r="B11" s="10">
        <v>44418.0</v>
      </c>
      <c r="C11" s="11">
        <v>87000.0</v>
      </c>
      <c r="D11" s="32">
        <v>73000.0</v>
      </c>
      <c r="E11" s="13"/>
      <c r="F11" s="13"/>
      <c r="G11" s="13"/>
      <c r="H11" s="13"/>
      <c r="I11" s="14">
        <v>1.0</v>
      </c>
      <c r="J11" s="11">
        <v>60000.0</v>
      </c>
      <c r="K11" s="33">
        <v>87000.0</v>
      </c>
      <c r="L11" s="34"/>
      <c r="M11" s="35" t="s">
        <v>19</v>
      </c>
      <c r="N11" s="35" t="s">
        <v>20</v>
      </c>
      <c r="O11" s="7"/>
      <c r="P11" s="7"/>
      <c r="Q11" s="36" t="s">
        <v>21</v>
      </c>
    </row>
    <row r="12">
      <c r="A12" s="9" t="s">
        <v>14</v>
      </c>
      <c r="B12" s="10">
        <v>44419.0</v>
      </c>
      <c r="C12" s="11">
        <v>36000.0</v>
      </c>
      <c r="D12" s="20">
        <v>57000.0</v>
      </c>
      <c r="E12" s="13"/>
      <c r="F12" s="13"/>
      <c r="G12" s="13"/>
      <c r="H12" s="13"/>
      <c r="I12" s="14">
        <v>1.0</v>
      </c>
      <c r="J12" s="11">
        <v>60000.0</v>
      </c>
      <c r="K12" s="23">
        <v>36000.0</v>
      </c>
      <c r="L12" s="34"/>
      <c r="M12" s="37">
        <f>D33+'Les Charges'!H248-N12-E33-'Les Charges'!H259-'Salaires '!J23</f>
        <v>380417</v>
      </c>
      <c r="N12" s="38">
        <v>8000.0</v>
      </c>
      <c r="O12" s="7"/>
      <c r="P12" s="7"/>
      <c r="Q12" s="39">
        <f>D33-J33</f>
        <v>-191000</v>
      </c>
    </row>
    <row r="13">
      <c r="A13" s="9" t="s">
        <v>15</v>
      </c>
      <c r="B13" s="10">
        <v>44420.0</v>
      </c>
      <c r="C13" s="11">
        <v>22000.0</v>
      </c>
      <c r="D13" s="12">
        <v>41000.0</v>
      </c>
      <c r="E13" s="13"/>
      <c r="F13" s="13"/>
      <c r="G13" s="13"/>
      <c r="H13" s="13"/>
      <c r="I13" s="14">
        <v>1.0</v>
      </c>
      <c r="J13" s="11">
        <v>60000.0</v>
      </c>
      <c r="K13" s="18">
        <v>22000.0</v>
      </c>
      <c r="L13" s="7"/>
      <c r="M13" s="7"/>
      <c r="N13" s="7"/>
      <c r="O13" s="7"/>
      <c r="P13" s="7"/>
      <c r="Q13" s="7"/>
    </row>
    <row r="14">
      <c r="A14" s="9" t="s">
        <v>16</v>
      </c>
      <c r="B14" s="10">
        <v>44421.0</v>
      </c>
      <c r="C14" s="11">
        <v>40000.0</v>
      </c>
      <c r="D14" s="40">
        <v>20000.0</v>
      </c>
      <c r="E14" s="13"/>
      <c r="F14" s="13"/>
      <c r="G14" s="13"/>
      <c r="H14" s="13"/>
      <c r="I14" s="14">
        <v>1.0</v>
      </c>
      <c r="J14" s="11">
        <v>60000.0</v>
      </c>
      <c r="K14" s="21">
        <v>40000.0</v>
      </c>
      <c r="L14" s="7"/>
      <c r="M14" s="7"/>
      <c r="N14" s="7"/>
      <c r="O14" s="7"/>
      <c r="P14" s="7"/>
      <c r="Q14" s="7"/>
    </row>
    <row r="15">
      <c r="A15" s="9" t="s">
        <v>17</v>
      </c>
      <c r="B15" s="10">
        <v>44422.0</v>
      </c>
      <c r="C15" s="11">
        <v>33000.0</v>
      </c>
      <c r="D15" s="11">
        <v>30000.0</v>
      </c>
      <c r="E15" s="13"/>
      <c r="F15" s="13"/>
      <c r="G15" s="13"/>
      <c r="H15" s="13"/>
      <c r="I15" s="14">
        <v>1.0</v>
      </c>
      <c r="J15" s="11">
        <v>60000.0</v>
      </c>
      <c r="K15" s="23">
        <v>33000.0</v>
      </c>
      <c r="L15" s="7"/>
      <c r="M15" s="39"/>
      <c r="N15" s="7"/>
      <c r="O15" s="7"/>
      <c r="P15" s="7"/>
      <c r="Q15" s="7"/>
    </row>
    <row r="16">
      <c r="A16" s="9" t="s">
        <v>11</v>
      </c>
      <c r="B16" s="10">
        <v>44423.0</v>
      </c>
      <c r="C16" s="11">
        <v>36000.0</v>
      </c>
      <c r="D16" s="41">
        <v>19000.0</v>
      </c>
      <c r="E16" s="13"/>
      <c r="F16" s="13"/>
      <c r="G16" s="13"/>
      <c r="H16" s="13"/>
      <c r="I16" s="14">
        <v>1.0</v>
      </c>
      <c r="J16" s="11">
        <v>60000.0</v>
      </c>
      <c r="K16" s="23">
        <v>36000.0</v>
      </c>
      <c r="L16" s="42"/>
      <c r="M16" s="39"/>
      <c r="N16" s="7"/>
      <c r="O16" s="7"/>
      <c r="P16" s="43" t="s">
        <v>22</v>
      </c>
      <c r="Q16" s="44">
        <v>350000.0</v>
      </c>
    </row>
    <row r="17">
      <c r="A17" s="9" t="s">
        <v>12</v>
      </c>
      <c r="B17" s="10">
        <v>44424.0</v>
      </c>
      <c r="C17" s="11">
        <v>45000.0</v>
      </c>
      <c r="D17" s="12">
        <v>40000.0</v>
      </c>
      <c r="E17" s="13"/>
      <c r="F17" s="13"/>
      <c r="G17" s="13"/>
      <c r="H17" s="13"/>
      <c r="I17" s="14">
        <v>1.0</v>
      </c>
      <c r="J17" s="11">
        <v>60000.0</v>
      </c>
      <c r="K17" s="21">
        <v>45000.0</v>
      </c>
      <c r="L17" s="42"/>
      <c r="M17" s="39"/>
      <c r="N17" s="7"/>
      <c r="O17" s="7"/>
      <c r="P17" s="7"/>
      <c r="Q17" s="7"/>
    </row>
    <row r="18">
      <c r="A18" s="9" t="s">
        <v>13</v>
      </c>
      <c r="B18" s="10">
        <v>44425.0</v>
      </c>
      <c r="C18" s="11">
        <v>47000.0</v>
      </c>
      <c r="D18" s="45">
        <v>66000.0</v>
      </c>
      <c r="E18" s="13"/>
      <c r="F18" s="13"/>
      <c r="G18" s="13"/>
      <c r="H18" s="13"/>
      <c r="I18" s="14">
        <v>1.0</v>
      </c>
      <c r="J18" s="11">
        <v>60000.0</v>
      </c>
      <c r="K18" s="21">
        <v>47000.0</v>
      </c>
      <c r="L18" s="42"/>
      <c r="M18" s="39"/>
      <c r="N18" s="7"/>
      <c r="O18" s="7"/>
      <c r="P18" s="7"/>
      <c r="Q18" s="7"/>
    </row>
    <row r="19">
      <c r="A19" s="9" t="s">
        <v>14</v>
      </c>
      <c r="B19" s="10">
        <v>44426.0</v>
      </c>
      <c r="C19" s="11">
        <v>55000.0</v>
      </c>
      <c r="D19" s="45">
        <v>63000.0</v>
      </c>
      <c r="E19" s="13"/>
      <c r="F19" s="13"/>
      <c r="G19" s="13"/>
      <c r="H19" s="13"/>
      <c r="I19" s="14">
        <v>1.0</v>
      </c>
      <c r="J19" s="11">
        <v>60000.0</v>
      </c>
      <c r="K19" s="17">
        <v>55000.0</v>
      </c>
      <c r="L19" s="7"/>
      <c r="M19" s="7"/>
      <c r="N19" s="7"/>
      <c r="O19" s="7"/>
      <c r="P19" s="7"/>
      <c r="Q19" s="7"/>
    </row>
    <row r="20">
      <c r="A20" s="9" t="s">
        <v>15</v>
      </c>
      <c r="B20" s="10">
        <v>44427.0</v>
      </c>
      <c r="C20" s="11">
        <v>129000.0</v>
      </c>
      <c r="D20" s="46">
        <v>74000.0</v>
      </c>
      <c r="E20" s="13"/>
      <c r="F20" s="13"/>
      <c r="G20" s="13"/>
      <c r="H20" s="13"/>
      <c r="I20" s="14">
        <v>1.0</v>
      </c>
      <c r="J20" s="11">
        <v>60000.0</v>
      </c>
      <c r="K20" s="47">
        <v>129000.0</v>
      </c>
      <c r="L20" s="7"/>
      <c r="M20" s="42"/>
      <c r="N20" s="7"/>
      <c r="O20" s="7"/>
      <c r="P20" s="48" t="s">
        <v>23</v>
      </c>
      <c r="Q20" s="44">
        <f>Q16+M12</f>
        <v>730417</v>
      </c>
    </row>
    <row r="21">
      <c r="A21" s="9" t="s">
        <v>16</v>
      </c>
      <c r="B21" s="10">
        <v>44428.0</v>
      </c>
      <c r="C21" s="11">
        <v>0.0</v>
      </c>
      <c r="D21" s="49">
        <v>25000.0</v>
      </c>
      <c r="E21" s="13"/>
      <c r="F21" s="13"/>
      <c r="G21" s="13"/>
      <c r="H21" s="13"/>
      <c r="I21" s="14">
        <v>1.0</v>
      </c>
      <c r="J21" s="11">
        <v>60000.0</v>
      </c>
      <c r="K21" s="50">
        <v>0.0</v>
      </c>
      <c r="L21" s="7"/>
      <c r="M21" s="7"/>
      <c r="N21" s="7"/>
      <c r="O21" s="7"/>
      <c r="P21" s="48" t="s">
        <v>24</v>
      </c>
      <c r="Q21" s="44">
        <v>473000.0</v>
      </c>
    </row>
    <row r="22">
      <c r="A22" s="6" t="s">
        <v>17</v>
      </c>
      <c r="B22" s="51">
        <v>44429.0</v>
      </c>
      <c r="C22" s="17"/>
      <c r="D22" s="20">
        <v>0.0</v>
      </c>
      <c r="E22" s="52"/>
      <c r="F22" s="52"/>
      <c r="G22" s="52"/>
      <c r="H22" s="52"/>
      <c r="I22" s="53"/>
      <c r="J22" s="11">
        <v>0.0</v>
      </c>
      <c r="K22" s="50">
        <v>0.0</v>
      </c>
      <c r="L22" s="7"/>
      <c r="M22" s="7"/>
      <c r="N22" s="7"/>
      <c r="O22" s="7"/>
      <c r="P22" s="48" t="s">
        <v>25</v>
      </c>
      <c r="Q22" s="44">
        <v>30000.0</v>
      </c>
    </row>
    <row r="23">
      <c r="A23" s="6" t="s">
        <v>11</v>
      </c>
      <c r="B23" s="51">
        <v>44430.0</v>
      </c>
      <c r="C23" s="17"/>
      <c r="D23" s="20">
        <v>0.0</v>
      </c>
      <c r="E23" s="52"/>
      <c r="F23" s="52"/>
      <c r="G23" s="52"/>
      <c r="H23" s="52"/>
      <c r="I23" s="53"/>
      <c r="J23" s="11">
        <v>0.0</v>
      </c>
      <c r="K23" s="18">
        <v>27000.0</v>
      </c>
      <c r="L23" s="7"/>
      <c r="M23" s="7"/>
      <c r="N23" s="7"/>
      <c r="O23" s="7"/>
      <c r="P23" s="48" t="s">
        <v>26</v>
      </c>
      <c r="Q23" s="44">
        <v>52000.0</v>
      </c>
    </row>
    <row r="24">
      <c r="A24" s="6" t="s">
        <v>12</v>
      </c>
      <c r="B24" s="51">
        <v>44431.0</v>
      </c>
      <c r="C24" s="17"/>
      <c r="D24" s="20">
        <v>0.0</v>
      </c>
      <c r="E24" s="52"/>
      <c r="F24" s="52"/>
      <c r="G24" s="52"/>
      <c r="H24" s="52"/>
      <c r="I24" s="53"/>
      <c r="J24" s="11">
        <v>0.0</v>
      </c>
      <c r="K24" s="23">
        <v>32000.0</v>
      </c>
      <c r="L24" s="7"/>
      <c r="M24" s="7"/>
      <c r="N24" s="7"/>
      <c r="O24" s="7"/>
      <c r="P24" s="48" t="s">
        <v>27</v>
      </c>
      <c r="Q24" s="54">
        <v>7000.0</v>
      </c>
    </row>
    <row r="25">
      <c r="A25" s="6" t="s">
        <v>13</v>
      </c>
      <c r="B25" s="51">
        <v>44432.0</v>
      </c>
      <c r="C25" s="17"/>
      <c r="D25" s="20">
        <v>0.0</v>
      </c>
      <c r="E25" s="52"/>
      <c r="F25" s="52"/>
      <c r="G25" s="52"/>
      <c r="H25" s="52"/>
      <c r="I25" s="53"/>
      <c r="J25" s="11">
        <v>0.0</v>
      </c>
      <c r="K25" s="18">
        <v>26000.0</v>
      </c>
      <c r="L25" s="7"/>
      <c r="M25" s="7"/>
      <c r="N25" s="7"/>
      <c r="O25" s="7"/>
      <c r="P25" s="55"/>
      <c r="Q25" s="54"/>
    </row>
    <row r="26">
      <c r="A26" s="6" t="s">
        <v>14</v>
      </c>
      <c r="B26" s="51">
        <v>44433.0</v>
      </c>
      <c r="C26" s="17"/>
      <c r="D26" s="20">
        <v>0.0</v>
      </c>
      <c r="E26" s="52"/>
      <c r="F26" s="52"/>
      <c r="G26" s="52"/>
      <c r="H26" s="52"/>
      <c r="I26" s="53"/>
      <c r="J26" s="11">
        <v>0.0</v>
      </c>
      <c r="K26" s="18">
        <v>21000.0</v>
      </c>
      <c r="L26" s="7"/>
      <c r="M26" s="7"/>
      <c r="N26" s="7"/>
      <c r="O26" s="7"/>
      <c r="P26" s="55"/>
      <c r="Q26" s="56">
        <f>Q20-Q21-Q22-Q23-Q24</f>
        <v>168417</v>
      </c>
    </row>
    <row r="27">
      <c r="A27" s="6" t="s">
        <v>15</v>
      </c>
      <c r="B27" s="51">
        <v>44434.0</v>
      </c>
      <c r="C27" s="17"/>
      <c r="D27" s="20">
        <v>0.0</v>
      </c>
      <c r="E27" s="52"/>
      <c r="F27" s="52"/>
      <c r="G27" s="52"/>
      <c r="H27" s="52"/>
      <c r="I27" s="53"/>
      <c r="J27" s="11">
        <v>0.0</v>
      </c>
      <c r="K27" s="21">
        <v>42000.0</v>
      </c>
      <c r="L27" s="7"/>
      <c r="M27" s="7"/>
      <c r="N27" s="7"/>
      <c r="O27" s="7"/>
      <c r="P27" s="7"/>
      <c r="Q27" s="42"/>
    </row>
    <row r="28">
      <c r="A28" s="6" t="s">
        <v>16</v>
      </c>
      <c r="B28" s="51">
        <v>44435.0</v>
      </c>
      <c r="C28" s="17"/>
      <c r="D28" s="20">
        <v>0.0</v>
      </c>
      <c r="E28" s="52"/>
      <c r="F28" s="52"/>
      <c r="G28" s="52"/>
      <c r="H28" s="52"/>
      <c r="I28" s="53"/>
      <c r="J28" s="11">
        <v>0.0</v>
      </c>
      <c r="K28" s="21">
        <v>40000.0</v>
      </c>
      <c r="L28" s="7"/>
      <c r="M28" s="7"/>
      <c r="N28" s="7"/>
      <c r="O28" s="7"/>
      <c r="P28" s="7"/>
      <c r="Q28" s="42"/>
    </row>
    <row r="29">
      <c r="A29" s="6" t="s">
        <v>17</v>
      </c>
      <c r="B29" s="51">
        <v>44436.0</v>
      </c>
      <c r="C29" s="17"/>
      <c r="D29" s="20">
        <v>0.0</v>
      </c>
      <c r="E29" s="52"/>
      <c r="F29" s="52"/>
      <c r="G29" s="52"/>
      <c r="H29" s="52"/>
      <c r="I29" s="53"/>
      <c r="J29" s="11">
        <v>0.0</v>
      </c>
      <c r="K29" s="21">
        <v>45000.0</v>
      </c>
      <c r="L29" s="7" t="s">
        <v>28</v>
      </c>
      <c r="M29" s="7"/>
      <c r="N29" s="7"/>
      <c r="O29" s="7"/>
      <c r="P29" s="7"/>
      <c r="Q29" s="7"/>
    </row>
    <row r="30">
      <c r="A30" s="6" t="s">
        <v>11</v>
      </c>
      <c r="B30" s="51">
        <v>44437.0</v>
      </c>
      <c r="C30" s="17"/>
      <c r="D30" s="20">
        <v>0.0</v>
      </c>
      <c r="E30" s="52"/>
      <c r="F30" s="52"/>
      <c r="G30" s="52"/>
      <c r="H30" s="52"/>
      <c r="I30" s="53"/>
      <c r="J30" s="11">
        <v>0.0</v>
      </c>
      <c r="K30" s="17">
        <v>58000.0</v>
      </c>
      <c r="L30" s="7"/>
      <c r="M30" s="7"/>
      <c r="N30" s="7"/>
      <c r="O30" s="7"/>
      <c r="P30" s="7"/>
      <c r="Q30" s="7"/>
    </row>
    <row r="31">
      <c r="A31" s="6" t="s">
        <v>12</v>
      </c>
      <c r="B31" s="51">
        <v>44438.0</v>
      </c>
      <c r="C31" s="17"/>
      <c r="D31" s="20">
        <v>0.0</v>
      </c>
      <c r="E31" s="52"/>
      <c r="F31" s="52"/>
      <c r="G31" s="52"/>
      <c r="H31" s="52"/>
      <c r="I31" s="57"/>
      <c r="J31" s="11">
        <v>0.0</v>
      </c>
      <c r="K31" s="23">
        <v>34000.0</v>
      </c>
      <c r="L31" s="7"/>
      <c r="M31" s="7"/>
      <c r="N31" s="7"/>
      <c r="O31" s="7"/>
      <c r="P31" s="7"/>
      <c r="Q31" s="7"/>
    </row>
    <row r="32">
      <c r="A32" s="6" t="s">
        <v>13</v>
      </c>
      <c r="B32" s="51">
        <v>44439.0</v>
      </c>
      <c r="C32" s="17"/>
      <c r="D32" s="20">
        <v>0.0</v>
      </c>
      <c r="E32" s="52"/>
      <c r="F32" s="52"/>
      <c r="G32" s="52"/>
      <c r="H32" s="52"/>
      <c r="I32" s="57"/>
      <c r="J32" s="11">
        <v>0.0</v>
      </c>
      <c r="K32" s="21">
        <v>44000.0</v>
      </c>
      <c r="L32" s="7"/>
      <c r="M32" s="7"/>
      <c r="N32" s="7"/>
      <c r="O32" s="7"/>
      <c r="P32" s="7"/>
      <c r="Q32" s="7"/>
    </row>
    <row r="33">
      <c r="A33" s="58"/>
      <c r="B33" s="59"/>
      <c r="C33" s="60">
        <f t="shared" ref="C33:D33" si="1">SUM(C2:C32)</f>
        <v>928000</v>
      </c>
      <c r="D33" s="61">
        <f t="shared" si="1"/>
        <v>949000</v>
      </c>
      <c r="E33" s="62">
        <f>'Les Charges'!H247*1</f>
        <v>414283</v>
      </c>
      <c r="F33" s="63">
        <f>'Salaires '!I23*1</f>
        <v>162700</v>
      </c>
      <c r="G33" s="64">
        <v>50000.0</v>
      </c>
      <c r="H33" s="60">
        <f>D33+'Les Charges'!H248-G33-F33-E33</f>
        <v>342017</v>
      </c>
      <c r="I33" s="65">
        <f t="shared" ref="I33:K33" si="2">SUM(I2:I32)</f>
        <v>19</v>
      </c>
      <c r="J33" s="66">
        <f t="shared" si="2"/>
        <v>1140000</v>
      </c>
      <c r="K33" s="21">
        <f t="shared" si="2"/>
        <v>1297000</v>
      </c>
      <c r="L33" s="7"/>
      <c r="M33" s="7"/>
      <c r="N33" s="7"/>
      <c r="O33" s="7"/>
      <c r="P33" s="7"/>
      <c r="Q33" s="7"/>
    </row>
    <row r="34">
      <c r="A34" s="7"/>
      <c r="B34" s="7"/>
      <c r="C34" s="58"/>
      <c r="D34" s="58"/>
      <c r="E34" s="58"/>
      <c r="F34" s="58"/>
      <c r="G34" s="58"/>
      <c r="H34" s="58"/>
      <c r="I34" s="7"/>
      <c r="J34" s="7"/>
      <c r="K34" s="7"/>
      <c r="L34" s="7"/>
      <c r="M34" s="7"/>
      <c r="N34" s="7"/>
      <c r="O34" s="7"/>
      <c r="P34" s="7"/>
      <c r="Q34" s="7"/>
    </row>
    <row r="35">
      <c r="A35" s="7"/>
      <c r="B35" s="58"/>
      <c r="C35" s="67" t="s">
        <v>8</v>
      </c>
      <c r="D35" s="68">
        <v>1190000.0</v>
      </c>
      <c r="E35" s="69">
        <v>500000.0</v>
      </c>
      <c r="F35" s="68">
        <v>140000.0</v>
      </c>
      <c r="G35" s="69">
        <v>50000.0</v>
      </c>
      <c r="H35" s="68">
        <v>500000.0</v>
      </c>
      <c r="I35" s="7"/>
      <c r="J35" s="7"/>
      <c r="K35" s="7"/>
      <c r="L35" s="7"/>
      <c r="M35" s="7"/>
      <c r="N35" s="7"/>
      <c r="O35" s="7"/>
      <c r="P35" s="7"/>
      <c r="Q35" s="7"/>
    </row>
    <row r="36">
      <c r="A36" s="58"/>
      <c r="B36" s="58"/>
      <c r="C36" s="70" t="s">
        <v>29</v>
      </c>
      <c r="D36" s="71">
        <v>1297000.0</v>
      </c>
      <c r="E36" s="72">
        <v>505000.0</v>
      </c>
      <c r="F36" s="73">
        <v>222000.0</v>
      </c>
      <c r="G36" s="74">
        <v>50000.0</v>
      </c>
      <c r="H36" s="20">
        <v>540000.0</v>
      </c>
      <c r="I36" s="7"/>
      <c r="J36" s="7"/>
      <c r="K36" s="7"/>
      <c r="L36" s="7"/>
      <c r="M36" s="7"/>
      <c r="N36" s="7"/>
      <c r="O36" s="7"/>
      <c r="P36" s="7"/>
      <c r="Q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1.13"/>
    <col customWidth="1" min="6" max="6" width="24.25"/>
    <col customWidth="1" min="7" max="7" width="25.0"/>
    <col customWidth="1" min="8" max="8" width="21.0"/>
    <col customWidth="1" min="9" max="9" width="21.38"/>
  </cols>
  <sheetData>
    <row r="1">
      <c r="A1" s="75"/>
    </row>
    <row r="9">
      <c r="E9" s="76" t="s">
        <v>30</v>
      </c>
      <c r="F9" s="77" t="s">
        <v>31</v>
      </c>
      <c r="G9" s="77" t="s">
        <v>32</v>
      </c>
      <c r="H9" s="77" t="s">
        <v>33</v>
      </c>
      <c r="I9" s="77" t="s">
        <v>34</v>
      </c>
    </row>
    <row r="10">
      <c r="E10" s="78" t="s">
        <v>35</v>
      </c>
      <c r="F10" s="78">
        <v>4.0</v>
      </c>
      <c r="G10" s="79">
        <v>1300.0</v>
      </c>
      <c r="H10" s="79">
        <v>5200.0</v>
      </c>
      <c r="I10" s="80">
        <v>44409.0</v>
      </c>
    </row>
    <row r="11">
      <c r="E11" s="78" t="s">
        <v>36</v>
      </c>
      <c r="F11" s="78">
        <v>4.0</v>
      </c>
      <c r="G11" s="79">
        <v>670.0</v>
      </c>
      <c r="H11" s="79">
        <v>2680.0</v>
      </c>
      <c r="I11" s="80">
        <v>44409.0</v>
      </c>
    </row>
    <row r="12">
      <c r="E12" s="78" t="s">
        <v>37</v>
      </c>
      <c r="F12" s="78" t="s">
        <v>38</v>
      </c>
      <c r="G12" s="79">
        <v>550.0</v>
      </c>
      <c r="H12" s="79">
        <v>2750.0</v>
      </c>
      <c r="I12" s="80">
        <v>44409.0</v>
      </c>
    </row>
    <row r="13">
      <c r="E13" s="78" t="s">
        <v>39</v>
      </c>
      <c r="F13" s="78">
        <v>10.0</v>
      </c>
      <c r="G13" s="79">
        <v>190.0</v>
      </c>
      <c r="H13" s="79">
        <v>1900.0</v>
      </c>
      <c r="I13" s="80">
        <v>44409.0</v>
      </c>
    </row>
    <row r="14">
      <c r="E14" s="78" t="s">
        <v>40</v>
      </c>
      <c r="F14" s="78" t="s">
        <v>41</v>
      </c>
      <c r="G14" s="79">
        <v>1680.0</v>
      </c>
      <c r="H14" s="79">
        <v>21840.0</v>
      </c>
      <c r="I14" s="80">
        <v>44409.0</v>
      </c>
    </row>
    <row r="15">
      <c r="E15" s="78" t="s">
        <v>42</v>
      </c>
      <c r="F15" s="78">
        <v>3.0</v>
      </c>
      <c r="G15" s="79">
        <v>1200.0</v>
      </c>
      <c r="H15" s="79">
        <v>3600.0</v>
      </c>
      <c r="I15" s="80">
        <v>44409.0</v>
      </c>
    </row>
    <row r="16">
      <c r="E16" s="78" t="s">
        <v>43</v>
      </c>
      <c r="F16" s="78">
        <v>12.0</v>
      </c>
      <c r="G16" s="79">
        <v>55.0</v>
      </c>
      <c r="H16" s="79">
        <v>660.0</v>
      </c>
      <c r="I16" s="80">
        <v>44409.0</v>
      </c>
    </row>
    <row r="17">
      <c r="E17" s="78" t="s">
        <v>44</v>
      </c>
      <c r="F17" s="78">
        <v>12.0</v>
      </c>
      <c r="G17" s="79">
        <v>95.0</v>
      </c>
      <c r="H17" s="79">
        <v>1140.0</v>
      </c>
      <c r="I17" s="80">
        <v>44409.0</v>
      </c>
    </row>
    <row r="18">
      <c r="E18" s="78" t="s">
        <v>45</v>
      </c>
      <c r="F18" s="78">
        <v>12.0</v>
      </c>
      <c r="G18" s="79">
        <v>190.0</v>
      </c>
      <c r="H18" s="79">
        <v>2280.0</v>
      </c>
      <c r="I18" s="80">
        <v>44409.0</v>
      </c>
    </row>
    <row r="19">
      <c r="E19" s="78" t="s">
        <v>46</v>
      </c>
      <c r="F19" s="78">
        <v>1.0</v>
      </c>
      <c r="G19" s="79">
        <v>150.0</v>
      </c>
      <c r="H19" s="79">
        <v>150.0</v>
      </c>
      <c r="I19" s="80">
        <v>44409.0</v>
      </c>
    </row>
    <row r="20">
      <c r="E20" s="81" t="s">
        <v>47</v>
      </c>
      <c r="F20" s="70">
        <v>20.0</v>
      </c>
      <c r="G20" s="82">
        <v>90.0</v>
      </c>
      <c r="H20" s="83">
        <v>1800.0</v>
      </c>
      <c r="I20" s="84">
        <v>44409.0</v>
      </c>
    </row>
    <row r="21">
      <c r="E21" s="78" t="s">
        <v>48</v>
      </c>
      <c r="F21" s="78" t="s">
        <v>49</v>
      </c>
      <c r="G21" s="79">
        <v>650.0</v>
      </c>
      <c r="H21" s="79">
        <v>650.0</v>
      </c>
      <c r="I21" s="80">
        <v>44409.0</v>
      </c>
    </row>
    <row r="22">
      <c r="E22" s="78" t="s">
        <v>50</v>
      </c>
      <c r="F22" s="78">
        <v>2.0</v>
      </c>
      <c r="G22" s="79">
        <v>1050.0</v>
      </c>
      <c r="H22" s="79">
        <v>2100.0</v>
      </c>
      <c r="I22" s="80">
        <v>44409.0</v>
      </c>
    </row>
    <row r="23">
      <c r="E23" s="78" t="s">
        <v>51</v>
      </c>
      <c r="F23" s="78">
        <v>2.0</v>
      </c>
      <c r="G23" s="79">
        <v>1600.0</v>
      </c>
      <c r="H23" s="79">
        <v>3200.0</v>
      </c>
      <c r="I23" s="80">
        <v>44409.0</v>
      </c>
    </row>
    <row r="24">
      <c r="E24" s="78" t="s">
        <v>52</v>
      </c>
      <c r="F24" s="78" t="s">
        <v>53</v>
      </c>
      <c r="G24" s="79">
        <v>3750.0</v>
      </c>
      <c r="H24" s="79">
        <v>3750.0</v>
      </c>
      <c r="I24" s="80">
        <v>44409.0</v>
      </c>
    </row>
    <row r="25">
      <c r="E25" s="78" t="s">
        <v>54</v>
      </c>
      <c r="F25" s="78">
        <v>1.0</v>
      </c>
      <c r="G25" s="79">
        <v>750.0</v>
      </c>
      <c r="H25" s="79">
        <v>750.0</v>
      </c>
      <c r="I25" s="80">
        <v>44409.0</v>
      </c>
    </row>
    <row r="26">
      <c r="E26" s="78" t="s">
        <v>55</v>
      </c>
      <c r="F26" s="78" t="s">
        <v>56</v>
      </c>
      <c r="G26" s="79">
        <v>1200.0</v>
      </c>
      <c r="H26" s="79">
        <v>1200.0</v>
      </c>
      <c r="I26" s="80">
        <v>44409.0</v>
      </c>
    </row>
    <row r="27">
      <c r="E27" s="78" t="s">
        <v>57</v>
      </c>
      <c r="F27" s="78">
        <v>1.0</v>
      </c>
      <c r="G27" s="79">
        <v>3400.0</v>
      </c>
      <c r="H27" s="79">
        <v>3400.0</v>
      </c>
      <c r="I27" s="80">
        <v>44409.0</v>
      </c>
    </row>
    <row r="28">
      <c r="E28" s="78" t="s">
        <v>58</v>
      </c>
      <c r="F28" s="78">
        <v>1.0</v>
      </c>
      <c r="G28" s="79">
        <v>400.0</v>
      </c>
      <c r="H28" s="79">
        <v>400.0</v>
      </c>
      <c r="I28" s="80">
        <v>44409.0</v>
      </c>
    </row>
    <row r="29">
      <c r="E29" s="78" t="s">
        <v>59</v>
      </c>
      <c r="F29" s="78">
        <v>5.0</v>
      </c>
      <c r="G29" s="79">
        <v>850.0</v>
      </c>
      <c r="H29" s="79">
        <v>4250.0</v>
      </c>
      <c r="I29" s="80">
        <v>44409.0</v>
      </c>
    </row>
    <row r="30">
      <c r="E30" s="78" t="s">
        <v>60</v>
      </c>
      <c r="F30" s="78" t="s">
        <v>61</v>
      </c>
      <c r="G30" s="79">
        <v>160.0</v>
      </c>
      <c r="H30" s="79">
        <v>320.0</v>
      </c>
      <c r="I30" s="80">
        <v>44409.0</v>
      </c>
    </row>
    <row r="31">
      <c r="E31" s="78" t="s">
        <v>62</v>
      </c>
      <c r="F31" s="78">
        <v>5.0</v>
      </c>
      <c r="G31" s="79">
        <v>650.0</v>
      </c>
      <c r="H31" s="79">
        <v>3250.0</v>
      </c>
      <c r="I31" s="80">
        <v>44409.0</v>
      </c>
    </row>
    <row r="32">
      <c r="E32" s="78" t="s">
        <v>63</v>
      </c>
      <c r="F32" s="78" t="s">
        <v>64</v>
      </c>
      <c r="G32" s="79">
        <v>1230.0</v>
      </c>
      <c r="H32" s="79">
        <v>1800.0</v>
      </c>
      <c r="I32" s="80">
        <v>44409.0</v>
      </c>
    </row>
    <row r="33">
      <c r="E33" s="78" t="s">
        <v>65</v>
      </c>
      <c r="F33" s="78">
        <v>7.0</v>
      </c>
      <c r="G33" s="79">
        <v>175.0</v>
      </c>
      <c r="H33" s="79">
        <v>1225.0</v>
      </c>
      <c r="I33" s="80">
        <v>44409.0</v>
      </c>
    </row>
    <row r="34">
      <c r="E34" s="78" t="s">
        <v>66</v>
      </c>
      <c r="F34" s="78">
        <v>1.0</v>
      </c>
      <c r="G34" s="79">
        <v>950.0</v>
      </c>
      <c r="H34" s="79">
        <v>950.0</v>
      </c>
      <c r="I34" s="80">
        <v>44409.0</v>
      </c>
    </row>
    <row r="35">
      <c r="E35" s="78" t="s">
        <v>67</v>
      </c>
      <c r="F35" s="78" t="s">
        <v>68</v>
      </c>
      <c r="G35" s="79">
        <v>30.0</v>
      </c>
      <c r="H35" s="79">
        <v>2250.0</v>
      </c>
      <c r="I35" s="80">
        <v>44409.0</v>
      </c>
    </row>
    <row r="36">
      <c r="E36" s="78" t="s">
        <v>69</v>
      </c>
      <c r="F36" s="78" t="s">
        <v>70</v>
      </c>
      <c r="G36" s="79">
        <v>360.0</v>
      </c>
      <c r="H36" s="79">
        <v>1800.0</v>
      </c>
      <c r="I36" s="80">
        <v>44409.0</v>
      </c>
    </row>
    <row r="37">
      <c r="E37" s="78" t="s">
        <v>35</v>
      </c>
      <c r="F37" s="78">
        <v>5.0</v>
      </c>
      <c r="G37" s="79">
        <v>1300.0</v>
      </c>
      <c r="H37" s="79">
        <v>6500.0</v>
      </c>
      <c r="I37" s="80">
        <v>44409.0</v>
      </c>
    </row>
    <row r="38">
      <c r="E38" s="78" t="s">
        <v>71</v>
      </c>
      <c r="F38" s="78">
        <v>2.0</v>
      </c>
      <c r="G38" s="79" t="s">
        <v>72</v>
      </c>
      <c r="H38" s="79">
        <v>1500.0</v>
      </c>
      <c r="I38" s="80">
        <v>44409.0</v>
      </c>
    </row>
    <row r="39">
      <c r="E39" s="78" t="s">
        <v>73</v>
      </c>
      <c r="F39" s="78">
        <v>800.0</v>
      </c>
      <c r="G39" s="79">
        <v>50.0</v>
      </c>
      <c r="H39" s="79">
        <v>40000.0</v>
      </c>
      <c r="I39" s="80">
        <v>44409.0</v>
      </c>
    </row>
    <row r="40">
      <c r="E40" s="85" t="s">
        <v>74</v>
      </c>
      <c r="F40" s="85">
        <v>16.0</v>
      </c>
      <c r="G40" s="86">
        <v>590.0</v>
      </c>
      <c r="H40" s="86">
        <v>9440.0</v>
      </c>
      <c r="I40" s="85" t="s">
        <v>72</v>
      </c>
    </row>
    <row r="41">
      <c r="E41" s="78" t="s">
        <v>75</v>
      </c>
      <c r="F41" s="78">
        <v>2.0</v>
      </c>
      <c r="G41" s="79">
        <v>600.0</v>
      </c>
      <c r="H41" s="79">
        <v>1200.0</v>
      </c>
      <c r="I41" s="80">
        <v>44409.0</v>
      </c>
    </row>
    <row r="42">
      <c r="E42" s="78" t="s">
        <v>76</v>
      </c>
      <c r="F42" s="78" t="s">
        <v>49</v>
      </c>
      <c r="G42" s="79">
        <v>1500.0</v>
      </c>
      <c r="H42" s="79">
        <v>1500.0</v>
      </c>
      <c r="I42" s="80">
        <v>44409.0</v>
      </c>
    </row>
    <row r="43">
      <c r="E43" s="78" t="s">
        <v>77</v>
      </c>
      <c r="F43" s="78" t="s">
        <v>49</v>
      </c>
      <c r="G43" s="79">
        <v>800.0</v>
      </c>
      <c r="H43" s="79">
        <v>800.0</v>
      </c>
      <c r="I43" s="80">
        <v>44409.0</v>
      </c>
    </row>
    <row r="44">
      <c r="E44" s="81" t="s">
        <v>78</v>
      </c>
      <c r="F44" s="70" t="s">
        <v>79</v>
      </c>
      <c r="G44" s="82">
        <v>230.0</v>
      </c>
      <c r="H44" s="83">
        <v>1840.0</v>
      </c>
      <c r="I44" s="84">
        <v>44409.0</v>
      </c>
    </row>
    <row r="45">
      <c r="E45" s="81" t="s">
        <v>80</v>
      </c>
      <c r="F45" s="70">
        <v>7.0</v>
      </c>
      <c r="G45" s="82">
        <v>450.0</v>
      </c>
      <c r="H45" s="83">
        <v>3150.0</v>
      </c>
      <c r="I45" s="84">
        <v>44409.0</v>
      </c>
    </row>
    <row r="46">
      <c r="E46" s="81" t="s">
        <v>81</v>
      </c>
      <c r="F46" s="81" t="s">
        <v>82</v>
      </c>
      <c r="G46" s="82">
        <v>100.0</v>
      </c>
      <c r="H46" s="82">
        <v>3000.0</v>
      </c>
      <c r="I46" s="84">
        <v>44409.0</v>
      </c>
    </row>
    <row r="47">
      <c r="E47" s="78" t="s">
        <v>83</v>
      </c>
      <c r="F47" s="78">
        <v>1.0</v>
      </c>
      <c r="G47" s="79">
        <v>350.0</v>
      </c>
      <c r="H47" s="79">
        <v>350.0</v>
      </c>
      <c r="I47" s="87"/>
    </row>
    <row r="48">
      <c r="E48" s="78" t="s">
        <v>84</v>
      </c>
      <c r="F48" s="78">
        <v>1.0</v>
      </c>
      <c r="G48" s="79">
        <v>850.0</v>
      </c>
      <c r="H48" s="79">
        <v>850.0</v>
      </c>
      <c r="I48" s="80">
        <v>44409.0</v>
      </c>
    </row>
    <row r="49">
      <c r="E49" s="78" t="s">
        <v>85</v>
      </c>
      <c r="F49" s="78" t="s">
        <v>86</v>
      </c>
      <c r="G49" s="79">
        <v>1450.0</v>
      </c>
      <c r="H49" s="79">
        <v>3600.0</v>
      </c>
      <c r="I49" s="80">
        <v>44409.0</v>
      </c>
    </row>
    <row r="50">
      <c r="E50" s="78" t="s">
        <v>87</v>
      </c>
      <c r="F50" s="78">
        <v>5.0</v>
      </c>
      <c r="G50" s="79">
        <v>120.0</v>
      </c>
      <c r="H50" s="79">
        <v>600.0</v>
      </c>
      <c r="I50" s="80">
        <v>44409.0</v>
      </c>
    </row>
    <row r="51">
      <c r="E51" s="78" t="s">
        <v>88</v>
      </c>
      <c r="F51" s="78" t="s">
        <v>72</v>
      </c>
      <c r="G51" s="79">
        <v>200.0</v>
      </c>
      <c r="H51" s="79">
        <v>200.0</v>
      </c>
      <c r="I51" s="80">
        <v>44409.0</v>
      </c>
    </row>
    <row r="52">
      <c r="E52" s="78" t="s">
        <v>89</v>
      </c>
      <c r="F52" s="78" t="s">
        <v>61</v>
      </c>
      <c r="G52" s="79">
        <v>50.0</v>
      </c>
      <c r="H52" s="79">
        <v>100.0</v>
      </c>
      <c r="I52" s="80">
        <v>44409.0</v>
      </c>
    </row>
    <row r="53">
      <c r="E53" s="78" t="s">
        <v>90</v>
      </c>
      <c r="F53" s="78" t="s">
        <v>49</v>
      </c>
      <c r="G53" s="79">
        <v>50.0</v>
      </c>
      <c r="H53" s="79">
        <v>50.0</v>
      </c>
      <c r="I53" s="80">
        <v>44409.0</v>
      </c>
    </row>
    <row r="54">
      <c r="E54" s="78" t="s">
        <v>91</v>
      </c>
      <c r="F54" s="88">
        <v>44323.0</v>
      </c>
      <c r="G54" s="79">
        <v>90.0</v>
      </c>
      <c r="H54" s="79">
        <v>600.0</v>
      </c>
      <c r="I54" s="80">
        <v>44409.0</v>
      </c>
    </row>
    <row r="55">
      <c r="E55" s="78" t="s">
        <v>81</v>
      </c>
      <c r="F55" s="78" t="s">
        <v>92</v>
      </c>
      <c r="G55" s="79">
        <v>100.0</v>
      </c>
      <c r="H55" s="79">
        <v>1000.0</v>
      </c>
      <c r="I55" s="80">
        <v>44410.0</v>
      </c>
    </row>
    <row r="56">
      <c r="E56" s="78" t="s">
        <v>93</v>
      </c>
      <c r="F56" s="78">
        <v>1.0</v>
      </c>
      <c r="G56" s="79">
        <v>70.0</v>
      </c>
      <c r="H56" s="79">
        <v>70.0</v>
      </c>
      <c r="I56" s="80">
        <v>44410.0</v>
      </c>
    </row>
    <row r="57">
      <c r="E57" s="78" t="s">
        <v>77</v>
      </c>
      <c r="F57" s="78" t="s">
        <v>49</v>
      </c>
      <c r="G57" s="79">
        <v>850.0</v>
      </c>
      <c r="H57" s="79">
        <v>850.0</v>
      </c>
      <c r="I57" s="80">
        <v>44410.0</v>
      </c>
    </row>
    <row r="58">
      <c r="E58" s="78" t="s">
        <v>94</v>
      </c>
      <c r="F58" s="78">
        <v>1.0</v>
      </c>
      <c r="G58" s="79">
        <v>850.0</v>
      </c>
      <c r="H58" s="79">
        <v>850.0</v>
      </c>
      <c r="I58" s="80">
        <v>44410.0</v>
      </c>
    </row>
    <row r="59">
      <c r="E59" s="78" t="s">
        <v>95</v>
      </c>
      <c r="F59" s="78" t="s">
        <v>61</v>
      </c>
      <c r="G59" s="79">
        <v>800.0</v>
      </c>
      <c r="H59" s="79">
        <v>1600.0</v>
      </c>
      <c r="I59" s="80">
        <v>44410.0</v>
      </c>
    </row>
    <row r="60">
      <c r="E60" s="78" t="s">
        <v>71</v>
      </c>
      <c r="F60" s="78">
        <v>3.0</v>
      </c>
      <c r="G60" s="79">
        <v>1500.0</v>
      </c>
      <c r="H60" s="79">
        <v>1500.0</v>
      </c>
      <c r="I60" s="80">
        <v>44410.0</v>
      </c>
    </row>
    <row r="61">
      <c r="E61" s="78" t="s">
        <v>35</v>
      </c>
      <c r="F61" s="78">
        <v>10.0</v>
      </c>
      <c r="G61" s="79">
        <v>1300.0</v>
      </c>
      <c r="H61" s="79">
        <v>13000.0</v>
      </c>
      <c r="I61" s="80">
        <v>44410.0</v>
      </c>
    </row>
    <row r="62">
      <c r="E62" s="78" t="s">
        <v>96</v>
      </c>
      <c r="F62" s="78">
        <v>5.0</v>
      </c>
      <c r="G62" s="79">
        <v>1500.0</v>
      </c>
      <c r="H62" s="79">
        <v>7500.0</v>
      </c>
      <c r="I62" s="80">
        <v>44410.0</v>
      </c>
    </row>
    <row r="63">
      <c r="E63" s="78" t="s">
        <v>97</v>
      </c>
      <c r="F63" s="78">
        <v>5.0</v>
      </c>
      <c r="G63" s="79">
        <v>670.0</v>
      </c>
      <c r="H63" s="79">
        <v>3350.0</v>
      </c>
      <c r="I63" s="80">
        <v>44410.0</v>
      </c>
    </row>
    <row r="64">
      <c r="E64" s="78" t="s">
        <v>98</v>
      </c>
      <c r="F64" s="78">
        <v>3.0</v>
      </c>
      <c r="G64" s="79">
        <v>300.0</v>
      </c>
      <c r="H64" s="79">
        <v>900.0</v>
      </c>
      <c r="I64" s="80">
        <v>44411.0</v>
      </c>
    </row>
    <row r="65">
      <c r="E65" s="78" t="s">
        <v>77</v>
      </c>
      <c r="F65" s="78" t="s">
        <v>99</v>
      </c>
      <c r="G65" s="79">
        <v>800.0</v>
      </c>
      <c r="H65" s="79">
        <v>400.0</v>
      </c>
      <c r="I65" s="80">
        <v>44411.0</v>
      </c>
    </row>
    <row r="66">
      <c r="E66" s="78" t="s">
        <v>67</v>
      </c>
      <c r="F66" s="78" t="s">
        <v>92</v>
      </c>
      <c r="G66" s="79">
        <v>30.0</v>
      </c>
      <c r="H66" s="79">
        <v>300.0</v>
      </c>
      <c r="I66" s="80">
        <v>44411.0</v>
      </c>
    </row>
    <row r="67">
      <c r="E67" s="78" t="s">
        <v>100</v>
      </c>
      <c r="F67" s="78" t="s">
        <v>101</v>
      </c>
      <c r="G67" s="79" t="s">
        <v>72</v>
      </c>
      <c r="H67" s="79">
        <v>500.0</v>
      </c>
      <c r="I67" s="80">
        <v>44411.0</v>
      </c>
    </row>
    <row r="68">
      <c r="E68" s="78" t="s">
        <v>102</v>
      </c>
      <c r="F68" s="78" t="s">
        <v>72</v>
      </c>
      <c r="G68" s="79" t="s">
        <v>72</v>
      </c>
      <c r="H68" s="79">
        <v>400.0</v>
      </c>
      <c r="I68" s="80">
        <v>44411.0</v>
      </c>
    </row>
    <row r="69">
      <c r="E69" s="78" t="s">
        <v>103</v>
      </c>
      <c r="F69" s="78">
        <v>1.0</v>
      </c>
      <c r="G69" s="79">
        <v>1000.0</v>
      </c>
      <c r="H69" s="79">
        <v>1000.0</v>
      </c>
      <c r="I69" s="80">
        <v>44411.0</v>
      </c>
    </row>
    <row r="70">
      <c r="E70" s="78" t="s">
        <v>81</v>
      </c>
      <c r="F70" s="78" t="s">
        <v>92</v>
      </c>
      <c r="G70" s="79">
        <v>1000.0</v>
      </c>
      <c r="H70" s="79">
        <v>1000.0</v>
      </c>
      <c r="I70" s="80">
        <v>44411.0</v>
      </c>
    </row>
    <row r="71">
      <c r="E71" s="78" t="s">
        <v>67</v>
      </c>
      <c r="F71" s="78" t="s">
        <v>92</v>
      </c>
      <c r="G71" s="79">
        <v>30.0</v>
      </c>
      <c r="H71" s="79">
        <v>300.0</v>
      </c>
      <c r="I71" s="80">
        <v>44412.0</v>
      </c>
    </row>
    <row r="72">
      <c r="E72" s="89" t="s">
        <v>104</v>
      </c>
      <c r="F72" s="90"/>
      <c r="G72" s="91"/>
      <c r="H72" s="92">
        <v>14000.0</v>
      </c>
      <c r="I72" s="93">
        <v>44411.0</v>
      </c>
    </row>
    <row r="73">
      <c r="E73" s="94" t="s">
        <v>105</v>
      </c>
      <c r="F73" s="94">
        <v>2.0</v>
      </c>
      <c r="G73" s="95">
        <v>2424.0</v>
      </c>
      <c r="H73" s="95">
        <v>4848.0</v>
      </c>
      <c r="I73" s="96">
        <v>44412.0</v>
      </c>
    </row>
    <row r="74">
      <c r="E74" s="78" t="s">
        <v>106</v>
      </c>
      <c r="F74" s="78">
        <v>20.0</v>
      </c>
      <c r="G74" s="79">
        <v>580.0</v>
      </c>
      <c r="H74" s="79">
        <v>11600.0</v>
      </c>
      <c r="I74" s="80">
        <v>44412.0</v>
      </c>
    </row>
    <row r="75">
      <c r="E75" s="78" t="s">
        <v>81</v>
      </c>
      <c r="F75" s="78" t="s">
        <v>92</v>
      </c>
      <c r="G75" s="79">
        <v>100.0</v>
      </c>
      <c r="H75" s="79">
        <v>1000.0</v>
      </c>
      <c r="I75" s="80">
        <v>44412.0</v>
      </c>
    </row>
    <row r="76">
      <c r="E76" s="78" t="s">
        <v>77</v>
      </c>
      <c r="F76" s="78" t="s">
        <v>99</v>
      </c>
      <c r="G76" s="79">
        <v>800.0</v>
      </c>
      <c r="H76" s="79">
        <v>400.0</v>
      </c>
      <c r="I76" s="80">
        <v>44412.0</v>
      </c>
    </row>
    <row r="77">
      <c r="E77" s="78" t="s">
        <v>87</v>
      </c>
      <c r="F77" s="78">
        <v>10.0</v>
      </c>
      <c r="G77" s="79">
        <v>120.0</v>
      </c>
      <c r="H77" s="79">
        <v>1200.0</v>
      </c>
      <c r="I77" s="80">
        <v>44412.0</v>
      </c>
    </row>
    <row r="78">
      <c r="E78" s="78" t="s">
        <v>107</v>
      </c>
      <c r="F78" s="78">
        <v>3.0</v>
      </c>
      <c r="G78" s="79">
        <v>850.0</v>
      </c>
      <c r="H78" s="79">
        <v>2550.0</v>
      </c>
      <c r="I78" s="80">
        <v>44412.0</v>
      </c>
    </row>
    <row r="79">
      <c r="E79" s="78" t="s">
        <v>108</v>
      </c>
      <c r="F79" s="78">
        <v>3.0</v>
      </c>
      <c r="G79" s="79">
        <v>90.0</v>
      </c>
      <c r="H79" s="79">
        <v>270.0</v>
      </c>
      <c r="I79" s="80">
        <v>44412.0</v>
      </c>
    </row>
    <row r="80">
      <c r="E80" s="78" t="s">
        <v>76</v>
      </c>
      <c r="F80" s="78" t="s">
        <v>72</v>
      </c>
      <c r="G80" s="79">
        <v>1500.0</v>
      </c>
      <c r="H80" s="79">
        <v>500.0</v>
      </c>
      <c r="I80" s="80">
        <v>44412.0</v>
      </c>
    </row>
    <row r="81">
      <c r="E81" s="78" t="s">
        <v>85</v>
      </c>
      <c r="F81" s="78">
        <v>2.0</v>
      </c>
      <c r="G81" s="79">
        <v>350.0</v>
      </c>
      <c r="H81" s="79">
        <v>700.0</v>
      </c>
      <c r="I81" s="80">
        <v>44412.0</v>
      </c>
    </row>
    <row r="82">
      <c r="E82" s="78" t="s">
        <v>88</v>
      </c>
      <c r="F82" s="78">
        <v>5.0</v>
      </c>
      <c r="G82" s="79">
        <v>20.0</v>
      </c>
      <c r="H82" s="79">
        <v>100.0</v>
      </c>
      <c r="I82" s="80">
        <v>44412.0</v>
      </c>
    </row>
    <row r="83">
      <c r="E83" s="78" t="s">
        <v>102</v>
      </c>
      <c r="F83" s="78" t="s">
        <v>109</v>
      </c>
      <c r="G83" s="79" t="s">
        <v>72</v>
      </c>
      <c r="H83" s="79">
        <v>700.0</v>
      </c>
      <c r="I83" s="80">
        <v>44412.0</v>
      </c>
    </row>
    <row r="84">
      <c r="E84" s="78" t="s">
        <v>110</v>
      </c>
      <c r="F84" s="78" t="s">
        <v>111</v>
      </c>
      <c r="G84" s="79">
        <v>35.0</v>
      </c>
      <c r="H84" s="79">
        <v>100.0</v>
      </c>
      <c r="I84" s="80">
        <v>44412.0</v>
      </c>
    </row>
    <row r="85">
      <c r="E85" s="78" t="s">
        <v>71</v>
      </c>
      <c r="F85" s="78">
        <v>4.0</v>
      </c>
      <c r="G85" s="79">
        <v>500.0</v>
      </c>
      <c r="H85" s="79">
        <v>2000.0</v>
      </c>
      <c r="I85" s="80">
        <v>44412.0</v>
      </c>
    </row>
    <row r="86">
      <c r="E86" s="78" t="s">
        <v>112</v>
      </c>
      <c r="F86" s="78" t="s">
        <v>72</v>
      </c>
      <c r="G86" s="79" t="s">
        <v>72</v>
      </c>
      <c r="H86" s="79">
        <v>1500.0</v>
      </c>
      <c r="I86" s="80">
        <v>44412.0</v>
      </c>
    </row>
    <row r="87">
      <c r="E87" s="78" t="s">
        <v>37</v>
      </c>
      <c r="F87" s="78" t="s">
        <v>113</v>
      </c>
      <c r="G87" s="79">
        <v>550.0</v>
      </c>
      <c r="H87" s="79">
        <v>2200.0</v>
      </c>
      <c r="I87" s="80">
        <v>44412.0</v>
      </c>
    </row>
    <row r="88">
      <c r="E88" s="78" t="s">
        <v>114</v>
      </c>
      <c r="F88" s="78">
        <v>17.0</v>
      </c>
      <c r="G88" s="79">
        <v>120.0</v>
      </c>
      <c r="H88" s="79">
        <v>2040.0</v>
      </c>
      <c r="I88" s="80">
        <v>44412.0</v>
      </c>
    </row>
    <row r="89">
      <c r="E89" s="78" t="s">
        <v>115</v>
      </c>
      <c r="F89" s="78" t="s">
        <v>116</v>
      </c>
      <c r="G89" s="79">
        <v>120.0</v>
      </c>
      <c r="H89" s="79">
        <v>2280.0</v>
      </c>
      <c r="I89" s="80">
        <v>44412.0</v>
      </c>
    </row>
    <row r="90">
      <c r="E90" s="78" t="s">
        <v>117</v>
      </c>
      <c r="F90" s="78" t="s">
        <v>118</v>
      </c>
      <c r="G90" s="79">
        <v>330.0</v>
      </c>
      <c r="H90" s="79">
        <v>330.0</v>
      </c>
      <c r="I90" s="80">
        <v>44412.0</v>
      </c>
    </row>
    <row r="91">
      <c r="E91" s="78" t="s">
        <v>119</v>
      </c>
      <c r="F91" s="78" t="s">
        <v>120</v>
      </c>
      <c r="G91" s="79">
        <v>170.0</v>
      </c>
      <c r="H91" s="79">
        <v>1190.0</v>
      </c>
      <c r="I91" s="80">
        <v>44412.0</v>
      </c>
    </row>
    <row r="92">
      <c r="E92" s="78" t="s">
        <v>43</v>
      </c>
      <c r="F92" s="78">
        <v>5.0</v>
      </c>
      <c r="G92" s="79">
        <v>66.0</v>
      </c>
      <c r="H92" s="79">
        <v>330.0</v>
      </c>
      <c r="I92" s="80">
        <v>44412.0</v>
      </c>
    </row>
    <row r="93">
      <c r="E93" s="78" t="s">
        <v>121</v>
      </c>
      <c r="F93" s="78" t="s">
        <v>61</v>
      </c>
      <c r="G93" s="79">
        <v>1540.0</v>
      </c>
      <c r="H93" s="79">
        <v>1540.0</v>
      </c>
      <c r="I93" s="80">
        <v>44412.0</v>
      </c>
    </row>
    <row r="94">
      <c r="E94" s="78" t="s">
        <v>122</v>
      </c>
      <c r="F94" s="78" t="s">
        <v>123</v>
      </c>
      <c r="G94" s="97"/>
      <c r="H94" s="79">
        <v>3985.0</v>
      </c>
      <c r="I94" s="80">
        <v>44412.0</v>
      </c>
    </row>
    <row r="95">
      <c r="E95" s="78" t="s">
        <v>78</v>
      </c>
      <c r="F95" s="78" t="s">
        <v>124</v>
      </c>
      <c r="G95" s="97"/>
      <c r="H95" s="79">
        <v>2215.0</v>
      </c>
      <c r="I95" s="80">
        <v>44412.0</v>
      </c>
    </row>
    <row r="96">
      <c r="E96" s="78" t="s">
        <v>125</v>
      </c>
      <c r="F96" s="78">
        <v>2.0</v>
      </c>
      <c r="G96" s="79">
        <v>1700.0</v>
      </c>
      <c r="H96" s="79">
        <v>3400.0</v>
      </c>
      <c r="I96" s="80">
        <v>44412.0</v>
      </c>
    </row>
    <row r="97">
      <c r="E97" s="78" t="s">
        <v>51</v>
      </c>
      <c r="F97" s="78">
        <v>2.0</v>
      </c>
      <c r="G97" s="79">
        <v>1500.0</v>
      </c>
      <c r="H97" s="79">
        <v>3000.0</v>
      </c>
      <c r="I97" s="80">
        <v>44412.0</v>
      </c>
    </row>
    <row r="98">
      <c r="E98" s="78" t="s">
        <v>126</v>
      </c>
      <c r="F98" s="78">
        <v>2.0</v>
      </c>
      <c r="G98" s="79">
        <v>1050.0</v>
      </c>
      <c r="H98" s="79">
        <v>2100.0</v>
      </c>
      <c r="I98" s="80">
        <v>44412.0</v>
      </c>
    </row>
    <row r="99">
      <c r="E99" s="78" t="s">
        <v>127</v>
      </c>
      <c r="F99" s="78">
        <v>1.0</v>
      </c>
      <c r="G99" s="79">
        <v>1300.0</v>
      </c>
      <c r="H99" s="79">
        <v>1300.0</v>
      </c>
      <c r="I99" s="80">
        <v>44412.0</v>
      </c>
    </row>
    <row r="100">
      <c r="E100" s="78" t="s">
        <v>128</v>
      </c>
      <c r="F100" s="78">
        <v>2.0</v>
      </c>
      <c r="G100" s="79">
        <v>1250.0</v>
      </c>
      <c r="H100" s="79">
        <v>2500.0</v>
      </c>
      <c r="I100" s="80">
        <v>44412.0</v>
      </c>
    </row>
    <row r="101">
      <c r="E101" s="78" t="s">
        <v>129</v>
      </c>
      <c r="F101" s="78">
        <v>1.0</v>
      </c>
      <c r="G101" s="79">
        <v>1300.0</v>
      </c>
      <c r="H101" s="79">
        <v>1300.0</v>
      </c>
      <c r="I101" s="80">
        <v>44412.0</v>
      </c>
    </row>
    <row r="102">
      <c r="E102" s="78" t="s">
        <v>84</v>
      </c>
      <c r="F102" s="78">
        <v>2.0</v>
      </c>
      <c r="G102" s="79">
        <v>900.0</v>
      </c>
      <c r="H102" s="79">
        <v>1800.0</v>
      </c>
      <c r="I102" s="80">
        <v>44412.0</v>
      </c>
    </row>
    <row r="103">
      <c r="E103" s="78" t="s">
        <v>67</v>
      </c>
      <c r="F103" s="78" t="s">
        <v>130</v>
      </c>
      <c r="G103" s="79">
        <v>30.0</v>
      </c>
      <c r="H103" s="79">
        <v>450.0</v>
      </c>
      <c r="I103" s="80">
        <v>44412.0</v>
      </c>
    </row>
    <row r="104">
      <c r="E104" s="78" t="s">
        <v>87</v>
      </c>
      <c r="F104" s="78">
        <v>20.0</v>
      </c>
      <c r="G104" s="79">
        <v>120.0</v>
      </c>
      <c r="H104" s="79">
        <v>2400.0</v>
      </c>
      <c r="I104" s="80">
        <v>44412.0</v>
      </c>
    </row>
    <row r="105">
      <c r="E105" s="78" t="s">
        <v>81</v>
      </c>
      <c r="F105" s="78">
        <v>20.0</v>
      </c>
      <c r="G105" s="79">
        <v>100.0</v>
      </c>
      <c r="H105" s="79">
        <v>2000.0</v>
      </c>
      <c r="I105" s="80">
        <v>44412.0</v>
      </c>
    </row>
    <row r="106">
      <c r="E106" s="78" t="s">
        <v>77</v>
      </c>
      <c r="F106" s="78" t="s">
        <v>99</v>
      </c>
      <c r="G106" s="79">
        <v>800.0</v>
      </c>
      <c r="H106" s="79">
        <v>400.0</v>
      </c>
      <c r="I106" s="80">
        <v>44412.0</v>
      </c>
    </row>
    <row r="107">
      <c r="E107" s="78" t="s">
        <v>131</v>
      </c>
      <c r="F107" s="78" t="s">
        <v>109</v>
      </c>
      <c r="G107" s="79" t="s">
        <v>72</v>
      </c>
      <c r="H107" s="79">
        <v>700.0</v>
      </c>
      <c r="I107" s="80">
        <v>44412.0</v>
      </c>
    </row>
    <row r="108">
      <c r="E108" s="78" t="s">
        <v>71</v>
      </c>
      <c r="F108" s="78">
        <v>1.0</v>
      </c>
      <c r="G108" s="79">
        <v>500.0</v>
      </c>
      <c r="H108" s="79">
        <v>500.0</v>
      </c>
      <c r="I108" s="80">
        <v>44412.0</v>
      </c>
    </row>
    <row r="109">
      <c r="E109" s="78" t="s">
        <v>67</v>
      </c>
      <c r="F109" s="78" t="s">
        <v>132</v>
      </c>
      <c r="G109" s="79">
        <v>20.0</v>
      </c>
      <c r="H109" s="79">
        <v>2400.0</v>
      </c>
      <c r="I109" s="80">
        <v>44412.0</v>
      </c>
    </row>
    <row r="110">
      <c r="E110" s="78" t="s">
        <v>77</v>
      </c>
      <c r="F110" s="78" t="s">
        <v>49</v>
      </c>
      <c r="G110" s="79">
        <v>800.0</v>
      </c>
      <c r="H110" s="79">
        <v>800.0</v>
      </c>
      <c r="I110" s="80">
        <v>44415.0</v>
      </c>
    </row>
    <row r="111">
      <c r="E111" s="78" t="s">
        <v>81</v>
      </c>
      <c r="F111" s="78" t="s">
        <v>133</v>
      </c>
      <c r="G111" s="79">
        <v>100.0</v>
      </c>
      <c r="H111" s="79">
        <v>5400.0</v>
      </c>
      <c r="I111" s="80">
        <v>44415.0</v>
      </c>
    </row>
    <row r="112">
      <c r="E112" s="78" t="s">
        <v>102</v>
      </c>
      <c r="F112" s="78" t="s">
        <v>134</v>
      </c>
      <c r="G112" s="79" t="s">
        <v>72</v>
      </c>
      <c r="H112" s="79">
        <v>700.0</v>
      </c>
      <c r="I112" s="80">
        <v>44415.0</v>
      </c>
    </row>
    <row r="113">
      <c r="E113" s="78" t="s">
        <v>107</v>
      </c>
      <c r="F113" s="78">
        <v>2.0</v>
      </c>
      <c r="G113" s="79">
        <v>850.0</v>
      </c>
      <c r="H113" s="79">
        <v>1700.0</v>
      </c>
      <c r="I113" s="80">
        <v>44415.0</v>
      </c>
    </row>
    <row r="114">
      <c r="E114" s="78" t="s">
        <v>135</v>
      </c>
      <c r="F114" s="78">
        <v>3.0</v>
      </c>
      <c r="G114" s="79">
        <v>320.0</v>
      </c>
      <c r="H114" s="79">
        <v>960.0</v>
      </c>
      <c r="I114" s="80">
        <v>44415.0</v>
      </c>
    </row>
    <row r="115">
      <c r="E115" s="78" t="s">
        <v>136</v>
      </c>
      <c r="F115" s="78" t="s">
        <v>49</v>
      </c>
      <c r="G115" s="79">
        <v>400.0</v>
      </c>
      <c r="H115" s="79">
        <v>400.0</v>
      </c>
      <c r="I115" s="80">
        <v>44415.0</v>
      </c>
    </row>
    <row r="116">
      <c r="E116" s="78" t="s">
        <v>110</v>
      </c>
      <c r="F116" s="78" t="s">
        <v>61</v>
      </c>
      <c r="G116" s="79">
        <v>100.0</v>
      </c>
      <c r="H116" s="79">
        <v>200.0</v>
      </c>
      <c r="I116" s="80">
        <v>44415.0</v>
      </c>
    </row>
    <row r="117">
      <c r="E117" s="78" t="s">
        <v>137</v>
      </c>
      <c r="F117" s="78">
        <v>5.0</v>
      </c>
      <c r="G117" s="79">
        <v>100.0</v>
      </c>
      <c r="H117" s="79">
        <v>100.0</v>
      </c>
      <c r="I117" s="80">
        <v>44415.0</v>
      </c>
    </row>
    <row r="118">
      <c r="E118" s="78" t="s">
        <v>138</v>
      </c>
      <c r="F118" s="78">
        <v>2.0</v>
      </c>
      <c r="G118" s="79">
        <v>100.0</v>
      </c>
      <c r="H118" s="79">
        <v>200.0</v>
      </c>
      <c r="I118" s="80">
        <v>44415.0</v>
      </c>
    </row>
    <row r="119">
      <c r="E119" s="78" t="s">
        <v>87</v>
      </c>
      <c r="F119" s="78">
        <v>15.0</v>
      </c>
      <c r="G119" s="79">
        <v>90.0</v>
      </c>
      <c r="H119" s="79">
        <v>1350.0</v>
      </c>
      <c r="I119" s="80">
        <v>44415.0</v>
      </c>
    </row>
    <row r="120">
      <c r="E120" s="78" t="s">
        <v>84</v>
      </c>
      <c r="F120" s="78">
        <v>1.0</v>
      </c>
      <c r="G120" s="79">
        <v>250.0</v>
      </c>
      <c r="H120" s="79">
        <v>250.0</v>
      </c>
      <c r="I120" s="80">
        <v>44415.0</v>
      </c>
    </row>
    <row r="121">
      <c r="E121" s="78" t="s">
        <v>139</v>
      </c>
      <c r="F121" s="78">
        <v>2.0</v>
      </c>
      <c r="G121" s="79">
        <v>250.0</v>
      </c>
      <c r="H121" s="79">
        <v>500.0</v>
      </c>
      <c r="I121" s="80">
        <v>44415.0</v>
      </c>
    </row>
    <row r="122">
      <c r="E122" s="78" t="s">
        <v>140</v>
      </c>
      <c r="F122" s="78">
        <v>3.0</v>
      </c>
      <c r="G122" s="79">
        <v>350.0</v>
      </c>
      <c r="H122" s="79">
        <v>1100.0</v>
      </c>
      <c r="I122" s="80">
        <v>44415.0</v>
      </c>
    </row>
    <row r="123">
      <c r="E123" s="78" t="s">
        <v>71</v>
      </c>
      <c r="F123" s="78">
        <v>1.0</v>
      </c>
      <c r="G123" s="79">
        <v>500.0</v>
      </c>
      <c r="H123" s="79">
        <v>500.0</v>
      </c>
      <c r="I123" s="80">
        <v>44415.0</v>
      </c>
    </row>
    <row r="124">
      <c r="E124" s="78" t="s">
        <v>141</v>
      </c>
      <c r="F124" s="98">
        <v>44228.0</v>
      </c>
      <c r="G124" s="79">
        <v>2550.0</v>
      </c>
      <c r="H124" s="79">
        <v>1050.0</v>
      </c>
      <c r="I124" s="80">
        <v>44416.0</v>
      </c>
    </row>
    <row r="125">
      <c r="E125" s="78" t="s">
        <v>142</v>
      </c>
      <c r="F125" s="78">
        <v>3.0</v>
      </c>
      <c r="G125" s="79">
        <v>200.0</v>
      </c>
      <c r="H125" s="79">
        <v>600.0</v>
      </c>
      <c r="I125" s="80">
        <v>44416.0</v>
      </c>
    </row>
    <row r="126">
      <c r="E126" s="78" t="s">
        <v>110</v>
      </c>
      <c r="F126" s="78" t="s">
        <v>143</v>
      </c>
      <c r="G126" s="79">
        <v>90.0</v>
      </c>
      <c r="H126" s="79">
        <v>450.0</v>
      </c>
      <c r="I126" s="80">
        <v>44416.0</v>
      </c>
    </row>
    <row r="127">
      <c r="E127" s="78" t="s">
        <v>81</v>
      </c>
      <c r="F127" s="78" t="s">
        <v>144</v>
      </c>
      <c r="G127" s="79">
        <v>100.0</v>
      </c>
      <c r="H127" s="79">
        <v>8000.0</v>
      </c>
      <c r="I127" s="80">
        <v>44417.0</v>
      </c>
    </row>
    <row r="128">
      <c r="E128" s="78" t="s">
        <v>81</v>
      </c>
      <c r="F128" s="78" t="s">
        <v>145</v>
      </c>
      <c r="G128" s="79">
        <v>125.0</v>
      </c>
      <c r="H128" s="79">
        <v>2500.0</v>
      </c>
      <c r="I128" s="80">
        <v>44417.0</v>
      </c>
    </row>
    <row r="129">
      <c r="E129" s="78" t="s">
        <v>87</v>
      </c>
      <c r="F129" s="78">
        <v>20.0</v>
      </c>
      <c r="G129" s="79">
        <v>115.0</v>
      </c>
      <c r="H129" s="79">
        <v>2300.0</v>
      </c>
      <c r="I129" s="80">
        <v>44417.0</v>
      </c>
    </row>
    <row r="130">
      <c r="E130" s="78" t="s">
        <v>77</v>
      </c>
      <c r="F130" s="78" t="s">
        <v>146</v>
      </c>
      <c r="G130" s="79">
        <v>750.0</v>
      </c>
      <c r="H130" s="79">
        <v>750.0</v>
      </c>
      <c r="I130" s="80">
        <v>44417.0</v>
      </c>
    </row>
    <row r="131">
      <c r="E131" s="78" t="s">
        <v>102</v>
      </c>
      <c r="F131" s="78" t="s">
        <v>72</v>
      </c>
      <c r="G131" s="79" t="s">
        <v>72</v>
      </c>
      <c r="H131" s="79">
        <v>800.0</v>
      </c>
      <c r="I131" s="80">
        <v>44417.0</v>
      </c>
    </row>
    <row r="132">
      <c r="E132" s="78" t="s">
        <v>147</v>
      </c>
      <c r="F132" s="88">
        <v>44318.0</v>
      </c>
      <c r="G132" s="79">
        <v>200.0</v>
      </c>
      <c r="H132" s="79">
        <v>500.0</v>
      </c>
      <c r="I132" s="80">
        <v>44417.0</v>
      </c>
    </row>
    <row r="133">
      <c r="E133" s="78" t="s">
        <v>83</v>
      </c>
      <c r="F133" s="78">
        <v>1.0</v>
      </c>
      <c r="G133" s="79">
        <v>250.0</v>
      </c>
      <c r="H133" s="79">
        <v>250.0</v>
      </c>
      <c r="I133" s="80">
        <v>44417.0</v>
      </c>
    </row>
    <row r="134">
      <c r="E134" s="78" t="s">
        <v>84</v>
      </c>
      <c r="F134" s="78">
        <v>1.0</v>
      </c>
      <c r="G134" s="79">
        <v>600.0</v>
      </c>
      <c r="H134" s="79">
        <v>600.0</v>
      </c>
      <c r="I134" s="80">
        <v>44417.0</v>
      </c>
    </row>
    <row r="135">
      <c r="E135" s="78" t="s">
        <v>148</v>
      </c>
      <c r="F135" s="78">
        <v>2.0</v>
      </c>
      <c r="G135" s="79">
        <v>350.0</v>
      </c>
      <c r="H135" s="79">
        <v>700.0</v>
      </c>
      <c r="I135" s="80">
        <v>44417.0</v>
      </c>
    </row>
    <row r="136">
      <c r="E136" s="78" t="s">
        <v>71</v>
      </c>
      <c r="F136" s="78">
        <v>1.0</v>
      </c>
      <c r="G136" s="79">
        <v>500.0</v>
      </c>
      <c r="H136" s="79">
        <v>500.0</v>
      </c>
      <c r="I136" s="80">
        <v>44417.0</v>
      </c>
    </row>
    <row r="137">
      <c r="E137" s="78" t="s">
        <v>85</v>
      </c>
      <c r="F137" s="78">
        <v>2.0</v>
      </c>
      <c r="G137" s="79">
        <v>300.0</v>
      </c>
      <c r="H137" s="79">
        <v>600.0</v>
      </c>
      <c r="I137" s="80">
        <v>44418.0</v>
      </c>
    </row>
    <row r="138">
      <c r="E138" s="78" t="s">
        <v>76</v>
      </c>
      <c r="F138" s="78" t="s">
        <v>99</v>
      </c>
      <c r="G138" s="79">
        <v>1500.0</v>
      </c>
      <c r="H138" s="79">
        <v>750.0</v>
      </c>
      <c r="I138" s="80">
        <v>44418.0</v>
      </c>
    </row>
    <row r="139">
      <c r="E139" s="78" t="s">
        <v>87</v>
      </c>
      <c r="F139" s="78">
        <v>40.0</v>
      </c>
      <c r="G139" s="79">
        <v>115.0</v>
      </c>
      <c r="H139" s="79">
        <v>4600.0</v>
      </c>
      <c r="I139" s="80">
        <v>44418.0</v>
      </c>
    </row>
    <row r="140">
      <c r="E140" s="78" t="s">
        <v>102</v>
      </c>
      <c r="F140" s="78" t="s">
        <v>72</v>
      </c>
      <c r="G140" s="79" t="s">
        <v>72</v>
      </c>
      <c r="H140" s="79">
        <v>1100.0</v>
      </c>
      <c r="I140" s="80">
        <v>44418.0</v>
      </c>
    </row>
    <row r="141">
      <c r="E141" s="78" t="s">
        <v>149</v>
      </c>
      <c r="F141" s="78">
        <v>20.0</v>
      </c>
      <c r="G141" s="79">
        <v>85.0</v>
      </c>
      <c r="H141" s="79">
        <v>1700.0</v>
      </c>
      <c r="I141" s="80">
        <v>44418.0</v>
      </c>
    </row>
    <row r="142">
      <c r="E142" s="78" t="s">
        <v>150</v>
      </c>
      <c r="F142" s="78" t="s">
        <v>49</v>
      </c>
      <c r="G142" s="79">
        <v>150.0</v>
      </c>
      <c r="H142" s="79">
        <v>150.0</v>
      </c>
      <c r="I142" s="80">
        <v>44418.0</v>
      </c>
    </row>
    <row r="143">
      <c r="E143" s="78" t="s">
        <v>151</v>
      </c>
      <c r="F143" s="78" t="s">
        <v>72</v>
      </c>
      <c r="G143" s="79" t="s">
        <v>72</v>
      </c>
      <c r="H143" s="79">
        <v>500.0</v>
      </c>
      <c r="I143" s="80">
        <v>44418.0</v>
      </c>
    </row>
    <row r="144">
      <c r="E144" s="78" t="s">
        <v>69</v>
      </c>
      <c r="F144" s="78">
        <v>1.0</v>
      </c>
      <c r="G144" s="79">
        <v>350.0</v>
      </c>
      <c r="H144" s="79">
        <v>350.0</v>
      </c>
      <c r="I144" s="80">
        <v>44418.0</v>
      </c>
    </row>
    <row r="145">
      <c r="E145" s="78" t="s">
        <v>152</v>
      </c>
      <c r="F145" s="78">
        <v>2.0</v>
      </c>
      <c r="G145" s="79">
        <v>150.0</v>
      </c>
      <c r="H145" s="79">
        <v>300.0</v>
      </c>
      <c r="I145" s="80">
        <v>44418.0</v>
      </c>
    </row>
    <row r="146">
      <c r="E146" s="78" t="s">
        <v>81</v>
      </c>
      <c r="F146" s="78" t="s">
        <v>153</v>
      </c>
      <c r="G146" s="79">
        <v>100.0</v>
      </c>
      <c r="H146" s="79">
        <v>4000.0</v>
      </c>
      <c r="I146" s="80">
        <v>44418.0</v>
      </c>
    </row>
    <row r="147">
      <c r="E147" s="78" t="s">
        <v>77</v>
      </c>
      <c r="F147" s="78" t="s">
        <v>49</v>
      </c>
      <c r="G147" s="79">
        <v>750.0</v>
      </c>
      <c r="H147" s="79">
        <v>750.0</v>
      </c>
      <c r="I147" s="80">
        <v>2.9263818E7</v>
      </c>
    </row>
    <row r="148">
      <c r="E148" s="78" t="s">
        <v>154</v>
      </c>
      <c r="F148" s="78">
        <v>1.0</v>
      </c>
      <c r="G148" s="79">
        <v>800.0</v>
      </c>
      <c r="H148" s="79">
        <v>400.0</v>
      </c>
      <c r="I148" s="80">
        <v>44418.0</v>
      </c>
    </row>
    <row r="149">
      <c r="E149" s="78" t="s">
        <v>155</v>
      </c>
      <c r="F149" s="78" t="s">
        <v>99</v>
      </c>
      <c r="G149" s="79">
        <v>400.0</v>
      </c>
      <c r="H149" s="79">
        <v>200.0</v>
      </c>
      <c r="I149" s="80">
        <v>44418.0</v>
      </c>
    </row>
    <row r="150">
      <c r="E150" s="78" t="s">
        <v>71</v>
      </c>
      <c r="F150" s="78">
        <v>1.0</v>
      </c>
      <c r="G150" s="79">
        <v>500.0</v>
      </c>
      <c r="H150" s="79">
        <v>500.0</v>
      </c>
      <c r="I150" s="80">
        <v>44418.0</v>
      </c>
    </row>
    <row r="151">
      <c r="E151" s="78" t="s">
        <v>85</v>
      </c>
      <c r="F151" s="78">
        <v>10.0</v>
      </c>
      <c r="G151" s="79">
        <v>350.0</v>
      </c>
      <c r="H151" s="79">
        <v>3500.0</v>
      </c>
      <c r="I151" s="80">
        <v>44419.0</v>
      </c>
    </row>
    <row r="152">
      <c r="E152" s="78" t="s">
        <v>77</v>
      </c>
      <c r="F152" s="78" t="s">
        <v>49</v>
      </c>
      <c r="G152" s="79">
        <v>750.0</v>
      </c>
      <c r="H152" s="79">
        <v>750.0</v>
      </c>
      <c r="I152" s="80">
        <v>44419.0</v>
      </c>
    </row>
    <row r="153">
      <c r="E153" s="78" t="s">
        <v>87</v>
      </c>
      <c r="F153" s="78">
        <v>10.0</v>
      </c>
      <c r="G153" s="79">
        <v>120.0</v>
      </c>
      <c r="H153" s="79">
        <v>1200.0</v>
      </c>
      <c r="I153" s="80">
        <v>44419.0</v>
      </c>
    </row>
    <row r="154">
      <c r="E154" s="78" t="s">
        <v>69</v>
      </c>
      <c r="F154" s="78" t="s">
        <v>156</v>
      </c>
      <c r="G154" s="79">
        <v>300.0</v>
      </c>
      <c r="H154" s="79">
        <v>600.0</v>
      </c>
      <c r="I154" s="80">
        <v>44419.0</v>
      </c>
    </row>
    <row r="155">
      <c r="E155" s="78" t="s">
        <v>102</v>
      </c>
      <c r="F155" s="78" t="s">
        <v>72</v>
      </c>
      <c r="G155" s="79" t="s">
        <v>72</v>
      </c>
      <c r="H155" s="79">
        <v>200.0</v>
      </c>
      <c r="I155" s="80">
        <v>44419.0</v>
      </c>
    </row>
    <row r="156">
      <c r="E156" s="78" t="s">
        <v>152</v>
      </c>
      <c r="F156" s="78">
        <v>5.0</v>
      </c>
      <c r="G156" s="79">
        <v>40.0</v>
      </c>
      <c r="H156" s="79">
        <v>200.0</v>
      </c>
      <c r="I156" s="80">
        <v>44419.0</v>
      </c>
    </row>
    <row r="157">
      <c r="E157" s="78" t="s">
        <v>157</v>
      </c>
      <c r="F157" s="78" t="s">
        <v>49</v>
      </c>
      <c r="G157" s="79">
        <v>200.0</v>
      </c>
      <c r="H157" s="79">
        <v>200.0</v>
      </c>
      <c r="I157" s="80">
        <v>44419.0</v>
      </c>
    </row>
    <row r="158">
      <c r="E158" s="78" t="s">
        <v>107</v>
      </c>
      <c r="F158" s="78">
        <v>1.0</v>
      </c>
      <c r="G158" s="79">
        <v>850.0</v>
      </c>
      <c r="H158" s="79">
        <v>850.0</v>
      </c>
      <c r="I158" s="80">
        <v>44419.0</v>
      </c>
    </row>
    <row r="159">
      <c r="E159" s="78" t="s">
        <v>158</v>
      </c>
      <c r="F159" s="78">
        <v>3.0</v>
      </c>
      <c r="G159" s="79">
        <v>30.0</v>
      </c>
      <c r="H159" s="79">
        <v>100.0</v>
      </c>
      <c r="I159" s="80">
        <v>44419.0</v>
      </c>
    </row>
    <row r="160">
      <c r="E160" s="78" t="s">
        <v>71</v>
      </c>
      <c r="F160" s="78">
        <v>1.0</v>
      </c>
      <c r="G160" s="79">
        <v>500.0</v>
      </c>
      <c r="H160" s="79">
        <v>500.0</v>
      </c>
      <c r="I160" s="80">
        <v>44419.0</v>
      </c>
    </row>
    <row r="161">
      <c r="E161" s="78" t="s">
        <v>159</v>
      </c>
      <c r="F161" s="78">
        <v>3.0</v>
      </c>
      <c r="G161" s="79" t="s">
        <v>72</v>
      </c>
      <c r="H161" s="79">
        <v>550.0</v>
      </c>
      <c r="I161" s="80">
        <v>44419.0</v>
      </c>
    </row>
    <row r="162">
      <c r="E162" s="78" t="s">
        <v>35</v>
      </c>
      <c r="F162" s="78">
        <v>3.0</v>
      </c>
      <c r="G162" s="79">
        <v>1300.0</v>
      </c>
      <c r="H162" s="79">
        <v>3900.0</v>
      </c>
      <c r="I162" s="80">
        <v>44420.0</v>
      </c>
    </row>
    <row r="163">
      <c r="E163" s="78" t="s">
        <v>160</v>
      </c>
      <c r="F163" s="78">
        <v>4.0</v>
      </c>
      <c r="G163" s="79">
        <v>1500.0</v>
      </c>
      <c r="H163" s="79">
        <v>6000.0</v>
      </c>
      <c r="I163" s="80">
        <v>44420.0</v>
      </c>
    </row>
    <row r="164">
      <c r="E164" s="78" t="s">
        <v>161</v>
      </c>
      <c r="F164" s="78" t="s">
        <v>72</v>
      </c>
      <c r="G164" s="79">
        <v>950.0</v>
      </c>
      <c r="H164" s="79">
        <v>950.0</v>
      </c>
      <c r="I164" s="80">
        <v>44420.0</v>
      </c>
    </row>
    <row r="165">
      <c r="E165" s="78" t="s">
        <v>162</v>
      </c>
      <c r="F165" s="78">
        <v>8.0</v>
      </c>
      <c r="G165" s="79">
        <v>600.0</v>
      </c>
      <c r="H165" s="79">
        <v>4800.0</v>
      </c>
      <c r="I165" s="80">
        <v>44420.0</v>
      </c>
    </row>
    <row r="166">
      <c r="E166" s="78" t="s">
        <v>163</v>
      </c>
      <c r="F166" s="78">
        <v>1.0</v>
      </c>
      <c r="G166" s="79">
        <v>220.0</v>
      </c>
      <c r="H166" s="79">
        <v>220.0</v>
      </c>
      <c r="I166" s="80">
        <v>44420.0</v>
      </c>
    </row>
    <row r="167">
      <c r="E167" s="78" t="s">
        <v>164</v>
      </c>
      <c r="F167" s="78">
        <v>20.0</v>
      </c>
      <c r="G167" s="79">
        <v>95.0</v>
      </c>
      <c r="H167" s="79">
        <v>1900.0</v>
      </c>
      <c r="I167" s="80">
        <v>44420.0</v>
      </c>
    </row>
    <row r="168">
      <c r="E168" s="78" t="s">
        <v>147</v>
      </c>
      <c r="F168" s="78" t="s">
        <v>61</v>
      </c>
      <c r="G168" s="79">
        <v>200.0</v>
      </c>
      <c r="H168" s="79">
        <v>400.0</v>
      </c>
      <c r="I168" s="80">
        <v>44420.0</v>
      </c>
    </row>
    <row r="169">
      <c r="E169" s="78" t="s">
        <v>165</v>
      </c>
      <c r="F169" s="78" t="s">
        <v>49</v>
      </c>
      <c r="G169" s="79">
        <v>200.0</v>
      </c>
      <c r="H169" s="79">
        <v>200.0</v>
      </c>
      <c r="I169" s="80">
        <v>44420.0</v>
      </c>
    </row>
    <row r="170">
      <c r="E170" s="78" t="s">
        <v>166</v>
      </c>
      <c r="F170" s="78">
        <v>2.0</v>
      </c>
      <c r="G170" s="79">
        <v>380.0</v>
      </c>
      <c r="H170" s="79">
        <v>760.0</v>
      </c>
      <c r="I170" s="80">
        <v>44420.0</v>
      </c>
    </row>
    <row r="171">
      <c r="E171" s="78" t="s">
        <v>167</v>
      </c>
      <c r="F171" s="78">
        <v>2.0</v>
      </c>
      <c r="G171" s="79">
        <v>650.0</v>
      </c>
      <c r="H171" s="79">
        <v>1300.0</v>
      </c>
      <c r="I171" s="80">
        <v>44420.0</v>
      </c>
    </row>
    <row r="172">
      <c r="E172" s="78" t="s">
        <v>168</v>
      </c>
      <c r="F172" s="78">
        <v>2.0</v>
      </c>
      <c r="G172" s="79">
        <v>1000.0</v>
      </c>
      <c r="H172" s="79">
        <v>2000.0</v>
      </c>
      <c r="I172" s="80">
        <v>44420.0</v>
      </c>
    </row>
    <row r="173">
      <c r="E173" s="78" t="s">
        <v>169</v>
      </c>
      <c r="F173" s="78">
        <v>3.0</v>
      </c>
      <c r="G173" s="79">
        <v>500.0</v>
      </c>
      <c r="H173" s="79">
        <v>1500.0</v>
      </c>
      <c r="I173" s="80">
        <v>44420.0</v>
      </c>
    </row>
    <row r="174">
      <c r="E174" s="78" t="s">
        <v>170</v>
      </c>
      <c r="F174" s="78">
        <v>1.0</v>
      </c>
      <c r="G174" s="79">
        <v>1500.0</v>
      </c>
      <c r="H174" s="79">
        <v>1500.0</v>
      </c>
      <c r="I174" s="80">
        <v>44420.0</v>
      </c>
    </row>
    <row r="175">
      <c r="E175" s="78" t="s">
        <v>81</v>
      </c>
      <c r="F175" s="78" t="s">
        <v>145</v>
      </c>
      <c r="G175" s="79">
        <v>100.0</v>
      </c>
      <c r="H175" s="79">
        <v>2000.0</v>
      </c>
      <c r="I175" s="80">
        <v>44421.0</v>
      </c>
    </row>
    <row r="176">
      <c r="E176" s="78" t="s">
        <v>171</v>
      </c>
      <c r="F176" s="78">
        <v>3.0</v>
      </c>
      <c r="G176" s="79">
        <v>200.0</v>
      </c>
      <c r="H176" s="79">
        <v>600.0</v>
      </c>
      <c r="I176" s="80">
        <v>44421.0</v>
      </c>
    </row>
    <row r="177">
      <c r="E177" s="78" t="s">
        <v>77</v>
      </c>
      <c r="F177" s="78" t="s">
        <v>49</v>
      </c>
      <c r="G177" s="79">
        <v>750.0</v>
      </c>
      <c r="H177" s="79">
        <v>750.0</v>
      </c>
      <c r="I177" s="80">
        <v>44421.0</v>
      </c>
    </row>
    <row r="178">
      <c r="E178" s="78" t="s">
        <v>110</v>
      </c>
      <c r="F178" s="78">
        <v>5.0</v>
      </c>
      <c r="G178" s="79">
        <v>40.0</v>
      </c>
      <c r="H178" s="79">
        <v>200.0</v>
      </c>
      <c r="I178" s="80">
        <v>44421.0</v>
      </c>
    </row>
    <row r="179">
      <c r="E179" s="78" t="s">
        <v>81</v>
      </c>
      <c r="F179" s="78" t="s">
        <v>92</v>
      </c>
      <c r="G179" s="79">
        <v>100.0</v>
      </c>
      <c r="H179" s="79">
        <v>1000.0</v>
      </c>
      <c r="I179" s="80">
        <v>44422.0</v>
      </c>
    </row>
    <row r="180">
      <c r="E180" s="78" t="s">
        <v>77</v>
      </c>
      <c r="F180" s="78" t="s">
        <v>49</v>
      </c>
      <c r="G180" s="79">
        <v>700.0</v>
      </c>
      <c r="H180" s="79">
        <v>700.0</v>
      </c>
      <c r="I180" s="80">
        <v>44422.0</v>
      </c>
    </row>
    <row r="181">
      <c r="E181" s="78" t="s">
        <v>172</v>
      </c>
      <c r="F181" s="78">
        <v>5.0</v>
      </c>
      <c r="G181" s="79">
        <v>200.0</v>
      </c>
      <c r="H181" s="79">
        <v>200.0</v>
      </c>
      <c r="I181" s="80">
        <v>44422.0</v>
      </c>
    </row>
    <row r="182">
      <c r="E182" s="78" t="s">
        <v>71</v>
      </c>
      <c r="F182" s="78">
        <v>1.0</v>
      </c>
      <c r="G182" s="79">
        <v>500.0</v>
      </c>
      <c r="H182" s="79">
        <v>500.0</v>
      </c>
      <c r="I182" s="80">
        <v>44422.0</v>
      </c>
    </row>
    <row r="183">
      <c r="E183" s="78" t="s">
        <v>59</v>
      </c>
      <c r="F183" s="78">
        <v>1.0</v>
      </c>
      <c r="G183" s="79">
        <v>550.0</v>
      </c>
      <c r="H183" s="79">
        <v>550.0</v>
      </c>
      <c r="I183" s="80">
        <v>44422.0</v>
      </c>
    </row>
    <row r="184">
      <c r="E184" s="78" t="s">
        <v>173</v>
      </c>
      <c r="F184" s="78">
        <v>1.0</v>
      </c>
      <c r="G184" s="79">
        <v>50.0</v>
      </c>
      <c r="H184" s="79">
        <v>50.0</v>
      </c>
      <c r="I184" s="80">
        <v>44422.0</v>
      </c>
    </row>
    <row r="185">
      <c r="E185" s="78" t="s">
        <v>76</v>
      </c>
      <c r="F185" s="78">
        <v>300.0</v>
      </c>
      <c r="G185" s="79">
        <v>500.0</v>
      </c>
      <c r="H185" s="79">
        <v>500.0</v>
      </c>
      <c r="I185" s="80">
        <v>44422.0</v>
      </c>
    </row>
    <row r="186">
      <c r="E186" s="78" t="s">
        <v>174</v>
      </c>
      <c r="F186" s="78">
        <v>8.0</v>
      </c>
      <c r="G186" s="79">
        <v>600.0</v>
      </c>
      <c r="H186" s="79">
        <v>4800.0</v>
      </c>
      <c r="I186" s="80">
        <v>44422.0</v>
      </c>
    </row>
    <row r="187">
      <c r="E187" s="78" t="s">
        <v>175</v>
      </c>
      <c r="F187" s="78" t="s">
        <v>176</v>
      </c>
      <c r="G187" s="79">
        <v>220.0</v>
      </c>
      <c r="H187" s="79">
        <v>220.0</v>
      </c>
      <c r="I187" s="80">
        <v>44422.0</v>
      </c>
    </row>
    <row r="188">
      <c r="E188" s="78" t="s">
        <v>142</v>
      </c>
      <c r="F188" s="78">
        <v>2.0</v>
      </c>
      <c r="G188" s="79">
        <v>150.0</v>
      </c>
      <c r="H188" s="79">
        <v>300.0</v>
      </c>
      <c r="I188" s="80">
        <v>44422.0</v>
      </c>
    </row>
    <row r="189">
      <c r="E189" s="78" t="s">
        <v>110</v>
      </c>
      <c r="F189" s="78" t="s">
        <v>72</v>
      </c>
      <c r="G189" s="79">
        <v>200.0</v>
      </c>
      <c r="H189" s="79">
        <v>200.0</v>
      </c>
      <c r="I189" s="80">
        <v>44423.0</v>
      </c>
    </row>
    <row r="190">
      <c r="E190" s="78" t="s">
        <v>112</v>
      </c>
      <c r="F190" s="78" t="s">
        <v>72</v>
      </c>
      <c r="G190" s="79">
        <v>600.0</v>
      </c>
      <c r="H190" s="79">
        <v>600.0</v>
      </c>
      <c r="I190" s="80">
        <v>44423.0</v>
      </c>
    </row>
    <row r="191">
      <c r="E191" s="78" t="s">
        <v>107</v>
      </c>
      <c r="F191" s="78">
        <v>2.0</v>
      </c>
      <c r="G191" s="79">
        <v>500.0</v>
      </c>
      <c r="H191" s="79">
        <v>1100.0</v>
      </c>
      <c r="I191" s="80">
        <v>44423.0</v>
      </c>
    </row>
    <row r="192">
      <c r="E192" s="78" t="s">
        <v>177</v>
      </c>
      <c r="F192" s="78">
        <v>1.0</v>
      </c>
      <c r="G192" s="79" t="s">
        <v>72</v>
      </c>
      <c r="H192" s="79">
        <v>1000.0</v>
      </c>
      <c r="I192" s="80">
        <v>44423.0</v>
      </c>
    </row>
    <row r="193">
      <c r="E193" s="78" t="s">
        <v>178</v>
      </c>
      <c r="F193" s="78">
        <v>2.0</v>
      </c>
      <c r="G193" s="79">
        <v>650.0</v>
      </c>
      <c r="H193" s="79">
        <v>1300.0</v>
      </c>
      <c r="I193" s="80">
        <v>44423.0</v>
      </c>
    </row>
    <row r="194">
      <c r="E194" s="78" t="s">
        <v>107</v>
      </c>
      <c r="F194" s="78">
        <v>3.0</v>
      </c>
      <c r="G194" s="79">
        <v>850.0</v>
      </c>
      <c r="H194" s="79">
        <v>2550.0</v>
      </c>
      <c r="I194" s="80">
        <v>44423.0</v>
      </c>
    </row>
    <row r="195">
      <c r="E195" s="78" t="s">
        <v>142</v>
      </c>
      <c r="F195" s="78">
        <v>2.0</v>
      </c>
      <c r="G195" s="79">
        <v>140.0</v>
      </c>
      <c r="H195" s="79">
        <v>280.0</v>
      </c>
      <c r="I195" s="80">
        <v>44423.0</v>
      </c>
    </row>
    <row r="196">
      <c r="E196" s="78" t="s">
        <v>179</v>
      </c>
      <c r="F196" s="78">
        <v>3.0</v>
      </c>
      <c r="G196" s="79">
        <v>310.0</v>
      </c>
      <c r="H196" s="79">
        <v>310.0</v>
      </c>
      <c r="I196" s="80">
        <v>44423.0</v>
      </c>
    </row>
    <row r="197">
      <c r="E197" s="78" t="s">
        <v>37</v>
      </c>
      <c r="F197" s="78">
        <v>2.0</v>
      </c>
      <c r="G197" s="79">
        <v>580.0</v>
      </c>
      <c r="H197" s="79">
        <v>1160.0</v>
      </c>
      <c r="I197" s="80">
        <v>44423.0</v>
      </c>
    </row>
    <row r="198">
      <c r="E198" s="78" t="s">
        <v>77</v>
      </c>
      <c r="F198" s="78" t="s">
        <v>49</v>
      </c>
      <c r="G198" s="79">
        <v>700.0</v>
      </c>
      <c r="H198" s="79">
        <v>800.0</v>
      </c>
      <c r="I198" s="80">
        <v>44423.0</v>
      </c>
    </row>
    <row r="199">
      <c r="E199" s="78" t="s">
        <v>76</v>
      </c>
      <c r="F199" s="78">
        <v>500.0</v>
      </c>
      <c r="G199" s="79">
        <v>1500.0</v>
      </c>
      <c r="H199" s="79">
        <v>750.0</v>
      </c>
      <c r="I199" s="80">
        <v>44423.0</v>
      </c>
    </row>
    <row r="200">
      <c r="E200" s="78" t="s">
        <v>180</v>
      </c>
      <c r="F200" s="78">
        <v>1.0</v>
      </c>
      <c r="G200" s="79">
        <v>1200.0</v>
      </c>
      <c r="H200" s="79">
        <v>1200.0</v>
      </c>
      <c r="I200" s="80">
        <v>44423.0</v>
      </c>
    </row>
    <row r="201">
      <c r="E201" s="78" t="s">
        <v>69</v>
      </c>
      <c r="F201" s="78" t="s">
        <v>181</v>
      </c>
      <c r="G201" s="79">
        <v>300.0</v>
      </c>
      <c r="H201" s="79">
        <v>300.0</v>
      </c>
      <c r="I201" s="80">
        <v>44423.0</v>
      </c>
    </row>
    <row r="202">
      <c r="E202" s="78" t="s">
        <v>71</v>
      </c>
      <c r="F202" s="78">
        <v>1.0</v>
      </c>
      <c r="G202" s="79">
        <v>500.0</v>
      </c>
      <c r="H202" s="79">
        <v>500.0</v>
      </c>
      <c r="I202" s="80">
        <v>44423.0</v>
      </c>
    </row>
    <row r="203">
      <c r="E203" s="78" t="s">
        <v>67</v>
      </c>
      <c r="F203" s="78" t="s">
        <v>145</v>
      </c>
      <c r="G203" s="79">
        <v>30.0</v>
      </c>
      <c r="H203" s="79">
        <v>600.0</v>
      </c>
      <c r="I203" s="80">
        <v>44424.0</v>
      </c>
    </row>
    <row r="204">
      <c r="E204" s="78" t="s">
        <v>182</v>
      </c>
      <c r="F204" s="78">
        <v>5.0</v>
      </c>
      <c r="G204" s="79">
        <v>20.0</v>
      </c>
      <c r="H204" s="79">
        <v>100.0</v>
      </c>
      <c r="I204" s="80">
        <v>44424.0</v>
      </c>
    </row>
    <row r="205">
      <c r="E205" s="78" t="s">
        <v>183</v>
      </c>
      <c r="F205" s="78" t="s">
        <v>99</v>
      </c>
      <c r="G205" s="79">
        <v>1500.0</v>
      </c>
      <c r="H205" s="79">
        <v>750.0</v>
      </c>
      <c r="I205" s="80">
        <v>44424.0</v>
      </c>
    </row>
    <row r="206">
      <c r="E206" s="78" t="s">
        <v>77</v>
      </c>
      <c r="F206" s="78" t="s">
        <v>61</v>
      </c>
      <c r="G206" s="79">
        <v>750.0</v>
      </c>
      <c r="H206" s="79">
        <v>1500.0</v>
      </c>
      <c r="I206" s="80">
        <v>44424.0</v>
      </c>
    </row>
    <row r="207">
      <c r="E207" s="78" t="s">
        <v>184</v>
      </c>
      <c r="F207" s="78" t="s">
        <v>61</v>
      </c>
      <c r="G207" s="79">
        <v>100.0</v>
      </c>
      <c r="H207" s="79">
        <v>200.0</v>
      </c>
      <c r="I207" s="80">
        <v>44424.0</v>
      </c>
    </row>
    <row r="208">
      <c r="E208" s="78" t="s">
        <v>95</v>
      </c>
      <c r="F208" s="78" t="s">
        <v>49</v>
      </c>
      <c r="G208" s="79">
        <v>800.0</v>
      </c>
      <c r="H208" s="79">
        <v>800.0</v>
      </c>
      <c r="I208" s="80">
        <v>44424.0</v>
      </c>
    </row>
    <row r="209">
      <c r="E209" s="78" t="s">
        <v>121</v>
      </c>
      <c r="F209" s="78" t="s">
        <v>49</v>
      </c>
      <c r="G209" s="79">
        <v>700.0</v>
      </c>
      <c r="H209" s="79">
        <v>700.0</v>
      </c>
      <c r="I209" s="80">
        <v>44424.0</v>
      </c>
    </row>
    <row r="210">
      <c r="E210" s="78" t="s">
        <v>81</v>
      </c>
      <c r="F210" s="78" t="s">
        <v>82</v>
      </c>
      <c r="G210" s="79">
        <v>100.0</v>
      </c>
      <c r="H210" s="79">
        <v>3000.0</v>
      </c>
      <c r="I210" s="80">
        <v>44425.0</v>
      </c>
    </row>
    <row r="211">
      <c r="E211" s="78" t="s">
        <v>76</v>
      </c>
      <c r="F211" s="78">
        <v>300.0</v>
      </c>
      <c r="G211" s="79">
        <v>500.0</v>
      </c>
      <c r="H211" s="79">
        <v>500.0</v>
      </c>
      <c r="I211" s="80">
        <v>44425.0</v>
      </c>
    </row>
    <row r="212">
      <c r="E212" s="78" t="s">
        <v>77</v>
      </c>
      <c r="F212" s="78" t="s">
        <v>49</v>
      </c>
      <c r="G212" s="79">
        <v>700.0</v>
      </c>
      <c r="H212" s="79">
        <v>700.0</v>
      </c>
      <c r="I212" s="80">
        <v>44425.0</v>
      </c>
    </row>
    <row r="213">
      <c r="E213" s="78" t="s">
        <v>185</v>
      </c>
      <c r="F213" s="78" t="s">
        <v>186</v>
      </c>
      <c r="G213" s="79" t="s">
        <v>72</v>
      </c>
      <c r="H213" s="79">
        <v>1000.0</v>
      </c>
      <c r="I213" s="80">
        <v>44425.0</v>
      </c>
    </row>
    <row r="214">
      <c r="E214" s="78" t="s">
        <v>187</v>
      </c>
      <c r="F214" s="78">
        <v>3.0</v>
      </c>
      <c r="G214" s="79">
        <v>100.0</v>
      </c>
      <c r="H214" s="79">
        <v>300.0</v>
      </c>
      <c r="I214" s="80">
        <v>44425.0</v>
      </c>
    </row>
    <row r="215">
      <c r="E215" s="78" t="s">
        <v>182</v>
      </c>
      <c r="F215" s="78" t="s">
        <v>188</v>
      </c>
      <c r="G215" s="79" t="s">
        <v>72</v>
      </c>
      <c r="H215" s="79">
        <v>300.0</v>
      </c>
      <c r="I215" s="80">
        <v>44425.0</v>
      </c>
    </row>
    <row r="216">
      <c r="E216" s="78" t="s">
        <v>189</v>
      </c>
      <c r="F216" s="78">
        <v>1.0</v>
      </c>
      <c r="G216" s="79">
        <v>400.0</v>
      </c>
      <c r="H216" s="79">
        <v>400.0</v>
      </c>
      <c r="I216" s="80">
        <v>44425.0</v>
      </c>
    </row>
    <row r="217">
      <c r="E217" s="78" t="s">
        <v>148</v>
      </c>
      <c r="F217" s="78">
        <v>4.0</v>
      </c>
      <c r="G217" s="79">
        <v>1300.0</v>
      </c>
      <c r="H217" s="79">
        <v>900.0</v>
      </c>
      <c r="I217" s="80">
        <v>44425.0</v>
      </c>
    </row>
    <row r="218">
      <c r="E218" s="78" t="s">
        <v>190</v>
      </c>
      <c r="F218" s="78">
        <v>6.0</v>
      </c>
      <c r="G218" s="79">
        <v>1450.0</v>
      </c>
      <c r="H218" s="79">
        <v>1800.0</v>
      </c>
      <c r="I218" s="80">
        <v>44425.0</v>
      </c>
    </row>
    <row r="219">
      <c r="E219" s="78" t="s">
        <v>191</v>
      </c>
      <c r="F219" s="78">
        <v>4.0</v>
      </c>
      <c r="G219" s="79">
        <v>90.0</v>
      </c>
      <c r="H219" s="79">
        <v>360.0</v>
      </c>
      <c r="I219" s="80">
        <v>44425.0</v>
      </c>
    </row>
    <row r="220">
      <c r="E220" s="78" t="s">
        <v>71</v>
      </c>
      <c r="F220" s="78">
        <v>1.0</v>
      </c>
      <c r="G220" s="79">
        <v>500.0</v>
      </c>
      <c r="H220" s="79">
        <v>500.0</v>
      </c>
      <c r="I220" s="80">
        <v>44425.0</v>
      </c>
    </row>
    <row r="221">
      <c r="E221" s="78" t="s">
        <v>192</v>
      </c>
      <c r="F221" s="78">
        <v>2.0</v>
      </c>
      <c r="G221" s="79">
        <v>600.0</v>
      </c>
      <c r="H221" s="79">
        <v>1200.0</v>
      </c>
      <c r="I221" s="80">
        <v>44425.0</v>
      </c>
    </row>
    <row r="222">
      <c r="E222" s="78" t="s">
        <v>103</v>
      </c>
      <c r="F222" s="78">
        <v>1.0</v>
      </c>
      <c r="G222" s="79">
        <v>1000.0</v>
      </c>
      <c r="H222" s="79">
        <v>1000.0</v>
      </c>
      <c r="I222" s="80">
        <v>44425.0</v>
      </c>
    </row>
    <row r="223">
      <c r="E223" s="78" t="s">
        <v>193</v>
      </c>
      <c r="F223" s="78">
        <v>2.0</v>
      </c>
      <c r="G223" s="79">
        <v>1300.0</v>
      </c>
      <c r="H223" s="79">
        <v>1300.0</v>
      </c>
      <c r="I223" s="80">
        <v>44425.0</v>
      </c>
    </row>
    <row r="224">
      <c r="E224" s="78" t="s">
        <v>194</v>
      </c>
      <c r="F224" s="78" t="s">
        <v>195</v>
      </c>
      <c r="G224" s="79">
        <v>100.0</v>
      </c>
      <c r="H224" s="79">
        <v>5000.0</v>
      </c>
      <c r="I224" s="80">
        <v>44426.0</v>
      </c>
    </row>
    <row r="225">
      <c r="E225" s="78" t="s">
        <v>108</v>
      </c>
      <c r="F225" s="78">
        <v>2.0</v>
      </c>
      <c r="G225" s="79">
        <v>100.0</v>
      </c>
      <c r="H225" s="79">
        <v>200.0</v>
      </c>
      <c r="I225" s="80">
        <v>44426.0</v>
      </c>
    </row>
    <row r="226">
      <c r="E226" s="78" t="s">
        <v>77</v>
      </c>
      <c r="F226" s="78" t="s">
        <v>49</v>
      </c>
      <c r="G226" s="79">
        <v>700.0</v>
      </c>
      <c r="H226" s="79">
        <v>700.0</v>
      </c>
      <c r="I226" s="80">
        <v>44426.0</v>
      </c>
    </row>
    <row r="227">
      <c r="E227" s="78" t="s">
        <v>165</v>
      </c>
      <c r="F227" s="78" t="s">
        <v>49</v>
      </c>
      <c r="G227" s="79">
        <v>200.0</v>
      </c>
      <c r="H227" s="79">
        <v>200.0</v>
      </c>
      <c r="I227" s="80">
        <v>44426.0</v>
      </c>
    </row>
    <row r="228">
      <c r="E228" s="78" t="s">
        <v>196</v>
      </c>
      <c r="F228" s="78">
        <v>1.0</v>
      </c>
      <c r="G228" s="79">
        <v>100.0</v>
      </c>
      <c r="H228" s="79">
        <v>100.0</v>
      </c>
      <c r="I228" s="80">
        <v>44426.0</v>
      </c>
    </row>
    <row r="229">
      <c r="E229" s="78" t="s">
        <v>184</v>
      </c>
      <c r="F229" s="78" t="s">
        <v>143</v>
      </c>
      <c r="G229" s="79">
        <v>100.0</v>
      </c>
      <c r="H229" s="79">
        <v>500.0</v>
      </c>
      <c r="I229" s="80">
        <v>44426.0</v>
      </c>
    </row>
    <row r="230">
      <c r="E230" s="78" t="s">
        <v>67</v>
      </c>
      <c r="F230" s="78" t="s">
        <v>92</v>
      </c>
      <c r="G230" s="79">
        <v>35.0</v>
      </c>
      <c r="H230" s="79">
        <v>350.0</v>
      </c>
      <c r="I230" s="80">
        <v>44426.0</v>
      </c>
    </row>
    <row r="231">
      <c r="E231" s="78" t="s">
        <v>107</v>
      </c>
      <c r="F231" s="78">
        <v>1.0</v>
      </c>
      <c r="G231" s="79">
        <v>900.0</v>
      </c>
      <c r="H231" s="79">
        <v>900.0</v>
      </c>
      <c r="I231" s="80">
        <v>44426.0</v>
      </c>
    </row>
    <row r="232">
      <c r="E232" s="78" t="s">
        <v>174</v>
      </c>
      <c r="F232" s="78">
        <v>6.0</v>
      </c>
      <c r="G232" s="79">
        <v>600.0</v>
      </c>
      <c r="H232" s="79">
        <v>4000.0</v>
      </c>
      <c r="I232" s="80">
        <v>44426.0</v>
      </c>
    </row>
    <row r="233">
      <c r="E233" s="78" t="s">
        <v>197</v>
      </c>
      <c r="F233" s="78">
        <v>5.0</v>
      </c>
      <c r="G233" s="79">
        <v>20.0</v>
      </c>
      <c r="H233" s="79">
        <v>200.0</v>
      </c>
      <c r="I233" s="80">
        <v>44426.0</v>
      </c>
    </row>
    <row r="234">
      <c r="E234" s="78" t="s">
        <v>193</v>
      </c>
      <c r="F234" s="78">
        <v>2.0</v>
      </c>
      <c r="G234" s="79">
        <v>1300.0</v>
      </c>
      <c r="H234" s="79">
        <v>1300.0</v>
      </c>
      <c r="I234" s="80">
        <v>44426.0</v>
      </c>
    </row>
    <row r="235">
      <c r="E235" s="78" t="s">
        <v>194</v>
      </c>
      <c r="F235" s="78" t="s">
        <v>198</v>
      </c>
      <c r="G235" s="79">
        <v>100.0</v>
      </c>
      <c r="H235" s="79">
        <v>2000.0</v>
      </c>
      <c r="I235" s="80">
        <v>44427.0</v>
      </c>
    </row>
    <row r="236">
      <c r="E236" s="78" t="s">
        <v>77</v>
      </c>
      <c r="F236" s="78" t="s">
        <v>99</v>
      </c>
      <c r="G236" s="79">
        <v>700.0</v>
      </c>
      <c r="H236" s="79">
        <v>350.0</v>
      </c>
      <c r="I236" s="80">
        <v>44427.0</v>
      </c>
    </row>
    <row r="237">
      <c r="E237" s="78" t="s">
        <v>199</v>
      </c>
      <c r="F237" s="78">
        <v>10.0</v>
      </c>
      <c r="G237" s="79">
        <v>30.0</v>
      </c>
      <c r="H237" s="79">
        <v>300.0</v>
      </c>
      <c r="I237" s="80">
        <v>44427.0</v>
      </c>
    </row>
    <row r="238">
      <c r="E238" s="78" t="s">
        <v>157</v>
      </c>
      <c r="F238" s="78" t="s">
        <v>49</v>
      </c>
      <c r="G238" s="79">
        <v>200.0</v>
      </c>
      <c r="H238" s="79">
        <v>200.0</v>
      </c>
      <c r="I238" s="80">
        <v>44427.0</v>
      </c>
    </row>
    <row r="239">
      <c r="E239" s="78" t="s">
        <v>200</v>
      </c>
      <c r="F239" s="78">
        <v>1.0</v>
      </c>
      <c r="G239" s="79">
        <v>100.0</v>
      </c>
      <c r="H239" s="79">
        <v>100.0</v>
      </c>
      <c r="I239" s="80">
        <v>44427.0</v>
      </c>
    </row>
    <row r="240">
      <c r="E240" s="78" t="s">
        <v>108</v>
      </c>
      <c r="F240" s="78">
        <v>4.0</v>
      </c>
      <c r="G240" s="79">
        <v>100.0</v>
      </c>
      <c r="H240" s="79">
        <v>400.0</v>
      </c>
      <c r="I240" s="80">
        <v>44427.0</v>
      </c>
    </row>
    <row r="241">
      <c r="E241" s="78" t="s">
        <v>67</v>
      </c>
      <c r="F241" s="78" t="s">
        <v>92</v>
      </c>
      <c r="G241" s="79">
        <v>35.0</v>
      </c>
      <c r="H241" s="79">
        <v>350.0</v>
      </c>
      <c r="I241" s="80">
        <v>44427.0</v>
      </c>
    </row>
    <row r="242">
      <c r="E242" s="78" t="s">
        <v>201</v>
      </c>
      <c r="F242" s="78" t="s">
        <v>143</v>
      </c>
      <c r="G242" s="79">
        <v>100.0</v>
      </c>
      <c r="H242" s="79">
        <v>500.0</v>
      </c>
      <c r="I242" s="80">
        <v>44427.0</v>
      </c>
    </row>
    <row r="243">
      <c r="E243" s="78" t="s">
        <v>37</v>
      </c>
      <c r="F243" s="78">
        <v>6.0</v>
      </c>
      <c r="G243" s="79">
        <v>90.0</v>
      </c>
      <c r="H243" s="79">
        <v>540.0</v>
      </c>
      <c r="I243" s="80">
        <v>44427.0</v>
      </c>
    </row>
    <row r="244">
      <c r="E244" s="78" t="s">
        <v>202</v>
      </c>
      <c r="F244" s="78">
        <v>1.0</v>
      </c>
      <c r="G244" s="79">
        <v>1000.0</v>
      </c>
      <c r="H244" s="79">
        <v>1000.0</v>
      </c>
      <c r="I244" s="80">
        <v>44427.0</v>
      </c>
    </row>
    <row r="245">
      <c r="E245" s="78" t="s">
        <v>202</v>
      </c>
      <c r="F245" s="78">
        <v>2.0</v>
      </c>
      <c r="G245" s="79">
        <v>1000.0</v>
      </c>
      <c r="H245" s="79">
        <v>2000.0</v>
      </c>
      <c r="I245" s="80">
        <v>44428.0</v>
      </c>
    </row>
    <row r="246">
      <c r="E246" s="78" t="s">
        <v>77</v>
      </c>
      <c r="F246" s="78" t="s">
        <v>49</v>
      </c>
      <c r="G246" s="79">
        <v>700.0</v>
      </c>
      <c r="H246" s="79">
        <v>700.0</v>
      </c>
      <c r="I246" s="80">
        <v>44428.0</v>
      </c>
    </row>
    <row r="247">
      <c r="E247" s="99" t="s">
        <v>203</v>
      </c>
      <c r="F247" s="58"/>
      <c r="G247" s="100"/>
      <c r="H247" s="101">
        <f>SUM(H10:H246)</f>
        <v>414283</v>
      </c>
      <c r="I247" s="58"/>
    </row>
    <row r="248">
      <c r="E248" s="102" t="s">
        <v>204</v>
      </c>
      <c r="F248" s="58"/>
      <c r="G248" s="103"/>
      <c r="H248" s="104">
        <v>20000.0</v>
      </c>
      <c r="I248" s="58"/>
    </row>
    <row r="249">
      <c r="E249" s="102" t="s">
        <v>205</v>
      </c>
      <c r="F249" s="58"/>
      <c r="G249" s="105"/>
      <c r="H249" s="106">
        <f>H248-H247</f>
        <v>-394283</v>
      </c>
      <c r="I249" s="58"/>
    </row>
    <row r="254">
      <c r="E254" s="107" t="s">
        <v>206</v>
      </c>
      <c r="F254" s="58"/>
      <c r="G254" s="58"/>
      <c r="H254" s="58"/>
      <c r="I254" s="58"/>
    </row>
    <row r="255">
      <c r="E255" s="108" t="s">
        <v>207</v>
      </c>
      <c r="F255" s="108">
        <v>4.0</v>
      </c>
      <c r="G255" s="109">
        <v>250.0</v>
      </c>
      <c r="H255" s="109">
        <v>1000.0</v>
      </c>
      <c r="I255" s="110">
        <v>44409.0</v>
      </c>
    </row>
    <row r="256">
      <c r="E256" s="111" t="s">
        <v>208</v>
      </c>
      <c r="F256" s="111">
        <v>2.0</v>
      </c>
      <c r="G256" s="112">
        <v>500.0</v>
      </c>
      <c r="H256" s="112">
        <v>1000.0</v>
      </c>
      <c r="I256" s="110">
        <v>44420.0</v>
      </c>
    </row>
    <row r="257">
      <c r="E257" s="111" t="s">
        <v>209</v>
      </c>
      <c r="F257" s="111" t="s">
        <v>210</v>
      </c>
      <c r="G257" s="112">
        <v>80.0</v>
      </c>
      <c r="H257" s="112">
        <v>800.0</v>
      </c>
      <c r="I257" s="110">
        <v>44423.0</v>
      </c>
    </row>
    <row r="258">
      <c r="E258" s="108"/>
      <c r="F258" s="108"/>
      <c r="G258" s="109"/>
      <c r="H258" s="109"/>
      <c r="I258" s="108"/>
    </row>
    <row r="259">
      <c r="E259" s="108"/>
      <c r="F259" s="108"/>
      <c r="G259" s="109"/>
      <c r="H259" s="109">
        <f>SUM(H255:H258)</f>
        <v>2800</v>
      </c>
      <c r="I259" s="10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76.13"/>
  </cols>
  <sheetData>
    <row r="1">
      <c r="A1" s="1"/>
      <c r="B1" s="2" t="s">
        <v>0</v>
      </c>
      <c r="C1" s="113" t="s">
        <v>211</v>
      </c>
      <c r="D1" s="113" t="s">
        <v>212</v>
      </c>
      <c r="E1" s="113" t="s">
        <v>213</v>
      </c>
      <c r="F1" s="113" t="s">
        <v>214</v>
      </c>
      <c r="G1" s="113" t="s">
        <v>215</v>
      </c>
      <c r="H1" s="114" t="s">
        <v>216</v>
      </c>
      <c r="I1" s="113" t="s">
        <v>217</v>
      </c>
      <c r="J1" s="113" t="s">
        <v>218</v>
      </c>
      <c r="K1" s="113" t="s">
        <v>219</v>
      </c>
      <c r="L1" s="113" t="s">
        <v>220</v>
      </c>
      <c r="M1" s="113" t="s">
        <v>221</v>
      </c>
      <c r="N1" s="113" t="s">
        <v>222</v>
      </c>
      <c r="O1" s="115" t="s">
        <v>223</v>
      </c>
    </row>
    <row r="2">
      <c r="A2" s="9" t="s">
        <v>11</v>
      </c>
      <c r="B2" s="10">
        <v>44409.0</v>
      </c>
      <c r="C2" s="116">
        <v>0.0</v>
      </c>
      <c r="D2" s="117">
        <v>1.0</v>
      </c>
      <c r="E2" s="116">
        <v>0.0</v>
      </c>
      <c r="F2" s="117">
        <v>1.0</v>
      </c>
      <c r="G2" s="118">
        <v>0.0</v>
      </c>
      <c r="H2" s="117">
        <v>0.0</v>
      </c>
      <c r="I2" s="117">
        <v>1.0</v>
      </c>
      <c r="J2" s="117">
        <v>1.0</v>
      </c>
      <c r="K2" s="117">
        <v>1.0</v>
      </c>
      <c r="L2" s="117">
        <v>1.0</v>
      </c>
      <c r="M2" s="119">
        <v>0.0</v>
      </c>
      <c r="N2" s="119">
        <v>0.0</v>
      </c>
      <c r="O2" s="58"/>
    </row>
    <row r="3">
      <c r="A3" s="9" t="s">
        <v>12</v>
      </c>
      <c r="B3" s="10">
        <v>44410.0</v>
      </c>
      <c r="C3" s="120">
        <v>0.0</v>
      </c>
      <c r="D3" s="121">
        <v>1.0</v>
      </c>
      <c r="E3" s="120">
        <v>0.0</v>
      </c>
      <c r="F3" s="121">
        <v>1.0</v>
      </c>
      <c r="G3" s="120">
        <v>0.0</v>
      </c>
      <c r="H3" s="121">
        <v>0.0</v>
      </c>
      <c r="I3" s="121">
        <v>1.0</v>
      </c>
      <c r="J3" s="121">
        <v>1.0</v>
      </c>
      <c r="K3" s="121">
        <v>1.0</v>
      </c>
      <c r="L3" s="121">
        <v>1.0</v>
      </c>
      <c r="M3" s="120">
        <v>0.0</v>
      </c>
      <c r="N3" s="120">
        <v>0.0</v>
      </c>
      <c r="O3" s="122" t="s">
        <v>224</v>
      </c>
    </row>
    <row r="4">
      <c r="A4" s="9" t="s">
        <v>13</v>
      </c>
      <c r="B4" s="10">
        <v>44411.0</v>
      </c>
      <c r="C4" s="120">
        <v>0.0</v>
      </c>
      <c r="D4" s="121">
        <v>1.0</v>
      </c>
      <c r="E4" s="120">
        <v>0.0</v>
      </c>
      <c r="F4" s="121">
        <v>1.0</v>
      </c>
      <c r="G4" s="57">
        <v>0.0</v>
      </c>
      <c r="H4" s="121">
        <v>0.0</v>
      </c>
      <c r="I4" s="121">
        <v>1.0</v>
      </c>
      <c r="J4" s="121">
        <v>1.0</v>
      </c>
      <c r="K4" s="121">
        <v>1.0</v>
      </c>
      <c r="L4" s="121">
        <v>1.0</v>
      </c>
      <c r="M4" s="120">
        <v>0.0</v>
      </c>
      <c r="N4" s="120">
        <v>0.0</v>
      </c>
      <c r="O4" s="122" t="s">
        <v>225</v>
      </c>
    </row>
    <row r="5">
      <c r="A5" s="9" t="s">
        <v>14</v>
      </c>
      <c r="B5" s="10">
        <v>44412.0</v>
      </c>
      <c r="C5" s="120">
        <v>0.0</v>
      </c>
      <c r="D5" s="121">
        <v>1.0</v>
      </c>
      <c r="E5" s="120">
        <v>0.0</v>
      </c>
      <c r="F5" s="121">
        <v>1.0</v>
      </c>
      <c r="G5" s="57">
        <v>0.0</v>
      </c>
      <c r="H5" s="121">
        <v>0.0</v>
      </c>
      <c r="I5" s="121">
        <v>1.0</v>
      </c>
      <c r="J5" s="121">
        <v>1.0</v>
      </c>
      <c r="K5" s="121">
        <v>1.0</v>
      </c>
      <c r="L5" s="121">
        <v>1.0</v>
      </c>
      <c r="M5" s="120">
        <v>0.0</v>
      </c>
      <c r="N5" s="120">
        <v>0.0</v>
      </c>
      <c r="O5" s="58"/>
    </row>
    <row r="6">
      <c r="A6" s="9" t="s">
        <v>15</v>
      </c>
      <c r="B6" s="10">
        <v>44413.0</v>
      </c>
      <c r="C6" s="120">
        <v>0.0</v>
      </c>
      <c r="D6" s="121">
        <v>1.0</v>
      </c>
      <c r="E6" s="120">
        <v>0.0</v>
      </c>
      <c r="F6" s="121">
        <v>1.0</v>
      </c>
      <c r="G6" s="57">
        <v>0.0</v>
      </c>
      <c r="H6" s="121">
        <v>0.0</v>
      </c>
      <c r="I6" s="121">
        <v>1.0</v>
      </c>
      <c r="J6" s="121">
        <v>1.0</v>
      </c>
      <c r="K6" s="121">
        <v>1.0</v>
      </c>
      <c r="L6" s="121">
        <v>1.0</v>
      </c>
      <c r="M6" s="120">
        <v>0.0</v>
      </c>
      <c r="N6" s="121">
        <v>1.0</v>
      </c>
      <c r="O6" s="123"/>
    </row>
    <row r="7">
      <c r="A7" s="124" t="s">
        <v>16</v>
      </c>
      <c r="B7" s="10">
        <v>44414.0</v>
      </c>
      <c r="C7" s="120">
        <v>0.0</v>
      </c>
      <c r="D7" s="125">
        <v>0.0</v>
      </c>
      <c r="E7" s="120">
        <v>0.0</v>
      </c>
      <c r="F7" s="125">
        <v>0.0</v>
      </c>
      <c r="G7" s="57">
        <v>0.0</v>
      </c>
      <c r="H7" s="125">
        <v>0.0</v>
      </c>
      <c r="I7" s="125">
        <v>0.0</v>
      </c>
      <c r="J7" s="125">
        <v>0.0</v>
      </c>
      <c r="K7" s="125">
        <v>0.0</v>
      </c>
      <c r="L7" s="125">
        <v>0.0</v>
      </c>
      <c r="M7" s="57">
        <v>0.0</v>
      </c>
      <c r="N7" s="126">
        <v>0.0</v>
      </c>
      <c r="O7" s="58"/>
    </row>
    <row r="8">
      <c r="A8" s="9" t="s">
        <v>17</v>
      </c>
      <c r="B8" s="10">
        <v>44415.0</v>
      </c>
      <c r="C8" s="120">
        <v>0.0</v>
      </c>
      <c r="D8" s="121">
        <v>1.0</v>
      </c>
      <c r="E8" s="120">
        <v>0.0</v>
      </c>
      <c r="F8" s="121">
        <v>1.0</v>
      </c>
      <c r="G8" s="57">
        <v>0.0</v>
      </c>
      <c r="H8" s="121">
        <v>0.0</v>
      </c>
      <c r="I8" s="121">
        <v>1.0</v>
      </c>
      <c r="J8" s="121">
        <v>1.0</v>
      </c>
      <c r="K8" s="121">
        <v>1.0</v>
      </c>
      <c r="L8" s="121">
        <v>1.0</v>
      </c>
      <c r="M8" s="120">
        <v>0.0</v>
      </c>
      <c r="N8" s="121">
        <v>1.0</v>
      </c>
      <c r="O8" s="58"/>
    </row>
    <row r="9">
      <c r="A9" s="9" t="s">
        <v>11</v>
      </c>
      <c r="B9" s="10">
        <v>44416.0</v>
      </c>
      <c r="C9" s="120">
        <v>0.0</v>
      </c>
      <c r="D9" s="121">
        <v>0.0</v>
      </c>
      <c r="E9" s="120">
        <v>0.0</v>
      </c>
      <c r="F9" s="121">
        <v>1.0</v>
      </c>
      <c r="G9" s="120">
        <v>0.0</v>
      </c>
      <c r="H9" s="121">
        <v>0.0</v>
      </c>
      <c r="I9" s="121">
        <v>1.0</v>
      </c>
      <c r="J9" s="121">
        <v>1.0</v>
      </c>
      <c r="K9" s="121">
        <v>1.0</v>
      </c>
      <c r="L9" s="121">
        <v>1.0</v>
      </c>
      <c r="M9" s="57">
        <v>0.0</v>
      </c>
      <c r="N9" s="121">
        <v>1.5</v>
      </c>
      <c r="O9" s="58"/>
    </row>
    <row r="10">
      <c r="A10" s="9" t="s">
        <v>12</v>
      </c>
      <c r="B10" s="10">
        <v>44417.0</v>
      </c>
      <c r="C10" s="120">
        <v>0.0</v>
      </c>
      <c r="D10" s="121">
        <v>1.0</v>
      </c>
      <c r="E10" s="120">
        <v>0.0</v>
      </c>
      <c r="F10" s="121">
        <v>1.0</v>
      </c>
      <c r="G10" s="57">
        <v>0.0</v>
      </c>
      <c r="H10" s="121">
        <v>0.0</v>
      </c>
      <c r="I10" s="121">
        <v>1.0</v>
      </c>
      <c r="J10" s="121">
        <v>1.0</v>
      </c>
      <c r="K10" s="121">
        <v>1.0</v>
      </c>
      <c r="L10" s="121">
        <v>1.0</v>
      </c>
      <c r="M10" s="57">
        <v>0.0</v>
      </c>
      <c r="N10" s="121">
        <v>1.0</v>
      </c>
      <c r="O10" s="123"/>
    </row>
    <row r="11">
      <c r="A11" s="9" t="s">
        <v>13</v>
      </c>
      <c r="B11" s="10">
        <v>44418.0</v>
      </c>
      <c r="C11" s="120">
        <v>0.0</v>
      </c>
      <c r="D11" s="127">
        <v>2.0</v>
      </c>
      <c r="E11" s="120">
        <v>0.0</v>
      </c>
      <c r="F11" s="127">
        <v>2.0</v>
      </c>
      <c r="G11" s="57">
        <v>0.0</v>
      </c>
      <c r="H11" s="127">
        <v>0.0</v>
      </c>
      <c r="I11" s="127">
        <v>2.0</v>
      </c>
      <c r="J11" s="127">
        <v>2.0</v>
      </c>
      <c r="K11" s="127">
        <v>2.0</v>
      </c>
      <c r="L11" s="121">
        <v>1.0</v>
      </c>
      <c r="M11" s="57">
        <v>0.0</v>
      </c>
      <c r="N11" s="127">
        <v>2.0</v>
      </c>
      <c r="O11" s="58"/>
    </row>
    <row r="12">
      <c r="A12" s="9" t="s">
        <v>14</v>
      </c>
      <c r="B12" s="10">
        <v>44419.0</v>
      </c>
      <c r="C12" s="120">
        <v>0.0</v>
      </c>
      <c r="D12" s="121">
        <v>1.0</v>
      </c>
      <c r="E12" s="120">
        <v>0.0</v>
      </c>
      <c r="F12" s="121">
        <v>1.0</v>
      </c>
      <c r="G12" s="57">
        <v>0.0</v>
      </c>
      <c r="H12" s="121">
        <v>0.0</v>
      </c>
      <c r="I12" s="121">
        <v>1.0</v>
      </c>
      <c r="J12" s="121">
        <v>1.0</v>
      </c>
      <c r="K12" s="121">
        <v>1.0</v>
      </c>
      <c r="L12" s="121"/>
      <c r="M12" s="57">
        <v>0.0</v>
      </c>
      <c r="N12" s="121">
        <v>1.0</v>
      </c>
      <c r="O12" s="58"/>
    </row>
    <row r="13">
      <c r="A13" s="9" t="s">
        <v>15</v>
      </c>
      <c r="B13" s="10">
        <v>44420.0</v>
      </c>
      <c r="C13" s="120">
        <v>0.0</v>
      </c>
      <c r="D13" s="121">
        <v>1.0</v>
      </c>
      <c r="E13" s="120">
        <v>0.0</v>
      </c>
      <c r="F13" s="121">
        <v>1.0</v>
      </c>
      <c r="G13" s="57">
        <v>0.0</v>
      </c>
      <c r="H13" s="121">
        <v>0.0</v>
      </c>
      <c r="I13" s="121">
        <v>1.0</v>
      </c>
      <c r="J13" s="121">
        <v>1.0</v>
      </c>
      <c r="K13" s="121">
        <v>1.0</v>
      </c>
      <c r="L13" s="121">
        <v>1.0</v>
      </c>
      <c r="M13" s="57">
        <v>0.0</v>
      </c>
      <c r="N13" s="121">
        <v>1.0</v>
      </c>
      <c r="O13" s="123"/>
    </row>
    <row r="14">
      <c r="A14" s="124" t="s">
        <v>16</v>
      </c>
      <c r="B14" s="10">
        <v>44421.0</v>
      </c>
      <c r="C14" s="128">
        <v>0.0</v>
      </c>
      <c r="D14" s="129">
        <v>1.0</v>
      </c>
      <c r="E14" s="128">
        <v>0.0</v>
      </c>
      <c r="F14" s="129">
        <v>0.0</v>
      </c>
      <c r="G14" s="130">
        <v>0.0</v>
      </c>
      <c r="H14" s="129">
        <v>0.0</v>
      </c>
      <c r="I14" s="129">
        <v>0.0</v>
      </c>
      <c r="J14" s="129">
        <v>1.0</v>
      </c>
      <c r="K14" s="129">
        <v>0.0</v>
      </c>
      <c r="L14" s="129">
        <v>0.0</v>
      </c>
      <c r="M14" s="130">
        <v>0.0</v>
      </c>
      <c r="N14" s="129">
        <v>1.0</v>
      </c>
      <c r="O14" s="58"/>
    </row>
    <row r="15">
      <c r="A15" s="9" t="s">
        <v>17</v>
      </c>
      <c r="B15" s="10">
        <v>44422.0</v>
      </c>
      <c r="C15" s="128">
        <v>0.0</v>
      </c>
      <c r="D15" s="131">
        <v>0.0</v>
      </c>
      <c r="E15" s="128">
        <v>0.0</v>
      </c>
      <c r="F15" s="131">
        <v>1.0</v>
      </c>
      <c r="G15" s="130">
        <v>0.0</v>
      </c>
      <c r="H15" s="131">
        <v>0.0</v>
      </c>
      <c r="I15" s="131">
        <v>1.0</v>
      </c>
      <c r="J15" s="131">
        <v>0.0</v>
      </c>
      <c r="K15" s="131">
        <v>1.0</v>
      </c>
      <c r="L15" s="131">
        <v>1.0</v>
      </c>
      <c r="M15" s="130">
        <v>0.0</v>
      </c>
      <c r="N15" s="131">
        <v>1.0</v>
      </c>
      <c r="O15" s="132"/>
    </row>
    <row r="16">
      <c r="A16" s="9" t="s">
        <v>11</v>
      </c>
      <c r="B16" s="10">
        <v>44423.0</v>
      </c>
      <c r="C16" s="120">
        <v>0.0</v>
      </c>
      <c r="D16" s="117">
        <v>1.0</v>
      </c>
      <c r="E16" s="116">
        <v>0.0</v>
      </c>
      <c r="F16" s="117">
        <v>1.0</v>
      </c>
      <c r="G16" s="118">
        <v>0.0</v>
      </c>
      <c r="H16" s="117">
        <v>0.0</v>
      </c>
      <c r="I16" s="117">
        <v>1.0</v>
      </c>
      <c r="J16" s="117">
        <v>1.0</v>
      </c>
      <c r="K16" s="117">
        <v>1.0</v>
      </c>
      <c r="L16" s="117">
        <v>1.0</v>
      </c>
      <c r="M16" s="118">
        <v>0.0</v>
      </c>
      <c r="N16" s="117">
        <v>1.0</v>
      </c>
      <c r="O16" s="58"/>
    </row>
    <row r="17">
      <c r="A17" s="9" t="s">
        <v>12</v>
      </c>
      <c r="B17" s="10">
        <v>44424.0</v>
      </c>
      <c r="C17" s="117">
        <v>1.0</v>
      </c>
      <c r="D17" s="117">
        <v>1.0</v>
      </c>
      <c r="E17" s="116">
        <v>0.0</v>
      </c>
      <c r="F17" s="117">
        <v>1.0</v>
      </c>
      <c r="G17" s="118">
        <v>0.0</v>
      </c>
      <c r="H17" s="117">
        <v>0.0</v>
      </c>
      <c r="I17" s="117">
        <v>1.0</v>
      </c>
      <c r="J17" s="117">
        <v>1.0</v>
      </c>
      <c r="K17" s="117">
        <v>1.0</v>
      </c>
      <c r="L17" s="117">
        <v>0.0</v>
      </c>
      <c r="M17" s="118">
        <v>0.0</v>
      </c>
      <c r="N17" s="117">
        <v>1.0</v>
      </c>
      <c r="O17" s="58"/>
    </row>
    <row r="18">
      <c r="A18" s="9" t="s">
        <v>13</v>
      </c>
      <c r="B18" s="10">
        <v>44425.0</v>
      </c>
      <c r="C18" s="117">
        <v>1.0</v>
      </c>
      <c r="D18" s="117">
        <v>1.0</v>
      </c>
      <c r="E18" s="116">
        <v>0.0</v>
      </c>
      <c r="F18" s="117">
        <v>1.0</v>
      </c>
      <c r="G18" s="118">
        <v>0.0</v>
      </c>
      <c r="H18" s="117">
        <v>0.0</v>
      </c>
      <c r="I18" s="117">
        <v>1.0</v>
      </c>
      <c r="J18" s="117">
        <v>1.0</v>
      </c>
      <c r="K18" s="117">
        <v>1.0</v>
      </c>
      <c r="L18" s="117">
        <v>0.5</v>
      </c>
      <c r="M18" s="118">
        <v>0.0</v>
      </c>
      <c r="N18" s="117">
        <v>1.0</v>
      </c>
      <c r="O18" s="58"/>
    </row>
    <row r="19">
      <c r="A19" s="9" t="s">
        <v>14</v>
      </c>
      <c r="B19" s="10">
        <v>44426.0</v>
      </c>
      <c r="C19" s="117">
        <v>1.0</v>
      </c>
      <c r="D19" s="117">
        <v>1.0</v>
      </c>
      <c r="E19" s="116">
        <v>0.0</v>
      </c>
      <c r="F19" s="117">
        <v>1.0</v>
      </c>
      <c r="G19" s="118">
        <v>0.0</v>
      </c>
      <c r="H19" s="117">
        <v>1.0</v>
      </c>
      <c r="I19" s="117">
        <v>1.0</v>
      </c>
      <c r="J19" s="117">
        <v>1.0</v>
      </c>
      <c r="K19" s="117">
        <v>1.0</v>
      </c>
      <c r="L19" s="117">
        <v>0.0</v>
      </c>
      <c r="M19" s="118">
        <v>0.0</v>
      </c>
      <c r="N19" s="117">
        <v>1.0</v>
      </c>
      <c r="O19" s="133"/>
    </row>
    <row r="20">
      <c r="A20" s="9" t="s">
        <v>15</v>
      </c>
      <c r="B20" s="10">
        <v>44427.0</v>
      </c>
      <c r="C20" s="127">
        <v>1.5</v>
      </c>
      <c r="D20" s="117">
        <v>1.0</v>
      </c>
      <c r="E20" s="116">
        <v>0.0</v>
      </c>
      <c r="F20" s="127">
        <v>2.0</v>
      </c>
      <c r="G20" s="118">
        <v>0.0</v>
      </c>
      <c r="H20" s="127">
        <v>1.0</v>
      </c>
      <c r="I20" s="127">
        <v>2.0</v>
      </c>
      <c r="J20" s="127">
        <v>2.0</v>
      </c>
      <c r="K20" s="127">
        <v>2.0</v>
      </c>
      <c r="L20" s="117">
        <v>0.0</v>
      </c>
      <c r="M20" s="118">
        <v>0.0</v>
      </c>
      <c r="N20" s="127">
        <v>2.0</v>
      </c>
      <c r="O20" s="58"/>
    </row>
    <row r="21">
      <c r="A21" s="124" t="s">
        <v>16</v>
      </c>
      <c r="B21" s="10">
        <v>44428.0</v>
      </c>
      <c r="C21" s="117">
        <v>1.0</v>
      </c>
      <c r="D21" s="117">
        <v>1.0</v>
      </c>
      <c r="E21" s="116">
        <v>0.0</v>
      </c>
      <c r="F21" s="117">
        <v>1.0</v>
      </c>
      <c r="G21" s="118">
        <v>0.0</v>
      </c>
      <c r="H21" s="117">
        <v>0.0</v>
      </c>
      <c r="I21" s="117">
        <v>0.0</v>
      </c>
      <c r="J21" s="117">
        <v>1.0</v>
      </c>
      <c r="K21" s="117">
        <v>0.0</v>
      </c>
      <c r="L21" s="117">
        <v>0.0</v>
      </c>
      <c r="M21" s="118">
        <v>0.0</v>
      </c>
      <c r="N21" s="117">
        <v>1.0</v>
      </c>
      <c r="O21" s="58"/>
    </row>
    <row r="22">
      <c r="A22" s="6" t="s">
        <v>17</v>
      </c>
      <c r="B22" s="51">
        <v>44429.0</v>
      </c>
      <c r="C22" s="134">
        <v>7.5</v>
      </c>
      <c r="D22" s="120">
        <v>0.0</v>
      </c>
      <c r="E22" s="120">
        <v>0.0</v>
      </c>
      <c r="F22" s="120">
        <v>0.0</v>
      </c>
      <c r="G22" s="57">
        <v>0.0</v>
      </c>
      <c r="H22" s="120">
        <v>0.0</v>
      </c>
      <c r="I22" s="57">
        <v>0.0</v>
      </c>
      <c r="J22" s="57">
        <v>0.0</v>
      </c>
      <c r="K22" s="57">
        <v>0.0</v>
      </c>
      <c r="L22" s="57">
        <v>0.0</v>
      </c>
      <c r="M22" s="57">
        <v>0.0</v>
      </c>
      <c r="N22" s="57">
        <v>0.0</v>
      </c>
      <c r="O22" s="58"/>
    </row>
    <row r="23">
      <c r="A23" s="6" t="s">
        <v>11</v>
      </c>
      <c r="B23" s="51">
        <v>44430.0</v>
      </c>
      <c r="C23" s="116">
        <v>0.0</v>
      </c>
      <c r="D23" s="116">
        <v>0.0</v>
      </c>
      <c r="E23" s="116">
        <v>0.0</v>
      </c>
      <c r="F23" s="116">
        <v>0.0</v>
      </c>
      <c r="G23" s="118">
        <v>0.0</v>
      </c>
      <c r="H23" s="116">
        <v>0.0</v>
      </c>
      <c r="I23" s="118">
        <v>0.0</v>
      </c>
      <c r="J23" s="116">
        <v>0.0</v>
      </c>
      <c r="K23" s="118">
        <v>0.0</v>
      </c>
      <c r="L23" s="118">
        <v>0.0</v>
      </c>
      <c r="M23" s="118">
        <v>0.0</v>
      </c>
      <c r="N23" s="119">
        <v>0.0</v>
      </c>
      <c r="O23" s="58"/>
    </row>
    <row r="24">
      <c r="A24" s="6" t="s">
        <v>12</v>
      </c>
      <c r="B24" s="51">
        <v>44431.0</v>
      </c>
      <c r="C24" s="116">
        <v>0.0</v>
      </c>
      <c r="D24" s="116">
        <v>0.0</v>
      </c>
      <c r="E24" s="116">
        <v>0.0</v>
      </c>
      <c r="F24" s="116">
        <v>0.0</v>
      </c>
      <c r="G24" s="118">
        <v>0.0</v>
      </c>
      <c r="H24" s="116">
        <v>0.0</v>
      </c>
      <c r="I24" s="118">
        <v>0.0</v>
      </c>
      <c r="J24" s="116">
        <v>0.0</v>
      </c>
      <c r="K24" s="118">
        <v>0.0</v>
      </c>
      <c r="L24" s="118">
        <v>0.0</v>
      </c>
      <c r="M24" s="118">
        <v>0.0</v>
      </c>
      <c r="N24" s="118">
        <v>0.0</v>
      </c>
      <c r="O24" s="58"/>
    </row>
    <row r="25">
      <c r="A25" s="6" t="s">
        <v>13</v>
      </c>
      <c r="B25" s="51">
        <v>44432.0</v>
      </c>
      <c r="C25" s="116">
        <v>0.0</v>
      </c>
      <c r="D25" s="116">
        <v>0.0</v>
      </c>
      <c r="E25" s="116">
        <v>0.0</v>
      </c>
      <c r="F25" s="116">
        <v>0.0</v>
      </c>
      <c r="G25" s="118">
        <v>0.0</v>
      </c>
      <c r="H25" s="116">
        <v>0.0</v>
      </c>
      <c r="I25" s="116">
        <v>0.0</v>
      </c>
      <c r="J25" s="118">
        <v>0.0</v>
      </c>
      <c r="K25" s="118">
        <v>0.0</v>
      </c>
      <c r="L25" s="116">
        <v>0.0</v>
      </c>
      <c r="M25" s="118">
        <v>0.0</v>
      </c>
      <c r="N25" s="118">
        <v>0.0</v>
      </c>
      <c r="O25" s="58"/>
    </row>
    <row r="26">
      <c r="A26" s="6" t="s">
        <v>14</v>
      </c>
      <c r="B26" s="51">
        <v>44433.0</v>
      </c>
      <c r="C26" s="116">
        <v>0.0</v>
      </c>
      <c r="D26" s="116">
        <v>0.0</v>
      </c>
      <c r="E26" s="116">
        <v>0.0</v>
      </c>
      <c r="F26" s="116">
        <v>0.0</v>
      </c>
      <c r="G26" s="118">
        <v>0.0</v>
      </c>
      <c r="H26" s="116">
        <v>0.0</v>
      </c>
      <c r="I26" s="116">
        <v>0.0</v>
      </c>
      <c r="J26" s="116">
        <v>0.0</v>
      </c>
      <c r="K26" s="116">
        <v>0.0</v>
      </c>
      <c r="L26" s="116">
        <v>0.0</v>
      </c>
      <c r="M26" s="57">
        <v>0.0</v>
      </c>
      <c r="N26" s="57">
        <v>0.0</v>
      </c>
      <c r="O26" s="58"/>
    </row>
    <row r="27">
      <c r="A27" s="6" t="s">
        <v>15</v>
      </c>
      <c r="B27" s="51">
        <v>44434.0</v>
      </c>
      <c r="C27" s="116">
        <v>0.0</v>
      </c>
      <c r="D27" s="116">
        <v>0.0</v>
      </c>
      <c r="E27" s="116">
        <v>0.0</v>
      </c>
      <c r="F27" s="116">
        <v>0.0</v>
      </c>
      <c r="G27" s="118">
        <v>0.0</v>
      </c>
      <c r="H27" s="116">
        <v>0.0</v>
      </c>
      <c r="I27" s="116">
        <v>0.0</v>
      </c>
      <c r="J27" s="116">
        <v>0.0</v>
      </c>
      <c r="K27" s="116">
        <v>0.0</v>
      </c>
      <c r="L27" s="116">
        <v>0.0</v>
      </c>
      <c r="M27" s="57">
        <v>0.0</v>
      </c>
      <c r="N27" s="57">
        <v>0.0</v>
      </c>
      <c r="O27" s="58"/>
    </row>
    <row r="28">
      <c r="A28" s="6" t="s">
        <v>16</v>
      </c>
      <c r="B28" s="51">
        <v>44435.0</v>
      </c>
      <c r="C28" s="116">
        <v>0.0</v>
      </c>
      <c r="D28" s="116">
        <v>0.0</v>
      </c>
      <c r="E28" s="116">
        <v>0.0</v>
      </c>
      <c r="F28" s="116">
        <v>0.0</v>
      </c>
      <c r="G28" s="118">
        <v>0.0</v>
      </c>
      <c r="H28" s="116">
        <v>0.0</v>
      </c>
      <c r="I28" s="116">
        <v>0.0</v>
      </c>
      <c r="J28" s="116">
        <v>0.0</v>
      </c>
      <c r="K28" s="116">
        <v>0.0</v>
      </c>
      <c r="L28" s="118">
        <v>0.0</v>
      </c>
      <c r="M28" s="118">
        <v>0.0</v>
      </c>
      <c r="N28" s="118">
        <v>0.0</v>
      </c>
      <c r="O28" s="58"/>
    </row>
    <row r="29">
      <c r="A29" s="6" t="s">
        <v>17</v>
      </c>
      <c r="B29" s="51">
        <v>44436.0</v>
      </c>
      <c r="C29" s="116">
        <v>0.0</v>
      </c>
      <c r="D29" s="116">
        <v>0.0</v>
      </c>
      <c r="E29" s="116">
        <v>0.0</v>
      </c>
      <c r="F29" s="116">
        <v>0.0</v>
      </c>
      <c r="G29" s="118">
        <v>0.0</v>
      </c>
      <c r="H29" s="116">
        <v>0.0</v>
      </c>
      <c r="I29" s="116">
        <v>0.0</v>
      </c>
      <c r="J29" s="116">
        <v>0.0</v>
      </c>
      <c r="K29" s="116">
        <v>0.0</v>
      </c>
      <c r="L29" s="116">
        <v>0.0</v>
      </c>
      <c r="M29" s="57">
        <v>0.0</v>
      </c>
      <c r="N29" s="57">
        <v>0.0</v>
      </c>
      <c r="O29" s="58"/>
    </row>
    <row r="30">
      <c r="A30" s="6" t="s">
        <v>11</v>
      </c>
      <c r="B30" s="51">
        <v>44437.0</v>
      </c>
      <c r="C30" s="116">
        <v>0.0</v>
      </c>
      <c r="D30" s="116">
        <v>0.0</v>
      </c>
      <c r="E30" s="116">
        <v>0.0</v>
      </c>
      <c r="F30" s="116">
        <v>0.0</v>
      </c>
      <c r="G30" s="118">
        <v>0.0</v>
      </c>
      <c r="H30" s="116">
        <v>0.0</v>
      </c>
      <c r="I30" s="116">
        <v>0.0</v>
      </c>
      <c r="J30" s="116">
        <v>0.0</v>
      </c>
      <c r="K30" s="118">
        <v>0.0</v>
      </c>
      <c r="L30" s="116">
        <v>0.0</v>
      </c>
      <c r="M30" s="118">
        <v>0.0</v>
      </c>
      <c r="N30" s="57">
        <v>0.0</v>
      </c>
      <c r="O30" s="58"/>
    </row>
    <row r="31">
      <c r="A31" s="6" t="s">
        <v>12</v>
      </c>
      <c r="B31" s="51">
        <v>44438.0</v>
      </c>
      <c r="C31" s="116">
        <v>0.0</v>
      </c>
      <c r="D31" s="116">
        <v>0.0</v>
      </c>
      <c r="E31" s="116">
        <v>0.0</v>
      </c>
      <c r="F31" s="116">
        <v>0.0</v>
      </c>
      <c r="G31" s="118">
        <v>0.0</v>
      </c>
      <c r="H31" s="116">
        <v>0.0</v>
      </c>
      <c r="I31" s="118">
        <v>0.0</v>
      </c>
      <c r="J31" s="116">
        <v>0.0</v>
      </c>
      <c r="K31" s="118">
        <v>0.0</v>
      </c>
      <c r="L31" s="116">
        <v>0.0</v>
      </c>
      <c r="M31" s="57">
        <v>0.0</v>
      </c>
      <c r="N31" s="57">
        <v>0.0</v>
      </c>
      <c r="O31" s="58"/>
    </row>
    <row r="32">
      <c r="A32" s="6" t="s">
        <v>13</v>
      </c>
      <c r="B32" s="51">
        <v>44439.0</v>
      </c>
      <c r="C32" s="116">
        <v>0.0</v>
      </c>
      <c r="D32" s="116">
        <v>0.0</v>
      </c>
      <c r="E32" s="116">
        <v>0.0</v>
      </c>
      <c r="F32" s="116">
        <v>0.0</v>
      </c>
      <c r="G32" s="118">
        <v>0.0</v>
      </c>
      <c r="H32" s="116">
        <v>0.0</v>
      </c>
      <c r="I32" s="116">
        <v>0.0</v>
      </c>
      <c r="J32" s="118">
        <v>0.0</v>
      </c>
      <c r="K32" s="116">
        <v>0.0</v>
      </c>
      <c r="L32" s="116">
        <v>0.0</v>
      </c>
      <c r="M32" s="118">
        <v>0.0</v>
      </c>
      <c r="N32" s="118">
        <v>0.0</v>
      </c>
      <c r="O32" s="58"/>
    </row>
    <row r="33">
      <c r="A33" s="58"/>
      <c r="B33" s="59"/>
      <c r="C33" s="135">
        <f t="shared" ref="C33:D33" si="1">SUM(C1:C32)</f>
        <v>13</v>
      </c>
      <c r="D33" s="135">
        <f t="shared" si="1"/>
        <v>18</v>
      </c>
      <c r="E33" s="135">
        <f>SUM(E2:E32)</f>
        <v>0</v>
      </c>
      <c r="F33" s="135">
        <f t="shared" ref="F33:G33" si="2">SUM(F1:F32)</f>
        <v>20</v>
      </c>
      <c r="G33" s="135">
        <f t="shared" si="2"/>
        <v>0</v>
      </c>
      <c r="H33" s="135">
        <f>SUM(H2:H32)</f>
        <v>2</v>
      </c>
      <c r="I33" s="135">
        <f t="shared" ref="I33:J33" si="3">SUM(I1:I32)</f>
        <v>19</v>
      </c>
      <c r="J33" s="135">
        <f t="shared" si="3"/>
        <v>20</v>
      </c>
      <c r="K33" s="135">
        <f t="shared" ref="K33:M33" si="4">SUM(K2:K32)</f>
        <v>19</v>
      </c>
      <c r="L33" s="135">
        <f t="shared" si="4"/>
        <v>12.5</v>
      </c>
      <c r="M33" s="135">
        <f t="shared" si="4"/>
        <v>0</v>
      </c>
      <c r="N33" s="135">
        <f>SUM(N1:N32)</f>
        <v>17.5</v>
      </c>
      <c r="O33" s="58"/>
    </row>
    <row r="34">
      <c r="C34" s="83">
        <v>2000.0</v>
      </c>
      <c r="D34" s="83">
        <v>800.0</v>
      </c>
      <c r="E34" s="83">
        <v>1000.0</v>
      </c>
      <c r="F34" s="82">
        <v>1000.0</v>
      </c>
      <c r="G34" s="82">
        <v>1000.0</v>
      </c>
      <c r="H34" s="83">
        <v>1500.0</v>
      </c>
      <c r="I34" s="83">
        <v>1200.0</v>
      </c>
      <c r="J34" s="83">
        <v>1200.0</v>
      </c>
      <c r="K34" s="83">
        <v>1000.0</v>
      </c>
      <c r="L34" s="83">
        <v>1000.0</v>
      </c>
      <c r="M34" s="82">
        <v>1000.0</v>
      </c>
      <c r="N34" s="83">
        <v>1200.0</v>
      </c>
      <c r="O34" s="136">
        <f t="shared" ref="O34:O35" si="6">SUM(C34:N34)</f>
        <v>13900</v>
      </c>
    </row>
    <row r="35">
      <c r="C35" s="137">
        <f>C34*C33</f>
        <v>26000</v>
      </c>
      <c r="D35" s="137">
        <f>D33*D34</f>
        <v>14400</v>
      </c>
      <c r="E35" s="137">
        <f t="shared" ref="E35:M35" si="5">E34*E33</f>
        <v>0</v>
      </c>
      <c r="F35" s="137">
        <f t="shared" si="5"/>
        <v>20000</v>
      </c>
      <c r="G35" s="137">
        <f t="shared" si="5"/>
        <v>0</v>
      </c>
      <c r="H35" s="137">
        <f t="shared" si="5"/>
        <v>3000</v>
      </c>
      <c r="I35" s="137">
        <f t="shared" si="5"/>
        <v>22800</v>
      </c>
      <c r="J35" s="137">
        <f t="shared" si="5"/>
        <v>24000</v>
      </c>
      <c r="K35" s="137">
        <f t="shared" si="5"/>
        <v>19000</v>
      </c>
      <c r="L35" s="137">
        <f t="shared" si="5"/>
        <v>12500</v>
      </c>
      <c r="M35" s="137">
        <f t="shared" si="5"/>
        <v>0</v>
      </c>
      <c r="N35" s="137">
        <f>N33*N34</f>
        <v>21000</v>
      </c>
      <c r="O35" s="138">
        <f t="shared" si="6"/>
        <v>162700</v>
      </c>
    </row>
    <row r="36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88"/>
    <col customWidth="1" min="9" max="9" width="23.0"/>
    <col customWidth="1" min="10" max="10" width="24.38"/>
    <col customWidth="1" min="11" max="11" width="29.88"/>
    <col customWidth="1" min="12" max="12" width="26.63"/>
  </cols>
  <sheetData>
    <row r="10">
      <c r="G10" s="58"/>
      <c r="H10" s="139" t="s">
        <v>226</v>
      </c>
      <c r="I10" s="139" t="s">
        <v>4</v>
      </c>
      <c r="J10" s="139" t="s">
        <v>227</v>
      </c>
    </row>
    <row r="11">
      <c r="G11" s="81">
        <v>1.0</v>
      </c>
      <c r="H11" s="81" t="s">
        <v>211</v>
      </c>
      <c r="I11" s="82">
        <f>Pointage!C35*1</f>
        <v>26000</v>
      </c>
      <c r="J11" s="83">
        <v>26000.0</v>
      </c>
    </row>
    <row r="12">
      <c r="G12" s="81">
        <v>2.0</v>
      </c>
      <c r="H12" s="81" t="s">
        <v>212</v>
      </c>
      <c r="I12" s="82">
        <f>Pointage!D35*1</f>
        <v>14400</v>
      </c>
      <c r="J12" s="83">
        <v>15000.0</v>
      </c>
    </row>
    <row r="13">
      <c r="G13" s="81">
        <v>3.0</v>
      </c>
      <c r="H13" s="81" t="s">
        <v>213</v>
      </c>
      <c r="I13" s="82">
        <f>Pointage!E35*1</f>
        <v>0</v>
      </c>
      <c r="J13" s="83">
        <v>0.0</v>
      </c>
    </row>
    <row r="14">
      <c r="G14" s="81">
        <v>4.0</v>
      </c>
      <c r="H14" s="81" t="s">
        <v>217</v>
      </c>
      <c r="I14" s="82">
        <f>Pointage!I35*1</f>
        <v>22800</v>
      </c>
      <c r="J14" s="83">
        <v>23000.0</v>
      </c>
    </row>
    <row r="15">
      <c r="G15" s="81">
        <v>5.0</v>
      </c>
      <c r="H15" s="81" t="s">
        <v>228</v>
      </c>
      <c r="I15" s="82">
        <f>Pointage!F35*1</f>
        <v>20000</v>
      </c>
      <c r="J15" s="83">
        <v>20000.0</v>
      </c>
    </row>
    <row r="16">
      <c r="G16" s="81">
        <v>6.0</v>
      </c>
      <c r="H16" s="81" t="s">
        <v>215</v>
      </c>
      <c r="I16" s="82">
        <f>Pointage!G35*1</f>
        <v>0</v>
      </c>
      <c r="J16" s="83">
        <v>0.0</v>
      </c>
    </row>
    <row r="17">
      <c r="G17" s="81">
        <v>7.0</v>
      </c>
      <c r="H17" s="81" t="s">
        <v>218</v>
      </c>
      <c r="I17" s="82">
        <f>Pointage!J35*1</f>
        <v>24000</v>
      </c>
      <c r="J17" s="83">
        <v>24000.0</v>
      </c>
      <c r="K17" s="75" t="s">
        <v>229</v>
      </c>
    </row>
    <row r="18">
      <c r="G18" s="81">
        <v>8.0</v>
      </c>
      <c r="H18" s="81" t="s">
        <v>230</v>
      </c>
      <c r="I18" s="82">
        <f>Pointage!M35*1</f>
        <v>0</v>
      </c>
      <c r="J18" s="83">
        <v>0.0</v>
      </c>
    </row>
    <row r="19">
      <c r="G19" s="81">
        <v>11.0</v>
      </c>
      <c r="H19" s="81" t="s">
        <v>219</v>
      </c>
      <c r="I19" s="82">
        <f>Pointage!K35*1</f>
        <v>19000</v>
      </c>
      <c r="J19" s="83">
        <v>19000.0</v>
      </c>
      <c r="K19" s="75">
        <v>2000.0</v>
      </c>
    </row>
    <row r="20">
      <c r="G20" s="70">
        <v>12.0</v>
      </c>
      <c r="H20" s="70" t="s">
        <v>216</v>
      </c>
      <c r="I20" s="82">
        <f>Pointage!H35*1</f>
        <v>3000</v>
      </c>
      <c r="J20" s="83">
        <v>3000.0</v>
      </c>
      <c r="K20" s="140"/>
      <c r="L20" s="75"/>
    </row>
    <row r="21">
      <c r="G21" s="70">
        <v>13.0</v>
      </c>
      <c r="H21" s="81" t="s">
        <v>231</v>
      </c>
      <c r="I21" s="82">
        <f>Pointage!L35*1</f>
        <v>12500</v>
      </c>
      <c r="J21" s="83">
        <v>12500.0</v>
      </c>
      <c r="K21" s="140">
        <v>1850.0</v>
      </c>
      <c r="L21" s="75" t="s">
        <v>232</v>
      </c>
    </row>
    <row r="22">
      <c r="G22" s="70">
        <v>14.0</v>
      </c>
      <c r="H22" s="81" t="s">
        <v>222</v>
      </c>
      <c r="I22" s="82">
        <f>Pointage!N35*1</f>
        <v>21000</v>
      </c>
      <c r="J22" s="83">
        <v>21000.0</v>
      </c>
    </row>
    <row r="23">
      <c r="G23" s="58"/>
      <c r="H23" s="141" t="s">
        <v>233</v>
      </c>
      <c r="I23" s="142">
        <f t="shared" ref="I23:J23" si="1">SUM(I11:I22)</f>
        <v>162700</v>
      </c>
      <c r="J23" s="143">
        <f t="shared" si="1"/>
        <v>163500</v>
      </c>
    </row>
    <row r="24">
      <c r="G24" s="58"/>
      <c r="H24" s="52"/>
      <c r="I24" s="144">
        <f>I23-J23</f>
        <v>-800</v>
      </c>
      <c r="J24" s="145"/>
    </row>
  </sheetData>
  <drawing r:id="rId1"/>
</worksheet>
</file>