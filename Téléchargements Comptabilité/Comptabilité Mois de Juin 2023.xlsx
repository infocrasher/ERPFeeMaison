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<sst xmlns="http://schemas.openxmlformats.org/spreadsheetml/2006/main" count="431" uniqueCount="271">
  <si>
    <t>Date</t>
  </si>
  <si>
    <t>Recette Mai 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</si>
  <si>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</si>
  <si>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</si>
  <si>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</si>
  <si>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</si>
  <si>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</si>
  <si>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</si>
  <si>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</si>
  <si>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Mai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</si>
  <si>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</si>
  <si>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</si>
  <si>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</si>
  <si>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</si>
  <si>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Jeudi</t>
  </si>
  <si>
    <t>vendredi</t>
  </si>
  <si>
    <t>samedi</t>
  </si>
  <si>
    <t xml:space="preserve">Moyenne des charges par jour </t>
  </si>
  <si>
    <t xml:space="preserve">Objectif </t>
  </si>
  <si>
    <t>dimanche</t>
  </si>
  <si>
    <t>lundi</t>
  </si>
  <si>
    <t>²</t>
  </si>
  <si>
    <t>mardi</t>
  </si>
  <si>
    <t>mercredi</t>
  </si>
  <si>
    <t xml:space="preserve">Cash restant </t>
  </si>
  <si>
    <t>Magasin</t>
  </si>
  <si>
    <t xml:space="preserve">caisse </t>
  </si>
  <si>
    <t>jeudi</t>
  </si>
  <si>
    <t xml:space="preserve"> </t>
  </si>
  <si>
    <t>loyer</t>
  </si>
  <si>
    <t xml:space="preserve">la caisse : 20000 Da </t>
  </si>
  <si>
    <t>che7i7a: 7000Da +7000DA</t>
  </si>
  <si>
    <t xml:space="preserve">Compte ccp: 75000 Da </t>
  </si>
  <si>
    <t xml:space="preserve">Moh livreur : 10350 Da </t>
  </si>
  <si>
    <t>Différence mois d'Avril</t>
  </si>
  <si>
    <t xml:space="preserve">Brahim; 2000Da </t>
  </si>
  <si>
    <t>Sofiane: 59000Da</t>
  </si>
  <si>
    <t xml:space="preserve">Différence objectif </t>
  </si>
  <si>
    <t xml:space="preserve">Les vendredis </t>
  </si>
  <si>
    <t>Cash réel</t>
  </si>
  <si>
    <t>rest à payer</t>
  </si>
  <si>
    <t>Produit</t>
  </si>
  <si>
    <t>Quantité</t>
  </si>
  <si>
    <t xml:space="preserve">Prix unitaire </t>
  </si>
  <si>
    <t>Prix</t>
  </si>
  <si>
    <t>Date d'achat</t>
  </si>
  <si>
    <t>Cawcaw</t>
  </si>
  <si>
    <t>Hamissa</t>
  </si>
  <si>
    <t>cuisses de poulet</t>
  </si>
  <si>
    <t>rechta</t>
  </si>
  <si>
    <t>olive</t>
  </si>
  <si>
    <t>Boite salade</t>
  </si>
  <si>
    <t>Boites leben</t>
  </si>
  <si>
    <t>Barquettes aluminium 1185</t>
  </si>
  <si>
    <t>légumes</t>
  </si>
  <si>
    <t>Couscous</t>
  </si>
  <si>
    <t>fromage gouda</t>
  </si>
  <si>
    <t>tomate + salade cerise</t>
  </si>
  <si>
    <t>Bessel</t>
  </si>
  <si>
    <t>Pomma de terre</t>
  </si>
  <si>
    <t>oeuf</t>
  </si>
  <si>
    <t>viande hachée</t>
  </si>
  <si>
    <t>Peche</t>
  </si>
  <si>
    <t>papier transparent</t>
  </si>
  <si>
    <t>assiettes</t>
  </si>
  <si>
    <t>barquettes gratin</t>
  </si>
  <si>
    <t>concombre</t>
  </si>
  <si>
    <t xml:space="preserve">décapant </t>
  </si>
  <si>
    <t>Bali + Frotoir</t>
  </si>
  <si>
    <t>détergents</t>
  </si>
  <si>
    <t>curdents</t>
  </si>
  <si>
    <t>Motif bébé</t>
  </si>
  <si>
    <t>dentelle 4,5</t>
  </si>
  <si>
    <t>éléctricité</t>
  </si>
  <si>
    <t>semoule Fine Sahel et Bousmail 25kg</t>
  </si>
  <si>
    <t>Oeuf</t>
  </si>
  <si>
    <t xml:space="preserve">boites demie plateaux </t>
  </si>
  <si>
    <t>messassek</t>
  </si>
  <si>
    <t>les moules mini quiches</t>
  </si>
  <si>
    <t>viande morceaux</t>
  </si>
  <si>
    <t>Nectarine</t>
  </si>
  <si>
    <t>épinard</t>
  </si>
  <si>
    <t>poulet haché+ blanc de poulet</t>
  </si>
  <si>
    <t>cheddar</t>
  </si>
  <si>
    <t xml:space="preserve">Tortilla </t>
  </si>
  <si>
    <t>Maiis</t>
  </si>
  <si>
    <t xml:space="preserve">Lait en poudre </t>
  </si>
  <si>
    <t>Fromage bidon mont d'Or 3kg</t>
  </si>
  <si>
    <t>crème fraiche</t>
  </si>
  <si>
    <t>sucre glace</t>
  </si>
  <si>
    <t>sac poubelle</t>
  </si>
  <si>
    <t xml:space="preserve">olive dénoyaute </t>
  </si>
  <si>
    <t>olive effilet</t>
  </si>
  <si>
    <t>Boite 36</t>
  </si>
  <si>
    <t>Boite 48/7</t>
  </si>
  <si>
    <t>Boite 18</t>
  </si>
  <si>
    <t>Boite 12</t>
  </si>
  <si>
    <t>Boite 08</t>
  </si>
  <si>
    <t>Boites 48/10</t>
  </si>
  <si>
    <t>eau mineral 1,5 lire</t>
  </si>
  <si>
    <t>Eau mineral 0,5 litre</t>
  </si>
  <si>
    <t>Tchina Peps canette 24cl</t>
  </si>
  <si>
    <t>jus Tchina</t>
  </si>
  <si>
    <t>Semen Madina</t>
  </si>
  <si>
    <t>Margarine Fleurial 500</t>
  </si>
  <si>
    <t xml:space="preserve">Thon </t>
  </si>
  <si>
    <t>chocolat wedjedene noisette</t>
  </si>
  <si>
    <t>21/01/2023</t>
  </si>
  <si>
    <t>chocolat wedjedane blanc ,au lait et noir</t>
  </si>
  <si>
    <t>semoule gros Moula 10kg</t>
  </si>
  <si>
    <t>Semoule Moyenne Mama 25kg</t>
  </si>
  <si>
    <t>Gherss</t>
  </si>
  <si>
    <t xml:space="preserve">Tomate conserve </t>
  </si>
  <si>
    <t>Maa zehar</t>
  </si>
  <si>
    <t>Aluminium</t>
  </si>
  <si>
    <t>Djeldjelan</t>
  </si>
  <si>
    <t xml:space="preserve">levure chimique </t>
  </si>
  <si>
    <t>3akeri</t>
  </si>
  <si>
    <t>semoule Moula  1kg</t>
  </si>
  <si>
    <t xml:space="preserve">slices </t>
  </si>
  <si>
    <t>semoule Gros Moula 2kg</t>
  </si>
  <si>
    <t>farine 25kg Sahel</t>
  </si>
  <si>
    <t>Sucre 25kg</t>
  </si>
  <si>
    <t>amande blanc</t>
  </si>
  <si>
    <t>noix</t>
  </si>
  <si>
    <t xml:space="preserve">sel </t>
  </si>
  <si>
    <t>Harrisa</t>
  </si>
  <si>
    <t>Huile Elio 5 litres</t>
  </si>
  <si>
    <t>leveure boulangère</t>
  </si>
  <si>
    <t>confiture 1kg</t>
  </si>
  <si>
    <t>miel 5kg</t>
  </si>
  <si>
    <t>Nakkach</t>
  </si>
  <si>
    <t>pistache</t>
  </si>
  <si>
    <t>bessel</t>
  </si>
  <si>
    <t>tomate</t>
  </si>
  <si>
    <t>blanc de poulet</t>
  </si>
  <si>
    <t>feuille Tacos</t>
  </si>
  <si>
    <t xml:space="preserve">BESSEL </t>
  </si>
  <si>
    <t>fromage speciale pizza</t>
  </si>
  <si>
    <t>gouda</t>
  </si>
  <si>
    <t>épinard+salade</t>
  </si>
  <si>
    <t>chaise</t>
  </si>
  <si>
    <t xml:space="preserve">rest des achats </t>
  </si>
  <si>
    <t xml:space="preserve">les sachets </t>
  </si>
  <si>
    <t>achats Brahim</t>
  </si>
  <si>
    <t>Tapis</t>
  </si>
  <si>
    <t>berekoukes</t>
  </si>
  <si>
    <t>fruits et légumes</t>
  </si>
  <si>
    <t>Coca et Fanta 33cl</t>
  </si>
  <si>
    <t>nechaff+détergents</t>
  </si>
  <si>
    <t>blanc de poulet + poulet haché</t>
  </si>
  <si>
    <t xml:space="preserve">salade et tomate cerise </t>
  </si>
  <si>
    <t>delaa3</t>
  </si>
  <si>
    <t>olive noir et coupé</t>
  </si>
  <si>
    <t>concombre+ carotte</t>
  </si>
  <si>
    <t>Baghrir</t>
  </si>
  <si>
    <t xml:space="preserve">Bessel </t>
  </si>
  <si>
    <t>tomate fraiche</t>
  </si>
  <si>
    <t>melon</t>
  </si>
  <si>
    <t>margarine 500g</t>
  </si>
  <si>
    <t>ka3ek nakach</t>
  </si>
  <si>
    <t xml:space="preserve">viande </t>
  </si>
  <si>
    <t>ferik</t>
  </si>
  <si>
    <t>herbes</t>
  </si>
  <si>
    <t>pomme de terre + poivre</t>
  </si>
  <si>
    <t xml:space="preserve">salade  </t>
  </si>
  <si>
    <t>eau</t>
  </si>
  <si>
    <t>poches</t>
  </si>
  <si>
    <t>sachet transparent pain</t>
  </si>
  <si>
    <t>sachet 1kg</t>
  </si>
  <si>
    <t>sac croissant 23</t>
  </si>
  <si>
    <t>sac croissant 18</t>
  </si>
  <si>
    <t>gants</t>
  </si>
  <si>
    <t>Farine Sim 1kg</t>
  </si>
  <si>
    <t xml:space="preserve">Fromage slices </t>
  </si>
  <si>
    <t xml:space="preserve">Cheddar </t>
  </si>
  <si>
    <t>isis</t>
  </si>
  <si>
    <t>eau de javel</t>
  </si>
  <si>
    <t>lavette</t>
  </si>
  <si>
    <t xml:space="preserve">oeuf </t>
  </si>
  <si>
    <t>amandes blanc</t>
  </si>
  <si>
    <t>serviettes</t>
  </si>
  <si>
    <t>13/06/2023</t>
  </si>
  <si>
    <t>Noix</t>
  </si>
  <si>
    <t xml:space="preserve">Maa zehar </t>
  </si>
  <si>
    <t>oeuff</t>
  </si>
  <si>
    <t>lavette métalique+ degraissant</t>
  </si>
  <si>
    <t>Boite 48/10</t>
  </si>
  <si>
    <t>14/06/2023</t>
  </si>
  <si>
    <t>Boite 48/07</t>
  </si>
  <si>
    <t>Soda Hamoud canette 33cl</t>
  </si>
  <si>
    <t xml:space="preserve">Papier Alminium </t>
  </si>
  <si>
    <t>dnetelle miel</t>
  </si>
  <si>
    <t xml:space="preserve">chocolat a tartiner 1kg </t>
  </si>
  <si>
    <t>epinards+ salade + thym</t>
  </si>
  <si>
    <t xml:space="preserve">boites </t>
  </si>
  <si>
    <t>huiles d'olive</t>
  </si>
  <si>
    <t>olive éfilet</t>
  </si>
  <si>
    <t>rechta+ poulet</t>
  </si>
  <si>
    <t>detergent</t>
  </si>
  <si>
    <t>fourchette</t>
  </si>
  <si>
    <t>choux+salade + epinard</t>
  </si>
  <si>
    <t>terida</t>
  </si>
  <si>
    <t>lahessen</t>
  </si>
  <si>
    <t>slimane boucher :rechta+poulet +viande hachée</t>
  </si>
  <si>
    <t>hamissa</t>
  </si>
  <si>
    <t xml:space="preserve">barquettes grandes </t>
  </si>
  <si>
    <t xml:space="preserve">poulet haché     </t>
  </si>
  <si>
    <t>facture d'éléctricité</t>
  </si>
  <si>
    <t>divers</t>
  </si>
  <si>
    <t>AMIR VAISSEL 4 LITTEES</t>
  </si>
  <si>
    <t>JAVEL AMIR2 LITRES</t>
  </si>
  <si>
    <t>3a9ach</t>
  </si>
  <si>
    <t>Tofia caramel 500g</t>
  </si>
  <si>
    <t>poulet haché</t>
  </si>
  <si>
    <t>Terdia</t>
  </si>
  <si>
    <t>poivron</t>
  </si>
  <si>
    <t>les quissetes</t>
  </si>
  <si>
    <t>olive dénoyaute + coupé</t>
  </si>
  <si>
    <t>fleurs 3arayech</t>
  </si>
  <si>
    <t>viande hachée+ poulet haché</t>
  </si>
  <si>
    <t>pain</t>
  </si>
  <si>
    <t xml:space="preserve">poulet </t>
  </si>
  <si>
    <t xml:space="preserve">bessel </t>
  </si>
  <si>
    <t>oeufs</t>
  </si>
  <si>
    <t>deyoul</t>
  </si>
  <si>
    <t>salade</t>
  </si>
  <si>
    <t>poivre</t>
  </si>
  <si>
    <t xml:space="preserve">achats divers </t>
  </si>
  <si>
    <t xml:space="preserve">Lynda </t>
  </si>
  <si>
    <t xml:space="preserve">Hafida </t>
  </si>
  <si>
    <t>Djamila</t>
  </si>
  <si>
    <t>Samira Malawi</t>
  </si>
  <si>
    <t>Youssera</t>
  </si>
  <si>
    <t>Vendeuse</t>
  </si>
  <si>
    <t>Samira</t>
  </si>
  <si>
    <t>Dalila</t>
  </si>
  <si>
    <t>Kenza</t>
  </si>
  <si>
    <t>Yasmine</t>
  </si>
  <si>
    <t>Sarah</t>
  </si>
  <si>
    <t xml:space="preserve">Femme de ménage </t>
  </si>
  <si>
    <t>Nadjet</t>
  </si>
  <si>
    <t>Souad</t>
  </si>
  <si>
    <t>Fadhila</t>
  </si>
  <si>
    <t>Farida</t>
  </si>
  <si>
    <t>Islem</t>
  </si>
  <si>
    <t>Fouzia</t>
  </si>
  <si>
    <t>Remarque</t>
  </si>
  <si>
    <t>on avait pas beaucoup de commandes donc elles ont fait de ménage et elles ont sortis à 16h  et Fouzia est sorti à 11h30</t>
  </si>
  <si>
    <t xml:space="preserve">Nom </t>
  </si>
  <si>
    <t>Avance</t>
  </si>
  <si>
    <t xml:space="preserve">Salaire à payer </t>
  </si>
  <si>
    <t xml:space="preserve">Sofiane </t>
  </si>
  <si>
    <t>10000Da Matcha+9000+11000</t>
  </si>
  <si>
    <t>Amel</t>
  </si>
  <si>
    <t>5000+15000+10000</t>
  </si>
  <si>
    <t>Lynda</t>
  </si>
  <si>
    <t>6000+4000</t>
  </si>
  <si>
    <t xml:space="preserve">Samira  </t>
  </si>
  <si>
    <t xml:space="preserve">Dalila </t>
  </si>
  <si>
    <t xml:space="preserve">Yasmine </t>
  </si>
  <si>
    <t>femme de ménage</t>
  </si>
  <si>
    <t>5000+16000</t>
  </si>
  <si>
    <t>TOTAL</t>
  </si>
  <si>
    <t xml:space="preserve">Mois de Février </t>
  </si>
  <si>
    <t xml:space="preserve">Mois de Mars </t>
  </si>
  <si>
    <t>Mois d'Avril</t>
  </si>
  <si>
    <t>Mois de Mai</t>
  </si>
  <si>
    <t xml:space="preserve">Mois de Jiun 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</si>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</sst>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sz val="16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18.0"/>
      <color theme="1"/>
      <name val="Arial"/>
    </font>
    <font>
      <b/>
      <sz val="24.0"/>
      <color theme="1"/>
      <name val="Arial"/>
    </font>
    <font>
      <color theme="1"/>
      <name val="Arial"/>
      <scheme val="minor"/>
    </font>
    <font>
      <sz val="16.0"/>
      <color theme="1"/>
      <name val="Arial"/>
      <scheme val="minor"/>
    </font>
    <font>
      <b/>
      <sz val="16.0"/>
      <color rgb="FFFF0000"/>
      <name val="Arial"/>
    </font>
    <font>
      <sz val="16.0"/>
      <color rgb="FF00FFFF"/>
      <name val="Arial"/>
    </font>
    <font>
      <sz val="16.0"/>
      <color rgb="FF434343"/>
      <name val="Arial"/>
    </font>
    <font>
      <sz val="18.0"/>
      <color rgb="FF1C4587"/>
      <name val="Arial"/>
    </font>
    <font>
      <b/>
      <sz val="18.0"/>
      <color theme="1"/>
      <name val="Arial"/>
      <scheme val="minor"/>
    </font>
    <font>
      <sz val="18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4" fillId="7" fontId="3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vertical="bottom"/>
    </xf>
    <xf borderId="0" fillId="7" fontId="1" numFmtId="0" xfId="0" applyAlignment="1" applyFont="1">
      <alignment vertical="bottom"/>
    </xf>
    <xf borderId="1" fillId="7" fontId="1" numFmtId="165" xfId="0" applyAlignment="1" applyBorder="1" applyFont="1" applyNumberFormat="1">
      <alignment vertical="bottom"/>
    </xf>
    <xf borderId="1" fillId="7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4" fillId="8" fontId="3" numFmtId="0" xfId="0" applyAlignment="1" applyBorder="1" applyFill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7" fontId="1" numFmtId="165" xfId="0" applyAlignment="1" applyFont="1" applyNumberForma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5" numFmtId="165" xfId="0" applyAlignment="1" applyFont="1" applyNumberFormat="1">
      <alignment readingOrder="0" vertical="bottom"/>
    </xf>
    <xf borderId="3" fillId="0" fontId="1" numFmtId="165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1" fillId="5" fontId="6" numFmtId="165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readingOrder="0" vertical="bottom"/>
    </xf>
    <xf borderId="5" fillId="0" fontId="1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9" fontId="7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4" fillId="10" fontId="3" numFmtId="0" xfId="0" applyAlignment="1" applyBorder="1" applyFill="1" applyFont="1">
      <alignment horizontal="center" readingOrder="0" vertical="bottom"/>
    </xf>
    <xf borderId="1" fillId="10" fontId="3" numFmtId="164" xfId="0" applyAlignment="1" applyBorder="1" applyFont="1" applyNumberFormat="1">
      <alignment horizontal="center" readingOrder="0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10" fontId="1" numFmtId="0" xfId="0" applyAlignment="1" applyBorder="1" applyFont="1">
      <alignment vertical="bottom"/>
    </xf>
    <xf borderId="1" fillId="10" fontId="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readingOrder="0" vertical="bottom"/>
    </xf>
    <xf borderId="4" fillId="7" fontId="1" numFmtId="0" xfId="0" applyAlignment="1" applyBorder="1" applyFont="1">
      <alignment vertical="bottom"/>
    </xf>
    <xf borderId="1" fillId="7" fontId="1" numFmtId="164" xfId="0" applyAlignment="1" applyBorder="1" applyFont="1" applyNumberFormat="1">
      <alignment vertical="bottom"/>
    </xf>
    <xf borderId="1" fillId="7" fontId="8" numFmtId="165" xfId="0" applyAlignment="1" applyBorder="1" applyFont="1" applyNumberFormat="1">
      <alignment horizontal="center" vertical="bottom"/>
    </xf>
    <xf borderId="1" fillId="7" fontId="8" numFmtId="165" xfId="0" applyAlignment="1" applyBorder="1" applyFont="1" applyNumberFormat="1">
      <alignment horizontal="right" vertical="bottom"/>
    </xf>
    <xf borderId="1" fillId="7" fontId="8" numFmtId="0" xfId="0" applyAlignment="1" applyBorder="1" applyFont="1">
      <alignment horizontal="right" vertical="bottom"/>
    </xf>
    <xf borderId="1" fillId="8" fontId="3" numFmtId="165" xfId="0" applyAlignment="1" applyBorder="1" applyFont="1" applyNumberFormat="1">
      <alignment horizontal="center" vertical="bottom"/>
    </xf>
    <xf borderId="1" fillId="6" fontId="9" numFmtId="0" xfId="0" applyAlignment="1" applyBorder="1" applyFont="1">
      <alignment horizontal="center" vertical="bottom"/>
    </xf>
    <xf borderId="2" fillId="6" fontId="9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2" fillId="0" fontId="5" numFmtId="165" xfId="0" applyAlignment="1" applyBorder="1" applyFont="1" applyNumberFormat="1">
      <alignment horizontal="center" readingOrder="0" vertical="bottom"/>
    </xf>
    <xf borderId="2" fillId="0" fontId="4" numFmtId="165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readingOrder="0" vertical="bottom"/>
    </xf>
    <xf borderId="4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165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readingOrder="0" vertical="bottom"/>
    </xf>
    <xf borderId="6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5" fontId="3" numFmtId="165" xfId="0" applyAlignment="1" applyBorder="1" applyFont="1" applyNumberFormat="1">
      <alignment horizontal="center" vertical="bottom"/>
    </xf>
    <xf borderId="2" fillId="5" fontId="3" numFmtId="164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2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6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165" xfId="0" applyAlignment="1" applyBorder="1" applyFont="1" applyNumberFormat="1">
      <alignment horizontal="center" vertical="bottom"/>
    </xf>
    <xf borderId="2" fillId="7" fontId="3" numFmtId="164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6" fontId="3" numFmtId="165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readingOrder="0" vertical="bottom"/>
    </xf>
    <xf borderId="1" fillId="7" fontId="3" numFmtId="164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2" fillId="5" fontId="4" numFmtId="165" xfId="0" applyAlignment="1" applyBorder="1" applyFont="1" applyNumberFormat="1">
      <alignment horizontal="center" vertical="bottom"/>
    </xf>
    <xf borderId="1" fillId="5" fontId="3" numFmtId="164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vertical="bottom"/>
    </xf>
    <xf borderId="1" fillId="0" fontId="4" numFmtId="165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11" numFmtId="0" xfId="0" applyFont="1"/>
    <xf borderId="1" fillId="2" fontId="3" numFmtId="0" xfId="0" applyAlignment="1" applyBorder="1" applyFont="1">
      <alignment horizontal="center" vertical="bottom"/>
    </xf>
    <xf borderId="1" fillId="7" fontId="4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horizontal="center" readingOrder="0" vertical="bottom"/>
    </xf>
    <xf borderId="1" fillId="11" fontId="3" numFmtId="164" xfId="0" applyAlignment="1" applyBorder="1" applyFont="1" applyNumberFormat="1">
      <alignment horizontal="center" readingOrder="0" vertical="bottom"/>
    </xf>
    <xf borderId="1" fillId="11" fontId="4" numFmtId="0" xfId="0" applyAlignment="1" applyBorder="1" applyFont="1">
      <alignment horizontal="center" readingOrder="0" vertical="bottom"/>
    </xf>
    <xf borderId="1" fillId="11" fontId="4" numFmtId="0" xfId="0" applyAlignment="1" applyBorder="1" applyFont="1">
      <alignment readingOrder="0" vertical="bottom"/>
    </xf>
    <xf borderId="1" fillId="11" fontId="4" numFmtId="0" xfId="0" applyAlignment="1" applyBorder="1" applyFont="1">
      <alignment vertical="bottom"/>
    </xf>
    <xf borderId="1" fillId="7" fontId="12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readingOrder="0" vertical="bottom"/>
    </xf>
    <xf borderId="0" fillId="7" fontId="10" numFmtId="0" xfId="0" applyFont="1"/>
    <xf borderId="1" fillId="7" fontId="13" numFmtId="0" xfId="0" applyAlignment="1" applyBorder="1" applyFont="1">
      <alignment horizontal="center" readingOrder="0" vertical="bottom"/>
    </xf>
    <xf borderId="1" fillId="11" fontId="1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1" fillId="5" fontId="4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vertical="bottom"/>
    </xf>
    <xf borderId="1" fillId="10" fontId="4" numFmtId="0" xfId="0" applyAlignment="1" applyBorder="1" applyFont="1">
      <alignment vertical="bottom"/>
    </xf>
    <xf borderId="0" fillId="10" fontId="10" numFmtId="0" xfId="0" applyFont="1"/>
    <xf borderId="1" fillId="10" fontId="1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5" fillId="7" fontId="4" numFmtId="0" xfId="0" applyAlignment="1" applyBorder="1" applyFont="1">
      <alignment horizontal="center" vertical="bottom"/>
    </xf>
    <xf borderId="5" fillId="7" fontId="14" numFmtId="165" xfId="0" applyAlignment="1" applyBorder="1" applyFont="1" applyNumberFormat="1">
      <alignment horizontal="center" vertical="bottom"/>
    </xf>
    <xf borderId="1" fillId="7" fontId="14" numFmtId="165" xfId="0" applyAlignment="1" applyBorder="1" applyFont="1" applyNumberFormat="1">
      <alignment horizontal="center" vertical="bottom"/>
    </xf>
    <xf borderId="1" fillId="7" fontId="4" numFmtId="165" xfId="0" applyAlignment="1" applyBorder="1" applyFont="1" applyNumberFormat="1">
      <alignment horizontal="center" vertical="bottom"/>
    </xf>
    <xf borderId="1" fillId="7" fontId="4" numFmtId="165" xfId="0" applyAlignment="1" applyBorder="1" applyFont="1" applyNumberFormat="1">
      <alignment horizontal="center" readingOrder="0" vertical="bottom"/>
    </xf>
    <xf borderId="5" fillId="6" fontId="15" numFmtId="165" xfId="0" applyAlignment="1" applyBorder="1" applyFont="1" applyNumberFormat="1">
      <alignment horizontal="center" vertical="bottom"/>
    </xf>
    <xf borderId="1" fillId="6" fontId="15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right" vertical="bottom"/>
    </xf>
    <xf borderId="1" fillId="9" fontId="3" numFmtId="165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2" fillId="4" fontId="8" numFmtId="0" xfId="0" applyAlignment="1" applyBorder="1" applyFont="1">
      <alignment horizontal="center" vertical="bottom"/>
    </xf>
    <xf borderId="2" fillId="5" fontId="8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1" fillId="3" fontId="3" numFmtId="165" xfId="0" applyAlignment="1" applyBorder="1" applyFont="1" applyNumberFormat="1">
      <alignment horizontal="center" vertical="bottom"/>
    </xf>
    <xf borderId="1" fillId="6" fontId="8" numFmtId="165" xfId="0" applyAlignment="1" applyBorder="1" applyFont="1" applyNumberFormat="1">
      <alignment horizontal="center" vertical="bottom"/>
    </xf>
    <xf borderId="1" fillId="4" fontId="8" numFmtId="165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vertical="bottom"/>
    </xf>
    <xf borderId="2" fillId="12" fontId="8" numFmtId="0" xfId="0" applyAlignment="1" applyBorder="1" applyFill="1" applyFont="1">
      <alignment horizontal="center" vertical="bottom"/>
    </xf>
    <xf borderId="6" fillId="12" fontId="16" numFmtId="0" xfId="0" applyAlignment="1" applyBorder="1" applyFont="1">
      <alignment horizontal="center" readingOrder="0"/>
    </xf>
    <xf borderId="4" fillId="13" fontId="8" numFmtId="0" xfId="0" applyAlignment="1" applyBorder="1" applyFill="1" applyFont="1">
      <alignment horizontal="center" vertical="bottom"/>
    </xf>
    <xf borderId="6" fillId="0" fontId="17" numFmtId="165" xfId="0" applyAlignment="1" applyBorder="1" applyFont="1" applyNumberFormat="1">
      <alignment horizontal="center" readingOrder="0"/>
    </xf>
    <xf borderId="6" fillId="0" fontId="17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13"/>
    <col customWidth="1" min="3" max="3" width="28.13"/>
    <col customWidth="1" min="4" max="4" width="25.38"/>
    <col customWidth="1" min="5" max="5" width="27.63"/>
    <col customWidth="1" min="6" max="6" width="26.13"/>
    <col customWidth="1" min="7" max="7" width="24.38"/>
    <col customWidth="1" min="8" max="8" width="24.63"/>
    <col customWidth="1" min="9" max="9" width="16.88"/>
    <col customWidth="1" min="10" max="10" width="7.88"/>
    <col customWidth="1" min="11" max="11" width="18.63"/>
    <col customWidth="1" min="12" max="12" width="29.38"/>
    <col customWidth="1" min="13" max="13" width="42.38"/>
    <col customWidth="1" min="14" max="14" width="33.38"/>
    <col customWidth="1" min="15" max="15" width="137.8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10" t="s">
        <v>13</v>
      </c>
      <c r="Q1" s="5"/>
      <c r="R1" s="5"/>
      <c r="S1" s="5"/>
      <c r="T1" s="5"/>
      <c r="U1" s="5"/>
    </row>
    <row r="2">
      <c r="A2" s="11" t="s">
        <v>14</v>
      </c>
      <c r="B2" s="12">
        <v>45078.0</v>
      </c>
      <c r="C2" s="13">
        <v>40000.0</v>
      </c>
      <c r="D2" s="13">
        <v>120000.0</v>
      </c>
      <c r="E2" s="14"/>
      <c r="F2" s="14"/>
      <c r="G2" s="14"/>
      <c r="H2" s="14"/>
      <c r="I2" s="15">
        <v>1.0</v>
      </c>
      <c r="J2" s="16"/>
      <c r="K2" s="17"/>
      <c r="L2" s="18">
        <v>40000.0</v>
      </c>
      <c r="M2" s="19">
        <f>H33/I33</f>
        <v>15558.44444</v>
      </c>
      <c r="N2" s="19">
        <f>D33/I33</f>
        <v>58407.40741</v>
      </c>
      <c r="O2" s="20"/>
      <c r="P2" s="21">
        <f>O2/N2</f>
        <v>0</v>
      </c>
      <c r="Q2" s="5"/>
      <c r="R2" s="5"/>
      <c r="S2" s="5"/>
      <c r="T2" s="5"/>
      <c r="U2" s="5"/>
    </row>
    <row r="3">
      <c r="A3" s="22" t="s">
        <v>15</v>
      </c>
      <c r="B3" s="23">
        <v>45079.0</v>
      </c>
      <c r="C3" s="24">
        <v>59000.0</v>
      </c>
      <c r="D3" s="24">
        <v>85000.0</v>
      </c>
      <c r="E3" s="25"/>
      <c r="F3" s="25"/>
      <c r="G3" s="25"/>
      <c r="H3" s="25"/>
      <c r="I3" s="26">
        <v>1.0</v>
      </c>
      <c r="J3" s="16"/>
      <c r="K3" s="17"/>
      <c r="L3" s="18">
        <v>59000.0</v>
      </c>
      <c r="M3" s="1"/>
      <c r="N3" s="1"/>
      <c r="O3" s="5"/>
      <c r="P3" s="27"/>
      <c r="Q3" s="5"/>
      <c r="R3" s="5"/>
      <c r="S3" s="5"/>
      <c r="T3" s="5"/>
      <c r="U3" s="5"/>
    </row>
    <row r="4">
      <c r="A4" s="11" t="s">
        <v>16</v>
      </c>
      <c r="B4" s="12">
        <v>45080.0</v>
      </c>
      <c r="C4" s="13">
        <v>55000.0</v>
      </c>
      <c r="D4" s="13">
        <v>42000.0</v>
      </c>
      <c r="E4" s="14"/>
      <c r="F4" s="14"/>
      <c r="G4" s="14"/>
      <c r="H4" s="14"/>
      <c r="I4" s="28">
        <v>1.0</v>
      </c>
      <c r="J4" s="16"/>
      <c r="K4" s="17"/>
      <c r="L4" s="18">
        <v>55000.0</v>
      </c>
      <c r="M4" s="29" t="s">
        <v>17</v>
      </c>
      <c r="N4" s="30" t="s">
        <v>18</v>
      </c>
      <c r="O4" s="5"/>
      <c r="P4" s="1"/>
      <c r="Q4" s="5"/>
      <c r="R4" s="5"/>
      <c r="S4" s="5"/>
      <c r="T4" s="5"/>
      <c r="U4" s="5"/>
    </row>
    <row r="5">
      <c r="A5" s="11" t="s">
        <v>19</v>
      </c>
      <c r="B5" s="12">
        <v>45081.0</v>
      </c>
      <c r="C5" s="13">
        <v>65000.0</v>
      </c>
      <c r="D5" s="13">
        <v>38000.0</v>
      </c>
      <c r="E5" s="14"/>
      <c r="F5" s="14"/>
      <c r="G5" s="14"/>
      <c r="H5" s="14"/>
      <c r="I5" s="28">
        <v>1.0</v>
      </c>
      <c r="J5" s="16"/>
      <c r="K5" s="17"/>
      <c r="L5" s="18">
        <v>65000.0</v>
      </c>
      <c r="M5" s="31">
        <f>E33/I33</f>
        <v>26522.55556</v>
      </c>
      <c r="N5" s="31">
        <v>100000.0</v>
      </c>
      <c r="O5" s="1"/>
      <c r="P5" s="1"/>
      <c r="Q5" s="5"/>
      <c r="R5" s="5"/>
      <c r="S5" s="5"/>
      <c r="T5" s="5"/>
      <c r="U5" s="5"/>
    </row>
    <row r="6">
      <c r="A6" s="11" t="s">
        <v>20</v>
      </c>
      <c r="B6" s="12">
        <v>45082.0</v>
      </c>
      <c r="C6" s="13">
        <v>97000.0</v>
      </c>
      <c r="D6" s="13">
        <v>45000.0</v>
      </c>
      <c r="E6" s="14"/>
      <c r="F6" s="14"/>
      <c r="G6" s="14"/>
      <c r="H6" s="14"/>
      <c r="I6" s="28">
        <v>1.0</v>
      </c>
      <c r="J6" s="16"/>
      <c r="K6" s="17"/>
      <c r="L6" s="18">
        <v>97000.0</v>
      </c>
      <c r="M6" s="1" t="s">
        <v>21</v>
      </c>
      <c r="N6" s="1"/>
      <c r="O6" s="1"/>
      <c r="P6" s="1"/>
      <c r="Q6" s="5"/>
      <c r="R6" s="5"/>
      <c r="S6" s="5"/>
      <c r="T6" s="5"/>
      <c r="U6" s="5"/>
    </row>
    <row r="7">
      <c r="A7" s="11" t="s">
        <v>22</v>
      </c>
      <c r="B7" s="12">
        <v>45083.0</v>
      </c>
      <c r="C7" s="13">
        <v>114000.0</v>
      </c>
      <c r="D7" s="13">
        <v>40000.0</v>
      </c>
      <c r="E7" s="14"/>
      <c r="F7" s="14"/>
      <c r="G7" s="14"/>
      <c r="H7" s="14"/>
      <c r="I7" s="28">
        <v>1.0</v>
      </c>
      <c r="J7" s="16"/>
      <c r="K7" s="17"/>
      <c r="L7" s="18">
        <v>114000.0</v>
      </c>
      <c r="M7" s="1"/>
      <c r="N7" s="1"/>
      <c r="O7" s="1"/>
      <c r="P7" s="1"/>
      <c r="Q7" s="5"/>
      <c r="R7" s="5"/>
      <c r="S7" s="5"/>
      <c r="T7" s="5"/>
      <c r="U7" s="5"/>
    </row>
    <row r="8">
      <c r="A8" s="11" t="s">
        <v>23</v>
      </c>
      <c r="B8" s="12">
        <v>45084.0</v>
      </c>
      <c r="C8" s="13">
        <v>30000.0</v>
      </c>
      <c r="D8" s="13">
        <v>30000.0</v>
      </c>
      <c r="E8" s="14"/>
      <c r="F8" s="14"/>
      <c r="G8" s="14"/>
      <c r="H8" s="14"/>
      <c r="I8" s="28">
        <v>1.0</v>
      </c>
      <c r="J8" s="16"/>
      <c r="K8" s="17"/>
      <c r="L8" s="18">
        <v>30000.0</v>
      </c>
      <c r="M8" s="32" t="s">
        <v>24</v>
      </c>
      <c r="N8" s="32" t="s">
        <v>25</v>
      </c>
      <c r="O8" s="33" t="s">
        <v>26</v>
      </c>
      <c r="P8" s="34"/>
      <c r="Q8" s="5"/>
      <c r="R8" s="5"/>
      <c r="S8" s="5"/>
      <c r="T8" s="5"/>
      <c r="U8" s="5"/>
    </row>
    <row r="9">
      <c r="A9" s="11" t="s">
        <v>27</v>
      </c>
      <c r="B9" s="12">
        <v>45085.0</v>
      </c>
      <c r="C9" s="13">
        <v>39000.0</v>
      </c>
      <c r="D9" s="13">
        <v>60000.0</v>
      </c>
      <c r="E9" s="14"/>
      <c r="F9" s="14"/>
      <c r="G9" s="14"/>
      <c r="H9" s="14"/>
      <c r="I9" s="28">
        <v>1.0</v>
      </c>
      <c r="J9" s="16"/>
      <c r="K9" s="17"/>
      <c r="L9" s="18">
        <v>39000.0</v>
      </c>
      <c r="M9" s="30">
        <f>D33-E33-Salaires!L31-O9</f>
        <v>567491</v>
      </c>
      <c r="N9" s="19">
        <f>O9*1</f>
        <v>172000</v>
      </c>
      <c r="O9" s="35">
        <v>172000.0</v>
      </c>
      <c r="P9" s="36"/>
      <c r="Q9" s="5"/>
      <c r="R9" s="5"/>
      <c r="S9" s="5"/>
      <c r="T9" s="5"/>
      <c r="U9" s="5"/>
    </row>
    <row r="10">
      <c r="A10" s="22" t="s">
        <v>15</v>
      </c>
      <c r="B10" s="23">
        <v>45086.0</v>
      </c>
      <c r="C10" s="24">
        <v>45000.0</v>
      </c>
      <c r="D10" s="24">
        <v>38000.0</v>
      </c>
      <c r="E10" s="25"/>
      <c r="F10" s="25"/>
      <c r="G10" s="25"/>
      <c r="H10" s="25"/>
      <c r="I10" s="37">
        <v>1.0</v>
      </c>
      <c r="J10" s="16"/>
      <c r="K10" s="17"/>
      <c r="L10" s="18">
        <v>45000.0</v>
      </c>
      <c r="M10" s="1"/>
      <c r="N10" s="1" t="s">
        <v>28</v>
      </c>
      <c r="O10" s="36"/>
      <c r="P10" s="36"/>
      <c r="Q10" s="5"/>
      <c r="R10" s="5"/>
      <c r="S10" s="5"/>
      <c r="T10" s="5"/>
      <c r="U10" s="5"/>
    </row>
    <row r="11">
      <c r="A11" s="11" t="s">
        <v>16</v>
      </c>
      <c r="B11" s="12">
        <v>45087.0</v>
      </c>
      <c r="C11" s="13">
        <v>50000.0</v>
      </c>
      <c r="D11" s="13">
        <v>64000.0</v>
      </c>
      <c r="E11" s="14"/>
      <c r="F11" s="14"/>
      <c r="G11" s="14"/>
      <c r="H11" s="14"/>
      <c r="I11" s="28">
        <v>1.0</v>
      </c>
      <c r="J11" s="16"/>
      <c r="K11" s="17"/>
      <c r="L11" s="18">
        <v>50000.0</v>
      </c>
      <c r="M11" s="38" t="s">
        <v>29</v>
      </c>
      <c r="N11" s="31"/>
      <c r="O11" s="5"/>
      <c r="P11" s="36"/>
      <c r="Q11" s="5"/>
      <c r="R11" s="5"/>
      <c r="S11" s="5"/>
      <c r="T11" s="5"/>
      <c r="U11" s="5"/>
    </row>
    <row r="12">
      <c r="A12" s="11" t="s">
        <v>19</v>
      </c>
      <c r="B12" s="12">
        <v>45088.0</v>
      </c>
      <c r="C12" s="13">
        <v>62000.0</v>
      </c>
      <c r="D12" s="13">
        <v>24000.0</v>
      </c>
      <c r="E12" s="14"/>
      <c r="F12" s="14"/>
      <c r="G12" s="14"/>
      <c r="H12" s="14"/>
      <c r="I12" s="28">
        <v>1.0</v>
      </c>
      <c r="J12" s="16"/>
      <c r="K12" s="17"/>
      <c r="L12" s="18">
        <v>62000.0</v>
      </c>
      <c r="M12" s="36"/>
      <c r="N12" s="36"/>
      <c r="O12" s="39" t="s">
        <v>30</v>
      </c>
      <c r="P12" s="5"/>
      <c r="Q12" s="5"/>
      <c r="R12" s="5"/>
      <c r="S12" s="5"/>
      <c r="T12" s="5"/>
      <c r="U12" s="5"/>
    </row>
    <row r="13">
      <c r="A13" s="11" t="s">
        <v>20</v>
      </c>
      <c r="B13" s="12">
        <v>45089.0</v>
      </c>
      <c r="C13" s="13">
        <v>34000.0</v>
      </c>
      <c r="D13" s="13">
        <v>35000.0</v>
      </c>
      <c r="E13" s="14"/>
      <c r="F13" s="14"/>
      <c r="G13" s="14"/>
      <c r="H13" s="14"/>
      <c r="I13" s="28">
        <v>1.0</v>
      </c>
      <c r="J13" s="16"/>
      <c r="K13" s="17"/>
      <c r="L13" s="18">
        <v>34000.0</v>
      </c>
      <c r="M13" s="20"/>
      <c r="N13" s="20"/>
      <c r="O13" s="40"/>
      <c r="P13" s="5"/>
      <c r="Q13" s="5"/>
      <c r="R13" s="5"/>
      <c r="S13" s="5"/>
      <c r="T13" s="5"/>
      <c r="U13" s="5"/>
    </row>
    <row r="14">
      <c r="A14" s="11" t="s">
        <v>22</v>
      </c>
      <c r="B14" s="12">
        <v>45090.0</v>
      </c>
      <c r="C14" s="13">
        <v>31000.0</v>
      </c>
      <c r="D14" s="13">
        <v>80000.0</v>
      </c>
      <c r="E14" s="14"/>
      <c r="F14" s="14"/>
      <c r="G14" s="14"/>
      <c r="H14" s="14"/>
      <c r="I14" s="28">
        <v>1.0</v>
      </c>
      <c r="J14" s="16"/>
      <c r="K14" s="17"/>
      <c r="L14" s="18">
        <v>31000.0</v>
      </c>
      <c r="M14" s="20"/>
      <c r="N14" s="20"/>
      <c r="O14" s="40" t="s">
        <v>31</v>
      </c>
      <c r="P14" s="5"/>
      <c r="Q14" s="5"/>
      <c r="R14" s="5"/>
      <c r="S14" s="5"/>
      <c r="T14" s="5"/>
      <c r="U14" s="5"/>
    </row>
    <row r="15">
      <c r="A15" s="11" t="s">
        <v>23</v>
      </c>
      <c r="B15" s="12">
        <v>45091.0</v>
      </c>
      <c r="C15" s="13">
        <v>22000.0</v>
      </c>
      <c r="D15" s="13">
        <v>43000.0</v>
      </c>
      <c r="E15" s="14"/>
      <c r="F15" s="14"/>
      <c r="G15" s="14"/>
      <c r="H15" s="14"/>
      <c r="I15" s="28">
        <v>1.0</v>
      </c>
      <c r="J15" s="16"/>
      <c r="K15" s="17"/>
      <c r="L15" s="18">
        <v>22000.0</v>
      </c>
      <c r="M15" s="41"/>
      <c r="N15" s="42"/>
      <c r="O15" s="43" t="s">
        <v>32</v>
      </c>
      <c r="P15" s="5"/>
      <c r="Q15" s="5"/>
      <c r="R15" s="5"/>
      <c r="S15" s="5"/>
      <c r="T15" s="5"/>
      <c r="U15" s="5"/>
    </row>
    <row r="16">
      <c r="A16" s="11" t="s">
        <v>27</v>
      </c>
      <c r="B16" s="12">
        <v>45092.0</v>
      </c>
      <c r="C16" s="13">
        <v>35000.0</v>
      </c>
      <c r="D16" s="13">
        <v>80000.0</v>
      </c>
      <c r="E16" s="14"/>
      <c r="F16" s="14"/>
      <c r="G16" s="14"/>
      <c r="H16" s="14"/>
      <c r="I16" s="28">
        <v>1.0</v>
      </c>
      <c r="J16" s="16"/>
      <c r="K16" s="17"/>
      <c r="L16" s="18">
        <v>35000.0</v>
      </c>
      <c r="M16" s="44"/>
      <c r="N16" s="42"/>
      <c r="O16" s="45" t="s">
        <v>33</v>
      </c>
      <c r="P16" s="20"/>
      <c r="Q16" s="5"/>
      <c r="R16" s="5"/>
      <c r="S16" s="5"/>
      <c r="T16" s="5"/>
      <c r="U16" s="5"/>
    </row>
    <row r="17">
      <c r="A17" s="22" t="s">
        <v>15</v>
      </c>
      <c r="B17" s="23">
        <v>45093.0</v>
      </c>
      <c r="C17" s="24">
        <v>40000.0</v>
      </c>
      <c r="D17" s="24">
        <v>24000.0</v>
      </c>
      <c r="E17" s="25"/>
      <c r="F17" s="25"/>
      <c r="G17" s="25"/>
      <c r="H17" s="25"/>
      <c r="I17" s="37">
        <v>1.0</v>
      </c>
      <c r="J17" s="16"/>
      <c r="K17" s="17"/>
      <c r="L17" s="18">
        <v>40000.0</v>
      </c>
      <c r="M17" s="46" t="s">
        <v>34</v>
      </c>
      <c r="N17" s="20"/>
      <c r="O17" s="47" t="s">
        <v>35</v>
      </c>
      <c r="P17" s="44"/>
      <c r="Q17" s="5"/>
      <c r="R17" s="5"/>
      <c r="S17" s="5"/>
      <c r="T17" s="5"/>
      <c r="U17" s="5"/>
    </row>
    <row r="18">
      <c r="A18" s="11" t="s">
        <v>16</v>
      </c>
      <c r="B18" s="12">
        <v>45094.0</v>
      </c>
      <c r="C18" s="13">
        <v>45000.0</v>
      </c>
      <c r="D18" s="13">
        <v>66000.0</v>
      </c>
      <c r="E18" s="14"/>
      <c r="F18" s="14"/>
      <c r="G18" s="14"/>
      <c r="H18" s="14"/>
      <c r="I18" s="28">
        <v>1.0</v>
      </c>
      <c r="J18" s="16"/>
      <c r="K18" s="17"/>
      <c r="L18" s="18">
        <v>45000.0</v>
      </c>
      <c r="M18" s="18">
        <f>D33-C33</f>
        <v>37000</v>
      </c>
      <c r="N18" s="48"/>
      <c r="O18" s="49" t="s">
        <v>36</v>
      </c>
      <c r="P18" s="31"/>
      <c r="Q18" s="5"/>
      <c r="R18" s="5"/>
      <c r="S18" s="5"/>
      <c r="T18" s="5"/>
      <c r="U18" s="5"/>
    </row>
    <row r="19">
      <c r="A19" s="11" t="s">
        <v>19</v>
      </c>
      <c r="B19" s="12">
        <v>45095.0</v>
      </c>
      <c r="C19" s="13">
        <v>70000.0</v>
      </c>
      <c r="D19" s="13">
        <v>50000.0</v>
      </c>
      <c r="E19" s="14"/>
      <c r="F19" s="14"/>
      <c r="G19" s="14"/>
      <c r="H19" s="14"/>
      <c r="I19" s="28">
        <v>1.0</v>
      </c>
      <c r="J19" s="16"/>
      <c r="K19" s="17"/>
      <c r="L19" s="18">
        <v>70000.0</v>
      </c>
      <c r="M19" s="50" t="s">
        <v>37</v>
      </c>
      <c r="N19" s="48"/>
      <c r="O19" s="38"/>
      <c r="P19" s="31"/>
      <c r="Q19" s="5"/>
      <c r="R19" s="5"/>
      <c r="S19" s="5"/>
      <c r="T19" s="5"/>
      <c r="U19" s="5"/>
    </row>
    <row r="20">
      <c r="A20" s="11" t="s">
        <v>20</v>
      </c>
      <c r="B20" s="12">
        <v>45096.0</v>
      </c>
      <c r="C20" s="13">
        <v>10000.0</v>
      </c>
      <c r="D20" s="13">
        <v>12000.0</v>
      </c>
      <c r="E20" s="14"/>
      <c r="F20" s="14"/>
      <c r="G20" s="14"/>
      <c r="H20" s="14"/>
      <c r="I20" s="28">
        <v>1.0</v>
      </c>
      <c r="J20" s="16"/>
      <c r="K20" s="17"/>
      <c r="L20" s="18">
        <v>10000.0</v>
      </c>
      <c r="M20" s="31">
        <f>K34-E34</f>
        <v>0</v>
      </c>
      <c r="N20" s="48"/>
      <c r="O20" s="38"/>
      <c r="P20" s="31"/>
      <c r="Q20" s="5"/>
      <c r="R20" s="5"/>
      <c r="S20" s="5"/>
      <c r="T20" s="5"/>
      <c r="U20" s="5"/>
    </row>
    <row r="21">
      <c r="A21" s="11" t="s">
        <v>22</v>
      </c>
      <c r="B21" s="12">
        <v>45097.0</v>
      </c>
      <c r="C21" s="13">
        <v>62000.0</v>
      </c>
      <c r="D21" s="13">
        <v>28000.0</v>
      </c>
      <c r="E21" s="14"/>
      <c r="F21" s="14"/>
      <c r="G21" s="14"/>
      <c r="H21" s="14"/>
      <c r="I21" s="28">
        <v>1.0</v>
      </c>
      <c r="J21" s="16"/>
      <c r="K21" s="17"/>
      <c r="L21" s="18">
        <v>62000.0</v>
      </c>
      <c r="M21" s="1"/>
      <c r="N21" s="48"/>
      <c r="O21" s="38"/>
      <c r="P21" s="31"/>
      <c r="Q21" s="5"/>
      <c r="R21" s="5"/>
      <c r="S21" s="5"/>
      <c r="T21" s="5"/>
      <c r="U21" s="5"/>
    </row>
    <row r="22">
      <c r="A22" s="11" t="s">
        <v>23</v>
      </c>
      <c r="B22" s="12">
        <v>45098.0</v>
      </c>
      <c r="C22" s="13">
        <v>30000.0</v>
      </c>
      <c r="D22" s="13">
        <v>48000.0</v>
      </c>
      <c r="E22" s="14"/>
      <c r="F22" s="14"/>
      <c r="G22" s="14"/>
      <c r="H22" s="14"/>
      <c r="I22" s="28">
        <v>1.0</v>
      </c>
      <c r="J22" s="16"/>
      <c r="K22" s="17"/>
      <c r="L22" s="18">
        <v>30000.0</v>
      </c>
      <c r="M22" s="1"/>
      <c r="N22" s="48"/>
      <c r="O22" s="38"/>
      <c r="P22" s="31"/>
      <c r="Q22" s="5"/>
      <c r="R22" s="5"/>
      <c r="S22" s="5"/>
      <c r="T22" s="5"/>
      <c r="U22" s="5"/>
    </row>
    <row r="23">
      <c r="A23" s="11" t="s">
        <v>27</v>
      </c>
      <c r="B23" s="12">
        <v>45099.0</v>
      </c>
      <c r="C23" s="13">
        <v>30000.0</v>
      </c>
      <c r="D23" s="13">
        <v>39000.0</v>
      </c>
      <c r="E23" s="14"/>
      <c r="F23" s="14"/>
      <c r="G23" s="14"/>
      <c r="H23" s="14"/>
      <c r="I23" s="28">
        <v>1.0</v>
      </c>
      <c r="J23" s="16"/>
      <c r="K23" s="17"/>
      <c r="L23" s="18">
        <v>30000.0</v>
      </c>
      <c r="M23" s="38" t="s">
        <v>38</v>
      </c>
      <c r="N23" s="48"/>
      <c r="O23" s="38"/>
      <c r="P23" s="31"/>
      <c r="Q23" s="5"/>
      <c r="R23" s="5"/>
      <c r="S23" s="5"/>
      <c r="T23" s="5"/>
      <c r="U23" s="5"/>
    </row>
    <row r="24">
      <c r="A24" s="11" t="s">
        <v>15</v>
      </c>
      <c r="B24" s="12">
        <v>45100.0</v>
      </c>
      <c r="C24" s="13">
        <v>39000.0</v>
      </c>
      <c r="D24" s="13">
        <v>40000.0</v>
      </c>
      <c r="E24" s="14"/>
      <c r="F24" s="14"/>
      <c r="G24" s="14"/>
      <c r="H24" s="14"/>
      <c r="I24" s="28">
        <v>1.0</v>
      </c>
      <c r="J24" s="16"/>
      <c r="K24" s="17"/>
      <c r="L24" s="18">
        <v>39000.0</v>
      </c>
      <c r="M24" s="31">
        <f>E4+E11+E18+E25</f>
        <v>0</v>
      </c>
      <c r="N24" s="51"/>
      <c r="O24" s="38"/>
      <c r="P24" s="31"/>
      <c r="Q24" s="5"/>
      <c r="R24" s="5"/>
      <c r="S24" s="5"/>
      <c r="T24" s="5"/>
      <c r="U24" s="5"/>
    </row>
    <row r="25">
      <c r="A25" s="11" t="s">
        <v>16</v>
      </c>
      <c r="B25" s="12">
        <v>45101.0</v>
      </c>
      <c r="C25" s="13">
        <v>45000.0</v>
      </c>
      <c r="D25" s="13">
        <v>36000.0</v>
      </c>
      <c r="E25" s="14"/>
      <c r="F25" s="14"/>
      <c r="G25" s="14"/>
      <c r="H25" s="14"/>
      <c r="I25" s="28">
        <v>1.0</v>
      </c>
      <c r="J25" s="16"/>
      <c r="K25" s="17"/>
      <c r="L25" s="18">
        <v>45000.0</v>
      </c>
      <c r="M25" s="31"/>
      <c r="N25" s="51"/>
      <c r="O25" s="38"/>
      <c r="P25" s="31"/>
      <c r="Q25" s="5"/>
      <c r="R25" s="5"/>
      <c r="S25" s="5"/>
      <c r="T25" s="5"/>
      <c r="U25" s="5"/>
    </row>
    <row r="26">
      <c r="A26" s="11" t="s">
        <v>19</v>
      </c>
      <c r="B26" s="12">
        <v>45102.0</v>
      </c>
      <c r="C26" s="13">
        <v>74000.0</v>
      </c>
      <c r="D26" s="13">
        <v>50000.0</v>
      </c>
      <c r="E26" s="14"/>
      <c r="F26" s="14"/>
      <c r="G26" s="14"/>
      <c r="H26" s="14"/>
      <c r="I26" s="28">
        <v>1.0</v>
      </c>
      <c r="J26" s="16"/>
      <c r="K26" s="17"/>
      <c r="L26" s="18">
        <v>74000.0</v>
      </c>
      <c r="M26" s="29" t="s">
        <v>39</v>
      </c>
      <c r="N26" s="51"/>
      <c r="O26" s="31"/>
      <c r="P26" s="31"/>
      <c r="Q26" s="5"/>
      <c r="R26" s="5"/>
      <c r="S26" s="5"/>
      <c r="T26" s="5"/>
      <c r="U26" s="5"/>
    </row>
    <row r="27">
      <c r="A27" s="11" t="s">
        <v>20</v>
      </c>
      <c r="B27" s="12">
        <v>45103.0</v>
      </c>
      <c r="C27" s="13">
        <v>26000.0</v>
      </c>
      <c r="D27" s="13">
        <v>120000.0</v>
      </c>
      <c r="E27" s="14"/>
      <c r="F27" s="14"/>
      <c r="G27" s="14"/>
      <c r="H27" s="14"/>
      <c r="I27" s="28">
        <v>1.0</v>
      </c>
      <c r="J27" s="16"/>
      <c r="K27" s="17"/>
      <c r="L27" s="18">
        <v>26000.0</v>
      </c>
      <c r="M27" s="52">
        <v>440000.0</v>
      </c>
      <c r="N27" s="20"/>
      <c r="O27" s="20"/>
      <c r="P27" s="5"/>
      <c r="Q27" s="5"/>
      <c r="R27" s="5"/>
      <c r="S27" s="5"/>
      <c r="T27" s="5"/>
      <c r="U27" s="5"/>
    </row>
    <row r="28">
      <c r="A28" s="11" t="s">
        <v>22</v>
      </c>
      <c r="B28" s="12">
        <v>45104.0</v>
      </c>
      <c r="C28" s="13">
        <v>45000.0</v>
      </c>
      <c r="D28" s="13">
        <v>240000.0</v>
      </c>
      <c r="E28" s="14"/>
      <c r="F28" s="14"/>
      <c r="G28" s="14"/>
      <c r="H28" s="14"/>
      <c r="I28" s="28">
        <v>1.0</v>
      </c>
      <c r="J28" s="16"/>
      <c r="K28" s="17"/>
      <c r="L28" s="18">
        <v>45000.0</v>
      </c>
      <c r="M28" s="53" t="s">
        <v>40</v>
      </c>
      <c r="N28" s="5"/>
      <c r="O28" s="20"/>
      <c r="P28" s="5"/>
      <c r="Q28" s="5"/>
      <c r="R28" s="5"/>
      <c r="S28" s="5"/>
      <c r="T28" s="5"/>
      <c r="U28" s="5"/>
    </row>
    <row r="29">
      <c r="A29" s="54" t="s">
        <v>23</v>
      </c>
      <c r="B29" s="55">
        <v>45105.0</v>
      </c>
      <c r="C29" s="56">
        <v>35000.0</v>
      </c>
      <c r="D29" s="56">
        <v>0.0</v>
      </c>
      <c r="E29" s="57"/>
      <c r="F29" s="57"/>
      <c r="G29" s="57"/>
      <c r="H29" s="57"/>
      <c r="I29" s="58">
        <v>0.0</v>
      </c>
      <c r="J29" s="16"/>
      <c r="K29" s="17"/>
      <c r="L29" s="18">
        <v>35000.0</v>
      </c>
      <c r="M29" s="31"/>
      <c r="N29" s="5"/>
      <c r="O29" s="20"/>
      <c r="P29" s="5"/>
      <c r="Q29" s="5"/>
      <c r="R29" s="5"/>
      <c r="S29" s="5"/>
      <c r="T29" s="5"/>
      <c r="U29" s="5"/>
    </row>
    <row r="30">
      <c r="A30" s="54" t="s">
        <v>27</v>
      </c>
      <c r="B30" s="55">
        <v>45106.0</v>
      </c>
      <c r="C30" s="56">
        <v>30000.0</v>
      </c>
      <c r="D30" s="56">
        <v>0.0</v>
      </c>
      <c r="E30" s="57"/>
      <c r="F30" s="57"/>
      <c r="G30" s="57"/>
      <c r="H30" s="57"/>
      <c r="I30" s="58">
        <v>0.0</v>
      </c>
      <c r="J30" s="16"/>
      <c r="K30" s="17"/>
      <c r="L30" s="18">
        <v>30000.0</v>
      </c>
      <c r="M30" s="31"/>
      <c r="N30" s="5"/>
      <c r="O30" s="20"/>
      <c r="P30" s="5"/>
      <c r="Q30" s="5"/>
      <c r="R30" s="5"/>
      <c r="S30" s="5"/>
      <c r="T30" s="5"/>
      <c r="U30" s="5"/>
    </row>
    <row r="31">
      <c r="A31" s="54" t="s">
        <v>15</v>
      </c>
      <c r="B31" s="55">
        <v>45107.0</v>
      </c>
      <c r="C31" s="56">
        <v>81000.0</v>
      </c>
      <c r="D31" s="56">
        <v>0.0</v>
      </c>
      <c r="E31" s="57"/>
      <c r="F31" s="57"/>
      <c r="G31" s="57"/>
      <c r="H31" s="57"/>
      <c r="I31" s="58">
        <v>0.0</v>
      </c>
      <c r="J31" s="16"/>
      <c r="K31" s="17"/>
      <c r="L31" s="18">
        <v>81000.0</v>
      </c>
      <c r="M31" s="31"/>
      <c r="N31" s="5"/>
      <c r="O31" s="20"/>
      <c r="P31" s="5"/>
      <c r="Q31" s="5"/>
      <c r="R31" s="5"/>
      <c r="S31" s="5"/>
      <c r="T31" s="5"/>
      <c r="U31" s="5"/>
    </row>
    <row r="32">
      <c r="A32" s="11"/>
      <c r="B32" s="12"/>
      <c r="C32" s="13">
        <v>100000.0</v>
      </c>
      <c r="D32" s="18"/>
      <c r="E32" s="14"/>
      <c r="F32" s="14"/>
      <c r="G32" s="14"/>
      <c r="H32" s="14"/>
      <c r="I32" s="59">
        <v>0.0</v>
      </c>
      <c r="J32" s="16"/>
      <c r="K32" s="17"/>
      <c r="L32" s="18">
        <v>100000.0</v>
      </c>
      <c r="M32" s="31"/>
      <c r="N32" s="5"/>
      <c r="O32" s="20"/>
      <c r="P32" s="5"/>
      <c r="Q32" s="5"/>
      <c r="R32" s="5"/>
      <c r="S32" s="5"/>
      <c r="T32" s="5"/>
      <c r="U32" s="5"/>
    </row>
    <row r="33">
      <c r="A33" s="60"/>
      <c r="B33" s="61"/>
      <c r="C33" s="18">
        <f t="shared" ref="C33:D33" si="1">SUM(C2:C32)</f>
        <v>1540000</v>
      </c>
      <c r="D33" s="62">
        <f t="shared" si="1"/>
        <v>1577000</v>
      </c>
      <c r="E33" s="63">
        <f>'Les Charges'!H259*1</f>
        <v>716109</v>
      </c>
      <c r="F33" s="63">
        <f>Salaires!K31*1</f>
        <v>330813</v>
      </c>
      <c r="G33" s="63">
        <v>110000.0</v>
      </c>
      <c r="H33" s="63">
        <f>D33-E33-F33-G33</f>
        <v>420078</v>
      </c>
      <c r="I33" s="64">
        <f>SUM(I2:I32)</f>
        <v>27</v>
      </c>
      <c r="J33" s="5"/>
      <c r="K33" s="17"/>
      <c r="L33" s="65">
        <f>SUM(L2:L32)</f>
        <v>1540000</v>
      </c>
      <c r="M33" s="31">
        <f>M9-M27</f>
        <v>127491</v>
      </c>
      <c r="N33" s="5"/>
      <c r="O33" s="20"/>
      <c r="P33" s="5"/>
      <c r="Q33" s="5"/>
      <c r="R33" s="5"/>
      <c r="S33" s="5"/>
      <c r="T33" s="5"/>
      <c r="U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8.13"/>
    <col customWidth="1" min="6" max="6" width="26.13"/>
    <col customWidth="1" min="7" max="7" width="25.88"/>
    <col customWidth="1" min="8" max="8" width="25.13"/>
    <col customWidth="1" min="9" max="9" width="39.63"/>
    <col customWidth="1" min="10" max="10" width="89.63"/>
  </cols>
  <sheetData>
    <row r="4">
      <c r="E4" s="66" t="s">
        <v>41</v>
      </c>
      <c r="F4" s="67" t="s">
        <v>42</v>
      </c>
      <c r="G4" s="67" t="s">
        <v>43</v>
      </c>
      <c r="H4" s="67" t="s">
        <v>44</v>
      </c>
      <c r="I4" s="67" t="s">
        <v>45</v>
      </c>
    </row>
    <row r="5">
      <c r="E5" s="68" t="s">
        <v>46</v>
      </c>
      <c r="F5" s="69">
        <v>5.5</v>
      </c>
      <c r="G5" s="70">
        <v>550.0</v>
      </c>
      <c r="H5" s="71">
        <f t="shared" ref="H5:H25" si="1">F5*G5</f>
        <v>3025</v>
      </c>
      <c r="I5" s="72">
        <v>45078.0</v>
      </c>
    </row>
    <row r="6">
      <c r="E6" s="73" t="s">
        <v>47</v>
      </c>
      <c r="F6" s="74">
        <v>5.0</v>
      </c>
      <c r="G6" s="75">
        <v>200.0</v>
      </c>
      <c r="H6" s="71">
        <f t="shared" si="1"/>
        <v>1000</v>
      </c>
      <c r="I6" s="76">
        <v>45078.0</v>
      </c>
    </row>
    <row r="7">
      <c r="E7" s="73" t="s">
        <v>48</v>
      </c>
      <c r="F7" s="74">
        <v>28.0</v>
      </c>
      <c r="G7" s="75">
        <v>150.0</v>
      </c>
      <c r="H7" s="71">
        <f t="shared" si="1"/>
        <v>4200</v>
      </c>
      <c r="I7" s="76">
        <v>45078.0</v>
      </c>
    </row>
    <row r="8">
      <c r="E8" s="73" t="s">
        <v>49</v>
      </c>
      <c r="F8" s="74">
        <v>11.0</v>
      </c>
      <c r="G8" s="75">
        <v>100.0</v>
      </c>
      <c r="H8" s="71">
        <f t="shared" si="1"/>
        <v>1100</v>
      </c>
      <c r="I8" s="76">
        <v>45078.0</v>
      </c>
    </row>
    <row r="9">
      <c r="E9" s="73" t="s">
        <v>50</v>
      </c>
      <c r="F9" s="74">
        <v>2.0</v>
      </c>
      <c r="G9" s="75">
        <v>200.0</v>
      </c>
      <c r="H9" s="71">
        <f t="shared" si="1"/>
        <v>400</v>
      </c>
      <c r="I9" s="76">
        <v>45078.0</v>
      </c>
    </row>
    <row r="10">
      <c r="E10" s="73" t="s">
        <v>51</v>
      </c>
      <c r="F10" s="74">
        <v>100.0</v>
      </c>
      <c r="G10" s="75">
        <v>10.0</v>
      </c>
      <c r="H10" s="71">
        <f t="shared" si="1"/>
        <v>1000</v>
      </c>
      <c r="I10" s="76">
        <v>45078.0</v>
      </c>
    </row>
    <row r="11">
      <c r="E11" s="73" t="s">
        <v>52</v>
      </c>
      <c r="F11" s="74">
        <v>100.0</v>
      </c>
      <c r="G11" s="75">
        <v>10.0</v>
      </c>
      <c r="H11" s="71">
        <f t="shared" si="1"/>
        <v>1000</v>
      </c>
      <c r="I11" s="76">
        <v>45078.0</v>
      </c>
    </row>
    <row r="12">
      <c r="E12" s="73" t="s">
        <v>53</v>
      </c>
      <c r="F12" s="74">
        <v>40.0</v>
      </c>
      <c r="G12" s="75">
        <v>50.0</v>
      </c>
      <c r="H12" s="71">
        <f t="shared" si="1"/>
        <v>2000</v>
      </c>
      <c r="I12" s="76">
        <v>45078.0</v>
      </c>
    </row>
    <row r="13">
      <c r="E13" s="73" t="s">
        <v>54</v>
      </c>
      <c r="F13" s="74">
        <v>1.0</v>
      </c>
      <c r="G13" s="75">
        <v>2000.0</v>
      </c>
      <c r="H13" s="71">
        <f t="shared" si="1"/>
        <v>2000</v>
      </c>
      <c r="I13" s="76">
        <v>45078.0</v>
      </c>
    </row>
    <row r="14">
      <c r="E14" s="73" t="s">
        <v>55</v>
      </c>
      <c r="F14" s="74">
        <v>3.0</v>
      </c>
      <c r="G14" s="75">
        <v>200.0</v>
      </c>
      <c r="H14" s="71">
        <f t="shared" si="1"/>
        <v>600</v>
      </c>
      <c r="I14" s="76">
        <v>45078.0</v>
      </c>
    </row>
    <row r="15">
      <c r="E15" s="73" t="s">
        <v>56</v>
      </c>
      <c r="F15" s="74">
        <v>1.0</v>
      </c>
      <c r="G15" s="75">
        <v>700.0</v>
      </c>
      <c r="H15" s="71">
        <f t="shared" si="1"/>
        <v>700</v>
      </c>
      <c r="I15" s="76">
        <v>45078.0</v>
      </c>
    </row>
    <row r="16">
      <c r="E16" s="73" t="s">
        <v>57</v>
      </c>
      <c r="F16" s="74">
        <v>2.0</v>
      </c>
      <c r="G16" s="75">
        <v>500.0</v>
      </c>
      <c r="H16" s="71">
        <f t="shared" si="1"/>
        <v>1000</v>
      </c>
      <c r="I16" s="76">
        <v>45078.0</v>
      </c>
    </row>
    <row r="17">
      <c r="E17" s="73" t="s">
        <v>58</v>
      </c>
      <c r="F17" s="74">
        <v>20.0</v>
      </c>
      <c r="G17" s="75">
        <v>50.0</v>
      </c>
      <c r="H17" s="71">
        <f t="shared" si="1"/>
        <v>1000</v>
      </c>
      <c r="I17" s="76">
        <v>45078.0</v>
      </c>
    </row>
    <row r="18">
      <c r="E18" s="73" t="s">
        <v>59</v>
      </c>
      <c r="F18" s="74">
        <v>10.0</v>
      </c>
      <c r="G18" s="75">
        <v>55.0</v>
      </c>
      <c r="H18" s="71">
        <f t="shared" si="1"/>
        <v>550</v>
      </c>
      <c r="I18" s="76">
        <v>45078.0</v>
      </c>
    </row>
    <row r="19">
      <c r="E19" s="73" t="s">
        <v>60</v>
      </c>
      <c r="F19" s="74">
        <v>2.0</v>
      </c>
      <c r="G19" s="75">
        <v>600.0</v>
      </c>
      <c r="H19" s="71">
        <f t="shared" si="1"/>
        <v>1200</v>
      </c>
      <c r="I19" s="76">
        <v>45078.0</v>
      </c>
    </row>
    <row r="20">
      <c r="E20" s="73" t="s">
        <v>61</v>
      </c>
      <c r="F20" s="74">
        <v>1.5</v>
      </c>
      <c r="G20" s="75">
        <v>1600.0</v>
      </c>
      <c r="H20" s="71">
        <f t="shared" si="1"/>
        <v>2400</v>
      </c>
      <c r="I20" s="76">
        <v>45078.0</v>
      </c>
    </row>
    <row r="21">
      <c r="E21" s="73" t="s">
        <v>62</v>
      </c>
      <c r="F21" s="74">
        <v>6.5</v>
      </c>
      <c r="G21" s="75">
        <v>180.0</v>
      </c>
      <c r="H21" s="71">
        <f t="shared" si="1"/>
        <v>1170</v>
      </c>
      <c r="I21" s="76">
        <v>45078.0</v>
      </c>
    </row>
    <row r="22">
      <c r="E22" s="73" t="s">
        <v>63</v>
      </c>
      <c r="F22" s="74">
        <v>1.0</v>
      </c>
      <c r="G22" s="75">
        <v>750.0</v>
      </c>
      <c r="H22" s="71">
        <f t="shared" si="1"/>
        <v>750</v>
      </c>
      <c r="I22" s="76">
        <v>45078.0</v>
      </c>
    </row>
    <row r="23">
      <c r="E23" s="73" t="s">
        <v>64</v>
      </c>
      <c r="F23" s="74">
        <v>2.0</v>
      </c>
      <c r="G23" s="75">
        <v>250.0</v>
      </c>
      <c r="H23" s="71">
        <f t="shared" si="1"/>
        <v>500</v>
      </c>
      <c r="I23" s="76">
        <v>45078.0</v>
      </c>
    </row>
    <row r="24">
      <c r="E24" s="73" t="s">
        <v>65</v>
      </c>
      <c r="F24" s="74">
        <v>45.0</v>
      </c>
      <c r="G24" s="75">
        <v>30.0</v>
      </c>
      <c r="H24" s="71">
        <f t="shared" si="1"/>
        <v>1350</v>
      </c>
      <c r="I24" s="76">
        <v>45078.0</v>
      </c>
    </row>
    <row r="25">
      <c r="E25" s="73" t="s">
        <v>66</v>
      </c>
      <c r="F25" s="74">
        <v>1.0</v>
      </c>
      <c r="G25" s="75">
        <v>100.0</v>
      </c>
      <c r="H25" s="71">
        <f t="shared" si="1"/>
        <v>100</v>
      </c>
      <c r="I25" s="76">
        <v>45078.0</v>
      </c>
    </row>
    <row r="26">
      <c r="E26" s="77" t="s">
        <v>67</v>
      </c>
      <c r="F26" s="78">
        <v>5.0</v>
      </c>
      <c r="G26" s="79">
        <v>170.0</v>
      </c>
      <c r="H26" s="79">
        <f>G26*F26</f>
        <v>850</v>
      </c>
      <c r="I26" s="80">
        <v>45078.0</v>
      </c>
    </row>
    <row r="27">
      <c r="E27" s="73" t="s">
        <v>68</v>
      </c>
      <c r="F27" s="74">
        <v>2.0</v>
      </c>
      <c r="G27" s="75">
        <v>350.0</v>
      </c>
      <c r="H27" s="71">
        <f>F27*G27</f>
        <v>700</v>
      </c>
      <c r="I27" s="76">
        <v>45078.0</v>
      </c>
    </row>
    <row r="28">
      <c r="E28" s="81" t="s">
        <v>69</v>
      </c>
      <c r="F28" s="82">
        <v>1.0</v>
      </c>
      <c r="G28" s="83">
        <v>500.0</v>
      </c>
      <c r="H28" s="83">
        <f t="shared" ref="H28:H59" si="2">G28*F28</f>
        <v>500</v>
      </c>
      <c r="I28" s="84">
        <v>45078.0</v>
      </c>
    </row>
    <row r="29">
      <c r="E29" s="81" t="s">
        <v>70</v>
      </c>
      <c r="F29" s="82">
        <v>15.0</v>
      </c>
      <c r="G29" s="83">
        <v>140.0</v>
      </c>
      <c r="H29" s="83">
        <f t="shared" si="2"/>
        <v>2100</v>
      </c>
      <c r="I29" s="84">
        <v>45078.0</v>
      </c>
    </row>
    <row r="30">
      <c r="E30" s="81" t="s">
        <v>71</v>
      </c>
      <c r="F30" s="82">
        <v>4.0</v>
      </c>
      <c r="G30" s="83">
        <v>50.0</v>
      </c>
      <c r="H30" s="83">
        <f t="shared" si="2"/>
        <v>200</v>
      </c>
      <c r="I30" s="84">
        <v>45078.0</v>
      </c>
    </row>
    <row r="31">
      <c r="E31" s="85" t="s">
        <v>72</v>
      </c>
      <c r="F31" s="38">
        <v>6.0</v>
      </c>
      <c r="G31" s="31">
        <v>90.0</v>
      </c>
      <c r="H31" s="31">
        <f t="shared" si="2"/>
        <v>540</v>
      </c>
      <c r="I31" s="86">
        <v>45078.0</v>
      </c>
    </row>
    <row r="32">
      <c r="E32" s="87" t="s">
        <v>73</v>
      </c>
      <c r="F32" s="49">
        <v>1.0</v>
      </c>
      <c r="G32" s="52">
        <v>10500.0</v>
      </c>
      <c r="H32" s="31">
        <f t="shared" si="2"/>
        <v>10500</v>
      </c>
      <c r="I32" s="86">
        <v>45078.0</v>
      </c>
    </row>
    <row r="33">
      <c r="E33" s="87" t="s">
        <v>74</v>
      </c>
      <c r="F33" s="49">
        <v>27.0</v>
      </c>
      <c r="G33" s="52">
        <v>1000.0</v>
      </c>
      <c r="H33" s="31">
        <f t="shared" si="2"/>
        <v>27000</v>
      </c>
      <c r="I33" s="86">
        <v>45078.0</v>
      </c>
    </row>
    <row r="34">
      <c r="E34" s="87" t="s">
        <v>75</v>
      </c>
      <c r="F34" s="49">
        <v>5.0</v>
      </c>
      <c r="G34" s="52">
        <v>600.0</v>
      </c>
      <c r="H34" s="31">
        <f t="shared" si="2"/>
        <v>3000</v>
      </c>
      <c r="I34" s="86">
        <v>45078.0</v>
      </c>
    </row>
    <row r="35">
      <c r="E35" s="87" t="s">
        <v>76</v>
      </c>
      <c r="F35" s="49">
        <v>25.0</v>
      </c>
      <c r="G35" s="52">
        <v>80.0</v>
      </c>
      <c r="H35" s="31">
        <f t="shared" si="2"/>
        <v>2000</v>
      </c>
      <c r="I35" s="86">
        <v>45078.0</v>
      </c>
    </row>
    <row r="36">
      <c r="E36" s="87" t="s">
        <v>77</v>
      </c>
      <c r="F36" s="49">
        <v>3.0</v>
      </c>
      <c r="G36" s="52">
        <v>300.0</v>
      </c>
      <c r="H36" s="31">
        <f t="shared" si="2"/>
        <v>900</v>
      </c>
      <c r="I36" s="86">
        <v>45078.0</v>
      </c>
    </row>
    <row r="37">
      <c r="E37" s="87" t="s">
        <v>78</v>
      </c>
      <c r="F37" s="49">
        <v>38.0</v>
      </c>
      <c r="G37" s="52">
        <v>18.0</v>
      </c>
      <c r="H37" s="31">
        <f t="shared" si="2"/>
        <v>684</v>
      </c>
      <c r="I37" s="86">
        <v>45078.0</v>
      </c>
    </row>
    <row r="38">
      <c r="E38" s="87" t="s">
        <v>79</v>
      </c>
      <c r="F38" s="49">
        <v>14.0</v>
      </c>
      <c r="G38" s="52">
        <v>500.0</v>
      </c>
      <c r="H38" s="31">
        <f t="shared" si="2"/>
        <v>7000</v>
      </c>
      <c r="I38" s="86">
        <v>45078.0</v>
      </c>
    </row>
    <row r="39">
      <c r="E39" s="87" t="s">
        <v>80</v>
      </c>
      <c r="F39" s="49">
        <v>5.0</v>
      </c>
      <c r="G39" s="52">
        <v>450.0</v>
      </c>
      <c r="H39" s="31">
        <f t="shared" si="2"/>
        <v>2250</v>
      </c>
      <c r="I39" s="86">
        <v>45078.0</v>
      </c>
    </row>
    <row r="40">
      <c r="E40" s="87" t="s">
        <v>81</v>
      </c>
      <c r="F40" s="49">
        <v>5.0</v>
      </c>
      <c r="G40" s="52">
        <v>30.0</v>
      </c>
      <c r="H40" s="31">
        <f t="shared" si="2"/>
        <v>150</v>
      </c>
      <c r="I40" s="86">
        <v>45078.0</v>
      </c>
    </row>
    <row r="41">
      <c r="E41" s="87" t="s">
        <v>48</v>
      </c>
      <c r="F41" s="49">
        <v>3.0</v>
      </c>
      <c r="G41" s="52">
        <v>200.0</v>
      </c>
      <c r="H41" s="31">
        <f t="shared" si="2"/>
        <v>600</v>
      </c>
      <c r="I41" s="86">
        <v>45078.0</v>
      </c>
    </row>
    <row r="42">
      <c r="E42" s="87" t="s">
        <v>61</v>
      </c>
      <c r="F42" s="49">
        <v>1.5</v>
      </c>
      <c r="G42" s="52">
        <v>1800.0</v>
      </c>
      <c r="H42" s="31">
        <f t="shared" si="2"/>
        <v>2700</v>
      </c>
      <c r="I42" s="86">
        <v>45078.0</v>
      </c>
    </row>
    <row r="43">
      <c r="E43" s="87" t="s">
        <v>82</v>
      </c>
      <c r="F43" s="49">
        <v>4.0</v>
      </c>
      <c r="G43" s="52">
        <v>950.0</v>
      </c>
      <c r="H43" s="31">
        <f t="shared" si="2"/>
        <v>3800</v>
      </c>
      <c r="I43" s="86">
        <v>45078.0</v>
      </c>
    </row>
    <row r="44">
      <c r="D44" s="88">
        <v>1400.0</v>
      </c>
      <c r="E44" s="87" t="s">
        <v>83</v>
      </c>
      <c r="F44" s="49">
        <v>3.0</v>
      </c>
      <c r="G44" s="52">
        <v>1400.0</v>
      </c>
      <c r="H44" s="31">
        <f t="shared" si="2"/>
        <v>4200</v>
      </c>
      <c r="I44" s="86">
        <v>45078.0</v>
      </c>
    </row>
    <row r="45">
      <c r="D45" s="88">
        <v>400.0</v>
      </c>
      <c r="E45" s="87" t="s">
        <v>84</v>
      </c>
      <c r="F45" s="49">
        <v>5.0</v>
      </c>
      <c r="G45" s="52">
        <v>400.0</v>
      </c>
      <c r="H45" s="31">
        <f t="shared" si="2"/>
        <v>2000</v>
      </c>
      <c r="I45" s="86">
        <v>45078.0</v>
      </c>
    </row>
    <row r="46">
      <c r="D46" s="88">
        <v>245.0</v>
      </c>
      <c r="E46" s="87" t="s">
        <v>85</v>
      </c>
      <c r="F46" s="49">
        <v>12.0</v>
      </c>
      <c r="G46" s="52">
        <v>245.0</v>
      </c>
      <c r="H46" s="31">
        <f t="shared" si="2"/>
        <v>2940</v>
      </c>
      <c r="I46" s="86">
        <v>45078.0</v>
      </c>
    </row>
    <row r="47">
      <c r="D47" s="88">
        <v>530.0</v>
      </c>
      <c r="E47" s="87" t="s">
        <v>86</v>
      </c>
      <c r="F47" s="49">
        <v>9.0</v>
      </c>
      <c r="G47" s="52">
        <v>530.0</v>
      </c>
      <c r="H47" s="31">
        <f t="shared" si="2"/>
        <v>4770</v>
      </c>
      <c r="I47" s="86">
        <v>45078.0</v>
      </c>
    </row>
    <row r="48">
      <c r="D48" s="88">
        <v>1400.0</v>
      </c>
      <c r="E48" s="87" t="s">
        <v>87</v>
      </c>
      <c r="F48" s="49">
        <v>3.0</v>
      </c>
      <c r="G48" s="52">
        <v>1400.0</v>
      </c>
      <c r="H48" s="31">
        <f t="shared" si="2"/>
        <v>4200</v>
      </c>
      <c r="I48" s="86">
        <v>45078.0</v>
      </c>
    </row>
    <row r="49">
      <c r="D49" s="88">
        <v>340.0</v>
      </c>
      <c r="E49" s="87" t="s">
        <v>88</v>
      </c>
      <c r="F49" s="49">
        <v>8.0</v>
      </c>
      <c r="G49" s="52">
        <v>340.0</v>
      </c>
      <c r="H49" s="31">
        <f t="shared" si="2"/>
        <v>2720</v>
      </c>
      <c r="I49" s="86">
        <v>45078.0</v>
      </c>
    </row>
    <row r="50">
      <c r="D50" s="88">
        <v>85.0</v>
      </c>
      <c r="E50" s="87" t="s">
        <v>89</v>
      </c>
      <c r="F50" s="49">
        <v>20.0</v>
      </c>
      <c r="G50" s="52">
        <v>85.0</v>
      </c>
      <c r="H50" s="31">
        <f t="shared" si="2"/>
        <v>1700</v>
      </c>
      <c r="I50" s="86">
        <v>45078.0</v>
      </c>
    </row>
    <row r="51">
      <c r="D51" s="88">
        <v>250.0</v>
      </c>
      <c r="E51" s="87" t="s">
        <v>90</v>
      </c>
      <c r="F51" s="49">
        <v>2.0</v>
      </c>
      <c r="G51" s="52">
        <v>250.0</v>
      </c>
      <c r="H51" s="31">
        <f t="shared" si="2"/>
        <v>500</v>
      </c>
      <c r="I51" s="86">
        <v>45078.0</v>
      </c>
    </row>
    <row r="52">
      <c r="E52" s="81" t="s">
        <v>91</v>
      </c>
      <c r="F52" s="82">
        <v>5.0</v>
      </c>
      <c r="G52" s="83">
        <v>500.0</v>
      </c>
      <c r="H52" s="83">
        <f t="shared" si="2"/>
        <v>2500</v>
      </c>
      <c r="I52" s="89">
        <v>45067.0</v>
      </c>
    </row>
    <row r="53">
      <c r="E53" s="81" t="s">
        <v>92</v>
      </c>
      <c r="F53" s="82">
        <v>2.5</v>
      </c>
      <c r="G53" s="83">
        <v>500.0</v>
      </c>
      <c r="H53" s="83">
        <f t="shared" si="2"/>
        <v>1250</v>
      </c>
      <c r="I53" s="89">
        <v>45066.0</v>
      </c>
    </row>
    <row r="54">
      <c r="E54" s="81" t="s">
        <v>93</v>
      </c>
      <c r="F54" s="90">
        <v>3.0</v>
      </c>
      <c r="G54" s="83">
        <v>1200.0</v>
      </c>
      <c r="H54" s="83">
        <f t="shared" si="2"/>
        <v>3600</v>
      </c>
      <c r="I54" s="89">
        <v>45058.0</v>
      </c>
    </row>
    <row r="55">
      <c r="E55" s="85" t="s">
        <v>94</v>
      </c>
      <c r="F55" s="38">
        <v>2.0</v>
      </c>
      <c r="G55" s="31">
        <v>1650.0</v>
      </c>
      <c r="H55" s="31">
        <f t="shared" si="2"/>
        <v>3300</v>
      </c>
      <c r="I55" s="91">
        <v>45058.0</v>
      </c>
    </row>
    <row r="56">
      <c r="E56" s="85" t="s">
        <v>95</v>
      </c>
      <c r="F56" s="38">
        <v>1.0</v>
      </c>
      <c r="G56" s="31">
        <v>1650.0</v>
      </c>
      <c r="H56" s="31">
        <f t="shared" si="2"/>
        <v>1650</v>
      </c>
      <c r="I56" s="91">
        <v>45058.0</v>
      </c>
    </row>
    <row r="57">
      <c r="E57" s="85" t="s">
        <v>96</v>
      </c>
      <c r="F57" s="38">
        <v>1.0</v>
      </c>
      <c r="G57" s="31">
        <v>1420.0</v>
      </c>
      <c r="H57" s="31">
        <f t="shared" si="2"/>
        <v>1420</v>
      </c>
      <c r="I57" s="91">
        <v>45058.0</v>
      </c>
    </row>
    <row r="58">
      <c r="E58" s="85" t="s">
        <v>97</v>
      </c>
      <c r="F58" s="49">
        <v>2.0</v>
      </c>
      <c r="G58" s="31">
        <v>1150.0</v>
      </c>
      <c r="H58" s="31">
        <f t="shared" si="2"/>
        <v>2300</v>
      </c>
      <c r="I58" s="91">
        <v>45058.0</v>
      </c>
    </row>
    <row r="59">
      <c r="E59" s="92" t="s">
        <v>98</v>
      </c>
      <c r="F59" s="93">
        <v>2.0</v>
      </c>
      <c r="G59" s="94">
        <v>2050.0</v>
      </c>
      <c r="H59" s="94">
        <f t="shared" si="2"/>
        <v>4100</v>
      </c>
      <c r="I59" s="95">
        <v>44999.0</v>
      </c>
    </row>
    <row r="60">
      <c r="E60" s="96" t="s">
        <v>99</v>
      </c>
      <c r="F60" s="69">
        <v>3.0</v>
      </c>
      <c r="G60" s="71">
        <v>203.0</v>
      </c>
      <c r="H60" s="71">
        <f t="shared" ref="H60:H61" si="3">F60*G60</f>
        <v>609</v>
      </c>
      <c r="I60" s="97">
        <v>45041.0</v>
      </c>
    </row>
    <row r="61">
      <c r="E61" s="98" t="s">
        <v>100</v>
      </c>
      <c r="F61" s="74">
        <v>10.0</v>
      </c>
      <c r="G61" s="99">
        <v>200.0</v>
      </c>
      <c r="H61" s="99">
        <f t="shared" si="3"/>
        <v>2000</v>
      </c>
      <c r="I61" s="100">
        <v>45041.0</v>
      </c>
    </row>
    <row r="62">
      <c r="E62" s="101" t="s">
        <v>101</v>
      </c>
      <c r="F62" s="102">
        <v>4.0</v>
      </c>
      <c r="G62" s="83">
        <v>330.0</v>
      </c>
      <c r="H62" s="103">
        <f t="shared" ref="H62:H64" si="4">G62*F62</f>
        <v>1320</v>
      </c>
      <c r="I62" s="89">
        <v>45057.0</v>
      </c>
    </row>
    <row r="63">
      <c r="E63" s="87" t="s">
        <v>102</v>
      </c>
      <c r="F63" s="49">
        <v>4.0</v>
      </c>
      <c r="G63" s="52">
        <v>500.0</v>
      </c>
      <c r="H63" s="31">
        <f t="shared" si="4"/>
        <v>2000</v>
      </c>
      <c r="I63" s="86">
        <v>45041.0</v>
      </c>
    </row>
    <row r="64">
      <c r="E64" s="87" t="s">
        <v>103</v>
      </c>
      <c r="F64" s="49">
        <v>24.0</v>
      </c>
      <c r="G64" s="52">
        <v>800.0</v>
      </c>
      <c r="H64" s="31">
        <f t="shared" si="4"/>
        <v>19200</v>
      </c>
      <c r="I64" s="86">
        <v>45069.0</v>
      </c>
    </row>
    <row r="65">
      <c r="E65" s="96" t="s">
        <v>104</v>
      </c>
      <c r="F65" s="69">
        <v>31.0</v>
      </c>
      <c r="G65" s="71">
        <v>202.0</v>
      </c>
      <c r="H65" s="71">
        <f t="shared" ref="H65:H66" si="5">F65*G65</f>
        <v>6262</v>
      </c>
      <c r="I65" s="104">
        <v>45069.0</v>
      </c>
    </row>
    <row r="66">
      <c r="E66" s="96" t="s">
        <v>105</v>
      </c>
      <c r="F66" s="69">
        <v>3.0</v>
      </c>
      <c r="G66" s="71">
        <v>1900.0</v>
      </c>
      <c r="H66" s="71">
        <f t="shared" si="5"/>
        <v>5700</v>
      </c>
      <c r="I66" s="104">
        <v>45069.0</v>
      </c>
    </row>
    <row r="67">
      <c r="E67" s="92" t="s">
        <v>106</v>
      </c>
      <c r="F67" s="93">
        <v>7.0</v>
      </c>
      <c r="G67" s="94">
        <v>260.0</v>
      </c>
      <c r="H67" s="94">
        <f t="shared" ref="H67:H82" si="6">G67*F67</f>
        <v>1820</v>
      </c>
      <c r="I67" s="95" t="s">
        <v>107</v>
      </c>
    </row>
    <row r="68">
      <c r="E68" s="28" t="s">
        <v>108</v>
      </c>
      <c r="F68" s="28">
        <v>16.0</v>
      </c>
      <c r="G68" s="18">
        <v>250.0</v>
      </c>
      <c r="H68" s="18">
        <f t="shared" si="6"/>
        <v>4000</v>
      </c>
      <c r="I68" s="105">
        <v>44947.0</v>
      </c>
    </row>
    <row r="69">
      <c r="E69" s="92" t="s">
        <v>109</v>
      </c>
      <c r="F69" s="93">
        <v>1.0</v>
      </c>
      <c r="G69" s="94">
        <v>1280.0</v>
      </c>
      <c r="H69" s="94">
        <f t="shared" si="6"/>
        <v>1280</v>
      </c>
      <c r="I69" s="95">
        <v>45004.0</v>
      </c>
    </row>
    <row r="70">
      <c r="E70" s="92" t="s">
        <v>110</v>
      </c>
      <c r="F70" s="93">
        <v>5.0</v>
      </c>
      <c r="G70" s="94">
        <v>1125.0</v>
      </c>
      <c r="H70" s="94">
        <f t="shared" si="6"/>
        <v>5625</v>
      </c>
      <c r="I70" s="95">
        <v>45005.0</v>
      </c>
    </row>
    <row r="71">
      <c r="E71" s="87" t="s">
        <v>111</v>
      </c>
      <c r="F71" s="49">
        <v>12.0</v>
      </c>
      <c r="G71" s="52">
        <v>240.0</v>
      </c>
      <c r="H71" s="31">
        <f t="shared" si="6"/>
        <v>2880</v>
      </c>
      <c r="I71" s="86">
        <v>45078.0</v>
      </c>
    </row>
    <row r="72">
      <c r="E72" s="106" t="s">
        <v>112</v>
      </c>
      <c r="F72" s="82">
        <v>6.0</v>
      </c>
      <c r="G72" s="83">
        <v>230.0</v>
      </c>
      <c r="H72" s="83">
        <f t="shared" si="6"/>
        <v>1380</v>
      </c>
      <c r="I72" s="89">
        <v>45077.0</v>
      </c>
    </row>
    <row r="73">
      <c r="E73" s="87" t="s">
        <v>113</v>
      </c>
      <c r="F73" s="49">
        <v>24.0</v>
      </c>
      <c r="G73" s="52">
        <v>70.0</v>
      </c>
      <c r="H73" s="83">
        <f t="shared" si="6"/>
        <v>1680</v>
      </c>
      <c r="I73" s="86">
        <v>45078.0</v>
      </c>
    </row>
    <row r="74">
      <c r="E74" s="87" t="s">
        <v>114</v>
      </c>
      <c r="F74" s="49">
        <v>6.0</v>
      </c>
      <c r="G74" s="52">
        <v>950.0</v>
      </c>
      <c r="H74" s="83">
        <f t="shared" si="6"/>
        <v>5700</v>
      </c>
      <c r="I74" s="86">
        <v>45078.0</v>
      </c>
    </row>
    <row r="75">
      <c r="E75" s="87" t="s">
        <v>115</v>
      </c>
      <c r="F75" s="49">
        <v>1.0</v>
      </c>
      <c r="G75" s="52">
        <v>700.0</v>
      </c>
      <c r="H75" s="83">
        <f t="shared" si="6"/>
        <v>700</v>
      </c>
      <c r="I75" s="86">
        <v>45078.0</v>
      </c>
    </row>
    <row r="76">
      <c r="E76" s="87" t="s">
        <v>116</v>
      </c>
      <c r="F76" s="49">
        <v>2.0</v>
      </c>
      <c r="G76" s="52">
        <v>650.0</v>
      </c>
      <c r="H76" s="83">
        <f t="shared" si="6"/>
        <v>1300</v>
      </c>
      <c r="I76" s="86">
        <v>45078.0</v>
      </c>
    </row>
    <row r="77">
      <c r="E77" s="81" t="s">
        <v>117</v>
      </c>
      <c r="F77" s="82">
        <v>2.0</v>
      </c>
      <c r="G77" s="83">
        <v>1200.0</v>
      </c>
      <c r="H77" s="103">
        <f t="shared" si="6"/>
        <v>2400</v>
      </c>
      <c r="I77" s="89">
        <v>45057.0</v>
      </c>
    </row>
    <row r="78">
      <c r="E78" s="81" t="s">
        <v>118</v>
      </c>
      <c r="F78" s="90">
        <v>2.0</v>
      </c>
      <c r="G78" s="83">
        <v>1550.0</v>
      </c>
      <c r="H78" s="103">
        <f t="shared" si="6"/>
        <v>3100</v>
      </c>
      <c r="I78" s="89">
        <v>45057.0</v>
      </c>
    </row>
    <row r="79">
      <c r="E79" s="87" t="s">
        <v>119</v>
      </c>
      <c r="F79" s="49">
        <v>1.0</v>
      </c>
      <c r="G79" s="52">
        <v>1330.0</v>
      </c>
      <c r="H79" s="83">
        <f t="shared" si="6"/>
        <v>1330</v>
      </c>
      <c r="I79" s="86">
        <v>45078.0</v>
      </c>
    </row>
    <row r="80">
      <c r="E80" s="87" t="s">
        <v>120</v>
      </c>
      <c r="F80" s="49">
        <v>24.0</v>
      </c>
      <c r="G80" s="52">
        <v>250.0</v>
      </c>
      <c r="H80" s="83">
        <f t="shared" si="6"/>
        <v>6000</v>
      </c>
      <c r="I80" s="86">
        <v>45078.0</v>
      </c>
    </row>
    <row r="81">
      <c r="E81" s="92" t="s">
        <v>121</v>
      </c>
      <c r="F81" s="107">
        <v>3.0</v>
      </c>
      <c r="G81" s="94">
        <v>850.0</v>
      </c>
      <c r="H81" s="94">
        <f t="shared" si="6"/>
        <v>2550</v>
      </c>
      <c r="I81" s="95">
        <v>44997.0</v>
      </c>
    </row>
    <row r="82">
      <c r="E82" s="92" t="s">
        <v>122</v>
      </c>
      <c r="F82" s="107">
        <v>1.0</v>
      </c>
      <c r="G82" s="94">
        <v>2670.0</v>
      </c>
      <c r="H82" s="94">
        <f t="shared" si="6"/>
        <v>2670</v>
      </c>
      <c r="I82" s="95">
        <v>44999.0</v>
      </c>
    </row>
    <row r="83">
      <c r="E83" s="96" t="s">
        <v>123</v>
      </c>
      <c r="F83" s="69">
        <v>3.0</v>
      </c>
      <c r="G83" s="71">
        <v>1820.0</v>
      </c>
      <c r="H83" s="71">
        <f t="shared" ref="H83:H84" si="7">F83*G83</f>
        <v>5460</v>
      </c>
      <c r="I83" s="97">
        <v>45036.0</v>
      </c>
    </row>
    <row r="84">
      <c r="E84" s="98" t="s">
        <v>124</v>
      </c>
      <c r="F84" s="108">
        <v>2.0</v>
      </c>
      <c r="G84" s="99">
        <v>1330.0</v>
      </c>
      <c r="H84" s="99">
        <f t="shared" si="7"/>
        <v>2660</v>
      </c>
      <c r="I84" s="100">
        <v>45036.0</v>
      </c>
    </row>
    <row r="85">
      <c r="E85" s="87" t="s">
        <v>125</v>
      </c>
      <c r="F85" s="49">
        <v>28.0</v>
      </c>
      <c r="G85" s="52">
        <v>25.0</v>
      </c>
      <c r="H85" s="83">
        <f t="shared" ref="H85:H91" si="8">G85*F85</f>
        <v>700</v>
      </c>
      <c r="I85" s="86">
        <v>45078.0</v>
      </c>
    </row>
    <row r="86">
      <c r="E86" s="87" t="s">
        <v>126</v>
      </c>
      <c r="F86" s="49">
        <v>12.0</v>
      </c>
      <c r="G86" s="52">
        <v>180.0</v>
      </c>
      <c r="H86" s="83">
        <f t="shared" si="8"/>
        <v>2160</v>
      </c>
      <c r="I86" s="86">
        <v>45078.0</v>
      </c>
    </row>
    <row r="87">
      <c r="E87" s="81" t="s">
        <v>127</v>
      </c>
      <c r="F87" s="90">
        <v>25.0</v>
      </c>
      <c r="G87" s="83">
        <v>600.0</v>
      </c>
      <c r="H87" s="103">
        <f t="shared" si="8"/>
        <v>15000</v>
      </c>
      <c r="I87" s="89">
        <v>45064.0</v>
      </c>
    </row>
    <row r="88">
      <c r="E88" s="81" t="s">
        <v>128</v>
      </c>
      <c r="F88" s="90">
        <v>3.0</v>
      </c>
      <c r="G88" s="83">
        <v>390.0</v>
      </c>
      <c r="H88" s="103">
        <f t="shared" si="8"/>
        <v>1170</v>
      </c>
      <c r="I88" s="89">
        <v>45057.0</v>
      </c>
      <c r="J88" s="89"/>
    </row>
    <row r="89">
      <c r="E89" s="92" t="s">
        <v>129</v>
      </c>
      <c r="F89" s="93">
        <v>20.0</v>
      </c>
      <c r="G89" s="94">
        <v>225.0</v>
      </c>
      <c r="H89" s="94">
        <f t="shared" si="8"/>
        <v>4500</v>
      </c>
      <c r="I89" s="95">
        <v>45001.0</v>
      </c>
    </row>
    <row r="90">
      <c r="E90" s="81" t="s">
        <v>130</v>
      </c>
      <c r="F90" s="90">
        <v>3.0</v>
      </c>
      <c r="G90" s="83">
        <v>750.0</v>
      </c>
      <c r="H90" s="83">
        <f t="shared" si="8"/>
        <v>2250</v>
      </c>
      <c r="I90" s="89">
        <v>45030.0</v>
      </c>
    </row>
    <row r="91">
      <c r="E91" s="87" t="s">
        <v>131</v>
      </c>
      <c r="F91" s="49">
        <v>334.0</v>
      </c>
      <c r="G91" s="52">
        <v>60.0</v>
      </c>
      <c r="H91" s="31">
        <f t="shared" si="8"/>
        <v>20040</v>
      </c>
      <c r="I91" s="86">
        <v>45078.0</v>
      </c>
    </row>
    <row r="92">
      <c r="E92" s="96" t="s">
        <v>132</v>
      </c>
      <c r="F92" s="69">
        <v>0.5</v>
      </c>
      <c r="G92" s="71">
        <v>4400.0</v>
      </c>
      <c r="H92" s="71">
        <f t="shared" ref="H92:H113" si="9">F92*G92</f>
        <v>2200</v>
      </c>
      <c r="I92" s="97">
        <v>45036.0</v>
      </c>
    </row>
    <row r="93">
      <c r="E93" s="87" t="s">
        <v>49</v>
      </c>
      <c r="F93" s="49">
        <v>10.0</v>
      </c>
      <c r="G93" s="52">
        <v>100.0</v>
      </c>
      <c r="H93" s="71">
        <f t="shared" si="9"/>
        <v>1000</v>
      </c>
      <c r="I93" s="86">
        <v>45079.0</v>
      </c>
    </row>
    <row r="94">
      <c r="E94" s="87" t="s">
        <v>133</v>
      </c>
      <c r="F94" s="49">
        <v>30.0</v>
      </c>
      <c r="G94" s="52">
        <v>50.0</v>
      </c>
      <c r="H94" s="71">
        <f t="shared" si="9"/>
        <v>1500</v>
      </c>
      <c r="I94" s="86">
        <v>45079.0</v>
      </c>
    </row>
    <row r="95">
      <c r="E95" s="87" t="s">
        <v>134</v>
      </c>
      <c r="F95" s="49">
        <v>5.0</v>
      </c>
      <c r="G95" s="52">
        <v>50.0</v>
      </c>
      <c r="H95" s="71">
        <f t="shared" si="9"/>
        <v>250</v>
      </c>
      <c r="I95" s="86">
        <v>45079.0</v>
      </c>
    </row>
    <row r="96">
      <c r="E96" s="87" t="s">
        <v>135</v>
      </c>
      <c r="F96" s="49">
        <v>1.0</v>
      </c>
      <c r="G96" s="52">
        <v>950.0</v>
      </c>
      <c r="H96" s="71">
        <f t="shared" si="9"/>
        <v>950</v>
      </c>
      <c r="I96" s="86">
        <v>45079.0</v>
      </c>
    </row>
    <row r="97">
      <c r="E97" s="87" t="s">
        <v>136</v>
      </c>
      <c r="F97" s="49">
        <v>6.0</v>
      </c>
      <c r="G97" s="52">
        <v>250.0</v>
      </c>
      <c r="H97" s="71">
        <f t="shared" si="9"/>
        <v>1500</v>
      </c>
      <c r="I97" s="86">
        <v>45079.0</v>
      </c>
    </row>
    <row r="98">
      <c r="E98" s="87" t="s">
        <v>137</v>
      </c>
      <c r="F98" s="49">
        <v>20.0</v>
      </c>
      <c r="G98" s="52">
        <v>50.0</v>
      </c>
      <c r="H98" s="71">
        <f t="shared" si="9"/>
        <v>1000</v>
      </c>
      <c r="I98" s="86">
        <v>45080.0</v>
      </c>
    </row>
    <row r="99">
      <c r="E99" s="87" t="s">
        <v>49</v>
      </c>
      <c r="F99" s="49">
        <v>10.0</v>
      </c>
      <c r="G99" s="52">
        <v>100.0</v>
      </c>
      <c r="H99" s="71">
        <f t="shared" si="9"/>
        <v>1000</v>
      </c>
      <c r="I99" s="86">
        <v>45080.0</v>
      </c>
    </row>
    <row r="100">
      <c r="E100" s="87" t="s">
        <v>138</v>
      </c>
      <c r="F100" s="49">
        <v>2.5</v>
      </c>
      <c r="G100" s="52">
        <v>450.0</v>
      </c>
      <c r="H100" s="71">
        <f t="shared" si="9"/>
        <v>1125</v>
      </c>
      <c r="I100" s="86">
        <v>45080.0</v>
      </c>
    </row>
    <row r="101">
      <c r="E101" s="87" t="s">
        <v>139</v>
      </c>
      <c r="F101" s="49">
        <v>1.0</v>
      </c>
      <c r="G101" s="52">
        <v>500.0</v>
      </c>
      <c r="H101" s="71">
        <f t="shared" si="9"/>
        <v>500</v>
      </c>
      <c r="I101" s="86">
        <v>45080.0</v>
      </c>
    </row>
    <row r="102">
      <c r="E102" s="87" t="s">
        <v>140</v>
      </c>
      <c r="F102" s="49">
        <v>4.0</v>
      </c>
      <c r="G102" s="52">
        <v>60.0</v>
      </c>
      <c r="H102" s="71">
        <f t="shared" si="9"/>
        <v>240</v>
      </c>
      <c r="I102" s="86">
        <v>45080.0</v>
      </c>
    </row>
    <row r="103">
      <c r="E103" s="87" t="s">
        <v>141</v>
      </c>
      <c r="F103" s="49">
        <v>1.0</v>
      </c>
      <c r="G103" s="52">
        <v>500.0</v>
      </c>
      <c r="H103" s="71">
        <f t="shared" si="9"/>
        <v>500</v>
      </c>
      <c r="I103" s="86">
        <v>45080.0</v>
      </c>
    </row>
    <row r="104">
      <c r="E104" s="87" t="s">
        <v>60</v>
      </c>
      <c r="F104" s="49">
        <v>2.0</v>
      </c>
      <c r="G104" s="52">
        <v>600.0</v>
      </c>
      <c r="H104" s="71">
        <f t="shared" si="9"/>
        <v>1200</v>
      </c>
      <c r="I104" s="86">
        <v>45080.0</v>
      </c>
    </row>
    <row r="105">
      <c r="E105" s="87" t="s">
        <v>88</v>
      </c>
      <c r="F105" s="49">
        <v>5.0</v>
      </c>
      <c r="G105" s="52">
        <v>300.0</v>
      </c>
      <c r="H105" s="71">
        <f t="shared" si="9"/>
        <v>1500</v>
      </c>
      <c r="I105" s="86">
        <v>45080.0</v>
      </c>
    </row>
    <row r="106">
      <c r="E106" s="87" t="s">
        <v>142</v>
      </c>
      <c r="F106" s="49">
        <v>1.0</v>
      </c>
      <c r="G106" s="52">
        <v>700.0</v>
      </c>
      <c r="H106" s="71">
        <f t="shared" si="9"/>
        <v>700</v>
      </c>
      <c r="I106" s="86">
        <v>45080.0</v>
      </c>
    </row>
    <row r="107">
      <c r="E107" s="87" t="s">
        <v>143</v>
      </c>
      <c r="F107" s="49">
        <v>1.0</v>
      </c>
      <c r="G107" s="52">
        <v>1400.0</v>
      </c>
      <c r="H107" s="71">
        <f t="shared" si="9"/>
        <v>1400</v>
      </c>
      <c r="I107" s="86">
        <v>45081.0</v>
      </c>
    </row>
    <row r="108">
      <c r="E108" s="87" t="s">
        <v>135</v>
      </c>
      <c r="F108" s="49">
        <v>1.0</v>
      </c>
      <c r="G108" s="52">
        <v>600.0</v>
      </c>
      <c r="H108" s="71">
        <f t="shared" si="9"/>
        <v>600</v>
      </c>
      <c r="I108" s="86">
        <v>45081.0</v>
      </c>
    </row>
    <row r="109">
      <c r="E109" s="87" t="s">
        <v>144</v>
      </c>
      <c r="F109" s="49">
        <v>1.0</v>
      </c>
      <c r="G109" s="52">
        <v>1000.0</v>
      </c>
      <c r="H109" s="71">
        <f t="shared" si="9"/>
        <v>1000</v>
      </c>
      <c r="I109" s="86">
        <v>45081.0</v>
      </c>
    </row>
    <row r="110">
      <c r="E110" s="87" t="s">
        <v>145</v>
      </c>
      <c r="F110" s="49">
        <v>1.0</v>
      </c>
      <c r="G110" s="52">
        <v>300.0</v>
      </c>
      <c r="H110" s="71">
        <f t="shared" si="9"/>
        <v>300</v>
      </c>
      <c r="I110" s="86">
        <v>45081.0</v>
      </c>
    </row>
    <row r="111">
      <c r="E111" s="87" t="s">
        <v>133</v>
      </c>
      <c r="F111" s="49">
        <v>20.0</v>
      </c>
      <c r="G111" s="52">
        <v>50.0</v>
      </c>
      <c r="H111" s="71">
        <f t="shared" si="9"/>
        <v>1000</v>
      </c>
      <c r="I111" s="86">
        <v>45082.0</v>
      </c>
    </row>
    <row r="112">
      <c r="E112" s="87" t="s">
        <v>146</v>
      </c>
      <c r="F112" s="49">
        <v>1.0</v>
      </c>
      <c r="G112" s="52">
        <v>200.0</v>
      </c>
      <c r="H112" s="71">
        <f t="shared" si="9"/>
        <v>200</v>
      </c>
      <c r="I112" s="86">
        <v>45082.0</v>
      </c>
    </row>
    <row r="113">
      <c r="E113" s="87" t="s">
        <v>147</v>
      </c>
      <c r="F113" s="49">
        <v>1.0</v>
      </c>
      <c r="G113" s="52">
        <v>300.0</v>
      </c>
      <c r="H113" s="71">
        <f t="shared" si="9"/>
        <v>300</v>
      </c>
      <c r="I113" s="86">
        <v>45082.0</v>
      </c>
    </row>
    <row r="114">
      <c r="E114" s="85" t="s">
        <v>148</v>
      </c>
      <c r="F114" s="49">
        <v>6.0</v>
      </c>
      <c r="G114" s="52">
        <v>550.0</v>
      </c>
      <c r="H114" s="31">
        <f>G114*F114</f>
        <v>3300</v>
      </c>
      <c r="I114" s="86">
        <v>45083.0</v>
      </c>
    </row>
    <row r="115">
      <c r="E115" s="87" t="s">
        <v>49</v>
      </c>
      <c r="F115" s="49">
        <v>10.0</v>
      </c>
      <c r="G115" s="52">
        <v>100.0</v>
      </c>
      <c r="H115" s="71">
        <f t="shared" ref="H115:H258" si="10">F115*G115</f>
        <v>1000</v>
      </c>
      <c r="I115" s="86">
        <v>45083.0</v>
      </c>
    </row>
    <row r="116">
      <c r="E116" s="87" t="s">
        <v>133</v>
      </c>
      <c r="F116" s="49">
        <v>40.0</v>
      </c>
      <c r="G116" s="52">
        <v>50.0</v>
      </c>
      <c r="H116" s="71">
        <f t="shared" si="10"/>
        <v>2000</v>
      </c>
      <c r="I116" s="86">
        <v>45083.0</v>
      </c>
    </row>
    <row r="117">
      <c r="E117" s="87" t="s">
        <v>67</v>
      </c>
      <c r="F117" s="49">
        <v>5.0</v>
      </c>
      <c r="G117" s="52">
        <v>170.0</v>
      </c>
      <c r="H117" s="71">
        <f t="shared" si="10"/>
        <v>850</v>
      </c>
      <c r="I117" s="86">
        <v>45083.0</v>
      </c>
    </row>
    <row r="118">
      <c r="E118" s="87" t="s">
        <v>149</v>
      </c>
      <c r="F118" s="49">
        <v>1.0</v>
      </c>
      <c r="G118" s="52">
        <v>2500.0</v>
      </c>
      <c r="H118" s="71">
        <f t="shared" si="10"/>
        <v>2500</v>
      </c>
      <c r="I118" s="86">
        <v>45083.0</v>
      </c>
    </row>
    <row r="119">
      <c r="E119" s="87" t="s">
        <v>60</v>
      </c>
      <c r="F119" s="49">
        <v>1.0</v>
      </c>
      <c r="G119" s="52">
        <v>600.0</v>
      </c>
      <c r="H119" s="71">
        <f t="shared" si="10"/>
        <v>600</v>
      </c>
      <c r="I119" s="86">
        <v>45083.0</v>
      </c>
    </row>
    <row r="120">
      <c r="E120" s="87" t="s">
        <v>150</v>
      </c>
      <c r="F120" s="49">
        <v>3.0</v>
      </c>
      <c r="G120" s="52">
        <v>950.0</v>
      </c>
      <c r="H120" s="71">
        <f t="shared" si="10"/>
        <v>2850</v>
      </c>
      <c r="I120" s="86">
        <v>45083.0</v>
      </c>
    </row>
    <row r="121">
      <c r="E121" s="87" t="s">
        <v>151</v>
      </c>
      <c r="F121" s="49">
        <v>1.0</v>
      </c>
      <c r="G121" s="52">
        <v>500.0</v>
      </c>
      <c r="H121" s="71">
        <f t="shared" si="10"/>
        <v>500</v>
      </c>
      <c r="I121" s="86">
        <v>45083.0</v>
      </c>
    </row>
    <row r="122">
      <c r="E122" s="87" t="s">
        <v>152</v>
      </c>
      <c r="F122" s="49">
        <v>1.0</v>
      </c>
      <c r="G122" s="52">
        <v>300.0</v>
      </c>
      <c r="H122" s="71">
        <f t="shared" si="10"/>
        <v>300</v>
      </c>
      <c r="I122" s="86">
        <v>45083.0</v>
      </c>
    </row>
    <row r="123">
      <c r="E123" s="87" t="s">
        <v>153</v>
      </c>
      <c r="F123" s="49">
        <v>2.0</v>
      </c>
      <c r="G123" s="52">
        <v>500.0</v>
      </c>
      <c r="H123" s="71">
        <f t="shared" si="10"/>
        <v>1000</v>
      </c>
      <c r="I123" s="86">
        <v>45083.0</v>
      </c>
    </row>
    <row r="124">
      <c r="E124" s="87" t="s">
        <v>105</v>
      </c>
      <c r="F124" s="49">
        <v>1.0</v>
      </c>
      <c r="G124" s="52">
        <v>900.0</v>
      </c>
      <c r="H124" s="71">
        <f t="shared" si="10"/>
        <v>900</v>
      </c>
      <c r="I124" s="86">
        <v>45083.0</v>
      </c>
    </row>
    <row r="125">
      <c r="E125" s="87" t="s">
        <v>154</v>
      </c>
      <c r="F125" s="49">
        <v>1.0</v>
      </c>
      <c r="G125" s="52">
        <v>200.0</v>
      </c>
      <c r="H125" s="71">
        <f t="shared" si="10"/>
        <v>200</v>
      </c>
      <c r="I125" s="86">
        <v>45083.0</v>
      </c>
    </row>
    <row r="126">
      <c r="E126" s="87" t="s">
        <v>155</v>
      </c>
      <c r="F126" s="49">
        <v>31.0</v>
      </c>
      <c r="G126" s="52">
        <v>1260.0</v>
      </c>
      <c r="H126" s="71">
        <f t="shared" si="10"/>
        <v>39060</v>
      </c>
      <c r="I126" s="86">
        <v>45083.0</v>
      </c>
    </row>
    <row r="127">
      <c r="E127" s="87" t="s">
        <v>156</v>
      </c>
      <c r="F127" s="49">
        <v>30.0</v>
      </c>
      <c r="G127" s="52">
        <v>50.0</v>
      </c>
      <c r="H127" s="71">
        <f t="shared" si="10"/>
        <v>1500</v>
      </c>
      <c r="I127" s="86">
        <v>45084.0</v>
      </c>
    </row>
    <row r="128">
      <c r="E128" s="87" t="s">
        <v>49</v>
      </c>
      <c r="F128" s="49">
        <v>15.0</v>
      </c>
      <c r="G128" s="52">
        <v>100.0</v>
      </c>
      <c r="H128" s="71">
        <f t="shared" si="10"/>
        <v>1500</v>
      </c>
      <c r="I128" s="86">
        <v>45084.0</v>
      </c>
    </row>
    <row r="129">
      <c r="E129" s="87" t="s">
        <v>157</v>
      </c>
      <c r="F129" s="49">
        <v>6.0</v>
      </c>
      <c r="G129" s="52">
        <v>35.0</v>
      </c>
      <c r="H129" s="71">
        <f t="shared" si="10"/>
        <v>210</v>
      </c>
      <c r="I129" s="86">
        <v>45084.0</v>
      </c>
    </row>
    <row r="130">
      <c r="E130" s="87" t="s">
        <v>158</v>
      </c>
      <c r="F130" s="49">
        <v>1.0</v>
      </c>
      <c r="G130" s="52">
        <v>300.0</v>
      </c>
      <c r="H130" s="71">
        <f t="shared" si="10"/>
        <v>300</v>
      </c>
      <c r="I130" s="86">
        <v>45084.0</v>
      </c>
    </row>
    <row r="131">
      <c r="E131" s="87" t="s">
        <v>151</v>
      </c>
      <c r="F131" s="49">
        <v>1.0</v>
      </c>
      <c r="G131" s="52">
        <v>300.0</v>
      </c>
      <c r="H131" s="71">
        <f t="shared" si="10"/>
        <v>300</v>
      </c>
      <c r="I131" s="86">
        <v>45084.0</v>
      </c>
    </row>
    <row r="132">
      <c r="E132" s="87" t="s">
        <v>82</v>
      </c>
      <c r="F132" s="49">
        <v>2.0</v>
      </c>
      <c r="G132" s="52">
        <v>950.0</v>
      </c>
      <c r="H132" s="71">
        <f t="shared" si="10"/>
        <v>1900</v>
      </c>
      <c r="I132" s="86">
        <v>45084.0</v>
      </c>
    </row>
    <row r="133">
      <c r="E133" s="87" t="s">
        <v>159</v>
      </c>
      <c r="F133" s="49">
        <v>32.0</v>
      </c>
      <c r="G133" s="52">
        <v>190.0</v>
      </c>
      <c r="H133" s="71">
        <f t="shared" si="10"/>
        <v>6080</v>
      </c>
      <c r="I133" s="86">
        <v>45084.0</v>
      </c>
    </row>
    <row r="134">
      <c r="E134" s="87" t="s">
        <v>127</v>
      </c>
      <c r="F134" s="49">
        <v>30.0</v>
      </c>
      <c r="G134" s="52">
        <v>600.0</v>
      </c>
      <c r="H134" s="71">
        <f t="shared" si="10"/>
        <v>18000</v>
      </c>
      <c r="I134" s="86">
        <v>45084.0</v>
      </c>
    </row>
    <row r="135">
      <c r="E135" s="87" t="s">
        <v>130</v>
      </c>
      <c r="F135" s="49">
        <v>6.0</v>
      </c>
      <c r="G135" s="52">
        <v>780.0</v>
      </c>
      <c r="H135" s="71">
        <f t="shared" si="10"/>
        <v>4680</v>
      </c>
      <c r="I135" s="86">
        <v>45084.0</v>
      </c>
    </row>
    <row r="136">
      <c r="E136" s="87" t="s">
        <v>133</v>
      </c>
      <c r="F136" s="49">
        <v>20.0</v>
      </c>
      <c r="G136" s="52">
        <v>50.0</v>
      </c>
      <c r="H136" s="71">
        <f t="shared" si="10"/>
        <v>1000</v>
      </c>
      <c r="I136" s="86">
        <v>45086.0</v>
      </c>
    </row>
    <row r="137">
      <c r="E137" s="87" t="s">
        <v>49</v>
      </c>
      <c r="F137" s="49">
        <v>10.0</v>
      </c>
      <c r="G137" s="52">
        <v>100.0</v>
      </c>
      <c r="H137" s="71">
        <f t="shared" si="10"/>
        <v>1000</v>
      </c>
      <c r="I137" s="86">
        <v>45086.0</v>
      </c>
    </row>
    <row r="138">
      <c r="E138" s="87" t="s">
        <v>160</v>
      </c>
      <c r="F138" s="49">
        <v>335.0</v>
      </c>
      <c r="G138" s="52">
        <v>60.0</v>
      </c>
      <c r="H138" s="71">
        <f t="shared" si="10"/>
        <v>20100</v>
      </c>
      <c r="I138" s="86">
        <v>45086.0</v>
      </c>
    </row>
    <row r="139">
      <c r="E139" s="87" t="s">
        <v>61</v>
      </c>
      <c r="F139" s="49">
        <v>1.0</v>
      </c>
      <c r="G139" s="52">
        <v>1600.0</v>
      </c>
      <c r="H139" s="71">
        <f t="shared" si="10"/>
        <v>1600</v>
      </c>
      <c r="I139" s="86">
        <v>45087.0</v>
      </c>
    </row>
    <row r="140">
      <c r="E140" s="87" t="s">
        <v>48</v>
      </c>
      <c r="F140" s="49">
        <v>6.0</v>
      </c>
      <c r="G140" s="52">
        <v>200.0</v>
      </c>
      <c r="H140" s="71">
        <f t="shared" si="10"/>
        <v>1200</v>
      </c>
      <c r="I140" s="86">
        <v>45087.0</v>
      </c>
    </row>
    <row r="141">
      <c r="E141" s="87" t="s">
        <v>135</v>
      </c>
      <c r="F141" s="49">
        <v>1.0</v>
      </c>
      <c r="G141" s="52">
        <v>1000.0</v>
      </c>
      <c r="H141" s="71">
        <f t="shared" si="10"/>
        <v>1000</v>
      </c>
      <c r="I141" s="86">
        <v>45087.0</v>
      </c>
    </row>
    <row r="142">
      <c r="E142" s="87" t="s">
        <v>49</v>
      </c>
      <c r="F142" s="49">
        <v>10.0</v>
      </c>
      <c r="G142" s="52">
        <v>100.0</v>
      </c>
      <c r="H142" s="71">
        <f t="shared" si="10"/>
        <v>1000</v>
      </c>
      <c r="I142" s="86">
        <v>45087.0</v>
      </c>
    </row>
    <row r="143">
      <c r="E143" s="87" t="s">
        <v>133</v>
      </c>
      <c r="F143" s="49">
        <v>30.0</v>
      </c>
      <c r="G143" s="52">
        <v>50.0</v>
      </c>
      <c r="H143" s="71">
        <f t="shared" si="10"/>
        <v>1500</v>
      </c>
      <c r="I143" s="86">
        <v>45087.0</v>
      </c>
    </row>
    <row r="144">
      <c r="E144" s="87" t="s">
        <v>161</v>
      </c>
      <c r="F144" s="49">
        <v>1.0</v>
      </c>
      <c r="G144" s="52">
        <v>600.0</v>
      </c>
      <c r="H144" s="71">
        <f t="shared" si="10"/>
        <v>600</v>
      </c>
      <c r="I144" s="86">
        <v>45087.0</v>
      </c>
    </row>
    <row r="145">
      <c r="E145" s="87" t="s">
        <v>162</v>
      </c>
      <c r="F145" s="49">
        <v>1.0</v>
      </c>
      <c r="G145" s="52">
        <v>400.0</v>
      </c>
      <c r="H145" s="71">
        <f t="shared" si="10"/>
        <v>400</v>
      </c>
      <c r="I145" s="86">
        <v>45087.0</v>
      </c>
    </row>
    <row r="146">
      <c r="E146" s="87" t="s">
        <v>163</v>
      </c>
      <c r="F146" s="49">
        <v>10.0</v>
      </c>
      <c r="G146" s="52">
        <v>30.0</v>
      </c>
      <c r="H146" s="71">
        <f t="shared" si="10"/>
        <v>300</v>
      </c>
      <c r="I146" s="86">
        <v>45087.0</v>
      </c>
    </row>
    <row r="147">
      <c r="E147" s="87" t="s">
        <v>164</v>
      </c>
      <c r="F147" s="49">
        <v>2.0</v>
      </c>
      <c r="G147" s="52">
        <v>50.0</v>
      </c>
      <c r="H147" s="71">
        <f t="shared" si="10"/>
        <v>100</v>
      </c>
      <c r="I147" s="86">
        <v>45087.0</v>
      </c>
    </row>
    <row r="148">
      <c r="E148" s="87" t="s">
        <v>165</v>
      </c>
      <c r="F148" s="49">
        <v>1.0</v>
      </c>
      <c r="G148" s="52">
        <v>100.0</v>
      </c>
      <c r="H148" s="71">
        <f t="shared" si="10"/>
        <v>100</v>
      </c>
      <c r="I148" s="86">
        <v>45087.0</v>
      </c>
    </row>
    <row r="149">
      <c r="E149" s="87" t="s">
        <v>117</v>
      </c>
      <c r="F149" s="49">
        <v>1.0</v>
      </c>
      <c r="G149" s="52">
        <v>1400.0</v>
      </c>
      <c r="H149" s="71">
        <f t="shared" si="10"/>
        <v>1400</v>
      </c>
      <c r="I149" s="86">
        <v>45088.0</v>
      </c>
    </row>
    <row r="150">
      <c r="E150" s="87" t="s">
        <v>87</v>
      </c>
      <c r="F150" s="49">
        <v>1.0</v>
      </c>
      <c r="G150" s="52">
        <v>1500.0</v>
      </c>
      <c r="H150" s="71">
        <f t="shared" si="10"/>
        <v>1500</v>
      </c>
      <c r="I150" s="86">
        <v>45089.0</v>
      </c>
    </row>
    <row r="151">
      <c r="E151" s="87" t="s">
        <v>166</v>
      </c>
      <c r="F151" s="49">
        <v>4.0</v>
      </c>
      <c r="G151" s="52">
        <v>200.0</v>
      </c>
      <c r="H151" s="71">
        <f t="shared" si="10"/>
        <v>800</v>
      </c>
      <c r="I151" s="86">
        <v>45089.0</v>
      </c>
    </row>
    <row r="152">
      <c r="E152" s="87" t="s">
        <v>167</v>
      </c>
      <c r="F152" s="49">
        <v>1.0</v>
      </c>
      <c r="G152" s="52">
        <v>350.0</v>
      </c>
      <c r="H152" s="71">
        <f t="shared" si="10"/>
        <v>350</v>
      </c>
      <c r="I152" s="86"/>
    </row>
    <row r="153">
      <c r="E153" s="87" t="s">
        <v>168</v>
      </c>
      <c r="F153" s="49">
        <v>1.0</v>
      </c>
      <c r="G153" s="52">
        <v>1000.0</v>
      </c>
      <c r="H153" s="71">
        <f t="shared" si="10"/>
        <v>1000</v>
      </c>
      <c r="I153" s="86"/>
    </row>
    <row r="154">
      <c r="E154" s="87" t="s">
        <v>169</v>
      </c>
      <c r="F154" s="49">
        <v>1.0</v>
      </c>
      <c r="G154" s="52">
        <v>1650.0</v>
      </c>
      <c r="H154" s="71">
        <f t="shared" si="10"/>
        <v>1650</v>
      </c>
      <c r="I154" s="86"/>
    </row>
    <row r="155">
      <c r="E155" s="87" t="s">
        <v>170</v>
      </c>
      <c r="F155" s="49">
        <v>1.0</v>
      </c>
      <c r="G155" s="52">
        <v>850.0</v>
      </c>
      <c r="H155" s="71">
        <f t="shared" si="10"/>
        <v>850</v>
      </c>
      <c r="I155" s="86"/>
    </row>
    <row r="156">
      <c r="E156" s="87" t="s">
        <v>171</v>
      </c>
      <c r="F156" s="49">
        <v>1.0</v>
      </c>
      <c r="G156" s="52">
        <v>650.0</v>
      </c>
      <c r="H156" s="71">
        <f t="shared" si="10"/>
        <v>650</v>
      </c>
      <c r="I156" s="86"/>
    </row>
    <row r="157">
      <c r="E157" s="87" t="s">
        <v>172</v>
      </c>
      <c r="F157" s="49">
        <v>1.0</v>
      </c>
      <c r="G157" s="52">
        <v>850.0</v>
      </c>
      <c r="H157" s="71">
        <f t="shared" si="10"/>
        <v>850</v>
      </c>
      <c r="I157" s="86"/>
    </row>
    <row r="158">
      <c r="E158" s="87" t="s">
        <v>173</v>
      </c>
      <c r="F158" s="49">
        <v>45.0</v>
      </c>
      <c r="G158" s="52">
        <v>76.0</v>
      </c>
      <c r="H158" s="71">
        <f t="shared" si="10"/>
        <v>3420</v>
      </c>
      <c r="I158" s="86">
        <v>45113.0</v>
      </c>
    </row>
    <row r="159">
      <c r="E159" s="87" t="s">
        <v>174</v>
      </c>
      <c r="F159" s="49">
        <v>14.0</v>
      </c>
      <c r="G159" s="52">
        <v>200.0</v>
      </c>
      <c r="H159" s="71">
        <f t="shared" si="10"/>
        <v>2800</v>
      </c>
      <c r="I159" s="86">
        <v>45113.0</v>
      </c>
    </row>
    <row r="160">
      <c r="E160" s="87" t="s">
        <v>175</v>
      </c>
      <c r="F160" s="49">
        <v>1.5</v>
      </c>
      <c r="G160" s="52">
        <v>1300.0</v>
      </c>
      <c r="H160" s="71">
        <f t="shared" si="10"/>
        <v>1950</v>
      </c>
      <c r="I160" s="86">
        <v>45113.0</v>
      </c>
    </row>
    <row r="161">
      <c r="E161" s="87" t="s">
        <v>105</v>
      </c>
      <c r="F161" s="49">
        <v>6.0</v>
      </c>
      <c r="G161" s="52">
        <v>1900.0</v>
      </c>
      <c r="H161" s="71">
        <f t="shared" si="10"/>
        <v>11400</v>
      </c>
      <c r="I161" s="86">
        <v>45113.0</v>
      </c>
    </row>
    <row r="162">
      <c r="E162" s="87" t="s">
        <v>116</v>
      </c>
      <c r="F162" s="49">
        <v>1.0</v>
      </c>
      <c r="G162" s="52">
        <v>650.0</v>
      </c>
      <c r="H162" s="71">
        <f t="shared" si="10"/>
        <v>650</v>
      </c>
      <c r="I162" s="86">
        <v>45113.0</v>
      </c>
    </row>
    <row r="163">
      <c r="E163" s="87" t="s">
        <v>176</v>
      </c>
      <c r="F163" s="49">
        <v>1.0</v>
      </c>
      <c r="G163" s="52">
        <v>350.0</v>
      </c>
      <c r="H163" s="71">
        <f t="shared" si="10"/>
        <v>350</v>
      </c>
      <c r="I163" s="86">
        <v>45113.0</v>
      </c>
    </row>
    <row r="164">
      <c r="E164" s="87" t="s">
        <v>177</v>
      </c>
      <c r="F164" s="49">
        <v>1.0</v>
      </c>
      <c r="G164" s="52">
        <v>250.0</v>
      </c>
      <c r="H164" s="71">
        <f t="shared" si="10"/>
        <v>250</v>
      </c>
      <c r="I164" s="86">
        <v>45113.0</v>
      </c>
    </row>
    <row r="165">
      <c r="E165" s="87" t="s">
        <v>178</v>
      </c>
      <c r="F165" s="49">
        <v>2.0</v>
      </c>
      <c r="G165" s="52">
        <v>50.0</v>
      </c>
      <c r="H165" s="71">
        <f t="shared" si="10"/>
        <v>100</v>
      </c>
      <c r="I165" s="86">
        <v>45113.0</v>
      </c>
    </row>
    <row r="166">
      <c r="E166" s="87" t="s">
        <v>112</v>
      </c>
      <c r="F166" s="49">
        <v>12.0</v>
      </c>
      <c r="G166" s="52">
        <v>230.0</v>
      </c>
      <c r="H166" s="71">
        <f t="shared" si="10"/>
        <v>2760</v>
      </c>
      <c r="I166" s="86">
        <v>45113.0</v>
      </c>
    </row>
    <row r="167">
      <c r="E167" s="87" t="s">
        <v>179</v>
      </c>
      <c r="F167" s="49">
        <v>5.0</v>
      </c>
      <c r="G167" s="52">
        <v>550.0</v>
      </c>
      <c r="H167" s="71">
        <f t="shared" si="10"/>
        <v>2750</v>
      </c>
      <c r="I167" s="86">
        <v>45113.0</v>
      </c>
    </row>
    <row r="168">
      <c r="E168" s="87" t="s">
        <v>180</v>
      </c>
      <c r="F168" s="49">
        <v>10.0</v>
      </c>
      <c r="G168" s="52">
        <v>1570.0</v>
      </c>
      <c r="H168" s="71">
        <f t="shared" si="10"/>
        <v>15700</v>
      </c>
      <c r="I168" s="86">
        <v>45113.0</v>
      </c>
    </row>
    <row r="169">
      <c r="E169" s="87" t="s">
        <v>181</v>
      </c>
      <c r="F169" s="49">
        <v>1.0</v>
      </c>
      <c r="G169" s="52">
        <v>1000.0</v>
      </c>
      <c r="H169" s="71">
        <f t="shared" si="10"/>
        <v>1000</v>
      </c>
      <c r="I169" s="86">
        <v>45113.0</v>
      </c>
    </row>
    <row r="170">
      <c r="E170" s="87" t="s">
        <v>87</v>
      </c>
      <c r="F170" s="49">
        <v>4.0</v>
      </c>
      <c r="G170" s="52">
        <v>1400.0</v>
      </c>
      <c r="H170" s="71">
        <f t="shared" si="10"/>
        <v>5600</v>
      </c>
      <c r="I170" s="49" t="s">
        <v>182</v>
      </c>
    </row>
    <row r="171">
      <c r="E171" s="87" t="s">
        <v>111</v>
      </c>
      <c r="F171" s="49">
        <v>12.0</v>
      </c>
      <c r="G171" s="52">
        <v>240.0</v>
      </c>
      <c r="H171" s="71">
        <f t="shared" si="10"/>
        <v>2880</v>
      </c>
      <c r="I171" s="49" t="s">
        <v>182</v>
      </c>
    </row>
    <row r="172">
      <c r="E172" s="87" t="s">
        <v>85</v>
      </c>
      <c r="F172" s="49">
        <v>12.0</v>
      </c>
      <c r="G172" s="52">
        <v>250.0</v>
      </c>
      <c r="H172" s="71">
        <f t="shared" si="10"/>
        <v>3000</v>
      </c>
      <c r="I172" s="49" t="s">
        <v>182</v>
      </c>
    </row>
    <row r="173">
      <c r="E173" s="87" t="s">
        <v>183</v>
      </c>
      <c r="F173" s="49">
        <v>1.0</v>
      </c>
      <c r="G173" s="52">
        <v>1280.0</v>
      </c>
      <c r="H173" s="71">
        <f t="shared" si="10"/>
        <v>1280</v>
      </c>
      <c r="I173" s="49" t="s">
        <v>182</v>
      </c>
    </row>
    <row r="174">
      <c r="E174" s="87" t="s">
        <v>184</v>
      </c>
      <c r="F174" s="49">
        <v>6.0</v>
      </c>
      <c r="G174" s="52">
        <v>70.0</v>
      </c>
      <c r="H174" s="71">
        <f t="shared" si="10"/>
        <v>420</v>
      </c>
      <c r="I174" s="49" t="s">
        <v>182</v>
      </c>
    </row>
    <row r="175">
      <c r="E175" s="87" t="s">
        <v>105</v>
      </c>
      <c r="F175" s="49">
        <v>6.0</v>
      </c>
      <c r="G175" s="52">
        <v>1900.0</v>
      </c>
      <c r="H175" s="71">
        <f t="shared" si="10"/>
        <v>11400</v>
      </c>
      <c r="I175" s="49" t="s">
        <v>182</v>
      </c>
    </row>
    <row r="176">
      <c r="E176" s="87" t="s">
        <v>185</v>
      </c>
      <c r="F176" s="49">
        <v>5.0</v>
      </c>
      <c r="G176" s="52">
        <v>530.0</v>
      </c>
      <c r="H176" s="71">
        <f t="shared" si="10"/>
        <v>2650</v>
      </c>
      <c r="I176" s="49" t="s">
        <v>182</v>
      </c>
    </row>
    <row r="177">
      <c r="E177" s="87" t="s">
        <v>186</v>
      </c>
      <c r="F177" s="49">
        <v>1.0</v>
      </c>
      <c r="G177" s="52">
        <v>620.0</v>
      </c>
      <c r="H177" s="71">
        <f t="shared" si="10"/>
        <v>620</v>
      </c>
      <c r="I177" s="49" t="s">
        <v>182</v>
      </c>
    </row>
    <row r="178">
      <c r="E178" s="87" t="s">
        <v>187</v>
      </c>
      <c r="F178" s="49">
        <v>1.0</v>
      </c>
      <c r="G178" s="52">
        <v>2050.0</v>
      </c>
      <c r="H178" s="71">
        <f t="shared" si="10"/>
        <v>2050</v>
      </c>
      <c r="I178" s="49" t="s">
        <v>188</v>
      </c>
    </row>
    <row r="179">
      <c r="E179" s="87" t="s">
        <v>189</v>
      </c>
      <c r="F179" s="49">
        <v>2.0</v>
      </c>
      <c r="G179" s="52">
        <v>1600.0</v>
      </c>
      <c r="H179" s="71">
        <f t="shared" si="10"/>
        <v>3200</v>
      </c>
      <c r="I179" s="49" t="s">
        <v>188</v>
      </c>
    </row>
    <row r="180">
      <c r="E180" s="87" t="s">
        <v>93</v>
      </c>
      <c r="F180" s="49">
        <v>2.0</v>
      </c>
      <c r="G180" s="52">
        <v>1200.0</v>
      </c>
      <c r="H180" s="71">
        <f t="shared" si="10"/>
        <v>2400</v>
      </c>
      <c r="I180" s="49" t="s">
        <v>188</v>
      </c>
    </row>
    <row r="181">
      <c r="E181" s="87" t="s">
        <v>95</v>
      </c>
      <c r="F181" s="49">
        <v>1.0</v>
      </c>
      <c r="G181" s="52">
        <v>1650.0</v>
      </c>
      <c r="H181" s="71">
        <f t="shared" si="10"/>
        <v>1650</v>
      </c>
      <c r="I181" s="49" t="s">
        <v>188</v>
      </c>
    </row>
    <row r="182">
      <c r="E182" s="87" t="s">
        <v>190</v>
      </c>
      <c r="F182" s="49">
        <v>4.0</v>
      </c>
      <c r="G182" s="52">
        <v>360.0</v>
      </c>
      <c r="H182" s="71">
        <f t="shared" si="10"/>
        <v>1440</v>
      </c>
      <c r="I182" s="49" t="s">
        <v>188</v>
      </c>
    </row>
    <row r="183">
      <c r="E183" s="87" t="s">
        <v>191</v>
      </c>
      <c r="F183" s="49">
        <v>3.0</v>
      </c>
      <c r="G183" s="52">
        <v>2100.0</v>
      </c>
      <c r="H183" s="71">
        <f t="shared" si="10"/>
        <v>6300</v>
      </c>
      <c r="I183" s="49" t="s">
        <v>188</v>
      </c>
    </row>
    <row r="184">
      <c r="E184" s="87" t="s">
        <v>192</v>
      </c>
      <c r="F184" s="49">
        <v>10.0</v>
      </c>
      <c r="G184" s="52">
        <v>90.0</v>
      </c>
      <c r="H184" s="71">
        <f t="shared" si="10"/>
        <v>900</v>
      </c>
      <c r="I184" s="49" t="s">
        <v>188</v>
      </c>
    </row>
    <row r="185">
      <c r="E185" s="87" t="s">
        <v>88</v>
      </c>
      <c r="F185" s="49">
        <v>1.0</v>
      </c>
      <c r="G185" s="52">
        <v>320.0</v>
      </c>
      <c r="H185" s="71">
        <f t="shared" si="10"/>
        <v>320</v>
      </c>
      <c r="I185" s="49" t="s">
        <v>188</v>
      </c>
    </row>
    <row r="186">
      <c r="E186" s="87" t="s">
        <v>133</v>
      </c>
      <c r="F186" s="49">
        <v>60.0</v>
      </c>
      <c r="G186" s="52">
        <v>50.0</v>
      </c>
      <c r="H186" s="71">
        <f t="shared" si="10"/>
        <v>3000</v>
      </c>
      <c r="I186" s="49" t="s">
        <v>188</v>
      </c>
    </row>
    <row r="187">
      <c r="E187" s="87" t="s">
        <v>150</v>
      </c>
      <c r="F187" s="49">
        <v>2.0</v>
      </c>
      <c r="G187" s="52">
        <v>1000.0</v>
      </c>
      <c r="H187" s="71">
        <f t="shared" si="10"/>
        <v>2000</v>
      </c>
      <c r="I187" s="49" t="s">
        <v>188</v>
      </c>
    </row>
    <row r="188">
      <c r="E188" s="87" t="s">
        <v>193</v>
      </c>
      <c r="F188" s="49">
        <v>2.0</v>
      </c>
      <c r="G188" s="52">
        <v>550.0</v>
      </c>
      <c r="H188" s="71">
        <f t="shared" si="10"/>
        <v>1100</v>
      </c>
      <c r="I188" s="49" t="s">
        <v>188</v>
      </c>
    </row>
    <row r="189">
      <c r="E189" s="87" t="s">
        <v>157</v>
      </c>
      <c r="F189" s="49">
        <v>5.0</v>
      </c>
      <c r="G189" s="52">
        <v>40.0</v>
      </c>
      <c r="H189" s="71">
        <f t="shared" si="10"/>
        <v>200</v>
      </c>
      <c r="I189" s="49" t="s">
        <v>188</v>
      </c>
    </row>
    <row r="190">
      <c r="E190" s="87" t="s">
        <v>194</v>
      </c>
      <c r="F190" s="49">
        <v>1.0</v>
      </c>
      <c r="G190" s="52">
        <v>400.0</v>
      </c>
      <c r="H190" s="71">
        <f t="shared" si="10"/>
        <v>400</v>
      </c>
      <c r="I190" s="49" t="s">
        <v>188</v>
      </c>
    </row>
    <row r="191">
      <c r="E191" s="87" t="s">
        <v>83</v>
      </c>
      <c r="F191" s="49">
        <v>1.0</v>
      </c>
      <c r="G191" s="52">
        <v>1000.0</v>
      </c>
      <c r="H191" s="71">
        <f t="shared" si="10"/>
        <v>1000</v>
      </c>
      <c r="I191" s="86">
        <v>45052.0</v>
      </c>
    </row>
    <row r="192">
      <c r="E192" s="87" t="s">
        <v>119</v>
      </c>
      <c r="F192" s="49">
        <v>2.0</v>
      </c>
      <c r="G192" s="52">
        <v>150.0</v>
      </c>
      <c r="H192" s="71">
        <f t="shared" si="10"/>
        <v>300</v>
      </c>
      <c r="I192" s="86">
        <v>45052.0</v>
      </c>
    </row>
    <row r="193">
      <c r="E193" s="87" t="s">
        <v>195</v>
      </c>
      <c r="F193" s="49">
        <v>1.0</v>
      </c>
      <c r="G193" s="52">
        <v>450.0</v>
      </c>
      <c r="H193" s="71">
        <f t="shared" si="10"/>
        <v>450</v>
      </c>
      <c r="I193" s="86">
        <v>45052.0</v>
      </c>
    </row>
    <row r="194">
      <c r="E194" s="87" t="s">
        <v>196</v>
      </c>
      <c r="F194" s="49">
        <v>2.0</v>
      </c>
      <c r="G194" s="52">
        <v>900.0</v>
      </c>
      <c r="H194" s="71">
        <f t="shared" si="10"/>
        <v>1800</v>
      </c>
      <c r="I194" s="49" t="s">
        <v>188</v>
      </c>
    </row>
    <row r="195">
      <c r="E195" s="87" t="s">
        <v>197</v>
      </c>
      <c r="F195" s="49">
        <v>1.0</v>
      </c>
      <c r="G195" s="52">
        <v>500.0</v>
      </c>
      <c r="H195" s="71">
        <f t="shared" si="10"/>
        <v>500</v>
      </c>
      <c r="I195" s="49" t="s">
        <v>188</v>
      </c>
    </row>
    <row r="196">
      <c r="E196" s="87" t="s">
        <v>198</v>
      </c>
      <c r="F196" s="49">
        <v>1.0</v>
      </c>
      <c r="G196" s="52">
        <v>3500.0</v>
      </c>
      <c r="H196" s="71">
        <f t="shared" si="10"/>
        <v>3500</v>
      </c>
      <c r="I196" s="86">
        <v>45093.0</v>
      </c>
    </row>
    <row r="197">
      <c r="E197" s="87" t="s">
        <v>133</v>
      </c>
      <c r="F197" s="49">
        <v>70.0</v>
      </c>
      <c r="G197" s="52">
        <v>50.0</v>
      </c>
      <c r="H197" s="71">
        <f t="shared" si="10"/>
        <v>3500</v>
      </c>
      <c r="I197" s="86">
        <v>45093.0</v>
      </c>
      <c r="J197" s="88">
        <v>1.0</v>
      </c>
    </row>
    <row r="198">
      <c r="E198" s="87" t="s">
        <v>199</v>
      </c>
      <c r="F198" s="49">
        <v>1.0</v>
      </c>
      <c r="G198" s="52">
        <v>2500.0</v>
      </c>
      <c r="H198" s="71">
        <f t="shared" si="10"/>
        <v>2500</v>
      </c>
      <c r="I198" s="86">
        <v>45093.0</v>
      </c>
    </row>
    <row r="199">
      <c r="E199" s="87" t="s">
        <v>200</v>
      </c>
      <c r="F199" s="49">
        <v>1.0</v>
      </c>
      <c r="G199" s="52">
        <v>350.0</v>
      </c>
      <c r="H199" s="71">
        <f t="shared" si="10"/>
        <v>350</v>
      </c>
      <c r="I199" s="86">
        <v>45093.0</v>
      </c>
    </row>
    <row r="200">
      <c r="E200" s="87" t="s">
        <v>141</v>
      </c>
      <c r="F200" s="49">
        <v>1.0</v>
      </c>
      <c r="G200" s="52">
        <v>500.0</v>
      </c>
      <c r="H200" s="71">
        <f t="shared" si="10"/>
        <v>500</v>
      </c>
      <c r="I200" s="86">
        <v>45093.0</v>
      </c>
    </row>
    <row r="201">
      <c r="E201" s="87" t="s">
        <v>201</v>
      </c>
      <c r="F201" s="49">
        <v>1.0</v>
      </c>
      <c r="G201" s="52">
        <v>1000.0</v>
      </c>
      <c r="H201" s="71">
        <f t="shared" si="10"/>
        <v>1000</v>
      </c>
      <c r="I201" s="86">
        <v>45093.0</v>
      </c>
    </row>
    <row r="202">
      <c r="E202" s="87" t="s">
        <v>61</v>
      </c>
      <c r="F202" s="49">
        <v>1.0</v>
      </c>
      <c r="G202" s="52">
        <v>1000.0</v>
      </c>
      <c r="H202" s="71">
        <f t="shared" si="10"/>
        <v>1000</v>
      </c>
      <c r="I202" s="86">
        <v>45093.0</v>
      </c>
    </row>
    <row r="203">
      <c r="E203" s="87" t="s">
        <v>79</v>
      </c>
      <c r="F203" s="49">
        <v>1.0</v>
      </c>
      <c r="G203" s="52">
        <v>1750.0</v>
      </c>
      <c r="H203" s="71">
        <f t="shared" si="10"/>
        <v>1750</v>
      </c>
      <c r="I203" s="86">
        <v>45093.0</v>
      </c>
    </row>
    <row r="204">
      <c r="E204" s="87" t="s">
        <v>202</v>
      </c>
      <c r="F204" s="49">
        <v>5.0</v>
      </c>
      <c r="G204" s="52">
        <v>180.0</v>
      </c>
      <c r="H204" s="71">
        <f t="shared" si="10"/>
        <v>900</v>
      </c>
      <c r="I204" s="86">
        <v>45093.0</v>
      </c>
    </row>
    <row r="205">
      <c r="E205" s="87" t="s">
        <v>203</v>
      </c>
      <c r="F205" s="49">
        <v>1.0</v>
      </c>
      <c r="G205" s="52">
        <v>15000.0</v>
      </c>
      <c r="H205" s="71">
        <f t="shared" si="10"/>
        <v>15000</v>
      </c>
      <c r="I205" s="86">
        <v>45096.0</v>
      </c>
    </row>
    <row r="206">
      <c r="E206" s="87" t="s">
        <v>204</v>
      </c>
      <c r="F206" s="49">
        <v>1.0</v>
      </c>
      <c r="G206" s="52">
        <v>27000.0</v>
      </c>
      <c r="H206" s="71">
        <f t="shared" si="10"/>
        <v>27000</v>
      </c>
      <c r="I206" s="86">
        <v>45097.0</v>
      </c>
    </row>
    <row r="207">
      <c r="E207" s="87" t="s">
        <v>133</v>
      </c>
      <c r="F207" s="49">
        <v>40.0</v>
      </c>
      <c r="G207" s="52">
        <v>50.0</v>
      </c>
      <c r="H207" s="71">
        <f t="shared" si="10"/>
        <v>2000</v>
      </c>
      <c r="I207" s="86">
        <v>45066.0</v>
      </c>
    </row>
    <row r="208">
      <c r="E208" s="87" t="s">
        <v>48</v>
      </c>
      <c r="F208" s="49">
        <v>5.0</v>
      </c>
      <c r="G208" s="52">
        <v>180.0</v>
      </c>
      <c r="H208" s="71">
        <f t="shared" si="10"/>
        <v>900</v>
      </c>
      <c r="I208" s="86">
        <v>45097.0</v>
      </c>
    </row>
    <row r="209">
      <c r="E209" s="87" t="s">
        <v>82</v>
      </c>
      <c r="F209" s="49">
        <v>2.0</v>
      </c>
      <c r="G209" s="52">
        <v>800.0</v>
      </c>
      <c r="H209" s="71">
        <f t="shared" si="10"/>
        <v>1600</v>
      </c>
      <c r="I209" s="86">
        <v>45097.0</v>
      </c>
    </row>
    <row r="210">
      <c r="E210" s="87" t="s">
        <v>54</v>
      </c>
      <c r="F210" s="49">
        <v>1.0</v>
      </c>
      <c r="G210" s="52">
        <v>500.0</v>
      </c>
      <c r="H210" s="71">
        <f t="shared" si="10"/>
        <v>500</v>
      </c>
      <c r="I210" s="86">
        <v>45097.0</v>
      </c>
    </row>
    <row r="211">
      <c r="E211" s="87" t="s">
        <v>205</v>
      </c>
      <c r="F211" s="49">
        <v>1.0</v>
      </c>
      <c r="G211" s="52">
        <v>250.0</v>
      </c>
      <c r="H211" s="71">
        <f t="shared" si="10"/>
        <v>250</v>
      </c>
      <c r="I211" s="86">
        <v>45097.0</v>
      </c>
    </row>
    <row r="212">
      <c r="E212" s="87" t="s">
        <v>206</v>
      </c>
      <c r="F212" s="49">
        <v>2.0</v>
      </c>
      <c r="G212" s="52">
        <v>100.0</v>
      </c>
      <c r="H212" s="71">
        <f t="shared" si="10"/>
        <v>200</v>
      </c>
      <c r="I212" s="86">
        <v>45097.0</v>
      </c>
    </row>
    <row r="213">
      <c r="E213" s="87" t="s">
        <v>48</v>
      </c>
      <c r="F213" s="49">
        <v>1.0</v>
      </c>
      <c r="G213" s="52">
        <v>220.0</v>
      </c>
      <c r="H213" s="71">
        <f t="shared" si="10"/>
        <v>220</v>
      </c>
      <c r="I213" s="86">
        <v>45098.0</v>
      </c>
    </row>
    <row r="214">
      <c r="E214" s="87" t="s">
        <v>61</v>
      </c>
      <c r="F214" s="49">
        <v>1.0</v>
      </c>
      <c r="G214" s="52">
        <v>1000.0</v>
      </c>
      <c r="H214" s="71">
        <f t="shared" si="10"/>
        <v>1000</v>
      </c>
      <c r="I214" s="86">
        <v>45098.0</v>
      </c>
    </row>
    <row r="215">
      <c r="E215" s="87" t="s">
        <v>207</v>
      </c>
      <c r="F215" s="49">
        <v>1.0</v>
      </c>
      <c r="G215" s="52">
        <v>700.0</v>
      </c>
      <c r="H215" s="71">
        <f t="shared" si="10"/>
        <v>700</v>
      </c>
      <c r="I215" s="86">
        <v>45098.0</v>
      </c>
    </row>
    <row r="216">
      <c r="E216" s="87" t="s">
        <v>54</v>
      </c>
      <c r="F216" s="49">
        <v>1.0</v>
      </c>
      <c r="G216" s="52">
        <v>200.0</v>
      </c>
      <c r="H216" s="71">
        <f t="shared" si="10"/>
        <v>200</v>
      </c>
      <c r="I216" s="86">
        <v>45098.0</v>
      </c>
    </row>
    <row r="217">
      <c r="E217" s="109" t="s">
        <v>208</v>
      </c>
      <c r="F217" s="110">
        <v>1.0</v>
      </c>
      <c r="G217" s="111">
        <v>20100.0</v>
      </c>
      <c r="H217" s="112">
        <f t="shared" si="10"/>
        <v>20100</v>
      </c>
      <c r="I217" s="113">
        <v>45098.0</v>
      </c>
    </row>
    <row r="218">
      <c r="E218" s="87" t="s">
        <v>133</v>
      </c>
      <c r="F218" s="49">
        <v>80.0</v>
      </c>
      <c r="G218" s="52">
        <v>50.0</v>
      </c>
      <c r="H218" s="71">
        <f t="shared" si="10"/>
        <v>4000</v>
      </c>
      <c r="I218" s="86">
        <v>45099.0</v>
      </c>
    </row>
    <row r="219">
      <c r="E219" s="87" t="s">
        <v>209</v>
      </c>
      <c r="F219" s="49">
        <v>1.0</v>
      </c>
      <c r="G219" s="52">
        <v>2500.0</v>
      </c>
      <c r="H219" s="71">
        <f t="shared" si="10"/>
        <v>2500</v>
      </c>
      <c r="I219" s="86">
        <v>45099.0</v>
      </c>
    </row>
    <row r="220">
      <c r="E220" s="87" t="s">
        <v>210</v>
      </c>
      <c r="F220" s="49">
        <v>2.0</v>
      </c>
      <c r="G220" s="52">
        <v>550.0</v>
      </c>
      <c r="H220" s="71">
        <f t="shared" si="10"/>
        <v>1100</v>
      </c>
      <c r="I220" s="86">
        <v>45099.0</v>
      </c>
    </row>
    <row r="221">
      <c r="E221" s="87" t="s">
        <v>211</v>
      </c>
      <c r="F221" s="49">
        <v>2.0</v>
      </c>
      <c r="G221" s="52">
        <v>145.0</v>
      </c>
      <c r="H221" s="71">
        <f t="shared" si="10"/>
        <v>290</v>
      </c>
      <c r="I221" s="86">
        <v>45099.0</v>
      </c>
    </row>
    <row r="222">
      <c r="E222" s="87" t="s">
        <v>212</v>
      </c>
      <c r="F222" s="49">
        <v>1.0</v>
      </c>
      <c r="G222" s="52">
        <v>150.0</v>
      </c>
      <c r="H222" s="71">
        <f t="shared" si="10"/>
        <v>150</v>
      </c>
      <c r="I222" s="86">
        <v>45099.0</v>
      </c>
    </row>
    <row r="223">
      <c r="E223" s="87" t="s">
        <v>213</v>
      </c>
      <c r="F223" s="49">
        <v>2.0</v>
      </c>
      <c r="G223" s="52">
        <v>300.0</v>
      </c>
      <c r="H223" s="71">
        <f t="shared" si="10"/>
        <v>600</v>
      </c>
      <c r="I223" s="86">
        <v>45099.0</v>
      </c>
    </row>
    <row r="224">
      <c r="E224" s="87" t="s">
        <v>214</v>
      </c>
      <c r="F224" s="49">
        <v>1.0</v>
      </c>
      <c r="G224" s="52">
        <v>700.0</v>
      </c>
      <c r="H224" s="71">
        <f t="shared" si="10"/>
        <v>700</v>
      </c>
      <c r="I224" s="86">
        <v>45099.0</v>
      </c>
    </row>
    <row r="225">
      <c r="E225" s="87" t="s">
        <v>48</v>
      </c>
      <c r="F225" s="49">
        <v>21.0</v>
      </c>
      <c r="G225" s="52">
        <v>150.0</v>
      </c>
      <c r="H225" s="71">
        <f t="shared" si="10"/>
        <v>3150</v>
      </c>
      <c r="I225" s="86">
        <v>45099.0</v>
      </c>
    </row>
    <row r="226">
      <c r="E226" s="87" t="s">
        <v>214</v>
      </c>
      <c r="F226" s="49">
        <v>1.0</v>
      </c>
      <c r="G226" s="52">
        <v>1000.0</v>
      </c>
      <c r="H226" s="71">
        <f t="shared" si="10"/>
        <v>1000</v>
      </c>
      <c r="I226" s="86">
        <v>45099.0</v>
      </c>
    </row>
    <row r="227">
      <c r="E227" s="87" t="s">
        <v>161</v>
      </c>
      <c r="F227" s="49">
        <v>4.0</v>
      </c>
      <c r="G227" s="52">
        <v>700.0</v>
      </c>
      <c r="H227" s="71">
        <f t="shared" si="10"/>
        <v>2800</v>
      </c>
      <c r="I227" s="86">
        <v>45099.0</v>
      </c>
    </row>
    <row r="228">
      <c r="E228" s="87" t="s">
        <v>215</v>
      </c>
      <c r="F228" s="49">
        <v>2.0</v>
      </c>
      <c r="G228" s="52">
        <v>200.0</v>
      </c>
      <c r="H228" s="71">
        <f t="shared" si="10"/>
        <v>400</v>
      </c>
      <c r="I228" s="86">
        <v>45099.0</v>
      </c>
    </row>
    <row r="229">
      <c r="E229" s="87" t="s">
        <v>216</v>
      </c>
      <c r="F229" s="49">
        <v>3.0</v>
      </c>
      <c r="G229" s="52">
        <v>100.0</v>
      </c>
      <c r="H229" s="71">
        <f t="shared" si="10"/>
        <v>300</v>
      </c>
      <c r="I229" s="86">
        <v>45099.0</v>
      </c>
    </row>
    <row r="230">
      <c r="E230" s="87" t="s">
        <v>134</v>
      </c>
      <c r="F230" s="49">
        <v>4.0</v>
      </c>
      <c r="G230" s="52">
        <v>50.0</v>
      </c>
      <c r="H230" s="71">
        <f t="shared" si="10"/>
        <v>200</v>
      </c>
      <c r="I230" s="86">
        <v>45099.0</v>
      </c>
    </row>
    <row r="231">
      <c r="E231" s="87" t="s">
        <v>54</v>
      </c>
      <c r="F231" s="49">
        <v>3.0</v>
      </c>
      <c r="G231" s="52">
        <v>100.0</v>
      </c>
      <c r="H231" s="71">
        <f t="shared" si="10"/>
        <v>300</v>
      </c>
      <c r="I231" s="86">
        <v>45099.0</v>
      </c>
    </row>
    <row r="232">
      <c r="E232" s="87" t="s">
        <v>217</v>
      </c>
      <c r="F232" s="49">
        <v>1.0</v>
      </c>
      <c r="G232" s="52">
        <v>1000.0</v>
      </c>
      <c r="H232" s="71">
        <f t="shared" si="10"/>
        <v>1000</v>
      </c>
      <c r="I232" s="86">
        <v>45099.0</v>
      </c>
    </row>
    <row r="233">
      <c r="E233" s="87" t="s">
        <v>218</v>
      </c>
      <c r="F233" s="49">
        <v>2.0</v>
      </c>
      <c r="G233" s="52">
        <v>500.0</v>
      </c>
      <c r="H233" s="71">
        <f t="shared" si="10"/>
        <v>1000</v>
      </c>
      <c r="I233" s="86">
        <v>45099.0</v>
      </c>
    </row>
    <row r="234">
      <c r="E234" s="87" t="s">
        <v>219</v>
      </c>
      <c r="F234" s="49">
        <v>8.0</v>
      </c>
      <c r="G234" s="52">
        <v>250.0</v>
      </c>
      <c r="H234" s="71">
        <f t="shared" si="10"/>
        <v>2000</v>
      </c>
      <c r="I234" s="86">
        <v>45099.0</v>
      </c>
    </row>
    <row r="235">
      <c r="E235" s="87" t="s">
        <v>220</v>
      </c>
      <c r="F235" s="49">
        <v>1.0</v>
      </c>
      <c r="G235" s="52">
        <v>1500.0</v>
      </c>
      <c r="H235" s="71">
        <f t="shared" si="10"/>
        <v>1500</v>
      </c>
      <c r="I235" s="86">
        <v>45099.0</v>
      </c>
    </row>
    <row r="236">
      <c r="E236" s="87" t="s">
        <v>48</v>
      </c>
      <c r="F236" s="49">
        <v>1.0</v>
      </c>
      <c r="G236" s="52">
        <v>220.0</v>
      </c>
      <c r="H236" s="71">
        <f t="shared" si="10"/>
        <v>220</v>
      </c>
      <c r="I236" s="86">
        <v>45099.0</v>
      </c>
    </row>
    <row r="237">
      <c r="E237" s="87" t="s">
        <v>221</v>
      </c>
      <c r="F237" s="49">
        <v>60.0</v>
      </c>
      <c r="G237" s="52">
        <v>15.0</v>
      </c>
      <c r="H237" s="71">
        <f t="shared" si="10"/>
        <v>900</v>
      </c>
      <c r="I237" s="86">
        <v>45102.0</v>
      </c>
    </row>
    <row r="238">
      <c r="E238" s="87" t="s">
        <v>222</v>
      </c>
      <c r="F238" s="49">
        <v>2.0</v>
      </c>
      <c r="G238" s="52">
        <v>900.0</v>
      </c>
      <c r="H238" s="71">
        <f t="shared" si="10"/>
        <v>1800</v>
      </c>
      <c r="I238" s="86">
        <v>45102.0</v>
      </c>
    </row>
    <row r="239">
      <c r="E239" s="87" t="s">
        <v>223</v>
      </c>
      <c r="F239" s="49">
        <v>20.0</v>
      </c>
      <c r="G239" s="52">
        <v>50.0</v>
      </c>
      <c r="H239" s="71">
        <f t="shared" si="10"/>
        <v>1000</v>
      </c>
      <c r="I239" s="86">
        <v>45102.0</v>
      </c>
    </row>
    <row r="240">
      <c r="E240" s="87" t="s">
        <v>224</v>
      </c>
      <c r="F240" s="49">
        <v>3.0</v>
      </c>
      <c r="G240" s="52">
        <v>550.0</v>
      </c>
      <c r="H240" s="71">
        <f t="shared" si="10"/>
        <v>1650</v>
      </c>
      <c r="I240" s="86">
        <v>45102.0</v>
      </c>
    </row>
    <row r="241">
      <c r="E241" s="87" t="s">
        <v>49</v>
      </c>
      <c r="F241" s="49">
        <v>10.0</v>
      </c>
      <c r="G241" s="52">
        <v>100.0</v>
      </c>
      <c r="H241" s="71">
        <f t="shared" si="10"/>
        <v>1000</v>
      </c>
      <c r="I241" s="86">
        <v>45103.0</v>
      </c>
    </row>
    <row r="242">
      <c r="E242" s="87" t="s">
        <v>150</v>
      </c>
      <c r="F242" s="49">
        <v>4.0</v>
      </c>
      <c r="G242" s="52">
        <v>800.0</v>
      </c>
      <c r="H242" s="71">
        <f t="shared" si="10"/>
        <v>3200</v>
      </c>
      <c r="I242" s="86">
        <v>45103.0</v>
      </c>
    </row>
    <row r="243">
      <c r="E243" s="87" t="s">
        <v>225</v>
      </c>
      <c r="F243" s="49">
        <v>3.0</v>
      </c>
      <c r="G243" s="52">
        <v>100.0</v>
      </c>
      <c r="H243" s="71">
        <f t="shared" si="10"/>
        <v>300</v>
      </c>
      <c r="I243" s="86">
        <v>45103.0</v>
      </c>
    </row>
    <row r="244">
      <c r="E244" s="87" t="s">
        <v>54</v>
      </c>
      <c r="F244" s="49">
        <v>1.0</v>
      </c>
      <c r="G244" s="52">
        <v>1600.0</v>
      </c>
      <c r="H244" s="71">
        <f t="shared" si="10"/>
        <v>1600</v>
      </c>
      <c r="I244" s="86">
        <v>45103.0</v>
      </c>
    </row>
    <row r="245">
      <c r="E245" s="87" t="s">
        <v>226</v>
      </c>
      <c r="F245" s="49">
        <v>1.0</v>
      </c>
      <c r="G245" s="52">
        <v>100.0</v>
      </c>
      <c r="H245" s="71">
        <f t="shared" si="10"/>
        <v>100</v>
      </c>
      <c r="I245" s="86">
        <v>45103.0</v>
      </c>
    </row>
    <row r="246">
      <c r="E246" s="87" t="s">
        <v>49</v>
      </c>
      <c r="F246" s="49">
        <v>10.0</v>
      </c>
      <c r="G246" s="52">
        <v>100.0</v>
      </c>
      <c r="H246" s="71">
        <f t="shared" si="10"/>
        <v>1000</v>
      </c>
      <c r="I246" s="86">
        <v>45104.0</v>
      </c>
    </row>
    <row r="247">
      <c r="E247" s="87" t="s">
        <v>225</v>
      </c>
      <c r="F247" s="49">
        <v>4.0</v>
      </c>
      <c r="G247" s="52">
        <v>100.0</v>
      </c>
      <c r="H247" s="71">
        <f t="shared" si="10"/>
        <v>400</v>
      </c>
      <c r="I247" s="86">
        <v>45104.0</v>
      </c>
    </row>
    <row r="248">
      <c r="E248" s="87" t="s">
        <v>227</v>
      </c>
      <c r="F248" s="49">
        <v>1.0</v>
      </c>
      <c r="G248" s="52">
        <v>200.0</v>
      </c>
      <c r="H248" s="71">
        <f t="shared" si="10"/>
        <v>200</v>
      </c>
      <c r="I248" s="86">
        <v>45104.0</v>
      </c>
    </row>
    <row r="249">
      <c r="E249" s="87" t="s">
        <v>131</v>
      </c>
      <c r="F249" s="49">
        <v>700.0</v>
      </c>
      <c r="G249" s="52">
        <v>60.0</v>
      </c>
      <c r="H249" s="71">
        <f t="shared" si="10"/>
        <v>42000</v>
      </c>
      <c r="I249" s="86">
        <v>45104.0</v>
      </c>
    </row>
    <row r="250">
      <c r="E250" s="87" t="s">
        <v>173</v>
      </c>
      <c r="F250" s="49">
        <v>27.0</v>
      </c>
      <c r="G250" s="52">
        <v>27.0</v>
      </c>
      <c r="H250" s="71">
        <f t="shared" si="10"/>
        <v>729</v>
      </c>
      <c r="I250" s="86">
        <v>45104.0</v>
      </c>
    </row>
    <row r="251">
      <c r="E251" s="87" t="s">
        <v>180</v>
      </c>
      <c r="F251" s="49">
        <v>2.0</v>
      </c>
      <c r="G251" s="52">
        <v>1400.0</v>
      </c>
      <c r="H251" s="71">
        <f t="shared" si="10"/>
        <v>2800</v>
      </c>
      <c r="I251" s="86">
        <v>45104.0</v>
      </c>
    </row>
    <row r="252">
      <c r="E252" s="87" t="s">
        <v>228</v>
      </c>
      <c r="F252" s="49">
        <v>1.0</v>
      </c>
      <c r="G252" s="52">
        <v>30000.0</v>
      </c>
      <c r="H252" s="71">
        <f t="shared" si="10"/>
        <v>30000</v>
      </c>
      <c r="I252" s="86">
        <v>45104.0</v>
      </c>
    </row>
    <row r="253">
      <c r="E253" s="85"/>
      <c r="F253" s="38"/>
      <c r="G253" s="31"/>
      <c r="H253" s="71">
        <f t="shared" si="10"/>
        <v>0</v>
      </c>
      <c r="I253" s="86"/>
    </row>
    <row r="254">
      <c r="E254" s="85"/>
      <c r="F254" s="38"/>
      <c r="G254" s="31"/>
      <c r="H254" s="71">
        <f t="shared" si="10"/>
        <v>0</v>
      </c>
      <c r="I254" s="86"/>
    </row>
    <row r="255">
      <c r="E255" s="85"/>
      <c r="F255" s="38"/>
      <c r="G255" s="31"/>
      <c r="H255" s="71">
        <f t="shared" si="10"/>
        <v>0</v>
      </c>
      <c r="I255" s="86"/>
    </row>
    <row r="256">
      <c r="E256" s="85"/>
      <c r="F256" s="38"/>
      <c r="G256" s="31"/>
      <c r="H256" s="71">
        <f t="shared" si="10"/>
        <v>0</v>
      </c>
      <c r="I256" s="86"/>
    </row>
    <row r="257">
      <c r="E257" s="85"/>
      <c r="F257" s="38"/>
      <c r="G257" s="31"/>
      <c r="H257" s="71">
        <f t="shared" si="10"/>
        <v>0</v>
      </c>
      <c r="I257" s="86"/>
    </row>
    <row r="258">
      <c r="E258" s="85"/>
      <c r="F258" s="38"/>
      <c r="G258" s="31"/>
      <c r="H258" s="71">
        <f t="shared" si="10"/>
        <v>0</v>
      </c>
      <c r="I258" s="86"/>
    </row>
    <row r="259">
      <c r="E259" s="114"/>
      <c r="F259" s="108"/>
      <c r="G259" s="36"/>
      <c r="H259" s="115">
        <f>SUM(H5:H258)</f>
        <v>716109</v>
      </c>
      <c r="I259" s="116"/>
    </row>
    <row r="260">
      <c r="E260" s="5"/>
      <c r="F260" s="5"/>
      <c r="G260" s="5"/>
      <c r="H260" s="117"/>
      <c r="I260" s="117"/>
    </row>
    <row r="261">
      <c r="H261" s="118"/>
      <c r="I261" s="1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  <col customWidth="1" min="3" max="3" width="19.38"/>
    <col customWidth="1" min="4" max="4" width="19.88"/>
    <col customWidth="1" min="5" max="5" width="19.13"/>
    <col customWidth="1" min="6" max="6" width="18.63"/>
    <col customWidth="1" min="7" max="8" width="20.13"/>
    <col customWidth="1" min="9" max="10" width="18.88"/>
    <col customWidth="1" min="11" max="11" width="19.13"/>
    <col customWidth="1" min="12" max="12" width="18.88"/>
    <col customWidth="1" min="13" max="13" width="19.63"/>
    <col customWidth="1" min="14" max="14" width="29.88"/>
    <col customWidth="1" min="15" max="15" width="19.88"/>
    <col customWidth="1" min="16" max="17" width="18.88"/>
    <col customWidth="1" min="18" max="19" width="20.13"/>
    <col customWidth="1" min="20" max="20" width="17.38"/>
    <col customWidth="1" min="21" max="21" width="54.13"/>
  </cols>
  <sheetData>
    <row r="1">
      <c r="A1" s="1"/>
      <c r="B1" s="2" t="s">
        <v>0</v>
      </c>
      <c r="C1" s="119" t="s">
        <v>229</v>
      </c>
      <c r="D1" s="119" t="s">
        <v>230</v>
      </c>
      <c r="E1" s="4" t="s">
        <v>231</v>
      </c>
      <c r="F1" s="4" t="s">
        <v>232</v>
      </c>
      <c r="G1" s="4" t="s">
        <v>233</v>
      </c>
      <c r="H1" s="3" t="s">
        <v>234</v>
      </c>
      <c r="I1" s="4" t="s">
        <v>235</v>
      </c>
      <c r="J1" s="4" t="s">
        <v>236</v>
      </c>
      <c r="K1" s="4" t="s">
        <v>237</v>
      </c>
      <c r="L1" s="4" t="s">
        <v>238</v>
      </c>
      <c r="M1" s="4" t="s">
        <v>239</v>
      </c>
      <c r="N1" s="3" t="s">
        <v>240</v>
      </c>
      <c r="O1" s="4" t="s">
        <v>241</v>
      </c>
      <c r="P1" s="3" t="s">
        <v>242</v>
      </c>
      <c r="Q1" s="4" t="s">
        <v>243</v>
      </c>
      <c r="R1" s="3" t="s">
        <v>244</v>
      </c>
      <c r="S1" s="4" t="s">
        <v>245</v>
      </c>
      <c r="T1" s="4" t="s">
        <v>246</v>
      </c>
      <c r="U1" s="4" t="s">
        <v>247</v>
      </c>
    </row>
    <row r="2">
      <c r="A2" s="11" t="s">
        <v>14</v>
      </c>
      <c r="B2" s="12">
        <v>45078.0</v>
      </c>
      <c r="C2" s="59">
        <v>2.0</v>
      </c>
      <c r="D2" s="59">
        <v>1.5</v>
      </c>
      <c r="E2" s="59">
        <v>0.0</v>
      </c>
      <c r="F2" s="59">
        <v>1.0</v>
      </c>
      <c r="G2" s="59">
        <v>0.0</v>
      </c>
      <c r="H2" s="59">
        <v>0.0</v>
      </c>
      <c r="I2" s="59">
        <v>1.5</v>
      </c>
      <c r="J2" s="59">
        <v>1.25</v>
      </c>
      <c r="K2" s="59">
        <v>0.0</v>
      </c>
      <c r="L2" s="59">
        <v>0.0</v>
      </c>
      <c r="M2" s="59">
        <v>1.5</v>
      </c>
      <c r="N2" s="59">
        <v>0.0</v>
      </c>
      <c r="O2" s="59">
        <v>1.0</v>
      </c>
      <c r="P2" s="59">
        <v>0.0</v>
      </c>
      <c r="Q2" s="59">
        <v>1.5</v>
      </c>
      <c r="R2" s="59">
        <v>0.0</v>
      </c>
      <c r="S2" s="59">
        <v>0.0</v>
      </c>
      <c r="T2" s="120">
        <v>1.5</v>
      </c>
      <c r="U2" s="14"/>
    </row>
    <row r="3">
      <c r="A3" s="121" t="s">
        <v>15</v>
      </c>
      <c r="B3" s="122">
        <v>45079.0</v>
      </c>
      <c r="C3" s="123">
        <v>0.0</v>
      </c>
      <c r="D3" s="123">
        <v>0.0</v>
      </c>
      <c r="E3" s="123">
        <v>0.0</v>
      </c>
      <c r="F3" s="123">
        <v>1.0</v>
      </c>
      <c r="G3" s="123">
        <v>0.0</v>
      </c>
      <c r="H3" s="123">
        <v>0.0</v>
      </c>
      <c r="I3" s="123">
        <v>0.0</v>
      </c>
      <c r="J3" s="123">
        <v>1.0</v>
      </c>
      <c r="K3" s="123">
        <v>1.0</v>
      </c>
      <c r="L3" s="123">
        <v>1.0</v>
      </c>
      <c r="M3" s="123">
        <v>0.0</v>
      </c>
      <c r="N3" s="123">
        <v>0.0</v>
      </c>
      <c r="O3" s="123">
        <v>1.0</v>
      </c>
      <c r="P3" s="123">
        <v>0.0</v>
      </c>
      <c r="Q3" s="123">
        <v>1.0</v>
      </c>
      <c r="R3" s="123">
        <v>0.0</v>
      </c>
      <c r="S3" s="123">
        <v>0.0</v>
      </c>
      <c r="T3" s="124">
        <v>1.0</v>
      </c>
      <c r="U3" s="125"/>
    </row>
    <row r="4">
      <c r="A4" s="11" t="s">
        <v>16</v>
      </c>
      <c r="B4" s="12">
        <v>45080.0</v>
      </c>
      <c r="C4" s="59">
        <v>1.0</v>
      </c>
      <c r="D4" s="59">
        <v>1.0</v>
      </c>
      <c r="E4" s="126">
        <v>0.0</v>
      </c>
      <c r="F4" s="59">
        <v>1.0</v>
      </c>
      <c r="G4" s="59">
        <v>1.0</v>
      </c>
      <c r="H4" s="59">
        <v>0.0</v>
      </c>
      <c r="I4" s="59">
        <v>0.0</v>
      </c>
      <c r="J4" s="59">
        <v>1.0</v>
      </c>
      <c r="K4" s="126">
        <v>1.0</v>
      </c>
      <c r="L4" s="59">
        <v>0.0</v>
      </c>
      <c r="M4" s="59">
        <v>1.0</v>
      </c>
      <c r="N4" s="59">
        <v>0.0</v>
      </c>
      <c r="O4" s="59">
        <v>0.0</v>
      </c>
      <c r="P4" s="59">
        <v>0.0</v>
      </c>
      <c r="Q4" s="59">
        <v>0.0</v>
      </c>
      <c r="R4" s="59">
        <v>0.0</v>
      </c>
      <c r="S4" s="59">
        <v>0.0</v>
      </c>
      <c r="T4" s="120">
        <v>1.0</v>
      </c>
      <c r="U4" s="14"/>
    </row>
    <row r="5">
      <c r="A5" s="11" t="s">
        <v>19</v>
      </c>
      <c r="B5" s="12">
        <v>45081.0</v>
      </c>
      <c r="C5" s="59">
        <v>1.0</v>
      </c>
      <c r="D5" s="59">
        <v>1.0</v>
      </c>
      <c r="E5" s="59">
        <v>0.0</v>
      </c>
      <c r="F5" s="59">
        <v>0.0</v>
      </c>
      <c r="G5" s="59">
        <v>1.0</v>
      </c>
      <c r="H5" s="59">
        <v>0.0</v>
      </c>
      <c r="I5" s="59">
        <v>0.0</v>
      </c>
      <c r="J5" s="59">
        <v>1.0</v>
      </c>
      <c r="K5" s="59">
        <v>1.25</v>
      </c>
      <c r="L5" s="59">
        <v>0.0</v>
      </c>
      <c r="M5" s="59">
        <v>1.0</v>
      </c>
      <c r="N5" s="59">
        <v>0.0</v>
      </c>
      <c r="O5" s="59">
        <v>1.0</v>
      </c>
      <c r="P5" s="59">
        <v>0.0</v>
      </c>
      <c r="Q5" s="59">
        <v>1.0</v>
      </c>
      <c r="R5" s="59">
        <v>0.0</v>
      </c>
      <c r="S5" s="59">
        <v>0.0</v>
      </c>
      <c r="T5" s="120">
        <v>0.75</v>
      </c>
      <c r="U5" s="14"/>
    </row>
    <row r="6">
      <c r="A6" s="11" t="s">
        <v>20</v>
      </c>
      <c r="B6" s="12">
        <v>45082.0</v>
      </c>
      <c r="C6" s="59">
        <v>1.0</v>
      </c>
      <c r="D6" s="59">
        <v>1.0</v>
      </c>
      <c r="E6" s="59">
        <v>0.0</v>
      </c>
      <c r="F6" s="59">
        <v>0.0</v>
      </c>
      <c r="G6" s="59">
        <v>1.0</v>
      </c>
      <c r="H6" s="59">
        <v>1.0</v>
      </c>
      <c r="I6" s="59">
        <v>1.0</v>
      </c>
      <c r="J6" s="59">
        <v>1.0</v>
      </c>
      <c r="K6" s="59">
        <v>1.25</v>
      </c>
      <c r="L6" s="59">
        <v>0.0</v>
      </c>
      <c r="M6" s="59">
        <v>1.0</v>
      </c>
      <c r="N6" s="59">
        <v>0.0</v>
      </c>
      <c r="O6" s="59">
        <v>1.0</v>
      </c>
      <c r="P6" s="59">
        <v>0.0</v>
      </c>
      <c r="Q6" s="59">
        <v>1.0</v>
      </c>
      <c r="R6" s="59">
        <v>0.0</v>
      </c>
      <c r="S6" s="59">
        <v>0.0</v>
      </c>
      <c r="T6" s="120">
        <v>0.5</v>
      </c>
      <c r="U6" s="127" t="s">
        <v>248</v>
      </c>
      <c r="V6" s="128"/>
      <c r="W6" s="128"/>
    </row>
    <row r="7">
      <c r="A7" s="11" t="s">
        <v>22</v>
      </c>
      <c r="B7" s="12">
        <v>45083.0</v>
      </c>
      <c r="C7" s="59">
        <v>1.0</v>
      </c>
      <c r="D7" s="59">
        <v>1.0</v>
      </c>
      <c r="E7" s="59">
        <v>0.0</v>
      </c>
      <c r="F7" s="59">
        <v>0.0</v>
      </c>
      <c r="G7" s="59">
        <v>0.0</v>
      </c>
      <c r="H7" s="59">
        <v>0.0</v>
      </c>
      <c r="I7" s="59">
        <v>1.0</v>
      </c>
      <c r="J7" s="59">
        <v>1.0</v>
      </c>
      <c r="K7" s="59">
        <v>1.0</v>
      </c>
      <c r="L7" s="129">
        <v>0.0</v>
      </c>
      <c r="M7" s="59">
        <v>1.0</v>
      </c>
      <c r="N7" s="59">
        <v>0.0</v>
      </c>
      <c r="O7" s="59">
        <v>1.0</v>
      </c>
      <c r="P7" s="59">
        <v>0.0</v>
      </c>
      <c r="Q7" s="59">
        <v>1.0</v>
      </c>
      <c r="R7" s="59">
        <v>0.0</v>
      </c>
      <c r="S7" s="59">
        <v>0.0</v>
      </c>
      <c r="T7" s="120">
        <v>0.5</v>
      </c>
      <c r="U7" s="14"/>
      <c r="V7" s="128"/>
      <c r="W7" s="128"/>
    </row>
    <row r="8">
      <c r="A8" s="11" t="s">
        <v>23</v>
      </c>
      <c r="B8" s="12">
        <v>45084.0</v>
      </c>
      <c r="C8" s="59">
        <v>1.5</v>
      </c>
      <c r="D8" s="59">
        <v>0.0</v>
      </c>
      <c r="E8" s="59">
        <v>0.0</v>
      </c>
      <c r="F8" s="59">
        <v>0.0</v>
      </c>
      <c r="G8" s="59">
        <v>1.0</v>
      </c>
      <c r="H8" s="59">
        <v>0.0</v>
      </c>
      <c r="I8" s="59">
        <v>1.0</v>
      </c>
      <c r="J8" s="59">
        <v>1.0</v>
      </c>
      <c r="K8" s="59">
        <v>0.0</v>
      </c>
      <c r="L8" s="59">
        <v>1.0</v>
      </c>
      <c r="M8" s="59">
        <v>1.0</v>
      </c>
      <c r="N8" s="59">
        <v>0.0</v>
      </c>
      <c r="O8" s="59">
        <v>1.0</v>
      </c>
      <c r="P8" s="59">
        <v>0.0</v>
      </c>
      <c r="Q8" s="59">
        <v>1.0</v>
      </c>
      <c r="R8" s="59">
        <v>0.0</v>
      </c>
      <c r="S8" s="59">
        <v>0.0</v>
      </c>
      <c r="T8" s="120">
        <v>1.5</v>
      </c>
      <c r="U8" s="14"/>
      <c r="V8" s="128"/>
      <c r="W8" s="128"/>
    </row>
    <row r="9">
      <c r="A9" s="11" t="s">
        <v>27</v>
      </c>
      <c r="B9" s="12">
        <v>45085.0</v>
      </c>
      <c r="C9" s="59">
        <v>1.5</v>
      </c>
      <c r="D9" s="59">
        <v>1.25</v>
      </c>
      <c r="E9" s="59">
        <v>0.0</v>
      </c>
      <c r="F9" s="59">
        <v>0.0</v>
      </c>
      <c r="G9" s="59">
        <v>0.0</v>
      </c>
      <c r="H9" s="59">
        <v>0.0</v>
      </c>
      <c r="I9" s="59">
        <v>0.0</v>
      </c>
      <c r="J9" s="59">
        <v>1.0</v>
      </c>
      <c r="K9" s="59">
        <v>0.0</v>
      </c>
      <c r="L9" s="59">
        <v>1.0</v>
      </c>
      <c r="M9" s="59">
        <v>0.0</v>
      </c>
      <c r="N9" s="59">
        <v>0.0</v>
      </c>
      <c r="O9" s="59">
        <v>0.0</v>
      </c>
      <c r="P9" s="59">
        <v>1.0</v>
      </c>
      <c r="Q9" s="59">
        <v>1.0</v>
      </c>
      <c r="R9" s="59">
        <v>0.0</v>
      </c>
      <c r="S9" s="59">
        <v>0.0</v>
      </c>
      <c r="T9" s="120">
        <v>0.0</v>
      </c>
      <c r="U9" s="14"/>
      <c r="V9" s="128"/>
      <c r="W9" s="128"/>
    </row>
    <row r="10">
      <c r="A10" s="121" t="s">
        <v>15</v>
      </c>
      <c r="B10" s="122">
        <v>45086.0</v>
      </c>
      <c r="C10" s="123">
        <v>0.0</v>
      </c>
      <c r="D10" s="123">
        <v>1.0</v>
      </c>
      <c r="E10" s="123">
        <v>0.0</v>
      </c>
      <c r="F10" s="123">
        <v>0.0</v>
      </c>
      <c r="G10" s="123">
        <v>0.0</v>
      </c>
      <c r="H10" s="123">
        <v>0.0</v>
      </c>
      <c r="I10" s="123">
        <v>0.0</v>
      </c>
      <c r="J10" s="123">
        <v>0.0</v>
      </c>
      <c r="K10" s="123">
        <v>0.5</v>
      </c>
      <c r="L10" s="123">
        <v>1.0</v>
      </c>
      <c r="M10" s="123">
        <v>0.0</v>
      </c>
      <c r="N10" s="123">
        <v>0.0</v>
      </c>
      <c r="O10" s="123">
        <v>0.0</v>
      </c>
      <c r="P10" s="123">
        <v>0.0</v>
      </c>
      <c r="Q10" s="123">
        <v>0.0</v>
      </c>
      <c r="R10" s="123">
        <v>0.0</v>
      </c>
      <c r="S10" s="123">
        <v>0.0</v>
      </c>
      <c r="T10" s="124">
        <v>0.0</v>
      </c>
      <c r="U10" s="130"/>
      <c r="V10" s="128"/>
      <c r="W10" s="128"/>
    </row>
    <row r="11">
      <c r="A11" s="11" t="s">
        <v>16</v>
      </c>
      <c r="B11" s="12">
        <v>45087.0</v>
      </c>
      <c r="C11" s="59">
        <v>2.0</v>
      </c>
      <c r="D11" s="59">
        <v>1.25</v>
      </c>
      <c r="E11" s="59">
        <v>0.0</v>
      </c>
      <c r="F11" s="59">
        <v>0.0</v>
      </c>
      <c r="G11" s="59">
        <v>1.0</v>
      </c>
      <c r="H11" s="59">
        <v>0.0</v>
      </c>
      <c r="I11" s="59">
        <v>0.0</v>
      </c>
      <c r="J11" s="59">
        <v>0.75</v>
      </c>
      <c r="K11" s="59">
        <v>0.0</v>
      </c>
      <c r="L11" s="59">
        <v>1.0</v>
      </c>
      <c r="M11" s="59">
        <v>1.0</v>
      </c>
      <c r="N11" s="59">
        <v>0.0</v>
      </c>
      <c r="O11" s="59">
        <v>0.0</v>
      </c>
      <c r="P11" s="59">
        <v>1.0</v>
      </c>
      <c r="Q11" s="59">
        <v>0.0</v>
      </c>
      <c r="R11" s="59">
        <v>0.0</v>
      </c>
      <c r="S11" s="59">
        <v>1.0</v>
      </c>
      <c r="T11" s="120">
        <v>0.0</v>
      </c>
      <c r="U11" s="14"/>
      <c r="V11" s="128"/>
      <c r="W11" s="128"/>
    </row>
    <row r="12">
      <c r="A12" s="11" t="s">
        <v>19</v>
      </c>
      <c r="B12" s="12">
        <v>45088.0</v>
      </c>
      <c r="C12" s="59">
        <v>1.0</v>
      </c>
      <c r="D12" s="59">
        <v>1.0</v>
      </c>
      <c r="E12" s="59">
        <v>0.0</v>
      </c>
      <c r="F12" s="59">
        <v>0.0</v>
      </c>
      <c r="G12" s="59">
        <v>1.0</v>
      </c>
      <c r="H12" s="59">
        <v>0.0</v>
      </c>
      <c r="I12" s="59">
        <v>0.0</v>
      </c>
      <c r="J12" s="59">
        <v>1.0</v>
      </c>
      <c r="K12" s="59">
        <v>0.0</v>
      </c>
      <c r="L12" s="59">
        <v>1.0</v>
      </c>
      <c r="M12" s="59">
        <v>1.0</v>
      </c>
      <c r="N12" s="59">
        <v>0.0</v>
      </c>
      <c r="O12" s="59">
        <v>0.0</v>
      </c>
      <c r="P12" s="59">
        <v>1.0</v>
      </c>
      <c r="Q12" s="59">
        <v>1.0</v>
      </c>
      <c r="R12" s="59">
        <v>0.0</v>
      </c>
      <c r="S12" s="59">
        <v>1.0</v>
      </c>
      <c r="T12" s="120">
        <v>1.0</v>
      </c>
      <c r="U12" s="14"/>
      <c r="V12" s="128"/>
      <c r="W12" s="128"/>
    </row>
    <row r="13">
      <c r="A13" s="11" t="s">
        <v>20</v>
      </c>
      <c r="B13" s="12">
        <v>45089.0</v>
      </c>
      <c r="C13" s="59">
        <v>1.0</v>
      </c>
      <c r="D13" s="59">
        <v>0.0</v>
      </c>
      <c r="E13" s="59">
        <v>0.0</v>
      </c>
      <c r="F13" s="59">
        <v>0.0</v>
      </c>
      <c r="G13" s="59">
        <v>1.0</v>
      </c>
      <c r="H13" s="59">
        <v>0.0</v>
      </c>
      <c r="I13" s="59">
        <v>0.0</v>
      </c>
      <c r="J13" s="59">
        <v>0.6</v>
      </c>
      <c r="K13" s="59">
        <v>0.0</v>
      </c>
      <c r="L13" s="59">
        <v>1.0</v>
      </c>
      <c r="M13" s="59">
        <v>1.0</v>
      </c>
      <c r="N13" s="59">
        <v>0.0</v>
      </c>
      <c r="O13" s="59">
        <v>0.0</v>
      </c>
      <c r="P13" s="59">
        <v>1.0</v>
      </c>
      <c r="Q13" s="59">
        <v>1.0</v>
      </c>
      <c r="R13" s="59">
        <v>0.0</v>
      </c>
      <c r="S13" s="59">
        <v>0.0</v>
      </c>
      <c r="T13" s="120">
        <v>1.0</v>
      </c>
      <c r="U13" s="14"/>
      <c r="V13" s="128"/>
      <c r="W13" s="128"/>
    </row>
    <row r="14">
      <c r="A14" s="11" t="s">
        <v>22</v>
      </c>
      <c r="B14" s="12">
        <v>45090.0</v>
      </c>
      <c r="C14" s="59">
        <v>1.0</v>
      </c>
      <c r="D14" s="59">
        <v>1.0</v>
      </c>
      <c r="E14" s="59">
        <v>0.0</v>
      </c>
      <c r="F14" s="59">
        <v>0.0</v>
      </c>
      <c r="G14" s="59">
        <v>1.0</v>
      </c>
      <c r="H14" s="59">
        <v>0.0</v>
      </c>
      <c r="I14" s="59">
        <v>0.0</v>
      </c>
      <c r="J14" s="59">
        <v>1.0</v>
      </c>
      <c r="K14" s="59">
        <v>0.0</v>
      </c>
      <c r="L14" s="59">
        <v>1.0</v>
      </c>
      <c r="M14" s="59">
        <v>0.5</v>
      </c>
      <c r="N14" s="59">
        <v>0.0</v>
      </c>
      <c r="O14" s="59">
        <v>0.0</v>
      </c>
      <c r="P14" s="59">
        <v>1.0</v>
      </c>
      <c r="Q14" s="59">
        <v>1.0</v>
      </c>
      <c r="R14" s="59">
        <v>0.0</v>
      </c>
      <c r="S14" s="59">
        <v>0.0</v>
      </c>
      <c r="T14" s="120">
        <v>1.0</v>
      </c>
      <c r="U14" s="131"/>
      <c r="V14" s="128"/>
      <c r="W14" s="128"/>
    </row>
    <row r="15">
      <c r="A15" s="11" t="s">
        <v>23</v>
      </c>
      <c r="B15" s="12">
        <v>45091.0</v>
      </c>
      <c r="C15" s="59">
        <v>1.0</v>
      </c>
      <c r="D15" s="59">
        <v>1.0</v>
      </c>
      <c r="E15" s="59">
        <v>0.0</v>
      </c>
      <c r="F15" s="59">
        <v>0.0</v>
      </c>
      <c r="G15" s="59">
        <v>1.0</v>
      </c>
      <c r="H15" s="59">
        <v>0.0</v>
      </c>
      <c r="I15" s="59">
        <v>0.0</v>
      </c>
      <c r="J15" s="59">
        <v>1.0</v>
      </c>
      <c r="K15" s="59">
        <v>0.0</v>
      </c>
      <c r="L15" s="59">
        <v>1.0</v>
      </c>
      <c r="M15" s="59">
        <v>0.0</v>
      </c>
      <c r="N15" s="59">
        <v>0.0</v>
      </c>
      <c r="O15" s="59">
        <v>0.0</v>
      </c>
      <c r="P15" s="59">
        <v>0.5</v>
      </c>
      <c r="Q15" s="59">
        <v>1.0</v>
      </c>
      <c r="R15" s="59">
        <v>0.0</v>
      </c>
      <c r="S15" s="59">
        <v>0.0</v>
      </c>
      <c r="T15" s="120">
        <v>1.0</v>
      </c>
      <c r="U15" s="131"/>
      <c r="V15" s="128"/>
      <c r="W15" s="128"/>
    </row>
    <row r="16">
      <c r="A16" s="11" t="s">
        <v>27</v>
      </c>
      <c r="B16" s="12">
        <v>45092.0</v>
      </c>
      <c r="C16" s="59">
        <v>1.0</v>
      </c>
      <c r="D16" s="59">
        <v>1.0</v>
      </c>
      <c r="E16" s="59">
        <v>0.0</v>
      </c>
      <c r="F16" s="59">
        <v>0.0</v>
      </c>
      <c r="G16" s="59">
        <v>0.0</v>
      </c>
      <c r="H16" s="59">
        <v>1.0</v>
      </c>
      <c r="I16" s="59">
        <v>0.0</v>
      </c>
      <c r="J16" s="59">
        <v>1.0</v>
      </c>
      <c r="K16" s="59">
        <v>0.0</v>
      </c>
      <c r="L16" s="59">
        <v>1.0</v>
      </c>
      <c r="M16" s="59">
        <v>1.0</v>
      </c>
      <c r="N16" s="59">
        <v>0.0</v>
      </c>
      <c r="O16" s="59">
        <v>1.0</v>
      </c>
      <c r="P16" s="59">
        <v>0.0</v>
      </c>
      <c r="Q16" s="59">
        <v>1.0</v>
      </c>
      <c r="R16" s="59">
        <v>0.0</v>
      </c>
      <c r="S16" s="59">
        <v>0.0</v>
      </c>
      <c r="T16" s="120">
        <v>1.0</v>
      </c>
      <c r="U16" s="14"/>
      <c r="V16" s="128"/>
      <c r="W16" s="128"/>
    </row>
    <row r="17">
      <c r="A17" s="121" t="s">
        <v>15</v>
      </c>
      <c r="B17" s="122">
        <v>45093.0</v>
      </c>
      <c r="C17" s="123">
        <v>0.0</v>
      </c>
      <c r="D17" s="123">
        <v>1.0</v>
      </c>
      <c r="E17" s="123">
        <v>0.0</v>
      </c>
      <c r="F17" s="123">
        <v>0.0</v>
      </c>
      <c r="G17" s="123">
        <v>0.0</v>
      </c>
      <c r="H17" s="123">
        <v>1.0</v>
      </c>
      <c r="I17" s="123">
        <v>0.0</v>
      </c>
      <c r="J17" s="123">
        <v>0.0</v>
      </c>
      <c r="K17" s="123">
        <v>1.0</v>
      </c>
      <c r="L17" s="123">
        <v>1.0</v>
      </c>
      <c r="M17" s="123">
        <v>0.0</v>
      </c>
      <c r="N17" s="123">
        <v>0.0</v>
      </c>
      <c r="O17" s="123">
        <v>0.0</v>
      </c>
      <c r="P17" s="123">
        <v>0.0</v>
      </c>
      <c r="Q17" s="123">
        <v>0.0</v>
      </c>
      <c r="R17" s="123">
        <v>0.0</v>
      </c>
      <c r="S17" s="123">
        <v>0.0</v>
      </c>
      <c r="T17" s="124">
        <v>0.0</v>
      </c>
      <c r="U17" s="130"/>
      <c r="V17" s="128"/>
      <c r="W17" s="128"/>
    </row>
    <row r="18">
      <c r="A18" s="11" t="s">
        <v>16</v>
      </c>
      <c r="B18" s="12">
        <v>45094.0</v>
      </c>
      <c r="C18" s="59">
        <v>1.0</v>
      </c>
      <c r="D18" s="59">
        <v>1.0</v>
      </c>
      <c r="E18" s="59">
        <v>0.0</v>
      </c>
      <c r="F18" s="59">
        <v>0.0</v>
      </c>
      <c r="G18" s="59">
        <v>1.0</v>
      </c>
      <c r="H18" s="59">
        <v>1.0</v>
      </c>
      <c r="I18" s="59">
        <v>0.0</v>
      </c>
      <c r="J18" s="59">
        <v>0.0</v>
      </c>
      <c r="K18" s="59">
        <v>1.0</v>
      </c>
      <c r="L18" s="59">
        <v>0.0</v>
      </c>
      <c r="M18" s="59">
        <v>0.0</v>
      </c>
      <c r="N18" s="59">
        <v>1.0</v>
      </c>
      <c r="O18" s="59">
        <v>0.0</v>
      </c>
      <c r="P18" s="132">
        <v>0.0</v>
      </c>
      <c r="Q18" s="59">
        <v>1.0</v>
      </c>
      <c r="R18" s="59">
        <v>0.0</v>
      </c>
      <c r="S18" s="59">
        <v>0.0</v>
      </c>
      <c r="T18" s="120">
        <v>0.0</v>
      </c>
      <c r="U18" s="14"/>
      <c r="V18" s="128"/>
      <c r="W18" s="128"/>
    </row>
    <row r="19">
      <c r="A19" s="11" t="s">
        <v>19</v>
      </c>
      <c r="B19" s="12">
        <v>45095.0</v>
      </c>
      <c r="C19" s="59">
        <v>1.0</v>
      </c>
      <c r="D19" s="59">
        <v>1.0</v>
      </c>
      <c r="E19" s="59">
        <v>0.0</v>
      </c>
      <c r="F19" s="59">
        <v>1.0</v>
      </c>
      <c r="G19" s="59">
        <v>1.0</v>
      </c>
      <c r="H19" s="59">
        <v>1.0</v>
      </c>
      <c r="I19" s="59">
        <v>0.0</v>
      </c>
      <c r="J19" s="59">
        <v>0.0</v>
      </c>
      <c r="K19" s="59">
        <v>1.0</v>
      </c>
      <c r="L19" s="59">
        <v>0.0</v>
      </c>
      <c r="M19" s="59">
        <v>0.0</v>
      </c>
      <c r="N19" s="59">
        <v>1.0</v>
      </c>
      <c r="O19" s="59">
        <v>0.0</v>
      </c>
      <c r="P19" s="59">
        <v>0.0</v>
      </c>
      <c r="Q19" s="59">
        <v>1.0</v>
      </c>
      <c r="R19" s="59">
        <v>0.0</v>
      </c>
      <c r="S19" s="59">
        <v>0.0</v>
      </c>
      <c r="T19" s="59">
        <v>1.0</v>
      </c>
      <c r="U19" s="14"/>
      <c r="V19" s="128"/>
      <c r="W19" s="128"/>
    </row>
    <row r="20">
      <c r="A20" s="11" t="s">
        <v>20</v>
      </c>
      <c r="B20" s="12">
        <v>45096.0</v>
      </c>
      <c r="C20" s="59">
        <v>1.0</v>
      </c>
      <c r="D20" s="59">
        <v>0.0</v>
      </c>
      <c r="E20" s="59">
        <v>0.0</v>
      </c>
      <c r="F20" s="59">
        <v>1.0</v>
      </c>
      <c r="G20" s="59">
        <v>1.0</v>
      </c>
      <c r="H20" s="59">
        <v>1.0</v>
      </c>
      <c r="I20" s="59">
        <v>0.0</v>
      </c>
      <c r="J20" s="59">
        <v>0.0</v>
      </c>
      <c r="K20" s="59">
        <v>0.0</v>
      </c>
      <c r="L20" s="59">
        <v>0.0</v>
      </c>
      <c r="M20" s="59">
        <v>1.0</v>
      </c>
      <c r="N20" s="59">
        <v>1.0</v>
      </c>
      <c r="O20" s="59">
        <v>0.0</v>
      </c>
      <c r="P20" s="59">
        <v>0.0</v>
      </c>
      <c r="Q20" s="59">
        <v>0.0</v>
      </c>
      <c r="R20" s="59">
        <v>1.0</v>
      </c>
      <c r="S20" s="59">
        <v>0.0</v>
      </c>
      <c r="T20" s="120">
        <v>0.0</v>
      </c>
      <c r="U20" s="14"/>
      <c r="V20" s="128"/>
      <c r="W20" s="128"/>
    </row>
    <row r="21">
      <c r="A21" s="11" t="s">
        <v>22</v>
      </c>
      <c r="B21" s="12">
        <v>45097.0</v>
      </c>
      <c r="C21" s="59">
        <v>1.0</v>
      </c>
      <c r="D21" s="59">
        <v>1.0</v>
      </c>
      <c r="E21" s="59">
        <v>0.0</v>
      </c>
      <c r="F21" s="59">
        <v>1.0</v>
      </c>
      <c r="G21" s="59">
        <v>1.0</v>
      </c>
      <c r="H21" s="59">
        <v>1.0</v>
      </c>
      <c r="I21" s="59">
        <v>0.0</v>
      </c>
      <c r="J21" s="59">
        <v>0.0</v>
      </c>
      <c r="K21" s="59">
        <v>0.0</v>
      </c>
      <c r="L21" s="59">
        <v>1.0</v>
      </c>
      <c r="M21" s="59">
        <v>0.0</v>
      </c>
      <c r="N21" s="59">
        <v>1.0</v>
      </c>
      <c r="O21" s="59">
        <v>0.0</v>
      </c>
      <c r="P21" s="59">
        <v>0.0</v>
      </c>
      <c r="Q21" s="59">
        <v>0.0</v>
      </c>
      <c r="R21" s="59">
        <v>1.0</v>
      </c>
      <c r="S21" s="59">
        <v>0.0</v>
      </c>
      <c r="T21" s="120">
        <v>1.0</v>
      </c>
      <c r="U21" s="14"/>
      <c r="V21" s="128"/>
      <c r="W21" s="128"/>
    </row>
    <row r="22">
      <c r="A22" s="11" t="s">
        <v>23</v>
      </c>
      <c r="B22" s="12">
        <v>45098.0</v>
      </c>
      <c r="C22" s="59">
        <v>2.0</v>
      </c>
      <c r="D22" s="59">
        <v>1.0</v>
      </c>
      <c r="E22" s="59">
        <v>0.0</v>
      </c>
      <c r="F22" s="59">
        <v>1.0</v>
      </c>
      <c r="G22" s="59">
        <v>0.0</v>
      </c>
      <c r="H22" s="59">
        <v>1.0</v>
      </c>
      <c r="I22" s="59">
        <v>0.0</v>
      </c>
      <c r="J22" s="59">
        <v>0.0</v>
      </c>
      <c r="K22" s="59">
        <v>0.0</v>
      </c>
      <c r="L22" s="59">
        <v>1.0</v>
      </c>
      <c r="M22" s="59">
        <v>0.0</v>
      </c>
      <c r="N22" s="59">
        <v>1.0</v>
      </c>
      <c r="O22" s="59">
        <v>0.0</v>
      </c>
      <c r="P22" s="59">
        <v>0.0</v>
      </c>
      <c r="Q22" s="59">
        <v>0.0</v>
      </c>
      <c r="R22" s="59">
        <v>1.0</v>
      </c>
      <c r="S22" s="59">
        <v>0.0</v>
      </c>
      <c r="T22" s="120">
        <v>1.25</v>
      </c>
      <c r="U22" s="14"/>
      <c r="V22" s="128"/>
      <c r="W22" s="128"/>
    </row>
    <row r="23">
      <c r="A23" s="11" t="s">
        <v>27</v>
      </c>
      <c r="B23" s="12">
        <v>45099.0</v>
      </c>
      <c r="C23" s="59">
        <v>1.5</v>
      </c>
      <c r="D23" s="59">
        <v>1.0</v>
      </c>
      <c r="E23" s="59">
        <v>0.0</v>
      </c>
      <c r="F23" s="59">
        <v>1.0</v>
      </c>
      <c r="G23" s="59">
        <v>0.0</v>
      </c>
      <c r="H23" s="59">
        <v>1.0</v>
      </c>
      <c r="I23" s="59">
        <v>0.0</v>
      </c>
      <c r="J23" s="59">
        <v>1.0</v>
      </c>
      <c r="K23" s="59">
        <v>1.5</v>
      </c>
      <c r="L23" s="59">
        <v>1.0</v>
      </c>
      <c r="M23" s="59">
        <v>0.0</v>
      </c>
      <c r="N23" s="59">
        <v>0.0</v>
      </c>
      <c r="O23" s="59">
        <v>0.0</v>
      </c>
      <c r="P23" s="59">
        <v>0.0</v>
      </c>
      <c r="Q23" s="59">
        <v>0.0</v>
      </c>
      <c r="R23" s="59">
        <v>1.0</v>
      </c>
      <c r="S23" s="59">
        <v>0.0</v>
      </c>
      <c r="T23" s="120">
        <v>1.5</v>
      </c>
      <c r="U23" s="14"/>
      <c r="V23" s="128"/>
      <c r="W23" s="128"/>
    </row>
    <row r="24">
      <c r="A24" s="121" t="s">
        <v>15</v>
      </c>
      <c r="B24" s="122">
        <v>45100.0</v>
      </c>
      <c r="C24" s="123">
        <v>0.0</v>
      </c>
      <c r="D24" s="123">
        <v>1.0</v>
      </c>
      <c r="E24" s="123">
        <v>0.0</v>
      </c>
      <c r="F24" s="123">
        <v>1.0</v>
      </c>
      <c r="G24" s="123">
        <v>0.0</v>
      </c>
      <c r="H24" s="123">
        <v>1.0</v>
      </c>
      <c r="I24" s="123">
        <v>0.0</v>
      </c>
      <c r="J24" s="123">
        <v>1.0</v>
      </c>
      <c r="K24" s="123">
        <v>1.0</v>
      </c>
      <c r="L24" s="123">
        <v>1.0</v>
      </c>
      <c r="M24" s="123">
        <v>0.0</v>
      </c>
      <c r="N24" s="123">
        <v>1.0</v>
      </c>
      <c r="O24" s="123">
        <v>0.0</v>
      </c>
      <c r="P24" s="123">
        <v>0.0</v>
      </c>
      <c r="Q24" s="123">
        <v>0.0</v>
      </c>
      <c r="R24" s="123">
        <v>0.0</v>
      </c>
      <c r="S24" s="123">
        <v>0.0</v>
      </c>
      <c r="T24" s="124">
        <v>0.0</v>
      </c>
      <c r="U24" s="130"/>
      <c r="V24" s="128"/>
      <c r="W24" s="128"/>
    </row>
    <row r="25">
      <c r="A25" s="11" t="s">
        <v>16</v>
      </c>
      <c r="B25" s="12">
        <v>45101.0</v>
      </c>
      <c r="C25" s="59">
        <v>2.0</v>
      </c>
      <c r="D25" s="59">
        <v>0.5</v>
      </c>
      <c r="E25" s="59">
        <v>0.0</v>
      </c>
      <c r="F25" s="59">
        <v>1.0</v>
      </c>
      <c r="G25" s="59">
        <v>1.0</v>
      </c>
      <c r="H25" s="59">
        <v>1.0</v>
      </c>
      <c r="I25" s="59">
        <v>0.0</v>
      </c>
      <c r="J25" s="59">
        <v>1.0</v>
      </c>
      <c r="K25" s="59">
        <v>2.0</v>
      </c>
      <c r="L25" s="59">
        <v>2.0</v>
      </c>
      <c r="M25" s="59">
        <v>0.0</v>
      </c>
      <c r="N25" s="59">
        <v>1.0</v>
      </c>
      <c r="O25" s="59">
        <v>0.0</v>
      </c>
      <c r="P25" s="59">
        <v>0.0</v>
      </c>
      <c r="Q25" s="59">
        <v>1.0</v>
      </c>
      <c r="R25" s="59">
        <v>1.0</v>
      </c>
      <c r="S25" s="59">
        <v>1.0</v>
      </c>
      <c r="T25" s="120">
        <v>0.0</v>
      </c>
      <c r="U25" s="131"/>
      <c r="V25" s="128"/>
      <c r="W25" s="128"/>
    </row>
    <row r="26">
      <c r="A26" s="11" t="s">
        <v>19</v>
      </c>
      <c r="B26" s="12">
        <v>45102.0</v>
      </c>
      <c r="C26" s="59">
        <v>2.0</v>
      </c>
      <c r="D26" s="59">
        <v>1.0</v>
      </c>
      <c r="E26" s="59">
        <v>0.0</v>
      </c>
      <c r="F26" s="59">
        <v>1.0</v>
      </c>
      <c r="G26" s="59">
        <v>0.0</v>
      </c>
      <c r="H26" s="59">
        <v>1.0</v>
      </c>
      <c r="I26" s="59">
        <v>0.0</v>
      </c>
      <c r="J26" s="59">
        <v>1.0</v>
      </c>
      <c r="K26" s="59">
        <v>0.0</v>
      </c>
      <c r="L26" s="59">
        <v>2.0</v>
      </c>
      <c r="M26" s="59">
        <v>0.0</v>
      </c>
      <c r="N26" s="59">
        <v>1.0</v>
      </c>
      <c r="O26" s="59">
        <v>0.0</v>
      </c>
      <c r="P26" s="59">
        <v>0.0</v>
      </c>
      <c r="Q26" s="59">
        <v>1.0</v>
      </c>
      <c r="R26" s="59">
        <v>1.0</v>
      </c>
      <c r="S26" s="59">
        <v>0.0</v>
      </c>
      <c r="T26" s="120">
        <v>1.0</v>
      </c>
      <c r="U26" s="14"/>
      <c r="V26" s="128"/>
      <c r="W26" s="128"/>
    </row>
    <row r="27">
      <c r="A27" s="11" t="s">
        <v>20</v>
      </c>
      <c r="B27" s="12">
        <v>45103.0</v>
      </c>
      <c r="C27" s="59">
        <v>2.0</v>
      </c>
      <c r="D27" s="59">
        <v>1.25</v>
      </c>
      <c r="E27" s="59">
        <v>0.0</v>
      </c>
      <c r="F27" s="59">
        <v>1.25</v>
      </c>
      <c r="G27" s="59">
        <v>1.0</v>
      </c>
      <c r="H27" s="59">
        <v>1.25</v>
      </c>
      <c r="I27" s="59">
        <v>0.0</v>
      </c>
      <c r="J27" s="59">
        <v>0.0</v>
      </c>
      <c r="K27" s="59">
        <v>2.0</v>
      </c>
      <c r="L27" s="59">
        <v>2.0</v>
      </c>
      <c r="M27" s="59">
        <v>0.0</v>
      </c>
      <c r="N27" s="59">
        <v>1.0</v>
      </c>
      <c r="O27" s="59">
        <v>1.0</v>
      </c>
      <c r="P27" s="59">
        <v>0.0</v>
      </c>
      <c r="Q27" s="59">
        <v>1.0</v>
      </c>
      <c r="R27" s="59">
        <v>1.25</v>
      </c>
      <c r="S27" s="59">
        <v>0.0</v>
      </c>
      <c r="T27" s="120">
        <v>2.0</v>
      </c>
      <c r="U27" s="14"/>
      <c r="V27" s="128"/>
      <c r="W27" s="128"/>
    </row>
    <row r="28">
      <c r="A28" s="11" t="s">
        <v>22</v>
      </c>
      <c r="B28" s="12">
        <v>45104.0</v>
      </c>
      <c r="C28" s="59">
        <v>1.0</v>
      </c>
      <c r="D28" s="59">
        <v>1.0</v>
      </c>
      <c r="E28" s="59">
        <v>0.0</v>
      </c>
      <c r="F28" s="59">
        <v>1.0</v>
      </c>
      <c r="G28" s="59">
        <v>1.0</v>
      </c>
      <c r="H28" s="59">
        <v>1.0</v>
      </c>
      <c r="I28" s="59">
        <v>0.0</v>
      </c>
      <c r="J28" s="59">
        <v>0.0</v>
      </c>
      <c r="K28" s="59">
        <v>1.0</v>
      </c>
      <c r="L28" s="59">
        <v>1.0</v>
      </c>
      <c r="M28" s="59">
        <v>0.0</v>
      </c>
      <c r="N28" s="59">
        <v>1.0</v>
      </c>
      <c r="O28" s="59">
        <v>2.0</v>
      </c>
      <c r="P28" s="59">
        <v>0.0</v>
      </c>
      <c r="Q28" s="59">
        <v>1.0</v>
      </c>
      <c r="R28" s="59">
        <v>0.0</v>
      </c>
      <c r="S28" s="59">
        <v>0.0</v>
      </c>
      <c r="T28" s="120">
        <v>1.0</v>
      </c>
      <c r="U28" s="131"/>
      <c r="V28" s="128"/>
      <c r="W28" s="128"/>
    </row>
    <row r="29">
      <c r="A29" s="54" t="s">
        <v>23</v>
      </c>
      <c r="B29" s="55">
        <v>45105.0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34"/>
      <c r="V29" s="135"/>
      <c r="W29" s="135"/>
    </row>
    <row r="30">
      <c r="A30" s="54" t="s">
        <v>27</v>
      </c>
      <c r="B30" s="55">
        <v>45106.0</v>
      </c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57"/>
      <c r="V30" s="135"/>
      <c r="W30" s="135"/>
    </row>
    <row r="31">
      <c r="A31" s="54" t="s">
        <v>15</v>
      </c>
      <c r="B31" s="55">
        <v>45107.0</v>
      </c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57"/>
      <c r="V31" s="135"/>
      <c r="W31" s="135"/>
    </row>
    <row r="32">
      <c r="A32" s="11" t="s">
        <v>16</v>
      </c>
      <c r="B32" s="12">
        <v>45108.0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4"/>
      <c r="V32" s="128"/>
      <c r="W32" s="128"/>
    </row>
    <row r="33">
      <c r="A33" s="5"/>
      <c r="B33" s="5"/>
      <c r="C33" s="138">
        <f t="shared" ref="C33:T33" si="1">SUM(C2:C32)</f>
        <v>30.5</v>
      </c>
      <c r="D33" s="137">
        <f t="shared" si="1"/>
        <v>23.75</v>
      </c>
      <c r="E33" s="137">
        <f t="shared" si="1"/>
        <v>0</v>
      </c>
      <c r="F33" s="137">
        <f t="shared" si="1"/>
        <v>13.25</v>
      </c>
      <c r="G33" s="137">
        <f t="shared" si="1"/>
        <v>16</v>
      </c>
      <c r="H33" s="137">
        <f t="shared" si="1"/>
        <v>14.25</v>
      </c>
      <c r="I33" s="137">
        <f t="shared" si="1"/>
        <v>4.5</v>
      </c>
      <c r="J33" s="137">
        <f t="shared" si="1"/>
        <v>17.6</v>
      </c>
      <c r="K33" s="137">
        <f t="shared" si="1"/>
        <v>16.5</v>
      </c>
      <c r="L33" s="137">
        <f t="shared" si="1"/>
        <v>22</v>
      </c>
      <c r="M33" s="137">
        <f t="shared" si="1"/>
        <v>12</v>
      </c>
      <c r="N33" s="137">
        <f t="shared" si="1"/>
        <v>10</v>
      </c>
      <c r="O33" s="137">
        <f t="shared" si="1"/>
        <v>10</v>
      </c>
      <c r="P33" s="137">
        <f t="shared" si="1"/>
        <v>5.5</v>
      </c>
      <c r="Q33" s="137">
        <f t="shared" si="1"/>
        <v>18.5</v>
      </c>
      <c r="R33" s="137">
        <f t="shared" si="1"/>
        <v>7.25</v>
      </c>
      <c r="S33" s="137">
        <f t="shared" si="1"/>
        <v>3</v>
      </c>
      <c r="T33" s="137">
        <f t="shared" si="1"/>
        <v>20.5</v>
      </c>
      <c r="U33" s="14"/>
      <c r="V33" s="128"/>
      <c r="W33" s="128"/>
    </row>
    <row r="34">
      <c r="A34" s="5"/>
      <c r="B34" s="5"/>
      <c r="C34" s="139">
        <v>1223.0</v>
      </c>
      <c r="D34" s="140">
        <v>1297.0</v>
      </c>
      <c r="E34" s="140">
        <v>1223.0</v>
      </c>
      <c r="F34" s="140">
        <v>1037.0</v>
      </c>
      <c r="G34" s="140">
        <v>1223.0</v>
      </c>
      <c r="H34" s="140">
        <v>1000.0</v>
      </c>
      <c r="I34" s="140">
        <v>1000.0</v>
      </c>
      <c r="J34" s="140">
        <v>1000.0</v>
      </c>
      <c r="K34" s="140">
        <v>1037.0</v>
      </c>
      <c r="L34" s="140">
        <v>1037.0</v>
      </c>
      <c r="M34" s="140">
        <v>800.0</v>
      </c>
      <c r="N34" s="141">
        <v>1000.0</v>
      </c>
      <c r="O34" s="141">
        <v>1250.0</v>
      </c>
      <c r="P34" s="142">
        <v>1000.0</v>
      </c>
      <c r="Q34" s="141">
        <v>1000.0</v>
      </c>
      <c r="R34" s="142">
        <v>1300.0</v>
      </c>
      <c r="S34" s="141">
        <v>1000.0</v>
      </c>
      <c r="T34" s="141">
        <v>1200.0</v>
      </c>
      <c r="U34" s="17"/>
      <c r="V34" s="128"/>
      <c r="W34" s="128"/>
    </row>
    <row r="35">
      <c r="A35" s="5"/>
      <c r="B35" s="5"/>
      <c r="C35" s="143">
        <f>C33*C34</f>
        <v>37301.5</v>
      </c>
      <c r="D35" s="144">
        <f t="shared" ref="D35:Q35" si="2">D34*D33</f>
        <v>30803.75</v>
      </c>
      <c r="E35" s="144">
        <f t="shared" si="2"/>
        <v>0</v>
      </c>
      <c r="F35" s="144">
        <f t="shared" si="2"/>
        <v>13740.25</v>
      </c>
      <c r="G35" s="144">
        <f t="shared" si="2"/>
        <v>19568</v>
      </c>
      <c r="H35" s="144">
        <f t="shared" si="2"/>
        <v>14250</v>
      </c>
      <c r="I35" s="144">
        <f t="shared" si="2"/>
        <v>4500</v>
      </c>
      <c r="J35" s="144">
        <f t="shared" si="2"/>
        <v>17600</v>
      </c>
      <c r="K35" s="144">
        <f t="shared" si="2"/>
        <v>17110.5</v>
      </c>
      <c r="L35" s="144">
        <f t="shared" si="2"/>
        <v>22814</v>
      </c>
      <c r="M35" s="144">
        <f t="shared" si="2"/>
        <v>9600</v>
      </c>
      <c r="N35" s="145">
        <f t="shared" si="2"/>
        <v>10000</v>
      </c>
      <c r="O35" s="145">
        <f t="shared" si="2"/>
        <v>12500</v>
      </c>
      <c r="P35" s="145">
        <f t="shared" si="2"/>
        <v>5500</v>
      </c>
      <c r="Q35" s="145">
        <f t="shared" si="2"/>
        <v>18500</v>
      </c>
      <c r="R35" s="145">
        <f t="shared" ref="R35:T35" si="3">R33*R34</f>
        <v>9425</v>
      </c>
      <c r="S35" s="145">
        <f t="shared" si="3"/>
        <v>3000</v>
      </c>
      <c r="T35" s="145">
        <f t="shared" si="3"/>
        <v>24600</v>
      </c>
      <c r="U35" s="146">
        <f>SUM(D35:M35)</f>
        <v>149986.5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38"/>
    <col customWidth="1" min="10" max="10" width="27.13"/>
    <col customWidth="1" min="11" max="11" width="25.63"/>
    <col customWidth="1" min="12" max="12" width="27.13"/>
    <col customWidth="1" min="13" max="13" width="28.38"/>
    <col customWidth="1" min="14" max="14" width="65.38"/>
  </cols>
  <sheetData>
    <row r="10">
      <c r="I10" s="147"/>
      <c r="J10" s="148" t="s">
        <v>249</v>
      </c>
      <c r="K10" s="148" t="s">
        <v>4</v>
      </c>
      <c r="L10" s="148" t="s">
        <v>250</v>
      </c>
      <c r="M10" s="149" t="s">
        <v>251</v>
      </c>
    </row>
    <row r="11">
      <c r="I11" s="85">
        <v>1.0</v>
      </c>
      <c r="J11" s="38" t="s">
        <v>252</v>
      </c>
      <c r="K11" s="18">
        <v>30000.0</v>
      </c>
      <c r="L11" s="13">
        <v>30000.0</v>
      </c>
      <c r="M11" s="18">
        <f t="shared" ref="M11:M30" si="1">K11-L11</f>
        <v>0</v>
      </c>
      <c r="N11" s="150" t="s">
        <v>253</v>
      </c>
    </row>
    <row r="12">
      <c r="I12" s="85">
        <v>2.0</v>
      </c>
      <c r="J12" s="38" t="s">
        <v>254</v>
      </c>
      <c r="K12" s="18">
        <v>30000.0</v>
      </c>
      <c r="L12" s="13">
        <v>30000.0</v>
      </c>
      <c r="M12" s="18">
        <f t="shared" si="1"/>
        <v>0</v>
      </c>
      <c r="N12" s="150" t="s">
        <v>255</v>
      </c>
    </row>
    <row r="13">
      <c r="I13" s="85">
        <v>3.0</v>
      </c>
      <c r="J13" s="38" t="s">
        <v>256</v>
      </c>
      <c r="K13" s="18">
        <f>Pointage!C35*1</f>
        <v>37301.5</v>
      </c>
      <c r="L13" s="13">
        <v>5000.0</v>
      </c>
      <c r="M13" s="18">
        <f t="shared" si="1"/>
        <v>32301.5</v>
      </c>
      <c r="N13" s="118"/>
    </row>
    <row r="14">
      <c r="I14" s="85">
        <v>3.0</v>
      </c>
      <c r="J14" s="38" t="s">
        <v>230</v>
      </c>
      <c r="K14" s="18">
        <f>Pointage!D35*1</f>
        <v>30803.75</v>
      </c>
      <c r="L14" s="18"/>
      <c r="M14" s="18">
        <f t="shared" si="1"/>
        <v>30803.75</v>
      </c>
      <c r="N14" s="118"/>
    </row>
    <row r="15">
      <c r="I15" s="85">
        <v>4.0</v>
      </c>
      <c r="J15" s="38" t="s">
        <v>231</v>
      </c>
      <c r="K15" s="18">
        <f>Pointage!E35*1</f>
        <v>0</v>
      </c>
      <c r="L15" s="18"/>
      <c r="M15" s="18">
        <f t="shared" si="1"/>
        <v>0</v>
      </c>
      <c r="N15" s="118"/>
    </row>
    <row r="16">
      <c r="I16" s="85">
        <v>5.0</v>
      </c>
      <c r="J16" s="38" t="s">
        <v>232</v>
      </c>
      <c r="K16" s="18">
        <f>Pointage!F35*1</f>
        <v>13740.25</v>
      </c>
      <c r="L16" s="18"/>
      <c r="M16" s="18">
        <f t="shared" si="1"/>
        <v>13740.25</v>
      </c>
      <c r="N16" s="118"/>
    </row>
    <row r="17">
      <c r="I17" s="85">
        <v>6.0</v>
      </c>
      <c r="J17" s="38" t="s">
        <v>233</v>
      </c>
      <c r="K17" s="18">
        <f>Pointage!G35*1</f>
        <v>19568</v>
      </c>
      <c r="L17" s="13">
        <v>10000.0</v>
      </c>
      <c r="M17" s="18">
        <f t="shared" si="1"/>
        <v>9568</v>
      </c>
      <c r="N17" s="150" t="s">
        <v>257</v>
      </c>
    </row>
    <row r="18">
      <c r="I18" s="85">
        <v>7.0</v>
      </c>
      <c r="J18" s="49" t="s">
        <v>234</v>
      </c>
      <c r="K18" s="18">
        <f>Pointage!H35*1</f>
        <v>14250</v>
      </c>
      <c r="L18" s="13">
        <v>1000.0</v>
      </c>
      <c r="M18" s="18">
        <f t="shared" si="1"/>
        <v>13250</v>
      </c>
      <c r="N18" s="118"/>
    </row>
    <row r="19">
      <c r="I19" s="85">
        <v>8.0</v>
      </c>
      <c r="J19" s="38" t="s">
        <v>258</v>
      </c>
      <c r="K19" s="18">
        <f>Pointage!I35*1</f>
        <v>4500</v>
      </c>
      <c r="L19" s="18"/>
      <c r="M19" s="18">
        <f t="shared" si="1"/>
        <v>4500</v>
      </c>
      <c r="N19" s="118"/>
    </row>
    <row r="20">
      <c r="I20" s="85">
        <v>9.0</v>
      </c>
      <c r="J20" s="38" t="s">
        <v>259</v>
      </c>
      <c r="K20" s="18">
        <f>Pointage!J35*1</f>
        <v>17600</v>
      </c>
      <c r="L20" s="18"/>
      <c r="M20" s="18">
        <f t="shared" si="1"/>
        <v>17600</v>
      </c>
      <c r="N20" s="118"/>
    </row>
    <row r="21">
      <c r="I21" s="85">
        <v>10.0</v>
      </c>
      <c r="J21" s="38" t="s">
        <v>237</v>
      </c>
      <c r="K21" s="18">
        <f>Pointage!K35*1</f>
        <v>17110.5</v>
      </c>
      <c r="L21" s="13">
        <v>4000.0</v>
      </c>
      <c r="M21" s="18">
        <f t="shared" si="1"/>
        <v>13110.5</v>
      </c>
      <c r="N21" s="118"/>
    </row>
    <row r="22">
      <c r="I22" s="85">
        <v>11.0</v>
      </c>
      <c r="J22" s="38" t="s">
        <v>260</v>
      </c>
      <c r="K22" s="18">
        <f>Pointage!L35*1</f>
        <v>22814</v>
      </c>
      <c r="L22" s="18"/>
      <c r="M22" s="18">
        <f t="shared" si="1"/>
        <v>22814</v>
      </c>
      <c r="N22" s="118"/>
    </row>
    <row r="23">
      <c r="I23" s="85">
        <v>12.0</v>
      </c>
      <c r="J23" s="38" t="s">
        <v>239</v>
      </c>
      <c r="K23" s="18">
        <f>Pointage!M35*1</f>
        <v>9600</v>
      </c>
      <c r="L23" s="18"/>
      <c r="M23" s="18">
        <f t="shared" si="1"/>
        <v>9600</v>
      </c>
      <c r="N23" s="118"/>
    </row>
    <row r="24">
      <c r="I24" s="85">
        <v>13.0</v>
      </c>
      <c r="J24" s="49" t="s">
        <v>261</v>
      </c>
      <c r="K24" s="18">
        <f>Pointage!N35*1</f>
        <v>10000</v>
      </c>
      <c r="L24" s="18"/>
      <c r="M24" s="18">
        <f t="shared" si="1"/>
        <v>10000</v>
      </c>
      <c r="N24" s="118"/>
    </row>
    <row r="25">
      <c r="I25" s="85">
        <v>14.0</v>
      </c>
      <c r="J25" s="38" t="s">
        <v>241</v>
      </c>
      <c r="K25" s="18">
        <f>Pointage!O35*1</f>
        <v>12500</v>
      </c>
      <c r="L25" s="13">
        <v>12500.0</v>
      </c>
      <c r="M25" s="18">
        <f t="shared" si="1"/>
        <v>0</v>
      </c>
      <c r="N25" s="118"/>
    </row>
    <row r="26">
      <c r="I26" s="87">
        <v>15.0</v>
      </c>
      <c r="J26" s="49" t="s">
        <v>242</v>
      </c>
      <c r="K26" s="18">
        <f>Pointage!P35*1</f>
        <v>5500</v>
      </c>
      <c r="L26" s="13">
        <v>5500.0</v>
      </c>
      <c r="M26" s="18">
        <f t="shared" si="1"/>
        <v>0</v>
      </c>
      <c r="N26" s="118"/>
    </row>
    <row r="27">
      <c r="I27" s="87">
        <v>16.0</v>
      </c>
      <c r="J27" s="38" t="s">
        <v>243</v>
      </c>
      <c r="K27" s="18">
        <f>Pointage!Q35*1</f>
        <v>18500</v>
      </c>
      <c r="L27" s="18"/>
      <c r="M27" s="18">
        <f t="shared" si="1"/>
        <v>18500</v>
      </c>
      <c r="N27" s="118"/>
    </row>
    <row r="28">
      <c r="I28" s="87">
        <v>17.0</v>
      </c>
      <c r="J28" s="49" t="s">
        <v>244</v>
      </c>
      <c r="K28" s="18">
        <f>Pointage!R35*1</f>
        <v>9425</v>
      </c>
      <c r="L28" s="13"/>
      <c r="M28" s="18">
        <f t="shared" si="1"/>
        <v>9425</v>
      </c>
      <c r="N28" s="118"/>
    </row>
    <row r="29">
      <c r="I29" s="87">
        <v>18.0</v>
      </c>
      <c r="J29" s="38" t="s">
        <v>245</v>
      </c>
      <c r="K29" s="18">
        <f>Pointage!S35*1</f>
        <v>3000</v>
      </c>
      <c r="L29" s="13">
        <v>3000.0</v>
      </c>
      <c r="M29" s="18">
        <f t="shared" si="1"/>
        <v>0</v>
      </c>
      <c r="N29" s="118"/>
    </row>
    <row r="30">
      <c r="I30" s="87">
        <v>19.0</v>
      </c>
      <c r="J30" s="38" t="s">
        <v>246</v>
      </c>
      <c r="K30" s="18">
        <f>Pointage!T35*1</f>
        <v>24600</v>
      </c>
      <c r="L30" s="13">
        <v>20400.0</v>
      </c>
      <c r="M30" s="18">
        <f t="shared" si="1"/>
        <v>4200</v>
      </c>
      <c r="N30" s="150" t="s">
        <v>262</v>
      </c>
      <c r="O30" s="88">
        <v>600.0</v>
      </c>
    </row>
    <row r="31">
      <c r="I31" s="114"/>
      <c r="J31" s="29" t="s">
        <v>263</v>
      </c>
      <c r="K31" s="31">
        <f t="shared" ref="K31:M31" si="2">SUM(K11:K30)</f>
        <v>330813</v>
      </c>
      <c r="L31" s="151">
        <f t="shared" si="2"/>
        <v>121400</v>
      </c>
      <c r="M31" s="152">
        <f t="shared" si="2"/>
        <v>209413</v>
      </c>
      <c r="N31" s="118"/>
    </row>
    <row r="32">
      <c r="I32" s="114"/>
      <c r="J32" s="153">
        <f>K31-L31</f>
        <v>209413</v>
      </c>
      <c r="K32" s="1"/>
      <c r="L32" s="1"/>
      <c r="M32" s="30">
        <f>K32-L32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13"/>
    <col customWidth="1" min="3" max="3" width="28.38"/>
    <col customWidth="1" min="4" max="4" width="28.63"/>
    <col customWidth="1" min="5" max="5" width="24.38"/>
    <col customWidth="1" min="6" max="6" width="24.13"/>
    <col customWidth="1" min="7" max="7" width="24.88"/>
    <col customWidth="1" min="8" max="8" width="27.38"/>
    <col customWidth="1" min="9" max="9" width="22.63"/>
    <col customWidth="1" min="11" max="12" width="25.13"/>
    <col customWidth="1" min="13" max="13" width="42.38"/>
    <col customWidth="1" min="14" max="14" width="51.63"/>
    <col customWidth="1" min="15" max="15" width="65.88"/>
  </cols>
  <sheetData>
    <row r="11">
      <c r="D11" s="154"/>
      <c r="E11" s="155" t="s">
        <v>264</v>
      </c>
      <c r="F11" s="155" t="s">
        <v>265</v>
      </c>
      <c r="G11" s="155" t="s">
        <v>266</v>
      </c>
      <c r="H11" s="155" t="s">
        <v>267</v>
      </c>
      <c r="I11" s="156" t="s">
        <v>268</v>
      </c>
    </row>
    <row r="12">
      <c r="D12" s="157" t="s">
        <v>2</v>
      </c>
      <c r="E12" s="31">
        <v>1400000.0</v>
      </c>
      <c r="F12" s="31">
        <v>1928000.0</v>
      </c>
      <c r="G12" s="31">
        <v>1488000.0</v>
      </c>
      <c r="H12" s="52">
        <v>1540000.0</v>
      </c>
      <c r="I12" s="158">
        <v>1577000.0</v>
      </c>
    </row>
    <row r="13">
      <c r="D13" s="157" t="s">
        <v>3</v>
      </c>
      <c r="E13" s="31">
        <v>597000.0</v>
      </c>
      <c r="F13" s="31">
        <v>938000.0</v>
      </c>
      <c r="G13" s="31">
        <v>670000.0</v>
      </c>
      <c r="H13" s="52">
        <v>753000.0</v>
      </c>
      <c r="I13" s="158">
        <v>716000.0</v>
      </c>
    </row>
    <row r="14">
      <c r="D14" s="157" t="s">
        <v>269</v>
      </c>
      <c r="E14" s="31">
        <v>413000.0</v>
      </c>
      <c r="F14" s="31">
        <v>360000.0</v>
      </c>
      <c r="G14" s="31">
        <v>335000.0</v>
      </c>
      <c r="H14" s="52">
        <v>347000.0</v>
      </c>
      <c r="I14" s="158">
        <v>331000.0</v>
      </c>
    </row>
    <row r="15">
      <c r="D15" s="157" t="s">
        <v>5</v>
      </c>
      <c r="E15" s="31">
        <v>110000.0</v>
      </c>
      <c r="F15" s="31">
        <v>110000.0</v>
      </c>
      <c r="G15" s="31">
        <v>110000.0</v>
      </c>
      <c r="H15" s="31">
        <v>110000.0</v>
      </c>
      <c r="I15" s="158">
        <v>110000.0</v>
      </c>
    </row>
    <row r="16">
      <c r="D16" s="157" t="s">
        <v>270</v>
      </c>
      <c r="E16" s="31">
        <v>280000.0</v>
      </c>
      <c r="F16" s="31">
        <v>520000.0</v>
      </c>
      <c r="G16" s="31">
        <v>370000.0</v>
      </c>
      <c r="H16" s="31">
        <f t="shared" ref="H16:I16" si="1">H12-H13-H14-H15</f>
        <v>330000</v>
      </c>
      <c r="I16" s="159">
        <f t="shared" si="1"/>
        <v>420000</v>
      </c>
    </row>
    <row r="17">
      <c r="D17" s="5"/>
      <c r="E17" s="5"/>
      <c r="F17" s="5"/>
      <c r="G17" s="5"/>
      <c r="H17" s="5"/>
    </row>
  </sheetData>
  <drawing r:id="rId1"/>
</worksheet>
</file>