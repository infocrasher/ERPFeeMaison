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<sst xmlns="http://schemas.openxmlformats.org/spreadsheetml/2006/main" count="492" uniqueCount="302">
  <si>
    <t>Date</t>
  </si>
  <si>
    <t>Recette  de Decembre</t>
  </si>
  <si>
    <t xml:space="preserve">Recette </t>
  </si>
  <si>
    <t>Charges</t>
  </si>
  <si>
    <t>Salaire</t>
  </si>
  <si>
    <t>Loyer</t>
  </si>
  <si>
    <t>Net Profit</t>
  </si>
  <si>
    <t>Nb de jours</t>
  </si>
  <si>
    <t>Decembre</t>
  </si>
  <si>
    <t>Vendredi</t>
  </si>
  <si>
    <t xml:space="preserve">Moyenne </t>
  </si>
  <si>
    <t>Samedi</t>
  </si>
  <si>
    <t>Dimanche</t>
  </si>
  <si>
    <t>Lundi</t>
  </si>
  <si>
    <t>Mardi</t>
  </si>
  <si>
    <t>Mercredi</t>
  </si>
  <si>
    <t>Jeudi</t>
  </si>
  <si>
    <t xml:space="preserve">Cash restant </t>
  </si>
  <si>
    <t>Magasin</t>
  </si>
  <si>
    <t>Différence mois de Decembre</t>
  </si>
  <si>
    <t>Sofiane</t>
  </si>
  <si>
    <t>TOTAL</t>
  </si>
  <si>
    <t>TAUX</t>
  </si>
  <si>
    <t>Objectif</t>
  </si>
  <si>
    <t xml:space="preserve">Mois de Décembre </t>
  </si>
  <si>
    <t>Produit</t>
  </si>
  <si>
    <t>Quantité</t>
  </si>
  <si>
    <t>Prix</t>
  </si>
  <si>
    <t>Date d'achat</t>
  </si>
  <si>
    <t>chocolat dada 1kg</t>
  </si>
  <si>
    <t>1 boite vanille de 3kg</t>
  </si>
  <si>
    <t>goblet de sorbet</t>
  </si>
  <si>
    <t>sachet en papier 23</t>
  </si>
  <si>
    <t>sacs de 5kg</t>
  </si>
  <si>
    <t>1 Tofia</t>
  </si>
  <si>
    <t>raisins secs</t>
  </si>
  <si>
    <t>arachides éfilés</t>
  </si>
  <si>
    <t>500g</t>
  </si>
  <si>
    <t>Farine Mama</t>
  </si>
  <si>
    <t>4 fardeaux</t>
  </si>
  <si>
    <t>semen Madina</t>
  </si>
  <si>
    <t>miel 5kg</t>
  </si>
  <si>
    <t>sel</t>
  </si>
  <si>
    <t>1 fardeau</t>
  </si>
  <si>
    <t>paprika</t>
  </si>
  <si>
    <t>2kg</t>
  </si>
  <si>
    <t>coca petit</t>
  </si>
  <si>
    <t>2 fardeaux</t>
  </si>
  <si>
    <t>eau petit</t>
  </si>
  <si>
    <t>3 fardeaux</t>
  </si>
  <si>
    <t>eau grand</t>
  </si>
  <si>
    <t>5 fardeaux</t>
  </si>
  <si>
    <t>rouiba jus</t>
  </si>
  <si>
    <t>hamoud 33ml</t>
  </si>
  <si>
    <t>coca canette</t>
  </si>
  <si>
    <t>Margarine Mani 500g</t>
  </si>
  <si>
    <t>2 cartons de 24</t>
  </si>
  <si>
    <t>miel Mordjan</t>
  </si>
  <si>
    <t>Semoule fine Mama 2kg</t>
  </si>
  <si>
    <t>10 fardeaux</t>
  </si>
  <si>
    <t>Tomate CAB</t>
  </si>
  <si>
    <t>2 cartons de 12kg</t>
  </si>
  <si>
    <t>fromage spécial pizza</t>
  </si>
  <si>
    <t>14kg</t>
  </si>
  <si>
    <t>levure de bierre</t>
  </si>
  <si>
    <t>1 carton de 20 de 500g</t>
  </si>
  <si>
    <t>semoule fine Sim 10kg</t>
  </si>
  <si>
    <t>15 sachets</t>
  </si>
  <si>
    <t>harrissa CAB</t>
  </si>
  <si>
    <t>1 carton de 12kg</t>
  </si>
  <si>
    <t>Semen Madina 1,8kg</t>
  </si>
  <si>
    <t>sacs poubelle</t>
  </si>
  <si>
    <t>sachts transparets</t>
  </si>
  <si>
    <t>Semoule de blé  complet</t>
  </si>
  <si>
    <t>100kg</t>
  </si>
  <si>
    <t>support</t>
  </si>
  <si>
    <t>poulet hachée</t>
  </si>
  <si>
    <t>3kg</t>
  </si>
  <si>
    <t>épices</t>
  </si>
  <si>
    <t>assièttes</t>
  </si>
  <si>
    <t>huile</t>
  </si>
  <si>
    <t>chocolat blanc</t>
  </si>
  <si>
    <t>1.5kg</t>
  </si>
  <si>
    <t>baghrir</t>
  </si>
  <si>
    <t>10 jours</t>
  </si>
  <si>
    <t>thon</t>
  </si>
  <si>
    <t>160g</t>
  </si>
  <si>
    <t>Action lave glace</t>
  </si>
  <si>
    <t>bon de livraison</t>
  </si>
  <si>
    <t>2 chaiers 200p,300p</t>
  </si>
  <si>
    <t>Stylos</t>
  </si>
  <si>
    <t>tomate fraiche</t>
  </si>
  <si>
    <t>15kg</t>
  </si>
  <si>
    <t xml:space="preserve">gherss </t>
  </si>
  <si>
    <t>20kg</t>
  </si>
  <si>
    <t>rechta+poulet+deyoul</t>
  </si>
  <si>
    <t>10kg+1</t>
  </si>
  <si>
    <t>20 bidons</t>
  </si>
  <si>
    <t>soudeur</t>
  </si>
  <si>
    <t>boites 1185</t>
  </si>
  <si>
    <t>Chocolat au lait</t>
  </si>
  <si>
    <t>2.5kg</t>
  </si>
  <si>
    <t>Tofia caramel</t>
  </si>
  <si>
    <t>déco</t>
  </si>
  <si>
    <t>100g</t>
  </si>
  <si>
    <t>Semoule Mama 2kg</t>
  </si>
  <si>
    <t>50 fardeaux de 12kg</t>
  </si>
  <si>
    <t>serviette en papier</t>
  </si>
  <si>
    <t>Sanoudj</t>
  </si>
  <si>
    <t>1kg</t>
  </si>
  <si>
    <t>crème fraiche</t>
  </si>
  <si>
    <t>300g</t>
  </si>
  <si>
    <t>cacao</t>
  </si>
  <si>
    <t>/</t>
  </si>
  <si>
    <t>pics kojak</t>
  </si>
  <si>
    <t>2 boites de100</t>
  </si>
  <si>
    <t>Boites 36/10</t>
  </si>
  <si>
    <t>2 cartons</t>
  </si>
  <si>
    <t>Boites 36/07</t>
  </si>
  <si>
    <t>Boites 08/07</t>
  </si>
  <si>
    <t>2cartons</t>
  </si>
  <si>
    <t>eau d'orangier</t>
  </si>
  <si>
    <t>1 carton de 12</t>
  </si>
  <si>
    <t>lait en poudre</t>
  </si>
  <si>
    <t>sucre</t>
  </si>
  <si>
    <t>10kg</t>
  </si>
  <si>
    <t>Confiture</t>
  </si>
  <si>
    <t>Semoule moyenne Sim 2kg</t>
  </si>
  <si>
    <t>levureNouara</t>
  </si>
  <si>
    <t>7abet 7alawa</t>
  </si>
  <si>
    <t>isis</t>
  </si>
  <si>
    <t>poulet cuisses et blanc</t>
  </si>
  <si>
    <t>pois chich</t>
  </si>
  <si>
    <t xml:space="preserve">boites </t>
  </si>
  <si>
    <t>teliteli</t>
  </si>
  <si>
    <t>vinaigre</t>
  </si>
  <si>
    <t>oeufs</t>
  </si>
  <si>
    <t>1 plateau</t>
  </si>
  <si>
    <t>cuisses</t>
  </si>
  <si>
    <t xml:space="preserve">rechta </t>
  </si>
  <si>
    <t>17kg</t>
  </si>
  <si>
    <t>fromage gouda</t>
  </si>
  <si>
    <t>ouefs</t>
  </si>
  <si>
    <t xml:space="preserve">blanc de poulet </t>
  </si>
  <si>
    <t>mais</t>
  </si>
  <si>
    <t>herebes</t>
  </si>
  <si>
    <t>papier roulou</t>
  </si>
  <si>
    <t>amandes</t>
  </si>
  <si>
    <t>700g</t>
  </si>
  <si>
    <t>transport zehor</t>
  </si>
  <si>
    <t>bessel+courgette+carrotes</t>
  </si>
  <si>
    <t>145kg+2kg+1kg</t>
  </si>
  <si>
    <t>livraison</t>
  </si>
  <si>
    <t>pois chiche</t>
  </si>
  <si>
    <t>1sachet</t>
  </si>
  <si>
    <t>bessel+courgette+hamissa</t>
  </si>
  <si>
    <t>poivre</t>
  </si>
  <si>
    <t>tomate</t>
  </si>
  <si>
    <t>4.5kg</t>
  </si>
  <si>
    <t>ail</t>
  </si>
  <si>
    <t xml:space="preserve">poulet </t>
  </si>
  <si>
    <t>dowara+ gharnoug</t>
  </si>
  <si>
    <t>rehceta</t>
  </si>
  <si>
    <t>leben</t>
  </si>
  <si>
    <t>3 litres</t>
  </si>
  <si>
    <t>viande hachée</t>
  </si>
  <si>
    <t>250g</t>
  </si>
  <si>
    <t xml:space="preserve">olive éfilet </t>
  </si>
  <si>
    <t>riz</t>
  </si>
  <si>
    <t>persil thym</t>
  </si>
  <si>
    <t>hamissa</t>
  </si>
  <si>
    <t>grande boites</t>
  </si>
  <si>
    <t>barquettes1185</t>
  </si>
  <si>
    <t>1litre</t>
  </si>
  <si>
    <t>courgette</t>
  </si>
  <si>
    <t>1.2kg</t>
  </si>
  <si>
    <t>rechta</t>
  </si>
  <si>
    <t>navet</t>
  </si>
  <si>
    <t>transport   marchandises</t>
  </si>
  <si>
    <t>2 boites de 500g</t>
  </si>
  <si>
    <t>herbes</t>
  </si>
  <si>
    <t>petit pois</t>
  </si>
  <si>
    <t>eau de javel</t>
  </si>
  <si>
    <t>5litres</t>
  </si>
  <si>
    <t>barquetes 1185/1160</t>
  </si>
  <si>
    <t>2 plateaux</t>
  </si>
  <si>
    <t xml:space="preserve">légumes </t>
  </si>
  <si>
    <t>3akeri</t>
  </si>
  <si>
    <t>thon , mais yaourt</t>
  </si>
  <si>
    <t>1.350kg</t>
  </si>
  <si>
    <t>Hamissa</t>
  </si>
  <si>
    <t>2.2kg</t>
  </si>
  <si>
    <t xml:space="preserve">sachets </t>
  </si>
  <si>
    <t>passe+soudeur</t>
  </si>
  <si>
    <t>40kg</t>
  </si>
  <si>
    <t>barquettes 1185</t>
  </si>
  <si>
    <t>storm</t>
  </si>
  <si>
    <t>1 mois</t>
  </si>
  <si>
    <t>Rechta</t>
  </si>
  <si>
    <t xml:space="preserve">Transport </t>
  </si>
  <si>
    <t>récipient</t>
  </si>
  <si>
    <t>coriandre+menth+poivre</t>
  </si>
  <si>
    <t>7+3+1kg</t>
  </si>
  <si>
    <t>gheribya</t>
  </si>
  <si>
    <t>.9/01/2020</t>
  </si>
  <si>
    <t xml:space="preserve">ka3ek enna9ach </t>
  </si>
  <si>
    <t xml:space="preserve">fromage </t>
  </si>
  <si>
    <t>courgette+navet+olive</t>
  </si>
  <si>
    <t xml:space="preserve">plat pizza+ récipient </t>
  </si>
  <si>
    <t>5+3</t>
  </si>
  <si>
    <t>détergents</t>
  </si>
  <si>
    <t>scotch</t>
  </si>
  <si>
    <t>choco dada blanc</t>
  </si>
  <si>
    <t xml:space="preserve">1.5kg chocola </t>
  </si>
  <si>
    <t>3okach+smartises</t>
  </si>
  <si>
    <t xml:space="preserve">amandes </t>
  </si>
  <si>
    <t>recheta 30kg</t>
  </si>
  <si>
    <t>30kg</t>
  </si>
  <si>
    <t xml:space="preserve">transport </t>
  </si>
  <si>
    <t>50kg</t>
  </si>
  <si>
    <t>poulet</t>
  </si>
  <si>
    <t>olive+mais+yaourt nature+oeuf+fromage</t>
  </si>
  <si>
    <t>Facture d'eau</t>
  </si>
  <si>
    <t>3 mois</t>
  </si>
  <si>
    <t>transport</t>
  </si>
  <si>
    <t xml:space="preserve">viande  </t>
  </si>
  <si>
    <t>6 mocreaux</t>
  </si>
  <si>
    <t>les plateaux</t>
  </si>
  <si>
    <t>moules silicon</t>
  </si>
  <si>
    <t>boites 48/10 36/10 36/7</t>
  </si>
  <si>
    <t>huiles</t>
  </si>
  <si>
    <t>24 de 500g</t>
  </si>
  <si>
    <t>12kg</t>
  </si>
  <si>
    <t>maa ezhar</t>
  </si>
  <si>
    <t>nouara</t>
  </si>
  <si>
    <t>fleuriel</t>
  </si>
  <si>
    <t>cawecaw éffiler</t>
  </si>
  <si>
    <t>djeldjelan</t>
  </si>
  <si>
    <t>noix de coco</t>
  </si>
  <si>
    <t>fromage</t>
  </si>
  <si>
    <t>13kg</t>
  </si>
  <si>
    <t>maizina</t>
  </si>
  <si>
    <t>deyoul</t>
  </si>
  <si>
    <t xml:space="preserve">mais, olive épices </t>
  </si>
  <si>
    <t>113/01/2021</t>
  </si>
  <si>
    <t>chocolat</t>
  </si>
  <si>
    <t>5kg</t>
  </si>
  <si>
    <t>papier aluminium+sachet</t>
  </si>
  <si>
    <t>flexy djezzy</t>
  </si>
  <si>
    <t>30jours</t>
  </si>
  <si>
    <t>Transport</t>
  </si>
  <si>
    <t>sachets en papier 23</t>
  </si>
  <si>
    <t>peinture+scoch+pinceau</t>
  </si>
  <si>
    <t xml:space="preserve">Société d'entretien </t>
  </si>
  <si>
    <t>4 kg</t>
  </si>
  <si>
    <t>boites 48/10 36/10 36/7+sachet23-06</t>
  </si>
  <si>
    <t>viande</t>
  </si>
  <si>
    <t>tomate+poivre</t>
  </si>
  <si>
    <t>éléctricien</t>
  </si>
  <si>
    <t>les herbes</t>
  </si>
  <si>
    <t>moteur du rideau</t>
  </si>
  <si>
    <t>les épices</t>
  </si>
  <si>
    <t xml:space="preserve">paniers </t>
  </si>
  <si>
    <t>bourak</t>
  </si>
  <si>
    <t xml:space="preserve">élément </t>
  </si>
  <si>
    <t>bateur</t>
  </si>
  <si>
    <t>semoule 25kg</t>
  </si>
  <si>
    <t>8 sachets</t>
  </si>
  <si>
    <t>portable</t>
  </si>
  <si>
    <t>boissons</t>
  </si>
  <si>
    <t>Boite du rideau</t>
  </si>
  <si>
    <t>rouloux+ clock</t>
  </si>
  <si>
    <t>3+1</t>
  </si>
  <si>
    <t>Total</t>
  </si>
  <si>
    <t>3akeri , poivre, zandjabil , kosseber</t>
  </si>
  <si>
    <t>22kg</t>
  </si>
  <si>
    <t>deyoul+fromage</t>
  </si>
  <si>
    <t>farine+semoule sans gluten</t>
  </si>
  <si>
    <t xml:space="preserve">cuisses </t>
  </si>
  <si>
    <t>Tomate fraiche</t>
  </si>
  <si>
    <t xml:space="preserve">les quissetes </t>
  </si>
  <si>
    <t>lentille</t>
  </si>
  <si>
    <t xml:space="preserve">plat </t>
  </si>
  <si>
    <t xml:space="preserve">deyoul  </t>
  </si>
  <si>
    <t>TOTALE</t>
  </si>
  <si>
    <t xml:space="preserve">Somme initiale </t>
  </si>
  <si>
    <t>Rest</t>
  </si>
  <si>
    <t>Zehor</t>
  </si>
  <si>
    <t>Zoubida</t>
  </si>
  <si>
    <t xml:space="preserve">Nadjet </t>
  </si>
  <si>
    <t>Hadjer</t>
  </si>
  <si>
    <t>Amel</t>
  </si>
  <si>
    <t>Soumia</t>
  </si>
  <si>
    <t>Karima</t>
  </si>
  <si>
    <t>Nouara</t>
  </si>
  <si>
    <t>Zahida</t>
  </si>
  <si>
    <t>Remarque</t>
  </si>
  <si>
    <t xml:space="preserve">Nom </t>
  </si>
  <si>
    <t>Avance</t>
  </si>
  <si>
    <t>Nowara</t>
  </si>
  <si>
    <t>karima</t>
  </si>
  <si>
    <t>Nadjet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</si>
</sst>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/>
    <font>
      <b/>
      <color theme="1"/>
      <name val="Arial"/>
    </font>
    <font>
      <b/>
      <sz val="18.0"/>
      <color theme="1"/>
      <name val="Arial"/>
    </font>
    <font>
      <sz val="14.0"/>
      <color theme="1"/>
      <name val="Arial"/>
    </font>
    <font>
      <b/>
      <sz val="18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000000"/>
      <name val="Arial"/>
    </font>
    <font>
      <sz val="12.0"/>
      <color rgb="FF00FF00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3" numFmtId="164" xfId="0" applyAlignment="1" applyBorder="1" applyFill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6" fontId="3" numFmtId="165" xfId="0" applyAlignment="1" applyFill="1" applyFont="1" applyNumberFormat="1">
      <alignment horizontal="center" vertical="bottom"/>
    </xf>
    <xf borderId="0" fillId="7" fontId="4" numFmtId="0" xfId="0" applyAlignment="1" applyFill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0" fontId="5" numFmtId="165" xfId="0" applyAlignment="1" applyFont="1" applyNumberFormat="1">
      <alignment readingOrder="0"/>
    </xf>
    <xf borderId="0" fillId="4" fontId="4" numFmtId="165" xfId="0" applyAlignment="1" applyFont="1" applyNumberFormat="1">
      <alignment horizontal="center" readingOrder="0" vertical="bottom"/>
    </xf>
    <xf borderId="0" fillId="0" fontId="6" numFmtId="165" xfId="0" applyAlignment="1" applyFont="1" applyNumberFormat="1">
      <alignment readingOrder="0"/>
    </xf>
    <xf borderId="0" fillId="5" fontId="5" numFmtId="165" xfId="0" applyFont="1" applyNumberFormat="1"/>
    <xf borderId="2" fillId="6" fontId="3" numFmtId="165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6" fontId="7" numFmtId="0" xfId="0" applyAlignment="1" applyBorder="1" applyFont="1">
      <alignment horizontal="center" readingOrder="0" vertical="bottom"/>
    </xf>
    <xf borderId="1" fillId="4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8" numFmtId="165" xfId="0" applyAlignment="1" applyFont="1" applyNumberFormat="1">
      <alignment readingOrder="0" vertical="bottom"/>
    </xf>
    <xf borderId="0" fillId="5" fontId="7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5" fontId="3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1" fillId="5" fontId="2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5" fontId="1" numFmtId="164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1" fillId="7" fontId="3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4" fillId="0" fontId="9" numFmtId="0" xfId="0" applyBorder="1" applyFont="1"/>
    <xf borderId="1" fillId="5" fontId="1" numFmtId="9" xfId="0" applyAlignment="1" applyBorder="1" applyFont="1" applyNumberFormat="1">
      <alignment vertical="bottom"/>
    </xf>
    <xf borderId="1" fillId="11" fontId="10" numFmtId="9" xfId="0" applyAlignment="1" applyBorder="1" applyFill="1" applyFont="1" applyNumberFormat="1">
      <alignment horizontal="center" vertical="bottom"/>
    </xf>
    <xf borderId="1" fillId="12" fontId="10" numFmtId="10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readingOrder="0"/>
    </xf>
    <xf borderId="1" fillId="4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1" fillId="0" fontId="12" numFmtId="165" xfId="0" applyAlignment="1" applyBorder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 vertical="bottom"/>
    </xf>
    <xf borderId="1" fillId="0" fontId="12" numFmtId="166" xfId="0" applyAlignment="1" applyBorder="1" applyFont="1" applyNumberForma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6" fontId="12" numFmtId="165" xfId="0" applyAlignment="1" applyBorder="1" applyFont="1" applyNumberFormat="1">
      <alignment horizontal="center" readingOrder="0" vertical="bottom"/>
    </xf>
    <xf borderId="1" fillId="6" fontId="12" numFmtId="164" xfId="0" applyAlignment="1" applyBorder="1" applyFont="1" applyNumberFormat="1">
      <alignment horizontal="center" readingOrder="0" vertical="bottom"/>
    </xf>
    <xf borderId="2" fillId="0" fontId="13" numFmtId="0" xfId="0" applyAlignment="1" applyBorder="1" applyFont="1">
      <alignment horizontal="center" readingOrder="0"/>
    </xf>
    <xf borderId="5" fillId="0" fontId="9" numFmtId="0" xfId="0" applyBorder="1" applyFont="1"/>
    <xf borderId="1" fillId="5" fontId="12" numFmtId="0" xfId="0" applyAlignment="1" applyBorder="1" applyFont="1">
      <alignment horizontal="center" readingOrder="0" vertical="bottom"/>
    </xf>
    <xf borderId="1" fillId="5" fontId="12" numFmtId="165" xfId="0" applyAlignment="1" applyBorder="1" applyFont="1" applyNumberFormat="1">
      <alignment horizontal="center" readingOrder="0" vertical="bottom"/>
    </xf>
    <xf borderId="1" fillId="5" fontId="12" numFmtId="164" xfId="0" applyAlignment="1" applyBorder="1" applyFont="1" applyNumberFormat="1">
      <alignment horizontal="center" readingOrder="0" vertical="bottom"/>
    </xf>
    <xf borderId="1" fillId="0" fontId="14" numFmtId="0" xfId="0" applyAlignment="1" applyBorder="1" applyFon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6" numFmtId="0" xfId="0" applyBorder="1" applyFont="1"/>
    <xf borderId="1" fillId="0" fontId="14" numFmtId="165" xfId="0" applyBorder="1" applyFont="1" applyNumberFormat="1"/>
    <xf borderId="1" fillId="0" fontId="12" numFmtId="0" xfId="0" applyAlignment="1" applyBorder="1" applyFont="1">
      <alignment horizontal="center" vertical="bottom"/>
    </xf>
    <xf borderId="1" fillId="0" fontId="12" numFmtId="165" xfId="0" applyAlignment="1" applyBorder="1" applyFont="1" applyNumberFormat="1">
      <alignment horizontal="center" vertical="bottom"/>
    </xf>
    <xf borderId="1" fillId="6" fontId="15" numFmtId="0" xfId="0" applyAlignment="1" applyBorder="1" applyFon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3" fontId="16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readingOrder="0" vertical="bottom"/>
    </xf>
    <xf borderId="1" fillId="5" fontId="17" numFmtId="0" xfId="0" applyAlignment="1" applyBorder="1" applyFont="1">
      <alignment horizontal="right" readingOrder="0" vertical="bottom"/>
    </xf>
    <xf borderId="1" fillId="4" fontId="17" numFmtId="0" xfId="0" applyAlignment="1" applyBorder="1" applyFont="1">
      <alignment horizontal="right" readingOrder="0" vertical="bottom"/>
    </xf>
    <xf borderId="1" fillId="6" fontId="17" numFmtId="0" xfId="0" applyAlignment="1" applyBorder="1" applyFont="1">
      <alignment horizontal="right" readingOrder="0" vertical="bottom"/>
    </xf>
    <xf borderId="1" fillId="5" fontId="18" numFmtId="0" xfId="0" applyAlignment="1" applyBorder="1" applyFont="1">
      <alignment horizontal="right" readingOrder="0" vertical="bottom"/>
    </xf>
    <xf borderId="1" fillId="4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4" fontId="19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/>
    </xf>
    <xf borderId="1" fillId="0" fontId="1" numFmtId="165" xfId="0" applyAlignment="1" applyBorder="1" applyFont="1" applyNumberFormat="1">
      <alignment vertical="bottom"/>
    </xf>
    <xf borderId="1" fillId="0" fontId="14" numFmtId="165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4" fontId="20" numFmtId="0" xfId="0" applyAlignment="1" applyBorder="1" applyFont="1">
      <alignment horizontal="center" vertical="bottom"/>
    </xf>
    <xf borderId="1" fillId="4" fontId="20" numFmtId="165" xfId="0" applyAlignment="1" applyBorder="1" applyFont="1" applyNumberFormat="1">
      <alignment horizontal="center" vertical="bottom"/>
    </xf>
    <xf borderId="0" fillId="8" fontId="20" numFmtId="165" xfId="0" applyAlignment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1" fillId="3" fontId="20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16.38"/>
    <col customWidth="1" min="8" max="8" width="15.5"/>
    <col customWidth="1" min="12" max="12" width="24.75"/>
    <col customWidth="1" min="13" max="13" width="18.5"/>
    <col customWidth="1" min="14" max="14" width="9.0"/>
    <col customWidth="1" min="15" max="15" width="31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K1" s="5" t="s">
        <v>8</v>
      </c>
      <c r="L1" s="6"/>
      <c r="M1" s="6"/>
      <c r="N1" s="6"/>
      <c r="O1" s="6"/>
    </row>
    <row r="2">
      <c r="A2" s="7" t="s">
        <v>9</v>
      </c>
      <c r="B2" s="8">
        <v>44197.0</v>
      </c>
      <c r="C2" s="9">
        <v>26000.0</v>
      </c>
      <c r="D2" s="10">
        <v>26000.0</v>
      </c>
      <c r="E2" s="11"/>
      <c r="F2" s="11"/>
      <c r="G2" s="11"/>
      <c r="H2" s="11"/>
      <c r="I2" s="12">
        <v>1.0</v>
      </c>
      <c r="K2" s="13">
        <v>26000.0</v>
      </c>
      <c r="L2" s="14" t="s">
        <v>10</v>
      </c>
      <c r="M2" s="6"/>
      <c r="N2" s="6"/>
      <c r="O2" s="6"/>
    </row>
    <row r="3">
      <c r="A3" s="15" t="s">
        <v>11</v>
      </c>
      <c r="B3" s="8">
        <v>44198.0</v>
      </c>
      <c r="C3" s="9">
        <v>29000.0</v>
      </c>
      <c r="D3" s="16">
        <v>30000.0</v>
      </c>
      <c r="E3" s="11"/>
      <c r="F3" s="11"/>
      <c r="G3" s="11"/>
      <c r="H3" s="11"/>
      <c r="I3" s="12">
        <v>1.0</v>
      </c>
      <c r="K3" s="17">
        <v>29000.0</v>
      </c>
      <c r="L3" s="18">
        <f>D33/I33</f>
        <v>41172.41379</v>
      </c>
      <c r="M3" s="6"/>
      <c r="N3" s="6"/>
      <c r="O3" s="6"/>
      <c r="Q3" s="19"/>
    </row>
    <row r="4">
      <c r="A4" s="15" t="s">
        <v>12</v>
      </c>
      <c r="B4" s="8">
        <v>44199.0</v>
      </c>
      <c r="C4" s="9">
        <v>57000.0</v>
      </c>
      <c r="D4" s="16">
        <v>27000.0</v>
      </c>
      <c r="E4" s="11"/>
      <c r="F4" s="11"/>
      <c r="G4" s="11"/>
      <c r="H4" s="11"/>
      <c r="I4" s="12">
        <v>1.0</v>
      </c>
      <c r="K4" s="17">
        <v>57000.0</v>
      </c>
      <c r="L4" s="6"/>
      <c r="M4" s="6"/>
      <c r="N4" s="6"/>
      <c r="O4" s="6"/>
      <c r="Q4" s="19"/>
    </row>
    <row r="5">
      <c r="A5" s="15" t="s">
        <v>13</v>
      </c>
      <c r="B5" s="8">
        <v>44200.0</v>
      </c>
      <c r="C5" s="9">
        <v>40000.0</v>
      </c>
      <c r="D5" s="16">
        <v>27000.0</v>
      </c>
      <c r="E5" s="11"/>
      <c r="F5" s="11"/>
      <c r="G5" s="11"/>
      <c r="H5" s="11"/>
      <c r="I5" s="12">
        <v>1.0</v>
      </c>
      <c r="K5" s="17">
        <v>40000.0</v>
      </c>
      <c r="L5" s="20">
        <v>40000.0</v>
      </c>
      <c r="M5" s="6"/>
      <c r="N5" s="6"/>
      <c r="O5" s="6"/>
      <c r="Q5" s="19"/>
    </row>
    <row r="6">
      <c r="A6" s="15" t="s">
        <v>14</v>
      </c>
      <c r="B6" s="8">
        <v>44201.0</v>
      </c>
      <c r="C6" s="9">
        <v>30000.0</v>
      </c>
      <c r="D6" s="16">
        <v>48000.0</v>
      </c>
      <c r="E6" s="11"/>
      <c r="F6" s="11"/>
      <c r="G6" s="11"/>
      <c r="H6" s="11"/>
      <c r="I6" s="12">
        <v>1.0</v>
      </c>
      <c r="K6" s="17">
        <v>30000.0</v>
      </c>
      <c r="L6" s="6"/>
      <c r="M6" s="6"/>
      <c r="N6" s="6"/>
      <c r="O6" s="6"/>
      <c r="Q6" s="19"/>
      <c r="R6" s="21"/>
    </row>
    <row r="7">
      <c r="A7" s="15" t="s">
        <v>15</v>
      </c>
      <c r="B7" s="8">
        <v>44202.0</v>
      </c>
      <c r="C7" s="9">
        <v>31000.0</v>
      </c>
      <c r="D7" s="16">
        <v>33000.0</v>
      </c>
      <c r="E7" s="11"/>
      <c r="F7" s="11"/>
      <c r="G7" s="11"/>
      <c r="H7" s="11"/>
      <c r="I7" s="12">
        <v>1.0</v>
      </c>
      <c r="K7" s="17">
        <v>31000.0</v>
      </c>
      <c r="L7" s="6"/>
      <c r="M7" s="6"/>
      <c r="N7" s="6"/>
      <c r="O7" s="6"/>
      <c r="Q7" s="19"/>
      <c r="R7" s="21"/>
    </row>
    <row r="8">
      <c r="A8" s="15" t="s">
        <v>16</v>
      </c>
      <c r="B8" s="8">
        <v>44203.0</v>
      </c>
      <c r="C8" s="9">
        <v>22000.0</v>
      </c>
      <c r="D8" s="16">
        <v>63000.0</v>
      </c>
      <c r="E8" s="11"/>
      <c r="F8" s="11"/>
      <c r="G8" s="11"/>
      <c r="H8" s="11"/>
      <c r="I8" s="12">
        <v>1.0</v>
      </c>
      <c r="K8" s="17">
        <v>22000.0</v>
      </c>
      <c r="L8" s="6"/>
      <c r="M8" s="6"/>
      <c r="N8" s="6"/>
      <c r="O8" s="6"/>
      <c r="Q8" s="22"/>
    </row>
    <row r="9">
      <c r="A9" s="7" t="s">
        <v>9</v>
      </c>
      <c r="B9" s="8">
        <v>44204.0</v>
      </c>
      <c r="C9" s="9">
        <v>38000.0</v>
      </c>
      <c r="D9" s="10">
        <v>54000.0</v>
      </c>
      <c r="E9" s="11"/>
      <c r="F9" s="11"/>
      <c r="G9" s="11"/>
      <c r="H9" s="11"/>
      <c r="I9" s="12">
        <v>1.0</v>
      </c>
      <c r="K9" s="17">
        <v>38000.0</v>
      </c>
      <c r="L9" s="6"/>
      <c r="M9" s="6"/>
      <c r="N9" s="6"/>
      <c r="O9" s="6"/>
      <c r="Q9" s="19"/>
    </row>
    <row r="10">
      <c r="A10" s="15" t="s">
        <v>11</v>
      </c>
      <c r="B10" s="8">
        <v>44205.0</v>
      </c>
      <c r="C10" s="9">
        <v>44000.0</v>
      </c>
      <c r="D10" s="16">
        <v>46000.0</v>
      </c>
      <c r="E10" s="11"/>
      <c r="F10" s="11"/>
      <c r="G10" s="11"/>
      <c r="H10" s="11"/>
      <c r="I10" s="12">
        <v>1.0</v>
      </c>
      <c r="K10" s="17">
        <v>44000.0</v>
      </c>
      <c r="L10" s="6"/>
      <c r="M10" s="6"/>
      <c r="N10" s="6"/>
      <c r="O10" s="6"/>
      <c r="Q10" s="19"/>
    </row>
    <row r="11">
      <c r="A11" s="15" t="s">
        <v>12</v>
      </c>
      <c r="B11" s="8">
        <v>44206.0</v>
      </c>
      <c r="C11" s="9">
        <v>49000.0</v>
      </c>
      <c r="D11" s="16">
        <v>61000.0</v>
      </c>
      <c r="E11" s="11"/>
      <c r="F11" s="11"/>
      <c r="G11" s="11"/>
      <c r="H11" s="11"/>
      <c r="I11" s="12">
        <v>1.0</v>
      </c>
      <c r="K11" s="17">
        <v>49000.0</v>
      </c>
      <c r="L11" s="6"/>
      <c r="M11" s="6"/>
      <c r="N11" s="6"/>
      <c r="O11" s="6"/>
    </row>
    <row r="12">
      <c r="A12" s="15" t="s">
        <v>13</v>
      </c>
      <c r="B12" s="8">
        <v>44207.0</v>
      </c>
      <c r="C12" s="9">
        <v>60000.0</v>
      </c>
      <c r="D12" s="16">
        <v>92000.0</v>
      </c>
      <c r="E12" s="11"/>
      <c r="F12" s="11"/>
      <c r="G12" s="11"/>
      <c r="H12" s="11"/>
      <c r="I12" s="12">
        <v>1.0</v>
      </c>
      <c r="K12" s="17">
        <v>60000.0</v>
      </c>
      <c r="L12" s="6"/>
      <c r="M12" s="6"/>
      <c r="N12" s="6"/>
      <c r="O12" s="6"/>
    </row>
    <row r="13">
      <c r="A13" s="15" t="s">
        <v>14</v>
      </c>
      <c r="B13" s="8">
        <v>44208.0</v>
      </c>
      <c r="C13" s="9">
        <v>31000.0</v>
      </c>
      <c r="D13" s="16">
        <v>58000.0</v>
      </c>
      <c r="E13" s="11"/>
      <c r="F13" s="11"/>
      <c r="G13" s="11"/>
      <c r="H13" s="11"/>
      <c r="I13" s="12">
        <v>1.0</v>
      </c>
      <c r="K13" s="23">
        <v>31000.0</v>
      </c>
      <c r="L13" s="6"/>
      <c r="M13" s="6"/>
      <c r="N13" s="6"/>
      <c r="O13" s="6"/>
    </row>
    <row r="14">
      <c r="A14" s="15" t="s">
        <v>15</v>
      </c>
      <c r="B14" s="8">
        <v>44209.0</v>
      </c>
      <c r="C14" s="9">
        <v>27000.0</v>
      </c>
      <c r="D14" s="16">
        <v>39000.0</v>
      </c>
      <c r="E14" s="11"/>
      <c r="F14" s="11"/>
      <c r="G14" s="11"/>
      <c r="H14" s="11"/>
      <c r="I14" s="12">
        <v>1.0</v>
      </c>
      <c r="K14" s="17">
        <v>27000.0</v>
      </c>
      <c r="L14" s="24" t="s">
        <v>17</v>
      </c>
      <c r="M14" s="24" t="s">
        <v>18</v>
      </c>
      <c r="N14" s="25"/>
      <c r="O14" s="26" t="s">
        <v>19</v>
      </c>
    </row>
    <row r="15">
      <c r="A15" s="15" t="s">
        <v>16</v>
      </c>
      <c r="B15" s="8">
        <v>44210.0</v>
      </c>
      <c r="C15" s="9">
        <v>27000.0</v>
      </c>
      <c r="D15" s="16">
        <v>41000.0</v>
      </c>
      <c r="E15" s="11"/>
      <c r="F15" s="11"/>
      <c r="G15" s="11"/>
      <c r="H15" s="11"/>
      <c r="I15" s="12">
        <v>1.0</v>
      </c>
      <c r="K15" s="17">
        <v>27000.0</v>
      </c>
      <c r="L15" s="27">
        <f>D33+'Les charges '!G256-'Les charges '!G255-M15-Salaires!J25</f>
        <v>726735</v>
      </c>
      <c r="M15" s="28">
        <v>12000.0</v>
      </c>
      <c r="N15" s="25"/>
      <c r="O15" s="29">
        <f>D33-C33</f>
        <v>40000</v>
      </c>
    </row>
    <row r="16">
      <c r="A16" s="7" t="s">
        <v>9</v>
      </c>
      <c r="B16" s="8">
        <v>44211.0</v>
      </c>
      <c r="C16" s="9">
        <v>20000.0</v>
      </c>
      <c r="D16" s="30">
        <v>0.0</v>
      </c>
      <c r="E16" s="11"/>
      <c r="F16" s="11"/>
      <c r="G16" s="11"/>
      <c r="H16" s="11"/>
      <c r="I16" s="31">
        <v>0.0</v>
      </c>
      <c r="K16" s="17">
        <v>20000.0</v>
      </c>
      <c r="L16" s="32"/>
      <c r="M16" s="33">
        <v>412000.0</v>
      </c>
      <c r="N16" s="6"/>
      <c r="O16" s="34"/>
    </row>
    <row r="17">
      <c r="A17" s="15" t="s">
        <v>11</v>
      </c>
      <c r="B17" s="8">
        <v>44212.0</v>
      </c>
      <c r="C17" s="9">
        <v>36000.0</v>
      </c>
      <c r="D17" s="30">
        <v>0.0</v>
      </c>
      <c r="E17" s="11"/>
      <c r="F17" s="11"/>
      <c r="G17" s="11"/>
      <c r="H17" s="11"/>
      <c r="I17" s="31">
        <v>0.0</v>
      </c>
      <c r="K17" s="17">
        <v>36000.0</v>
      </c>
      <c r="L17" s="35" t="s">
        <v>20</v>
      </c>
      <c r="M17" s="36">
        <v>10000.0</v>
      </c>
      <c r="N17" s="37">
        <v>0.0</v>
      </c>
      <c r="O17" s="38"/>
    </row>
    <row r="18">
      <c r="A18" s="15" t="s">
        <v>12</v>
      </c>
      <c r="B18" s="8">
        <v>44213.0</v>
      </c>
      <c r="C18" s="9">
        <v>55000.0</v>
      </c>
      <c r="D18" s="16">
        <v>28000.0</v>
      </c>
      <c r="E18" s="11"/>
      <c r="F18" s="11"/>
      <c r="G18" s="11"/>
      <c r="H18" s="11"/>
      <c r="I18" s="12">
        <v>1.0</v>
      </c>
      <c r="K18" s="17">
        <v>55000.0</v>
      </c>
      <c r="L18" s="35" t="s">
        <v>18</v>
      </c>
      <c r="M18" s="36">
        <f>'Les charges '!M225*1</f>
        <v>50600</v>
      </c>
      <c r="N18" s="39"/>
      <c r="O18" s="6"/>
    </row>
    <row r="19">
      <c r="A19" s="15" t="s">
        <v>13</v>
      </c>
      <c r="B19" s="8">
        <v>44214.0</v>
      </c>
      <c r="C19" s="9">
        <v>36000.0</v>
      </c>
      <c r="D19" s="16">
        <v>28000.0</v>
      </c>
      <c r="E19" s="11"/>
      <c r="F19" s="11"/>
      <c r="G19" s="11"/>
      <c r="H19" s="11"/>
      <c r="I19" s="12">
        <v>1.0</v>
      </c>
      <c r="K19" s="17">
        <v>36000.0</v>
      </c>
      <c r="L19" s="35"/>
      <c r="M19" s="36"/>
      <c r="N19" s="6"/>
      <c r="O19" s="6"/>
    </row>
    <row r="20">
      <c r="A20" s="15" t="s">
        <v>14</v>
      </c>
      <c r="B20" s="8">
        <v>44215.0</v>
      </c>
      <c r="C20" s="9">
        <v>33000.0</v>
      </c>
      <c r="D20" s="16">
        <v>28000.0</v>
      </c>
      <c r="E20" s="11"/>
      <c r="F20" s="11"/>
      <c r="G20" s="11"/>
      <c r="H20" s="11"/>
      <c r="I20" s="12">
        <v>1.0</v>
      </c>
      <c r="K20" s="17">
        <v>33000.0</v>
      </c>
      <c r="L20" s="35"/>
      <c r="M20" s="40"/>
      <c r="N20" s="6"/>
      <c r="O20" s="6"/>
    </row>
    <row r="21">
      <c r="A21" s="15" t="s">
        <v>15</v>
      </c>
      <c r="B21" s="8">
        <v>44216.0</v>
      </c>
      <c r="C21" s="9">
        <v>29000.0</v>
      </c>
      <c r="D21" s="16">
        <v>39000.0</v>
      </c>
      <c r="E21" s="11"/>
      <c r="F21" s="11"/>
      <c r="G21" s="11"/>
      <c r="H21" s="11"/>
      <c r="I21" s="12">
        <v>1.0</v>
      </c>
      <c r="K21" s="17">
        <v>29000.0</v>
      </c>
      <c r="L21" s="35"/>
      <c r="M21" s="40"/>
      <c r="N21" s="6"/>
      <c r="O21" s="6"/>
    </row>
    <row r="22">
      <c r="A22" s="15" t="s">
        <v>16</v>
      </c>
      <c r="B22" s="8">
        <v>44217.0</v>
      </c>
      <c r="C22" s="9">
        <v>26000.0</v>
      </c>
      <c r="D22" s="16">
        <v>50000.0</v>
      </c>
      <c r="E22" s="11"/>
      <c r="F22" s="11"/>
      <c r="G22" s="11"/>
      <c r="H22" s="11"/>
      <c r="I22" s="12">
        <v>1.0</v>
      </c>
      <c r="K22" s="17">
        <v>26000.0</v>
      </c>
      <c r="L22" s="35"/>
      <c r="M22" s="40"/>
      <c r="N22" s="6"/>
      <c r="O22" s="6"/>
    </row>
    <row r="23">
      <c r="A23" s="7" t="s">
        <v>9</v>
      </c>
      <c r="B23" s="8">
        <v>44218.0</v>
      </c>
      <c r="C23" s="9">
        <v>24000.0</v>
      </c>
      <c r="D23" s="10">
        <v>36000.0</v>
      </c>
      <c r="E23" s="11"/>
      <c r="F23" s="11"/>
      <c r="G23" s="11"/>
      <c r="H23" s="11"/>
      <c r="I23" s="12">
        <v>1.0</v>
      </c>
      <c r="K23" s="17">
        <v>24000.0</v>
      </c>
      <c r="L23" s="32"/>
      <c r="M23" s="41"/>
      <c r="N23" s="6"/>
      <c r="O23" s="6"/>
    </row>
    <row r="24">
      <c r="A24" s="15" t="s">
        <v>11</v>
      </c>
      <c r="B24" s="8">
        <v>44219.0</v>
      </c>
      <c r="C24" s="9">
        <v>60000.0</v>
      </c>
      <c r="D24" s="16">
        <v>25000.0</v>
      </c>
      <c r="E24" s="11"/>
      <c r="F24" s="11"/>
      <c r="G24" s="11"/>
      <c r="H24" s="11"/>
      <c r="I24" s="12">
        <v>1.0</v>
      </c>
      <c r="K24" s="17">
        <v>60000.0</v>
      </c>
      <c r="L24" s="6"/>
      <c r="M24" s="42"/>
      <c r="N24" s="6"/>
      <c r="O24" s="6"/>
    </row>
    <row r="25">
      <c r="A25" s="15" t="s">
        <v>12</v>
      </c>
      <c r="B25" s="8">
        <v>44220.0</v>
      </c>
      <c r="C25" s="9">
        <v>45000.0</v>
      </c>
      <c r="D25" s="16">
        <v>30000.0</v>
      </c>
      <c r="E25" s="11"/>
      <c r="F25" s="11"/>
      <c r="G25" s="11"/>
      <c r="H25" s="11"/>
      <c r="I25" s="12">
        <v>1.0</v>
      </c>
      <c r="K25" s="17">
        <v>45000.0</v>
      </c>
      <c r="L25" s="6"/>
      <c r="M25" s="43"/>
      <c r="N25" s="6"/>
      <c r="O25" s="6"/>
    </row>
    <row r="26">
      <c r="A26" s="15" t="s">
        <v>13</v>
      </c>
      <c r="B26" s="8">
        <v>44221.0</v>
      </c>
      <c r="C26" s="9">
        <v>42000.0</v>
      </c>
      <c r="D26" s="16">
        <v>32000.0</v>
      </c>
      <c r="E26" s="11"/>
      <c r="F26" s="11"/>
      <c r="G26" s="11"/>
      <c r="H26" s="11"/>
      <c r="I26" s="12">
        <v>1.0</v>
      </c>
      <c r="K26" s="17">
        <v>42000.0</v>
      </c>
      <c r="L26" s="6"/>
      <c r="M26" s="43"/>
      <c r="N26" s="6"/>
      <c r="O26" s="6"/>
    </row>
    <row r="27">
      <c r="A27" s="15" t="s">
        <v>14</v>
      </c>
      <c r="B27" s="8">
        <v>44222.0</v>
      </c>
      <c r="C27" s="9">
        <v>32000.0</v>
      </c>
      <c r="D27" s="16">
        <v>40000.0</v>
      </c>
      <c r="E27" s="11"/>
      <c r="F27" s="11"/>
      <c r="G27" s="11"/>
      <c r="H27" s="11"/>
      <c r="I27" s="12">
        <v>1.0</v>
      </c>
      <c r="K27" s="17">
        <v>32000.0</v>
      </c>
      <c r="L27" s="6"/>
      <c r="M27" s="43"/>
      <c r="N27" s="6"/>
      <c r="O27" s="6"/>
    </row>
    <row r="28">
      <c r="A28" s="15" t="s">
        <v>15</v>
      </c>
      <c r="B28" s="8">
        <v>44223.0</v>
      </c>
      <c r="C28" s="9">
        <v>29000.0</v>
      </c>
      <c r="D28" s="16">
        <v>46000.0</v>
      </c>
      <c r="E28" s="11"/>
      <c r="F28" s="11"/>
      <c r="G28" s="11"/>
      <c r="H28" s="11"/>
      <c r="I28" s="12">
        <v>1.0</v>
      </c>
      <c r="K28" s="17">
        <v>29000.0</v>
      </c>
      <c r="L28" s="6"/>
      <c r="M28" s="6"/>
      <c r="N28" s="6"/>
      <c r="O28" s="6"/>
    </row>
    <row r="29">
      <c r="A29" s="44" t="s">
        <v>16</v>
      </c>
      <c r="B29" s="8">
        <v>44224.0</v>
      </c>
      <c r="C29" s="9">
        <v>35000.0</v>
      </c>
      <c r="D29" s="16">
        <v>80000.0</v>
      </c>
      <c r="E29" s="11"/>
      <c r="F29" s="11"/>
      <c r="G29" s="11"/>
      <c r="H29" s="11"/>
      <c r="I29" s="12">
        <v>1.0</v>
      </c>
      <c r="K29" s="45">
        <v>35000.0</v>
      </c>
      <c r="L29" s="6"/>
      <c r="M29" s="6"/>
      <c r="N29" s="6"/>
      <c r="O29" s="6"/>
    </row>
    <row r="30">
      <c r="A30" s="46" t="s">
        <v>9</v>
      </c>
      <c r="B30" s="8">
        <v>44225.0</v>
      </c>
      <c r="C30" s="9">
        <v>44000.0</v>
      </c>
      <c r="D30" s="10">
        <v>34000.0</v>
      </c>
      <c r="E30" s="11"/>
      <c r="F30" s="11"/>
      <c r="G30" s="11"/>
      <c r="H30" s="11"/>
      <c r="I30" s="12">
        <v>1.0</v>
      </c>
      <c r="K30" s="45">
        <v>44000.0</v>
      </c>
      <c r="L30" s="6"/>
      <c r="M30" s="6"/>
      <c r="N30" s="6"/>
      <c r="O30" s="6"/>
    </row>
    <row r="31">
      <c r="A31" s="44" t="s">
        <v>11</v>
      </c>
      <c r="B31" s="8">
        <v>44226.0</v>
      </c>
      <c r="C31" s="9">
        <v>42000.0</v>
      </c>
      <c r="D31" s="16">
        <v>36000.0</v>
      </c>
      <c r="E31" s="11"/>
      <c r="F31" s="11"/>
      <c r="G31" s="11"/>
      <c r="H31" s="11"/>
      <c r="I31" s="12">
        <v>1.0</v>
      </c>
      <c r="K31" s="45">
        <v>42000.0</v>
      </c>
      <c r="L31" s="6"/>
      <c r="M31" s="6"/>
      <c r="N31" s="6"/>
      <c r="O31" s="47">
        <v>473265.0</v>
      </c>
    </row>
    <row r="32">
      <c r="A32" s="44" t="s">
        <v>12</v>
      </c>
      <c r="B32" s="8">
        <v>44227.0</v>
      </c>
      <c r="C32" s="9">
        <v>55000.0</v>
      </c>
      <c r="D32" s="16">
        <v>17000.0</v>
      </c>
      <c r="E32" s="11"/>
      <c r="F32" s="11"/>
      <c r="G32" s="11"/>
      <c r="H32" s="11"/>
      <c r="I32" s="12">
        <v>1.0</v>
      </c>
      <c r="K32" s="45">
        <v>55000.0</v>
      </c>
      <c r="L32" s="6"/>
      <c r="M32" s="6"/>
      <c r="N32" s="6"/>
      <c r="O32" s="6"/>
    </row>
    <row r="33">
      <c r="A33" s="48" t="s">
        <v>21</v>
      </c>
      <c r="B33" s="49"/>
      <c r="C33" s="50">
        <f t="shared" ref="C33:D33" si="1">SUM(C2:C32)</f>
        <v>1154000</v>
      </c>
      <c r="D33" s="51">
        <f t="shared" si="1"/>
        <v>1194000</v>
      </c>
      <c r="E33" s="52">
        <f>'Les charges '!G255*1</f>
        <v>473265</v>
      </c>
      <c r="F33" s="53">
        <f>Salaires!I25*1</f>
        <v>209446</v>
      </c>
      <c r="G33" s="45">
        <v>50000.0</v>
      </c>
      <c r="H33" s="54">
        <f>D33+'Les charges '!G256-G33-F33-E33</f>
        <v>481289</v>
      </c>
      <c r="I33" s="55">
        <f>SUM(I2:I32)</f>
        <v>29</v>
      </c>
      <c r="K33" s="51">
        <f>SUM(K2:K32)</f>
        <v>1154000</v>
      </c>
    </row>
    <row r="34">
      <c r="A34" s="56" t="s">
        <v>22</v>
      </c>
      <c r="B34" s="57"/>
      <c r="C34" s="58"/>
      <c r="D34" s="59">
        <v>1.0</v>
      </c>
      <c r="E34" s="60">
        <f>E33/D33</f>
        <v>0.3963693467</v>
      </c>
      <c r="F34" s="60">
        <f>F33/D33</f>
        <v>0.1754154104</v>
      </c>
      <c r="G34" s="60">
        <f>G33/D33</f>
        <v>0.0418760469</v>
      </c>
      <c r="H34" s="60">
        <f>H33/D33</f>
        <v>0.4030896147</v>
      </c>
      <c r="I34" s="6"/>
    </row>
    <row r="36">
      <c r="C36" s="61" t="s">
        <v>23</v>
      </c>
      <c r="D36" s="19">
        <v>1160000.0</v>
      </c>
      <c r="E36" s="19">
        <v>400000.0</v>
      </c>
      <c r="F36" s="19">
        <v>210000.0</v>
      </c>
      <c r="G36" s="19">
        <v>50000.0</v>
      </c>
      <c r="H36" s="19">
        <v>500000.0</v>
      </c>
    </row>
    <row r="37">
      <c r="C37" s="61" t="s">
        <v>24</v>
      </c>
      <c r="D37" s="19">
        <v>1154000.0</v>
      </c>
      <c r="E37" s="19">
        <v>398000.0</v>
      </c>
      <c r="F37" s="19">
        <v>206700.0</v>
      </c>
      <c r="G37" s="19">
        <v>77000.0</v>
      </c>
      <c r="H37" s="19">
        <v>512500.0</v>
      </c>
    </row>
  </sheetData>
  <mergeCells count="1"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75"/>
    <col customWidth="1" min="6" max="6" width="25.75"/>
    <col customWidth="1" min="7" max="7" width="25.25"/>
    <col customWidth="1" min="8" max="8" width="27.5"/>
    <col customWidth="1" min="11" max="11" width="21.0"/>
    <col customWidth="1" min="13" max="13" width="15.75"/>
  </cols>
  <sheetData>
    <row r="5">
      <c r="E5" s="62" t="s">
        <v>25</v>
      </c>
      <c r="F5" s="62" t="s">
        <v>26</v>
      </c>
      <c r="G5" s="62" t="s">
        <v>27</v>
      </c>
      <c r="H5" s="62" t="s">
        <v>28</v>
      </c>
    </row>
    <row r="6">
      <c r="E6" s="63" t="s">
        <v>29</v>
      </c>
      <c r="F6" s="63">
        <v>3.0</v>
      </c>
      <c r="G6" s="64">
        <v>1053.0</v>
      </c>
      <c r="H6" s="65">
        <v>44197.0</v>
      </c>
    </row>
    <row r="7">
      <c r="E7" s="63" t="s">
        <v>30</v>
      </c>
      <c r="F7" s="63">
        <v>1.0</v>
      </c>
      <c r="G7" s="64">
        <v>1200.0</v>
      </c>
      <c r="H7" s="65">
        <v>44197.0</v>
      </c>
    </row>
    <row r="8">
      <c r="E8" s="63" t="s">
        <v>31</v>
      </c>
      <c r="F8" s="63">
        <v>1.0</v>
      </c>
      <c r="G8" s="64">
        <v>850.0</v>
      </c>
      <c r="H8" s="65">
        <v>44197.0</v>
      </c>
    </row>
    <row r="9">
      <c r="E9" s="63" t="s">
        <v>32</v>
      </c>
      <c r="F9" s="63">
        <v>1.0</v>
      </c>
      <c r="G9" s="64">
        <v>700.0</v>
      </c>
      <c r="H9" s="65">
        <v>44197.0</v>
      </c>
    </row>
    <row r="10">
      <c r="E10" s="63" t="s">
        <v>33</v>
      </c>
      <c r="F10" s="63">
        <v>1.0</v>
      </c>
      <c r="G10" s="64">
        <v>1200.0</v>
      </c>
      <c r="H10" s="65">
        <v>44197.0</v>
      </c>
    </row>
    <row r="11">
      <c r="E11" s="63" t="s">
        <v>34</v>
      </c>
      <c r="F11" s="63">
        <v>1.0</v>
      </c>
      <c r="G11" s="64">
        <v>850.0</v>
      </c>
      <c r="H11" s="65">
        <v>44197.0</v>
      </c>
    </row>
    <row r="12">
      <c r="E12" s="63" t="s">
        <v>35</v>
      </c>
      <c r="F12" s="63">
        <v>1.0</v>
      </c>
      <c r="G12" s="64">
        <v>850.0</v>
      </c>
      <c r="H12" s="65">
        <v>44197.0</v>
      </c>
    </row>
    <row r="13">
      <c r="E13" s="63" t="s">
        <v>36</v>
      </c>
      <c r="F13" s="63" t="s">
        <v>37</v>
      </c>
      <c r="G13" s="64">
        <v>300.0</v>
      </c>
      <c r="H13" s="65">
        <v>44197.0</v>
      </c>
    </row>
    <row r="14">
      <c r="E14" s="63" t="s">
        <v>38</v>
      </c>
      <c r="F14" s="63" t="s">
        <v>39</v>
      </c>
      <c r="G14" s="64">
        <v>2800.0</v>
      </c>
      <c r="H14" s="65">
        <v>44197.0</v>
      </c>
    </row>
    <row r="15">
      <c r="E15" s="63" t="s">
        <v>40</v>
      </c>
      <c r="F15" s="63">
        <v>4.0</v>
      </c>
      <c r="G15" s="64">
        <v>1840.0</v>
      </c>
      <c r="H15" s="65">
        <v>44197.0</v>
      </c>
    </row>
    <row r="16">
      <c r="E16" s="63" t="s">
        <v>41</v>
      </c>
      <c r="F16" s="63">
        <v>2.0</v>
      </c>
      <c r="G16" s="64">
        <v>1180.0</v>
      </c>
      <c r="H16" s="65">
        <v>44197.0</v>
      </c>
    </row>
    <row r="17">
      <c r="E17" s="63" t="s">
        <v>42</v>
      </c>
      <c r="F17" s="63" t="s">
        <v>43</v>
      </c>
      <c r="G17" s="64">
        <v>320.0</v>
      </c>
      <c r="H17" s="65">
        <v>44197.0</v>
      </c>
    </row>
    <row r="18">
      <c r="E18" s="63" t="s">
        <v>44</v>
      </c>
      <c r="F18" s="63" t="s">
        <v>45</v>
      </c>
      <c r="G18" s="64">
        <v>1200.0</v>
      </c>
      <c r="H18" s="65">
        <v>44197.0</v>
      </c>
    </row>
    <row r="19">
      <c r="E19" s="63" t="s">
        <v>46</v>
      </c>
      <c r="F19" s="63" t="s">
        <v>47</v>
      </c>
      <c r="G19" s="64">
        <v>1000.0</v>
      </c>
      <c r="H19" s="65">
        <v>44197.0</v>
      </c>
    </row>
    <row r="20">
      <c r="E20" s="63" t="s">
        <v>48</v>
      </c>
      <c r="F20" s="63" t="s">
        <v>49</v>
      </c>
      <c r="G20" s="64">
        <v>465.0</v>
      </c>
      <c r="H20" s="65">
        <v>44197.0</v>
      </c>
    </row>
    <row r="21">
      <c r="E21" s="63" t="s">
        <v>50</v>
      </c>
      <c r="F21" s="63" t="s">
        <v>51</v>
      </c>
      <c r="G21" s="64">
        <v>700.0</v>
      </c>
      <c r="H21" s="65">
        <v>44197.0</v>
      </c>
    </row>
    <row r="22">
      <c r="E22" s="63" t="s">
        <v>52</v>
      </c>
      <c r="F22" s="63" t="s">
        <v>47</v>
      </c>
      <c r="G22" s="64">
        <v>860.0</v>
      </c>
      <c r="H22" s="65">
        <v>44197.0</v>
      </c>
    </row>
    <row r="23">
      <c r="E23" s="63" t="s">
        <v>53</v>
      </c>
      <c r="F23" s="63" t="s">
        <v>47</v>
      </c>
      <c r="G23" s="64">
        <v>740.0</v>
      </c>
      <c r="H23" s="65">
        <v>44197.0</v>
      </c>
    </row>
    <row r="24">
      <c r="E24" s="63" t="s">
        <v>54</v>
      </c>
      <c r="F24" s="63">
        <v>1.0</v>
      </c>
      <c r="G24" s="64">
        <v>1450.0</v>
      </c>
      <c r="H24" s="65">
        <v>44197.0</v>
      </c>
    </row>
    <row r="25">
      <c r="E25" s="63" t="s">
        <v>55</v>
      </c>
      <c r="F25" s="63" t="s">
        <v>56</v>
      </c>
      <c r="G25" s="64">
        <v>5520.0</v>
      </c>
      <c r="H25" s="65">
        <v>44197.0</v>
      </c>
    </row>
    <row r="26">
      <c r="E26" s="63" t="s">
        <v>57</v>
      </c>
      <c r="F26" s="63">
        <v>4.0</v>
      </c>
      <c r="G26" s="64">
        <v>2260.0</v>
      </c>
      <c r="H26" s="65">
        <v>44197.0</v>
      </c>
    </row>
    <row r="27">
      <c r="E27" s="63" t="s">
        <v>58</v>
      </c>
      <c r="F27" s="63" t="s">
        <v>59</v>
      </c>
      <c r="G27" s="64">
        <v>12000.0</v>
      </c>
      <c r="H27" s="65">
        <v>44197.0</v>
      </c>
    </row>
    <row r="28">
      <c r="E28" s="63" t="s">
        <v>60</v>
      </c>
      <c r="F28" s="63" t="s">
        <v>61</v>
      </c>
      <c r="G28" s="64">
        <v>3552.0</v>
      </c>
      <c r="H28" s="65">
        <v>44197.0</v>
      </c>
    </row>
    <row r="29">
      <c r="E29" s="63" t="s">
        <v>62</v>
      </c>
      <c r="F29" s="63" t="s">
        <v>63</v>
      </c>
      <c r="G29" s="64">
        <v>2814.0</v>
      </c>
      <c r="H29" s="65">
        <v>44197.0</v>
      </c>
    </row>
    <row r="30">
      <c r="E30" s="63" t="s">
        <v>64</v>
      </c>
      <c r="F30" s="63" t="s">
        <v>65</v>
      </c>
      <c r="G30" s="64">
        <v>5360.0</v>
      </c>
      <c r="H30" s="65">
        <v>44197.0</v>
      </c>
    </row>
    <row r="31">
      <c r="E31" s="63" t="s">
        <v>38</v>
      </c>
      <c r="F31" s="63" t="s">
        <v>51</v>
      </c>
      <c r="G31" s="64">
        <v>3400.0</v>
      </c>
      <c r="H31" s="65">
        <v>44197.0</v>
      </c>
    </row>
    <row r="32">
      <c r="E32" s="63" t="s">
        <v>66</v>
      </c>
      <c r="F32" s="63" t="s">
        <v>67</v>
      </c>
      <c r="G32" s="64">
        <v>6150.0</v>
      </c>
      <c r="H32" s="65">
        <v>44197.0</v>
      </c>
    </row>
    <row r="33">
      <c r="E33" s="63" t="s">
        <v>68</v>
      </c>
      <c r="F33" s="63" t="s">
        <v>69</v>
      </c>
      <c r="G33" s="64">
        <v>2376.0</v>
      </c>
      <c r="H33" s="65">
        <v>44197.0</v>
      </c>
    </row>
    <row r="34">
      <c r="E34" s="63" t="s">
        <v>70</v>
      </c>
      <c r="F34" s="63">
        <v>8.0</v>
      </c>
      <c r="G34" s="64">
        <v>3520.0</v>
      </c>
      <c r="H34" s="65">
        <v>44197.0</v>
      </c>
    </row>
    <row r="35">
      <c r="E35" s="63" t="s">
        <v>71</v>
      </c>
      <c r="F35" s="63" t="s">
        <v>43</v>
      </c>
      <c r="G35" s="64">
        <v>1600.0</v>
      </c>
      <c r="H35" s="65">
        <v>44197.0</v>
      </c>
    </row>
    <row r="36">
      <c r="E36" s="63" t="s">
        <v>72</v>
      </c>
      <c r="F36" s="63">
        <v>12.0</v>
      </c>
      <c r="G36" s="64">
        <v>600.0</v>
      </c>
      <c r="H36" s="65">
        <v>44197.0</v>
      </c>
    </row>
    <row r="37">
      <c r="E37" s="63" t="s">
        <v>73</v>
      </c>
      <c r="F37" s="63" t="s">
        <v>74</v>
      </c>
      <c r="G37" s="64">
        <v>10000.0</v>
      </c>
      <c r="H37" s="65">
        <v>44197.0</v>
      </c>
    </row>
    <row r="38">
      <c r="E38" s="63" t="s">
        <v>75</v>
      </c>
      <c r="F38" s="63">
        <v>2.0</v>
      </c>
      <c r="G38" s="64">
        <v>100.0</v>
      </c>
      <c r="H38" s="65">
        <v>44197.0</v>
      </c>
    </row>
    <row r="39">
      <c r="E39" s="63" t="s">
        <v>76</v>
      </c>
      <c r="F39" s="63" t="s">
        <v>77</v>
      </c>
      <c r="G39" s="64">
        <v>1400.0</v>
      </c>
      <c r="H39" s="65">
        <v>44197.0</v>
      </c>
    </row>
    <row r="40">
      <c r="E40" s="63" t="s">
        <v>78</v>
      </c>
      <c r="F40" s="63">
        <v>2.0</v>
      </c>
      <c r="G40" s="64">
        <v>100.0</v>
      </c>
      <c r="H40" s="65">
        <v>44197.0</v>
      </c>
    </row>
    <row r="41">
      <c r="E41" s="63" t="s">
        <v>79</v>
      </c>
      <c r="F41" s="63">
        <v>2.0</v>
      </c>
      <c r="G41" s="64">
        <v>240.0</v>
      </c>
      <c r="H41" s="65">
        <v>44197.0</v>
      </c>
    </row>
    <row r="42">
      <c r="E42" s="63" t="s">
        <v>80</v>
      </c>
      <c r="F42" s="63">
        <v>10.0</v>
      </c>
      <c r="G42" s="64">
        <v>5200.0</v>
      </c>
      <c r="H42" s="65">
        <v>44197.0</v>
      </c>
    </row>
    <row r="43">
      <c r="E43" s="63" t="s">
        <v>81</v>
      </c>
      <c r="F43" s="63" t="s">
        <v>82</v>
      </c>
      <c r="G43" s="64">
        <v>600.0</v>
      </c>
      <c r="H43" s="65">
        <v>44197.0</v>
      </c>
    </row>
    <row r="44">
      <c r="E44" s="63" t="s">
        <v>83</v>
      </c>
      <c r="F44" s="63" t="s">
        <v>84</v>
      </c>
      <c r="G44" s="64">
        <v>15000.0</v>
      </c>
      <c r="H44" s="65">
        <v>44197.0</v>
      </c>
    </row>
    <row r="45">
      <c r="E45" s="63" t="s">
        <v>85</v>
      </c>
      <c r="F45" s="63" t="s">
        <v>86</v>
      </c>
      <c r="G45" s="64">
        <v>220.0</v>
      </c>
      <c r="H45" s="65">
        <v>44197.0</v>
      </c>
    </row>
    <row r="46">
      <c r="E46" s="63" t="s">
        <v>87</v>
      </c>
      <c r="F46" s="63">
        <v>1.0</v>
      </c>
      <c r="G46" s="64">
        <v>95.0</v>
      </c>
      <c r="H46" s="65">
        <v>44197.0</v>
      </c>
    </row>
    <row r="47">
      <c r="E47" s="63" t="s">
        <v>88</v>
      </c>
      <c r="F47" s="63">
        <v>15.0</v>
      </c>
      <c r="G47" s="64">
        <v>2100.0</v>
      </c>
      <c r="H47" s="65">
        <v>44197.0</v>
      </c>
    </row>
    <row r="48">
      <c r="E48" s="63" t="s">
        <v>89</v>
      </c>
      <c r="F48" s="63">
        <v>2.0</v>
      </c>
      <c r="G48" s="64">
        <v>520.0</v>
      </c>
      <c r="H48" s="65">
        <v>44197.0</v>
      </c>
    </row>
    <row r="49">
      <c r="E49" s="63" t="s">
        <v>90</v>
      </c>
      <c r="F49" s="63">
        <v>5.0</v>
      </c>
      <c r="G49" s="64">
        <v>125.0</v>
      </c>
      <c r="H49" s="65">
        <v>44197.0</v>
      </c>
    </row>
    <row r="50">
      <c r="E50" s="63" t="s">
        <v>91</v>
      </c>
      <c r="F50" s="63" t="s">
        <v>92</v>
      </c>
      <c r="G50" s="64">
        <v>500.0</v>
      </c>
      <c r="H50" s="65">
        <v>44197.0</v>
      </c>
    </row>
    <row r="51">
      <c r="E51" s="63" t="s">
        <v>93</v>
      </c>
      <c r="F51" s="63" t="s">
        <v>94</v>
      </c>
      <c r="G51" s="64">
        <v>3500.0</v>
      </c>
      <c r="H51" s="65">
        <v>44197.0</v>
      </c>
    </row>
    <row r="52">
      <c r="E52" s="63" t="s">
        <v>95</v>
      </c>
      <c r="F52" s="63" t="s">
        <v>96</v>
      </c>
      <c r="G52" s="64">
        <v>1500.0</v>
      </c>
      <c r="H52" s="65">
        <v>44197.0</v>
      </c>
    </row>
    <row r="53">
      <c r="E53" s="63" t="s">
        <v>80</v>
      </c>
      <c r="F53" s="63" t="s">
        <v>97</v>
      </c>
      <c r="G53" s="64">
        <v>11000.0</v>
      </c>
      <c r="H53" s="65">
        <v>44197.0</v>
      </c>
    </row>
    <row r="54">
      <c r="E54" s="63" t="s">
        <v>98</v>
      </c>
      <c r="F54" s="63">
        <v>1.0</v>
      </c>
      <c r="G54" s="64">
        <v>1800.0</v>
      </c>
      <c r="H54" s="65">
        <v>44197.0</v>
      </c>
    </row>
    <row r="55">
      <c r="E55" s="63" t="s">
        <v>99</v>
      </c>
      <c r="F55" s="63">
        <v>10.0</v>
      </c>
      <c r="G55" s="64">
        <v>400.0</v>
      </c>
      <c r="H55" s="65">
        <v>44197.0</v>
      </c>
    </row>
    <row r="56">
      <c r="E56" s="63" t="s">
        <v>100</v>
      </c>
      <c r="F56" s="63" t="s">
        <v>101</v>
      </c>
      <c r="G56" s="64">
        <v>2150.0</v>
      </c>
      <c r="H56" s="65">
        <v>44197.0</v>
      </c>
    </row>
    <row r="57">
      <c r="E57" s="63" t="s">
        <v>102</v>
      </c>
      <c r="F57" s="63">
        <v>1.0</v>
      </c>
      <c r="G57" s="64">
        <v>250.0</v>
      </c>
      <c r="H57" s="65">
        <v>44197.0</v>
      </c>
    </row>
    <row r="58">
      <c r="E58" s="63" t="s">
        <v>103</v>
      </c>
      <c r="F58" s="63" t="s">
        <v>104</v>
      </c>
      <c r="G58" s="64">
        <v>200.0</v>
      </c>
      <c r="H58" s="65">
        <v>44197.0</v>
      </c>
    </row>
    <row r="59">
      <c r="E59" s="63" t="s">
        <v>105</v>
      </c>
      <c r="F59" s="63" t="s">
        <v>106</v>
      </c>
      <c r="G59" s="64">
        <v>60000.0</v>
      </c>
      <c r="H59" s="65">
        <v>44197.0</v>
      </c>
    </row>
    <row r="60">
      <c r="E60" s="63" t="s">
        <v>107</v>
      </c>
      <c r="F60" s="63">
        <v>1.0</v>
      </c>
      <c r="G60" s="64">
        <v>40.0</v>
      </c>
      <c r="H60" s="65">
        <v>44197.0</v>
      </c>
    </row>
    <row r="61">
      <c r="E61" s="63" t="s">
        <v>108</v>
      </c>
      <c r="F61" s="63" t="s">
        <v>109</v>
      </c>
      <c r="G61" s="64">
        <v>650.0</v>
      </c>
      <c r="H61" s="65">
        <v>44197.0</v>
      </c>
    </row>
    <row r="62">
      <c r="E62" s="63" t="s">
        <v>110</v>
      </c>
      <c r="F62" s="63">
        <v>3.0</v>
      </c>
      <c r="G62" s="64">
        <v>750.0</v>
      </c>
      <c r="H62" s="65">
        <v>44197.0</v>
      </c>
    </row>
    <row r="63">
      <c r="E63" s="63" t="s">
        <v>103</v>
      </c>
      <c r="F63" s="63" t="s">
        <v>111</v>
      </c>
      <c r="G63" s="64">
        <v>600.0</v>
      </c>
      <c r="H63" s="65">
        <v>44197.0</v>
      </c>
    </row>
    <row r="64">
      <c r="E64" s="63" t="s">
        <v>112</v>
      </c>
      <c r="F64" s="63" t="s">
        <v>113</v>
      </c>
      <c r="G64" s="64">
        <v>100.0</v>
      </c>
      <c r="H64" s="65">
        <v>44197.0</v>
      </c>
    </row>
    <row r="65">
      <c r="E65" s="63" t="s">
        <v>114</v>
      </c>
      <c r="F65" s="63" t="s">
        <v>115</v>
      </c>
      <c r="G65" s="64">
        <v>880.0</v>
      </c>
      <c r="H65" s="65">
        <v>44197.0</v>
      </c>
    </row>
    <row r="66">
      <c r="E66" s="63" t="s">
        <v>116</v>
      </c>
      <c r="F66" s="63" t="s">
        <v>117</v>
      </c>
      <c r="G66" s="64">
        <v>2200.0</v>
      </c>
      <c r="H66" s="65">
        <v>44197.0</v>
      </c>
    </row>
    <row r="67">
      <c r="E67" s="63" t="s">
        <v>118</v>
      </c>
      <c r="F67" s="63" t="s">
        <v>117</v>
      </c>
      <c r="G67" s="64">
        <v>1900.0</v>
      </c>
      <c r="H67" s="65">
        <v>44197.0</v>
      </c>
    </row>
    <row r="68">
      <c r="E68" s="63" t="s">
        <v>119</v>
      </c>
      <c r="F68" s="63" t="s">
        <v>120</v>
      </c>
      <c r="G68" s="64">
        <v>1700.0</v>
      </c>
      <c r="H68" s="65">
        <v>44197.0</v>
      </c>
    </row>
    <row r="69">
      <c r="E69" s="63" t="s">
        <v>121</v>
      </c>
      <c r="F69" s="63" t="s">
        <v>122</v>
      </c>
      <c r="G69" s="64">
        <v>660.0</v>
      </c>
      <c r="H69" s="65">
        <v>44197.0</v>
      </c>
    </row>
    <row r="70">
      <c r="E70" s="63" t="s">
        <v>123</v>
      </c>
      <c r="F70" s="63" t="s">
        <v>45</v>
      </c>
      <c r="G70" s="64">
        <v>1480.0</v>
      </c>
      <c r="H70" s="65">
        <v>44197.0</v>
      </c>
    </row>
    <row r="71">
      <c r="E71" s="63" t="s">
        <v>124</v>
      </c>
      <c r="F71" s="63" t="s">
        <v>125</v>
      </c>
      <c r="G71" s="64">
        <v>750.0</v>
      </c>
      <c r="H71" s="65">
        <v>44197.0</v>
      </c>
    </row>
    <row r="72">
      <c r="E72" s="63" t="s">
        <v>126</v>
      </c>
      <c r="F72" s="63" t="s">
        <v>69</v>
      </c>
      <c r="G72" s="64">
        <v>1800.0</v>
      </c>
      <c r="H72" s="65">
        <v>44197.0</v>
      </c>
    </row>
    <row r="73">
      <c r="E73" s="63" t="s">
        <v>55</v>
      </c>
      <c r="F73" s="63">
        <v>1.0</v>
      </c>
      <c r="G73" s="64">
        <v>3060.0</v>
      </c>
      <c r="H73" s="65">
        <v>44197.0</v>
      </c>
    </row>
    <row r="74">
      <c r="E74" s="63" t="s">
        <v>127</v>
      </c>
      <c r="F74" s="63" t="s">
        <v>51</v>
      </c>
      <c r="G74" s="64">
        <v>6000.0</v>
      </c>
      <c r="H74" s="65">
        <v>44197.0</v>
      </c>
    </row>
    <row r="75">
      <c r="E75" s="63" t="s">
        <v>128</v>
      </c>
      <c r="F75" s="63">
        <v>1.0</v>
      </c>
      <c r="G75" s="64">
        <v>400.0</v>
      </c>
      <c r="H75" s="65">
        <v>44197.0</v>
      </c>
    </row>
    <row r="76">
      <c r="E76" s="63" t="s">
        <v>129</v>
      </c>
      <c r="F76" s="63" t="s">
        <v>109</v>
      </c>
      <c r="G76" s="64">
        <v>1100.0</v>
      </c>
      <c r="H76" s="65">
        <v>44197.0</v>
      </c>
    </row>
    <row r="77">
      <c r="E77" s="63" t="s">
        <v>130</v>
      </c>
      <c r="F77" s="63">
        <v>1.0</v>
      </c>
      <c r="G77" s="64">
        <v>300.0</v>
      </c>
      <c r="H77" s="65">
        <v>44197.0</v>
      </c>
    </row>
    <row r="78">
      <c r="E78" s="63" t="s">
        <v>131</v>
      </c>
      <c r="F78" s="63">
        <v>7.0</v>
      </c>
      <c r="G78" s="64">
        <v>1050.0</v>
      </c>
      <c r="H78" s="65">
        <v>44197.0</v>
      </c>
    </row>
    <row r="79">
      <c r="E79" s="63" t="s">
        <v>132</v>
      </c>
      <c r="F79" s="63">
        <v>2.0</v>
      </c>
      <c r="G79" s="64">
        <v>100.0</v>
      </c>
      <c r="H79" s="65">
        <v>44197.0</v>
      </c>
    </row>
    <row r="80">
      <c r="E80" s="63" t="s">
        <v>133</v>
      </c>
      <c r="F80" s="63">
        <v>2.0</v>
      </c>
      <c r="G80" s="64">
        <v>140.0</v>
      </c>
      <c r="H80" s="65">
        <v>44197.0</v>
      </c>
    </row>
    <row r="81">
      <c r="E81" s="63" t="s">
        <v>134</v>
      </c>
      <c r="F81" s="63">
        <v>4.0</v>
      </c>
      <c r="G81" s="64">
        <v>280.0</v>
      </c>
      <c r="H81" s="65">
        <v>44197.0</v>
      </c>
    </row>
    <row r="82">
      <c r="E82" s="63" t="s">
        <v>135</v>
      </c>
      <c r="F82" s="63">
        <v>1.0</v>
      </c>
      <c r="G82" s="64">
        <v>100.0</v>
      </c>
      <c r="H82" s="65">
        <v>44197.0</v>
      </c>
    </row>
    <row r="83">
      <c r="E83" s="63" t="s">
        <v>136</v>
      </c>
      <c r="F83" s="63" t="s">
        <v>137</v>
      </c>
      <c r="G83" s="64">
        <v>380.0</v>
      </c>
      <c r="H83" s="65">
        <v>44197.0</v>
      </c>
    </row>
    <row r="84">
      <c r="E84" s="63" t="s">
        <v>138</v>
      </c>
      <c r="F84" s="63">
        <v>3.0</v>
      </c>
      <c r="G84" s="64">
        <v>450.0</v>
      </c>
      <c r="H84" s="65">
        <v>44197.0</v>
      </c>
    </row>
    <row r="85">
      <c r="E85" s="63" t="s">
        <v>139</v>
      </c>
      <c r="F85" s="63" t="s">
        <v>140</v>
      </c>
      <c r="G85" s="64">
        <v>1700.0</v>
      </c>
      <c r="H85" s="65">
        <v>44197.0</v>
      </c>
    </row>
    <row r="86">
      <c r="E86" s="63" t="s">
        <v>141</v>
      </c>
      <c r="F86" s="63" t="s">
        <v>113</v>
      </c>
      <c r="G86" s="64">
        <v>300.0</v>
      </c>
      <c r="H86" s="65">
        <v>44197.0</v>
      </c>
    </row>
    <row r="87">
      <c r="E87" s="63" t="s">
        <v>142</v>
      </c>
      <c r="F87" s="63" t="s">
        <v>137</v>
      </c>
      <c r="G87" s="64">
        <v>380.0</v>
      </c>
      <c r="H87" s="65">
        <v>44197.0</v>
      </c>
    </row>
    <row r="88">
      <c r="E88" s="63" t="s">
        <v>143</v>
      </c>
      <c r="F88" s="63">
        <v>500.0</v>
      </c>
      <c r="G88" s="64">
        <v>200.0</v>
      </c>
      <c r="H88" s="65">
        <v>44197.0</v>
      </c>
    </row>
    <row r="89">
      <c r="E89" s="63" t="s">
        <v>144</v>
      </c>
      <c r="F89" s="63">
        <v>1.0</v>
      </c>
      <c r="G89" s="64">
        <v>400.0</v>
      </c>
      <c r="H89" s="65">
        <v>44197.0</v>
      </c>
    </row>
    <row r="90">
      <c r="E90" s="63" t="s">
        <v>145</v>
      </c>
      <c r="F90" s="63">
        <v>3.0</v>
      </c>
      <c r="G90" s="64">
        <v>90.0</v>
      </c>
      <c r="H90" s="65">
        <v>44197.0</v>
      </c>
    </row>
    <row r="91">
      <c r="E91" s="63" t="s">
        <v>146</v>
      </c>
      <c r="F91" s="63">
        <v>1.0</v>
      </c>
      <c r="G91" s="64">
        <v>600.0</v>
      </c>
      <c r="H91" s="65">
        <v>44197.0</v>
      </c>
    </row>
    <row r="92">
      <c r="E92" s="63" t="s">
        <v>147</v>
      </c>
      <c r="F92" s="63" t="s">
        <v>148</v>
      </c>
      <c r="G92" s="64">
        <v>1500.0</v>
      </c>
      <c r="H92" s="65">
        <v>44197.0</v>
      </c>
    </row>
    <row r="93">
      <c r="E93" s="63" t="s">
        <v>149</v>
      </c>
      <c r="F93" s="63">
        <v>2.0</v>
      </c>
      <c r="G93" s="64">
        <v>2000.0</v>
      </c>
      <c r="H93" s="65">
        <v>44197.0</v>
      </c>
    </row>
    <row r="94">
      <c r="E94" s="63" t="s">
        <v>138</v>
      </c>
      <c r="F94" s="63">
        <v>2.0</v>
      </c>
      <c r="G94" s="64">
        <v>250.0</v>
      </c>
      <c r="H94" s="65">
        <v>44198.0</v>
      </c>
    </row>
    <row r="95">
      <c r="E95" s="63" t="s">
        <v>150</v>
      </c>
      <c r="F95" s="63" t="s">
        <v>151</v>
      </c>
      <c r="G95" s="64">
        <v>6500.0</v>
      </c>
      <c r="H95" s="65">
        <v>44168.0</v>
      </c>
    </row>
    <row r="96">
      <c r="E96" s="63" t="s">
        <v>152</v>
      </c>
      <c r="F96" s="63">
        <v>1.0</v>
      </c>
      <c r="G96" s="64">
        <v>400.0</v>
      </c>
      <c r="H96" s="65">
        <v>44533.0</v>
      </c>
    </row>
    <row r="97">
      <c r="E97" s="63" t="s">
        <v>153</v>
      </c>
      <c r="F97" s="63" t="s">
        <v>154</v>
      </c>
      <c r="G97" s="64">
        <v>150.0</v>
      </c>
      <c r="H97" s="65">
        <v>44533.0</v>
      </c>
    </row>
    <row r="98">
      <c r="E98" s="63" t="s">
        <v>99</v>
      </c>
      <c r="F98" s="63">
        <v>5.0</v>
      </c>
      <c r="G98" s="64">
        <v>250.0</v>
      </c>
      <c r="H98" s="65">
        <v>44533.0</v>
      </c>
    </row>
    <row r="99">
      <c r="E99" s="63" t="s">
        <v>155</v>
      </c>
      <c r="F99" s="63">
        <v>3.0</v>
      </c>
      <c r="G99" s="64">
        <v>300.0</v>
      </c>
      <c r="H99" s="65">
        <v>44533.0</v>
      </c>
    </row>
    <row r="100">
      <c r="E100" s="63" t="s">
        <v>156</v>
      </c>
      <c r="F100" s="63" t="s">
        <v>109</v>
      </c>
      <c r="G100" s="64">
        <v>100.0</v>
      </c>
      <c r="H100" s="65">
        <v>44200.0</v>
      </c>
    </row>
    <row r="101">
      <c r="E101" s="63" t="s">
        <v>157</v>
      </c>
      <c r="F101" s="63" t="s">
        <v>158</v>
      </c>
      <c r="G101" s="64">
        <v>200.0</v>
      </c>
      <c r="H101" s="65">
        <v>44200.0</v>
      </c>
    </row>
    <row r="102">
      <c r="E102" s="63" t="s">
        <v>159</v>
      </c>
      <c r="F102" s="63">
        <v>7.0</v>
      </c>
      <c r="G102" s="64">
        <v>300.0</v>
      </c>
      <c r="H102" s="65">
        <v>44200.0</v>
      </c>
    </row>
    <row r="103">
      <c r="E103" s="63" t="s">
        <v>160</v>
      </c>
      <c r="F103" s="63">
        <v>7.0</v>
      </c>
      <c r="G103" s="64">
        <v>770.0</v>
      </c>
      <c r="H103" s="65">
        <v>44200.0</v>
      </c>
    </row>
    <row r="104">
      <c r="E104" s="63" t="s">
        <v>161</v>
      </c>
      <c r="F104" s="63">
        <v>4.0</v>
      </c>
      <c r="G104" s="64">
        <v>2000.0</v>
      </c>
      <c r="H104" s="65">
        <v>44200.0</v>
      </c>
    </row>
    <row r="105">
      <c r="E105" s="63" t="s">
        <v>162</v>
      </c>
      <c r="F105" s="63" t="s">
        <v>94</v>
      </c>
      <c r="G105" s="64">
        <v>2000.0</v>
      </c>
      <c r="H105" s="65">
        <v>44200.0</v>
      </c>
    </row>
    <row r="106">
      <c r="E106" s="63" t="s">
        <v>163</v>
      </c>
      <c r="F106" s="63" t="s">
        <v>164</v>
      </c>
      <c r="G106" s="64">
        <v>200.0</v>
      </c>
      <c r="H106" s="65">
        <v>44200.0</v>
      </c>
    </row>
    <row r="107">
      <c r="E107" s="63" t="s">
        <v>76</v>
      </c>
      <c r="F107" s="63" t="s">
        <v>113</v>
      </c>
      <c r="G107" s="64">
        <v>500.0</v>
      </c>
      <c r="H107" s="65">
        <v>44200.0</v>
      </c>
    </row>
    <row r="108">
      <c r="E108" s="63" t="s">
        <v>165</v>
      </c>
      <c r="F108" s="63" t="s">
        <v>166</v>
      </c>
      <c r="G108" s="64">
        <v>400.0</v>
      </c>
      <c r="H108" s="65">
        <v>44200.0</v>
      </c>
    </row>
    <row r="109">
      <c r="E109" s="63" t="s">
        <v>167</v>
      </c>
      <c r="F109" s="63" t="s">
        <v>113</v>
      </c>
      <c r="G109" s="64">
        <v>50.0</v>
      </c>
      <c r="H109" s="65">
        <v>44200.0</v>
      </c>
    </row>
    <row r="110">
      <c r="E110" s="63" t="s">
        <v>168</v>
      </c>
      <c r="F110" s="63" t="s">
        <v>37</v>
      </c>
      <c r="G110" s="64">
        <v>85.0</v>
      </c>
      <c r="H110" s="65">
        <v>44200.0</v>
      </c>
    </row>
    <row r="111">
      <c r="E111" s="63" t="s">
        <v>169</v>
      </c>
      <c r="F111" s="63">
        <v>4.0</v>
      </c>
      <c r="G111" s="64">
        <v>120.0</v>
      </c>
      <c r="H111" s="65">
        <v>44200.0</v>
      </c>
    </row>
    <row r="112">
      <c r="E112" s="63" t="s">
        <v>170</v>
      </c>
      <c r="F112" s="63">
        <v>5.0</v>
      </c>
      <c r="G112" s="64">
        <v>250.0</v>
      </c>
      <c r="H112" s="65">
        <v>44200.0</v>
      </c>
    </row>
    <row r="113">
      <c r="E113" s="63" t="s">
        <v>171</v>
      </c>
      <c r="F113" s="63">
        <v>5.0</v>
      </c>
      <c r="G113" s="64">
        <v>350.0</v>
      </c>
      <c r="H113" s="65">
        <v>44200.0</v>
      </c>
    </row>
    <row r="114">
      <c r="E114" s="63" t="s">
        <v>172</v>
      </c>
      <c r="F114" s="63">
        <v>10.0</v>
      </c>
      <c r="G114" s="64">
        <v>400.0</v>
      </c>
      <c r="H114" s="65">
        <v>44200.0</v>
      </c>
    </row>
    <row r="115">
      <c r="E115" s="63" t="s">
        <v>91</v>
      </c>
      <c r="F115" s="63" t="s">
        <v>45</v>
      </c>
      <c r="G115" s="64">
        <v>100.0</v>
      </c>
      <c r="H115" s="65">
        <v>44200.0</v>
      </c>
    </row>
    <row r="116">
      <c r="E116" s="63" t="s">
        <v>156</v>
      </c>
      <c r="F116" s="63" t="s">
        <v>37</v>
      </c>
      <c r="G116" s="64">
        <v>50.0</v>
      </c>
      <c r="H116" s="65">
        <v>44200.0</v>
      </c>
    </row>
    <row r="117">
      <c r="E117" s="63" t="s">
        <v>163</v>
      </c>
      <c r="F117" s="63" t="s">
        <v>173</v>
      </c>
      <c r="G117" s="64">
        <v>70.0</v>
      </c>
      <c r="H117" s="65">
        <v>44200.0</v>
      </c>
    </row>
    <row r="118">
      <c r="E118" s="63" t="s">
        <v>174</v>
      </c>
      <c r="F118" s="63" t="s">
        <v>175</v>
      </c>
      <c r="G118" s="64">
        <v>200.0</v>
      </c>
      <c r="H118" s="65">
        <v>44200.0</v>
      </c>
    </row>
    <row r="119">
      <c r="E119" s="63" t="s">
        <v>176</v>
      </c>
      <c r="F119" s="63">
        <v>2.0</v>
      </c>
      <c r="G119" s="64">
        <v>200.0</v>
      </c>
      <c r="H119" s="65">
        <v>44200.0</v>
      </c>
    </row>
    <row r="120">
      <c r="E120" s="63" t="s">
        <v>177</v>
      </c>
      <c r="F120" s="66">
        <v>44317.0</v>
      </c>
      <c r="G120" s="64">
        <v>100.0</v>
      </c>
      <c r="H120" s="65">
        <v>44200.0</v>
      </c>
    </row>
    <row r="121">
      <c r="E121" s="63" t="s">
        <v>178</v>
      </c>
      <c r="F121" s="63">
        <v>2.0</v>
      </c>
      <c r="G121" s="64">
        <v>1000.0</v>
      </c>
      <c r="H121" s="65">
        <v>44200.0</v>
      </c>
    </row>
    <row r="122">
      <c r="E122" s="63" t="s">
        <v>81</v>
      </c>
      <c r="F122" s="63" t="s">
        <v>179</v>
      </c>
      <c r="G122" s="64">
        <v>400.0</v>
      </c>
      <c r="H122" s="65">
        <v>44201.0</v>
      </c>
    </row>
    <row r="123">
      <c r="E123" s="63" t="s">
        <v>170</v>
      </c>
      <c r="F123" s="63">
        <v>3.0</v>
      </c>
      <c r="G123" s="64">
        <v>150.0</v>
      </c>
      <c r="H123" s="65">
        <v>44202.0</v>
      </c>
    </row>
    <row r="124">
      <c r="E124" s="63" t="s">
        <v>180</v>
      </c>
      <c r="F124" s="63">
        <v>11.0</v>
      </c>
      <c r="G124" s="64">
        <v>240.0</v>
      </c>
      <c r="H124" s="65">
        <v>43836.0</v>
      </c>
    </row>
    <row r="125">
      <c r="E125" s="63" t="s">
        <v>181</v>
      </c>
      <c r="F125" s="63">
        <v>2.0</v>
      </c>
      <c r="G125" s="64">
        <v>260.0</v>
      </c>
      <c r="H125" s="65">
        <v>44202.0</v>
      </c>
    </row>
    <row r="126">
      <c r="E126" s="63" t="s">
        <v>156</v>
      </c>
      <c r="F126" s="63" t="s">
        <v>109</v>
      </c>
      <c r="G126" s="64">
        <v>100.0</v>
      </c>
      <c r="H126" s="65">
        <v>44202.0</v>
      </c>
    </row>
    <row r="127">
      <c r="E127" s="63" t="s">
        <v>174</v>
      </c>
      <c r="F127" s="63">
        <v>1.0</v>
      </c>
      <c r="G127" s="64">
        <v>200.0</v>
      </c>
      <c r="H127" s="65">
        <v>44202.0</v>
      </c>
    </row>
    <row r="128">
      <c r="E128" s="63" t="s">
        <v>182</v>
      </c>
      <c r="F128" s="63" t="s">
        <v>183</v>
      </c>
      <c r="G128" s="64">
        <v>220.0</v>
      </c>
      <c r="H128" s="65">
        <v>44202.0</v>
      </c>
    </row>
    <row r="129">
      <c r="E129" s="63" t="s">
        <v>184</v>
      </c>
      <c r="F129" s="63">
        <v>20.0</v>
      </c>
      <c r="G129" s="64">
        <v>600.0</v>
      </c>
      <c r="H129" s="65">
        <v>44202.0</v>
      </c>
    </row>
    <row r="130">
      <c r="E130" s="63" t="s">
        <v>136</v>
      </c>
      <c r="F130" s="63" t="s">
        <v>185</v>
      </c>
      <c r="G130" s="64">
        <v>700.0</v>
      </c>
      <c r="H130" s="65">
        <v>44202.0</v>
      </c>
    </row>
    <row r="131">
      <c r="E131" s="63" t="s">
        <v>186</v>
      </c>
      <c r="F131" s="63" t="s">
        <v>125</v>
      </c>
      <c r="G131" s="64">
        <v>1240.0</v>
      </c>
      <c r="H131" s="65">
        <v>44203.0</v>
      </c>
    </row>
    <row r="132">
      <c r="E132" s="63" t="s">
        <v>187</v>
      </c>
      <c r="F132" s="63" t="s">
        <v>37</v>
      </c>
      <c r="G132" s="64">
        <v>450.0</v>
      </c>
      <c r="H132" s="65">
        <v>44203.0</v>
      </c>
    </row>
    <row r="133">
      <c r="E133" s="63" t="s">
        <v>188</v>
      </c>
      <c r="F133" s="63" t="s">
        <v>113</v>
      </c>
      <c r="G133" s="64">
        <v>1000.0</v>
      </c>
      <c r="H133" s="65">
        <v>44203.0</v>
      </c>
    </row>
    <row r="134">
      <c r="E134" s="63" t="s">
        <v>147</v>
      </c>
      <c r="F134" s="63" t="s">
        <v>189</v>
      </c>
      <c r="G134" s="64">
        <v>2500.0</v>
      </c>
      <c r="H134" s="65">
        <v>44203.0</v>
      </c>
    </row>
    <row r="135">
      <c r="E135" s="63" t="s">
        <v>190</v>
      </c>
      <c r="F135" s="63" t="s">
        <v>191</v>
      </c>
      <c r="G135" s="64">
        <v>500.0</v>
      </c>
      <c r="H135" s="65">
        <v>44203.0</v>
      </c>
    </row>
    <row r="136">
      <c r="E136" s="63" t="s">
        <v>192</v>
      </c>
      <c r="F136" s="63">
        <v>7.0</v>
      </c>
      <c r="G136" s="64">
        <v>350.0</v>
      </c>
      <c r="H136" s="65">
        <v>44203.0</v>
      </c>
    </row>
    <row r="137">
      <c r="E137" s="63" t="s">
        <v>91</v>
      </c>
      <c r="F137" s="63" t="s">
        <v>94</v>
      </c>
      <c r="G137" s="64">
        <v>900.0</v>
      </c>
      <c r="H137" s="65">
        <v>44203.0</v>
      </c>
    </row>
    <row r="138">
      <c r="E138" s="63" t="s">
        <v>193</v>
      </c>
      <c r="F138" s="63">
        <v>1.0</v>
      </c>
      <c r="G138" s="64">
        <v>3600.0</v>
      </c>
      <c r="H138" s="65">
        <v>44203.0</v>
      </c>
    </row>
    <row r="139">
      <c r="E139" s="63" t="s">
        <v>165</v>
      </c>
      <c r="F139" s="63" t="s">
        <v>113</v>
      </c>
      <c r="G139" s="64">
        <v>200.0</v>
      </c>
      <c r="H139" s="65">
        <v>44203.0</v>
      </c>
    </row>
    <row r="140">
      <c r="E140" s="63" t="s">
        <v>76</v>
      </c>
      <c r="F140" s="63" t="s">
        <v>109</v>
      </c>
      <c r="G140" s="64">
        <v>500.0</v>
      </c>
      <c r="H140" s="65">
        <v>44203.0</v>
      </c>
      <c r="I140" s="21"/>
    </row>
    <row r="141">
      <c r="E141" s="63" t="s">
        <v>138</v>
      </c>
      <c r="F141" s="63">
        <v>15.0</v>
      </c>
      <c r="G141" s="64">
        <v>1500.0</v>
      </c>
      <c r="H141" s="65">
        <v>44203.0</v>
      </c>
      <c r="I141" s="21"/>
    </row>
    <row r="142">
      <c r="E142" s="63" t="s">
        <v>176</v>
      </c>
      <c r="F142" s="63" t="s">
        <v>194</v>
      </c>
      <c r="G142" s="64">
        <v>4000.0</v>
      </c>
      <c r="H142" s="65">
        <v>44203.0</v>
      </c>
    </row>
    <row r="143">
      <c r="E143" s="63" t="s">
        <v>195</v>
      </c>
      <c r="F143" s="63">
        <v>25.0</v>
      </c>
      <c r="G143" s="64">
        <v>1000.0</v>
      </c>
      <c r="H143" s="65">
        <v>44203.0</v>
      </c>
    </row>
    <row r="144">
      <c r="E144" s="63" t="s">
        <v>196</v>
      </c>
      <c r="F144" s="63" t="s">
        <v>197</v>
      </c>
      <c r="G144" s="64">
        <v>1000.0</v>
      </c>
      <c r="H144" s="65">
        <v>44203.0</v>
      </c>
    </row>
    <row r="145">
      <c r="E145" s="63" t="s">
        <v>102</v>
      </c>
      <c r="F145" s="63">
        <v>1.0</v>
      </c>
      <c r="G145" s="64">
        <v>250.0</v>
      </c>
      <c r="H145" s="65">
        <v>44203.0</v>
      </c>
    </row>
    <row r="146">
      <c r="E146" s="63" t="s">
        <v>198</v>
      </c>
      <c r="F146" s="63" t="s">
        <v>125</v>
      </c>
      <c r="G146" s="64">
        <v>1000.0</v>
      </c>
      <c r="H146" s="65">
        <v>44204.0</v>
      </c>
    </row>
    <row r="147">
      <c r="E147" s="63" t="s">
        <v>199</v>
      </c>
      <c r="F147" s="63">
        <v>4.0</v>
      </c>
      <c r="G147" s="64">
        <v>3000.0</v>
      </c>
      <c r="H147" s="65">
        <v>44204.0</v>
      </c>
    </row>
    <row r="148">
      <c r="E148" s="63" t="s">
        <v>200</v>
      </c>
      <c r="F148" s="63">
        <v>2.0</v>
      </c>
      <c r="G148" s="64">
        <v>700.0</v>
      </c>
      <c r="H148" s="65">
        <v>44204.0</v>
      </c>
    </row>
    <row r="149">
      <c r="E149" s="63" t="s">
        <v>201</v>
      </c>
      <c r="F149" s="63" t="s">
        <v>202</v>
      </c>
      <c r="G149" s="64">
        <v>240.0</v>
      </c>
      <c r="H149" s="65">
        <v>44204.0</v>
      </c>
    </row>
    <row r="150">
      <c r="E150" s="63" t="s">
        <v>203</v>
      </c>
      <c r="F150" s="63">
        <v>100.0</v>
      </c>
      <c r="G150" s="64">
        <v>2000.0</v>
      </c>
      <c r="H150" s="63" t="s">
        <v>204</v>
      </c>
    </row>
    <row r="151">
      <c r="E151" s="67" t="s">
        <v>205</v>
      </c>
      <c r="F151" s="67">
        <v>415.0</v>
      </c>
      <c r="G151" s="68">
        <v>21200.0</v>
      </c>
      <c r="H151" s="69">
        <v>44205.0</v>
      </c>
    </row>
    <row r="152">
      <c r="E152" s="63" t="s">
        <v>206</v>
      </c>
      <c r="F152" s="63">
        <v>2.0</v>
      </c>
      <c r="G152" s="64">
        <v>650.0</v>
      </c>
      <c r="H152" s="65">
        <v>44205.0</v>
      </c>
    </row>
    <row r="153">
      <c r="E153" s="63" t="s">
        <v>207</v>
      </c>
      <c r="F153" s="63">
        <v>3.0</v>
      </c>
      <c r="G153" s="64">
        <v>750.0</v>
      </c>
      <c r="H153" s="65">
        <v>44205.0</v>
      </c>
    </row>
    <row r="154">
      <c r="E154" s="63" t="s">
        <v>208</v>
      </c>
      <c r="F154" s="63" t="s">
        <v>209</v>
      </c>
      <c r="G154" s="64">
        <v>1950.0</v>
      </c>
      <c r="H154" s="65">
        <v>44205.0</v>
      </c>
    </row>
    <row r="155">
      <c r="E155" s="63" t="s">
        <v>138</v>
      </c>
      <c r="F155" s="63">
        <v>10.0</v>
      </c>
      <c r="G155" s="64">
        <v>1200.0</v>
      </c>
      <c r="H155" s="65">
        <v>44205.0</v>
      </c>
    </row>
    <row r="156">
      <c r="E156" s="63" t="s">
        <v>210</v>
      </c>
      <c r="F156" s="63">
        <v>5.0</v>
      </c>
      <c r="G156" s="64">
        <v>850.0</v>
      </c>
      <c r="H156" s="65">
        <v>44205.0</v>
      </c>
    </row>
    <row r="157">
      <c r="E157" s="63" t="s">
        <v>35</v>
      </c>
      <c r="F157" s="63" t="s">
        <v>109</v>
      </c>
      <c r="G157" s="64">
        <v>1500.0</v>
      </c>
      <c r="H157" s="65">
        <v>44205.0</v>
      </c>
    </row>
    <row r="158">
      <c r="E158" s="63" t="s">
        <v>76</v>
      </c>
      <c r="F158" s="63" t="s">
        <v>109</v>
      </c>
      <c r="G158" s="64">
        <v>500.0</v>
      </c>
      <c r="H158" s="65">
        <v>44205.0</v>
      </c>
      <c r="I158" s="61">
        <v>500.0</v>
      </c>
    </row>
    <row r="159">
      <c r="E159" s="63" t="s">
        <v>211</v>
      </c>
      <c r="F159" s="63">
        <v>1.0</v>
      </c>
      <c r="G159" s="64">
        <v>150.0</v>
      </c>
      <c r="H159" s="65">
        <v>44205.0</v>
      </c>
    </row>
    <row r="160">
      <c r="E160" s="63" t="s">
        <v>147</v>
      </c>
      <c r="F160" s="63" t="s">
        <v>166</v>
      </c>
      <c r="G160" s="64">
        <v>500.0</v>
      </c>
      <c r="H160" s="65">
        <v>44206.0</v>
      </c>
    </row>
    <row r="161">
      <c r="E161" s="63" t="s">
        <v>212</v>
      </c>
      <c r="F161" s="63">
        <v>4.0</v>
      </c>
      <c r="G161" s="64">
        <v>800.0</v>
      </c>
      <c r="H161" s="65">
        <v>44206.0</v>
      </c>
    </row>
    <row r="162">
      <c r="E162" s="63" t="s">
        <v>213</v>
      </c>
      <c r="F162" s="63" t="s">
        <v>82</v>
      </c>
      <c r="G162" s="64">
        <v>1500.0</v>
      </c>
      <c r="H162" s="65">
        <v>44206.0</v>
      </c>
    </row>
    <row r="163">
      <c r="E163" s="63" t="s">
        <v>214</v>
      </c>
      <c r="F163" s="63">
        <v>2.0</v>
      </c>
      <c r="G163" s="64">
        <v>350.0</v>
      </c>
      <c r="H163" s="65">
        <v>44206.0</v>
      </c>
    </row>
    <row r="164">
      <c r="E164" s="63" t="s">
        <v>215</v>
      </c>
      <c r="F164" s="63" t="s">
        <v>45</v>
      </c>
      <c r="G164" s="64">
        <v>3700.0</v>
      </c>
      <c r="H164" s="65">
        <v>44206.0</v>
      </c>
    </row>
    <row r="165">
      <c r="E165" s="63" t="s">
        <v>216</v>
      </c>
      <c r="F165" s="63" t="s">
        <v>217</v>
      </c>
      <c r="G165" s="64">
        <v>3000.0</v>
      </c>
      <c r="H165" s="65">
        <v>44206.0</v>
      </c>
    </row>
    <row r="166">
      <c r="E166" s="63" t="s">
        <v>218</v>
      </c>
      <c r="F166" s="63">
        <v>3.0</v>
      </c>
      <c r="G166" s="64">
        <v>2000.0</v>
      </c>
      <c r="H166" s="65">
        <v>44206.0</v>
      </c>
    </row>
    <row r="167">
      <c r="E167" s="63" t="s">
        <v>198</v>
      </c>
      <c r="F167" s="63" t="s">
        <v>219</v>
      </c>
      <c r="G167" s="64">
        <v>5000.0</v>
      </c>
      <c r="H167" s="65">
        <v>44207.0</v>
      </c>
    </row>
    <row r="168">
      <c r="E168" s="63" t="s">
        <v>55</v>
      </c>
      <c r="F168" s="63">
        <v>10.0</v>
      </c>
      <c r="G168" s="64">
        <v>1300.0</v>
      </c>
      <c r="H168" s="65">
        <v>44207.0</v>
      </c>
    </row>
    <row r="169">
      <c r="E169" s="63" t="s">
        <v>134</v>
      </c>
      <c r="F169" s="63" t="s">
        <v>37</v>
      </c>
      <c r="G169" s="64">
        <v>100.0</v>
      </c>
      <c r="H169" s="65">
        <v>44207.0</v>
      </c>
    </row>
    <row r="170">
      <c r="E170" s="63" t="s">
        <v>220</v>
      </c>
      <c r="F170" s="63">
        <v>1.0</v>
      </c>
      <c r="G170" s="64">
        <v>700.0</v>
      </c>
      <c r="H170" s="65">
        <v>44207.0</v>
      </c>
    </row>
    <row r="171">
      <c r="E171" s="63" t="s">
        <v>221</v>
      </c>
      <c r="F171" s="63">
        <v>5.0</v>
      </c>
      <c r="G171" s="64">
        <v>1500.0</v>
      </c>
      <c r="H171" s="65">
        <v>44207.0</v>
      </c>
    </row>
    <row r="172">
      <c r="E172" s="67" t="s">
        <v>222</v>
      </c>
      <c r="F172" s="67" t="s">
        <v>223</v>
      </c>
      <c r="G172" s="68">
        <v>4000.0</v>
      </c>
      <c r="H172" s="69">
        <v>44207.0</v>
      </c>
    </row>
    <row r="173">
      <c r="E173" s="63" t="s">
        <v>224</v>
      </c>
      <c r="F173" s="63">
        <v>2.0</v>
      </c>
      <c r="G173" s="64">
        <v>1500.0</v>
      </c>
      <c r="H173" s="65">
        <v>44207.0</v>
      </c>
    </row>
    <row r="174">
      <c r="E174" s="63" t="s">
        <v>225</v>
      </c>
      <c r="F174" s="63" t="s">
        <v>226</v>
      </c>
      <c r="G174" s="64">
        <v>1800.0</v>
      </c>
      <c r="H174" s="65">
        <v>44208.0</v>
      </c>
    </row>
    <row r="175">
      <c r="E175" s="63" t="s">
        <v>138</v>
      </c>
      <c r="F175" s="63">
        <v>2.0</v>
      </c>
      <c r="G175" s="64">
        <v>300.0</v>
      </c>
      <c r="H175" s="65">
        <v>44208.0</v>
      </c>
    </row>
    <row r="176">
      <c r="E176" s="63" t="s">
        <v>186</v>
      </c>
      <c r="F176" s="63">
        <v>5.0</v>
      </c>
      <c r="G176" s="64">
        <v>300.0</v>
      </c>
      <c r="H176" s="65">
        <v>44208.0</v>
      </c>
    </row>
    <row r="177">
      <c r="E177" s="63" t="s">
        <v>227</v>
      </c>
      <c r="F177" s="63">
        <v>4.0</v>
      </c>
      <c r="G177" s="64">
        <v>1400.0</v>
      </c>
      <c r="H177" s="65">
        <v>44208.0</v>
      </c>
    </row>
    <row r="178">
      <c r="E178" s="63" t="s">
        <v>228</v>
      </c>
      <c r="F178" s="63">
        <v>2.0</v>
      </c>
      <c r="G178" s="64">
        <v>350.0</v>
      </c>
      <c r="H178" s="65">
        <v>44208.0</v>
      </c>
    </row>
    <row r="179">
      <c r="E179" s="63" t="s">
        <v>229</v>
      </c>
      <c r="F179" s="63">
        <v>6.0</v>
      </c>
      <c r="G179" s="64">
        <v>7000.0</v>
      </c>
      <c r="H179" s="65">
        <v>44208.0</v>
      </c>
    </row>
    <row r="180">
      <c r="E180" s="63" t="s">
        <v>80</v>
      </c>
      <c r="F180" s="63">
        <v>1.0</v>
      </c>
      <c r="G180" s="64">
        <v>630.0</v>
      </c>
      <c r="H180" s="65">
        <v>44208.0</v>
      </c>
    </row>
    <row r="181">
      <c r="E181" s="63" t="s">
        <v>230</v>
      </c>
      <c r="F181" s="63">
        <v>30.0</v>
      </c>
      <c r="G181" s="64">
        <v>16050.0</v>
      </c>
      <c r="H181" s="65">
        <v>44208.0</v>
      </c>
    </row>
    <row r="182">
      <c r="E182" s="63" t="s">
        <v>55</v>
      </c>
      <c r="F182" s="63" t="s">
        <v>231</v>
      </c>
      <c r="G182" s="64">
        <v>6000.0</v>
      </c>
      <c r="H182" s="65">
        <v>44208.0</v>
      </c>
    </row>
    <row r="183">
      <c r="E183" s="63" t="s">
        <v>126</v>
      </c>
      <c r="F183" s="63" t="s">
        <v>232</v>
      </c>
      <c r="G183" s="64">
        <v>1740.0</v>
      </c>
      <c r="H183" s="65">
        <v>44208.0</v>
      </c>
    </row>
    <row r="184">
      <c r="E184" s="63" t="s">
        <v>233</v>
      </c>
      <c r="F184" s="63">
        <v>12.0</v>
      </c>
      <c r="G184" s="64">
        <v>660.0</v>
      </c>
      <c r="H184" s="65">
        <v>44208.0</v>
      </c>
    </row>
    <row r="185">
      <c r="E185" s="63" t="s">
        <v>234</v>
      </c>
      <c r="F185" s="63">
        <v>1.0</v>
      </c>
      <c r="G185" s="64">
        <v>420.0</v>
      </c>
      <c r="H185" s="65">
        <v>44208.0</v>
      </c>
    </row>
    <row r="186">
      <c r="E186" s="63" t="s">
        <v>235</v>
      </c>
      <c r="F186" s="63">
        <v>1.0</v>
      </c>
      <c r="G186" s="64">
        <v>2500.0</v>
      </c>
      <c r="H186" s="65">
        <v>44208.0</v>
      </c>
    </row>
    <row r="187">
      <c r="E187" s="63" t="s">
        <v>112</v>
      </c>
      <c r="F187" s="63" t="s">
        <v>109</v>
      </c>
      <c r="G187" s="64">
        <v>650.0</v>
      </c>
      <c r="H187" s="65">
        <v>44208.0</v>
      </c>
    </row>
    <row r="188">
      <c r="E188" s="63" t="s">
        <v>236</v>
      </c>
      <c r="F188" s="63" t="s">
        <v>109</v>
      </c>
      <c r="G188" s="64">
        <v>450.0</v>
      </c>
      <c r="H188" s="65">
        <v>44208.0</v>
      </c>
    </row>
    <row r="189">
      <c r="E189" s="63" t="s">
        <v>237</v>
      </c>
      <c r="F189" s="63" t="s">
        <v>109</v>
      </c>
      <c r="G189" s="64">
        <v>500.0</v>
      </c>
      <c r="H189" s="65">
        <v>44208.0</v>
      </c>
    </row>
    <row r="190">
      <c r="E190" s="63" t="s">
        <v>187</v>
      </c>
      <c r="F190" s="63" t="s">
        <v>109</v>
      </c>
      <c r="G190" s="64">
        <v>650.0</v>
      </c>
      <c r="H190" s="65">
        <v>44208.0</v>
      </c>
    </row>
    <row r="191">
      <c r="E191" s="63" t="s">
        <v>238</v>
      </c>
      <c r="F191" s="63" t="s">
        <v>37</v>
      </c>
      <c r="G191" s="64">
        <v>300.0</v>
      </c>
      <c r="H191" s="65">
        <v>44208.0</v>
      </c>
    </row>
    <row r="192">
      <c r="E192" s="63" t="s">
        <v>239</v>
      </c>
      <c r="F192" s="63" t="s">
        <v>240</v>
      </c>
      <c r="G192" s="64">
        <v>2820.0</v>
      </c>
      <c r="H192" s="65">
        <v>44208.0</v>
      </c>
    </row>
    <row r="193">
      <c r="E193" s="63" t="s">
        <v>241</v>
      </c>
      <c r="F193" s="63" t="s">
        <v>45</v>
      </c>
      <c r="G193" s="64">
        <v>300.0</v>
      </c>
      <c r="H193" s="65">
        <v>44208.0</v>
      </c>
    </row>
    <row r="194">
      <c r="E194" s="63" t="s">
        <v>102</v>
      </c>
      <c r="F194" s="63">
        <v>2.0</v>
      </c>
      <c r="G194" s="64">
        <v>400.0</v>
      </c>
      <c r="H194" s="65">
        <v>44208.0</v>
      </c>
    </row>
    <row r="195">
      <c r="E195" s="63" t="s">
        <v>136</v>
      </c>
      <c r="F195" s="63" t="s">
        <v>185</v>
      </c>
      <c r="G195" s="64">
        <v>600.0</v>
      </c>
      <c r="H195" s="65">
        <v>44208.0</v>
      </c>
    </row>
    <row r="196">
      <c r="E196" s="63" t="s">
        <v>93</v>
      </c>
      <c r="F196" s="63" t="s">
        <v>217</v>
      </c>
      <c r="G196" s="64">
        <v>5300.0</v>
      </c>
      <c r="H196" s="65">
        <v>44208.0</v>
      </c>
    </row>
    <row r="197">
      <c r="E197" s="63" t="s">
        <v>242</v>
      </c>
      <c r="F197" s="63">
        <v>5.0</v>
      </c>
      <c r="G197" s="64">
        <v>450.0</v>
      </c>
      <c r="H197" s="65">
        <v>44208.0</v>
      </c>
    </row>
    <row r="198">
      <c r="E198" s="63" t="s">
        <v>243</v>
      </c>
      <c r="F198" s="63">
        <v>4.0</v>
      </c>
      <c r="G198" s="64">
        <v>550.0</v>
      </c>
      <c r="H198" s="65">
        <v>44208.0</v>
      </c>
    </row>
    <row r="199">
      <c r="E199" s="63" t="s">
        <v>147</v>
      </c>
      <c r="F199" s="63" t="s">
        <v>45</v>
      </c>
      <c r="G199" s="64">
        <v>3640.0</v>
      </c>
      <c r="H199" s="63" t="s">
        <v>244</v>
      </c>
    </row>
    <row r="200">
      <c r="E200" s="63" t="s">
        <v>245</v>
      </c>
      <c r="F200" s="63" t="s">
        <v>246</v>
      </c>
      <c r="G200" s="64">
        <v>4250.0</v>
      </c>
      <c r="H200" s="65">
        <v>44209.0</v>
      </c>
    </row>
    <row r="201">
      <c r="E201" s="63" t="s">
        <v>247</v>
      </c>
      <c r="F201" s="63">
        <v>1.0</v>
      </c>
      <c r="G201" s="64">
        <v>1200.0</v>
      </c>
      <c r="H201" s="65">
        <v>44209.0</v>
      </c>
    </row>
    <row r="202">
      <c r="E202" s="63" t="s">
        <v>152</v>
      </c>
      <c r="F202" s="63">
        <v>2.0</v>
      </c>
      <c r="G202" s="64">
        <v>400.0</v>
      </c>
      <c r="H202" s="65">
        <v>44210.0</v>
      </c>
    </row>
    <row r="203">
      <c r="E203" s="63" t="s">
        <v>55</v>
      </c>
      <c r="F203" s="63">
        <v>5.0</v>
      </c>
      <c r="G203" s="64">
        <v>700.0</v>
      </c>
      <c r="H203" s="65">
        <v>44210.0</v>
      </c>
    </row>
    <row r="204">
      <c r="E204" s="63" t="s">
        <v>248</v>
      </c>
      <c r="F204" s="63" t="s">
        <v>249</v>
      </c>
      <c r="G204" s="64">
        <v>1500.0</v>
      </c>
      <c r="H204" s="65">
        <v>44210.0</v>
      </c>
    </row>
    <row r="205">
      <c r="E205" s="63" t="s">
        <v>176</v>
      </c>
      <c r="F205" s="63" t="s">
        <v>125</v>
      </c>
      <c r="G205" s="64">
        <v>1000.0</v>
      </c>
      <c r="H205" s="65">
        <v>44210.0</v>
      </c>
    </row>
    <row r="206">
      <c r="E206" s="63" t="s">
        <v>250</v>
      </c>
      <c r="F206" s="63">
        <v>2.0</v>
      </c>
      <c r="G206" s="64">
        <v>1100.0</v>
      </c>
      <c r="H206" s="65">
        <v>44210.0</v>
      </c>
    </row>
    <row r="207">
      <c r="E207" s="63" t="s">
        <v>251</v>
      </c>
      <c r="F207" s="63" t="s">
        <v>43</v>
      </c>
      <c r="G207" s="64">
        <v>950.0</v>
      </c>
      <c r="H207" s="65">
        <v>44210.0</v>
      </c>
    </row>
    <row r="208">
      <c r="E208" s="63" t="s">
        <v>224</v>
      </c>
      <c r="F208" s="63">
        <v>1.0</v>
      </c>
      <c r="G208" s="64">
        <v>500.0</v>
      </c>
      <c r="H208" s="65">
        <v>44212.0</v>
      </c>
    </row>
    <row r="209">
      <c r="E209" s="63" t="s">
        <v>210</v>
      </c>
      <c r="F209" s="63">
        <v>23.0</v>
      </c>
      <c r="G209" s="64">
        <v>3000.0</v>
      </c>
      <c r="H209" s="65">
        <v>44211.0</v>
      </c>
    </row>
    <row r="210">
      <c r="E210" s="63" t="s">
        <v>252</v>
      </c>
      <c r="F210" s="63">
        <v>3.0</v>
      </c>
      <c r="G210" s="64">
        <v>2000.0</v>
      </c>
      <c r="H210" s="65">
        <v>44212.0</v>
      </c>
    </row>
    <row r="211">
      <c r="E211" s="63" t="s">
        <v>253</v>
      </c>
      <c r="F211" s="63">
        <v>2.0</v>
      </c>
      <c r="G211" s="64">
        <v>5000.0</v>
      </c>
      <c r="H211" s="65">
        <v>44212.0</v>
      </c>
    </row>
    <row r="212">
      <c r="E212" s="63" t="s">
        <v>215</v>
      </c>
      <c r="F212" s="63" t="s">
        <v>254</v>
      </c>
      <c r="G212" s="64">
        <v>5600.0</v>
      </c>
      <c r="H212" s="65">
        <v>44213.0</v>
      </c>
    </row>
    <row r="213">
      <c r="E213" s="63" t="s">
        <v>255</v>
      </c>
      <c r="F213" s="63">
        <v>5.0</v>
      </c>
      <c r="G213" s="64">
        <v>4500.0</v>
      </c>
      <c r="H213" s="65">
        <v>44213.0</v>
      </c>
    </row>
    <row r="214">
      <c r="E214" s="63" t="s">
        <v>220</v>
      </c>
      <c r="F214" s="63">
        <v>5.0</v>
      </c>
      <c r="G214" s="64">
        <v>600.0</v>
      </c>
      <c r="H214" s="65">
        <v>44214.0</v>
      </c>
    </row>
    <row r="215">
      <c r="E215" s="63" t="s">
        <v>186</v>
      </c>
      <c r="F215" s="63">
        <v>5.0</v>
      </c>
      <c r="G215" s="64">
        <v>500.0</v>
      </c>
      <c r="H215" s="65">
        <v>44214.0</v>
      </c>
    </row>
    <row r="216">
      <c r="E216" s="63" t="s">
        <v>256</v>
      </c>
      <c r="F216" s="63">
        <v>5.0</v>
      </c>
      <c r="G216" s="64">
        <v>1500.0</v>
      </c>
      <c r="H216" s="65">
        <v>44214.0</v>
      </c>
      <c r="K216" s="70" t="s">
        <v>18</v>
      </c>
      <c r="L216" s="71"/>
      <c r="M216" s="71"/>
      <c r="N216" s="57"/>
    </row>
    <row r="217">
      <c r="E217" s="63" t="s">
        <v>257</v>
      </c>
      <c r="F217" s="63">
        <v>3.0</v>
      </c>
      <c r="G217" s="64">
        <v>300.0</v>
      </c>
      <c r="H217" s="65">
        <v>44214.0</v>
      </c>
      <c r="K217" s="72" t="s">
        <v>258</v>
      </c>
      <c r="L217" s="72">
        <v>1.0</v>
      </c>
      <c r="M217" s="73">
        <v>1000.0</v>
      </c>
      <c r="N217" s="74">
        <v>44214.0</v>
      </c>
    </row>
    <row r="218">
      <c r="E218" s="63" t="s">
        <v>259</v>
      </c>
      <c r="F218" s="63">
        <v>10.0</v>
      </c>
      <c r="G218" s="64">
        <v>350.0</v>
      </c>
      <c r="H218" s="65">
        <v>44214.0</v>
      </c>
      <c r="K218" s="72" t="s">
        <v>260</v>
      </c>
      <c r="L218" s="72">
        <v>1.0</v>
      </c>
      <c r="M218" s="73">
        <v>20000.0</v>
      </c>
      <c r="N218" s="74">
        <v>44217.0</v>
      </c>
    </row>
    <row r="219">
      <c r="E219" s="63" t="s">
        <v>261</v>
      </c>
      <c r="F219" s="63">
        <v>2.0</v>
      </c>
      <c r="G219" s="64">
        <v>100.0</v>
      </c>
      <c r="H219" s="65">
        <v>44214.0</v>
      </c>
      <c r="K219" s="72" t="s">
        <v>262</v>
      </c>
      <c r="L219" s="72">
        <v>5.0</v>
      </c>
      <c r="M219" s="73">
        <v>12500.0</v>
      </c>
      <c r="N219" s="74">
        <v>44200.0</v>
      </c>
    </row>
    <row r="220">
      <c r="E220" s="63" t="s">
        <v>263</v>
      </c>
      <c r="F220" s="63" t="s">
        <v>113</v>
      </c>
      <c r="G220" s="64">
        <v>3500.0</v>
      </c>
      <c r="H220" s="65">
        <v>44214.0</v>
      </c>
      <c r="K220" s="72" t="s">
        <v>264</v>
      </c>
      <c r="L220" s="72">
        <v>1.0</v>
      </c>
      <c r="M220" s="73">
        <v>3000.0</v>
      </c>
      <c r="N220" s="74">
        <v>44201.0</v>
      </c>
    </row>
    <row r="221">
      <c r="E221" s="63" t="s">
        <v>176</v>
      </c>
      <c r="F221" s="63" t="s">
        <v>92</v>
      </c>
      <c r="G221" s="64">
        <v>1500.0</v>
      </c>
      <c r="H221" s="65">
        <v>44214.0</v>
      </c>
      <c r="K221" s="72" t="s">
        <v>265</v>
      </c>
      <c r="L221" s="72">
        <v>1.0</v>
      </c>
      <c r="M221" s="73">
        <v>1800.0</v>
      </c>
      <c r="N221" s="74">
        <v>44205.0</v>
      </c>
    </row>
    <row r="222">
      <c r="E222" s="63" t="s">
        <v>266</v>
      </c>
      <c r="F222" s="63" t="s">
        <v>267</v>
      </c>
      <c r="G222" s="64">
        <v>10400.0</v>
      </c>
      <c r="H222" s="65">
        <v>44214.0</v>
      </c>
      <c r="K222" s="72" t="s">
        <v>268</v>
      </c>
      <c r="L222" s="72">
        <v>1.0</v>
      </c>
      <c r="M222" s="73">
        <v>3300.0</v>
      </c>
      <c r="N222" s="74">
        <v>44214.0</v>
      </c>
    </row>
    <row r="223">
      <c r="E223" s="63" t="s">
        <v>269</v>
      </c>
      <c r="F223" s="63" t="s">
        <v>113</v>
      </c>
      <c r="G223" s="64">
        <v>5000.0</v>
      </c>
      <c r="H223" s="65">
        <v>44214.0</v>
      </c>
      <c r="K223" s="75" t="s">
        <v>270</v>
      </c>
      <c r="L223" s="75">
        <v>1.0</v>
      </c>
      <c r="M223" s="75">
        <v>6000.0</v>
      </c>
      <c r="N223" s="76">
        <v>44215.0</v>
      </c>
    </row>
    <row r="224">
      <c r="E224" s="67" t="s">
        <v>105</v>
      </c>
      <c r="F224" s="67" t="s">
        <v>59</v>
      </c>
      <c r="G224" s="68">
        <v>12000.0</v>
      </c>
      <c r="H224" s="69">
        <v>44214.0</v>
      </c>
      <c r="K224" s="75" t="s">
        <v>271</v>
      </c>
      <c r="L224" s="75" t="s">
        <v>272</v>
      </c>
      <c r="M224" s="75">
        <v>3000.0</v>
      </c>
      <c r="N224" s="76">
        <v>44223.0</v>
      </c>
    </row>
    <row r="225">
      <c r="E225" s="67"/>
      <c r="F225" s="67"/>
      <c r="G225" s="68"/>
      <c r="H225" s="69"/>
      <c r="K225" s="75" t="s">
        <v>273</v>
      </c>
      <c r="L225" s="77"/>
      <c r="M225" s="78">
        <f>SUM(M217:M224)</f>
        <v>50600</v>
      </c>
      <c r="N225" s="77"/>
    </row>
    <row r="226">
      <c r="E226" s="63" t="s">
        <v>274</v>
      </c>
      <c r="F226" s="63">
        <v>4.0</v>
      </c>
      <c r="G226" s="64">
        <v>1700.0</v>
      </c>
      <c r="H226" s="65">
        <v>44216.0</v>
      </c>
    </row>
    <row r="227">
      <c r="E227" s="63" t="s">
        <v>138</v>
      </c>
      <c r="F227" s="63">
        <v>5.0</v>
      </c>
      <c r="G227" s="64">
        <v>500.0</v>
      </c>
      <c r="H227" s="65">
        <v>44216.0</v>
      </c>
    </row>
    <row r="228">
      <c r="E228" s="63" t="s">
        <v>186</v>
      </c>
      <c r="F228" s="63">
        <v>3.0</v>
      </c>
      <c r="G228" s="64">
        <v>400.0</v>
      </c>
      <c r="H228" s="65">
        <v>44216.0</v>
      </c>
    </row>
    <row r="229">
      <c r="E229" s="63" t="s">
        <v>176</v>
      </c>
      <c r="F229" s="63" t="s">
        <v>275</v>
      </c>
      <c r="G229" s="64">
        <v>2200.0</v>
      </c>
      <c r="H229" s="65">
        <v>44216.0</v>
      </c>
    </row>
    <row r="230">
      <c r="E230" s="63" t="s">
        <v>76</v>
      </c>
      <c r="F230" s="63" t="s">
        <v>109</v>
      </c>
      <c r="G230" s="64">
        <v>500.0</v>
      </c>
      <c r="H230" s="65">
        <v>44217.0</v>
      </c>
    </row>
    <row r="231">
      <c r="E231" s="63" t="s">
        <v>138</v>
      </c>
      <c r="F231" s="63">
        <v>6.0</v>
      </c>
      <c r="G231" s="64">
        <v>660.0</v>
      </c>
      <c r="H231" s="65">
        <v>44217.0</v>
      </c>
    </row>
    <row r="232">
      <c r="E232" s="63" t="s">
        <v>256</v>
      </c>
      <c r="F232" s="63">
        <v>2.0</v>
      </c>
      <c r="G232" s="64">
        <v>600.0</v>
      </c>
      <c r="H232" s="65">
        <v>44217.0</v>
      </c>
    </row>
    <row r="233">
      <c r="E233" s="63" t="s">
        <v>276</v>
      </c>
      <c r="F233" s="63">
        <v>2.0</v>
      </c>
      <c r="G233" s="64">
        <v>400.0</v>
      </c>
      <c r="H233" s="65">
        <v>44217.0</v>
      </c>
    </row>
    <row r="234">
      <c r="E234" s="63" t="s">
        <v>180</v>
      </c>
      <c r="F234" s="63">
        <v>3.0</v>
      </c>
      <c r="G234" s="64">
        <v>100.0</v>
      </c>
      <c r="H234" s="65">
        <v>44217.0</v>
      </c>
    </row>
    <row r="235">
      <c r="E235" s="63" t="s">
        <v>136</v>
      </c>
      <c r="F235" s="63" t="s">
        <v>137</v>
      </c>
      <c r="G235" s="64">
        <v>350.0</v>
      </c>
      <c r="H235" s="65">
        <v>44217.0</v>
      </c>
    </row>
    <row r="236">
      <c r="E236" s="63" t="s">
        <v>277</v>
      </c>
      <c r="F236" s="63">
        <v>2.0</v>
      </c>
      <c r="G236" s="64">
        <v>400.0</v>
      </c>
      <c r="H236" s="65">
        <v>44217.0</v>
      </c>
    </row>
    <row r="237">
      <c r="E237" s="63" t="s">
        <v>278</v>
      </c>
      <c r="F237" s="63">
        <v>5.0</v>
      </c>
      <c r="G237" s="64">
        <v>600.0</v>
      </c>
      <c r="H237" s="65">
        <v>44219.0</v>
      </c>
    </row>
    <row r="238">
      <c r="E238" s="63" t="s">
        <v>76</v>
      </c>
      <c r="F238" s="63" t="s">
        <v>109</v>
      </c>
      <c r="G238" s="64">
        <v>500.0</v>
      </c>
      <c r="H238" s="65">
        <v>44219.0</v>
      </c>
    </row>
    <row r="239">
      <c r="E239" s="63" t="s">
        <v>224</v>
      </c>
      <c r="F239" s="63">
        <v>1.0</v>
      </c>
      <c r="G239" s="64">
        <v>500.0</v>
      </c>
      <c r="H239" s="65">
        <v>44219.0</v>
      </c>
    </row>
    <row r="240">
      <c r="E240" s="63" t="s">
        <v>149</v>
      </c>
      <c r="F240" s="63">
        <v>2.0</v>
      </c>
      <c r="G240" s="64">
        <v>2000.0</v>
      </c>
      <c r="H240" s="65">
        <v>44219.0</v>
      </c>
    </row>
    <row r="241">
      <c r="E241" s="63" t="s">
        <v>279</v>
      </c>
      <c r="F241" s="63" t="s">
        <v>125</v>
      </c>
      <c r="G241" s="64">
        <v>600.0</v>
      </c>
      <c r="H241" s="65">
        <v>44221.0</v>
      </c>
    </row>
    <row r="242">
      <c r="E242" s="63" t="s">
        <v>280</v>
      </c>
      <c r="F242" s="63">
        <v>9.0</v>
      </c>
      <c r="G242" s="64">
        <v>450.0</v>
      </c>
      <c r="H242" s="65">
        <v>44223.0</v>
      </c>
    </row>
    <row r="243">
      <c r="E243" s="63" t="s">
        <v>176</v>
      </c>
      <c r="F243" s="63" t="s">
        <v>194</v>
      </c>
      <c r="G243" s="64">
        <v>4000.0</v>
      </c>
      <c r="H243" s="65">
        <v>44223.0</v>
      </c>
    </row>
    <row r="244">
      <c r="E244" s="63" t="s">
        <v>176</v>
      </c>
      <c r="F244" s="63" t="s">
        <v>94</v>
      </c>
      <c r="G244" s="64">
        <v>2000.0</v>
      </c>
      <c r="H244" s="65">
        <v>44224.0</v>
      </c>
    </row>
    <row r="245">
      <c r="E245" s="63" t="s">
        <v>256</v>
      </c>
      <c r="F245" s="63">
        <v>1.0</v>
      </c>
      <c r="G245" s="64">
        <v>400.0</v>
      </c>
      <c r="H245" s="65">
        <v>44224.0</v>
      </c>
    </row>
    <row r="246">
      <c r="E246" s="63" t="s">
        <v>76</v>
      </c>
      <c r="F246" s="63" t="s">
        <v>109</v>
      </c>
      <c r="G246" s="64">
        <v>500.0</v>
      </c>
      <c r="H246" s="65">
        <v>44224.0</v>
      </c>
    </row>
    <row r="247">
      <c r="E247" s="63" t="s">
        <v>281</v>
      </c>
      <c r="F247" s="63">
        <v>1.0</v>
      </c>
      <c r="G247" s="64">
        <v>100.0</v>
      </c>
      <c r="H247" s="65">
        <v>44224.0</v>
      </c>
    </row>
    <row r="248">
      <c r="E248" s="63" t="s">
        <v>282</v>
      </c>
      <c r="F248" s="63">
        <v>1.0</v>
      </c>
      <c r="G248" s="64">
        <v>250.0</v>
      </c>
      <c r="H248" s="65">
        <v>44224.0</v>
      </c>
    </row>
    <row r="249">
      <c r="E249" s="63" t="s">
        <v>283</v>
      </c>
      <c r="F249" s="63">
        <v>35.0</v>
      </c>
      <c r="G249" s="64">
        <v>2800.0</v>
      </c>
      <c r="H249" s="65">
        <v>44224.0</v>
      </c>
    </row>
    <row r="250">
      <c r="E250" s="63" t="s">
        <v>149</v>
      </c>
      <c r="F250" s="63">
        <v>2.0</v>
      </c>
      <c r="G250" s="64">
        <v>2000.0</v>
      </c>
      <c r="H250" s="65">
        <v>44225.0</v>
      </c>
    </row>
    <row r="251">
      <c r="E251" s="63" t="s">
        <v>176</v>
      </c>
      <c r="F251" s="63" t="s">
        <v>219</v>
      </c>
      <c r="G251" s="64">
        <v>5000.0</v>
      </c>
      <c r="H251" s="65">
        <v>44225.0</v>
      </c>
    </row>
    <row r="252">
      <c r="E252" s="79"/>
      <c r="F252" s="79"/>
      <c r="G252" s="80"/>
      <c r="H252" s="79"/>
    </row>
    <row r="253">
      <c r="E253" s="79"/>
      <c r="F253" s="79"/>
      <c r="G253" s="80"/>
      <c r="H253" s="79"/>
    </row>
    <row r="254">
      <c r="E254" s="79"/>
      <c r="F254" s="79"/>
      <c r="G254" s="80"/>
      <c r="H254" s="79"/>
    </row>
    <row r="255">
      <c r="E255" s="81" t="s">
        <v>284</v>
      </c>
      <c r="F255" s="1"/>
      <c r="G255" s="82">
        <f>SUM(G6:G254)</f>
        <v>473265</v>
      </c>
      <c r="H255" s="1"/>
    </row>
    <row r="256">
      <c r="E256" s="81" t="s">
        <v>285</v>
      </c>
      <c r="F256" s="1"/>
      <c r="G256" s="83">
        <v>20000.0</v>
      </c>
      <c r="H256" s="1"/>
    </row>
    <row r="257">
      <c r="E257" s="81" t="s">
        <v>286</v>
      </c>
      <c r="F257" s="1"/>
      <c r="G257" s="27">
        <f>G256-G255</f>
        <v>-453265</v>
      </c>
      <c r="H257" s="1"/>
    </row>
  </sheetData>
  <mergeCells count="1">
    <mergeCell ref="K216:N2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75"/>
    <col customWidth="1" min="12" max="12" width="18.88"/>
  </cols>
  <sheetData>
    <row r="1">
      <c r="A1" s="1"/>
      <c r="B1" s="2" t="s">
        <v>0</v>
      </c>
      <c r="C1" s="84" t="s">
        <v>287</v>
      </c>
      <c r="D1" s="84" t="s">
        <v>288</v>
      </c>
      <c r="E1" s="84" t="s">
        <v>289</v>
      </c>
      <c r="F1" s="84" t="s">
        <v>290</v>
      </c>
      <c r="G1" s="84" t="s">
        <v>291</v>
      </c>
      <c r="H1" s="84" t="s">
        <v>292</v>
      </c>
      <c r="I1" s="84" t="s">
        <v>293</v>
      </c>
      <c r="J1" s="84" t="s">
        <v>294</v>
      </c>
      <c r="K1" s="84" t="s">
        <v>295</v>
      </c>
      <c r="L1" s="85" t="s">
        <v>296</v>
      </c>
    </row>
    <row r="2">
      <c r="A2" s="7" t="s">
        <v>9</v>
      </c>
      <c r="B2" s="86">
        <v>44197.0</v>
      </c>
      <c r="C2" s="87">
        <v>1.0</v>
      </c>
      <c r="D2" s="88">
        <v>0.0</v>
      </c>
      <c r="E2" s="87">
        <v>0.0</v>
      </c>
      <c r="F2" s="87">
        <v>1.0</v>
      </c>
      <c r="G2" s="87">
        <v>1.0</v>
      </c>
      <c r="H2" s="87">
        <v>0.0</v>
      </c>
      <c r="I2" s="87">
        <v>0.0</v>
      </c>
      <c r="J2" s="87">
        <v>1.0</v>
      </c>
      <c r="K2" s="87">
        <v>1.0</v>
      </c>
      <c r="L2" s="1"/>
    </row>
    <row r="3">
      <c r="A3" s="15" t="s">
        <v>11</v>
      </c>
      <c r="B3" s="8">
        <v>44198.0</v>
      </c>
      <c r="C3" s="89">
        <v>1.0</v>
      </c>
      <c r="D3" s="89">
        <v>1.0</v>
      </c>
      <c r="E3" s="89">
        <v>0.0</v>
      </c>
      <c r="F3" s="89">
        <v>0.0</v>
      </c>
      <c r="G3" s="89">
        <v>1.0</v>
      </c>
      <c r="H3" s="89">
        <v>0.0</v>
      </c>
      <c r="I3" s="89">
        <v>1.0</v>
      </c>
      <c r="J3" s="89">
        <v>1.0</v>
      </c>
      <c r="K3" s="89">
        <v>1.0</v>
      </c>
      <c r="L3" s="1"/>
    </row>
    <row r="4">
      <c r="A4" s="15" t="s">
        <v>12</v>
      </c>
      <c r="B4" s="8">
        <v>44199.0</v>
      </c>
      <c r="C4" s="89">
        <v>0.0</v>
      </c>
      <c r="D4" s="89">
        <v>1.0</v>
      </c>
      <c r="E4" s="89">
        <v>0.0</v>
      </c>
      <c r="F4" s="89">
        <v>0.0</v>
      </c>
      <c r="G4" s="89">
        <v>1.0</v>
      </c>
      <c r="H4" s="89">
        <v>0.0</v>
      </c>
      <c r="I4" s="89">
        <v>1.0</v>
      </c>
      <c r="J4" s="89">
        <v>1.0</v>
      </c>
      <c r="K4" s="89">
        <v>1.0</v>
      </c>
      <c r="L4" s="1"/>
    </row>
    <row r="5">
      <c r="A5" s="15" t="s">
        <v>13</v>
      </c>
      <c r="B5" s="8">
        <v>44200.0</v>
      </c>
      <c r="C5" s="90">
        <v>1.0</v>
      </c>
      <c r="D5" s="90">
        <v>1.0</v>
      </c>
      <c r="E5" s="90">
        <v>0.0</v>
      </c>
      <c r="F5" s="90">
        <v>0.0</v>
      </c>
      <c r="G5" s="90">
        <v>1.0</v>
      </c>
      <c r="H5" s="90">
        <v>0.0</v>
      </c>
      <c r="I5" s="90">
        <v>1.0</v>
      </c>
      <c r="J5" s="90">
        <v>1.0</v>
      </c>
      <c r="K5" s="90">
        <v>1.0</v>
      </c>
      <c r="L5" s="1"/>
    </row>
    <row r="6">
      <c r="A6" s="15" t="s">
        <v>14</v>
      </c>
      <c r="B6" s="8">
        <v>44201.0</v>
      </c>
      <c r="C6" s="90">
        <v>1.0</v>
      </c>
      <c r="D6" s="90">
        <v>1.0</v>
      </c>
      <c r="E6" s="90">
        <v>0.0</v>
      </c>
      <c r="F6" s="90">
        <v>0.0</v>
      </c>
      <c r="G6" s="90">
        <v>1.0</v>
      </c>
      <c r="H6" s="90">
        <v>1.0</v>
      </c>
      <c r="I6" s="90">
        <v>1.0</v>
      </c>
      <c r="J6" s="90">
        <v>0.0</v>
      </c>
      <c r="K6" s="90">
        <v>1.0</v>
      </c>
      <c r="L6" s="1"/>
    </row>
    <row r="7">
      <c r="A7" s="15" t="s">
        <v>15</v>
      </c>
      <c r="B7" s="8">
        <v>44202.0</v>
      </c>
      <c r="C7" s="90">
        <v>1.0</v>
      </c>
      <c r="D7" s="90">
        <v>1.0</v>
      </c>
      <c r="E7" s="90">
        <v>0.0</v>
      </c>
      <c r="F7" s="90">
        <v>0.0</v>
      </c>
      <c r="G7" s="90">
        <v>1.0</v>
      </c>
      <c r="H7" s="90">
        <v>1.0</v>
      </c>
      <c r="I7" s="90">
        <v>1.0</v>
      </c>
      <c r="J7" s="90">
        <v>1.0</v>
      </c>
      <c r="K7" s="90">
        <v>1.0</v>
      </c>
      <c r="L7" s="1"/>
    </row>
    <row r="8">
      <c r="A8" s="15" t="s">
        <v>16</v>
      </c>
      <c r="B8" s="8">
        <v>44203.0</v>
      </c>
      <c r="C8" s="90">
        <v>1.0</v>
      </c>
      <c r="D8" s="90">
        <v>1.0</v>
      </c>
      <c r="E8" s="90">
        <v>0.0</v>
      </c>
      <c r="F8" s="90">
        <v>1.0</v>
      </c>
      <c r="G8" s="90">
        <v>1.0</v>
      </c>
      <c r="H8" s="90">
        <v>1.0</v>
      </c>
      <c r="I8" s="90">
        <v>1.0</v>
      </c>
      <c r="J8" s="90">
        <v>1.0</v>
      </c>
      <c r="K8" s="90">
        <v>1.0</v>
      </c>
      <c r="L8" s="1"/>
    </row>
    <row r="9">
      <c r="A9" s="7" t="s">
        <v>9</v>
      </c>
      <c r="B9" s="86">
        <v>44204.0</v>
      </c>
      <c r="C9" s="87">
        <v>1.0</v>
      </c>
      <c r="D9" s="88">
        <v>0.0</v>
      </c>
      <c r="E9" s="87">
        <v>0.0</v>
      </c>
      <c r="F9" s="87">
        <v>1.0</v>
      </c>
      <c r="G9" s="87">
        <v>0.0</v>
      </c>
      <c r="H9" s="87">
        <v>0.0</v>
      </c>
      <c r="I9" s="87">
        <v>1.0</v>
      </c>
      <c r="J9" s="87">
        <v>1.0</v>
      </c>
      <c r="K9" s="87">
        <v>1.0</v>
      </c>
      <c r="L9" s="1"/>
    </row>
    <row r="10">
      <c r="A10" s="15" t="s">
        <v>11</v>
      </c>
      <c r="B10" s="8">
        <v>44205.0</v>
      </c>
      <c r="C10" s="90">
        <v>1.0</v>
      </c>
      <c r="D10" s="90">
        <v>1.0</v>
      </c>
      <c r="E10" s="90">
        <v>0.0</v>
      </c>
      <c r="F10" s="90">
        <v>1.0</v>
      </c>
      <c r="G10" s="90">
        <v>1.0</v>
      </c>
      <c r="H10" s="90">
        <v>1.0</v>
      </c>
      <c r="I10" s="90">
        <v>1.0</v>
      </c>
      <c r="J10" s="90">
        <v>1.0</v>
      </c>
      <c r="K10" s="90">
        <v>1.0</v>
      </c>
      <c r="L10" s="1"/>
    </row>
    <row r="11">
      <c r="A11" s="15" t="s">
        <v>12</v>
      </c>
      <c r="B11" s="8">
        <v>44206.0</v>
      </c>
      <c r="C11" s="90">
        <v>1.0</v>
      </c>
      <c r="D11" s="90">
        <v>1.0</v>
      </c>
      <c r="E11" s="90">
        <v>0.0</v>
      </c>
      <c r="F11" s="90">
        <v>1.0</v>
      </c>
      <c r="G11" s="90">
        <v>1.0</v>
      </c>
      <c r="H11" s="90">
        <v>1.0</v>
      </c>
      <c r="I11" s="90">
        <v>1.0</v>
      </c>
      <c r="J11" s="90">
        <v>1.0</v>
      </c>
      <c r="K11" s="90">
        <v>1.0</v>
      </c>
      <c r="L11" s="1"/>
    </row>
    <row r="12">
      <c r="A12" s="15" t="s">
        <v>13</v>
      </c>
      <c r="B12" s="8">
        <v>44207.0</v>
      </c>
      <c r="C12" s="90">
        <v>1.0</v>
      </c>
      <c r="D12" s="90">
        <v>1.0</v>
      </c>
      <c r="E12" s="90">
        <v>0.0</v>
      </c>
      <c r="F12" s="90">
        <v>1.0</v>
      </c>
      <c r="G12" s="90">
        <v>1.0</v>
      </c>
      <c r="H12" s="90">
        <v>1.0</v>
      </c>
      <c r="I12" s="90">
        <v>1.0</v>
      </c>
      <c r="J12" s="90">
        <v>1.0</v>
      </c>
      <c r="K12" s="90">
        <v>2.0</v>
      </c>
      <c r="L12" s="1"/>
    </row>
    <row r="13">
      <c r="A13" s="15" t="s">
        <v>14</v>
      </c>
      <c r="B13" s="8">
        <v>44208.0</v>
      </c>
      <c r="C13" s="90">
        <v>0.0</v>
      </c>
      <c r="D13" s="90">
        <v>1.0</v>
      </c>
      <c r="E13" s="90">
        <v>0.0</v>
      </c>
      <c r="F13" s="90">
        <v>1.0</v>
      </c>
      <c r="G13" s="90">
        <v>1.0</v>
      </c>
      <c r="H13" s="90">
        <v>1.0</v>
      </c>
      <c r="I13" s="90">
        <v>1.0</v>
      </c>
      <c r="J13" s="90">
        <v>1.0</v>
      </c>
      <c r="K13" s="90">
        <v>2.0</v>
      </c>
      <c r="L13" s="1"/>
    </row>
    <row r="14">
      <c r="A14" s="15" t="s">
        <v>15</v>
      </c>
      <c r="B14" s="8">
        <v>44209.0</v>
      </c>
      <c r="C14" s="90">
        <v>0.0</v>
      </c>
      <c r="D14" s="90">
        <v>1.0</v>
      </c>
      <c r="E14" s="90">
        <v>0.0</v>
      </c>
      <c r="F14" s="90">
        <v>0.0</v>
      </c>
      <c r="G14" s="90">
        <v>1.0</v>
      </c>
      <c r="H14" s="90">
        <v>1.0</v>
      </c>
      <c r="I14" s="90">
        <v>1.0</v>
      </c>
      <c r="J14" s="90">
        <v>1.0</v>
      </c>
      <c r="K14" s="90">
        <v>1.0</v>
      </c>
      <c r="L14" s="1"/>
    </row>
    <row r="15">
      <c r="A15" s="15" t="s">
        <v>16</v>
      </c>
      <c r="B15" s="8">
        <v>44210.0</v>
      </c>
      <c r="C15" s="90">
        <v>0.0</v>
      </c>
      <c r="D15" s="90">
        <v>1.0</v>
      </c>
      <c r="E15" s="90">
        <v>0.0</v>
      </c>
      <c r="F15" s="90">
        <v>0.0</v>
      </c>
      <c r="G15" s="90">
        <v>0.0</v>
      </c>
      <c r="H15" s="90">
        <v>1.0</v>
      </c>
      <c r="I15" s="90">
        <v>1.0</v>
      </c>
      <c r="J15" s="90">
        <v>1.0</v>
      </c>
      <c r="K15" s="90">
        <v>1.5</v>
      </c>
      <c r="L15" s="1"/>
    </row>
    <row r="16">
      <c r="A16" s="7" t="s">
        <v>9</v>
      </c>
      <c r="B16" s="86">
        <v>44211.0</v>
      </c>
      <c r="C16" s="87">
        <v>0.0</v>
      </c>
      <c r="D16" s="88">
        <v>0.0</v>
      </c>
      <c r="E16" s="87">
        <v>0.0</v>
      </c>
      <c r="F16" s="87">
        <v>0.0</v>
      </c>
      <c r="G16" s="87">
        <v>0.0</v>
      </c>
      <c r="H16" s="87">
        <v>0.0</v>
      </c>
      <c r="I16" s="87">
        <v>0.0</v>
      </c>
      <c r="J16" s="87">
        <v>0.0</v>
      </c>
      <c r="K16" s="87">
        <v>0.0</v>
      </c>
      <c r="L16" s="1"/>
    </row>
    <row r="17">
      <c r="A17" s="15" t="s">
        <v>11</v>
      </c>
      <c r="B17" s="8">
        <v>44212.0</v>
      </c>
      <c r="C17" s="90">
        <v>0.0</v>
      </c>
      <c r="D17" s="90">
        <v>0.0</v>
      </c>
      <c r="E17" s="90">
        <v>0.0</v>
      </c>
      <c r="F17" s="90">
        <v>0.0</v>
      </c>
      <c r="G17" s="90">
        <v>0.0</v>
      </c>
      <c r="H17" s="90">
        <v>0.0</v>
      </c>
      <c r="I17" s="90">
        <v>1.0</v>
      </c>
      <c r="J17" s="90">
        <v>0.0</v>
      </c>
      <c r="K17" s="90">
        <v>0.0</v>
      </c>
      <c r="L17" s="1"/>
    </row>
    <row r="18">
      <c r="A18" s="15" t="s">
        <v>12</v>
      </c>
      <c r="B18" s="8">
        <v>44213.0</v>
      </c>
      <c r="C18" s="90">
        <v>0.0</v>
      </c>
      <c r="D18" s="90">
        <v>1.0</v>
      </c>
      <c r="E18" s="90">
        <v>0.0</v>
      </c>
      <c r="F18" s="90">
        <v>1.0</v>
      </c>
      <c r="G18" s="90">
        <v>1.0</v>
      </c>
      <c r="H18" s="90">
        <v>1.0</v>
      </c>
      <c r="I18" s="90">
        <v>1.0</v>
      </c>
      <c r="J18" s="90">
        <v>1.0</v>
      </c>
      <c r="K18" s="90">
        <v>1.0</v>
      </c>
      <c r="L18" s="1"/>
    </row>
    <row r="19">
      <c r="A19" s="15" t="s">
        <v>13</v>
      </c>
      <c r="B19" s="8">
        <v>44214.0</v>
      </c>
      <c r="C19" s="90">
        <v>1.0</v>
      </c>
      <c r="D19" s="90">
        <v>1.0</v>
      </c>
      <c r="E19" s="90">
        <v>0.0</v>
      </c>
      <c r="F19" s="90">
        <v>0.0</v>
      </c>
      <c r="G19" s="90">
        <v>1.0</v>
      </c>
      <c r="H19" s="90">
        <v>1.0</v>
      </c>
      <c r="I19" s="90">
        <v>1.0</v>
      </c>
      <c r="J19" s="90">
        <v>1.0</v>
      </c>
      <c r="K19" s="90">
        <v>1.0</v>
      </c>
      <c r="L19" s="1"/>
    </row>
    <row r="20">
      <c r="A20" s="15" t="s">
        <v>14</v>
      </c>
      <c r="B20" s="8">
        <v>44215.0</v>
      </c>
      <c r="C20" s="90">
        <v>1.0</v>
      </c>
      <c r="D20" s="90">
        <v>1.0</v>
      </c>
      <c r="E20" s="90">
        <v>0.0</v>
      </c>
      <c r="F20" s="90">
        <v>0.0</v>
      </c>
      <c r="G20" s="90">
        <v>1.0</v>
      </c>
      <c r="H20" s="90">
        <v>1.0</v>
      </c>
      <c r="I20" s="90">
        <v>1.0</v>
      </c>
      <c r="J20" s="90">
        <v>1.0</v>
      </c>
      <c r="K20" s="90">
        <v>1.0</v>
      </c>
      <c r="L20" s="1"/>
    </row>
    <row r="21">
      <c r="A21" s="15" t="s">
        <v>15</v>
      </c>
      <c r="B21" s="8">
        <v>44216.0</v>
      </c>
      <c r="C21" s="90">
        <v>1.0</v>
      </c>
      <c r="D21" s="90">
        <v>1.0</v>
      </c>
      <c r="E21" s="90">
        <v>0.0</v>
      </c>
      <c r="F21" s="90">
        <v>0.0</v>
      </c>
      <c r="G21" s="90">
        <v>1.0</v>
      </c>
      <c r="H21" s="90">
        <v>1.0</v>
      </c>
      <c r="I21" s="90">
        <v>1.0</v>
      </c>
      <c r="J21" s="90">
        <v>1.0</v>
      </c>
      <c r="K21" s="90">
        <v>1.0</v>
      </c>
      <c r="L21" s="1"/>
    </row>
    <row r="22">
      <c r="A22" s="15" t="s">
        <v>16</v>
      </c>
      <c r="B22" s="8">
        <v>44217.0</v>
      </c>
      <c r="C22" s="90">
        <v>1.0</v>
      </c>
      <c r="D22" s="90">
        <v>1.0</v>
      </c>
      <c r="E22" s="90">
        <v>0.0</v>
      </c>
      <c r="F22" s="90">
        <v>1.0</v>
      </c>
      <c r="G22" s="90">
        <v>1.0</v>
      </c>
      <c r="H22" s="90">
        <v>1.0</v>
      </c>
      <c r="I22" s="90">
        <v>1.0</v>
      </c>
      <c r="J22" s="90">
        <v>1.0</v>
      </c>
      <c r="K22" s="90">
        <v>1.0</v>
      </c>
      <c r="L22" s="1"/>
    </row>
    <row r="23">
      <c r="A23" s="7" t="s">
        <v>9</v>
      </c>
      <c r="B23" s="86">
        <v>44218.0</v>
      </c>
      <c r="C23" s="87">
        <v>1.0</v>
      </c>
      <c r="D23" s="88">
        <v>0.0</v>
      </c>
      <c r="E23" s="87">
        <v>0.0</v>
      </c>
      <c r="F23" s="87">
        <v>1.0</v>
      </c>
      <c r="G23" s="87">
        <v>0.0</v>
      </c>
      <c r="H23" s="87">
        <v>0.0</v>
      </c>
      <c r="I23" s="87">
        <v>1.0</v>
      </c>
      <c r="J23" s="87">
        <v>1.0</v>
      </c>
      <c r="K23" s="87">
        <v>1.0</v>
      </c>
      <c r="L23" s="1"/>
    </row>
    <row r="24">
      <c r="A24" s="15" t="s">
        <v>11</v>
      </c>
      <c r="B24" s="8">
        <v>44219.0</v>
      </c>
      <c r="C24" s="91">
        <v>1.0</v>
      </c>
      <c r="D24" s="91">
        <v>1.0</v>
      </c>
      <c r="E24" s="91">
        <v>0.0</v>
      </c>
      <c r="F24" s="91">
        <v>0.0</v>
      </c>
      <c r="G24" s="91">
        <v>0.0</v>
      </c>
      <c r="H24" s="91">
        <v>1.0</v>
      </c>
      <c r="I24" s="91">
        <v>1.0</v>
      </c>
      <c r="J24" s="91">
        <v>1.0</v>
      </c>
      <c r="K24" s="91">
        <v>1.0</v>
      </c>
      <c r="L24" s="1"/>
    </row>
    <row r="25">
      <c r="A25" s="15" t="s">
        <v>12</v>
      </c>
      <c r="B25" s="8">
        <v>44220.0</v>
      </c>
      <c r="C25" s="91">
        <v>1.0</v>
      </c>
      <c r="D25" s="91">
        <v>1.0</v>
      </c>
      <c r="E25" s="91">
        <v>0.0</v>
      </c>
      <c r="F25" s="91">
        <v>0.0</v>
      </c>
      <c r="G25" s="91">
        <v>1.0</v>
      </c>
      <c r="H25" s="91">
        <v>1.0</v>
      </c>
      <c r="I25" s="91">
        <v>1.0</v>
      </c>
      <c r="J25" s="91">
        <v>1.0</v>
      </c>
      <c r="K25" s="91">
        <v>1.0</v>
      </c>
      <c r="L25" s="1"/>
    </row>
    <row r="26">
      <c r="A26" s="15" t="s">
        <v>13</v>
      </c>
      <c r="B26" s="8">
        <v>44221.0</v>
      </c>
      <c r="C26" s="91">
        <v>1.0</v>
      </c>
      <c r="D26" s="91">
        <v>1.0</v>
      </c>
      <c r="E26" s="91">
        <v>0.0</v>
      </c>
      <c r="F26" s="91">
        <v>0.0</v>
      </c>
      <c r="G26" s="91">
        <v>1.0</v>
      </c>
      <c r="H26" s="91">
        <v>1.0</v>
      </c>
      <c r="I26" s="91">
        <v>1.0</v>
      </c>
      <c r="J26" s="91">
        <v>1.0</v>
      </c>
      <c r="K26" s="91">
        <v>1.0</v>
      </c>
      <c r="L26" s="1"/>
    </row>
    <row r="27">
      <c r="A27" s="15" t="s">
        <v>14</v>
      </c>
      <c r="B27" s="8">
        <v>44222.0</v>
      </c>
      <c r="C27" s="91">
        <v>1.0</v>
      </c>
      <c r="D27" s="91">
        <v>1.0</v>
      </c>
      <c r="E27" s="91">
        <v>0.0</v>
      </c>
      <c r="F27" s="91">
        <v>0.0</v>
      </c>
      <c r="G27" s="91">
        <v>1.0</v>
      </c>
      <c r="H27" s="91">
        <v>1.0</v>
      </c>
      <c r="I27" s="91">
        <v>1.0</v>
      </c>
      <c r="J27" s="91">
        <v>1.0</v>
      </c>
      <c r="K27" s="91">
        <v>1.0</v>
      </c>
      <c r="L27" s="1"/>
    </row>
    <row r="28">
      <c r="A28" s="15" t="s">
        <v>15</v>
      </c>
      <c r="B28" s="8">
        <v>44223.0</v>
      </c>
      <c r="C28" s="91">
        <v>1.0</v>
      </c>
      <c r="D28" s="91">
        <v>1.0</v>
      </c>
      <c r="E28" s="91">
        <v>0.0</v>
      </c>
      <c r="F28" s="91">
        <v>0.0</v>
      </c>
      <c r="G28" s="91">
        <v>1.0</v>
      </c>
      <c r="H28" s="91">
        <v>1.0</v>
      </c>
      <c r="I28" s="91">
        <v>1.0</v>
      </c>
      <c r="J28" s="91">
        <v>1.0</v>
      </c>
      <c r="K28" s="91">
        <v>1.0</v>
      </c>
      <c r="L28" s="1"/>
    </row>
    <row r="29">
      <c r="A29" s="44" t="s">
        <v>16</v>
      </c>
      <c r="B29" s="8">
        <v>44224.0</v>
      </c>
      <c r="C29" s="91">
        <v>1.0</v>
      </c>
      <c r="D29" s="91">
        <v>1.0</v>
      </c>
      <c r="E29" s="91">
        <v>0.0</v>
      </c>
      <c r="F29" s="91">
        <v>1.0</v>
      </c>
      <c r="G29" s="91">
        <v>1.0</v>
      </c>
      <c r="H29" s="91">
        <v>1.0</v>
      </c>
      <c r="I29" s="91">
        <v>1.0</v>
      </c>
      <c r="J29" s="91">
        <v>1.0</v>
      </c>
      <c r="K29" s="91">
        <v>1.0</v>
      </c>
      <c r="L29" s="1"/>
    </row>
    <row r="30">
      <c r="A30" s="46" t="s">
        <v>9</v>
      </c>
      <c r="B30" s="86">
        <v>44225.0</v>
      </c>
      <c r="C30" s="92">
        <v>1.0</v>
      </c>
      <c r="D30" s="93">
        <v>0.0</v>
      </c>
      <c r="E30" s="92">
        <v>0.0</v>
      </c>
      <c r="F30" s="92">
        <v>1.0</v>
      </c>
      <c r="G30" s="92">
        <v>0.0</v>
      </c>
      <c r="H30" s="92">
        <v>0.0</v>
      </c>
      <c r="I30" s="92">
        <v>1.0</v>
      </c>
      <c r="J30" s="92">
        <v>1.0</v>
      </c>
      <c r="K30" s="92">
        <v>1.0</v>
      </c>
      <c r="L30" s="1"/>
    </row>
    <row r="31">
      <c r="A31" s="44" t="s">
        <v>11</v>
      </c>
      <c r="B31" s="8">
        <v>44226.0</v>
      </c>
      <c r="C31" s="91">
        <v>1.0</v>
      </c>
      <c r="D31" s="91">
        <v>1.0</v>
      </c>
      <c r="E31" s="91">
        <v>0.0</v>
      </c>
      <c r="F31" s="91">
        <v>0.0</v>
      </c>
      <c r="G31" s="91">
        <v>1.0</v>
      </c>
      <c r="H31" s="91">
        <v>1.0</v>
      </c>
      <c r="I31" s="91">
        <v>1.0</v>
      </c>
      <c r="J31" s="91">
        <v>1.0</v>
      </c>
      <c r="K31" s="91">
        <v>1.0</v>
      </c>
      <c r="L31" s="1"/>
    </row>
    <row r="32">
      <c r="A32" s="44" t="s">
        <v>12</v>
      </c>
      <c r="B32" s="8">
        <v>44227.0</v>
      </c>
      <c r="C32" s="94">
        <v>1.0</v>
      </c>
      <c r="D32" s="94">
        <v>1.0</v>
      </c>
      <c r="E32" s="94">
        <v>0.0</v>
      </c>
      <c r="F32" s="94">
        <v>0.0</v>
      </c>
      <c r="G32" s="94">
        <v>0.0</v>
      </c>
      <c r="H32" s="94">
        <v>1.0</v>
      </c>
      <c r="I32" s="94">
        <v>1.0</v>
      </c>
      <c r="J32" s="94">
        <v>0.5</v>
      </c>
      <c r="K32" s="94">
        <v>1.0</v>
      </c>
      <c r="L32" s="1"/>
    </row>
    <row r="33">
      <c r="A33" s="48" t="s">
        <v>21</v>
      </c>
      <c r="B33" s="49"/>
      <c r="C33" s="95">
        <f t="shared" ref="C33:K33" si="1">SUM(C2:C32)</f>
        <v>24</v>
      </c>
      <c r="D33" s="96">
        <f t="shared" si="1"/>
        <v>25</v>
      </c>
      <c r="E33" s="96">
        <f t="shared" si="1"/>
        <v>0</v>
      </c>
      <c r="F33" s="96">
        <f t="shared" si="1"/>
        <v>12</v>
      </c>
      <c r="G33" s="96">
        <f t="shared" si="1"/>
        <v>23</v>
      </c>
      <c r="H33" s="96">
        <f t="shared" si="1"/>
        <v>22</v>
      </c>
      <c r="I33" s="96">
        <f t="shared" si="1"/>
        <v>29</v>
      </c>
      <c r="J33" s="96">
        <f t="shared" si="1"/>
        <v>27.5</v>
      </c>
      <c r="K33" s="96">
        <f t="shared" si="1"/>
        <v>31.5</v>
      </c>
      <c r="L33" s="1"/>
    </row>
    <row r="34">
      <c r="A34" s="56" t="s">
        <v>22</v>
      </c>
      <c r="B34" s="57"/>
      <c r="C34" s="97">
        <v>1920.0</v>
      </c>
      <c r="D34" s="97">
        <v>1200.0</v>
      </c>
      <c r="E34" s="98">
        <v>900.0</v>
      </c>
      <c r="F34" s="97">
        <v>1000.0</v>
      </c>
      <c r="G34" s="97">
        <v>1153.0</v>
      </c>
      <c r="H34" s="98">
        <v>800.0</v>
      </c>
      <c r="I34" s="97">
        <v>500.0</v>
      </c>
      <c r="J34" s="97">
        <v>961.0</v>
      </c>
      <c r="K34" s="97">
        <v>1153.0</v>
      </c>
      <c r="L34" s="99">
        <f t="shared" ref="L34:L35" si="3">SUM(C34:K34)</f>
        <v>9587</v>
      </c>
    </row>
    <row r="35">
      <c r="C35" s="100">
        <f t="shared" ref="C35:J35" si="2">C34*C33</f>
        <v>46080</v>
      </c>
      <c r="D35" s="100">
        <f t="shared" si="2"/>
        <v>30000</v>
      </c>
      <c r="E35" s="100">
        <f t="shared" si="2"/>
        <v>0</v>
      </c>
      <c r="F35" s="100">
        <f t="shared" si="2"/>
        <v>12000</v>
      </c>
      <c r="G35" s="100">
        <f t="shared" si="2"/>
        <v>26519</v>
      </c>
      <c r="H35" s="100">
        <f t="shared" si="2"/>
        <v>17600</v>
      </c>
      <c r="I35" s="100">
        <f t="shared" si="2"/>
        <v>14500</v>
      </c>
      <c r="J35" s="100">
        <f t="shared" si="2"/>
        <v>26427.5</v>
      </c>
      <c r="K35" s="100">
        <f>K33*K34</f>
        <v>36319.5</v>
      </c>
      <c r="L35" s="82">
        <f t="shared" si="3"/>
        <v>209446</v>
      </c>
    </row>
  </sheetData>
  <mergeCells count="1">
    <mergeCell ref="A34:B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38"/>
    <col customWidth="1" min="9" max="9" width="20.13"/>
    <col customWidth="1" min="10" max="10" width="21.75"/>
  </cols>
  <sheetData>
    <row r="15">
      <c r="G15" s="1"/>
      <c r="H15" s="24" t="s">
        <v>297</v>
      </c>
      <c r="I15" s="24" t="s">
        <v>4</v>
      </c>
      <c r="J15" s="24" t="s">
        <v>298</v>
      </c>
    </row>
    <row r="16">
      <c r="E16" s="101"/>
      <c r="G16" s="79">
        <v>1.0</v>
      </c>
      <c r="H16" s="79" t="s">
        <v>287</v>
      </c>
      <c r="I16" s="80">
        <f>Pointage!C35*1</f>
        <v>46080</v>
      </c>
      <c r="J16" s="102"/>
      <c r="K16" s="103">
        <v>46000.0</v>
      </c>
    </row>
    <row r="17">
      <c r="G17" s="79">
        <v>2.0</v>
      </c>
      <c r="H17" s="79" t="s">
        <v>291</v>
      </c>
      <c r="I17" s="80">
        <f>Pointage!G35*1</f>
        <v>26519</v>
      </c>
      <c r="J17" s="104">
        <v>2000.0</v>
      </c>
      <c r="K17" s="103">
        <v>25000.0</v>
      </c>
    </row>
    <row r="18">
      <c r="G18" s="79">
        <v>3.0</v>
      </c>
      <c r="H18" s="79" t="s">
        <v>299</v>
      </c>
      <c r="I18" s="80">
        <f>Pointage!J35*1</f>
        <v>26427.5</v>
      </c>
      <c r="J18" s="102"/>
      <c r="K18" s="103">
        <v>26500.0</v>
      </c>
    </row>
    <row r="19">
      <c r="G19" s="79">
        <v>4.0</v>
      </c>
      <c r="H19" s="79" t="s">
        <v>300</v>
      </c>
      <c r="I19" s="80">
        <f>Pointage!I35*1</f>
        <v>14500</v>
      </c>
      <c r="J19" s="102"/>
      <c r="K19" s="103">
        <v>14500.0</v>
      </c>
    </row>
    <row r="20">
      <c r="G20" s="79">
        <v>5.0</v>
      </c>
      <c r="H20" s="79" t="s">
        <v>301</v>
      </c>
      <c r="I20" s="80">
        <f>Pointage!E35*1</f>
        <v>0</v>
      </c>
      <c r="J20" s="105"/>
      <c r="K20" s="78"/>
    </row>
    <row r="21">
      <c r="G21" s="79">
        <v>6.0</v>
      </c>
      <c r="H21" s="79" t="s">
        <v>290</v>
      </c>
      <c r="I21" s="80">
        <f>Pointage!F35*1</f>
        <v>12000</v>
      </c>
      <c r="J21" s="102"/>
      <c r="K21" s="103">
        <v>12000.0</v>
      </c>
    </row>
    <row r="22">
      <c r="G22" s="79">
        <v>7.0</v>
      </c>
      <c r="H22" s="79" t="s">
        <v>288</v>
      </c>
      <c r="I22" s="80">
        <f>Pointage!D35*1</f>
        <v>30000</v>
      </c>
      <c r="J22" s="102"/>
      <c r="K22" s="103">
        <v>30000.0</v>
      </c>
    </row>
    <row r="23">
      <c r="G23" s="79">
        <v>8.0</v>
      </c>
      <c r="H23" s="79" t="s">
        <v>292</v>
      </c>
      <c r="I23" s="80">
        <f>Pointage!H35*1</f>
        <v>17600</v>
      </c>
      <c r="J23" s="102"/>
      <c r="K23" s="103">
        <v>18000.0</v>
      </c>
    </row>
    <row r="24">
      <c r="G24" s="79">
        <v>9.0</v>
      </c>
      <c r="H24" s="79" t="s">
        <v>295</v>
      </c>
      <c r="I24" s="80">
        <f>Pointage!K35*1</f>
        <v>36319.5</v>
      </c>
      <c r="J24" s="102"/>
      <c r="K24" s="103">
        <v>36300.0</v>
      </c>
    </row>
    <row r="25">
      <c r="G25" s="1"/>
      <c r="H25" s="106" t="s">
        <v>21</v>
      </c>
      <c r="I25" s="107">
        <f t="shared" ref="I25:J25" si="1">SUM(I16:I24)</f>
        <v>209446</v>
      </c>
      <c r="J25" s="108">
        <f t="shared" si="1"/>
        <v>2000</v>
      </c>
    </row>
    <row r="26">
      <c r="G26" s="1"/>
      <c r="H26" s="109"/>
      <c r="I26" s="110">
        <f>I25-J25</f>
        <v>207446</v>
      </c>
      <c r="J26" s="39"/>
    </row>
  </sheetData>
  <drawing r:id="rId1"/>
</worksheet>
</file>