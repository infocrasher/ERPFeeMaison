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Les charges " sheetId="3" r:id="rId6"/>
    <sheet state="visible" name="les Salaires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<sst xmlns="http://schemas.openxmlformats.org/spreadsheetml/2006/main" count="522" uniqueCount="320">
  <si>
    <t>Date</t>
  </si>
  <si>
    <t>Recette Décembre 2023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</si>
  <si>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</si>
  <si>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</si>
  <si>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</si>
  <si>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</si>
  <si>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</si>
  <si>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</si>
  <si>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</si>
  <si>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Decembre 2023</t>
  </si>
  <si>
    <t>Lundi</t>
  </si>
  <si>
    <t>Mardi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</si>
  <si>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</si>
  <si>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</si>
  <si>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</si>
  <si>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</si>
  <si>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Mercredi</t>
  </si>
  <si>
    <t>Jeudi</t>
  </si>
  <si>
    <t>Vendredi</t>
  </si>
  <si>
    <t xml:space="preserve">Moyenne des charges par jour </t>
  </si>
  <si>
    <t xml:space="preserve">Objectif </t>
  </si>
  <si>
    <t>Samedi</t>
  </si>
  <si>
    <t>Dimanche</t>
  </si>
  <si>
    <t>²</t>
  </si>
  <si>
    <t xml:space="preserve">Cash restant </t>
  </si>
  <si>
    <t>Magasin</t>
  </si>
  <si>
    <t>Cash réel</t>
  </si>
  <si>
    <t>Mes dettes pour le magasin</t>
  </si>
  <si>
    <t>loyer</t>
  </si>
  <si>
    <t>éspèce : 280000</t>
  </si>
  <si>
    <t>Sofiane: 65000</t>
  </si>
  <si>
    <t>ccp:  50000</t>
  </si>
  <si>
    <t xml:space="preserve">Cliente Baraki: 4100Da </t>
  </si>
  <si>
    <t>chèque: 21000</t>
  </si>
  <si>
    <t>zaki: 3600</t>
  </si>
  <si>
    <t>Sousou: 2000</t>
  </si>
  <si>
    <t>mme saihi : 12500</t>
  </si>
  <si>
    <t xml:space="preserve">Différence mois de Juin </t>
  </si>
  <si>
    <t>Bouchaoui:9300</t>
  </si>
  <si>
    <t>la vrai caisse: 13000</t>
  </si>
  <si>
    <t xml:space="preserve">Célia: 6500Da </t>
  </si>
  <si>
    <t xml:space="preserve">Différence objectif </t>
  </si>
  <si>
    <t xml:space="preserve">Différence du Totale </t>
  </si>
  <si>
    <t xml:space="preserve">Les vendredis </t>
  </si>
  <si>
    <t>rest à payer</t>
  </si>
  <si>
    <t>-</t>
  </si>
  <si>
    <t xml:space="preserve">Lynda </t>
  </si>
  <si>
    <t xml:space="preserve">Hafida </t>
  </si>
  <si>
    <t>Djamila</t>
  </si>
  <si>
    <t>Youssera</t>
  </si>
  <si>
    <t>Yasmine vendeuse</t>
  </si>
  <si>
    <t>Kenza</t>
  </si>
  <si>
    <t>Yasmine</t>
  </si>
  <si>
    <t>Fouzia</t>
  </si>
  <si>
    <t>Nadjet</t>
  </si>
  <si>
    <t>Alia</t>
  </si>
  <si>
    <t>Fatiha</t>
  </si>
  <si>
    <t>Samira</t>
  </si>
  <si>
    <t>Nadia</t>
  </si>
  <si>
    <t>Nadia femme de ménage</t>
  </si>
  <si>
    <t>Sarah</t>
  </si>
  <si>
    <t>40 baklawa à la maison</t>
  </si>
  <si>
    <t>parts de rechta + les salés</t>
  </si>
  <si>
    <t>gateaux au chocolat</t>
  </si>
  <si>
    <t>1,5</t>
  </si>
  <si>
    <t xml:space="preserve">Zohra </t>
  </si>
  <si>
    <t xml:space="preserve">Hafida , Djamila , Alia sont sorti à 16h sans autorisation </t>
  </si>
  <si>
    <t xml:space="preserve">nadia et Fouzia kharedjou à 15h </t>
  </si>
  <si>
    <t>Produit</t>
  </si>
  <si>
    <t>Quantité</t>
  </si>
  <si>
    <t xml:space="preserve">Prix unitaire </t>
  </si>
  <si>
    <t>Prix</t>
  </si>
  <si>
    <t>Date d'achat</t>
  </si>
  <si>
    <t xml:space="preserve">huile 5 litres </t>
  </si>
  <si>
    <t>miel 3 kg</t>
  </si>
  <si>
    <t>Farine 5kg</t>
  </si>
  <si>
    <t>Margarine Fleurial 500g</t>
  </si>
  <si>
    <t>Boite 48/10</t>
  </si>
  <si>
    <t>Boite 48/07</t>
  </si>
  <si>
    <t>Boite 36</t>
  </si>
  <si>
    <t>Boite 24</t>
  </si>
  <si>
    <t>Boite 18</t>
  </si>
  <si>
    <t>Boite 12</t>
  </si>
  <si>
    <t>Boite 08</t>
  </si>
  <si>
    <t>Farine Sim 1kg</t>
  </si>
  <si>
    <t>sucre glace</t>
  </si>
  <si>
    <t>Amandes blanc</t>
  </si>
  <si>
    <t>levure chimique</t>
  </si>
  <si>
    <t>miel 5 kg</t>
  </si>
  <si>
    <t>Tomate consreve 1kg</t>
  </si>
  <si>
    <t>3akeri</t>
  </si>
  <si>
    <t>Thon 2kg</t>
  </si>
  <si>
    <t xml:space="preserve">fromage gout  cheddar </t>
  </si>
  <si>
    <t>cheddar+ gouda</t>
  </si>
  <si>
    <t>oeuf</t>
  </si>
  <si>
    <t>lait en poudre</t>
  </si>
  <si>
    <t>gherss</t>
  </si>
  <si>
    <t>confiture</t>
  </si>
  <si>
    <t>harrissa</t>
  </si>
  <si>
    <t>pipites de chocolat</t>
  </si>
  <si>
    <t>khel</t>
  </si>
  <si>
    <t>levure boulangère</t>
  </si>
  <si>
    <t>javel 5 litres</t>
  </si>
  <si>
    <t>Quissetes Num 8</t>
  </si>
  <si>
    <t>Quissetes Num 10</t>
  </si>
  <si>
    <t>Quissetes Num 12</t>
  </si>
  <si>
    <t>cerise</t>
  </si>
  <si>
    <t>pate d'arome beurre vanille</t>
  </si>
  <si>
    <t>pate d'arome fleur d'oranger</t>
  </si>
  <si>
    <t>pate arome citron</t>
  </si>
  <si>
    <t>semen 1,8kg</t>
  </si>
  <si>
    <t>barquette 500ccl</t>
  </si>
  <si>
    <t>sac croissant 24</t>
  </si>
  <si>
    <t>sac croissant 18</t>
  </si>
  <si>
    <t>sachet blanc 5kg</t>
  </si>
  <si>
    <t>Chocolat wedjedane noisette</t>
  </si>
  <si>
    <t xml:space="preserve">Chocolat wedjedane blanc </t>
  </si>
  <si>
    <t>Chocolat wedjedane noir</t>
  </si>
  <si>
    <t xml:space="preserve">chocolat wedjedane au lait </t>
  </si>
  <si>
    <t>sucre cristalisé 25kg</t>
  </si>
  <si>
    <t>semoule Sim Moyenne 10kg</t>
  </si>
  <si>
    <t>semoul moyenne Moula 10kg</t>
  </si>
  <si>
    <t>semoule Sahel 10kg</t>
  </si>
  <si>
    <t>semoule fine 25kg</t>
  </si>
  <si>
    <t>semoule moula moyenne 2kg</t>
  </si>
  <si>
    <t xml:space="preserve">djeldjelane </t>
  </si>
  <si>
    <t>chakhechoukhate defer</t>
  </si>
  <si>
    <t>couscouss</t>
  </si>
  <si>
    <t>poches à douille</t>
  </si>
  <si>
    <t xml:space="preserve">Les gants </t>
  </si>
  <si>
    <t>sanoudj+ 7abet 7alawa+ djeldjelan</t>
  </si>
  <si>
    <t>boites transparents 500cc</t>
  </si>
  <si>
    <t xml:space="preserve">Margarine fleurial 250g      </t>
  </si>
  <si>
    <t>barquettes 1065</t>
  </si>
  <si>
    <t>chocolat à tartiner batouche 10kg</t>
  </si>
  <si>
    <t>maa zehar</t>
  </si>
  <si>
    <t>fromage slices</t>
  </si>
  <si>
    <t>huile d'olive</t>
  </si>
  <si>
    <t>Papier Aluminium</t>
  </si>
  <si>
    <t xml:space="preserve">Maiis </t>
  </si>
  <si>
    <t>sel</t>
  </si>
  <si>
    <t>jus ifruit</t>
  </si>
  <si>
    <t>Divers</t>
  </si>
  <si>
    <t>pain tacos</t>
  </si>
  <si>
    <t>viande hachée</t>
  </si>
  <si>
    <t>poulet haché</t>
  </si>
  <si>
    <t>cuisses de poulet</t>
  </si>
  <si>
    <t>rechta</t>
  </si>
  <si>
    <t>pate feuilletée</t>
  </si>
  <si>
    <t>fromage blanc</t>
  </si>
  <si>
    <t>Boites demie plateau</t>
  </si>
  <si>
    <t>viande morceaux</t>
  </si>
  <si>
    <t>fromage bidon 2kg</t>
  </si>
  <si>
    <t>légumes + salade + épinards</t>
  </si>
  <si>
    <t>bessel</t>
  </si>
  <si>
    <t>maiizina</t>
  </si>
  <si>
    <t>hamissa</t>
  </si>
  <si>
    <t>navet courgette</t>
  </si>
  <si>
    <t>fromage bidon 3,8kg</t>
  </si>
  <si>
    <t>noix</t>
  </si>
  <si>
    <t>olive</t>
  </si>
  <si>
    <t>poulet haché + blanc de poulet</t>
  </si>
  <si>
    <t>salade tomate</t>
  </si>
  <si>
    <t>demie cuisses de poulet</t>
  </si>
  <si>
    <t>facture d'eau</t>
  </si>
  <si>
    <t>jus Tchina 33cl</t>
  </si>
  <si>
    <t>canette Peps 24cl</t>
  </si>
  <si>
    <t>eau miniral 0,5l</t>
  </si>
  <si>
    <t xml:space="preserve">poulethaché et blanc de poulet </t>
  </si>
  <si>
    <t xml:space="preserve">fleur de décoration </t>
  </si>
  <si>
    <t>petit pois surgelée</t>
  </si>
  <si>
    <t>crevette</t>
  </si>
  <si>
    <t>Publication Instagram</t>
  </si>
  <si>
    <t>crème fraiche</t>
  </si>
  <si>
    <t>camembert</t>
  </si>
  <si>
    <t>tomate fraiche</t>
  </si>
  <si>
    <t>Netoyage des vitres</t>
  </si>
  <si>
    <t>Hamissa</t>
  </si>
  <si>
    <t>plateau oeuf</t>
  </si>
  <si>
    <t xml:space="preserve">confiture </t>
  </si>
  <si>
    <t xml:space="preserve">légumes  </t>
  </si>
  <si>
    <t>isis</t>
  </si>
  <si>
    <t>boite de sauce blanc</t>
  </si>
  <si>
    <t>fromage bidon 4kg</t>
  </si>
  <si>
    <t>schet de pain transprent</t>
  </si>
  <si>
    <t>sachets blanc 5kg</t>
  </si>
  <si>
    <t>sac croissant 23</t>
  </si>
  <si>
    <t xml:space="preserve">sac croissant </t>
  </si>
  <si>
    <t>Zohra femme de ménage</t>
  </si>
  <si>
    <t>pate à filo</t>
  </si>
  <si>
    <t>Gherss</t>
  </si>
  <si>
    <t>pistache</t>
  </si>
  <si>
    <t xml:space="preserve">oeuf </t>
  </si>
  <si>
    <t xml:space="preserve">fromage Bidon </t>
  </si>
  <si>
    <t xml:space="preserve">fromage slices </t>
  </si>
  <si>
    <t>poulet Haché</t>
  </si>
  <si>
    <t>cure-dents</t>
  </si>
  <si>
    <t>livraison Nakkach</t>
  </si>
  <si>
    <t>Sel</t>
  </si>
  <si>
    <t>légumes</t>
  </si>
  <si>
    <t>Cuisses de poulet et blanc de poulet</t>
  </si>
  <si>
    <t>deyoul</t>
  </si>
  <si>
    <t>Terida</t>
  </si>
  <si>
    <t>zebib</t>
  </si>
  <si>
    <t>djouz</t>
  </si>
  <si>
    <t>Kabouya</t>
  </si>
  <si>
    <t>sachets de congélation 3kg</t>
  </si>
  <si>
    <t>viande de mouton</t>
  </si>
  <si>
    <t xml:space="preserve">cuisses de poulet  </t>
  </si>
  <si>
    <t>isis+ javel+ sanibon</t>
  </si>
  <si>
    <t xml:space="preserve">pièces pour réparation du locale et magasin+ main d'ouevre </t>
  </si>
  <si>
    <t>dragée imprimé</t>
  </si>
  <si>
    <t xml:space="preserve">transfert spéciale yanayer </t>
  </si>
  <si>
    <t>recharege mobile + internet</t>
  </si>
  <si>
    <t xml:space="preserve">Lahssen kouressates </t>
  </si>
  <si>
    <t>huile 2 litres</t>
  </si>
  <si>
    <t>épinards</t>
  </si>
  <si>
    <t xml:space="preserve">Javel  </t>
  </si>
  <si>
    <t xml:space="preserve">eau 5 litres </t>
  </si>
  <si>
    <t>anonyme</t>
  </si>
  <si>
    <t>Boite Raib</t>
  </si>
  <si>
    <t>Boite 500CCL</t>
  </si>
  <si>
    <t>Tofia caramel</t>
  </si>
  <si>
    <t>Sucre glace</t>
  </si>
  <si>
    <t>chocolat wedjedane noir</t>
  </si>
  <si>
    <t>Confiture 1 kg</t>
  </si>
  <si>
    <t xml:space="preserve">Cheddar </t>
  </si>
  <si>
    <t>Sac Poubelle</t>
  </si>
  <si>
    <t>Semoule Grosse Moula</t>
  </si>
  <si>
    <t>Harrissa 1kg</t>
  </si>
  <si>
    <t>Tomate conserve 1kg</t>
  </si>
  <si>
    <t xml:space="preserve">huile Elio 5 litres </t>
  </si>
  <si>
    <t xml:space="preserve">salade  </t>
  </si>
  <si>
    <t>olive dénoyauté</t>
  </si>
  <si>
    <t>olive éffilet</t>
  </si>
  <si>
    <t>carrote courgette</t>
  </si>
  <si>
    <t>coriandre + menth</t>
  </si>
  <si>
    <t>confiture 500g</t>
  </si>
  <si>
    <t>serpillière</t>
  </si>
  <si>
    <t>monche + bali</t>
  </si>
  <si>
    <t>javel 2 litre</t>
  </si>
  <si>
    <t>Boites 48/10</t>
  </si>
  <si>
    <t>Boites 48/07</t>
  </si>
  <si>
    <t>boites 48/10 blanc</t>
  </si>
  <si>
    <t>ciseaux</t>
  </si>
  <si>
    <t>décapant</t>
  </si>
  <si>
    <t>lavette</t>
  </si>
  <si>
    <t>Pril isis</t>
  </si>
  <si>
    <t>Lave sol</t>
  </si>
  <si>
    <t>javel</t>
  </si>
  <si>
    <t xml:space="preserve">blanc de poulet </t>
  </si>
  <si>
    <t xml:space="preserve">kerwia </t>
  </si>
  <si>
    <t xml:space="preserve">boites de plastique </t>
  </si>
  <si>
    <t xml:space="preserve">celerie </t>
  </si>
  <si>
    <t>Fouzia transport</t>
  </si>
  <si>
    <t>nétoyage vitres</t>
  </si>
  <si>
    <t>kumun , 3akeri, jingembre</t>
  </si>
  <si>
    <t xml:space="preserve">épice poulet </t>
  </si>
  <si>
    <t>3adess</t>
  </si>
  <si>
    <t>grandes barquettes</t>
  </si>
  <si>
    <t>légumes chakhechoukha</t>
  </si>
  <si>
    <t>olive noir</t>
  </si>
  <si>
    <t>berekoukess</t>
  </si>
  <si>
    <t>les légumes</t>
  </si>
  <si>
    <t>poulet haché+ blanc de poulet</t>
  </si>
  <si>
    <t>coca + fanta 33cl</t>
  </si>
  <si>
    <t>crème liquide</t>
  </si>
  <si>
    <t>7aleba</t>
  </si>
  <si>
    <t>rass el7anout</t>
  </si>
  <si>
    <t>pate feuillté</t>
  </si>
  <si>
    <t xml:space="preserve">légumes </t>
  </si>
  <si>
    <t>Tomate fraiche</t>
  </si>
  <si>
    <t>courgette artichaud</t>
  </si>
  <si>
    <t>pomme de terre carotte</t>
  </si>
  <si>
    <t>piment fort</t>
  </si>
  <si>
    <t>salade verte</t>
  </si>
  <si>
    <t xml:space="preserve">CNAS </t>
  </si>
  <si>
    <t>Billel Les plaques</t>
  </si>
  <si>
    <t>Bessel</t>
  </si>
  <si>
    <t>escalope de poulet</t>
  </si>
  <si>
    <t>olive dénouayté</t>
  </si>
  <si>
    <t>Riz étuvé 500g</t>
  </si>
  <si>
    <t>isis vaisselle</t>
  </si>
  <si>
    <t>citron</t>
  </si>
  <si>
    <t xml:space="preserve">poulet haché  </t>
  </si>
  <si>
    <t>épices ail + ognion+ couscouss</t>
  </si>
  <si>
    <t>27/1/202327/1/2023</t>
  </si>
  <si>
    <t>epinards+ thym</t>
  </si>
  <si>
    <t>tommate sauce tomate</t>
  </si>
  <si>
    <t xml:space="preserve">tomate fraiche dure </t>
  </si>
  <si>
    <t xml:space="preserve">courgette  </t>
  </si>
  <si>
    <t>navet</t>
  </si>
  <si>
    <t xml:space="preserve">carrote  </t>
  </si>
  <si>
    <t>petite barquette</t>
  </si>
  <si>
    <t>poivron</t>
  </si>
  <si>
    <t>netoyage vitres</t>
  </si>
  <si>
    <t>Ka3ek nakach</t>
  </si>
  <si>
    <t>Dette Mourad</t>
  </si>
  <si>
    <t xml:space="preserve">Baghrir Amina </t>
  </si>
  <si>
    <t>Mois de Décembre</t>
  </si>
  <si>
    <t>833 décembre+ 172 janvier</t>
  </si>
  <si>
    <t>CM Instagram</t>
  </si>
  <si>
    <t>Totale</t>
  </si>
  <si>
    <t xml:space="preserve">Nom </t>
  </si>
  <si>
    <t>Avance</t>
  </si>
  <si>
    <t xml:space="preserve">Salaire à payer </t>
  </si>
  <si>
    <t xml:space="preserve">Sofiane </t>
  </si>
  <si>
    <t>Amel</t>
  </si>
  <si>
    <t>Lynda</t>
  </si>
  <si>
    <t>5000+2000</t>
  </si>
  <si>
    <t>Yasmine Vendeuse</t>
  </si>
  <si>
    <t xml:space="preserve">Yasmine </t>
  </si>
  <si>
    <t xml:space="preserve">Nadia   </t>
  </si>
  <si>
    <t>1000+2000</t>
  </si>
  <si>
    <t>TOTAL</t>
  </si>
  <si>
    <t xml:space="preserve">Jours de Travaille </t>
  </si>
  <si>
    <t>Mois de Decembre</t>
  </si>
  <si>
    <t xml:space="preserve">Mois de Janvier </t>
  </si>
  <si>
    <t>Salaires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</si>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</sst>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d/m/yyyy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7.0"/>
      <color theme="1"/>
      <name val="Arial"/>
    </font>
    <font>
      <sz val="19.0"/>
      <color theme="1"/>
      <name val="Arial"/>
    </font>
    <font>
      <sz val="18.0"/>
      <color rgb="FFFF0000"/>
      <name val="Arial"/>
    </font>
    <font>
      <b/>
      <sz val="20.0"/>
      <color theme="1"/>
      <name val="Arial"/>
    </font>
    <font>
      <sz val="18.0"/>
      <color rgb="FFFFFF00"/>
      <name val="Arial"/>
    </font>
    <font>
      <b/>
      <sz val="23.0"/>
      <color theme="1"/>
      <name val="Arial"/>
    </font>
    <font>
      <sz val="21.0"/>
      <color theme="1"/>
      <name val="Arial"/>
    </font>
    <font>
      <sz val="18.0"/>
      <color theme="1"/>
      <name val="Arial"/>
      <scheme val="minor"/>
    </font>
    <font>
      <sz val="18.0"/>
      <color rgb="FF434343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sz val="21.0"/>
      <color theme="1"/>
      <name val="Arial"/>
      <scheme val="minor"/>
    </font>
    <font>
      <sz val="20.0"/>
      <color theme="1"/>
      <name val="Arial"/>
    </font>
    <font>
      <sz val="23.0"/>
      <color theme="1"/>
      <name val="Arial"/>
    </font>
    <font>
      <b/>
      <sz val="24.0"/>
      <color theme="1"/>
      <name val="Arial"/>
    </font>
    <font/>
    <font>
      <color theme="1"/>
      <name val="Arial"/>
      <scheme val="minor"/>
    </font>
    <font>
      <b/>
      <sz val="18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9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4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4" numFmtId="0" xfId="0" applyAlignment="1" applyBorder="1" applyFont="1">
      <alignment horizontal="center" vertical="bottom"/>
    </xf>
    <xf borderId="0" fillId="5" fontId="1" numFmtId="0" xfId="0" applyAlignment="1" applyFont="1">
      <alignment vertical="bottom"/>
    </xf>
    <xf borderId="1" fillId="5" fontId="1" numFmtId="165" xfId="0" applyAlignment="1" applyBorder="1" applyFont="1" applyNumberFormat="1">
      <alignment vertical="bottom"/>
    </xf>
    <xf borderId="1" fillId="6" fontId="3" numFmtId="165" xfId="0" applyAlignment="1" applyBorder="1" applyFill="1" applyFont="1" applyNumberForma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vertical="bottom"/>
    </xf>
    <xf borderId="4" fillId="7" fontId="3" numFmtId="0" xfId="0" applyAlignment="1" applyBorder="1" applyFill="1" applyFont="1">
      <alignment horizontal="center" vertical="bottom"/>
    </xf>
    <xf borderId="0" fillId="8" fontId="3" numFmtId="0" xfId="0" applyAlignment="1" applyFill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1" fillId="4" fontId="3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8" fontId="3" numFmtId="0" xfId="0" applyAlignment="1" applyBorder="1" applyFont="1">
      <alignment horizontal="center" vertical="bottom"/>
    </xf>
    <xf borderId="1" fillId="8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7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165" xfId="0" applyAlignment="1" applyBorder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readingOrder="0" vertical="bottom"/>
    </xf>
    <xf borderId="1" fillId="0" fontId="1" numFmtId="165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0" fillId="5" fontId="5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5" fontId="3" numFmtId="0" xfId="0" applyAlignment="1" applyFont="1">
      <alignment vertical="bottom"/>
    </xf>
    <xf borderId="0" fillId="5" fontId="3" numFmtId="165" xfId="0" applyAlignment="1" applyFont="1" applyNumberFormat="1">
      <alignment horizontal="right" vertical="bottom"/>
    </xf>
    <xf borderId="1" fillId="9" fontId="3" numFmtId="165" xfId="0" applyAlignment="1" applyBorder="1" applyFill="1" applyFont="1" applyNumberFormat="1">
      <alignment horizontal="center" readingOrder="0" vertical="bottom"/>
    </xf>
    <xf borderId="0" fillId="0" fontId="5" numFmtId="165" xfId="0" applyAlignment="1" applyFont="1" applyNumberForma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5" fontId="1" numFmtId="165" xfId="0" applyAlignment="1" applyFont="1" applyNumberFormat="1">
      <alignment vertical="bottom"/>
    </xf>
    <xf borderId="0" fillId="0" fontId="5" numFmtId="165" xfId="0" applyAlignment="1" applyFont="1" applyNumberFormat="1">
      <alignment horizontal="right" readingOrder="0" vertical="bottom"/>
    </xf>
    <xf borderId="4" fillId="0" fontId="1" numFmtId="165" xfId="0" applyAlignment="1" applyBorder="1" applyFont="1" applyNumberFormat="1">
      <alignment vertical="bottom"/>
    </xf>
    <xf borderId="4" fillId="7" fontId="6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7" numFmtId="165" xfId="0" applyAlignment="1" applyFont="1" applyNumberFormat="1">
      <alignment horizontal="right" readingOrder="0" vertical="bottom"/>
    </xf>
    <xf borderId="1" fillId="10" fontId="8" numFmtId="0" xfId="0" applyAlignment="1" applyBorder="1" applyFill="1" applyFont="1">
      <alignment horizontal="center" vertical="bottom"/>
    </xf>
    <xf borderId="0" fillId="0" fontId="3" numFmtId="165" xfId="0" applyAlignment="1" applyFont="1" applyNumberFormat="1">
      <alignment horizontal="right" vertical="bottom"/>
    </xf>
    <xf borderId="0" fillId="5" fontId="9" numFmtId="165" xfId="0" applyAlignment="1" applyFont="1" applyNumberFormat="1">
      <alignment horizontal="right" vertical="bottom"/>
    </xf>
    <xf borderId="1" fillId="9" fontId="3" numFmtId="165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0" fontId="5" numFmtId="165" xfId="0" applyAlignment="1" applyBorder="1" applyFont="1" applyNumberFormat="1">
      <alignment horizontal="center" vertical="bottom"/>
    </xf>
    <xf borderId="0" fillId="0" fontId="10" numFmtId="0" xfId="0" applyAlignment="1" applyFont="1">
      <alignment readingOrder="0" vertical="bottom"/>
    </xf>
    <xf borderId="1" fillId="10" fontId="3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right" readingOrder="0" vertical="bottom"/>
    </xf>
    <xf borderId="3" fillId="5" fontId="1" numFmtId="0" xfId="0" applyAlignment="1" applyBorder="1" applyFont="1">
      <alignment vertical="bottom"/>
    </xf>
    <xf borderId="1" fillId="5" fontId="1" numFmtId="164" xfId="0" applyAlignment="1" applyBorder="1" applyFont="1" applyNumberFormat="1">
      <alignment vertical="bottom"/>
    </xf>
    <xf borderId="1" fillId="5" fontId="2" numFmtId="165" xfId="0" applyAlignment="1" applyBorder="1" applyFont="1" applyNumberFormat="1">
      <alignment horizontal="right" vertical="bottom"/>
    </xf>
    <xf borderId="1" fillId="5" fontId="2" numFmtId="165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right" readingOrder="0" vertical="bottom"/>
    </xf>
    <xf borderId="1" fillId="5" fontId="2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vertical="bottom"/>
    </xf>
    <xf borderId="3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5" fillId="11" fontId="11" numFmtId="0" xfId="0" applyAlignment="1" applyBorder="1" applyFill="1" applyFont="1">
      <alignment horizontal="center" readingOrder="0"/>
    </xf>
    <xf borderId="5" fillId="2" fontId="11" numFmtId="0" xfId="0" applyAlignment="1" applyBorder="1" applyFont="1">
      <alignment horizontal="center" readingOrder="0"/>
    </xf>
    <xf borderId="5" fillId="0" fontId="11" numFmtId="0" xfId="0" applyAlignment="1" applyBorder="1" applyFont="1">
      <alignment horizontal="center"/>
    </xf>
    <xf borderId="5" fillId="0" fontId="11" numFmtId="0" xfId="0" applyAlignment="1" applyBorder="1" applyFont="1">
      <alignment horizontal="center" readingOrder="0"/>
    </xf>
    <xf borderId="3" fillId="6" fontId="3" numFmtId="0" xfId="0" applyAlignment="1" applyBorder="1" applyFont="1">
      <alignment horizontal="center" readingOrder="0" vertical="bottom"/>
    </xf>
    <xf borderId="1" fillId="6" fontId="3" numFmtId="164" xfId="0" applyAlignment="1" applyBorder="1" applyFont="1" applyNumberFormat="1">
      <alignment horizontal="center" readingOrder="0" vertical="bottom"/>
    </xf>
    <xf borderId="1" fillId="6" fontId="3" numFmtId="0" xfId="0" applyAlignment="1" applyBorder="1" applyFont="1">
      <alignment horizontal="center" readingOrder="0" vertical="bottom"/>
    </xf>
    <xf borderId="4" fillId="6" fontId="3" numFmtId="0" xfId="0" applyAlignment="1" applyBorder="1" applyFont="1">
      <alignment horizontal="center" readingOrder="0" vertical="bottom"/>
    </xf>
    <xf borderId="5" fillId="10" fontId="11" numFmtId="0" xfId="0" applyAlignment="1" applyBorder="1" applyFont="1">
      <alignment horizontal="center" readingOrder="0"/>
    </xf>
    <xf borderId="4" fillId="5" fontId="3" numFmtId="0" xfId="0" applyAlignment="1" applyBorder="1" applyFont="1">
      <alignment horizontal="center" readingOrder="0" vertical="bottom"/>
    </xf>
    <xf borderId="1" fillId="10" fontId="3" numFmtId="0" xfId="0" applyAlignment="1" applyBorder="1" applyFont="1">
      <alignment horizontal="center" readingOrder="0" vertical="bottom"/>
    </xf>
    <xf borderId="3" fillId="5" fontId="12" numFmtId="0" xfId="0" applyAlignment="1" applyBorder="1" applyFont="1">
      <alignment horizontal="center" readingOrder="0" vertical="bottom"/>
    </xf>
    <xf borderId="1" fillId="5" fontId="12" numFmtId="0" xfId="0" applyAlignment="1" applyBorder="1" applyFont="1">
      <alignment horizontal="center" readingOrder="0" vertical="bottom"/>
    </xf>
    <xf borderId="1" fillId="10" fontId="12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vertical="bottom"/>
    </xf>
    <xf borderId="6" fillId="5" fontId="7" numFmtId="0" xfId="0" applyAlignment="1" applyBorder="1" applyFont="1">
      <alignment horizontal="center" vertical="bottom"/>
    </xf>
    <xf borderId="1" fillId="5" fontId="7" numFmtId="0" xfId="0" applyAlignment="1" applyBorder="1" applyFont="1">
      <alignment horizontal="right" vertical="bottom"/>
    </xf>
    <xf borderId="7" fillId="5" fontId="13" numFmtId="165" xfId="0" applyAlignment="1" applyBorder="1" applyFont="1" applyNumberFormat="1">
      <alignment horizontal="center" readingOrder="0" vertical="bottom"/>
    </xf>
    <xf borderId="1" fillId="5" fontId="13" numFmtId="165" xfId="0" applyAlignment="1" applyBorder="1" applyFont="1" applyNumberFormat="1">
      <alignment horizontal="center" readingOrder="0" vertical="bottom"/>
    </xf>
    <xf borderId="1" fillId="5" fontId="7" numFmtId="165" xfId="0" applyAlignment="1" applyBorder="1" applyFont="1" applyNumberFormat="1">
      <alignment horizontal="center" readingOrder="0" vertical="bottom"/>
    </xf>
    <xf borderId="1" fillId="5" fontId="7" numFmtId="165" xfId="0" applyAlignment="1" applyBorder="1" applyFont="1" applyNumberFormat="1">
      <alignment horizontal="center" vertical="bottom"/>
    </xf>
    <xf borderId="5" fillId="0" fontId="11" numFmtId="165" xfId="0" applyAlignment="1" applyBorder="1" applyFont="1" applyNumberFormat="1">
      <alignment horizontal="center" readingOrder="0"/>
    </xf>
    <xf borderId="0" fillId="0" fontId="11" numFmtId="165" xfId="0" applyAlignment="1" applyFont="1" applyNumberFormat="1">
      <alignment readingOrder="0"/>
    </xf>
    <xf borderId="1" fillId="8" fontId="14" numFmtId="165" xfId="0" applyAlignment="1" applyBorder="1" applyFont="1" applyNumberFormat="1">
      <alignment horizontal="center" vertical="bottom"/>
    </xf>
    <xf borderId="1" fillId="8" fontId="7" numFmtId="165" xfId="0" applyAlignment="1" applyBorder="1" applyFont="1" applyNumberFormat="1">
      <alignment horizontal="right" vertical="bottom"/>
    </xf>
    <xf borderId="1" fillId="8" fontId="2" numFmtId="165" xfId="0" applyAlignment="1" applyBorder="1" applyFont="1" applyNumberFormat="1">
      <alignment horizontal="center" vertical="bottom"/>
    </xf>
    <xf borderId="5" fillId="8" fontId="11" numFmtId="165" xfId="0" applyAlignment="1" applyBorder="1" applyFont="1" applyNumberFormat="1">
      <alignment horizontal="center" readingOrder="0"/>
    </xf>
    <xf borderId="0" fillId="8" fontId="15" numFmtId="165" xfId="0" applyFont="1" applyNumberFormat="1"/>
    <xf borderId="4" fillId="0" fontId="16" numFmtId="165" xfId="0" applyAlignment="1" applyBorder="1" applyFont="1" applyNumberFormat="1">
      <alignment horizontal="right" readingOrder="0" vertical="bottom"/>
    </xf>
    <xf borderId="4" fillId="0" fontId="16" numFmtId="165" xfId="0" applyAlignment="1" applyBorder="1" applyFont="1" applyNumberFormat="1">
      <alignment horizontal="right" vertical="bottom"/>
    </xf>
    <xf borderId="4" fillId="0" fontId="17" numFmtId="165" xfId="0" applyAlignment="1" applyBorder="1" applyFont="1" applyNumberFormat="1">
      <alignment readingOrder="0" vertical="bottom"/>
    </xf>
    <xf borderId="1" fillId="0" fontId="16" numFmtId="165" xfId="0" applyAlignment="1" applyBorder="1" applyFont="1" applyNumberFormat="1">
      <alignment horizontal="right" readingOrder="0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6" fontId="18" numFmtId="0" xfId="0" applyAlignment="1" applyBorder="1" applyFont="1">
      <alignment horizontal="center" vertical="bottom"/>
    </xf>
    <xf borderId="2" fillId="6" fontId="18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horizontal="center" vertical="bottom"/>
    </xf>
    <xf borderId="7" fillId="0" fontId="19" numFmtId="0" xfId="0" applyBorder="1" applyFont="1"/>
    <xf borderId="3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5" fillId="5" fontId="3" numFmtId="0" xfId="0" applyAlignment="1" applyBorder="1" applyFont="1">
      <alignment horizontal="center" vertical="bottom"/>
    </xf>
    <xf borderId="2" fillId="5" fontId="3" numFmtId="0" xfId="0" applyAlignment="1" applyBorder="1" applyFont="1">
      <alignment horizontal="center" readingOrder="0" vertical="bottom"/>
    </xf>
    <xf borderId="2" fillId="5" fontId="3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2" fillId="0" fontId="5" numFmtId="165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2" fillId="5" fontId="3" numFmtId="165" xfId="0" applyAlignment="1" applyBorder="1" applyFont="1" applyNumberFormat="1">
      <alignment horizontal="center" vertical="bottom"/>
    </xf>
    <xf borderId="3" fillId="4" fontId="5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right" readingOrder="0" vertical="bottom"/>
    </xf>
    <xf borderId="1" fillId="4" fontId="5" numFmtId="0" xfId="0" applyAlignment="1" applyBorder="1" applyFont="1">
      <alignment horizontal="center" readingOrder="0" vertical="bottom"/>
    </xf>
    <xf borderId="1" fillId="0" fontId="19" numFmtId="0" xfId="0" applyBorder="1" applyFont="1"/>
    <xf borderId="1" fillId="0" fontId="3" numFmtId="164" xfId="0" applyAlignment="1" applyBorder="1" applyFont="1" applyNumberFormat="1">
      <alignment horizontal="center" vertical="bottom"/>
    </xf>
    <xf borderId="3" fillId="3" fontId="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1" fillId="3" fontId="3" numFmtId="164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0" fillId="0" fontId="20" numFmtId="0" xfId="0" applyAlignment="1" applyFont="1">
      <alignment readingOrder="0"/>
    </xf>
    <xf borderId="3" fillId="7" fontId="3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horizontal="center" readingOrder="0" vertical="bottom"/>
    </xf>
    <xf borderId="1" fillId="7" fontId="3" numFmtId="165" xfId="0" applyAlignment="1" applyBorder="1" applyFont="1" applyNumberFormat="1">
      <alignment horizontal="center" vertical="bottom"/>
    </xf>
    <xf borderId="1" fillId="7" fontId="3" numFmtId="166" xfId="0" applyAlignment="1" applyBorder="1" applyFont="1" applyNumberFormat="1">
      <alignment horizontal="center" vertical="bottom"/>
    </xf>
    <xf borderId="3" fillId="8" fontId="3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horizontal="center" readingOrder="0" vertical="bottom"/>
    </xf>
    <xf borderId="1" fillId="8" fontId="3" numFmtId="166" xfId="0" applyAlignment="1" applyBorder="1" applyFont="1" applyNumberFormat="1">
      <alignment horizontal="center" vertical="bottom"/>
    </xf>
    <xf borderId="3" fillId="4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readingOrder="0" vertical="bottom"/>
    </xf>
    <xf borderId="1" fillId="0" fontId="3" numFmtId="166" xfId="0" applyAlignment="1" applyBorder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5" fillId="7" fontId="3" numFmtId="0" xfId="0" applyAlignment="1" applyBorder="1" applyFont="1">
      <alignment horizontal="center" readingOrder="0" vertical="bottom"/>
    </xf>
    <xf borderId="2" fillId="7" fontId="3" numFmtId="0" xfId="0" applyAlignment="1" applyBorder="1" applyFont="1">
      <alignment horizontal="center" vertical="bottom"/>
    </xf>
    <xf borderId="2" fillId="7" fontId="3" numFmtId="0" xfId="0" applyAlignment="1" applyBorder="1" applyFont="1">
      <alignment horizontal="center" readingOrder="0" vertical="bottom"/>
    </xf>
    <xf borderId="2" fillId="7" fontId="3" numFmtId="165" xfId="0" applyAlignment="1" applyBorder="1" applyFont="1" applyNumberFormat="1">
      <alignment horizontal="center" vertical="bottom"/>
    </xf>
    <xf borderId="2" fillId="7" fontId="3" numFmtId="166" xfId="0" applyAlignment="1" applyBorder="1" applyFont="1" applyNumberFormat="1">
      <alignment horizontal="center" vertical="bottom"/>
    </xf>
    <xf borderId="3" fillId="0" fontId="18" numFmtId="0" xfId="0" applyAlignment="1" applyBorder="1" applyFont="1">
      <alignment horizontal="center" vertical="bottom"/>
    </xf>
    <xf borderId="1" fillId="0" fontId="18" numFmtId="165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vertical="bottom"/>
    </xf>
    <xf borderId="4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1" fillId="4" fontId="2" numFmtId="0" xfId="0" applyAlignment="1" applyBorder="1" applyFont="1">
      <alignment horizontal="center" vertical="bottom"/>
    </xf>
    <xf borderId="4" fillId="7" fontId="2" numFmtId="0" xfId="0" applyAlignment="1" applyBorder="1" applyFont="1">
      <alignment horizontal="center" vertical="bottom"/>
    </xf>
    <xf borderId="0" fillId="0" fontId="1" numFmtId="0" xfId="0" applyAlignment="1" applyFont="1">
      <alignment readingOrder="0" vertical="bottom"/>
    </xf>
    <xf borderId="1" fillId="4" fontId="2" numFmtId="165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horizontal="center" readingOrder="0" vertical="bottom"/>
    </xf>
    <xf borderId="8" fillId="0" fontId="1" numFmtId="0" xfId="0" applyAlignment="1" applyBorder="1" applyFont="1">
      <alignment vertical="bottom"/>
    </xf>
    <xf borderId="4" fillId="12" fontId="2" numFmtId="0" xfId="0" applyAlignment="1" applyBorder="1" applyFill="1" applyFont="1">
      <alignment horizontal="center" vertical="bottom"/>
    </xf>
    <xf borderId="5" fillId="12" fontId="21" numFmtId="0" xfId="0" applyAlignment="1" applyBorder="1" applyFont="1">
      <alignment horizontal="center" readingOrder="0"/>
    </xf>
    <xf borderId="3" fillId="13" fontId="2" numFmtId="0" xfId="0" applyAlignment="1" applyBorder="1" applyFill="1" applyFont="1">
      <alignment horizontal="center" vertical="bottom"/>
    </xf>
    <xf borderId="1" fillId="0" fontId="3" numFmtId="165" xfId="0" applyAlignment="1" applyBorder="1" applyFont="1" applyNumberFormat="1">
      <alignment horizontal="right" vertical="bottom"/>
    </xf>
    <xf borderId="5" fillId="0" fontId="11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13"/>
    <col customWidth="1" min="3" max="3" width="24.63"/>
    <col customWidth="1" min="4" max="4" width="25.38"/>
    <col customWidth="1" min="5" max="5" width="25.13"/>
    <col customWidth="1" min="6" max="6" width="25.63"/>
    <col customWidth="1" min="7" max="7" width="26.13"/>
    <col customWidth="1" min="8" max="8" width="25.63"/>
    <col customWidth="1" min="9" max="9" width="24.38"/>
    <col customWidth="1" min="10" max="10" width="7.63"/>
    <col customWidth="1" min="11" max="11" width="24.88"/>
    <col customWidth="1" min="12" max="12" width="25.38"/>
    <col customWidth="1" min="13" max="13" width="49.38"/>
    <col customWidth="1" min="14" max="14" width="41.88"/>
    <col customWidth="1" min="15" max="15" width="35.13"/>
    <col customWidth="1" min="16" max="16" width="45.13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/>
      <c r="K1" s="6" t="s">
        <v>8</v>
      </c>
      <c r="L1" s="7" t="s">
        <v>9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>
      <c r="A2" s="8" t="s">
        <v>10</v>
      </c>
      <c r="B2" s="9">
        <v>45292.0</v>
      </c>
      <c r="C2" s="10">
        <v>40000.0</v>
      </c>
      <c r="D2" s="10">
        <v>45000.0</v>
      </c>
      <c r="E2" s="11"/>
      <c r="F2" s="11"/>
      <c r="G2" s="11"/>
      <c r="H2" s="11"/>
      <c r="I2" s="12">
        <v>1.0</v>
      </c>
      <c r="J2" s="13"/>
      <c r="K2" s="14"/>
      <c r="L2" s="15">
        <v>40000.0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8" t="s">
        <v>11</v>
      </c>
      <c r="B3" s="9">
        <v>45293.0</v>
      </c>
      <c r="C3" s="10">
        <v>41000.0</v>
      </c>
      <c r="D3" s="10">
        <v>32000.0</v>
      </c>
      <c r="E3" s="11"/>
      <c r="F3" s="11"/>
      <c r="G3" s="11"/>
      <c r="H3" s="11"/>
      <c r="I3" s="16">
        <v>1.0</v>
      </c>
      <c r="J3" s="13"/>
      <c r="K3" s="14"/>
      <c r="L3" s="17">
        <v>41000.0</v>
      </c>
      <c r="M3" s="18" t="s">
        <v>12</v>
      </c>
      <c r="N3" s="18" t="s">
        <v>13</v>
      </c>
      <c r="O3" s="19" t="s">
        <v>14</v>
      </c>
      <c r="P3" s="20" t="s">
        <v>15</v>
      </c>
      <c r="Q3" s="5"/>
      <c r="R3" s="5"/>
      <c r="S3" s="5"/>
      <c r="T3" s="5"/>
      <c r="U3" s="5"/>
      <c r="V3" s="5"/>
      <c r="W3" s="5"/>
    </row>
    <row r="4">
      <c r="A4" s="8" t="s">
        <v>16</v>
      </c>
      <c r="B4" s="9">
        <v>45294.0</v>
      </c>
      <c r="C4" s="10">
        <v>40000.0</v>
      </c>
      <c r="D4" s="10">
        <v>40000.0</v>
      </c>
      <c r="E4" s="11"/>
      <c r="F4" s="11"/>
      <c r="G4" s="11"/>
      <c r="H4" s="11"/>
      <c r="I4" s="16">
        <v>1.0</v>
      </c>
      <c r="J4" s="13"/>
      <c r="K4" s="14"/>
      <c r="L4" s="17">
        <v>40000.0</v>
      </c>
      <c r="M4" s="21">
        <f>H33/I33</f>
        <v>11048.57806</v>
      </c>
      <c r="N4" s="21">
        <f>D33/I33</f>
        <v>56483.87097</v>
      </c>
      <c r="O4" s="22"/>
      <c r="P4" s="23">
        <f>O4/N4</f>
        <v>0</v>
      </c>
      <c r="Q4" s="5"/>
      <c r="R4" s="5"/>
      <c r="S4" s="5"/>
      <c r="T4" s="5"/>
      <c r="U4" s="5"/>
      <c r="V4" s="5"/>
      <c r="W4" s="5"/>
    </row>
    <row r="5">
      <c r="A5" s="8" t="s">
        <v>17</v>
      </c>
      <c r="B5" s="9">
        <v>45295.0</v>
      </c>
      <c r="C5" s="10">
        <v>33000.0</v>
      </c>
      <c r="D5" s="10">
        <v>60000.0</v>
      </c>
      <c r="E5" s="11"/>
      <c r="F5" s="11"/>
      <c r="G5" s="11"/>
      <c r="H5" s="11"/>
      <c r="I5" s="16">
        <v>1.0</v>
      </c>
      <c r="J5" s="13"/>
      <c r="K5" s="14"/>
      <c r="L5" s="17">
        <v>33000.0</v>
      </c>
      <c r="M5" s="1"/>
      <c r="N5" s="1"/>
      <c r="O5" s="5"/>
      <c r="P5" s="24"/>
      <c r="Q5" s="5"/>
      <c r="R5" s="5"/>
      <c r="S5" s="5"/>
      <c r="T5" s="5"/>
      <c r="U5" s="5"/>
      <c r="V5" s="5"/>
      <c r="W5" s="5"/>
    </row>
    <row r="6">
      <c r="A6" s="8" t="s">
        <v>18</v>
      </c>
      <c r="B6" s="9">
        <v>45296.0</v>
      </c>
      <c r="C6" s="10">
        <v>38000.0</v>
      </c>
      <c r="D6" s="10">
        <v>30000.0</v>
      </c>
      <c r="E6" s="11"/>
      <c r="F6" s="11"/>
      <c r="G6" s="11"/>
      <c r="H6" s="11"/>
      <c r="I6" s="16">
        <v>1.0</v>
      </c>
      <c r="J6" s="13"/>
      <c r="K6" s="14"/>
      <c r="L6" s="17">
        <v>38000.0</v>
      </c>
      <c r="M6" s="25" t="s">
        <v>19</v>
      </c>
      <c r="N6" s="26" t="s">
        <v>20</v>
      </c>
      <c r="O6" s="5"/>
      <c r="P6" s="1"/>
      <c r="Q6" s="5"/>
      <c r="R6" s="5"/>
      <c r="S6" s="5"/>
      <c r="T6" s="5"/>
      <c r="U6" s="5"/>
      <c r="V6" s="5"/>
      <c r="W6" s="5"/>
    </row>
    <row r="7">
      <c r="A7" s="8" t="s">
        <v>21</v>
      </c>
      <c r="B7" s="9">
        <v>45297.0</v>
      </c>
      <c r="C7" s="10">
        <v>40000.0</v>
      </c>
      <c r="D7" s="10">
        <v>60000.0</v>
      </c>
      <c r="E7" s="11"/>
      <c r="F7" s="11"/>
      <c r="G7" s="11"/>
      <c r="H7" s="11"/>
      <c r="I7" s="16">
        <v>1.0</v>
      </c>
      <c r="J7" s="13"/>
      <c r="K7" s="14"/>
      <c r="L7" s="17">
        <v>40000.0</v>
      </c>
      <c r="M7" s="27">
        <f>E33/I33</f>
        <v>29682.09677</v>
      </c>
      <c r="N7" s="27">
        <v>100000.0</v>
      </c>
      <c r="O7" s="1"/>
      <c r="P7" s="1"/>
      <c r="Q7" s="5"/>
      <c r="R7" s="5"/>
      <c r="S7" s="5"/>
      <c r="T7" s="5"/>
      <c r="U7" s="5"/>
      <c r="V7" s="5"/>
      <c r="W7" s="5"/>
    </row>
    <row r="8">
      <c r="A8" s="8" t="s">
        <v>22</v>
      </c>
      <c r="B8" s="9">
        <v>45298.0</v>
      </c>
      <c r="C8" s="10">
        <v>52000.0</v>
      </c>
      <c r="D8" s="10">
        <v>57000.0</v>
      </c>
      <c r="E8" s="11"/>
      <c r="F8" s="11"/>
      <c r="G8" s="11"/>
      <c r="H8" s="11"/>
      <c r="I8" s="16">
        <v>1.0</v>
      </c>
      <c r="J8" s="13"/>
      <c r="K8" s="14"/>
      <c r="L8" s="17">
        <v>52000.0</v>
      </c>
      <c r="M8" s="1" t="s">
        <v>23</v>
      </c>
      <c r="N8" s="1"/>
      <c r="O8" s="1"/>
      <c r="P8" s="1"/>
      <c r="Q8" s="5"/>
      <c r="R8" s="5"/>
      <c r="S8" s="5"/>
      <c r="T8" s="5"/>
      <c r="U8" s="5"/>
      <c r="V8" s="5"/>
      <c r="W8" s="5"/>
    </row>
    <row r="9">
      <c r="A9" s="8" t="s">
        <v>10</v>
      </c>
      <c r="B9" s="9">
        <v>45299.0</v>
      </c>
      <c r="C9" s="10">
        <v>37000.0</v>
      </c>
      <c r="D9" s="10">
        <v>51000.0</v>
      </c>
      <c r="E9" s="11"/>
      <c r="F9" s="11"/>
      <c r="G9" s="11"/>
      <c r="H9" s="11"/>
      <c r="I9" s="16">
        <v>1.0</v>
      </c>
      <c r="J9" s="13"/>
      <c r="K9" s="14"/>
      <c r="L9" s="28">
        <v>37000.0</v>
      </c>
      <c r="M9" s="1"/>
      <c r="N9" s="1"/>
      <c r="O9" s="1"/>
      <c r="P9" s="1"/>
      <c r="Q9" s="5"/>
      <c r="R9" s="5"/>
      <c r="S9" s="5"/>
      <c r="T9" s="5"/>
      <c r="U9" s="5"/>
      <c r="V9" s="5"/>
      <c r="W9" s="5"/>
    </row>
    <row r="10">
      <c r="A10" s="8" t="s">
        <v>11</v>
      </c>
      <c r="B10" s="9">
        <v>45300.0</v>
      </c>
      <c r="C10" s="10">
        <v>30000.0</v>
      </c>
      <c r="D10" s="10">
        <v>70000.0</v>
      </c>
      <c r="E10" s="11"/>
      <c r="F10" s="11"/>
      <c r="G10" s="11"/>
      <c r="H10" s="11"/>
      <c r="I10" s="16">
        <v>1.0</v>
      </c>
      <c r="J10" s="13"/>
      <c r="K10" s="14"/>
      <c r="L10" s="17">
        <v>30000.0</v>
      </c>
      <c r="M10" s="29" t="s">
        <v>24</v>
      </c>
      <c r="N10" s="29" t="s">
        <v>25</v>
      </c>
      <c r="O10" s="30" t="s">
        <v>26</v>
      </c>
      <c r="P10" s="31" t="s">
        <v>27</v>
      </c>
      <c r="Q10" s="5"/>
      <c r="R10" s="5"/>
      <c r="S10" s="5"/>
      <c r="T10" s="5"/>
      <c r="U10" s="5"/>
      <c r="V10" s="5"/>
      <c r="W10" s="5"/>
    </row>
    <row r="11">
      <c r="A11" s="8" t="s">
        <v>16</v>
      </c>
      <c r="B11" s="9">
        <v>45301.0</v>
      </c>
      <c r="C11" s="10">
        <v>44000.0</v>
      </c>
      <c r="D11" s="10">
        <v>140000.0</v>
      </c>
      <c r="E11" s="11"/>
      <c r="F11" s="11"/>
      <c r="G11" s="11"/>
      <c r="H11" s="11"/>
      <c r="I11" s="16">
        <v>1.0</v>
      </c>
      <c r="J11" s="13"/>
      <c r="K11" s="14"/>
      <c r="L11" s="17">
        <v>44000.0</v>
      </c>
      <c r="M11" s="26">
        <f>D33-N11-E33-'les Salaires'!M28</f>
        <v>605355</v>
      </c>
      <c r="N11" s="32">
        <v>104000.0</v>
      </c>
      <c r="O11" s="33">
        <v>350000.0</v>
      </c>
      <c r="P11" s="27">
        <f>M11-O11</f>
        <v>255355</v>
      </c>
      <c r="Q11" s="5"/>
      <c r="R11" s="5"/>
      <c r="S11" s="5"/>
      <c r="T11" s="5"/>
      <c r="U11" s="5"/>
      <c r="V11" s="5"/>
      <c r="W11" s="5"/>
    </row>
    <row r="12">
      <c r="A12" s="8" t="s">
        <v>17</v>
      </c>
      <c r="B12" s="9">
        <v>45302.0</v>
      </c>
      <c r="C12" s="10">
        <v>50000.0</v>
      </c>
      <c r="D12" s="10">
        <v>210000.0</v>
      </c>
      <c r="E12" s="11"/>
      <c r="F12" s="11"/>
      <c r="G12" s="11"/>
      <c r="H12" s="11"/>
      <c r="I12" s="16">
        <v>1.0</v>
      </c>
      <c r="J12" s="13"/>
      <c r="K12" s="14"/>
      <c r="L12" s="17">
        <v>50000.0</v>
      </c>
      <c r="M12" s="1"/>
      <c r="N12" s="1"/>
      <c r="O12" s="34"/>
      <c r="P12" s="35"/>
      <c r="Q12" s="5"/>
      <c r="R12" s="5"/>
      <c r="S12" s="5"/>
      <c r="T12" s="5"/>
      <c r="U12" s="5"/>
      <c r="V12" s="5"/>
      <c r="W12" s="5"/>
    </row>
    <row r="13">
      <c r="A13" s="8" t="s">
        <v>18</v>
      </c>
      <c r="B13" s="9">
        <v>45303.0</v>
      </c>
      <c r="C13" s="10">
        <v>35000.0</v>
      </c>
      <c r="D13" s="10">
        <v>77000.0</v>
      </c>
      <c r="E13" s="11"/>
      <c r="F13" s="11"/>
      <c r="G13" s="11"/>
      <c r="H13" s="11"/>
      <c r="I13" s="16">
        <v>1.0</v>
      </c>
      <c r="J13" s="13"/>
      <c r="K13" s="14"/>
      <c r="L13" s="17">
        <v>35000.0</v>
      </c>
      <c r="M13" s="30" t="s">
        <v>28</v>
      </c>
      <c r="N13" s="36"/>
      <c r="O13" s="37"/>
      <c r="P13" s="35"/>
      <c r="Q13" s="5"/>
      <c r="R13" s="5"/>
      <c r="S13" s="13"/>
      <c r="T13" s="13"/>
      <c r="U13" s="13"/>
      <c r="V13" s="5"/>
      <c r="W13" s="5"/>
    </row>
    <row r="14">
      <c r="A14" s="8" t="s">
        <v>21</v>
      </c>
      <c r="B14" s="9">
        <v>45304.0</v>
      </c>
      <c r="C14" s="10">
        <v>48000.0</v>
      </c>
      <c r="D14" s="10">
        <v>0.0</v>
      </c>
      <c r="E14" s="11"/>
      <c r="F14" s="11"/>
      <c r="G14" s="11"/>
      <c r="H14" s="11"/>
      <c r="I14" s="16">
        <v>1.0</v>
      </c>
      <c r="J14" s="13"/>
      <c r="K14" s="14"/>
      <c r="L14" s="17">
        <v>48000.0</v>
      </c>
      <c r="M14" s="36"/>
      <c r="N14" s="36"/>
      <c r="O14" s="38"/>
      <c r="P14" s="39"/>
      <c r="Q14" s="5"/>
      <c r="R14" s="5"/>
      <c r="S14" s="13"/>
      <c r="T14" s="13"/>
      <c r="U14" s="13"/>
      <c r="V14" s="5"/>
      <c r="W14" s="5"/>
    </row>
    <row r="15">
      <c r="A15" s="8" t="s">
        <v>22</v>
      </c>
      <c r="B15" s="9">
        <v>45305.0</v>
      </c>
      <c r="C15" s="10">
        <v>75000.0</v>
      </c>
      <c r="D15" s="10">
        <v>0.0</v>
      </c>
      <c r="E15" s="11"/>
      <c r="F15" s="11"/>
      <c r="G15" s="11"/>
      <c r="H15" s="11"/>
      <c r="I15" s="16">
        <v>1.0</v>
      </c>
      <c r="J15" s="13"/>
      <c r="K15" s="14"/>
      <c r="L15" s="17">
        <v>75000.0</v>
      </c>
      <c r="M15" s="22"/>
      <c r="N15" s="22"/>
      <c r="O15" s="40" t="s">
        <v>29</v>
      </c>
      <c r="P15" s="41" t="s">
        <v>30</v>
      </c>
      <c r="Q15" s="5"/>
      <c r="R15" s="5"/>
      <c r="S15" s="42"/>
      <c r="T15" s="43"/>
      <c r="U15" s="13"/>
      <c r="V15" s="5"/>
      <c r="W15" s="5"/>
    </row>
    <row r="16">
      <c r="A16" s="8" t="s">
        <v>10</v>
      </c>
      <c r="B16" s="9">
        <v>45306.0</v>
      </c>
      <c r="C16" s="10">
        <v>55000.0</v>
      </c>
      <c r="D16" s="10">
        <v>44000.0</v>
      </c>
      <c r="E16" s="11"/>
      <c r="F16" s="11"/>
      <c r="G16" s="11"/>
      <c r="H16" s="11"/>
      <c r="I16" s="16">
        <v>1.0</v>
      </c>
      <c r="J16" s="13"/>
      <c r="K16" s="14"/>
      <c r="L16" s="44">
        <v>55000.0</v>
      </c>
      <c r="M16" s="22"/>
      <c r="N16" s="22"/>
      <c r="O16" s="45" t="s">
        <v>31</v>
      </c>
      <c r="P16" s="46" t="s">
        <v>32</v>
      </c>
      <c r="Q16" s="5"/>
      <c r="R16" s="5"/>
      <c r="S16" s="42"/>
      <c r="T16" s="43"/>
      <c r="U16" s="13"/>
      <c r="V16" s="5"/>
      <c r="W16" s="5"/>
    </row>
    <row r="17">
      <c r="A17" s="8" t="s">
        <v>11</v>
      </c>
      <c r="B17" s="9">
        <v>45307.0</v>
      </c>
      <c r="C17" s="10">
        <v>35000.0</v>
      </c>
      <c r="D17" s="10">
        <v>33000.0</v>
      </c>
      <c r="E17" s="11"/>
      <c r="F17" s="11"/>
      <c r="G17" s="11"/>
      <c r="H17" s="11"/>
      <c r="I17" s="16">
        <v>1.0</v>
      </c>
      <c r="J17" s="13"/>
      <c r="K17" s="14"/>
      <c r="L17" s="17">
        <v>35000.0</v>
      </c>
      <c r="M17" s="47"/>
      <c r="N17" s="22"/>
      <c r="O17" s="45" t="s">
        <v>33</v>
      </c>
      <c r="P17" s="48" t="s">
        <v>34</v>
      </c>
      <c r="Q17" s="5"/>
      <c r="R17" s="5"/>
      <c r="S17" s="42"/>
      <c r="T17" s="43"/>
      <c r="U17" s="13"/>
      <c r="V17" s="5"/>
      <c r="W17" s="5"/>
    </row>
    <row r="18">
      <c r="A18" s="8" t="s">
        <v>16</v>
      </c>
      <c r="B18" s="9">
        <v>45308.0</v>
      </c>
      <c r="C18" s="10">
        <v>60000.0</v>
      </c>
      <c r="D18" s="10">
        <v>56000.0</v>
      </c>
      <c r="E18" s="11"/>
      <c r="F18" s="11"/>
      <c r="G18" s="11"/>
      <c r="H18" s="11"/>
      <c r="I18" s="16">
        <v>1.0</v>
      </c>
      <c r="J18" s="13"/>
      <c r="K18" s="14"/>
      <c r="L18" s="17">
        <v>60000.0</v>
      </c>
      <c r="M18" s="49"/>
      <c r="N18" s="22"/>
      <c r="O18" s="33" t="s">
        <v>35</v>
      </c>
      <c r="P18" s="48" t="s">
        <v>36</v>
      </c>
      <c r="Q18" s="5"/>
      <c r="R18" s="5"/>
      <c r="S18" s="42"/>
      <c r="T18" s="43"/>
      <c r="U18" s="13"/>
      <c r="V18" s="5"/>
      <c r="W18" s="5"/>
    </row>
    <row r="19">
      <c r="A19" s="8" t="s">
        <v>17</v>
      </c>
      <c r="B19" s="9">
        <v>45309.0</v>
      </c>
      <c r="C19" s="10">
        <v>45000.0</v>
      </c>
      <c r="D19" s="10">
        <v>50000.0</v>
      </c>
      <c r="E19" s="11"/>
      <c r="F19" s="11"/>
      <c r="G19" s="11"/>
      <c r="H19" s="11"/>
      <c r="I19" s="16">
        <v>1.0</v>
      </c>
      <c r="J19" s="13"/>
      <c r="K19" s="14"/>
      <c r="L19" s="17">
        <v>45000.0</v>
      </c>
      <c r="M19" s="50" t="s">
        <v>37</v>
      </c>
      <c r="N19" s="22"/>
      <c r="O19" s="33" t="s">
        <v>38</v>
      </c>
      <c r="P19" s="48" t="s">
        <v>39</v>
      </c>
      <c r="Q19" s="5"/>
      <c r="R19" s="5"/>
      <c r="S19" s="42"/>
      <c r="T19" s="43"/>
      <c r="U19" s="13"/>
      <c r="V19" s="5"/>
      <c r="W19" s="5"/>
    </row>
    <row r="20">
      <c r="A20" s="8" t="s">
        <v>18</v>
      </c>
      <c r="B20" s="9">
        <v>45310.0</v>
      </c>
      <c r="C20" s="10">
        <v>52000.0</v>
      </c>
      <c r="D20" s="10">
        <v>54000.0</v>
      </c>
      <c r="E20" s="11"/>
      <c r="F20" s="11"/>
      <c r="G20" s="11"/>
      <c r="H20" s="11"/>
      <c r="I20" s="16">
        <v>1.0</v>
      </c>
      <c r="J20" s="13"/>
      <c r="K20" s="14"/>
      <c r="L20" s="17">
        <v>52000.0</v>
      </c>
      <c r="M20" s="17">
        <f>D35-C35</f>
        <v>0</v>
      </c>
      <c r="N20" s="22"/>
      <c r="O20" s="51"/>
      <c r="P20" s="52" t="s">
        <v>40</v>
      </c>
      <c r="Q20" s="5"/>
      <c r="R20" s="5"/>
      <c r="S20" s="42"/>
      <c r="T20" s="43"/>
      <c r="U20" s="13"/>
      <c r="V20" s="5"/>
      <c r="W20" s="5"/>
    </row>
    <row r="21">
      <c r="A21" s="8" t="s">
        <v>21</v>
      </c>
      <c r="B21" s="9">
        <v>45311.0</v>
      </c>
      <c r="C21" s="10">
        <v>84000.0</v>
      </c>
      <c r="D21" s="10">
        <v>50000.0</v>
      </c>
      <c r="E21" s="11"/>
      <c r="F21" s="11"/>
      <c r="G21" s="11"/>
      <c r="H21" s="11"/>
      <c r="I21" s="16">
        <v>1.0</v>
      </c>
      <c r="J21" s="13"/>
      <c r="K21" s="14"/>
      <c r="L21" s="17">
        <v>84000.0</v>
      </c>
      <c r="M21" s="53" t="s">
        <v>41</v>
      </c>
      <c r="N21" s="22"/>
      <c r="O21" s="51"/>
      <c r="P21" s="54"/>
      <c r="Q21" s="5"/>
      <c r="R21" s="5"/>
      <c r="S21" s="42"/>
      <c r="T21" s="43"/>
      <c r="U21" s="47"/>
      <c r="V21" s="5"/>
      <c r="W21" s="5"/>
    </row>
    <row r="22">
      <c r="A22" s="8" t="s">
        <v>22</v>
      </c>
      <c r="B22" s="9">
        <v>45312.0</v>
      </c>
      <c r="C22" s="10">
        <v>60000.0</v>
      </c>
      <c r="D22" s="10">
        <v>30000.0</v>
      </c>
      <c r="E22" s="11"/>
      <c r="F22" s="11"/>
      <c r="G22" s="11"/>
      <c r="H22" s="11"/>
      <c r="I22" s="16">
        <v>1.0</v>
      </c>
      <c r="J22" s="13"/>
      <c r="K22" s="14"/>
      <c r="L22" s="17">
        <v>60000.0</v>
      </c>
      <c r="M22" s="27">
        <f>K36-E36</f>
        <v>0</v>
      </c>
      <c r="N22" s="22"/>
      <c r="O22" s="5"/>
      <c r="P22" s="55"/>
      <c r="Q22" s="5"/>
      <c r="R22" s="5"/>
      <c r="S22" s="42"/>
      <c r="T22" s="43"/>
      <c r="U22" s="13"/>
      <c r="V22" s="5"/>
      <c r="W22" s="5"/>
    </row>
    <row r="23">
      <c r="A23" s="8" t="s">
        <v>10</v>
      </c>
      <c r="B23" s="9">
        <v>45313.0</v>
      </c>
      <c r="C23" s="10">
        <v>190000.0</v>
      </c>
      <c r="D23" s="10">
        <v>30000.0</v>
      </c>
      <c r="E23" s="11"/>
      <c r="F23" s="11"/>
      <c r="G23" s="11"/>
      <c r="H23" s="11"/>
      <c r="I23" s="16">
        <v>1.0</v>
      </c>
      <c r="J23" s="13"/>
      <c r="K23" s="14"/>
      <c r="L23" s="56">
        <v>190000.0</v>
      </c>
      <c r="M23" s="57" t="s">
        <v>42</v>
      </c>
      <c r="N23" s="22"/>
      <c r="O23" s="5"/>
      <c r="P23" s="22"/>
      <c r="Q23" s="5"/>
      <c r="R23" s="5"/>
      <c r="S23" s="42"/>
      <c r="T23" s="43"/>
      <c r="U23" s="13"/>
      <c r="V23" s="5"/>
      <c r="W23" s="5"/>
    </row>
    <row r="24">
      <c r="A24" s="8" t="s">
        <v>11</v>
      </c>
      <c r="B24" s="9">
        <v>45314.0</v>
      </c>
      <c r="C24" s="10">
        <v>50000.0</v>
      </c>
      <c r="D24" s="10">
        <v>35000.0</v>
      </c>
      <c r="E24" s="11"/>
      <c r="F24" s="11"/>
      <c r="G24" s="11"/>
      <c r="H24" s="11"/>
      <c r="I24" s="16">
        <v>1.0</v>
      </c>
      <c r="J24" s="13"/>
      <c r="K24" s="14"/>
      <c r="L24" s="17">
        <v>50000.0</v>
      </c>
      <c r="M24" s="58">
        <f>D33-C33</f>
        <v>73000</v>
      </c>
      <c r="N24" s="22"/>
      <c r="O24" s="5"/>
      <c r="P24" s="22"/>
      <c r="Q24" s="5"/>
      <c r="R24" s="5"/>
      <c r="S24" s="13"/>
      <c r="T24" s="13"/>
      <c r="U24" s="13"/>
      <c r="V24" s="5"/>
      <c r="W24" s="5"/>
    </row>
    <row r="25">
      <c r="A25" s="8" t="s">
        <v>16</v>
      </c>
      <c r="B25" s="9">
        <v>45315.0</v>
      </c>
      <c r="C25" s="10">
        <v>40000.0</v>
      </c>
      <c r="D25" s="10">
        <v>75000.0</v>
      </c>
      <c r="E25" s="11"/>
      <c r="F25" s="11"/>
      <c r="G25" s="11"/>
      <c r="H25" s="11"/>
      <c r="I25" s="16">
        <v>1.0</v>
      </c>
      <c r="J25" s="13"/>
      <c r="K25" s="14"/>
      <c r="L25" s="17">
        <v>40000.0</v>
      </c>
      <c r="M25" s="30" t="s">
        <v>43</v>
      </c>
      <c r="N25" s="22"/>
      <c r="O25" s="59"/>
      <c r="P25" s="22"/>
      <c r="Q25" s="5"/>
      <c r="R25" s="5"/>
      <c r="S25" s="13"/>
      <c r="T25" s="13"/>
      <c r="U25" s="13"/>
      <c r="V25" s="5"/>
      <c r="W25" s="5"/>
    </row>
    <row r="26">
      <c r="A26" s="8" t="s">
        <v>17</v>
      </c>
      <c r="B26" s="9">
        <v>45316.0</v>
      </c>
      <c r="C26" s="10">
        <v>31000.0</v>
      </c>
      <c r="D26" s="10">
        <v>99000.0</v>
      </c>
      <c r="E26" s="11"/>
      <c r="F26" s="11"/>
      <c r="G26" s="11"/>
      <c r="H26" s="11"/>
      <c r="I26" s="16">
        <v>1.0</v>
      </c>
      <c r="J26" s="13"/>
      <c r="K26" s="14"/>
      <c r="L26" s="17">
        <v>31000.0</v>
      </c>
      <c r="M26" s="27">
        <f>D9+D16+D23+D30</f>
        <v>196000</v>
      </c>
      <c r="N26" s="5"/>
      <c r="O26" s="5"/>
      <c r="P26" s="22"/>
      <c r="Q26" s="5"/>
      <c r="R26" s="5"/>
      <c r="S26" s="5"/>
      <c r="T26" s="5"/>
      <c r="U26" s="5"/>
      <c r="V26" s="5"/>
      <c r="W26" s="5"/>
    </row>
    <row r="27">
      <c r="A27" s="8" t="s">
        <v>18</v>
      </c>
      <c r="B27" s="9">
        <v>45317.0</v>
      </c>
      <c r="C27" s="10">
        <v>36000.0</v>
      </c>
      <c r="D27" s="10">
        <v>50000.0</v>
      </c>
      <c r="E27" s="11"/>
      <c r="F27" s="11"/>
      <c r="G27" s="11"/>
      <c r="H27" s="11"/>
      <c r="I27" s="16">
        <v>1.0</v>
      </c>
      <c r="J27" s="13"/>
      <c r="K27" s="14"/>
      <c r="L27" s="17">
        <v>36000.0</v>
      </c>
      <c r="M27" s="36"/>
      <c r="N27" s="5"/>
      <c r="O27" s="5"/>
      <c r="P27" s="22"/>
      <c r="Q27" s="5"/>
      <c r="R27" s="5"/>
      <c r="S27" s="5"/>
      <c r="T27" s="5"/>
      <c r="U27" s="5"/>
      <c r="V27" s="5"/>
      <c r="W27" s="5"/>
    </row>
    <row r="28">
      <c r="A28" s="8" t="s">
        <v>21</v>
      </c>
      <c r="B28" s="9">
        <v>45318.0</v>
      </c>
      <c r="C28" s="10">
        <v>43000.0</v>
      </c>
      <c r="D28" s="10">
        <v>53000.0</v>
      </c>
      <c r="E28" s="11"/>
      <c r="F28" s="11"/>
      <c r="G28" s="11"/>
      <c r="H28" s="11"/>
      <c r="I28" s="16">
        <v>1.0</v>
      </c>
      <c r="J28" s="13"/>
      <c r="K28" s="14"/>
      <c r="L28" s="17">
        <v>43000.0</v>
      </c>
      <c r="M28" s="25" t="s">
        <v>26</v>
      </c>
      <c r="N28" s="5"/>
      <c r="O28" s="22"/>
      <c r="P28" s="22"/>
      <c r="Q28" s="5"/>
      <c r="R28" s="5"/>
      <c r="S28" s="5"/>
      <c r="T28" s="5"/>
      <c r="U28" s="5"/>
      <c r="V28" s="5"/>
      <c r="W28" s="5"/>
    </row>
    <row r="29">
      <c r="A29" s="8" t="s">
        <v>22</v>
      </c>
      <c r="B29" s="9">
        <v>45319.0</v>
      </c>
      <c r="C29" s="10">
        <v>60000.0</v>
      </c>
      <c r="D29" s="10">
        <v>35000.0</v>
      </c>
      <c r="E29" s="11"/>
      <c r="F29" s="11"/>
      <c r="G29" s="11"/>
      <c r="H29" s="11"/>
      <c r="I29" s="16">
        <v>1.0</v>
      </c>
      <c r="J29" s="13"/>
      <c r="K29" s="14"/>
      <c r="L29" s="17">
        <v>60000.0</v>
      </c>
      <c r="M29" s="27">
        <v>51000.0</v>
      </c>
      <c r="N29" s="22"/>
      <c r="O29" s="22"/>
      <c r="P29" s="5"/>
      <c r="Q29" s="5"/>
      <c r="R29" s="5"/>
      <c r="S29" s="5"/>
      <c r="T29" s="5"/>
      <c r="U29" s="5"/>
      <c r="V29" s="5"/>
      <c r="W29" s="5"/>
    </row>
    <row r="30">
      <c r="A30" s="8" t="s">
        <v>10</v>
      </c>
      <c r="B30" s="9">
        <v>45320.0</v>
      </c>
      <c r="C30" s="10">
        <v>34000.0</v>
      </c>
      <c r="D30" s="10">
        <v>71000.0</v>
      </c>
      <c r="E30" s="11"/>
      <c r="F30" s="11"/>
      <c r="G30" s="11"/>
      <c r="H30" s="11"/>
      <c r="I30" s="16">
        <v>1.0</v>
      </c>
      <c r="J30" s="13"/>
      <c r="K30" s="14"/>
      <c r="L30" s="56">
        <v>34000.0</v>
      </c>
      <c r="M30" s="60" t="s">
        <v>44</v>
      </c>
      <c r="N30" s="5"/>
      <c r="O30" s="22"/>
      <c r="P30" s="5"/>
      <c r="Q30" s="5"/>
      <c r="R30" s="5"/>
      <c r="S30" s="5"/>
      <c r="T30" s="5"/>
      <c r="U30" s="5"/>
      <c r="V30" s="5"/>
      <c r="W30" s="5"/>
    </row>
    <row r="31">
      <c r="A31" s="8" t="s">
        <v>11</v>
      </c>
      <c r="B31" s="9">
        <v>45321.0</v>
      </c>
      <c r="C31" s="10">
        <v>50000.0</v>
      </c>
      <c r="D31" s="10">
        <v>42000.0</v>
      </c>
      <c r="E31" s="11"/>
      <c r="F31" s="11"/>
      <c r="G31" s="11"/>
      <c r="H31" s="11"/>
      <c r="I31" s="16">
        <v>1.0</v>
      </c>
      <c r="J31" s="13"/>
      <c r="K31" s="14"/>
      <c r="L31" s="17">
        <v>50000.0</v>
      </c>
      <c r="M31" s="36"/>
      <c r="N31" s="5"/>
      <c r="O31" s="22"/>
      <c r="P31" s="5"/>
      <c r="Q31" s="5"/>
      <c r="R31" s="5"/>
      <c r="S31" s="5"/>
      <c r="T31" s="5"/>
      <c r="U31" s="5"/>
      <c r="V31" s="5"/>
      <c r="W31" s="5"/>
    </row>
    <row r="32">
      <c r="A32" s="8" t="s">
        <v>16</v>
      </c>
      <c r="B32" s="9">
        <v>45322.0</v>
      </c>
      <c r="C32" s="10">
        <v>150000.0</v>
      </c>
      <c r="D32" s="10">
        <v>72000.0</v>
      </c>
      <c r="E32" s="11"/>
      <c r="F32" s="11"/>
      <c r="G32" s="11"/>
      <c r="H32" s="11"/>
      <c r="I32" s="61">
        <v>1.0</v>
      </c>
      <c r="J32" s="13"/>
      <c r="K32" s="14"/>
      <c r="L32" s="17">
        <v>150000.0</v>
      </c>
      <c r="M32" s="36"/>
      <c r="N32" s="5"/>
      <c r="O32" s="22"/>
      <c r="P32" s="5"/>
      <c r="Q32" s="5"/>
      <c r="R32" s="5"/>
      <c r="S32" s="5"/>
      <c r="T32" s="5"/>
      <c r="U32" s="5"/>
      <c r="V32" s="5"/>
      <c r="W32" s="5"/>
    </row>
    <row r="33">
      <c r="A33" s="62"/>
      <c r="B33" s="63"/>
      <c r="C33" s="64">
        <f t="shared" ref="C33:D33" si="1">SUM(C2:C32)</f>
        <v>1678000</v>
      </c>
      <c r="D33" s="65">
        <f t="shared" si="1"/>
        <v>1751000</v>
      </c>
      <c r="E33" s="64">
        <f>'Les charges '!F342</f>
        <v>920145</v>
      </c>
      <c r="F33" s="64">
        <f>'les Salaires'!L28</f>
        <v>348349.08</v>
      </c>
      <c r="G33" s="66">
        <v>140000.0</v>
      </c>
      <c r="H33" s="64">
        <f>D33-E33-F33-G33</f>
        <v>342505.92</v>
      </c>
      <c r="I33" s="67">
        <f>SUM(I2:I32)</f>
        <v>31</v>
      </c>
      <c r="J33" s="5"/>
      <c r="K33" s="14"/>
      <c r="L33" s="15">
        <f>SUM(L2:L32)</f>
        <v>1678000</v>
      </c>
      <c r="M33" s="36"/>
      <c r="N33" s="22"/>
      <c r="O33" s="22"/>
      <c r="P33" s="5"/>
      <c r="Q33" s="5"/>
      <c r="R33" s="5"/>
      <c r="S33" s="5"/>
      <c r="T33" s="5"/>
      <c r="U33" s="5"/>
      <c r="V33" s="5"/>
      <c r="W33" s="5"/>
    </row>
    <row r="34">
      <c r="A34" s="5"/>
      <c r="B34" s="68"/>
      <c r="C34" s="22"/>
      <c r="D34" s="22"/>
      <c r="E34" s="5"/>
      <c r="F34" s="5"/>
      <c r="G34" s="5"/>
      <c r="H34" s="5"/>
      <c r="I34" s="5"/>
      <c r="J34" s="5"/>
      <c r="K34" s="22"/>
      <c r="L34" s="22"/>
      <c r="M34" s="36"/>
      <c r="N34" s="22"/>
      <c r="O34" s="22"/>
      <c r="P34" s="5"/>
      <c r="Q34" s="5"/>
      <c r="R34" s="5"/>
      <c r="S34" s="5"/>
      <c r="T34" s="5"/>
      <c r="U34" s="5"/>
      <c r="V34" s="5"/>
      <c r="W34" s="5"/>
    </row>
    <row r="35">
      <c r="A35" s="5"/>
      <c r="B35" s="68"/>
      <c r="C35" s="22"/>
      <c r="D35" s="22"/>
      <c r="E35" s="22"/>
      <c r="F35" s="22"/>
      <c r="G35" s="22"/>
      <c r="H35" s="22"/>
      <c r="I35" s="5"/>
      <c r="J35" s="5"/>
      <c r="K35" s="22"/>
      <c r="L35" s="22"/>
      <c r="M35" s="27">
        <f>M11-M29-M34</f>
        <v>554355</v>
      </c>
      <c r="N35" s="5"/>
      <c r="O35" s="22"/>
      <c r="P35" s="5"/>
      <c r="Q35" s="5"/>
      <c r="R35" s="5"/>
      <c r="S35" s="5"/>
      <c r="T35" s="5"/>
      <c r="U35" s="5"/>
      <c r="V35" s="5"/>
      <c r="W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5"/>
      <c r="B38" s="5"/>
      <c r="C38" s="5"/>
      <c r="D38" s="5" t="s">
        <v>45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26.38"/>
    <col customWidth="1" min="3" max="3" width="21.63"/>
    <col customWidth="1" min="4" max="4" width="19.13"/>
    <col customWidth="1" min="5" max="5" width="20.38"/>
    <col customWidth="1" min="6" max="6" width="19.63"/>
    <col customWidth="1" min="7" max="7" width="30.13"/>
    <col customWidth="1" min="8" max="8" width="19.63"/>
    <col customWidth="1" min="9" max="10" width="19.38"/>
    <col customWidth="1" min="11" max="11" width="19.63"/>
    <col customWidth="1" min="12" max="12" width="20.13"/>
    <col customWidth="1" min="13" max="13" width="19.63"/>
    <col customWidth="1" min="14" max="14" width="19.88"/>
    <col customWidth="1" min="15" max="15" width="21.63"/>
    <col customWidth="1" min="16" max="16" width="37.13"/>
    <col customWidth="1" min="17" max="17" width="31.63"/>
    <col customWidth="1" min="18" max="18" width="76.88"/>
  </cols>
  <sheetData>
    <row r="1">
      <c r="A1" s="1"/>
      <c r="B1" s="2" t="s">
        <v>0</v>
      </c>
      <c r="C1" s="69" t="s">
        <v>46</v>
      </c>
      <c r="D1" s="70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4" t="s">
        <v>57</v>
      </c>
      <c r="O1" s="4" t="s">
        <v>58</v>
      </c>
      <c r="P1" s="71" t="s">
        <v>59</v>
      </c>
      <c r="Q1" s="72" t="s">
        <v>60</v>
      </c>
      <c r="R1" s="73"/>
    </row>
    <row r="2">
      <c r="A2" s="8" t="s">
        <v>10</v>
      </c>
      <c r="B2" s="9">
        <v>45292.0</v>
      </c>
      <c r="C2" s="8">
        <v>0.5</v>
      </c>
      <c r="D2" s="16">
        <v>1.0</v>
      </c>
      <c r="E2" s="16">
        <v>1.0</v>
      </c>
      <c r="F2" s="16">
        <v>1.0</v>
      </c>
      <c r="G2" s="16">
        <v>0.0</v>
      </c>
      <c r="H2" s="16">
        <v>0.0</v>
      </c>
      <c r="I2" s="16">
        <v>1.0</v>
      </c>
      <c r="J2" s="16">
        <v>1.0</v>
      </c>
      <c r="K2" s="16">
        <v>1.0</v>
      </c>
      <c r="L2" s="16">
        <v>0.0</v>
      </c>
      <c r="M2" s="16">
        <v>1.0</v>
      </c>
      <c r="N2" s="16">
        <v>1.0</v>
      </c>
      <c r="O2" s="16">
        <v>1.0</v>
      </c>
      <c r="P2" s="74">
        <v>1.0</v>
      </c>
      <c r="Q2" s="74">
        <v>0.0</v>
      </c>
      <c r="R2" s="73"/>
    </row>
    <row r="3">
      <c r="A3" s="8" t="s">
        <v>11</v>
      </c>
      <c r="B3" s="9">
        <v>45293.0</v>
      </c>
      <c r="C3" s="8">
        <v>0.0</v>
      </c>
      <c r="D3" s="16">
        <v>1.0</v>
      </c>
      <c r="E3" s="16">
        <v>1.0</v>
      </c>
      <c r="F3" s="16">
        <v>1.0</v>
      </c>
      <c r="G3" s="16">
        <v>1.0</v>
      </c>
      <c r="H3" s="16">
        <v>0.0</v>
      </c>
      <c r="I3" s="16">
        <v>0.0</v>
      </c>
      <c r="J3" s="16">
        <v>1.0</v>
      </c>
      <c r="K3" s="16">
        <v>0.0</v>
      </c>
      <c r="L3" s="16">
        <v>0.0</v>
      </c>
      <c r="M3" s="16">
        <v>1.0</v>
      </c>
      <c r="N3" s="16">
        <v>1.0</v>
      </c>
      <c r="O3" s="16">
        <v>0.0</v>
      </c>
      <c r="P3" s="74">
        <v>1.0</v>
      </c>
      <c r="Q3" s="74">
        <v>0.0</v>
      </c>
      <c r="R3" s="73"/>
    </row>
    <row r="4">
      <c r="A4" s="8" t="s">
        <v>16</v>
      </c>
      <c r="B4" s="9">
        <v>45294.0</v>
      </c>
      <c r="C4" s="8">
        <v>0.5</v>
      </c>
      <c r="D4" s="16">
        <v>1.0</v>
      </c>
      <c r="E4" s="16">
        <v>1.0</v>
      </c>
      <c r="F4" s="16">
        <v>1.0</v>
      </c>
      <c r="G4" s="16">
        <v>1.0</v>
      </c>
      <c r="H4" s="16">
        <v>0.0</v>
      </c>
      <c r="I4" s="16">
        <v>0.0</v>
      </c>
      <c r="J4" s="16">
        <v>1.0</v>
      </c>
      <c r="K4" s="16">
        <v>1.0</v>
      </c>
      <c r="L4" s="16">
        <v>0.0</v>
      </c>
      <c r="M4" s="16">
        <v>1.0</v>
      </c>
      <c r="N4" s="16">
        <v>1.0</v>
      </c>
      <c r="O4" s="16">
        <v>1.0</v>
      </c>
      <c r="P4" s="74">
        <v>1.0</v>
      </c>
      <c r="Q4" s="74">
        <v>0.0</v>
      </c>
      <c r="R4" s="74" t="s">
        <v>61</v>
      </c>
    </row>
    <row r="5">
      <c r="A5" s="8" t="s">
        <v>17</v>
      </c>
      <c r="B5" s="9">
        <v>45295.0</v>
      </c>
      <c r="C5" s="8">
        <v>0.5</v>
      </c>
      <c r="D5" s="16">
        <v>1.0</v>
      </c>
      <c r="E5" s="16">
        <v>1.0</v>
      </c>
      <c r="F5" s="16">
        <v>0.5</v>
      </c>
      <c r="G5" s="16">
        <v>1.0</v>
      </c>
      <c r="H5" s="16">
        <v>0.0</v>
      </c>
      <c r="I5" s="16">
        <v>0.0</v>
      </c>
      <c r="J5" s="16">
        <v>0.5</v>
      </c>
      <c r="K5" s="16">
        <v>1.0</v>
      </c>
      <c r="L5" s="16">
        <v>0.0</v>
      </c>
      <c r="M5" s="16">
        <v>1.0</v>
      </c>
      <c r="N5" s="16">
        <v>1.0</v>
      </c>
      <c r="O5" s="16">
        <v>1.0</v>
      </c>
      <c r="P5" s="74">
        <v>1.0</v>
      </c>
      <c r="Q5" s="74">
        <v>0.0</v>
      </c>
      <c r="R5" s="74" t="s">
        <v>62</v>
      </c>
    </row>
    <row r="6">
      <c r="A6" s="75" t="s">
        <v>18</v>
      </c>
      <c r="B6" s="76">
        <v>45296.0</v>
      </c>
      <c r="C6" s="75">
        <v>0.0</v>
      </c>
      <c r="D6" s="77">
        <v>0.0</v>
      </c>
      <c r="E6" s="77">
        <v>0.0</v>
      </c>
      <c r="F6" s="77">
        <v>0.0</v>
      </c>
      <c r="G6" s="77">
        <v>1.0</v>
      </c>
      <c r="H6" s="77">
        <v>1.0</v>
      </c>
      <c r="I6" s="77">
        <v>1.0</v>
      </c>
      <c r="J6" s="77">
        <v>0.0</v>
      </c>
      <c r="K6" s="77">
        <v>0.0</v>
      </c>
      <c r="L6" s="77">
        <v>0.0</v>
      </c>
      <c r="M6" s="77">
        <v>0.0</v>
      </c>
      <c r="N6" s="77">
        <v>0.0</v>
      </c>
      <c r="O6" s="78">
        <v>0.0</v>
      </c>
      <c r="P6" s="79">
        <v>0.0</v>
      </c>
      <c r="Q6" s="74">
        <v>0.0</v>
      </c>
      <c r="R6" s="73"/>
    </row>
    <row r="7">
      <c r="A7" s="8" t="s">
        <v>21</v>
      </c>
      <c r="B7" s="9">
        <v>45297.0</v>
      </c>
      <c r="C7" s="8">
        <v>0.0</v>
      </c>
      <c r="D7" s="16">
        <v>0.0</v>
      </c>
      <c r="E7" s="16">
        <v>1.0</v>
      </c>
      <c r="F7" s="16">
        <v>1.0</v>
      </c>
      <c r="G7" s="16">
        <v>1.0</v>
      </c>
      <c r="H7" s="16">
        <v>0.0</v>
      </c>
      <c r="I7" s="16">
        <v>0.0</v>
      </c>
      <c r="J7" s="16">
        <v>0.0</v>
      </c>
      <c r="K7" s="16">
        <v>1.0</v>
      </c>
      <c r="L7" s="16">
        <v>1.0</v>
      </c>
      <c r="M7" s="16">
        <v>1.0</v>
      </c>
      <c r="N7" s="16">
        <v>1.0</v>
      </c>
      <c r="O7" s="16">
        <v>1.0</v>
      </c>
      <c r="P7" s="79">
        <v>0.0</v>
      </c>
      <c r="Q7" s="74">
        <v>0.0</v>
      </c>
      <c r="R7" s="73"/>
    </row>
    <row r="8">
      <c r="A8" s="8" t="s">
        <v>22</v>
      </c>
      <c r="B8" s="9">
        <v>45298.0</v>
      </c>
      <c r="C8" s="8">
        <v>1.0</v>
      </c>
      <c r="D8" s="16">
        <v>1.0</v>
      </c>
      <c r="E8" s="16">
        <v>1.0</v>
      </c>
      <c r="F8" s="16">
        <v>1.0</v>
      </c>
      <c r="G8" s="16">
        <v>1.0</v>
      </c>
      <c r="H8" s="16">
        <v>0.0</v>
      </c>
      <c r="I8" s="16">
        <v>0.0</v>
      </c>
      <c r="J8" s="16">
        <v>1.0</v>
      </c>
      <c r="K8" s="16">
        <v>0.0</v>
      </c>
      <c r="L8" s="16">
        <v>1.0</v>
      </c>
      <c r="M8" s="16">
        <v>1.0</v>
      </c>
      <c r="N8" s="16">
        <v>1.0</v>
      </c>
      <c r="O8" s="16">
        <v>1.0</v>
      </c>
      <c r="P8" s="79">
        <v>0.0</v>
      </c>
      <c r="Q8" s="74">
        <v>0.0</v>
      </c>
      <c r="R8" s="74" t="s">
        <v>63</v>
      </c>
    </row>
    <row r="9">
      <c r="A9" s="8" t="s">
        <v>10</v>
      </c>
      <c r="B9" s="9">
        <v>45299.0</v>
      </c>
      <c r="C9" s="8">
        <v>0.0</v>
      </c>
      <c r="D9" s="16">
        <v>1.0</v>
      </c>
      <c r="E9" s="16">
        <v>1.0</v>
      </c>
      <c r="F9" s="16">
        <v>1.0</v>
      </c>
      <c r="G9" s="16">
        <v>0.0</v>
      </c>
      <c r="H9" s="16">
        <v>0.0</v>
      </c>
      <c r="I9" s="16">
        <v>0.0</v>
      </c>
      <c r="J9" s="16">
        <v>1.0</v>
      </c>
      <c r="K9" s="16">
        <v>1.0</v>
      </c>
      <c r="L9" s="16">
        <v>1.0</v>
      </c>
      <c r="M9" s="16">
        <v>1.0</v>
      </c>
      <c r="N9" s="16">
        <v>1.0</v>
      </c>
      <c r="O9" s="16">
        <v>1.0</v>
      </c>
      <c r="P9" s="79">
        <v>0.0</v>
      </c>
      <c r="Q9" s="74">
        <v>0.0</v>
      </c>
      <c r="R9" s="73"/>
    </row>
    <row r="10">
      <c r="A10" s="8" t="s">
        <v>11</v>
      </c>
      <c r="B10" s="9">
        <v>45300.0</v>
      </c>
      <c r="C10" s="8">
        <v>0.0</v>
      </c>
      <c r="D10" s="16">
        <v>1.0</v>
      </c>
      <c r="E10" s="16">
        <v>1.0</v>
      </c>
      <c r="F10" s="16">
        <v>1.0</v>
      </c>
      <c r="G10" s="16">
        <v>1.0</v>
      </c>
      <c r="H10" s="16">
        <v>0.0</v>
      </c>
      <c r="I10" s="16">
        <v>0.0</v>
      </c>
      <c r="J10" s="16">
        <v>1.0</v>
      </c>
      <c r="K10" s="16">
        <v>0.0</v>
      </c>
      <c r="L10" s="16">
        <v>1.0</v>
      </c>
      <c r="M10" s="16">
        <v>1.0</v>
      </c>
      <c r="N10" s="16">
        <v>1.0</v>
      </c>
      <c r="O10" s="80">
        <v>1.0</v>
      </c>
      <c r="P10" s="79">
        <v>0.0</v>
      </c>
      <c r="Q10" s="74">
        <v>0.0</v>
      </c>
      <c r="R10" s="73"/>
    </row>
    <row r="11">
      <c r="A11" s="8" t="s">
        <v>16</v>
      </c>
      <c r="B11" s="9">
        <v>45301.0</v>
      </c>
      <c r="C11" s="8">
        <v>0.0</v>
      </c>
      <c r="D11" s="16">
        <v>1.0</v>
      </c>
      <c r="E11" s="16">
        <v>1.0</v>
      </c>
      <c r="F11" s="16">
        <v>1.0</v>
      </c>
      <c r="G11" s="16">
        <v>2.0</v>
      </c>
      <c r="H11" s="16">
        <v>0.0</v>
      </c>
      <c r="I11" s="16">
        <v>0.0</v>
      </c>
      <c r="J11" s="16">
        <v>1.0</v>
      </c>
      <c r="K11" s="16">
        <v>2.0</v>
      </c>
      <c r="L11" s="16">
        <v>1.0</v>
      </c>
      <c r="M11" s="16">
        <v>1.0</v>
      </c>
      <c r="N11" s="16">
        <v>1.0</v>
      </c>
      <c r="O11" s="16">
        <v>1.0</v>
      </c>
      <c r="P11" s="79">
        <v>0.0</v>
      </c>
      <c r="Q11" s="74">
        <v>0.0</v>
      </c>
      <c r="R11" s="73"/>
    </row>
    <row r="12">
      <c r="A12" s="8" t="s">
        <v>17</v>
      </c>
      <c r="B12" s="9">
        <v>45302.0</v>
      </c>
      <c r="C12" s="8">
        <v>2.0</v>
      </c>
      <c r="D12" s="16">
        <v>2.0</v>
      </c>
      <c r="E12" s="16">
        <v>2.0</v>
      </c>
      <c r="F12" s="81">
        <v>0.0</v>
      </c>
      <c r="G12" s="16">
        <v>2.0</v>
      </c>
      <c r="H12" s="16">
        <v>0.0</v>
      </c>
      <c r="I12" s="16">
        <v>0.0</v>
      </c>
      <c r="J12" s="16">
        <v>1.25</v>
      </c>
      <c r="K12" s="16">
        <v>2.0</v>
      </c>
      <c r="L12" s="16">
        <v>2.0</v>
      </c>
      <c r="M12" s="16" t="s">
        <v>64</v>
      </c>
      <c r="N12" s="16">
        <v>2.0</v>
      </c>
      <c r="O12" s="16">
        <v>1.0</v>
      </c>
      <c r="P12" s="79">
        <v>0.0</v>
      </c>
      <c r="Q12" s="74">
        <v>0.0</v>
      </c>
      <c r="R12" s="73"/>
    </row>
    <row r="13">
      <c r="A13" s="75" t="s">
        <v>18</v>
      </c>
      <c r="B13" s="76">
        <v>45303.0</v>
      </c>
      <c r="C13" s="75">
        <v>2.0</v>
      </c>
      <c r="D13" s="77">
        <v>1.0</v>
      </c>
      <c r="E13" s="77">
        <v>1.0</v>
      </c>
      <c r="F13" s="81">
        <v>0.0</v>
      </c>
      <c r="G13" s="77">
        <v>1.0</v>
      </c>
      <c r="H13" s="77">
        <v>0.0</v>
      </c>
      <c r="I13" s="77">
        <v>0.0</v>
      </c>
      <c r="J13" s="77">
        <v>0.0</v>
      </c>
      <c r="K13" s="77">
        <v>1.0</v>
      </c>
      <c r="L13" s="77">
        <v>1.0</v>
      </c>
      <c r="M13" s="77">
        <v>0.0</v>
      </c>
      <c r="N13" s="77">
        <v>1.0</v>
      </c>
      <c r="O13" s="77">
        <v>0.0</v>
      </c>
      <c r="P13" s="79">
        <v>0.0</v>
      </c>
      <c r="Q13" s="74">
        <v>0.0</v>
      </c>
      <c r="R13" s="73"/>
    </row>
    <row r="14">
      <c r="A14" s="8" t="s">
        <v>21</v>
      </c>
      <c r="B14" s="9">
        <v>45304.0</v>
      </c>
      <c r="C14" s="8">
        <v>0.0</v>
      </c>
      <c r="D14" s="16">
        <v>0.0</v>
      </c>
      <c r="E14" s="16">
        <v>0.0</v>
      </c>
      <c r="F14" s="81">
        <v>0.0</v>
      </c>
      <c r="G14" s="16">
        <v>0.0</v>
      </c>
      <c r="H14" s="16">
        <v>0.0</v>
      </c>
      <c r="I14" s="16">
        <v>0.0</v>
      </c>
      <c r="J14" s="16">
        <v>0.0</v>
      </c>
      <c r="K14" s="16">
        <v>0.0</v>
      </c>
      <c r="L14" s="16">
        <v>0.0</v>
      </c>
      <c r="M14" s="16">
        <v>0.0</v>
      </c>
      <c r="N14" s="16">
        <v>0.0</v>
      </c>
      <c r="O14" s="16">
        <v>0.0</v>
      </c>
      <c r="P14" s="79">
        <v>0.0</v>
      </c>
      <c r="Q14" s="74">
        <v>0.0</v>
      </c>
      <c r="R14" s="73"/>
    </row>
    <row r="15">
      <c r="A15" s="8" t="s">
        <v>22</v>
      </c>
      <c r="B15" s="9">
        <v>45305.0</v>
      </c>
      <c r="C15" s="8">
        <v>0.0</v>
      </c>
      <c r="D15" s="16">
        <v>0.0</v>
      </c>
      <c r="E15" s="16">
        <v>0.0</v>
      </c>
      <c r="F15" s="81">
        <v>0.0</v>
      </c>
      <c r="G15" s="16">
        <v>0.0</v>
      </c>
      <c r="H15" s="16">
        <v>0.0</v>
      </c>
      <c r="I15" s="16">
        <v>0.0</v>
      </c>
      <c r="J15" s="16">
        <v>0.0</v>
      </c>
      <c r="K15" s="16">
        <v>0.0</v>
      </c>
      <c r="L15" s="16">
        <v>0.0</v>
      </c>
      <c r="M15" s="16">
        <v>2.0</v>
      </c>
      <c r="N15" s="16">
        <v>0.0</v>
      </c>
      <c r="O15" s="16">
        <v>0.0</v>
      </c>
      <c r="P15" s="79" t="s">
        <v>65</v>
      </c>
      <c r="Q15" s="74">
        <v>0.0</v>
      </c>
      <c r="R15" s="73"/>
    </row>
    <row r="16">
      <c r="A16" s="8" t="s">
        <v>10</v>
      </c>
      <c r="B16" s="9">
        <v>45306.0</v>
      </c>
      <c r="C16" s="82">
        <v>0.0</v>
      </c>
      <c r="D16" s="83">
        <v>1.0</v>
      </c>
      <c r="E16" s="83">
        <v>1.0</v>
      </c>
      <c r="F16" s="84">
        <v>0.0</v>
      </c>
      <c r="G16" s="83">
        <v>0.0</v>
      </c>
      <c r="H16" s="83">
        <v>0.0</v>
      </c>
      <c r="I16" s="83">
        <v>0.0</v>
      </c>
      <c r="J16" s="83">
        <v>0.0</v>
      </c>
      <c r="K16" s="83">
        <v>1.0</v>
      </c>
      <c r="L16" s="83">
        <v>1.0</v>
      </c>
      <c r="M16" s="16">
        <v>1.0</v>
      </c>
      <c r="N16" s="83">
        <v>0.0</v>
      </c>
      <c r="O16" s="16">
        <v>1.0</v>
      </c>
      <c r="P16" s="79">
        <v>2.0</v>
      </c>
      <c r="Q16" s="74">
        <v>0.0</v>
      </c>
      <c r="R16" s="73"/>
    </row>
    <row r="17">
      <c r="A17" s="8" t="s">
        <v>11</v>
      </c>
      <c r="B17" s="9">
        <v>45307.0</v>
      </c>
      <c r="C17" s="8">
        <v>0.0</v>
      </c>
      <c r="D17" s="16">
        <v>1.0</v>
      </c>
      <c r="E17" s="16">
        <v>1.0</v>
      </c>
      <c r="F17" s="81">
        <v>0.0</v>
      </c>
      <c r="G17" s="16">
        <v>1.0</v>
      </c>
      <c r="H17" s="16">
        <v>0.0</v>
      </c>
      <c r="I17" s="16">
        <v>0.0</v>
      </c>
      <c r="J17" s="16">
        <v>1.0</v>
      </c>
      <c r="K17" s="16">
        <v>0.0</v>
      </c>
      <c r="L17" s="16">
        <v>0.0</v>
      </c>
      <c r="M17" s="16">
        <v>1.0</v>
      </c>
      <c r="N17" s="16">
        <v>0.0</v>
      </c>
      <c r="O17" s="16">
        <v>1.0</v>
      </c>
      <c r="P17" s="79">
        <v>1.0</v>
      </c>
      <c r="Q17" s="74">
        <v>0.0</v>
      </c>
      <c r="R17" s="73"/>
    </row>
    <row r="18">
      <c r="A18" s="8" t="s">
        <v>16</v>
      </c>
      <c r="B18" s="9">
        <v>45308.0</v>
      </c>
      <c r="C18" s="8">
        <v>0.0</v>
      </c>
      <c r="D18" s="16">
        <v>1.0</v>
      </c>
      <c r="E18" s="16">
        <v>1.0</v>
      </c>
      <c r="F18" s="81">
        <v>0.0</v>
      </c>
      <c r="G18" s="16">
        <v>1.0</v>
      </c>
      <c r="H18" s="16">
        <v>0.0</v>
      </c>
      <c r="I18" s="16">
        <v>0.0</v>
      </c>
      <c r="J18" s="16">
        <v>1.0</v>
      </c>
      <c r="K18" s="16">
        <v>1.0</v>
      </c>
      <c r="L18" s="16">
        <v>1.0</v>
      </c>
      <c r="M18" s="16">
        <v>1.0</v>
      </c>
      <c r="N18" s="16">
        <v>1.0</v>
      </c>
      <c r="O18" s="16">
        <v>1.0</v>
      </c>
      <c r="P18" s="79">
        <v>0.0</v>
      </c>
      <c r="Q18" s="74">
        <v>0.0</v>
      </c>
      <c r="R18" s="73"/>
    </row>
    <row r="19">
      <c r="A19" s="8" t="s">
        <v>17</v>
      </c>
      <c r="B19" s="9">
        <v>45309.0</v>
      </c>
      <c r="C19" s="8">
        <v>1.0</v>
      </c>
      <c r="D19" s="16">
        <v>1.0</v>
      </c>
      <c r="E19" s="16">
        <v>1.0</v>
      </c>
      <c r="F19" s="81">
        <v>0.0</v>
      </c>
      <c r="G19" s="16">
        <v>1.0</v>
      </c>
      <c r="H19" s="16">
        <v>0.0</v>
      </c>
      <c r="I19" s="16">
        <v>0.0</v>
      </c>
      <c r="J19" s="16">
        <v>1.0</v>
      </c>
      <c r="K19" s="16">
        <v>0.0</v>
      </c>
      <c r="L19" s="16">
        <v>1.0</v>
      </c>
      <c r="M19" s="16">
        <v>1.0</v>
      </c>
      <c r="N19" s="16">
        <v>1.0</v>
      </c>
      <c r="O19" s="16">
        <v>1.0</v>
      </c>
      <c r="P19" s="79">
        <v>0.0</v>
      </c>
      <c r="Q19" s="74">
        <v>0.0</v>
      </c>
      <c r="R19" s="73"/>
    </row>
    <row r="20">
      <c r="A20" s="75" t="s">
        <v>18</v>
      </c>
      <c r="B20" s="76">
        <v>45310.0</v>
      </c>
      <c r="C20" s="75">
        <v>1.0</v>
      </c>
      <c r="D20" s="77">
        <v>1.0</v>
      </c>
      <c r="E20" s="77">
        <v>0.0</v>
      </c>
      <c r="F20" s="81">
        <v>0.0</v>
      </c>
      <c r="G20" s="77">
        <v>1.0</v>
      </c>
      <c r="H20" s="77">
        <v>0.0</v>
      </c>
      <c r="I20" s="77">
        <v>0.0</v>
      </c>
      <c r="J20" s="77">
        <v>0.0</v>
      </c>
      <c r="K20" s="77">
        <v>0.0</v>
      </c>
      <c r="L20" s="77">
        <v>0.0</v>
      </c>
      <c r="M20" s="77">
        <v>0.0</v>
      </c>
      <c r="N20" s="77">
        <v>1.0</v>
      </c>
      <c r="O20" s="77">
        <v>0.0</v>
      </c>
      <c r="P20" s="79">
        <v>0.0</v>
      </c>
      <c r="Q20" s="74">
        <v>0.0</v>
      </c>
      <c r="R20" s="73"/>
    </row>
    <row r="21">
      <c r="A21" s="8" t="s">
        <v>21</v>
      </c>
      <c r="B21" s="9">
        <v>45311.0</v>
      </c>
      <c r="C21" s="8">
        <v>1.5</v>
      </c>
      <c r="D21" s="16">
        <v>1.0</v>
      </c>
      <c r="E21" s="16">
        <v>1.0</v>
      </c>
      <c r="F21" s="81">
        <v>0.0</v>
      </c>
      <c r="G21" s="16">
        <v>1.0</v>
      </c>
      <c r="H21" s="16">
        <v>0.0</v>
      </c>
      <c r="I21" s="16">
        <v>0.0</v>
      </c>
      <c r="J21" s="16">
        <v>0.5</v>
      </c>
      <c r="K21" s="16">
        <v>0.0</v>
      </c>
      <c r="L21" s="16">
        <v>1.0</v>
      </c>
      <c r="M21" s="16">
        <v>1.0</v>
      </c>
      <c r="N21" s="16">
        <v>0.0</v>
      </c>
      <c r="O21" s="16">
        <v>0.0</v>
      </c>
      <c r="P21" s="79">
        <v>0.0</v>
      </c>
      <c r="Q21" s="74">
        <v>0.0</v>
      </c>
      <c r="R21" s="74" t="s">
        <v>66</v>
      </c>
    </row>
    <row r="22">
      <c r="A22" s="8" t="s">
        <v>22</v>
      </c>
      <c r="B22" s="9">
        <v>45312.0</v>
      </c>
      <c r="C22" s="8">
        <v>0.0</v>
      </c>
      <c r="D22" s="16">
        <v>1.0</v>
      </c>
      <c r="E22" s="16">
        <v>1.0</v>
      </c>
      <c r="F22" s="81">
        <v>0.0</v>
      </c>
      <c r="G22" s="16">
        <v>1.0</v>
      </c>
      <c r="H22" s="16">
        <v>0.0</v>
      </c>
      <c r="I22" s="16">
        <v>0.0</v>
      </c>
      <c r="J22" s="16">
        <v>1.0</v>
      </c>
      <c r="K22" s="16">
        <v>0.0</v>
      </c>
      <c r="L22" s="16">
        <v>0.0</v>
      </c>
      <c r="M22" s="16">
        <v>1.0</v>
      </c>
      <c r="N22" s="16">
        <v>1.0</v>
      </c>
      <c r="O22" s="16">
        <v>1.0</v>
      </c>
      <c r="P22" s="79">
        <v>0.0</v>
      </c>
      <c r="Q22" s="74">
        <v>0.0</v>
      </c>
      <c r="R22" s="73"/>
    </row>
    <row r="23">
      <c r="A23" s="8" t="s">
        <v>10</v>
      </c>
      <c r="B23" s="9">
        <v>45313.0</v>
      </c>
      <c r="C23" s="8">
        <v>0.0</v>
      </c>
      <c r="D23" s="16">
        <v>1.0</v>
      </c>
      <c r="E23" s="16">
        <v>1.0</v>
      </c>
      <c r="F23" s="81">
        <v>0.0</v>
      </c>
      <c r="G23" s="16">
        <v>1.0</v>
      </c>
      <c r="H23" s="16">
        <v>0.0</v>
      </c>
      <c r="I23" s="16">
        <v>0.0</v>
      </c>
      <c r="J23" s="16">
        <v>1.0</v>
      </c>
      <c r="K23" s="16">
        <v>0.0</v>
      </c>
      <c r="L23" s="16">
        <v>1.0</v>
      </c>
      <c r="M23" s="16">
        <v>1.0</v>
      </c>
      <c r="N23" s="16">
        <v>0.0</v>
      </c>
      <c r="O23" s="16">
        <v>1.0</v>
      </c>
      <c r="P23" s="79">
        <v>0.0</v>
      </c>
      <c r="Q23" s="74">
        <v>0.0</v>
      </c>
      <c r="R23" s="73"/>
    </row>
    <row r="24">
      <c r="A24" s="8" t="s">
        <v>11</v>
      </c>
      <c r="B24" s="9">
        <v>45314.0</v>
      </c>
      <c r="C24" s="8">
        <v>0.0</v>
      </c>
      <c r="D24" s="16">
        <v>1.0</v>
      </c>
      <c r="E24" s="16">
        <v>1.0</v>
      </c>
      <c r="F24" s="81">
        <v>0.0</v>
      </c>
      <c r="G24" s="16">
        <v>1.0</v>
      </c>
      <c r="H24" s="16">
        <v>0.0</v>
      </c>
      <c r="I24" s="16">
        <v>0.0</v>
      </c>
      <c r="J24" s="16">
        <v>1.0</v>
      </c>
      <c r="K24" s="16">
        <v>0.0</v>
      </c>
      <c r="L24" s="16">
        <v>0.0</v>
      </c>
      <c r="M24" s="16">
        <v>1.0</v>
      </c>
      <c r="N24" s="16">
        <v>1.0</v>
      </c>
      <c r="O24" s="16">
        <v>1.0</v>
      </c>
      <c r="P24" s="79">
        <v>0.0</v>
      </c>
      <c r="Q24" s="74">
        <v>0.0</v>
      </c>
      <c r="R24" s="74" t="s">
        <v>67</v>
      </c>
    </row>
    <row r="25">
      <c r="A25" s="8" t="s">
        <v>16</v>
      </c>
      <c r="B25" s="9">
        <v>45315.0</v>
      </c>
      <c r="C25" s="8">
        <v>0.0</v>
      </c>
      <c r="D25" s="16">
        <v>1.0</v>
      </c>
      <c r="E25" s="16">
        <v>1.0</v>
      </c>
      <c r="F25" s="81">
        <v>0.0</v>
      </c>
      <c r="G25" s="16">
        <v>1.0</v>
      </c>
      <c r="H25" s="16">
        <v>0.0</v>
      </c>
      <c r="I25" s="16">
        <v>0.0</v>
      </c>
      <c r="J25" s="16">
        <v>1.0</v>
      </c>
      <c r="K25" s="16">
        <v>0.0</v>
      </c>
      <c r="L25" s="16">
        <v>0.0</v>
      </c>
      <c r="M25" s="16">
        <v>1.0</v>
      </c>
      <c r="N25" s="16">
        <v>1.0</v>
      </c>
      <c r="O25" s="16">
        <v>1.0</v>
      </c>
      <c r="P25" s="79">
        <v>0.0</v>
      </c>
      <c r="Q25" s="74">
        <v>0.0</v>
      </c>
      <c r="R25" s="73"/>
    </row>
    <row r="26">
      <c r="A26" s="8" t="s">
        <v>17</v>
      </c>
      <c r="B26" s="9">
        <v>45316.0</v>
      </c>
      <c r="C26" s="8">
        <v>1.0</v>
      </c>
      <c r="D26" s="16">
        <v>1.25</v>
      </c>
      <c r="E26" s="16">
        <v>1.0</v>
      </c>
      <c r="F26" s="81">
        <v>0.0</v>
      </c>
      <c r="G26" s="16">
        <v>1.0</v>
      </c>
      <c r="H26" s="16">
        <v>0.0</v>
      </c>
      <c r="I26" s="16">
        <v>0.0</v>
      </c>
      <c r="J26" s="16">
        <v>1.0</v>
      </c>
      <c r="K26" s="16">
        <v>0.0</v>
      </c>
      <c r="L26" s="16">
        <v>1.0</v>
      </c>
      <c r="M26" s="16">
        <v>1.0</v>
      </c>
      <c r="N26" s="16">
        <v>1.0</v>
      </c>
      <c r="O26" s="81">
        <v>0.0</v>
      </c>
      <c r="P26" s="79">
        <v>0.0</v>
      </c>
      <c r="Q26" s="74">
        <v>0.0</v>
      </c>
      <c r="R26" s="73"/>
    </row>
    <row r="27">
      <c r="A27" s="75" t="s">
        <v>18</v>
      </c>
      <c r="B27" s="76">
        <v>45317.0</v>
      </c>
      <c r="C27" s="75">
        <v>1.0</v>
      </c>
      <c r="D27" s="77">
        <v>1.0</v>
      </c>
      <c r="E27" s="77">
        <v>0.0</v>
      </c>
      <c r="F27" s="81">
        <v>0.0</v>
      </c>
      <c r="G27" s="77">
        <v>1.0</v>
      </c>
      <c r="H27" s="77">
        <v>0.0</v>
      </c>
      <c r="I27" s="77">
        <v>0.0</v>
      </c>
      <c r="J27" s="77">
        <v>0.0</v>
      </c>
      <c r="K27" s="77">
        <v>0.0</v>
      </c>
      <c r="L27" s="77">
        <v>1.0</v>
      </c>
      <c r="M27" s="77">
        <v>0.0</v>
      </c>
      <c r="N27" s="77">
        <v>1.0</v>
      </c>
      <c r="O27" s="81">
        <v>0.0</v>
      </c>
      <c r="P27" s="79">
        <v>0.0</v>
      </c>
      <c r="Q27" s="74">
        <v>0.0</v>
      </c>
      <c r="R27" s="73"/>
    </row>
    <row r="28">
      <c r="A28" s="8" t="s">
        <v>21</v>
      </c>
      <c r="B28" s="9">
        <v>45318.0</v>
      </c>
      <c r="C28" s="8">
        <v>1.0</v>
      </c>
      <c r="D28" s="16">
        <v>1.0</v>
      </c>
      <c r="E28" s="16">
        <v>1.0</v>
      </c>
      <c r="F28" s="81">
        <v>0.0</v>
      </c>
      <c r="G28" s="16">
        <v>1.0</v>
      </c>
      <c r="H28" s="16">
        <v>0.0</v>
      </c>
      <c r="I28" s="16">
        <v>0.0</v>
      </c>
      <c r="J28" s="16">
        <v>0.0</v>
      </c>
      <c r="K28" s="16">
        <v>0.0</v>
      </c>
      <c r="L28" s="16">
        <v>1.0</v>
      </c>
      <c r="M28" s="16">
        <v>1.0</v>
      </c>
      <c r="N28" s="16">
        <v>1.0</v>
      </c>
      <c r="O28" s="81">
        <v>0.0</v>
      </c>
      <c r="P28" s="79">
        <v>0.0</v>
      </c>
      <c r="Q28" s="74">
        <v>0.0</v>
      </c>
      <c r="R28" s="73"/>
    </row>
    <row r="29">
      <c r="A29" s="8" t="s">
        <v>22</v>
      </c>
      <c r="B29" s="9">
        <v>45319.0</v>
      </c>
      <c r="C29" s="8">
        <v>1.0</v>
      </c>
      <c r="D29" s="16">
        <v>1.0</v>
      </c>
      <c r="E29" s="16">
        <v>1.0</v>
      </c>
      <c r="F29" s="81">
        <v>0.0</v>
      </c>
      <c r="G29" s="16">
        <v>1.0</v>
      </c>
      <c r="H29" s="16">
        <v>0.0</v>
      </c>
      <c r="I29" s="16">
        <v>0.0</v>
      </c>
      <c r="J29" s="16">
        <v>1.0</v>
      </c>
      <c r="K29" s="16">
        <v>0.0</v>
      </c>
      <c r="L29" s="16">
        <v>0.0</v>
      </c>
      <c r="M29" s="16">
        <v>1.0</v>
      </c>
      <c r="N29" s="16">
        <v>1.0</v>
      </c>
      <c r="O29" s="81">
        <v>0.0</v>
      </c>
      <c r="P29" s="79">
        <v>0.0</v>
      </c>
      <c r="Q29" s="74">
        <v>1.0</v>
      </c>
      <c r="R29" s="73"/>
    </row>
    <row r="30">
      <c r="A30" s="8" t="s">
        <v>10</v>
      </c>
      <c r="B30" s="9">
        <v>45320.0</v>
      </c>
      <c r="C30" s="8">
        <v>0.0</v>
      </c>
      <c r="D30" s="16">
        <v>1.0</v>
      </c>
      <c r="E30" s="16">
        <v>1.0</v>
      </c>
      <c r="F30" s="81">
        <v>0.0</v>
      </c>
      <c r="G30" s="16">
        <v>1.0</v>
      </c>
      <c r="H30" s="16">
        <v>0.0</v>
      </c>
      <c r="I30" s="16">
        <v>0.0</v>
      </c>
      <c r="J30" s="16">
        <v>1.0</v>
      </c>
      <c r="K30" s="16">
        <v>0.0</v>
      </c>
      <c r="L30" s="16">
        <v>1.0</v>
      </c>
      <c r="M30" s="16">
        <v>1.0</v>
      </c>
      <c r="N30" s="16">
        <v>1.0</v>
      </c>
      <c r="O30" s="81">
        <v>0.0</v>
      </c>
      <c r="P30" s="79">
        <v>0.0</v>
      </c>
      <c r="Q30" s="74">
        <v>1.0</v>
      </c>
      <c r="R30" s="73"/>
    </row>
    <row r="31">
      <c r="A31" s="8" t="s">
        <v>11</v>
      </c>
      <c r="B31" s="9">
        <v>45321.0</v>
      </c>
      <c r="C31" s="8">
        <v>0.0</v>
      </c>
      <c r="D31" s="16">
        <v>1.0</v>
      </c>
      <c r="E31" s="16">
        <v>1.0</v>
      </c>
      <c r="F31" s="81">
        <v>0.0</v>
      </c>
      <c r="G31" s="16">
        <v>0.0</v>
      </c>
      <c r="H31" s="16">
        <v>0.0</v>
      </c>
      <c r="I31" s="16">
        <v>1.0</v>
      </c>
      <c r="J31" s="16">
        <v>1.0</v>
      </c>
      <c r="K31" s="16">
        <v>0.0</v>
      </c>
      <c r="L31" s="16">
        <v>0.0</v>
      </c>
      <c r="M31" s="16">
        <v>1.0</v>
      </c>
      <c r="N31" s="16">
        <v>1.0</v>
      </c>
      <c r="O31" s="81">
        <v>0.0</v>
      </c>
      <c r="P31" s="79">
        <v>0.0</v>
      </c>
      <c r="Q31" s="74">
        <v>1.0</v>
      </c>
      <c r="R31" s="73"/>
    </row>
    <row r="32">
      <c r="A32" s="8" t="s">
        <v>16</v>
      </c>
      <c r="B32" s="9">
        <v>45322.0</v>
      </c>
      <c r="C32" s="8">
        <v>0.0</v>
      </c>
      <c r="D32" s="16">
        <v>1.0</v>
      </c>
      <c r="E32" s="16">
        <v>1.0</v>
      </c>
      <c r="F32" s="81">
        <v>0.0</v>
      </c>
      <c r="G32" s="16">
        <v>1.0</v>
      </c>
      <c r="H32" s="85"/>
      <c r="I32" s="16">
        <v>0.0</v>
      </c>
      <c r="J32" s="16">
        <v>1.25</v>
      </c>
      <c r="K32" s="16">
        <v>1.0</v>
      </c>
      <c r="L32" s="16">
        <v>1.0</v>
      </c>
      <c r="M32" s="16">
        <v>1.0</v>
      </c>
      <c r="N32" s="16">
        <v>0.0</v>
      </c>
      <c r="O32" s="81">
        <v>0.0</v>
      </c>
      <c r="P32" s="79">
        <v>0.0</v>
      </c>
      <c r="Q32" s="74">
        <v>1.0</v>
      </c>
      <c r="R32" s="73"/>
    </row>
    <row r="33">
      <c r="C33" s="86">
        <f t="shared" ref="C33:Q33" si="1">SUM(C2:C32)</f>
        <v>14</v>
      </c>
      <c r="D33" s="87">
        <f t="shared" si="1"/>
        <v>28.25</v>
      </c>
      <c r="E33" s="87">
        <f t="shared" si="1"/>
        <v>27</v>
      </c>
      <c r="F33" s="87">
        <f t="shared" si="1"/>
        <v>8.5</v>
      </c>
      <c r="G33" s="87">
        <f t="shared" si="1"/>
        <v>27</v>
      </c>
      <c r="H33" s="87">
        <f t="shared" si="1"/>
        <v>1</v>
      </c>
      <c r="I33" s="87">
        <f t="shared" si="1"/>
        <v>3</v>
      </c>
      <c r="J33" s="87">
        <f t="shared" si="1"/>
        <v>21.5</v>
      </c>
      <c r="K33" s="87">
        <f t="shared" si="1"/>
        <v>13</v>
      </c>
      <c r="L33" s="87">
        <f t="shared" si="1"/>
        <v>18</v>
      </c>
      <c r="M33" s="87">
        <f t="shared" si="1"/>
        <v>26</v>
      </c>
      <c r="N33" s="87">
        <f t="shared" si="1"/>
        <v>24</v>
      </c>
      <c r="O33" s="85">
        <f t="shared" si="1"/>
        <v>17</v>
      </c>
      <c r="P33" s="73">
        <f t="shared" si="1"/>
        <v>7</v>
      </c>
      <c r="Q33" s="73">
        <f t="shared" si="1"/>
        <v>4</v>
      </c>
      <c r="R33" s="73"/>
    </row>
    <row r="34">
      <c r="C34" s="88">
        <v>1296.3</v>
      </c>
      <c r="D34" s="89">
        <v>1370.0</v>
      </c>
      <c r="E34" s="89">
        <v>1222.22</v>
      </c>
      <c r="F34" s="89">
        <v>1222.22</v>
      </c>
      <c r="G34" s="89">
        <v>1111.11</v>
      </c>
      <c r="H34" s="89">
        <v>1111.11</v>
      </c>
      <c r="I34" s="89">
        <v>1150.0</v>
      </c>
      <c r="J34" s="90">
        <v>1370.0</v>
      </c>
      <c r="K34" s="91">
        <v>1500.0</v>
      </c>
      <c r="L34" s="90">
        <v>1111.11</v>
      </c>
      <c r="M34" s="90">
        <v>1038.0</v>
      </c>
      <c r="N34" s="90">
        <v>1111.11</v>
      </c>
      <c r="O34" s="10">
        <v>1111.11</v>
      </c>
      <c r="P34" s="92">
        <v>1150.0</v>
      </c>
      <c r="Q34" s="93">
        <v>1000.0</v>
      </c>
    </row>
    <row r="35">
      <c r="C35" s="94">
        <f>C33*C34</f>
        <v>18148.2</v>
      </c>
      <c r="D35" s="94">
        <f t="shared" ref="D35:I35" si="2">D34*D33</f>
        <v>38702.5</v>
      </c>
      <c r="E35" s="94">
        <f t="shared" si="2"/>
        <v>32999.94</v>
      </c>
      <c r="F35" s="94">
        <f t="shared" si="2"/>
        <v>10388.87</v>
      </c>
      <c r="G35" s="94">
        <f t="shared" si="2"/>
        <v>29999.97</v>
      </c>
      <c r="H35" s="94">
        <f t="shared" si="2"/>
        <v>1111.11</v>
      </c>
      <c r="I35" s="94">
        <f t="shared" si="2"/>
        <v>3450</v>
      </c>
      <c r="J35" s="95">
        <f t="shared" ref="J35:M35" si="3">J33*J34</f>
        <v>29455</v>
      </c>
      <c r="K35" s="95">
        <f t="shared" si="3"/>
        <v>19500</v>
      </c>
      <c r="L35" s="95">
        <f t="shared" si="3"/>
        <v>19999.98</v>
      </c>
      <c r="M35" s="95">
        <f t="shared" si="3"/>
        <v>26988</v>
      </c>
      <c r="N35" s="95">
        <f>N34*N33</f>
        <v>26666.64</v>
      </c>
      <c r="O35" s="96">
        <f>O33*O34</f>
        <v>18888.87</v>
      </c>
      <c r="P35" s="97">
        <f>P34*P33</f>
        <v>8050</v>
      </c>
      <c r="Q35" s="98">
        <f>Q33*Q34</f>
        <v>4000</v>
      </c>
    </row>
    <row r="36">
      <c r="C36" s="99">
        <v>35000.0</v>
      </c>
      <c r="D36" s="99">
        <v>36000.0</v>
      </c>
      <c r="E36" s="100">
        <v>33000.0</v>
      </c>
      <c r="F36" s="100">
        <v>33000.0</v>
      </c>
      <c r="G36" s="100">
        <v>30000.0</v>
      </c>
      <c r="H36" s="100">
        <v>30000.0</v>
      </c>
      <c r="I36" s="100">
        <v>30000.0</v>
      </c>
      <c r="J36" s="99">
        <v>36000.0</v>
      </c>
      <c r="K36" s="100">
        <v>36000.0</v>
      </c>
      <c r="L36" s="101">
        <v>30000.0</v>
      </c>
      <c r="M36" s="101">
        <v>28000.0</v>
      </c>
      <c r="N36" s="102">
        <v>30000.0</v>
      </c>
      <c r="O36" s="103">
        <v>30000.0</v>
      </c>
      <c r="P36" s="92">
        <v>30000.0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0.13"/>
    <col customWidth="1" min="4" max="4" width="38.88"/>
    <col customWidth="1" min="5" max="5" width="39.38"/>
    <col customWidth="1" min="6" max="6" width="37.63"/>
    <col customWidth="1" min="7" max="7" width="59.63"/>
  </cols>
  <sheetData>
    <row r="2">
      <c r="C2" s="104" t="s">
        <v>68</v>
      </c>
      <c r="D2" s="105" t="s">
        <v>69</v>
      </c>
      <c r="E2" s="105" t="s">
        <v>70</v>
      </c>
      <c r="F2" s="105" t="s">
        <v>71</v>
      </c>
      <c r="G2" s="105" t="s">
        <v>72</v>
      </c>
    </row>
    <row r="3">
      <c r="C3" s="106" t="s">
        <v>73</v>
      </c>
      <c r="D3" s="107">
        <v>34.0</v>
      </c>
      <c r="E3" s="107">
        <v>600.0</v>
      </c>
      <c r="F3" s="27">
        <f t="shared" ref="F3:F69" si="1">D3*E3</f>
        <v>20400</v>
      </c>
      <c r="G3" s="108"/>
    </row>
    <row r="4">
      <c r="C4" s="106" t="s">
        <v>74</v>
      </c>
      <c r="D4" s="107">
        <v>5.0</v>
      </c>
      <c r="E4" s="107">
        <v>480.0</v>
      </c>
      <c r="F4" s="27">
        <f t="shared" si="1"/>
        <v>2400</v>
      </c>
      <c r="G4" s="109"/>
    </row>
    <row r="5">
      <c r="C5" s="106" t="s">
        <v>75</v>
      </c>
      <c r="D5" s="107">
        <v>10.0</v>
      </c>
      <c r="E5" s="107">
        <v>300.0</v>
      </c>
      <c r="F5" s="27">
        <f t="shared" si="1"/>
        <v>3000</v>
      </c>
      <c r="G5" s="109"/>
    </row>
    <row r="6">
      <c r="C6" s="106" t="s">
        <v>76</v>
      </c>
      <c r="D6" s="107">
        <v>56.0</v>
      </c>
      <c r="E6" s="107">
        <v>190.0</v>
      </c>
      <c r="F6" s="27">
        <f t="shared" si="1"/>
        <v>10640</v>
      </c>
      <c r="G6" s="109"/>
    </row>
    <row r="7">
      <c r="C7" s="110" t="s">
        <v>77</v>
      </c>
      <c r="D7" s="111">
        <v>2.0</v>
      </c>
      <c r="E7" s="111">
        <v>1950.0</v>
      </c>
      <c r="F7" s="27">
        <f t="shared" si="1"/>
        <v>3900</v>
      </c>
      <c r="G7" s="109"/>
    </row>
    <row r="8">
      <c r="C8" s="110" t="s">
        <v>78</v>
      </c>
      <c r="D8" s="111">
        <v>1.0</v>
      </c>
      <c r="E8" s="111">
        <v>1650.0</v>
      </c>
      <c r="F8" s="27">
        <f t="shared" si="1"/>
        <v>1650</v>
      </c>
      <c r="G8" s="109"/>
    </row>
    <row r="9">
      <c r="C9" s="110" t="s">
        <v>79</v>
      </c>
      <c r="D9" s="111">
        <v>2.0</v>
      </c>
      <c r="E9" s="111">
        <v>1200.0</v>
      </c>
      <c r="F9" s="27">
        <f t="shared" si="1"/>
        <v>2400</v>
      </c>
      <c r="G9" s="109"/>
    </row>
    <row r="10">
      <c r="C10" s="110" t="s">
        <v>80</v>
      </c>
      <c r="D10" s="111">
        <v>2.0</v>
      </c>
      <c r="E10" s="111">
        <v>1100.0</v>
      </c>
      <c r="F10" s="27">
        <f t="shared" si="1"/>
        <v>2200</v>
      </c>
      <c r="G10" s="109"/>
    </row>
    <row r="11">
      <c r="C11" s="110" t="s">
        <v>81</v>
      </c>
      <c r="D11" s="111">
        <v>2.0</v>
      </c>
      <c r="E11" s="111">
        <v>1550.0</v>
      </c>
      <c r="F11" s="27">
        <f t="shared" si="1"/>
        <v>3100</v>
      </c>
      <c r="G11" s="109"/>
    </row>
    <row r="12">
      <c r="C12" s="110" t="s">
        <v>82</v>
      </c>
      <c r="D12" s="111">
        <v>1.0</v>
      </c>
      <c r="E12" s="111">
        <v>1350.0</v>
      </c>
      <c r="F12" s="27">
        <f t="shared" si="1"/>
        <v>1350</v>
      </c>
      <c r="G12" s="109"/>
    </row>
    <row r="13">
      <c r="C13" s="110" t="s">
        <v>83</v>
      </c>
      <c r="D13" s="111">
        <v>1.0</v>
      </c>
      <c r="E13" s="111">
        <v>1150.0</v>
      </c>
      <c r="F13" s="27">
        <f t="shared" si="1"/>
        <v>1150</v>
      </c>
      <c r="G13" s="109"/>
    </row>
    <row r="14">
      <c r="C14" s="110" t="s">
        <v>84</v>
      </c>
      <c r="D14" s="111">
        <v>27.0</v>
      </c>
      <c r="E14" s="111">
        <v>80.0</v>
      </c>
      <c r="F14" s="27">
        <f t="shared" si="1"/>
        <v>2160</v>
      </c>
      <c r="G14" s="109"/>
    </row>
    <row r="15">
      <c r="C15" s="110" t="s">
        <v>85</v>
      </c>
      <c r="D15" s="111">
        <v>20.0</v>
      </c>
      <c r="E15" s="111">
        <v>120.0</v>
      </c>
      <c r="F15" s="27">
        <f t="shared" si="1"/>
        <v>2400</v>
      </c>
      <c r="G15" s="109"/>
    </row>
    <row r="16">
      <c r="C16" s="110" t="s">
        <v>86</v>
      </c>
      <c r="D16" s="111">
        <v>13.0</v>
      </c>
      <c r="E16" s="111">
        <v>1600.0</v>
      </c>
      <c r="F16" s="27">
        <f t="shared" si="1"/>
        <v>20800</v>
      </c>
      <c r="G16" s="109"/>
    </row>
    <row r="17">
      <c r="C17" s="110" t="s">
        <v>87</v>
      </c>
      <c r="D17" s="111">
        <v>2.0</v>
      </c>
      <c r="E17" s="111">
        <v>620.0</v>
      </c>
      <c r="F17" s="27">
        <f t="shared" si="1"/>
        <v>1240</v>
      </c>
      <c r="G17" s="109"/>
    </row>
    <row r="18">
      <c r="C18" s="110" t="s">
        <v>88</v>
      </c>
      <c r="D18" s="111">
        <v>7.0</v>
      </c>
      <c r="E18" s="111">
        <v>800.0</v>
      </c>
      <c r="F18" s="27">
        <f t="shared" si="1"/>
        <v>5600</v>
      </c>
      <c r="G18" s="109"/>
    </row>
    <row r="19">
      <c r="C19" s="110" t="s">
        <v>89</v>
      </c>
      <c r="D19" s="111">
        <v>12.0</v>
      </c>
      <c r="E19" s="111">
        <v>240.0</v>
      </c>
      <c r="F19" s="27">
        <f t="shared" si="1"/>
        <v>2880</v>
      </c>
      <c r="G19" s="109"/>
    </row>
    <row r="20">
      <c r="C20" s="110" t="s">
        <v>90</v>
      </c>
      <c r="D20" s="111">
        <v>2.0</v>
      </c>
      <c r="E20" s="111">
        <v>1100.0</v>
      </c>
      <c r="F20" s="27">
        <f t="shared" si="1"/>
        <v>2200</v>
      </c>
      <c r="G20" s="109"/>
    </row>
    <row r="21">
      <c r="C21" s="110" t="s">
        <v>91</v>
      </c>
      <c r="D21" s="111">
        <v>3.0</v>
      </c>
      <c r="E21" s="111">
        <v>1850.0</v>
      </c>
      <c r="F21" s="27">
        <f t="shared" si="1"/>
        <v>5550</v>
      </c>
      <c r="G21" s="109"/>
    </row>
    <row r="22">
      <c r="C22" s="110" t="s">
        <v>92</v>
      </c>
      <c r="D22" s="111">
        <v>5.0</v>
      </c>
      <c r="E22" s="111">
        <v>200.0</v>
      </c>
      <c r="F22" s="27">
        <f t="shared" si="1"/>
        <v>1000</v>
      </c>
      <c r="G22" s="109"/>
    </row>
    <row r="23">
      <c r="C23" s="110" t="s">
        <v>93</v>
      </c>
      <c r="D23" s="111">
        <v>4.0</v>
      </c>
      <c r="E23" s="111">
        <v>1850.0</v>
      </c>
      <c r="F23" s="27">
        <f t="shared" si="1"/>
        <v>7400</v>
      </c>
      <c r="G23" s="109"/>
    </row>
    <row r="24">
      <c r="C24" s="110" t="s">
        <v>94</v>
      </c>
      <c r="D24" s="111">
        <v>5.0</v>
      </c>
      <c r="E24" s="111">
        <v>560.0</v>
      </c>
      <c r="F24" s="27">
        <f t="shared" si="1"/>
        <v>2800</v>
      </c>
      <c r="G24" s="109"/>
    </row>
    <row r="25">
      <c r="C25" s="112" t="s">
        <v>95</v>
      </c>
      <c r="D25" s="113">
        <v>5.0</v>
      </c>
      <c r="E25" s="114">
        <v>530.0</v>
      </c>
      <c r="F25" s="27">
        <f t="shared" si="1"/>
        <v>2650</v>
      </c>
      <c r="G25" s="109"/>
    </row>
    <row r="26">
      <c r="C26" s="112" t="s">
        <v>96</v>
      </c>
      <c r="D26" s="113">
        <v>10.0</v>
      </c>
      <c r="E26" s="114">
        <v>200.0</v>
      </c>
      <c r="F26" s="27">
        <f t="shared" si="1"/>
        <v>2000</v>
      </c>
      <c r="G26" s="109"/>
    </row>
    <row r="27">
      <c r="C27" s="112" t="s">
        <v>97</v>
      </c>
      <c r="D27" s="113">
        <v>3.0</v>
      </c>
      <c r="E27" s="114">
        <v>245.0</v>
      </c>
      <c r="F27" s="27">
        <f t="shared" si="1"/>
        <v>735</v>
      </c>
      <c r="G27" s="109"/>
    </row>
    <row r="28">
      <c r="C28" s="112" t="s">
        <v>98</v>
      </c>
      <c r="D28" s="114">
        <v>12.0</v>
      </c>
      <c r="E28" s="114">
        <v>260.0</v>
      </c>
      <c r="F28" s="27">
        <f t="shared" si="1"/>
        <v>3120</v>
      </c>
      <c r="G28" s="109"/>
    </row>
    <row r="29">
      <c r="C29" s="112" t="s">
        <v>99</v>
      </c>
      <c r="D29" s="113">
        <v>0.0</v>
      </c>
      <c r="E29" s="114">
        <v>1500.0</v>
      </c>
      <c r="F29" s="27">
        <f t="shared" si="1"/>
        <v>0</v>
      </c>
      <c r="G29" s="109"/>
    </row>
    <row r="30">
      <c r="C30" s="115" t="s">
        <v>100</v>
      </c>
      <c r="D30" s="116">
        <v>3.0</v>
      </c>
      <c r="E30" s="117">
        <v>82.0</v>
      </c>
      <c r="F30" s="27">
        <f t="shared" si="1"/>
        <v>246</v>
      </c>
      <c r="G30" s="109"/>
    </row>
    <row r="31">
      <c r="C31" s="112" t="s">
        <v>101</v>
      </c>
      <c r="D31" s="113">
        <v>11.0</v>
      </c>
      <c r="E31" s="114">
        <v>650.0</v>
      </c>
      <c r="F31" s="27">
        <f t="shared" si="1"/>
        <v>7150</v>
      </c>
      <c r="G31" s="109"/>
    </row>
    <row r="32">
      <c r="C32" s="112" t="s">
        <v>102</v>
      </c>
      <c r="D32" s="114">
        <v>1.0</v>
      </c>
      <c r="E32" s="114">
        <v>200.0</v>
      </c>
      <c r="F32" s="27">
        <f t="shared" si="1"/>
        <v>200</v>
      </c>
      <c r="G32" s="109"/>
    </row>
    <row r="33">
      <c r="C33" s="118" t="s">
        <v>103</v>
      </c>
      <c r="D33" s="111">
        <v>0.5</v>
      </c>
      <c r="E33" s="119">
        <v>1000.0</v>
      </c>
      <c r="F33" s="27">
        <f t="shared" si="1"/>
        <v>500</v>
      </c>
      <c r="G33" s="109"/>
    </row>
    <row r="34">
      <c r="C34" s="118" t="s">
        <v>104</v>
      </c>
      <c r="D34" s="111">
        <v>0.5</v>
      </c>
      <c r="E34" s="119">
        <v>1220.0</v>
      </c>
      <c r="F34" s="27">
        <f t="shared" si="1"/>
        <v>610</v>
      </c>
      <c r="G34" s="109"/>
    </row>
    <row r="35">
      <c r="C35" s="118" t="s">
        <v>105</v>
      </c>
      <c r="D35" s="111">
        <v>0.5</v>
      </c>
      <c r="E35" s="119">
        <v>870.0</v>
      </c>
      <c r="F35" s="27">
        <f t="shared" si="1"/>
        <v>435</v>
      </c>
      <c r="G35" s="109"/>
    </row>
    <row r="36">
      <c r="C36" s="118" t="s">
        <v>106</v>
      </c>
      <c r="D36" s="111">
        <v>0.5</v>
      </c>
      <c r="E36" s="119">
        <v>2100.0</v>
      </c>
      <c r="F36" s="27">
        <f t="shared" si="1"/>
        <v>1050</v>
      </c>
      <c r="G36" s="109"/>
    </row>
    <row r="37">
      <c r="C37" s="112" t="s">
        <v>107</v>
      </c>
      <c r="D37" s="113">
        <v>0.5</v>
      </c>
      <c r="E37" s="114">
        <v>950.0</v>
      </c>
      <c r="F37" s="120">
        <f t="shared" si="1"/>
        <v>475</v>
      </c>
      <c r="G37" s="109"/>
    </row>
    <row r="38">
      <c r="C38" s="121" t="s">
        <v>108</v>
      </c>
      <c r="D38" s="122">
        <v>0.5</v>
      </c>
      <c r="E38" s="123">
        <v>860.0</v>
      </c>
      <c r="F38" s="27">
        <f t="shared" si="1"/>
        <v>430</v>
      </c>
      <c r="G38" s="109"/>
    </row>
    <row r="39">
      <c r="C39" s="112" t="s">
        <v>109</v>
      </c>
      <c r="D39" s="113">
        <v>0.5</v>
      </c>
      <c r="E39" s="114">
        <v>800.0</v>
      </c>
      <c r="F39" s="27">
        <f t="shared" si="1"/>
        <v>400</v>
      </c>
      <c r="G39" s="109"/>
    </row>
    <row r="40">
      <c r="C40" s="112" t="s">
        <v>110</v>
      </c>
      <c r="D40" s="113">
        <v>10.0</v>
      </c>
      <c r="E40" s="114">
        <v>810.0</v>
      </c>
      <c r="F40" s="27">
        <f t="shared" si="1"/>
        <v>8100</v>
      </c>
      <c r="G40" s="109"/>
    </row>
    <row r="41">
      <c r="C41" s="112" t="s">
        <v>111</v>
      </c>
      <c r="D41" s="114">
        <v>100.0</v>
      </c>
      <c r="E41" s="114">
        <v>11.5</v>
      </c>
      <c r="F41" s="27">
        <f t="shared" si="1"/>
        <v>1150</v>
      </c>
      <c r="G41" s="109"/>
    </row>
    <row r="42">
      <c r="C42" s="118" t="s">
        <v>112</v>
      </c>
      <c r="D42" s="119">
        <v>1.0</v>
      </c>
      <c r="E42" s="119">
        <v>750.0</v>
      </c>
      <c r="F42" s="27">
        <f t="shared" si="1"/>
        <v>750</v>
      </c>
      <c r="G42" s="109"/>
    </row>
    <row r="43">
      <c r="C43" s="118" t="s">
        <v>113</v>
      </c>
      <c r="D43" s="119">
        <v>1.0</v>
      </c>
      <c r="E43" s="119">
        <v>560.0</v>
      </c>
      <c r="F43" s="27">
        <f t="shared" si="1"/>
        <v>560</v>
      </c>
      <c r="G43" s="109"/>
    </row>
    <row r="44">
      <c r="C44" s="118" t="s">
        <v>114</v>
      </c>
      <c r="D44" s="119">
        <v>1.0</v>
      </c>
      <c r="E44" s="119">
        <v>1050.0</v>
      </c>
      <c r="F44" s="27">
        <f t="shared" si="1"/>
        <v>1050</v>
      </c>
      <c r="G44" s="109"/>
    </row>
    <row r="45">
      <c r="C45" s="121" t="s">
        <v>115</v>
      </c>
      <c r="D45" s="122">
        <v>16.0</v>
      </c>
      <c r="E45" s="123">
        <v>270.0</v>
      </c>
      <c r="F45" s="27">
        <f t="shared" si="1"/>
        <v>4320</v>
      </c>
      <c r="G45" s="109"/>
    </row>
    <row r="46">
      <c r="C46" s="124" t="s">
        <v>116</v>
      </c>
      <c r="D46" s="107">
        <v>11.0</v>
      </c>
      <c r="E46" s="30">
        <v>240.0</v>
      </c>
      <c r="F46" s="27">
        <f t="shared" si="1"/>
        <v>2640</v>
      </c>
      <c r="G46" s="109"/>
    </row>
    <row r="47">
      <c r="C47" s="124" t="s">
        <v>117</v>
      </c>
      <c r="D47" s="107">
        <v>11.0</v>
      </c>
      <c r="E47" s="30">
        <v>240.0</v>
      </c>
      <c r="F47" s="27">
        <f t="shared" si="1"/>
        <v>2640</v>
      </c>
      <c r="G47" s="109"/>
    </row>
    <row r="48">
      <c r="C48" s="124" t="s">
        <v>118</v>
      </c>
      <c r="D48" s="107">
        <v>16.0</v>
      </c>
      <c r="E48" s="30">
        <v>240.0</v>
      </c>
      <c r="F48" s="27">
        <f t="shared" si="1"/>
        <v>3840</v>
      </c>
      <c r="G48" s="109"/>
    </row>
    <row r="49">
      <c r="C49" s="121" t="s">
        <v>119</v>
      </c>
      <c r="D49" s="122">
        <v>2.0</v>
      </c>
      <c r="E49" s="123">
        <v>2700.0</v>
      </c>
      <c r="F49" s="27">
        <f t="shared" si="1"/>
        <v>5400</v>
      </c>
      <c r="G49" s="109"/>
    </row>
    <row r="50">
      <c r="C50" s="112" t="s">
        <v>120</v>
      </c>
      <c r="D50" s="113">
        <v>5.0</v>
      </c>
      <c r="E50" s="114">
        <v>500.0</v>
      </c>
      <c r="F50" s="27">
        <f t="shared" si="1"/>
        <v>2500</v>
      </c>
      <c r="G50" s="109"/>
    </row>
    <row r="51">
      <c r="C51" s="121" t="s">
        <v>121</v>
      </c>
      <c r="D51" s="123">
        <v>4.0</v>
      </c>
      <c r="E51" s="123">
        <v>650.0</v>
      </c>
      <c r="F51" s="27">
        <f t="shared" si="1"/>
        <v>2600</v>
      </c>
      <c r="G51" s="109"/>
    </row>
    <row r="52">
      <c r="C52" s="121" t="s">
        <v>122</v>
      </c>
      <c r="D52" s="122">
        <v>7.0</v>
      </c>
      <c r="E52" s="123">
        <v>600.0</v>
      </c>
      <c r="F52" s="27">
        <f t="shared" si="1"/>
        <v>4200</v>
      </c>
      <c r="G52" s="109"/>
    </row>
    <row r="53">
      <c r="C53" s="121" t="s">
        <v>123</v>
      </c>
      <c r="D53" s="123">
        <v>40.0</v>
      </c>
      <c r="E53" s="123">
        <v>1050.0</v>
      </c>
      <c r="F53" s="27">
        <f t="shared" si="1"/>
        <v>42000</v>
      </c>
      <c r="G53" s="109"/>
    </row>
    <row r="54">
      <c r="C54" s="121" t="s">
        <v>124</v>
      </c>
      <c r="D54" s="122">
        <v>9.0</v>
      </c>
      <c r="E54" s="123">
        <v>220.0</v>
      </c>
      <c r="F54" s="27">
        <f t="shared" si="1"/>
        <v>1980</v>
      </c>
      <c r="G54" s="109"/>
    </row>
    <row r="55">
      <c r="C55" s="121" t="s">
        <v>125</v>
      </c>
      <c r="D55" s="123">
        <v>2.0</v>
      </c>
      <c r="E55" s="123">
        <v>900.0</v>
      </c>
      <c r="F55" s="27">
        <f t="shared" si="1"/>
        <v>1800</v>
      </c>
      <c r="G55" s="109"/>
    </row>
    <row r="56">
      <c r="C56" s="121" t="s">
        <v>126</v>
      </c>
      <c r="D56" s="123">
        <v>2.0</v>
      </c>
      <c r="E56" s="123">
        <v>220.0</v>
      </c>
      <c r="F56" s="27">
        <f t="shared" si="1"/>
        <v>440</v>
      </c>
      <c r="G56" s="109"/>
    </row>
    <row r="57">
      <c r="C57" s="124" t="s">
        <v>127</v>
      </c>
      <c r="D57" s="30">
        <v>2.0</v>
      </c>
      <c r="E57" s="30">
        <v>140.0</v>
      </c>
      <c r="F57" s="27">
        <f t="shared" si="1"/>
        <v>280</v>
      </c>
      <c r="G57" s="109"/>
    </row>
    <row r="58">
      <c r="C58" s="121" t="s">
        <v>128</v>
      </c>
      <c r="D58" s="123">
        <v>1.0</v>
      </c>
      <c r="E58" s="123">
        <v>400.0</v>
      </c>
      <c r="F58" s="27">
        <f t="shared" si="1"/>
        <v>400</v>
      </c>
      <c r="G58" s="109"/>
    </row>
    <row r="59">
      <c r="C59" s="124" t="s">
        <v>129</v>
      </c>
      <c r="D59" s="30">
        <v>1.0</v>
      </c>
      <c r="E59" s="30">
        <v>1050.0</v>
      </c>
      <c r="F59" s="27">
        <f t="shared" si="1"/>
        <v>1050</v>
      </c>
      <c r="G59" s="109"/>
    </row>
    <row r="60">
      <c r="C60" s="121" t="s">
        <v>130</v>
      </c>
      <c r="D60" s="123">
        <v>5.0</v>
      </c>
      <c r="E60" s="123">
        <v>1000.0</v>
      </c>
      <c r="F60" s="27">
        <f t="shared" si="1"/>
        <v>5000</v>
      </c>
      <c r="G60" s="109"/>
    </row>
    <row r="61">
      <c r="C61" s="121" t="s">
        <v>131</v>
      </c>
      <c r="D61" s="123">
        <v>100.0</v>
      </c>
      <c r="E61" s="123">
        <v>12.0</v>
      </c>
      <c r="F61" s="27">
        <f t="shared" si="1"/>
        <v>1200</v>
      </c>
      <c r="G61" s="109"/>
    </row>
    <row r="62">
      <c r="C62" s="121" t="s">
        <v>132</v>
      </c>
      <c r="D62" s="122">
        <v>57.0</v>
      </c>
      <c r="E62" s="123">
        <v>85.0</v>
      </c>
      <c r="F62" s="27">
        <f t="shared" si="1"/>
        <v>4845</v>
      </c>
      <c r="G62" s="109"/>
    </row>
    <row r="63">
      <c r="C63" s="121" t="s">
        <v>133</v>
      </c>
      <c r="D63" s="122">
        <v>40.0</v>
      </c>
      <c r="E63" s="123">
        <v>18.0</v>
      </c>
      <c r="F63" s="27">
        <f t="shared" si="1"/>
        <v>720</v>
      </c>
      <c r="G63" s="109"/>
    </row>
    <row r="64">
      <c r="C64" s="121" t="s">
        <v>134</v>
      </c>
      <c r="D64" s="122">
        <v>0.5</v>
      </c>
      <c r="E64" s="123">
        <v>3650.0</v>
      </c>
      <c r="F64" s="27">
        <f t="shared" si="1"/>
        <v>1825</v>
      </c>
      <c r="G64" s="109"/>
    </row>
    <row r="65">
      <c r="C65" s="121" t="s">
        <v>135</v>
      </c>
      <c r="D65" s="122">
        <v>6.0</v>
      </c>
      <c r="E65" s="123">
        <v>75.0</v>
      </c>
      <c r="F65" s="27">
        <f t="shared" si="1"/>
        <v>450</v>
      </c>
      <c r="G65" s="109"/>
    </row>
    <row r="66">
      <c r="C66" s="121" t="s">
        <v>136</v>
      </c>
      <c r="D66" s="122">
        <v>7.0</v>
      </c>
      <c r="E66" s="123">
        <v>200.0</v>
      </c>
      <c r="F66" s="27">
        <f t="shared" si="1"/>
        <v>1400</v>
      </c>
      <c r="G66" s="109"/>
    </row>
    <row r="67">
      <c r="C67" s="121" t="s">
        <v>137</v>
      </c>
      <c r="D67" s="123">
        <v>1.0</v>
      </c>
      <c r="E67" s="123">
        <v>1000.0</v>
      </c>
      <c r="F67" s="27">
        <f t="shared" si="1"/>
        <v>1000</v>
      </c>
      <c r="G67" s="109"/>
    </row>
    <row r="68">
      <c r="C68" s="121" t="s">
        <v>138</v>
      </c>
      <c r="D68" s="122">
        <v>2.0</v>
      </c>
      <c r="E68" s="123">
        <v>1150.0</v>
      </c>
      <c r="F68" s="27">
        <f t="shared" si="1"/>
        <v>2300</v>
      </c>
      <c r="G68" s="109"/>
    </row>
    <row r="69">
      <c r="C69" s="112" t="s">
        <v>139</v>
      </c>
      <c r="D69" s="113">
        <v>16.0</v>
      </c>
      <c r="E69" s="114">
        <v>245.0</v>
      </c>
      <c r="F69" s="27">
        <f t="shared" si="1"/>
        <v>3920</v>
      </c>
      <c r="G69" s="109"/>
    </row>
    <row r="70">
      <c r="C70" s="121" t="s">
        <v>140</v>
      </c>
      <c r="D70" s="122">
        <v>15.0</v>
      </c>
      <c r="E70" s="122">
        <v>30.0</v>
      </c>
      <c r="F70" s="125">
        <f>E70*D70</f>
        <v>450</v>
      </c>
      <c r="G70" s="109"/>
    </row>
    <row r="71">
      <c r="C71" s="110" t="s">
        <v>141</v>
      </c>
      <c r="D71" s="111">
        <v>7.0</v>
      </c>
      <c r="E71" s="111">
        <v>540.0</v>
      </c>
      <c r="F71" s="27">
        <f t="shared" ref="F71:F341" si="2">D71*E71</f>
        <v>3780</v>
      </c>
      <c r="G71" s="109"/>
    </row>
    <row r="72">
      <c r="C72" s="110" t="s">
        <v>142</v>
      </c>
      <c r="D72" s="111">
        <v>1.0</v>
      </c>
      <c r="E72" s="111">
        <v>6000.0</v>
      </c>
      <c r="F72" s="27">
        <f t="shared" si="2"/>
        <v>6000</v>
      </c>
      <c r="G72" s="109"/>
    </row>
    <row r="73">
      <c r="C73" s="110" t="s">
        <v>127</v>
      </c>
      <c r="D73" s="111">
        <v>4.0</v>
      </c>
      <c r="E73" s="111">
        <v>200.0</v>
      </c>
      <c r="F73" s="27">
        <f t="shared" si="2"/>
        <v>800</v>
      </c>
      <c r="G73" s="109"/>
    </row>
    <row r="74">
      <c r="C74" s="110" t="s">
        <v>143</v>
      </c>
      <c r="D74" s="111">
        <v>10.0</v>
      </c>
      <c r="E74" s="111">
        <v>300.0</v>
      </c>
      <c r="F74" s="27">
        <f t="shared" si="2"/>
        <v>3000</v>
      </c>
      <c r="G74" s="109"/>
    </row>
    <row r="75">
      <c r="C75" s="110" t="s">
        <v>144</v>
      </c>
      <c r="D75" s="111">
        <v>1.5</v>
      </c>
      <c r="E75" s="111">
        <v>1800.0</v>
      </c>
      <c r="F75" s="27">
        <f t="shared" si="2"/>
        <v>2700</v>
      </c>
      <c r="G75" s="109"/>
    </row>
    <row r="76">
      <c r="C76" s="110" t="s">
        <v>145</v>
      </c>
      <c r="D76" s="111">
        <v>2.0</v>
      </c>
      <c r="E76" s="111">
        <v>1000.0</v>
      </c>
      <c r="F76" s="27">
        <f t="shared" si="2"/>
        <v>2000</v>
      </c>
      <c r="G76" s="109"/>
    </row>
    <row r="77">
      <c r="C77" s="110" t="s">
        <v>146</v>
      </c>
      <c r="D77" s="111">
        <v>20.0</v>
      </c>
      <c r="E77" s="111">
        <v>200.0</v>
      </c>
      <c r="F77" s="27">
        <f t="shared" si="2"/>
        <v>4000</v>
      </c>
      <c r="G77" s="109"/>
    </row>
    <row r="78">
      <c r="C78" s="110" t="s">
        <v>147</v>
      </c>
      <c r="D78" s="111">
        <v>10.0</v>
      </c>
      <c r="E78" s="111">
        <v>100.0</v>
      </c>
      <c r="F78" s="27">
        <f t="shared" si="2"/>
        <v>1000</v>
      </c>
      <c r="G78" s="109"/>
    </row>
    <row r="79">
      <c r="C79" s="126" t="s">
        <v>148</v>
      </c>
      <c r="D79" s="127">
        <v>2.0</v>
      </c>
      <c r="E79" s="128">
        <v>400.0</v>
      </c>
      <c r="F79" s="27">
        <f t="shared" si="2"/>
        <v>800</v>
      </c>
      <c r="G79" s="109"/>
    </row>
    <row r="80">
      <c r="C80" s="126" t="s">
        <v>149</v>
      </c>
      <c r="D80" s="127">
        <v>1.0</v>
      </c>
      <c r="E80" s="128">
        <v>620.0</v>
      </c>
      <c r="F80" s="27">
        <f t="shared" si="2"/>
        <v>620</v>
      </c>
      <c r="G80" s="109"/>
    </row>
    <row r="81">
      <c r="C81" s="110" t="s">
        <v>150</v>
      </c>
      <c r="D81" s="111">
        <v>10.0</v>
      </c>
      <c r="E81" s="111">
        <v>150.0</v>
      </c>
      <c r="F81" s="27">
        <f t="shared" si="2"/>
        <v>1500</v>
      </c>
      <c r="G81" s="109"/>
    </row>
    <row r="82">
      <c r="C82" s="110" t="s">
        <v>151</v>
      </c>
      <c r="D82" s="111">
        <v>19.0</v>
      </c>
      <c r="E82" s="111">
        <v>400.0</v>
      </c>
      <c r="F82" s="27">
        <f t="shared" si="2"/>
        <v>7600</v>
      </c>
      <c r="G82" s="109"/>
    </row>
    <row r="83">
      <c r="C83" s="110" t="s">
        <v>152</v>
      </c>
      <c r="D83" s="111">
        <v>2.0</v>
      </c>
      <c r="E83" s="111">
        <v>850.0</v>
      </c>
      <c r="F83" s="27">
        <f t="shared" si="2"/>
        <v>1700</v>
      </c>
      <c r="G83" s="109"/>
    </row>
    <row r="84">
      <c r="C84" s="106" t="s">
        <v>153</v>
      </c>
      <c r="D84" s="107">
        <v>1.0</v>
      </c>
      <c r="E84" s="107">
        <v>3000.0</v>
      </c>
      <c r="F84" s="27">
        <f t="shared" si="2"/>
        <v>3000</v>
      </c>
      <c r="G84" s="109"/>
    </row>
    <row r="85">
      <c r="C85" s="106" t="s">
        <v>154</v>
      </c>
      <c r="D85" s="107">
        <v>50.0</v>
      </c>
      <c r="E85" s="107">
        <v>70.0</v>
      </c>
      <c r="F85" s="27">
        <f t="shared" si="2"/>
        <v>3500</v>
      </c>
      <c r="G85" s="109"/>
    </row>
    <row r="86">
      <c r="C86" s="106" t="s">
        <v>140</v>
      </c>
      <c r="D86" s="107">
        <v>5.0</v>
      </c>
      <c r="E86" s="107">
        <v>40.0</v>
      </c>
      <c r="F86" s="27">
        <f t="shared" si="2"/>
        <v>200</v>
      </c>
      <c r="G86" s="109"/>
    </row>
    <row r="87">
      <c r="C87" s="106" t="s">
        <v>154</v>
      </c>
      <c r="D87" s="107">
        <v>50.0</v>
      </c>
      <c r="E87" s="107">
        <v>75.0</v>
      </c>
      <c r="F87" s="27">
        <f t="shared" si="2"/>
        <v>3750</v>
      </c>
      <c r="G87" s="109"/>
    </row>
    <row r="88">
      <c r="C88" s="106" t="s">
        <v>155</v>
      </c>
      <c r="D88" s="107">
        <v>5.0</v>
      </c>
      <c r="E88" s="107">
        <v>200.0</v>
      </c>
      <c r="F88" s="27">
        <f t="shared" si="2"/>
        <v>1000</v>
      </c>
      <c r="G88" s="109"/>
    </row>
    <row r="89">
      <c r="C89" s="106" t="s">
        <v>156</v>
      </c>
      <c r="D89" s="107">
        <v>1.0</v>
      </c>
      <c r="E89" s="107">
        <v>200.0</v>
      </c>
      <c r="F89" s="27">
        <f t="shared" si="2"/>
        <v>200</v>
      </c>
      <c r="G89" s="109"/>
    </row>
    <row r="90">
      <c r="C90" s="106" t="s">
        <v>157</v>
      </c>
      <c r="D90" s="107">
        <v>1.0</v>
      </c>
      <c r="E90" s="107">
        <v>300.0</v>
      </c>
      <c r="F90" s="27">
        <f t="shared" si="2"/>
        <v>300</v>
      </c>
      <c r="G90" s="109"/>
    </row>
    <row r="91">
      <c r="C91" s="106" t="s">
        <v>158</v>
      </c>
      <c r="D91" s="107">
        <v>1.0</v>
      </c>
      <c r="E91" s="107">
        <v>1400.0</v>
      </c>
      <c r="F91" s="27">
        <f t="shared" si="2"/>
        <v>1400</v>
      </c>
      <c r="G91" s="109"/>
    </row>
    <row r="92">
      <c r="C92" s="106" t="s">
        <v>159</v>
      </c>
      <c r="D92" s="107">
        <v>1.0</v>
      </c>
      <c r="E92" s="107">
        <v>1300.0</v>
      </c>
      <c r="F92" s="27">
        <f t="shared" si="2"/>
        <v>1300</v>
      </c>
      <c r="G92" s="109"/>
    </row>
    <row r="93">
      <c r="C93" s="106" t="s">
        <v>160</v>
      </c>
      <c r="D93" s="107">
        <v>3.0</v>
      </c>
      <c r="E93" s="107">
        <v>600.0</v>
      </c>
      <c r="F93" s="27">
        <f t="shared" si="2"/>
        <v>1800</v>
      </c>
      <c r="G93" s="109"/>
    </row>
    <row r="94">
      <c r="C94" s="106" t="s">
        <v>161</v>
      </c>
      <c r="D94" s="107">
        <v>3.0</v>
      </c>
      <c r="E94" s="107">
        <v>1000.0</v>
      </c>
      <c r="F94" s="27">
        <f t="shared" si="2"/>
        <v>3000</v>
      </c>
      <c r="G94" s="109"/>
    </row>
    <row r="95">
      <c r="C95" s="106" t="s">
        <v>162</v>
      </c>
      <c r="D95" s="107">
        <v>1.0</v>
      </c>
      <c r="E95" s="107">
        <v>400.0</v>
      </c>
      <c r="F95" s="27">
        <f t="shared" si="2"/>
        <v>400</v>
      </c>
      <c r="G95" s="109"/>
    </row>
    <row r="96">
      <c r="C96" s="106" t="s">
        <v>147</v>
      </c>
      <c r="D96" s="107">
        <v>3.0</v>
      </c>
      <c r="E96" s="107">
        <v>120.0</v>
      </c>
      <c r="F96" s="27">
        <f t="shared" si="2"/>
        <v>360</v>
      </c>
      <c r="G96" s="109"/>
    </row>
    <row r="97">
      <c r="C97" s="106" t="s">
        <v>163</v>
      </c>
      <c r="D97" s="107">
        <v>4.0</v>
      </c>
      <c r="E97" s="107">
        <v>120.0</v>
      </c>
      <c r="F97" s="27">
        <f t="shared" si="2"/>
        <v>480</v>
      </c>
      <c r="G97" s="109"/>
    </row>
    <row r="98">
      <c r="C98" s="8" t="s">
        <v>164</v>
      </c>
      <c r="D98" s="107">
        <v>1.0</v>
      </c>
      <c r="E98" s="107">
        <v>700.0</v>
      </c>
      <c r="F98" s="27">
        <f t="shared" si="2"/>
        <v>700</v>
      </c>
      <c r="G98" s="109"/>
    </row>
    <row r="99">
      <c r="C99" s="8" t="s">
        <v>165</v>
      </c>
      <c r="D99" s="107">
        <v>72.0</v>
      </c>
      <c r="E99" s="107">
        <v>42.0</v>
      </c>
      <c r="F99" s="27">
        <f t="shared" si="2"/>
        <v>3024</v>
      </c>
      <c r="G99" s="129"/>
    </row>
    <row r="100">
      <c r="C100" s="106" t="s">
        <v>166</v>
      </c>
      <c r="D100" s="107">
        <v>24.0</v>
      </c>
      <c r="E100" s="107">
        <v>51.0</v>
      </c>
      <c r="F100" s="27">
        <f t="shared" si="2"/>
        <v>1224</v>
      </c>
      <c r="G100" s="130"/>
    </row>
    <row r="101">
      <c r="C101" s="106" t="s">
        <v>167</v>
      </c>
      <c r="D101" s="107">
        <v>48.0</v>
      </c>
      <c r="E101" s="107">
        <v>17.0</v>
      </c>
      <c r="F101" s="27">
        <f t="shared" si="2"/>
        <v>816</v>
      </c>
      <c r="G101" s="130"/>
    </row>
    <row r="102">
      <c r="C102" s="106" t="s">
        <v>168</v>
      </c>
      <c r="D102" s="107">
        <v>3.0</v>
      </c>
      <c r="E102" s="107">
        <v>900.0</v>
      </c>
      <c r="F102" s="27">
        <f t="shared" si="2"/>
        <v>2700</v>
      </c>
      <c r="G102" s="130"/>
    </row>
    <row r="103">
      <c r="C103" s="106" t="s">
        <v>157</v>
      </c>
      <c r="D103" s="107">
        <v>2.0</v>
      </c>
      <c r="E103" s="107">
        <v>100.0</v>
      </c>
      <c r="F103" s="27">
        <f t="shared" si="2"/>
        <v>200</v>
      </c>
      <c r="G103" s="130"/>
    </row>
    <row r="104">
      <c r="C104" s="106" t="s">
        <v>143</v>
      </c>
      <c r="D104" s="107">
        <v>1.0</v>
      </c>
      <c r="E104" s="107">
        <v>280.0</v>
      </c>
      <c r="F104" s="27">
        <f t="shared" si="2"/>
        <v>280</v>
      </c>
      <c r="G104" s="130"/>
    </row>
    <row r="105">
      <c r="C105" s="106" t="s">
        <v>156</v>
      </c>
      <c r="D105" s="107">
        <v>1.0</v>
      </c>
      <c r="E105" s="107">
        <v>220.0</v>
      </c>
      <c r="F105" s="27">
        <f t="shared" si="2"/>
        <v>220</v>
      </c>
      <c r="G105" s="130"/>
    </row>
    <row r="106">
      <c r="C106" s="106" t="s">
        <v>163</v>
      </c>
      <c r="D106" s="107">
        <v>4.0</v>
      </c>
      <c r="E106" s="107">
        <v>125.0</v>
      </c>
      <c r="F106" s="27">
        <f t="shared" si="2"/>
        <v>500</v>
      </c>
      <c r="G106" s="30"/>
    </row>
    <row r="107">
      <c r="C107" s="106" t="s">
        <v>147</v>
      </c>
      <c r="D107" s="107">
        <v>17.0</v>
      </c>
      <c r="E107" s="107">
        <v>100.0</v>
      </c>
      <c r="F107" s="27">
        <f t="shared" si="2"/>
        <v>1700</v>
      </c>
      <c r="G107" s="130"/>
    </row>
    <row r="108">
      <c r="C108" s="106" t="s">
        <v>154</v>
      </c>
      <c r="D108" s="107">
        <v>35.0</v>
      </c>
      <c r="E108" s="107">
        <v>65.0</v>
      </c>
      <c r="F108" s="27">
        <f t="shared" si="2"/>
        <v>2275</v>
      </c>
      <c r="G108" s="130"/>
    </row>
    <row r="109">
      <c r="C109" s="106" t="s">
        <v>169</v>
      </c>
      <c r="D109" s="107">
        <v>10.0</v>
      </c>
      <c r="E109" s="107">
        <v>170.0</v>
      </c>
      <c r="F109" s="27">
        <f t="shared" si="2"/>
        <v>1700</v>
      </c>
      <c r="G109" s="130"/>
    </row>
    <row r="110">
      <c r="C110" s="106" t="s">
        <v>148</v>
      </c>
      <c r="D110" s="107">
        <v>2.0</v>
      </c>
      <c r="E110" s="107">
        <v>170.0</v>
      </c>
      <c r="F110" s="27">
        <f t="shared" si="2"/>
        <v>340</v>
      </c>
      <c r="G110" s="130"/>
    </row>
    <row r="111">
      <c r="C111" s="106" t="s">
        <v>170</v>
      </c>
      <c r="D111" s="107">
        <v>1.0</v>
      </c>
      <c r="E111" s="107">
        <v>300.0</v>
      </c>
      <c r="F111" s="27">
        <f t="shared" si="2"/>
        <v>300</v>
      </c>
      <c r="G111" s="130"/>
    </row>
    <row r="112">
      <c r="C112" s="106" t="s">
        <v>171</v>
      </c>
      <c r="D112" s="107">
        <v>1.0</v>
      </c>
      <c r="E112" s="107">
        <v>1200.0</v>
      </c>
      <c r="F112" s="27">
        <f t="shared" si="2"/>
        <v>1200</v>
      </c>
      <c r="G112" s="130"/>
    </row>
    <row r="113">
      <c r="C113" s="131" t="s">
        <v>172</v>
      </c>
      <c r="D113" s="132">
        <v>1.0</v>
      </c>
      <c r="E113" s="132">
        <v>1250.0</v>
      </c>
      <c r="F113" s="133">
        <f t="shared" si="2"/>
        <v>1250</v>
      </c>
      <c r="G113" s="134"/>
    </row>
    <row r="114">
      <c r="C114" s="106" t="s">
        <v>173</v>
      </c>
      <c r="D114" s="107">
        <v>1.0</v>
      </c>
      <c r="E114" s="107">
        <v>125.0</v>
      </c>
      <c r="F114" s="27">
        <f t="shared" si="2"/>
        <v>125</v>
      </c>
      <c r="G114" s="130"/>
    </row>
    <row r="115">
      <c r="C115" s="106" t="s">
        <v>174</v>
      </c>
      <c r="D115" s="107">
        <v>1.0</v>
      </c>
      <c r="E115" s="107">
        <v>450.0</v>
      </c>
      <c r="F115" s="27">
        <f t="shared" si="2"/>
        <v>450</v>
      </c>
      <c r="G115" s="130"/>
    </row>
    <row r="116">
      <c r="C116" s="106" t="s">
        <v>175</v>
      </c>
      <c r="D116" s="107">
        <v>3.0</v>
      </c>
      <c r="E116" s="107">
        <v>150.0</v>
      </c>
      <c r="F116" s="27">
        <f t="shared" si="2"/>
        <v>450</v>
      </c>
      <c r="G116" s="130"/>
    </row>
    <row r="117">
      <c r="C117" s="106" t="s">
        <v>176</v>
      </c>
      <c r="D117" s="107">
        <v>1.0</v>
      </c>
      <c r="E117" s="107">
        <v>1000.0</v>
      </c>
      <c r="F117" s="27">
        <f t="shared" si="2"/>
        <v>1000</v>
      </c>
      <c r="G117" s="130"/>
    </row>
    <row r="118">
      <c r="C118" s="106" t="s">
        <v>53</v>
      </c>
      <c r="D118" s="107">
        <v>1.0</v>
      </c>
      <c r="E118" s="107">
        <v>200.0</v>
      </c>
      <c r="F118" s="27">
        <f t="shared" si="2"/>
        <v>200</v>
      </c>
      <c r="G118" s="130"/>
    </row>
    <row r="119">
      <c r="C119" s="106" t="s">
        <v>177</v>
      </c>
      <c r="D119" s="107">
        <v>1.0</v>
      </c>
      <c r="E119" s="107">
        <v>170.0</v>
      </c>
      <c r="F119" s="27">
        <f t="shared" si="2"/>
        <v>170</v>
      </c>
      <c r="G119" s="130"/>
    </row>
    <row r="120">
      <c r="C120" s="106" t="s">
        <v>151</v>
      </c>
      <c r="D120" s="107">
        <v>2.0</v>
      </c>
      <c r="E120" s="107">
        <v>600.0</v>
      </c>
      <c r="F120" s="27">
        <f t="shared" si="2"/>
        <v>1200</v>
      </c>
      <c r="G120" s="130"/>
    </row>
    <row r="121">
      <c r="C121" s="106" t="s">
        <v>178</v>
      </c>
      <c r="D121" s="107">
        <v>1.0</v>
      </c>
      <c r="E121" s="107">
        <v>650.0</v>
      </c>
      <c r="F121" s="27">
        <f t="shared" si="2"/>
        <v>650</v>
      </c>
      <c r="G121" s="130"/>
    </row>
    <row r="122">
      <c r="C122" s="106" t="s">
        <v>136</v>
      </c>
      <c r="D122" s="107">
        <v>2.0</v>
      </c>
      <c r="E122" s="107">
        <v>200.0</v>
      </c>
      <c r="F122" s="27">
        <f t="shared" si="2"/>
        <v>400</v>
      </c>
      <c r="G122" s="130"/>
    </row>
    <row r="123">
      <c r="C123" s="106" t="s">
        <v>179</v>
      </c>
      <c r="D123" s="107">
        <v>3.0</v>
      </c>
      <c r="E123" s="107">
        <v>180.0</v>
      </c>
      <c r="F123" s="27">
        <f t="shared" si="2"/>
        <v>540</v>
      </c>
      <c r="G123" s="130"/>
    </row>
    <row r="124">
      <c r="C124" s="106" t="s">
        <v>180</v>
      </c>
      <c r="D124" s="107">
        <v>1.0</v>
      </c>
      <c r="E124" s="107">
        <v>200.0</v>
      </c>
      <c r="F124" s="27">
        <f t="shared" si="2"/>
        <v>200</v>
      </c>
      <c r="G124" s="130"/>
    </row>
    <row r="125">
      <c r="C125" s="106" t="s">
        <v>161</v>
      </c>
      <c r="D125" s="107">
        <v>2.0</v>
      </c>
      <c r="E125" s="107">
        <v>850.0</v>
      </c>
      <c r="F125" s="27">
        <f t="shared" si="2"/>
        <v>1700</v>
      </c>
      <c r="G125" s="130"/>
    </row>
    <row r="126">
      <c r="C126" s="106" t="s">
        <v>181</v>
      </c>
      <c r="D126" s="107">
        <v>1.0</v>
      </c>
      <c r="E126" s="107">
        <v>340.0</v>
      </c>
      <c r="F126" s="27">
        <f t="shared" si="2"/>
        <v>340</v>
      </c>
      <c r="G126" s="130"/>
    </row>
    <row r="127">
      <c r="C127" s="106" t="s">
        <v>182</v>
      </c>
      <c r="D127" s="107">
        <v>100.0</v>
      </c>
      <c r="E127" s="107">
        <v>11.5</v>
      </c>
      <c r="F127" s="27">
        <f t="shared" si="2"/>
        <v>1150</v>
      </c>
      <c r="G127" s="130"/>
    </row>
    <row r="128">
      <c r="C128" s="106" t="s">
        <v>183</v>
      </c>
      <c r="D128" s="107">
        <v>1.0</v>
      </c>
      <c r="E128" s="107">
        <v>1400.0</v>
      </c>
      <c r="F128" s="27">
        <f t="shared" si="2"/>
        <v>1400</v>
      </c>
      <c r="G128" s="130"/>
    </row>
    <row r="129">
      <c r="C129" s="106" t="s">
        <v>184</v>
      </c>
      <c r="D129" s="107">
        <v>1.0</v>
      </c>
      <c r="E129" s="107">
        <v>1000.0</v>
      </c>
      <c r="F129" s="27">
        <f t="shared" si="2"/>
        <v>1000</v>
      </c>
      <c r="G129" s="130"/>
    </row>
    <row r="130">
      <c r="C130" s="106" t="s">
        <v>185</v>
      </c>
      <c r="D130" s="107">
        <v>1.0</v>
      </c>
      <c r="E130" s="107">
        <v>11250.0</v>
      </c>
      <c r="F130" s="27">
        <f t="shared" si="2"/>
        <v>11250</v>
      </c>
      <c r="G130" s="130"/>
    </row>
    <row r="131">
      <c r="C131" s="106" t="s">
        <v>186</v>
      </c>
      <c r="D131" s="107">
        <v>1.0</v>
      </c>
      <c r="E131" s="107">
        <v>1000.0</v>
      </c>
      <c r="F131" s="27">
        <f t="shared" si="2"/>
        <v>1000</v>
      </c>
      <c r="G131" s="130"/>
    </row>
    <row r="132">
      <c r="C132" s="106" t="s">
        <v>187</v>
      </c>
      <c r="D132" s="107">
        <v>18.0</v>
      </c>
      <c r="E132" s="107">
        <v>700.0</v>
      </c>
      <c r="F132" s="27">
        <f t="shared" si="2"/>
        <v>12600</v>
      </c>
      <c r="G132" s="130"/>
    </row>
    <row r="133">
      <c r="C133" s="106" t="s">
        <v>188</v>
      </c>
      <c r="D133" s="107">
        <v>1.0</v>
      </c>
      <c r="E133" s="107">
        <v>1500.0</v>
      </c>
      <c r="F133" s="27">
        <f t="shared" si="2"/>
        <v>1500</v>
      </c>
      <c r="G133" s="130"/>
    </row>
    <row r="134">
      <c r="C134" s="106" t="s">
        <v>161</v>
      </c>
      <c r="D134" s="107">
        <v>2.0</v>
      </c>
      <c r="E134" s="107">
        <v>1000.0</v>
      </c>
      <c r="F134" s="27">
        <f t="shared" si="2"/>
        <v>2000</v>
      </c>
      <c r="G134" s="130"/>
    </row>
    <row r="135">
      <c r="C135" s="106" t="s">
        <v>189</v>
      </c>
      <c r="D135" s="107">
        <v>2.0</v>
      </c>
      <c r="E135" s="107">
        <v>280.0</v>
      </c>
      <c r="F135" s="27">
        <f t="shared" si="2"/>
        <v>560</v>
      </c>
      <c r="G135" s="130"/>
    </row>
    <row r="136">
      <c r="C136" s="106" t="s">
        <v>147</v>
      </c>
      <c r="D136" s="107">
        <v>12.0</v>
      </c>
      <c r="E136" s="107">
        <v>120.0</v>
      </c>
      <c r="F136" s="27">
        <f t="shared" si="2"/>
        <v>1440</v>
      </c>
      <c r="G136" s="130"/>
    </row>
    <row r="137">
      <c r="C137" s="106" t="s">
        <v>145</v>
      </c>
      <c r="D137" s="107">
        <v>1.0</v>
      </c>
      <c r="E137" s="107">
        <v>1000.0</v>
      </c>
      <c r="F137" s="27">
        <f t="shared" si="2"/>
        <v>1000</v>
      </c>
      <c r="G137" s="130"/>
    </row>
    <row r="138">
      <c r="C138" s="106" t="s">
        <v>84</v>
      </c>
      <c r="D138" s="107">
        <v>36.0</v>
      </c>
      <c r="E138" s="107">
        <v>80.0</v>
      </c>
      <c r="F138" s="27">
        <f t="shared" si="2"/>
        <v>2880</v>
      </c>
      <c r="G138" s="130"/>
    </row>
    <row r="139">
      <c r="C139" s="106" t="s">
        <v>190</v>
      </c>
      <c r="D139" s="107">
        <v>16.0</v>
      </c>
      <c r="E139" s="107">
        <v>160.0</v>
      </c>
      <c r="F139" s="27">
        <f t="shared" si="2"/>
        <v>2560</v>
      </c>
      <c r="G139" s="130"/>
    </row>
    <row r="140">
      <c r="C140" s="106" t="s">
        <v>86</v>
      </c>
      <c r="D140" s="107">
        <v>10.0</v>
      </c>
      <c r="E140" s="107">
        <v>1520.0</v>
      </c>
      <c r="F140" s="27">
        <f t="shared" si="2"/>
        <v>15200</v>
      </c>
      <c r="G140" s="135"/>
    </row>
    <row r="141">
      <c r="C141" s="106" t="s">
        <v>191</v>
      </c>
      <c r="D141" s="107">
        <v>0.25</v>
      </c>
      <c r="E141" s="107">
        <v>4200.0</v>
      </c>
      <c r="F141" s="27">
        <f t="shared" si="2"/>
        <v>1050</v>
      </c>
      <c r="G141" s="135"/>
    </row>
    <row r="142">
      <c r="C142" s="106" t="s">
        <v>135</v>
      </c>
      <c r="D142" s="107">
        <v>12.0</v>
      </c>
      <c r="E142" s="107">
        <v>70.0</v>
      </c>
      <c r="F142" s="27">
        <f t="shared" si="2"/>
        <v>840</v>
      </c>
      <c r="G142" s="135"/>
    </row>
    <row r="143">
      <c r="C143" s="106" t="s">
        <v>192</v>
      </c>
      <c r="D143" s="107">
        <v>5.0</v>
      </c>
      <c r="E143" s="107">
        <v>560.0</v>
      </c>
      <c r="F143" s="27">
        <f t="shared" si="2"/>
        <v>2800</v>
      </c>
      <c r="G143" s="135"/>
    </row>
    <row r="144">
      <c r="C144" s="106" t="s">
        <v>193</v>
      </c>
      <c r="D144" s="107">
        <v>3.0</v>
      </c>
      <c r="E144" s="107">
        <v>1400.0</v>
      </c>
      <c r="F144" s="27">
        <f t="shared" si="2"/>
        <v>4200</v>
      </c>
      <c r="G144" s="135"/>
    </row>
    <row r="145">
      <c r="C145" s="106" t="s">
        <v>194</v>
      </c>
      <c r="D145" s="107">
        <v>14.0</v>
      </c>
      <c r="E145" s="107">
        <v>195.0</v>
      </c>
      <c r="F145" s="27">
        <f t="shared" si="2"/>
        <v>2730</v>
      </c>
      <c r="G145" s="135"/>
    </row>
    <row r="146">
      <c r="C146" s="106" t="s">
        <v>73</v>
      </c>
      <c r="D146" s="107">
        <v>20.0</v>
      </c>
      <c r="E146" s="107">
        <v>600.0</v>
      </c>
      <c r="F146" s="27">
        <f t="shared" si="2"/>
        <v>12000</v>
      </c>
      <c r="G146" s="135"/>
    </row>
    <row r="147">
      <c r="C147" s="106" t="s">
        <v>195</v>
      </c>
      <c r="D147" s="107">
        <v>1.0</v>
      </c>
      <c r="E147" s="107">
        <v>1000.0</v>
      </c>
      <c r="F147" s="27">
        <f t="shared" si="2"/>
        <v>1000</v>
      </c>
      <c r="G147" s="135"/>
    </row>
    <row r="148">
      <c r="C148" s="106" t="s">
        <v>175</v>
      </c>
      <c r="D148" s="107">
        <v>3.0</v>
      </c>
      <c r="E148" s="107">
        <v>100.0</v>
      </c>
      <c r="F148" s="27">
        <f t="shared" si="2"/>
        <v>300</v>
      </c>
      <c r="G148" s="135"/>
    </row>
    <row r="149">
      <c r="C149" s="106" t="s">
        <v>147</v>
      </c>
      <c r="D149" s="107">
        <v>12.0</v>
      </c>
      <c r="E149" s="107">
        <v>100.0</v>
      </c>
      <c r="F149" s="27">
        <f t="shared" si="2"/>
        <v>1200</v>
      </c>
      <c r="G149" s="135"/>
    </row>
    <row r="150">
      <c r="C150" s="106" t="s">
        <v>154</v>
      </c>
      <c r="D150" s="107">
        <v>30.0</v>
      </c>
      <c r="E150" s="107">
        <v>70.0</v>
      </c>
      <c r="F150" s="27">
        <f t="shared" si="2"/>
        <v>2100</v>
      </c>
      <c r="G150" s="135"/>
    </row>
    <row r="151">
      <c r="C151" s="106" t="s">
        <v>196</v>
      </c>
      <c r="D151" s="107">
        <v>7.0</v>
      </c>
      <c r="E151" s="107">
        <v>65.0</v>
      </c>
      <c r="F151" s="27">
        <f t="shared" si="2"/>
        <v>455</v>
      </c>
      <c r="G151" s="135"/>
    </row>
    <row r="152">
      <c r="C152" s="106" t="s">
        <v>140</v>
      </c>
      <c r="D152" s="107">
        <v>3.0</v>
      </c>
      <c r="E152" s="107">
        <v>40.0</v>
      </c>
      <c r="F152" s="27">
        <f t="shared" si="2"/>
        <v>120</v>
      </c>
      <c r="G152" s="135"/>
    </row>
    <row r="153">
      <c r="C153" s="106" t="s">
        <v>197</v>
      </c>
      <c r="D153" s="107">
        <v>1.0</v>
      </c>
      <c r="E153" s="107">
        <v>500.0</v>
      </c>
      <c r="F153" s="27">
        <f t="shared" si="2"/>
        <v>500</v>
      </c>
      <c r="G153" s="135"/>
    </row>
    <row r="154">
      <c r="C154" s="106" t="s">
        <v>147</v>
      </c>
      <c r="D154" s="107">
        <v>40.0</v>
      </c>
      <c r="E154" s="107">
        <v>100.0</v>
      </c>
      <c r="F154" s="27">
        <f t="shared" si="2"/>
        <v>4000</v>
      </c>
      <c r="G154" s="135"/>
    </row>
    <row r="155">
      <c r="C155" s="106" t="s">
        <v>145</v>
      </c>
      <c r="D155" s="107">
        <v>1.0</v>
      </c>
      <c r="E155" s="107">
        <v>1000.0</v>
      </c>
      <c r="F155" s="27">
        <f t="shared" si="2"/>
        <v>1000</v>
      </c>
      <c r="G155" s="135"/>
    </row>
    <row r="156">
      <c r="C156" s="106" t="s">
        <v>127</v>
      </c>
      <c r="D156" s="107">
        <v>2.0</v>
      </c>
      <c r="E156" s="107">
        <v>150.0</v>
      </c>
      <c r="F156" s="27">
        <f t="shared" si="2"/>
        <v>300</v>
      </c>
      <c r="G156" s="135"/>
    </row>
    <row r="157">
      <c r="C157" s="106" t="s">
        <v>198</v>
      </c>
      <c r="D157" s="107">
        <v>5.0</v>
      </c>
      <c r="E157" s="107">
        <v>40.0</v>
      </c>
      <c r="F157" s="27">
        <f t="shared" si="2"/>
        <v>200</v>
      </c>
      <c r="G157" s="135"/>
    </row>
    <row r="158">
      <c r="C158" s="106" t="s">
        <v>177</v>
      </c>
      <c r="D158" s="107">
        <v>5.0</v>
      </c>
      <c r="E158" s="107">
        <v>220.0</v>
      </c>
      <c r="F158" s="27">
        <f t="shared" si="2"/>
        <v>1100</v>
      </c>
      <c r="G158" s="135"/>
    </row>
    <row r="159">
      <c r="C159" s="106" t="s">
        <v>154</v>
      </c>
      <c r="D159" s="107">
        <v>20.0</v>
      </c>
      <c r="E159" s="107">
        <v>70.0</v>
      </c>
      <c r="F159" s="27">
        <f t="shared" si="2"/>
        <v>1400</v>
      </c>
      <c r="G159" s="135"/>
    </row>
    <row r="160">
      <c r="C160" s="106" t="s">
        <v>199</v>
      </c>
      <c r="D160" s="107">
        <v>1.0</v>
      </c>
      <c r="E160" s="107">
        <v>2300.0</v>
      </c>
      <c r="F160" s="27">
        <f t="shared" si="2"/>
        <v>2300</v>
      </c>
      <c r="G160" s="135"/>
    </row>
    <row r="161">
      <c r="B161" s="136">
        <v>180.0</v>
      </c>
      <c r="C161" s="137" t="s">
        <v>200</v>
      </c>
      <c r="D161" s="138">
        <v>20.0</v>
      </c>
      <c r="E161" s="138">
        <v>180.0</v>
      </c>
      <c r="F161" s="139">
        <f t="shared" si="2"/>
        <v>3600</v>
      </c>
      <c r="G161" s="135"/>
    </row>
    <row r="162">
      <c r="B162" s="136">
        <v>300.0</v>
      </c>
      <c r="C162" s="137" t="s">
        <v>151</v>
      </c>
      <c r="D162" s="138">
        <v>21.0</v>
      </c>
      <c r="E162" s="138">
        <v>300.0</v>
      </c>
      <c r="F162" s="139">
        <f t="shared" si="2"/>
        <v>6300</v>
      </c>
      <c r="G162" s="135"/>
    </row>
    <row r="163">
      <c r="C163" s="106" t="s">
        <v>201</v>
      </c>
      <c r="D163" s="107">
        <v>1.0</v>
      </c>
      <c r="E163" s="107">
        <v>200.0</v>
      </c>
      <c r="F163" s="27">
        <f t="shared" si="2"/>
        <v>200</v>
      </c>
      <c r="G163" s="135"/>
    </row>
    <row r="164">
      <c r="C164" s="106" t="s">
        <v>126</v>
      </c>
      <c r="D164" s="107">
        <v>5.0</v>
      </c>
      <c r="E164" s="107">
        <v>250.0</v>
      </c>
      <c r="F164" s="27">
        <f t="shared" si="2"/>
        <v>1250</v>
      </c>
      <c r="G164" s="135"/>
    </row>
    <row r="165">
      <c r="B165" s="136">
        <v>100.0</v>
      </c>
      <c r="C165" s="137" t="s">
        <v>147</v>
      </c>
      <c r="D165" s="138">
        <v>65.0</v>
      </c>
      <c r="E165" s="138">
        <v>100.0</v>
      </c>
      <c r="F165" s="139">
        <f t="shared" si="2"/>
        <v>6500</v>
      </c>
      <c r="G165" s="135"/>
    </row>
    <row r="166">
      <c r="C166" s="106" t="s">
        <v>127</v>
      </c>
      <c r="D166" s="107">
        <v>5.0</v>
      </c>
      <c r="E166" s="107">
        <v>140.0</v>
      </c>
      <c r="F166" s="27">
        <f t="shared" si="2"/>
        <v>700</v>
      </c>
      <c r="G166" s="30"/>
    </row>
    <row r="167">
      <c r="C167" s="106" t="s">
        <v>202</v>
      </c>
      <c r="D167" s="107">
        <v>5.0</v>
      </c>
      <c r="E167" s="107">
        <v>200.0</v>
      </c>
      <c r="F167" s="27">
        <f t="shared" si="2"/>
        <v>1000</v>
      </c>
      <c r="G167" s="30"/>
    </row>
    <row r="168">
      <c r="C168" s="106" t="s">
        <v>203</v>
      </c>
      <c r="D168" s="107">
        <v>1.0</v>
      </c>
      <c r="E168" s="107">
        <v>1600.0</v>
      </c>
      <c r="F168" s="27">
        <f t="shared" si="2"/>
        <v>1600</v>
      </c>
      <c r="G168" s="30"/>
    </row>
    <row r="169">
      <c r="C169" s="106" t="s">
        <v>204</v>
      </c>
      <c r="D169" s="107">
        <v>1.0</v>
      </c>
      <c r="E169" s="107">
        <v>200.0</v>
      </c>
      <c r="F169" s="27">
        <f t="shared" si="2"/>
        <v>200</v>
      </c>
      <c r="G169" s="30"/>
    </row>
    <row r="170">
      <c r="C170" s="106" t="s">
        <v>147</v>
      </c>
      <c r="D170" s="107">
        <v>2.0</v>
      </c>
      <c r="E170" s="107">
        <v>120.0</v>
      </c>
      <c r="F170" s="27">
        <f t="shared" si="2"/>
        <v>240</v>
      </c>
      <c r="G170" s="30"/>
    </row>
    <row r="171">
      <c r="C171" s="106" t="s">
        <v>205</v>
      </c>
      <c r="D171" s="107">
        <v>1.0</v>
      </c>
      <c r="E171" s="107">
        <v>100.0</v>
      </c>
      <c r="F171" s="27">
        <f t="shared" si="2"/>
        <v>100</v>
      </c>
      <c r="G171" s="30"/>
    </row>
    <row r="172">
      <c r="C172" s="106" t="s">
        <v>206</v>
      </c>
      <c r="D172" s="107">
        <v>20.0</v>
      </c>
      <c r="E172" s="107">
        <v>45.0</v>
      </c>
      <c r="F172" s="27">
        <f t="shared" si="2"/>
        <v>900</v>
      </c>
      <c r="G172" s="135"/>
    </row>
    <row r="173">
      <c r="C173" s="106" t="s">
        <v>201</v>
      </c>
      <c r="D173" s="107">
        <v>3.0</v>
      </c>
      <c r="E173" s="107">
        <v>100.0</v>
      </c>
      <c r="F173" s="27">
        <f t="shared" si="2"/>
        <v>300</v>
      </c>
      <c r="G173" s="30"/>
    </row>
    <row r="174">
      <c r="C174" s="106" t="s">
        <v>207</v>
      </c>
      <c r="D174" s="107">
        <v>3.0</v>
      </c>
      <c r="E174" s="107">
        <v>550.0</v>
      </c>
      <c r="F174" s="27">
        <f t="shared" si="2"/>
        <v>1650</v>
      </c>
      <c r="G174" s="30"/>
    </row>
    <row r="175">
      <c r="C175" s="106" t="s">
        <v>208</v>
      </c>
      <c r="D175" s="107">
        <v>3.5</v>
      </c>
      <c r="E175" s="107">
        <v>600.0</v>
      </c>
      <c r="F175" s="27">
        <f t="shared" si="2"/>
        <v>2100</v>
      </c>
      <c r="G175" s="30"/>
    </row>
    <row r="176">
      <c r="C176" s="106" t="s">
        <v>199</v>
      </c>
      <c r="D176" s="107">
        <v>1.0</v>
      </c>
      <c r="E176" s="107">
        <v>700.0</v>
      </c>
      <c r="F176" s="27">
        <f t="shared" si="2"/>
        <v>700</v>
      </c>
      <c r="G176" s="30"/>
    </row>
    <row r="177">
      <c r="C177" s="106" t="s">
        <v>209</v>
      </c>
      <c r="D177" s="107">
        <v>3.0</v>
      </c>
      <c r="E177" s="107">
        <v>250.0</v>
      </c>
      <c r="F177" s="27">
        <f t="shared" si="2"/>
        <v>750</v>
      </c>
      <c r="G177" s="30"/>
    </row>
    <row r="178">
      <c r="C178" s="106" t="s">
        <v>127</v>
      </c>
      <c r="D178" s="107">
        <v>1.0</v>
      </c>
      <c r="E178" s="107">
        <v>170.0</v>
      </c>
      <c r="F178" s="27">
        <f t="shared" si="2"/>
        <v>170</v>
      </c>
      <c r="G178" s="30"/>
    </row>
    <row r="179">
      <c r="C179" s="106" t="s">
        <v>143</v>
      </c>
      <c r="D179" s="107">
        <v>2.0</v>
      </c>
      <c r="E179" s="107">
        <v>280.0</v>
      </c>
      <c r="F179" s="27">
        <f t="shared" si="2"/>
        <v>560</v>
      </c>
      <c r="G179" s="30"/>
    </row>
    <row r="180">
      <c r="C180" s="106" t="s">
        <v>210</v>
      </c>
      <c r="D180" s="107">
        <v>1.0</v>
      </c>
      <c r="E180" s="107">
        <v>13000.0</v>
      </c>
      <c r="F180" s="27">
        <f t="shared" si="2"/>
        <v>13000</v>
      </c>
      <c r="G180" s="30"/>
    </row>
    <row r="181">
      <c r="C181" s="106" t="s">
        <v>211</v>
      </c>
      <c r="D181" s="107">
        <v>1.0</v>
      </c>
      <c r="E181" s="107">
        <v>500.0</v>
      </c>
      <c r="F181" s="27">
        <f t="shared" si="2"/>
        <v>500</v>
      </c>
      <c r="G181" s="30"/>
    </row>
    <row r="182">
      <c r="C182" s="106" t="s">
        <v>212</v>
      </c>
      <c r="D182" s="107">
        <v>12.0</v>
      </c>
      <c r="E182" s="107">
        <v>120.0</v>
      </c>
      <c r="F182" s="27">
        <f t="shared" si="2"/>
        <v>1440</v>
      </c>
      <c r="G182" s="30"/>
    </row>
    <row r="183">
      <c r="C183" s="106" t="s">
        <v>213</v>
      </c>
      <c r="D183" s="107">
        <v>1.0</v>
      </c>
      <c r="E183" s="107">
        <v>13000.0</v>
      </c>
      <c r="F183" s="27">
        <f t="shared" si="2"/>
        <v>13000</v>
      </c>
      <c r="G183" s="30"/>
    </row>
    <row r="184">
      <c r="C184" s="137" t="s">
        <v>214</v>
      </c>
      <c r="D184" s="138">
        <v>68.0</v>
      </c>
      <c r="E184" s="138">
        <v>300.0</v>
      </c>
      <c r="F184" s="139">
        <f t="shared" si="2"/>
        <v>20400</v>
      </c>
      <c r="G184" s="29"/>
    </row>
    <row r="185">
      <c r="C185" s="137" t="s">
        <v>181</v>
      </c>
      <c r="D185" s="138">
        <v>7.0</v>
      </c>
      <c r="E185" s="138">
        <v>190.0</v>
      </c>
      <c r="F185" s="139">
        <f t="shared" si="2"/>
        <v>1330</v>
      </c>
      <c r="G185" s="29"/>
    </row>
    <row r="186">
      <c r="C186" s="137" t="s">
        <v>215</v>
      </c>
      <c r="D186" s="138">
        <v>2.0</v>
      </c>
      <c r="E186" s="138">
        <v>280.0</v>
      </c>
      <c r="F186" s="139">
        <f t="shared" si="2"/>
        <v>560</v>
      </c>
      <c r="G186" s="29"/>
    </row>
    <row r="187">
      <c r="C187" s="137" t="s">
        <v>216</v>
      </c>
      <c r="D187" s="138">
        <v>3.0</v>
      </c>
      <c r="E187" s="138">
        <v>30.0</v>
      </c>
      <c r="F187" s="139">
        <f t="shared" si="2"/>
        <v>90</v>
      </c>
      <c r="G187" s="29"/>
    </row>
    <row r="188">
      <c r="C188" s="137" t="s">
        <v>217</v>
      </c>
      <c r="D188" s="138">
        <v>3.0</v>
      </c>
      <c r="E188" s="138">
        <v>100.0</v>
      </c>
      <c r="F188" s="139">
        <f t="shared" si="2"/>
        <v>300</v>
      </c>
      <c r="G188" s="29"/>
    </row>
    <row r="189">
      <c r="C189" s="137" t="s">
        <v>218</v>
      </c>
      <c r="D189" s="138">
        <v>33.0</v>
      </c>
      <c r="E189" s="138">
        <v>100.0</v>
      </c>
      <c r="F189" s="139">
        <f t="shared" si="2"/>
        <v>3300</v>
      </c>
      <c r="G189" s="29"/>
    </row>
    <row r="190">
      <c r="C190" s="137" t="s">
        <v>178</v>
      </c>
      <c r="D190" s="138">
        <v>5.0</v>
      </c>
      <c r="E190" s="138">
        <v>600.0</v>
      </c>
      <c r="F190" s="139">
        <f t="shared" si="2"/>
        <v>3000</v>
      </c>
      <c r="G190" s="29"/>
    </row>
    <row r="191">
      <c r="C191" s="137" t="s">
        <v>219</v>
      </c>
      <c r="D191" s="138">
        <v>1.0</v>
      </c>
      <c r="E191" s="138">
        <v>250.0</v>
      </c>
      <c r="F191" s="139">
        <f t="shared" si="2"/>
        <v>250</v>
      </c>
      <c r="G191" s="140"/>
    </row>
    <row r="192">
      <c r="C192" s="106" t="s">
        <v>220</v>
      </c>
      <c r="D192" s="107">
        <v>0.0</v>
      </c>
      <c r="E192" s="107">
        <v>10.5</v>
      </c>
      <c r="F192" s="27">
        <f t="shared" si="2"/>
        <v>0</v>
      </c>
      <c r="G192" s="135"/>
    </row>
    <row r="193">
      <c r="C193" s="106" t="s">
        <v>221</v>
      </c>
      <c r="D193" s="107">
        <v>20.0</v>
      </c>
      <c r="E193" s="107">
        <v>11.5</v>
      </c>
      <c r="F193" s="27">
        <f t="shared" si="2"/>
        <v>230</v>
      </c>
      <c r="G193" s="135"/>
    </row>
    <row r="194">
      <c r="C194" s="106" t="s">
        <v>222</v>
      </c>
      <c r="D194" s="107">
        <v>2.0</v>
      </c>
      <c r="E194" s="107">
        <v>970.0</v>
      </c>
      <c r="F194" s="27">
        <f t="shared" si="2"/>
        <v>1940</v>
      </c>
      <c r="G194" s="135"/>
    </row>
    <row r="195">
      <c r="C195" s="141" t="s">
        <v>84</v>
      </c>
      <c r="D195" s="142">
        <v>27.0</v>
      </c>
      <c r="E195" s="142">
        <v>78.0</v>
      </c>
      <c r="F195" s="26">
        <f t="shared" si="2"/>
        <v>2106</v>
      </c>
      <c r="G195" s="143"/>
    </row>
    <row r="196">
      <c r="C196" s="141" t="s">
        <v>223</v>
      </c>
      <c r="D196" s="142">
        <v>8.0</v>
      </c>
      <c r="E196" s="142">
        <v>120.0</v>
      </c>
      <c r="F196" s="26">
        <f t="shared" si="2"/>
        <v>960</v>
      </c>
      <c r="G196" s="143"/>
    </row>
    <row r="197">
      <c r="C197" s="141" t="s">
        <v>87</v>
      </c>
      <c r="D197" s="142">
        <v>50.0</v>
      </c>
      <c r="E197" s="142">
        <v>6.0</v>
      </c>
      <c r="F197" s="26">
        <f t="shared" si="2"/>
        <v>300</v>
      </c>
      <c r="G197" s="143"/>
    </row>
    <row r="198">
      <c r="C198" s="141" t="s">
        <v>118</v>
      </c>
      <c r="D198" s="142">
        <v>3.0</v>
      </c>
      <c r="E198" s="142">
        <v>235.0</v>
      </c>
      <c r="F198" s="26">
        <f t="shared" si="2"/>
        <v>705</v>
      </c>
      <c r="G198" s="143"/>
    </row>
    <row r="199">
      <c r="C199" s="141" t="s">
        <v>224</v>
      </c>
      <c r="D199" s="142">
        <v>14.0</v>
      </c>
      <c r="E199" s="142">
        <v>235.0</v>
      </c>
      <c r="F199" s="26">
        <f t="shared" si="2"/>
        <v>3290</v>
      </c>
      <c r="G199" s="143"/>
    </row>
    <row r="200">
      <c r="C200" s="141" t="s">
        <v>116</v>
      </c>
      <c r="D200" s="142">
        <v>8.0</v>
      </c>
      <c r="E200" s="142">
        <v>235.0</v>
      </c>
      <c r="F200" s="26">
        <f t="shared" si="2"/>
        <v>1880</v>
      </c>
      <c r="G200" s="143"/>
    </row>
    <row r="201">
      <c r="C201" s="141" t="s">
        <v>135</v>
      </c>
      <c r="D201" s="142">
        <v>14.0</v>
      </c>
      <c r="E201" s="142">
        <v>71.0</v>
      </c>
      <c r="F201" s="26">
        <f t="shared" si="2"/>
        <v>994</v>
      </c>
      <c r="G201" s="143"/>
    </row>
    <row r="202">
      <c r="C202" s="141" t="s">
        <v>225</v>
      </c>
      <c r="D202" s="142">
        <v>5.0</v>
      </c>
      <c r="E202" s="142">
        <v>240.0</v>
      </c>
      <c r="F202" s="26">
        <f t="shared" si="2"/>
        <v>1200</v>
      </c>
      <c r="G202" s="143"/>
    </row>
    <row r="203">
      <c r="C203" s="141" t="s">
        <v>139</v>
      </c>
      <c r="D203" s="142">
        <v>0.0</v>
      </c>
      <c r="E203" s="142">
        <v>250.0</v>
      </c>
      <c r="F203" s="26">
        <f t="shared" si="2"/>
        <v>0</v>
      </c>
      <c r="G203" s="143"/>
    </row>
    <row r="204">
      <c r="C204" s="141" t="s">
        <v>95</v>
      </c>
      <c r="D204" s="142">
        <v>2.0</v>
      </c>
      <c r="E204" s="142">
        <v>530.0</v>
      </c>
      <c r="F204" s="26">
        <f t="shared" si="2"/>
        <v>1060</v>
      </c>
      <c r="G204" s="143"/>
    </row>
    <row r="205">
      <c r="C205" s="106" t="s">
        <v>226</v>
      </c>
      <c r="D205" s="107">
        <v>1.4</v>
      </c>
      <c r="E205" s="107">
        <v>1700.0</v>
      </c>
      <c r="F205" s="27">
        <f t="shared" si="2"/>
        <v>2380</v>
      </c>
      <c r="G205" s="135"/>
    </row>
    <row r="206">
      <c r="C206" s="106" t="s">
        <v>227</v>
      </c>
      <c r="D206" s="107">
        <v>1.0</v>
      </c>
      <c r="E206" s="107">
        <v>360.0</v>
      </c>
      <c r="F206" s="27">
        <f t="shared" si="2"/>
        <v>360</v>
      </c>
      <c r="G206" s="135"/>
    </row>
    <row r="207">
      <c r="C207" s="106" t="s">
        <v>228</v>
      </c>
      <c r="D207" s="107">
        <v>9.0</v>
      </c>
      <c r="E207" s="107">
        <v>260.0</v>
      </c>
      <c r="F207" s="27">
        <f t="shared" si="2"/>
        <v>2340</v>
      </c>
      <c r="G207" s="135"/>
    </row>
    <row r="208">
      <c r="C208" s="106" t="s">
        <v>229</v>
      </c>
      <c r="D208" s="107">
        <v>12.0</v>
      </c>
      <c r="E208" s="107">
        <v>260.0</v>
      </c>
      <c r="F208" s="27">
        <f t="shared" si="2"/>
        <v>3120</v>
      </c>
      <c r="G208" s="135"/>
    </row>
    <row r="209">
      <c r="C209" s="106" t="s">
        <v>230</v>
      </c>
      <c r="D209" s="107">
        <v>12.0</v>
      </c>
      <c r="E209" s="107">
        <v>285.0</v>
      </c>
      <c r="F209" s="27">
        <f t="shared" si="2"/>
        <v>3420</v>
      </c>
      <c r="G209" s="135"/>
    </row>
    <row r="210">
      <c r="C210" s="106" t="s">
        <v>140</v>
      </c>
      <c r="D210" s="107">
        <v>6.0</v>
      </c>
      <c r="E210" s="107">
        <v>25.0</v>
      </c>
      <c r="F210" s="27">
        <f t="shared" si="2"/>
        <v>150</v>
      </c>
      <c r="G210" s="135"/>
    </row>
    <row r="211">
      <c r="C211" s="106" t="s">
        <v>178</v>
      </c>
      <c r="D211" s="107">
        <v>5.0</v>
      </c>
      <c r="E211" s="107">
        <v>600.0</v>
      </c>
      <c r="F211" s="27">
        <f t="shared" si="2"/>
        <v>3000</v>
      </c>
      <c r="G211" s="135"/>
    </row>
    <row r="212">
      <c r="C212" s="106" t="s">
        <v>178</v>
      </c>
      <c r="D212" s="107">
        <v>1.0</v>
      </c>
      <c r="E212" s="107">
        <v>650.0</v>
      </c>
      <c r="F212" s="27">
        <f t="shared" si="2"/>
        <v>650</v>
      </c>
      <c r="G212" s="135"/>
    </row>
    <row r="213">
      <c r="C213" s="106" t="s">
        <v>87</v>
      </c>
      <c r="D213" s="107">
        <v>10.0</v>
      </c>
      <c r="E213" s="107">
        <v>7.5</v>
      </c>
      <c r="F213" s="27">
        <f t="shared" si="2"/>
        <v>75</v>
      </c>
      <c r="G213" s="135"/>
    </row>
    <row r="214">
      <c r="C214" s="106" t="s">
        <v>230</v>
      </c>
      <c r="D214" s="107">
        <v>1.0</v>
      </c>
      <c r="E214" s="107">
        <v>360.0</v>
      </c>
      <c r="F214" s="27">
        <f t="shared" si="2"/>
        <v>360</v>
      </c>
      <c r="G214" s="135"/>
    </row>
    <row r="215">
      <c r="C215" s="106" t="s">
        <v>229</v>
      </c>
      <c r="D215" s="107">
        <v>1.0</v>
      </c>
      <c r="E215" s="107">
        <v>260.0</v>
      </c>
      <c r="F215" s="27">
        <f t="shared" si="2"/>
        <v>260</v>
      </c>
      <c r="G215" s="135"/>
    </row>
    <row r="216">
      <c r="C216" s="106" t="s">
        <v>76</v>
      </c>
      <c r="D216" s="107">
        <v>18.0</v>
      </c>
      <c r="E216" s="107">
        <v>190.0</v>
      </c>
      <c r="F216" s="27">
        <f t="shared" si="2"/>
        <v>3420</v>
      </c>
      <c r="G216" s="135"/>
    </row>
    <row r="217">
      <c r="C217" s="106" t="s">
        <v>231</v>
      </c>
      <c r="D217" s="107">
        <v>12.0</v>
      </c>
      <c r="E217" s="107">
        <v>600.0</v>
      </c>
      <c r="F217" s="27">
        <f t="shared" si="2"/>
        <v>7200</v>
      </c>
      <c r="G217" s="135"/>
    </row>
    <row r="218">
      <c r="C218" s="106" t="s">
        <v>232</v>
      </c>
      <c r="D218" s="107">
        <v>1.0</v>
      </c>
      <c r="E218" s="107">
        <v>100.0</v>
      </c>
      <c r="F218" s="27">
        <f t="shared" si="2"/>
        <v>100</v>
      </c>
      <c r="G218" s="135"/>
    </row>
    <row r="219">
      <c r="C219" s="106" t="s">
        <v>154</v>
      </c>
      <c r="D219" s="107">
        <v>40.0</v>
      </c>
      <c r="E219" s="107">
        <v>75.0</v>
      </c>
      <c r="F219" s="27">
        <f t="shared" si="2"/>
        <v>3000</v>
      </c>
      <c r="G219" s="135"/>
    </row>
    <row r="220">
      <c r="C220" s="106" t="s">
        <v>233</v>
      </c>
      <c r="D220" s="107">
        <v>1.0</v>
      </c>
      <c r="E220" s="107">
        <v>600.0</v>
      </c>
      <c r="F220" s="27">
        <f t="shared" si="2"/>
        <v>600</v>
      </c>
      <c r="G220" s="135"/>
    </row>
    <row r="221">
      <c r="C221" s="106" t="s">
        <v>234</v>
      </c>
      <c r="D221" s="107">
        <v>1.0</v>
      </c>
      <c r="E221" s="107">
        <v>600.0</v>
      </c>
      <c r="F221" s="27">
        <f t="shared" si="2"/>
        <v>600</v>
      </c>
      <c r="G221" s="135"/>
    </row>
    <row r="222">
      <c r="C222" s="106" t="s">
        <v>175</v>
      </c>
      <c r="D222" s="107">
        <v>4.0</v>
      </c>
      <c r="E222" s="107">
        <v>100.0</v>
      </c>
      <c r="F222" s="27">
        <f t="shared" si="2"/>
        <v>400</v>
      </c>
      <c r="G222" s="135"/>
    </row>
    <row r="223">
      <c r="C223" s="106" t="s">
        <v>235</v>
      </c>
      <c r="D223" s="107">
        <v>1.0</v>
      </c>
      <c r="E223" s="107">
        <v>50.0</v>
      </c>
      <c r="F223" s="27">
        <f t="shared" si="2"/>
        <v>50</v>
      </c>
      <c r="G223" s="135"/>
    </row>
    <row r="224">
      <c r="C224" s="106" t="s">
        <v>236</v>
      </c>
      <c r="D224" s="107">
        <v>4.0</v>
      </c>
      <c r="E224" s="107">
        <v>30.0</v>
      </c>
      <c r="F224" s="27">
        <f t="shared" si="2"/>
        <v>120</v>
      </c>
      <c r="G224" s="135"/>
    </row>
    <row r="225">
      <c r="C225" s="106" t="s">
        <v>237</v>
      </c>
      <c r="D225" s="107">
        <v>1.0</v>
      </c>
      <c r="E225" s="107">
        <v>180.0</v>
      </c>
      <c r="F225" s="27">
        <f t="shared" si="2"/>
        <v>180</v>
      </c>
      <c r="G225" s="135"/>
    </row>
    <row r="226">
      <c r="C226" s="106" t="s">
        <v>238</v>
      </c>
      <c r="D226" s="107">
        <v>2.0</v>
      </c>
      <c r="E226" s="107">
        <v>120.0</v>
      </c>
      <c r="F226" s="27">
        <f t="shared" si="2"/>
        <v>240</v>
      </c>
      <c r="G226" s="135"/>
    </row>
    <row r="227">
      <c r="C227" s="106" t="s">
        <v>239</v>
      </c>
      <c r="D227" s="107">
        <v>1.0</v>
      </c>
      <c r="E227" s="107">
        <v>360.0</v>
      </c>
      <c r="F227" s="27">
        <f t="shared" si="2"/>
        <v>360</v>
      </c>
      <c r="G227" s="135"/>
    </row>
    <row r="228">
      <c r="C228" s="106" t="s">
        <v>240</v>
      </c>
      <c r="D228" s="107">
        <v>2.0</v>
      </c>
      <c r="E228" s="107">
        <v>200.0</v>
      </c>
      <c r="F228" s="27">
        <f t="shared" si="2"/>
        <v>400</v>
      </c>
      <c r="G228" s="135"/>
    </row>
    <row r="229">
      <c r="C229" s="106" t="s">
        <v>145</v>
      </c>
      <c r="D229" s="107">
        <v>1.0</v>
      </c>
      <c r="E229" s="107">
        <v>800.0</v>
      </c>
      <c r="F229" s="27">
        <f t="shared" si="2"/>
        <v>800</v>
      </c>
      <c r="G229" s="135"/>
    </row>
    <row r="230">
      <c r="C230" s="106" t="s">
        <v>241</v>
      </c>
      <c r="D230" s="107">
        <v>2.0</v>
      </c>
      <c r="E230" s="107">
        <v>1750.0</v>
      </c>
      <c r="F230" s="27">
        <f t="shared" si="2"/>
        <v>3500</v>
      </c>
      <c r="G230" s="135"/>
    </row>
    <row r="231">
      <c r="C231" s="106" t="s">
        <v>242</v>
      </c>
      <c r="D231" s="107">
        <v>2.0</v>
      </c>
      <c r="E231" s="107">
        <v>1450.0</v>
      </c>
      <c r="F231" s="27">
        <f t="shared" si="2"/>
        <v>2900</v>
      </c>
      <c r="G231" s="135"/>
    </row>
    <row r="232">
      <c r="C232" s="106" t="s">
        <v>243</v>
      </c>
      <c r="D232" s="107">
        <v>0.0</v>
      </c>
      <c r="E232" s="107">
        <v>32.0</v>
      </c>
      <c r="F232" s="27">
        <f t="shared" si="2"/>
        <v>0</v>
      </c>
      <c r="G232" s="135"/>
    </row>
    <row r="233">
      <c r="C233" s="106" t="s">
        <v>244</v>
      </c>
      <c r="D233" s="107">
        <v>1.0</v>
      </c>
      <c r="E233" s="107">
        <v>200.0</v>
      </c>
      <c r="F233" s="27">
        <f t="shared" si="2"/>
        <v>200</v>
      </c>
      <c r="G233" s="135"/>
    </row>
    <row r="234">
      <c r="C234" s="106" t="s">
        <v>245</v>
      </c>
      <c r="D234" s="107">
        <v>3.0</v>
      </c>
      <c r="E234" s="107">
        <v>170.0</v>
      </c>
      <c r="F234" s="27">
        <f t="shared" si="2"/>
        <v>510</v>
      </c>
      <c r="G234" s="135"/>
    </row>
    <row r="235">
      <c r="C235" s="106" t="s">
        <v>246</v>
      </c>
      <c r="D235" s="107">
        <v>2.0</v>
      </c>
      <c r="E235" s="107">
        <v>100.0</v>
      </c>
      <c r="F235" s="27">
        <f t="shared" si="2"/>
        <v>200</v>
      </c>
      <c r="G235" s="135"/>
    </row>
    <row r="236">
      <c r="C236" s="106" t="s">
        <v>247</v>
      </c>
      <c r="D236" s="107">
        <v>1.0</v>
      </c>
      <c r="E236" s="107">
        <v>320.0</v>
      </c>
      <c r="F236" s="27">
        <f t="shared" si="2"/>
        <v>320</v>
      </c>
      <c r="G236" s="135"/>
    </row>
    <row r="237">
      <c r="C237" s="106" t="s">
        <v>248</v>
      </c>
      <c r="D237" s="107">
        <v>1.0</v>
      </c>
      <c r="E237" s="107">
        <v>200.0</v>
      </c>
      <c r="F237" s="27">
        <f t="shared" si="2"/>
        <v>200</v>
      </c>
      <c r="G237" s="135"/>
    </row>
    <row r="238">
      <c r="C238" s="106" t="s">
        <v>249</v>
      </c>
      <c r="D238" s="107">
        <v>1.0</v>
      </c>
      <c r="E238" s="107">
        <v>120.0</v>
      </c>
      <c r="F238" s="27">
        <f t="shared" si="2"/>
        <v>120</v>
      </c>
      <c r="G238" s="135"/>
    </row>
    <row r="239">
      <c r="C239" s="106" t="s">
        <v>147</v>
      </c>
      <c r="D239" s="107">
        <v>7.0</v>
      </c>
      <c r="E239" s="107">
        <v>100.0</v>
      </c>
      <c r="F239" s="27">
        <f t="shared" si="2"/>
        <v>700</v>
      </c>
      <c r="G239" s="135"/>
    </row>
    <row r="240">
      <c r="C240" s="106" t="s">
        <v>250</v>
      </c>
      <c r="D240" s="107">
        <v>1.0</v>
      </c>
      <c r="E240" s="107">
        <v>1000.0</v>
      </c>
      <c r="F240" s="27">
        <f t="shared" si="2"/>
        <v>1000</v>
      </c>
      <c r="G240" s="135"/>
    </row>
    <row r="241">
      <c r="C241" s="106" t="s">
        <v>251</v>
      </c>
      <c r="D241" s="107">
        <v>1.0</v>
      </c>
      <c r="E241" s="107">
        <v>50.0</v>
      </c>
      <c r="F241" s="27">
        <f t="shared" si="2"/>
        <v>50</v>
      </c>
      <c r="G241" s="135"/>
    </row>
    <row r="242">
      <c r="C242" s="106" t="s">
        <v>252</v>
      </c>
      <c r="D242" s="107">
        <v>5.0</v>
      </c>
      <c r="E242" s="107">
        <v>350.0</v>
      </c>
      <c r="F242" s="27">
        <f t="shared" si="2"/>
        <v>1750</v>
      </c>
      <c r="G242" s="135"/>
    </row>
    <row r="243">
      <c r="C243" s="106" t="s">
        <v>185</v>
      </c>
      <c r="D243" s="107">
        <v>2.0</v>
      </c>
      <c r="E243" s="107">
        <v>200.0</v>
      </c>
      <c r="F243" s="27">
        <f t="shared" si="2"/>
        <v>400</v>
      </c>
      <c r="G243" s="135"/>
    </row>
    <row r="244">
      <c r="C244" s="106" t="s">
        <v>253</v>
      </c>
      <c r="D244" s="107">
        <v>1.0</v>
      </c>
      <c r="E244" s="107">
        <v>30.0</v>
      </c>
      <c r="F244" s="27">
        <f t="shared" si="2"/>
        <v>30</v>
      </c>
      <c r="G244" s="30"/>
    </row>
    <row r="245">
      <c r="C245" s="106" t="s">
        <v>254</v>
      </c>
      <c r="D245" s="107">
        <v>1.0</v>
      </c>
      <c r="E245" s="107">
        <v>200.0</v>
      </c>
      <c r="F245" s="27">
        <f t="shared" si="2"/>
        <v>200</v>
      </c>
      <c r="G245" s="135"/>
    </row>
    <row r="246">
      <c r="C246" s="106" t="s">
        <v>255</v>
      </c>
      <c r="D246" s="107">
        <v>1.0</v>
      </c>
      <c r="E246" s="107">
        <v>1000.0</v>
      </c>
      <c r="F246" s="27">
        <f t="shared" si="2"/>
        <v>1000</v>
      </c>
      <c r="G246" s="135"/>
    </row>
    <row r="247">
      <c r="C247" s="106" t="s">
        <v>145</v>
      </c>
      <c r="D247" s="107">
        <v>2.6</v>
      </c>
      <c r="E247" s="107">
        <v>800.0</v>
      </c>
      <c r="F247" s="27">
        <f t="shared" si="2"/>
        <v>2080</v>
      </c>
      <c r="G247" s="135"/>
    </row>
    <row r="248">
      <c r="C248" s="106" t="s">
        <v>250</v>
      </c>
      <c r="D248" s="107">
        <v>2.6</v>
      </c>
      <c r="E248" s="107">
        <v>800.0</v>
      </c>
      <c r="F248" s="27">
        <f t="shared" si="2"/>
        <v>2080</v>
      </c>
      <c r="G248" s="135"/>
    </row>
    <row r="249">
      <c r="C249" s="106" t="s">
        <v>147</v>
      </c>
      <c r="D249" s="107">
        <v>18.0</v>
      </c>
      <c r="E249" s="107">
        <v>100.0</v>
      </c>
      <c r="F249" s="27">
        <f t="shared" si="2"/>
        <v>1800</v>
      </c>
      <c r="G249" s="135"/>
    </row>
    <row r="250">
      <c r="C250" s="106" t="s">
        <v>256</v>
      </c>
      <c r="D250" s="107">
        <v>3.0</v>
      </c>
      <c r="E250" s="107">
        <v>150.0</v>
      </c>
      <c r="F250" s="27">
        <f t="shared" si="2"/>
        <v>450</v>
      </c>
      <c r="G250" s="135"/>
    </row>
    <row r="251">
      <c r="C251" s="106" t="s">
        <v>257</v>
      </c>
      <c r="D251" s="107">
        <v>0.3</v>
      </c>
      <c r="E251" s="107">
        <v>1500.0</v>
      </c>
      <c r="F251" s="27">
        <f t="shared" si="2"/>
        <v>450</v>
      </c>
      <c r="G251" s="135"/>
    </row>
    <row r="252">
      <c r="C252" s="106" t="s">
        <v>258</v>
      </c>
      <c r="D252" s="107">
        <v>0.5</v>
      </c>
      <c r="E252" s="107">
        <v>320.0</v>
      </c>
      <c r="F252" s="27">
        <f t="shared" si="2"/>
        <v>160</v>
      </c>
      <c r="G252" s="135"/>
    </row>
    <row r="253">
      <c r="C253" s="106" t="s">
        <v>259</v>
      </c>
      <c r="D253" s="107">
        <v>3.0</v>
      </c>
      <c r="E253" s="107">
        <v>70.0</v>
      </c>
      <c r="F253" s="27">
        <f t="shared" si="2"/>
        <v>210</v>
      </c>
      <c r="G253" s="135"/>
    </row>
    <row r="254">
      <c r="C254" s="106" t="s">
        <v>260</v>
      </c>
      <c r="D254" s="107">
        <v>1.0</v>
      </c>
      <c r="E254" s="107">
        <v>250.0</v>
      </c>
      <c r="F254" s="27">
        <f t="shared" si="2"/>
        <v>250</v>
      </c>
      <c r="G254" s="135"/>
    </row>
    <row r="255">
      <c r="C255" s="106" t="s">
        <v>154</v>
      </c>
      <c r="D255" s="107">
        <v>47.0</v>
      </c>
      <c r="E255" s="107">
        <v>75.0</v>
      </c>
      <c r="F255" s="27">
        <f t="shared" si="2"/>
        <v>3525</v>
      </c>
      <c r="G255" s="135"/>
    </row>
    <row r="256">
      <c r="C256" s="106" t="s">
        <v>201</v>
      </c>
      <c r="D256" s="107">
        <v>2.0</v>
      </c>
      <c r="E256" s="107">
        <v>120.0</v>
      </c>
      <c r="F256" s="27">
        <f t="shared" si="2"/>
        <v>240</v>
      </c>
      <c r="G256" s="135"/>
    </row>
    <row r="257">
      <c r="C257" s="106" t="s">
        <v>261</v>
      </c>
      <c r="D257" s="107">
        <v>1.0</v>
      </c>
      <c r="E257" s="107">
        <v>450.0</v>
      </c>
      <c r="F257" s="27">
        <f t="shared" si="2"/>
        <v>450</v>
      </c>
      <c r="G257" s="135"/>
    </row>
    <row r="258">
      <c r="C258" s="106" t="s">
        <v>80</v>
      </c>
      <c r="D258" s="107">
        <v>2.0</v>
      </c>
      <c r="E258" s="107">
        <v>1150.0</v>
      </c>
      <c r="F258" s="27">
        <f t="shared" si="2"/>
        <v>2300</v>
      </c>
      <c r="G258" s="135"/>
    </row>
    <row r="259">
      <c r="C259" s="106" t="s">
        <v>79</v>
      </c>
      <c r="D259" s="107">
        <v>1.0</v>
      </c>
      <c r="E259" s="107">
        <v>1200.0</v>
      </c>
      <c r="F259" s="27">
        <f t="shared" si="2"/>
        <v>1200</v>
      </c>
      <c r="G259" s="135"/>
    </row>
    <row r="260">
      <c r="C260" s="106" t="s">
        <v>144</v>
      </c>
      <c r="D260" s="107">
        <v>0.5</v>
      </c>
      <c r="E260" s="107">
        <v>2000.0</v>
      </c>
      <c r="F260" s="27">
        <f t="shared" si="2"/>
        <v>1000</v>
      </c>
      <c r="G260" s="135"/>
    </row>
    <row r="261">
      <c r="C261" s="106" t="s">
        <v>177</v>
      </c>
      <c r="D261" s="107">
        <v>1.0</v>
      </c>
      <c r="E261" s="107">
        <v>220.0</v>
      </c>
      <c r="F261" s="27">
        <f t="shared" si="2"/>
        <v>220</v>
      </c>
      <c r="G261" s="135"/>
    </row>
    <row r="262">
      <c r="C262" s="106" t="s">
        <v>254</v>
      </c>
      <c r="D262" s="107">
        <v>2.0</v>
      </c>
      <c r="E262" s="107">
        <v>200.0</v>
      </c>
      <c r="F262" s="27">
        <f t="shared" si="2"/>
        <v>400</v>
      </c>
      <c r="G262" s="135"/>
    </row>
    <row r="263">
      <c r="C263" s="106" t="s">
        <v>262</v>
      </c>
      <c r="D263" s="107">
        <v>5.0</v>
      </c>
      <c r="E263" s="107">
        <v>300.0</v>
      </c>
      <c r="F263" s="27">
        <f t="shared" si="2"/>
        <v>1500</v>
      </c>
      <c r="G263" s="135"/>
    </row>
    <row r="264">
      <c r="C264" s="106" t="s">
        <v>154</v>
      </c>
      <c r="D264" s="107">
        <v>50.0</v>
      </c>
      <c r="E264" s="107">
        <v>75.0</v>
      </c>
      <c r="F264" s="27">
        <f t="shared" si="2"/>
        <v>3750</v>
      </c>
      <c r="G264" s="135"/>
    </row>
    <row r="265">
      <c r="C265" s="106" t="s">
        <v>263</v>
      </c>
      <c r="D265" s="107">
        <v>1.0</v>
      </c>
      <c r="E265" s="107">
        <v>490.0</v>
      </c>
      <c r="F265" s="27">
        <f t="shared" si="2"/>
        <v>490</v>
      </c>
      <c r="G265" s="135"/>
    </row>
    <row r="266">
      <c r="C266" s="106" t="s">
        <v>264</v>
      </c>
      <c r="D266" s="107">
        <v>2.0</v>
      </c>
      <c r="E266" s="107">
        <v>900.0</v>
      </c>
      <c r="F266" s="27">
        <f t="shared" si="2"/>
        <v>1800</v>
      </c>
      <c r="G266" s="135"/>
    </row>
    <row r="267">
      <c r="C267" s="106" t="s">
        <v>265</v>
      </c>
      <c r="D267" s="107">
        <v>36.0</v>
      </c>
      <c r="E267" s="107">
        <v>45.0</v>
      </c>
      <c r="F267" s="27">
        <f t="shared" si="2"/>
        <v>1620</v>
      </c>
      <c r="G267" s="135"/>
    </row>
    <row r="268">
      <c r="C268" s="106" t="s">
        <v>266</v>
      </c>
      <c r="D268" s="107">
        <v>1.0</v>
      </c>
      <c r="E268" s="107">
        <v>220.0</v>
      </c>
      <c r="F268" s="27">
        <f t="shared" si="2"/>
        <v>220</v>
      </c>
      <c r="G268" s="135"/>
    </row>
    <row r="269">
      <c r="C269" s="106" t="s">
        <v>262</v>
      </c>
      <c r="D269" s="107">
        <v>1.5</v>
      </c>
      <c r="E269" s="107">
        <v>200.0</v>
      </c>
      <c r="F269" s="27">
        <f t="shared" si="2"/>
        <v>300</v>
      </c>
      <c r="G269" s="135"/>
    </row>
    <row r="270">
      <c r="C270" s="106" t="s">
        <v>90</v>
      </c>
      <c r="D270" s="107">
        <v>1.0</v>
      </c>
      <c r="E270" s="107">
        <v>1500.0</v>
      </c>
      <c r="F270" s="27">
        <f t="shared" si="2"/>
        <v>1500</v>
      </c>
      <c r="G270" s="135"/>
    </row>
    <row r="271">
      <c r="C271" s="106" t="s">
        <v>267</v>
      </c>
      <c r="D271" s="107">
        <v>1.0</v>
      </c>
      <c r="E271" s="107">
        <v>100.0</v>
      </c>
      <c r="F271" s="27">
        <f t="shared" si="2"/>
        <v>100</v>
      </c>
      <c r="G271" s="135"/>
    </row>
    <row r="272">
      <c r="C272" s="106" t="s">
        <v>268</v>
      </c>
      <c r="D272" s="107">
        <v>1.0</v>
      </c>
      <c r="E272" s="107">
        <v>100.0</v>
      </c>
      <c r="F272" s="27">
        <f t="shared" si="2"/>
        <v>100</v>
      </c>
      <c r="G272" s="135"/>
    </row>
    <row r="273">
      <c r="C273" s="106" t="s">
        <v>156</v>
      </c>
      <c r="D273" s="107">
        <v>1.0</v>
      </c>
      <c r="E273" s="107">
        <v>220.0</v>
      </c>
      <c r="F273" s="27">
        <f t="shared" si="2"/>
        <v>220</v>
      </c>
      <c r="G273" s="30"/>
    </row>
    <row r="274">
      <c r="C274" s="106" t="s">
        <v>269</v>
      </c>
      <c r="D274" s="107">
        <v>1.0</v>
      </c>
      <c r="E274" s="107">
        <v>200.0</v>
      </c>
      <c r="F274" s="27">
        <f t="shared" si="2"/>
        <v>200</v>
      </c>
      <c r="G274" s="135"/>
    </row>
    <row r="275">
      <c r="C275" s="106" t="s">
        <v>270</v>
      </c>
      <c r="D275" s="107">
        <v>1.0</v>
      </c>
      <c r="E275" s="107">
        <v>350.0</v>
      </c>
      <c r="F275" s="27">
        <f t="shared" si="2"/>
        <v>350</v>
      </c>
      <c r="G275" s="135"/>
    </row>
    <row r="276">
      <c r="C276" s="106" t="s">
        <v>197</v>
      </c>
      <c r="D276" s="107">
        <v>1.0</v>
      </c>
      <c r="E276" s="107">
        <v>500.0</v>
      </c>
      <c r="F276" s="27">
        <f t="shared" si="2"/>
        <v>500</v>
      </c>
      <c r="G276" s="135"/>
    </row>
    <row r="277">
      <c r="C277" s="106" t="s">
        <v>254</v>
      </c>
      <c r="D277" s="107">
        <v>1.0</v>
      </c>
      <c r="E277" s="107">
        <v>200.0</v>
      </c>
      <c r="F277" s="27">
        <f t="shared" si="2"/>
        <v>200</v>
      </c>
      <c r="G277" s="135"/>
    </row>
    <row r="278">
      <c r="C278" s="106" t="s">
        <v>147</v>
      </c>
      <c r="D278" s="107">
        <v>5.0</v>
      </c>
      <c r="E278" s="107">
        <v>100.0</v>
      </c>
      <c r="F278" s="27">
        <f t="shared" si="2"/>
        <v>500</v>
      </c>
      <c r="G278" s="135"/>
    </row>
    <row r="279">
      <c r="C279" s="106" t="s">
        <v>145</v>
      </c>
      <c r="D279" s="107">
        <v>2.0</v>
      </c>
      <c r="E279" s="107">
        <v>800.0</v>
      </c>
      <c r="F279" s="27">
        <f t="shared" si="2"/>
        <v>1600</v>
      </c>
      <c r="G279" s="135"/>
    </row>
    <row r="280">
      <c r="C280" s="106" t="s">
        <v>146</v>
      </c>
      <c r="D280" s="107">
        <v>2.0</v>
      </c>
      <c r="E280" s="107">
        <v>175.0</v>
      </c>
      <c r="F280" s="27">
        <f t="shared" si="2"/>
        <v>350</v>
      </c>
      <c r="G280" s="135"/>
    </row>
    <row r="281">
      <c r="C281" s="106" t="s">
        <v>271</v>
      </c>
      <c r="D281" s="107">
        <v>2.5</v>
      </c>
      <c r="E281" s="107">
        <v>80.0</v>
      </c>
      <c r="F281" s="27">
        <f t="shared" si="2"/>
        <v>200</v>
      </c>
      <c r="G281" s="135"/>
    </row>
    <row r="282">
      <c r="C282" s="106" t="s">
        <v>272</v>
      </c>
      <c r="D282" s="107">
        <v>1.0</v>
      </c>
      <c r="E282" s="107">
        <v>300.0</v>
      </c>
      <c r="F282" s="27">
        <f t="shared" si="2"/>
        <v>300</v>
      </c>
      <c r="G282" s="135"/>
    </row>
    <row r="283">
      <c r="C283" s="106" t="s">
        <v>273</v>
      </c>
      <c r="D283" s="107">
        <v>1.0</v>
      </c>
      <c r="E283" s="107">
        <v>120.0</v>
      </c>
      <c r="F283" s="27">
        <f t="shared" si="2"/>
        <v>120</v>
      </c>
      <c r="G283" s="135"/>
    </row>
    <row r="284">
      <c r="C284" s="106" t="s">
        <v>246</v>
      </c>
      <c r="D284" s="107">
        <v>9.0</v>
      </c>
      <c r="E284" s="107">
        <v>60.0</v>
      </c>
      <c r="F284" s="27">
        <f t="shared" si="2"/>
        <v>540</v>
      </c>
      <c r="G284" s="135"/>
    </row>
    <row r="285">
      <c r="C285" s="106" t="s">
        <v>170</v>
      </c>
      <c r="D285" s="107">
        <v>1.0</v>
      </c>
      <c r="E285" s="107">
        <v>300.0</v>
      </c>
      <c r="F285" s="27">
        <f t="shared" si="2"/>
        <v>300</v>
      </c>
      <c r="G285" s="135"/>
    </row>
    <row r="286">
      <c r="C286" s="106" t="s">
        <v>274</v>
      </c>
      <c r="D286" s="107">
        <v>1.0</v>
      </c>
      <c r="E286" s="107">
        <v>50.0</v>
      </c>
      <c r="F286" s="27">
        <f t="shared" si="2"/>
        <v>50</v>
      </c>
      <c r="G286" s="135"/>
    </row>
    <row r="287">
      <c r="C287" s="106" t="s">
        <v>102</v>
      </c>
      <c r="D287" s="107">
        <v>1.0</v>
      </c>
      <c r="E287" s="107">
        <v>260.0</v>
      </c>
      <c r="F287" s="27">
        <f t="shared" si="2"/>
        <v>260</v>
      </c>
      <c r="G287" s="135"/>
    </row>
    <row r="288">
      <c r="C288" s="106" t="s">
        <v>154</v>
      </c>
      <c r="D288" s="107">
        <v>20.0</v>
      </c>
      <c r="E288" s="107">
        <v>80.0</v>
      </c>
      <c r="F288" s="27">
        <f t="shared" si="2"/>
        <v>1600</v>
      </c>
      <c r="G288" s="135"/>
    </row>
    <row r="289">
      <c r="C289" s="106" t="s">
        <v>231</v>
      </c>
      <c r="D289" s="107">
        <v>20.0</v>
      </c>
      <c r="E289" s="107">
        <v>600.0</v>
      </c>
      <c r="F289" s="27">
        <f t="shared" si="2"/>
        <v>12000</v>
      </c>
      <c r="G289" s="135"/>
    </row>
    <row r="290">
      <c r="C290" s="106" t="s">
        <v>255</v>
      </c>
      <c r="D290" s="107">
        <v>1.0</v>
      </c>
      <c r="E290" s="107">
        <v>1000.0</v>
      </c>
      <c r="F290" s="27">
        <f t="shared" si="2"/>
        <v>1000</v>
      </c>
      <c r="G290" s="135"/>
    </row>
    <row r="291">
      <c r="C291" s="106" t="s">
        <v>254</v>
      </c>
      <c r="D291" s="107">
        <v>1.0</v>
      </c>
      <c r="E291" s="107">
        <v>200.0</v>
      </c>
      <c r="F291" s="27">
        <f t="shared" si="2"/>
        <v>200</v>
      </c>
      <c r="G291" s="135"/>
    </row>
    <row r="292">
      <c r="C292" s="106" t="s">
        <v>275</v>
      </c>
      <c r="D292" s="107">
        <v>1.0</v>
      </c>
      <c r="E292" s="107">
        <v>130.0</v>
      </c>
      <c r="F292" s="27">
        <f t="shared" si="2"/>
        <v>130</v>
      </c>
      <c r="G292" s="135"/>
    </row>
    <row r="293">
      <c r="C293" s="144" t="s">
        <v>276</v>
      </c>
      <c r="D293" s="145">
        <v>1.0</v>
      </c>
      <c r="E293" s="145">
        <v>100000.0</v>
      </c>
      <c r="F293" s="21">
        <f t="shared" si="2"/>
        <v>100000</v>
      </c>
      <c r="G293" s="135"/>
    </row>
    <row r="294">
      <c r="C294" s="144" t="s">
        <v>277</v>
      </c>
      <c r="D294" s="145">
        <v>1.0</v>
      </c>
      <c r="E294" s="145">
        <v>30000.0</v>
      </c>
      <c r="F294" s="21">
        <f t="shared" si="2"/>
        <v>30000</v>
      </c>
      <c r="G294" s="135"/>
    </row>
    <row r="295">
      <c r="C295" s="106" t="s">
        <v>278</v>
      </c>
      <c r="D295" s="107">
        <v>25.0</v>
      </c>
      <c r="E295" s="107">
        <v>80.0</v>
      </c>
      <c r="F295" s="27">
        <f t="shared" si="2"/>
        <v>2000</v>
      </c>
      <c r="G295" s="135"/>
    </row>
    <row r="296">
      <c r="C296" s="106" t="s">
        <v>279</v>
      </c>
      <c r="D296" s="107">
        <v>1.25</v>
      </c>
      <c r="E296" s="107">
        <v>800.0</v>
      </c>
      <c r="F296" s="27">
        <f t="shared" si="2"/>
        <v>1000</v>
      </c>
      <c r="G296" s="135"/>
    </row>
    <row r="297">
      <c r="C297" s="106" t="s">
        <v>145</v>
      </c>
      <c r="D297" s="107">
        <v>0.75</v>
      </c>
      <c r="E297" s="107">
        <v>800.0</v>
      </c>
      <c r="F297" s="27">
        <f t="shared" si="2"/>
        <v>600</v>
      </c>
      <c r="G297" s="135"/>
    </row>
    <row r="298">
      <c r="C298" s="106" t="s">
        <v>147</v>
      </c>
      <c r="D298" s="107">
        <v>25.0</v>
      </c>
      <c r="E298" s="107">
        <v>100.0</v>
      </c>
      <c r="F298" s="27">
        <f t="shared" si="2"/>
        <v>2500</v>
      </c>
      <c r="G298" s="135"/>
    </row>
    <row r="299">
      <c r="C299" s="106" t="s">
        <v>96</v>
      </c>
      <c r="D299" s="107">
        <v>6.0</v>
      </c>
      <c r="E299" s="107">
        <v>170.0</v>
      </c>
      <c r="F299" s="27">
        <f t="shared" si="2"/>
        <v>1020</v>
      </c>
      <c r="G299" s="135"/>
    </row>
    <row r="300">
      <c r="C300" s="106" t="s">
        <v>280</v>
      </c>
      <c r="D300" s="107">
        <v>1.0</v>
      </c>
      <c r="E300" s="107">
        <v>600.0</v>
      </c>
      <c r="F300" s="27">
        <f t="shared" si="2"/>
        <v>600</v>
      </c>
      <c r="G300" s="135"/>
    </row>
    <row r="301">
      <c r="C301" s="106" t="s">
        <v>281</v>
      </c>
      <c r="D301" s="107">
        <v>1.0</v>
      </c>
      <c r="E301" s="107">
        <v>120.0</v>
      </c>
      <c r="F301" s="27">
        <f t="shared" si="2"/>
        <v>120</v>
      </c>
      <c r="G301" s="135"/>
    </row>
    <row r="302">
      <c r="C302" s="106" t="s">
        <v>177</v>
      </c>
      <c r="D302" s="107">
        <v>1.0</v>
      </c>
      <c r="E302" s="107">
        <v>170.0</v>
      </c>
      <c r="F302" s="27">
        <f t="shared" si="2"/>
        <v>170</v>
      </c>
      <c r="G302" s="135"/>
    </row>
    <row r="303">
      <c r="C303" s="106" t="s">
        <v>282</v>
      </c>
      <c r="D303" s="107">
        <v>1.0</v>
      </c>
      <c r="E303" s="107">
        <v>190.0</v>
      </c>
      <c r="F303" s="27">
        <f t="shared" si="2"/>
        <v>190</v>
      </c>
      <c r="G303" s="135"/>
    </row>
    <row r="304">
      <c r="C304" s="106" t="s">
        <v>136</v>
      </c>
      <c r="D304" s="107">
        <v>2.0</v>
      </c>
      <c r="E304" s="107">
        <v>240.0</v>
      </c>
      <c r="F304" s="27">
        <f t="shared" si="2"/>
        <v>480</v>
      </c>
      <c r="G304" s="135"/>
    </row>
    <row r="305">
      <c r="C305" s="106" t="s">
        <v>143</v>
      </c>
      <c r="D305" s="107">
        <v>2.0</v>
      </c>
      <c r="E305" s="107">
        <v>280.0</v>
      </c>
      <c r="F305" s="27">
        <f t="shared" si="2"/>
        <v>560</v>
      </c>
      <c r="G305" s="135"/>
    </row>
    <row r="306">
      <c r="C306" s="106" t="s">
        <v>283</v>
      </c>
      <c r="D306" s="107">
        <v>1.0</v>
      </c>
      <c r="E306" s="107">
        <v>110.0</v>
      </c>
      <c r="F306" s="27">
        <f t="shared" si="2"/>
        <v>110</v>
      </c>
      <c r="G306" s="135"/>
    </row>
    <row r="307">
      <c r="C307" s="106" t="s">
        <v>284</v>
      </c>
      <c r="D307" s="107">
        <v>1.5</v>
      </c>
      <c r="E307" s="107">
        <v>900.0</v>
      </c>
      <c r="F307" s="27">
        <f t="shared" si="2"/>
        <v>1350</v>
      </c>
      <c r="G307" s="135"/>
    </row>
    <row r="308">
      <c r="C308" s="106" t="s">
        <v>250</v>
      </c>
      <c r="D308" s="107">
        <v>1.0</v>
      </c>
      <c r="E308" s="107">
        <v>900.0</v>
      </c>
      <c r="F308" s="27">
        <f t="shared" si="2"/>
        <v>900</v>
      </c>
      <c r="G308" s="135"/>
    </row>
    <row r="309">
      <c r="C309" s="106" t="s">
        <v>278</v>
      </c>
      <c r="D309" s="107">
        <v>25.0</v>
      </c>
      <c r="E309" s="107">
        <v>80.0</v>
      </c>
      <c r="F309" s="27">
        <f t="shared" si="2"/>
        <v>2000</v>
      </c>
      <c r="G309" s="146">
        <v>45317.0</v>
      </c>
    </row>
    <row r="310">
      <c r="C310" s="106" t="s">
        <v>147</v>
      </c>
      <c r="D310" s="107">
        <v>15.0</v>
      </c>
      <c r="E310" s="107">
        <v>100.0</v>
      </c>
      <c r="F310" s="27">
        <f t="shared" si="2"/>
        <v>1500</v>
      </c>
      <c r="G310" s="146">
        <v>45317.0</v>
      </c>
    </row>
    <row r="311">
      <c r="C311" s="106" t="s">
        <v>285</v>
      </c>
      <c r="D311" s="107">
        <v>3.0</v>
      </c>
      <c r="E311" s="107">
        <v>200.0</v>
      </c>
      <c r="F311" s="27">
        <f t="shared" si="2"/>
        <v>600</v>
      </c>
      <c r="G311" s="146">
        <v>45317.0</v>
      </c>
    </row>
    <row r="312">
      <c r="C312" s="106" t="s">
        <v>151</v>
      </c>
      <c r="D312" s="107">
        <v>0.45</v>
      </c>
      <c r="E312" s="107">
        <v>1800.0</v>
      </c>
      <c r="F312" s="27">
        <f t="shared" si="2"/>
        <v>810</v>
      </c>
      <c r="G312" s="147">
        <v>45317.0</v>
      </c>
    </row>
    <row r="313">
      <c r="C313" s="106" t="s">
        <v>270</v>
      </c>
      <c r="D313" s="107">
        <v>1.0</v>
      </c>
      <c r="E313" s="107">
        <v>250.0</v>
      </c>
      <c r="F313" s="27">
        <f t="shared" si="2"/>
        <v>250</v>
      </c>
      <c r="G313" s="135"/>
    </row>
    <row r="314">
      <c r="C314" s="106" t="s">
        <v>254</v>
      </c>
      <c r="D314" s="107">
        <v>2.0</v>
      </c>
      <c r="E314" s="107">
        <v>200.0</v>
      </c>
      <c r="F314" s="27">
        <f t="shared" si="2"/>
        <v>400</v>
      </c>
      <c r="G314" s="135"/>
    </row>
    <row r="315">
      <c r="C315" s="106" t="s">
        <v>147</v>
      </c>
      <c r="D315" s="107">
        <v>35.0</v>
      </c>
      <c r="E315" s="107">
        <v>120.0</v>
      </c>
      <c r="F315" s="27">
        <f t="shared" si="2"/>
        <v>4200</v>
      </c>
      <c r="G315" s="146">
        <v>44953.0</v>
      </c>
    </row>
    <row r="316">
      <c r="C316" s="106" t="s">
        <v>264</v>
      </c>
      <c r="D316" s="107">
        <v>2.0</v>
      </c>
      <c r="E316" s="107">
        <v>750.0</v>
      </c>
      <c r="F316" s="27">
        <f t="shared" si="2"/>
        <v>1500</v>
      </c>
      <c r="G316" s="146">
        <v>44953.0</v>
      </c>
    </row>
    <row r="317">
      <c r="C317" s="106" t="s">
        <v>154</v>
      </c>
      <c r="D317" s="107">
        <v>25.0</v>
      </c>
      <c r="E317" s="107">
        <v>80.0</v>
      </c>
      <c r="F317" s="27">
        <f t="shared" si="2"/>
        <v>2000</v>
      </c>
      <c r="G317" s="107" t="s">
        <v>286</v>
      </c>
    </row>
    <row r="318">
      <c r="C318" s="106" t="s">
        <v>287</v>
      </c>
      <c r="D318" s="107">
        <v>6.0</v>
      </c>
      <c r="E318" s="107">
        <v>40.0</v>
      </c>
      <c r="F318" s="27">
        <f t="shared" si="2"/>
        <v>240</v>
      </c>
      <c r="G318" s="146">
        <v>44953.0</v>
      </c>
    </row>
    <row r="319">
      <c r="C319" s="106" t="s">
        <v>288</v>
      </c>
      <c r="D319" s="107">
        <v>4.0</v>
      </c>
      <c r="E319" s="107">
        <v>60.0</v>
      </c>
      <c r="F319" s="27">
        <f t="shared" si="2"/>
        <v>240</v>
      </c>
      <c r="G319" s="146">
        <v>44953.0</v>
      </c>
    </row>
    <row r="320">
      <c r="C320" s="106" t="s">
        <v>289</v>
      </c>
      <c r="D320" s="107">
        <v>2.5</v>
      </c>
      <c r="E320" s="107">
        <v>80.0</v>
      </c>
      <c r="F320" s="27">
        <f t="shared" si="2"/>
        <v>200</v>
      </c>
      <c r="G320" s="146">
        <v>44953.0</v>
      </c>
    </row>
    <row r="321">
      <c r="C321" s="106" t="s">
        <v>136</v>
      </c>
      <c r="D321" s="107">
        <v>3.0</v>
      </c>
      <c r="E321" s="107">
        <v>200.0</v>
      </c>
      <c r="F321" s="27">
        <f t="shared" si="2"/>
        <v>600</v>
      </c>
      <c r="G321" s="146">
        <v>44953.0</v>
      </c>
    </row>
    <row r="322">
      <c r="C322" s="106" t="s">
        <v>96</v>
      </c>
      <c r="D322" s="107">
        <v>4.0</v>
      </c>
      <c r="E322" s="107">
        <v>150.0</v>
      </c>
      <c r="F322" s="27">
        <f t="shared" si="2"/>
        <v>600</v>
      </c>
      <c r="G322" s="146">
        <v>44953.0</v>
      </c>
    </row>
    <row r="323">
      <c r="C323" s="106" t="s">
        <v>145</v>
      </c>
      <c r="D323" s="107">
        <v>1.0</v>
      </c>
      <c r="E323" s="107">
        <v>750.0</v>
      </c>
      <c r="F323" s="27">
        <f t="shared" si="2"/>
        <v>750</v>
      </c>
      <c r="G323" s="146">
        <v>45320.0</v>
      </c>
    </row>
    <row r="324">
      <c r="C324" s="106" t="s">
        <v>290</v>
      </c>
      <c r="D324" s="107">
        <v>1.0</v>
      </c>
      <c r="E324" s="107">
        <v>120.0</v>
      </c>
      <c r="F324" s="27">
        <f t="shared" si="2"/>
        <v>120</v>
      </c>
      <c r="G324" s="147">
        <v>45320.0</v>
      </c>
    </row>
    <row r="325">
      <c r="C325" s="106" t="s">
        <v>291</v>
      </c>
      <c r="D325" s="107">
        <v>1.0</v>
      </c>
      <c r="E325" s="107">
        <v>80.0</v>
      </c>
      <c r="F325" s="27">
        <f t="shared" si="2"/>
        <v>80</v>
      </c>
      <c r="G325" s="147">
        <v>45320.0</v>
      </c>
    </row>
    <row r="326">
      <c r="C326" s="106" t="s">
        <v>292</v>
      </c>
      <c r="D326" s="107">
        <v>1.0</v>
      </c>
      <c r="E326" s="107">
        <v>70.0</v>
      </c>
      <c r="F326" s="27">
        <f t="shared" si="2"/>
        <v>70</v>
      </c>
      <c r="G326" s="147">
        <v>45320.0</v>
      </c>
    </row>
    <row r="327">
      <c r="C327" s="106" t="s">
        <v>151</v>
      </c>
      <c r="D327" s="107">
        <v>0.5</v>
      </c>
      <c r="E327" s="107">
        <v>1300.0</v>
      </c>
      <c r="F327" s="27">
        <f t="shared" si="2"/>
        <v>650</v>
      </c>
      <c r="G327" s="147">
        <v>45320.0</v>
      </c>
    </row>
    <row r="328">
      <c r="C328" s="106" t="s">
        <v>293</v>
      </c>
      <c r="D328" s="107">
        <v>50.0</v>
      </c>
      <c r="E328" s="107">
        <v>10.0</v>
      </c>
      <c r="F328" s="27">
        <f t="shared" si="2"/>
        <v>500</v>
      </c>
      <c r="G328" s="147">
        <v>45320.0</v>
      </c>
    </row>
    <row r="329">
      <c r="C329" s="106" t="s">
        <v>156</v>
      </c>
      <c r="D329" s="107">
        <v>1.0</v>
      </c>
      <c r="E329" s="107">
        <v>220.0</v>
      </c>
      <c r="F329" s="27">
        <f t="shared" si="2"/>
        <v>220</v>
      </c>
      <c r="G329" s="147">
        <v>45320.0</v>
      </c>
    </row>
    <row r="330">
      <c r="C330" s="106" t="s">
        <v>154</v>
      </c>
      <c r="D330" s="107">
        <v>40.0</v>
      </c>
      <c r="E330" s="107">
        <v>80.0</v>
      </c>
      <c r="F330" s="27">
        <f t="shared" si="2"/>
        <v>3200</v>
      </c>
      <c r="G330" s="147">
        <v>45320.0</v>
      </c>
    </row>
    <row r="331">
      <c r="C331" s="106" t="s">
        <v>294</v>
      </c>
      <c r="D331" s="107">
        <v>0.3</v>
      </c>
      <c r="E331" s="107">
        <v>300.0</v>
      </c>
      <c r="F331" s="27">
        <f t="shared" si="2"/>
        <v>90</v>
      </c>
      <c r="G331" s="147">
        <v>44955.0</v>
      </c>
    </row>
    <row r="332">
      <c r="C332" s="106" t="s">
        <v>201</v>
      </c>
      <c r="D332" s="107">
        <v>2.0</v>
      </c>
      <c r="E332" s="107">
        <v>120.0</v>
      </c>
      <c r="F332" s="27">
        <f t="shared" si="2"/>
        <v>240</v>
      </c>
      <c r="G332" s="147">
        <v>45320.0</v>
      </c>
    </row>
    <row r="333">
      <c r="C333" s="106" t="s">
        <v>147</v>
      </c>
      <c r="D333" s="107">
        <v>20.0</v>
      </c>
      <c r="E333" s="107">
        <v>100.0</v>
      </c>
      <c r="F333" s="27">
        <f t="shared" si="2"/>
        <v>2000</v>
      </c>
      <c r="G333" s="147">
        <v>45322.0</v>
      </c>
    </row>
    <row r="334">
      <c r="C334" s="106" t="s">
        <v>278</v>
      </c>
      <c r="D334" s="107">
        <v>20.0</v>
      </c>
      <c r="E334" s="107">
        <v>75.0</v>
      </c>
      <c r="F334" s="27">
        <f t="shared" si="2"/>
        <v>1500</v>
      </c>
      <c r="G334" s="147">
        <v>45321.0</v>
      </c>
    </row>
    <row r="335">
      <c r="C335" s="106" t="s">
        <v>295</v>
      </c>
      <c r="D335" s="107">
        <v>1.0</v>
      </c>
      <c r="E335" s="107">
        <v>1000.0</v>
      </c>
      <c r="F335" s="27">
        <f t="shared" si="2"/>
        <v>1000</v>
      </c>
      <c r="G335" s="147">
        <v>45322.0</v>
      </c>
    </row>
    <row r="336">
      <c r="C336" s="106" t="s">
        <v>296</v>
      </c>
      <c r="D336" s="107">
        <v>339.0</v>
      </c>
      <c r="E336" s="107">
        <v>60.0</v>
      </c>
      <c r="F336" s="27">
        <f t="shared" si="2"/>
        <v>20340</v>
      </c>
      <c r="G336" s="147">
        <v>45317.0</v>
      </c>
    </row>
    <row r="337">
      <c r="C337" s="106" t="s">
        <v>297</v>
      </c>
      <c r="D337" s="107"/>
      <c r="E337" s="107"/>
      <c r="F337" s="27">
        <f t="shared" si="2"/>
        <v>0</v>
      </c>
      <c r="G337" s="30"/>
    </row>
    <row r="338">
      <c r="C338" s="106" t="s">
        <v>298</v>
      </c>
      <c r="D338" s="107">
        <v>1.0</v>
      </c>
      <c r="E338" s="111">
        <v>43000.0</v>
      </c>
      <c r="F338" s="27">
        <f t="shared" si="2"/>
        <v>43000</v>
      </c>
      <c r="G338" s="107" t="s">
        <v>299</v>
      </c>
    </row>
    <row r="339">
      <c r="C339" s="106" t="s">
        <v>296</v>
      </c>
      <c r="D339" s="107">
        <v>1005.0</v>
      </c>
      <c r="E339" s="107">
        <v>60.0</v>
      </c>
      <c r="F339" s="27">
        <f t="shared" si="2"/>
        <v>60300</v>
      </c>
      <c r="G339" s="107" t="s">
        <v>300</v>
      </c>
    </row>
    <row r="340">
      <c r="C340" s="148" t="s">
        <v>301</v>
      </c>
      <c r="D340" s="149">
        <v>1.0</v>
      </c>
      <c r="E340" s="150">
        <v>5000.0</v>
      </c>
      <c r="F340" s="151">
        <f t="shared" si="2"/>
        <v>5000</v>
      </c>
      <c r="G340" s="152">
        <v>45281.0</v>
      </c>
    </row>
    <row r="341">
      <c r="C341" s="110" t="s">
        <v>298</v>
      </c>
      <c r="D341" s="111">
        <v>1.0</v>
      </c>
      <c r="E341" s="111">
        <v>14000.0</v>
      </c>
      <c r="F341" s="27">
        <f t="shared" si="2"/>
        <v>14000</v>
      </c>
      <c r="G341" s="1"/>
    </row>
    <row r="342">
      <c r="C342" s="153" t="s">
        <v>302</v>
      </c>
      <c r="D342" s="1"/>
      <c r="E342" s="36"/>
      <c r="F342" s="154">
        <f>SUM(F3:F341)</f>
        <v>920145</v>
      </c>
      <c r="G342" s="155"/>
    </row>
    <row r="343">
      <c r="C343" s="5"/>
      <c r="D343" s="5"/>
      <c r="E343" s="5"/>
      <c r="F343" s="5"/>
      <c r="G343" s="5"/>
    </row>
    <row r="344">
      <c r="C344" s="5"/>
      <c r="D344" s="5"/>
      <c r="E344" s="5"/>
      <c r="F344" s="5"/>
      <c r="G344" s="5"/>
    </row>
    <row r="345">
      <c r="C345" s="5"/>
      <c r="D345" s="5"/>
      <c r="E345" s="5"/>
      <c r="F345" s="5"/>
      <c r="G345" s="5"/>
    </row>
    <row r="346">
      <c r="C346" s="5"/>
      <c r="D346" s="5"/>
      <c r="E346" s="5"/>
      <c r="F346" s="5"/>
      <c r="G346" s="5"/>
    </row>
    <row r="347">
      <c r="C347" s="5"/>
      <c r="D347" s="5"/>
      <c r="E347" s="5"/>
      <c r="F347" s="5"/>
      <c r="G347" s="5"/>
    </row>
    <row r="348">
      <c r="C348" s="5"/>
      <c r="D348" s="5"/>
      <c r="E348" s="5"/>
      <c r="F348" s="5"/>
      <c r="G348" s="5"/>
    </row>
    <row r="349">
      <c r="C349" s="5"/>
      <c r="D349" s="5"/>
      <c r="E349" s="5"/>
      <c r="F349" s="5"/>
      <c r="G349" s="5"/>
    </row>
    <row r="350">
      <c r="C350" s="5"/>
      <c r="D350" s="5"/>
      <c r="E350" s="5"/>
      <c r="F350" s="5"/>
      <c r="G350" s="5"/>
    </row>
    <row r="351">
      <c r="C351" s="5"/>
      <c r="D351" s="5"/>
      <c r="E351" s="5"/>
      <c r="F351" s="5"/>
      <c r="G351" s="5"/>
    </row>
    <row r="352">
      <c r="C352" s="5"/>
      <c r="D352" s="5"/>
      <c r="E352" s="5"/>
      <c r="F352" s="5"/>
      <c r="G352" s="5"/>
    </row>
    <row r="353">
      <c r="C353" s="5"/>
      <c r="D353" s="5"/>
      <c r="E353" s="5"/>
      <c r="F353" s="5"/>
      <c r="G353" s="5"/>
    </row>
    <row r="354">
      <c r="C354" s="5"/>
      <c r="D354" s="5"/>
      <c r="E354" s="5"/>
      <c r="F354" s="5"/>
      <c r="G354" s="5"/>
    </row>
    <row r="355">
      <c r="C355" s="5"/>
      <c r="D355" s="5"/>
      <c r="E355" s="5"/>
      <c r="F355" s="5"/>
      <c r="G355" s="5"/>
    </row>
    <row r="356">
      <c r="C356" s="5"/>
      <c r="D356" s="5"/>
      <c r="E356" s="5"/>
      <c r="F356" s="5"/>
      <c r="G356" s="5"/>
    </row>
    <row r="357">
      <c r="C357" s="5"/>
      <c r="D357" s="5"/>
      <c r="E357" s="5"/>
      <c r="F357" s="5"/>
      <c r="G357" s="5"/>
    </row>
    <row r="358">
      <c r="C358" s="5"/>
      <c r="D358" s="5"/>
      <c r="E358" s="5"/>
      <c r="F358" s="5"/>
      <c r="G358" s="5"/>
    </row>
    <row r="359">
      <c r="C359" s="5"/>
      <c r="D359" s="5"/>
      <c r="E359" s="5"/>
      <c r="F359" s="5"/>
      <c r="G359" s="5"/>
    </row>
    <row r="360">
      <c r="C360" s="5"/>
      <c r="D360" s="5"/>
      <c r="E360" s="5"/>
      <c r="F360" s="5"/>
      <c r="G360" s="5"/>
    </row>
    <row r="361">
      <c r="C361" s="5"/>
      <c r="D361" s="5"/>
      <c r="E361" s="5"/>
      <c r="F361" s="5"/>
      <c r="G361" s="5"/>
    </row>
    <row r="362">
      <c r="C362" s="5"/>
      <c r="D362" s="5"/>
      <c r="E362" s="5"/>
      <c r="F362" s="5"/>
      <c r="G362" s="5"/>
    </row>
    <row r="363">
      <c r="C363" s="5"/>
      <c r="D363" s="5"/>
      <c r="E363" s="5"/>
      <c r="F363" s="5"/>
      <c r="G363" s="5"/>
    </row>
    <row r="364">
      <c r="C364" s="5"/>
      <c r="D364" s="5"/>
      <c r="E364" s="5"/>
      <c r="F364" s="5"/>
      <c r="G364" s="5"/>
    </row>
    <row r="365">
      <c r="C365" s="5"/>
      <c r="D365" s="5"/>
      <c r="E365" s="5"/>
      <c r="F365" s="5"/>
      <c r="G365" s="5"/>
    </row>
    <row r="366">
      <c r="C366" s="5"/>
      <c r="D366" s="5"/>
      <c r="E366" s="5"/>
      <c r="F366" s="5"/>
      <c r="G366" s="5"/>
    </row>
    <row r="367">
      <c r="C367" s="5"/>
      <c r="D367" s="5"/>
      <c r="E367" s="5"/>
      <c r="F367" s="5"/>
      <c r="G367" s="5"/>
    </row>
  </sheetData>
  <mergeCells count="1">
    <mergeCell ref="G3:G9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88"/>
    <col customWidth="1" min="4" max="5" width="25.88"/>
    <col customWidth="1" min="6" max="6" width="26.13"/>
    <col customWidth="1" min="7" max="7" width="25.88"/>
    <col customWidth="1" min="11" max="11" width="46.63"/>
    <col customWidth="1" min="12" max="12" width="33.88"/>
    <col customWidth="1" min="13" max="13" width="28.63"/>
    <col customWidth="1" min="14" max="14" width="34.13"/>
  </cols>
  <sheetData>
    <row r="9">
      <c r="I9" s="5"/>
      <c r="J9" s="156"/>
      <c r="K9" s="156"/>
      <c r="L9" s="156"/>
      <c r="M9" s="156"/>
      <c r="N9" s="156"/>
      <c r="O9" s="5"/>
    </row>
    <row r="10">
      <c r="I10" s="157"/>
      <c r="J10" s="1"/>
      <c r="K10" s="158" t="s">
        <v>303</v>
      </c>
      <c r="L10" s="158" t="s">
        <v>4</v>
      </c>
      <c r="M10" s="158" t="s">
        <v>304</v>
      </c>
      <c r="N10" s="159" t="s">
        <v>305</v>
      </c>
      <c r="O10" s="5"/>
    </row>
    <row r="11">
      <c r="I11" s="157"/>
      <c r="J11" s="30"/>
      <c r="K11" s="30" t="s">
        <v>306</v>
      </c>
      <c r="L11" s="17">
        <v>30000.0</v>
      </c>
      <c r="M11" s="10">
        <v>30000.0</v>
      </c>
      <c r="N11" s="17">
        <f t="shared" ref="N11:N24" si="1">L11-M11</f>
        <v>0</v>
      </c>
      <c r="O11" s="5"/>
    </row>
    <row r="12">
      <c r="I12" s="157"/>
      <c r="J12" s="30"/>
      <c r="K12" s="30" t="s">
        <v>307</v>
      </c>
      <c r="L12" s="17">
        <v>30000.0</v>
      </c>
      <c r="M12" s="10">
        <v>30000.0</v>
      </c>
      <c r="N12" s="17">
        <f t="shared" si="1"/>
        <v>0</v>
      </c>
      <c r="O12" s="5"/>
    </row>
    <row r="13">
      <c r="I13" s="157"/>
      <c r="J13" s="107">
        <v>1.0</v>
      </c>
      <c r="K13" s="30" t="s">
        <v>308</v>
      </c>
      <c r="L13" s="17">
        <f>Pointage!C35</f>
        <v>18148.2</v>
      </c>
      <c r="M13" s="17"/>
      <c r="N13" s="17">
        <f t="shared" si="1"/>
        <v>18148.2</v>
      </c>
      <c r="O13" s="5"/>
    </row>
    <row r="14">
      <c r="I14" s="157"/>
      <c r="J14" s="107">
        <v>2.0</v>
      </c>
      <c r="K14" s="30" t="s">
        <v>47</v>
      </c>
      <c r="L14" s="17">
        <f>Pointage!D35</f>
        <v>38702.5</v>
      </c>
      <c r="M14" s="10">
        <v>7000.0</v>
      </c>
      <c r="N14" s="17">
        <f t="shared" si="1"/>
        <v>31702.5</v>
      </c>
      <c r="O14" s="160" t="s">
        <v>309</v>
      </c>
    </row>
    <row r="15">
      <c r="I15" s="157"/>
      <c r="J15" s="107">
        <v>3.0</v>
      </c>
      <c r="K15" s="30" t="s">
        <v>48</v>
      </c>
      <c r="L15" s="17">
        <f>Pointage!E35</f>
        <v>32999.94</v>
      </c>
      <c r="M15" s="17"/>
      <c r="N15" s="17">
        <f t="shared" si="1"/>
        <v>32999.94</v>
      </c>
      <c r="O15" s="5"/>
    </row>
    <row r="16">
      <c r="I16" s="157"/>
      <c r="J16" s="107">
        <v>4.0</v>
      </c>
      <c r="K16" s="30" t="s">
        <v>49</v>
      </c>
      <c r="L16" s="17">
        <f>Pointage!F35</f>
        <v>10388.87</v>
      </c>
      <c r="M16" s="10">
        <v>10500.0</v>
      </c>
      <c r="N16" s="17">
        <f t="shared" si="1"/>
        <v>-111.13</v>
      </c>
      <c r="O16" s="5"/>
    </row>
    <row r="17">
      <c r="I17" s="157"/>
      <c r="J17" s="107">
        <v>5.0</v>
      </c>
      <c r="K17" s="30" t="s">
        <v>310</v>
      </c>
      <c r="L17" s="17">
        <f>Pointage!G35</f>
        <v>29999.97</v>
      </c>
      <c r="M17" s="17"/>
      <c r="N17" s="17">
        <f t="shared" si="1"/>
        <v>29999.97</v>
      </c>
      <c r="O17" s="5"/>
    </row>
    <row r="18">
      <c r="I18" s="157"/>
      <c r="J18" s="107">
        <v>6.0</v>
      </c>
      <c r="K18" s="30" t="s">
        <v>51</v>
      </c>
      <c r="L18" s="17">
        <f>Pointage!H35</f>
        <v>1111.11</v>
      </c>
      <c r="M18" s="17"/>
      <c r="N18" s="17">
        <f t="shared" si="1"/>
        <v>1111.11</v>
      </c>
      <c r="O18" s="5"/>
    </row>
    <row r="19">
      <c r="I19" s="157"/>
      <c r="J19" s="107">
        <v>7.0</v>
      </c>
      <c r="K19" s="30" t="s">
        <v>311</v>
      </c>
      <c r="L19" s="17">
        <f>Pointage!I35</f>
        <v>3450</v>
      </c>
      <c r="M19" s="17"/>
      <c r="N19" s="17">
        <f t="shared" si="1"/>
        <v>3450</v>
      </c>
      <c r="O19" s="5"/>
    </row>
    <row r="20">
      <c r="I20" s="157"/>
      <c r="J20" s="107">
        <v>8.0</v>
      </c>
      <c r="K20" s="30" t="s">
        <v>54</v>
      </c>
      <c r="L20" s="17">
        <f>Pointage!K35</f>
        <v>19500</v>
      </c>
      <c r="M20" s="10">
        <v>11000.0</v>
      </c>
      <c r="N20" s="17">
        <f t="shared" si="1"/>
        <v>8500</v>
      </c>
      <c r="O20" s="5"/>
    </row>
    <row r="21">
      <c r="I21" s="157"/>
      <c r="J21" s="107">
        <v>9.0</v>
      </c>
      <c r="K21" s="30" t="s">
        <v>57</v>
      </c>
      <c r="L21" s="17">
        <f>Pointage!N35</f>
        <v>26666.64</v>
      </c>
      <c r="M21" s="10">
        <v>2000.0</v>
      </c>
      <c r="N21" s="17">
        <f t="shared" si="1"/>
        <v>24666.64</v>
      </c>
      <c r="O21" s="5"/>
    </row>
    <row r="22">
      <c r="I22" s="157"/>
      <c r="J22" s="107">
        <v>10.0</v>
      </c>
      <c r="K22" s="30" t="s">
        <v>55</v>
      </c>
      <c r="L22" s="17">
        <f>Pointage!L35</f>
        <v>19999.98</v>
      </c>
      <c r="M22" s="10">
        <v>1000.0</v>
      </c>
      <c r="N22" s="17">
        <f t="shared" si="1"/>
        <v>18999.98</v>
      </c>
      <c r="O22" s="5"/>
    </row>
    <row r="23">
      <c r="I23" s="157"/>
      <c r="J23" s="107">
        <v>11.0</v>
      </c>
      <c r="K23" s="30" t="s">
        <v>312</v>
      </c>
      <c r="L23" s="17">
        <f>Pointage!O35</f>
        <v>18888.87</v>
      </c>
      <c r="M23" s="10">
        <v>19000.0</v>
      </c>
      <c r="N23" s="17">
        <f t="shared" si="1"/>
        <v>-111.13</v>
      </c>
      <c r="O23" s="5"/>
    </row>
    <row r="24">
      <c r="I24" s="157"/>
      <c r="J24" s="107">
        <v>12.0</v>
      </c>
      <c r="K24" s="30" t="s">
        <v>56</v>
      </c>
      <c r="L24" s="17">
        <f>Pointage!M35</f>
        <v>26988</v>
      </c>
      <c r="M24" s="17"/>
      <c r="N24" s="17">
        <f t="shared" si="1"/>
        <v>26988</v>
      </c>
      <c r="O24" s="5"/>
    </row>
    <row r="25">
      <c r="I25" s="157"/>
      <c r="J25" s="107">
        <v>13.0</v>
      </c>
      <c r="K25" s="107" t="s">
        <v>59</v>
      </c>
      <c r="L25" s="17">
        <f>Pointage!P35*1</f>
        <v>8050</v>
      </c>
      <c r="M25" s="10">
        <v>8000.0</v>
      </c>
      <c r="N25" s="10">
        <v>0.0</v>
      </c>
      <c r="O25" s="5"/>
    </row>
    <row r="26">
      <c r="I26" s="157"/>
      <c r="J26" s="107">
        <v>14.0</v>
      </c>
      <c r="K26" s="107" t="s">
        <v>60</v>
      </c>
      <c r="L26" s="17">
        <f>Pointage!Q35*1</f>
        <v>4000</v>
      </c>
      <c r="M26" s="10">
        <v>3000.0</v>
      </c>
      <c r="N26" s="17">
        <f t="shared" ref="N26:N27" si="2">L26-M26</f>
        <v>1000</v>
      </c>
      <c r="O26" s="160" t="s">
        <v>313</v>
      </c>
    </row>
    <row r="27">
      <c r="I27" s="157"/>
      <c r="J27" s="107">
        <v>15.0</v>
      </c>
      <c r="K27" s="30" t="s">
        <v>53</v>
      </c>
      <c r="L27" s="17">
        <f>Pointage!J35</f>
        <v>29455</v>
      </c>
      <c r="M27" s="17"/>
      <c r="N27" s="17">
        <f t="shared" si="2"/>
        <v>29455</v>
      </c>
      <c r="O27" s="5"/>
    </row>
    <row r="28">
      <c r="I28" s="157"/>
      <c r="J28" s="1"/>
      <c r="K28" s="25" t="s">
        <v>314</v>
      </c>
      <c r="L28" s="27">
        <f t="shared" ref="L28:N28" si="3">SUM(L11:L27)</f>
        <v>348349.08</v>
      </c>
      <c r="M28" s="133">
        <f t="shared" si="3"/>
        <v>121500</v>
      </c>
      <c r="N28" s="96">
        <f t="shared" si="3"/>
        <v>226799.08</v>
      </c>
      <c r="O28" s="5"/>
    </row>
    <row r="29">
      <c r="I29" s="157"/>
      <c r="J29" s="1"/>
      <c r="K29" s="161">
        <f>L28-M28</f>
        <v>226849.08</v>
      </c>
      <c r="L29" s="1"/>
      <c r="M29" s="1"/>
      <c r="N29" s="26">
        <f>L29-M29</f>
        <v>0</v>
      </c>
      <c r="O29" s="5"/>
    </row>
    <row r="30">
      <c r="I30" s="5"/>
      <c r="J30" s="5"/>
      <c r="K30" s="5"/>
      <c r="L30" s="5"/>
      <c r="M30" s="5"/>
      <c r="N30" s="5"/>
      <c r="O30" s="5"/>
    </row>
    <row r="31">
      <c r="I31" s="5"/>
      <c r="J31" s="5"/>
      <c r="K31" s="5"/>
      <c r="L31" s="5"/>
      <c r="M31" s="5"/>
      <c r="N31" s="5"/>
      <c r="O31" s="5"/>
    </row>
    <row r="34">
      <c r="B34" s="1"/>
      <c r="C34" s="158" t="s">
        <v>303</v>
      </c>
      <c r="D34" s="162" t="s">
        <v>315</v>
      </c>
      <c r="E34" s="158" t="s">
        <v>4</v>
      </c>
      <c r="F34" s="158" t="s">
        <v>304</v>
      </c>
      <c r="G34" s="159" t="s">
        <v>305</v>
      </c>
    </row>
    <row r="35">
      <c r="B35" s="107">
        <v>1.0</v>
      </c>
      <c r="C35" s="30" t="s">
        <v>308</v>
      </c>
      <c r="D35" s="16">
        <v>14.0</v>
      </c>
      <c r="E35" s="10">
        <v>18148.2</v>
      </c>
      <c r="F35" s="10">
        <v>0.0</v>
      </c>
      <c r="G35" s="17">
        <f>E35-F35</f>
        <v>18148.2</v>
      </c>
    </row>
    <row r="36">
      <c r="B36" s="107">
        <v>2.0</v>
      </c>
      <c r="C36" s="30" t="s">
        <v>47</v>
      </c>
      <c r="D36" s="16">
        <v>28.25</v>
      </c>
      <c r="E36" s="10">
        <v>38702.5</v>
      </c>
      <c r="F36" s="10">
        <v>-7000.0</v>
      </c>
      <c r="G36" s="17">
        <f t="shared" ref="G36:G46" si="4">E36+F36</f>
        <v>31702.5</v>
      </c>
    </row>
    <row r="37">
      <c r="B37" s="107">
        <v>3.0</v>
      </c>
      <c r="C37" s="30" t="s">
        <v>48</v>
      </c>
      <c r="D37" s="16">
        <v>27.0</v>
      </c>
      <c r="E37" s="10">
        <v>33000.0</v>
      </c>
      <c r="F37" s="10">
        <v>0.0</v>
      </c>
      <c r="G37" s="17">
        <f t="shared" si="4"/>
        <v>33000</v>
      </c>
    </row>
    <row r="38">
      <c r="B38" s="107">
        <v>5.0</v>
      </c>
      <c r="C38" s="30" t="s">
        <v>310</v>
      </c>
      <c r="D38" s="16">
        <v>27.0</v>
      </c>
      <c r="E38" s="10">
        <v>30000.0</v>
      </c>
      <c r="F38" s="10">
        <v>5000.0</v>
      </c>
      <c r="G38" s="17">
        <f t="shared" si="4"/>
        <v>35000</v>
      </c>
    </row>
    <row r="39">
      <c r="B39" s="107">
        <v>6.0</v>
      </c>
      <c r="C39" s="30" t="s">
        <v>51</v>
      </c>
      <c r="D39" s="16">
        <v>1.0</v>
      </c>
      <c r="E39" s="10">
        <v>1111.11</v>
      </c>
      <c r="F39" s="10">
        <v>0.0</v>
      </c>
      <c r="G39" s="17">
        <f t="shared" si="4"/>
        <v>1111.11</v>
      </c>
    </row>
    <row r="40">
      <c r="B40" s="107">
        <v>7.0</v>
      </c>
      <c r="C40" s="30" t="s">
        <v>311</v>
      </c>
      <c r="D40" s="16">
        <v>3.0</v>
      </c>
      <c r="E40" s="17">
        <f>L19</f>
        <v>3450</v>
      </c>
      <c r="F40" s="10">
        <v>0.0</v>
      </c>
      <c r="G40" s="17">
        <f t="shared" si="4"/>
        <v>3450</v>
      </c>
    </row>
    <row r="41">
      <c r="B41" s="107">
        <v>8.0</v>
      </c>
      <c r="C41" s="30" t="s">
        <v>54</v>
      </c>
      <c r="D41" s="16">
        <v>13.0</v>
      </c>
      <c r="E41" s="10">
        <v>19500.0</v>
      </c>
      <c r="F41" s="10">
        <v>-11000.0</v>
      </c>
      <c r="G41" s="17">
        <f t="shared" si="4"/>
        <v>8500</v>
      </c>
    </row>
    <row r="42">
      <c r="B42" s="107">
        <v>9.0</v>
      </c>
      <c r="C42" s="30" t="s">
        <v>57</v>
      </c>
      <c r="D42" s="16">
        <v>24.0</v>
      </c>
      <c r="E42" s="10">
        <v>26666.64</v>
      </c>
      <c r="F42" s="10">
        <v>-2000.0</v>
      </c>
      <c r="G42" s="17">
        <f t="shared" si="4"/>
        <v>24666.64</v>
      </c>
    </row>
    <row r="43">
      <c r="B43" s="107">
        <v>10.0</v>
      </c>
      <c r="C43" s="30" t="s">
        <v>55</v>
      </c>
      <c r="D43" s="16">
        <v>24.0</v>
      </c>
      <c r="E43" s="10">
        <v>20000.0</v>
      </c>
      <c r="F43" s="10">
        <v>-1000.0</v>
      </c>
      <c r="G43" s="17">
        <f t="shared" si="4"/>
        <v>19000</v>
      </c>
    </row>
    <row r="44">
      <c r="B44" s="107">
        <v>12.0</v>
      </c>
      <c r="C44" s="30" t="s">
        <v>56</v>
      </c>
      <c r="D44" s="16">
        <v>26.0</v>
      </c>
      <c r="E44" s="10">
        <v>27000.0</v>
      </c>
      <c r="F44" s="10">
        <v>0.0</v>
      </c>
      <c r="G44" s="17">
        <f t="shared" si="4"/>
        <v>27000</v>
      </c>
    </row>
    <row r="45">
      <c r="B45" s="107">
        <v>14.0</v>
      </c>
      <c r="C45" s="107" t="s">
        <v>60</v>
      </c>
      <c r="D45" s="16">
        <v>4.0</v>
      </c>
      <c r="E45" s="10">
        <v>4000.0</v>
      </c>
      <c r="F45" s="10">
        <v>-3000.0</v>
      </c>
      <c r="G45" s="17">
        <f t="shared" si="4"/>
        <v>1000</v>
      </c>
    </row>
    <row r="46">
      <c r="B46" s="107">
        <v>15.0</v>
      </c>
      <c r="C46" s="30" t="s">
        <v>53</v>
      </c>
      <c r="D46" s="16">
        <v>21.5</v>
      </c>
      <c r="E46" s="10">
        <v>29455.0</v>
      </c>
      <c r="F46" s="10">
        <v>0.0</v>
      </c>
      <c r="G46" s="17">
        <f t="shared" si="4"/>
        <v>29455</v>
      </c>
    </row>
    <row r="47">
      <c r="C47" s="25" t="s">
        <v>314</v>
      </c>
      <c r="D47" s="27"/>
      <c r="E47" s="27">
        <f t="shared" ref="E47:G47" si="5">SUM(E30:E46)</f>
        <v>251033.45</v>
      </c>
      <c r="F47" s="133">
        <f t="shared" si="5"/>
        <v>-19000</v>
      </c>
      <c r="G47" s="96">
        <f t="shared" si="5"/>
        <v>232033.45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6.88"/>
    <col customWidth="1" min="12" max="12" width="38.88"/>
    <col customWidth="1" min="13" max="13" width="38.38"/>
  </cols>
  <sheetData>
    <row r="16">
      <c r="K16" s="163"/>
      <c r="L16" s="164" t="s">
        <v>316</v>
      </c>
      <c r="M16" s="165" t="s">
        <v>317</v>
      </c>
    </row>
    <row r="17">
      <c r="K17" s="166" t="s">
        <v>2</v>
      </c>
      <c r="L17" s="167">
        <v>1672000.0</v>
      </c>
      <c r="M17" s="168">
        <f>RECAP!D33</f>
        <v>1751000</v>
      </c>
    </row>
    <row r="18">
      <c r="K18" s="166" t="s">
        <v>3</v>
      </c>
      <c r="L18" s="167">
        <v>727000.0</v>
      </c>
      <c r="M18" s="92">
        <v>920000.0</v>
      </c>
    </row>
    <row r="19">
      <c r="K19" s="166" t="s">
        <v>318</v>
      </c>
      <c r="L19" s="167">
        <v>385000.0</v>
      </c>
      <c r="M19" s="92">
        <v>349000.0</v>
      </c>
    </row>
    <row r="20">
      <c r="K20" s="166" t="s">
        <v>5</v>
      </c>
      <c r="L20" s="167">
        <v>110000.0</v>
      </c>
      <c r="M20" s="92">
        <v>140000.0</v>
      </c>
    </row>
    <row r="21">
      <c r="K21" s="166" t="s">
        <v>319</v>
      </c>
      <c r="L21" s="167">
        <f t="shared" ref="L21:M21" si="1">L17-L18-L19-L20</f>
        <v>450000</v>
      </c>
      <c r="M21" s="168">
        <f t="shared" si="1"/>
        <v>342000</v>
      </c>
    </row>
  </sheetData>
  <drawing r:id="rId1"/>
</worksheet>
</file>