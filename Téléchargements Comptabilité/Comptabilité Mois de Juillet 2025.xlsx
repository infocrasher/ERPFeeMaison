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<sst xmlns="http://schemas.openxmlformats.org/spreadsheetml/2006/main" count="594" uniqueCount="385">
  <si>
    <t>Date</t>
  </si>
  <si>
    <t>Recette Juin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</si>
  <si>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</si>
  <si>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</si>
  <si>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</si>
  <si>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</si>
  <si>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</si>
  <si>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</si>
  <si>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</si>
  <si>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</si>
  <si>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Juin  2025</t>
  </si>
  <si>
    <t>Mardi</t>
  </si>
  <si>
    <t xml:space="preserve">Mercredi 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</si>
  <si>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</si>
  <si>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</si>
  <si>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</si>
  <si>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</si>
  <si>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</si>
  <si>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</si>
  <si>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</si>
  <si>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</si>
  <si>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</si>
  <si>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</si>
  <si>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</si>
  <si>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</si>
  <si>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</si>
  <si>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</si>
  <si>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</si>
  <si>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</si>
  <si>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</si>
  <si>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</si>
  <si>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La caisse :16000Da </t>
  </si>
  <si>
    <t xml:space="preserve">CCP: 19000Da </t>
  </si>
  <si>
    <t>Dus Non payés: 115000Da</t>
  </si>
  <si>
    <t>Sofiane : 69000Da  +34k</t>
  </si>
  <si>
    <t>Différence mois de Décembre</t>
  </si>
  <si>
    <t>Toufik Dz Event: 117000Da</t>
  </si>
  <si>
    <t xml:space="preserve">Différence objectif 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</si>
  <si>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</si>
  <si>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</si>
  <si>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</si>
  <si>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</si>
  <si>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</si>
  <si>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</si>
  <si>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</si>
  <si>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</si>
  <si>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</si>
  <si>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</si>
  <si>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</si>
  <si>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</si>
  <si>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</si>
  <si>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Date d'achat</t>
  </si>
  <si>
    <t>Canette Hamoud Annanas</t>
  </si>
  <si>
    <t xml:space="preserve">Boissons </t>
  </si>
  <si>
    <t>Canette Hamoud Orange</t>
  </si>
  <si>
    <t>Canette Hamoud Pomme</t>
  </si>
  <si>
    <t>Canette Hamoud citron</t>
  </si>
  <si>
    <t>Canette Hamoud Litchi</t>
  </si>
  <si>
    <t xml:space="preserve">Canette Hamoud Blanc </t>
  </si>
  <si>
    <t>Canette Hamoud Selecto</t>
  </si>
  <si>
    <t xml:space="preserve">Canette Hamoud Cola </t>
  </si>
  <si>
    <t xml:space="preserve">Canette Shwepess Grenadine </t>
  </si>
  <si>
    <t>canette Shwepess Citron</t>
  </si>
  <si>
    <t>Canette Shwepes Gold</t>
  </si>
  <si>
    <t xml:space="preserve">Canette Coca Cola </t>
  </si>
  <si>
    <t xml:space="preserve">Canette Izem Blanc </t>
  </si>
  <si>
    <t>Canette Izem Bleu</t>
  </si>
  <si>
    <t xml:space="preserve">Canette Izem Noir </t>
  </si>
  <si>
    <t>Canette Izem Rouge</t>
  </si>
  <si>
    <t>Canette Sprit</t>
  </si>
  <si>
    <t xml:space="preserve">Canette Fanta Orange </t>
  </si>
  <si>
    <t xml:space="preserve">Hamoud Bouteille Blanc </t>
  </si>
  <si>
    <t xml:space="preserve">Hamoud Bouteille Orange </t>
  </si>
  <si>
    <t xml:space="preserve">Hamoud Bouteille Cola </t>
  </si>
  <si>
    <t xml:space="preserve">Jus Tchina Orange </t>
  </si>
  <si>
    <t>Eau Miniral 0.5</t>
  </si>
  <si>
    <t>Hamoud Bouteille pomme</t>
  </si>
  <si>
    <t xml:space="preserve">Semoule Fine 10kg </t>
  </si>
  <si>
    <t>Semoule Fine 25kg</t>
  </si>
  <si>
    <t xml:space="preserve">Livraison + Manutention semoule </t>
  </si>
  <si>
    <t>Semoule Moyenne 25kg</t>
  </si>
  <si>
    <t>semoule Moula moyenne 10kg</t>
  </si>
  <si>
    <t>Semoule Moula Gross 10 kg</t>
  </si>
  <si>
    <t>Faine Makam 10kg</t>
  </si>
  <si>
    <t>Farine Sousimie 5kg</t>
  </si>
  <si>
    <t>Semoule Moyenne 2kg</t>
  </si>
  <si>
    <t>Chocolat wedjedane au lait</t>
  </si>
  <si>
    <t>Chocolat wedjedane Blanc</t>
  </si>
  <si>
    <t>Chocolat wedjedane Noir</t>
  </si>
  <si>
    <t xml:space="preserve">Chocolat wedjedane Noisette </t>
  </si>
  <si>
    <t>Margarine Feuilletage 500g</t>
  </si>
  <si>
    <t>Sucre cristalisé 25kg</t>
  </si>
  <si>
    <t xml:space="preserve">Amande marron </t>
  </si>
  <si>
    <t xml:space="preserve">Khel </t>
  </si>
  <si>
    <t>Maiizina  25kg</t>
  </si>
  <si>
    <t xml:space="preserve">Chantilly </t>
  </si>
  <si>
    <t xml:space="preserve">fromage slices </t>
  </si>
  <si>
    <t>beurre</t>
  </si>
  <si>
    <t>Taste cheddar</t>
  </si>
  <si>
    <t>Levure Boulangère Staf Intense 500g</t>
  </si>
  <si>
    <t xml:space="preserve">pate de fraise </t>
  </si>
  <si>
    <t>Margarine</t>
  </si>
  <si>
    <t>Thon 1kg</t>
  </si>
  <si>
    <t>Amande blanc</t>
  </si>
  <si>
    <t>Amandes Moulu</t>
  </si>
  <si>
    <t>un paquet thym</t>
  </si>
  <si>
    <t>plateaux oeufs</t>
  </si>
  <si>
    <t>briquet</t>
  </si>
  <si>
    <t>lavette</t>
  </si>
  <si>
    <t xml:space="preserve">javel Nassah 5 litres </t>
  </si>
  <si>
    <t>Terida</t>
  </si>
  <si>
    <t>chakhechoukhate defer</t>
  </si>
  <si>
    <t>chakhechoukha messilya</t>
  </si>
  <si>
    <t xml:space="preserve">Huile 5 Litres </t>
  </si>
  <si>
    <t>Semen Madina 1.8kg</t>
  </si>
  <si>
    <t>Margarine Fleurial 500g</t>
  </si>
  <si>
    <t>Confiture 1kg</t>
  </si>
  <si>
    <t>Pain Tacos</t>
  </si>
  <si>
    <t>Harrissa 1kg</t>
  </si>
  <si>
    <t>Vanille Baraka 4kg</t>
  </si>
  <si>
    <t>Tofia Caramel 2kg</t>
  </si>
  <si>
    <t>Farine Sim 1kg</t>
  </si>
  <si>
    <t xml:space="preserve">Maiis </t>
  </si>
  <si>
    <t xml:space="preserve">Amande Blanc </t>
  </si>
  <si>
    <t>Maa zehar</t>
  </si>
  <si>
    <t>Tomate conserve</t>
  </si>
  <si>
    <t>Sucre glace 12</t>
  </si>
  <si>
    <t>Gherss Safari</t>
  </si>
  <si>
    <t>cheddar</t>
  </si>
  <si>
    <t>crème fraiche 0.5 litre</t>
  </si>
  <si>
    <t>thon 2kg</t>
  </si>
  <si>
    <t>Fromage bidon 3.8kg</t>
  </si>
  <si>
    <t>Levure chimique</t>
  </si>
  <si>
    <t>Crème liquide Maitre culinaire</t>
  </si>
  <si>
    <t>noix de coco</t>
  </si>
  <si>
    <t xml:space="preserve">blanc de poulet </t>
  </si>
  <si>
    <t>poulet haché</t>
  </si>
  <si>
    <t xml:space="preserve">escalope </t>
  </si>
  <si>
    <t>amande blanc</t>
  </si>
  <si>
    <t>arome citron</t>
  </si>
  <si>
    <t>Tapis</t>
  </si>
  <si>
    <t>Thon princess</t>
  </si>
  <si>
    <t>papier film petit</t>
  </si>
  <si>
    <t>Metelou3</t>
  </si>
  <si>
    <t>Thé</t>
  </si>
  <si>
    <t>Tomate fraiche</t>
  </si>
  <si>
    <t>viande hachée Slimane</t>
  </si>
  <si>
    <t>rechta</t>
  </si>
  <si>
    <t>tomate fraiche</t>
  </si>
  <si>
    <t>olive noir</t>
  </si>
  <si>
    <t>viande hachée Texraine</t>
  </si>
  <si>
    <t>courgette</t>
  </si>
  <si>
    <t>navet</t>
  </si>
  <si>
    <t>olive effilet</t>
  </si>
  <si>
    <t>couscous</t>
  </si>
  <si>
    <t>hamissa</t>
  </si>
  <si>
    <t>hamissa mechemekha</t>
  </si>
  <si>
    <t>cuisses</t>
  </si>
  <si>
    <t>lait en poudre</t>
  </si>
  <si>
    <t>besel</t>
  </si>
  <si>
    <t>soudeur</t>
  </si>
  <si>
    <t>poivre</t>
  </si>
  <si>
    <t>pomme de terre</t>
  </si>
  <si>
    <t>bessel</t>
  </si>
  <si>
    <t>blalance</t>
  </si>
  <si>
    <t>terida</t>
  </si>
  <si>
    <t>deyoul</t>
  </si>
  <si>
    <t>3akeri</t>
  </si>
  <si>
    <t>chakhchoukhate defer</t>
  </si>
  <si>
    <t>bingo</t>
  </si>
  <si>
    <t>isis</t>
  </si>
  <si>
    <t xml:space="preserve">blanc avec os </t>
  </si>
  <si>
    <t>poulet haché +blanc de poulet</t>
  </si>
  <si>
    <t>ail</t>
  </si>
  <si>
    <t>poivre noir</t>
  </si>
  <si>
    <t xml:space="preserve">salade </t>
  </si>
  <si>
    <t>épinard</t>
  </si>
  <si>
    <t>persil</t>
  </si>
  <si>
    <t>manchons</t>
  </si>
  <si>
    <t>beurre batouch</t>
  </si>
  <si>
    <t xml:space="preserve">enveloppe </t>
  </si>
  <si>
    <t>skotch</t>
  </si>
  <si>
    <t>sucre glace Mordjane</t>
  </si>
  <si>
    <t xml:space="preserve">cuisses </t>
  </si>
  <si>
    <t xml:space="preserve">navet </t>
  </si>
  <si>
    <t>sac poubelle</t>
  </si>
  <si>
    <t>cevital</t>
  </si>
  <si>
    <t xml:space="preserve">Margarine + semen + jus </t>
  </si>
  <si>
    <t xml:space="preserve">crème fraiche 4 fromages </t>
  </si>
  <si>
    <t>dégraissant mojito</t>
  </si>
  <si>
    <t>brilex multisurface</t>
  </si>
  <si>
    <t>inscticide</t>
  </si>
  <si>
    <t>sanoudj</t>
  </si>
  <si>
    <t xml:space="preserve">7abet 7alawa </t>
  </si>
  <si>
    <t>ferik</t>
  </si>
  <si>
    <t>viande hachée</t>
  </si>
  <si>
    <t xml:space="preserve">viande morceaux </t>
  </si>
  <si>
    <t>poivre + poivron</t>
  </si>
  <si>
    <t>Deyoul</t>
  </si>
  <si>
    <t>olive éfilet</t>
  </si>
  <si>
    <t>olive dényauté</t>
  </si>
  <si>
    <t>Yasmine Heech</t>
  </si>
  <si>
    <t>livraison Nakkach</t>
  </si>
  <si>
    <t xml:space="preserve">Facture eau </t>
  </si>
  <si>
    <t>Olive noir</t>
  </si>
  <si>
    <t>escalope de poulet</t>
  </si>
  <si>
    <t>pate feuilletée</t>
  </si>
  <si>
    <t xml:space="preserve">Demie Cuisses de poulet </t>
  </si>
  <si>
    <t>Viande de veau</t>
  </si>
  <si>
    <t>carotte</t>
  </si>
  <si>
    <t>Courgette</t>
  </si>
  <si>
    <t xml:space="preserve">Pain Tacos </t>
  </si>
  <si>
    <t>livraison marchandise  Marché</t>
  </si>
  <si>
    <t>couscouss</t>
  </si>
  <si>
    <t>livraison idir</t>
  </si>
  <si>
    <t>semoule d'orge</t>
  </si>
  <si>
    <t>Maiis 750g</t>
  </si>
  <si>
    <t>Amandes Blanc</t>
  </si>
  <si>
    <t>Noix</t>
  </si>
  <si>
    <t>Cheddar</t>
  </si>
  <si>
    <t>Fromage Bidon 3.8kg</t>
  </si>
  <si>
    <t>Quissetes blanc Num 10</t>
  </si>
  <si>
    <t>Sucre glace Mordjane</t>
  </si>
  <si>
    <t>Chocolat Wedjedane Noir</t>
  </si>
  <si>
    <t>Eau 0,5 litre</t>
  </si>
  <si>
    <t>Mrgarine Fleurial 500g</t>
  </si>
  <si>
    <t>Sucre</t>
  </si>
  <si>
    <t>Bessel</t>
  </si>
  <si>
    <t>non payée</t>
  </si>
  <si>
    <t>Nescafé</t>
  </si>
  <si>
    <t>Viande hachée</t>
  </si>
  <si>
    <t>Hamissa</t>
  </si>
  <si>
    <t>Curdent</t>
  </si>
  <si>
    <t xml:space="preserve">éPpinards </t>
  </si>
  <si>
    <t xml:space="preserve">viande hachée </t>
  </si>
  <si>
    <t xml:space="preserve">cuisses petits </t>
  </si>
  <si>
    <t>escalope</t>
  </si>
  <si>
    <t>Poulet Haché</t>
  </si>
  <si>
    <t xml:space="preserve">Blanc de poulet </t>
  </si>
  <si>
    <t>Ail</t>
  </si>
  <si>
    <t>Miel Mordjane 5 kg</t>
  </si>
  <si>
    <t>Navet</t>
  </si>
  <si>
    <t xml:space="preserve">Couscous orge et Blé Complet </t>
  </si>
  <si>
    <t>Rechta</t>
  </si>
  <si>
    <t xml:space="preserve">Poivre </t>
  </si>
  <si>
    <t xml:space="preserve">Tomate </t>
  </si>
  <si>
    <t xml:space="preserve">Salade </t>
  </si>
  <si>
    <t xml:space="preserve">Escalope </t>
  </si>
  <si>
    <t>Café</t>
  </si>
  <si>
    <t>Livraison Nakkach</t>
  </si>
  <si>
    <t>Livraison Sofiane +Thé</t>
  </si>
  <si>
    <t xml:space="preserve">Bon de Livraison </t>
  </si>
  <si>
    <t>Heech Yasmine</t>
  </si>
  <si>
    <t>Storm Magasin Sofiane</t>
  </si>
  <si>
    <t>javel + isis</t>
  </si>
  <si>
    <t>légumes</t>
  </si>
  <si>
    <t xml:space="preserve">rechta + poulet </t>
  </si>
  <si>
    <t>coriandre + menth</t>
  </si>
  <si>
    <t>deyoul grande taille</t>
  </si>
  <si>
    <t xml:space="preserve">menth+ criandre </t>
  </si>
  <si>
    <t>livraison nakkach</t>
  </si>
  <si>
    <t>lundi</t>
  </si>
  <si>
    <t>plateau oeuf</t>
  </si>
  <si>
    <t>deyoul industrielle</t>
  </si>
  <si>
    <t xml:space="preserve">légumes courgette / navet / carottes </t>
  </si>
  <si>
    <t>poivre+ pomme de terre</t>
  </si>
  <si>
    <t>rechat</t>
  </si>
  <si>
    <t xml:space="preserve">légumes courgette / navet  </t>
  </si>
  <si>
    <t>Raisins</t>
  </si>
  <si>
    <t>dorade</t>
  </si>
  <si>
    <t>salade + persil</t>
  </si>
  <si>
    <t>Griwech</t>
  </si>
  <si>
    <t>cofiture fraise</t>
  </si>
  <si>
    <t>papier cuisson</t>
  </si>
  <si>
    <t>Heech Saida et Israa</t>
  </si>
  <si>
    <t>Viande Hachée</t>
  </si>
  <si>
    <t>éscalope</t>
  </si>
  <si>
    <t>Isis</t>
  </si>
  <si>
    <t>Force express</t>
  </si>
  <si>
    <t xml:space="preserve">isis liquide </t>
  </si>
  <si>
    <t>petits cuillères</t>
  </si>
  <si>
    <t>salade</t>
  </si>
  <si>
    <t>Tomate cerise</t>
  </si>
  <si>
    <t>Storm modem locale</t>
  </si>
  <si>
    <t>café</t>
  </si>
  <si>
    <t>thé</t>
  </si>
  <si>
    <t>idir</t>
  </si>
  <si>
    <t>Nakkach</t>
  </si>
  <si>
    <t xml:space="preserve">Serviette en papaier </t>
  </si>
  <si>
    <t>Sel</t>
  </si>
  <si>
    <t>Tomate Conserve</t>
  </si>
  <si>
    <t>Salade</t>
  </si>
  <si>
    <t xml:space="preserve">la caisse </t>
  </si>
  <si>
    <t>Assrence Employées + IRG Salaires T2/2025</t>
  </si>
  <si>
    <t>18 et 19 /07/2025</t>
  </si>
  <si>
    <t>Honoraire S1/2025</t>
  </si>
  <si>
    <t>Boites demie plateau 30/40</t>
  </si>
  <si>
    <t xml:space="preserve">Totale </t>
  </si>
  <si>
    <t>Boites Num 08</t>
  </si>
  <si>
    <t xml:space="preserve">Comptable Abderrahmane complént </t>
  </si>
  <si>
    <t>Thermos</t>
  </si>
  <si>
    <t xml:space="preserve">Comptable Abderrahmane </t>
  </si>
  <si>
    <t>assiettes noir réctangulaire pour Mehadjeb</t>
  </si>
  <si>
    <t>assiettes noir carée pour salés</t>
  </si>
  <si>
    <t xml:space="preserve">sachets blanc </t>
  </si>
  <si>
    <t>plateaux décoratifs cadeaux</t>
  </si>
  <si>
    <t>orgonza 5.5</t>
  </si>
  <si>
    <t>motif 3arayech</t>
  </si>
  <si>
    <t>boites Raib</t>
  </si>
  <si>
    <t>boites 500ccl</t>
  </si>
  <si>
    <t xml:space="preserve">goblets </t>
  </si>
  <si>
    <t xml:space="preserve">douzettes de sucre </t>
  </si>
  <si>
    <t>Boites Plateau 40/60</t>
  </si>
  <si>
    <t>sac  sandwiches</t>
  </si>
  <si>
    <t>Dentelle simple Oronza 4,5</t>
  </si>
  <si>
    <t>Dentelle cellophane 4,5</t>
  </si>
  <si>
    <t>Dentelle cellophane 5,5</t>
  </si>
  <si>
    <t>serviette en papier</t>
  </si>
  <si>
    <t>papier aluminium  180m</t>
  </si>
  <si>
    <t>cuillères petis</t>
  </si>
  <si>
    <t>sac crafet</t>
  </si>
  <si>
    <t>quissetes blanc num 10</t>
  </si>
  <si>
    <t>quissetes blanc num 12</t>
  </si>
  <si>
    <t>Barquettes 1185</t>
  </si>
  <si>
    <t>Barquettes 1065</t>
  </si>
  <si>
    <t>Boites 500ccl</t>
  </si>
  <si>
    <t>Boite 48/10</t>
  </si>
  <si>
    <t>Boite 48/07</t>
  </si>
  <si>
    <t>Boite 36</t>
  </si>
  <si>
    <t>Boite 24</t>
  </si>
  <si>
    <t>Boite 18</t>
  </si>
  <si>
    <t>Boite 12</t>
  </si>
  <si>
    <t>Boite 08</t>
  </si>
  <si>
    <t>Barquettes alimentaire+ liraison</t>
  </si>
  <si>
    <t>Amina Baghrir</t>
  </si>
  <si>
    <t>Modèm Locale + Magasin</t>
  </si>
  <si>
    <t>Abderrahman Comptable</t>
  </si>
  <si>
    <t xml:space="preserve">impots Mois de Juin </t>
  </si>
  <si>
    <t xml:space="preserve">Complément de Salaires Mois de Juin </t>
  </si>
  <si>
    <t>Saida</t>
  </si>
  <si>
    <t xml:space="preserve">Fatiha </t>
  </si>
  <si>
    <t>Samira Z</t>
  </si>
  <si>
    <t>Rayan</t>
  </si>
  <si>
    <t xml:space="preserve">Yasmine </t>
  </si>
  <si>
    <t xml:space="preserve">Zohra </t>
  </si>
  <si>
    <t>Lynda</t>
  </si>
  <si>
    <t xml:space="preserve">Amina Ain Beniane </t>
  </si>
  <si>
    <t>Ahlem</t>
  </si>
  <si>
    <t>Samira</t>
  </si>
  <si>
    <t>Zahia</t>
  </si>
  <si>
    <t>Khalida</t>
  </si>
  <si>
    <t>israa</t>
  </si>
  <si>
    <t>Backup</t>
  </si>
  <si>
    <t>Les Heures suplémentaires</t>
  </si>
  <si>
    <t>Nadjet</t>
  </si>
  <si>
    <t xml:space="preserve">La commande de Amel Akak </t>
  </si>
  <si>
    <t>Fatiha et Zahia djaw à 06h15</t>
  </si>
  <si>
    <t>Houda</t>
  </si>
  <si>
    <t>Yasmine djate à 11h54</t>
  </si>
  <si>
    <t xml:space="preserve">Nom </t>
  </si>
  <si>
    <t>Avance</t>
  </si>
  <si>
    <t xml:space="preserve">Salaire à payer </t>
  </si>
  <si>
    <t xml:space="preserve">Sofiane </t>
  </si>
  <si>
    <t>Amel</t>
  </si>
  <si>
    <t>2000+8000</t>
  </si>
  <si>
    <t>Fatiha</t>
  </si>
  <si>
    <t>2000+ 600Da Abats+ 1200Da Sardines + 2000Da vendredi por miel*+4000Da+1000+15000Da vendredi</t>
  </si>
  <si>
    <t>Samira z</t>
  </si>
  <si>
    <t>Avance sur Salaire +2000</t>
  </si>
  <si>
    <t>Yasmine</t>
  </si>
  <si>
    <t>Amina Ain Beniane</t>
  </si>
  <si>
    <t>Israa</t>
  </si>
  <si>
    <t>Nadjet : 1500Da +3000Da les nièces de Samira+3000Da Alia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</si>
  <si>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</si>
  <si>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</si>
  <si>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</si>
  <si>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</si>
  <si>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</si>
  <si>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</si>
  <si>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Mois de Juin 2025</t>
  </si>
  <si>
    <t>Mois de Juillet 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</si>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</sst>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€-1]"/>
    <numFmt numFmtId="165" formatCode="dd/mm/yyyy"/>
    <numFmt numFmtId="166" formatCode="#,##0.00\ [$€-1]"/>
    <numFmt numFmtId="167" formatCode="&quot;$&quot;#,##0.00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7.0"/>
      <color theme="1"/>
      <name val="Arial"/>
    </font>
    <font>
      <b/>
      <sz val="20.0"/>
      <color theme="1"/>
      <name val="Arial"/>
    </font>
    <font>
      <b/>
      <sz val="24.0"/>
      <color theme="1"/>
      <name val="Arial"/>
    </font>
    <font/>
    <font>
      <sz val="19.0"/>
      <color rgb="FF434343"/>
      <name val="Roboto"/>
    </font>
    <font>
      <sz val="18.0"/>
      <color theme="1"/>
      <name val="Arial"/>
      <scheme val="minor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sz val="22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1" numFmtId="164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4" fillId="6" fontId="6" numFmtId="166" xfId="0" applyAlignment="1" applyBorder="1" applyFont="1" applyNumberFormat="1">
      <alignment horizontal="center" vertical="bottom"/>
    </xf>
    <xf borderId="0" fillId="5" fontId="3" numFmtId="166" xfId="0" applyAlignment="1" applyFont="1" applyNumberFormat="1">
      <alignment readingOrder="0" vertical="bottom"/>
    </xf>
    <xf borderId="1" fillId="9" fontId="7" numFmtId="0" xfId="0" applyAlignment="1" applyBorder="1" applyFill="1" applyFont="1">
      <alignment horizontal="center" vertical="bottom"/>
    </xf>
    <xf borderId="0" fillId="5" fontId="3" numFmtId="166" xfId="0" applyAlignment="1" applyFont="1" applyNumberFormat="1">
      <alignment vertical="bottom"/>
    </xf>
    <xf borderId="0" fillId="5" fontId="3" numFmtId="166" xfId="0" applyAlignment="1" applyFont="1" applyNumberFormat="1">
      <alignment horizontal="center" vertical="bottom"/>
    </xf>
    <xf borderId="5" fillId="5" fontId="1" numFmtId="0" xfId="0" applyAlignment="1" applyBorder="1" applyFont="1">
      <alignment vertical="bottom"/>
    </xf>
    <xf borderId="5" fillId="5" fontId="1" numFmtId="166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readingOrder="0" vertical="bottom"/>
    </xf>
    <xf borderId="1" fillId="5" fontId="8" numFmtId="166" xfId="0" applyAlignment="1" applyBorder="1" applyFont="1" applyNumberFormat="1">
      <alignment horizontal="center" readingOrder="0" vertical="bottom"/>
    </xf>
    <xf borderId="1" fillId="5" fontId="4" numFmtId="0" xfId="0" applyAlignment="1" applyBorder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0" xfId="0" applyAlignment="1" applyBorder="1" applyFont="1">
      <alignment horizontal="center" vertical="bottom"/>
    </xf>
    <xf borderId="5" fillId="5" fontId="3" numFmtId="167" xfId="0" applyAlignment="1" applyBorder="1" applyFont="1" applyNumberForma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8" fontId="9" numFmtId="0" xfId="0" applyAlignment="1" applyBorder="1" applyFont="1">
      <alignment horizontal="center" vertical="bottom"/>
    </xf>
    <xf borderId="2" fillId="8" fontId="9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166" xfId="0" applyAlignment="1" applyBorder="1" applyFont="1" applyNumberFormat="1">
      <alignment horizontal="center" readingOrder="0" vertical="bottom"/>
    </xf>
    <xf borderId="2" fillId="5" fontId="4" numFmtId="166" xfId="0" applyAlignment="1" applyBorder="1" applyFont="1" applyNumberFormat="1">
      <alignment horizontal="center" vertical="bottom"/>
    </xf>
    <xf borderId="6" fillId="5" fontId="10" numFmtId="0" xfId="0" applyAlignment="1" applyBorder="1" applyFont="1">
      <alignment horizontal="center" readingOrder="0" vertical="bottom"/>
    </xf>
    <xf borderId="6" fillId="0" fontId="11" numFmtId="0" xfId="0" applyBorder="1" applyFont="1"/>
    <xf borderId="1" fillId="5" fontId="4" numFmtId="0" xfId="0" applyAlignment="1" applyBorder="1" applyFont="1">
      <alignment horizontal="center" vertical="bottom"/>
    </xf>
    <xf borderId="1" fillId="5" fontId="4" numFmtId="166" xfId="0" applyAlignment="1" applyBorder="1" applyFont="1" applyNumberFormat="1">
      <alignment horizontal="center" vertical="bottom"/>
    </xf>
    <xf borderId="1" fillId="0" fontId="11" numFmtId="0" xfId="0" applyBorder="1" applyFont="1"/>
    <xf borderId="1" fillId="5" fontId="4" numFmtId="165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shrinkToFit="0" vertical="bottom" wrapText="0"/>
    </xf>
    <xf borderId="1" fillId="5" fontId="12" numFmtId="0" xfId="0" applyAlignment="1" applyBorder="1" applyFont="1">
      <alignment horizontal="center" readingOrder="0" shrinkToFit="0" vertical="bottom" wrapText="0"/>
    </xf>
    <xf borderId="1" fillId="5" fontId="12" numFmtId="166" xfId="0" applyAlignment="1" applyBorder="1" applyFont="1" applyNumberFormat="1">
      <alignment horizontal="center" shrinkToFit="0" vertical="bottom" wrapText="0"/>
    </xf>
    <xf borderId="6" fillId="5" fontId="4" numFmtId="165" xfId="0" applyAlignment="1" applyBorder="1" applyFont="1" applyNumberFormat="1">
      <alignment horizontal="center" vertical="bottom"/>
    </xf>
    <xf borderId="2" fillId="10" fontId="4" numFmtId="166" xfId="0" applyAlignment="1" applyBorder="1" applyFill="1" applyFont="1" applyNumberFormat="1">
      <alignment horizontal="center" vertical="bottom"/>
    </xf>
    <xf borderId="1" fillId="11" fontId="4" numFmtId="0" xfId="0" applyAlignment="1" applyBorder="1" applyFill="1" applyFont="1">
      <alignment horizontal="center" vertical="bottom"/>
    </xf>
    <xf borderId="0" fillId="4" fontId="1" numFmtId="0" xfId="0" applyAlignment="1" applyFont="1">
      <alignment vertical="bottom"/>
    </xf>
    <xf borderId="1" fillId="5" fontId="4" numFmtId="165" xfId="0" applyAlignment="1" applyBorder="1" applyFont="1" applyNumberFormat="1">
      <alignment horizontal="center" readingOrder="0" vertical="bottom"/>
    </xf>
    <xf borderId="1" fillId="12" fontId="4" numFmtId="0" xfId="0" applyAlignment="1" applyBorder="1" applyFill="1" applyFont="1">
      <alignment horizontal="center" readingOrder="0" vertical="bottom"/>
    </xf>
    <xf borderId="1" fillId="12" fontId="4" numFmtId="166" xfId="0" applyAlignment="1" applyBorder="1" applyFont="1" applyNumberFormat="1">
      <alignment horizontal="center" readingOrder="0" vertical="bottom"/>
    </xf>
    <xf borderId="2" fillId="12" fontId="4" numFmtId="166" xfId="0" applyAlignment="1" applyBorder="1" applyFont="1" applyNumberFormat="1">
      <alignment horizontal="center" vertical="bottom"/>
    </xf>
    <xf borderId="1" fillId="13" fontId="4" numFmtId="0" xfId="0" applyAlignment="1" applyBorder="1" applyFill="1" applyFont="1">
      <alignment horizontal="center" readingOrder="0" vertical="bottom"/>
    </xf>
    <xf borderId="1" fillId="13" fontId="4" numFmtId="166" xfId="0" applyAlignment="1" applyBorder="1" applyFont="1" applyNumberFormat="1">
      <alignment horizontal="center" readingOrder="0" vertical="bottom"/>
    </xf>
    <xf borderId="2" fillId="13" fontId="4" numFmtId="166" xfId="0" applyAlignment="1" applyBorder="1" applyFont="1" applyNumberFormat="1">
      <alignment horizontal="center" vertical="bottom"/>
    </xf>
    <xf borderId="1" fillId="13" fontId="4" numFmtId="165" xfId="0" applyAlignment="1" applyBorder="1" applyFont="1" applyNumberFormat="1">
      <alignment horizontal="center" readingOrder="0" vertical="bottom"/>
    </xf>
    <xf borderId="6" fillId="5" fontId="4" numFmtId="0" xfId="0" applyAlignment="1" applyBorder="1" applyFont="1">
      <alignment horizontal="center" vertical="bottom"/>
    </xf>
    <xf borderId="6" fillId="5" fontId="4" numFmtId="165" xfId="0" applyAlignment="1" applyBorder="1" applyFont="1" applyNumberFormat="1">
      <alignment horizontal="center" readingOrder="0" vertical="bottom"/>
    </xf>
    <xf borderId="6" fillId="5" fontId="4" numFmtId="0" xfId="0" applyAlignment="1" applyBorder="1" applyFont="1">
      <alignment horizontal="center" readingOrder="0" vertical="bottom"/>
    </xf>
    <xf borderId="1" fillId="14" fontId="4" numFmtId="0" xfId="0" applyAlignment="1" applyBorder="1" applyFill="1" applyFont="1">
      <alignment horizontal="center" readingOrder="0" vertical="bottom"/>
    </xf>
    <xf borderId="1" fillId="14" fontId="4" numFmtId="166" xfId="0" applyAlignment="1" applyBorder="1" applyFont="1" applyNumberFormat="1">
      <alignment horizontal="center" readingOrder="0" vertical="bottom"/>
    </xf>
    <xf borderId="2" fillId="14" fontId="4" numFmtId="166" xfId="0" applyAlignment="1" applyBorder="1" applyFont="1" applyNumberFormat="1">
      <alignment horizontal="center" vertical="bottom"/>
    </xf>
    <xf borderId="5" fillId="0" fontId="13" numFmtId="0" xfId="0" applyAlignment="1" applyBorder="1" applyFont="1">
      <alignment horizontal="center" readingOrder="0"/>
    </xf>
    <xf borderId="5" fillId="0" fontId="13" numFmtId="166" xfId="0" applyAlignment="1" applyBorder="1" applyFont="1" applyNumberFormat="1">
      <alignment horizontal="center" readingOrder="0"/>
    </xf>
    <xf borderId="5" fillId="0" fontId="13" numFmtId="166" xfId="0" applyAlignment="1" applyBorder="1" applyFont="1" applyNumberFormat="1">
      <alignment horizontal="center"/>
    </xf>
    <xf borderId="1" fillId="15" fontId="5" numFmtId="0" xfId="0" applyAlignment="1" applyBorder="1" applyFill="1" applyFont="1">
      <alignment horizontal="center" vertical="bottom"/>
    </xf>
    <xf borderId="1" fillId="15" fontId="5" numFmtId="166" xfId="0" applyAlignment="1" applyBorder="1" applyFont="1" applyNumberFormat="1">
      <alignment horizontal="center" vertical="bottom"/>
    </xf>
    <xf borderId="2" fillId="15" fontId="5" numFmtId="166" xfId="0" applyAlignment="1" applyBorder="1" applyFont="1" applyNumberFormat="1">
      <alignment horizontal="center" vertical="bottom"/>
    </xf>
    <xf borderId="1" fillId="15" fontId="4" numFmtId="165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readingOrder="0" vertical="bottom"/>
    </xf>
    <xf borderId="2" fillId="5" fontId="5" numFmtId="166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center" readingOrder="0" vertical="bottom"/>
    </xf>
    <xf borderId="1" fillId="2" fontId="8" numFmtId="166" xfId="0" applyAlignment="1" applyBorder="1" applyFont="1" applyNumberFormat="1">
      <alignment horizontal="center" readingOrder="0" vertical="bottom"/>
    </xf>
    <xf borderId="2" fillId="2" fontId="8" numFmtId="166" xfId="0" applyAlignment="1" applyBorder="1" applyFont="1" applyNumberFormat="1">
      <alignment horizontal="center" vertical="bottom"/>
    </xf>
    <xf borderId="1" fillId="2" fontId="4" numFmtId="165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0" numFmtId="166" xfId="0" applyAlignment="1" applyBorder="1" applyFont="1" applyNumberFormat="1">
      <alignment horizontal="center" vertical="bottom"/>
    </xf>
    <xf borderId="2" fillId="0" fontId="4" numFmtId="165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8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8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vertical="bottom"/>
    </xf>
    <xf borderId="5" fillId="16" fontId="3" numFmtId="0" xfId="0" applyAlignment="1" applyBorder="1" applyFill="1" applyFont="1">
      <alignment horizontal="center" readingOrder="0" vertical="bottom"/>
    </xf>
    <xf borderId="5" fillId="16" fontId="8" numFmtId="0" xfId="0" applyAlignment="1" applyBorder="1" applyFont="1">
      <alignment horizontal="center" readingOrder="0" vertical="bottom"/>
    </xf>
    <xf borderId="5" fillId="16" fontId="3" numFmtId="0" xfId="0" applyAlignment="1" applyBorder="1" applyFont="1">
      <alignment horizontal="center" vertical="bottom"/>
    </xf>
    <xf borderId="5" fillId="16" fontId="3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5" fillId="8" fontId="3" numFmtId="0" xfId="0" applyAlignment="1" applyBorder="1" applyFont="1">
      <alignment horizontal="center" readingOrder="0" vertical="bottom"/>
    </xf>
    <xf borderId="5" fillId="8" fontId="8" numFmtId="0" xfId="0" applyAlignment="1" applyBorder="1" applyFont="1">
      <alignment horizontal="center" readingOrder="0" vertical="bottom"/>
    </xf>
    <xf borderId="5" fillId="17" fontId="3" numFmtId="0" xfId="0" applyAlignment="1" applyBorder="1" applyFill="1" applyFont="1">
      <alignment horizontal="center" readingOrder="0" vertical="bottom"/>
    </xf>
    <xf borderId="5" fillId="17" fontId="8" numFmtId="0" xfId="0" applyAlignment="1" applyBorder="1" applyFont="1">
      <alignment horizontal="center" readingOrder="0" vertical="bottom"/>
    </xf>
    <xf borderId="5" fillId="17" fontId="3" numFmtId="0" xfId="0" applyAlignment="1" applyBorder="1" applyFont="1">
      <alignment horizontal="center" vertical="bottom"/>
    </xf>
    <xf borderId="5" fillId="17" fontId="3" numFmtId="0" xfId="0" applyAlignment="1" applyBorder="1" applyFont="1">
      <alignment vertical="bottom"/>
    </xf>
    <xf borderId="5" fillId="13" fontId="3" numFmtId="0" xfId="0" applyAlignment="1" applyBorder="1" applyFont="1">
      <alignment horizontal="center" readingOrder="0" vertical="bottom"/>
    </xf>
    <xf borderId="5" fillId="13" fontId="3" numFmtId="0" xfId="0" applyAlignment="1" applyBorder="1" applyFont="1">
      <alignment readingOrder="0" vertical="bottom"/>
    </xf>
    <xf borderId="5" fillId="5" fontId="3" numFmtId="0" xfId="0" applyAlignment="1" applyBorder="1" applyFont="1">
      <alignment readingOrder="0" vertical="bottom"/>
    </xf>
    <xf borderId="5" fillId="15" fontId="3" numFmtId="0" xfId="0" applyAlignment="1" applyBorder="1" applyFont="1">
      <alignment horizontal="center" readingOrder="0" vertical="bottom"/>
    </xf>
    <xf borderId="5" fillId="16" fontId="3" numFmtId="0" xfId="0" applyAlignment="1" applyBorder="1" applyFont="1">
      <alignment readingOrder="0" vertical="bottom"/>
    </xf>
    <xf borderId="5" fillId="8" fontId="3" numFmtId="0" xfId="0" applyAlignment="1" applyBorder="1" applyFont="1">
      <alignment horizontal="center" readingOrder="0" vertical="bottom"/>
    </xf>
    <xf borderId="5" fillId="8" fontId="8" numFmtId="0" xfId="0" applyAlignment="1" applyBorder="1" applyFont="1">
      <alignment horizontal="center" readingOrder="0" vertical="bottom"/>
    </xf>
    <xf borderId="5" fillId="8" fontId="3" numFmtId="0" xfId="0" applyAlignment="1" applyBorder="1" applyFont="1">
      <alignment horizontal="center" vertical="bottom"/>
    </xf>
    <xf borderId="5" fillId="15" fontId="14" numFmtId="0" xfId="0" applyAlignment="1" applyBorder="1" applyFont="1">
      <alignment horizontal="center" readingOrder="0" vertical="bottom"/>
    </xf>
    <xf borderId="5" fillId="16" fontId="14" numFmtId="0" xfId="0" applyAlignment="1" applyBorder="1" applyFont="1">
      <alignment horizontal="center" readingOrder="0" vertical="bottom"/>
    </xf>
    <xf borderId="5" fillId="8" fontId="14" numFmtId="0" xfId="0" applyAlignment="1" applyBorder="1" applyFont="1">
      <alignment horizontal="center" readingOrder="0" vertical="bottom"/>
    </xf>
    <xf borderId="5" fillId="8" fontId="15" numFmtId="0" xfId="0" applyAlignment="1" applyBorder="1" applyFont="1">
      <alignment horizontal="center" readingOrder="0" vertical="bottom"/>
    </xf>
    <xf borderId="5" fillId="15" fontId="4" numFmtId="0" xfId="0" applyAlignment="1" applyBorder="1" applyFont="1">
      <alignment horizontal="center" readingOrder="0" vertical="bottom"/>
    </xf>
    <xf borderId="5" fillId="8" fontId="4" numFmtId="0" xfId="0" applyAlignment="1" applyBorder="1" applyFont="1">
      <alignment horizontal="center" readingOrder="0" vertical="bottom"/>
    </xf>
    <xf borderId="5" fillId="16" fontId="4" numFmtId="0" xfId="0" applyAlignment="1" applyBorder="1" applyFont="1">
      <alignment horizontal="center" readingOrder="0" vertical="bottom"/>
    </xf>
    <xf borderId="3" fillId="1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vertical="bottom"/>
    </xf>
    <xf borderId="1" fillId="5" fontId="3" numFmtId="0" xfId="0" applyAlignment="1" applyBorder="1" applyFont="1">
      <alignment readingOrder="0" vertical="bottom"/>
    </xf>
    <xf borderId="3" fillId="15" fontId="16" numFmtId="0" xfId="0" applyAlignment="1" applyBorder="1" applyFont="1">
      <alignment horizontal="center" readingOrder="0" vertical="bottom"/>
    </xf>
    <xf borderId="1" fillId="16" fontId="16" numFmtId="0" xfId="0" applyAlignment="1" applyBorder="1" applyFont="1">
      <alignment horizontal="center" readingOrder="0" vertical="bottom"/>
    </xf>
    <xf borderId="1" fillId="16" fontId="4" numFmtId="0" xfId="0" applyAlignment="1" applyBorder="1" applyFont="1">
      <alignment horizontal="center" readingOrder="0" vertical="bottom"/>
    </xf>
    <xf borderId="1" fillId="16" fontId="4" numFmtId="0" xfId="0" applyAlignment="1" applyBorder="1" applyFont="1">
      <alignment horizontal="center" vertical="bottom"/>
    </xf>
    <xf borderId="1" fillId="16" fontId="3" numFmtId="0" xfId="0" applyAlignment="1" applyBorder="1" applyFont="1">
      <alignment vertical="bottom"/>
    </xf>
    <xf borderId="3" fillId="5" fontId="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3" fillId="16" fontId="9" numFmtId="0" xfId="0" applyAlignment="1" applyBorder="1" applyFont="1">
      <alignment horizontal="center" vertical="bottom"/>
    </xf>
    <xf borderId="5" fillId="5" fontId="17" numFmtId="166" xfId="0" applyAlignment="1" applyBorder="1" applyFont="1" applyNumberFormat="1">
      <alignment horizontal="center" readingOrder="0" vertical="bottom"/>
    </xf>
    <xf borderId="1" fillId="5" fontId="17" numFmtId="166" xfId="0" applyAlignment="1" applyBorder="1" applyFont="1" applyNumberFormat="1">
      <alignment horizontal="center" readingOrder="0" vertical="bottom"/>
    </xf>
    <xf borderId="1" fillId="5" fontId="17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center" readingOrder="0" vertical="bottom"/>
    </xf>
    <xf borderId="1" fillId="5" fontId="4" numFmtId="166" xfId="0" applyAlignment="1" applyBorder="1" applyFont="1" applyNumberFormat="1">
      <alignment horizontal="right" readingOrder="0" vertical="bottom"/>
    </xf>
    <xf borderId="1" fillId="5" fontId="4" numFmtId="166" xfId="0" applyAlignment="1" applyBorder="1" applyFont="1" applyNumberFormat="1">
      <alignment horizontal="right" vertical="bottom"/>
    </xf>
    <xf borderId="1" fillId="5" fontId="8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vertical="bottom"/>
    </xf>
    <xf borderId="5" fillId="16" fontId="18" numFmtId="166" xfId="0" applyAlignment="1" applyBorder="1" applyFont="1" applyNumberFormat="1">
      <alignment horizontal="center" vertical="bottom"/>
    </xf>
    <xf borderId="1" fillId="16" fontId="18" numFmtId="166" xfId="0" applyAlignment="1" applyBorder="1" applyFont="1" applyNumberFormat="1">
      <alignment horizontal="center" vertical="bottom"/>
    </xf>
    <xf borderId="1" fillId="16" fontId="9" numFmtId="166" xfId="0" applyAlignment="1" applyBorder="1" applyFont="1" applyNumberFormat="1">
      <alignment horizontal="right" vertical="bottom"/>
    </xf>
    <xf borderId="1" fillId="16" fontId="4" numFmtId="166" xfId="0" applyAlignment="1" applyBorder="1" applyFont="1" applyNumberFormat="1">
      <alignment horizontal="right" vertical="bottom"/>
    </xf>
    <xf borderId="1" fillId="16" fontId="19" numFmtId="166" xfId="0" applyAlignment="1" applyBorder="1" applyFont="1" applyNumberFormat="1">
      <alignment horizontal="right" vertical="bottom"/>
    </xf>
    <xf borderId="1" fillId="16" fontId="20" numFmtId="166" xfId="0" applyAlignment="1" applyBorder="1" applyFont="1" applyNumberFormat="1">
      <alignment horizontal="center" vertical="bottom"/>
    </xf>
    <xf borderId="0" fillId="16" fontId="3" numFmtId="166" xfId="0" applyAlignment="1" applyFont="1" applyNumberFormat="1">
      <alignment vertical="bottom"/>
    </xf>
    <xf borderId="4" fillId="5" fontId="1" numFmtId="166" xfId="0" applyAlignment="1" applyBorder="1" applyFont="1" applyNumberForma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0" fillId="16" fontId="21" numFmtId="166" xfId="0" applyAlignment="1" applyFont="1" applyNumberFormat="1">
      <alignment horizontal="right" vertical="bottom"/>
    </xf>
    <xf borderId="0" fillId="16" fontId="3" numFmtId="166" xfId="0" applyAlignment="1" applyFont="1" applyNumberFormat="1">
      <alignment horizontal="right" vertical="bottom"/>
    </xf>
    <xf borderId="0" fillId="16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5" fillId="16" fontId="1" numFmtId="0" xfId="0" applyAlignment="1" applyBorder="1" applyFont="1">
      <alignment vertical="bottom"/>
    </xf>
    <xf borderId="1" fillId="16" fontId="2" numFmtId="0" xfId="0" applyAlignment="1" applyBorder="1" applyFont="1">
      <alignment horizontal="center" vertical="bottom"/>
    </xf>
    <xf borderId="1" fillId="16" fontId="9" numFmtId="0" xfId="0" applyAlignment="1" applyBorder="1" applyFont="1">
      <alignment horizontal="center" vertical="bottom"/>
    </xf>
    <xf borderId="4" fillId="16" fontId="2" numFmtId="0" xfId="0" applyAlignment="1" applyBorder="1" applyFont="1">
      <alignment horizontal="center" vertical="bottom"/>
    </xf>
    <xf borderId="0" fillId="16" fontId="3" numFmtId="0" xfId="0" applyAlignment="1" applyFont="1">
      <alignment vertical="bottom"/>
    </xf>
    <xf borderId="5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1" fillId="5" fontId="3" numFmtId="166" xfId="0" applyAlignment="1" applyBorder="1" applyFont="1" applyNumberFormat="1">
      <alignment horizontal="center" vertical="bottom"/>
    </xf>
    <xf borderId="1" fillId="16" fontId="3" numFmtId="0" xfId="0" applyAlignment="1" applyBorder="1" applyFont="1">
      <alignment horizontal="center" vertical="bottom"/>
    </xf>
    <xf borderId="1" fillId="16" fontId="3" numFmtId="166" xfId="0" applyAlignment="1" applyBorder="1" applyFont="1" applyNumberFormat="1">
      <alignment horizontal="center" vertical="bottom"/>
    </xf>
    <xf borderId="1" fillId="16" fontId="5" numFmtId="166" xfId="0" applyAlignment="1" applyBorder="1" applyFont="1" applyNumberFormat="1">
      <alignment horizontal="center" readingOrder="0" vertical="bottom"/>
    </xf>
    <xf borderId="1" fillId="5" fontId="5" numFmtId="166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16" fontId="3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1" fillId="16" fontId="3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vertical="bottom"/>
    </xf>
    <xf borderId="1" fillId="16" fontId="1" numFmtId="166" xfId="0" applyAlignment="1" applyBorder="1" applyFont="1" applyNumberFormat="1">
      <alignment vertical="bottom"/>
    </xf>
    <xf borderId="1" fillId="16" fontId="1" numFmtId="0" xfId="0" applyAlignment="1" applyBorder="1" applyFont="1">
      <alignment vertical="bottom"/>
    </xf>
    <xf borderId="0" fillId="5" fontId="1" numFmtId="166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bottom"/>
    </xf>
    <xf borderId="5" fillId="8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center" readingOrder="0" vertical="bottom"/>
    </xf>
    <xf borderId="1" fillId="18" fontId="2" numFmtId="0" xfId="0" applyAlignment="1" applyBorder="1" applyFill="1" applyFon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ointage-style">
      <tableStyleElement dxfId="1" type="firstRowStripe"/>
      <tableStyleElement dxfId="2" type="secondRowStripe"/>
    </tableStyle>
    <tableStyle count="2" pivot="0" name="Salair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Q37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I14:N3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alai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2.88"/>
    <col customWidth="1" min="3" max="3" width="28.38"/>
    <col customWidth="1" min="4" max="4" width="24.63"/>
    <col customWidth="1" min="5" max="5" width="22.38"/>
    <col customWidth="1" min="6" max="7" width="22.63"/>
    <col customWidth="1" min="8" max="8" width="19.63"/>
    <col customWidth="1" min="9" max="9" width="21.63"/>
    <col customWidth="1" min="10" max="10" width="21.38"/>
    <col customWidth="1" min="12" max="12" width="21.63"/>
    <col customWidth="1" min="13" max="13" width="29.63"/>
    <col customWidth="1" min="14" max="14" width="48.88"/>
    <col customWidth="1" min="15" max="15" width="47.0"/>
    <col customWidth="1" min="16" max="16" width="39.5"/>
    <col customWidth="1" min="17" max="17" width="59.75"/>
    <col customWidth="1" min="18" max="18" width="52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</row>
    <row r="2">
      <c r="A2" s="9" t="s">
        <v>11</v>
      </c>
      <c r="B2" s="10">
        <v>45839.0</v>
      </c>
      <c r="C2" s="11">
        <v>36000.0</v>
      </c>
      <c r="D2" s="12">
        <v>43000.0</v>
      </c>
      <c r="E2" s="13"/>
      <c r="F2" s="14"/>
      <c r="G2" s="12">
        <v>2000.0</v>
      </c>
      <c r="H2" s="13"/>
      <c r="I2" s="13"/>
      <c r="J2" s="15">
        <v>1.0</v>
      </c>
      <c r="K2" s="16"/>
      <c r="L2" s="17"/>
      <c r="M2" s="11">
        <v>36000.0</v>
      </c>
      <c r="N2" s="6"/>
      <c r="O2" s="6"/>
      <c r="P2" s="6"/>
      <c r="Q2" s="6"/>
      <c r="R2" s="6"/>
      <c r="S2" s="6"/>
      <c r="T2" s="6"/>
    </row>
    <row r="3">
      <c r="A3" s="9" t="s">
        <v>12</v>
      </c>
      <c r="B3" s="10">
        <v>45840.0</v>
      </c>
      <c r="C3" s="11">
        <v>48000.0</v>
      </c>
      <c r="D3" s="12">
        <v>66000.0</v>
      </c>
      <c r="E3" s="13"/>
      <c r="F3" s="14"/>
      <c r="G3" s="12">
        <v>2000.0</v>
      </c>
      <c r="H3" s="13"/>
      <c r="I3" s="13"/>
      <c r="J3" s="15">
        <v>1.0</v>
      </c>
      <c r="K3" s="16"/>
      <c r="L3" s="17"/>
      <c r="M3" s="11">
        <v>48000.0</v>
      </c>
      <c r="N3" s="18" t="s">
        <v>13</v>
      </c>
      <c r="O3" s="18" t="s">
        <v>14</v>
      </c>
      <c r="P3" s="19" t="s">
        <v>15</v>
      </c>
      <c r="Q3" s="20" t="s">
        <v>16</v>
      </c>
      <c r="R3" s="6"/>
      <c r="S3" s="6"/>
      <c r="T3" s="6"/>
    </row>
    <row r="4">
      <c r="A4" s="9" t="s">
        <v>17</v>
      </c>
      <c r="B4" s="10">
        <v>45841.0</v>
      </c>
      <c r="C4" s="11">
        <v>90000.0</v>
      </c>
      <c r="D4" s="12">
        <v>82000.0</v>
      </c>
      <c r="E4" s="13"/>
      <c r="F4" s="14"/>
      <c r="G4" s="12">
        <v>2000.0</v>
      </c>
      <c r="H4" s="13"/>
      <c r="I4" s="13"/>
      <c r="J4" s="15">
        <v>1.0</v>
      </c>
      <c r="K4" s="16"/>
      <c r="L4" s="17"/>
      <c r="M4" s="11">
        <v>90000.0</v>
      </c>
      <c r="N4" s="21">
        <f>I33/J33</f>
        <v>15487.60484</v>
      </c>
      <c r="O4" s="21">
        <f>D33/J33</f>
        <v>64419.35484</v>
      </c>
      <c r="P4" s="22"/>
      <c r="Q4" s="23">
        <f>P4/O4</f>
        <v>0</v>
      </c>
      <c r="R4" s="6"/>
      <c r="S4" s="6"/>
      <c r="T4" s="6"/>
    </row>
    <row r="5">
      <c r="A5" s="24" t="s">
        <v>18</v>
      </c>
      <c r="B5" s="25">
        <v>45842.0</v>
      </c>
      <c r="C5" s="26">
        <v>126000.0</v>
      </c>
      <c r="D5" s="27">
        <v>87000.0</v>
      </c>
      <c r="E5" s="28"/>
      <c r="F5" s="29"/>
      <c r="G5" s="27">
        <v>2000.0</v>
      </c>
      <c r="H5" s="28"/>
      <c r="I5" s="28"/>
      <c r="J5" s="30">
        <v>1.0</v>
      </c>
      <c r="K5" s="16"/>
      <c r="L5" s="17"/>
      <c r="M5" s="11">
        <v>126000.0</v>
      </c>
      <c r="N5" s="1"/>
      <c r="O5" s="1"/>
      <c r="P5" s="6"/>
      <c r="Q5" s="31"/>
      <c r="R5" s="6"/>
      <c r="S5" s="6"/>
      <c r="T5" s="6"/>
    </row>
    <row r="6">
      <c r="A6" s="9" t="s">
        <v>19</v>
      </c>
      <c r="B6" s="10">
        <v>45843.0</v>
      </c>
      <c r="C6" s="11">
        <v>270000.0</v>
      </c>
      <c r="D6" s="12">
        <v>148000.0</v>
      </c>
      <c r="E6" s="13"/>
      <c r="F6" s="14"/>
      <c r="G6" s="12">
        <v>2000.0</v>
      </c>
      <c r="H6" s="13"/>
      <c r="I6" s="13"/>
      <c r="J6" s="15">
        <v>1.0</v>
      </c>
      <c r="K6" s="16"/>
      <c r="L6" s="17"/>
      <c r="M6" s="11">
        <v>270000.0</v>
      </c>
      <c r="N6" s="32" t="s">
        <v>20</v>
      </c>
      <c r="O6" s="33" t="s">
        <v>21</v>
      </c>
      <c r="P6" s="6"/>
      <c r="Q6" s="1"/>
      <c r="R6" s="20"/>
      <c r="S6" s="6"/>
      <c r="T6" s="6"/>
    </row>
    <row r="7">
      <c r="A7" s="9" t="s">
        <v>22</v>
      </c>
      <c r="B7" s="10">
        <v>45844.0</v>
      </c>
      <c r="C7" s="11">
        <v>3000.0</v>
      </c>
      <c r="D7" s="12">
        <v>63000.0</v>
      </c>
      <c r="E7" s="13"/>
      <c r="F7" s="14"/>
      <c r="G7" s="12">
        <v>2000.0</v>
      </c>
      <c r="H7" s="13"/>
      <c r="I7" s="13"/>
      <c r="J7" s="15">
        <v>1.0</v>
      </c>
      <c r="K7" s="16"/>
      <c r="L7" s="17"/>
      <c r="M7" s="26">
        <v>3000.0</v>
      </c>
      <c r="N7" s="34">
        <f>E33/J33</f>
        <v>28487.48387</v>
      </c>
      <c r="O7" s="34">
        <v>100000.0</v>
      </c>
      <c r="P7" s="1"/>
      <c r="Q7" s="1"/>
      <c r="R7" s="35"/>
      <c r="S7" s="6"/>
      <c r="T7" s="6"/>
    </row>
    <row r="8">
      <c r="A8" s="9" t="s">
        <v>23</v>
      </c>
      <c r="B8" s="10">
        <v>45845.0</v>
      </c>
      <c r="C8" s="11">
        <v>0.0</v>
      </c>
      <c r="D8" s="12">
        <v>30000.0</v>
      </c>
      <c r="E8" s="13"/>
      <c r="F8" s="14"/>
      <c r="G8" s="12">
        <v>2000.0</v>
      </c>
      <c r="H8" s="13"/>
      <c r="I8" s="13"/>
      <c r="J8" s="15">
        <v>1.0</v>
      </c>
      <c r="K8" s="16"/>
      <c r="L8" s="17"/>
      <c r="M8" s="26">
        <v>0.0</v>
      </c>
      <c r="N8" s="1" t="s">
        <v>24</v>
      </c>
      <c r="O8" s="1"/>
      <c r="P8" s="1"/>
      <c r="Q8" s="1"/>
      <c r="R8" s="35"/>
      <c r="S8" s="6" t="s">
        <v>25</v>
      </c>
      <c r="T8" s="6"/>
    </row>
    <row r="9">
      <c r="A9" s="9" t="s">
        <v>11</v>
      </c>
      <c r="B9" s="10">
        <v>45846.0</v>
      </c>
      <c r="C9" s="11">
        <v>10000.0</v>
      </c>
      <c r="D9" s="12">
        <v>39000.0</v>
      </c>
      <c r="E9" s="13"/>
      <c r="F9" s="14"/>
      <c r="G9" s="12">
        <v>2000.0</v>
      </c>
      <c r="H9" s="13"/>
      <c r="I9" s="13"/>
      <c r="J9" s="15">
        <v>1.0</v>
      </c>
      <c r="K9" s="16"/>
      <c r="L9" s="17"/>
      <c r="M9" s="26">
        <v>10000.0</v>
      </c>
      <c r="N9" s="1"/>
      <c r="O9" s="1"/>
      <c r="P9" s="1"/>
      <c r="Q9" s="1"/>
      <c r="R9" s="35"/>
      <c r="S9" s="6"/>
      <c r="T9" s="6"/>
    </row>
    <row r="10">
      <c r="A10" s="9" t="s">
        <v>12</v>
      </c>
      <c r="B10" s="10">
        <v>45847.0</v>
      </c>
      <c r="C10" s="12">
        <v>32000.0</v>
      </c>
      <c r="D10" s="12">
        <v>32000.0</v>
      </c>
      <c r="E10" s="13"/>
      <c r="F10" s="14"/>
      <c r="G10" s="12">
        <v>2000.0</v>
      </c>
      <c r="H10" s="13"/>
      <c r="I10" s="13"/>
      <c r="J10" s="15">
        <v>1.0</v>
      </c>
      <c r="K10" s="16"/>
      <c r="L10" s="17"/>
      <c r="M10" s="11">
        <v>32000.0</v>
      </c>
      <c r="N10" s="36" t="s">
        <v>26</v>
      </c>
      <c r="O10" s="36" t="s">
        <v>27</v>
      </c>
      <c r="P10" s="37" t="s">
        <v>28</v>
      </c>
      <c r="Q10" s="38" t="s">
        <v>29</v>
      </c>
      <c r="R10" s="35"/>
      <c r="S10" s="6"/>
      <c r="T10" s="6"/>
    </row>
    <row r="11">
      <c r="A11" s="9" t="s">
        <v>17</v>
      </c>
      <c r="B11" s="10">
        <v>45848.0</v>
      </c>
      <c r="C11" s="12">
        <v>60000.0</v>
      </c>
      <c r="D11" s="12">
        <v>32000.0</v>
      </c>
      <c r="E11" s="13"/>
      <c r="F11" s="14"/>
      <c r="G11" s="12">
        <v>2000.0</v>
      </c>
      <c r="H11" s="13"/>
      <c r="I11" s="13"/>
      <c r="J11" s="15">
        <v>1.0</v>
      </c>
      <c r="K11" s="16"/>
      <c r="L11" s="17"/>
      <c r="M11" s="11">
        <v>60000.0</v>
      </c>
      <c r="N11" s="11">
        <f>D33+N14-O11-E33-G33-Salaires!L31</f>
        <v>615388</v>
      </c>
      <c r="O11" s="39">
        <v>370000.0</v>
      </c>
      <c r="P11" s="40">
        <v>562000.0</v>
      </c>
      <c r="Q11" s="34">
        <f>N11-P11</f>
        <v>53388</v>
      </c>
      <c r="R11" s="6"/>
      <c r="S11" s="6"/>
      <c r="T11" s="6"/>
    </row>
    <row r="12">
      <c r="A12" s="24" t="s">
        <v>18</v>
      </c>
      <c r="B12" s="25">
        <v>45849.0</v>
      </c>
      <c r="C12" s="27">
        <v>56000.0</v>
      </c>
      <c r="D12" s="27">
        <v>62000.0</v>
      </c>
      <c r="E12" s="28"/>
      <c r="F12" s="29"/>
      <c r="G12" s="27">
        <v>2000.0</v>
      </c>
      <c r="H12" s="28"/>
      <c r="I12" s="28"/>
      <c r="J12" s="30">
        <v>1.0</v>
      </c>
      <c r="K12" s="16"/>
      <c r="L12" s="17"/>
      <c r="M12" s="11">
        <v>56000.0</v>
      </c>
      <c r="N12" s="1"/>
      <c r="O12" s="1"/>
      <c r="P12" s="41"/>
      <c r="Q12" s="41"/>
      <c r="R12" s="6"/>
      <c r="S12" s="6"/>
      <c r="T12" s="6"/>
    </row>
    <row r="13">
      <c r="A13" s="9" t="s">
        <v>19</v>
      </c>
      <c r="B13" s="10">
        <v>45850.0</v>
      </c>
      <c r="C13" s="12">
        <v>70000.0</v>
      </c>
      <c r="D13" s="12">
        <v>112000.0</v>
      </c>
      <c r="E13" s="13"/>
      <c r="F13" s="14"/>
      <c r="G13" s="12">
        <v>2000.0</v>
      </c>
      <c r="H13" s="13"/>
      <c r="I13" s="13"/>
      <c r="J13" s="15">
        <v>1.0</v>
      </c>
      <c r="K13" s="16"/>
      <c r="L13" s="17"/>
      <c r="M13" s="11">
        <v>70000.0</v>
      </c>
      <c r="N13" s="37" t="s">
        <v>30</v>
      </c>
      <c r="O13" s="41"/>
      <c r="P13" s="6"/>
      <c r="Q13" s="41"/>
      <c r="R13" s="6"/>
      <c r="S13" s="6"/>
      <c r="T13" s="6"/>
    </row>
    <row r="14">
      <c r="A14" s="9" t="s">
        <v>22</v>
      </c>
      <c r="B14" s="10">
        <v>45851.0</v>
      </c>
      <c r="C14" s="12">
        <v>60000.0</v>
      </c>
      <c r="D14" s="12">
        <v>77000.0</v>
      </c>
      <c r="E14" s="13"/>
      <c r="F14" s="14"/>
      <c r="G14" s="12">
        <v>2000.0</v>
      </c>
      <c r="H14" s="13"/>
      <c r="I14" s="13"/>
      <c r="J14" s="15">
        <v>1.0</v>
      </c>
      <c r="K14" s="16"/>
      <c r="L14" s="17"/>
      <c r="M14" s="26">
        <v>60000.0</v>
      </c>
      <c r="N14" s="42">
        <v>330000.0</v>
      </c>
      <c r="O14" s="41"/>
      <c r="P14" s="6"/>
      <c r="Q14" s="43"/>
      <c r="R14" s="6"/>
      <c r="S14" s="6"/>
      <c r="T14" s="6"/>
    </row>
    <row r="15">
      <c r="A15" s="9" t="s">
        <v>23</v>
      </c>
      <c r="B15" s="10">
        <v>45852.0</v>
      </c>
      <c r="C15" s="12">
        <v>42000.0</v>
      </c>
      <c r="D15" s="12">
        <v>43000.0</v>
      </c>
      <c r="E15" s="13"/>
      <c r="F15" s="14"/>
      <c r="G15" s="12">
        <v>2000.0</v>
      </c>
      <c r="H15" s="13"/>
      <c r="I15" s="13"/>
      <c r="J15" s="15">
        <v>1.0</v>
      </c>
      <c r="K15" s="16"/>
      <c r="L15" s="17"/>
      <c r="M15" s="11">
        <v>42000.0</v>
      </c>
      <c r="N15" s="22"/>
      <c r="O15" s="22"/>
      <c r="P15" s="16"/>
      <c r="Q15" s="44" t="s">
        <v>31</v>
      </c>
      <c r="R15" s="45"/>
      <c r="S15" s="6"/>
      <c r="T15" s="6"/>
    </row>
    <row r="16">
      <c r="A16" s="9" t="s">
        <v>11</v>
      </c>
      <c r="B16" s="10">
        <v>45853.0</v>
      </c>
      <c r="C16" s="12">
        <v>54000.0</v>
      </c>
      <c r="D16" s="12">
        <v>53000.0</v>
      </c>
      <c r="E16" s="13"/>
      <c r="F16" s="14"/>
      <c r="G16" s="12">
        <v>2000.0</v>
      </c>
      <c r="H16" s="13"/>
      <c r="I16" s="13"/>
      <c r="J16" s="15">
        <v>1.0</v>
      </c>
      <c r="K16" s="46">
        <v>1.0</v>
      </c>
      <c r="L16" s="17"/>
      <c r="M16" s="11">
        <v>54000.0</v>
      </c>
      <c r="N16" s="22"/>
      <c r="O16" s="22"/>
      <c r="P16" s="22"/>
      <c r="Q16" s="44" t="s">
        <v>32</v>
      </c>
      <c r="R16" s="35"/>
      <c r="S16" s="6"/>
      <c r="T16" s="6"/>
    </row>
    <row r="17">
      <c r="A17" s="9" t="s">
        <v>12</v>
      </c>
      <c r="B17" s="10">
        <v>45854.0</v>
      </c>
      <c r="C17" s="12">
        <v>53000.0</v>
      </c>
      <c r="D17" s="12">
        <v>68000.0</v>
      </c>
      <c r="E17" s="13"/>
      <c r="F17" s="14"/>
      <c r="G17" s="12">
        <v>2000.0</v>
      </c>
      <c r="H17" s="13"/>
      <c r="I17" s="13"/>
      <c r="J17" s="15">
        <v>1.0</v>
      </c>
      <c r="K17" s="46">
        <v>1.0</v>
      </c>
      <c r="L17" s="17"/>
      <c r="M17" s="11">
        <v>53000.0</v>
      </c>
      <c r="N17" s="47"/>
      <c r="O17" s="22"/>
      <c r="P17" s="22"/>
      <c r="Q17" s="48" t="s">
        <v>33</v>
      </c>
      <c r="R17" s="35"/>
      <c r="S17" s="6"/>
      <c r="T17" s="6"/>
    </row>
    <row r="18">
      <c r="A18" s="9" t="s">
        <v>17</v>
      </c>
      <c r="B18" s="10">
        <v>45855.0</v>
      </c>
      <c r="C18" s="12">
        <v>78000.0</v>
      </c>
      <c r="D18" s="12">
        <v>64000.0</v>
      </c>
      <c r="E18" s="13"/>
      <c r="F18" s="14"/>
      <c r="G18" s="12">
        <v>2000.0</v>
      </c>
      <c r="H18" s="13"/>
      <c r="I18" s="13"/>
      <c r="J18" s="15">
        <v>1.0</v>
      </c>
      <c r="K18" s="16"/>
      <c r="L18" s="17"/>
      <c r="M18" s="11">
        <v>78000.0</v>
      </c>
      <c r="N18" s="49"/>
      <c r="O18" s="22"/>
      <c r="P18" s="47"/>
      <c r="Q18" s="50" t="s">
        <v>34</v>
      </c>
      <c r="R18" s="45">
        <v>265.0</v>
      </c>
      <c r="S18" s="6"/>
      <c r="T18" s="6"/>
    </row>
    <row r="19">
      <c r="A19" s="24" t="s">
        <v>18</v>
      </c>
      <c r="B19" s="25">
        <v>45856.0</v>
      </c>
      <c r="C19" s="27">
        <v>97000.0</v>
      </c>
      <c r="D19" s="27">
        <v>89000.0</v>
      </c>
      <c r="E19" s="28"/>
      <c r="F19" s="29"/>
      <c r="G19" s="27">
        <v>2000.0</v>
      </c>
      <c r="H19" s="28"/>
      <c r="I19" s="28"/>
      <c r="J19" s="30">
        <v>1.0</v>
      </c>
      <c r="K19" s="16"/>
      <c r="L19" s="17"/>
      <c r="M19" s="11">
        <v>97000.0</v>
      </c>
      <c r="N19" s="51" t="s">
        <v>35</v>
      </c>
      <c r="O19" s="22"/>
      <c r="P19" s="22"/>
      <c r="Q19" s="48"/>
      <c r="R19" s="35"/>
      <c r="S19" s="22"/>
      <c r="T19" s="6"/>
    </row>
    <row r="20">
      <c r="A20" s="9" t="s">
        <v>19</v>
      </c>
      <c r="B20" s="10">
        <v>45857.0</v>
      </c>
      <c r="C20" s="12">
        <v>74000.0</v>
      </c>
      <c r="D20" s="12">
        <v>69000.0</v>
      </c>
      <c r="E20" s="13"/>
      <c r="F20" s="14"/>
      <c r="G20" s="12">
        <v>2000.0</v>
      </c>
      <c r="H20" s="13"/>
      <c r="I20" s="13"/>
      <c r="J20" s="15">
        <v>1.0</v>
      </c>
      <c r="K20" s="16"/>
      <c r="L20" s="17"/>
      <c r="M20" s="11">
        <v>74000.0</v>
      </c>
      <c r="N20" s="11">
        <f>D33-C33</f>
        <v>-348000</v>
      </c>
      <c r="O20" s="22"/>
      <c r="P20" s="6"/>
      <c r="Q20" s="52" t="s">
        <v>36</v>
      </c>
      <c r="R20" s="35"/>
      <c r="S20" s="6"/>
      <c r="T20" s="6"/>
    </row>
    <row r="21">
      <c r="A21" s="9" t="s">
        <v>22</v>
      </c>
      <c r="B21" s="10">
        <v>45858.0</v>
      </c>
      <c r="C21" s="12">
        <v>57000.0</v>
      </c>
      <c r="D21" s="12">
        <v>62000.0</v>
      </c>
      <c r="E21" s="13"/>
      <c r="F21" s="14"/>
      <c r="G21" s="12">
        <v>2000.0</v>
      </c>
      <c r="H21" s="13"/>
      <c r="I21" s="13"/>
      <c r="J21" s="15">
        <v>1.0</v>
      </c>
      <c r="K21" s="16"/>
      <c r="L21" s="17"/>
      <c r="M21" s="26">
        <v>57000.0</v>
      </c>
      <c r="N21" s="53" t="s">
        <v>37</v>
      </c>
      <c r="O21" s="22"/>
      <c r="P21" s="16"/>
      <c r="Q21" s="54"/>
      <c r="R21" s="55"/>
      <c r="S21" s="47"/>
      <c r="T21" s="6"/>
    </row>
    <row r="22">
      <c r="A22" s="9" t="s">
        <v>23</v>
      </c>
      <c r="B22" s="10">
        <v>45859.0</v>
      </c>
      <c r="C22" s="12">
        <v>63000.0</v>
      </c>
      <c r="D22" s="12">
        <v>50000.0</v>
      </c>
      <c r="E22" s="13"/>
      <c r="F22" s="14"/>
      <c r="G22" s="12">
        <v>2000.0</v>
      </c>
      <c r="H22" s="13"/>
      <c r="I22" s="13"/>
      <c r="J22" s="15">
        <v>1.0</v>
      </c>
      <c r="K22" s="16"/>
      <c r="L22" s="17"/>
      <c r="M22" s="11">
        <v>63000.0</v>
      </c>
      <c r="N22" s="34">
        <f>L36-E36</f>
        <v>0</v>
      </c>
      <c r="O22" s="22"/>
      <c r="P22" s="56"/>
      <c r="Q22" s="57"/>
      <c r="R22" s="47"/>
      <c r="S22" s="47"/>
      <c r="T22" s="6"/>
    </row>
    <row r="23">
      <c r="A23" s="9" t="s">
        <v>11</v>
      </c>
      <c r="B23" s="10">
        <v>45860.0</v>
      </c>
      <c r="C23" s="12">
        <v>213000.0</v>
      </c>
      <c r="D23" s="12">
        <v>47000.0</v>
      </c>
      <c r="E23" s="13"/>
      <c r="F23" s="14"/>
      <c r="G23" s="12">
        <v>2000.0</v>
      </c>
      <c r="H23" s="13"/>
      <c r="I23" s="13"/>
      <c r="J23" s="15">
        <v>1.0</v>
      </c>
      <c r="K23" s="16"/>
      <c r="L23" s="17"/>
      <c r="M23" s="11">
        <v>213000.0</v>
      </c>
      <c r="N23" s="58" t="s">
        <v>38</v>
      </c>
      <c r="O23" s="22"/>
      <c r="P23" s="56"/>
      <c r="Q23" s="57"/>
      <c r="R23" s="47"/>
      <c r="S23" s="47"/>
      <c r="T23" s="6"/>
    </row>
    <row r="24">
      <c r="A24" s="9" t="s">
        <v>12</v>
      </c>
      <c r="B24" s="10">
        <v>45861.0</v>
      </c>
      <c r="C24" s="12">
        <v>234000.0</v>
      </c>
      <c r="D24" s="12">
        <v>48000.0</v>
      </c>
      <c r="E24" s="13"/>
      <c r="F24" s="14"/>
      <c r="G24" s="12">
        <v>2000.0</v>
      </c>
      <c r="H24" s="13"/>
      <c r="I24" s="13"/>
      <c r="J24" s="15">
        <v>1.0</v>
      </c>
      <c r="K24" s="16"/>
      <c r="L24" s="17"/>
      <c r="M24" s="11">
        <v>234000.0</v>
      </c>
      <c r="N24" s="42">
        <f>D33-C33</f>
        <v>-348000</v>
      </c>
      <c r="O24" s="22"/>
      <c r="P24" s="56"/>
      <c r="Q24" s="57"/>
      <c r="R24" s="16"/>
      <c r="S24" s="16"/>
      <c r="T24" s="6"/>
    </row>
    <row r="25">
      <c r="A25" s="9" t="s">
        <v>17</v>
      </c>
      <c r="B25" s="10">
        <v>45862.0</v>
      </c>
      <c r="C25" s="12">
        <v>48000.0</v>
      </c>
      <c r="D25" s="12">
        <v>68000.0</v>
      </c>
      <c r="E25" s="13"/>
      <c r="F25" s="14"/>
      <c r="G25" s="12">
        <v>2000.0</v>
      </c>
      <c r="H25" s="13"/>
      <c r="I25" s="13"/>
      <c r="J25" s="15">
        <v>1.0</v>
      </c>
      <c r="K25" s="16"/>
      <c r="L25" s="17"/>
      <c r="M25" s="11">
        <v>48000.0</v>
      </c>
      <c r="N25" s="37" t="s">
        <v>39</v>
      </c>
      <c r="O25" s="22"/>
      <c r="P25" s="56"/>
      <c r="Q25" s="57"/>
      <c r="R25" s="16"/>
      <c r="S25" s="16"/>
      <c r="T25" s="6"/>
    </row>
    <row r="26">
      <c r="A26" s="24" t="s">
        <v>18</v>
      </c>
      <c r="B26" s="25">
        <v>45863.0</v>
      </c>
      <c r="C26" s="27">
        <v>73000.0</v>
      </c>
      <c r="D26" s="27">
        <v>29000.0</v>
      </c>
      <c r="E26" s="28"/>
      <c r="F26" s="29"/>
      <c r="G26" s="27">
        <v>2000.0</v>
      </c>
      <c r="H26" s="28"/>
      <c r="I26" s="28"/>
      <c r="J26" s="30">
        <v>1.0</v>
      </c>
      <c r="K26" s="16"/>
      <c r="L26" s="17"/>
      <c r="M26" s="11">
        <v>73000.0</v>
      </c>
      <c r="N26" s="34">
        <f>D9+D16+D23+D30</f>
        <v>171000</v>
      </c>
      <c r="O26" s="6"/>
      <c r="P26" s="56"/>
      <c r="Q26" s="57"/>
      <c r="R26" s="16"/>
      <c r="S26" s="16"/>
      <c r="T26" s="6"/>
    </row>
    <row r="27">
      <c r="A27" s="9" t="s">
        <v>19</v>
      </c>
      <c r="B27" s="10">
        <v>45864.0</v>
      </c>
      <c r="C27" s="12">
        <v>79000.0</v>
      </c>
      <c r="D27" s="12">
        <v>161000.0</v>
      </c>
      <c r="E27" s="13"/>
      <c r="F27" s="14"/>
      <c r="G27" s="12">
        <v>2000.0</v>
      </c>
      <c r="H27" s="13"/>
      <c r="I27" s="13"/>
      <c r="J27" s="15">
        <v>1.0</v>
      </c>
      <c r="K27" s="16"/>
      <c r="L27" s="17"/>
      <c r="M27" s="11">
        <v>79000.0</v>
      </c>
      <c r="N27" s="41"/>
      <c r="O27" s="6"/>
      <c r="P27" s="56"/>
      <c r="Q27" s="57"/>
      <c r="R27" s="16"/>
      <c r="S27" s="16"/>
      <c r="T27" s="6"/>
    </row>
    <row r="28">
      <c r="A28" s="9" t="s">
        <v>22</v>
      </c>
      <c r="B28" s="10">
        <v>45865.0</v>
      </c>
      <c r="C28" s="12">
        <v>78000.0</v>
      </c>
      <c r="D28" s="12">
        <v>57000.0</v>
      </c>
      <c r="E28" s="13"/>
      <c r="F28" s="14"/>
      <c r="G28" s="12">
        <v>2000.0</v>
      </c>
      <c r="H28" s="13"/>
      <c r="I28" s="13"/>
      <c r="J28" s="15">
        <v>1.0</v>
      </c>
      <c r="K28" s="16"/>
      <c r="L28" s="17"/>
      <c r="M28" s="26">
        <v>78000.0</v>
      </c>
      <c r="N28" s="32" t="s">
        <v>28</v>
      </c>
      <c r="O28" s="6"/>
      <c r="P28" s="56"/>
      <c r="Q28" s="57"/>
      <c r="R28" s="16"/>
      <c r="S28" s="16"/>
      <c r="T28" s="6"/>
    </row>
    <row r="29">
      <c r="A29" s="9" t="s">
        <v>23</v>
      </c>
      <c r="B29" s="10">
        <v>45866.0</v>
      </c>
      <c r="C29" s="12">
        <v>69000.0</v>
      </c>
      <c r="D29" s="12">
        <v>53000.0</v>
      </c>
      <c r="E29" s="13"/>
      <c r="F29" s="14"/>
      <c r="G29" s="12">
        <v>2000.0</v>
      </c>
      <c r="H29" s="13"/>
      <c r="I29" s="13"/>
      <c r="J29" s="15">
        <v>1.0</v>
      </c>
      <c r="K29" s="16"/>
      <c r="L29" s="17"/>
      <c r="M29" s="11">
        <v>69000.0</v>
      </c>
      <c r="N29" s="34">
        <v>51000.0</v>
      </c>
      <c r="O29" s="22"/>
      <c r="P29" s="56"/>
      <c r="Q29" s="57"/>
      <c r="R29" s="16"/>
      <c r="S29" s="16"/>
      <c r="T29" s="6"/>
    </row>
    <row r="30">
      <c r="A30" s="9" t="s">
        <v>11</v>
      </c>
      <c r="B30" s="10">
        <v>45867.0</v>
      </c>
      <c r="C30" s="12">
        <v>56000.0</v>
      </c>
      <c r="D30" s="12">
        <v>32000.0</v>
      </c>
      <c r="E30" s="13"/>
      <c r="F30" s="14"/>
      <c r="G30" s="12">
        <v>2000.0</v>
      </c>
      <c r="H30" s="13"/>
      <c r="I30" s="13"/>
      <c r="J30" s="15">
        <v>1.0</v>
      </c>
      <c r="K30" s="16"/>
      <c r="L30" s="17"/>
      <c r="M30" s="11">
        <v>56000.0</v>
      </c>
      <c r="N30" s="59" t="s">
        <v>40</v>
      </c>
      <c r="O30" s="6"/>
      <c r="P30" s="56"/>
      <c r="Q30" s="57"/>
      <c r="R30" s="16"/>
      <c r="S30" s="16"/>
      <c r="T30" s="6"/>
    </row>
    <row r="31">
      <c r="A31" s="9" t="s">
        <v>12</v>
      </c>
      <c r="B31" s="10">
        <v>45868.0</v>
      </c>
      <c r="C31" s="12">
        <v>100000.0</v>
      </c>
      <c r="D31" s="12">
        <v>58000.0</v>
      </c>
      <c r="E31" s="13"/>
      <c r="F31" s="14"/>
      <c r="G31" s="12">
        <v>2000.0</v>
      </c>
      <c r="H31" s="13"/>
      <c r="I31" s="13"/>
      <c r="J31" s="15">
        <v>1.0</v>
      </c>
      <c r="K31" s="16"/>
      <c r="L31" s="17"/>
      <c r="M31" s="11">
        <v>100000.0</v>
      </c>
      <c r="N31" s="41"/>
      <c r="O31" s="6"/>
      <c r="P31" s="57"/>
      <c r="Q31" s="56"/>
      <c r="R31" s="16"/>
      <c r="S31" s="16"/>
      <c r="T31" s="6"/>
    </row>
    <row r="32">
      <c r="A32" s="60" t="s">
        <v>17</v>
      </c>
      <c r="B32" s="10">
        <v>45869.0</v>
      </c>
      <c r="C32" s="12">
        <v>16000.0</v>
      </c>
      <c r="D32" s="12">
        <v>73000.0</v>
      </c>
      <c r="E32" s="13"/>
      <c r="F32" s="14"/>
      <c r="G32" s="61">
        <v>2000.0</v>
      </c>
      <c r="H32" s="13"/>
      <c r="I32" s="62"/>
      <c r="J32" s="15">
        <v>1.0</v>
      </c>
      <c r="K32" s="16"/>
      <c r="L32" s="17"/>
      <c r="M32" s="11">
        <v>16000.0</v>
      </c>
      <c r="N32" s="41"/>
      <c r="O32" s="6"/>
      <c r="P32" s="57"/>
      <c r="Q32" s="57"/>
      <c r="R32" s="16"/>
      <c r="S32" s="16"/>
      <c r="T32" s="6"/>
    </row>
    <row r="33">
      <c r="A33" s="16"/>
      <c r="B33" s="63"/>
      <c r="C33" s="64">
        <f t="shared" ref="C33:D33" si="1">SUM(C2:C32)</f>
        <v>2345000</v>
      </c>
      <c r="D33" s="64">
        <f t="shared" si="1"/>
        <v>1997000</v>
      </c>
      <c r="E33" s="64">
        <f>'Les Charges '!G413</f>
        <v>883112</v>
      </c>
      <c r="F33" s="65">
        <f>Salaires!K31</f>
        <v>391772.25</v>
      </c>
      <c r="G33" s="64">
        <f>SUM(G2:G32)</f>
        <v>62000</v>
      </c>
      <c r="H33" s="64">
        <v>180000.0</v>
      </c>
      <c r="I33" s="64">
        <f>D33-E33-F33-G33-H33</f>
        <v>480115.75</v>
      </c>
      <c r="J33" s="66">
        <f>SUM(J2:J32)</f>
        <v>31</v>
      </c>
      <c r="K33" s="6"/>
      <c r="L33" s="17"/>
      <c r="M33" s="26">
        <f>SUM(M2:M32)</f>
        <v>2345000</v>
      </c>
      <c r="N33" s="41"/>
      <c r="O33" s="22"/>
      <c r="P33" s="47"/>
      <c r="Q33" s="47"/>
      <c r="R33" s="16"/>
      <c r="S33" s="16"/>
      <c r="T33" s="6"/>
    </row>
    <row r="34">
      <c r="A34" s="6"/>
      <c r="B34" s="67"/>
      <c r="C34" s="47"/>
      <c r="D34" s="47"/>
      <c r="E34" s="16"/>
      <c r="F34" s="68"/>
      <c r="G34" s="69" t="s">
        <v>41</v>
      </c>
      <c r="H34" s="70">
        <v>55000.0</v>
      </c>
      <c r="I34" s="16"/>
      <c r="J34" s="16"/>
      <c r="K34" s="6"/>
      <c r="L34" s="22"/>
      <c r="M34" s="22"/>
      <c r="N34" s="41"/>
      <c r="O34" s="22"/>
      <c r="P34" s="47"/>
      <c r="Q34" s="16"/>
      <c r="R34" s="16"/>
      <c r="S34" s="16"/>
      <c r="T34" s="6"/>
    </row>
    <row r="35">
      <c r="A35" s="6"/>
      <c r="B35" s="67"/>
      <c r="C35" s="47"/>
      <c r="D35" s="47"/>
      <c r="E35" s="47"/>
      <c r="F35" s="68"/>
      <c r="G35" s="71" t="s">
        <v>42</v>
      </c>
      <c r="H35" s="70">
        <v>40000.0</v>
      </c>
      <c r="I35" s="47"/>
      <c r="J35" s="16"/>
      <c r="K35" s="6"/>
      <c r="L35" s="22"/>
      <c r="M35" s="22"/>
      <c r="N35" s="34">
        <f>N11-N29-N34</f>
        <v>564388</v>
      </c>
      <c r="O35" s="6"/>
      <c r="P35" s="47"/>
      <c r="Q35" s="16"/>
      <c r="R35" s="16"/>
      <c r="S35" s="16"/>
      <c r="T35" s="6"/>
    </row>
    <row r="36">
      <c r="A36" s="6"/>
      <c r="B36" s="6"/>
      <c r="C36" s="16"/>
      <c r="D36" s="72">
        <v>200000.0</v>
      </c>
      <c r="E36" s="16"/>
      <c r="F36" s="68"/>
      <c r="G36" s="69" t="s">
        <v>43</v>
      </c>
      <c r="H36" s="70">
        <v>45000.0</v>
      </c>
      <c r="I36" s="16"/>
      <c r="J36" s="16"/>
      <c r="K36" s="6"/>
      <c r="L36" s="6"/>
      <c r="M36" s="6"/>
      <c r="N36" s="6"/>
      <c r="O36" s="6"/>
      <c r="P36" s="69" t="s">
        <v>44</v>
      </c>
      <c r="Q36" s="71">
        <v>40000.0</v>
      </c>
      <c r="R36" s="16"/>
      <c r="S36" s="16"/>
      <c r="T36" s="6"/>
    </row>
    <row r="37">
      <c r="A37" s="6"/>
      <c r="B37" s="6"/>
      <c r="C37" s="16"/>
      <c r="D37" s="16"/>
      <c r="E37" s="16"/>
      <c r="F37" s="68"/>
      <c r="G37" s="69" t="s">
        <v>45</v>
      </c>
      <c r="H37" s="70">
        <v>40000.0</v>
      </c>
      <c r="I37" s="16"/>
      <c r="J37" s="16"/>
      <c r="K37" s="6"/>
      <c r="L37" s="6"/>
      <c r="M37" s="6"/>
      <c r="N37" s="6"/>
      <c r="O37" s="6"/>
      <c r="P37" s="16"/>
      <c r="Q37" s="16"/>
      <c r="R37" s="16"/>
      <c r="S37" s="16"/>
      <c r="T37" s="6"/>
    </row>
    <row r="38">
      <c r="A38" s="6"/>
      <c r="B38" s="6"/>
      <c r="C38" s="16"/>
      <c r="D38" s="16" t="s">
        <v>46</v>
      </c>
      <c r="E38" s="16"/>
      <c r="F38" s="68"/>
      <c r="G38" s="16"/>
      <c r="H38" s="16"/>
      <c r="I38" s="16"/>
      <c r="J38" s="16"/>
      <c r="K38" s="6"/>
      <c r="L38" s="6"/>
      <c r="M38" s="6"/>
      <c r="N38" s="6"/>
      <c r="O38" s="6"/>
      <c r="P38" s="16"/>
      <c r="Q38" s="16"/>
      <c r="R38" s="16"/>
      <c r="S38" s="16"/>
      <c r="T38" s="6"/>
    </row>
    <row r="39">
      <c r="A39" s="6"/>
      <c r="B39" s="6"/>
      <c r="C39" s="6"/>
      <c r="D39" s="6"/>
      <c r="E39" s="6"/>
      <c r="F39" s="73"/>
      <c r="G39" s="6"/>
      <c r="H39" s="6"/>
      <c r="I39" s="6"/>
      <c r="J39" s="6"/>
      <c r="K39" s="6"/>
      <c r="L39" s="6"/>
      <c r="M39" s="6"/>
      <c r="N39" s="6"/>
      <c r="O39" s="6"/>
      <c r="P39" s="16"/>
      <c r="Q39" s="16"/>
      <c r="R39" s="16"/>
      <c r="S39" s="16"/>
      <c r="T39" s="6"/>
    </row>
    <row r="40">
      <c r="A40" s="6"/>
      <c r="B40" s="6"/>
      <c r="C40" s="6"/>
      <c r="D40" s="6"/>
      <c r="E40" s="6"/>
      <c r="F40" s="73"/>
      <c r="G40" s="6"/>
      <c r="H40" s="6"/>
      <c r="I40" s="6"/>
      <c r="J40" s="6"/>
      <c r="K40" s="6"/>
      <c r="L40" s="6"/>
      <c r="M40" s="6"/>
      <c r="N40" s="6"/>
      <c r="O40" s="6"/>
      <c r="P40" s="16"/>
      <c r="Q40" s="16"/>
      <c r="R40" s="16"/>
      <c r="S40" s="16"/>
      <c r="T40" s="6"/>
    </row>
    <row r="41">
      <c r="A41" s="6"/>
      <c r="B41" s="6"/>
      <c r="C41" s="6"/>
      <c r="D41" s="6"/>
      <c r="E41" s="6"/>
      <c r="F41" s="73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73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73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74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5"/>
    <col customWidth="1" min="5" max="5" width="24.5"/>
    <col customWidth="1" min="6" max="6" width="21.88"/>
    <col customWidth="1" min="7" max="7" width="39.5"/>
    <col customWidth="1" min="8" max="8" width="158.0"/>
    <col customWidth="1" min="11" max="11" width="70.88"/>
    <col customWidth="1" min="12" max="12" width="21.88"/>
  </cols>
  <sheetData>
    <row r="1">
      <c r="C1" s="6"/>
      <c r="D1" s="6"/>
      <c r="E1" s="6"/>
      <c r="F1" s="6"/>
      <c r="G1" s="6"/>
      <c r="H1" s="6"/>
    </row>
    <row r="2">
      <c r="C2" s="6"/>
      <c r="D2" s="75" t="s">
        <v>47</v>
      </c>
      <c r="E2" s="76" t="s">
        <v>48</v>
      </c>
      <c r="F2" s="76" t="s">
        <v>49</v>
      </c>
      <c r="G2" s="76" t="s">
        <v>50</v>
      </c>
      <c r="H2" s="76" t="s">
        <v>51</v>
      </c>
    </row>
    <row r="3">
      <c r="C3" s="6"/>
      <c r="D3" s="77" t="s">
        <v>52</v>
      </c>
      <c r="E3" s="77">
        <v>7.0</v>
      </c>
      <c r="F3" s="78">
        <v>44.0</v>
      </c>
      <c r="G3" s="79">
        <f t="shared" ref="G3:G412" si="1">E3*F3</f>
        <v>308</v>
      </c>
      <c r="H3" s="80" t="s">
        <v>53</v>
      </c>
    </row>
    <row r="4">
      <c r="C4" s="6"/>
      <c r="D4" s="77" t="s">
        <v>54</v>
      </c>
      <c r="E4" s="77">
        <v>14.0</v>
      </c>
      <c r="F4" s="78">
        <v>44.0</v>
      </c>
      <c r="G4" s="79">
        <f t="shared" si="1"/>
        <v>616</v>
      </c>
      <c r="H4" s="81"/>
    </row>
    <row r="5">
      <c r="C5" s="6"/>
      <c r="D5" s="77" t="s">
        <v>55</v>
      </c>
      <c r="E5" s="77">
        <v>8.0</v>
      </c>
      <c r="F5" s="78">
        <v>44.0</v>
      </c>
      <c r="G5" s="79">
        <f t="shared" si="1"/>
        <v>352</v>
      </c>
      <c r="H5" s="81"/>
    </row>
    <row r="6">
      <c r="C6" s="6"/>
      <c r="D6" s="77" t="s">
        <v>56</v>
      </c>
      <c r="E6" s="77">
        <v>3.0</v>
      </c>
      <c r="F6" s="78">
        <v>44.0</v>
      </c>
      <c r="G6" s="79">
        <f t="shared" si="1"/>
        <v>132</v>
      </c>
      <c r="H6" s="81"/>
    </row>
    <row r="7">
      <c r="C7" s="6"/>
      <c r="D7" s="77" t="s">
        <v>57</v>
      </c>
      <c r="E7" s="77">
        <v>10.0</v>
      </c>
      <c r="F7" s="78">
        <v>44.0</v>
      </c>
      <c r="G7" s="79">
        <f t="shared" si="1"/>
        <v>440</v>
      </c>
      <c r="H7" s="81"/>
    </row>
    <row r="8">
      <c r="C8" s="6"/>
      <c r="D8" s="77" t="s">
        <v>58</v>
      </c>
      <c r="E8" s="77">
        <v>23.0</v>
      </c>
      <c r="F8" s="78">
        <v>44.0</v>
      </c>
      <c r="G8" s="79">
        <f t="shared" si="1"/>
        <v>1012</v>
      </c>
      <c r="H8" s="81"/>
    </row>
    <row r="9">
      <c r="C9" s="6"/>
      <c r="D9" s="77" t="s">
        <v>59</v>
      </c>
      <c r="E9" s="77">
        <v>11.0</v>
      </c>
      <c r="F9" s="78">
        <v>44.0</v>
      </c>
      <c r="G9" s="79">
        <f t="shared" si="1"/>
        <v>484</v>
      </c>
      <c r="H9" s="81"/>
    </row>
    <row r="10">
      <c r="C10" s="6"/>
      <c r="D10" s="77" t="s">
        <v>60</v>
      </c>
      <c r="E10" s="77">
        <v>3.0</v>
      </c>
      <c r="F10" s="78">
        <v>44.0</v>
      </c>
      <c r="G10" s="79">
        <f t="shared" si="1"/>
        <v>132</v>
      </c>
      <c r="H10" s="81"/>
    </row>
    <row r="11">
      <c r="C11" s="6"/>
      <c r="D11" s="82" t="s">
        <v>61</v>
      </c>
      <c r="E11" s="77">
        <v>11.0</v>
      </c>
      <c r="F11" s="83">
        <v>73.0</v>
      </c>
      <c r="G11" s="79">
        <f t="shared" si="1"/>
        <v>803</v>
      </c>
      <c r="H11" s="81"/>
    </row>
    <row r="12">
      <c r="C12" s="6"/>
      <c r="D12" s="82" t="s">
        <v>62</v>
      </c>
      <c r="E12" s="77">
        <v>8.0</v>
      </c>
      <c r="F12" s="83">
        <v>73.0</v>
      </c>
      <c r="G12" s="79">
        <f t="shared" si="1"/>
        <v>584</v>
      </c>
      <c r="H12" s="81"/>
    </row>
    <row r="13">
      <c r="C13" s="6"/>
      <c r="D13" s="77" t="s">
        <v>63</v>
      </c>
      <c r="E13" s="77">
        <v>14.0</v>
      </c>
      <c r="F13" s="78">
        <v>73.0</v>
      </c>
      <c r="G13" s="79">
        <f t="shared" si="1"/>
        <v>1022</v>
      </c>
      <c r="H13" s="81"/>
    </row>
    <row r="14">
      <c r="C14" s="6"/>
      <c r="D14" s="77" t="s">
        <v>64</v>
      </c>
      <c r="E14" s="77">
        <v>24.0</v>
      </c>
      <c r="F14" s="78">
        <v>60.0</v>
      </c>
      <c r="G14" s="79">
        <f t="shared" si="1"/>
        <v>1440</v>
      </c>
      <c r="H14" s="81"/>
    </row>
    <row r="15">
      <c r="C15" s="6"/>
      <c r="D15" s="77" t="s">
        <v>65</v>
      </c>
      <c r="E15" s="77">
        <v>3.0</v>
      </c>
      <c r="F15" s="78">
        <v>72.0</v>
      </c>
      <c r="G15" s="79">
        <f t="shared" si="1"/>
        <v>216</v>
      </c>
      <c r="H15" s="81"/>
    </row>
    <row r="16">
      <c r="C16" s="6"/>
      <c r="D16" s="77" t="s">
        <v>66</v>
      </c>
      <c r="E16" s="77">
        <v>5.0</v>
      </c>
      <c r="F16" s="78">
        <v>72.0</v>
      </c>
      <c r="G16" s="79">
        <f t="shared" si="1"/>
        <v>360</v>
      </c>
      <c r="H16" s="81"/>
    </row>
    <row r="17">
      <c r="C17" s="6"/>
      <c r="D17" s="77" t="s">
        <v>67</v>
      </c>
      <c r="E17" s="77">
        <v>5.0</v>
      </c>
      <c r="F17" s="78">
        <v>72.0</v>
      </c>
      <c r="G17" s="79">
        <f t="shared" si="1"/>
        <v>360</v>
      </c>
      <c r="H17" s="81"/>
    </row>
    <row r="18">
      <c r="C18" s="6"/>
      <c r="D18" s="77" t="s">
        <v>68</v>
      </c>
      <c r="E18" s="77">
        <v>10.0</v>
      </c>
      <c r="F18" s="78">
        <v>72.0</v>
      </c>
      <c r="G18" s="79">
        <f t="shared" si="1"/>
        <v>720</v>
      </c>
      <c r="H18" s="81"/>
    </row>
    <row r="19">
      <c r="C19" s="6"/>
      <c r="D19" s="77" t="s">
        <v>69</v>
      </c>
      <c r="E19" s="77">
        <v>7.0</v>
      </c>
      <c r="F19" s="78">
        <v>50.0</v>
      </c>
      <c r="G19" s="79">
        <f t="shared" si="1"/>
        <v>350</v>
      </c>
      <c r="H19" s="81"/>
    </row>
    <row r="20">
      <c r="C20" s="6"/>
      <c r="D20" s="77" t="s">
        <v>70</v>
      </c>
      <c r="E20" s="77">
        <v>8.0</v>
      </c>
      <c r="F20" s="78">
        <v>50.0</v>
      </c>
      <c r="G20" s="79">
        <f t="shared" si="1"/>
        <v>400</v>
      </c>
      <c r="H20" s="81"/>
    </row>
    <row r="21">
      <c r="C21" s="6"/>
      <c r="D21" s="77" t="s">
        <v>71</v>
      </c>
      <c r="E21" s="77">
        <v>8.0</v>
      </c>
      <c r="F21" s="78">
        <v>35.0</v>
      </c>
      <c r="G21" s="79">
        <f t="shared" si="1"/>
        <v>280</v>
      </c>
      <c r="H21" s="81"/>
    </row>
    <row r="22">
      <c r="C22" s="6"/>
      <c r="D22" s="77" t="s">
        <v>72</v>
      </c>
      <c r="E22" s="77">
        <v>3.0</v>
      </c>
      <c r="F22" s="78">
        <v>35.0</v>
      </c>
      <c r="G22" s="79">
        <f t="shared" si="1"/>
        <v>105</v>
      </c>
      <c r="H22" s="81"/>
    </row>
    <row r="23">
      <c r="C23" s="6"/>
      <c r="D23" s="77" t="s">
        <v>73</v>
      </c>
      <c r="E23" s="77">
        <v>2.0</v>
      </c>
      <c r="F23" s="78">
        <v>35.0</v>
      </c>
      <c r="G23" s="79">
        <f t="shared" si="1"/>
        <v>70</v>
      </c>
      <c r="H23" s="81"/>
    </row>
    <row r="24">
      <c r="C24" s="6"/>
      <c r="D24" s="77" t="s">
        <v>74</v>
      </c>
      <c r="E24" s="77">
        <v>14.0</v>
      </c>
      <c r="F24" s="78">
        <v>44.0</v>
      </c>
      <c r="G24" s="79">
        <f t="shared" si="1"/>
        <v>616</v>
      </c>
      <c r="H24" s="81"/>
    </row>
    <row r="25">
      <c r="C25" s="6"/>
      <c r="D25" s="77" t="s">
        <v>75</v>
      </c>
      <c r="E25" s="77">
        <v>28.0</v>
      </c>
      <c r="F25" s="78">
        <v>16.0</v>
      </c>
      <c r="G25" s="79">
        <f t="shared" si="1"/>
        <v>448</v>
      </c>
      <c r="H25" s="81"/>
    </row>
    <row r="26">
      <c r="C26" s="6"/>
      <c r="D26" s="77" t="s">
        <v>76</v>
      </c>
      <c r="E26" s="77">
        <v>24.0</v>
      </c>
      <c r="F26" s="78">
        <v>35.0</v>
      </c>
      <c r="G26" s="79">
        <f t="shared" si="1"/>
        <v>840</v>
      </c>
      <c r="H26" s="81"/>
    </row>
    <row r="27">
      <c r="C27" s="6"/>
      <c r="D27" s="77" t="s">
        <v>59</v>
      </c>
      <c r="E27" s="77">
        <v>24.0</v>
      </c>
      <c r="F27" s="78">
        <v>44.0</v>
      </c>
      <c r="G27" s="79">
        <f t="shared" si="1"/>
        <v>1056</v>
      </c>
      <c r="H27" s="84"/>
    </row>
    <row r="28">
      <c r="C28" s="6"/>
      <c r="D28" s="77" t="s">
        <v>77</v>
      </c>
      <c r="E28" s="77">
        <v>1.0</v>
      </c>
      <c r="F28" s="78">
        <v>380.0</v>
      </c>
      <c r="G28" s="79">
        <f t="shared" si="1"/>
        <v>380</v>
      </c>
      <c r="H28" s="85"/>
    </row>
    <row r="29">
      <c r="C29" s="6"/>
      <c r="D29" s="86" t="s">
        <v>78</v>
      </c>
      <c r="E29" s="77">
        <v>29.0</v>
      </c>
      <c r="F29" s="83">
        <v>1000.0</v>
      </c>
      <c r="G29" s="79">
        <f t="shared" si="1"/>
        <v>29000</v>
      </c>
      <c r="H29" s="85"/>
    </row>
    <row r="30">
      <c r="C30" s="6"/>
      <c r="D30" s="77" t="s">
        <v>79</v>
      </c>
      <c r="E30" s="77">
        <v>1.0</v>
      </c>
      <c r="F30" s="78">
        <v>2000.0</v>
      </c>
      <c r="G30" s="79">
        <f t="shared" si="1"/>
        <v>2000</v>
      </c>
      <c r="H30" s="85"/>
    </row>
    <row r="31">
      <c r="C31" s="6"/>
      <c r="D31" s="86" t="s">
        <v>80</v>
      </c>
      <c r="E31" s="77">
        <v>3.0</v>
      </c>
      <c r="F31" s="83">
        <v>1000.0</v>
      </c>
      <c r="G31" s="79">
        <f t="shared" si="1"/>
        <v>3000</v>
      </c>
      <c r="H31" s="85"/>
    </row>
    <row r="32">
      <c r="C32" s="6"/>
      <c r="D32" s="86" t="s">
        <v>81</v>
      </c>
      <c r="E32" s="77">
        <v>5.0</v>
      </c>
      <c r="F32" s="83">
        <v>850.0</v>
      </c>
      <c r="G32" s="79">
        <f t="shared" si="1"/>
        <v>4250</v>
      </c>
      <c r="H32" s="85"/>
    </row>
    <row r="33">
      <c r="C33" s="6"/>
      <c r="D33" s="86" t="s">
        <v>82</v>
      </c>
      <c r="E33" s="77">
        <v>2.0</v>
      </c>
      <c r="F33" s="83">
        <v>950.0</v>
      </c>
      <c r="G33" s="79">
        <f t="shared" si="1"/>
        <v>1900</v>
      </c>
      <c r="H33" s="85"/>
    </row>
    <row r="34">
      <c r="C34" s="6"/>
      <c r="D34" s="87" t="s">
        <v>83</v>
      </c>
      <c r="E34" s="88">
        <v>2.0</v>
      </c>
      <c r="F34" s="89">
        <v>450.0</v>
      </c>
      <c r="G34" s="79">
        <f t="shared" si="1"/>
        <v>900</v>
      </c>
      <c r="H34" s="85"/>
    </row>
    <row r="35">
      <c r="C35" s="6"/>
      <c r="D35" s="77" t="s">
        <v>84</v>
      </c>
      <c r="E35" s="77">
        <v>16.0</v>
      </c>
      <c r="F35" s="78">
        <v>320.0</v>
      </c>
      <c r="G35" s="79">
        <f t="shared" si="1"/>
        <v>5120</v>
      </c>
      <c r="H35" s="85"/>
    </row>
    <row r="36">
      <c r="C36" s="6"/>
      <c r="D36" s="77" t="s">
        <v>85</v>
      </c>
      <c r="E36" s="77">
        <v>1.0</v>
      </c>
      <c r="F36" s="78">
        <v>390.0</v>
      </c>
      <c r="G36" s="79">
        <f t="shared" si="1"/>
        <v>390</v>
      </c>
      <c r="H36" s="85"/>
    </row>
    <row r="37">
      <c r="C37" s="6"/>
      <c r="D37" s="86" t="s">
        <v>86</v>
      </c>
      <c r="E37" s="77">
        <v>9.0</v>
      </c>
      <c r="F37" s="83">
        <v>255.0</v>
      </c>
      <c r="G37" s="79">
        <f t="shared" si="1"/>
        <v>2295</v>
      </c>
      <c r="H37" s="85"/>
    </row>
    <row r="38">
      <c r="C38" s="6"/>
      <c r="D38" s="86" t="s">
        <v>87</v>
      </c>
      <c r="E38" s="77">
        <v>4.0</v>
      </c>
      <c r="F38" s="83">
        <v>255.0</v>
      </c>
      <c r="G38" s="79">
        <f t="shared" si="1"/>
        <v>1020</v>
      </c>
      <c r="H38" s="85"/>
    </row>
    <row r="39">
      <c r="C39" s="6"/>
      <c r="D39" s="77" t="s">
        <v>88</v>
      </c>
      <c r="E39" s="77">
        <v>1.0</v>
      </c>
      <c r="F39" s="78">
        <v>255.0</v>
      </c>
      <c r="G39" s="79">
        <f t="shared" si="1"/>
        <v>255</v>
      </c>
      <c r="H39" s="85"/>
    </row>
    <row r="40">
      <c r="C40" s="6"/>
      <c r="D40" s="77" t="s">
        <v>89</v>
      </c>
      <c r="E40" s="77">
        <v>6.0</v>
      </c>
      <c r="F40" s="78">
        <v>255.0</v>
      </c>
      <c r="G40" s="79">
        <f t="shared" si="1"/>
        <v>1530</v>
      </c>
      <c r="H40" s="85"/>
    </row>
    <row r="41">
      <c r="C41" s="6"/>
      <c r="D41" s="77" t="s">
        <v>89</v>
      </c>
      <c r="E41" s="77">
        <v>2.0</v>
      </c>
      <c r="F41" s="78">
        <v>200.0</v>
      </c>
      <c r="G41" s="79">
        <f t="shared" si="1"/>
        <v>400</v>
      </c>
      <c r="H41" s="85"/>
    </row>
    <row r="42">
      <c r="C42" s="6"/>
      <c r="D42" s="86" t="s">
        <v>90</v>
      </c>
      <c r="E42" s="77">
        <v>2.0</v>
      </c>
      <c r="F42" s="83">
        <v>154.0</v>
      </c>
      <c r="G42" s="79">
        <f t="shared" si="1"/>
        <v>308</v>
      </c>
      <c r="H42" s="85"/>
    </row>
    <row r="43">
      <c r="C43" s="6"/>
      <c r="D43" s="86" t="s">
        <v>91</v>
      </c>
      <c r="E43" s="86">
        <v>30.0</v>
      </c>
      <c r="F43" s="83">
        <v>99.0</v>
      </c>
      <c r="G43" s="79">
        <f t="shared" si="1"/>
        <v>2970</v>
      </c>
      <c r="H43" s="85"/>
    </row>
    <row r="44">
      <c r="C44" s="6"/>
      <c r="D44" s="86" t="s">
        <v>92</v>
      </c>
      <c r="E44" s="77">
        <v>1.0</v>
      </c>
      <c r="F44" s="83">
        <v>2220.0</v>
      </c>
      <c r="G44" s="79">
        <f t="shared" si="1"/>
        <v>2220</v>
      </c>
      <c r="H44" s="85"/>
    </row>
    <row r="45">
      <c r="C45" s="6"/>
      <c r="D45" s="86" t="s">
        <v>93</v>
      </c>
      <c r="E45" s="77">
        <v>1.0</v>
      </c>
      <c r="F45" s="83">
        <v>30.0</v>
      </c>
      <c r="G45" s="79">
        <f t="shared" si="1"/>
        <v>30</v>
      </c>
      <c r="H45" s="85"/>
    </row>
    <row r="46">
      <c r="C46" s="6"/>
      <c r="D46" s="86" t="s">
        <v>94</v>
      </c>
      <c r="E46" s="77">
        <v>0.25</v>
      </c>
      <c r="F46" s="83">
        <v>900.0</v>
      </c>
      <c r="G46" s="79">
        <f t="shared" si="1"/>
        <v>225</v>
      </c>
      <c r="H46" s="85"/>
    </row>
    <row r="47">
      <c r="C47" s="6"/>
      <c r="D47" s="86" t="s">
        <v>95</v>
      </c>
      <c r="E47" s="77">
        <v>0.5</v>
      </c>
      <c r="F47" s="83">
        <v>900.0</v>
      </c>
      <c r="G47" s="79">
        <f t="shared" si="1"/>
        <v>450</v>
      </c>
      <c r="H47" s="85"/>
    </row>
    <row r="48">
      <c r="C48" s="6"/>
      <c r="D48" s="86" t="s">
        <v>96</v>
      </c>
      <c r="E48" s="77">
        <v>5.0</v>
      </c>
      <c r="F48" s="83">
        <v>195.0</v>
      </c>
      <c r="G48" s="79">
        <f t="shared" si="1"/>
        <v>975</v>
      </c>
      <c r="H48" s="85"/>
    </row>
    <row r="49">
      <c r="C49" s="6"/>
      <c r="D49" s="86" t="s">
        <v>97</v>
      </c>
      <c r="E49" s="77">
        <v>1.0</v>
      </c>
      <c r="F49" s="83">
        <v>1400.0</v>
      </c>
      <c r="G49" s="79">
        <f t="shared" si="1"/>
        <v>1400</v>
      </c>
      <c r="H49" s="90"/>
    </row>
    <row r="50">
      <c r="D50" s="86" t="s">
        <v>98</v>
      </c>
      <c r="E50" s="77">
        <v>1.0</v>
      </c>
      <c r="F50" s="83">
        <v>650.0</v>
      </c>
      <c r="G50" s="79">
        <f t="shared" si="1"/>
        <v>650</v>
      </c>
      <c r="H50" s="81"/>
    </row>
    <row r="51">
      <c r="D51" s="86" t="s">
        <v>99</v>
      </c>
      <c r="E51" s="77">
        <v>6.0</v>
      </c>
      <c r="F51" s="83">
        <v>420.0</v>
      </c>
      <c r="G51" s="79">
        <f t="shared" si="1"/>
        <v>2520</v>
      </c>
      <c r="H51" s="81"/>
    </row>
    <row r="52">
      <c r="D52" s="86" t="s">
        <v>100</v>
      </c>
      <c r="E52" s="77">
        <v>0.5</v>
      </c>
      <c r="F52" s="83">
        <v>400.0</v>
      </c>
      <c r="G52" s="79">
        <f t="shared" si="1"/>
        <v>200</v>
      </c>
      <c r="H52" s="81"/>
    </row>
    <row r="53">
      <c r="D53" s="86" t="s">
        <v>101</v>
      </c>
      <c r="E53" s="77">
        <v>50.0</v>
      </c>
      <c r="F53" s="83">
        <v>280.0</v>
      </c>
      <c r="G53" s="79">
        <f t="shared" si="1"/>
        <v>14000</v>
      </c>
      <c r="H53" s="84"/>
    </row>
    <row r="54">
      <c r="C54" s="6"/>
      <c r="D54" s="86" t="s">
        <v>102</v>
      </c>
      <c r="E54" s="77">
        <v>3.0</v>
      </c>
      <c r="F54" s="83">
        <v>920.0</v>
      </c>
      <c r="G54" s="79">
        <f t="shared" si="1"/>
        <v>2760</v>
      </c>
      <c r="H54" s="85"/>
    </row>
    <row r="55">
      <c r="C55" s="6"/>
      <c r="D55" s="86" t="s">
        <v>103</v>
      </c>
      <c r="E55" s="77">
        <v>2.0</v>
      </c>
      <c r="F55" s="83">
        <v>2300.0</v>
      </c>
      <c r="G55" s="79">
        <f t="shared" si="1"/>
        <v>4600</v>
      </c>
      <c r="H55" s="85"/>
    </row>
    <row r="56">
      <c r="C56" s="6"/>
      <c r="D56" s="86" t="s">
        <v>104</v>
      </c>
      <c r="E56" s="77">
        <v>3.0</v>
      </c>
      <c r="F56" s="83">
        <v>1800.0</v>
      </c>
      <c r="G56" s="79">
        <f t="shared" si="1"/>
        <v>5400</v>
      </c>
      <c r="H56" s="85"/>
    </row>
    <row r="57">
      <c r="C57" s="6"/>
      <c r="D57" s="86" t="s">
        <v>105</v>
      </c>
      <c r="E57" s="86">
        <v>1.0</v>
      </c>
      <c r="F57" s="83">
        <v>200.0</v>
      </c>
      <c r="G57" s="79">
        <f t="shared" si="1"/>
        <v>200</v>
      </c>
      <c r="H57" s="85"/>
    </row>
    <row r="58">
      <c r="C58" s="6"/>
      <c r="D58" s="86" t="s">
        <v>106</v>
      </c>
      <c r="E58" s="77">
        <v>2.0</v>
      </c>
      <c r="F58" s="83">
        <v>360.0</v>
      </c>
      <c r="G58" s="79">
        <f t="shared" si="1"/>
        <v>720</v>
      </c>
      <c r="H58" s="85"/>
    </row>
    <row r="59">
      <c r="C59" s="6"/>
      <c r="D59" s="86" t="s">
        <v>107</v>
      </c>
      <c r="E59" s="86">
        <v>2.0</v>
      </c>
      <c r="F59" s="83">
        <v>100.0</v>
      </c>
      <c r="G59" s="79">
        <f t="shared" si="1"/>
        <v>200</v>
      </c>
      <c r="H59" s="85"/>
    </row>
    <row r="60">
      <c r="C60" s="6"/>
      <c r="D60" s="86" t="s">
        <v>108</v>
      </c>
      <c r="E60" s="86">
        <v>1.0</v>
      </c>
      <c r="F60" s="83">
        <v>150.0</v>
      </c>
      <c r="G60" s="79">
        <f t="shared" si="1"/>
        <v>150</v>
      </c>
      <c r="H60" s="85"/>
    </row>
    <row r="61">
      <c r="C61" s="6"/>
      <c r="D61" s="86" t="s">
        <v>109</v>
      </c>
      <c r="E61" s="86">
        <v>1.0</v>
      </c>
      <c r="F61" s="83">
        <v>280.0</v>
      </c>
      <c r="G61" s="79">
        <f t="shared" si="1"/>
        <v>280</v>
      </c>
      <c r="H61" s="85"/>
    </row>
    <row r="62">
      <c r="C62" s="6"/>
      <c r="D62" s="86" t="s">
        <v>110</v>
      </c>
      <c r="E62" s="86">
        <v>2.0</v>
      </c>
      <c r="F62" s="83">
        <v>180.0</v>
      </c>
      <c r="G62" s="79">
        <f t="shared" si="1"/>
        <v>360</v>
      </c>
      <c r="H62" s="85"/>
    </row>
    <row r="63">
      <c r="C63" s="6"/>
      <c r="D63" s="86" t="s">
        <v>111</v>
      </c>
      <c r="E63" s="77">
        <v>1.0</v>
      </c>
      <c r="F63" s="83">
        <v>220.0</v>
      </c>
      <c r="G63" s="79">
        <f t="shared" si="1"/>
        <v>220</v>
      </c>
      <c r="H63" s="85"/>
    </row>
    <row r="64">
      <c r="C64" s="6"/>
      <c r="D64" s="86" t="s">
        <v>112</v>
      </c>
      <c r="E64" s="77">
        <v>1.0</v>
      </c>
      <c r="F64" s="83">
        <v>220.0</v>
      </c>
      <c r="G64" s="79">
        <f t="shared" si="1"/>
        <v>220</v>
      </c>
      <c r="H64" s="85"/>
    </row>
    <row r="65">
      <c r="C65" s="6"/>
      <c r="D65" s="77" t="s">
        <v>113</v>
      </c>
      <c r="E65" s="77">
        <v>66.0</v>
      </c>
      <c r="F65" s="78">
        <v>600.0</v>
      </c>
      <c r="G65" s="79">
        <f t="shared" si="1"/>
        <v>39600</v>
      </c>
      <c r="H65" s="85"/>
    </row>
    <row r="66">
      <c r="C66" s="6"/>
      <c r="D66" s="77" t="s">
        <v>114</v>
      </c>
      <c r="E66" s="77">
        <v>10.0</v>
      </c>
      <c r="F66" s="78">
        <v>800.0</v>
      </c>
      <c r="G66" s="91">
        <f t="shared" si="1"/>
        <v>8000</v>
      </c>
      <c r="H66" s="85"/>
    </row>
    <row r="67">
      <c r="C67" s="6"/>
      <c r="D67" s="77" t="s">
        <v>115</v>
      </c>
      <c r="E67" s="77">
        <v>16.0</v>
      </c>
      <c r="F67" s="78">
        <v>178.0</v>
      </c>
      <c r="G67" s="79">
        <f t="shared" si="1"/>
        <v>2848</v>
      </c>
      <c r="H67" s="85"/>
    </row>
    <row r="68">
      <c r="C68" s="6"/>
      <c r="D68" s="86" t="s">
        <v>116</v>
      </c>
      <c r="E68" s="77">
        <v>7.0</v>
      </c>
      <c r="F68" s="83">
        <v>240.0</v>
      </c>
      <c r="G68" s="79">
        <f t="shared" si="1"/>
        <v>1680</v>
      </c>
      <c r="H68" s="85"/>
    </row>
    <row r="69">
      <c r="C69" s="6"/>
      <c r="D69" s="86" t="s">
        <v>117</v>
      </c>
      <c r="E69" s="77">
        <v>6.0</v>
      </c>
      <c r="F69" s="83">
        <v>340.0</v>
      </c>
      <c r="G69" s="79">
        <f t="shared" si="1"/>
        <v>2040</v>
      </c>
      <c r="H69" s="92"/>
    </row>
    <row r="70">
      <c r="C70" s="6"/>
      <c r="D70" s="86" t="s">
        <v>118</v>
      </c>
      <c r="E70" s="77">
        <v>7.0</v>
      </c>
      <c r="F70" s="83">
        <v>260.0</v>
      </c>
      <c r="G70" s="79">
        <f t="shared" si="1"/>
        <v>1820</v>
      </c>
      <c r="H70" s="92"/>
    </row>
    <row r="71">
      <c r="C71" s="6"/>
      <c r="D71" s="86" t="s">
        <v>119</v>
      </c>
      <c r="E71" s="77">
        <v>1.0</v>
      </c>
      <c r="F71" s="83">
        <v>570.0</v>
      </c>
      <c r="G71" s="79">
        <f t="shared" si="1"/>
        <v>570</v>
      </c>
      <c r="H71" s="85"/>
    </row>
    <row r="72">
      <c r="C72" s="6"/>
      <c r="D72" s="86" t="s">
        <v>120</v>
      </c>
      <c r="E72" s="77">
        <v>1.0</v>
      </c>
      <c r="F72" s="83">
        <v>970.0</v>
      </c>
      <c r="G72" s="79">
        <f t="shared" si="1"/>
        <v>970</v>
      </c>
      <c r="H72" s="85"/>
    </row>
    <row r="73">
      <c r="C73" s="6"/>
      <c r="D73" s="77" t="s">
        <v>121</v>
      </c>
      <c r="E73" s="77">
        <v>39.0</v>
      </c>
      <c r="F73" s="78">
        <v>73.0</v>
      </c>
      <c r="G73" s="79">
        <f t="shared" si="1"/>
        <v>2847</v>
      </c>
      <c r="H73" s="86"/>
    </row>
    <row r="74">
      <c r="C74" s="6"/>
      <c r="D74" s="77" t="s">
        <v>122</v>
      </c>
      <c r="E74" s="77">
        <v>21.0</v>
      </c>
      <c r="F74" s="78">
        <v>250.0</v>
      </c>
      <c r="G74" s="79">
        <f t="shared" si="1"/>
        <v>5250</v>
      </c>
      <c r="H74" s="85"/>
    </row>
    <row r="75">
      <c r="C75" s="93"/>
      <c r="D75" s="77" t="s">
        <v>123</v>
      </c>
      <c r="E75" s="77">
        <v>10.0</v>
      </c>
      <c r="F75" s="78">
        <v>2150.0</v>
      </c>
      <c r="G75" s="79">
        <f t="shared" si="1"/>
        <v>21500</v>
      </c>
      <c r="H75" s="85"/>
    </row>
    <row r="76">
      <c r="C76" s="6"/>
      <c r="D76" s="77" t="s">
        <v>124</v>
      </c>
      <c r="E76" s="77">
        <v>13.0</v>
      </c>
      <c r="F76" s="78">
        <v>65.0</v>
      </c>
      <c r="G76" s="79">
        <f t="shared" si="1"/>
        <v>845</v>
      </c>
      <c r="H76" s="85"/>
    </row>
    <row r="77">
      <c r="C77" s="6"/>
      <c r="D77" s="77" t="s">
        <v>125</v>
      </c>
      <c r="E77" s="77">
        <v>12.0</v>
      </c>
      <c r="F77" s="78">
        <v>320.0</v>
      </c>
      <c r="G77" s="79">
        <f t="shared" si="1"/>
        <v>3840</v>
      </c>
      <c r="H77" s="85"/>
    </row>
    <row r="78">
      <c r="C78" s="6"/>
      <c r="D78" s="77" t="s">
        <v>126</v>
      </c>
      <c r="E78" s="77">
        <v>12.0</v>
      </c>
      <c r="F78" s="78">
        <v>125.0</v>
      </c>
      <c r="G78" s="79">
        <f t="shared" si="1"/>
        <v>1500</v>
      </c>
      <c r="H78" s="85"/>
    </row>
    <row r="79">
      <c r="C79" s="6"/>
      <c r="D79" s="77" t="s">
        <v>127</v>
      </c>
      <c r="E79" s="77">
        <v>12.0</v>
      </c>
      <c r="F79" s="78">
        <v>125.0</v>
      </c>
      <c r="G79" s="79">
        <f t="shared" si="1"/>
        <v>1500</v>
      </c>
      <c r="H79" s="85"/>
    </row>
    <row r="80">
      <c r="C80" s="6"/>
      <c r="D80" s="77" t="s">
        <v>128</v>
      </c>
      <c r="E80" s="77">
        <v>3.0</v>
      </c>
      <c r="F80" s="78">
        <v>1750.0</v>
      </c>
      <c r="G80" s="79">
        <f t="shared" si="1"/>
        <v>5250</v>
      </c>
      <c r="H80" s="85"/>
    </row>
    <row r="81">
      <c r="C81" s="6"/>
      <c r="D81" s="77" t="s">
        <v>129</v>
      </c>
      <c r="E81" s="77">
        <v>12.0</v>
      </c>
      <c r="F81" s="78">
        <v>220.0</v>
      </c>
      <c r="G81" s="79">
        <f t="shared" si="1"/>
        <v>2640</v>
      </c>
      <c r="H81" s="85"/>
    </row>
    <row r="82">
      <c r="C82" s="6"/>
      <c r="D82" s="77" t="s">
        <v>130</v>
      </c>
      <c r="E82" s="77">
        <v>4.0</v>
      </c>
      <c r="F82" s="78">
        <v>1750.0</v>
      </c>
      <c r="G82" s="79">
        <f t="shared" si="1"/>
        <v>7000</v>
      </c>
      <c r="H82" s="85"/>
    </row>
    <row r="83">
      <c r="C83" s="6"/>
      <c r="D83" s="77" t="s">
        <v>131</v>
      </c>
      <c r="E83" s="77">
        <v>5.0</v>
      </c>
      <c r="F83" s="78">
        <v>1300.0</v>
      </c>
      <c r="G83" s="79">
        <f t="shared" si="1"/>
        <v>6500</v>
      </c>
      <c r="H83" s="85"/>
    </row>
    <row r="84">
      <c r="C84" s="6"/>
      <c r="D84" s="86" t="s">
        <v>91</v>
      </c>
      <c r="E84" s="77">
        <v>15.0</v>
      </c>
      <c r="F84" s="83">
        <v>99.0</v>
      </c>
      <c r="G84" s="79">
        <f t="shared" si="1"/>
        <v>1485</v>
      </c>
      <c r="H84" s="85"/>
    </row>
    <row r="85">
      <c r="C85" s="74">
        <v>450.0</v>
      </c>
      <c r="D85" s="86" t="s">
        <v>132</v>
      </c>
      <c r="E85" s="77">
        <v>220.0</v>
      </c>
      <c r="F85" s="83">
        <v>6.0</v>
      </c>
      <c r="G85" s="79">
        <f t="shared" si="1"/>
        <v>1320</v>
      </c>
      <c r="H85" s="85"/>
    </row>
    <row r="86">
      <c r="C86" s="6"/>
      <c r="D86" s="86" t="s">
        <v>133</v>
      </c>
      <c r="E86" s="77">
        <v>3.0</v>
      </c>
      <c r="F86" s="83">
        <v>430.0</v>
      </c>
      <c r="G86" s="79">
        <f t="shared" si="1"/>
        <v>1290</v>
      </c>
      <c r="H86" s="85"/>
    </row>
    <row r="87">
      <c r="C87" s="6"/>
      <c r="D87" s="77" t="s">
        <v>106</v>
      </c>
      <c r="E87" s="77">
        <v>2.0</v>
      </c>
      <c r="F87" s="78">
        <v>450.0</v>
      </c>
      <c r="G87" s="79">
        <f t="shared" si="1"/>
        <v>900</v>
      </c>
      <c r="H87" s="85"/>
    </row>
    <row r="88">
      <c r="C88" s="6"/>
      <c r="D88" s="86" t="s">
        <v>134</v>
      </c>
      <c r="E88" s="77">
        <v>1.0</v>
      </c>
      <c r="F88" s="83">
        <v>900.0</v>
      </c>
      <c r="G88" s="79">
        <f t="shared" si="1"/>
        <v>900</v>
      </c>
      <c r="H88" s="85"/>
    </row>
    <row r="89">
      <c r="C89" s="6"/>
      <c r="D89" s="77" t="s">
        <v>135</v>
      </c>
      <c r="E89" s="77">
        <v>2.0</v>
      </c>
      <c r="F89" s="78">
        <v>750.0</v>
      </c>
      <c r="G89" s="79">
        <f t="shared" si="1"/>
        <v>1500</v>
      </c>
      <c r="H89" s="94">
        <v>6693289.0</v>
      </c>
    </row>
    <row r="90">
      <c r="C90" s="6"/>
      <c r="D90" s="77" t="s">
        <v>136</v>
      </c>
      <c r="E90" s="77">
        <v>2.0</v>
      </c>
      <c r="F90" s="78">
        <v>750.0</v>
      </c>
      <c r="G90" s="79">
        <f t="shared" si="1"/>
        <v>1500</v>
      </c>
      <c r="H90" s="85"/>
    </row>
    <row r="91">
      <c r="C91" s="6"/>
      <c r="D91" s="77" t="s">
        <v>137</v>
      </c>
      <c r="E91" s="77">
        <v>1.0</v>
      </c>
      <c r="F91" s="78">
        <v>750.0</v>
      </c>
      <c r="G91" s="79">
        <f t="shared" si="1"/>
        <v>750</v>
      </c>
      <c r="H91" s="85"/>
    </row>
    <row r="92">
      <c r="C92" s="6"/>
      <c r="D92" s="77" t="s">
        <v>138</v>
      </c>
      <c r="E92" s="77">
        <v>2.0</v>
      </c>
      <c r="F92" s="78">
        <v>2250.0</v>
      </c>
      <c r="G92" s="79">
        <f t="shared" si="1"/>
        <v>4500</v>
      </c>
      <c r="H92" s="85"/>
    </row>
    <row r="93">
      <c r="C93" s="6"/>
      <c r="D93" s="77" t="s">
        <v>139</v>
      </c>
      <c r="E93" s="77">
        <v>1.0</v>
      </c>
      <c r="F93" s="78">
        <v>100.0</v>
      </c>
      <c r="G93" s="79">
        <f t="shared" si="1"/>
        <v>100</v>
      </c>
      <c r="H93" s="85"/>
    </row>
    <row r="94">
      <c r="C94" s="6"/>
      <c r="D94" s="77" t="s">
        <v>140</v>
      </c>
      <c r="E94" s="77">
        <v>2.0</v>
      </c>
      <c r="F94" s="78">
        <v>250.0</v>
      </c>
      <c r="G94" s="79">
        <f t="shared" si="1"/>
        <v>500</v>
      </c>
      <c r="H94" s="85"/>
    </row>
    <row r="95">
      <c r="C95" s="6"/>
      <c r="D95" s="77" t="s">
        <v>141</v>
      </c>
      <c r="E95" s="77">
        <v>1.0</v>
      </c>
      <c r="F95" s="78">
        <v>270.0</v>
      </c>
      <c r="G95" s="79">
        <f t="shared" si="1"/>
        <v>270</v>
      </c>
      <c r="H95" s="85"/>
    </row>
    <row r="96">
      <c r="C96" s="6"/>
      <c r="D96" s="77" t="s">
        <v>142</v>
      </c>
      <c r="E96" s="77">
        <v>3.0</v>
      </c>
      <c r="F96" s="78">
        <v>130.0</v>
      </c>
      <c r="G96" s="79">
        <f t="shared" si="1"/>
        <v>390</v>
      </c>
      <c r="H96" s="85"/>
    </row>
    <row r="97">
      <c r="C97" s="6"/>
      <c r="D97" s="77" t="s">
        <v>143</v>
      </c>
      <c r="E97" s="77">
        <v>4.0</v>
      </c>
      <c r="F97" s="78">
        <v>50.0</v>
      </c>
      <c r="G97" s="79">
        <f t="shared" si="1"/>
        <v>200</v>
      </c>
      <c r="H97" s="85"/>
    </row>
    <row r="98">
      <c r="C98" s="6"/>
      <c r="D98" s="77" t="s">
        <v>144</v>
      </c>
      <c r="E98" s="77">
        <v>1.0</v>
      </c>
      <c r="F98" s="78">
        <v>190.0</v>
      </c>
      <c r="G98" s="79">
        <f t="shared" si="1"/>
        <v>190</v>
      </c>
      <c r="H98" s="85"/>
    </row>
    <row r="99">
      <c r="C99" s="6"/>
      <c r="D99" s="77" t="s">
        <v>145</v>
      </c>
      <c r="E99" s="77">
        <v>2.0</v>
      </c>
      <c r="F99" s="78">
        <v>100.0</v>
      </c>
      <c r="G99" s="79">
        <f t="shared" si="1"/>
        <v>200</v>
      </c>
      <c r="H99" s="85"/>
    </row>
    <row r="100">
      <c r="C100" s="6"/>
      <c r="D100" s="77" t="s">
        <v>146</v>
      </c>
      <c r="E100" s="77">
        <v>0.4</v>
      </c>
      <c r="F100" s="78">
        <v>1900.0</v>
      </c>
      <c r="G100" s="79">
        <f t="shared" si="1"/>
        <v>760</v>
      </c>
      <c r="H100" s="85"/>
    </row>
    <row r="101">
      <c r="C101" s="6"/>
      <c r="D101" s="77" t="s">
        <v>136</v>
      </c>
      <c r="E101" s="77">
        <v>1.4</v>
      </c>
      <c r="F101" s="78">
        <v>750.0</v>
      </c>
      <c r="G101" s="79">
        <f t="shared" si="1"/>
        <v>1050</v>
      </c>
      <c r="H101" s="85"/>
    </row>
    <row r="102">
      <c r="C102" s="6"/>
      <c r="D102" s="77" t="s">
        <v>135</v>
      </c>
      <c r="E102" s="77">
        <v>1.2</v>
      </c>
      <c r="F102" s="78">
        <v>950.0</v>
      </c>
      <c r="G102" s="79">
        <f t="shared" si="1"/>
        <v>1140</v>
      </c>
      <c r="H102" s="85"/>
    </row>
    <row r="103">
      <c r="C103" s="6"/>
      <c r="D103" s="77" t="s">
        <v>147</v>
      </c>
      <c r="E103" s="77">
        <v>5.0</v>
      </c>
      <c r="F103" s="78">
        <v>120.0</v>
      </c>
      <c r="G103" s="79">
        <f t="shared" si="1"/>
        <v>600</v>
      </c>
      <c r="H103" s="85"/>
    </row>
    <row r="104">
      <c r="C104" s="6"/>
      <c r="D104" s="77" t="s">
        <v>148</v>
      </c>
      <c r="E104" s="77">
        <v>3.0</v>
      </c>
      <c r="F104" s="78">
        <v>70.0</v>
      </c>
      <c r="G104" s="79">
        <f t="shared" si="1"/>
        <v>210</v>
      </c>
      <c r="H104" s="85"/>
    </row>
    <row r="105">
      <c r="C105" s="6"/>
      <c r="D105" s="77" t="s">
        <v>149</v>
      </c>
      <c r="E105" s="77">
        <v>0.5</v>
      </c>
      <c r="F105" s="78">
        <v>600.0</v>
      </c>
      <c r="G105" s="79">
        <f t="shared" si="1"/>
        <v>300</v>
      </c>
      <c r="H105" s="85"/>
    </row>
    <row r="106">
      <c r="C106" s="6"/>
      <c r="D106" s="77" t="s">
        <v>150</v>
      </c>
      <c r="E106" s="77">
        <v>1.5</v>
      </c>
      <c r="F106" s="78">
        <v>2300.0</v>
      </c>
      <c r="G106" s="79">
        <f t="shared" si="1"/>
        <v>3450</v>
      </c>
      <c r="H106" s="85"/>
    </row>
    <row r="107">
      <c r="C107" s="6"/>
      <c r="D107" s="77" t="s">
        <v>151</v>
      </c>
      <c r="E107" s="77">
        <v>3.0</v>
      </c>
      <c r="F107" s="78">
        <v>100.0</v>
      </c>
      <c r="G107" s="79">
        <f t="shared" si="1"/>
        <v>300</v>
      </c>
      <c r="H107" s="85"/>
    </row>
    <row r="108">
      <c r="C108" s="6"/>
      <c r="D108" s="77" t="s">
        <v>152</v>
      </c>
      <c r="E108" s="77">
        <v>3.0</v>
      </c>
      <c r="F108" s="78">
        <v>100.0</v>
      </c>
      <c r="G108" s="79">
        <f t="shared" si="1"/>
        <v>300</v>
      </c>
      <c r="H108" s="85"/>
    </row>
    <row r="109">
      <c r="C109" s="6"/>
      <c r="D109" s="77" t="s">
        <v>153</v>
      </c>
      <c r="E109" s="77">
        <v>1.0</v>
      </c>
      <c r="F109" s="78">
        <v>700.0</v>
      </c>
      <c r="G109" s="79">
        <f t="shared" si="1"/>
        <v>700</v>
      </c>
      <c r="H109" s="85"/>
    </row>
    <row r="110">
      <c r="C110" s="6"/>
      <c r="D110" s="77" t="s">
        <v>148</v>
      </c>
      <c r="E110" s="77">
        <v>4.0</v>
      </c>
      <c r="F110" s="78">
        <v>50.0</v>
      </c>
      <c r="G110" s="79">
        <f t="shared" si="1"/>
        <v>200</v>
      </c>
      <c r="H110" s="85"/>
    </row>
    <row r="111">
      <c r="C111" s="6"/>
      <c r="D111" s="77" t="s">
        <v>154</v>
      </c>
      <c r="E111" s="77">
        <v>6.5</v>
      </c>
      <c r="F111" s="78">
        <v>140.0</v>
      </c>
      <c r="G111" s="79">
        <f t="shared" si="1"/>
        <v>910</v>
      </c>
      <c r="H111" s="85"/>
    </row>
    <row r="112">
      <c r="C112" s="6"/>
      <c r="D112" s="77" t="s">
        <v>155</v>
      </c>
      <c r="E112" s="77">
        <v>2.0</v>
      </c>
      <c r="F112" s="78">
        <v>450.0</v>
      </c>
      <c r="G112" s="79">
        <f t="shared" si="1"/>
        <v>900</v>
      </c>
      <c r="H112" s="85"/>
    </row>
    <row r="113">
      <c r="C113" s="6"/>
      <c r="D113" s="77" t="s">
        <v>156</v>
      </c>
      <c r="E113" s="77">
        <v>4.0</v>
      </c>
      <c r="F113" s="78">
        <v>220.0</v>
      </c>
      <c r="G113" s="79">
        <f t="shared" si="1"/>
        <v>880</v>
      </c>
      <c r="H113" s="85"/>
    </row>
    <row r="114">
      <c r="C114" s="6"/>
      <c r="D114" s="77" t="s">
        <v>135</v>
      </c>
      <c r="E114" s="77">
        <v>4.0</v>
      </c>
      <c r="F114" s="78">
        <v>750.0</v>
      </c>
      <c r="G114" s="79">
        <f t="shared" si="1"/>
        <v>3000</v>
      </c>
      <c r="H114" s="85"/>
    </row>
    <row r="115">
      <c r="C115" s="6"/>
      <c r="D115" s="77" t="s">
        <v>157</v>
      </c>
      <c r="E115" s="77">
        <v>36.0</v>
      </c>
      <c r="F115" s="78">
        <v>140.0</v>
      </c>
      <c r="G115" s="79">
        <f t="shared" si="1"/>
        <v>5040</v>
      </c>
      <c r="H115" s="85"/>
    </row>
    <row r="116">
      <c r="C116" s="6"/>
      <c r="D116" s="77" t="s">
        <v>158</v>
      </c>
      <c r="E116" s="77">
        <v>1.0</v>
      </c>
      <c r="F116" s="78">
        <v>1100.0</v>
      </c>
      <c r="G116" s="79">
        <f t="shared" si="1"/>
        <v>1100</v>
      </c>
      <c r="H116" s="85"/>
    </row>
    <row r="117">
      <c r="C117" s="6"/>
      <c r="D117" s="77" t="s">
        <v>159</v>
      </c>
      <c r="E117" s="77">
        <v>2.0</v>
      </c>
      <c r="F117" s="78">
        <v>50.0</v>
      </c>
      <c r="G117" s="79">
        <f t="shared" si="1"/>
        <v>100</v>
      </c>
      <c r="H117" s="85"/>
    </row>
    <row r="118">
      <c r="C118" s="6"/>
      <c r="D118" s="77" t="s">
        <v>160</v>
      </c>
      <c r="E118" s="77">
        <v>1.0</v>
      </c>
      <c r="F118" s="78">
        <v>1500.0</v>
      </c>
      <c r="G118" s="79">
        <f t="shared" si="1"/>
        <v>1500</v>
      </c>
      <c r="H118" s="85"/>
    </row>
    <row r="119">
      <c r="C119" s="6"/>
      <c r="D119" s="77" t="s">
        <v>151</v>
      </c>
      <c r="E119" s="77">
        <v>1.7</v>
      </c>
      <c r="F119" s="78">
        <v>100.0</v>
      </c>
      <c r="G119" s="79">
        <f t="shared" si="1"/>
        <v>170</v>
      </c>
      <c r="H119" s="85"/>
    </row>
    <row r="120">
      <c r="C120" s="6"/>
      <c r="D120" s="77" t="s">
        <v>161</v>
      </c>
      <c r="E120" s="77">
        <v>1.0</v>
      </c>
      <c r="F120" s="78">
        <v>150.0</v>
      </c>
      <c r="G120" s="79">
        <f t="shared" si="1"/>
        <v>150</v>
      </c>
      <c r="H120" s="85"/>
    </row>
    <row r="121">
      <c r="C121" s="6"/>
      <c r="D121" s="77" t="s">
        <v>162</v>
      </c>
      <c r="E121" s="77">
        <v>1.5</v>
      </c>
      <c r="F121" s="78">
        <v>100.0</v>
      </c>
      <c r="G121" s="79">
        <f t="shared" si="1"/>
        <v>150</v>
      </c>
      <c r="H121" s="85"/>
    </row>
    <row r="122">
      <c r="C122" s="6"/>
      <c r="D122" s="77" t="s">
        <v>148</v>
      </c>
      <c r="E122" s="77">
        <v>0.5</v>
      </c>
      <c r="F122" s="78">
        <v>60.0</v>
      </c>
      <c r="G122" s="79">
        <f t="shared" si="1"/>
        <v>30</v>
      </c>
      <c r="H122" s="85"/>
    </row>
    <row r="123">
      <c r="C123" s="6"/>
      <c r="D123" s="77" t="s">
        <v>163</v>
      </c>
      <c r="E123" s="77">
        <v>150.0</v>
      </c>
      <c r="F123" s="78">
        <v>40.0</v>
      </c>
      <c r="G123" s="79">
        <f t="shared" si="1"/>
        <v>6000</v>
      </c>
      <c r="H123" s="85"/>
    </row>
    <row r="124">
      <c r="C124" s="6"/>
      <c r="D124" s="77" t="s">
        <v>158</v>
      </c>
      <c r="E124" s="77">
        <v>1.0</v>
      </c>
      <c r="F124" s="78">
        <v>1000.0</v>
      </c>
      <c r="G124" s="79">
        <f t="shared" si="1"/>
        <v>1000</v>
      </c>
      <c r="H124" s="85"/>
    </row>
    <row r="125">
      <c r="C125" s="6"/>
      <c r="D125" s="77" t="s">
        <v>164</v>
      </c>
      <c r="E125" s="77">
        <v>2.0</v>
      </c>
      <c r="F125" s="78">
        <v>1300.0</v>
      </c>
      <c r="G125" s="79">
        <f t="shared" si="1"/>
        <v>2600</v>
      </c>
      <c r="H125" s="85"/>
    </row>
    <row r="126">
      <c r="C126" s="6"/>
      <c r="D126" s="77" t="s">
        <v>147</v>
      </c>
      <c r="E126" s="77">
        <v>15.0</v>
      </c>
      <c r="F126" s="78">
        <v>100.0</v>
      </c>
      <c r="G126" s="79">
        <f t="shared" si="1"/>
        <v>1500</v>
      </c>
      <c r="H126" s="86"/>
    </row>
    <row r="127">
      <c r="C127" s="6"/>
      <c r="D127" s="77" t="s">
        <v>165</v>
      </c>
      <c r="E127" s="77">
        <v>5.0</v>
      </c>
      <c r="F127" s="78">
        <v>220.0</v>
      </c>
      <c r="G127" s="79">
        <f t="shared" si="1"/>
        <v>1100</v>
      </c>
      <c r="H127" s="85"/>
    </row>
    <row r="128">
      <c r="C128" s="6"/>
      <c r="D128" s="77" t="s">
        <v>166</v>
      </c>
      <c r="E128" s="77">
        <v>2.0</v>
      </c>
      <c r="F128" s="78">
        <v>100.0</v>
      </c>
      <c r="G128" s="79">
        <f t="shared" si="1"/>
        <v>200</v>
      </c>
      <c r="H128" s="85"/>
    </row>
    <row r="129">
      <c r="C129" s="6"/>
      <c r="D129" s="77" t="s">
        <v>111</v>
      </c>
      <c r="E129" s="77">
        <v>3.0</v>
      </c>
      <c r="F129" s="78">
        <v>220.0</v>
      </c>
      <c r="G129" s="79">
        <f t="shared" si="1"/>
        <v>660</v>
      </c>
      <c r="H129" s="85"/>
    </row>
    <row r="130">
      <c r="C130" s="6"/>
      <c r="D130" s="77" t="s">
        <v>167</v>
      </c>
      <c r="E130" s="77">
        <v>1.0</v>
      </c>
      <c r="F130" s="78">
        <v>1300.0</v>
      </c>
      <c r="G130" s="79">
        <f t="shared" si="1"/>
        <v>1300</v>
      </c>
      <c r="H130" s="85"/>
    </row>
    <row r="131">
      <c r="C131" s="6"/>
      <c r="D131" s="77" t="s">
        <v>165</v>
      </c>
      <c r="E131" s="77">
        <v>5.0</v>
      </c>
      <c r="F131" s="78">
        <v>180.0</v>
      </c>
      <c r="G131" s="79">
        <f t="shared" si="1"/>
        <v>900</v>
      </c>
      <c r="H131" s="85"/>
    </row>
    <row r="132">
      <c r="C132" s="6"/>
      <c r="D132" s="77" t="s">
        <v>168</v>
      </c>
      <c r="E132" s="77">
        <v>3.0</v>
      </c>
      <c r="F132" s="78">
        <v>220.0</v>
      </c>
      <c r="G132" s="79">
        <f t="shared" si="1"/>
        <v>660</v>
      </c>
      <c r="H132" s="85"/>
    </row>
    <row r="133">
      <c r="C133" s="6"/>
      <c r="D133" s="77" t="s">
        <v>169</v>
      </c>
      <c r="E133" s="77">
        <v>1.0</v>
      </c>
      <c r="F133" s="78">
        <v>300.0</v>
      </c>
      <c r="G133" s="79">
        <f t="shared" si="1"/>
        <v>300</v>
      </c>
      <c r="H133" s="85"/>
    </row>
    <row r="134">
      <c r="C134" s="6"/>
      <c r="D134" s="77" t="s">
        <v>170</v>
      </c>
      <c r="E134" s="77">
        <v>1.0</v>
      </c>
      <c r="F134" s="78">
        <v>380.0</v>
      </c>
      <c r="G134" s="79">
        <f t="shared" si="1"/>
        <v>380</v>
      </c>
      <c r="H134" s="85"/>
    </row>
    <row r="135">
      <c r="C135" s="6"/>
      <c r="D135" s="77" t="s">
        <v>161</v>
      </c>
      <c r="E135" s="77">
        <v>1.5</v>
      </c>
      <c r="F135" s="78">
        <v>100.0</v>
      </c>
      <c r="G135" s="79">
        <f t="shared" si="1"/>
        <v>150</v>
      </c>
      <c r="H135" s="85"/>
    </row>
    <row r="136">
      <c r="C136" s="6"/>
      <c r="D136" s="77" t="s">
        <v>148</v>
      </c>
      <c r="E136" s="77">
        <v>1.0</v>
      </c>
      <c r="F136" s="78">
        <v>50.0</v>
      </c>
      <c r="G136" s="79">
        <f t="shared" si="1"/>
        <v>50</v>
      </c>
      <c r="H136" s="85"/>
    </row>
    <row r="137">
      <c r="C137" s="6"/>
      <c r="D137" s="77" t="s">
        <v>152</v>
      </c>
      <c r="E137" s="77">
        <v>1.0</v>
      </c>
      <c r="F137" s="78">
        <v>120.0</v>
      </c>
      <c r="G137" s="79">
        <f t="shared" si="1"/>
        <v>120</v>
      </c>
      <c r="H137" s="85"/>
    </row>
    <row r="138">
      <c r="C138" s="6"/>
      <c r="D138" s="77" t="s">
        <v>151</v>
      </c>
      <c r="E138" s="77">
        <v>1.0</v>
      </c>
      <c r="F138" s="78">
        <v>100.0</v>
      </c>
      <c r="G138" s="79">
        <f t="shared" si="1"/>
        <v>100</v>
      </c>
      <c r="H138" s="85"/>
    </row>
    <row r="139">
      <c r="C139" s="6"/>
      <c r="D139" s="77" t="s">
        <v>157</v>
      </c>
      <c r="E139" s="77">
        <v>10.0</v>
      </c>
      <c r="F139" s="78">
        <v>120.0</v>
      </c>
      <c r="G139" s="79">
        <f t="shared" si="1"/>
        <v>1200</v>
      </c>
      <c r="H139" s="85"/>
    </row>
    <row r="140">
      <c r="C140" s="6"/>
      <c r="D140" s="77" t="s">
        <v>171</v>
      </c>
      <c r="E140" s="77">
        <v>4.0</v>
      </c>
      <c r="F140" s="78">
        <v>250.0</v>
      </c>
      <c r="G140" s="79">
        <f t="shared" si="1"/>
        <v>1000</v>
      </c>
      <c r="H140" s="85"/>
    </row>
    <row r="141">
      <c r="C141" s="6"/>
      <c r="D141" s="77" t="s">
        <v>172</v>
      </c>
      <c r="E141" s="77">
        <v>4.0</v>
      </c>
      <c r="F141" s="78">
        <v>750.0</v>
      </c>
      <c r="G141" s="79">
        <f t="shared" si="1"/>
        <v>3000</v>
      </c>
      <c r="H141" s="85"/>
    </row>
    <row r="142">
      <c r="C142" s="6"/>
      <c r="D142" s="77" t="s">
        <v>149</v>
      </c>
      <c r="E142" s="77">
        <v>1.0</v>
      </c>
      <c r="F142" s="78">
        <v>600.0</v>
      </c>
      <c r="G142" s="79">
        <f t="shared" si="1"/>
        <v>600</v>
      </c>
      <c r="H142" s="85"/>
    </row>
    <row r="143">
      <c r="C143" s="6"/>
      <c r="D143" s="77" t="s">
        <v>147</v>
      </c>
      <c r="E143" s="77">
        <v>30.0</v>
      </c>
      <c r="F143" s="78">
        <v>100.0</v>
      </c>
      <c r="G143" s="79">
        <f t="shared" si="1"/>
        <v>3000</v>
      </c>
      <c r="H143" s="85"/>
    </row>
    <row r="144">
      <c r="C144" s="6"/>
      <c r="D144" s="77" t="s">
        <v>173</v>
      </c>
      <c r="E144" s="77">
        <v>0.5</v>
      </c>
      <c r="F144" s="78">
        <v>600.0</v>
      </c>
      <c r="G144" s="79">
        <f t="shared" si="1"/>
        <v>300</v>
      </c>
      <c r="H144" s="85"/>
    </row>
    <row r="145">
      <c r="C145" s="6"/>
      <c r="D145" s="77" t="s">
        <v>174</v>
      </c>
      <c r="E145" s="77">
        <v>1.0</v>
      </c>
      <c r="F145" s="78">
        <v>200.0</v>
      </c>
      <c r="G145" s="79">
        <f t="shared" si="1"/>
        <v>200</v>
      </c>
      <c r="H145" s="85"/>
    </row>
    <row r="146">
      <c r="C146" s="6"/>
      <c r="D146" s="77" t="s">
        <v>148</v>
      </c>
      <c r="E146" s="77">
        <v>2.0</v>
      </c>
      <c r="F146" s="78">
        <v>50.0</v>
      </c>
      <c r="G146" s="79">
        <f t="shared" si="1"/>
        <v>100</v>
      </c>
      <c r="H146" s="85"/>
    </row>
    <row r="147">
      <c r="C147" s="6"/>
      <c r="D147" s="77" t="s">
        <v>175</v>
      </c>
      <c r="E147" s="77">
        <v>1.0</v>
      </c>
      <c r="F147" s="78">
        <v>100.0</v>
      </c>
      <c r="G147" s="79">
        <f t="shared" si="1"/>
        <v>100</v>
      </c>
      <c r="H147" s="85"/>
    </row>
    <row r="148">
      <c r="C148" s="6"/>
      <c r="D148" s="77" t="s">
        <v>176</v>
      </c>
      <c r="E148" s="77">
        <v>5.0</v>
      </c>
      <c r="F148" s="78">
        <v>30.0</v>
      </c>
      <c r="G148" s="79">
        <f t="shared" si="1"/>
        <v>150</v>
      </c>
      <c r="H148" s="85"/>
    </row>
    <row r="149">
      <c r="C149" s="6"/>
      <c r="D149" s="77" t="s">
        <v>177</v>
      </c>
      <c r="E149" s="77">
        <v>1.0</v>
      </c>
      <c r="F149" s="78">
        <v>30.0</v>
      </c>
      <c r="G149" s="79">
        <f t="shared" si="1"/>
        <v>30</v>
      </c>
      <c r="H149" s="85"/>
    </row>
    <row r="150">
      <c r="C150" s="6"/>
      <c r="D150" s="77" t="s">
        <v>178</v>
      </c>
      <c r="E150" s="77">
        <v>10.0</v>
      </c>
      <c r="F150" s="78">
        <v>60.0</v>
      </c>
      <c r="G150" s="79">
        <f t="shared" si="1"/>
        <v>600</v>
      </c>
      <c r="H150" s="85"/>
    </row>
    <row r="151">
      <c r="C151" s="6"/>
      <c r="D151" s="77" t="s">
        <v>179</v>
      </c>
      <c r="E151" s="77">
        <v>1.0</v>
      </c>
      <c r="F151" s="78">
        <v>650.0</v>
      </c>
      <c r="G151" s="79">
        <f t="shared" si="1"/>
        <v>650</v>
      </c>
      <c r="H151" s="85"/>
    </row>
    <row r="152">
      <c r="C152" s="6"/>
      <c r="D152" s="77" t="s">
        <v>180</v>
      </c>
      <c r="E152" s="77">
        <v>20.0</v>
      </c>
      <c r="F152" s="78">
        <v>20.0</v>
      </c>
      <c r="G152" s="79">
        <f t="shared" si="1"/>
        <v>400</v>
      </c>
      <c r="H152" s="85"/>
    </row>
    <row r="153">
      <c r="C153" s="6"/>
      <c r="D153" s="77" t="s">
        <v>181</v>
      </c>
      <c r="E153" s="77">
        <v>1.0</v>
      </c>
      <c r="F153" s="78">
        <v>100.0</v>
      </c>
      <c r="G153" s="79">
        <f t="shared" si="1"/>
        <v>100</v>
      </c>
      <c r="H153" s="85"/>
    </row>
    <row r="154">
      <c r="C154" s="6"/>
      <c r="D154" s="77" t="s">
        <v>147</v>
      </c>
      <c r="E154" s="77">
        <v>20.0</v>
      </c>
      <c r="F154" s="78">
        <v>100.0</v>
      </c>
      <c r="G154" s="79">
        <f t="shared" si="1"/>
        <v>2000</v>
      </c>
      <c r="H154" s="85"/>
    </row>
    <row r="155">
      <c r="C155" s="6"/>
      <c r="D155" s="77" t="s">
        <v>135</v>
      </c>
      <c r="E155" s="77">
        <v>1.4</v>
      </c>
      <c r="F155" s="78">
        <v>750.0</v>
      </c>
      <c r="G155" s="79">
        <f t="shared" si="1"/>
        <v>1050</v>
      </c>
      <c r="H155" s="85"/>
    </row>
    <row r="156">
      <c r="C156" s="6"/>
      <c r="D156" s="77" t="s">
        <v>182</v>
      </c>
      <c r="E156" s="77">
        <v>10.0</v>
      </c>
      <c r="F156" s="78">
        <v>140.0</v>
      </c>
      <c r="G156" s="79">
        <f t="shared" si="1"/>
        <v>1400</v>
      </c>
      <c r="H156" s="85"/>
    </row>
    <row r="157">
      <c r="C157" s="6"/>
      <c r="D157" s="77" t="s">
        <v>183</v>
      </c>
      <c r="E157" s="77">
        <v>10.0</v>
      </c>
      <c r="F157" s="78">
        <v>170.0</v>
      </c>
      <c r="G157" s="79">
        <f t="shared" si="1"/>
        <v>1700</v>
      </c>
      <c r="H157" s="85"/>
    </row>
    <row r="158">
      <c r="C158" s="6"/>
      <c r="D158" s="77" t="s">
        <v>184</v>
      </c>
      <c r="E158" s="77">
        <v>2.0</v>
      </c>
      <c r="F158" s="78">
        <v>100.0</v>
      </c>
      <c r="G158" s="79">
        <f t="shared" si="1"/>
        <v>200</v>
      </c>
      <c r="H158" s="85"/>
    </row>
    <row r="159">
      <c r="C159" s="6"/>
      <c r="D159" s="77" t="s">
        <v>151</v>
      </c>
      <c r="E159" s="77">
        <v>1.0</v>
      </c>
      <c r="F159" s="78">
        <v>100.0</v>
      </c>
      <c r="G159" s="79">
        <f t="shared" si="1"/>
        <v>100</v>
      </c>
      <c r="H159" s="85"/>
    </row>
    <row r="160">
      <c r="C160" s="6"/>
      <c r="D160" s="77" t="s">
        <v>185</v>
      </c>
      <c r="E160" s="77">
        <v>2.0</v>
      </c>
      <c r="F160" s="78">
        <v>400.0</v>
      </c>
      <c r="G160" s="79">
        <f t="shared" si="1"/>
        <v>800</v>
      </c>
      <c r="H160" s="85"/>
    </row>
    <row r="161">
      <c r="C161" s="6"/>
      <c r="D161" s="77" t="s">
        <v>127</v>
      </c>
      <c r="E161" s="77">
        <v>16.0</v>
      </c>
      <c r="F161" s="78">
        <v>125.0</v>
      </c>
      <c r="G161" s="79">
        <f t="shared" si="1"/>
        <v>2000</v>
      </c>
      <c r="H161" s="85"/>
    </row>
    <row r="162">
      <c r="C162" s="6"/>
      <c r="D162" s="77" t="s">
        <v>137</v>
      </c>
      <c r="E162" s="77">
        <v>1.0</v>
      </c>
      <c r="F162" s="78">
        <v>750.0</v>
      </c>
      <c r="G162" s="79">
        <f t="shared" si="1"/>
        <v>750</v>
      </c>
      <c r="H162" s="85"/>
    </row>
    <row r="163">
      <c r="C163" s="6"/>
      <c r="D163" s="95" t="s">
        <v>186</v>
      </c>
      <c r="E163" s="95">
        <v>1.0</v>
      </c>
      <c r="F163" s="96">
        <v>15190.0</v>
      </c>
      <c r="G163" s="97">
        <f t="shared" si="1"/>
        <v>15190</v>
      </c>
      <c r="H163" s="95" t="s">
        <v>187</v>
      </c>
    </row>
    <row r="164">
      <c r="C164" s="6"/>
      <c r="D164" s="77" t="s">
        <v>188</v>
      </c>
      <c r="E164" s="77">
        <v>8.0</v>
      </c>
      <c r="F164" s="78">
        <v>350.0</v>
      </c>
      <c r="G164" s="79">
        <f t="shared" si="1"/>
        <v>2800</v>
      </c>
      <c r="H164" s="85"/>
    </row>
    <row r="165">
      <c r="C165" s="6"/>
      <c r="D165" s="77" t="s">
        <v>189</v>
      </c>
      <c r="E165" s="77">
        <v>1.0</v>
      </c>
      <c r="F165" s="78">
        <v>190.0</v>
      </c>
      <c r="G165" s="79">
        <f t="shared" si="1"/>
        <v>190</v>
      </c>
      <c r="H165" s="85"/>
    </row>
    <row r="166">
      <c r="C166" s="6"/>
      <c r="D166" s="77" t="s">
        <v>190</v>
      </c>
      <c r="E166" s="77">
        <v>1.0</v>
      </c>
      <c r="F166" s="78">
        <v>165.0</v>
      </c>
      <c r="G166" s="79">
        <f t="shared" si="1"/>
        <v>165</v>
      </c>
      <c r="H166" s="85"/>
    </row>
    <row r="167">
      <c r="C167" s="6"/>
      <c r="D167" s="77" t="s">
        <v>191</v>
      </c>
      <c r="E167" s="77">
        <v>1.0</v>
      </c>
      <c r="F167" s="78">
        <v>310.0</v>
      </c>
      <c r="G167" s="79">
        <f t="shared" si="1"/>
        <v>310</v>
      </c>
      <c r="H167" s="85"/>
    </row>
    <row r="168">
      <c r="C168" s="6"/>
      <c r="D168" s="77" t="s">
        <v>192</v>
      </c>
      <c r="E168" s="77">
        <v>0.5</v>
      </c>
      <c r="F168" s="78">
        <v>1300.0</v>
      </c>
      <c r="G168" s="79">
        <f t="shared" si="1"/>
        <v>650</v>
      </c>
      <c r="H168" s="94">
        <v>45846.0</v>
      </c>
    </row>
    <row r="169">
      <c r="C169" s="6"/>
      <c r="D169" s="77" t="s">
        <v>193</v>
      </c>
      <c r="E169" s="77">
        <v>0.5</v>
      </c>
      <c r="F169" s="78">
        <v>1300.0</v>
      </c>
      <c r="G169" s="79">
        <f t="shared" si="1"/>
        <v>650</v>
      </c>
      <c r="H169" s="85"/>
    </row>
    <row r="170">
      <c r="C170" s="6"/>
      <c r="D170" s="77" t="s">
        <v>135</v>
      </c>
      <c r="E170" s="77">
        <v>2.0</v>
      </c>
      <c r="F170" s="78">
        <v>750.0</v>
      </c>
      <c r="G170" s="79">
        <f t="shared" si="1"/>
        <v>1500</v>
      </c>
      <c r="H170" s="94">
        <v>45847.0</v>
      </c>
    </row>
    <row r="171">
      <c r="C171" s="6"/>
      <c r="D171" s="77" t="s">
        <v>136</v>
      </c>
      <c r="E171" s="77">
        <v>2.0</v>
      </c>
      <c r="F171" s="78">
        <v>750.0</v>
      </c>
      <c r="G171" s="79">
        <f t="shared" si="1"/>
        <v>1500</v>
      </c>
      <c r="H171" s="85"/>
    </row>
    <row r="172">
      <c r="C172" s="6"/>
      <c r="D172" s="77" t="s">
        <v>194</v>
      </c>
      <c r="E172" s="77">
        <v>0.5</v>
      </c>
      <c r="F172" s="78">
        <v>200.0</v>
      </c>
      <c r="G172" s="79">
        <f t="shared" si="1"/>
        <v>100</v>
      </c>
      <c r="H172" s="85"/>
    </row>
    <row r="173">
      <c r="C173" s="6"/>
      <c r="D173" s="77" t="s">
        <v>195</v>
      </c>
      <c r="E173" s="77">
        <v>1.5</v>
      </c>
      <c r="F173" s="78">
        <v>1200.0</v>
      </c>
      <c r="G173" s="79">
        <f t="shared" si="1"/>
        <v>1800</v>
      </c>
      <c r="H173" s="85"/>
    </row>
    <row r="174">
      <c r="C174" s="6"/>
      <c r="D174" s="77" t="s">
        <v>196</v>
      </c>
      <c r="E174" s="77">
        <v>0.5</v>
      </c>
      <c r="F174" s="78">
        <v>1200.0</v>
      </c>
      <c r="G174" s="79">
        <f t="shared" si="1"/>
        <v>600</v>
      </c>
      <c r="H174" s="85"/>
    </row>
    <row r="175">
      <c r="C175" s="6"/>
      <c r="D175" s="77" t="s">
        <v>166</v>
      </c>
      <c r="E175" s="77">
        <v>1.0</v>
      </c>
      <c r="F175" s="78">
        <v>100.0</v>
      </c>
      <c r="G175" s="79">
        <f t="shared" si="1"/>
        <v>100</v>
      </c>
      <c r="H175" s="85"/>
    </row>
    <row r="176">
      <c r="C176" s="6"/>
      <c r="D176" s="77" t="s">
        <v>197</v>
      </c>
      <c r="E176" s="77">
        <v>1.0</v>
      </c>
      <c r="F176" s="78">
        <v>150.0</v>
      </c>
      <c r="G176" s="79">
        <f t="shared" si="1"/>
        <v>150</v>
      </c>
      <c r="H176" s="85"/>
    </row>
    <row r="177">
      <c r="C177" s="6"/>
      <c r="D177" s="77" t="s">
        <v>148</v>
      </c>
      <c r="E177" s="77">
        <v>2.0</v>
      </c>
      <c r="F177" s="78">
        <v>50.0</v>
      </c>
      <c r="G177" s="79">
        <f t="shared" si="1"/>
        <v>100</v>
      </c>
      <c r="H177" s="85"/>
    </row>
    <row r="178">
      <c r="C178" s="6"/>
      <c r="D178" s="77" t="s">
        <v>158</v>
      </c>
      <c r="E178" s="77">
        <v>1.0</v>
      </c>
      <c r="F178" s="78">
        <v>650.0</v>
      </c>
      <c r="G178" s="79">
        <f t="shared" si="1"/>
        <v>650</v>
      </c>
      <c r="H178" s="85"/>
    </row>
    <row r="179">
      <c r="C179" s="6"/>
      <c r="D179" s="77" t="s">
        <v>175</v>
      </c>
      <c r="E179" s="77">
        <v>3.0</v>
      </c>
      <c r="F179" s="78">
        <v>100.0</v>
      </c>
      <c r="G179" s="79">
        <f t="shared" si="1"/>
        <v>300</v>
      </c>
      <c r="H179" s="85"/>
    </row>
    <row r="180">
      <c r="C180" s="6"/>
      <c r="D180" s="77" t="s">
        <v>147</v>
      </c>
      <c r="E180" s="77">
        <v>10.0</v>
      </c>
      <c r="F180" s="78">
        <v>100.0</v>
      </c>
      <c r="G180" s="79">
        <f t="shared" si="1"/>
        <v>1000</v>
      </c>
      <c r="H180" s="94">
        <v>45849.0</v>
      </c>
    </row>
    <row r="181">
      <c r="C181" s="6"/>
      <c r="D181" s="77" t="s">
        <v>148</v>
      </c>
      <c r="E181" s="77">
        <v>2.0</v>
      </c>
      <c r="F181" s="78">
        <v>100.0</v>
      </c>
      <c r="G181" s="79">
        <f t="shared" si="1"/>
        <v>200</v>
      </c>
      <c r="H181" s="85"/>
    </row>
    <row r="182">
      <c r="C182" s="6"/>
      <c r="D182" s="77" t="s">
        <v>106</v>
      </c>
      <c r="E182" s="77">
        <v>4.0</v>
      </c>
      <c r="F182" s="78">
        <v>350.0</v>
      </c>
      <c r="G182" s="79">
        <f t="shared" si="1"/>
        <v>1400</v>
      </c>
      <c r="H182" s="85"/>
    </row>
    <row r="183">
      <c r="C183" s="6"/>
      <c r="D183" s="77" t="s">
        <v>198</v>
      </c>
      <c r="E183" s="77">
        <v>33.0</v>
      </c>
      <c r="F183" s="78">
        <v>100.0</v>
      </c>
      <c r="G183" s="79">
        <f t="shared" si="1"/>
        <v>3300</v>
      </c>
      <c r="H183" s="85"/>
    </row>
    <row r="184">
      <c r="C184" s="6"/>
      <c r="D184" s="77" t="s">
        <v>199</v>
      </c>
      <c r="E184" s="77">
        <v>1.0</v>
      </c>
      <c r="F184" s="78">
        <v>650.0</v>
      </c>
      <c r="G184" s="79">
        <f t="shared" si="1"/>
        <v>650</v>
      </c>
      <c r="H184" s="85"/>
    </row>
    <row r="185">
      <c r="C185" s="6"/>
      <c r="D185" s="77" t="s">
        <v>200</v>
      </c>
      <c r="E185" s="77">
        <v>1.0</v>
      </c>
      <c r="F185" s="78">
        <v>650.0</v>
      </c>
      <c r="G185" s="79">
        <f t="shared" si="1"/>
        <v>650</v>
      </c>
      <c r="H185" s="85"/>
    </row>
    <row r="186">
      <c r="C186" s="6"/>
      <c r="D186" s="77" t="s">
        <v>136</v>
      </c>
      <c r="E186" s="77">
        <v>2.0</v>
      </c>
      <c r="F186" s="78">
        <v>650.0</v>
      </c>
      <c r="G186" s="79">
        <f t="shared" si="1"/>
        <v>1300</v>
      </c>
      <c r="H186" s="85"/>
    </row>
    <row r="187">
      <c r="C187" s="6"/>
      <c r="D187" s="77" t="s">
        <v>135</v>
      </c>
      <c r="E187" s="77">
        <v>2.0</v>
      </c>
      <c r="F187" s="78">
        <v>650.0</v>
      </c>
      <c r="G187" s="79">
        <f t="shared" si="1"/>
        <v>1300</v>
      </c>
      <c r="H187" s="85"/>
    </row>
    <row r="188">
      <c r="C188" s="6"/>
      <c r="D188" s="77" t="s">
        <v>195</v>
      </c>
      <c r="E188" s="77">
        <v>1.5</v>
      </c>
      <c r="F188" s="78">
        <v>1200.0</v>
      </c>
      <c r="G188" s="79">
        <f t="shared" si="1"/>
        <v>1800</v>
      </c>
      <c r="H188" s="85"/>
    </row>
    <row r="189">
      <c r="C189" s="6"/>
      <c r="D189" s="77" t="s">
        <v>201</v>
      </c>
      <c r="E189" s="77">
        <v>1.0</v>
      </c>
      <c r="F189" s="78">
        <v>700.0</v>
      </c>
      <c r="G189" s="79">
        <f t="shared" si="1"/>
        <v>700</v>
      </c>
      <c r="H189" s="85"/>
    </row>
    <row r="190">
      <c r="C190" s="6"/>
      <c r="D190" s="77" t="s">
        <v>202</v>
      </c>
      <c r="E190" s="77">
        <v>1.0</v>
      </c>
      <c r="F190" s="78">
        <v>500.0</v>
      </c>
      <c r="G190" s="79">
        <f t="shared" si="1"/>
        <v>500</v>
      </c>
      <c r="H190" s="85"/>
    </row>
    <row r="191">
      <c r="C191" s="6"/>
      <c r="D191" s="98" t="s">
        <v>203</v>
      </c>
      <c r="E191" s="98">
        <v>1.0</v>
      </c>
      <c r="F191" s="99">
        <v>3000.0</v>
      </c>
      <c r="G191" s="100">
        <f t="shared" si="1"/>
        <v>3000</v>
      </c>
      <c r="H191" s="101">
        <v>45844.0</v>
      </c>
    </row>
    <row r="192">
      <c r="C192" s="6"/>
      <c r="D192" s="77" t="s">
        <v>204</v>
      </c>
      <c r="E192" s="77">
        <v>1.0</v>
      </c>
      <c r="F192" s="78">
        <v>600.0</v>
      </c>
      <c r="G192" s="79">
        <f t="shared" si="1"/>
        <v>600</v>
      </c>
      <c r="H192" s="85"/>
    </row>
    <row r="193">
      <c r="C193" s="6"/>
      <c r="D193" s="77" t="s">
        <v>135</v>
      </c>
      <c r="E193" s="77">
        <v>2.0</v>
      </c>
      <c r="F193" s="78">
        <v>650.0</v>
      </c>
      <c r="G193" s="79">
        <f t="shared" si="1"/>
        <v>1300</v>
      </c>
      <c r="H193" s="94">
        <v>45850.0</v>
      </c>
    </row>
    <row r="194">
      <c r="C194" s="6"/>
      <c r="D194" s="77" t="s">
        <v>205</v>
      </c>
      <c r="E194" s="77">
        <v>1.0</v>
      </c>
      <c r="F194" s="78">
        <v>650.0</v>
      </c>
      <c r="G194" s="79">
        <f t="shared" si="1"/>
        <v>650</v>
      </c>
      <c r="H194" s="85"/>
    </row>
    <row r="195">
      <c r="C195" s="6"/>
      <c r="D195" s="77" t="s">
        <v>147</v>
      </c>
      <c r="E195" s="77">
        <v>5.0</v>
      </c>
      <c r="F195" s="78">
        <v>100.0</v>
      </c>
      <c r="G195" s="79">
        <f t="shared" si="1"/>
        <v>500</v>
      </c>
      <c r="H195" s="85"/>
    </row>
    <row r="196">
      <c r="C196" s="6"/>
      <c r="D196" s="77" t="s">
        <v>145</v>
      </c>
      <c r="E196" s="77">
        <v>4.0</v>
      </c>
      <c r="F196" s="78">
        <v>50.0</v>
      </c>
      <c r="G196" s="79">
        <f t="shared" si="1"/>
        <v>200</v>
      </c>
      <c r="H196" s="85"/>
    </row>
    <row r="197">
      <c r="C197" s="6"/>
      <c r="D197" s="77" t="s">
        <v>206</v>
      </c>
      <c r="E197" s="77">
        <v>2.0</v>
      </c>
      <c r="F197" s="78">
        <v>400.0</v>
      </c>
      <c r="G197" s="79">
        <f t="shared" si="1"/>
        <v>800</v>
      </c>
      <c r="H197" s="85"/>
    </row>
    <row r="198">
      <c r="C198" s="6"/>
      <c r="D198" s="77" t="s">
        <v>175</v>
      </c>
      <c r="E198" s="77">
        <v>1.0</v>
      </c>
      <c r="F198" s="78">
        <v>100.0</v>
      </c>
      <c r="G198" s="79">
        <f t="shared" si="1"/>
        <v>100</v>
      </c>
      <c r="H198" s="85"/>
    </row>
    <row r="199">
      <c r="C199" s="6"/>
      <c r="D199" s="77" t="s">
        <v>176</v>
      </c>
      <c r="E199" s="77">
        <v>5.0</v>
      </c>
      <c r="F199" s="78">
        <v>30.0</v>
      </c>
      <c r="G199" s="79">
        <f t="shared" si="1"/>
        <v>150</v>
      </c>
      <c r="H199" s="85"/>
    </row>
    <row r="200">
      <c r="C200" s="6"/>
      <c r="D200" s="77" t="s">
        <v>177</v>
      </c>
      <c r="E200" s="77">
        <v>1.0</v>
      </c>
      <c r="F200" s="78">
        <v>30.0</v>
      </c>
      <c r="G200" s="79">
        <f t="shared" si="1"/>
        <v>30</v>
      </c>
      <c r="H200" s="85"/>
    </row>
    <row r="201">
      <c r="C201" s="6"/>
      <c r="D201" s="77" t="s">
        <v>207</v>
      </c>
      <c r="E201" s="77">
        <v>25.0</v>
      </c>
      <c r="F201" s="78">
        <v>100.0</v>
      </c>
      <c r="G201" s="79">
        <f t="shared" si="1"/>
        <v>2500</v>
      </c>
      <c r="H201" s="85"/>
    </row>
    <row r="202">
      <c r="C202" s="6"/>
      <c r="D202" s="77" t="s">
        <v>208</v>
      </c>
      <c r="E202" s="77">
        <v>5.0</v>
      </c>
      <c r="F202" s="78">
        <v>1400.0</v>
      </c>
      <c r="G202" s="79">
        <f t="shared" si="1"/>
        <v>7000</v>
      </c>
      <c r="H202" s="85"/>
    </row>
    <row r="203">
      <c r="C203" s="6"/>
      <c r="D203" s="77" t="s">
        <v>209</v>
      </c>
      <c r="E203" s="77">
        <v>4.0</v>
      </c>
      <c r="F203" s="78">
        <v>100.0</v>
      </c>
      <c r="G203" s="79">
        <f t="shared" si="1"/>
        <v>400</v>
      </c>
      <c r="H203" s="85"/>
    </row>
    <row r="204">
      <c r="C204" s="6"/>
      <c r="D204" s="77" t="s">
        <v>210</v>
      </c>
      <c r="E204" s="77">
        <v>4.0</v>
      </c>
      <c r="F204" s="78">
        <v>150.0</v>
      </c>
      <c r="G204" s="79">
        <f t="shared" si="1"/>
        <v>600</v>
      </c>
      <c r="H204" s="85"/>
    </row>
    <row r="205">
      <c r="C205" s="6"/>
      <c r="D205" s="77" t="s">
        <v>211</v>
      </c>
      <c r="E205" s="77">
        <v>1.0</v>
      </c>
      <c r="F205" s="78">
        <v>400.0</v>
      </c>
      <c r="G205" s="79">
        <f t="shared" si="1"/>
        <v>400</v>
      </c>
      <c r="H205" s="85"/>
    </row>
    <row r="206">
      <c r="C206" s="6"/>
      <c r="D206" s="77" t="s">
        <v>212</v>
      </c>
      <c r="E206" s="77">
        <v>1.0</v>
      </c>
      <c r="F206" s="78">
        <v>500.0</v>
      </c>
      <c r="G206" s="79">
        <f t="shared" si="1"/>
        <v>500</v>
      </c>
      <c r="H206" s="85"/>
    </row>
    <row r="207">
      <c r="C207" s="6"/>
      <c r="D207" s="77" t="s">
        <v>213</v>
      </c>
      <c r="E207" s="77">
        <v>10.0</v>
      </c>
      <c r="F207" s="78">
        <v>198.0</v>
      </c>
      <c r="G207" s="79">
        <f t="shared" si="1"/>
        <v>1980</v>
      </c>
      <c r="H207" s="85"/>
    </row>
    <row r="208">
      <c r="C208" s="6"/>
      <c r="D208" s="77" t="s">
        <v>214</v>
      </c>
      <c r="E208" s="77">
        <v>1.0</v>
      </c>
      <c r="F208" s="78">
        <v>350.0</v>
      </c>
      <c r="G208" s="79">
        <f t="shared" si="1"/>
        <v>350</v>
      </c>
      <c r="H208" s="85"/>
    </row>
    <row r="209">
      <c r="C209" s="6"/>
      <c r="D209" s="77" t="s">
        <v>215</v>
      </c>
      <c r="E209" s="77">
        <v>1.0</v>
      </c>
      <c r="F209" s="78">
        <v>150.0</v>
      </c>
      <c r="G209" s="79">
        <f t="shared" si="1"/>
        <v>150</v>
      </c>
      <c r="H209" s="94">
        <v>45851.0</v>
      </c>
    </row>
    <row r="210">
      <c r="C210" s="6"/>
      <c r="D210" s="77" t="s">
        <v>147</v>
      </c>
      <c r="E210" s="77">
        <v>1.0</v>
      </c>
      <c r="F210" s="78">
        <v>150.0</v>
      </c>
      <c r="G210" s="79">
        <f t="shared" si="1"/>
        <v>150</v>
      </c>
      <c r="H210" s="85"/>
    </row>
    <row r="211">
      <c r="C211" s="6"/>
      <c r="D211" s="77" t="s">
        <v>118</v>
      </c>
      <c r="E211" s="77">
        <v>1.0</v>
      </c>
      <c r="F211" s="78">
        <v>320.0</v>
      </c>
      <c r="G211" s="79">
        <f t="shared" si="1"/>
        <v>320</v>
      </c>
      <c r="H211" s="85"/>
    </row>
    <row r="212">
      <c r="C212" s="6"/>
      <c r="D212" s="77" t="s">
        <v>175</v>
      </c>
      <c r="E212" s="77">
        <v>1.0</v>
      </c>
      <c r="F212" s="78">
        <v>100.0</v>
      </c>
      <c r="G212" s="79">
        <f t="shared" si="1"/>
        <v>100</v>
      </c>
      <c r="H212" s="85"/>
    </row>
    <row r="213">
      <c r="C213" s="6"/>
      <c r="D213" s="77" t="s">
        <v>102</v>
      </c>
      <c r="E213" s="77">
        <v>6.0</v>
      </c>
      <c r="F213" s="78">
        <v>950.0</v>
      </c>
      <c r="G213" s="79">
        <f t="shared" si="1"/>
        <v>5700</v>
      </c>
      <c r="H213" s="85"/>
    </row>
    <row r="214">
      <c r="C214" s="6"/>
      <c r="D214" s="77" t="s">
        <v>127</v>
      </c>
      <c r="E214" s="77">
        <v>23.0</v>
      </c>
      <c r="F214" s="78">
        <v>125.0</v>
      </c>
      <c r="G214" s="79">
        <f t="shared" si="1"/>
        <v>2875</v>
      </c>
      <c r="H214" s="85"/>
    </row>
    <row r="215">
      <c r="C215" s="6"/>
      <c r="D215" s="77" t="s">
        <v>216</v>
      </c>
      <c r="E215" s="77">
        <v>2.0</v>
      </c>
      <c r="F215" s="78">
        <v>480.0</v>
      </c>
      <c r="G215" s="79">
        <f t="shared" si="1"/>
        <v>960</v>
      </c>
      <c r="H215" s="85"/>
    </row>
    <row r="216">
      <c r="C216" s="6"/>
      <c r="D216" s="77" t="s">
        <v>217</v>
      </c>
      <c r="E216" s="77">
        <v>6.0</v>
      </c>
      <c r="F216" s="78">
        <v>2130.0</v>
      </c>
      <c r="G216" s="79">
        <f t="shared" si="1"/>
        <v>12780</v>
      </c>
      <c r="H216" s="85"/>
    </row>
    <row r="217">
      <c r="C217" s="6"/>
      <c r="D217" s="77" t="s">
        <v>218</v>
      </c>
      <c r="E217" s="77">
        <v>1.5</v>
      </c>
      <c r="F217" s="78">
        <v>1320.0</v>
      </c>
      <c r="G217" s="79">
        <f t="shared" si="1"/>
        <v>1980</v>
      </c>
      <c r="H217" s="85"/>
    </row>
    <row r="218">
      <c r="C218" s="6"/>
      <c r="D218" s="77" t="s">
        <v>219</v>
      </c>
      <c r="E218" s="77">
        <v>3.1</v>
      </c>
      <c r="F218" s="78">
        <v>1750.0</v>
      </c>
      <c r="G218" s="79">
        <f t="shared" si="1"/>
        <v>5425</v>
      </c>
      <c r="H218" s="85"/>
    </row>
    <row r="219">
      <c r="C219" s="6"/>
      <c r="D219" s="77" t="s">
        <v>133</v>
      </c>
      <c r="E219" s="77">
        <v>12.0</v>
      </c>
      <c r="F219" s="78">
        <v>430.0</v>
      </c>
      <c r="G219" s="79">
        <f t="shared" si="1"/>
        <v>5160</v>
      </c>
      <c r="H219" s="85"/>
    </row>
    <row r="220">
      <c r="C220" s="6"/>
      <c r="D220" s="77" t="s">
        <v>158</v>
      </c>
      <c r="E220" s="77">
        <v>7.0</v>
      </c>
      <c r="F220" s="78">
        <v>450.0</v>
      </c>
      <c r="G220" s="79">
        <f t="shared" si="1"/>
        <v>3150</v>
      </c>
      <c r="H220" s="85"/>
    </row>
    <row r="221">
      <c r="C221" s="6"/>
      <c r="D221" s="77" t="s">
        <v>118</v>
      </c>
      <c r="E221" s="77">
        <v>12.0</v>
      </c>
      <c r="F221" s="78">
        <v>265.0</v>
      </c>
      <c r="G221" s="79">
        <f t="shared" si="1"/>
        <v>3180</v>
      </c>
      <c r="H221" s="85"/>
    </row>
    <row r="222">
      <c r="C222" s="6"/>
      <c r="D222" s="77" t="s">
        <v>117</v>
      </c>
      <c r="E222" s="77">
        <v>8.0</v>
      </c>
      <c r="F222" s="78">
        <v>340.0</v>
      </c>
      <c r="G222" s="79">
        <f t="shared" si="1"/>
        <v>2720</v>
      </c>
      <c r="H222" s="85"/>
    </row>
    <row r="223">
      <c r="C223" s="6"/>
      <c r="D223" s="77" t="s">
        <v>220</v>
      </c>
      <c r="E223" s="77">
        <v>4.0</v>
      </c>
      <c r="F223" s="78">
        <v>1300.0</v>
      </c>
      <c r="G223" s="79">
        <f t="shared" si="1"/>
        <v>5200</v>
      </c>
      <c r="H223" s="85"/>
    </row>
    <row r="224">
      <c r="C224" s="6"/>
      <c r="D224" s="77" t="s">
        <v>124</v>
      </c>
      <c r="E224" s="77">
        <v>18.0</v>
      </c>
      <c r="F224" s="78">
        <v>65.0</v>
      </c>
      <c r="G224" s="79">
        <f t="shared" si="1"/>
        <v>1170</v>
      </c>
      <c r="H224" s="85"/>
    </row>
    <row r="225">
      <c r="C225" s="6"/>
      <c r="D225" s="77" t="s">
        <v>120</v>
      </c>
      <c r="E225" s="77">
        <v>1.0</v>
      </c>
      <c r="F225" s="78">
        <v>950.0</v>
      </c>
      <c r="G225" s="79">
        <f t="shared" si="1"/>
        <v>950</v>
      </c>
      <c r="H225" s="85"/>
    </row>
    <row r="226">
      <c r="C226" s="6"/>
      <c r="D226" s="77" t="s">
        <v>221</v>
      </c>
      <c r="E226" s="77">
        <v>63.0</v>
      </c>
      <c r="F226" s="78">
        <v>15.0</v>
      </c>
      <c r="G226" s="79">
        <f t="shared" si="1"/>
        <v>945</v>
      </c>
      <c r="H226" s="85"/>
    </row>
    <row r="227">
      <c r="C227" s="6"/>
      <c r="D227" s="77" t="s">
        <v>222</v>
      </c>
      <c r="E227" s="77">
        <v>17.0</v>
      </c>
      <c r="F227" s="78">
        <v>117.5</v>
      </c>
      <c r="G227" s="79">
        <f t="shared" si="1"/>
        <v>1997.5</v>
      </c>
      <c r="H227" s="85"/>
    </row>
    <row r="228">
      <c r="C228" s="6"/>
      <c r="D228" s="77" t="s">
        <v>223</v>
      </c>
      <c r="E228" s="77">
        <v>6.0</v>
      </c>
      <c r="F228" s="78">
        <v>245.0</v>
      </c>
      <c r="G228" s="79">
        <f t="shared" si="1"/>
        <v>1470</v>
      </c>
      <c r="H228" s="85"/>
    </row>
    <row r="229">
      <c r="C229" s="6"/>
      <c r="D229" s="77" t="s">
        <v>113</v>
      </c>
      <c r="E229" s="77">
        <v>16.0</v>
      </c>
      <c r="F229" s="78">
        <v>600.0</v>
      </c>
      <c r="G229" s="79">
        <f t="shared" si="1"/>
        <v>9600</v>
      </c>
      <c r="H229" s="94">
        <v>45854.0</v>
      </c>
    </row>
    <row r="230">
      <c r="C230" s="6"/>
      <c r="D230" s="77" t="s">
        <v>224</v>
      </c>
      <c r="E230" s="77">
        <v>240.0</v>
      </c>
      <c r="F230" s="78">
        <v>17.0</v>
      </c>
      <c r="G230" s="79">
        <f t="shared" si="1"/>
        <v>4080</v>
      </c>
      <c r="H230" s="85"/>
    </row>
    <row r="231">
      <c r="C231" s="6"/>
      <c r="D231" s="77" t="s">
        <v>225</v>
      </c>
      <c r="E231" s="77">
        <v>9.0</v>
      </c>
      <c r="F231" s="78">
        <v>178.0</v>
      </c>
      <c r="G231" s="79">
        <f t="shared" si="1"/>
        <v>1602</v>
      </c>
      <c r="H231" s="85"/>
    </row>
    <row r="232">
      <c r="C232" s="6"/>
      <c r="D232" s="77" t="s">
        <v>226</v>
      </c>
      <c r="E232" s="77">
        <v>25.0</v>
      </c>
      <c r="F232" s="78">
        <v>95.0</v>
      </c>
      <c r="G232" s="79">
        <f t="shared" si="1"/>
        <v>2375</v>
      </c>
      <c r="H232" s="85"/>
    </row>
    <row r="233">
      <c r="C233" s="6"/>
      <c r="D233" s="77" t="s">
        <v>175</v>
      </c>
      <c r="E233" s="77">
        <v>1.0</v>
      </c>
      <c r="F233" s="78">
        <v>100.0</v>
      </c>
      <c r="G233" s="79">
        <f t="shared" si="1"/>
        <v>100</v>
      </c>
      <c r="H233" s="85"/>
    </row>
    <row r="234">
      <c r="C234" s="6"/>
      <c r="D234" s="77" t="s">
        <v>227</v>
      </c>
      <c r="E234" s="77">
        <v>10.0</v>
      </c>
      <c r="F234" s="78">
        <v>70.0</v>
      </c>
      <c r="G234" s="79">
        <f t="shared" si="1"/>
        <v>700</v>
      </c>
      <c r="H234" s="85"/>
    </row>
    <row r="235">
      <c r="C235" s="6"/>
      <c r="D235" s="77" t="s">
        <v>78</v>
      </c>
      <c r="E235" s="77">
        <v>14.0</v>
      </c>
      <c r="F235" s="78">
        <v>1000.0</v>
      </c>
      <c r="G235" s="79">
        <f t="shared" si="1"/>
        <v>14000</v>
      </c>
      <c r="H235" s="77" t="s">
        <v>228</v>
      </c>
    </row>
    <row r="236">
      <c r="C236" s="6"/>
      <c r="D236" s="77" t="s">
        <v>185</v>
      </c>
      <c r="E236" s="77">
        <v>1.0</v>
      </c>
      <c r="F236" s="78">
        <v>500.0</v>
      </c>
      <c r="G236" s="79">
        <f t="shared" si="1"/>
        <v>500</v>
      </c>
      <c r="H236" s="85"/>
    </row>
    <row r="237">
      <c r="C237" s="6"/>
      <c r="D237" s="77" t="s">
        <v>229</v>
      </c>
      <c r="E237" s="77">
        <v>2.0</v>
      </c>
      <c r="F237" s="78">
        <v>40.0</v>
      </c>
      <c r="G237" s="79">
        <f t="shared" si="1"/>
        <v>80</v>
      </c>
      <c r="H237" s="85"/>
    </row>
    <row r="238">
      <c r="C238" s="6"/>
      <c r="D238" s="77" t="s">
        <v>230</v>
      </c>
      <c r="E238" s="77">
        <v>1.0</v>
      </c>
      <c r="F238" s="78">
        <v>1200.0</v>
      </c>
      <c r="G238" s="79">
        <f t="shared" si="1"/>
        <v>1200</v>
      </c>
      <c r="H238" s="85"/>
    </row>
    <row r="239">
      <c r="C239" s="6"/>
      <c r="D239" s="77" t="s">
        <v>196</v>
      </c>
      <c r="E239" s="77">
        <v>2.0</v>
      </c>
      <c r="F239" s="78">
        <v>200.0</v>
      </c>
      <c r="G239" s="79">
        <f t="shared" si="1"/>
        <v>400</v>
      </c>
      <c r="H239" s="85"/>
    </row>
    <row r="240">
      <c r="C240" s="6"/>
      <c r="D240" s="77" t="s">
        <v>110</v>
      </c>
      <c r="E240" s="77">
        <v>1.5</v>
      </c>
      <c r="F240" s="78">
        <v>180.0</v>
      </c>
      <c r="G240" s="79">
        <f t="shared" si="1"/>
        <v>270</v>
      </c>
      <c r="H240" s="85"/>
    </row>
    <row r="241">
      <c r="C241" s="6"/>
      <c r="D241" s="77" t="s">
        <v>231</v>
      </c>
      <c r="E241" s="77">
        <v>1.0</v>
      </c>
      <c r="F241" s="78">
        <v>220.0</v>
      </c>
      <c r="G241" s="79">
        <f t="shared" si="1"/>
        <v>220</v>
      </c>
      <c r="H241" s="85"/>
    </row>
    <row r="242">
      <c r="C242" s="6"/>
      <c r="D242" s="77" t="s">
        <v>231</v>
      </c>
      <c r="E242" s="77">
        <v>2.0</v>
      </c>
      <c r="F242" s="78">
        <v>450.0</v>
      </c>
      <c r="G242" s="79">
        <f t="shared" si="1"/>
        <v>900</v>
      </c>
      <c r="H242" s="85"/>
    </row>
    <row r="243">
      <c r="C243" s="6"/>
      <c r="D243" s="77" t="s">
        <v>167</v>
      </c>
      <c r="E243" s="77">
        <v>2.0</v>
      </c>
      <c r="F243" s="78">
        <v>1300.0</v>
      </c>
      <c r="G243" s="79">
        <f t="shared" si="1"/>
        <v>2600</v>
      </c>
      <c r="H243" s="85"/>
    </row>
    <row r="244">
      <c r="C244" s="6"/>
      <c r="D244" s="77" t="s">
        <v>167</v>
      </c>
      <c r="E244" s="77">
        <v>0.3</v>
      </c>
      <c r="F244" s="78">
        <v>1900.0</v>
      </c>
      <c r="G244" s="79">
        <f t="shared" si="1"/>
        <v>570</v>
      </c>
      <c r="H244" s="85"/>
    </row>
    <row r="245">
      <c r="C245" s="6"/>
      <c r="D245" s="77" t="s">
        <v>198</v>
      </c>
      <c r="E245" s="77">
        <v>44.0</v>
      </c>
      <c r="F245" s="78">
        <v>100.0</v>
      </c>
      <c r="G245" s="79">
        <f t="shared" si="1"/>
        <v>4400</v>
      </c>
      <c r="H245" s="94">
        <v>45857.0</v>
      </c>
    </row>
    <row r="246">
      <c r="C246" s="6"/>
      <c r="D246" s="77" t="s">
        <v>232</v>
      </c>
      <c r="E246" s="77">
        <v>2.0</v>
      </c>
      <c r="F246" s="78">
        <v>150.0</v>
      </c>
      <c r="G246" s="79">
        <f t="shared" si="1"/>
        <v>300</v>
      </c>
      <c r="H246" s="85"/>
    </row>
    <row r="247">
      <c r="C247" s="6"/>
      <c r="D247" s="77" t="s">
        <v>233</v>
      </c>
      <c r="E247" s="77">
        <v>10.0</v>
      </c>
      <c r="F247" s="78">
        <v>30.0</v>
      </c>
      <c r="G247" s="79">
        <f t="shared" si="1"/>
        <v>300</v>
      </c>
      <c r="H247" s="94">
        <v>45856.0</v>
      </c>
    </row>
    <row r="248">
      <c r="C248" s="6"/>
      <c r="D248" s="77" t="s">
        <v>175</v>
      </c>
      <c r="E248" s="77">
        <v>2.0</v>
      </c>
      <c r="F248" s="78">
        <v>100.0</v>
      </c>
      <c r="G248" s="79">
        <f t="shared" si="1"/>
        <v>200</v>
      </c>
      <c r="H248" s="85"/>
    </row>
    <row r="249">
      <c r="C249" s="6"/>
      <c r="D249" s="77" t="s">
        <v>177</v>
      </c>
      <c r="E249" s="77">
        <v>1.0</v>
      </c>
      <c r="F249" s="78">
        <v>30.0</v>
      </c>
      <c r="G249" s="79">
        <f t="shared" si="1"/>
        <v>30</v>
      </c>
      <c r="H249" s="85"/>
    </row>
    <row r="250">
      <c r="C250" s="6"/>
      <c r="D250" s="77" t="s">
        <v>234</v>
      </c>
      <c r="E250" s="77">
        <v>1.0</v>
      </c>
      <c r="F250" s="78">
        <v>1400.0</v>
      </c>
      <c r="G250" s="79">
        <f t="shared" si="1"/>
        <v>1400</v>
      </c>
      <c r="H250" s="85"/>
    </row>
    <row r="251">
      <c r="C251" s="6"/>
      <c r="D251" s="77" t="s">
        <v>196</v>
      </c>
      <c r="E251" s="77">
        <v>1.2</v>
      </c>
      <c r="F251" s="78">
        <v>1400.0</v>
      </c>
      <c r="G251" s="79">
        <f t="shared" si="1"/>
        <v>1680</v>
      </c>
      <c r="H251" s="85"/>
    </row>
    <row r="252">
      <c r="C252" s="6"/>
      <c r="D252" s="77" t="s">
        <v>183</v>
      </c>
      <c r="E252" s="77">
        <v>8.0</v>
      </c>
      <c r="F252" s="78">
        <v>200.0</v>
      </c>
      <c r="G252" s="79">
        <f t="shared" si="1"/>
        <v>1600</v>
      </c>
      <c r="H252" s="85"/>
    </row>
    <row r="253">
      <c r="C253" s="6"/>
      <c r="D253" s="77" t="s">
        <v>235</v>
      </c>
      <c r="E253" s="77">
        <v>1.0</v>
      </c>
      <c r="F253" s="78">
        <v>170.0</v>
      </c>
      <c r="G253" s="79">
        <f t="shared" si="1"/>
        <v>170</v>
      </c>
      <c r="H253" s="85"/>
    </row>
    <row r="254">
      <c r="C254" s="6"/>
      <c r="D254" s="77" t="s">
        <v>236</v>
      </c>
      <c r="E254" s="77">
        <v>1.0</v>
      </c>
      <c r="F254" s="78">
        <v>700.0</v>
      </c>
      <c r="G254" s="79">
        <f t="shared" si="1"/>
        <v>700</v>
      </c>
      <c r="H254" s="85"/>
    </row>
    <row r="255">
      <c r="C255" s="6"/>
      <c r="D255" s="77" t="s">
        <v>237</v>
      </c>
      <c r="E255" s="77">
        <v>1.0</v>
      </c>
      <c r="F255" s="78">
        <v>700.0</v>
      </c>
      <c r="G255" s="79">
        <f t="shared" si="1"/>
        <v>700</v>
      </c>
      <c r="H255" s="85"/>
    </row>
    <row r="256">
      <c r="C256" s="6"/>
      <c r="D256" s="77" t="s">
        <v>238</v>
      </c>
      <c r="E256" s="77">
        <v>1.0</v>
      </c>
      <c r="F256" s="78">
        <v>700.0</v>
      </c>
      <c r="G256" s="79">
        <f t="shared" si="1"/>
        <v>700</v>
      </c>
      <c r="H256" s="85"/>
    </row>
    <row r="257">
      <c r="C257" s="6"/>
      <c r="D257" s="77" t="s">
        <v>239</v>
      </c>
      <c r="E257" s="77">
        <v>0.5</v>
      </c>
      <c r="F257" s="78">
        <v>700.0</v>
      </c>
      <c r="G257" s="79">
        <f t="shared" si="1"/>
        <v>350</v>
      </c>
      <c r="H257" s="85"/>
    </row>
    <row r="258">
      <c r="C258" s="6"/>
      <c r="D258" s="77" t="s">
        <v>240</v>
      </c>
      <c r="E258" s="77">
        <v>1.0</v>
      </c>
      <c r="F258" s="78">
        <v>800.0</v>
      </c>
      <c r="G258" s="79">
        <f t="shared" si="1"/>
        <v>800</v>
      </c>
      <c r="H258" s="85"/>
    </row>
    <row r="259">
      <c r="C259" s="6"/>
      <c r="D259" s="77" t="s">
        <v>210</v>
      </c>
      <c r="E259" s="77">
        <v>1.0</v>
      </c>
      <c r="F259" s="78">
        <v>120.0</v>
      </c>
      <c r="G259" s="79">
        <f t="shared" si="1"/>
        <v>120</v>
      </c>
      <c r="H259" s="85"/>
    </row>
    <row r="260">
      <c r="C260" s="6"/>
      <c r="D260" s="77" t="s">
        <v>241</v>
      </c>
      <c r="E260" s="77">
        <v>0.5</v>
      </c>
      <c r="F260" s="78">
        <v>200.0</v>
      </c>
      <c r="G260" s="79">
        <f t="shared" si="1"/>
        <v>100</v>
      </c>
      <c r="H260" s="85"/>
    </row>
    <row r="261">
      <c r="C261" s="6"/>
      <c r="D261" s="77" t="s">
        <v>227</v>
      </c>
      <c r="E261" s="77">
        <v>400.0</v>
      </c>
      <c r="F261" s="78">
        <v>40.0</v>
      </c>
      <c r="G261" s="79">
        <f t="shared" si="1"/>
        <v>16000</v>
      </c>
      <c r="H261" s="85"/>
    </row>
    <row r="262">
      <c r="C262" s="6"/>
      <c r="D262" s="77" t="s">
        <v>242</v>
      </c>
      <c r="E262" s="77">
        <v>2.0</v>
      </c>
      <c r="F262" s="78">
        <v>200.0</v>
      </c>
      <c r="G262" s="79">
        <f t="shared" si="1"/>
        <v>400</v>
      </c>
      <c r="H262" s="85"/>
    </row>
    <row r="263">
      <c r="C263" s="6"/>
      <c r="D263" s="77" t="s">
        <v>243</v>
      </c>
      <c r="E263" s="77">
        <v>10.0</v>
      </c>
      <c r="F263" s="78">
        <v>100.0</v>
      </c>
      <c r="G263" s="79">
        <f t="shared" si="1"/>
        <v>1000</v>
      </c>
      <c r="H263" s="85"/>
    </row>
    <row r="264">
      <c r="C264" s="6"/>
      <c r="D264" s="77" t="s">
        <v>244</v>
      </c>
      <c r="E264" s="77">
        <v>0.5</v>
      </c>
      <c r="F264" s="78">
        <v>200.0</v>
      </c>
      <c r="G264" s="79">
        <f t="shared" si="1"/>
        <v>100</v>
      </c>
      <c r="H264" s="85"/>
    </row>
    <row r="265">
      <c r="C265" s="6"/>
      <c r="D265" s="77" t="s">
        <v>245</v>
      </c>
      <c r="E265" s="77">
        <v>4.0</v>
      </c>
      <c r="F265" s="78">
        <v>65.0</v>
      </c>
      <c r="G265" s="79">
        <f t="shared" si="1"/>
        <v>260</v>
      </c>
      <c r="H265" s="85"/>
    </row>
    <row r="266">
      <c r="C266" s="6"/>
      <c r="D266" s="77" t="s">
        <v>244</v>
      </c>
      <c r="E266" s="77">
        <v>1.0</v>
      </c>
      <c r="F266" s="78">
        <v>160.0</v>
      </c>
      <c r="G266" s="79">
        <f t="shared" si="1"/>
        <v>160</v>
      </c>
      <c r="H266" s="85"/>
    </row>
    <row r="267">
      <c r="C267" s="6"/>
      <c r="D267" s="77" t="s">
        <v>210</v>
      </c>
      <c r="E267" s="77">
        <v>0.5</v>
      </c>
      <c r="F267" s="78">
        <v>120.0</v>
      </c>
      <c r="G267" s="79">
        <f t="shared" si="1"/>
        <v>60</v>
      </c>
      <c r="H267" s="85"/>
    </row>
    <row r="268">
      <c r="C268" s="6"/>
      <c r="D268" s="77" t="s">
        <v>209</v>
      </c>
      <c r="E268" s="77">
        <v>1.0</v>
      </c>
      <c r="F268" s="78">
        <v>100.0</v>
      </c>
      <c r="G268" s="79">
        <f t="shared" si="1"/>
        <v>100</v>
      </c>
      <c r="H268" s="85"/>
    </row>
    <row r="269">
      <c r="C269" s="6"/>
      <c r="D269" s="77" t="s">
        <v>162</v>
      </c>
      <c r="E269" s="77">
        <v>2.5</v>
      </c>
      <c r="F269" s="78">
        <v>60.0</v>
      </c>
      <c r="G269" s="79">
        <f t="shared" si="1"/>
        <v>150</v>
      </c>
      <c r="H269" s="85"/>
    </row>
    <row r="270">
      <c r="C270" s="6"/>
      <c r="D270" s="77" t="s">
        <v>243</v>
      </c>
      <c r="E270" s="77">
        <v>3.0</v>
      </c>
      <c r="F270" s="78">
        <v>120.0</v>
      </c>
      <c r="G270" s="79">
        <f t="shared" si="1"/>
        <v>360</v>
      </c>
      <c r="H270" s="85"/>
    </row>
    <row r="271">
      <c r="C271" s="6"/>
      <c r="D271" s="77" t="s">
        <v>230</v>
      </c>
      <c r="E271" s="77">
        <v>1.0</v>
      </c>
      <c r="F271" s="78">
        <v>1400.0</v>
      </c>
      <c r="G271" s="79">
        <f t="shared" si="1"/>
        <v>1400</v>
      </c>
      <c r="H271" s="85"/>
    </row>
    <row r="272">
      <c r="C272" s="6"/>
      <c r="D272" s="77" t="s">
        <v>246</v>
      </c>
      <c r="E272" s="77">
        <v>1.0</v>
      </c>
      <c r="F272" s="78">
        <v>90.0</v>
      </c>
      <c r="G272" s="79">
        <f t="shared" si="1"/>
        <v>90</v>
      </c>
      <c r="H272" s="85"/>
    </row>
    <row r="273">
      <c r="C273" s="6"/>
      <c r="D273" s="77" t="s">
        <v>238</v>
      </c>
      <c r="E273" s="77">
        <v>2.0</v>
      </c>
      <c r="F273" s="78">
        <v>750.0</v>
      </c>
      <c r="G273" s="79">
        <f t="shared" si="1"/>
        <v>1500</v>
      </c>
      <c r="H273" s="94">
        <v>45852.0</v>
      </c>
    </row>
    <row r="274">
      <c r="C274" s="6"/>
      <c r="D274" s="77" t="s">
        <v>247</v>
      </c>
      <c r="E274" s="77">
        <v>2.0</v>
      </c>
      <c r="F274" s="78">
        <v>750.0</v>
      </c>
      <c r="G274" s="79">
        <f t="shared" si="1"/>
        <v>1500</v>
      </c>
      <c r="H274" s="102"/>
    </row>
    <row r="275">
      <c r="C275" s="6"/>
      <c r="D275" s="77" t="s">
        <v>237</v>
      </c>
      <c r="E275" s="77">
        <v>1.0</v>
      </c>
      <c r="F275" s="78">
        <v>750.0</v>
      </c>
      <c r="G275" s="79">
        <f t="shared" si="1"/>
        <v>750</v>
      </c>
      <c r="H275" s="102"/>
    </row>
    <row r="276">
      <c r="C276" s="6"/>
      <c r="D276" s="77" t="s">
        <v>144</v>
      </c>
      <c r="E276" s="77">
        <v>1.0</v>
      </c>
      <c r="F276" s="78">
        <v>200.0</v>
      </c>
      <c r="G276" s="79">
        <f t="shared" si="1"/>
        <v>200</v>
      </c>
      <c r="H276" s="102"/>
    </row>
    <row r="277">
      <c r="C277" s="6"/>
      <c r="D277" s="77" t="s">
        <v>248</v>
      </c>
      <c r="E277" s="77">
        <v>1.0</v>
      </c>
      <c r="F277" s="78">
        <v>170.0</v>
      </c>
      <c r="G277" s="79">
        <f t="shared" si="1"/>
        <v>170</v>
      </c>
      <c r="H277" s="102"/>
    </row>
    <row r="278">
      <c r="C278" s="6"/>
      <c r="D278" s="77" t="s">
        <v>238</v>
      </c>
      <c r="E278" s="77">
        <v>2.0</v>
      </c>
      <c r="F278" s="78">
        <v>650.0</v>
      </c>
      <c r="G278" s="79">
        <f t="shared" si="1"/>
        <v>1300</v>
      </c>
      <c r="H278" s="103">
        <v>45850.0</v>
      </c>
    </row>
    <row r="279">
      <c r="C279" s="6"/>
      <c r="D279" s="77" t="s">
        <v>137</v>
      </c>
      <c r="E279" s="77">
        <v>1.0</v>
      </c>
      <c r="F279" s="78">
        <v>650.0</v>
      </c>
      <c r="G279" s="79">
        <f t="shared" si="1"/>
        <v>650</v>
      </c>
      <c r="H279" s="102"/>
    </row>
    <row r="280">
      <c r="C280" s="6"/>
      <c r="D280" s="77" t="s">
        <v>249</v>
      </c>
      <c r="E280" s="77">
        <v>1.0</v>
      </c>
      <c r="F280" s="78">
        <v>500.0</v>
      </c>
      <c r="G280" s="79">
        <f t="shared" si="1"/>
        <v>500</v>
      </c>
      <c r="H280" s="103">
        <v>45857.0</v>
      </c>
    </row>
    <row r="281">
      <c r="C281" s="6"/>
      <c r="D281" s="77" t="s">
        <v>250</v>
      </c>
      <c r="E281" s="77">
        <v>1.0</v>
      </c>
      <c r="F281" s="78">
        <v>550.0</v>
      </c>
      <c r="G281" s="79">
        <f t="shared" si="1"/>
        <v>550</v>
      </c>
      <c r="H281" s="102"/>
    </row>
    <row r="282">
      <c r="C282" s="6"/>
      <c r="D282" s="77" t="s">
        <v>251</v>
      </c>
      <c r="E282" s="77">
        <v>3.0</v>
      </c>
      <c r="F282" s="78">
        <v>150.0</v>
      </c>
      <c r="G282" s="79">
        <f t="shared" si="1"/>
        <v>450</v>
      </c>
      <c r="H282" s="102"/>
    </row>
    <row r="283">
      <c r="C283" s="6"/>
      <c r="D283" s="77" t="s">
        <v>252</v>
      </c>
      <c r="E283" s="77">
        <v>1.0</v>
      </c>
      <c r="F283" s="78">
        <v>700.0</v>
      </c>
      <c r="G283" s="79">
        <f t="shared" si="1"/>
        <v>700</v>
      </c>
      <c r="H283" s="86"/>
    </row>
    <row r="284">
      <c r="C284" s="6"/>
      <c r="D284" s="77" t="s">
        <v>253</v>
      </c>
      <c r="E284" s="77">
        <v>1.0</v>
      </c>
      <c r="F284" s="78">
        <v>1000.0</v>
      </c>
      <c r="G284" s="79">
        <f t="shared" si="1"/>
        <v>1000</v>
      </c>
      <c r="H284" s="104" t="s">
        <v>23</v>
      </c>
    </row>
    <row r="285">
      <c r="C285" s="6"/>
      <c r="D285" s="77" t="s">
        <v>166</v>
      </c>
      <c r="E285" s="77">
        <v>78.0</v>
      </c>
      <c r="F285" s="78">
        <v>100.0</v>
      </c>
      <c r="G285" s="79">
        <f t="shared" si="1"/>
        <v>7800</v>
      </c>
      <c r="H285" s="102"/>
    </row>
    <row r="286">
      <c r="C286" s="6"/>
      <c r="D286" s="77" t="s">
        <v>254</v>
      </c>
      <c r="E286" s="77">
        <v>2.0</v>
      </c>
      <c r="F286" s="78">
        <v>250.0</v>
      </c>
      <c r="G286" s="79">
        <f t="shared" si="1"/>
        <v>500</v>
      </c>
      <c r="H286" s="102"/>
    </row>
    <row r="287">
      <c r="C287" s="6"/>
      <c r="D287" s="77" t="s">
        <v>255</v>
      </c>
      <c r="E287" s="77">
        <v>1.0</v>
      </c>
      <c r="F287" s="78">
        <v>180.0</v>
      </c>
      <c r="G287" s="79">
        <f t="shared" si="1"/>
        <v>180</v>
      </c>
      <c r="H287" s="86"/>
    </row>
    <row r="288">
      <c r="C288" s="6"/>
      <c r="D288" s="77" t="s">
        <v>256</v>
      </c>
      <c r="E288" s="77">
        <v>1.0</v>
      </c>
      <c r="F288" s="78">
        <v>750.0</v>
      </c>
      <c r="G288" s="79">
        <f t="shared" si="1"/>
        <v>750</v>
      </c>
      <c r="H288" s="102"/>
    </row>
    <row r="289">
      <c r="C289" s="6"/>
      <c r="D289" s="77" t="s">
        <v>257</v>
      </c>
      <c r="E289" s="77">
        <v>4.0</v>
      </c>
      <c r="F289" s="78">
        <v>40.0</v>
      </c>
      <c r="G289" s="79">
        <f t="shared" si="1"/>
        <v>160</v>
      </c>
      <c r="H289" s="86"/>
    </row>
    <row r="290">
      <c r="C290" s="6"/>
      <c r="D290" s="77" t="s">
        <v>166</v>
      </c>
      <c r="E290" s="77">
        <v>15.0</v>
      </c>
      <c r="F290" s="78">
        <v>100.0</v>
      </c>
      <c r="G290" s="79">
        <f t="shared" si="1"/>
        <v>1500</v>
      </c>
      <c r="H290" s="102"/>
    </row>
    <row r="291">
      <c r="C291" s="6"/>
      <c r="D291" s="77" t="s">
        <v>258</v>
      </c>
      <c r="E291" s="77">
        <v>6.0</v>
      </c>
      <c r="F291" s="78">
        <v>120.0</v>
      </c>
      <c r="G291" s="79">
        <f t="shared" si="1"/>
        <v>720</v>
      </c>
      <c r="H291" s="102"/>
    </row>
    <row r="292">
      <c r="C292" s="6"/>
      <c r="D292" s="77" t="s">
        <v>259</v>
      </c>
      <c r="E292" s="77">
        <v>2.0</v>
      </c>
      <c r="F292" s="78">
        <v>40.0</v>
      </c>
      <c r="G292" s="79">
        <f t="shared" si="1"/>
        <v>80</v>
      </c>
      <c r="H292" s="102"/>
    </row>
    <row r="293">
      <c r="C293" s="6"/>
      <c r="D293" s="77" t="s">
        <v>260</v>
      </c>
      <c r="E293" s="77">
        <v>1.0</v>
      </c>
      <c r="F293" s="78">
        <v>500.0</v>
      </c>
      <c r="G293" s="79">
        <f t="shared" si="1"/>
        <v>500</v>
      </c>
      <c r="H293" s="104" t="s">
        <v>261</v>
      </c>
    </row>
    <row r="294">
      <c r="C294" s="6"/>
      <c r="D294" s="77" t="s">
        <v>136</v>
      </c>
      <c r="E294" s="77">
        <v>8.0</v>
      </c>
      <c r="F294" s="78">
        <v>700.0</v>
      </c>
      <c r="G294" s="79">
        <f t="shared" si="1"/>
        <v>5600</v>
      </c>
      <c r="H294" s="103">
        <v>45862.0</v>
      </c>
    </row>
    <row r="295">
      <c r="C295" s="6"/>
      <c r="D295" s="77" t="s">
        <v>157</v>
      </c>
      <c r="E295" s="77">
        <v>5.0</v>
      </c>
      <c r="F295" s="78">
        <v>160.0</v>
      </c>
      <c r="G295" s="79">
        <f t="shared" si="1"/>
        <v>800</v>
      </c>
      <c r="H295" s="102"/>
    </row>
    <row r="296">
      <c r="C296" s="6"/>
      <c r="D296" s="77" t="s">
        <v>262</v>
      </c>
      <c r="E296" s="77">
        <v>3.0</v>
      </c>
      <c r="F296" s="78">
        <v>450.0</v>
      </c>
      <c r="G296" s="79">
        <f t="shared" si="1"/>
        <v>1350</v>
      </c>
      <c r="H296" s="102"/>
    </row>
    <row r="297">
      <c r="C297" s="6"/>
      <c r="D297" s="77" t="s">
        <v>149</v>
      </c>
      <c r="E297" s="77">
        <v>0.5</v>
      </c>
      <c r="F297" s="78">
        <v>600.0</v>
      </c>
      <c r="G297" s="79">
        <f t="shared" si="1"/>
        <v>300</v>
      </c>
      <c r="H297" s="102"/>
    </row>
    <row r="298">
      <c r="C298" s="6"/>
      <c r="D298" s="77" t="s">
        <v>263</v>
      </c>
      <c r="E298" s="77">
        <v>1.0</v>
      </c>
      <c r="F298" s="78">
        <v>100.0</v>
      </c>
      <c r="G298" s="79">
        <f t="shared" si="1"/>
        <v>100</v>
      </c>
      <c r="H298" s="102"/>
    </row>
    <row r="299">
      <c r="C299" s="6"/>
      <c r="D299" s="77" t="s">
        <v>147</v>
      </c>
      <c r="E299" s="77">
        <v>10.0</v>
      </c>
      <c r="F299" s="78">
        <v>100.0</v>
      </c>
      <c r="G299" s="79">
        <f t="shared" si="1"/>
        <v>1000</v>
      </c>
      <c r="H299" s="102"/>
    </row>
    <row r="300">
      <c r="C300" s="6"/>
      <c r="D300" s="77" t="s">
        <v>175</v>
      </c>
      <c r="E300" s="77">
        <v>1.0</v>
      </c>
      <c r="F300" s="78">
        <v>150.0</v>
      </c>
      <c r="G300" s="79">
        <f t="shared" si="1"/>
        <v>150</v>
      </c>
      <c r="H300" s="102"/>
    </row>
    <row r="301">
      <c r="C301" s="6"/>
      <c r="D301" s="77" t="s">
        <v>264</v>
      </c>
      <c r="E301" s="77">
        <v>3.0</v>
      </c>
      <c r="F301" s="78">
        <v>100.0</v>
      </c>
      <c r="G301" s="79">
        <f t="shared" si="1"/>
        <v>300</v>
      </c>
      <c r="H301" s="102"/>
    </row>
    <row r="302">
      <c r="C302" s="6"/>
      <c r="D302" s="77" t="s">
        <v>265</v>
      </c>
      <c r="E302" s="77">
        <v>2.0</v>
      </c>
      <c r="F302" s="78">
        <v>30.0</v>
      </c>
      <c r="G302" s="79">
        <f t="shared" si="1"/>
        <v>60</v>
      </c>
      <c r="H302" s="102"/>
    </row>
    <row r="303">
      <c r="C303" s="6"/>
      <c r="D303" s="77" t="s">
        <v>206</v>
      </c>
      <c r="E303" s="77">
        <v>3.0</v>
      </c>
      <c r="F303" s="78">
        <v>400.0</v>
      </c>
      <c r="G303" s="79">
        <f t="shared" si="1"/>
        <v>1200</v>
      </c>
      <c r="H303" s="102"/>
    </row>
    <row r="304">
      <c r="C304" s="6"/>
      <c r="D304" s="77" t="s">
        <v>136</v>
      </c>
      <c r="E304" s="77">
        <v>1.0</v>
      </c>
      <c r="F304" s="78">
        <v>850.0</v>
      </c>
      <c r="G304" s="79">
        <f t="shared" si="1"/>
        <v>850</v>
      </c>
      <c r="H304" s="94">
        <v>45861.0</v>
      </c>
    </row>
    <row r="305">
      <c r="C305" s="6"/>
      <c r="D305" s="77" t="s">
        <v>183</v>
      </c>
      <c r="E305" s="77">
        <v>8.0</v>
      </c>
      <c r="F305" s="78">
        <v>200.0</v>
      </c>
      <c r="G305" s="79">
        <f t="shared" si="1"/>
        <v>1600</v>
      </c>
      <c r="H305" s="86"/>
    </row>
    <row r="306">
      <c r="C306" s="6"/>
      <c r="D306" s="77" t="s">
        <v>266</v>
      </c>
      <c r="E306" s="77">
        <v>5.0</v>
      </c>
      <c r="F306" s="78">
        <v>100.0</v>
      </c>
      <c r="G306" s="79">
        <f t="shared" si="1"/>
        <v>500</v>
      </c>
      <c r="H306" s="86"/>
    </row>
    <row r="307">
      <c r="C307" s="6"/>
      <c r="D307" s="77" t="s">
        <v>267</v>
      </c>
      <c r="E307" s="77">
        <v>2.0</v>
      </c>
      <c r="F307" s="78">
        <v>150.0</v>
      </c>
      <c r="G307" s="79">
        <f t="shared" si="1"/>
        <v>300</v>
      </c>
      <c r="H307" s="85"/>
    </row>
    <row r="308">
      <c r="C308" s="6"/>
      <c r="D308" s="77" t="s">
        <v>154</v>
      </c>
      <c r="E308" s="77">
        <v>1.0</v>
      </c>
      <c r="F308" s="78">
        <v>200.0</v>
      </c>
      <c r="G308" s="79">
        <f t="shared" si="1"/>
        <v>200</v>
      </c>
      <c r="H308" s="85"/>
    </row>
    <row r="309">
      <c r="C309" s="6"/>
      <c r="D309" s="77" t="s">
        <v>135</v>
      </c>
      <c r="E309" s="77">
        <v>2.0</v>
      </c>
      <c r="F309" s="78">
        <v>750.0</v>
      </c>
      <c r="G309" s="79">
        <f t="shared" si="1"/>
        <v>1500</v>
      </c>
      <c r="H309" s="94">
        <v>45860.0</v>
      </c>
    </row>
    <row r="310">
      <c r="C310" s="6"/>
      <c r="D310" s="77" t="s">
        <v>136</v>
      </c>
      <c r="E310" s="77">
        <v>2.0</v>
      </c>
      <c r="F310" s="78">
        <v>750.0</v>
      </c>
      <c r="G310" s="79">
        <f t="shared" si="1"/>
        <v>1500</v>
      </c>
      <c r="H310" s="102"/>
    </row>
    <row r="311">
      <c r="C311" s="6"/>
      <c r="D311" s="77" t="s">
        <v>236</v>
      </c>
      <c r="E311" s="77">
        <v>2.0</v>
      </c>
      <c r="F311" s="78">
        <v>750.0</v>
      </c>
      <c r="G311" s="79">
        <f t="shared" si="1"/>
        <v>1500</v>
      </c>
      <c r="H311" s="102"/>
    </row>
    <row r="312">
      <c r="C312" s="6"/>
      <c r="D312" s="77" t="s">
        <v>262</v>
      </c>
      <c r="E312" s="77">
        <v>3.0</v>
      </c>
      <c r="F312" s="78">
        <v>400.0</v>
      </c>
      <c r="G312" s="79">
        <f t="shared" si="1"/>
        <v>1200</v>
      </c>
      <c r="H312" s="102"/>
    </row>
    <row r="313">
      <c r="C313" s="6"/>
      <c r="D313" s="77" t="s">
        <v>257</v>
      </c>
      <c r="E313" s="77">
        <v>4.0</v>
      </c>
      <c r="F313" s="78">
        <v>30.0</v>
      </c>
      <c r="G313" s="79">
        <f t="shared" si="1"/>
        <v>120</v>
      </c>
      <c r="H313" s="102"/>
    </row>
    <row r="314">
      <c r="C314" s="6"/>
      <c r="D314" s="77" t="s">
        <v>268</v>
      </c>
      <c r="E314" s="77">
        <v>2.0</v>
      </c>
      <c r="F314" s="78">
        <v>500.0</v>
      </c>
      <c r="G314" s="79">
        <f t="shared" si="1"/>
        <v>1000</v>
      </c>
      <c r="H314" s="102"/>
    </row>
    <row r="315">
      <c r="C315" s="6"/>
      <c r="D315" s="77" t="s">
        <v>269</v>
      </c>
      <c r="E315" s="77">
        <v>5.0</v>
      </c>
      <c r="F315" s="78">
        <v>500.0</v>
      </c>
      <c r="G315" s="79">
        <f t="shared" si="1"/>
        <v>2500</v>
      </c>
      <c r="H315" s="102"/>
    </row>
    <row r="316">
      <c r="C316" s="6"/>
      <c r="D316" s="77" t="s">
        <v>270</v>
      </c>
      <c r="E316" s="77">
        <v>1.0</v>
      </c>
      <c r="F316" s="78">
        <v>200.0</v>
      </c>
      <c r="G316" s="79">
        <f t="shared" si="1"/>
        <v>200</v>
      </c>
      <c r="H316" s="102"/>
    </row>
    <row r="317">
      <c r="C317" s="6"/>
      <c r="D317" s="77" t="s">
        <v>255</v>
      </c>
      <c r="E317" s="77">
        <v>1.0</v>
      </c>
      <c r="F317" s="78">
        <v>340.0</v>
      </c>
      <c r="G317" s="79">
        <f t="shared" si="1"/>
        <v>340</v>
      </c>
      <c r="H317" s="86"/>
    </row>
    <row r="318">
      <c r="C318" s="6"/>
      <c r="D318" s="77" t="s">
        <v>271</v>
      </c>
      <c r="E318" s="77">
        <v>80.0</v>
      </c>
      <c r="F318" s="78">
        <v>40.0</v>
      </c>
      <c r="G318" s="79">
        <f t="shared" si="1"/>
        <v>3200</v>
      </c>
      <c r="H318" s="102"/>
    </row>
    <row r="319">
      <c r="C319" s="6"/>
      <c r="D319" s="77" t="s">
        <v>272</v>
      </c>
      <c r="E319" s="77">
        <v>2.0</v>
      </c>
      <c r="F319" s="78">
        <v>200.0</v>
      </c>
      <c r="G319" s="79">
        <f t="shared" si="1"/>
        <v>400</v>
      </c>
      <c r="H319" s="81"/>
    </row>
    <row r="320">
      <c r="C320" s="6"/>
      <c r="D320" s="77" t="s">
        <v>273</v>
      </c>
      <c r="E320" s="77">
        <v>1.0</v>
      </c>
      <c r="F320" s="78">
        <v>200.0</v>
      </c>
      <c r="G320" s="79">
        <f t="shared" si="1"/>
        <v>200</v>
      </c>
      <c r="H320" s="81"/>
    </row>
    <row r="321">
      <c r="C321" s="6"/>
      <c r="D321" s="77" t="s">
        <v>274</v>
      </c>
      <c r="E321" s="77">
        <v>1.0</v>
      </c>
      <c r="F321" s="78">
        <v>900.0</v>
      </c>
      <c r="G321" s="79">
        <f t="shared" si="1"/>
        <v>900</v>
      </c>
      <c r="H321" s="81"/>
    </row>
    <row r="322">
      <c r="C322" s="6"/>
      <c r="D322" s="77" t="s">
        <v>273</v>
      </c>
      <c r="E322" s="77">
        <v>2.0</v>
      </c>
      <c r="F322" s="78">
        <v>200.0</v>
      </c>
      <c r="G322" s="79">
        <f t="shared" si="1"/>
        <v>400</v>
      </c>
      <c r="H322" s="84"/>
    </row>
    <row r="323">
      <c r="C323" s="6"/>
      <c r="D323" s="77" t="s">
        <v>275</v>
      </c>
      <c r="E323" s="77">
        <v>1.0</v>
      </c>
      <c r="F323" s="78">
        <v>1200.0</v>
      </c>
      <c r="G323" s="79">
        <f t="shared" si="1"/>
        <v>1200</v>
      </c>
      <c r="H323" s="102"/>
    </row>
    <row r="324">
      <c r="C324" s="6"/>
      <c r="D324" s="77" t="s">
        <v>262</v>
      </c>
      <c r="E324" s="77">
        <v>4.0</v>
      </c>
      <c r="F324" s="78">
        <v>450.0</v>
      </c>
      <c r="G324" s="79">
        <f t="shared" si="1"/>
        <v>1800</v>
      </c>
      <c r="H324" s="84"/>
    </row>
    <row r="325">
      <c r="C325" s="6"/>
      <c r="D325" s="77" t="s">
        <v>135</v>
      </c>
      <c r="E325" s="77">
        <v>2.0</v>
      </c>
      <c r="F325" s="78">
        <v>750.0</v>
      </c>
      <c r="G325" s="79">
        <f t="shared" si="1"/>
        <v>1500</v>
      </c>
      <c r="H325" s="86"/>
    </row>
    <row r="326">
      <c r="C326" s="6"/>
      <c r="D326" s="77" t="s">
        <v>237</v>
      </c>
      <c r="E326" s="77">
        <v>2.0</v>
      </c>
      <c r="F326" s="78">
        <v>750.0</v>
      </c>
      <c r="G326" s="79">
        <f t="shared" si="1"/>
        <v>1500</v>
      </c>
      <c r="H326" s="86"/>
    </row>
    <row r="327">
      <c r="C327" s="6"/>
      <c r="D327" s="77" t="s">
        <v>276</v>
      </c>
      <c r="E327" s="77">
        <v>2.0</v>
      </c>
      <c r="F327" s="78">
        <v>750.0</v>
      </c>
      <c r="G327" s="79">
        <f t="shared" si="1"/>
        <v>1500</v>
      </c>
      <c r="H327" s="102"/>
    </row>
    <row r="328">
      <c r="C328" s="6"/>
      <c r="D328" s="77" t="s">
        <v>277</v>
      </c>
      <c r="E328" s="77">
        <v>1.0</v>
      </c>
      <c r="F328" s="78">
        <v>380.0</v>
      </c>
      <c r="G328" s="79">
        <f t="shared" si="1"/>
        <v>380</v>
      </c>
      <c r="H328" s="81"/>
    </row>
    <row r="329">
      <c r="C329" s="6"/>
      <c r="D329" s="77" t="s">
        <v>278</v>
      </c>
      <c r="E329" s="77">
        <v>1.0</v>
      </c>
      <c r="F329" s="78">
        <v>350.0</v>
      </c>
      <c r="G329" s="79">
        <f t="shared" si="1"/>
        <v>350</v>
      </c>
      <c r="H329" s="81"/>
    </row>
    <row r="330">
      <c r="C330" s="6"/>
      <c r="D330" s="77" t="s">
        <v>279</v>
      </c>
      <c r="E330" s="77">
        <v>1.0</v>
      </c>
      <c r="F330" s="78">
        <v>350.0</v>
      </c>
      <c r="G330" s="79">
        <f t="shared" si="1"/>
        <v>350</v>
      </c>
      <c r="H330" s="81"/>
    </row>
    <row r="331">
      <c r="C331" s="6"/>
      <c r="D331" s="77" t="s">
        <v>196</v>
      </c>
      <c r="E331" s="77">
        <v>30.0</v>
      </c>
      <c r="F331" s="78">
        <v>250.0</v>
      </c>
      <c r="G331" s="79">
        <f t="shared" si="1"/>
        <v>7500</v>
      </c>
      <c r="H331" s="81"/>
    </row>
    <row r="332">
      <c r="C332" s="6"/>
      <c r="D332" s="77" t="s">
        <v>255</v>
      </c>
      <c r="E332" s="77">
        <v>1.0</v>
      </c>
      <c r="F332" s="78">
        <v>1000.0</v>
      </c>
      <c r="G332" s="79">
        <f t="shared" si="1"/>
        <v>1000</v>
      </c>
      <c r="H332" s="84"/>
    </row>
    <row r="333">
      <c r="C333" s="6"/>
      <c r="D333" s="77" t="s">
        <v>128</v>
      </c>
      <c r="E333" s="77">
        <v>0.75</v>
      </c>
      <c r="F333" s="78">
        <v>2200.0</v>
      </c>
      <c r="G333" s="79">
        <f t="shared" si="1"/>
        <v>1650</v>
      </c>
      <c r="H333" s="85"/>
    </row>
    <row r="334">
      <c r="C334" s="6"/>
      <c r="D334" s="77" t="s">
        <v>149</v>
      </c>
      <c r="E334" s="77">
        <v>1.0</v>
      </c>
      <c r="F334" s="78">
        <v>600.0</v>
      </c>
      <c r="G334" s="79">
        <f t="shared" si="1"/>
        <v>600</v>
      </c>
      <c r="H334" s="85"/>
    </row>
    <row r="335">
      <c r="C335" s="6"/>
      <c r="D335" s="77" t="s">
        <v>280</v>
      </c>
      <c r="E335" s="77">
        <v>4.0</v>
      </c>
      <c r="F335" s="78">
        <v>80.0</v>
      </c>
      <c r="G335" s="79">
        <f t="shared" si="1"/>
        <v>320</v>
      </c>
      <c r="H335" s="86"/>
    </row>
    <row r="336">
      <c r="C336" s="6"/>
      <c r="D336" s="77" t="s">
        <v>281</v>
      </c>
      <c r="E336" s="77">
        <v>2.0</v>
      </c>
      <c r="F336" s="78">
        <v>150.0</v>
      </c>
      <c r="G336" s="79">
        <f t="shared" si="1"/>
        <v>300</v>
      </c>
      <c r="H336" s="86"/>
    </row>
    <row r="337">
      <c r="C337" s="6"/>
      <c r="D337" s="77" t="s">
        <v>145</v>
      </c>
      <c r="E337" s="77">
        <v>5.0</v>
      </c>
      <c r="F337" s="78">
        <v>40.0</v>
      </c>
      <c r="G337" s="79">
        <f t="shared" si="1"/>
        <v>200</v>
      </c>
      <c r="H337" s="85"/>
    </row>
    <row r="338">
      <c r="C338" s="6"/>
      <c r="D338" s="77" t="s">
        <v>177</v>
      </c>
      <c r="E338" s="77">
        <v>2.0</v>
      </c>
      <c r="F338" s="78">
        <v>30.0</v>
      </c>
      <c r="G338" s="79">
        <f t="shared" si="1"/>
        <v>60</v>
      </c>
      <c r="H338" s="85"/>
    </row>
    <row r="339">
      <c r="C339" s="6"/>
      <c r="D339" s="77" t="s">
        <v>282</v>
      </c>
      <c r="E339" s="77">
        <v>1.0</v>
      </c>
      <c r="F339" s="78">
        <v>350.0</v>
      </c>
      <c r="G339" s="79">
        <f t="shared" si="1"/>
        <v>350</v>
      </c>
      <c r="H339" s="85"/>
    </row>
    <row r="340">
      <c r="C340" s="6"/>
      <c r="D340" s="77" t="s">
        <v>275</v>
      </c>
      <c r="E340" s="77">
        <v>1.5</v>
      </c>
      <c r="F340" s="78">
        <v>1400.0</v>
      </c>
      <c r="G340" s="79">
        <f t="shared" si="1"/>
        <v>2100</v>
      </c>
      <c r="H340" s="85"/>
    </row>
    <row r="341">
      <c r="C341" s="6"/>
      <c r="D341" s="77" t="s">
        <v>219</v>
      </c>
      <c r="E341" s="77">
        <v>1.3</v>
      </c>
      <c r="F341" s="78">
        <v>1880.0</v>
      </c>
      <c r="G341" s="79">
        <f t="shared" si="1"/>
        <v>2444</v>
      </c>
      <c r="H341" s="85"/>
    </row>
    <row r="342">
      <c r="C342" s="6"/>
      <c r="D342" s="77" t="s">
        <v>220</v>
      </c>
      <c r="E342" s="77">
        <v>3.0</v>
      </c>
      <c r="F342" s="78">
        <v>1300.0</v>
      </c>
      <c r="G342" s="79">
        <f t="shared" si="1"/>
        <v>3900</v>
      </c>
      <c r="H342" s="85"/>
    </row>
    <row r="343">
      <c r="C343" s="6"/>
      <c r="D343" s="77" t="s">
        <v>283</v>
      </c>
      <c r="E343" s="77">
        <v>1.0</v>
      </c>
      <c r="F343" s="78">
        <v>1500.0</v>
      </c>
      <c r="G343" s="79">
        <f t="shared" si="1"/>
        <v>1500</v>
      </c>
      <c r="H343" s="94">
        <v>45866.0</v>
      </c>
    </row>
    <row r="344">
      <c r="C344" s="6"/>
      <c r="D344" s="77" t="s">
        <v>135</v>
      </c>
      <c r="E344" s="77">
        <v>0.5</v>
      </c>
      <c r="F344" s="78">
        <v>600.0</v>
      </c>
      <c r="G344" s="79">
        <f t="shared" si="1"/>
        <v>300</v>
      </c>
      <c r="H344" s="85"/>
    </row>
    <row r="345">
      <c r="C345" s="6"/>
      <c r="D345" s="77" t="s">
        <v>154</v>
      </c>
      <c r="E345" s="77">
        <v>6.0</v>
      </c>
      <c r="F345" s="78">
        <v>190.0</v>
      </c>
      <c r="G345" s="79">
        <f t="shared" si="1"/>
        <v>1140</v>
      </c>
      <c r="H345" s="85"/>
    </row>
    <row r="346">
      <c r="C346" s="6"/>
      <c r="D346" s="77" t="s">
        <v>162</v>
      </c>
      <c r="E346" s="77">
        <v>1.0</v>
      </c>
      <c r="F346" s="78">
        <v>110.0</v>
      </c>
      <c r="G346" s="79">
        <f t="shared" si="1"/>
        <v>110</v>
      </c>
      <c r="H346" s="85"/>
    </row>
    <row r="347">
      <c r="C347" s="6"/>
      <c r="D347" s="105" t="s">
        <v>147</v>
      </c>
      <c r="E347" s="105">
        <v>1.0</v>
      </c>
      <c r="F347" s="106">
        <v>150.0</v>
      </c>
      <c r="G347" s="107">
        <f t="shared" si="1"/>
        <v>150</v>
      </c>
      <c r="H347" s="85"/>
    </row>
    <row r="348">
      <c r="C348" s="6"/>
      <c r="D348" s="77" t="s">
        <v>284</v>
      </c>
      <c r="E348" s="77">
        <v>1.0</v>
      </c>
      <c r="F348" s="78">
        <v>250.0</v>
      </c>
      <c r="G348" s="79">
        <f t="shared" si="1"/>
        <v>250</v>
      </c>
      <c r="H348" s="85"/>
    </row>
    <row r="349">
      <c r="C349" s="6"/>
      <c r="D349" s="77" t="s">
        <v>285</v>
      </c>
      <c r="E349" s="77">
        <v>2.0</v>
      </c>
      <c r="F349" s="78">
        <v>190.0</v>
      </c>
      <c r="G349" s="79">
        <f t="shared" si="1"/>
        <v>380</v>
      </c>
      <c r="H349" s="85"/>
    </row>
    <row r="350">
      <c r="C350" s="6"/>
      <c r="D350" s="77" t="s">
        <v>286</v>
      </c>
      <c r="E350" s="77">
        <v>1.0</v>
      </c>
      <c r="F350" s="78">
        <v>450.0</v>
      </c>
      <c r="G350" s="79">
        <f t="shared" si="1"/>
        <v>450</v>
      </c>
      <c r="H350" s="85"/>
    </row>
    <row r="351">
      <c r="C351" s="6"/>
      <c r="D351" s="77" t="s">
        <v>252</v>
      </c>
      <c r="E351" s="77">
        <v>1.0</v>
      </c>
      <c r="F351" s="78">
        <v>750.0</v>
      </c>
      <c r="G351" s="79">
        <f t="shared" si="1"/>
        <v>750</v>
      </c>
      <c r="H351" s="85"/>
    </row>
    <row r="352">
      <c r="C352" s="6"/>
      <c r="D352" s="77" t="s">
        <v>287</v>
      </c>
      <c r="E352" s="77">
        <v>209.0</v>
      </c>
      <c r="F352" s="78">
        <v>60.0</v>
      </c>
      <c r="G352" s="79">
        <f t="shared" si="1"/>
        <v>12540</v>
      </c>
      <c r="H352" s="94">
        <v>46016.0</v>
      </c>
    </row>
    <row r="353">
      <c r="C353" s="6"/>
      <c r="D353" s="77" t="s">
        <v>133</v>
      </c>
      <c r="E353" s="77">
        <v>2.0</v>
      </c>
      <c r="F353" s="78">
        <v>435.0</v>
      </c>
      <c r="G353" s="79">
        <f t="shared" si="1"/>
        <v>870</v>
      </c>
      <c r="H353" s="85"/>
    </row>
    <row r="354">
      <c r="C354" s="6"/>
      <c r="D354" s="77" t="s">
        <v>288</v>
      </c>
      <c r="E354" s="77">
        <v>1.0</v>
      </c>
      <c r="F354" s="78">
        <v>1000.0</v>
      </c>
      <c r="G354" s="79">
        <f t="shared" si="1"/>
        <v>1000</v>
      </c>
      <c r="H354" s="85"/>
    </row>
    <row r="355">
      <c r="C355" s="6"/>
      <c r="D355" s="77" t="s">
        <v>289</v>
      </c>
      <c r="E355" s="77">
        <v>10.0</v>
      </c>
      <c r="F355" s="78">
        <v>29.0</v>
      </c>
      <c r="G355" s="79">
        <f t="shared" si="1"/>
        <v>290</v>
      </c>
      <c r="H355" s="85"/>
    </row>
    <row r="356">
      <c r="C356" s="6"/>
      <c r="D356" s="77" t="s">
        <v>290</v>
      </c>
      <c r="E356" s="77">
        <v>5.0</v>
      </c>
      <c r="F356" s="78">
        <v>320.0</v>
      </c>
      <c r="G356" s="79">
        <f t="shared" si="1"/>
        <v>1600</v>
      </c>
      <c r="H356" s="85"/>
    </row>
    <row r="357">
      <c r="C357" s="6"/>
      <c r="D357" s="77" t="s">
        <v>118</v>
      </c>
      <c r="E357" s="77">
        <v>5.0</v>
      </c>
      <c r="F357" s="78">
        <v>265.0</v>
      </c>
      <c r="G357" s="79">
        <f t="shared" si="1"/>
        <v>1325</v>
      </c>
      <c r="H357" s="85"/>
    </row>
    <row r="358">
      <c r="C358" s="6"/>
      <c r="D358" s="77" t="s">
        <v>206</v>
      </c>
      <c r="E358" s="77">
        <v>3.0</v>
      </c>
      <c r="F358" s="78">
        <v>400.0</v>
      </c>
      <c r="G358" s="79">
        <f t="shared" si="1"/>
        <v>1200</v>
      </c>
      <c r="H358" s="85"/>
    </row>
    <row r="359">
      <c r="C359" s="6"/>
      <c r="D359" s="77" t="s">
        <v>147</v>
      </c>
      <c r="E359" s="77">
        <v>15.0</v>
      </c>
      <c r="F359" s="78">
        <v>100.0</v>
      </c>
      <c r="G359" s="79">
        <f t="shared" si="1"/>
        <v>1500</v>
      </c>
      <c r="H359" s="85"/>
    </row>
    <row r="360">
      <c r="C360" s="6"/>
      <c r="D360" s="77" t="s">
        <v>227</v>
      </c>
      <c r="E360" s="77">
        <v>341.0</v>
      </c>
      <c r="F360" s="78">
        <v>40.0</v>
      </c>
      <c r="G360" s="79">
        <f t="shared" si="1"/>
        <v>13640</v>
      </c>
      <c r="H360" s="85"/>
    </row>
    <row r="361">
      <c r="C361" s="6"/>
      <c r="D361" s="77" t="s">
        <v>145</v>
      </c>
      <c r="E361" s="77">
        <v>20.0</v>
      </c>
      <c r="F361" s="78">
        <v>50.0</v>
      </c>
      <c r="G361" s="79">
        <f t="shared" si="1"/>
        <v>1000</v>
      </c>
      <c r="H361" s="85"/>
    </row>
    <row r="362">
      <c r="C362" s="6"/>
      <c r="D362" s="77" t="s">
        <v>291</v>
      </c>
      <c r="E362" s="77">
        <v>1.0</v>
      </c>
      <c r="F362" s="78">
        <v>150.0</v>
      </c>
      <c r="G362" s="79">
        <f t="shared" si="1"/>
        <v>150</v>
      </c>
      <c r="H362" s="85"/>
    </row>
    <row r="363">
      <c r="C363" s="6"/>
      <c r="D363" s="77" t="s">
        <v>198</v>
      </c>
      <c r="E363" s="77">
        <v>5.0</v>
      </c>
      <c r="F363" s="78">
        <v>100.0</v>
      </c>
      <c r="G363" s="79">
        <f t="shared" si="1"/>
        <v>500</v>
      </c>
      <c r="H363" s="85"/>
    </row>
    <row r="364">
      <c r="C364" s="6"/>
      <c r="D364" s="77" t="s">
        <v>136</v>
      </c>
      <c r="E364" s="77">
        <v>1.0</v>
      </c>
      <c r="F364" s="78">
        <v>700.0</v>
      </c>
      <c r="G364" s="79">
        <f t="shared" si="1"/>
        <v>700</v>
      </c>
      <c r="H364" s="85"/>
    </row>
    <row r="365">
      <c r="C365" s="6"/>
      <c r="D365" s="77" t="s">
        <v>135</v>
      </c>
      <c r="E365" s="77">
        <v>2.0</v>
      </c>
      <c r="F365" s="78">
        <v>700.0</v>
      </c>
      <c r="G365" s="79">
        <f t="shared" si="1"/>
        <v>1400</v>
      </c>
      <c r="H365" s="85"/>
    </row>
    <row r="366">
      <c r="C366" s="6"/>
      <c r="D366" s="77" t="s">
        <v>236</v>
      </c>
      <c r="E366" s="77">
        <v>2.0</v>
      </c>
      <c r="F366" s="78">
        <v>700.0</v>
      </c>
      <c r="G366" s="79">
        <f t="shared" si="1"/>
        <v>1400</v>
      </c>
      <c r="H366" s="85"/>
    </row>
    <row r="367">
      <c r="C367" s="6"/>
      <c r="D367" s="86"/>
      <c r="E367" s="86"/>
      <c r="F367" s="83"/>
      <c r="G367" s="79">
        <f t="shared" si="1"/>
        <v>0</v>
      </c>
      <c r="H367" s="85"/>
    </row>
    <row r="368">
      <c r="C368" s="6"/>
      <c r="D368" s="77" t="s">
        <v>292</v>
      </c>
      <c r="E368" s="77">
        <v>1.0</v>
      </c>
      <c r="F368" s="78">
        <v>8900.0</v>
      </c>
      <c r="G368" s="79">
        <f t="shared" si="1"/>
        <v>8900</v>
      </c>
      <c r="H368" s="85"/>
      <c r="K368" s="108" t="s">
        <v>293</v>
      </c>
      <c r="L368" s="109">
        <v>80741.54</v>
      </c>
    </row>
    <row r="369">
      <c r="C369" s="6"/>
      <c r="D369" s="77" t="s">
        <v>287</v>
      </c>
      <c r="E369" s="77">
        <v>528.0</v>
      </c>
      <c r="F369" s="78">
        <v>60.0</v>
      </c>
      <c r="G369" s="79">
        <f t="shared" si="1"/>
        <v>31680</v>
      </c>
      <c r="H369" s="77" t="s">
        <v>294</v>
      </c>
      <c r="K369" s="108" t="s">
        <v>295</v>
      </c>
      <c r="L369" s="109">
        <v>30000.0</v>
      </c>
    </row>
    <row r="370">
      <c r="C370" s="6"/>
      <c r="D370" s="77" t="s">
        <v>296</v>
      </c>
      <c r="E370" s="77">
        <v>40.0</v>
      </c>
      <c r="F370" s="78">
        <v>72.0</v>
      </c>
      <c r="G370" s="79">
        <f t="shared" si="1"/>
        <v>2880</v>
      </c>
      <c r="H370" s="85"/>
      <c r="K370" s="108" t="s">
        <v>297</v>
      </c>
      <c r="L370" s="110">
        <f>SUM(L368:L369)</f>
        <v>110741.54</v>
      </c>
    </row>
    <row r="371">
      <c r="C371" s="6"/>
      <c r="D371" s="77" t="s">
        <v>298</v>
      </c>
      <c r="E371" s="77">
        <v>100.0</v>
      </c>
      <c r="F371" s="78">
        <v>10.5</v>
      </c>
      <c r="G371" s="79">
        <f t="shared" si="1"/>
        <v>1050</v>
      </c>
      <c r="H371" s="85"/>
    </row>
    <row r="372">
      <c r="C372" s="6"/>
      <c r="D372" s="77" t="s">
        <v>299</v>
      </c>
      <c r="E372" s="77">
        <v>1.0</v>
      </c>
      <c r="F372" s="78">
        <v>47000.0</v>
      </c>
      <c r="G372" s="79">
        <f t="shared" si="1"/>
        <v>47000</v>
      </c>
      <c r="H372" s="85"/>
    </row>
    <row r="373">
      <c r="C373" s="6"/>
      <c r="D373" s="77" t="s">
        <v>300</v>
      </c>
      <c r="E373" s="77">
        <v>2.0</v>
      </c>
      <c r="F373" s="78">
        <v>4200.0</v>
      </c>
      <c r="G373" s="79">
        <f t="shared" si="1"/>
        <v>8400</v>
      </c>
      <c r="H373" s="94">
        <v>45850.0</v>
      </c>
    </row>
    <row r="374">
      <c r="C374" s="6"/>
      <c r="D374" s="77" t="s">
        <v>301</v>
      </c>
      <c r="E374" s="77">
        <v>1.0</v>
      </c>
      <c r="F374" s="78">
        <v>63700.0</v>
      </c>
      <c r="G374" s="79">
        <f t="shared" si="1"/>
        <v>63700</v>
      </c>
      <c r="H374" s="94">
        <v>45848.0</v>
      </c>
    </row>
    <row r="375">
      <c r="C375" s="6"/>
      <c r="D375" s="77" t="s">
        <v>302</v>
      </c>
      <c r="E375" s="77">
        <v>2.0</v>
      </c>
      <c r="F375" s="78">
        <v>510.0</v>
      </c>
      <c r="G375" s="79">
        <f t="shared" si="1"/>
        <v>1020</v>
      </c>
      <c r="H375" s="85"/>
    </row>
    <row r="376">
      <c r="C376" s="6"/>
      <c r="D376" s="77" t="s">
        <v>303</v>
      </c>
      <c r="E376" s="77">
        <v>2.0</v>
      </c>
      <c r="F376" s="78">
        <v>255.0</v>
      </c>
      <c r="G376" s="79">
        <f t="shared" si="1"/>
        <v>510</v>
      </c>
      <c r="H376" s="85"/>
    </row>
    <row r="377">
      <c r="C377" s="6"/>
      <c r="D377" s="77" t="s">
        <v>304</v>
      </c>
      <c r="E377" s="77">
        <v>2.0</v>
      </c>
      <c r="F377" s="78">
        <v>1050.0</v>
      </c>
      <c r="G377" s="79">
        <f t="shared" si="1"/>
        <v>2100</v>
      </c>
      <c r="H377" s="85"/>
    </row>
    <row r="378">
      <c r="C378" s="6"/>
      <c r="D378" s="77" t="s">
        <v>305</v>
      </c>
      <c r="E378" s="77">
        <v>5.0</v>
      </c>
      <c r="F378" s="78">
        <v>900.0</v>
      </c>
      <c r="G378" s="79">
        <f t="shared" si="1"/>
        <v>4500</v>
      </c>
      <c r="H378" s="85"/>
    </row>
    <row r="379">
      <c r="C379" s="6"/>
      <c r="D379" s="77" t="s">
        <v>306</v>
      </c>
      <c r="E379" s="77">
        <v>2.0</v>
      </c>
      <c r="F379" s="78">
        <v>130.0</v>
      </c>
      <c r="G379" s="79">
        <f t="shared" si="1"/>
        <v>260</v>
      </c>
      <c r="H379" s="85"/>
    </row>
    <row r="380">
      <c r="C380" s="6"/>
      <c r="D380" s="77" t="s">
        <v>307</v>
      </c>
      <c r="E380" s="77">
        <v>4.0</v>
      </c>
      <c r="F380" s="78">
        <v>180.0</v>
      </c>
      <c r="G380" s="79">
        <f t="shared" si="1"/>
        <v>720</v>
      </c>
      <c r="H380" s="85"/>
    </row>
    <row r="381">
      <c r="C381" s="6"/>
      <c r="D381" s="77" t="s">
        <v>308</v>
      </c>
      <c r="E381" s="77">
        <v>34.0</v>
      </c>
      <c r="F381" s="78">
        <v>11.0</v>
      </c>
      <c r="G381" s="79">
        <f t="shared" si="1"/>
        <v>374</v>
      </c>
      <c r="H381" s="85"/>
    </row>
    <row r="382">
      <c r="C382" s="6"/>
      <c r="D382" s="77" t="s">
        <v>309</v>
      </c>
      <c r="E382" s="77">
        <v>100.0</v>
      </c>
      <c r="F382" s="78">
        <v>12.5</v>
      </c>
      <c r="G382" s="79">
        <f t="shared" si="1"/>
        <v>1250</v>
      </c>
      <c r="H382" s="85"/>
    </row>
    <row r="383">
      <c r="C383" s="6"/>
      <c r="D383" s="86" t="s">
        <v>310</v>
      </c>
      <c r="E383" s="77">
        <v>6.0</v>
      </c>
      <c r="F383" s="83">
        <v>80.0</v>
      </c>
      <c r="G383" s="79">
        <f t="shared" si="1"/>
        <v>480</v>
      </c>
      <c r="H383" s="85"/>
    </row>
    <row r="384">
      <c r="C384" s="6"/>
      <c r="D384" s="86" t="s">
        <v>311</v>
      </c>
      <c r="E384" s="77">
        <v>400.0</v>
      </c>
      <c r="F384" s="83">
        <v>1.25</v>
      </c>
      <c r="G384" s="79">
        <f t="shared" si="1"/>
        <v>500</v>
      </c>
      <c r="H384" s="85"/>
    </row>
    <row r="385">
      <c r="C385" s="6"/>
      <c r="D385" s="86" t="s">
        <v>312</v>
      </c>
      <c r="E385" s="77">
        <v>14.0</v>
      </c>
      <c r="F385" s="83">
        <v>112.5</v>
      </c>
      <c r="G385" s="79">
        <f t="shared" si="1"/>
        <v>1575</v>
      </c>
      <c r="H385" s="85"/>
    </row>
    <row r="386">
      <c r="C386" s="6"/>
      <c r="D386" s="86" t="s">
        <v>296</v>
      </c>
      <c r="E386" s="77">
        <v>15.0</v>
      </c>
      <c r="F386" s="83">
        <v>67.5</v>
      </c>
      <c r="G386" s="79">
        <f t="shared" si="1"/>
        <v>1012.5</v>
      </c>
      <c r="H386" s="85"/>
    </row>
    <row r="387">
      <c r="C387" s="6"/>
      <c r="D387" s="86" t="s">
        <v>313</v>
      </c>
      <c r="E387" s="77">
        <v>1.0</v>
      </c>
      <c r="F387" s="83">
        <v>450.0</v>
      </c>
      <c r="G387" s="79">
        <f t="shared" si="1"/>
        <v>450</v>
      </c>
      <c r="H387" s="85"/>
    </row>
    <row r="388">
      <c r="C388" s="6"/>
      <c r="D388" s="86" t="s">
        <v>314</v>
      </c>
      <c r="E388" s="77">
        <v>5.0</v>
      </c>
      <c r="F388" s="83">
        <v>60.0</v>
      </c>
      <c r="G388" s="79">
        <f t="shared" si="1"/>
        <v>300</v>
      </c>
      <c r="H388" s="85"/>
    </row>
    <row r="389">
      <c r="C389" s="6"/>
      <c r="D389" s="86" t="s">
        <v>315</v>
      </c>
      <c r="E389" s="77">
        <v>2.0</v>
      </c>
      <c r="F389" s="83">
        <v>78.0</v>
      </c>
      <c r="G389" s="79">
        <f t="shared" si="1"/>
        <v>156</v>
      </c>
      <c r="H389" s="85"/>
    </row>
    <row r="390">
      <c r="C390" s="6"/>
      <c r="D390" s="86" t="s">
        <v>316</v>
      </c>
      <c r="E390" s="77">
        <v>1.0</v>
      </c>
      <c r="F390" s="83">
        <v>88.0</v>
      </c>
      <c r="G390" s="79">
        <f t="shared" si="1"/>
        <v>88</v>
      </c>
      <c r="H390" s="85"/>
    </row>
    <row r="391">
      <c r="C391" s="6"/>
      <c r="D391" s="86" t="s">
        <v>317</v>
      </c>
      <c r="E391" s="77">
        <v>15.0</v>
      </c>
      <c r="F391" s="83">
        <v>32.0</v>
      </c>
      <c r="G391" s="79">
        <f t="shared" si="1"/>
        <v>480</v>
      </c>
      <c r="H391" s="85"/>
    </row>
    <row r="392">
      <c r="C392" s="6"/>
      <c r="D392" s="86" t="s">
        <v>318</v>
      </c>
      <c r="E392" s="77">
        <v>2.0</v>
      </c>
      <c r="F392" s="83">
        <v>1350.0</v>
      </c>
      <c r="G392" s="79">
        <f t="shared" si="1"/>
        <v>2700</v>
      </c>
      <c r="H392" s="85"/>
    </row>
    <row r="393">
      <c r="C393" s="6"/>
      <c r="D393" s="86" t="s">
        <v>319</v>
      </c>
      <c r="E393" s="86">
        <v>2.0</v>
      </c>
      <c r="F393" s="83">
        <v>100.0</v>
      </c>
      <c r="G393" s="79">
        <f t="shared" si="1"/>
        <v>200</v>
      </c>
      <c r="H393" s="85"/>
    </row>
    <row r="394">
      <c r="C394" s="6"/>
      <c r="D394" s="86" t="s">
        <v>320</v>
      </c>
      <c r="E394" s="86">
        <v>50.0</v>
      </c>
      <c r="F394" s="83">
        <v>15.0</v>
      </c>
      <c r="G394" s="79">
        <f t="shared" si="1"/>
        <v>750</v>
      </c>
      <c r="H394" s="85"/>
    </row>
    <row r="395">
      <c r="C395" s="6"/>
      <c r="D395" s="86" t="s">
        <v>321</v>
      </c>
      <c r="E395" s="77">
        <v>20.0</v>
      </c>
      <c r="F395" s="83">
        <v>41.0</v>
      </c>
      <c r="G395" s="79">
        <f t="shared" si="1"/>
        <v>820</v>
      </c>
      <c r="H395" s="85"/>
    </row>
    <row r="396">
      <c r="C396" s="6"/>
      <c r="D396" s="86" t="s">
        <v>322</v>
      </c>
      <c r="E396" s="77">
        <v>25.0</v>
      </c>
      <c r="F396" s="83">
        <v>37.0</v>
      </c>
      <c r="G396" s="79">
        <f t="shared" si="1"/>
        <v>925</v>
      </c>
      <c r="H396" s="85"/>
    </row>
    <row r="397">
      <c r="C397" s="6"/>
      <c r="D397" s="86" t="s">
        <v>323</v>
      </c>
      <c r="E397" s="77">
        <v>60.0</v>
      </c>
      <c r="F397" s="83">
        <v>35.0</v>
      </c>
      <c r="G397" s="79">
        <f t="shared" si="1"/>
        <v>2100</v>
      </c>
      <c r="H397" s="85"/>
    </row>
    <row r="398">
      <c r="C398" s="6"/>
      <c r="D398" s="86" t="s">
        <v>324</v>
      </c>
      <c r="E398" s="77">
        <v>10.0</v>
      </c>
      <c r="F398" s="83">
        <v>20.0</v>
      </c>
      <c r="G398" s="79">
        <f t="shared" si="1"/>
        <v>200</v>
      </c>
      <c r="H398" s="85"/>
    </row>
    <row r="399">
      <c r="C399" s="6"/>
      <c r="D399" s="86" t="s">
        <v>325</v>
      </c>
      <c r="E399" s="77">
        <v>10.0</v>
      </c>
      <c r="F399" s="83">
        <v>10.0</v>
      </c>
      <c r="G399" s="79">
        <f t="shared" si="1"/>
        <v>100</v>
      </c>
      <c r="H399" s="85"/>
    </row>
    <row r="400">
      <c r="C400" s="6"/>
      <c r="D400" s="86" t="s">
        <v>326</v>
      </c>
      <c r="E400" s="77">
        <v>150.0</v>
      </c>
      <c r="F400" s="83">
        <v>33.0</v>
      </c>
      <c r="G400" s="79">
        <f t="shared" si="1"/>
        <v>4950</v>
      </c>
      <c r="H400" s="85"/>
    </row>
    <row r="401">
      <c r="C401" s="6"/>
      <c r="D401" s="86" t="s">
        <v>327</v>
      </c>
      <c r="E401" s="77">
        <v>200.0</v>
      </c>
      <c r="F401" s="83">
        <v>27.0</v>
      </c>
      <c r="G401" s="79">
        <f t="shared" si="1"/>
        <v>5400</v>
      </c>
      <c r="H401" s="85"/>
    </row>
    <row r="402">
      <c r="C402" s="6"/>
      <c r="D402" s="86" t="s">
        <v>328</v>
      </c>
      <c r="E402" s="77">
        <v>140.0</v>
      </c>
      <c r="F402" s="83">
        <v>21.0</v>
      </c>
      <c r="G402" s="79">
        <f t="shared" si="1"/>
        <v>2940</v>
      </c>
      <c r="H402" s="85"/>
    </row>
    <row r="403">
      <c r="C403" s="6"/>
      <c r="D403" s="86" t="s">
        <v>329</v>
      </c>
      <c r="E403" s="77">
        <v>200.0</v>
      </c>
      <c r="F403" s="83">
        <v>20.0</v>
      </c>
      <c r="G403" s="79">
        <f t="shared" si="1"/>
        <v>4000</v>
      </c>
      <c r="H403" s="85"/>
    </row>
    <row r="404">
      <c r="C404" s="6"/>
      <c r="D404" s="86" t="s">
        <v>330</v>
      </c>
      <c r="E404" s="77">
        <v>100.0</v>
      </c>
      <c r="F404" s="83">
        <v>13.7</v>
      </c>
      <c r="G404" s="79">
        <f t="shared" si="1"/>
        <v>1370</v>
      </c>
      <c r="H404" s="85"/>
    </row>
    <row r="405">
      <c r="C405" s="6"/>
      <c r="D405" s="86" t="s">
        <v>331</v>
      </c>
      <c r="E405" s="77">
        <v>100.0</v>
      </c>
      <c r="F405" s="83">
        <v>10.5</v>
      </c>
      <c r="G405" s="79">
        <f t="shared" si="1"/>
        <v>1050</v>
      </c>
      <c r="H405" s="85"/>
    </row>
    <row r="406">
      <c r="C406" s="6"/>
      <c r="D406" s="86" t="s">
        <v>332</v>
      </c>
      <c r="E406" s="77">
        <v>50.0</v>
      </c>
      <c r="F406" s="83">
        <v>9.5</v>
      </c>
      <c r="G406" s="79">
        <f t="shared" si="1"/>
        <v>475</v>
      </c>
      <c r="H406" s="85"/>
    </row>
    <row r="407">
      <c r="C407" s="6"/>
      <c r="D407" s="86" t="s">
        <v>333</v>
      </c>
      <c r="E407" s="77">
        <v>20.0</v>
      </c>
      <c r="F407" s="83">
        <v>33.0</v>
      </c>
      <c r="G407" s="79">
        <f t="shared" si="1"/>
        <v>660</v>
      </c>
      <c r="H407" s="85"/>
    </row>
    <row r="408">
      <c r="C408" s="6"/>
      <c r="D408" s="86" t="s">
        <v>334</v>
      </c>
      <c r="E408" s="77">
        <v>4.0</v>
      </c>
      <c r="F408" s="78">
        <v>13000.0</v>
      </c>
      <c r="G408" s="79">
        <f t="shared" si="1"/>
        <v>52000</v>
      </c>
      <c r="H408" s="85"/>
    </row>
    <row r="409">
      <c r="C409" s="6"/>
      <c r="D409" s="86" t="s">
        <v>287</v>
      </c>
      <c r="E409" s="77">
        <v>130.0</v>
      </c>
      <c r="F409" s="83">
        <v>60.0</v>
      </c>
      <c r="G409" s="79">
        <f t="shared" si="1"/>
        <v>7800</v>
      </c>
      <c r="H409" s="85"/>
    </row>
    <row r="410">
      <c r="C410" s="6"/>
      <c r="D410" s="111" t="s">
        <v>335</v>
      </c>
      <c r="E410" s="111">
        <v>2.0</v>
      </c>
      <c r="F410" s="112">
        <v>1500.0</v>
      </c>
      <c r="G410" s="113">
        <f t="shared" si="1"/>
        <v>3000</v>
      </c>
      <c r="H410" s="114"/>
    </row>
    <row r="411">
      <c r="C411" s="6"/>
      <c r="D411" s="115" t="s">
        <v>336</v>
      </c>
      <c r="E411" s="115">
        <v>1.0</v>
      </c>
      <c r="F411" s="116">
        <v>10000.0</v>
      </c>
      <c r="G411" s="117">
        <f t="shared" si="1"/>
        <v>10000</v>
      </c>
      <c r="H411" s="77" t="s">
        <v>337</v>
      </c>
    </row>
    <row r="412">
      <c r="C412" s="6"/>
      <c r="D412" s="118" t="s">
        <v>338</v>
      </c>
      <c r="E412" s="118">
        <v>1.0</v>
      </c>
      <c r="F412" s="119">
        <v>1500.0</v>
      </c>
      <c r="G412" s="120">
        <f t="shared" si="1"/>
        <v>1500</v>
      </c>
      <c r="H412" s="121"/>
    </row>
    <row r="413">
      <c r="C413" s="6"/>
      <c r="D413" s="56"/>
      <c r="E413" s="122"/>
      <c r="F413" s="123"/>
      <c r="G413" s="124">
        <f>SUM(G28:G412)</f>
        <v>883112</v>
      </c>
      <c r="H413" s="125"/>
    </row>
    <row r="414">
      <c r="C414" s="6"/>
      <c r="D414" s="16"/>
      <c r="E414" s="6"/>
      <c r="F414" s="6"/>
      <c r="G414" s="6"/>
      <c r="H414" s="6"/>
    </row>
  </sheetData>
  <mergeCells count="6">
    <mergeCell ref="H3:H27"/>
    <mergeCell ref="C49:C53"/>
    <mergeCell ref="H49:H53"/>
    <mergeCell ref="H318:H322"/>
    <mergeCell ref="H323:H324"/>
    <mergeCell ref="H327:H3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6.13"/>
    <col customWidth="1" min="3" max="3" width="23.63"/>
    <col customWidth="1" min="4" max="4" width="20.38"/>
    <col customWidth="1" min="5" max="5" width="21.88"/>
    <col customWidth="1" min="6" max="6" width="23.13"/>
    <col customWidth="1" min="7" max="7" width="21.13"/>
    <col customWidth="1" min="8" max="8" width="20.63"/>
    <col customWidth="1" min="9" max="9" width="22.88"/>
    <col customWidth="1" min="10" max="10" width="31.13"/>
    <col customWidth="1" min="11" max="11" width="19.63"/>
    <col customWidth="1" min="12" max="13" width="20.13"/>
    <col customWidth="1" min="14" max="14" width="23.38"/>
    <col customWidth="1" min="15" max="15" width="24.88"/>
    <col customWidth="1" min="16" max="16" width="23.88"/>
    <col customWidth="1" min="17" max="17" width="80.38"/>
  </cols>
  <sheetData>
    <row r="1">
      <c r="A1" s="1"/>
      <c r="B1" s="2" t="s">
        <v>0</v>
      </c>
      <c r="C1" s="126" t="s">
        <v>339</v>
      </c>
      <c r="D1" s="126" t="s">
        <v>340</v>
      </c>
      <c r="E1" s="126" t="s">
        <v>341</v>
      </c>
      <c r="F1" s="127" t="s">
        <v>342</v>
      </c>
      <c r="G1" s="126" t="s">
        <v>343</v>
      </c>
      <c r="H1" s="126" t="s">
        <v>344</v>
      </c>
      <c r="I1" s="127" t="s">
        <v>345</v>
      </c>
      <c r="J1" s="126" t="s">
        <v>346</v>
      </c>
      <c r="K1" s="126" t="s">
        <v>347</v>
      </c>
      <c r="L1" s="126" t="s">
        <v>348</v>
      </c>
      <c r="M1" s="127" t="s">
        <v>349</v>
      </c>
      <c r="N1" s="127" t="s">
        <v>350</v>
      </c>
      <c r="O1" s="127" t="s">
        <v>351</v>
      </c>
      <c r="P1" s="128" t="s">
        <v>352</v>
      </c>
      <c r="Q1" s="129"/>
      <c r="R1" s="6"/>
    </row>
    <row r="2">
      <c r="A2" s="9" t="s">
        <v>11</v>
      </c>
      <c r="B2" s="10">
        <v>45839.0</v>
      </c>
      <c r="C2" s="130">
        <v>1.0</v>
      </c>
      <c r="D2" s="130">
        <v>1.0</v>
      </c>
      <c r="E2" s="130">
        <v>1.0</v>
      </c>
      <c r="F2" s="130">
        <v>0.0</v>
      </c>
      <c r="G2" s="130">
        <v>1.0</v>
      </c>
      <c r="H2" s="130">
        <v>1.0</v>
      </c>
      <c r="I2" s="130">
        <v>1.0</v>
      </c>
      <c r="J2" s="130">
        <v>1.0</v>
      </c>
      <c r="K2" s="130">
        <v>1.0</v>
      </c>
      <c r="L2" s="130">
        <v>1.0</v>
      </c>
      <c r="M2" s="131">
        <v>4.0</v>
      </c>
      <c r="N2" s="130">
        <v>1.0</v>
      </c>
      <c r="O2" s="130">
        <v>4.0</v>
      </c>
      <c r="P2" s="132"/>
      <c r="Q2" s="133"/>
      <c r="R2" s="6"/>
    </row>
    <row r="3">
      <c r="A3" s="9" t="s">
        <v>12</v>
      </c>
      <c r="B3" s="10">
        <v>45840.0</v>
      </c>
      <c r="C3" s="134">
        <v>1.0</v>
      </c>
      <c r="D3" s="134">
        <v>1.0</v>
      </c>
      <c r="E3" s="134">
        <v>1.0</v>
      </c>
      <c r="F3" s="134">
        <v>0.0</v>
      </c>
      <c r="G3" s="134">
        <v>1.0</v>
      </c>
      <c r="H3" s="134">
        <v>0.0</v>
      </c>
      <c r="I3" s="134">
        <v>1.0</v>
      </c>
      <c r="J3" s="134">
        <v>1.0</v>
      </c>
      <c r="K3" s="134">
        <v>1.0</v>
      </c>
      <c r="L3" s="134">
        <v>1.0</v>
      </c>
      <c r="M3" s="135">
        <v>1.0</v>
      </c>
      <c r="N3" s="134">
        <v>0.0</v>
      </c>
      <c r="O3" s="134">
        <v>0.0</v>
      </c>
      <c r="P3" s="136"/>
      <c r="Q3" s="137"/>
      <c r="R3" s="138"/>
    </row>
    <row r="4">
      <c r="A4" s="9" t="s">
        <v>17</v>
      </c>
      <c r="B4" s="10">
        <v>45841.0</v>
      </c>
      <c r="C4" s="130">
        <v>1.0</v>
      </c>
      <c r="D4" s="130">
        <v>1.0</v>
      </c>
      <c r="E4" s="130">
        <v>1.0</v>
      </c>
      <c r="F4" s="130">
        <v>0.0</v>
      </c>
      <c r="G4" s="130">
        <v>1.0</v>
      </c>
      <c r="H4" s="130">
        <v>1.0</v>
      </c>
      <c r="I4" s="130">
        <v>1.0</v>
      </c>
      <c r="J4" s="130">
        <v>1.0</v>
      </c>
      <c r="K4" s="130">
        <v>1.0</v>
      </c>
      <c r="L4" s="130">
        <v>1.0</v>
      </c>
      <c r="M4" s="131">
        <v>1.0</v>
      </c>
      <c r="N4" s="130">
        <v>0.0</v>
      </c>
      <c r="O4" s="130">
        <v>0.0</v>
      </c>
      <c r="P4" s="132"/>
      <c r="Q4" s="133"/>
      <c r="R4" s="6"/>
    </row>
    <row r="5">
      <c r="A5" s="24" t="s">
        <v>18</v>
      </c>
      <c r="B5" s="25">
        <v>45842.0</v>
      </c>
      <c r="C5" s="139">
        <v>0.0</v>
      </c>
      <c r="D5" s="139">
        <v>1.0</v>
      </c>
      <c r="E5" s="139">
        <v>0.0</v>
      </c>
      <c r="F5" s="139">
        <v>0.0</v>
      </c>
      <c r="G5" s="139">
        <v>1.0</v>
      </c>
      <c r="H5" s="139">
        <v>0.0</v>
      </c>
      <c r="I5" s="139">
        <v>1.0</v>
      </c>
      <c r="J5" s="139">
        <v>1.0</v>
      </c>
      <c r="K5" s="139">
        <v>0.0</v>
      </c>
      <c r="L5" s="139">
        <v>1.0</v>
      </c>
      <c r="M5" s="140">
        <v>1.0</v>
      </c>
      <c r="N5" s="139">
        <v>0.0</v>
      </c>
      <c r="O5" s="139">
        <v>0.0</v>
      </c>
      <c r="P5" s="134">
        <v>3.0</v>
      </c>
      <c r="Q5" s="137"/>
      <c r="R5" s="6"/>
    </row>
    <row r="6">
      <c r="A6" s="9" t="s">
        <v>19</v>
      </c>
      <c r="B6" s="10">
        <v>45843.0</v>
      </c>
      <c r="C6" s="130">
        <v>1.0</v>
      </c>
      <c r="D6" s="130">
        <v>1.0</v>
      </c>
      <c r="E6" s="130">
        <v>0.0</v>
      </c>
      <c r="F6" s="130">
        <v>0.0</v>
      </c>
      <c r="G6" s="130">
        <v>1.0</v>
      </c>
      <c r="H6" s="130">
        <v>1.0</v>
      </c>
      <c r="I6" s="130">
        <v>1.0</v>
      </c>
      <c r="J6" s="130">
        <v>1.0</v>
      </c>
      <c r="K6" s="130">
        <v>0.0</v>
      </c>
      <c r="L6" s="130">
        <v>0.0</v>
      </c>
      <c r="M6" s="131">
        <v>1.0</v>
      </c>
      <c r="N6" s="130">
        <v>0.0</v>
      </c>
      <c r="O6" s="130">
        <v>0.0</v>
      </c>
      <c r="P6" s="132"/>
      <c r="Q6" s="133"/>
      <c r="R6" s="6"/>
    </row>
    <row r="7">
      <c r="A7" s="9" t="s">
        <v>22</v>
      </c>
      <c r="B7" s="10">
        <v>45844.0</v>
      </c>
      <c r="C7" s="141">
        <v>1.0</v>
      </c>
      <c r="D7" s="141">
        <v>0.0</v>
      </c>
      <c r="E7" s="141">
        <v>1.0</v>
      </c>
      <c r="F7" s="141">
        <v>0.0</v>
      </c>
      <c r="G7" s="141">
        <v>1.0</v>
      </c>
      <c r="H7" s="141">
        <v>0.0</v>
      </c>
      <c r="I7" s="141">
        <v>0.0</v>
      </c>
      <c r="J7" s="141">
        <v>1.0</v>
      </c>
      <c r="K7" s="141">
        <v>1.0</v>
      </c>
      <c r="L7" s="141">
        <v>1.0</v>
      </c>
      <c r="M7" s="142">
        <v>1.0</v>
      </c>
      <c r="N7" s="141">
        <v>0.0</v>
      </c>
      <c r="O7" s="141">
        <v>0.0</v>
      </c>
      <c r="P7" s="143"/>
      <c r="Q7" s="144"/>
      <c r="R7" s="6"/>
    </row>
    <row r="8">
      <c r="A8" s="9" t="s">
        <v>23</v>
      </c>
      <c r="B8" s="10">
        <v>45845.0</v>
      </c>
      <c r="C8" s="141">
        <v>1.0</v>
      </c>
      <c r="D8" s="141">
        <v>1.0</v>
      </c>
      <c r="E8" s="141">
        <v>1.0</v>
      </c>
      <c r="F8" s="141">
        <v>0.0</v>
      </c>
      <c r="G8" s="145">
        <v>0.95</v>
      </c>
      <c r="H8" s="141">
        <v>0.0</v>
      </c>
      <c r="I8" s="141">
        <v>1.0</v>
      </c>
      <c r="J8" s="141">
        <v>1.0</v>
      </c>
      <c r="K8" s="141">
        <v>1.0</v>
      </c>
      <c r="L8" s="141">
        <v>1.0</v>
      </c>
      <c r="M8" s="142">
        <v>1.0</v>
      </c>
      <c r="N8" s="141">
        <v>0.0</v>
      </c>
      <c r="O8" s="141">
        <v>0.0</v>
      </c>
      <c r="P8" s="143"/>
      <c r="Q8" s="146" t="s">
        <v>353</v>
      </c>
      <c r="R8" s="6"/>
    </row>
    <row r="9">
      <c r="A9" s="9" t="s">
        <v>11</v>
      </c>
      <c r="B9" s="10">
        <v>45846.0</v>
      </c>
      <c r="C9" s="141">
        <v>1.0</v>
      </c>
      <c r="D9" s="141">
        <v>1.0</v>
      </c>
      <c r="E9" s="141">
        <v>1.0</v>
      </c>
      <c r="F9" s="141">
        <v>0.0</v>
      </c>
      <c r="G9" s="141">
        <v>0.5</v>
      </c>
      <c r="H9" s="141">
        <v>0.0</v>
      </c>
      <c r="I9" s="141">
        <v>1.0</v>
      </c>
      <c r="J9" s="141">
        <v>1.0</v>
      </c>
      <c r="K9" s="141">
        <v>1.0</v>
      </c>
      <c r="L9" s="141">
        <v>1.0</v>
      </c>
      <c r="M9" s="142">
        <v>1.0</v>
      </c>
      <c r="N9" s="141">
        <v>0.0</v>
      </c>
      <c r="O9" s="141">
        <v>0.0</v>
      </c>
      <c r="P9" s="143"/>
      <c r="Q9" s="144"/>
      <c r="R9" s="6"/>
    </row>
    <row r="10">
      <c r="A10" s="9" t="s">
        <v>12</v>
      </c>
      <c r="B10" s="10">
        <v>45847.0</v>
      </c>
      <c r="C10" s="130">
        <v>1.0</v>
      </c>
      <c r="D10" s="130">
        <v>1.0</v>
      </c>
      <c r="E10" s="130">
        <v>1.0</v>
      </c>
      <c r="F10" s="130">
        <v>0.0</v>
      </c>
      <c r="G10" s="130">
        <v>1.0</v>
      </c>
      <c r="H10" s="130">
        <v>0.0</v>
      </c>
      <c r="I10" s="130">
        <v>1.0</v>
      </c>
      <c r="J10" s="130">
        <v>0.0</v>
      </c>
      <c r="K10" s="130">
        <v>1.0</v>
      </c>
      <c r="L10" s="130">
        <v>1.0</v>
      </c>
      <c r="M10" s="131">
        <v>1.0</v>
      </c>
      <c r="N10" s="130">
        <v>0.0</v>
      </c>
      <c r="O10" s="130">
        <v>0.0</v>
      </c>
      <c r="P10" s="132"/>
      <c r="Q10" s="133"/>
      <c r="R10" s="6"/>
    </row>
    <row r="11">
      <c r="A11" s="9" t="s">
        <v>17</v>
      </c>
      <c r="B11" s="10">
        <v>45848.0</v>
      </c>
      <c r="C11" s="134">
        <v>1.0</v>
      </c>
      <c r="D11" s="134">
        <v>0.5</v>
      </c>
      <c r="E11" s="134">
        <v>0.0</v>
      </c>
      <c r="F11" s="134">
        <v>0.0</v>
      </c>
      <c r="G11" s="134">
        <v>1.0</v>
      </c>
      <c r="H11" s="134">
        <v>0.0</v>
      </c>
      <c r="I11" s="134">
        <v>1.0</v>
      </c>
      <c r="J11" s="134">
        <v>1.0</v>
      </c>
      <c r="K11" s="134">
        <v>1.0</v>
      </c>
      <c r="L11" s="134">
        <v>1.0</v>
      </c>
      <c r="M11" s="135">
        <v>1.0</v>
      </c>
      <c r="N11" s="134">
        <v>0.0</v>
      </c>
      <c r="O11" s="134">
        <v>0.0</v>
      </c>
      <c r="P11" s="136"/>
      <c r="Q11" s="137"/>
      <c r="R11" s="6"/>
    </row>
    <row r="12">
      <c r="A12" s="24" t="s">
        <v>18</v>
      </c>
      <c r="B12" s="25">
        <v>45849.0</v>
      </c>
      <c r="C12" s="139">
        <v>0.0</v>
      </c>
      <c r="D12" s="139">
        <v>1.5</v>
      </c>
      <c r="E12" s="139">
        <v>0.0</v>
      </c>
      <c r="F12" s="139">
        <v>0.0</v>
      </c>
      <c r="G12" s="139">
        <v>1.0</v>
      </c>
      <c r="H12" s="139">
        <v>0.0</v>
      </c>
      <c r="I12" s="139">
        <v>1.0</v>
      </c>
      <c r="J12" s="139">
        <v>1.0</v>
      </c>
      <c r="K12" s="139">
        <v>0.0</v>
      </c>
      <c r="L12" s="139">
        <v>1.0</v>
      </c>
      <c r="M12" s="140">
        <v>0.0</v>
      </c>
      <c r="N12" s="139">
        <v>0.0</v>
      </c>
      <c r="O12" s="139">
        <v>0.0</v>
      </c>
      <c r="P12" s="130">
        <v>1.0</v>
      </c>
      <c r="Q12" s="147" t="s">
        <v>354</v>
      </c>
      <c r="R12" s="6"/>
    </row>
    <row r="13">
      <c r="A13" s="9" t="s">
        <v>19</v>
      </c>
      <c r="B13" s="10">
        <v>45850.0</v>
      </c>
      <c r="C13" s="148">
        <v>1.0</v>
      </c>
      <c r="D13" s="134">
        <v>1.5</v>
      </c>
      <c r="E13" s="134">
        <v>1.0</v>
      </c>
      <c r="F13" s="134">
        <v>0.0</v>
      </c>
      <c r="G13" s="134">
        <v>1.0</v>
      </c>
      <c r="H13" s="134">
        <v>0.0</v>
      </c>
      <c r="I13" s="134">
        <v>1.0</v>
      </c>
      <c r="J13" s="134">
        <v>1.0</v>
      </c>
      <c r="K13" s="134">
        <v>1.0</v>
      </c>
      <c r="L13" s="134">
        <v>0.0</v>
      </c>
      <c r="M13" s="135">
        <v>1.5</v>
      </c>
      <c r="N13" s="134">
        <v>0.0</v>
      </c>
      <c r="O13" s="134">
        <v>0.0</v>
      </c>
      <c r="P13" s="136"/>
      <c r="Q13" s="149" t="s">
        <v>355</v>
      </c>
      <c r="R13" s="6"/>
    </row>
    <row r="14">
      <c r="A14" s="9" t="s">
        <v>22</v>
      </c>
      <c r="B14" s="10">
        <v>45851.0</v>
      </c>
      <c r="C14" s="148">
        <v>1.0</v>
      </c>
      <c r="D14" s="150">
        <v>1.5</v>
      </c>
      <c r="E14" s="150">
        <v>1.0</v>
      </c>
      <c r="F14" s="150">
        <v>0.0</v>
      </c>
      <c r="G14" s="150">
        <v>1.0</v>
      </c>
      <c r="H14" s="150">
        <v>0.0</v>
      </c>
      <c r="I14" s="150">
        <v>1.0</v>
      </c>
      <c r="J14" s="150">
        <v>1.0</v>
      </c>
      <c r="K14" s="150">
        <v>1.0</v>
      </c>
      <c r="L14" s="150">
        <v>1.0</v>
      </c>
      <c r="M14" s="151">
        <v>1.5</v>
      </c>
      <c r="N14" s="150">
        <v>0.0</v>
      </c>
      <c r="O14" s="150">
        <v>0.0</v>
      </c>
      <c r="P14" s="152"/>
      <c r="Q14" s="147" t="s">
        <v>356</v>
      </c>
      <c r="R14" s="6"/>
    </row>
    <row r="15">
      <c r="A15" s="9" t="s">
        <v>23</v>
      </c>
      <c r="B15" s="10">
        <v>45852.0</v>
      </c>
      <c r="C15" s="148">
        <v>1.0</v>
      </c>
      <c r="D15" s="134">
        <v>1.0</v>
      </c>
      <c r="E15" s="134">
        <v>1.0</v>
      </c>
      <c r="F15" s="134">
        <v>0.0</v>
      </c>
      <c r="G15" s="134">
        <v>1.0</v>
      </c>
      <c r="H15" s="134">
        <v>0.0</v>
      </c>
      <c r="I15" s="134">
        <v>1.0</v>
      </c>
      <c r="J15" s="134">
        <v>1.0</v>
      </c>
      <c r="K15" s="134">
        <v>1.0</v>
      </c>
      <c r="L15" s="134">
        <v>1.0</v>
      </c>
      <c r="M15" s="135">
        <v>1.0</v>
      </c>
      <c r="N15" s="134">
        <v>0.0</v>
      </c>
      <c r="O15" s="134">
        <v>0.0</v>
      </c>
      <c r="P15" s="136"/>
      <c r="Q15" s="137"/>
      <c r="R15" s="6"/>
    </row>
    <row r="16">
      <c r="A16" s="9" t="s">
        <v>11</v>
      </c>
      <c r="B16" s="10">
        <v>45853.0</v>
      </c>
      <c r="C16" s="148">
        <v>1.0</v>
      </c>
      <c r="D16" s="130">
        <v>1.0</v>
      </c>
      <c r="E16" s="130">
        <v>1.0</v>
      </c>
      <c r="F16" s="130">
        <v>0.0</v>
      </c>
      <c r="G16" s="130">
        <v>1.0</v>
      </c>
      <c r="H16" s="130">
        <v>0.0</v>
      </c>
      <c r="I16" s="130">
        <v>1.0</v>
      </c>
      <c r="J16" s="130">
        <v>1.0</v>
      </c>
      <c r="K16" s="130">
        <v>1.0</v>
      </c>
      <c r="L16" s="130">
        <v>1.0</v>
      </c>
      <c r="M16" s="131">
        <v>1.0</v>
      </c>
      <c r="N16" s="130">
        <v>0.0</v>
      </c>
      <c r="O16" s="130">
        <v>0.0</v>
      </c>
      <c r="P16" s="132"/>
      <c r="Q16" s="133"/>
      <c r="R16" s="6"/>
    </row>
    <row r="17">
      <c r="A17" s="9" t="s">
        <v>12</v>
      </c>
      <c r="B17" s="10">
        <v>45854.0</v>
      </c>
      <c r="C17" s="153">
        <v>1.0</v>
      </c>
      <c r="D17" s="154">
        <v>1.0</v>
      </c>
      <c r="E17" s="154">
        <v>1.0</v>
      </c>
      <c r="F17" s="154">
        <v>0.0</v>
      </c>
      <c r="G17" s="154">
        <v>1.0</v>
      </c>
      <c r="H17" s="154">
        <v>0.0</v>
      </c>
      <c r="I17" s="134">
        <v>1.0</v>
      </c>
      <c r="J17" s="134">
        <v>1.0</v>
      </c>
      <c r="K17" s="134">
        <v>1.0</v>
      </c>
      <c r="L17" s="134">
        <v>1.0</v>
      </c>
      <c r="M17" s="135">
        <v>1.0</v>
      </c>
      <c r="N17" s="134">
        <v>0.0</v>
      </c>
      <c r="O17" s="134">
        <v>0.0</v>
      </c>
      <c r="P17" s="136"/>
      <c r="Q17" s="137"/>
      <c r="R17" s="6"/>
    </row>
    <row r="18">
      <c r="A18" s="9" t="s">
        <v>17</v>
      </c>
      <c r="B18" s="10">
        <v>45855.0</v>
      </c>
      <c r="C18" s="148">
        <v>1.0</v>
      </c>
      <c r="D18" s="130">
        <v>1.0</v>
      </c>
      <c r="E18" s="130">
        <v>1.0</v>
      </c>
      <c r="F18" s="130">
        <v>0.0</v>
      </c>
      <c r="G18" s="130">
        <v>1.0</v>
      </c>
      <c r="H18" s="130">
        <v>0.0</v>
      </c>
      <c r="I18" s="130">
        <v>1.5</v>
      </c>
      <c r="J18" s="130">
        <v>0.0</v>
      </c>
      <c r="K18" s="130">
        <v>1.0</v>
      </c>
      <c r="L18" s="130">
        <v>0.0</v>
      </c>
      <c r="M18" s="131">
        <v>1.0</v>
      </c>
      <c r="N18" s="130">
        <v>0.0</v>
      </c>
      <c r="O18" s="130">
        <v>0.0</v>
      </c>
      <c r="P18" s="132"/>
      <c r="Q18" s="133"/>
      <c r="R18" s="6"/>
    </row>
    <row r="19">
      <c r="A19" s="24" t="s">
        <v>18</v>
      </c>
      <c r="B19" s="25">
        <v>45856.0</v>
      </c>
      <c r="C19" s="139">
        <v>0.0</v>
      </c>
      <c r="D19" s="139">
        <v>1.25</v>
      </c>
      <c r="E19" s="139">
        <v>1.0</v>
      </c>
      <c r="F19" s="139">
        <v>0.0</v>
      </c>
      <c r="G19" s="139">
        <v>1.0</v>
      </c>
      <c r="H19" s="139">
        <v>0.0</v>
      </c>
      <c r="I19" s="139">
        <v>1.0</v>
      </c>
      <c r="J19" s="139">
        <v>0.0</v>
      </c>
      <c r="K19" s="139">
        <v>0.0</v>
      </c>
      <c r="L19" s="139">
        <v>1.0</v>
      </c>
      <c r="M19" s="140">
        <v>1.25</v>
      </c>
      <c r="N19" s="139">
        <v>0.0</v>
      </c>
      <c r="O19" s="139">
        <v>0.0</v>
      </c>
      <c r="P19" s="134"/>
      <c r="Q19" s="137"/>
      <c r="R19" s="6"/>
    </row>
    <row r="20">
      <c r="A20" s="9" t="s">
        <v>19</v>
      </c>
      <c r="B20" s="10">
        <v>45857.0</v>
      </c>
      <c r="C20" s="130">
        <v>1.0</v>
      </c>
      <c r="D20" s="130">
        <v>0.0</v>
      </c>
      <c r="E20" s="130">
        <v>0.0</v>
      </c>
      <c r="F20" s="130">
        <v>0.0</v>
      </c>
      <c r="G20" s="130">
        <v>1.0</v>
      </c>
      <c r="H20" s="130">
        <v>0.0</v>
      </c>
      <c r="I20" s="130">
        <v>1.0</v>
      </c>
      <c r="J20" s="130">
        <v>0.0</v>
      </c>
      <c r="K20" s="130">
        <v>1.0</v>
      </c>
      <c r="L20" s="130">
        <v>1.0</v>
      </c>
      <c r="M20" s="131">
        <v>0.0</v>
      </c>
      <c r="N20" s="130">
        <v>0.0</v>
      </c>
      <c r="O20" s="130">
        <v>0.0</v>
      </c>
      <c r="P20" s="132"/>
      <c r="Q20" s="133"/>
      <c r="R20" s="6"/>
    </row>
    <row r="21">
      <c r="A21" s="9" t="s">
        <v>22</v>
      </c>
      <c r="B21" s="10">
        <v>45858.0</v>
      </c>
      <c r="C21" s="150">
        <v>1.0</v>
      </c>
      <c r="D21" s="150">
        <v>0.0</v>
      </c>
      <c r="E21" s="150">
        <v>0.0</v>
      </c>
      <c r="F21" s="150">
        <v>0.0</v>
      </c>
      <c r="G21" s="150">
        <v>1.0</v>
      </c>
      <c r="H21" s="150">
        <v>0.0</v>
      </c>
      <c r="I21" s="150">
        <v>0.0</v>
      </c>
      <c r="J21" s="150">
        <v>1.0</v>
      </c>
      <c r="K21" s="150">
        <v>1.0</v>
      </c>
      <c r="L21" s="150">
        <v>1.0</v>
      </c>
      <c r="M21" s="151">
        <v>1.0</v>
      </c>
      <c r="N21" s="150">
        <v>0.0</v>
      </c>
      <c r="O21" s="150">
        <v>1.0</v>
      </c>
      <c r="P21" s="150">
        <v>1.0</v>
      </c>
      <c r="Q21" s="149" t="s">
        <v>357</v>
      </c>
      <c r="R21" s="6"/>
    </row>
    <row r="22">
      <c r="A22" s="9" t="s">
        <v>23</v>
      </c>
      <c r="B22" s="10">
        <v>45859.0</v>
      </c>
      <c r="C22" s="130">
        <v>1.0</v>
      </c>
      <c r="D22" s="130">
        <v>1.0</v>
      </c>
      <c r="E22" s="130">
        <v>0.0</v>
      </c>
      <c r="F22" s="130">
        <v>0.0</v>
      </c>
      <c r="G22" s="130">
        <v>0.0</v>
      </c>
      <c r="H22" s="130">
        <v>0.0</v>
      </c>
      <c r="I22" s="130">
        <v>1.0</v>
      </c>
      <c r="J22" s="130">
        <v>0.0</v>
      </c>
      <c r="K22" s="130">
        <v>1.0</v>
      </c>
      <c r="L22" s="130">
        <v>1.0</v>
      </c>
      <c r="M22" s="131">
        <v>1.0</v>
      </c>
      <c r="N22" s="130">
        <v>0.0</v>
      </c>
      <c r="O22" s="130">
        <v>0.0</v>
      </c>
      <c r="P22" s="130">
        <v>0.0</v>
      </c>
      <c r="Q22" s="133"/>
      <c r="R22" s="6"/>
    </row>
    <row r="23">
      <c r="A23" s="9" t="s">
        <v>11</v>
      </c>
      <c r="B23" s="10">
        <v>45860.0</v>
      </c>
      <c r="C23" s="134">
        <v>1.0</v>
      </c>
      <c r="D23" s="134">
        <v>1.0</v>
      </c>
      <c r="E23" s="134">
        <v>1.0</v>
      </c>
      <c r="F23" s="134">
        <v>0.0</v>
      </c>
      <c r="G23" s="134">
        <v>1.0</v>
      </c>
      <c r="H23" s="134">
        <v>1.0</v>
      </c>
      <c r="I23" s="134">
        <v>1.5</v>
      </c>
      <c r="J23" s="134">
        <v>0.0</v>
      </c>
      <c r="K23" s="134">
        <v>1.0</v>
      </c>
      <c r="L23" s="134">
        <v>1.0</v>
      </c>
      <c r="M23" s="135">
        <v>0.0</v>
      </c>
      <c r="N23" s="134">
        <v>0.0</v>
      </c>
      <c r="O23" s="134">
        <v>1.0</v>
      </c>
      <c r="P23" s="134">
        <v>1.0</v>
      </c>
      <c r="Q23" s="149" t="s">
        <v>357</v>
      </c>
      <c r="R23" s="6"/>
    </row>
    <row r="24">
      <c r="A24" s="9" t="s">
        <v>12</v>
      </c>
      <c r="B24" s="10">
        <v>45861.0</v>
      </c>
      <c r="C24" s="130">
        <v>1.0</v>
      </c>
      <c r="D24" s="130">
        <v>1.0</v>
      </c>
      <c r="E24" s="130">
        <v>1.0</v>
      </c>
      <c r="F24" s="130">
        <v>0.0</v>
      </c>
      <c r="G24" s="130">
        <v>1.0</v>
      </c>
      <c r="H24" s="130">
        <v>0.0</v>
      </c>
      <c r="I24" s="130">
        <v>1.0</v>
      </c>
      <c r="J24" s="130">
        <v>0.0</v>
      </c>
      <c r="K24" s="130">
        <v>1.0</v>
      </c>
      <c r="L24" s="130">
        <v>1.0</v>
      </c>
      <c r="M24" s="131">
        <v>0.0</v>
      </c>
      <c r="N24" s="130">
        <v>1.0</v>
      </c>
      <c r="O24" s="130">
        <v>0.0</v>
      </c>
      <c r="P24" s="132"/>
      <c r="Q24" s="133"/>
      <c r="R24" s="6"/>
    </row>
    <row r="25">
      <c r="A25" s="9" t="s">
        <v>17</v>
      </c>
      <c r="B25" s="10">
        <v>45862.0</v>
      </c>
      <c r="C25" s="134">
        <v>1.0</v>
      </c>
      <c r="D25" s="134">
        <v>1.0</v>
      </c>
      <c r="E25" s="134">
        <v>0.0</v>
      </c>
      <c r="F25" s="134">
        <v>0.0</v>
      </c>
      <c r="G25" s="134">
        <v>1.0</v>
      </c>
      <c r="H25" s="134">
        <v>1.0</v>
      </c>
      <c r="I25" s="134">
        <v>1.0</v>
      </c>
      <c r="J25" s="134">
        <v>1.5</v>
      </c>
      <c r="K25" s="134">
        <v>1.0</v>
      </c>
      <c r="L25" s="134">
        <v>1.0</v>
      </c>
      <c r="M25" s="135">
        <v>1.0</v>
      </c>
      <c r="N25" s="134">
        <v>1.0</v>
      </c>
      <c r="O25" s="134">
        <v>0.0</v>
      </c>
      <c r="P25" s="136"/>
      <c r="Q25" s="137"/>
      <c r="R25" s="6"/>
    </row>
    <row r="26">
      <c r="A26" s="24" t="s">
        <v>18</v>
      </c>
      <c r="B26" s="25">
        <v>45863.0</v>
      </c>
      <c r="C26" s="155">
        <v>0.0</v>
      </c>
      <c r="D26" s="155">
        <v>1.0</v>
      </c>
      <c r="E26" s="155">
        <v>0.0</v>
      </c>
      <c r="F26" s="155">
        <v>1.5</v>
      </c>
      <c r="G26" s="155">
        <v>1.0</v>
      </c>
      <c r="H26" s="155">
        <v>0.0</v>
      </c>
      <c r="I26" s="155">
        <v>1.0</v>
      </c>
      <c r="J26" s="155">
        <v>0.0</v>
      </c>
      <c r="K26" s="139">
        <v>0.0</v>
      </c>
      <c r="L26" s="155">
        <v>1.0</v>
      </c>
      <c r="M26" s="156">
        <v>1.0</v>
      </c>
      <c r="N26" s="155">
        <v>0.0</v>
      </c>
      <c r="O26" s="155">
        <v>0.0</v>
      </c>
      <c r="P26" s="130">
        <v>2.0</v>
      </c>
      <c r="Q26" s="133"/>
      <c r="R26" s="6"/>
    </row>
    <row r="27">
      <c r="A27" s="9" t="s">
        <v>19</v>
      </c>
      <c r="B27" s="10">
        <v>45864.0</v>
      </c>
      <c r="C27" s="134">
        <v>1.0</v>
      </c>
      <c r="D27" s="134">
        <v>0.0</v>
      </c>
      <c r="E27" s="134">
        <v>0.0</v>
      </c>
      <c r="F27" s="134">
        <v>0.75</v>
      </c>
      <c r="G27" s="134">
        <v>1.0</v>
      </c>
      <c r="H27" s="134">
        <v>0.0</v>
      </c>
      <c r="I27" s="134">
        <v>1.5</v>
      </c>
      <c r="J27" s="134">
        <v>1.5</v>
      </c>
      <c r="K27" s="134">
        <v>1.0</v>
      </c>
      <c r="L27" s="134">
        <v>0.0</v>
      </c>
      <c r="M27" s="135">
        <v>0.0</v>
      </c>
      <c r="N27" s="134">
        <v>1.0</v>
      </c>
      <c r="O27" s="134">
        <v>0.0</v>
      </c>
      <c r="P27" s="134">
        <v>1.5</v>
      </c>
      <c r="Q27" s="137"/>
      <c r="R27" s="6"/>
    </row>
    <row r="28">
      <c r="A28" s="9" t="s">
        <v>22</v>
      </c>
      <c r="B28" s="10">
        <v>45865.0</v>
      </c>
      <c r="C28" s="157">
        <v>1.0</v>
      </c>
      <c r="D28" s="158">
        <v>1.0</v>
      </c>
      <c r="E28" s="158">
        <v>1.0</v>
      </c>
      <c r="F28" s="158">
        <v>0.0</v>
      </c>
      <c r="G28" s="158">
        <v>1.0</v>
      </c>
      <c r="H28" s="158">
        <v>1.0</v>
      </c>
      <c r="I28" s="158">
        <v>1.0</v>
      </c>
      <c r="J28" s="158">
        <v>1.0</v>
      </c>
      <c r="K28" s="158">
        <v>1.0</v>
      </c>
      <c r="L28" s="158">
        <v>1.0</v>
      </c>
      <c r="M28" s="158">
        <v>0.0</v>
      </c>
      <c r="N28" s="158">
        <v>0.0</v>
      </c>
      <c r="O28" s="158">
        <v>0.0</v>
      </c>
      <c r="P28" s="158">
        <v>0.0</v>
      </c>
      <c r="Q28" s="133"/>
      <c r="R28" s="6"/>
    </row>
    <row r="29">
      <c r="A29" s="9" t="s">
        <v>23</v>
      </c>
      <c r="B29" s="10">
        <v>45866.0</v>
      </c>
      <c r="C29" s="157">
        <v>1.0</v>
      </c>
      <c r="D29" s="159">
        <v>1.0</v>
      </c>
      <c r="E29" s="159">
        <v>1.0</v>
      </c>
      <c r="F29" s="159">
        <v>0.0</v>
      </c>
      <c r="G29" s="159">
        <v>1.0</v>
      </c>
      <c r="H29" s="159">
        <v>0.0</v>
      </c>
      <c r="I29" s="159">
        <v>1.0</v>
      </c>
      <c r="J29" s="159">
        <v>1.0</v>
      </c>
      <c r="K29" s="159">
        <v>1.0</v>
      </c>
      <c r="L29" s="159">
        <v>1.0</v>
      </c>
      <c r="M29" s="159">
        <v>1.0</v>
      </c>
      <c r="N29" s="159">
        <v>0.0</v>
      </c>
      <c r="O29" s="159">
        <v>0.0</v>
      </c>
      <c r="P29" s="159">
        <v>0.0</v>
      </c>
      <c r="Q29" s="137"/>
      <c r="R29" s="6"/>
    </row>
    <row r="30">
      <c r="A30" s="9" t="s">
        <v>11</v>
      </c>
      <c r="B30" s="10">
        <v>45867.0</v>
      </c>
      <c r="C30" s="160">
        <v>1.0</v>
      </c>
      <c r="D30" s="161">
        <v>1.0</v>
      </c>
      <c r="E30" s="161">
        <v>1.0</v>
      </c>
      <c r="F30" s="161">
        <v>0.0</v>
      </c>
      <c r="G30" s="161">
        <v>1.0</v>
      </c>
      <c r="H30" s="161">
        <v>1.0</v>
      </c>
      <c r="I30" s="161">
        <v>1.0</v>
      </c>
      <c r="J30" s="161">
        <v>1.0</v>
      </c>
      <c r="K30" s="161">
        <v>1.0</v>
      </c>
      <c r="L30" s="161">
        <v>1.0</v>
      </c>
      <c r="M30" s="161">
        <v>0.0</v>
      </c>
      <c r="N30" s="161">
        <v>0.0</v>
      </c>
      <c r="O30" s="161">
        <v>0.0</v>
      </c>
      <c r="P30" s="162"/>
      <c r="Q30" s="163" t="s">
        <v>358</v>
      </c>
      <c r="R30" s="6"/>
    </row>
    <row r="31">
      <c r="A31" s="9" t="s">
        <v>12</v>
      </c>
      <c r="B31" s="10">
        <v>45868.0</v>
      </c>
      <c r="C31" s="164">
        <v>1.0</v>
      </c>
      <c r="D31" s="165">
        <v>1.0</v>
      </c>
      <c r="E31" s="165">
        <v>1.0</v>
      </c>
      <c r="F31" s="165">
        <v>0.0</v>
      </c>
      <c r="G31" s="165">
        <v>1.0</v>
      </c>
      <c r="H31" s="165">
        <v>0.0</v>
      </c>
      <c r="I31" s="165">
        <v>1.0</v>
      </c>
      <c r="J31" s="165">
        <v>1.0</v>
      </c>
      <c r="K31" s="166">
        <v>1.0</v>
      </c>
      <c r="L31" s="165">
        <v>1.0</v>
      </c>
      <c r="M31" s="165">
        <v>1.0</v>
      </c>
      <c r="N31" s="166">
        <v>0.0</v>
      </c>
      <c r="O31" s="166">
        <v>0.0</v>
      </c>
      <c r="P31" s="167"/>
      <c r="Q31" s="168"/>
      <c r="R31" s="6"/>
    </row>
    <row r="32">
      <c r="A32" s="9" t="s">
        <v>17</v>
      </c>
      <c r="B32" s="10">
        <v>45869.0</v>
      </c>
      <c r="C32" s="169">
        <v>1.0</v>
      </c>
      <c r="D32" s="161">
        <v>1.0</v>
      </c>
      <c r="E32" s="161">
        <v>1.0</v>
      </c>
      <c r="F32" s="161">
        <v>0.0</v>
      </c>
      <c r="G32" s="161">
        <v>1.0</v>
      </c>
      <c r="H32" s="161">
        <v>1.0</v>
      </c>
      <c r="I32" s="161">
        <v>1.0</v>
      </c>
      <c r="J32" s="161">
        <v>0.0</v>
      </c>
      <c r="K32" s="161">
        <v>1.0</v>
      </c>
      <c r="L32" s="161">
        <v>1.0</v>
      </c>
      <c r="M32" s="161">
        <v>0.0</v>
      </c>
      <c r="N32" s="161">
        <v>0.0</v>
      </c>
      <c r="O32" s="161">
        <v>0.0</v>
      </c>
      <c r="P32" s="162"/>
      <c r="Q32" s="170"/>
      <c r="R32" s="6"/>
    </row>
    <row r="33">
      <c r="A33" s="16"/>
      <c r="B33" s="63"/>
      <c r="C33" s="171">
        <f t="shared" ref="C33:P33" si="1">SUM(C2:C32)</f>
        <v>27</v>
      </c>
      <c r="D33" s="171">
        <f t="shared" si="1"/>
        <v>28.25</v>
      </c>
      <c r="E33" s="171">
        <f t="shared" si="1"/>
        <v>21</v>
      </c>
      <c r="F33" s="171">
        <f t="shared" si="1"/>
        <v>2.25</v>
      </c>
      <c r="G33" s="171">
        <f t="shared" si="1"/>
        <v>29.45</v>
      </c>
      <c r="H33" s="171">
        <f t="shared" si="1"/>
        <v>8</v>
      </c>
      <c r="I33" s="171">
        <f t="shared" si="1"/>
        <v>30.5</v>
      </c>
      <c r="J33" s="171">
        <f t="shared" si="1"/>
        <v>23</v>
      </c>
      <c r="K33" s="171">
        <f t="shared" si="1"/>
        <v>26</v>
      </c>
      <c r="L33" s="171">
        <f t="shared" si="1"/>
        <v>27</v>
      </c>
      <c r="M33" s="171">
        <f t="shared" si="1"/>
        <v>27.25</v>
      </c>
      <c r="N33" s="171">
        <f t="shared" si="1"/>
        <v>4</v>
      </c>
      <c r="O33" s="171">
        <f t="shared" si="1"/>
        <v>6</v>
      </c>
      <c r="P33" s="171">
        <f t="shared" si="1"/>
        <v>9.5</v>
      </c>
      <c r="Q33" s="168"/>
      <c r="R33" s="6"/>
    </row>
    <row r="34">
      <c r="C34" s="172">
        <v>1225.0</v>
      </c>
      <c r="D34" s="173">
        <v>1150.0</v>
      </c>
      <c r="E34" s="174">
        <v>1270.0</v>
      </c>
      <c r="F34" s="173">
        <v>1300.0</v>
      </c>
      <c r="G34" s="175">
        <v>1155.0</v>
      </c>
      <c r="H34" s="175">
        <v>1155.0</v>
      </c>
      <c r="I34" s="176">
        <v>1400.0</v>
      </c>
      <c r="J34" s="177">
        <v>1400.0</v>
      </c>
      <c r="K34" s="177">
        <v>1120.0</v>
      </c>
      <c r="L34" s="178">
        <v>1200.0</v>
      </c>
      <c r="M34" s="177">
        <v>1120.0</v>
      </c>
      <c r="N34" s="178">
        <v>1300.0</v>
      </c>
      <c r="O34" s="179">
        <v>1120.0</v>
      </c>
      <c r="P34" s="178">
        <v>1000.0</v>
      </c>
      <c r="Q34" s="180"/>
      <c r="R34" s="6"/>
    </row>
    <row r="35">
      <c r="C35" s="181">
        <f t="shared" ref="C35:P35" si="2">C33*C34</f>
        <v>33075</v>
      </c>
      <c r="D35" s="182">
        <f t="shared" si="2"/>
        <v>32487.5</v>
      </c>
      <c r="E35" s="182">
        <f t="shared" si="2"/>
        <v>26670</v>
      </c>
      <c r="F35" s="182">
        <f t="shared" si="2"/>
        <v>2925</v>
      </c>
      <c r="G35" s="183">
        <f t="shared" si="2"/>
        <v>34014.75</v>
      </c>
      <c r="H35" s="183">
        <f t="shared" si="2"/>
        <v>9240</v>
      </c>
      <c r="I35" s="183">
        <f t="shared" si="2"/>
        <v>42700</v>
      </c>
      <c r="J35" s="184">
        <f t="shared" si="2"/>
        <v>32200</v>
      </c>
      <c r="K35" s="185">
        <f t="shared" si="2"/>
        <v>29120</v>
      </c>
      <c r="L35" s="185">
        <f t="shared" si="2"/>
        <v>32400</v>
      </c>
      <c r="M35" s="185">
        <f t="shared" si="2"/>
        <v>30520</v>
      </c>
      <c r="N35" s="185">
        <f t="shared" si="2"/>
        <v>5200</v>
      </c>
      <c r="O35" s="186">
        <f t="shared" si="2"/>
        <v>6720</v>
      </c>
      <c r="P35" s="185">
        <f t="shared" si="2"/>
        <v>9500</v>
      </c>
      <c r="Q35" s="187"/>
      <c r="R35" s="6"/>
    </row>
    <row r="36">
      <c r="C36" s="188"/>
      <c r="D36" s="188"/>
      <c r="E36" s="188"/>
      <c r="F36" s="188"/>
      <c r="G36" s="188"/>
      <c r="H36" s="188"/>
      <c r="I36" s="188"/>
      <c r="J36" s="189"/>
      <c r="K36" s="190"/>
      <c r="L36" s="190"/>
      <c r="M36" s="190"/>
      <c r="N36" s="190"/>
      <c r="O36" s="190"/>
      <c r="P36" s="190"/>
      <c r="Q36" s="191"/>
      <c r="R36" s="6"/>
    </row>
    <row r="37">
      <c r="C37" s="192">
        <v>1334.0</v>
      </c>
      <c r="D37" s="193">
        <v>1250.0</v>
      </c>
      <c r="E37" s="193">
        <v>1375.0</v>
      </c>
      <c r="F37" s="193">
        <v>1250.0</v>
      </c>
      <c r="G37" s="193">
        <v>1250.0</v>
      </c>
      <c r="H37" s="193">
        <v>1250.0</v>
      </c>
      <c r="I37" s="193">
        <v>1460.0</v>
      </c>
      <c r="J37" s="193">
        <v>1460.0</v>
      </c>
      <c r="K37" s="193">
        <v>1250.0</v>
      </c>
      <c r="L37" s="193">
        <v>1250.0</v>
      </c>
      <c r="M37" s="193">
        <v>1250.0</v>
      </c>
      <c r="N37" s="193">
        <v>1300.0</v>
      </c>
      <c r="O37" s="193">
        <v>1500.0</v>
      </c>
      <c r="P37" s="194"/>
      <c r="Q37" s="195"/>
      <c r="R37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2.88"/>
    <col customWidth="1" min="11" max="11" width="28.38"/>
    <col customWidth="1" min="12" max="12" width="32.88"/>
    <col customWidth="1" min="13" max="13" width="34.88"/>
    <col customWidth="1" min="14" max="14" width="136.25"/>
  </cols>
  <sheetData>
    <row r="13">
      <c r="H13" s="6"/>
      <c r="I13" s="6"/>
      <c r="J13" s="6"/>
      <c r="K13" s="6"/>
      <c r="L13" s="6"/>
      <c r="M13" s="6"/>
      <c r="N13" s="6"/>
      <c r="O13" s="6"/>
      <c r="P13" s="6"/>
    </row>
    <row r="14">
      <c r="H14" s="6"/>
      <c r="I14" s="196"/>
      <c r="J14" s="197" t="s">
        <v>359</v>
      </c>
      <c r="K14" s="197" t="s">
        <v>4</v>
      </c>
      <c r="L14" s="198" t="s">
        <v>360</v>
      </c>
      <c r="M14" s="199" t="s">
        <v>361</v>
      </c>
      <c r="N14" s="200"/>
      <c r="O14" s="6"/>
      <c r="P14" s="6"/>
    </row>
    <row r="15">
      <c r="H15" s="6"/>
      <c r="I15" s="201"/>
      <c r="J15" s="202" t="s">
        <v>362</v>
      </c>
      <c r="K15" s="203">
        <v>30000.0</v>
      </c>
      <c r="L15" s="176">
        <v>30000.0</v>
      </c>
      <c r="M15" s="203">
        <f t="shared" ref="M15:M16" si="1">K15-L15</f>
        <v>0</v>
      </c>
      <c r="N15" s="180"/>
      <c r="O15" s="6"/>
      <c r="P15" s="6"/>
    </row>
    <row r="16">
      <c r="H16" s="6"/>
      <c r="I16" s="196"/>
      <c r="J16" s="204" t="s">
        <v>363</v>
      </c>
      <c r="K16" s="205">
        <v>30000.0</v>
      </c>
      <c r="L16" s="206">
        <v>30000.0</v>
      </c>
      <c r="M16" s="205">
        <f t="shared" si="1"/>
        <v>0</v>
      </c>
      <c r="N16" s="200"/>
      <c r="O16" s="6"/>
      <c r="P16" s="6"/>
    </row>
    <row r="17">
      <c r="H17" s="6"/>
      <c r="I17" s="132">
        <v>1.0</v>
      </c>
      <c r="J17" s="202" t="s">
        <v>339</v>
      </c>
      <c r="K17" s="203">
        <f>Pointage!C35</f>
        <v>33075</v>
      </c>
      <c r="L17" s="207">
        <v>33000.0</v>
      </c>
      <c r="M17" s="208">
        <v>0.0</v>
      </c>
      <c r="N17" s="209" t="s">
        <v>364</v>
      </c>
      <c r="O17" s="6"/>
      <c r="P17" s="6"/>
    </row>
    <row r="18">
      <c r="H18" s="6"/>
      <c r="I18" s="136">
        <v>2.0</v>
      </c>
      <c r="J18" s="204" t="s">
        <v>365</v>
      </c>
      <c r="K18" s="205">
        <f>Pointage!D35</f>
        <v>32487.5</v>
      </c>
      <c r="L18" s="206">
        <v>32500.0</v>
      </c>
      <c r="M18" s="205">
        <f t="shared" ref="M18:M20" si="2">K18-L18</f>
        <v>-12.5</v>
      </c>
      <c r="N18" s="210" t="s">
        <v>366</v>
      </c>
      <c r="O18" s="6"/>
      <c r="P18" s="6"/>
    </row>
    <row r="19">
      <c r="H19" s="6"/>
      <c r="I19" s="132">
        <v>4.0</v>
      </c>
      <c r="J19" s="202" t="s">
        <v>367</v>
      </c>
      <c r="K19" s="203">
        <f>Pointage!E35</f>
        <v>26670</v>
      </c>
      <c r="L19" s="207">
        <v>27000.0</v>
      </c>
      <c r="M19" s="203">
        <f t="shared" si="2"/>
        <v>-330</v>
      </c>
      <c r="N19" s="211" t="s">
        <v>368</v>
      </c>
      <c r="O19" s="6"/>
      <c r="P19" s="6"/>
    </row>
    <row r="20">
      <c r="H20" s="6"/>
      <c r="I20" s="136">
        <v>5.0</v>
      </c>
      <c r="J20" s="212" t="s">
        <v>342</v>
      </c>
      <c r="K20" s="205">
        <f>Pointage!F35</f>
        <v>2925</v>
      </c>
      <c r="L20" s="206">
        <v>3000.0</v>
      </c>
      <c r="M20" s="205">
        <f t="shared" si="2"/>
        <v>-75</v>
      </c>
      <c r="N20" s="200"/>
      <c r="O20" s="6"/>
      <c r="P20" s="6"/>
    </row>
    <row r="21">
      <c r="H21" s="6"/>
      <c r="I21" s="132">
        <v>6.0</v>
      </c>
      <c r="J21" s="202" t="s">
        <v>369</v>
      </c>
      <c r="K21" s="203">
        <f>N21+Pointage!G35</f>
        <v>39014.75</v>
      </c>
      <c r="L21" s="207">
        <v>39000.0</v>
      </c>
      <c r="M21" s="208">
        <v>0.0</v>
      </c>
      <c r="N21" s="213">
        <v>5000.0</v>
      </c>
      <c r="O21" s="6"/>
      <c r="P21" s="6"/>
    </row>
    <row r="22">
      <c r="H22" s="6"/>
      <c r="I22" s="136">
        <v>7.0</v>
      </c>
      <c r="J22" s="204" t="s">
        <v>344</v>
      </c>
      <c r="K22" s="205">
        <f>Pointage!H35</f>
        <v>9240</v>
      </c>
      <c r="L22" s="206">
        <v>9500.0</v>
      </c>
      <c r="M22" s="205">
        <f t="shared" ref="M22:M24" si="3">K22-L22</f>
        <v>-260</v>
      </c>
      <c r="N22" s="200"/>
      <c r="O22" s="6"/>
      <c r="P22" s="6"/>
    </row>
    <row r="23">
      <c r="H23" s="6"/>
      <c r="I23" s="132">
        <v>8.0</v>
      </c>
      <c r="J23" s="214" t="s">
        <v>345</v>
      </c>
      <c r="K23" s="203">
        <f>Pointage!I35</f>
        <v>42700</v>
      </c>
      <c r="L23" s="207">
        <v>43000.0</v>
      </c>
      <c r="M23" s="203">
        <f t="shared" si="3"/>
        <v>-300</v>
      </c>
      <c r="N23" s="180"/>
      <c r="O23" s="6"/>
      <c r="P23" s="6"/>
    </row>
    <row r="24">
      <c r="H24" s="6"/>
      <c r="I24" s="136">
        <v>11.0</v>
      </c>
      <c r="J24" s="204" t="s">
        <v>370</v>
      </c>
      <c r="K24" s="205">
        <f>Pointage!J35</f>
        <v>32200</v>
      </c>
      <c r="L24" s="206">
        <v>32500.0</v>
      </c>
      <c r="M24" s="205">
        <f t="shared" si="3"/>
        <v>-300</v>
      </c>
      <c r="N24" s="200"/>
      <c r="O24" s="6"/>
      <c r="P24" s="6"/>
    </row>
    <row r="25">
      <c r="H25" s="6"/>
      <c r="I25" s="132">
        <v>12.0</v>
      </c>
      <c r="J25" s="202" t="s">
        <v>347</v>
      </c>
      <c r="K25" s="203">
        <f>Pointage!K35</f>
        <v>29120</v>
      </c>
      <c r="L25" s="207">
        <v>29500.0</v>
      </c>
      <c r="M25" s="203">
        <v>0.0</v>
      </c>
      <c r="N25" s="180"/>
      <c r="O25" s="6"/>
      <c r="P25" s="6"/>
    </row>
    <row r="26">
      <c r="H26" s="6"/>
      <c r="I26" s="136">
        <v>14.0</v>
      </c>
      <c r="J26" s="204" t="s">
        <v>348</v>
      </c>
      <c r="K26" s="205">
        <f>Pointage!L35</f>
        <v>32400</v>
      </c>
      <c r="L26" s="206">
        <v>32500.0</v>
      </c>
      <c r="M26" s="205">
        <f>K26-L26</f>
        <v>-100</v>
      </c>
      <c r="N26" s="200"/>
      <c r="O26" s="6"/>
      <c r="P26" s="6"/>
    </row>
    <row r="27">
      <c r="H27" s="6"/>
      <c r="I27" s="132">
        <v>15.0</v>
      </c>
      <c r="J27" s="214" t="s">
        <v>349</v>
      </c>
      <c r="K27" s="203">
        <f>Pointage!M35</f>
        <v>30520</v>
      </c>
      <c r="L27" s="207">
        <v>30500.0</v>
      </c>
      <c r="M27" s="208">
        <v>0.0</v>
      </c>
      <c r="N27" s="213"/>
      <c r="O27" s="6"/>
      <c r="P27" s="6"/>
    </row>
    <row r="28">
      <c r="H28" s="6"/>
      <c r="I28" s="136">
        <v>16.0</v>
      </c>
      <c r="J28" s="212" t="s">
        <v>350</v>
      </c>
      <c r="K28" s="205">
        <f>Pointage!N35</f>
        <v>5200</v>
      </c>
      <c r="L28" s="206">
        <v>8000.0</v>
      </c>
      <c r="M28" s="205">
        <f t="shared" ref="M28:M32" si="4">K28-L28</f>
        <v>-2800</v>
      </c>
      <c r="N28" s="200"/>
      <c r="O28" s="6"/>
      <c r="P28" s="6"/>
    </row>
    <row r="29">
      <c r="H29" s="6"/>
      <c r="I29" s="201"/>
      <c r="J29" s="214" t="s">
        <v>371</v>
      </c>
      <c r="K29" s="203">
        <f>Pointage!O35</f>
        <v>6720</v>
      </c>
      <c r="L29" s="207">
        <v>7000.0</v>
      </c>
      <c r="M29" s="203">
        <f t="shared" si="4"/>
        <v>-280</v>
      </c>
      <c r="N29" s="180"/>
      <c r="O29" s="6"/>
      <c r="P29" s="6"/>
    </row>
    <row r="30">
      <c r="H30" s="6"/>
      <c r="I30" s="136">
        <v>17.0</v>
      </c>
      <c r="J30" s="204" t="s">
        <v>352</v>
      </c>
      <c r="K30" s="205">
        <f>Pointage!P35</f>
        <v>9500</v>
      </c>
      <c r="L30" s="206">
        <v>9500.0</v>
      </c>
      <c r="M30" s="205">
        <f t="shared" si="4"/>
        <v>0</v>
      </c>
      <c r="N30" s="210" t="s">
        <v>372</v>
      </c>
      <c r="O30" s="6"/>
      <c r="P30" s="6"/>
    </row>
    <row r="31">
      <c r="H31" s="6"/>
      <c r="I31" s="201"/>
      <c r="J31" s="202" t="s">
        <v>373</v>
      </c>
      <c r="K31" s="203">
        <f t="shared" ref="K31:L31" si="5">SUM(K15:K30)</f>
        <v>391772.25</v>
      </c>
      <c r="L31" s="215">
        <f t="shared" si="5"/>
        <v>396500</v>
      </c>
      <c r="M31" s="216">
        <f t="shared" si="4"/>
        <v>-4727.75</v>
      </c>
      <c r="N31" s="180"/>
      <c r="O31" s="6"/>
      <c r="P31" s="6"/>
    </row>
    <row r="32">
      <c r="H32" s="6"/>
      <c r="I32" s="196"/>
      <c r="J32" s="217"/>
      <c r="K32" s="218"/>
      <c r="L32" s="218"/>
      <c r="M32" s="205">
        <f t="shared" si="4"/>
        <v>0</v>
      </c>
      <c r="N32" s="195"/>
      <c r="O32" s="6"/>
      <c r="P32" s="6"/>
    </row>
    <row r="33">
      <c r="H33" s="6"/>
      <c r="I33" s="219"/>
      <c r="J33" s="219"/>
      <c r="K33" s="191"/>
      <c r="L33" s="219"/>
      <c r="M33" s="219"/>
      <c r="N33" s="191"/>
      <c r="O33" s="6"/>
      <c r="P33" s="6"/>
    </row>
    <row r="34">
      <c r="H34" s="6"/>
      <c r="I34" s="194"/>
      <c r="J34" s="194"/>
      <c r="K34" s="194"/>
      <c r="L34" s="194"/>
      <c r="M34" s="194"/>
      <c r="N34" s="195"/>
      <c r="O34" s="6"/>
      <c r="P34" s="6"/>
    </row>
    <row r="35">
      <c r="H35" s="6"/>
      <c r="I35" s="219"/>
      <c r="J35" s="219"/>
      <c r="K35" s="219"/>
      <c r="L35" s="219"/>
      <c r="M35" s="191"/>
      <c r="N35" s="191"/>
      <c r="O35" s="6"/>
      <c r="P35" s="6"/>
    </row>
    <row r="36">
      <c r="H36" s="6"/>
      <c r="I36" s="16"/>
      <c r="J36" s="16"/>
      <c r="K36" s="16"/>
      <c r="L36" s="16"/>
      <c r="M36" s="16"/>
      <c r="N36" s="6"/>
      <c r="O36" s="6"/>
      <c r="P36" s="6"/>
    </row>
    <row r="37">
      <c r="H37" s="6"/>
      <c r="I37" s="6"/>
      <c r="J37" s="6"/>
      <c r="K37" s="6"/>
      <c r="L37" s="6"/>
      <c r="M37" s="6"/>
      <c r="N37" s="6"/>
      <c r="O37" s="6"/>
      <c r="P37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5" max="5" width="34.88"/>
    <col customWidth="1" min="6" max="6" width="36.88"/>
    <col customWidth="1" min="7" max="7" width="30.38"/>
    <col customWidth="1" min="8" max="8" width="39.38"/>
    <col customWidth="1" min="9" max="9" width="30.13"/>
    <col customWidth="1" min="10" max="10" width="30.38"/>
    <col customWidth="1" min="11" max="11" width="31.38"/>
  </cols>
  <sheetData>
    <row r="13">
      <c r="C13" s="6"/>
      <c r="D13" s="6"/>
      <c r="E13" s="220"/>
      <c r="F13" s="220"/>
      <c r="G13" s="6"/>
      <c r="H13" s="6"/>
      <c r="I13" s="6"/>
      <c r="J13" s="6"/>
      <c r="K13" s="6"/>
      <c r="L13" s="6"/>
    </row>
    <row r="14">
      <c r="C14" s="6"/>
      <c r="D14" s="1"/>
      <c r="E14" s="221" t="s">
        <v>374</v>
      </c>
      <c r="F14" s="221" t="s">
        <v>375</v>
      </c>
      <c r="G14" s="221" t="s">
        <v>376</v>
      </c>
      <c r="H14" s="221" t="s">
        <v>377</v>
      </c>
      <c r="I14" s="221" t="s">
        <v>378</v>
      </c>
      <c r="J14" s="222" t="s">
        <v>379</v>
      </c>
      <c r="K14" s="223" t="s">
        <v>380</v>
      </c>
      <c r="L14" s="6"/>
    </row>
    <row r="15">
      <c r="C15" s="6"/>
      <c r="D15" s="224" t="s">
        <v>2</v>
      </c>
      <c r="E15" s="34">
        <v>2033000.0</v>
      </c>
      <c r="F15" s="34">
        <v>1859000.0</v>
      </c>
      <c r="G15" s="34">
        <v>2094000.0</v>
      </c>
      <c r="H15" s="34">
        <v>1282000.0</v>
      </c>
      <c r="I15" s="34">
        <v>2077000.0</v>
      </c>
      <c r="J15" s="225">
        <v>2345000.0</v>
      </c>
      <c r="K15" s="34">
        <f>RECAP!D33</f>
        <v>1997000</v>
      </c>
      <c r="L15" s="6"/>
    </row>
    <row r="16">
      <c r="C16" s="6"/>
      <c r="D16" s="224" t="s">
        <v>3</v>
      </c>
      <c r="E16" s="34">
        <v>854000.0</v>
      </c>
      <c r="F16" s="34">
        <v>884000.0</v>
      </c>
      <c r="G16" s="34">
        <v>962000.0</v>
      </c>
      <c r="H16" s="34">
        <v>669000.0</v>
      </c>
      <c r="I16" s="34">
        <v>800000.0</v>
      </c>
      <c r="J16" s="226">
        <v>883000.0</v>
      </c>
      <c r="K16" s="227">
        <v>883000.0</v>
      </c>
      <c r="L16" s="6"/>
    </row>
    <row r="17">
      <c r="C17" s="6"/>
      <c r="D17" s="224" t="s">
        <v>381</v>
      </c>
      <c r="E17" s="34">
        <v>427000.0</v>
      </c>
      <c r="F17" s="34">
        <v>409000.0</v>
      </c>
      <c r="G17" s="34">
        <v>439000.0</v>
      </c>
      <c r="H17" s="34">
        <v>338000.0</v>
      </c>
      <c r="I17" s="34">
        <v>385000.0</v>
      </c>
      <c r="J17" s="226">
        <v>365000.0</v>
      </c>
      <c r="K17" s="227">
        <v>392000.0</v>
      </c>
      <c r="L17" s="6"/>
    </row>
    <row r="18">
      <c r="C18" s="6"/>
      <c r="D18" s="224" t="s">
        <v>382</v>
      </c>
      <c r="E18" s="34">
        <v>62000.0</v>
      </c>
      <c r="F18" s="34">
        <v>56000.0</v>
      </c>
      <c r="G18" s="34">
        <v>60000.0</v>
      </c>
      <c r="H18" s="34">
        <v>50000.0</v>
      </c>
      <c r="I18" s="34">
        <v>180000.0</v>
      </c>
      <c r="J18" s="225">
        <v>56000.0</v>
      </c>
      <c r="K18" s="227">
        <v>62000.0</v>
      </c>
      <c r="L18" s="6"/>
    </row>
    <row r="19">
      <c r="C19" s="6"/>
      <c r="D19" s="224" t="s">
        <v>383</v>
      </c>
      <c r="E19" s="34">
        <v>180000.0</v>
      </c>
      <c r="F19" s="34">
        <v>180000.0</v>
      </c>
      <c r="G19" s="34">
        <v>180000.0</v>
      </c>
      <c r="H19" s="34">
        <v>180000.0</v>
      </c>
      <c r="I19" s="34">
        <v>180000.0</v>
      </c>
      <c r="J19" s="226">
        <v>180000.0</v>
      </c>
      <c r="K19" s="34">
        <v>180000.0</v>
      </c>
      <c r="L19" s="6"/>
    </row>
    <row r="20">
      <c r="C20" s="6"/>
      <c r="D20" s="224" t="s">
        <v>384</v>
      </c>
      <c r="E20" s="34">
        <f t="shared" ref="E20:K20" si="1">E15-E16-E17-E18-E19</f>
        <v>510000</v>
      </c>
      <c r="F20" s="34">
        <f t="shared" si="1"/>
        <v>330000</v>
      </c>
      <c r="G20" s="34">
        <f t="shared" si="1"/>
        <v>453000</v>
      </c>
      <c r="H20" s="34">
        <f t="shared" si="1"/>
        <v>45000</v>
      </c>
      <c r="I20" s="34">
        <f t="shared" si="1"/>
        <v>532000</v>
      </c>
      <c r="J20" s="226">
        <f t="shared" si="1"/>
        <v>861000</v>
      </c>
      <c r="K20" s="34">
        <f t="shared" si="1"/>
        <v>480000</v>
      </c>
      <c r="L20" s="6"/>
    </row>
    <row r="21"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C22" s="6"/>
      <c r="D22" s="6"/>
      <c r="E22" s="6"/>
      <c r="F22" s="6"/>
      <c r="G22" s="6"/>
      <c r="H22" s="6"/>
      <c r="I22" s="6"/>
      <c r="J22" s="6"/>
      <c r="K22" s="6"/>
      <c r="L22" s="6"/>
    </row>
    <row r="23"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C24" s="6"/>
      <c r="D24" s="6"/>
      <c r="E24" s="6"/>
      <c r="F24" s="6"/>
      <c r="G24" s="6"/>
      <c r="H24" s="6"/>
      <c r="I24" s="6"/>
      <c r="J24" s="6"/>
      <c r="K24" s="6"/>
      <c r="L24" s="6"/>
    </row>
    <row r="25">
      <c r="F25" s="6"/>
      <c r="G25" s="6"/>
      <c r="H25" s="6"/>
      <c r="I25" s="6"/>
    </row>
    <row r="26">
      <c r="F26" s="6"/>
      <c r="G26" s="6"/>
      <c r="H26" s="223" t="s">
        <v>380</v>
      </c>
      <c r="I26" s="6"/>
    </row>
    <row r="27">
      <c r="F27" s="6"/>
      <c r="G27" s="224" t="s">
        <v>2</v>
      </c>
      <c r="H27" s="227">
        <v>1997000.0</v>
      </c>
      <c r="I27" s="6"/>
    </row>
    <row r="28">
      <c r="F28" s="6"/>
      <c r="G28" s="224" t="s">
        <v>3</v>
      </c>
      <c r="H28" s="227">
        <v>883000.0</v>
      </c>
      <c r="I28" s="6"/>
    </row>
    <row r="29">
      <c r="F29" s="6"/>
      <c r="G29" s="224" t="s">
        <v>381</v>
      </c>
      <c r="H29" s="227">
        <v>392000.0</v>
      </c>
      <c r="I29" s="6"/>
    </row>
    <row r="30">
      <c r="F30" s="6"/>
      <c r="G30" s="224" t="s">
        <v>382</v>
      </c>
      <c r="H30" s="227">
        <v>62000.0</v>
      </c>
      <c r="I30" s="6"/>
    </row>
    <row r="31">
      <c r="F31" s="6"/>
      <c r="G31" s="224" t="s">
        <v>383</v>
      </c>
      <c r="H31" s="34">
        <v>180000.0</v>
      </c>
      <c r="I31" s="6"/>
    </row>
    <row r="32">
      <c r="F32" s="6"/>
      <c r="G32" s="224" t="s">
        <v>384</v>
      </c>
      <c r="H32" s="34">
        <f>H27-H28-H29-H30-H31</f>
        <v>480000</v>
      </c>
      <c r="I32" s="6"/>
    </row>
    <row r="33">
      <c r="F33" s="6"/>
      <c r="G33" s="6"/>
      <c r="H33" s="6"/>
      <c r="I33" s="6"/>
    </row>
  </sheetData>
  <drawing r:id="rId1"/>
</worksheet>
</file>