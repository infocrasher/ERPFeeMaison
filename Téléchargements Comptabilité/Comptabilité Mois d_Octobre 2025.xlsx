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AP" sheetId="1" r:id="rId4"/>
    <sheet state="visible" name="Les Charges " sheetId="2" r:id="rId5"/>
    <sheet state="visible" name="Pointage" sheetId="3" r:id="rId6"/>
    <sheet state="visible" name="Les Salaires" sheetId="4" r:id="rId7"/>
    <sheet state="visible" name="Feuille 5" sheetId="5" r:id="rId8"/>
  </sheets>
  <definedNames/>
  <calcPr/>
</workbook>
</file>

<file path=xl/sharedStrings.xml><?xml version="1.0" encoding="utf-8"?>
<sst xmlns="http://schemas.openxmlformats.org/spreadsheetml/2006/main" count="617" uniqueCount="381">
  <si>
    <t>Date</t>
  </si>
  <si>
    <t>Recette Septembre  2025</t>
  </si>
  <si>
    <t xml:space="preserve">Recette </t>
  </si>
  <si>
    <t>Charges</t>
  </si>
  <si>
    <t>Salaire</t>
  </si>
  <si>
    <t>Che7i7a</t>
  </si>
  <si>
    <t>Loyer</t>
  </si>
  <si>
    <t>Net Profit</t>
  </si>
  <si>
    <t>Nb de jours</t>
  </si>
  <si>
    <t>Objectif</t>
  </si>
  <si>
    <t>Mois de Septembre 2025</t>
  </si>
  <si>
    <t xml:space="preserve">Mercredi </t>
  </si>
  <si>
    <t>Jeudi</t>
  </si>
  <si>
    <t>Bénéfice Moyen par jour</t>
  </si>
  <si>
    <t xml:space="preserve">Moyenne </t>
  </si>
  <si>
    <t xml:space="preserve">Moyenne salaire </t>
  </si>
  <si>
    <t xml:space="preserve">pourcentage du salaire vis à vis la recettte </t>
  </si>
  <si>
    <t>Vendredi</t>
  </si>
  <si>
    <t>Samedi</t>
  </si>
  <si>
    <t>Dimanche</t>
  </si>
  <si>
    <t xml:space="preserve">Moyenne des charges par jour </t>
  </si>
  <si>
    <t xml:space="preserve">Objectif </t>
  </si>
  <si>
    <t>Lundi</t>
  </si>
  <si>
    <t>Mardi</t>
  </si>
  <si>
    <t xml:space="preserve">Cash restant </t>
  </si>
  <si>
    <t>Magasin</t>
  </si>
  <si>
    <t>Cash réel</t>
  </si>
  <si>
    <t>Mes dettes pour le magasin</t>
  </si>
  <si>
    <t xml:space="preserve">Fond de Roulement </t>
  </si>
  <si>
    <t>Dette Chaherazed Bararki</t>
  </si>
  <si>
    <t xml:space="preserve">La caisse :      </t>
  </si>
  <si>
    <t xml:space="preserve">CCP: </t>
  </si>
  <si>
    <t>Monnie</t>
  </si>
  <si>
    <t>Loyer Mois d'Octobre 2025</t>
  </si>
  <si>
    <t xml:space="preserve">Différence mois de Septembre </t>
  </si>
  <si>
    <t>Maroua:30000</t>
  </si>
  <si>
    <t xml:space="preserve">Différence objectif </t>
  </si>
  <si>
    <t xml:space="preserve">Cash PorteFeuille : 60000Da </t>
  </si>
  <si>
    <t xml:space="preserve">Différence du Totale </t>
  </si>
  <si>
    <t xml:space="preserve">Les vendredis </t>
  </si>
  <si>
    <t>rest à payer</t>
  </si>
  <si>
    <t>Loyer Magasin</t>
  </si>
  <si>
    <t xml:space="preserve">Loyer Locale </t>
  </si>
  <si>
    <t xml:space="preserve">Sofiane Maison </t>
  </si>
  <si>
    <t>Papa</t>
  </si>
  <si>
    <t>Dette Papa</t>
  </si>
  <si>
    <t>-</t>
  </si>
  <si>
    <t xml:space="preserve"> </t>
  </si>
  <si>
    <t>Produit</t>
  </si>
  <si>
    <t>Quantité</t>
  </si>
  <si>
    <t xml:space="preserve">Prix unitaire </t>
  </si>
  <si>
    <t>Prix</t>
  </si>
  <si>
    <t xml:space="preserve">Semoule Fine 25kg </t>
  </si>
  <si>
    <t xml:space="preserve">Semoule Moyenne 25kg </t>
  </si>
  <si>
    <t>Semoule Moula Grosse  10Kg</t>
  </si>
  <si>
    <t>Sucre Cristalisé</t>
  </si>
  <si>
    <t>Huile Elio 5 litres</t>
  </si>
  <si>
    <t>Sel</t>
  </si>
  <si>
    <t xml:space="preserve">Canette Hamoud </t>
  </si>
  <si>
    <t>Canettes IZEM 24cl</t>
  </si>
  <si>
    <t>Shwepess Canettes 24cl</t>
  </si>
  <si>
    <t>Shwepess Canettes Gold  24cl</t>
  </si>
  <si>
    <t>Fanta Canettes 33cl</t>
  </si>
  <si>
    <t>Sprite Canettes 33 cl</t>
  </si>
  <si>
    <t>Coca Cola Canettes 33cl</t>
  </si>
  <si>
    <t>Eau Petit</t>
  </si>
  <si>
    <t>Levure Boulangère 500g</t>
  </si>
  <si>
    <t>Tomate Conserve</t>
  </si>
  <si>
    <t>Fromage Bidon 3,8kg</t>
  </si>
  <si>
    <t>3akeri</t>
  </si>
  <si>
    <t xml:space="preserve">olive dénoyauté </t>
  </si>
  <si>
    <t>olive coupé</t>
  </si>
  <si>
    <t xml:space="preserve">Maiizina </t>
  </si>
  <si>
    <t>Javel 5 litres</t>
  </si>
  <si>
    <t xml:space="preserve">Isis </t>
  </si>
  <si>
    <t>Bingo</t>
  </si>
  <si>
    <t>amandes effilet</t>
  </si>
  <si>
    <t>Gherss Betana</t>
  </si>
  <si>
    <t>Maiis Princess 800g</t>
  </si>
  <si>
    <t>Levure chimique</t>
  </si>
  <si>
    <t>Lait en poudre</t>
  </si>
  <si>
    <t>Farine SIM 1kg</t>
  </si>
  <si>
    <t>Sucre Glace</t>
  </si>
  <si>
    <t>Thon 1kg</t>
  </si>
  <si>
    <t>Harrissa</t>
  </si>
  <si>
    <t>Gherss</t>
  </si>
  <si>
    <t>Noix</t>
  </si>
  <si>
    <t>Pain Tacos</t>
  </si>
  <si>
    <t>Confiture</t>
  </si>
  <si>
    <t>Force express</t>
  </si>
  <si>
    <t xml:space="preserve">Amandes Blanc </t>
  </si>
  <si>
    <t>Flan Fraise 800g</t>
  </si>
  <si>
    <t>Pate d'arome chocolat</t>
  </si>
  <si>
    <t>Pate d'arome Fraise</t>
  </si>
  <si>
    <t xml:space="preserve">Chocolat à Tartiner 2,5kg </t>
  </si>
  <si>
    <t xml:space="preserve">Grain de Sésame </t>
  </si>
  <si>
    <t xml:space="preserve">Eau de Fleur d'Oranger </t>
  </si>
  <si>
    <t>Chocolat Wedjedan Noir</t>
  </si>
  <si>
    <t>Chocolat wedjedane au lait</t>
  </si>
  <si>
    <t>Chocolat wedjedane Blanc</t>
  </si>
  <si>
    <t xml:space="preserve">Chocolat wedjedane Noisette </t>
  </si>
  <si>
    <t>Fromage spéciale pizza</t>
  </si>
  <si>
    <t xml:space="preserve">Crème Fraiche </t>
  </si>
  <si>
    <t>Crème Fraiche 4 Fromages</t>
  </si>
  <si>
    <t>Margarine Fleuriel 500g</t>
  </si>
  <si>
    <t>Plateau Oeuf</t>
  </si>
  <si>
    <t>Semen 1,8</t>
  </si>
  <si>
    <t>semoule d'orge</t>
  </si>
  <si>
    <t>Semoule Blé Complet</t>
  </si>
  <si>
    <t>Topy Caramel 3kg</t>
  </si>
  <si>
    <t xml:space="preserve">Khel </t>
  </si>
  <si>
    <t>Farine Sosimie 5kg</t>
  </si>
  <si>
    <t>Margarine dE Feuilletage 500g</t>
  </si>
  <si>
    <t>Noix noir</t>
  </si>
  <si>
    <t>Semoule Moula Moyenne 2kg</t>
  </si>
  <si>
    <t xml:space="preserve">tomate fraiche </t>
  </si>
  <si>
    <t>poivre</t>
  </si>
  <si>
    <t>carotte</t>
  </si>
  <si>
    <t>cheddar</t>
  </si>
  <si>
    <t>poulet haché</t>
  </si>
  <si>
    <t>semen Madina 1,8kg</t>
  </si>
  <si>
    <t>rechta</t>
  </si>
  <si>
    <t>sachets blanc 5kg</t>
  </si>
  <si>
    <t>Papier Aluminium</t>
  </si>
  <si>
    <t>sachets pain transparent</t>
  </si>
  <si>
    <t>flitox</t>
  </si>
  <si>
    <t>farine blé complet</t>
  </si>
  <si>
    <t>miel</t>
  </si>
  <si>
    <t>boites tranparent 500ccl</t>
  </si>
  <si>
    <t>Chiddar</t>
  </si>
  <si>
    <t>Confiture 1kg</t>
  </si>
  <si>
    <t>chocolat wedjedan blanche</t>
  </si>
  <si>
    <t xml:space="preserve">Tofia </t>
  </si>
  <si>
    <t>blanc de poulet</t>
  </si>
  <si>
    <t xml:space="preserve">escalope de poulet </t>
  </si>
  <si>
    <t>deyoul</t>
  </si>
  <si>
    <t>pistache</t>
  </si>
  <si>
    <t>amande effilet</t>
  </si>
  <si>
    <t>ail</t>
  </si>
  <si>
    <t>gherss</t>
  </si>
  <si>
    <t>olive noir</t>
  </si>
  <si>
    <t xml:space="preserve">salade </t>
  </si>
  <si>
    <t xml:space="preserve">Tomate Fraiche </t>
  </si>
  <si>
    <t>cheddar Mini Market</t>
  </si>
  <si>
    <t>demie cuisse</t>
  </si>
  <si>
    <t>viande hachée Slimane</t>
  </si>
  <si>
    <t xml:space="preserve">Viande Hachée  </t>
  </si>
  <si>
    <t xml:space="preserve">cuisses </t>
  </si>
  <si>
    <t>navet courgette</t>
  </si>
  <si>
    <t>Semoule orge</t>
  </si>
  <si>
    <t>Ka3ek Naakach</t>
  </si>
  <si>
    <t xml:space="preserve">sardines </t>
  </si>
  <si>
    <t>Heech Yasmine + Chiraz</t>
  </si>
  <si>
    <t>Margarine Goldmine 10kg</t>
  </si>
  <si>
    <t>Livraison Nakkach</t>
  </si>
  <si>
    <t>Jus Tchina 33cl</t>
  </si>
  <si>
    <t>Margarine Fleurial 500g</t>
  </si>
  <si>
    <t>Légumes</t>
  </si>
  <si>
    <t>Vinigrette</t>
  </si>
  <si>
    <t>Prking Marché</t>
  </si>
  <si>
    <t>cure dent</t>
  </si>
  <si>
    <t>extincteur</t>
  </si>
  <si>
    <t>Parking + poubelle</t>
  </si>
  <si>
    <t>eau de javel 5 litres</t>
  </si>
  <si>
    <t>Semoule Moyenne Moula 2kg</t>
  </si>
  <si>
    <t>Flitox</t>
  </si>
  <si>
    <t>Persil + Thym</t>
  </si>
  <si>
    <t>Citron</t>
  </si>
  <si>
    <t>crème liquide simple</t>
  </si>
  <si>
    <t xml:space="preserve">crème liquide 4 fromages </t>
  </si>
  <si>
    <t>les quissetes</t>
  </si>
  <si>
    <t>Bessel</t>
  </si>
  <si>
    <t xml:space="preserve">Amina Baghrir </t>
  </si>
  <si>
    <t>Semoule Moula 2kg</t>
  </si>
  <si>
    <t>Vanille Baraka 4kg</t>
  </si>
  <si>
    <t>Deyoul</t>
  </si>
  <si>
    <t>Quissettes 12/15</t>
  </si>
  <si>
    <t>Livraison Jolie Vue Moh Marché</t>
  </si>
  <si>
    <t>Viande Hachée</t>
  </si>
  <si>
    <t>Noix entier</t>
  </si>
  <si>
    <t xml:space="preserve">Courgette </t>
  </si>
  <si>
    <t xml:space="preserve">Navet  </t>
  </si>
  <si>
    <t>Pate Feuilletée</t>
  </si>
  <si>
    <t>Hamissa</t>
  </si>
  <si>
    <t>Rechta</t>
  </si>
  <si>
    <t>viande de veau</t>
  </si>
  <si>
    <t>Couscouss</t>
  </si>
  <si>
    <t>chakhechoukhate defer</t>
  </si>
  <si>
    <t>120+100+100+20</t>
  </si>
  <si>
    <t xml:space="preserve">Pomme de Terre </t>
  </si>
  <si>
    <t>Nakkach</t>
  </si>
  <si>
    <t>Berkoukess</t>
  </si>
  <si>
    <t>Semoule Moula Moyenne  10kg</t>
  </si>
  <si>
    <t>fromage Bidon 2kg</t>
  </si>
  <si>
    <t>orgonza Blanche 5,5</t>
  </si>
  <si>
    <t>orgonza miel 4,5</t>
  </si>
  <si>
    <t xml:space="preserve">plateau ronde avec tule </t>
  </si>
  <si>
    <t xml:space="preserve">Plateau caré simple </t>
  </si>
  <si>
    <t xml:space="preserve">Plateau rond simple </t>
  </si>
  <si>
    <t>Orgonza rose 5,5</t>
  </si>
  <si>
    <t>Fleur de décoration 3arayech</t>
  </si>
  <si>
    <t>Bon de livraison</t>
  </si>
  <si>
    <t>Orange</t>
  </si>
  <si>
    <t>Sofiane achats cheraga</t>
  </si>
  <si>
    <t xml:space="preserve">Parking  </t>
  </si>
  <si>
    <t>Crevette</t>
  </si>
  <si>
    <t>Riz Basmati</t>
  </si>
  <si>
    <t>viande morceaux</t>
  </si>
  <si>
    <t>Pomme de terre courgette carrotte poivre</t>
  </si>
  <si>
    <t>Plateaux oeuf</t>
  </si>
  <si>
    <t>Noix de Coco</t>
  </si>
  <si>
    <t>Nettoyage vitres</t>
  </si>
  <si>
    <t>livraison Nakkach</t>
  </si>
  <si>
    <t xml:space="preserve">heech Akila 2 vendredi + 2 samedi </t>
  </si>
  <si>
    <t>idir livraison + thé</t>
  </si>
  <si>
    <t xml:space="preserve">Poulet haché + blanc de poulet + escalope </t>
  </si>
  <si>
    <t xml:space="preserve">navet </t>
  </si>
  <si>
    <t xml:space="preserve">courgette </t>
  </si>
  <si>
    <t xml:space="preserve">Facture d'eau </t>
  </si>
  <si>
    <t xml:space="preserve">payés deux par Sofiane et par Mourad donc on va pas la payer pendant quelques Mois </t>
  </si>
  <si>
    <t>berkoukess</t>
  </si>
  <si>
    <t>plateau rond pour 9etayef</t>
  </si>
  <si>
    <t>petit plateau rond</t>
  </si>
  <si>
    <t xml:space="preserve">miel pure </t>
  </si>
  <si>
    <t>Terida</t>
  </si>
  <si>
    <t>citron</t>
  </si>
  <si>
    <t>Sardine conserve</t>
  </si>
  <si>
    <t>briqiuet</t>
  </si>
  <si>
    <t xml:space="preserve">coteaux </t>
  </si>
  <si>
    <t>brosse metalique</t>
  </si>
  <si>
    <t>saqrdine</t>
  </si>
  <si>
    <t xml:space="preserve">poivre rouge </t>
  </si>
  <si>
    <t>epinards</t>
  </si>
  <si>
    <t>thym</t>
  </si>
  <si>
    <t>rened</t>
  </si>
  <si>
    <t>poulet</t>
  </si>
  <si>
    <t>Semoule Fine 25kg</t>
  </si>
  <si>
    <t xml:space="preserve">livraison + manutention </t>
  </si>
  <si>
    <t xml:space="preserve">semoule moyenne  </t>
  </si>
  <si>
    <t xml:space="preserve">plateaux oeufs </t>
  </si>
  <si>
    <t>Boites num 36</t>
  </si>
  <si>
    <t>boites 48/10</t>
  </si>
  <si>
    <t>Nappage</t>
  </si>
  <si>
    <t xml:space="preserve">froce express + dégraissant </t>
  </si>
  <si>
    <t>navet + courgette</t>
  </si>
  <si>
    <t xml:space="preserve">poichiche </t>
  </si>
  <si>
    <t>raisin secs</t>
  </si>
  <si>
    <t>papier absorbant</t>
  </si>
  <si>
    <t xml:space="preserve">Sardine  </t>
  </si>
  <si>
    <t>livraison locale+ poubelle</t>
  </si>
  <si>
    <t>indrive Houda</t>
  </si>
  <si>
    <t>livraison locale  salés</t>
  </si>
  <si>
    <t>livraison ouled fayet idir</t>
  </si>
  <si>
    <t>crème liquide</t>
  </si>
  <si>
    <t>viande hachée</t>
  </si>
  <si>
    <t>épinards</t>
  </si>
  <si>
    <t xml:space="preserve">pain  </t>
  </si>
  <si>
    <t>fourchette</t>
  </si>
  <si>
    <t>assiettes</t>
  </si>
  <si>
    <t>semoule moyenne 10kg</t>
  </si>
  <si>
    <t>pain tacos</t>
  </si>
  <si>
    <t>Haricot vert</t>
  </si>
  <si>
    <t>pomme de terre</t>
  </si>
  <si>
    <t>bétrave</t>
  </si>
  <si>
    <t>petit pois surgelée</t>
  </si>
  <si>
    <t>hamissa</t>
  </si>
  <si>
    <t>briquet</t>
  </si>
  <si>
    <t>blé complet semoule</t>
  </si>
  <si>
    <t>néttoyage vitrees</t>
  </si>
  <si>
    <t>pain</t>
  </si>
  <si>
    <t>couscouss</t>
  </si>
  <si>
    <t xml:space="preserve">Persil  </t>
  </si>
  <si>
    <t>bavette</t>
  </si>
  <si>
    <t>concombre</t>
  </si>
  <si>
    <t>navet carrotes</t>
  </si>
  <si>
    <t>eau petit</t>
  </si>
  <si>
    <t>Force Express cafards</t>
  </si>
  <si>
    <t>terida</t>
  </si>
  <si>
    <t>lahessen</t>
  </si>
  <si>
    <t>nakkach</t>
  </si>
  <si>
    <t xml:space="preserve">livraison </t>
  </si>
  <si>
    <t>thé + livraison</t>
  </si>
  <si>
    <t>heech</t>
  </si>
  <si>
    <t>heech Akila jeudi soir + vendredi matin pour baklawa</t>
  </si>
  <si>
    <t>2 vendredi soir le 31 et 25</t>
  </si>
  <si>
    <t>fromage bidon 3,8kg</t>
  </si>
  <si>
    <t>olive dényauté</t>
  </si>
  <si>
    <t xml:space="preserve">olive coupé </t>
  </si>
  <si>
    <t>Semoule Moula Moyenne 10kg</t>
  </si>
  <si>
    <t>Cheddar</t>
  </si>
  <si>
    <t>hamoud</t>
  </si>
  <si>
    <t>livraison chahera</t>
  </si>
  <si>
    <t>semoule complet</t>
  </si>
  <si>
    <t xml:space="preserve">Amandes Blanche </t>
  </si>
  <si>
    <t>achats marché</t>
  </si>
  <si>
    <t xml:space="preserve">anti cafards Mehdi </t>
  </si>
  <si>
    <t>Toile sirrée</t>
  </si>
  <si>
    <t>Boite 48/10</t>
  </si>
  <si>
    <t>Boite 48/07</t>
  </si>
  <si>
    <t>Boite Num 36</t>
  </si>
  <si>
    <t>Boite Num 24</t>
  </si>
  <si>
    <t>Boites Num 08</t>
  </si>
  <si>
    <t>les achts chez Lahssen</t>
  </si>
  <si>
    <t>Livraison Lahssen cheraga</t>
  </si>
  <si>
    <t>Barquettes 1065</t>
  </si>
  <si>
    <t>Barquettes 1320</t>
  </si>
  <si>
    <t>Barquettes 1185</t>
  </si>
  <si>
    <t xml:space="preserve">Boites rondes </t>
  </si>
  <si>
    <t>Sac Poubelle  2*10*20</t>
  </si>
  <si>
    <t>Sac Croissant Num 14</t>
  </si>
  <si>
    <t>Quissetes Num 8</t>
  </si>
  <si>
    <t>quissetes blanc num 10</t>
  </si>
  <si>
    <t>Boites Plateau 40/60</t>
  </si>
  <si>
    <t>Boites demie plateau 30/40</t>
  </si>
  <si>
    <t>Boites Num 12</t>
  </si>
  <si>
    <t>Boites Num 18</t>
  </si>
  <si>
    <t>Boites Num 24</t>
  </si>
  <si>
    <t>Boites Num 36</t>
  </si>
  <si>
    <t>Boites 48/07</t>
  </si>
  <si>
    <t>Boites 48/10</t>
  </si>
  <si>
    <t>boites Raib</t>
  </si>
  <si>
    <t xml:space="preserve">Achoir </t>
  </si>
  <si>
    <t>9edera we kessekass</t>
  </si>
  <si>
    <t>coteau</t>
  </si>
  <si>
    <t>porte manger</t>
  </si>
  <si>
    <t>Abderrahman Comptable</t>
  </si>
  <si>
    <t xml:space="preserve">Impots  Mois d'Octobre </t>
  </si>
  <si>
    <t xml:space="preserve">Complément de Salaires Mois de Septembre </t>
  </si>
  <si>
    <t>Akila</t>
  </si>
  <si>
    <t>Chiraz</t>
  </si>
  <si>
    <t>Abir</t>
  </si>
  <si>
    <t xml:space="preserve">Samira </t>
  </si>
  <si>
    <t>Fatiha</t>
  </si>
  <si>
    <t>Samira Sidi Abdullah</t>
  </si>
  <si>
    <t>Ahlem</t>
  </si>
  <si>
    <t>Sarah</t>
  </si>
  <si>
    <t>Yasmine</t>
  </si>
  <si>
    <t>Zahia</t>
  </si>
  <si>
    <t>Zohra</t>
  </si>
  <si>
    <t xml:space="preserve">Houda </t>
  </si>
  <si>
    <t>Imene</t>
  </si>
  <si>
    <t>Fouzia</t>
  </si>
  <si>
    <t>Machair</t>
  </si>
  <si>
    <t>Akila djate à 06h30 jusqu'à 18h14 + Chiraz djate à 10h kharedjet à 18h14</t>
  </si>
  <si>
    <t>Akila djate à 06h40 et kharedjet à 17h30</t>
  </si>
  <si>
    <t>akila 2 jours OFF de Septembre +Samira une journée OFF de Septembre + Sara journée de Septembre  le 30</t>
  </si>
  <si>
    <t>/</t>
  </si>
  <si>
    <t xml:space="preserve">Nom </t>
  </si>
  <si>
    <t>Avance</t>
  </si>
  <si>
    <t xml:space="preserve">Salaire à payer </t>
  </si>
  <si>
    <t xml:space="preserve">Sofiane </t>
  </si>
  <si>
    <t>Amel</t>
  </si>
  <si>
    <t xml:space="preserve">Akila </t>
  </si>
  <si>
    <t>2500Da Mois de Septembre +10000Da</t>
  </si>
  <si>
    <t>Samira</t>
  </si>
  <si>
    <t xml:space="preserve">1000Da  Mois de Septembre </t>
  </si>
  <si>
    <t>5000 DA 2 ème Mois +2000Da +6000+1000+1000+ 4500 9oudeyan+ iande et poisson</t>
  </si>
  <si>
    <t xml:space="preserve">Samira Sidi AbduAllah </t>
  </si>
  <si>
    <t>5000+10500+5000+2000+2000</t>
  </si>
  <si>
    <t>3000+2000</t>
  </si>
  <si>
    <t xml:space="preserve">Yasmine </t>
  </si>
  <si>
    <t xml:space="preserve">Zahia </t>
  </si>
  <si>
    <t xml:space="preserve">Zohra </t>
  </si>
  <si>
    <t>Houda</t>
  </si>
  <si>
    <t>1000+4000</t>
  </si>
  <si>
    <t xml:space="preserve">Imene </t>
  </si>
  <si>
    <t>TOTAL</t>
  </si>
  <si>
    <t>Mois de Janvier 2025</t>
  </si>
  <si>
    <t>Mois de Février  2025</t>
  </si>
  <si>
    <t>Mois de Mars  2025</t>
  </si>
  <si>
    <t>Mois d'Avril  2025</t>
  </si>
  <si>
    <t>Mois de Mai  2025</t>
  </si>
  <si>
    <t>Mois de Juin 2025</t>
  </si>
  <si>
    <t>Mois de Juillet  2025</t>
  </si>
  <si>
    <t>Mois d'Aout 2025</t>
  </si>
  <si>
    <t>Mois d'Octobre  2025</t>
  </si>
  <si>
    <t>Salaires</t>
  </si>
  <si>
    <t xml:space="preserve">Che7i7a </t>
  </si>
  <si>
    <t>Loyer+Dettes</t>
  </si>
  <si>
    <t xml:space="preserve">Profit Net </t>
  </si>
  <si>
    <t>Mois d'Octobre e 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</si>
</sst>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#,##0\ [$€-1]"/>
    <numFmt numFmtId="165" formatCode="dd/mm/yyyy"/>
    <numFmt numFmtId="166" formatCode="#,##0.00\ [$€-1]"/>
    <numFmt numFmtId="167" formatCode="&quot;$&quot;#,##0.00"/>
    <numFmt numFmtId="168" formatCode="d/m/yyyy"/>
  </numFmts>
  <fonts count="22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sz val="18.0"/>
      <color theme="1"/>
      <name val="Arial"/>
    </font>
    <font>
      <b/>
      <sz val="21.0"/>
      <color theme="1"/>
      <name val="Arial"/>
    </font>
    <font>
      <sz val="21.0"/>
      <color theme="1"/>
      <name val="Arial"/>
    </font>
    <font/>
    <font>
      <sz val="19.0"/>
      <color theme="1"/>
      <name val="Arial"/>
    </font>
    <font>
      <sz val="17.0"/>
      <color theme="1"/>
      <name val="Arial"/>
      <scheme val="minor"/>
    </font>
    <font>
      <sz val="20.0"/>
      <color theme="1"/>
      <name val="Arial"/>
    </font>
    <font>
      <sz val="18.0"/>
      <color rgb="FFFF0000"/>
      <name val="Arial"/>
    </font>
    <font>
      <sz val="18.0"/>
      <color rgb="FFFFFF00"/>
      <name val="Arial"/>
    </font>
    <font>
      <sz val="17.0"/>
      <color theme="1"/>
      <name val="Arial"/>
    </font>
    <font>
      <color theme="1"/>
      <name val="Arial"/>
      <scheme val="minor"/>
    </font>
    <font>
      <b/>
      <sz val="20.0"/>
      <color theme="1"/>
      <name val="Arial"/>
    </font>
    <font>
      <b/>
      <sz val="24.0"/>
      <color theme="1"/>
      <name val="Arial"/>
    </font>
    <font>
      <sz val="18.0"/>
      <color rgb="FF434343"/>
      <name val="Arial"/>
    </font>
    <font>
      <sz val="17.0"/>
      <color rgb="FF434343"/>
      <name val="Arial"/>
    </font>
    <font>
      <sz val="19.0"/>
      <color rgb="FF434343"/>
      <name val="Arial"/>
    </font>
    <font>
      <b/>
      <sz val="20.0"/>
      <color rgb="FF434343"/>
      <name val="Arial"/>
    </font>
    <font>
      <b/>
      <sz val="20.0"/>
      <color rgb="FF1C4587"/>
      <name val="Arial"/>
    </font>
    <font>
      <b/>
      <sz val="17.0"/>
      <color theme="1"/>
      <name val="Arial"/>
    </font>
  </fonts>
  <fills count="21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F8F9FA"/>
        <bgColor rgb="FFF8F9FA"/>
      </patternFill>
    </fill>
    <fill>
      <patternFill patternType="solid">
        <fgColor rgb="FFEAD1DC"/>
        <bgColor rgb="FFEAD1DC"/>
      </patternFill>
    </fill>
    <fill>
      <patternFill patternType="solid">
        <fgColor rgb="FFEA9999"/>
        <bgColor rgb="FFEA9999"/>
      </patternFill>
    </fill>
    <fill>
      <patternFill patternType="solid">
        <fgColor rgb="FFD9D2E9"/>
        <bgColor rgb="FFD9D2E9"/>
      </patternFill>
    </fill>
    <fill>
      <patternFill patternType="solid">
        <fgColor rgb="FFD0E0E3"/>
        <bgColor rgb="FFD0E0E3"/>
      </patternFill>
    </fill>
    <fill>
      <patternFill patternType="solid">
        <fgColor rgb="FFD5A6BD"/>
        <bgColor rgb="FFD5A6BD"/>
      </patternFill>
    </fill>
  </fills>
  <borders count="9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4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2" fillId="2" fontId="2" numFmtId="0" xfId="0" applyAlignment="1" applyBorder="1" applyFill="1" applyFont="1">
      <alignment horizontal="center" vertical="bottom"/>
    </xf>
    <xf borderId="2" fillId="2" fontId="3" numFmtId="0" xfId="0" applyAlignment="1" applyBorder="1" applyFont="1">
      <alignment horizontal="center" readingOrder="0" vertical="bottom"/>
    </xf>
    <xf borderId="2" fillId="2" fontId="3" numFmtId="0" xfId="0" applyAlignment="1" applyBorder="1" applyFont="1">
      <alignment horizontal="center" vertical="bottom"/>
    </xf>
    <xf borderId="2" fillId="2" fontId="3" numFmtId="164" xfId="0" applyAlignment="1" applyBorder="1" applyFont="1" applyNumberFormat="1">
      <alignment horizontal="center" vertical="bottom"/>
    </xf>
    <xf borderId="0" fillId="0" fontId="1" numFmtId="0" xfId="0" applyAlignment="1" applyFont="1">
      <alignment vertical="bottom"/>
    </xf>
    <xf borderId="2" fillId="3" fontId="3" numFmtId="0" xfId="0" applyAlignment="1" applyBorder="1" applyFill="1" applyFont="1">
      <alignment horizontal="center" vertical="bottom"/>
    </xf>
    <xf borderId="2" fillId="4" fontId="3" numFmtId="0" xfId="0" applyAlignment="1" applyBorder="1" applyFill="1" applyFont="1">
      <alignment horizontal="center" readingOrder="0" vertical="bottom"/>
    </xf>
    <xf borderId="3" fillId="5" fontId="3" numFmtId="0" xfId="0" applyAlignment="1" applyBorder="1" applyFill="1" applyFont="1">
      <alignment horizontal="center" readingOrder="0" vertical="bottom"/>
    </xf>
    <xf borderId="1" fillId="5" fontId="3" numFmtId="165" xfId="0" applyAlignment="1" applyBorder="1" applyFont="1" applyNumberFormat="1">
      <alignment horizontal="center" readingOrder="0" vertical="bottom"/>
    </xf>
    <xf borderId="1" fillId="5" fontId="3" numFmtId="166" xfId="0" applyAlignment="1" applyBorder="1" applyFont="1" applyNumberFormat="1">
      <alignment horizontal="center" vertical="bottom"/>
    </xf>
    <xf borderId="1" fillId="5" fontId="3" numFmtId="166" xfId="0" applyAlignment="1" applyBorder="1" applyFont="1" applyNumberFormat="1">
      <alignment horizontal="center" readingOrder="0" vertical="bottom"/>
    </xf>
    <xf borderId="1" fillId="5" fontId="1" numFmtId="0" xfId="0" applyAlignment="1" applyBorder="1" applyFont="1">
      <alignment vertical="bottom"/>
    </xf>
    <xf borderId="1" fillId="5" fontId="1" numFmtId="164" xfId="0" applyAlignment="1" applyBorder="1" applyFont="1" applyNumberFormat="1">
      <alignment vertical="bottom"/>
    </xf>
    <xf borderId="1" fillId="5" fontId="3" numFmtId="0" xfId="0" applyAlignment="1" applyBorder="1" applyFont="1">
      <alignment horizontal="center" readingOrder="0" vertical="bottom"/>
    </xf>
    <xf borderId="0" fillId="5" fontId="1" numFmtId="0" xfId="0" applyAlignment="1" applyFont="1">
      <alignment vertical="bottom"/>
    </xf>
    <xf borderId="1" fillId="5" fontId="1" numFmtId="166" xfId="0" applyAlignment="1" applyBorder="1" applyFont="1" applyNumberFormat="1">
      <alignment vertical="bottom"/>
    </xf>
    <xf borderId="4" fillId="6" fontId="3" numFmtId="0" xfId="0" applyAlignment="1" applyBorder="1" applyFill="1" applyFont="1">
      <alignment horizontal="center" vertical="bottom"/>
    </xf>
    <xf borderId="0" fillId="7" fontId="3" numFmtId="0" xfId="0" applyAlignment="1" applyFill="1" applyFont="1">
      <alignment horizontal="center" vertical="bottom"/>
    </xf>
    <xf borderId="0" fillId="0" fontId="4" numFmtId="0" xfId="0" applyAlignment="1" applyFont="1">
      <alignment vertical="bottom"/>
    </xf>
    <xf borderId="3" fillId="8" fontId="3" numFmtId="0" xfId="0" applyAlignment="1" applyBorder="1" applyFill="1" applyFont="1">
      <alignment horizontal="center" readingOrder="0" vertical="bottom"/>
    </xf>
    <xf borderId="1" fillId="8" fontId="3" numFmtId="165" xfId="0" applyAlignment="1" applyBorder="1" applyFont="1" applyNumberFormat="1">
      <alignment horizontal="center" readingOrder="0" vertical="bottom"/>
    </xf>
    <xf borderId="1" fillId="8" fontId="3" numFmtId="166" xfId="0" applyAlignment="1" applyBorder="1" applyFont="1" applyNumberFormat="1">
      <alignment horizontal="center" readingOrder="0" vertical="bottom"/>
    </xf>
    <xf borderId="1" fillId="8" fontId="1" numFmtId="0" xfId="0" applyAlignment="1" applyBorder="1" applyFont="1">
      <alignment vertical="bottom"/>
    </xf>
    <xf borderId="1" fillId="8" fontId="1" numFmtId="164" xfId="0" applyAlignment="1" applyBorder="1" applyFont="1" applyNumberFormat="1">
      <alignment vertical="bottom"/>
    </xf>
    <xf borderId="1" fillId="8" fontId="3" numFmtId="0" xfId="0" applyAlignment="1" applyBorder="1" applyFont="1">
      <alignment horizontal="center" readingOrder="0" vertical="bottom"/>
    </xf>
    <xf borderId="1" fillId="4" fontId="3" numFmtId="166" xfId="0" applyAlignment="1" applyBorder="1" applyFont="1" applyNumberFormat="1">
      <alignment horizontal="center" vertical="bottom"/>
    </xf>
    <xf borderId="0" fillId="0" fontId="1" numFmtId="166" xfId="0" applyAlignment="1" applyFont="1" applyNumberFormat="1">
      <alignment vertical="bottom"/>
    </xf>
    <xf borderId="0" fillId="0" fontId="3" numFmtId="10" xfId="0" applyAlignment="1" applyFont="1" applyNumberFormat="1">
      <alignment horizontal="center" vertical="bottom"/>
    </xf>
    <xf borderId="1" fillId="0" fontId="1" numFmtId="0" xfId="0" applyAlignment="1" applyBorder="1" applyFont="1">
      <alignment vertical="bottom"/>
    </xf>
    <xf borderId="0" fillId="0" fontId="1" numFmtId="10" xfId="0" applyAlignment="1" applyFont="1" applyNumberFormat="1">
      <alignment vertical="bottom"/>
    </xf>
    <xf borderId="1" fillId="9" fontId="3" numFmtId="166" xfId="0" applyAlignment="1" applyBorder="1" applyFill="1" applyFont="1" applyNumberFormat="1">
      <alignment horizontal="center" vertical="bottom"/>
    </xf>
    <xf borderId="1" fillId="7" fontId="3" numFmtId="0" xfId="0" applyAlignment="1" applyBorder="1" applyFont="1">
      <alignment horizontal="center" vertical="bottom"/>
    </xf>
    <xf borderId="5" fillId="7" fontId="3" numFmtId="166" xfId="0" applyAlignment="1" applyBorder="1" applyFont="1" applyNumberFormat="1">
      <alignment horizontal="center" vertical="bottom"/>
    </xf>
    <xf borderId="5" fillId="0" fontId="3" numFmtId="166" xfId="0" applyAlignment="1" applyBorder="1" applyFont="1" applyNumberFormat="1">
      <alignment horizontal="center" vertical="bottom"/>
    </xf>
    <xf borderId="5" fillId="5" fontId="3" numFmtId="166" xfId="0" applyAlignment="1" applyBorder="1" applyFont="1" applyNumberFormat="1">
      <alignment horizontal="center" vertical="bottom"/>
    </xf>
    <xf borderId="4" fillId="0" fontId="1" numFmtId="0" xfId="0" applyAlignment="1" applyBorder="1" applyFont="1">
      <alignment vertical="bottom"/>
    </xf>
    <xf borderId="1" fillId="6" fontId="3" numFmtId="0" xfId="0" applyAlignment="1" applyBorder="1" applyFont="1">
      <alignment horizontal="center" vertical="bottom"/>
    </xf>
    <xf borderId="5" fillId="6" fontId="3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center" vertical="bottom"/>
    </xf>
    <xf borderId="6" fillId="5" fontId="5" numFmtId="166" xfId="0" applyAlignment="1" applyBorder="1" applyFont="1" applyNumberFormat="1">
      <alignment horizontal="center" readingOrder="0" vertical="bottom"/>
    </xf>
    <xf borderId="6" fillId="4" fontId="5" numFmtId="166" xfId="0" applyAlignment="1" applyBorder="1" applyFont="1" applyNumberFormat="1">
      <alignment horizontal="center" vertical="bottom"/>
    </xf>
    <xf borderId="7" fillId="0" fontId="5" numFmtId="166" xfId="0" applyAlignment="1" applyBorder="1" applyFont="1" applyNumberFormat="1">
      <alignment horizontal="center" readingOrder="0" vertical="bottom"/>
    </xf>
    <xf borderId="7" fillId="0" fontId="5" numFmtId="166" xfId="0" applyAlignment="1" applyBorder="1" applyFont="1" applyNumberFormat="1">
      <alignment horizontal="center" vertical="bottom"/>
    </xf>
    <xf borderId="1" fillId="0" fontId="6" numFmtId="0" xfId="0" applyBorder="1" applyFont="1"/>
    <xf borderId="3" fillId="0" fontId="6" numFmtId="0" xfId="0" applyBorder="1" applyFont="1"/>
    <xf borderId="5" fillId="0" fontId="7" numFmtId="166" xfId="0" applyAlignment="1" applyBorder="1" applyFont="1" applyNumberFormat="1">
      <alignment horizontal="center" vertical="bottom"/>
    </xf>
    <xf borderId="0" fillId="0" fontId="3" numFmtId="166" xfId="0" applyAlignment="1" applyFont="1" applyNumberFormat="1">
      <alignment readingOrder="0" vertical="bottom"/>
    </xf>
    <xf borderId="0" fillId="0" fontId="8" numFmtId="166" xfId="0" applyAlignment="1" applyFont="1" applyNumberFormat="1">
      <alignment horizontal="right" readingOrder="0"/>
    </xf>
    <xf borderId="0" fillId="0" fontId="3" numFmtId="0" xfId="0" applyAlignment="1" applyFont="1">
      <alignment readingOrder="0" vertical="bottom"/>
    </xf>
    <xf borderId="0" fillId="0" fontId="3" numFmtId="166" xfId="0" applyAlignment="1" applyFont="1" applyNumberFormat="1">
      <alignment horizontal="right" readingOrder="0" vertical="bottom"/>
    </xf>
    <xf borderId="0" fillId="5" fontId="1" numFmtId="0" xfId="0" applyAlignment="1" applyFont="1">
      <alignment horizontal="right" vertical="bottom"/>
    </xf>
    <xf borderId="0" fillId="5" fontId="1" numFmtId="166" xfId="0" applyAlignment="1" applyFont="1" applyNumberFormat="1">
      <alignment vertical="bottom"/>
    </xf>
    <xf borderId="0" fillId="0" fontId="9" numFmtId="166" xfId="0" applyAlignment="1" applyFont="1" applyNumberFormat="1">
      <alignment readingOrder="0" vertical="bottom"/>
    </xf>
    <xf borderId="0" fillId="0" fontId="3" numFmtId="166" xfId="0" applyAlignment="1" applyFont="1" applyNumberFormat="1">
      <alignment vertical="bottom"/>
    </xf>
    <xf borderId="4" fillId="0" fontId="1" numFmtId="166" xfId="0" applyAlignment="1" applyBorder="1" applyFont="1" applyNumberFormat="1">
      <alignment vertical="bottom"/>
    </xf>
    <xf borderId="4" fillId="6" fontId="10" numFmtId="166" xfId="0" applyAlignment="1" applyBorder="1" applyFont="1" applyNumberFormat="1">
      <alignment horizontal="center" readingOrder="0" vertical="bottom"/>
    </xf>
    <xf borderId="0" fillId="0" fontId="7" numFmtId="166" xfId="0" applyAlignment="1" applyFont="1" applyNumberFormat="1">
      <alignment readingOrder="0" vertical="bottom"/>
    </xf>
    <xf borderId="0" fillId="0" fontId="1" numFmtId="166" xfId="0" applyAlignment="1" applyFont="1" applyNumberFormat="1">
      <alignment readingOrder="0" vertical="bottom"/>
    </xf>
    <xf borderId="1" fillId="10" fontId="11" numFmtId="0" xfId="0" applyAlignment="1" applyBorder="1" applyFill="1" applyFont="1">
      <alignment horizontal="center" vertical="bottom"/>
    </xf>
    <xf borderId="0" fillId="5" fontId="7" numFmtId="166" xfId="0" applyAlignment="1" applyFont="1" applyNumberFormat="1">
      <alignment vertical="bottom"/>
    </xf>
    <xf borderId="0" fillId="5" fontId="3" numFmtId="166" xfId="0" applyAlignment="1" applyFont="1" applyNumberFormat="1">
      <alignment horizontal="right" vertical="bottom"/>
    </xf>
    <xf borderId="1" fillId="0" fontId="3" numFmtId="166" xfId="0" applyAlignment="1" applyBorder="1" applyFont="1" applyNumberFormat="1">
      <alignment horizontal="center" vertical="bottom"/>
    </xf>
    <xf borderId="1" fillId="4" fontId="3" numFmtId="0" xfId="0" applyAlignment="1" applyBorder="1" applyFont="1">
      <alignment horizontal="center" vertical="bottom"/>
    </xf>
    <xf borderId="1" fillId="0" fontId="7" numFmtId="166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0" fontId="1" numFmtId="166" xfId="0" applyAlignment="1" applyBorder="1" applyFont="1" applyNumberFormat="1">
      <alignment vertical="bottom"/>
    </xf>
    <xf borderId="1" fillId="10" fontId="3" numFmtId="0" xfId="0" applyAlignment="1" applyBorder="1" applyFont="1">
      <alignment horizontal="center" vertical="bottom"/>
    </xf>
    <xf borderId="1" fillId="8" fontId="12" numFmtId="166" xfId="0" applyAlignment="1" applyBorder="1" applyFont="1" applyNumberFormat="1">
      <alignment horizontal="center" readingOrder="0" vertical="bottom"/>
    </xf>
    <xf borderId="1" fillId="5" fontId="1" numFmtId="165" xfId="0" applyAlignment="1" applyBorder="1" applyFont="1" applyNumberFormat="1">
      <alignment vertical="bottom"/>
    </xf>
    <xf borderId="1" fillId="5" fontId="2" numFmtId="166" xfId="0" applyAlignment="1" applyBorder="1" applyFont="1" applyNumberFormat="1">
      <alignment horizontal="center" vertical="bottom"/>
    </xf>
    <xf borderId="1" fillId="5" fontId="2" numFmtId="164" xfId="0" applyAlignment="1" applyBorder="1" applyFont="1" applyNumberFormat="1">
      <alignment horizontal="center" vertical="bottom"/>
    </xf>
    <xf borderId="1" fillId="5" fontId="2" numFmtId="166" xfId="0" applyAlignment="1" applyBorder="1" applyFont="1" applyNumberFormat="1">
      <alignment horizontal="center" readingOrder="0" vertical="bottom"/>
    </xf>
    <xf borderId="1" fillId="5" fontId="2" numFmtId="0" xfId="0" applyAlignment="1" applyBorder="1" applyFont="1">
      <alignment horizontal="center" vertical="bottom"/>
    </xf>
    <xf borderId="0" fillId="5" fontId="1" numFmtId="165" xfId="0" applyAlignment="1" applyFont="1" applyNumberFormat="1">
      <alignment vertical="bottom"/>
    </xf>
    <xf borderId="0" fillId="5" fontId="1" numFmtId="164" xfId="0" applyAlignment="1" applyFont="1" applyNumberFormat="1">
      <alignment vertical="bottom"/>
    </xf>
    <xf borderId="5" fillId="5" fontId="3" numFmtId="0" xfId="0" applyAlignment="1" applyBorder="1" applyFont="1">
      <alignment horizontal="center" vertical="bottom"/>
    </xf>
    <xf borderId="5" fillId="5" fontId="3" numFmtId="167" xfId="0" applyAlignment="1" applyBorder="1" applyFont="1" applyNumberFormat="1">
      <alignment horizontal="center" vertical="bottom"/>
    </xf>
    <xf borderId="5" fillId="11" fontId="3" numFmtId="166" xfId="0" applyAlignment="1" applyBorder="1" applyFill="1" applyFont="1" applyNumberFormat="1">
      <alignment horizontal="center" vertical="bottom"/>
    </xf>
    <xf borderId="5" fillId="11" fontId="3" numFmtId="167" xfId="0" applyAlignment="1" applyBorder="1" applyFont="1" applyNumberFormat="1">
      <alignment horizontal="center" readingOrder="0" vertical="bottom"/>
    </xf>
    <xf borderId="0" fillId="5" fontId="7" numFmtId="0" xfId="0" applyAlignment="1" applyFont="1">
      <alignment horizontal="right" vertical="bottom"/>
    </xf>
    <xf borderId="0" fillId="0" fontId="13" numFmtId="0" xfId="0" applyAlignment="1" applyFont="1">
      <alignment readingOrder="0"/>
    </xf>
    <xf borderId="0" fillId="0" fontId="1" numFmtId="0" xfId="0" applyAlignment="1" applyFont="1">
      <alignment horizontal="right" vertical="bottom"/>
    </xf>
    <xf borderId="1" fillId="9" fontId="14" numFmtId="0" xfId="0" applyAlignment="1" applyBorder="1" applyFont="1">
      <alignment horizontal="center" vertical="bottom"/>
    </xf>
    <xf borderId="2" fillId="9" fontId="14" numFmtId="0" xfId="0" applyAlignment="1" applyBorder="1" applyFont="1">
      <alignment horizontal="center" vertical="bottom"/>
    </xf>
    <xf borderId="1" fillId="5" fontId="7" numFmtId="0" xfId="0" applyAlignment="1" applyBorder="1" applyFont="1">
      <alignment horizontal="center" readingOrder="0" vertical="bottom"/>
    </xf>
    <xf borderId="1" fillId="5" fontId="7" numFmtId="166" xfId="0" applyAlignment="1" applyBorder="1" applyFont="1" applyNumberFormat="1">
      <alignment horizontal="center" readingOrder="0" vertical="bottom"/>
    </xf>
    <xf borderId="2" fillId="5" fontId="7" numFmtId="166" xfId="0" applyAlignment="1" applyBorder="1" applyFont="1" applyNumberFormat="1">
      <alignment horizontal="center" vertical="bottom"/>
    </xf>
    <xf borderId="5" fillId="0" fontId="1" numFmtId="0" xfId="0" applyAlignment="1" applyBorder="1" applyFont="1">
      <alignment vertical="bottom"/>
    </xf>
    <xf borderId="1" fillId="5" fontId="7" numFmtId="0" xfId="0" applyAlignment="1" applyBorder="1" applyFont="1">
      <alignment horizontal="center" vertical="bottom"/>
    </xf>
    <xf borderId="1" fillId="5" fontId="7" numFmtId="166" xfId="0" applyAlignment="1" applyBorder="1" applyFont="1" applyNumberFormat="1">
      <alignment horizontal="center" vertical="bottom"/>
    </xf>
    <xf borderId="1" fillId="5" fontId="7" numFmtId="0" xfId="0" applyAlignment="1" applyBorder="1" applyFont="1">
      <alignment horizontal="center" vertical="bottom"/>
    </xf>
    <xf borderId="5" fillId="0" fontId="1" numFmtId="165" xfId="0" applyAlignment="1" applyBorder="1" applyFont="1" applyNumberFormat="1">
      <alignment readingOrder="0" vertical="bottom"/>
    </xf>
    <xf borderId="1" fillId="12" fontId="7" numFmtId="0" xfId="0" applyAlignment="1" applyBorder="1" applyFill="1" applyFont="1">
      <alignment horizontal="center" readingOrder="0" vertical="bottom"/>
    </xf>
    <xf borderId="1" fillId="12" fontId="7" numFmtId="166" xfId="0" applyAlignment="1" applyBorder="1" applyFont="1" applyNumberFormat="1">
      <alignment horizontal="center" readingOrder="0" vertical="bottom"/>
    </xf>
    <xf borderId="2" fillId="12" fontId="7" numFmtId="166" xfId="0" applyAlignment="1" applyBorder="1" applyFont="1" applyNumberFormat="1">
      <alignment horizontal="center" vertical="bottom"/>
    </xf>
    <xf borderId="5" fillId="0" fontId="5" numFmtId="165" xfId="0" applyAlignment="1" applyBorder="1" applyFont="1" applyNumberFormat="1">
      <alignment horizontal="center" vertical="bottom"/>
    </xf>
    <xf borderId="5" fillId="0" fontId="12" numFmtId="0" xfId="0" applyAlignment="1" applyBorder="1" applyFont="1">
      <alignment vertical="bottom"/>
    </xf>
    <xf borderId="5" fillId="0" fontId="9" numFmtId="165" xfId="0" applyAlignment="1" applyBorder="1" applyFont="1" applyNumberFormat="1">
      <alignment readingOrder="0" vertical="bottom"/>
    </xf>
    <xf borderId="5" fillId="0" fontId="9" numFmtId="0" xfId="0" applyAlignment="1" applyBorder="1" applyFont="1">
      <alignment vertical="bottom"/>
    </xf>
    <xf borderId="5" fillId="0" fontId="9" numFmtId="168" xfId="0" applyAlignment="1" applyBorder="1" applyFont="1" applyNumberFormat="1">
      <alignment readingOrder="0" vertical="bottom"/>
    </xf>
    <xf borderId="5" fillId="0" fontId="9" numFmtId="0" xfId="0" applyAlignment="1" applyBorder="1" applyFont="1">
      <alignment readingOrder="0" vertical="bottom"/>
    </xf>
    <xf borderId="5" fillId="0" fontId="9" numFmtId="165" xfId="0" applyAlignment="1" applyBorder="1" applyFont="1" applyNumberFormat="1">
      <alignment horizontal="center" vertical="bottom"/>
    </xf>
    <xf borderId="1" fillId="8" fontId="7" numFmtId="0" xfId="0" applyAlignment="1" applyBorder="1" applyFont="1">
      <alignment horizontal="center" readingOrder="0" vertical="bottom"/>
    </xf>
    <xf borderId="1" fillId="8" fontId="7" numFmtId="166" xfId="0" applyAlignment="1" applyBorder="1" applyFont="1" applyNumberFormat="1">
      <alignment horizontal="center" readingOrder="0" vertical="bottom"/>
    </xf>
    <xf borderId="2" fillId="8" fontId="7" numFmtId="166" xfId="0" applyAlignment="1" applyBorder="1" applyFont="1" applyNumberFormat="1">
      <alignment horizontal="center" vertical="bottom"/>
    </xf>
    <xf borderId="5" fillId="0" fontId="5" numFmtId="168" xfId="0" applyAlignment="1" applyBorder="1" applyFont="1" applyNumberFormat="1">
      <alignment readingOrder="0" vertical="bottom"/>
    </xf>
    <xf borderId="5" fillId="0" fontId="5" numFmtId="165" xfId="0" applyAlignment="1" applyBorder="1" applyFont="1" applyNumberFormat="1">
      <alignment horizontal="center" readingOrder="0" vertical="bottom"/>
    </xf>
    <xf borderId="5" fillId="0" fontId="12" numFmtId="0" xfId="0" applyAlignment="1" applyBorder="1" applyFont="1">
      <alignment readingOrder="0" vertical="bottom"/>
    </xf>
    <xf borderId="5" fillId="0" fontId="5" numFmtId="168" xfId="0" applyAlignment="1" applyBorder="1" applyFont="1" applyNumberFormat="1">
      <alignment horizontal="center" readingOrder="0" vertical="bottom"/>
    </xf>
    <xf borderId="5" fillId="0" fontId="5" numFmtId="0" xfId="0" applyAlignment="1" applyBorder="1" applyFont="1">
      <alignment horizontal="center" vertical="bottom"/>
    </xf>
    <xf borderId="5" fillId="0" fontId="1" numFmtId="168" xfId="0" applyAlignment="1" applyBorder="1" applyFont="1" applyNumberFormat="1">
      <alignment readingOrder="0" vertical="bottom"/>
    </xf>
    <xf borderId="1" fillId="5" fontId="9" numFmtId="166" xfId="0" applyAlignment="1" applyBorder="1" applyFont="1" applyNumberFormat="1">
      <alignment readingOrder="0" vertical="bottom"/>
    </xf>
    <xf borderId="2" fillId="5" fontId="7" numFmtId="166" xfId="0" applyAlignment="1" applyBorder="1" applyFont="1" applyNumberFormat="1">
      <alignment horizontal="center" readingOrder="0" vertical="bottom"/>
    </xf>
    <xf borderId="1" fillId="5" fontId="9" numFmtId="166" xfId="0" applyAlignment="1" applyBorder="1" applyFont="1" applyNumberFormat="1">
      <alignment horizontal="center" readingOrder="0" vertical="bottom"/>
    </xf>
    <xf borderId="2" fillId="5" fontId="7" numFmtId="168" xfId="0" applyAlignment="1" applyBorder="1" applyFont="1" applyNumberFormat="1">
      <alignment horizontal="center" readingOrder="0" vertical="bottom"/>
    </xf>
    <xf borderId="1" fillId="5" fontId="9" numFmtId="0" xfId="0" applyAlignment="1" applyBorder="1" applyFont="1">
      <alignment horizontal="center" readingOrder="0" vertical="bottom"/>
    </xf>
    <xf borderId="5" fillId="0" fontId="1" numFmtId="0" xfId="0" applyAlignment="1" applyBorder="1" applyFont="1">
      <alignment readingOrder="0" vertical="bottom"/>
    </xf>
    <xf borderId="0" fillId="0" fontId="1" numFmtId="0" xfId="0" applyAlignment="1" applyFont="1">
      <alignment readingOrder="0" vertical="bottom"/>
    </xf>
    <xf borderId="2" fillId="5" fontId="9" numFmtId="166" xfId="0" applyAlignment="1" applyBorder="1" applyFont="1" applyNumberFormat="1">
      <alignment horizontal="center" vertical="bottom"/>
    </xf>
    <xf borderId="5" fillId="0" fontId="12" numFmtId="0" xfId="0" applyAlignment="1" applyBorder="1" applyFont="1">
      <alignment horizontal="center" vertical="bottom"/>
    </xf>
    <xf borderId="5" fillId="0" fontId="12" numFmtId="0" xfId="0" applyAlignment="1" applyBorder="1" applyFont="1">
      <alignment horizontal="center" readingOrder="0" vertical="bottom"/>
    </xf>
    <xf borderId="5" fillId="0" fontId="12" numFmtId="166" xfId="0" applyAlignment="1" applyBorder="1" applyFont="1" applyNumberFormat="1">
      <alignment horizontal="center" vertical="bottom"/>
    </xf>
    <xf borderId="2" fillId="5" fontId="9" numFmtId="168" xfId="0" applyAlignment="1" applyBorder="1" applyFont="1" applyNumberFormat="1">
      <alignment horizontal="center" readingOrder="0" vertical="bottom"/>
    </xf>
    <xf borderId="1" fillId="5" fontId="9" numFmtId="0" xfId="0" applyAlignment="1" applyBorder="1" applyFont="1">
      <alignment horizontal="center" vertical="bottom"/>
    </xf>
    <xf borderId="1" fillId="5" fontId="9" numFmtId="166" xfId="0" applyAlignment="1" applyBorder="1" applyFont="1" applyNumberFormat="1">
      <alignment horizontal="center" vertical="bottom"/>
    </xf>
    <xf borderId="1" fillId="13" fontId="9" numFmtId="0" xfId="0" applyAlignment="1" applyBorder="1" applyFill="1" applyFont="1">
      <alignment horizontal="center" readingOrder="0" vertical="bottom"/>
    </xf>
    <xf borderId="1" fillId="13" fontId="9" numFmtId="166" xfId="0" applyAlignment="1" applyBorder="1" applyFont="1" applyNumberFormat="1">
      <alignment horizontal="center" readingOrder="0" vertical="bottom"/>
    </xf>
    <xf borderId="2" fillId="13" fontId="9" numFmtId="166" xfId="0" applyAlignment="1" applyBorder="1" applyFont="1" applyNumberFormat="1">
      <alignment horizontal="center" vertical="bottom"/>
    </xf>
    <xf borderId="7" fillId="0" fontId="3" numFmtId="165" xfId="0" applyAlignment="1" applyBorder="1" applyFont="1" applyNumberFormat="1">
      <alignment horizontal="center" readingOrder="0" vertical="bottom"/>
    </xf>
    <xf borderId="8" fillId="0" fontId="6" numFmtId="0" xfId="0" applyBorder="1" applyFont="1"/>
    <xf borderId="5" fillId="0" fontId="5" numFmtId="0" xfId="0" applyAlignment="1" applyBorder="1" applyFont="1">
      <alignment horizontal="center" readingOrder="0" vertical="bottom"/>
    </xf>
    <xf borderId="1" fillId="14" fontId="12" numFmtId="0" xfId="0" applyAlignment="1" applyBorder="1" applyFill="1" applyFont="1">
      <alignment horizontal="center" readingOrder="0" vertical="bottom"/>
    </xf>
    <xf borderId="1" fillId="14" fontId="12" numFmtId="0" xfId="0" applyAlignment="1" applyBorder="1" applyFont="1">
      <alignment horizontal="center" vertical="bottom"/>
    </xf>
    <xf borderId="1" fillId="14" fontId="12" numFmtId="166" xfId="0" applyAlignment="1" applyBorder="1" applyFont="1" applyNumberFormat="1">
      <alignment horizontal="center" readingOrder="0" vertical="bottom"/>
    </xf>
    <xf borderId="2" fillId="14" fontId="12" numFmtId="166" xfId="0" applyAlignment="1" applyBorder="1" applyFont="1" applyNumberFormat="1">
      <alignment horizontal="center" vertical="bottom"/>
    </xf>
    <xf borderId="5" fillId="5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2" fillId="0" fontId="1" numFmtId="166" xfId="0" applyAlignment="1" applyBorder="1" applyFont="1" applyNumberFormat="1">
      <alignment vertical="bottom"/>
    </xf>
    <xf borderId="2" fillId="0" fontId="15" numFmtId="166" xfId="0" applyAlignment="1" applyBorder="1" applyFont="1" applyNumberFormat="1">
      <alignment horizontal="center" vertical="bottom"/>
    </xf>
    <xf borderId="5" fillId="2" fontId="2" numFmtId="0" xfId="0" applyAlignment="1" applyBorder="1" applyFont="1">
      <alignment horizontal="center" readingOrder="0" vertical="bottom"/>
    </xf>
    <xf borderId="5" fillId="2" fontId="3" numFmtId="0" xfId="0" applyAlignment="1" applyBorder="1" applyFont="1">
      <alignment horizontal="center" vertical="bottom"/>
    </xf>
    <xf borderId="5" fillId="5" fontId="3" numFmtId="0" xfId="0" applyAlignment="1" applyBorder="1" applyFont="1">
      <alignment horizontal="center" readingOrder="0" vertical="bottom"/>
    </xf>
    <xf borderId="5" fillId="5" fontId="12" numFmtId="0" xfId="0" applyAlignment="1" applyBorder="1" applyFont="1">
      <alignment horizontal="center" readingOrder="0" vertical="bottom"/>
    </xf>
    <xf borderId="5" fillId="5" fontId="1" numFmtId="0" xfId="0" applyAlignment="1" applyBorder="1" applyFont="1">
      <alignment vertical="bottom"/>
    </xf>
    <xf borderId="5" fillId="15" fontId="3" numFmtId="0" xfId="0" applyAlignment="1" applyBorder="1" applyFill="1" applyFont="1">
      <alignment horizontal="center" readingOrder="0" vertical="bottom"/>
    </xf>
    <xf borderId="5" fillId="12" fontId="3" numFmtId="0" xfId="0" applyAlignment="1" applyBorder="1" applyFont="1">
      <alignment horizontal="center" readingOrder="0" vertical="bottom"/>
    </xf>
    <xf borderId="5" fillId="15" fontId="12" numFmtId="0" xfId="0" applyAlignment="1" applyBorder="1" applyFont="1">
      <alignment horizontal="center" readingOrder="0" vertical="bottom"/>
    </xf>
    <xf borderId="5" fillId="15" fontId="1" numFmtId="0" xfId="0" applyAlignment="1" applyBorder="1" applyFont="1">
      <alignment vertical="bottom"/>
    </xf>
    <xf borderId="5" fillId="15" fontId="7" numFmtId="0" xfId="0" applyAlignment="1" applyBorder="1" applyFont="1">
      <alignment vertical="bottom"/>
    </xf>
    <xf borderId="5" fillId="8" fontId="3" numFmtId="0" xfId="0" applyAlignment="1" applyBorder="1" applyFont="1">
      <alignment horizontal="center" readingOrder="0" vertical="bottom"/>
    </xf>
    <xf borderId="5" fillId="12" fontId="3" numFmtId="0" xfId="0" applyAlignment="1" applyBorder="1" applyFont="1">
      <alignment horizontal="center" readingOrder="0" vertical="bottom"/>
    </xf>
    <xf borderId="5" fillId="8" fontId="12" numFmtId="0" xfId="0" applyAlignment="1" applyBorder="1" applyFont="1">
      <alignment horizontal="center" readingOrder="0" vertical="bottom"/>
    </xf>
    <xf borderId="5" fillId="5" fontId="7" numFmtId="0" xfId="0" applyAlignment="1" applyBorder="1" applyFont="1">
      <alignment vertical="bottom"/>
    </xf>
    <xf borderId="5" fillId="8" fontId="3" numFmtId="0" xfId="0" applyAlignment="1" applyBorder="1" applyFont="1">
      <alignment horizontal="center" readingOrder="0" vertical="bottom"/>
    </xf>
    <xf borderId="5" fillId="5" fontId="3" numFmtId="0" xfId="0" applyAlignment="1" applyBorder="1" applyFont="1">
      <alignment horizontal="center" readingOrder="0" vertical="bottom"/>
    </xf>
    <xf borderId="5" fillId="16" fontId="12" numFmtId="0" xfId="0" applyAlignment="1" applyBorder="1" applyFill="1" applyFont="1">
      <alignment horizontal="center" readingOrder="0" vertical="bottom"/>
    </xf>
    <xf borderId="5" fillId="8" fontId="1" numFmtId="0" xfId="0" applyAlignment="1" applyBorder="1" applyFont="1">
      <alignment vertical="bottom"/>
    </xf>
    <xf borderId="5" fillId="8" fontId="7" numFmtId="0" xfId="0" applyAlignment="1" applyBorder="1" applyFont="1">
      <alignment horizontal="center" readingOrder="0" vertical="bottom"/>
    </xf>
    <xf borderId="5" fillId="17" fontId="3" numFmtId="0" xfId="0" applyAlignment="1" applyBorder="1" applyFill="1" applyFont="1">
      <alignment horizontal="center" readingOrder="0" vertical="bottom"/>
    </xf>
    <xf borderId="5" fillId="5" fontId="7" numFmtId="0" xfId="0" applyAlignment="1" applyBorder="1" applyFont="1">
      <alignment readingOrder="0" vertical="bottom"/>
    </xf>
    <xf borderId="5" fillId="10" fontId="3" numFmtId="0" xfId="0" applyAlignment="1" applyBorder="1" applyFont="1">
      <alignment horizontal="center" readingOrder="0" vertical="bottom"/>
    </xf>
    <xf borderId="5" fillId="18" fontId="3" numFmtId="0" xfId="0" applyAlignment="1" applyBorder="1" applyFill="1" applyFont="1">
      <alignment horizontal="center" readingOrder="0" vertical="bottom"/>
    </xf>
    <xf borderId="5" fillId="15" fontId="16" numFmtId="0" xfId="0" applyAlignment="1" applyBorder="1" applyFont="1">
      <alignment horizontal="center" readingOrder="0" vertical="bottom"/>
    </xf>
    <xf borderId="5" fillId="17" fontId="16" numFmtId="0" xfId="0" applyAlignment="1" applyBorder="1" applyFont="1">
      <alignment horizontal="center" readingOrder="0" vertical="bottom"/>
    </xf>
    <xf borderId="5" fillId="18" fontId="16" numFmtId="0" xfId="0" applyAlignment="1" applyBorder="1" applyFont="1">
      <alignment horizontal="center" readingOrder="0" vertical="bottom"/>
    </xf>
    <xf borderId="5" fillId="13" fontId="3" numFmtId="0" xfId="0" applyAlignment="1" applyBorder="1" applyFont="1">
      <alignment horizontal="center" readingOrder="0" vertical="bottom"/>
    </xf>
    <xf borderId="5" fillId="8" fontId="12" numFmtId="0" xfId="0" applyAlignment="1" applyBorder="1" applyFont="1">
      <alignment horizontal="center" readingOrder="0" vertical="bottom"/>
    </xf>
    <xf borderId="5" fillId="5" fontId="16" numFmtId="0" xfId="0" applyAlignment="1" applyBorder="1" applyFont="1">
      <alignment horizontal="center" readingOrder="0" vertical="bottom"/>
    </xf>
    <xf borderId="5" fillId="10" fontId="16" numFmtId="0" xfId="0" applyAlignment="1" applyBorder="1" applyFont="1">
      <alignment horizontal="center" readingOrder="0" vertical="bottom"/>
    </xf>
    <xf borderId="5" fillId="5" fontId="17" numFmtId="0" xfId="0" applyAlignment="1" applyBorder="1" applyFont="1">
      <alignment horizontal="center" readingOrder="0" vertical="bottom"/>
    </xf>
    <xf borderId="5" fillId="13" fontId="7" numFmtId="0" xfId="0" applyAlignment="1" applyBorder="1" applyFont="1">
      <alignment horizontal="center" readingOrder="0" vertical="bottom"/>
    </xf>
    <xf borderId="5" fillId="12" fontId="7" numFmtId="0" xfId="0" applyAlignment="1" applyBorder="1" applyFont="1">
      <alignment horizontal="center" readingOrder="0" vertical="bottom"/>
    </xf>
    <xf borderId="5" fillId="17" fontId="7" numFmtId="0" xfId="0" applyAlignment="1" applyBorder="1" applyFont="1">
      <alignment horizontal="center" readingOrder="0" vertical="bottom"/>
    </xf>
    <xf borderId="5" fillId="10" fontId="7" numFmtId="0" xfId="0" applyAlignment="1" applyBorder="1" applyFont="1">
      <alignment horizontal="center" readingOrder="0" vertical="bottom"/>
    </xf>
    <xf borderId="5" fillId="5" fontId="7" numFmtId="0" xfId="0" applyAlignment="1" applyBorder="1" applyFont="1">
      <alignment horizontal="center" readingOrder="0" vertical="bottom"/>
    </xf>
    <xf borderId="5" fillId="12" fontId="7" numFmtId="0" xfId="0" applyAlignment="1" applyBorder="1" applyFont="1">
      <alignment horizontal="center" readingOrder="0" vertical="bottom"/>
    </xf>
    <xf borderId="5" fillId="15" fontId="7" numFmtId="0" xfId="0" applyAlignment="1" applyBorder="1" applyFont="1">
      <alignment horizontal="center" readingOrder="0" vertical="bottom"/>
    </xf>
    <xf borderId="3" fillId="5" fontId="7" numFmtId="0" xfId="0" applyAlignment="1" applyBorder="1" applyFont="1">
      <alignment horizontal="center" readingOrder="0" vertical="bottom"/>
    </xf>
    <xf borderId="1" fillId="5" fontId="7" numFmtId="0" xfId="0" applyAlignment="1" applyBorder="1" applyFont="1">
      <alignment horizontal="center" readingOrder="0" vertical="bottom"/>
    </xf>
    <xf borderId="1" fillId="17" fontId="7" numFmtId="0" xfId="0" applyAlignment="1" applyBorder="1" applyFont="1">
      <alignment horizontal="center" readingOrder="0" vertical="bottom"/>
    </xf>
    <xf borderId="1" fillId="10" fontId="7" numFmtId="0" xfId="0" applyAlignment="1" applyBorder="1" applyFont="1">
      <alignment horizontal="center" readingOrder="0" vertical="bottom"/>
    </xf>
    <xf borderId="1" fillId="5" fontId="3" numFmtId="0" xfId="0" applyAlignment="1" applyBorder="1" applyFont="1">
      <alignment horizontal="center" readingOrder="0" vertical="bottom"/>
    </xf>
    <xf borderId="1" fillId="5" fontId="1" numFmtId="0" xfId="0" applyAlignment="1" applyBorder="1" applyFont="1">
      <alignment vertical="bottom"/>
    </xf>
    <xf borderId="1" fillId="5" fontId="7" numFmtId="0" xfId="0" applyAlignment="1" applyBorder="1" applyFont="1">
      <alignment vertical="bottom"/>
    </xf>
    <xf borderId="3" fillId="15" fontId="18" numFmtId="0" xfId="0" applyAlignment="1" applyBorder="1" applyFont="1">
      <alignment horizontal="center" readingOrder="0" vertical="bottom"/>
    </xf>
    <xf borderId="1" fillId="15" fontId="18" numFmtId="0" xfId="0" applyAlignment="1" applyBorder="1" applyFont="1">
      <alignment horizontal="center" readingOrder="0" vertical="bottom"/>
    </xf>
    <xf borderId="1" fillId="17" fontId="18" numFmtId="0" xfId="0" applyAlignment="1" applyBorder="1" applyFont="1">
      <alignment horizontal="center" readingOrder="0" vertical="bottom"/>
    </xf>
    <xf borderId="1" fillId="10" fontId="18" numFmtId="0" xfId="0" applyAlignment="1" applyBorder="1" applyFont="1">
      <alignment horizontal="center" readingOrder="0" vertical="bottom"/>
    </xf>
    <xf borderId="1" fillId="12" fontId="18" numFmtId="0" xfId="0" applyAlignment="1" applyBorder="1" applyFont="1">
      <alignment horizontal="center" readingOrder="0" vertical="bottom"/>
    </xf>
    <xf borderId="1" fillId="15" fontId="7" numFmtId="0" xfId="0" applyAlignment="1" applyBorder="1" applyFont="1">
      <alignment horizontal="center" readingOrder="0" vertical="bottom"/>
    </xf>
    <xf borderId="1" fillId="12" fontId="7" numFmtId="0" xfId="0" applyAlignment="1" applyBorder="1" applyFont="1">
      <alignment horizontal="center" readingOrder="0" vertical="bottom"/>
    </xf>
    <xf borderId="1" fillId="15" fontId="3" numFmtId="0" xfId="0" applyAlignment="1" applyBorder="1" applyFont="1">
      <alignment horizontal="center" readingOrder="0" vertical="bottom"/>
    </xf>
    <xf borderId="1" fillId="15" fontId="1" numFmtId="0" xfId="0" applyAlignment="1" applyBorder="1" applyFont="1">
      <alignment vertical="bottom"/>
    </xf>
    <xf borderId="1" fillId="15" fontId="7" numFmtId="0" xfId="0" applyAlignment="1" applyBorder="1" applyFont="1">
      <alignment vertical="bottom"/>
    </xf>
    <xf borderId="3" fillId="8" fontId="7" numFmtId="0" xfId="0" applyAlignment="1" applyBorder="1" applyFont="1">
      <alignment horizontal="center" readingOrder="0" vertical="bottom"/>
    </xf>
    <xf borderId="1" fillId="19" fontId="3" numFmtId="0" xfId="0" applyAlignment="1" applyBorder="1" applyFill="1" applyFont="1">
      <alignment horizontal="center" readingOrder="0" vertical="bottom"/>
    </xf>
    <xf borderId="3" fillId="20" fontId="14" numFmtId="0" xfId="0" applyAlignment="1" applyBorder="1" applyFill="1" applyFont="1">
      <alignment horizontal="center" readingOrder="0" vertical="bottom"/>
    </xf>
    <xf borderId="1" fillId="20" fontId="14" numFmtId="0" xfId="0" applyAlignment="1" applyBorder="1" applyFont="1">
      <alignment horizontal="center" vertical="bottom"/>
    </xf>
    <xf borderId="1" fillId="20" fontId="14" numFmtId="0" xfId="0" applyAlignment="1" applyBorder="1" applyFont="1">
      <alignment horizontal="center" readingOrder="0" vertical="bottom"/>
    </xf>
    <xf borderId="1" fillId="15" fontId="7" numFmtId="0" xfId="0" applyAlignment="1" applyBorder="1" applyFont="1">
      <alignment readingOrder="0" vertical="bottom"/>
    </xf>
    <xf borderId="3" fillId="15" fontId="14" numFmtId="0" xfId="0" applyAlignment="1" applyBorder="1" applyFont="1">
      <alignment horizontal="center" vertical="bottom"/>
    </xf>
    <xf borderId="5" fillId="5" fontId="19" numFmtId="166" xfId="0" applyAlignment="1" applyBorder="1" applyFont="1" applyNumberFormat="1">
      <alignment horizontal="center" readingOrder="0" vertical="bottom"/>
    </xf>
    <xf borderId="1" fillId="5" fontId="19" numFmtId="166" xfId="0" applyAlignment="1" applyBorder="1" applyFont="1" applyNumberFormat="1">
      <alignment horizontal="center" readingOrder="0" vertical="bottom"/>
    </xf>
    <xf borderId="1" fillId="5" fontId="14" numFmtId="166" xfId="0" applyAlignment="1" applyBorder="1" applyFont="1" applyNumberFormat="1">
      <alignment horizontal="center" readingOrder="0" vertical="bottom"/>
    </xf>
    <xf borderId="1" fillId="5" fontId="7" numFmtId="166" xfId="0" applyAlignment="1" applyBorder="1" applyFont="1" applyNumberFormat="1">
      <alignment horizontal="right" readingOrder="0" vertical="bottom"/>
    </xf>
    <xf borderId="1" fillId="5" fontId="12" numFmtId="166" xfId="0" applyAlignment="1" applyBorder="1" applyFont="1" applyNumberFormat="1">
      <alignment horizontal="center" readingOrder="0" vertical="bottom"/>
    </xf>
    <xf borderId="1" fillId="5" fontId="7" numFmtId="166" xfId="0" applyAlignment="1" applyBorder="1" applyFont="1" applyNumberFormat="1">
      <alignment horizontal="right" vertical="bottom"/>
    </xf>
    <xf borderId="0" fillId="5" fontId="1" numFmtId="0" xfId="0" applyAlignment="1" applyFont="1">
      <alignment vertical="bottom"/>
    </xf>
    <xf borderId="5" fillId="15" fontId="20" numFmtId="166" xfId="0" applyAlignment="1" applyBorder="1" applyFont="1" applyNumberFormat="1">
      <alignment horizontal="center" vertical="bottom"/>
    </xf>
    <xf borderId="0" fillId="15" fontId="1" numFmtId="166" xfId="0" applyAlignment="1" applyFont="1" applyNumberFormat="1">
      <alignment vertical="bottom"/>
    </xf>
    <xf borderId="4" fillId="5" fontId="3" numFmtId="166" xfId="0" applyAlignment="1" applyBorder="1" applyFont="1" applyNumberFormat="1">
      <alignment readingOrder="0" vertical="bottom"/>
    </xf>
    <xf borderId="1" fillId="5" fontId="3" numFmtId="166" xfId="0" applyAlignment="1" applyBorder="1" applyFont="1" applyNumberFormat="1">
      <alignment readingOrder="0" vertical="bottom"/>
    </xf>
    <xf borderId="1" fillId="5" fontId="3" numFmtId="166" xfId="0" applyAlignment="1" applyBorder="1" applyFont="1" applyNumberFormat="1">
      <alignment vertical="bottom"/>
    </xf>
    <xf borderId="1" fillId="15" fontId="21" numFmtId="0" xfId="0" applyAlignment="1" applyBorder="1" applyFont="1">
      <alignment horizontal="center" vertical="bottom"/>
    </xf>
    <xf borderId="4" fillId="15" fontId="21" numFmtId="0" xfId="0" applyAlignment="1" applyBorder="1" applyFont="1">
      <alignment horizontal="center" vertical="bottom"/>
    </xf>
    <xf borderId="0" fillId="15" fontId="21" numFmtId="0" xfId="0" applyAlignment="1" applyFont="1">
      <alignment horizontal="center" vertical="bottom"/>
    </xf>
    <xf borderId="1" fillId="5" fontId="12" numFmtId="0" xfId="0" applyAlignment="1" applyBorder="1" applyFont="1">
      <alignment horizontal="center" vertical="bottom"/>
    </xf>
    <xf borderId="1" fillId="5" fontId="12" numFmtId="166" xfId="0" applyAlignment="1" applyBorder="1" applyFont="1" applyNumberFormat="1">
      <alignment horizontal="center" vertical="bottom"/>
    </xf>
    <xf borderId="1" fillId="5" fontId="2" numFmtId="166" xfId="0" applyAlignment="1" applyBorder="1" applyFont="1" applyNumberFormat="1">
      <alignment horizontal="center" readingOrder="0" vertical="bottom"/>
    </xf>
    <xf borderId="0" fillId="5" fontId="12" numFmtId="0" xfId="0" applyAlignment="1" applyFont="1">
      <alignment horizontal="center" vertical="bottom"/>
    </xf>
    <xf borderId="0" fillId="5" fontId="12" numFmtId="168" xfId="0" applyAlignment="1" applyFont="1" applyNumberFormat="1">
      <alignment horizontal="center" readingOrder="0" vertical="bottom"/>
    </xf>
    <xf borderId="1" fillId="15" fontId="12" numFmtId="0" xfId="0" applyAlignment="1" applyBorder="1" applyFont="1">
      <alignment horizontal="center" vertical="bottom"/>
    </xf>
    <xf borderId="1" fillId="15" fontId="12" numFmtId="166" xfId="0" applyAlignment="1" applyBorder="1" applyFont="1" applyNumberFormat="1">
      <alignment horizontal="center" vertical="bottom"/>
    </xf>
    <xf borderId="1" fillId="15" fontId="3" numFmtId="166" xfId="0" applyAlignment="1" applyBorder="1" applyFont="1" applyNumberFormat="1">
      <alignment horizontal="center" readingOrder="0" vertical="bottom"/>
    </xf>
    <xf borderId="0" fillId="15" fontId="12" numFmtId="0" xfId="0" applyAlignment="1" applyFont="1">
      <alignment horizontal="center" vertical="bottom"/>
    </xf>
    <xf borderId="5" fillId="5" fontId="12" numFmtId="0" xfId="0" applyAlignment="1" applyBorder="1" applyFont="1">
      <alignment horizontal="center" vertical="bottom"/>
    </xf>
    <xf borderId="1" fillId="5" fontId="12" numFmtId="0" xfId="0" applyAlignment="1" applyBorder="1" applyFont="1">
      <alignment horizontal="center" readingOrder="0" vertical="bottom"/>
    </xf>
    <xf borderId="1" fillId="5" fontId="3" numFmtId="166" xfId="0" applyAlignment="1" applyBorder="1" applyFont="1" applyNumberFormat="1">
      <alignment horizontal="center" readingOrder="0" vertical="bottom"/>
    </xf>
    <xf borderId="0" fillId="5" fontId="12" numFmtId="0" xfId="0" applyAlignment="1" applyFont="1">
      <alignment horizontal="center" readingOrder="0" vertical="bottom"/>
    </xf>
    <xf borderId="5" fillId="15" fontId="12" numFmtId="0" xfId="0" applyAlignment="1" applyBorder="1" applyFont="1">
      <alignment horizontal="center" vertical="bottom"/>
    </xf>
    <xf borderId="1" fillId="15" fontId="12" numFmtId="0" xfId="0" applyAlignment="1" applyBorder="1" applyFont="1">
      <alignment horizontal="center" readingOrder="0" vertical="bottom"/>
    </xf>
    <xf borderId="0" fillId="15" fontId="12" numFmtId="0" xfId="0" applyAlignment="1" applyFont="1">
      <alignment horizontal="center" readingOrder="0" vertical="bottom"/>
    </xf>
    <xf borderId="0" fillId="5" fontId="5" numFmtId="0" xfId="0" applyAlignment="1" applyFont="1">
      <alignment horizontal="center" readingOrder="0" vertical="bottom"/>
    </xf>
    <xf borderId="0" fillId="5" fontId="12" numFmtId="166" xfId="0" applyAlignment="1" applyFont="1" applyNumberFormat="1">
      <alignment horizontal="center" readingOrder="0" vertical="bottom"/>
    </xf>
    <xf borderId="0" fillId="5" fontId="12" numFmtId="0" xfId="0" applyAlignment="1" applyFont="1">
      <alignment horizontal="center" readingOrder="0" vertical="bottom"/>
    </xf>
    <xf borderId="1" fillId="5" fontId="21" numFmtId="166" xfId="0" applyAlignment="1" applyBorder="1" applyFont="1" applyNumberFormat="1">
      <alignment horizontal="center" vertical="bottom"/>
    </xf>
    <xf borderId="0" fillId="5" fontId="21" numFmtId="0" xfId="0" applyAlignment="1" applyFont="1">
      <alignment horizontal="center" vertical="bottom"/>
    </xf>
    <xf borderId="1" fillId="15" fontId="1" numFmtId="166" xfId="0" applyAlignment="1" applyBorder="1" applyFont="1" applyNumberFormat="1">
      <alignment vertical="bottom"/>
    </xf>
    <xf borderId="0" fillId="5" fontId="1" numFmtId="166" xfId="0" applyAlignment="1" applyFont="1" applyNumberFormat="1">
      <alignment vertical="bottom"/>
    </xf>
    <xf borderId="0" fillId="15" fontId="1" numFmtId="0" xfId="0" applyAlignment="1" applyFont="1">
      <alignment vertical="bottom"/>
    </xf>
    <xf borderId="1" fillId="9" fontId="2" numFmtId="0" xfId="0" applyAlignment="1" applyBorder="1" applyFont="1">
      <alignment horizontal="center" vertical="bottom"/>
    </xf>
    <xf borderId="5" fillId="9" fontId="2" numFmtId="0" xfId="0" applyAlignment="1" applyBorder="1" applyFont="1">
      <alignment horizontal="center" vertical="bottom"/>
    </xf>
    <xf borderId="5" fillId="9" fontId="2" numFmtId="0" xfId="0" applyAlignment="1" applyBorder="1" applyFont="1">
      <alignment horizontal="center" readingOrder="0" vertical="bottom"/>
    </xf>
    <xf borderId="1" fillId="14" fontId="2" numFmtId="0" xfId="0" applyAlignment="1" applyBorder="1" applyFont="1">
      <alignment horizontal="center" vertical="bottom"/>
    </xf>
    <xf borderId="5" fillId="0" fontId="3" numFmtId="166" xfId="0" applyAlignment="1" applyBorder="1" applyFont="1" applyNumberFormat="1">
      <alignment horizontal="center" readingOrder="0" vertical="bottom"/>
    </xf>
    <xf borderId="1" fillId="9" fontId="2" numFmtId="0" xfId="0" applyAlignment="1" applyBorder="1" applyFont="1">
      <alignment horizontal="center" readingOrder="0" vertical="bottom"/>
    </xf>
    <xf borderId="1" fillId="0" fontId="3" numFmtId="166" xfId="0" applyAlignment="1" applyBorder="1" applyFont="1" applyNumberFormat="1">
      <alignment horizontal="center" readingOrder="0"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3">
    <tableStyle count="2" pivot="0" name="Pointage-style">
      <tableStyleElement dxfId="1" type="firstRowStripe"/>
      <tableStyleElement dxfId="2" type="secondRowStripe"/>
    </tableStyle>
    <tableStyle count="2" pivot="0" name="Pointage-style 2">
      <tableStyleElement dxfId="1" type="firstRowStripe"/>
      <tableStyleElement dxfId="2" type="secondRowStripe"/>
    </tableStyle>
    <tableStyle count="2" pivot="0" name="Les Salaires-style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C2:S37" displayName="Table_1" name="Table_1" id="1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Pointage-style" showColumnStripes="0" showFirstColumn="1" showLastColumn="1" showRowStripes="1"/>
</table>
</file>

<file path=xl/tables/table2.xml><?xml version="1.0" encoding="utf-8"?>
<table xmlns="http://schemas.openxmlformats.org/spreadsheetml/2006/main" headerRowCount="0" ref="W39:W74" displayName="Table_2" name="Table_2" id="2">
  <tableColumns count="1">
    <tableColumn name="Column1" id="1"/>
  </tableColumns>
  <tableStyleInfo name="Pointage-style 2" showColumnStripes="0" showFirstColumn="1" showLastColumn="1" showRowStripes="1"/>
</table>
</file>

<file path=xl/tables/table3.xml><?xml version="1.0" encoding="utf-8"?>
<table xmlns="http://schemas.openxmlformats.org/spreadsheetml/2006/main" headerRowCount="0" ref="H12:N34" displayName="Table_3" name="Table_3" id="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Les Salair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5.38"/>
    <col customWidth="1" min="3" max="3" width="40.13"/>
    <col customWidth="1" min="4" max="4" width="25.88"/>
    <col customWidth="1" min="5" max="5" width="25.38"/>
    <col customWidth="1" min="6" max="6" width="21.38"/>
    <col customWidth="1" min="7" max="7" width="25.38"/>
    <col customWidth="1" min="8" max="8" width="20.63"/>
    <col customWidth="1" min="9" max="9" width="22.63"/>
    <col customWidth="1" min="10" max="10" width="23.13"/>
    <col customWidth="1" min="12" max="12" width="25.13"/>
    <col customWidth="1" min="13" max="13" width="37.63"/>
    <col customWidth="1" min="14" max="14" width="51.13"/>
    <col customWidth="1" min="15" max="15" width="38.63"/>
    <col customWidth="1" min="16" max="16" width="38.88"/>
    <col customWidth="1" min="17" max="17" width="70.38"/>
    <col customWidth="1" min="18" max="18" width="60.13"/>
    <col customWidth="1" min="19" max="19" width="30.63"/>
  </cols>
  <sheetData>
    <row r="1">
      <c r="A1" s="1"/>
      <c r="B1" s="2" t="s">
        <v>0</v>
      </c>
      <c r="C1" s="3" t="s">
        <v>1</v>
      </c>
      <c r="D1" s="4" t="s">
        <v>2</v>
      </c>
      <c r="E1" s="4" t="s">
        <v>3</v>
      </c>
      <c r="F1" s="5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6"/>
      <c r="L1" s="7" t="s">
        <v>9</v>
      </c>
      <c r="M1" s="8" t="s">
        <v>10</v>
      </c>
      <c r="N1" s="6"/>
      <c r="O1" s="6"/>
      <c r="P1" s="6"/>
      <c r="Q1" s="6"/>
      <c r="R1" s="6"/>
    </row>
    <row r="2">
      <c r="A2" s="9" t="s">
        <v>11</v>
      </c>
      <c r="B2" s="10">
        <v>45931.0</v>
      </c>
      <c r="C2" s="11">
        <v>52000.0</v>
      </c>
      <c r="D2" s="12">
        <v>30000.0</v>
      </c>
      <c r="E2" s="13"/>
      <c r="F2" s="14"/>
      <c r="G2" s="12">
        <v>2000.0</v>
      </c>
      <c r="H2" s="13"/>
      <c r="I2" s="13"/>
      <c r="J2" s="15">
        <v>1.0</v>
      </c>
      <c r="K2" s="16"/>
      <c r="L2" s="17"/>
      <c r="M2" s="11">
        <v>52000.0</v>
      </c>
      <c r="N2" s="6"/>
      <c r="O2" s="6"/>
      <c r="P2" s="6"/>
      <c r="Q2" s="6"/>
      <c r="R2" s="6"/>
    </row>
    <row r="3">
      <c r="A3" s="9" t="s">
        <v>12</v>
      </c>
      <c r="B3" s="10">
        <v>45932.0</v>
      </c>
      <c r="C3" s="11">
        <v>67000.0</v>
      </c>
      <c r="D3" s="12">
        <v>104000.0</v>
      </c>
      <c r="E3" s="13"/>
      <c r="F3" s="14"/>
      <c r="G3" s="12">
        <v>2000.0</v>
      </c>
      <c r="H3" s="13"/>
      <c r="I3" s="13"/>
      <c r="J3" s="15">
        <v>1.0</v>
      </c>
      <c r="K3" s="16"/>
      <c r="L3" s="17"/>
      <c r="M3" s="11">
        <v>67000.0</v>
      </c>
      <c r="N3" s="18" t="s">
        <v>13</v>
      </c>
      <c r="O3" s="18" t="s">
        <v>14</v>
      </c>
      <c r="P3" s="19" t="s">
        <v>15</v>
      </c>
      <c r="Q3" s="20" t="s">
        <v>16</v>
      </c>
      <c r="R3" s="6"/>
    </row>
    <row r="4">
      <c r="A4" s="21" t="s">
        <v>17</v>
      </c>
      <c r="B4" s="22">
        <v>45933.0</v>
      </c>
      <c r="C4" s="11">
        <v>97000.0</v>
      </c>
      <c r="D4" s="23">
        <v>85000.0</v>
      </c>
      <c r="E4" s="24"/>
      <c r="F4" s="25"/>
      <c r="G4" s="23">
        <v>2000.0</v>
      </c>
      <c r="H4" s="24"/>
      <c r="I4" s="24"/>
      <c r="J4" s="26">
        <v>1.0</v>
      </c>
      <c r="K4" s="16"/>
      <c r="L4" s="17"/>
      <c r="M4" s="11">
        <v>97000.0</v>
      </c>
      <c r="N4" s="27">
        <f>I33/J33</f>
        <v>16462.5</v>
      </c>
      <c r="O4" s="27">
        <f>D33/J33</f>
        <v>61225.80645</v>
      </c>
      <c r="P4" s="28"/>
      <c r="Q4" s="29">
        <f>P4/O4</f>
        <v>0</v>
      </c>
      <c r="R4" s="6"/>
    </row>
    <row r="5">
      <c r="A5" s="9" t="s">
        <v>18</v>
      </c>
      <c r="B5" s="10">
        <v>45934.0</v>
      </c>
      <c r="C5" s="11">
        <v>187000.0</v>
      </c>
      <c r="D5" s="12">
        <v>55000.0</v>
      </c>
      <c r="E5" s="13"/>
      <c r="F5" s="14"/>
      <c r="G5" s="12">
        <v>2000.0</v>
      </c>
      <c r="H5" s="13"/>
      <c r="I5" s="13"/>
      <c r="J5" s="15">
        <v>1.0</v>
      </c>
      <c r="K5" s="16"/>
      <c r="L5" s="17"/>
      <c r="M5" s="11">
        <v>187000.0</v>
      </c>
      <c r="N5" s="30"/>
      <c r="O5" s="30"/>
      <c r="P5" s="6"/>
      <c r="Q5" s="31"/>
      <c r="R5" s="6"/>
    </row>
    <row r="6">
      <c r="A6" s="9" t="s">
        <v>19</v>
      </c>
      <c r="B6" s="10">
        <v>45935.0</v>
      </c>
      <c r="C6" s="12">
        <v>59000.0</v>
      </c>
      <c r="D6" s="12">
        <v>38000.0</v>
      </c>
      <c r="E6" s="13"/>
      <c r="F6" s="14"/>
      <c r="G6" s="12">
        <v>2000.0</v>
      </c>
      <c r="H6" s="13"/>
      <c r="I6" s="13"/>
      <c r="J6" s="15">
        <v>1.0</v>
      </c>
      <c r="K6" s="16"/>
      <c r="L6" s="17"/>
      <c r="M6" s="32">
        <v>59000.0</v>
      </c>
      <c r="N6" s="33" t="s">
        <v>20</v>
      </c>
      <c r="O6" s="34" t="s">
        <v>21</v>
      </c>
      <c r="P6" s="6"/>
      <c r="Q6" s="6"/>
      <c r="R6" s="6"/>
    </row>
    <row r="7">
      <c r="A7" s="9" t="s">
        <v>22</v>
      </c>
      <c r="B7" s="10">
        <v>45936.0</v>
      </c>
      <c r="C7" s="12">
        <v>48000.0</v>
      </c>
      <c r="D7" s="12">
        <v>40000.0</v>
      </c>
      <c r="E7" s="13"/>
      <c r="F7" s="14"/>
      <c r="G7" s="12">
        <v>2000.0</v>
      </c>
      <c r="H7" s="13"/>
      <c r="I7" s="13"/>
      <c r="J7" s="15">
        <v>1.0</v>
      </c>
      <c r="K7" s="16"/>
      <c r="L7" s="17"/>
      <c r="M7" s="11">
        <v>48000.0</v>
      </c>
      <c r="N7" s="35">
        <f>E33/J33</f>
        <v>23223.90323</v>
      </c>
      <c r="O7" s="35">
        <v>100000.0</v>
      </c>
      <c r="P7" s="6"/>
      <c r="Q7" s="6"/>
      <c r="R7" s="28"/>
    </row>
    <row r="8">
      <c r="A8" s="9" t="s">
        <v>23</v>
      </c>
      <c r="B8" s="10">
        <v>45937.0</v>
      </c>
      <c r="C8" s="12">
        <v>51000.0</v>
      </c>
      <c r="D8" s="12">
        <v>55000.0</v>
      </c>
      <c r="E8" s="13"/>
      <c r="F8" s="14"/>
      <c r="G8" s="12">
        <v>2000.0</v>
      </c>
      <c r="H8" s="13"/>
      <c r="I8" s="13"/>
      <c r="J8" s="15">
        <v>1.0</v>
      </c>
      <c r="K8" s="16"/>
      <c r="L8" s="17"/>
      <c r="M8" s="36">
        <v>51000.0</v>
      </c>
      <c r="N8" s="6"/>
      <c r="O8" s="6"/>
      <c r="P8" s="6"/>
      <c r="Q8" s="6"/>
      <c r="R8" s="28"/>
    </row>
    <row r="9">
      <c r="A9" s="9" t="s">
        <v>11</v>
      </c>
      <c r="B9" s="10">
        <v>45938.0</v>
      </c>
      <c r="C9" s="12">
        <v>50000.0</v>
      </c>
      <c r="D9" s="12">
        <v>75000.0</v>
      </c>
      <c r="E9" s="13"/>
      <c r="F9" s="14"/>
      <c r="G9" s="12">
        <v>2000.0</v>
      </c>
      <c r="H9" s="13"/>
      <c r="I9" s="13"/>
      <c r="J9" s="15">
        <v>1.0</v>
      </c>
      <c r="K9" s="16"/>
      <c r="L9" s="17"/>
      <c r="M9" s="11">
        <v>50000.0</v>
      </c>
      <c r="N9" s="37"/>
      <c r="O9" s="6"/>
      <c r="P9" s="6"/>
      <c r="Q9" s="6"/>
      <c r="R9" s="28"/>
    </row>
    <row r="10">
      <c r="A10" s="9" t="s">
        <v>12</v>
      </c>
      <c r="B10" s="10">
        <v>45939.0</v>
      </c>
      <c r="C10" s="12">
        <v>54000.0</v>
      </c>
      <c r="D10" s="12">
        <v>73000.0</v>
      </c>
      <c r="E10" s="13"/>
      <c r="F10" s="14"/>
      <c r="G10" s="12">
        <v>2000.0</v>
      </c>
      <c r="H10" s="13"/>
      <c r="I10" s="13"/>
      <c r="J10" s="15">
        <v>1.0</v>
      </c>
      <c r="K10" s="16"/>
      <c r="L10" s="17"/>
      <c r="M10" s="11">
        <v>54000.0</v>
      </c>
      <c r="N10" s="38" t="s">
        <v>24</v>
      </c>
      <c r="O10" s="39" t="s">
        <v>25</v>
      </c>
      <c r="P10" s="40" t="s">
        <v>26</v>
      </c>
      <c r="Q10" s="40" t="s">
        <v>27</v>
      </c>
      <c r="R10" s="28"/>
    </row>
    <row r="11">
      <c r="A11" s="21" t="s">
        <v>17</v>
      </c>
      <c r="B11" s="22">
        <v>45940.0</v>
      </c>
      <c r="C11" s="23">
        <v>47000.0</v>
      </c>
      <c r="D11" s="23">
        <v>76000.0</v>
      </c>
      <c r="E11" s="24"/>
      <c r="F11" s="25"/>
      <c r="G11" s="23">
        <v>2000.0</v>
      </c>
      <c r="H11" s="24"/>
      <c r="I11" s="24"/>
      <c r="J11" s="26">
        <v>1.0</v>
      </c>
      <c r="K11" s="16"/>
      <c r="L11" s="17"/>
      <c r="M11" s="11">
        <v>47000.0</v>
      </c>
      <c r="N11" s="41">
        <f>N14+D33-E33-'Les Salaires'!K30-O11-G33</f>
        <v>268959</v>
      </c>
      <c r="O11" s="42">
        <f>S14+S15+S16+S17+S18+S20+S21+S19</f>
        <v>759100</v>
      </c>
      <c r="P11" s="43">
        <v>410000.0</v>
      </c>
      <c r="Q11" s="44">
        <f>N11-P11</f>
        <v>-141041</v>
      </c>
      <c r="R11" s="6"/>
    </row>
    <row r="12">
      <c r="A12" s="9" t="s">
        <v>18</v>
      </c>
      <c r="B12" s="10">
        <v>45941.0</v>
      </c>
      <c r="C12" s="12">
        <v>90000.0</v>
      </c>
      <c r="D12" s="12">
        <v>76000.0</v>
      </c>
      <c r="E12" s="13"/>
      <c r="F12" s="14"/>
      <c r="G12" s="12">
        <v>2000.0</v>
      </c>
      <c r="H12" s="13"/>
      <c r="I12" s="13"/>
      <c r="J12" s="15">
        <v>1.0</v>
      </c>
      <c r="K12" s="16"/>
      <c r="L12" s="17"/>
      <c r="M12" s="11">
        <v>90000.0</v>
      </c>
      <c r="N12" s="45"/>
      <c r="O12" s="45"/>
      <c r="P12" s="46"/>
      <c r="Q12" s="46"/>
      <c r="R12" s="6"/>
    </row>
    <row r="13">
      <c r="A13" s="9" t="s">
        <v>19</v>
      </c>
      <c r="B13" s="10">
        <v>45942.0</v>
      </c>
      <c r="C13" s="12">
        <v>0.0</v>
      </c>
      <c r="D13" s="12">
        <v>48000.0</v>
      </c>
      <c r="E13" s="13"/>
      <c r="F13" s="14"/>
      <c r="G13" s="12">
        <v>2000.0</v>
      </c>
      <c r="H13" s="13"/>
      <c r="I13" s="13"/>
      <c r="J13" s="15">
        <v>1.0</v>
      </c>
      <c r="K13" s="16"/>
      <c r="L13" s="17"/>
      <c r="M13" s="32">
        <v>0.0</v>
      </c>
      <c r="N13" s="40" t="s">
        <v>28</v>
      </c>
      <c r="O13" s="28"/>
      <c r="P13" s="6"/>
      <c r="Q13" s="28"/>
      <c r="R13" s="6"/>
    </row>
    <row r="14">
      <c r="A14" s="9" t="s">
        <v>22</v>
      </c>
      <c r="B14" s="10">
        <v>45943.0</v>
      </c>
      <c r="C14" s="12">
        <v>53000.0</v>
      </c>
      <c r="D14" s="12">
        <v>29000.0</v>
      </c>
      <c r="E14" s="13"/>
      <c r="F14" s="14"/>
      <c r="G14" s="12">
        <v>2000.0</v>
      </c>
      <c r="H14" s="13"/>
      <c r="I14" s="13"/>
      <c r="J14" s="15">
        <v>1.0</v>
      </c>
      <c r="K14" s="16"/>
      <c r="L14" s="17"/>
      <c r="M14" s="11">
        <v>53000.0</v>
      </c>
      <c r="N14" s="47">
        <v>330000.0</v>
      </c>
      <c r="O14" s="28"/>
      <c r="P14" s="6"/>
      <c r="Q14" s="48" t="s">
        <v>29</v>
      </c>
      <c r="R14" s="6"/>
      <c r="S14" s="49">
        <v>10100.0</v>
      </c>
    </row>
    <row r="15">
      <c r="A15" s="9" t="s">
        <v>23</v>
      </c>
      <c r="B15" s="10">
        <v>45944.0</v>
      </c>
      <c r="C15" s="12">
        <v>52000.0</v>
      </c>
      <c r="D15" s="12">
        <v>33000.0</v>
      </c>
      <c r="E15" s="13"/>
      <c r="F15" s="14"/>
      <c r="G15" s="12">
        <v>2000.0</v>
      </c>
      <c r="H15" s="13"/>
      <c r="I15" s="13"/>
      <c r="J15" s="15">
        <v>1.0</v>
      </c>
      <c r="K15" s="16"/>
      <c r="L15" s="17"/>
      <c r="M15" s="11">
        <v>52000.0</v>
      </c>
      <c r="N15" s="28"/>
      <c r="O15" s="28"/>
      <c r="P15" s="16"/>
      <c r="Q15" s="50" t="s">
        <v>30</v>
      </c>
      <c r="R15" s="28"/>
      <c r="S15" s="51">
        <v>41000.0</v>
      </c>
    </row>
    <row r="16">
      <c r="A16" s="9" t="s">
        <v>11</v>
      </c>
      <c r="B16" s="10">
        <v>45945.0</v>
      </c>
      <c r="C16" s="12">
        <v>39000.0</v>
      </c>
      <c r="D16" s="12">
        <v>42000.0</v>
      </c>
      <c r="E16" s="13"/>
      <c r="F16" s="14"/>
      <c r="G16" s="12">
        <v>2000.0</v>
      </c>
      <c r="H16" s="13"/>
      <c r="I16" s="13"/>
      <c r="J16" s="15">
        <v>1.0</v>
      </c>
      <c r="K16" s="52">
        <v>1.0</v>
      </c>
      <c r="L16" s="17"/>
      <c r="M16" s="11">
        <v>39000.0</v>
      </c>
      <c r="N16" s="28"/>
      <c r="O16" s="28"/>
      <c r="P16" s="28"/>
      <c r="Q16" s="50" t="s">
        <v>31</v>
      </c>
      <c r="R16" s="28"/>
      <c r="S16" s="51">
        <v>68000.0</v>
      </c>
    </row>
    <row r="17">
      <c r="A17" s="9" t="s">
        <v>12</v>
      </c>
      <c r="B17" s="10">
        <v>45946.0</v>
      </c>
      <c r="C17" s="12">
        <v>48000.0</v>
      </c>
      <c r="D17" s="12">
        <v>66000.0</v>
      </c>
      <c r="E17" s="13"/>
      <c r="F17" s="14"/>
      <c r="G17" s="12">
        <v>2000.0</v>
      </c>
      <c r="H17" s="13"/>
      <c r="I17" s="13"/>
      <c r="J17" s="15">
        <v>1.0</v>
      </c>
      <c r="K17" s="52">
        <v>1.0</v>
      </c>
      <c r="L17" s="17"/>
      <c r="M17" s="11">
        <v>48000.0</v>
      </c>
      <c r="N17" s="53"/>
      <c r="O17" s="28"/>
      <c r="P17" s="28"/>
      <c r="Q17" s="54" t="s">
        <v>32</v>
      </c>
      <c r="R17" s="55"/>
      <c r="S17" s="51">
        <v>400000.0</v>
      </c>
    </row>
    <row r="18">
      <c r="A18" s="21" t="s">
        <v>17</v>
      </c>
      <c r="B18" s="22">
        <v>45947.0</v>
      </c>
      <c r="C18" s="23">
        <v>43000.0</v>
      </c>
      <c r="D18" s="23">
        <v>30000.0</v>
      </c>
      <c r="E18" s="24"/>
      <c r="F18" s="25"/>
      <c r="G18" s="23">
        <v>2000.0</v>
      </c>
      <c r="H18" s="24"/>
      <c r="I18" s="24"/>
      <c r="J18" s="26">
        <v>1.0</v>
      </c>
      <c r="K18" s="16"/>
      <c r="L18" s="17"/>
      <c r="M18" s="11">
        <v>43000.0</v>
      </c>
      <c r="N18" s="56"/>
      <c r="O18" s="28"/>
      <c r="P18" s="53"/>
      <c r="Q18" s="54" t="s">
        <v>33</v>
      </c>
      <c r="R18" s="28"/>
      <c r="S18" s="51">
        <v>150000.0</v>
      </c>
    </row>
    <row r="19">
      <c r="A19" s="9" t="s">
        <v>18</v>
      </c>
      <c r="B19" s="10">
        <v>45948.0</v>
      </c>
      <c r="C19" s="12">
        <v>79000.0</v>
      </c>
      <c r="D19" s="12">
        <v>49000.0</v>
      </c>
      <c r="E19" s="13"/>
      <c r="F19" s="14"/>
      <c r="G19" s="12">
        <v>2000.0</v>
      </c>
      <c r="H19" s="13"/>
      <c r="I19" s="13"/>
      <c r="J19" s="15">
        <v>1.0</v>
      </c>
      <c r="K19" s="16"/>
      <c r="L19" s="17"/>
      <c r="M19" s="11">
        <v>79000.0</v>
      </c>
      <c r="N19" s="57" t="s">
        <v>34</v>
      </c>
      <c r="O19" s="28"/>
      <c r="P19" s="28"/>
      <c r="Q19" s="54"/>
      <c r="R19" s="28"/>
      <c r="S19" s="58"/>
    </row>
    <row r="20">
      <c r="A20" s="9" t="s">
        <v>19</v>
      </c>
      <c r="B20" s="10">
        <v>45949.0</v>
      </c>
      <c r="C20" s="12">
        <v>75000.0</v>
      </c>
      <c r="D20" s="12">
        <v>54000.0</v>
      </c>
      <c r="E20" s="13"/>
      <c r="F20" s="14"/>
      <c r="G20" s="12">
        <v>2000.0</v>
      </c>
      <c r="H20" s="13"/>
      <c r="I20" s="13"/>
      <c r="J20" s="15">
        <v>1.0</v>
      </c>
      <c r="K20" s="16"/>
      <c r="L20" s="17"/>
      <c r="M20" s="32">
        <v>75000.0</v>
      </c>
      <c r="N20" s="11">
        <f>D33-C33</f>
        <v>-9000</v>
      </c>
      <c r="O20" s="28"/>
      <c r="P20" s="6"/>
      <c r="Q20" s="48" t="s">
        <v>35</v>
      </c>
      <c r="R20" s="59"/>
      <c r="S20" s="51">
        <v>30000.0</v>
      </c>
    </row>
    <row r="21">
      <c r="A21" s="9" t="s">
        <v>22</v>
      </c>
      <c r="B21" s="10">
        <v>45950.0</v>
      </c>
      <c r="C21" s="12">
        <v>48000.0</v>
      </c>
      <c r="D21" s="12">
        <v>62000.0</v>
      </c>
      <c r="E21" s="13"/>
      <c r="F21" s="14"/>
      <c r="G21" s="12">
        <v>2000.0</v>
      </c>
      <c r="H21" s="13"/>
      <c r="I21" s="13"/>
      <c r="J21" s="15">
        <v>1.0</v>
      </c>
      <c r="K21" s="16"/>
      <c r="L21" s="17"/>
      <c r="M21" s="11">
        <v>48000.0</v>
      </c>
      <c r="N21" s="60" t="s">
        <v>36</v>
      </c>
      <c r="O21" s="28"/>
      <c r="P21" s="16"/>
      <c r="Q21" s="61" t="s">
        <v>37</v>
      </c>
      <c r="R21" s="53"/>
      <c r="S21" s="62">
        <v>60000.0</v>
      </c>
    </row>
    <row r="22">
      <c r="A22" s="9" t="s">
        <v>23</v>
      </c>
      <c r="B22" s="10">
        <v>45951.0</v>
      </c>
      <c r="C22" s="12">
        <v>26000.0</v>
      </c>
      <c r="D22" s="12">
        <v>40000.0</v>
      </c>
      <c r="E22" s="13"/>
      <c r="F22" s="14"/>
      <c r="G22" s="12">
        <v>2000.0</v>
      </c>
      <c r="H22" s="13"/>
      <c r="I22" s="13"/>
      <c r="J22" s="15">
        <v>1.0</v>
      </c>
      <c r="K22" s="16"/>
      <c r="L22" s="17"/>
      <c r="M22" s="11">
        <v>26000.0</v>
      </c>
      <c r="N22" s="63">
        <f>L36-E36</f>
        <v>0</v>
      </c>
      <c r="O22" s="28"/>
      <c r="P22" s="16"/>
      <c r="Q22" s="53"/>
      <c r="R22" s="53"/>
    </row>
    <row r="23">
      <c r="A23" s="9" t="s">
        <v>11</v>
      </c>
      <c r="B23" s="10">
        <v>45952.0</v>
      </c>
      <c r="C23" s="12">
        <v>66000.0</v>
      </c>
      <c r="D23" s="12">
        <v>67000.0</v>
      </c>
      <c r="E23" s="13"/>
      <c r="F23" s="14"/>
      <c r="G23" s="12">
        <v>2000.0</v>
      </c>
      <c r="H23" s="13"/>
      <c r="I23" s="13"/>
      <c r="J23" s="15">
        <v>1.0</v>
      </c>
      <c r="K23" s="16"/>
      <c r="L23" s="17"/>
      <c r="M23" s="11">
        <v>66000.0</v>
      </c>
      <c r="N23" s="64" t="s">
        <v>38</v>
      </c>
      <c r="O23" s="28"/>
      <c r="P23" s="16"/>
      <c r="Q23" s="53"/>
      <c r="R23" s="53"/>
    </row>
    <row r="24">
      <c r="A24" s="9" t="s">
        <v>12</v>
      </c>
      <c r="B24" s="10">
        <v>45953.0</v>
      </c>
      <c r="C24" s="12">
        <v>73000.0</v>
      </c>
      <c r="D24" s="12">
        <v>81000.0</v>
      </c>
      <c r="E24" s="13"/>
      <c r="F24" s="14"/>
      <c r="G24" s="12">
        <v>2000.0</v>
      </c>
      <c r="H24" s="13"/>
      <c r="I24" s="13"/>
      <c r="J24" s="15">
        <v>1.0</v>
      </c>
      <c r="K24" s="16"/>
      <c r="L24" s="17"/>
      <c r="M24" s="11">
        <v>73000.0</v>
      </c>
      <c r="N24" s="65">
        <f>D33-C33</f>
        <v>-9000</v>
      </c>
      <c r="O24" s="28"/>
      <c r="P24" s="16"/>
      <c r="Q24" s="53"/>
      <c r="R24" s="16"/>
    </row>
    <row r="25">
      <c r="A25" s="21" t="s">
        <v>17</v>
      </c>
      <c r="B25" s="22">
        <v>45954.0</v>
      </c>
      <c r="C25" s="23">
        <v>71000.0</v>
      </c>
      <c r="D25" s="23">
        <v>103000.0</v>
      </c>
      <c r="E25" s="24"/>
      <c r="F25" s="25"/>
      <c r="G25" s="23">
        <v>2000.0</v>
      </c>
      <c r="H25" s="24"/>
      <c r="I25" s="24"/>
      <c r="J25" s="26">
        <v>1.0</v>
      </c>
      <c r="K25" s="16"/>
      <c r="L25" s="17"/>
      <c r="M25" s="11">
        <v>71000.0</v>
      </c>
      <c r="N25" s="66" t="s">
        <v>39</v>
      </c>
      <c r="O25" s="28"/>
      <c r="P25" s="16"/>
      <c r="Q25" s="53"/>
      <c r="R25" s="16"/>
    </row>
    <row r="26">
      <c r="A26" s="9" t="s">
        <v>18</v>
      </c>
      <c r="B26" s="10">
        <v>45955.0</v>
      </c>
      <c r="C26" s="12">
        <v>116000.0</v>
      </c>
      <c r="D26" s="12">
        <v>50000.0</v>
      </c>
      <c r="E26" s="13"/>
      <c r="F26" s="14"/>
      <c r="G26" s="12">
        <v>2000.0</v>
      </c>
      <c r="H26" s="13"/>
      <c r="I26" s="13"/>
      <c r="J26" s="15">
        <v>1.0</v>
      </c>
      <c r="K26" s="16"/>
      <c r="L26" s="17"/>
      <c r="M26" s="11">
        <v>116000.0</v>
      </c>
      <c r="N26" s="63">
        <f>D9+D16+D23+D30</f>
        <v>259000</v>
      </c>
      <c r="O26" s="6"/>
      <c r="P26" s="16"/>
      <c r="Q26" s="53"/>
      <c r="R26" s="16"/>
    </row>
    <row r="27">
      <c r="A27" s="9" t="s">
        <v>19</v>
      </c>
      <c r="B27" s="10">
        <v>45956.0</v>
      </c>
      <c r="C27" s="12">
        <v>74000.0</v>
      </c>
      <c r="D27" s="12">
        <v>100000.0</v>
      </c>
      <c r="E27" s="13"/>
      <c r="F27" s="14"/>
      <c r="G27" s="12">
        <v>2000.0</v>
      </c>
      <c r="H27" s="13"/>
      <c r="I27" s="13"/>
      <c r="J27" s="15">
        <v>1.0</v>
      </c>
      <c r="K27" s="16"/>
      <c r="L27" s="17"/>
      <c r="M27" s="32">
        <v>74000.0</v>
      </c>
      <c r="N27" s="67"/>
      <c r="O27" s="6"/>
      <c r="P27" s="16"/>
      <c r="Q27" s="53"/>
      <c r="R27" s="16"/>
    </row>
    <row r="28">
      <c r="A28" s="9" t="s">
        <v>22</v>
      </c>
      <c r="B28" s="10">
        <v>45957.0</v>
      </c>
      <c r="C28" s="12">
        <v>59000.0</v>
      </c>
      <c r="D28" s="12">
        <v>45000.0</v>
      </c>
      <c r="E28" s="13"/>
      <c r="F28" s="14"/>
      <c r="G28" s="12">
        <v>2000.0</v>
      </c>
      <c r="H28" s="13"/>
      <c r="I28" s="13"/>
      <c r="J28" s="15">
        <v>1.0</v>
      </c>
      <c r="K28" s="16"/>
      <c r="L28" s="17"/>
      <c r="M28" s="11">
        <v>59000.0</v>
      </c>
      <c r="N28" s="33" t="s">
        <v>26</v>
      </c>
      <c r="O28" s="6"/>
      <c r="P28" s="16"/>
      <c r="Q28" s="53"/>
      <c r="R28" s="16"/>
    </row>
    <row r="29">
      <c r="A29" s="9" t="s">
        <v>23</v>
      </c>
      <c r="B29" s="10">
        <v>45958.0</v>
      </c>
      <c r="C29" s="12">
        <v>62000.0</v>
      </c>
      <c r="D29" s="12">
        <v>52000.0</v>
      </c>
      <c r="E29" s="13"/>
      <c r="F29" s="14"/>
      <c r="G29" s="12">
        <v>2000.0</v>
      </c>
      <c r="H29" s="13"/>
      <c r="I29" s="13"/>
      <c r="J29" s="15">
        <v>1.0</v>
      </c>
      <c r="K29" s="16"/>
      <c r="L29" s="17"/>
      <c r="M29" s="11">
        <v>62000.0</v>
      </c>
      <c r="N29" s="63">
        <v>51000.0</v>
      </c>
      <c r="O29" s="28"/>
      <c r="P29" s="16"/>
      <c r="Q29" s="53"/>
      <c r="R29" s="16"/>
    </row>
    <row r="30">
      <c r="A30" s="9" t="s">
        <v>11</v>
      </c>
      <c r="B30" s="10">
        <v>45959.0</v>
      </c>
      <c r="C30" s="12">
        <v>45000.0</v>
      </c>
      <c r="D30" s="12">
        <v>75000.0</v>
      </c>
      <c r="E30" s="13"/>
      <c r="F30" s="14"/>
      <c r="G30" s="12">
        <v>2000.0</v>
      </c>
      <c r="H30" s="13"/>
      <c r="I30" s="13"/>
      <c r="J30" s="15">
        <v>1.0</v>
      </c>
      <c r="K30" s="16"/>
      <c r="L30" s="17"/>
      <c r="M30" s="11">
        <v>45000.0</v>
      </c>
      <c r="N30" s="68" t="s">
        <v>40</v>
      </c>
      <c r="O30" s="6"/>
      <c r="P30" s="16"/>
      <c r="Q30" s="53"/>
      <c r="R30" s="16"/>
    </row>
    <row r="31">
      <c r="A31" s="9" t="s">
        <v>12</v>
      </c>
      <c r="B31" s="10">
        <v>45960.0</v>
      </c>
      <c r="C31" s="12">
        <v>76000.0</v>
      </c>
      <c r="D31" s="12">
        <v>101000.0</v>
      </c>
      <c r="E31" s="13"/>
      <c r="F31" s="14"/>
      <c r="G31" s="12">
        <v>2000.0</v>
      </c>
      <c r="H31" s="13"/>
      <c r="I31" s="13"/>
      <c r="J31" s="15">
        <v>1.0</v>
      </c>
      <c r="K31" s="16"/>
      <c r="L31" s="17"/>
      <c r="M31" s="11">
        <v>76000.0</v>
      </c>
      <c r="N31" s="67"/>
      <c r="O31" s="6"/>
      <c r="P31" s="53"/>
      <c r="Q31" s="16"/>
      <c r="R31" s="16"/>
    </row>
    <row r="32">
      <c r="A32" s="21" t="s">
        <v>17</v>
      </c>
      <c r="B32" s="22">
        <v>45961.0</v>
      </c>
      <c r="C32" s="23">
        <v>0.0</v>
      </c>
      <c r="D32" s="23">
        <v>64000.0</v>
      </c>
      <c r="E32" s="24"/>
      <c r="F32" s="25"/>
      <c r="G32" s="69">
        <v>2000.0</v>
      </c>
      <c r="H32" s="24"/>
      <c r="I32" s="24"/>
      <c r="J32" s="26">
        <v>1.0</v>
      </c>
      <c r="K32" s="16"/>
      <c r="L32" s="17"/>
      <c r="M32" s="11">
        <v>0.0</v>
      </c>
      <c r="N32" s="67"/>
      <c r="O32" s="6"/>
      <c r="P32" s="53"/>
      <c r="Q32" s="53"/>
      <c r="R32" s="16"/>
    </row>
    <row r="33">
      <c r="A33" s="16"/>
      <c r="B33" s="70"/>
      <c r="C33" s="71">
        <f t="shared" ref="C33:D33" si="1">SUM(C2:C32)</f>
        <v>1907000</v>
      </c>
      <c r="D33" s="71">
        <f t="shared" si="1"/>
        <v>1898000</v>
      </c>
      <c r="E33" s="71">
        <f>'Les Charges '!H407</f>
        <v>719941</v>
      </c>
      <c r="F33" s="72">
        <f>'Les Salaires'!J30</f>
        <v>415721.5</v>
      </c>
      <c r="G33" s="71">
        <f>SUM(G2:G32)</f>
        <v>62000</v>
      </c>
      <c r="H33" s="73">
        <v>190000.0</v>
      </c>
      <c r="I33" s="71">
        <f>D33-E33-F33-G33-H33</f>
        <v>510337.5</v>
      </c>
      <c r="J33" s="74">
        <f>SUM(J2:J32)</f>
        <v>31</v>
      </c>
      <c r="K33" s="16"/>
      <c r="L33" s="17"/>
      <c r="M33" s="11">
        <f>SUM(M2:M32)</f>
        <v>1907000</v>
      </c>
      <c r="N33" s="67"/>
      <c r="O33" s="28"/>
      <c r="P33" s="53"/>
      <c r="Q33" s="53"/>
      <c r="R33" s="16"/>
    </row>
    <row r="34">
      <c r="A34" s="16"/>
      <c r="B34" s="75"/>
      <c r="C34" s="53"/>
      <c r="D34" s="53"/>
      <c r="E34" s="16"/>
      <c r="F34" s="76"/>
      <c r="G34" s="77" t="s">
        <v>41</v>
      </c>
      <c r="H34" s="78">
        <v>55000.0</v>
      </c>
      <c r="I34" s="16"/>
      <c r="J34" s="16"/>
      <c r="K34" s="16"/>
      <c r="L34" s="53"/>
      <c r="M34" s="53"/>
      <c r="N34" s="67"/>
      <c r="O34" s="28"/>
      <c r="P34" s="53"/>
      <c r="Q34" s="16"/>
      <c r="R34" s="16"/>
    </row>
    <row r="35">
      <c r="A35" s="16"/>
      <c r="B35" s="75"/>
      <c r="C35" s="53"/>
      <c r="D35" s="53"/>
      <c r="E35" s="53"/>
      <c r="F35" s="76"/>
      <c r="G35" s="79" t="s">
        <v>42</v>
      </c>
      <c r="H35" s="80">
        <v>50000.0</v>
      </c>
      <c r="I35" s="53"/>
      <c r="J35" s="16"/>
      <c r="K35" s="16"/>
      <c r="L35" s="53"/>
      <c r="M35" s="53"/>
      <c r="N35" s="63">
        <f>N11-N29-N34</f>
        <v>217959</v>
      </c>
      <c r="O35" s="6"/>
      <c r="P35" s="53"/>
      <c r="Q35" s="16"/>
      <c r="R35" s="16"/>
    </row>
    <row r="36">
      <c r="A36" s="16"/>
      <c r="B36" s="16"/>
      <c r="C36" s="16"/>
      <c r="D36" s="81">
        <v>200000.0</v>
      </c>
      <c r="E36" s="16"/>
      <c r="F36" s="76"/>
      <c r="G36" s="77" t="s">
        <v>43</v>
      </c>
      <c r="H36" s="78">
        <v>45000.0</v>
      </c>
      <c r="I36" s="16"/>
      <c r="J36" s="16"/>
      <c r="K36" s="16"/>
      <c r="L36" s="16"/>
      <c r="M36" s="16"/>
      <c r="N36" s="6"/>
      <c r="O36" s="6"/>
      <c r="P36" s="77" t="s">
        <v>44</v>
      </c>
      <c r="Q36" s="36">
        <v>40000.0</v>
      </c>
      <c r="R36" s="16"/>
    </row>
    <row r="37">
      <c r="A37" s="16"/>
      <c r="B37" s="16"/>
      <c r="C37" s="16"/>
      <c r="D37" s="16"/>
      <c r="E37" s="16"/>
      <c r="F37" s="76"/>
      <c r="G37" s="77" t="s">
        <v>45</v>
      </c>
      <c r="H37" s="78">
        <v>40000.0</v>
      </c>
      <c r="I37" s="16"/>
      <c r="J37" s="16"/>
      <c r="K37" s="16"/>
      <c r="L37" s="16"/>
      <c r="M37" s="16"/>
      <c r="N37" s="6"/>
      <c r="O37" s="6"/>
      <c r="P37" s="16"/>
      <c r="Q37" s="16"/>
      <c r="R37" s="16"/>
    </row>
    <row r="38">
      <c r="A38" s="16"/>
      <c r="B38" s="16"/>
      <c r="C38" s="16"/>
      <c r="D38" s="16" t="s">
        <v>46</v>
      </c>
      <c r="E38" s="16"/>
      <c r="F38" s="76"/>
      <c r="G38" s="16"/>
      <c r="H38" s="16"/>
      <c r="I38" s="16"/>
      <c r="J38" s="16"/>
      <c r="K38" s="16"/>
      <c r="L38" s="16"/>
      <c r="M38" s="16"/>
      <c r="N38" s="6"/>
      <c r="O38" s="6"/>
      <c r="P38" s="16"/>
      <c r="Q38" s="16"/>
      <c r="R38" s="16"/>
    </row>
    <row r="39">
      <c r="A39" s="16"/>
      <c r="B39" s="16"/>
      <c r="C39" s="16"/>
      <c r="D39" s="16"/>
      <c r="E39" s="16"/>
      <c r="F39" s="76"/>
      <c r="G39" s="16"/>
      <c r="H39" s="16"/>
      <c r="I39" s="16"/>
      <c r="J39" s="16"/>
      <c r="K39" s="16"/>
      <c r="L39" s="16"/>
      <c r="M39" s="16"/>
      <c r="N39" s="6"/>
      <c r="O39" s="6"/>
      <c r="P39" s="16"/>
      <c r="Q39" s="16"/>
      <c r="R39" s="16"/>
    </row>
    <row r="40">
      <c r="A40" s="16"/>
      <c r="B40" s="16"/>
      <c r="C40" s="16"/>
      <c r="D40" s="16"/>
      <c r="E40" s="16"/>
      <c r="F40" s="76"/>
      <c r="G40" s="16"/>
      <c r="H40" s="16"/>
      <c r="I40" s="16"/>
      <c r="J40" s="16"/>
      <c r="K40" s="16"/>
      <c r="L40" s="16"/>
      <c r="M40" s="16"/>
      <c r="N40" s="6"/>
      <c r="O40" s="6"/>
      <c r="P40" s="16"/>
      <c r="Q40" s="16"/>
      <c r="R40" s="16"/>
    </row>
    <row r="41">
      <c r="A41" s="16"/>
      <c r="B41" s="16"/>
      <c r="C41" s="16"/>
      <c r="D41" s="16"/>
      <c r="E41" s="16"/>
      <c r="F41" s="76"/>
      <c r="G41" s="16"/>
      <c r="H41" s="16"/>
      <c r="I41" s="16"/>
      <c r="J41" s="16"/>
      <c r="K41" s="16"/>
      <c r="L41" s="16"/>
      <c r="M41" s="16"/>
      <c r="N41" s="6"/>
      <c r="O41" s="6"/>
      <c r="P41" s="6"/>
      <c r="Q41" s="6"/>
      <c r="R41" s="6"/>
    </row>
    <row r="42">
      <c r="A42" s="16"/>
      <c r="B42" s="16"/>
      <c r="C42" s="16"/>
      <c r="D42" s="16"/>
      <c r="E42" s="16"/>
      <c r="F42" s="76"/>
      <c r="G42" s="16"/>
      <c r="H42" s="16"/>
      <c r="I42" s="16"/>
      <c r="J42" s="16"/>
      <c r="K42" s="16"/>
      <c r="L42" s="16"/>
      <c r="M42" s="16"/>
      <c r="N42" s="6"/>
      <c r="O42" s="6"/>
      <c r="P42" s="6"/>
      <c r="Q42" s="6"/>
      <c r="R42" s="6"/>
    </row>
    <row r="43">
      <c r="A43" s="16"/>
      <c r="B43" s="16"/>
      <c r="C43" s="16"/>
      <c r="D43" s="16"/>
      <c r="E43" s="16"/>
      <c r="F43" s="76"/>
      <c r="G43" s="16"/>
      <c r="H43" s="16"/>
      <c r="I43" s="16"/>
      <c r="J43" s="16"/>
      <c r="K43" s="16"/>
      <c r="L43" s="16"/>
      <c r="M43" s="16"/>
      <c r="N43" s="6"/>
      <c r="O43" s="6"/>
      <c r="P43" s="6"/>
      <c r="Q43" s="6"/>
      <c r="R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Y45" s="82" t="s">
        <v>47</v>
      </c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</row>
    <row r="49">
      <c r="A49" s="6"/>
      <c r="B49" s="6"/>
      <c r="C49" s="83">
        <v>1.0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</row>
  </sheetData>
  <mergeCells count="4">
    <mergeCell ref="N11:N12"/>
    <mergeCell ref="O11:O12"/>
    <mergeCell ref="P11:P12"/>
    <mergeCell ref="Q11:Q1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92.0"/>
    <col customWidth="1" min="6" max="6" width="26.63"/>
    <col customWidth="1" min="7" max="7" width="25.88"/>
    <col customWidth="1" min="8" max="8" width="27.38"/>
    <col customWidth="1" min="9" max="9" width="136.25"/>
  </cols>
  <sheetData>
    <row r="2">
      <c r="E2" s="84" t="s">
        <v>48</v>
      </c>
      <c r="F2" s="85" t="s">
        <v>49</v>
      </c>
      <c r="G2" s="85" t="s">
        <v>50</v>
      </c>
      <c r="H2" s="85" t="s">
        <v>51</v>
      </c>
    </row>
    <row r="3">
      <c r="E3" s="86" t="s">
        <v>52</v>
      </c>
      <c r="F3" s="86">
        <v>19.0</v>
      </c>
      <c r="G3" s="87">
        <v>1000.0</v>
      </c>
      <c r="H3" s="88">
        <f t="shared" ref="H3:H314" si="1">F3*G3</f>
        <v>19000</v>
      </c>
      <c r="I3" s="89"/>
      <c r="J3" s="6"/>
    </row>
    <row r="4">
      <c r="E4" s="90" t="s">
        <v>53</v>
      </c>
      <c r="F4" s="86">
        <v>1.0</v>
      </c>
      <c r="G4" s="91">
        <v>1000.0</v>
      </c>
      <c r="H4" s="88">
        <f t="shared" si="1"/>
        <v>1000</v>
      </c>
      <c r="I4" s="89"/>
      <c r="J4" s="6"/>
    </row>
    <row r="5">
      <c r="E5" s="90" t="s">
        <v>54</v>
      </c>
      <c r="F5" s="86">
        <v>3.0</v>
      </c>
      <c r="G5" s="91">
        <v>850.0</v>
      </c>
      <c r="H5" s="88">
        <f t="shared" si="1"/>
        <v>2550</v>
      </c>
      <c r="I5" s="89"/>
      <c r="J5" s="6"/>
    </row>
    <row r="6">
      <c r="E6" s="90" t="s">
        <v>55</v>
      </c>
      <c r="F6" s="86">
        <v>15.0</v>
      </c>
      <c r="G6" s="91">
        <v>99.0</v>
      </c>
      <c r="H6" s="88">
        <f t="shared" si="1"/>
        <v>1485</v>
      </c>
      <c r="I6" s="89"/>
      <c r="J6" s="6"/>
    </row>
    <row r="7">
      <c r="E7" s="90" t="s">
        <v>56</v>
      </c>
      <c r="F7" s="86">
        <v>48.0</v>
      </c>
      <c r="G7" s="91">
        <v>600.0</v>
      </c>
      <c r="H7" s="88">
        <f t="shared" si="1"/>
        <v>28800</v>
      </c>
      <c r="I7" s="89"/>
      <c r="J7" s="6"/>
    </row>
    <row r="8">
      <c r="E8" s="90" t="s">
        <v>57</v>
      </c>
      <c r="F8" s="86">
        <v>15.0</v>
      </c>
      <c r="G8" s="91">
        <v>30.0</v>
      </c>
      <c r="H8" s="88">
        <f t="shared" si="1"/>
        <v>450</v>
      </c>
      <c r="I8" s="89"/>
      <c r="J8" s="6"/>
    </row>
    <row r="9">
      <c r="E9" s="86" t="s">
        <v>58</v>
      </c>
      <c r="F9" s="86">
        <v>19.0</v>
      </c>
      <c r="G9" s="87">
        <v>44.0</v>
      </c>
      <c r="H9" s="88">
        <f t="shared" si="1"/>
        <v>836</v>
      </c>
      <c r="I9" s="89"/>
      <c r="J9" s="6"/>
    </row>
    <row r="10">
      <c r="E10" s="92" t="s">
        <v>59</v>
      </c>
      <c r="F10" s="86">
        <v>14.0</v>
      </c>
      <c r="G10" s="91">
        <v>72.0</v>
      </c>
      <c r="H10" s="88">
        <f t="shared" si="1"/>
        <v>1008</v>
      </c>
      <c r="I10" s="89"/>
      <c r="J10" s="6"/>
    </row>
    <row r="11">
      <c r="E11" s="92" t="s">
        <v>60</v>
      </c>
      <c r="F11" s="86">
        <v>15.0</v>
      </c>
      <c r="G11" s="91">
        <v>69.0</v>
      </c>
      <c r="H11" s="88">
        <f t="shared" si="1"/>
        <v>1035</v>
      </c>
      <c r="I11" s="89"/>
      <c r="J11" s="6"/>
    </row>
    <row r="12">
      <c r="E12" s="92" t="s">
        <v>61</v>
      </c>
      <c r="F12" s="92">
        <v>12.0</v>
      </c>
      <c r="G12" s="91">
        <v>73.0</v>
      </c>
      <c r="H12" s="88">
        <f t="shared" si="1"/>
        <v>876</v>
      </c>
      <c r="I12" s="89"/>
      <c r="J12" s="6"/>
    </row>
    <row r="13">
      <c r="E13" s="92" t="s">
        <v>62</v>
      </c>
      <c r="F13" s="86">
        <v>9.0</v>
      </c>
      <c r="G13" s="91">
        <v>75.0</v>
      </c>
      <c r="H13" s="88">
        <f t="shared" si="1"/>
        <v>675</v>
      </c>
      <c r="I13" s="89"/>
      <c r="J13" s="6"/>
    </row>
    <row r="14">
      <c r="E14" s="92" t="s">
        <v>63</v>
      </c>
      <c r="F14" s="86">
        <v>7.0</v>
      </c>
      <c r="G14" s="91">
        <v>75.0</v>
      </c>
      <c r="H14" s="88">
        <f t="shared" si="1"/>
        <v>525</v>
      </c>
      <c r="I14" s="89"/>
      <c r="J14" s="6"/>
    </row>
    <row r="15">
      <c r="E15" s="90" t="s">
        <v>64</v>
      </c>
      <c r="F15" s="86">
        <v>13.0</v>
      </c>
      <c r="G15" s="91">
        <v>75.0</v>
      </c>
      <c r="H15" s="88">
        <f t="shared" si="1"/>
        <v>975</v>
      </c>
      <c r="I15" s="89"/>
      <c r="J15" s="6"/>
    </row>
    <row r="16">
      <c r="E16" s="90" t="s">
        <v>65</v>
      </c>
      <c r="F16" s="86">
        <v>74.0</v>
      </c>
      <c r="G16" s="87">
        <v>17.0</v>
      </c>
      <c r="H16" s="88">
        <f t="shared" si="1"/>
        <v>1258</v>
      </c>
      <c r="I16" s="89"/>
      <c r="J16" s="6"/>
    </row>
    <row r="17">
      <c r="E17" s="90" t="s">
        <v>66</v>
      </c>
      <c r="F17" s="86">
        <v>9.0</v>
      </c>
      <c r="G17" s="91">
        <v>390.0</v>
      </c>
      <c r="H17" s="88">
        <f t="shared" si="1"/>
        <v>3510</v>
      </c>
      <c r="I17" s="89"/>
      <c r="J17" s="6"/>
    </row>
    <row r="18">
      <c r="E18" s="90" t="s">
        <v>67</v>
      </c>
      <c r="F18" s="86">
        <v>14.0</v>
      </c>
      <c r="G18" s="87">
        <v>310.0</v>
      </c>
      <c r="H18" s="88">
        <f t="shared" si="1"/>
        <v>4340</v>
      </c>
      <c r="I18" s="89"/>
      <c r="J18" s="6"/>
    </row>
    <row r="19">
      <c r="E19" s="90" t="s">
        <v>68</v>
      </c>
      <c r="F19" s="86">
        <v>3.0</v>
      </c>
      <c r="G19" s="91">
        <v>1300.0</v>
      </c>
      <c r="H19" s="88">
        <f t="shared" si="1"/>
        <v>3900</v>
      </c>
      <c r="I19" s="89"/>
      <c r="J19" s="6"/>
    </row>
    <row r="20">
      <c r="E20" s="90" t="s">
        <v>69</v>
      </c>
      <c r="F20" s="86">
        <v>2.0</v>
      </c>
      <c r="G20" s="91">
        <v>1000.0</v>
      </c>
      <c r="H20" s="88">
        <f t="shared" si="1"/>
        <v>2000</v>
      </c>
      <c r="I20" s="89"/>
      <c r="J20" s="6"/>
    </row>
    <row r="21">
      <c r="E21" s="90" t="s">
        <v>70</v>
      </c>
      <c r="F21" s="86">
        <v>1.0</v>
      </c>
      <c r="G21" s="91">
        <v>2900.0</v>
      </c>
      <c r="H21" s="88">
        <f t="shared" si="1"/>
        <v>2900</v>
      </c>
      <c r="I21" s="89"/>
      <c r="J21" s="6"/>
    </row>
    <row r="22">
      <c r="E22" s="90" t="s">
        <v>71</v>
      </c>
      <c r="F22" s="86">
        <v>1.0</v>
      </c>
      <c r="G22" s="91">
        <v>2900.0</v>
      </c>
      <c r="H22" s="88">
        <f t="shared" si="1"/>
        <v>2900</v>
      </c>
      <c r="I22" s="89"/>
      <c r="J22" s="6"/>
    </row>
    <row r="23">
      <c r="E23" s="90" t="s">
        <v>72</v>
      </c>
      <c r="F23" s="86">
        <v>12.0</v>
      </c>
      <c r="G23" s="91">
        <v>140.0</v>
      </c>
      <c r="H23" s="88">
        <f t="shared" si="1"/>
        <v>1680</v>
      </c>
      <c r="I23" s="89"/>
      <c r="J23" s="6"/>
    </row>
    <row r="24">
      <c r="E24" s="90" t="s">
        <v>73</v>
      </c>
      <c r="F24" s="86">
        <v>1.0</v>
      </c>
      <c r="G24" s="91">
        <v>220.0</v>
      </c>
      <c r="H24" s="88">
        <f t="shared" si="1"/>
        <v>220</v>
      </c>
      <c r="I24" s="89"/>
      <c r="J24" s="6"/>
    </row>
    <row r="25">
      <c r="E25" s="90" t="s">
        <v>74</v>
      </c>
      <c r="F25" s="86">
        <v>2.0</v>
      </c>
      <c r="G25" s="91">
        <v>285.0</v>
      </c>
      <c r="H25" s="88">
        <f t="shared" si="1"/>
        <v>570</v>
      </c>
      <c r="I25" s="89"/>
      <c r="J25" s="6"/>
    </row>
    <row r="26">
      <c r="E26" s="90" t="s">
        <v>75</v>
      </c>
      <c r="F26" s="86">
        <v>6.0</v>
      </c>
      <c r="G26" s="91">
        <v>230.0</v>
      </c>
      <c r="H26" s="88">
        <f t="shared" si="1"/>
        <v>1380</v>
      </c>
      <c r="I26" s="89"/>
      <c r="J26" s="6"/>
    </row>
    <row r="27">
      <c r="E27" s="90" t="s">
        <v>76</v>
      </c>
      <c r="F27" s="86">
        <v>0.5</v>
      </c>
      <c r="G27" s="91">
        <v>2300.0</v>
      </c>
      <c r="H27" s="88">
        <f t="shared" si="1"/>
        <v>1150</v>
      </c>
      <c r="I27" s="89"/>
      <c r="J27" s="6"/>
    </row>
    <row r="28">
      <c r="E28" s="86" t="s">
        <v>77</v>
      </c>
      <c r="F28" s="86">
        <v>3.0</v>
      </c>
      <c r="G28" s="87">
        <v>140.0</v>
      </c>
      <c r="H28" s="88">
        <f t="shared" si="1"/>
        <v>420</v>
      </c>
      <c r="I28" s="89"/>
      <c r="J28" s="6"/>
    </row>
    <row r="29">
      <c r="E29" s="86" t="s">
        <v>78</v>
      </c>
      <c r="F29" s="86">
        <v>3.0</v>
      </c>
      <c r="G29" s="87">
        <v>450.0</v>
      </c>
      <c r="H29" s="88">
        <f t="shared" si="1"/>
        <v>1350</v>
      </c>
      <c r="I29" s="89"/>
      <c r="J29" s="6"/>
    </row>
    <row r="30">
      <c r="E30" s="90" t="s">
        <v>79</v>
      </c>
      <c r="F30" s="86">
        <v>216.0</v>
      </c>
      <c r="G30" s="91">
        <v>6.3</v>
      </c>
      <c r="H30" s="88">
        <f t="shared" si="1"/>
        <v>1360.8</v>
      </c>
      <c r="I30" s="89"/>
      <c r="J30" s="6"/>
    </row>
    <row r="31">
      <c r="E31" s="90" t="s">
        <v>80</v>
      </c>
      <c r="F31" s="86">
        <v>6.0</v>
      </c>
      <c r="G31" s="91">
        <v>420.0</v>
      </c>
      <c r="H31" s="88">
        <f t="shared" si="1"/>
        <v>2520</v>
      </c>
      <c r="I31" s="89"/>
      <c r="J31" s="6"/>
    </row>
    <row r="32">
      <c r="E32" s="90" t="s">
        <v>81</v>
      </c>
      <c r="F32" s="86">
        <v>63.0</v>
      </c>
      <c r="G32" s="91">
        <v>67.0</v>
      </c>
      <c r="H32" s="88">
        <f t="shared" si="1"/>
        <v>4221</v>
      </c>
      <c r="I32" s="89"/>
      <c r="J32" s="6"/>
    </row>
    <row r="33">
      <c r="E33" s="90" t="s">
        <v>82</v>
      </c>
      <c r="F33" s="86">
        <v>25.0</v>
      </c>
      <c r="G33" s="91">
        <v>125.0</v>
      </c>
      <c r="H33" s="88">
        <f t="shared" si="1"/>
        <v>3125</v>
      </c>
      <c r="I33" s="89"/>
      <c r="J33" s="6"/>
    </row>
    <row r="34">
      <c r="E34" s="90" t="s">
        <v>83</v>
      </c>
      <c r="F34" s="86">
        <v>12.0</v>
      </c>
      <c r="G34" s="91">
        <v>900.0</v>
      </c>
      <c r="H34" s="88">
        <f t="shared" si="1"/>
        <v>10800</v>
      </c>
      <c r="I34" s="89"/>
      <c r="J34" s="6"/>
    </row>
    <row r="35">
      <c r="E35" s="90" t="s">
        <v>84</v>
      </c>
      <c r="F35" s="86">
        <v>5.0</v>
      </c>
      <c r="G35" s="91">
        <v>250.0</v>
      </c>
      <c r="H35" s="88">
        <f t="shared" si="1"/>
        <v>1250</v>
      </c>
      <c r="I35" s="89"/>
      <c r="J35" s="6"/>
    </row>
    <row r="36">
      <c r="E36" s="90" t="s">
        <v>85</v>
      </c>
      <c r="F36" s="86">
        <v>9.0</v>
      </c>
      <c r="G36" s="91">
        <v>125.0</v>
      </c>
      <c r="H36" s="88">
        <f t="shared" si="1"/>
        <v>1125</v>
      </c>
      <c r="I36" s="89"/>
      <c r="J36" s="6"/>
    </row>
    <row r="37">
      <c r="E37" s="90" t="s">
        <v>86</v>
      </c>
      <c r="F37" s="86">
        <v>5.0</v>
      </c>
      <c r="G37" s="91">
        <v>1200.0</v>
      </c>
      <c r="H37" s="88">
        <f t="shared" si="1"/>
        <v>6000</v>
      </c>
      <c r="I37" s="89"/>
      <c r="J37" s="6"/>
    </row>
    <row r="38">
      <c r="E38" s="90" t="s">
        <v>87</v>
      </c>
      <c r="F38" s="86">
        <v>7.0</v>
      </c>
      <c r="G38" s="91">
        <v>330.0</v>
      </c>
      <c r="H38" s="88">
        <f t="shared" si="1"/>
        <v>2310</v>
      </c>
      <c r="I38" s="89"/>
      <c r="J38" s="6"/>
    </row>
    <row r="39">
      <c r="E39" s="90" t="s">
        <v>88</v>
      </c>
      <c r="F39" s="86">
        <v>3.0</v>
      </c>
      <c r="G39" s="91">
        <v>240.0</v>
      </c>
      <c r="H39" s="88">
        <f t="shared" si="1"/>
        <v>720</v>
      </c>
      <c r="I39" s="89"/>
      <c r="J39" s="6"/>
    </row>
    <row r="40">
      <c r="E40" s="90" t="s">
        <v>89</v>
      </c>
      <c r="F40" s="86">
        <v>6.0</v>
      </c>
      <c r="G40" s="91">
        <v>300.0</v>
      </c>
      <c r="H40" s="88">
        <f t="shared" si="1"/>
        <v>1800</v>
      </c>
      <c r="I40" s="89"/>
      <c r="J40" s="6"/>
    </row>
    <row r="41">
      <c r="E41" s="90" t="s">
        <v>90</v>
      </c>
      <c r="F41" s="86">
        <v>18.0</v>
      </c>
      <c r="G41" s="11">
        <v>2280.0</v>
      </c>
      <c r="H41" s="88">
        <f t="shared" si="1"/>
        <v>41040</v>
      </c>
      <c r="I41" s="89"/>
      <c r="J41" s="6"/>
    </row>
    <row r="42">
      <c r="E42" s="90" t="s">
        <v>91</v>
      </c>
      <c r="F42" s="86">
        <v>1.0</v>
      </c>
      <c r="G42" s="91">
        <v>360.0</v>
      </c>
      <c r="H42" s="88">
        <f t="shared" si="1"/>
        <v>360</v>
      </c>
      <c r="I42" s="89"/>
      <c r="J42" s="6"/>
    </row>
    <row r="43">
      <c r="E43" s="90" t="s">
        <v>92</v>
      </c>
      <c r="F43" s="90">
        <v>1.0</v>
      </c>
      <c r="G43" s="91">
        <v>150.0</v>
      </c>
      <c r="H43" s="88">
        <f t="shared" si="1"/>
        <v>150</v>
      </c>
      <c r="I43" s="89"/>
      <c r="J43" s="6"/>
    </row>
    <row r="44">
      <c r="E44" s="90" t="s">
        <v>93</v>
      </c>
      <c r="F44" s="90">
        <v>1.0</v>
      </c>
      <c r="G44" s="91">
        <v>150.0</v>
      </c>
      <c r="H44" s="88">
        <f t="shared" si="1"/>
        <v>150</v>
      </c>
      <c r="I44" s="89"/>
      <c r="J44" s="6"/>
    </row>
    <row r="45">
      <c r="E45" s="90" t="s">
        <v>94</v>
      </c>
      <c r="F45" s="90">
        <v>1.0</v>
      </c>
      <c r="G45" s="91">
        <v>2200.0</v>
      </c>
      <c r="H45" s="88">
        <f t="shared" si="1"/>
        <v>2200</v>
      </c>
      <c r="I45" s="89"/>
      <c r="J45" s="6"/>
    </row>
    <row r="46">
      <c r="E46" s="90" t="s">
        <v>95</v>
      </c>
      <c r="F46" s="90">
        <v>1.0</v>
      </c>
      <c r="G46" s="91">
        <v>650.0</v>
      </c>
      <c r="H46" s="88">
        <f t="shared" si="1"/>
        <v>650</v>
      </c>
      <c r="I46" s="89"/>
      <c r="J46" s="6"/>
    </row>
    <row r="47">
      <c r="E47" s="90" t="s">
        <v>78</v>
      </c>
      <c r="F47" s="90">
        <v>12.0</v>
      </c>
      <c r="G47" s="91">
        <v>460.0</v>
      </c>
      <c r="H47" s="88">
        <f t="shared" si="1"/>
        <v>5520</v>
      </c>
      <c r="I47" s="89"/>
      <c r="J47" s="6"/>
    </row>
    <row r="48">
      <c r="E48" s="90" t="s">
        <v>96</v>
      </c>
      <c r="F48" s="86">
        <v>14.0</v>
      </c>
      <c r="G48" s="91">
        <v>58.0</v>
      </c>
      <c r="H48" s="88">
        <f t="shared" si="1"/>
        <v>812</v>
      </c>
      <c r="I48" s="89"/>
      <c r="J48" s="6"/>
    </row>
    <row r="49">
      <c r="E49" s="90" t="s">
        <v>97</v>
      </c>
      <c r="F49" s="86">
        <v>3.0</v>
      </c>
      <c r="G49" s="91">
        <v>255.0</v>
      </c>
      <c r="H49" s="88">
        <f t="shared" si="1"/>
        <v>765</v>
      </c>
      <c r="I49" s="89"/>
      <c r="J49" s="6"/>
    </row>
    <row r="50">
      <c r="E50" s="90" t="s">
        <v>98</v>
      </c>
      <c r="F50" s="86">
        <v>4.0</v>
      </c>
      <c r="G50" s="91">
        <v>245.0</v>
      </c>
      <c r="H50" s="88">
        <f t="shared" si="1"/>
        <v>980</v>
      </c>
      <c r="I50" s="89"/>
      <c r="J50" s="6"/>
    </row>
    <row r="51">
      <c r="E51" s="90" t="s">
        <v>99</v>
      </c>
      <c r="F51" s="86">
        <v>9.0</v>
      </c>
      <c r="G51" s="91">
        <v>245.0</v>
      </c>
      <c r="H51" s="88">
        <f t="shared" si="1"/>
        <v>2205</v>
      </c>
      <c r="I51" s="89"/>
      <c r="J51" s="6"/>
    </row>
    <row r="52">
      <c r="E52" s="90" t="s">
        <v>100</v>
      </c>
      <c r="F52" s="86">
        <v>6.0</v>
      </c>
      <c r="G52" s="91">
        <v>200.0</v>
      </c>
      <c r="H52" s="88">
        <f t="shared" si="1"/>
        <v>1200</v>
      </c>
      <c r="I52" s="89"/>
      <c r="J52" s="6"/>
    </row>
    <row r="53">
      <c r="E53" s="90" t="s">
        <v>101</v>
      </c>
      <c r="F53" s="86">
        <v>2.0</v>
      </c>
      <c r="G53" s="91">
        <v>650.0</v>
      </c>
      <c r="H53" s="88">
        <f t="shared" si="1"/>
        <v>1300</v>
      </c>
      <c r="I53" s="89"/>
      <c r="J53" s="6"/>
    </row>
    <row r="54">
      <c r="E54" s="90" t="s">
        <v>102</v>
      </c>
      <c r="F54" s="86">
        <v>4.0</v>
      </c>
      <c r="G54" s="91">
        <v>282.0</v>
      </c>
      <c r="H54" s="88">
        <f t="shared" si="1"/>
        <v>1128</v>
      </c>
      <c r="I54" s="89"/>
      <c r="J54" s="6"/>
    </row>
    <row r="55">
      <c r="E55" s="90" t="s">
        <v>103</v>
      </c>
      <c r="F55" s="86">
        <v>4.0</v>
      </c>
      <c r="G55" s="91">
        <v>351.0</v>
      </c>
      <c r="H55" s="88">
        <f t="shared" si="1"/>
        <v>1404</v>
      </c>
      <c r="I55" s="89"/>
      <c r="J55" s="6"/>
    </row>
    <row r="56">
      <c r="E56" s="90" t="s">
        <v>104</v>
      </c>
      <c r="F56" s="86">
        <v>5.0</v>
      </c>
      <c r="G56" s="91">
        <v>180.0</v>
      </c>
      <c r="H56" s="88">
        <f t="shared" si="1"/>
        <v>900</v>
      </c>
      <c r="I56" s="89"/>
      <c r="J56" s="6"/>
    </row>
    <row r="57">
      <c r="E57" s="90" t="s">
        <v>105</v>
      </c>
      <c r="F57" s="90">
        <v>5.0</v>
      </c>
      <c r="G57" s="11">
        <v>500.0</v>
      </c>
      <c r="H57" s="88">
        <f t="shared" si="1"/>
        <v>2500</v>
      </c>
      <c r="I57" s="89"/>
      <c r="J57" s="6"/>
    </row>
    <row r="58">
      <c r="E58" s="90" t="s">
        <v>106</v>
      </c>
      <c r="F58" s="86">
        <v>1.0</v>
      </c>
      <c r="G58" s="91">
        <v>800.0</v>
      </c>
      <c r="H58" s="88">
        <f t="shared" si="1"/>
        <v>800</v>
      </c>
      <c r="I58" s="89"/>
      <c r="J58" s="6"/>
    </row>
    <row r="59">
      <c r="E59" s="90" t="s">
        <v>107</v>
      </c>
      <c r="F59" s="90">
        <v>5.0</v>
      </c>
      <c r="G59" s="91">
        <v>120.0</v>
      </c>
      <c r="H59" s="88">
        <f t="shared" si="1"/>
        <v>600</v>
      </c>
      <c r="I59" s="89"/>
      <c r="J59" s="6"/>
    </row>
    <row r="60">
      <c r="E60" s="90" t="s">
        <v>108</v>
      </c>
      <c r="F60" s="86">
        <v>10.0</v>
      </c>
      <c r="G60" s="91">
        <v>100.0</v>
      </c>
      <c r="H60" s="88">
        <f t="shared" si="1"/>
        <v>1000</v>
      </c>
      <c r="I60" s="89"/>
      <c r="J60" s="6"/>
    </row>
    <row r="61">
      <c r="E61" s="90" t="s">
        <v>109</v>
      </c>
      <c r="F61" s="90">
        <v>1.0</v>
      </c>
      <c r="G61" s="91">
        <v>1420.0</v>
      </c>
      <c r="H61" s="88">
        <f t="shared" si="1"/>
        <v>1420</v>
      </c>
      <c r="I61" s="89"/>
      <c r="J61" s="6"/>
    </row>
    <row r="62">
      <c r="E62" s="90" t="s">
        <v>110</v>
      </c>
      <c r="F62" s="86">
        <v>3.0</v>
      </c>
      <c r="G62" s="91">
        <v>30.0</v>
      </c>
      <c r="H62" s="88">
        <f t="shared" si="1"/>
        <v>90</v>
      </c>
      <c r="I62" s="89"/>
      <c r="J62" s="6"/>
    </row>
    <row r="63">
      <c r="E63" s="90" t="s">
        <v>111</v>
      </c>
      <c r="F63" s="90">
        <v>25.0</v>
      </c>
      <c r="G63" s="91">
        <v>320.0</v>
      </c>
      <c r="H63" s="88">
        <f t="shared" si="1"/>
        <v>8000</v>
      </c>
      <c r="I63" s="89"/>
      <c r="J63" s="6"/>
    </row>
    <row r="64">
      <c r="E64" s="90" t="s">
        <v>112</v>
      </c>
      <c r="F64" s="86">
        <v>10.0</v>
      </c>
      <c r="G64" s="91">
        <v>150.0</v>
      </c>
      <c r="H64" s="88">
        <f t="shared" si="1"/>
        <v>1500</v>
      </c>
      <c r="I64" s="89"/>
      <c r="J64" s="6"/>
    </row>
    <row r="65">
      <c r="E65" s="90" t="s">
        <v>113</v>
      </c>
      <c r="F65" s="90">
        <v>4.0</v>
      </c>
      <c r="G65" s="91">
        <v>750.0</v>
      </c>
      <c r="H65" s="88">
        <f t="shared" si="1"/>
        <v>3000</v>
      </c>
      <c r="I65" s="89"/>
      <c r="J65" s="6"/>
    </row>
    <row r="66">
      <c r="E66" s="90" t="s">
        <v>114</v>
      </c>
      <c r="F66" s="86">
        <v>5.0</v>
      </c>
      <c r="G66" s="11">
        <v>300.0</v>
      </c>
      <c r="H66" s="88">
        <f t="shared" si="1"/>
        <v>1500</v>
      </c>
      <c r="I66" s="89"/>
      <c r="J66" s="6"/>
    </row>
    <row r="67">
      <c r="E67" s="86" t="s">
        <v>115</v>
      </c>
      <c r="F67" s="86">
        <v>2.0</v>
      </c>
      <c r="G67" s="87">
        <v>120.0</v>
      </c>
      <c r="H67" s="88">
        <f t="shared" si="1"/>
        <v>240</v>
      </c>
      <c r="I67" s="93">
        <v>45931.0</v>
      </c>
      <c r="J67" s="6"/>
    </row>
    <row r="68">
      <c r="E68" s="86" t="s">
        <v>116</v>
      </c>
      <c r="F68" s="86">
        <v>0.5</v>
      </c>
      <c r="G68" s="87">
        <v>200.0</v>
      </c>
      <c r="H68" s="88">
        <f t="shared" si="1"/>
        <v>100</v>
      </c>
      <c r="I68" s="89"/>
      <c r="J68" s="6"/>
    </row>
    <row r="69">
      <c r="E69" s="86" t="s">
        <v>117</v>
      </c>
      <c r="F69" s="86">
        <v>1.0</v>
      </c>
      <c r="G69" s="87">
        <v>160.0</v>
      </c>
      <c r="H69" s="88">
        <f t="shared" si="1"/>
        <v>160</v>
      </c>
      <c r="I69" s="89"/>
      <c r="J69" s="6"/>
    </row>
    <row r="70">
      <c r="E70" s="86" t="s">
        <v>118</v>
      </c>
      <c r="F70" s="86">
        <v>1.0</v>
      </c>
      <c r="G70" s="87">
        <v>2050.0</v>
      </c>
      <c r="H70" s="88">
        <f t="shared" si="1"/>
        <v>2050</v>
      </c>
      <c r="I70" s="89"/>
      <c r="J70" s="6"/>
    </row>
    <row r="71">
      <c r="E71" s="86" t="s">
        <v>119</v>
      </c>
      <c r="F71" s="86">
        <v>2.0</v>
      </c>
      <c r="G71" s="87">
        <v>800.0</v>
      </c>
      <c r="H71" s="88">
        <f t="shared" si="1"/>
        <v>1600</v>
      </c>
      <c r="I71" s="89"/>
      <c r="J71" s="6"/>
    </row>
    <row r="72">
      <c r="E72" s="86" t="s">
        <v>120</v>
      </c>
      <c r="F72" s="86">
        <v>2.0</v>
      </c>
      <c r="G72" s="87">
        <v>820.0</v>
      </c>
      <c r="H72" s="88">
        <f t="shared" si="1"/>
        <v>1640</v>
      </c>
      <c r="I72" s="89"/>
      <c r="J72" s="6"/>
    </row>
    <row r="73">
      <c r="E73" s="86" t="s">
        <v>121</v>
      </c>
      <c r="F73" s="86">
        <v>5.0</v>
      </c>
      <c r="G73" s="87">
        <v>100.0</v>
      </c>
      <c r="H73" s="88">
        <f t="shared" si="1"/>
        <v>500</v>
      </c>
      <c r="I73" s="89"/>
      <c r="J73" s="6"/>
    </row>
    <row r="74">
      <c r="E74" s="86" t="s">
        <v>122</v>
      </c>
      <c r="F74" s="86">
        <v>1.0</v>
      </c>
      <c r="G74" s="87">
        <v>900.0</v>
      </c>
      <c r="H74" s="88">
        <f t="shared" si="1"/>
        <v>900</v>
      </c>
      <c r="I74" s="89"/>
      <c r="J74" s="6"/>
    </row>
    <row r="75">
      <c r="E75" s="86" t="s">
        <v>123</v>
      </c>
      <c r="F75" s="86">
        <v>1.0</v>
      </c>
      <c r="G75" s="87">
        <v>1400.0</v>
      </c>
      <c r="H75" s="88">
        <f t="shared" si="1"/>
        <v>1400</v>
      </c>
      <c r="I75" s="89"/>
      <c r="J75" s="6"/>
    </row>
    <row r="76">
      <c r="E76" s="86" t="s">
        <v>124</v>
      </c>
      <c r="F76" s="86">
        <v>1.0</v>
      </c>
      <c r="G76" s="87">
        <v>900.0</v>
      </c>
      <c r="H76" s="88">
        <f t="shared" si="1"/>
        <v>900</v>
      </c>
      <c r="I76" s="89"/>
      <c r="J76" s="6"/>
    </row>
    <row r="77">
      <c r="E77" s="86" t="s">
        <v>125</v>
      </c>
      <c r="F77" s="86">
        <v>1.0</v>
      </c>
      <c r="G77" s="87">
        <v>360.0</v>
      </c>
      <c r="H77" s="88">
        <f t="shared" si="1"/>
        <v>360</v>
      </c>
      <c r="I77" s="89"/>
      <c r="J77" s="6"/>
    </row>
    <row r="78">
      <c r="E78" s="86" t="s">
        <v>126</v>
      </c>
      <c r="F78" s="86">
        <v>1.0</v>
      </c>
      <c r="G78" s="87">
        <v>100.0</v>
      </c>
      <c r="H78" s="88">
        <f t="shared" si="1"/>
        <v>100</v>
      </c>
      <c r="I78" s="89"/>
      <c r="J78" s="6"/>
    </row>
    <row r="79">
      <c r="E79" s="86" t="s">
        <v>127</v>
      </c>
      <c r="F79" s="86">
        <v>6.0</v>
      </c>
      <c r="G79" s="87">
        <v>790.0</v>
      </c>
      <c r="H79" s="88">
        <f t="shared" si="1"/>
        <v>4740</v>
      </c>
      <c r="I79" s="89"/>
      <c r="J79" s="6"/>
    </row>
    <row r="80">
      <c r="E80" s="86" t="s">
        <v>124</v>
      </c>
      <c r="F80" s="86">
        <v>2.0</v>
      </c>
      <c r="G80" s="87">
        <v>950.0</v>
      </c>
      <c r="H80" s="88">
        <f t="shared" si="1"/>
        <v>1900</v>
      </c>
      <c r="I80" s="89"/>
      <c r="J80" s="6"/>
    </row>
    <row r="81">
      <c r="E81" s="86" t="s">
        <v>122</v>
      </c>
      <c r="F81" s="86">
        <v>1.0</v>
      </c>
      <c r="G81" s="87">
        <v>1000.0</v>
      </c>
      <c r="H81" s="88">
        <f t="shared" si="1"/>
        <v>1000</v>
      </c>
      <c r="I81" s="89"/>
      <c r="J81" s="6"/>
    </row>
    <row r="82">
      <c r="E82" s="86" t="s">
        <v>128</v>
      </c>
      <c r="F82" s="86">
        <v>50.0</v>
      </c>
      <c r="G82" s="87">
        <v>10.9</v>
      </c>
      <c r="H82" s="88">
        <f t="shared" si="1"/>
        <v>545</v>
      </c>
      <c r="I82" s="89"/>
      <c r="J82" s="6"/>
    </row>
    <row r="83">
      <c r="E83" s="86" t="s">
        <v>87</v>
      </c>
      <c r="F83" s="86">
        <v>3.0</v>
      </c>
      <c r="G83" s="87">
        <v>350.0</v>
      </c>
      <c r="H83" s="88">
        <f t="shared" si="1"/>
        <v>1050</v>
      </c>
      <c r="I83" s="93">
        <v>45932.0</v>
      </c>
      <c r="J83" s="6"/>
    </row>
    <row r="84">
      <c r="E84" s="86" t="s">
        <v>129</v>
      </c>
      <c r="F84" s="86">
        <v>6.2</v>
      </c>
      <c r="G84" s="87">
        <v>1780.0</v>
      </c>
      <c r="H84" s="88">
        <f t="shared" si="1"/>
        <v>11036</v>
      </c>
      <c r="I84" s="89"/>
      <c r="J84" s="6"/>
    </row>
    <row r="85">
      <c r="E85" s="86" t="s">
        <v>67</v>
      </c>
      <c r="F85" s="86">
        <v>24.0</v>
      </c>
      <c r="G85" s="87">
        <v>320.0</v>
      </c>
      <c r="H85" s="88">
        <f t="shared" si="1"/>
        <v>7680</v>
      </c>
      <c r="I85" s="89"/>
      <c r="J85" s="6"/>
    </row>
    <row r="86">
      <c r="E86" s="86" t="s">
        <v>84</v>
      </c>
      <c r="F86" s="86">
        <v>24.0</v>
      </c>
      <c r="G86" s="87">
        <v>265.0</v>
      </c>
      <c r="H86" s="88">
        <f t="shared" si="1"/>
        <v>6360</v>
      </c>
      <c r="I86" s="89"/>
      <c r="J86" s="6"/>
    </row>
    <row r="87">
      <c r="E87" s="86" t="s">
        <v>85</v>
      </c>
      <c r="F87" s="86">
        <v>6.0</v>
      </c>
      <c r="G87" s="87">
        <v>135.0</v>
      </c>
      <c r="H87" s="88">
        <f t="shared" si="1"/>
        <v>810</v>
      </c>
      <c r="I87" s="89"/>
      <c r="J87" s="6"/>
    </row>
    <row r="88">
      <c r="E88" s="86" t="s">
        <v>130</v>
      </c>
      <c r="F88" s="86">
        <v>6.0</v>
      </c>
      <c r="G88" s="87">
        <v>245.0</v>
      </c>
      <c r="H88" s="88">
        <f t="shared" si="1"/>
        <v>1470</v>
      </c>
      <c r="I88" s="89"/>
      <c r="J88" s="6"/>
    </row>
    <row r="89">
      <c r="E89" s="94" t="s">
        <v>131</v>
      </c>
      <c r="F89" s="94">
        <v>16.0</v>
      </c>
      <c r="G89" s="95">
        <v>265.0</v>
      </c>
      <c r="H89" s="96">
        <f t="shared" si="1"/>
        <v>4240</v>
      </c>
      <c r="I89" s="89"/>
      <c r="J89" s="6"/>
    </row>
    <row r="90">
      <c r="E90" s="86" t="s">
        <v>74</v>
      </c>
      <c r="F90" s="86">
        <v>5.0</v>
      </c>
      <c r="G90" s="87">
        <v>295.0</v>
      </c>
      <c r="H90" s="88">
        <f t="shared" si="1"/>
        <v>1475</v>
      </c>
      <c r="I90" s="89"/>
      <c r="J90" s="6"/>
    </row>
    <row r="91">
      <c r="E91" s="86" t="s">
        <v>132</v>
      </c>
      <c r="F91" s="86">
        <v>1.0</v>
      </c>
      <c r="G91" s="87">
        <v>970.0</v>
      </c>
      <c r="H91" s="88">
        <f t="shared" si="1"/>
        <v>970</v>
      </c>
      <c r="I91" s="89"/>
      <c r="J91" s="6"/>
    </row>
    <row r="92">
      <c r="E92" s="86" t="s">
        <v>119</v>
      </c>
      <c r="F92" s="86">
        <v>4.0</v>
      </c>
      <c r="G92" s="87">
        <v>750.0</v>
      </c>
      <c r="H92" s="88">
        <f t="shared" si="1"/>
        <v>3000</v>
      </c>
      <c r="I92" s="89"/>
      <c r="J92" s="6"/>
    </row>
    <row r="93">
      <c r="E93" s="86" t="s">
        <v>133</v>
      </c>
      <c r="F93" s="86">
        <v>4.0</v>
      </c>
      <c r="G93" s="87">
        <v>750.0</v>
      </c>
      <c r="H93" s="88">
        <f t="shared" si="1"/>
        <v>3000</v>
      </c>
      <c r="I93" s="89"/>
      <c r="J93" s="6"/>
    </row>
    <row r="94">
      <c r="E94" s="86" t="s">
        <v>134</v>
      </c>
      <c r="F94" s="86">
        <v>4.0</v>
      </c>
      <c r="G94" s="87">
        <v>750.0</v>
      </c>
      <c r="H94" s="88">
        <f t="shared" si="1"/>
        <v>3000</v>
      </c>
      <c r="I94" s="89"/>
      <c r="J94" s="6"/>
    </row>
    <row r="95">
      <c r="E95" s="86" t="s">
        <v>135</v>
      </c>
      <c r="F95" s="86">
        <v>7.0</v>
      </c>
      <c r="G95" s="87">
        <v>100.0</v>
      </c>
      <c r="H95" s="88">
        <f t="shared" si="1"/>
        <v>700</v>
      </c>
      <c r="I95" s="89"/>
      <c r="J95" s="6"/>
    </row>
    <row r="96">
      <c r="E96" s="86" t="s">
        <v>136</v>
      </c>
      <c r="F96" s="86">
        <v>0.25</v>
      </c>
      <c r="G96" s="87">
        <v>5500.0</v>
      </c>
      <c r="H96" s="88">
        <f t="shared" si="1"/>
        <v>1375</v>
      </c>
      <c r="I96" s="89"/>
      <c r="J96" s="6"/>
    </row>
    <row r="97">
      <c r="E97" s="86" t="s">
        <v>137</v>
      </c>
      <c r="F97" s="86">
        <v>0.25</v>
      </c>
      <c r="G97" s="87">
        <v>2500.0</v>
      </c>
      <c r="H97" s="88">
        <f t="shared" si="1"/>
        <v>625</v>
      </c>
      <c r="I97" s="89"/>
      <c r="J97" s="6"/>
    </row>
    <row r="98">
      <c r="E98" s="86" t="s">
        <v>121</v>
      </c>
      <c r="F98" s="86">
        <v>1.0</v>
      </c>
      <c r="G98" s="87">
        <v>150.0</v>
      </c>
      <c r="H98" s="88">
        <f t="shared" si="1"/>
        <v>150</v>
      </c>
      <c r="I98" s="89"/>
      <c r="J98" s="6"/>
    </row>
    <row r="99">
      <c r="E99" s="86" t="s">
        <v>138</v>
      </c>
      <c r="F99" s="86">
        <v>0.25</v>
      </c>
      <c r="G99" s="87">
        <v>800.0</v>
      </c>
      <c r="H99" s="88">
        <f t="shared" si="1"/>
        <v>200</v>
      </c>
      <c r="I99" s="89"/>
      <c r="J99" s="6"/>
    </row>
    <row r="100">
      <c r="E100" s="86" t="s">
        <v>139</v>
      </c>
      <c r="F100" s="86">
        <v>6.0</v>
      </c>
      <c r="G100" s="87">
        <v>180.0</v>
      </c>
      <c r="H100" s="88">
        <f t="shared" si="1"/>
        <v>1080</v>
      </c>
      <c r="I100" s="89"/>
      <c r="J100" s="6"/>
    </row>
    <row r="101">
      <c r="E101" s="86" t="s">
        <v>140</v>
      </c>
      <c r="F101" s="86">
        <v>1.0</v>
      </c>
      <c r="G101" s="87">
        <v>600.0</v>
      </c>
      <c r="H101" s="88">
        <f t="shared" si="1"/>
        <v>600</v>
      </c>
      <c r="I101" s="89"/>
      <c r="J101" s="6"/>
    </row>
    <row r="102">
      <c r="E102" s="86" t="s">
        <v>141</v>
      </c>
      <c r="F102" s="86">
        <v>1.0</v>
      </c>
      <c r="G102" s="87">
        <v>100.0</v>
      </c>
      <c r="H102" s="88">
        <f t="shared" si="1"/>
        <v>100</v>
      </c>
      <c r="I102" s="89"/>
      <c r="J102" s="6"/>
    </row>
    <row r="103">
      <c r="E103" s="86" t="s">
        <v>142</v>
      </c>
      <c r="F103" s="86">
        <v>2.0</v>
      </c>
      <c r="G103" s="87">
        <v>120.0</v>
      </c>
      <c r="H103" s="88">
        <f t="shared" si="1"/>
        <v>240</v>
      </c>
      <c r="I103" s="89"/>
      <c r="J103" s="6"/>
    </row>
    <row r="104">
      <c r="E104" s="86" t="s">
        <v>87</v>
      </c>
      <c r="F104" s="86">
        <v>1.0</v>
      </c>
      <c r="G104" s="87">
        <v>400.0</v>
      </c>
      <c r="H104" s="88">
        <f t="shared" si="1"/>
        <v>400</v>
      </c>
      <c r="I104" s="89"/>
      <c r="J104" s="6"/>
    </row>
    <row r="105">
      <c r="E105" s="86" t="s">
        <v>143</v>
      </c>
      <c r="F105" s="86">
        <v>1.0</v>
      </c>
      <c r="G105" s="87">
        <v>1900.0</v>
      </c>
      <c r="H105" s="88">
        <f t="shared" si="1"/>
        <v>1900</v>
      </c>
      <c r="I105" s="89"/>
      <c r="J105" s="6"/>
    </row>
    <row r="106">
      <c r="E106" s="86" t="s">
        <v>144</v>
      </c>
      <c r="F106" s="86">
        <v>6.0</v>
      </c>
      <c r="G106" s="87">
        <v>150.0</v>
      </c>
      <c r="H106" s="88">
        <f t="shared" si="1"/>
        <v>900</v>
      </c>
      <c r="I106" s="89"/>
      <c r="J106" s="6"/>
    </row>
    <row r="107">
      <c r="E107" s="86" t="s">
        <v>145</v>
      </c>
      <c r="F107" s="86">
        <v>0.25</v>
      </c>
      <c r="G107" s="87">
        <v>2400.0</v>
      </c>
      <c r="H107" s="88">
        <f t="shared" si="1"/>
        <v>600</v>
      </c>
      <c r="I107" s="89"/>
      <c r="J107" s="6"/>
    </row>
    <row r="108">
      <c r="E108" s="86" t="s">
        <v>146</v>
      </c>
      <c r="F108" s="86">
        <v>2.0</v>
      </c>
      <c r="G108" s="87">
        <v>1350.0</v>
      </c>
      <c r="H108" s="88">
        <f t="shared" si="1"/>
        <v>2700</v>
      </c>
      <c r="I108" s="89"/>
      <c r="J108" s="6"/>
    </row>
    <row r="109">
      <c r="E109" s="86" t="s">
        <v>119</v>
      </c>
      <c r="F109" s="86">
        <v>1.0</v>
      </c>
      <c r="G109" s="87">
        <v>800.0</v>
      </c>
      <c r="H109" s="88">
        <f t="shared" si="1"/>
        <v>800</v>
      </c>
      <c r="I109" s="89"/>
      <c r="J109" s="6"/>
    </row>
    <row r="110">
      <c r="E110" s="86" t="s">
        <v>121</v>
      </c>
      <c r="F110" s="86">
        <v>7.0</v>
      </c>
      <c r="G110" s="87">
        <v>100.0</v>
      </c>
      <c r="H110" s="88">
        <f t="shared" si="1"/>
        <v>700</v>
      </c>
      <c r="I110" s="89"/>
      <c r="J110" s="6"/>
    </row>
    <row r="111">
      <c r="E111" s="86" t="s">
        <v>147</v>
      </c>
      <c r="F111" s="86">
        <v>6.0</v>
      </c>
      <c r="G111" s="87">
        <v>170.0</v>
      </c>
      <c r="H111" s="88">
        <f t="shared" si="1"/>
        <v>1020</v>
      </c>
      <c r="I111" s="89"/>
      <c r="J111" s="6"/>
    </row>
    <row r="112">
      <c r="E112" s="86" t="s">
        <v>148</v>
      </c>
      <c r="F112" s="86">
        <v>2.0</v>
      </c>
      <c r="G112" s="87">
        <v>120.0</v>
      </c>
      <c r="H112" s="88">
        <f t="shared" si="1"/>
        <v>240</v>
      </c>
      <c r="I112" s="89"/>
      <c r="J112" s="6"/>
    </row>
    <row r="113">
      <c r="E113" s="86" t="s">
        <v>144</v>
      </c>
      <c r="F113" s="86">
        <v>5.0</v>
      </c>
      <c r="G113" s="87">
        <v>110.0</v>
      </c>
      <c r="H113" s="88">
        <f t="shared" si="1"/>
        <v>550</v>
      </c>
      <c r="I113" s="89"/>
      <c r="J113" s="6"/>
    </row>
    <row r="114">
      <c r="E114" s="86" t="s">
        <v>121</v>
      </c>
      <c r="F114" s="86">
        <v>20.0</v>
      </c>
      <c r="G114" s="87">
        <v>100.0</v>
      </c>
      <c r="H114" s="88">
        <f t="shared" si="1"/>
        <v>2000</v>
      </c>
      <c r="I114" s="89"/>
      <c r="J114" s="6"/>
    </row>
    <row r="115">
      <c r="E115" s="86" t="s">
        <v>149</v>
      </c>
      <c r="F115" s="86">
        <v>5.0</v>
      </c>
      <c r="G115" s="87">
        <v>180.0</v>
      </c>
      <c r="H115" s="88">
        <f t="shared" si="1"/>
        <v>900</v>
      </c>
      <c r="I115" s="89"/>
      <c r="J115" s="6"/>
    </row>
    <row r="116">
      <c r="E116" s="86" t="s">
        <v>150</v>
      </c>
      <c r="F116" s="86">
        <v>138.0</v>
      </c>
      <c r="G116" s="87">
        <v>60.0</v>
      </c>
      <c r="H116" s="88">
        <f t="shared" si="1"/>
        <v>8280</v>
      </c>
      <c r="I116" s="89"/>
      <c r="J116" s="6"/>
    </row>
    <row r="117">
      <c r="E117" s="86" t="s">
        <v>151</v>
      </c>
      <c r="F117" s="86">
        <v>2.5</v>
      </c>
      <c r="G117" s="87">
        <v>1000.0</v>
      </c>
      <c r="H117" s="88">
        <f t="shared" si="1"/>
        <v>2500</v>
      </c>
      <c r="I117" s="89"/>
      <c r="J117" s="6"/>
    </row>
    <row r="118">
      <c r="E118" s="86" t="s">
        <v>152</v>
      </c>
      <c r="F118" s="86">
        <v>1.0</v>
      </c>
      <c r="G118" s="87">
        <v>750.0</v>
      </c>
      <c r="H118" s="88">
        <f t="shared" si="1"/>
        <v>750</v>
      </c>
      <c r="I118" s="89"/>
      <c r="J118" s="6"/>
    </row>
    <row r="119">
      <c r="E119" s="86" t="s">
        <v>150</v>
      </c>
      <c r="F119" s="86">
        <v>135.0</v>
      </c>
      <c r="G119" s="87">
        <v>60.0</v>
      </c>
      <c r="H119" s="88">
        <f t="shared" si="1"/>
        <v>8100</v>
      </c>
      <c r="I119" s="89"/>
      <c r="J119" s="6"/>
    </row>
    <row r="120">
      <c r="E120" s="86" t="s">
        <v>153</v>
      </c>
      <c r="F120" s="86">
        <v>40.0</v>
      </c>
      <c r="G120" s="87">
        <v>280.0</v>
      </c>
      <c r="H120" s="88">
        <f t="shared" si="1"/>
        <v>11200</v>
      </c>
      <c r="I120" s="89"/>
      <c r="J120" s="6"/>
    </row>
    <row r="121">
      <c r="E121" s="86" t="s">
        <v>154</v>
      </c>
      <c r="F121" s="86">
        <v>1.0</v>
      </c>
      <c r="G121" s="87">
        <v>500.0</v>
      </c>
      <c r="H121" s="88">
        <f t="shared" si="1"/>
        <v>500</v>
      </c>
      <c r="I121" s="89"/>
      <c r="J121" s="6"/>
    </row>
    <row r="122">
      <c r="E122" s="86" t="s">
        <v>155</v>
      </c>
      <c r="F122" s="86">
        <v>180.0</v>
      </c>
      <c r="G122" s="87">
        <v>42.0</v>
      </c>
      <c r="H122" s="88">
        <f t="shared" si="1"/>
        <v>7560</v>
      </c>
      <c r="I122" s="89"/>
      <c r="J122" s="6"/>
    </row>
    <row r="123">
      <c r="E123" s="86" t="s">
        <v>156</v>
      </c>
      <c r="F123" s="86">
        <v>22.0</v>
      </c>
      <c r="G123" s="87">
        <v>176.0</v>
      </c>
      <c r="H123" s="88">
        <f t="shared" si="1"/>
        <v>3872</v>
      </c>
      <c r="I123" s="89"/>
      <c r="J123" s="6"/>
    </row>
    <row r="124">
      <c r="E124" s="86" t="s">
        <v>120</v>
      </c>
      <c r="F124" s="86">
        <v>12.0</v>
      </c>
      <c r="G124" s="87">
        <v>790.0</v>
      </c>
      <c r="H124" s="88">
        <f t="shared" si="1"/>
        <v>9480</v>
      </c>
      <c r="I124" s="89"/>
      <c r="J124" s="6"/>
    </row>
    <row r="125">
      <c r="E125" s="86" t="s">
        <v>56</v>
      </c>
      <c r="F125" s="86">
        <v>20.0</v>
      </c>
      <c r="G125" s="87">
        <v>600.0</v>
      </c>
      <c r="H125" s="88">
        <f t="shared" si="1"/>
        <v>12000</v>
      </c>
      <c r="I125" s="89"/>
      <c r="J125" s="6"/>
    </row>
    <row r="126">
      <c r="E126" s="86" t="s">
        <v>157</v>
      </c>
      <c r="F126" s="86">
        <v>1.0</v>
      </c>
      <c r="G126" s="87">
        <v>180.0</v>
      </c>
      <c r="H126" s="88">
        <f t="shared" si="1"/>
        <v>180</v>
      </c>
      <c r="I126" s="89"/>
      <c r="J126" s="6"/>
    </row>
    <row r="127">
      <c r="E127" s="86" t="s">
        <v>135</v>
      </c>
      <c r="F127" s="86">
        <v>2.0</v>
      </c>
      <c r="G127" s="87">
        <v>110.0</v>
      </c>
      <c r="H127" s="88">
        <f t="shared" si="1"/>
        <v>220</v>
      </c>
      <c r="I127" s="89"/>
      <c r="J127" s="6"/>
    </row>
    <row r="128">
      <c r="E128" s="86" t="s">
        <v>87</v>
      </c>
      <c r="F128" s="86">
        <v>1.0</v>
      </c>
      <c r="G128" s="87">
        <v>400.0</v>
      </c>
      <c r="H128" s="88">
        <f t="shared" si="1"/>
        <v>400</v>
      </c>
      <c r="I128" s="89"/>
      <c r="J128" s="6"/>
    </row>
    <row r="129">
      <c r="E129" s="86" t="s">
        <v>158</v>
      </c>
      <c r="F129" s="86">
        <v>1.0</v>
      </c>
      <c r="G129" s="87">
        <v>270.0</v>
      </c>
      <c r="H129" s="88">
        <f t="shared" si="1"/>
        <v>270</v>
      </c>
      <c r="I129" s="89"/>
      <c r="J129" s="6"/>
    </row>
    <row r="130">
      <c r="E130" s="86" t="s">
        <v>142</v>
      </c>
      <c r="F130" s="86">
        <v>2.6</v>
      </c>
      <c r="G130" s="87">
        <v>150.0</v>
      </c>
      <c r="H130" s="88">
        <f t="shared" si="1"/>
        <v>390</v>
      </c>
      <c r="I130" s="89"/>
      <c r="J130" s="6"/>
    </row>
    <row r="131">
      <c r="E131" s="86" t="s">
        <v>139</v>
      </c>
      <c r="F131" s="86">
        <v>6.0</v>
      </c>
      <c r="G131" s="87">
        <v>180.0</v>
      </c>
      <c r="H131" s="88">
        <f t="shared" si="1"/>
        <v>1080</v>
      </c>
      <c r="I131" s="89"/>
      <c r="J131" s="6"/>
    </row>
    <row r="132">
      <c r="E132" s="86" t="s">
        <v>159</v>
      </c>
      <c r="F132" s="86">
        <v>5.0</v>
      </c>
      <c r="G132" s="87">
        <v>100.0</v>
      </c>
      <c r="H132" s="88">
        <f t="shared" si="1"/>
        <v>500</v>
      </c>
      <c r="I132" s="89"/>
      <c r="J132" s="6"/>
    </row>
    <row r="133">
      <c r="E133" s="86" t="s">
        <v>160</v>
      </c>
      <c r="F133" s="86">
        <v>1.0</v>
      </c>
      <c r="G133" s="87">
        <v>100.0</v>
      </c>
      <c r="H133" s="88">
        <f t="shared" si="1"/>
        <v>100</v>
      </c>
      <c r="I133" s="93">
        <v>45937.0</v>
      </c>
      <c r="J133" s="6"/>
    </row>
    <row r="134">
      <c r="E134" s="86" t="s">
        <v>161</v>
      </c>
      <c r="F134" s="86">
        <v>1.0</v>
      </c>
      <c r="G134" s="87">
        <v>2300.0</v>
      </c>
      <c r="H134" s="88">
        <f t="shared" si="1"/>
        <v>2300</v>
      </c>
      <c r="I134" s="89"/>
      <c r="J134" s="6"/>
    </row>
    <row r="135">
      <c r="E135" s="86" t="s">
        <v>162</v>
      </c>
      <c r="F135" s="86">
        <v>1.0</v>
      </c>
      <c r="G135" s="87">
        <v>400.0</v>
      </c>
      <c r="H135" s="88">
        <f t="shared" si="1"/>
        <v>400</v>
      </c>
      <c r="I135" s="89"/>
      <c r="J135" s="6"/>
    </row>
    <row r="136">
      <c r="E136" s="86" t="s">
        <v>126</v>
      </c>
      <c r="F136" s="86">
        <v>2.0</v>
      </c>
      <c r="G136" s="87">
        <v>100.0</v>
      </c>
      <c r="H136" s="88">
        <f t="shared" si="1"/>
        <v>200</v>
      </c>
      <c r="I136" s="89"/>
      <c r="J136" s="6"/>
    </row>
    <row r="137">
      <c r="E137" s="86" t="s">
        <v>163</v>
      </c>
      <c r="F137" s="86">
        <v>1.0</v>
      </c>
      <c r="G137" s="12">
        <v>300.0</v>
      </c>
      <c r="H137" s="88">
        <f t="shared" si="1"/>
        <v>300</v>
      </c>
      <c r="I137" s="89"/>
      <c r="J137" s="6"/>
    </row>
    <row r="138">
      <c r="E138" s="86" t="s">
        <v>164</v>
      </c>
      <c r="F138" s="86">
        <v>4.0</v>
      </c>
      <c r="G138" s="87">
        <v>135.0</v>
      </c>
      <c r="H138" s="88">
        <f t="shared" si="1"/>
        <v>540</v>
      </c>
      <c r="I138" s="89"/>
      <c r="J138" s="6"/>
    </row>
    <row r="139">
      <c r="E139" s="86" t="s">
        <v>165</v>
      </c>
      <c r="F139" s="86">
        <v>1.0</v>
      </c>
      <c r="G139" s="87">
        <v>250.0</v>
      </c>
      <c r="H139" s="88">
        <f t="shared" si="1"/>
        <v>250</v>
      </c>
      <c r="I139" s="89"/>
      <c r="J139" s="6"/>
    </row>
    <row r="140">
      <c r="E140" s="86" t="s">
        <v>141</v>
      </c>
      <c r="F140" s="86">
        <v>1.0</v>
      </c>
      <c r="G140" s="87">
        <v>100.0</v>
      </c>
      <c r="H140" s="88">
        <f t="shared" si="1"/>
        <v>100</v>
      </c>
      <c r="I140" s="89"/>
      <c r="J140" s="6"/>
    </row>
    <row r="141">
      <c r="E141" s="86" t="s">
        <v>166</v>
      </c>
      <c r="F141" s="86">
        <v>2.0</v>
      </c>
      <c r="G141" s="87">
        <v>30.0</v>
      </c>
      <c r="H141" s="88">
        <f t="shared" si="1"/>
        <v>60</v>
      </c>
      <c r="I141" s="89"/>
      <c r="J141" s="6"/>
    </row>
    <row r="142">
      <c r="E142" s="86" t="s">
        <v>154</v>
      </c>
      <c r="F142" s="86">
        <v>1.0</v>
      </c>
      <c r="G142" s="87">
        <v>500.0</v>
      </c>
      <c r="H142" s="88">
        <f t="shared" si="1"/>
        <v>500</v>
      </c>
      <c r="I142" s="97"/>
      <c r="J142" s="6"/>
    </row>
    <row r="143">
      <c r="E143" s="86" t="s">
        <v>167</v>
      </c>
      <c r="F143" s="86">
        <v>1.0</v>
      </c>
      <c r="G143" s="87">
        <v>70.0</v>
      </c>
      <c r="H143" s="88">
        <f t="shared" si="1"/>
        <v>70</v>
      </c>
      <c r="I143" s="97"/>
      <c r="J143" s="6"/>
    </row>
    <row r="144">
      <c r="E144" s="86" t="s">
        <v>168</v>
      </c>
      <c r="F144" s="86">
        <v>12.0</v>
      </c>
      <c r="G144" s="87">
        <v>282.0</v>
      </c>
      <c r="H144" s="88">
        <f t="shared" si="1"/>
        <v>3384</v>
      </c>
      <c r="I144" s="89"/>
      <c r="J144" s="6"/>
    </row>
    <row r="145">
      <c r="E145" s="86" t="s">
        <v>169</v>
      </c>
      <c r="F145" s="86">
        <v>6.0</v>
      </c>
      <c r="G145" s="87">
        <v>351.0</v>
      </c>
      <c r="H145" s="88">
        <f t="shared" si="1"/>
        <v>2106</v>
      </c>
      <c r="I145" s="89"/>
      <c r="J145" s="6"/>
    </row>
    <row r="146">
      <c r="E146" s="86" t="s">
        <v>121</v>
      </c>
      <c r="F146" s="86">
        <v>2.0</v>
      </c>
      <c r="G146" s="87">
        <v>100.0</v>
      </c>
      <c r="H146" s="88">
        <f t="shared" si="1"/>
        <v>200</v>
      </c>
      <c r="I146" s="89"/>
      <c r="J146" s="6"/>
    </row>
    <row r="147">
      <c r="E147" s="86" t="s">
        <v>142</v>
      </c>
      <c r="F147" s="86">
        <v>3.0</v>
      </c>
      <c r="G147" s="87">
        <v>100.0</v>
      </c>
      <c r="H147" s="88">
        <f t="shared" si="1"/>
        <v>300</v>
      </c>
      <c r="I147" s="89"/>
      <c r="J147" s="6"/>
    </row>
    <row r="148">
      <c r="E148" s="86" t="s">
        <v>151</v>
      </c>
      <c r="F148" s="86">
        <v>3.5</v>
      </c>
      <c r="G148" s="87">
        <v>900.0</v>
      </c>
      <c r="H148" s="88">
        <f t="shared" si="1"/>
        <v>3150</v>
      </c>
      <c r="I148" s="98"/>
      <c r="J148" s="6"/>
    </row>
    <row r="149">
      <c r="E149" s="86" t="s">
        <v>170</v>
      </c>
      <c r="F149" s="86">
        <v>5.0</v>
      </c>
      <c r="G149" s="87">
        <v>50.0</v>
      </c>
      <c r="H149" s="88">
        <f t="shared" si="1"/>
        <v>250</v>
      </c>
      <c r="I149" s="99">
        <v>45938.0</v>
      </c>
      <c r="J149" s="6"/>
    </row>
    <row r="150">
      <c r="E150" s="86" t="s">
        <v>121</v>
      </c>
      <c r="F150" s="86">
        <v>5.0</v>
      </c>
      <c r="G150" s="87">
        <v>100.0</v>
      </c>
      <c r="H150" s="88">
        <f t="shared" si="1"/>
        <v>500</v>
      </c>
      <c r="I150" s="100"/>
      <c r="J150" s="6"/>
    </row>
    <row r="151">
      <c r="E151" s="86" t="s">
        <v>138</v>
      </c>
      <c r="F151" s="86">
        <v>0.5</v>
      </c>
      <c r="G151" s="87">
        <v>800.0</v>
      </c>
      <c r="H151" s="88">
        <f t="shared" si="1"/>
        <v>400</v>
      </c>
      <c r="I151" s="100"/>
      <c r="J151" s="6"/>
    </row>
    <row r="152">
      <c r="E152" s="86" t="s">
        <v>105</v>
      </c>
      <c r="F152" s="86">
        <v>3.0</v>
      </c>
      <c r="G152" s="87">
        <v>550.0</v>
      </c>
      <c r="H152" s="88">
        <f t="shared" si="1"/>
        <v>1650</v>
      </c>
      <c r="I152" s="100"/>
      <c r="J152" s="6"/>
    </row>
    <row r="153">
      <c r="E153" s="86" t="s">
        <v>171</v>
      </c>
      <c r="F153" s="86">
        <v>420.0</v>
      </c>
      <c r="G153" s="87">
        <v>45.0</v>
      </c>
      <c r="H153" s="88">
        <f t="shared" si="1"/>
        <v>18900</v>
      </c>
      <c r="I153" s="100"/>
      <c r="J153" s="6"/>
    </row>
    <row r="154">
      <c r="E154" s="86" t="s">
        <v>172</v>
      </c>
      <c r="F154" s="86">
        <v>4.0</v>
      </c>
      <c r="G154" s="87">
        <v>10000.0</v>
      </c>
      <c r="H154" s="88">
        <f t="shared" si="1"/>
        <v>40000</v>
      </c>
      <c r="I154" s="99">
        <v>45939.0</v>
      </c>
      <c r="J154" s="6"/>
    </row>
    <row r="155">
      <c r="E155" s="86" t="s">
        <v>173</v>
      </c>
      <c r="F155" s="86">
        <v>4.0</v>
      </c>
      <c r="G155" s="87">
        <v>240.0</v>
      </c>
      <c r="H155" s="88">
        <f t="shared" si="1"/>
        <v>960</v>
      </c>
      <c r="I155" s="100"/>
      <c r="J155" s="6"/>
    </row>
    <row r="156">
      <c r="E156" s="86" t="s">
        <v>121</v>
      </c>
      <c r="F156" s="86">
        <v>10.0</v>
      </c>
      <c r="G156" s="87">
        <v>100.0</v>
      </c>
      <c r="H156" s="88">
        <f t="shared" si="1"/>
        <v>1000</v>
      </c>
      <c r="I156" s="100"/>
      <c r="J156" s="6"/>
    </row>
    <row r="157">
      <c r="E157" s="92" t="s">
        <v>174</v>
      </c>
      <c r="F157" s="92">
        <v>1.0</v>
      </c>
      <c r="G157" s="91">
        <v>800.0</v>
      </c>
      <c r="H157" s="88">
        <f t="shared" si="1"/>
        <v>800</v>
      </c>
      <c r="I157" s="100"/>
      <c r="J157" s="6"/>
    </row>
    <row r="158">
      <c r="E158" s="86" t="s">
        <v>175</v>
      </c>
      <c r="F158" s="86">
        <v>4.0</v>
      </c>
      <c r="G158" s="87">
        <v>100.0</v>
      </c>
      <c r="H158" s="88">
        <f t="shared" si="1"/>
        <v>400</v>
      </c>
      <c r="I158" s="100"/>
      <c r="J158" s="6"/>
    </row>
    <row r="159">
      <c r="E159" s="86" t="s">
        <v>176</v>
      </c>
      <c r="F159" s="86">
        <v>4.0</v>
      </c>
      <c r="G159" s="87">
        <v>28.0</v>
      </c>
      <c r="H159" s="88">
        <f t="shared" si="1"/>
        <v>112</v>
      </c>
      <c r="I159" s="100"/>
      <c r="J159" s="6"/>
    </row>
    <row r="160">
      <c r="E160" s="86" t="s">
        <v>77</v>
      </c>
      <c r="F160" s="86">
        <v>6.0</v>
      </c>
      <c r="G160" s="87">
        <v>150.0</v>
      </c>
      <c r="H160" s="88">
        <f t="shared" si="1"/>
        <v>900</v>
      </c>
      <c r="I160" s="100"/>
      <c r="J160" s="6"/>
    </row>
    <row r="161">
      <c r="E161" s="86" t="s">
        <v>94</v>
      </c>
      <c r="F161" s="86">
        <v>1.0</v>
      </c>
      <c r="G161" s="87">
        <v>2550.0</v>
      </c>
      <c r="H161" s="88">
        <f t="shared" si="1"/>
        <v>2550</v>
      </c>
      <c r="I161" s="100"/>
      <c r="J161" s="6"/>
    </row>
    <row r="162">
      <c r="E162" s="86" t="s">
        <v>177</v>
      </c>
      <c r="F162" s="86">
        <v>1.0</v>
      </c>
      <c r="G162" s="87">
        <v>500.0</v>
      </c>
      <c r="H162" s="88">
        <f t="shared" si="1"/>
        <v>500</v>
      </c>
      <c r="I162" s="100"/>
      <c r="J162" s="6"/>
    </row>
    <row r="163">
      <c r="E163" s="86" t="s">
        <v>178</v>
      </c>
      <c r="F163" s="86">
        <v>1.0</v>
      </c>
      <c r="G163" s="87">
        <v>1350.0</v>
      </c>
      <c r="H163" s="88">
        <f t="shared" si="1"/>
        <v>1350</v>
      </c>
      <c r="I163" s="101">
        <v>45940.0</v>
      </c>
      <c r="J163" s="6"/>
    </row>
    <row r="164">
      <c r="E164" s="86" t="s">
        <v>179</v>
      </c>
      <c r="F164" s="86">
        <v>0.25</v>
      </c>
      <c r="G164" s="87">
        <v>1400.0</v>
      </c>
      <c r="H164" s="88">
        <f t="shared" si="1"/>
        <v>350</v>
      </c>
      <c r="I164" s="100"/>
      <c r="J164" s="6"/>
    </row>
    <row r="165">
      <c r="E165" s="86" t="s">
        <v>180</v>
      </c>
      <c r="F165" s="86">
        <v>2.5</v>
      </c>
      <c r="G165" s="87">
        <v>250.0</v>
      </c>
      <c r="H165" s="88">
        <f t="shared" si="1"/>
        <v>625</v>
      </c>
      <c r="I165" s="100"/>
      <c r="J165" s="6"/>
    </row>
    <row r="166">
      <c r="E166" s="86" t="s">
        <v>181</v>
      </c>
      <c r="F166" s="86">
        <v>3.5</v>
      </c>
      <c r="G166" s="87">
        <v>120.0</v>
      </c>
      <c r="H166" s="88">
        <f t="shared" si="1"/>
        <v>420</v>
      </c>
      <c r="I166" s="100"/>
      <c r="J166" s="6"/>
    </row>
    <row r="167">
      <c r="E167" s="86" t="s">
        <v>116</v>
      </c>
      <c r="F167" s="86">
        <v>1.0</v>
      </c>
      <c r="G167" s="87">
        <v>100.0</v>
      </c>
      <c r="H167" s="88">
        <f t="shared" si="1"/>
        <v>100</v>
      </c>
      <c r="I167" s="100"/>
      <c r="J167" s="6"/>
    </row>
    <row r="168">
      <c r="E168" s="86" t="s">
        <v>182</v>
      </c>
      <c r="F168" s="86">
        <v>2.0</v>
      </c>
      <c r="G168" s="87">
        <v>400.0</v>
      </c>
      <c r="H168" s="88">
        <f t="shared" si="1"/>
        <v>800</v>
      </c>
      <c r="I168" s="100"/>
      <c r="J168" s="6"/>
    </row>
    <row r="169">
      <c r="E169" s="86" t="s">
        <v>119</v>
      </c>
      <c r="F169" s="86">
        <v>1.5</v>
      </c>
      <c r="G169" s="87">
        <v>700.0</v>
      </c>
      <c r="H169" s="88">
        <f t="shared" si="1"/>
        <v>1050</v>
      </c>
      <c r="I169" s="100"/>
      <c r="J169" s="6"/>
    </row>
    <row r="170">
      <c r="E170" s="86" t="s">
        <v>147</v>
      </c>
      <c r="F170" s="86">
        <v>24.0</v>
      </c>
      <c r="G170" s="87">
        <v>120.0</v>
      </c>
      <c r="H170" s="88">
        <f t="shared" si="1"/>
        <v>2880</v>
      </c>
      <c r="I170" s="100"/>
      <c r="J170" s="6"/>
    </row>
    <row r="171">
      <c r="E171" s="86" t="s">
        <v>183</v>
      </c>
      <c r="F171" s="86">
        <v>3.0</v>
      </c>
      <c r="G171" s="87">
        <v>220.0</v>
      </c>
      <c r="H171" s="88">
        <f t="shared" si="1"/>
        <v>660</v>
      </c>
      <c r="I171" s="100"/>
      <c r="J171" s="6"/>
    </row>
    <row r="172">
      <c r="E172" s="86" t="s">
        <v>184</v>
      </c>
      <c r="F172" s="86">
        <v>12.0</v>
      </c>
      <c r="G172" s="87">
        <v>100.0</v>
      </c>
      <c r="H172" s="88">
        <f t="shared" si="1"/>
        <v>1200</v>
      </c>
      <c r="I172" s="100"/>
      <c r="J172" s="6"/>
    </row>
    <row r="173">
      <c r="E173" s="86" t="s">
        <v>185</v>
      </c>
      <c r="F173" s="86">
        <v>2.0</v>
      </c>
      <c r="G173" s="87">
        <v>450.0</v>
      </c>
      <c r="H173" s="88">
        <f t="shared" si="1"/>
        <v>900</v>
      </c>
      <c r="I173" s="100"/>
      <c r="J173" s="6"/>
    </row>
    <row r="174">
      <c r="E174" s="86" t="s">
        <v>167</v>
      </c>
      <c r="F174" s="86">
        <v>1.0</v>
      </c>
      <c r="G174" s="87">
        <v>250.0</v>
      </c>
      <c r="H174" s="88">
        <f t="shared" si="1"/>
        <v>250</v>
      </c>
      <c r="I174" s="100"/>
      <c r="J174" s="6"/>
    </row>
    <row r="175">
      <c r="E175" s="86" t="s">
        <v>186</v>
      </c>
      <c r="F175" s="86">
        <v>1.0</v>
      </c>
      <c r="G175" s="87">
        <v>150.0</v>
      </c>
      <c r="H175" s="88">
        <f t="shared" si="1"/>
        <v>150</v>
      </c>
      <c r="I175" s="100"/>
      <c r="J175" s="6"/>
    </row>
    <row r="176">
      <c r="E176" s="86" t="s">
        <v>163</v>
      </c>
      <c r="F176" s="86">
        <v>1.0</v>
      </c>
      <c r="G176" s="87">
        <v>300.0</v>
      </c>
      <c r="H176" s="88">
        <f t="shared" si="1"/>
        <v>300</v>
      </c>
      <c r="I176" s="100"/>
      <c r="J176" s="6"/>
    </row>
    <row r="177">
      <c r="E177" s="86" t="s">
        <v>187</v>
      </c>
      <c r="F177" s="86">
        <v>1.0</v>
      </c>
      <c r="G177" s="87">
        <v>400.0</v>
      </c>
      <c r="H177" s="88">
        <f t="shared" si="1"/>
        <v>400</v>
      </c>
      <c r="I177" s="100"/>
      <c r="J177" s="6"/>
    </row>
    <row r="178">
      <c r="E178" s="86" t="s">
        <v>162</v>
      </c>
      <c r="F178" s="86">
        <v>2.0</v>
      </c>
      <c r="G178" s="87">
        <v>300.0</v>
      </c>
      <c r="H178" s="88">
        <f t="shared" si="1"/>
        <v>600</v>
      </c>
      <c r="I178" s="100"/>
      <c r="J178" s="6"/>
    </row>
    <row r="179">
      <c r="E179" s="86" t="s">
        <v>171</v>
      </c>
      <c r="F179" s="86">
        <v>340.0</v>
      </c>
      <c r="G179" s="87">
        <v>45.0</v>
      </c>
      <c r="H179" s="88">
        <f t="shared" si="1"/>
        <v>15300</v>
      </c>
      <c r="I179" s="102" t="s">
        <v>188</v>
      </c>
      <c r="J179" s="6"/>
    </row>
    <row r="180">
      <c r="E180" s="86" t="s">
        <v>189</v>
      </c>
      <c r="F180" s="86">
        <v>1.0</v>
      </c>
      <c r="G180" s="87">
        <v>80.0</v>
      </c>
      <c r="H180" s="88">
        <f t="shared" si="1"/>
        <v>80</v>
      </c>
      <c r="I180" s="101">
        <v>45941.0</v>
      </c>
      <c r="J180" s="6"/>
    </row>
    <row r="181">
      <c r="E181" s="86" t="s">
        <v>190</v>
      </c>
      <c r="F181" s="86">
        <v>242.0</v>
      </c>
      <c r="G181" s="87">
        <v>60.0</v>
      </c>
      <c r="H181" s="88">
        <f t="shared" si="1"/>
        <v>14520</v>
      </c>
      <c r="I181" s="100"/>
      <c r="J181" s="6"/>
    </row>
    <row r="182">
      <c r="E182" s="86" t="s">
        <v>152</v>
      </c>
      <c r="F182" s="86">
        <v>1.0</v>
      </c>
      <c r="G182" s="87">
        <v>800.0</v>
      </c>
      <c r="H182" s="88">
        <f t="shared" si="1"/>
        <v>800</v>
      </c>
      <c r="I182" s="100"/>
      <c r="J182" s="6"/>
    </row>
    <row r="183">
      <c r="E183" s="86" t="s">
        <v>191</v>
      </c>
      <c r="F183" s="86">
        <v>4.0</v>
      </c>
      <c r="G183" s="87">
        <v>170.0</v>
      </c>
      <c r="H183" s="88">
        <f t="shared" si="1"/>
        <v>680</v>
      </c>
      <c r="I183" s="100"/>
      <c r="J183" s="6"/>
    </row>
    <row r="184">
      <c r="E184" s="86" t="s">
        <v>178</v>
      </c>
      <c r="F184" s="86">
        <v>2.0</v>
      </c>
      <c r="G184" s="87">
        <v>1350.0</v>
      </c>
      <c r="H184" s="88">
        <f t="shared" si="1"/>
        <v>2700</v>
      </c>
      <c r="I184" s="100"/>
      <c r="J184" s="6"/>
    </row>
    <row r="185">
      <c r="E185" s="86" t="s">
        <v>121</v>
      </c>
      <c r="F185" s="86">
        <v>7.0</v>
      </c>
      <c r="G185" s="87">
        <v>120.0</v>
      </c>
      <c r="H185" s="88">
        <f t="shared" si="1"/>
        <v>840</v>
      </c>
      <c r="I185" s="100"/>
      <c r="J185" s="6"/>
    </row>
    <row r="186">
      <c r="E186" s="86" t="s">
        <v>119</v>
      </c>
      <c r="F186" s="86">
        <v>1.5</v>
      </c>
      <c r="G186" s="87">
        <v>700.0</v>
      </c>
      <c r="H186" s="88">
        <f t="shared" si="1"/>
        <v>1050</v>
      </c>
      <c r="I186" s="100"/>
      <c r="J186" s="6"/>
    </row>
    <row r="187">
      <c r="E187" s="86" t="s">
        <v>133</v>
      </c>
      <c r="F187" s="86">
        <v>1.5</v>
      </c>
      <c r="G187" s="87">
        <v>700.0</v>
      </c>
      <c r="H187" s="88">
        <f t="shared" si="1"/>
        <v>1050</v>
      </c>
      <c r="I187" s="100"/>
      <c r="J187" s="6"/>
    </row>
    <row r="188">
      <c r="E188" s="86" t="s">
        <v>142</v>
      </c>
      <c r="F188" s="86">
        <v>2.0</v>
      </c>
      <c r="G188" s="87">
        <v>100.0</v>
      </c>
      <c r="H188" s="88">
        <f t="shared" si="1"/>
        <v>200</v>
      </c>
      <c r="I188" s="100"/>
      <c r="J188" s="6"/>
    </row>
    <row r="189">
      <c r="E189" s="86" t="s">
        <v>141</v>
      </c>
      <c r="F189" s="86">
        <v>1.0</v>
      </c>
      <c r="G189" s="87">
        <v>100.0</v>
      </c>
      <c r="H189" s="88">
        <f t="shared" si="1"/>
        <v>100</v>
      </c>
      <c r="I189" s="100"/>
      <c r="J189" s="6"/>
    </row>
    <row r="190">
      <c r="E190" s="86" t="s">
        <v>85</v>
      </c>
      <c r="F190" s="86">
        <v>18.0</v>
      </c>
      <c r="G190" s="87">
        <v>150.0</v>
      </c>
      <c r="H190" s="88">
        <f t="shared" si="1"/>
        <v>2700</v>
      </c>
      <c r="I190" s="100"/>
      <c r="J190" s="6"/>
    </row>
    <row r="191">
      <c r="E191" s="86" t="s">
        <v>192</v>
      </c>
      <c r="F191" s="86">
        <v>2.0</v>
      </c>
      <c r="G191" s="87">
        <v>550.0</v>
      </c>
      <c r="H191" s="88">
        <f t="shared" si="1"/>
        <v>1100</v>
      </c>
      <c r="I191" s="103"/>
      <c r="J191" s="6"/>
    </row>
    <row r="192">
      <c r="E192" s="86" t="s">
        <v>193</v>
      </c>
      <c r="F192" s="86">
        <v>1.0</v>
      </c>
      <c r="G192" s="87">
        <v>1050.0</v>
      </c>
      <c r="H192" s="88">
        <f t="shared" si="1"/>
        <v>1050</v>
      </c>
      <c r="I192" s="100"/>
      <c r="J192" s="6"/>
    </row>
    <row r="193">
      <c r="E193" s="86" t="s">
        <v>194</v>
      </c>
      <c r="F193" s="86">
        <v>1.0</v>
      </c>
      <c r="G193" s="87">
        <v>150.0</v>
      </c>
      <c r="H193" s="88">
        <f t="shared" si="1"/>
        <v>150</v>
      </c>
      <c r="I193" s="89"/>
      <c r="J193" s="6"/>
    </row>
    <row r="194">
      <c r="E194" s="86" t="s">
        <v>195</v>
      </c>
      <c r="F194" s="86">
        <v>1.0</v>
      </c>
      <c r="G194" s="87">
        <v>150.0</v>
      </c>
      <c r="H194" s="88">
        <f t="shared" si="1"/>
        <v>150</v>
      </c>
      <c r="I194" s="89"/>
      <c r="J194" s="6"/>
    </row>
    <row r="195">
      <c r="E195" s="86" t="s">
        <v>196</v>
      </c>
      <c r="F195" s="86">
        <v>2.0</v>
      </c>
      <c r="G195" s="87">
        <v>150.0</v>
      </c>
      <c r="H195" s="88">
        <f t="shared" si="1"/>
        <v>300</v>
      </c>
      <c r="I195" s="89"/>
      <c r="J195" s="6"/>
    </row>
    <row r="196">
      <c r="E196" s="86" t="s">
        <v>197</v>
      </c>
      <c r="F196" s="86">
        <v>2.0</v>
      </c>
      <c r="G196" s="87">
        <v>60.0</v>
      </c>
      <c r="H196" s="88">
        <f t="shared" si="1"/>
        <v>120</v>
      </c>
      <c r="I196" s="89"/>
      <c r="J196" s="6"/>
    </row>
    <row r="197">
      <c r="E197" s="86" t="s">
        <v>198</v>
      </c>
      <c r="F197" s="86">
        <v>1.0</v>
      </c>
      <c r="G197" s="87">
        <v>100.0</v>
      </c>
      <c r="H197" s="88">
        <f t="shared" si="1"/>
        <v>100</v>
      </c>
      <c r="I197" s="89"/>
      <c r="J197" s="6"/>
    </row>
    <row r="198">
      <c r="E198" s="86" t="s">
        <v>199</v>
      </c>
      <c r="F198" s="86">
        <v>2.0</v>
      </c>
      <c r="G198" s="87">
        <v>150.0</v>
      </c>
      <c r="H198" s="88">
        <f t="shared" si="1"/>
        <v>300</v>
      </c>
      <c r="I198" s="89"/>
      <c r="J198" s="6"/>
    </row>
    <row r="199">
      <c r="E199" s="86" t="s">
        <v>200</v>
      </c>
      <c r="F199" s="86">
        <v>4.0</v>
      </c>
      <c r="G199" s="87">
        <v>200.0</v>
      </c>
      <c r="H199" s="88">
        <f t="shared" si="1"/>
        <v>800</v>
      </c>
      <c r="I199" s="89"/>
      <c r="J199" s="6"/>
    </row>
    <row r="200">
      <c r="E200" s="86" t="s">
        <v>119</v>
      </c>
      <c r="F200" s="86">
        <v>2.3</v>
      </c>
      <c r="G200" s="87">
        <v>850.0</v>
      </c>
      <c r="H200" s="88">
        <f t="shared" si="1"/>
        <v>1955</v>
      </c>
      <c r="I200" s="89"/>
      <c r="J200" s="6"/>
    </row>
    <row r="201">
      <c r="E201" s="86" t="s">
        <v>133</v>
      </c>
      <c r="F201" s="86">
        <v>1.2</v>
      </c>
      <c r="G201" s="87">
        <v>850.0</v>
      </c>
      <c r="H201" s="88">
        <f t="shared" si="1"/>
        <v>1020</v>
      </c>
      <c r="I201" s="97"/>
      <c r="J201" s="6"/>
    </row>
    <row r="202">
      <c r="E202" s="86" t="s">
        <v>201</v>
      </c>
      <c r="F202" s="86">
        <v>1.0</v>
      </c>
      <c r="G202" s="87">
        <v>150.0</v>
      </c>
      <c r="H202" s="88">
        <f t="shared" si="1"/>
        <v>150</v>
      </c>
      <c r="I202" s="89"/>
      <c r="J202" s="6"/>
    </row>
    <row r="203">
      <c r="E203" s="86" t="s">
        <v>202</v>
      </c>
      <c r="F203" s="86">
        <v>0.75</v>
      </c>
      <c r="G203" s="87">
        <v>600.0</v>
      </c>
      <c r="H203" s="88">
        <f t="shared" si="1"/>
        <v>450</v>
      </c>
      <c r="I203" s="89"/>
      <c r="J203" s="6"/>
    </row>
    <row r="204">
      <c r="E204" s="104" t="s">
        <v>203</v>
      </c>
      <c r="F204" s="104">
        <v>1.0</v>
      </c>
      <c r="G204" s="105">
        <v>5000.0</v>
      </c>
      <c r="H204" s="106">
        <f t="shared" si="1"/>
        <v>5000</v>
      </c>
      <c r="I204" s="89"/>
      <c r="J204" s="6"/>
    </row>
    <row r="205">
      <c r="E205" s="86" t="s">
        <v>204</v>
      </c>
      <c r="F205" s="86">
        <v>1.0</v>
      </c>
      <c r="G205" s="87">
        <v>100.0</v>
      </c>
      <c r="H205" s="88">
        <f t="shared" si="1"/>
        <v>100</v>
      </c>
      <c r="I205" s="89"/>
      <c r="J205" s="6"/>
    </row>
    <row r="206">
      <c r="E206" s="86" t="s">
        <v>205</v>
      </c>
      <c r="F206" s="86">
        <v>1.0</v>
      </c>
      <c r="G206" s="87">
        <v>1000.0</v>
      </c>
      <c r="H206" s="88">
        <f t="shared" si="1"/>
        <v>1000</v>
      </c>
      <c r="I206" s="89"/>
      <c r="J206" s="6"/>
    </row>
    <row r="207">
      <c r="E207" s="86" t="s">
        <v>133</v>
      </c>
      <c r="F207" s="86">
        <v>2.0</v>
      </c>
      <c r="G207" s="87">
        <v>800.0</v>
      </c>
      <c r="H207" s="88">
        <f t="shared" si="1"/>
        <v>1600</v>
      </c>
      <c r="I207" s="107">
        <v>45942.0</v>
      </c>
      <c r="J207" s="6"/>
    </row>
    <row r="208">
      <c r="E208" s="86" t="s">
        <v>206</v>
      </c>
      <c r="F208" s="86">
        <v>1.0</v>
      </c>
      <c r="G208" s="87">
        <v>480.0</v>
      </c>
      <c r="H208" s="88">
        <f t="shared" si="1"/>
        <v>480</v>
      </c>
      <c r="I208" s="89"/>
      <c r="J208" s="6"/>
    </row>
    <row r="209">
      <c r="E209" s="86" t="s">
        <v>147</v>
      </c>
      <c r="F209" s="86">
        <v>2.0</v>
      </c>
      <c r="G209" s="87">
        <v>175.0</v>
      </c>
      <c r="H209" s="88">
        <f t="shared" si="1"/>
        <v>350</v>
      </c>
      <c r="I209" s="89"/>
      <c r="J209" s="6"/>
    </row>
    <row r="210">
      <c r="E210" s="86" t="s">
        <v>207</v>
      </c>
      <c r="F210" s="86">
        <v>2.0</v>
      </c>
      <c r="G210" s="87">
        <v>450.0</v>
      </c>
      <c r="H210" s="88">
        <f t="shared" si="1"/>
        <v>900</v>
      </c>
      <c r="I210" s="89"/>
      <c r="J210" s="6"/>
    </row>
    <row r="211">
      <c r="E211" s="86" t="s">
        <v>208</v>
      </c>
      <c r="F211" s="86">
        <v>1.0</v>
      </c>
      <c r="G211" s="87">
        <v>350.0</v>
      </c>
      <c r="H211" s="88">
        <f t="shared" si="1"/>
        <v>350</v>
      </c>
      <c r="I211" s="89"/>
      <c r="J211" s="6"/>
    </row>
    <row r="212">
      <c r="E212" s="86" t="s">
        <v>209</v>
      </c>
      <c r="F212" s="86">
        <v>2.0</v>
      </c>
      <c r="G212" s="87">
        <v>650.0</v>
      </c>
      <c r="H212" s="88">
        <f t="shared" si="1"/>
        <v>1300</v>
      </c>
      <c r="I212" s="89"/>
      <c r="J212" s="6"/>
    </row>
    <row r="213">
      <c r="E213" s="86" t="s">
        <v>119</v>
      </c>
      <c r="F213" s="86">
        <v>1.5</v>
      </c>
      <c r="G213" s="87">
        <v>800.0</v>
      </c>
      <c r="H213" s="88">
        <f t="shared" si="1"/>
        <v>1200</v>
      </c>
      <c r="I213" s="89"/>
      <c r="J213" s="6"/>
    </row>
    <row r="214">
      <c r="E214" s="86" t="s">
        <v>68</v>
      </c>
      <c r="F214" s="86">
        <v>2.0</v>
      </c>
      <c r="G214" s="87">
        <v>1350.0</v>
      </c>
      <c r="H214" s="88">
        <f t="shared" si="1"/>
        <v>2700</v>
      </c>
      <c r="I214" s="89"/>
      <c r="J214" s="6"/>
    </row>
    <row r="215">
      <c r="E215" s="86" t="s">
        <v>69</v>
      </c>
      <c r="F215" s="86">
        <v>1.0</v>
      </c>
      <c r="G215" s="87">
        <v>1100.0</v>
      </c>
      <c r="H215" s="88">
        <f t="shared" si="1"/>
        <v>1100</v>
      </c>
      <c r="I215" s="89"/>
      <c r="J215" s="6"/>
    </row>
    <row r="216">
      <c r="E216" s="86" t="s">
        <v>210</v>
      </c>
      <c r="F216" s="86">
        <v>0.5</v>
      </c>
      <c r="G216" s="87">
        <v>1000.0</v>
      </c>
      <c r="H216" s="88">
        <f t="shared" si="1"/>
        <v>500</v>
      </c>
      <c r="I216" s="89"/>
      <c r="J216" s="6"/>
    </row>
    <row r="217">
      <c r="E217" s="86" t="s">
        <v>211</v>
      </c>
      <c r="F217" s="86">
        <v>1.0</v>
      </c>
      <c r="G217" s="87">
        <v>1000.0</v>
      </c>
      <c r="H217" s="88">
        <f t="shared" si="1"/>
        <v>1000</v>
      </c>
      <c r="I217" s="89"/>
      <c r="J217" s="6"/>
    </row>
    <row r="218">
      <c r="E218" s="86" t="s">
        <v>212</v>
      </c>
      <c r="F218" s="86">
        <v>1.0</v>
      </c>
      <c r="G218" s="87">
        <v>500.0</v>
      </c>
      <c r="H218" s="88">
        <f t="shared" si="1"/>
        <v>500</v>
      </c>
      <c r="I218" s="89"/>
      <c r="J218" s="6"/>
    </row>
    <row r="219">
      <c r="E219" s="86" t="s">
        <v>152</v>
      </c>
      <c r="F219" s="86">
        <v>1.0</v>
      </c>
      <c r="G219" s="87">
        <v>700.0</v>
      </c>
      <c r="H219" s="88">
        <f t="shared" si="1"/>
        <v>700</v>
      </c>
      <c r="I219" s="89"/>
      <c r="J219" s="6"/>
    </row>
    <row r="220">
      <c r="E220" s="86" t="s">
        <v>213</v>
      </c>
      <c r="F220" s="86">
        <v>4.0</v>
      </c>
      <c r="G220" s="87">
        <v>1000.0</v>
      </c>
      <c r="H220" s="88">
        <f t="shared" si="1"/>
        <v>4000</v>
      </c>
      <c r="I220" s="89"/>
      <c r="J220" s="6"/>
    </row>
    <row r="221">
      <c r="E221" s="86" t="s">
        <v>214</v>
      </c>
      <c r="F221" s="86">
        <v>1.0</v>
      </c>
      <c r="G221" s="87">
        <v>400.0</v>
      </c>
      <c r="H221" s="88">
        <f t="shared" si="1"/>
        <v>400</v>
      </c>
      <c r="I221" s="89"/>
      <c r="J221" s="6"/>
    </row>
    <row r="222">
      <c r="E222" s="86" t="s">
        <v>190</v>
      </c>
      <c r="F222" s="86">
        <v>273.0</v>
      </c>
      <c r="G222" s="12">
        <v>60.0</v>
      </c>
      <c r="H222" s="88">
        <f t="shared" si="1"/>
        <v>16380</v>
      </c>
      <c r="I222" s="89"/>
      <c r="J222" s="6"/>
    </row>
    <row r="223">
      <c r="E223" s="86" t="s">
        <v>215</v>
      </c>
      <c r="F223" s="86">
        <v>3.75</v>
      </c>
      <c r="G223" s="12">
        <v>800.0</v>
      </c>
      <c r="H223" s="88">
        <f t="shared" si="1"/>
        <v>3000</v>
      </c>
      <c r="I223" s="108">
        <v>129954.0</v>
      </c>
      <c r="J223" s="6"/>
    </row>
    <row r="224">
      <c r="E224" s="86" t="s">
        <v>121</v>
      </c>
      <c r="F224" s="86">
        <v>10.0</v>
      </c>
      <c r="G224" s="12">
        <v>120.0</v>
      </c>
      <c r="H224" s="88">
        <f t="shared" si="1"/>
        <v>1200</v>
      </c>
      <c r="I224" s="89"/>
      <c r="J224" s="6"/>
    </row>
    <row r="225">
      <c r="E225" s="86" t="s">
        <v>216</v>
      </c>
      <c r="F225" s="86">
        <v>2.0</v>
      </c>
      <c r="G225" s="12">
        <v>150.0</v>
      </c>
      <c r="H225" s="88">
        <f t="shared" si="1"/>
        <v>300</v>
      </c>
      <c r="I225" s="89"/>
      <c r="J225" s="6"/>
    </row>
    <row r="226">
      <c r="E226" s="86" t="s">
        <v>217</v>
      </c>
      <c r="F226" s="86">
        <v>1.5</v>
      </c>
      <c r="G226" s="12">
        <v>250.0</v>
      </c>
      <c r="H226" s="88">
        <f t="shared" si="1"/>
        <v>375</v>
      </c>
      <c r="I226" s="89"/>
      <c r="J226" s="6"/>
    </row>
    <row r="227">
      <c r="E227" s="86" t="s">
        <v>147</v>
      </c>
      <c r="F227" s="86">
        <v>10.0</v>
      </c>
      <c r="G227" s="12">
        <v>150.0</v>
      </c>
      <c r="H227" s="88">
        <f t="shared" si="1"/>
        <v>1500</v>
      </c>
      <c r="I227" s="89"/>
      <c r="J227" s="6"/>
    </row>
    <row r="228">
      <c r="E228" s="86" t="s">
        <v>218</v>
      </c>
      <c r="F228" s="86">
        <v>1.0</v>
      </c>
      <c r="G228" s="12">
        <v>4500.0</v>
      </c>
      <c r="H228" s="88">
        <f t="shared" si="1"/>
        <v>4500</v>
      </c>
      <c r="I228" s="109" t="s">
        <v>219</v>
      </c>
      <c r="J228" s="6"/>
    </row>
    <row r="229">
      <c r="E229" s="86" t="s">
        <v>121</v>
      </c>
      <c r="F229" s="86">
        <v>15.0</v>
      </c>
      <c r="G229" s="12">
        <v>100.0</v>
      </c>
      <c r="H229" s="88">
        <f t="shared" si="1"/>
        <v>1500</v>
      </c>
      <c r="I229" s="110">
        <v>45948.0</v>
      </c>
      <c r="J229" s="6"/>
    </row>
    <row r="230">
      <c r="E230" s="86" t="s">
        <v>141</v>
      </c>
      <c r="F230" s="86">
        <v>1.0</v>
      </c>
      <c r="G230" s="12">
        <v>140.0</v>
      </c>
      <c r="H230" s="88">
        <f t="shared" si="1"/>
        <v>140</v>
      </c>
      <c r="I230" s="111"/>
      <c r="J230" s="6"/>
    </row>
    <row r="231">
      <c r="E231" s="86" t="s">
        <v>140</v>
      </c>
      <c r="F231" s="86">
        <v>1.0</v>
      </c>
      <c r="G231" s="12">
        <v>600.0</v>
      </c>
      <c r="H231" s="88">
        <f t="shared" si="1"/>
        <v>600</v>
      </c>
      <c r="I231" s="111"/>
      <c r="J231" s="6"/>
    </row>
    <row r="232">
      <c r="E232" s="86" t="s">
        <v>135</v>
      </c>
      <c r="F232" s="86">
        <v>5.0</v>
      </c>
      <c r="G232" s="12">
        <v>100.0</v>
      </c>
      <c r="H232" s="88">
        <f t="shared" si="1"/>
        <v>500</v>
      </c>
      <c r="I232" s="111"/>
      <c r="J232" s="6"/>
    </row>
    <row r="233">
      <c r="E233" s="86" t="s">
        <v>220</v>
      </c>
      <c r="F233" s="86">
        <v>1.0</v>
      </c>
      <c r="G233" s="12">
        <v>200.0</v>
      </c>
      <c r="H233" s="88">
        <f t="shared" si="1"/>
        <v>200</v>
      </c>
      <c r="I233" s="111"/>
      <c r="J233" s="6"/>
    </row>
    <row r="234">
      <c r="E234" s="86" t="s">
        <v>221</v>
      </c>
      <c r="F234" s="86">
        <v>2.0</v>
      </c>
      <c r="G234" s="12">
        <v>300.0</v>
      </c>
      <c r="H234" s="88">
        <f t="shared" si="1"/>
        <v>600</v>
      </c>
      <c r="I234" s="97"/>
      <c r="J234" s="6"/>
    </row>
    <row r="235">
      <c r="E235" s="86" t="s">
        <v>222</v>
      </c>
      <c r="F235" s="86">
        <v>1.0</v>
      </c>
      <c r="G235" s="12">
        <v>220.0</v>
      </c>
      <c r="H235" s="88">
        <f t="shared" si="1"/>
        <v>220</v>
      </c>
      <c r="I235" s="111"/>
      <c r="J235" s="6"/>
    </row>
    <row r="236">
      <c r="E236" s="86" t="s">
        <v>223</v>
      </c>
      <c r="F236" s="86">
        <v>1.0</v>
      </c>
      <c r="G236" s="12">
        <v>1200.0</v>
      </c>
      <c r="H236" s="88">
        <f t="shared" si="1"/>
        <v>1200</v>
      </c>
      <c r="I236" s="111"/>
      <c r="J236" s="6"/>
    </row>
    <row r="237">
      <c r="E237" s="86" t="s">
        <v>224</v>
      </c>
      <c r="F237" s="86">
        <v>1.0</v>
      </c>
      <c r="G237" s="12">
        <v>200.0</v>
      </c>
      <c r="H237" s="88">
        <f t="shared" si="1"/>
        <v>200</v>
      </c>
      <c r="I237" s="111"/>
      <c r="J237" s="6"/>
    </row>
    <row r="238">
      <c r="E238" s="86" t="s">
        <v>225</v>
      </c>
      <c r="F238" s="86">
        <v>1.5</v>
      </c>
      <c r="G238" s="12">
        <v>200.0</v>
      </c>
      <c r="H238" s="88">
        <f t="shared" si="1"/>
        <v>300</v>
      </c>
      <c r="I238" s="111"/>
      <c r="J238" s="6"/>
    </row>
    <row r="239">
      <c r="E239" s="86" t="s">
        <v>226</v>
      </c>
      <c r="F239" s="86">
        <v>2.0</v>
      </c>
      <c r="G239" s="12">
        <v>200.0</v>
      </c>
      <c r="H239" s="88">
        <f t="shared" si="1"/>
        <v>400</v>
      </c>
      <c r="I239" s="111"/>
      <c r="J239" s="6"/>
    </row>
    <row r="240">
      <c r="E240" s="86" t="s">
        <v>227</v>
      </c>
      <c r="F240" s="86">
        <v>1.0</v>
      </c>
      <c r="G240" s="12">
        <v>250.0</v>
      </c>
      <c r="H240" s="88">
        <f t="shared" si="1"/>
        <v>250</v>
      </c>
      <c r="I240" s="111"/>
      <c r="J240" s="6"/>
    </row>
    <row r="241">
      <c r="E241" s="86" t="s">
        <v>228</v>
      </c>
      <c r="F241" s="86">
        <v>4.0</v>
      </c>
      <c r="G241" s="12">
        <v>150.0</v>
      </c>
      <c r="H241" s="88">
        <f t="shared" si="1"/>
        <v>600</v>
      </c>
      <c r="I241" s="111"/>
      <c r="J241" s="6"/>
    </row>
    <row r="242">
      <c r="E242" s="86" t="s">
        <v>229</v>
      </c>
      <c r="F242" s="86">
        <v>1.0</v>
      </c>
      <c r="G242" s="12">
        <v>150.0</v>
      </c>
      <c r="H242" s="88">
        <f t="shared" si="1"/>
        <v>150</v>
      </c>
      <c r="I242" s="111"/>
      <c r="J242" s="6"/>
    </row>
    <row r="243">
      <c r="E243" s="86" t="s">
        <v>142</v>
      </c>
      <c r="F243" s="86">
        <v>5.0</v>
      </c>
      <c r="G243" s="12">
        <v>60.0</v>
      </c>
      <c r="H243" s="88">
        <f t="shared" si="1"/>
        <v>300</v>
      </c>
      <c r="I243" s="111"/>
      <c r="J243" s="6"/>
    </row>
    <row r="244">
      <c r="E244" s="86" t="s">
        <v>133</v>
      </c>
      <c r="F244" s="86">
        <v>1.25</v>
      </c>
      <c r="G244" s="12">
        <v>800.0</v>
      </c>
      <c r="H244" s="88">
        <f t="shared" si="1"/>
        <v>1000</v>
      </c>
      <c r="I244" s="97"/>
      <c r="J244" s="6"/>
    </row>
    <row r="245">
      <c r="E245" s="86" t="s">
        <v>121</v>
      </c>
      <c r="F245" s="86">
        <v>5.0</v>
      </c>
      <c r="G245" s="12">
        <v>100.0</v>
      </c>
      <c r="H245" s="88">
        <f t="shared" si="1"/>
        <v>500</v>
      </c>
      <c r="I245" s="111"/>
      <c r="J245" s="6"/>
    </row>
    <row r="246">
      <c r="E246" s="86" t="s">
        <v>121</v>
      </c>
      <c r="F246" s="86">
        <v>10.0</v>
      </c>
      <c r="G246" s="12">
        <v>100.0</v>
      </c>
      <c r="H246" s="88">
        <f t="shared" si="1"/>
        <v>1000</v>
      </c>
      <c r="I246" s="110">
        <v>45946.0</v>
      </c>
      <c r="J246" s="6"/>
    </row>
    <row r="247">
      <c r="E247" s="86" t="s">
        <v>230</v>
      </c>
      <c r="F247" s="86">
        <v>0.5</v>
      </c>
      <c r="G247" s="12">
        <v>1200.0</v>
      </c>
      <c r="H247" s="88">
        <f t="shared" si="1"/>
        <v>600</v>
      </c>
      <c r="I247" s="111"/>
      <c r="J247" s="6"/>
    </row>
    <row r="248">
      <c r="E248" s="86" t="s">
        <v>142</v>
      </c>
      <c r="F248" s="86">
        <v>2.0</v>
      </c>
      <c r="G248" s="12">
        <v>100.0</v>
      </c>
      <c r="H248" s="88">
        <f t="shared" si="1"/>
        <v>200</v>
      </c>
      <c r="I248" s="111"/>
      <c r="J248" s="6"/>
    </row>
    <row r="249">
      <c r="E249" s="86" t="s">
        <v>117</v>
      </c>
      <c r="F249" s="86">
        <v>1.0</v>
      </c>
      <c r="G249" s="12">
        <v>100.0</v>
      </c>
      <c r="H249" s="88">
        <f t="shared" si="1"/>
        <v>100</v>
      </c>
      <c r="I249" s="111"/>
      <c r="J249" s="6"/>
    </row>
    <row r="250">
      <c r="E250" s="86" t="s">
        <v>231</v>
      </c>
      <c r="F250" s="86">
        <v>1.0</v>
      </c>
      <c r="G250" s="12">
        <v>100.0</v>
      </c>
      <c r="H250" s="88">
        <f t="shared" si="1"/>
        <v>100</v>
      </c>
      <c r="I250" s="111"/>
      <c r="J250" s="6"/>
    </row>
    <row r="251">
      <c r="E251" s="86" t="s">
        <v>141</v>
      </c>
      <c r="F251" s="86">
        <v>1.0</v>
      </c>
      <c r="G251" s="12">
        <v>130.0</v>
      </c>
      <c r="H251" s="88">
        <f t="shared" si="1"/>
        <v>130</v>
      </c>
      <c r="I251" s="111"/>
      <c r="J251" s="6"/>
    </row>
    <row r="252">
      <c r="E252" s="86" t="s">
        <v>138</v>
      </c>
      <c r="F252" s="86">
        <v>0.5</v>
      </c>
      <c r="G252" s="12">
        <v>800.0</v>
      </c>
      <c r="H252" s="88">
        <f t="shared" si="1"/>
        <v>400</v>
      </c>
      <c r="I252" s="111"/>
      <c r="J252" s="6"/>
    </row>
    <row r="253">
      <c r="E253" s="86" t="s">
        <v>232</v>
      </c>
      <c r="F253" s="86">
        <v>5.0</v>
      </c>
      <c r="G253" s="12">
        <v>30.0</v>
      </c>
      <c r="H253" s="88">
        <f t="shared" si="1"/>
        <v>150</v>
      </c>
      <c r="I253" s="111"/>
      <c r="J253" s="6"/>
    </row>
    <row r="254">
      <c r="E254" s="86" t="s">
        <v>233</v>
      </c>
      <c r="F254" s="86">
        <v>5.0</v>
      </c>
      <c r="G254" s="12">
        <v>40.0</v>
      </c>
      <c r="H254" s="88">
        <f t="shared" si="1"/>
        <v>200</v>
      </c>
      <c r="I254" s="111"/>
      <c r="J254" s="6"/>
    </row>
    <row r="255">
      <c r="E255" s="86" t="s">
        <v>234</v>
      </c>
      <c r="F255" s="86">
        <v>1.0</v>
      </c>
      <c r="G255" s="12">
        <v>50.0</v>
      </c>
      <c r="H255" s="88">
        <f t="shared" si="1"/>
        <v>50</v>
      </c>
      <c r="I255" s="111"/>
      <c r="J255" s="6"/>
    </row>
    <row r="256">
      <c r="E256" s="86" t="s">
        <v>209</v>
      </c>
      <c r="F256" s="86">
        <v>2.0</v>
      </c>
      <c r="G256" s="12">
        <v>650.0</v>
      </c>
      <c r="H256" s="88">
        <f t="shared" si="1"/>
        <v>1300</v>
      </c>
      <c r="I256" s="111"/>
      <c r="J256" s="6"/>
    </row>
    <row r="257">
      <c r="E257" s="86" t="s">
        <v>235</v>
      </c>
      <c r="F257" s="86">
        <v>1.5</v>
      </c>
      <c r="G257" s="12">
        <v>850.0</v>
      </c>
      <c r="H257" s="88">
        <f t="shared" si="1"/>
        <v>1275</v>
      </c>
      <c r="I257" s="111"/>
      <c r="J257" s="6"/>
    </row>
    <row r="258">
      <c r="E258" s="86" t="s">
        <v>121</v>
      </c>
      <c r="F258" s="86">
        <v>20.0</v>
      </c>
      <c r="G258" s="12">
        <v>100.0</v>
      </c>
      <c r="H258" s="88">
        <f t="shared" si="1"/>
        <v>2000</v>
      </c>
      <c r="I258" s="111"/>
      <c r="J258" s="6"/>
    </row>
    <row r="259">
      <c r="E259" s="86" t="s">
        <v>236</v>
      </c>
      <c r="F259" s="86">
        <v>20.0</v>
      </c>
      <c r="G259" s="12">
        <v>1000.0</v>
      </c>
      <c r="H259" s="88">
        <f t="shared" si="1"/>
        <v>20000</v>
      </c>
      <c r="I259" s="111"/>
      <c r="J259" s="6"/>
    </row>
    <row r="260">
      <c r="E260" s="86" t="s">
        <v>237</v>
      </c>
      <c r="F260" s="86">
        <v>1.0</v>
      </c>
      <c r="G260" s="12">
        <v>2000.0</v>
      </c>
      <c r="H260" s="88">
        <f t="shared" si="1"/>
        <v>2000</v>
      </c>
      <c r="I260" s="111"/>
      <c r="J260" s="6"/>
    </row>
    <row r="261">
      <c r="E261" s="86" t="s">
        <v>238</v>
      </c>
      <c r="F261" s="86">
        <v>15.0</v>
      </c>
      <c r="G261" s="12">
        <v>60.0</v>
      </c>
      <c r="H261" s="88">
        <f t="shared" si="1"/>
        <v>900</v>
      </c>
      <c r="I261" s="97"/>
      <c r="J261" s="6"/>
    </row>
    <row r="262">
      <c r="E262" s="86" t="s">
        <v>239</v>
      </c>
      <c r="F262" s="86">
        <v>5.0</v>
      </c>
      <c r="G262" s="12">
        <v>580.0</v>
      </c>
      <c r="H262" s="88">
        <f t="shared" si="1"/>
        <v>2900</v>
      </c>
      <c r="I262" s="89"/>
      <c r="J262" s="6"/>
    </row>
    <row r="263">
      <c r="E263" s="86" t="s">
        <v>240</v>
      </c>
      <c r="F263" s="86">
        <v>100.0</v>
      </c>
      <c r="G263" s="12">
        <v>21.0</v>
      </c>
      <c r="H263" s="88">
        <f t="shared" si="1"/>
        <v>2100</v>
      </c>
      <c r="I263" s="89"/>
      <c r="J263" s="6"/>
    </row>
    <row r="264">
      <c r="E264" s="86" t="s">
        <v>241</v>
      </c>
      <c r="F264" s="86">
        <v>100.0</v>
      </c>
      <c r="G264" s="12">
        <v>33.0</v>
      </c>
      <c r="H264" s="88">
        <f t="shared" si="1"/>
        <v>3300</v>
      </c>
      <c r="I264" s="89"/>
      <c r="J264" s="6"/>
    </row>
    <row r="265">
      <c r="E265" s="86" t="s">
        <v>242</v>
      </c>
      <c r="F265" s="86">
        <v>1.0</v>
      </c>
      <c r="G265" s="12">
        <v>105.0</v>
      </c>
      <c r="H265" s="88">
        <f t="shared" si="1"/>
        <v>105</v>
      </c>
      <c r="I265" s="89"/>
      <c r="J265" s="6"/>
    </row>
    <row r="266">
      <c r="E266" s="86" t="s">
        <v>201</v>
      </c>
      <c r="F266" s="86">
        <v>6.0</v>
      </c>
      <c r="G266" s="12">
        <v>250.0</v>
      </c>
      <c r="H266" s="88">
        <f t="shared" si="1"/>
        <v>1500</v>
      </c>
      <c r="I266" s="89"/>
      <c r="J266" s="6"/>
    </row>
    <row r="267">
      <c r="E267" s="86" t="s">
        <v>243</v>
      </c>
      <c r="F267" s="86">
        <v>2.0</v>
      </c>
      <c r="G267" s="12">
        <v>300.0</v>
      </c>
      <c r="H267" s="88">
        <f t="shared" si="1"/>
        <v>600</v>
      </c>
      <c r="I267" s="89"/>
      <c r="J267" s="6"/>
    </row>
    <row r="268">
      <c r="E268" s="86" t="s">
        <v>147</v>
      </c>
      <c r="F268" s="86">
        <v>2.0</v>
      </c>
      <c r="G268" s="12">
        <v>200.0</v>
      </c>
      <c r="H268" s="88">
        <f t="shared" si="1"/>
        <v>400</v>
      </c>
      <c r="I268" s="89"/>
      <c r="J268" s="6"/>
    </row>
    <row r="269">
      <c r="E269" s="86" t="s">
        <v>244</v>
      </c>
      <c r="F269" s="86">
        <v>2.0</v>
      </c>
      <c r="G269" s="12">
        <v>100.0</v>
      </c>
      <c r="H269" s="88">
        <f t="shared" si="1"/>
        <v>200</v>
      </c>
      <c r="I269" s="89"/>
      <c r="J269" s="6"/>
    </row>
    <row r="270">
      <c r="E270" s="86" t="s">
        <v>245</v>
      </c>
      <c r="F270" s="86">
        <v>1.0</v>
      </c>
      <c r="G270" s="12">
        <v>220.0</v>
      </c>
      <c r="H270" s="88">
        <f t="shared" si="1"/>
        <v>220</v>
      </c>
      <c r="I270" s="89"/>
      <c r="J270" s="6"/>
    </row>
    <row r="271">
      <c r="E271" s="86" t="s">
        <v>246</v>
      </c>
      <c r="F271" s="86">
        <v>0.15</v>
      </c>
      <c r="G271" s="12">
        <v>1400.0</v>
      </c>
      <c r="H271" s="88">
        <f t="shared" si="1"/>
        <v>210</v>
      </c>
      <c r="I271" s="89"/>
      <c r="J271" s="6"/>
    </row>
    <row r="272">
      <c r="E272" s="86" t="s">
        <v>247</v>
      </c>
      <c r="F272" s="86">
        <v>1.0</v>
      </c>
      <c r="G272" s="12">
        <v>250.0</v>
      </c>
      <c r="H272" s="88">
        <f t="shared" si="1"/>
        <v>250</v>
      </c>
      <c r="I272" s="89"/>
      <c r="J272" s="6"/>
    </row>
    <row r="273">
      <c r="E273" s="86" t="s">
        <v>248</v>
      </c>
      <c r="F273" s="86">
        <v>3.5</v>
      </c>
      <c r="G273" s="12">
        <v>1200.0</v>
      </c>
      <c r="H273" s="88">
        <f t="shared" si="1"/>
        <v>4200</v>
      </c>
      <c r="I273" s="89"/>
      <c r="J273" s="6"/>
    </row>
    <row r="274">
      <c r="E274" s="86" t="s">
        <v>142</v>
      </c>
      <c r="F274" s="86">
        <v>2.0</v>
      </c>
      <c r="G274" s="12">
        <v>100.0</v>
      </c>
      <c r="H274" s="88">
        <f t="shared" si="1"/>
        <v>200</v>
      </c>
      <c r="I274" s="89"/>
      <c r="J274" s="6"/>
    </row>
    <row r="275">
      <c r="E275" s="86" t="s">
        <v>249</v>
      </c>
      <c r="F275" s="86">
        <v>5.0</v>
      </c>
      <c r="G275" s="12">
        <v>300.0</v>
      </c>
      <c r="H275" s="88">
        <f t="shared" si="1"/>
        <v>1500</v>
      </c>
      <c r="I275" s="107"/>
      <c r="J275" s="6"/>
    </row>
    <row r="276">
      <c r="E276" s="86" t="s">
        <v>250</v>
      </c>
      <c r="F276" s="86">
        <v>1.0</v>
      </c>
      <c r="G276" s="12">
        <v>800.0</v>
      </c>
      <c r="H276" s="88">
        <f t="shared" si="1"/>
        <v>800</v>
      </c>
      <c r="I276" s="107">
        <v>45950.0</v>
      </c>
      <c r="J276" s="6"/>
    </row>
    <row r="277">
      <c r="E277" s="86" t="s">
        <v>251</v>
      </c>
      <c r="F277" s="86">
        <v>1.0</v>
      </c>
      <c r="G277" s="12">
        <v>300.0</v>
      </c>
      <c r="H277" s="88">
        <f t="shared" si="1"/>
        <v>300</v>
      </c>
      <c r="I277" s="89"/>
      <c r="J277" s="6"/>
    </row>
    <row r="278">
      <c r="E278" s="86" t="s">
        <v>252</v>
      </c>
      <c r="F278" s="86">
        <v>1.0</v>
      </c>
      <c r="G278" s="12">
        <v>300.0</v>
      </c>
      <c r="H278" s="88">
        <f t="shared" si="1"/>
        <v>300</v>
      </c>
      <c r="I278" s="89"/>
      <c r="J278" s="6"/>
    </row>
    <row r="279">
      <c r="E279" s="86" t="s">
        <v>147</v>
      </c>
      <c r="F279" s="86">
        <v>4.0</v>
      </c>
      <c r="G279" s="12">
        <v>200.0</v>
      </c>
      <c r="H279" s="88">
        <f t="shared" si="1"/>
        <v>800</v>
      </c>
      <c r="I279" s="89"/>
      <c r="J279" s="6"/>
    </row>
    <row r="280">
      <c r="E280" s="86" t="s">
        <v>253</v>
      </c>
      <c r="F280" s="86">
        <v>2.0</v>
      </c>
      <c r="G280" s="12">
        <v>350.0</v>
      </c>
      <c r="H280" s="88">
        <f t="shared" si="1"/>
        <v>700</v>
      </c>
      <c r="I280" s="112">
        <v>45958.0</v>
      </c>
      <c r="J280" s="6"/>
    </row>
    <row r="281">
      <c r="E281" s="86" t="s">
        <v>254</v>
      </c>
      <c r="F281" s="86">
        <v>1.0</v>
      </c>
      <c r="G281" s="12">
        <v>1200.0</v>
      </c>
      <c r="H281" s="88">
        <f t="shared" si="1"/>
        <v>1200</v>
      </c>
      <c r="I281" s="89"/>
      <c r="J281" s="6"/>
    </row>
    <row r="282">
      <c r="E282" s="86" t="s">
        <v>255</v>
      </c>
      <c r="F282" s="86">
        <v>5.0</v>
      </c>
      <c r="G282" s="12">
        <v>30.0</v>
      </c>
      <c r="H282" s="88">
        <f t="shared" si="1"/>
        <v>150</v>
      </c>
      <c r="I282" s="89"/>
      <c r="J282" s="6"/>
    </row>
    <row r="283">
      <c r="E283" s="86" t="s">
        <v>141</v>
      </c>
      <c r="F283" s="86">
        <v>2.0</v>
      </c>
      <c r="G283" s="12">
        <v>100.0</v>
      </c>
      <c r="H283" s="88">
        <f t="shared" si="1"/>
        <v>200</v>
      </c>
      <c r="I283" s="89"/>
      <c r="J283" s="6"/>
    </row>
    <row r="284">
      <c r="E284" s="86" t="s">
        <v>151</v>
      </c>
      <c r="F284" s="86">
        <v>1.5</v>
      </c>
      <c r="G284" s="12">
        <v>1200.0</v>
      </c>
      <c r="H284" s="88">
        <f t="shared" si="1"/>
        <v>1800</v>
      </c>
      <c r="I284" s="89"/>
      <c r="J284" s="6"/>
    </row>
    <row r="285">
      <c r="E285" s="86" t="s">
        <v>256</v>
      </c>
      <c r="F285" s="86">
        <v>6.0</v>
      </c>
      <c r="G285" s="12">
        <v>30.0</v>
      </c>
      <c r="H285" s="88">
        <f t="shared" si="1"/>
        <v>180</v>
      </c>
      <c r="I285" s="89"/>
      <c r="J285" s="6"/>
    </row>
    <row r="286">
      <c r="E286" s="86" t="s">
        <v>257</v>
      </c>
      <c r="F286" s="86">
        <v>1.0</v>
      </c>
      <c r="G286" s="113">
        <v>100.0</v>
      </c>
      <c r="H286" s="88">
        <f t="shared" si="1"/>
        <v>100</v>
      </c>
      <c r="I286" s="89"/>
      <c r="J286" s="6"/>
    </row>
    <row r="287">
      <c r="E287" s="86" t="s">
        <v>258</v>
      </c>
      <c r="F287" s="86">
        <v>2.0</v>
      </c>
      <c r="G287" s="12">
        <v>150.0</v>
      </c>
      <c r="H287" s="88">
        <f t="shared" si="1"/>
        <v>300</v>
      </c>
      <c r="I287" s="97"/>
      <c r="J287" s="6"/>
    </row>
    <row r="288">
      <c r="E288" s="86" t="s">
        <v>259</v>
      </c>
      <c r="F288" s="86">
        <v>1.0</v>
      </c>
      <c r="G288" s="12">
        <v>480.0</v>
      </c>
      <c r="H288" s="88">
        <f t="shared" si="1"/>
        <v>480</v>
      </c>
      <c r="I288" s="89"/>
      <c r="J288" s="6"/>
    </row>
    <row r="289">
      <c r="E289" s="86" t="s">
        <v>260</v>
      </c>
      <c r="F289" s="86">
        <v>1.0</v>
      </c>
      <c r="G289" s="12">
        <v>450.0</v>
      </c>
      <c r="H289" s="88">
        <f t="shared" si="1"/>
        <v>450</v>
      </c>
      <c r="I289" s="89"/>
      <c r="J289" s="6"/>
    </row>
    <row r="290">
      <c r="E290" s="86" t="s">
        <v>142</v>
      </c>
      <c r="F290" s="86">
        <v>9.0</v>
      </c>
      <c r="G290" s="12">
        <v>60.0</v>
      </c>
      <c r="H290" s="88">
        <f t="shared" si="1"/>
        <v>540</v>
      </c>
      <c r="I290" s="89"/>
      <c r="J290" s="6"/>
    </row>
    <row r="291">
      <c r="E291" s="86" t="s">
        <v>261</v>
      </c>
      <c r="F291" s="86">
        <v>1.0</v>
      </c>
      <c r="G291" s="12">
        <v>200.0</v>
      </c>
      <c r="H291" s="88">
        <f t="shared" si="1"/>
        <v>200</v>
      </c>
      <c r="I291" s="89"/>
      <c r="J291" s="6"/>
    </row>
    <row r="292">
      <c r="E292" s="86" t="s">
        <v>262</v>
      </c>
      <c r="F292" s="86">
        <v>5.0</v>
      </c>
      <c r="G292" s="12">
        <v>60.0</v>
      </c>
      <c r="H292" s="88">
        <f t="shared" si="1"/>
        <v>300</v>
      </c>
      <c r="I292" s="89"/>
      <c r="J292" s="6"/>
    </row>
    <row r="293">
      <c r="E293" s="86" t="s">
        <v>263</v>
      </c>
      <c r="F293" s="86">
        <v>1.0</v>
      </c>
      <c r="G293" s="12">
        <v>150.0</v>
      </c>
      <c r="H293" s="88">
        <f t="shared" si="1"/>
        <v>150</v>
      </c>
      <c r="I293" s="89"/>
      <c r="J293" s="6"/>
    </row>
    <row r="294">
      <c r="E294" s="86" t="s">
        <v>215</v>
      </c>
      <c r="F294" s="86">
        <v>4.0</v>
      </c>
      <c r="G294" s="12">
        <v>750.0</v>
      </c>
      <c r="H294" s="88">
        <f t="shared" si="1"/>
        <v>3000</v>
      </c>
      <c r="I294" s="89"/>
      <c r="J294" s="6"/>
    </row>
    <row r="295">
      <c r="E295" s="86" t="s">
        <v>147</v>
      </c>
      <c r="F295" s="86">
        <v>3.0</v>
      </c>
      <c r="G295" s="12">
        <v>160.0</v>
      </c>
      <c r="H295" s="88">
        <f t="shared" si="1"/>
        <v>480</v>
      </c>
      <c r="I295" s="89"/>
      <c r="J295" s="6"/>
    </row>
    <row r="296">
      <c r="E296" s="86" t="s">
        <v>121</v>
      </c>
      <c r="F296" s="86">
        <v>5.0</v>
      </c>
      <c r="G296" s="12">
        <v>100.0</v>
      </c>
      <c r="H296" s="88">
        <f t="shared" si="1"/>
        <v>500</v>
      </c>
      <c r="I296" s="89"/>
      <c r="J296" s="6"/>
    </row>
    <row r="297">
      <c r="E297" s="86" t="s">
        <v>264</v>
      </c>
      <c r="F297" s="86">
        <v>1.0</v>
      </c>
      <c r="G297" s="12">
        <v>550.0</v>
      </c>
      <c r="H297" s="88">
        <f t="shared" si="1"/>
        <v>550</v>
      </c>
      <c r="I297" s="97"/>
      <c r="J297" s="6"/>
    </row>
    <row r="298">
      <c r="E298" s="86" t="s">
        <v>147</v>
      </c>
      <c r="F298" s="86">
        <v>8.0</v>
      </c>
      <c r="G298" s="12">
        <v>150.0</v>
      </c>
      <c r="H298" s="88">
        <f t="shared" si="1"/>
        <v>1200</v>
      </c>
      <c r="I298" s="89"/>
      <c r="J298" s="6"/>
    </row>
    <row r="299">
      <c r="E299" s="86" t="s">
        <v>265</v>
      </c>
      <c r="F299" s="86">
        <v>2.0</v>
      </c>
      <c r="G299" s="12">
        <v>220.0</v>
      </c>
      <c r="H299" s="88">
        <f t="shared" si="1"/>
        <v>440</v>
      </c>
      <c r="I299" s="89"/>
      <c r="J299" s="6"/>
    </row>
    <row r="300">
      <c r="E300" s="86" t="s">
        <v>183</v>
      </c>
      <c r="F300" s="86">
        <v>2.0</v>
      </c>
      <c r="G300" s="12">
        <v>450.0</v>
      </c>
      <c r="H300" s="88">
        <f t="shared" si="1"/>
        <v>900</v>
      </c>
      <c r="I300" s="89"/>
      <c r="J300" s="6"/>
    </row>
    <row r="301">
      <c r="E301" s="86" t="s">
        <v>117</v>
      </c>
      <c r="F301" s="86">
        <v>1.0</v>
      </c>
      <c r="G301" s="12">
        <v>100.0</v>
      </c>
      <c r="H301" s="88">
        <f t="shared" si="1"/>
        <v>100</v>
      </c>
      <c r="I301" s="89"/>
      <c r="J301" s="6"/>
    </row>
    <row r="302">
      <c r="E302" s="86" t="s">
        <v>186</v>
      </c>
      <c r="F302" s="86">
        <v>1.5</v>
      </c>
      <c r="G302" s="12">
        <v>150.0</v>
      </c>
      <c r="H302" s="114">
        <f t="shared" si="1"/>
        <v>225</v>
      </c>
      <c r="I302" s="89"/>
      <c r="J302" s="6"/>
    </row>
    <row r="303">
      <c r="E303" s="86" t="s">
        <v>262</v>
      </c>
      <c r="F303" s="86">
        <v>1.0</v>
      </c>
      <c r="G303" s="12">
        <v>60.0</v>
      </c>
      <c r="H303" s="88">
        <f t="shared" si="1"/>
        <v>60</v>
      </c>
      <c r="I303" s="89"/>
      <c r="J303" s="6"/>
    </row>
    <row r="304">
      <c r="E304" s="86" t="s">
        <v>142</v>
      </c>
      <c r="F304" s="86">
        <v>2.0</v>
      </c>
      <c r="G304" s="12">
        <v>140.0</v>
      </c>
      <c r="H304" s="88">
        <f t="shared" si="1"/>
        <v>280</v>
      </c>
      <c r="I304" s="89"/>
      <c r="J304" s="6"/>
    </row>
    <row r="305">
      <c r="E305" s="86" t="s">
        <v>266</v>
      </c>
      <c r="F305" s="86">
        <v>1.0</v>
      </c>
      <c r="G305" s="12">
        <v>250.0</v>
      </c>
      <c r="H305" s="88">
        <f t="shared" si="1"/>
        <v>250</v>
      </c>
      <c r="I305" s="89"/>
      <c r="J305" s="6"/>
    </row>
    <row r="306">
      <c r="E306" s="86" t="s">
        <v>135</v>
      </c>
      <c r="F306" s="86">
        <v>1.0</v>
      </c>
      <c r="G306" s="115">
        <v>100.0</v>
      </c>
      <c r="H306" s="88">
        <f t="shared" si="1"/>
        <v>100</v>
      </c>
      <c r="I306" s="89"/>
      <c r="J306" s="6"/>
    </row>
    <row r="307">
      <c r="E307" s="86" t="s">
        <v>121</v>
      </c>
      <c r="F307" s="86">
        <v>3.0</v>
      </c>
      <c r="G307" s="12">
        <v>100.0</v>
      </c>
      <c r="H307" s="88">
        <f t="shared" si="1"/>
        <v>300</v>
      </c>
      <c r="I307" s="89"/>
      <c r="J307" s="6"/>
    </row>
    <row r="308">
      <c r="E308" s="86" t="s">
        <v>133</v>
      </c>
      <c r="F308" s="86">
        <v>0.5</v>
      </c>
      <c r="G308" s="12">
        <v>800.0</v>
      </c>
      <c r="H308" s="88">
        <f t="shared" si="1"/>
        <v>400</v>
      </c>
      <c r="I308" s="89"/>
      <c r="J308" s="6"/>
    </row>
    <row r="309">
      <c r="E309" s="86" t="s">
        <v>207</v>
      </c>
      <c r="F309" s="86">
        <v>1.0</v>
      </c>
      <c r="G309" s="12">
        <v>500.0</v>
      </c>
      <c r="H309" s="88">
        <f t="shared" si="1"/>
        <v>500</v>
      </c>
      <c r="I309" s="89"/>
      <c r="J309" s="6"/>
    </row>
    <row r="310">
      <c r="E310" s="86" t="s">
        <v>267</v>
      </c>
      <c r="F310" s="86">
        <v>1.0</v>
      </c>
      <c r="G310" s="12">
        <v>200.0</v>
      </c>
      <c r="H310" s="88">
        <f t="shared" si="1"/>
        <v>200</v>
      </c>
      <c r="I310" s="97"/>
      <c r="J310" s="6"/>
    </row>
    <row r="311">
      <c r="E311" s="86" t="s">
        <v>126</v>
      </c>
      <c r="F311" s="86">
        <v>2.0</v>
      </c>
      <c r="G311" s="12">
        <v>200.0</v>
      </c>
      <c r="H311" s="88">
        <f t="shared" si="1"/>
        <v>400</v>
      </c>
      <c r="I311" s="89"/>
      <c r="J311" s="6"/>
    </row>
    <row r="312">
      <c r="E312" s="86" t="s">
        <v>126</v>
      </c>
      <c r="F312" s="86">
        <v>4.0</v>
      </c>
      <c r="G312" s="12">
        <v>150.0</v>
      </c>
      <c r="H312" s="88">
        <f t="shared" si="1"/>
        <v>600</v>
      </c>
      <c r="I312" s="89"/>
      <c r="J312" s="6"/>
    </row>
    <row r="313">
      <c r="E313" s="86" t="s">
        <v>265</v>
      </c>
      <c r="F313" s="86">
        <v>1.0</v>
      </c>
      <c r="G313" s="12">
        <v>220.0</v>
      </c>
      <c r="H313" s="88">
        <f t="shared" si="1"/>
        <v>220</v>
      </c>
      <c r="I313" s="89"/>
      <c r="J313" s="6"/>
    </row>
    <row r="314">
      <c r="E314" s="86" t="s">
        <v>142</v>
      </c>
      <c r="F314" s="86">
        <v>1.0</v>
      </c>
      <c r="G314" s="12">
        <v>50.0</v>
      </c>
      <c r="H314" s="88">
        <f t="shared" si="1"/>
        <v>50</v>
      </c>
      <c r="I314" s="89"/>
      <c r="J314" s="6"/>
    </row>
    <row r="315">
      <c r="E315" s="86" t="s">
        <v>268</v>
      </c>
      <c r="F315" s="86">
        <v>1.0</v>
      </c>
      <c r="G315" s="12">
        <v>1000.0</v>
      </c>
      <c r="H315" s="114">
        <v>1000.0</v>
      </c>
      <c r="I315" s="116">
        <v>45956.0</v>
      </c>
      <c r="J315" s="6"/>
    </row>
    <row r="316">
      <c r="E316" s="86" t="s">
        <v>269</v>
      </c>
      <c r="F316" s="86">
        <v>4.0</v>
      </c>
      <c r="G316" s="12">
        <v>30.0</v>
      </c>
      <c r="H316" s="88">
        <f t="shared" ref="H316:H355" si="2">F316*G316</f>
        <v>120</v>
      </c>
      <c r="I316" s="89"/>
      <c r="J316" s="6"/>
    </row>
    <row r="317">
      <c r="E317" s="86" t="s">
        <v>270</v>
      </c>
      <c r="F317" s="86">
        <v>4.0</v>
      </c>
      <c r="G317" s="87">
        <v>180.0</v>
      </c>
      <c r="H317" s="88">
        <f t="shared" si="2"/>
        <v>720</v>
      </c>
      <c r="I317" s="89"/>
      <c r="J317" s="6"/>
    </row>
    <row r="318">
      <c r="E318" s="86" t="s">
        <v>271</v>
      </c>
      <c r="F318" s="86">
        <v>2.0</v>
      </c>
      <c r="G318" s="87">
        <v>30.0</v>
      </c>
      <c r="H318" s="88">
        <f t="shared" si="2"/>
        <v>60</v>
      </c>
      <c r="I318" s="89"/>
      <c r="J318" s="6"/>
    </row>
    <row r="319">
      <c r="E319" s="86" t="s">
        <v>142</v>
      </c>
      <c r="F319" s="86">
        <v>2.0</v>
      </c>
      <c r="G319" s="87">
        <v>180.0</v>
      </c>
      <c r="H319" s="88">
        <f t="shared" si="2"/>
        <v>360</v>
      </c>
      <c r="I319" s="89"/>
      <c r="J319" s="6"/>
    </row>
    <row r="320">
      <c r="E320" s="86" t="s">
        <v>272</v>
      </c>
      <c r="F320" s="86">
        <v>1.0</v>
      </c>
      <c r="G320" s="87">
        <v>160.0</v>
      </c>
      <c r="H320" s="88">
        <f t="shared" si="2"/>
        <v>160</v>
      </c>
      <c r="I320" s="89"/>
      <c r="J320" s="6"/>
    </row>
    <row r="321">
      <c r="E321" s="86" t="s">
        <v>117</v>
      </c>
      <c r="F321" s="86">
        <v>3.0</v>
      </c>
      <c r="G321" s="87">
        <v>120.0</v>
      </c>
      <c r="H321" s="88">
        <f t="shared" si="2"/>
        <v>360</v>
      </c>
      <c r="I321" s="89"/>
      <c r="J321" s="6"/>
    </row>
    <row r="322">
      <c r="E322" s="86" t="s">
        <v>217</v>
      </c>
      <c r="F322" s="86">
        <v>1.5</v>
      </c>
      <c r="G322" s="87">
        <v>200.0</v>
      </c>
      <c r="H322" s="88">
        <f t="shared" si="2"/>
        <v>300</v>
      </c>
      <c r="I322" s="89"/>
      <c r="J322" s="6"/>
    </row>
    <row r="323">
      <c r="E323" s="86" t="s">
        <v>138</v>
      </c>
      <c r="F323" s="86">
        <v>0.3</v>
      </c>
      <c r="G323" s="87">
        <v>900.0</v>
      </c>
      <c r="H323" s="88">
        <f t="shared" si="2"/>
        <v>270</v>
      </c>
      <c r="I323" s="89"/>
      <c r="J323" s="6"/>
    </row>
    <row r="324">
      <c r="E324" s="86" t="s">
        <v>116</v>
      </c>
      <c r="F324" s="86">
        <v>1.5</v>
      </c>
      <c r="G324" s="87">
        <v>180.0</v>
      </c>
      <c r="H324" s="88">
        <f t="shared" si="2"/>
        <v>270</v>
      </c>
      <c r="I324" s="89"/>
      <c r="J324" s="6"/>
    </row>
    <row r="325">
      <c r="E325" s="86" t="s">
        <v>121</v>
      </c>
      <c r="F325" s="86">
        <v>10.0</v>
      </c>
      <c r="G325" s="87">
        <v>100.0</v>
      </c>
      <c r="H325" s="88">
        <f t="shared" si="2"/>
        <v>1000</v>
      </c>
      <c r="I325" s="89"/>
      <c r="J325" s="6"/>
    </row>
    <row r="326">
      <c r="E326" s="86" t="s">
        <v>141</v>
      </c>
      <c r="F326" s="86">
        <v>1.0</v>
      </c>
      <c r="G326" s="87">
        <v>110.0</v>
      </c>
      <c r="H326" s="88">
        <f t="shared" si="2"/>
        <v>110</v>
      </c>
      <c r="I326" s="89"/>
      <c r="J326" s="6"/>
    </row>
    <row r="327">
      <c r="E327" s="117" t="s">
        <v>273</v>
      </c>
      <c r="F327" s="117">
        <v>1.0</v>
      </c>
      <c r="G327" s="115">
        <v>110.0</v>
      </c>
      <c r="H327" s="88">
        <f t="shared" si="2"/>
        <v>110</v>
      </c>
      <c r="I327" s="89"/>
      <c r="J327" s="6"/>
    </row>
    <row r="328">
      <c r="E328" s="117" t="s">
        <v>262</v>
      </c>
      <c r="F328" s="117">
        <v>6.0</v>
      </c>
      <c r="G328" s="115">
        <v>60.0</v>
      </c>
      <c r="H328" s="88">
        <f t="shared" si="2"/>
        <v>360</v>
      </c>
      <c r="I328" s="89"/>
      <c r="J328" s="6"/>
    </row>
    <row r="329">
      <c r="E329" s="117" t="s">
        <v>116</v>
      </c>
      <c r="F329" s="117">
        <v>1.0</v>
      </c>
      <c r="G329" s="115">
        <v>200.0</v>
      </c>
      <c r="H329" s="88">
        <f t="shared" si="2"/>
        <v>200</v>
      </c>
      <c r="I329" s="89"/>
      <c r="J329" s="6"/>
    </row>
    <row r="330">
      <c r="E330" s="117" t="s">
        <v>262</v>
      </c>
      <c r="F330" s="117">
        <v>1.5</v>
      </c>
      <c r="G330" s="115">
        <v>60.0</v>
      </c>
      <c r="H330" s="88">
        <f t="shared" si="2"/>
        <v>90</v>
      </c>
      <c r="I330" s="89"/>
      <c r="J330" s="6"/>
    </row>
    <row r="331">
      <c r="E331" s="117" t="s">
        <v>274</v>
      </c>
      <c r="F331" s="117">
        <v>1.0</v>
      </c>
      <c r="G331" s="115">
        <v>250.0</v>
      </c>
      <c r="H331" s="88">
        <f t="shared" si="2"/>
        <v>250</v>
      </c>
      <c r="I331" s="89"/>
      <c r="J331" s="6"/>
    </row>
    <row r="332">
      <c r="E332" s="117" t="s">
        <v>217</v>
      </c>
      <c r="F332" s="117">
        <v>1.0</v>
      </c>
      <c r="G332" s="115">
        <v>250.0</v>
      </c>
      <c r="H332" s="88">
        <f t="shared" si="2"/>
        <v>250</v>
      </c>
      <c r="I332" s="89"/>
      <c r="J332" s="6"/>
    </row>
    <row r="333">
      <c r="E333" s="117" t="s">
        <v>254</v>
      </c>
      <c r="F333" s="117">
        <v>1.0</v>
      </c>
      <c r="G333" s="115">
        <v>1700.0</v>
      </c>
      <c r="H333" s="114">
        <f t="shared" si="2"/>
        <v>1700</v>
      </c>
      <c r="I333" s="118">
        <v>5.0</v>
      </c>
      <c r="J333" s="119">
        <v>2800.0</v>
      </c>
    </row>
    <row r="334">
      <c r="E334" s="117" t="s">
        <v>275</v>
      </c>
      <c r="F334" s="117">
        <v>3.0</v>
      </c>
      <c r="G334" s="115">
        <v>250.0</v>
      </c>
      <c r="H334" s="88">
        <f t="shared" si="2"/>
        <v>750</v>
      </c>
      <c r="I334" s="89"/>
      <c r="J334" s="6"/>
    </row>
    <row r="335">
      <c r="E335" s="117" t="s">
        <v>207</v>
      </c>
      <c r="F335" s="117">
        <v>3.2</v>
      </c>
      <c r="G335" s="115">
        <v>1350.0</v>
      </c>
      <c r="H335" s="88">
        <f t="shared" si="2"/>
        <v>4320</v>
      </c>
      <c r="I335" s="89"/>
      <c r="J335" s="6"/>
    </row>
    <row r="336">
      <c r="E336" s="117" t="s">
        <v>276</v>
      </c>
      <c r="F336" s="117">
        <v>1.0</v>
      </c>
      <c r="G336" s="115">
        <v>750.0</v>
      </c>
      <c r="H336" s="88">
        <f t="shared" si="2"/>
        <v>750</v>
      </c>
      <c r="I336" s="89"/>
      <c r="J336" s="6"/>
    </row>
    <row r="337">
      <c r="E337" s="117" t="s">
        <v>135</v>
      </c>
      <c r="F337" s="117">
        <v>4.0</v>
      </c>
      <c r="G337" s="115">
        <v>100.0</v>
      </c>
      <c r="H337" s="88">
        <f t="shared" si="2"/>
        <v>400</v>
      </c>
      <c r="I337" s="89"/>
      <c r="J337" s="6"/>
    </row>
    <row r="338">
      <c r="E338" s="117" t="s">
        <v>277</v>
      </c>
      <c r="F338" s="117">
        <v>2.0</v>
      </c>
      <c r="G338" s="115">
        <v>200.0</v>
      </c>
      <c r="H338" s="88">
        <f t="shared" si="2"/>
        <v>400</v>
      </c>
      <c r="I338" s="89"/>
      <c r="J338" s="6"/>
    </row>
    <row r="339">
      <c r="E339" s="117" t="s">
        <v>255</v>
      </c>
      <c r="F339" s="117">
        <v>5.0</v>
      </c>
      <c r="G339" s="115">
        <v>30.0</v>
      </c>
      <c r="H339" s="88">
        <f t="shared" si="2"/>
        <v>150</v>
      </c>
      <c r="I339" s="89"/>
      <c r="J339" s="6"/>
    </row>
    <row r="340">
      <c r="E340" s="117" t="s">
        <v>141</v>
      </c>
      <c r="F340" s="117">
        <v>1.0</v>
      </c>
      <c r="G340" s="115">
        <v>160.0</v>
      </c>
      <c r="H340" s="88">
        <f t="shared" si="2"/>
        <v>160</v>
      </c>
      <c r="I340" s="89"/>
      <c r="J340" s="6"/>
    </row>
    <row r="341">
      <c r="E341" s="117" t="s">
        <v>142</v>
      </c>
      <c r="F341" s="117">
        <v>1.5</v>
      </c>
      <c r="G341" s="115">
        <v>140.0</v>
      </c>
      <c r="H341" s="88">
        <f t="shared" si="2"/>
        <v>210</v>
      </c>
      <c r="I341" s="89"/>
      <c r="J341" s="6"/>
    </row>
    <row r="342">
      <c r="E342" s="117" t="s">
        <v>142</v>
      </c>
      <c r="F342" s="117">
        <v>5.0</v>
      </c>
      <c r="G342" s="115">
        <v>70.0</v>
      </c>
      <c r="H342" s="88">
        <f t="shared" si="2"/>
        <v>350</v>
      </c>
      <c r="I342" s="89"/>
      <c r="J342" s="6"/>
    </row>
    <row r="343">
      <c r="E343" s="117" t="s">
        <v>121</v>
      </c>
      <c r="F343" s="117">
        <v>10.0</v>
      </c>
      <c r="G343" s="115">
        <v>120.0</v>
      </c>
      <c r="H343" s="88">
        <f t="shared" si="2"/>
        <v>1200</v>
      </c>
      <c r="I343" s="89"/>
      <c r="J343" s="6"/>
    </row>
    <row r="344">
      <c r="E344" s="117" t="s">
        <v>278</v>
      </c>
      <c r="F344" s="117">
        <v>5.0</v>
      </c>
      <c r="G344" s="115">
        <v>300.0</v>
      </c>
      <c r="H344" s="88">
        <f t="shared" si="2"/>
        <v>1500</v>
      </c>
      <c r="I344" s="89"/>
      <c r="J344" s="6"/>
    </row>
    <row r="345">
      <c r="E345" s="117" t="s">
        <v>279</v>
      </c>
      <c r="F345" s="117">
        <v>135.0</v>
      </c>
      <c r="G345" s="115">
        <v>60.0</v>
      </c>
      <c r="H345" s="88">
        <f t="shared" si="2"/>
        <v>8100</v>
      </c>
      <c r="I345" s="89"/>
      <c r="J345" s="6"/>
    </row>
    <row r="346">
      <c r="E346" s="117" t="s">
        <v>280</v>
      </c>
      <c r="F346" s="117">
        <v>1.0</v>
      </c>
      <c r="G346" s="115">
        <v>500.0</v>
      </c>
      <c r="H346" s="120">
        <f t="shared" si="2"/>
        <v>500</v>
      </c>
      <c r="I346" s="89"/>
      <c r="J346" s="6"/>
    </row>
    <row r="347">
      <c r="E347" s="117" t="s">
        <v>281</v>
      </c>
      <c r="F347" s="117">
        <v>1.0</v>
      </c>
      <c r="G347" s="115">
        <v>400.0</v>
      </c>
      <c r="H347" s="120">
        <f t="shared" si="2"/>
        <v>400</v>
      </c>
      <c r="I347" s="89"/>
      <c r="J347" s="6"/>
    </row>
    <row r="348">
      <c r="E348" s="117" t="s">
        <v>282</v>
      </c>
      <c r="F348" s="117">
        <v>1.0</v>
      </c>
      <c r="G348" s="115">
        <v>750.0</v>
      </c>
      <c r="H348" s="120">
        <f t="shared" si="2"/>
        <v>750</v>
      </c>
      <c r="I348" s="89"/>
      <c r="J348" s="6"/>
    </row>
    <row r="349">
      <c r="E349" s="117" t="s">
        <v>283</v>
      </c>
      <c r="F349" s="117">
        <v>2.0</v>
      </c>
      <c r="G349" s="115">
        <v>1000.0</v>
      </c>
      <c r="H349" s="120">
        <f t="shared" si="2"/>
        <v>2000</v>
      </c>
      <c r="I349" s="89"/>
      <c r="J349" s="6"/>
    </row>
    <row r="350">
      <c r="E350" s="117" t="s">
        <v>284</v>
      </c>
      <c r="F350" s="117">
        <v>2.0</v>
      </c>
      <c r="G350" s="115">
        <v>1000.0</v>
      </c>
      <c r="H350" s="120">
        <f t="shared" si="2"/>
        <v>2000</v>
      </c>
      <c r="I350" s="89"/>
      <c r="J350" s="6"/>
    </row>
    <row r="351">
      <c r="E351" s="117" t="s">
        <v>285</v>
      </c>
      <c r="F351" s="117">
        <v>4.0</v>
      </c>
      <c r="G351" s="115">
        <v>1350.0</v>
      </c>
      <c r="H351" s="120">
        <f t="shared" si="2"/>
        <v>5400</v>
      </c>
      <c r="I351" s="89"/>
      <c r="J351" s="6"/>
    </row>
    <row r="352">
      <c r="E352" s="117" t="s">
        <v>140</v>
      </c>
      <c r="F352" s="117">
        <v>1.0</v>
      </c>
      <c r="G352" s="115">
        <v>600.0</v>
      </c>
      <c r="H352" s="120">
        <f t="shared" si="2"/>
        <v>600</v>
      </c>
      <c r="I352" s="89"/>
      <c r="J352" s="6"/>
    </row>
    <row r="353">
      <c r="E353" s="117" t="s">
        <v>286</v>
      </c>
      <c r="F353" s="117">
        <v>1.0</v>
      </c>
      <c r="G353" s="115">
        <v>700.0</v>
      </c>
      <c r="H353" s="120">
        <f t="shared" si="2"/>
        <v>700</v>
      </c>
      <c r="I353" s="89"/>
      <c r="J353" s="6"/>
    </row>
    <row r="354">
      <c r="E354" s="117" t="s">
        <v>287</v>
      </c>
      <c r="F354" s="117">
        <v>1.0</v>
      </c>
      <c r="G354" s="115">
        <v>700.0</v>
      </c>
      <c r="H354" s="120">
        <f t="shared" si="2"/>
        <v>700</v>
      </c>
      <c r="I354" s="89"/>
      <c r="J354" s="6"/>
    </row>
    <row r="355">
      <c r="E355" s="121" t="s">
        <v>288</v>
      </c>
      <c r="F355" s="122">
        <v>1.0</v>
      </c>
      <c r="G355" s="123">
        <v>520.0</v>
      </c>
      <c r="H355" s="123">
        <f t="shared" si="2"/>
        <v>520</v>
      </c>
      <c r="I355" s="89"/>
      <c r="J355" s="6"/>
    </row>
    <row r="356">
      <c r="E356" s="117" t="s">
        <v>190</v>
      </c>
      <c r="F356" s="117">
        <v>135.0</v>
      </c>
      <c r="G356" s="115">
        <v>60.0</v>
      </c>
      <c r="H356" s="124">
        <v>45952.0</v>
      </c>
      <c r="I356" s="89"/>
      <c r="J356" s="6"/>
    </row>
    <row r="357">
      <c r="E357" s="117" t="s">
        <v>289</v>
      </c>
      <c r="F357" s="117">
        <v>5.14</v>
      </c>
      <c r="G357" s="115">
        <v>1750.0</v>
      </c>
      <c r="H357" s="120">
        <f t="shared" ref="H357:H406" si="3">F357*G357</f>
        <v>8995</v>
      </c>
      <c r="I357" s="89"/>
      <c r="J357" s="6"/>
    </row>
    <row r="358">
      <c r="E358" s="117" t="s">
        <v>290</v>
      </c>
      <c r="F358" s="117">
        <v>1.0</v>
      </c>
      <c r="G358" s="115">
        <v>3380.0</v>
      </c>
      <c r="H358" s="120">
        <f t="shared" si="3"/>
        <v>3380</v>
      </c>
      <c r="I358" s="89"/>
      <c r="J358" s="6"/>
    </row>
    <row r="359">
      <c r="E359" s="117" t="s">
        <v>291</v>
      </c>
      <c r="F359" s="117">
        <v>1.0</v>
      </c>
      <c r="G359" s="115">
        <v>500.0</v>
      </c>
      <c r="H359" s="120">
        <f t="shared" si="3"/>
        <v>500</v>
      </c>
      <c r="I359" s="89"/>
      <c r="J359" s="6"/>
    </row>
    <row r="360">
      <c r="E360" s="117" t="s">
        <v>190</v>
      </c>
      <c r="F360" s="117">
        <v>135.0</v>
      </c>
      <c r="G360" s="115">
        <v>60.0</v>
      </c>
      <c r="H360" s="120">
        <f t="shared" si="3"/>
        <v>8100</v>
      </c>
      <c r="I360" s="112">
        <v>45955.0</v>
      </c>
      <c r="J360" s="6"/>
    </row>
    <row r="361">
      <c r="E361" s="117" t="s">
        <v>211</v>
      </c>
      <c r="F361" s="117">
        <v>1.0</v>
      </c>
      <c r="G361" s="115">
        <v>1000.0</v>
      </c>
      <c r="H361" s="120">
        <f t="shared" si="3"/>
        <v>1000</v>
      </c>
      <c r="I361" s="89"/>
      <c r="J361" s="6"/>
    </row>
    <row r="362">
      <c r="E362" s="117" t="s">
        <v>292</v>
      </c>
      <c r="F362" s="117">
        <v>1.0</v>
      </c>
      <c r="G362" s="115">
        <v>200.0</v>
      </c>
      <c r="H362" s="120">
        <f t="shared" si="3"/>
        <v>200</v>
      </c>
      <c r="I362" s="89"/>
      <c r="J362" s="6"/>
    </row>
    <row r="363">
      <c r="E363" s="117" t="s">
        <v>250</v>
      </c>
      <c r="F363" s="117">
        <v>1.0</v>
      </c>
      <c r="G363" s="115">
        <v>800.0</v>
      </c>
      <c r="H363" s="120">
        <f t="shared" si="3"/>
        <v>800</v>
      </c>
      <c r="I363" s="89"/>
      <c r="J363" s="6"/>
    </row>
    <row r="364">
      <c r="E364" s="117" t="s">
        <v>281</v>
      </c>
      <c r="F364" s="117">
        <v>1.0</v>
      </c>
      <c r="G364" s="115">
        <v>400.0</v>
      </c>
      <c r="H364" s="120">
        <f t="shared" si="3"/>
        <v>400</v>
      </c>
      <c r="I364" s="89"/>
      <c r="J364" s="6"/>
    </row>
    <row r="365">
      <c r="E365" s="117" t="s">
        <v>253</v>
      </c>
      <c r="F365" s="117">
        <v>2.0</v>
      </c>
      <c r="G365" s="115">
        <v>282.0</v>
      </c>
      <c r="H365" s="120">
        <f t="shared" si="3"/>
        <v>564</v>
      </c>
      <c r="I365" s="89"/>
      <c r="J365" s="6"/>
    </row>
    <row r="366">
      <c r="E366" s="117" t="s">
        <v>293</v>
      </c>
      <c r="F366" s="117">
        <v>7.0</v>
      </c>
      <c r="G366" s="115">
        <v>2300.0</v>
      </c>
      <c r="H366" s="120">
        <f t="shared" si="3"/>
        <v>16100</v>
      </c>
      <c r="I366" s="89"/>
      <c r="J366" s="6"/>
    </row>
    <row r="367">
      <c r="E367" s="125"/>
      <c r="F367" s="125"/>
      <c r="G367" s="126"/>
      <c r="H367" s="120">
        <f t="shared" si="3"/>
        <v>0</v>
      </c>
      <c r="I367" s="89"/>
      <c r="J367" s="6"/>
    </row>
    <row r="368">
      <c r="E368" s="125"/>
      <c r="F368" s="125"/>
      <c r="G368" s="126"/>
      <c r="H368" s="120">
        <f t="shared" si="3"/>
        <v>0</v>
      </c>
      <c r="I368" s="89"/>
      <c r="J368" s="6"/>
    </row>
    <row r="369">
      <c r="E369" s="117" t="s">
        <v>294</v>
      </c>
      <c r="F369" s="117">
        <v>1.0</v>
      </c>
      <c r="G369" s="115">
        <v>2435.0</v>
      </c>
      <c r="H369" s="120">
        <f t="shared" si="3"/>
        <v>2435</v>
      </c>
      <c r="I369" s="89"/>
      <c r="J369" s="6"/>
    </row>
    <row r="370">
      <c r="E370" s="127" t="s">
        <v>295</v>
      </c>
      <c r="F370" s="127">
        <v>1.0</v>
      </c>
      <c r="G370" s="128">
        <v>17000.0</v>
      </c>
      <c r="H370" s="129">
        <f t="shared" si="3"/>
        <v>17000</v>
      </c>
      <c r="I370" s="89"/>
      <c r="J370" s="6"/>
    </row>
    <row r="371">
      <c r="E371" s="86" t="s">
        <v>296</v>
      </c>
      <c r="F371" s="86">
        <v>2.5</v>
      </c>
      <c r="G371" s="87">
        <v>200.0</v>
      </c>
      <c r="H371" s="88">
        <f t="shared" si="3"/>
        <v>500</v>
      </c>
      <c r="I371" s="89"/>
      <c r="J371" s="6"/>
    </row>
    <row r="372">
      <c r="E372" s="86" t="s">
        <v>297</v>
      </c>
      <c r="F372" s="86">
        <v>50.0</v>
      </c>
      <c r="G372" s="87">
        <v>33.0</v>
      </c>
      <c r="H372" s="88">
        <f t="shared" si="3"/>
        <v>1650</v>
      </c>
      <c r="I372" s="130">
        <v>45932.0</v>
      </c>
      <c r="J372" s="6"/>
    </row>
    <row r="373">
      <c r="E373" s="86" t="s">
        <v>298</v>
      </c>
      <c r="F373" s="86">
        <v>100.0</v>
      </c>
      <c r="G373" s="87">
        <v>27.0</v>
      </c>
      <c r="H373" s="88">
        <f t="shared" si="3"/>
        <v>2700</v>
      </c>
      <c r="I373" s="131"/>
      <c r="J373" s="6"/>
    </row>
    <row r="374">
      <c r="E374" s="86" t="s">
        <v>299</v>
      </c>
      <c r="F374" s="86">
        <v>55.0</v>
      </c>
      <c r="G374" s="87">
        <v>21.0</v>
      </c>
      <c r="H374" s="88">
        <f t="shared" si="3"/>
        <v>1155</v>
      </c>
      <c r="I374" s="131"/>
      <c r="J374" s="6"/>
    </row>
    <row r="375">
      <c r="E375" s="86" t="s">
        <v>300</v>
      </c>
      <c r="F375" s="86">
        <v>100.0</v>
      </c>
      <c r="G375" s="87">
        <v>20.0</v>
      </c>
      <c r="H375" s="88">
        <f t="shared" si="3"/>
        <v>2000</v>
      </c>
      <c r="I375" s="131"/>
      <c r="J375" s="6"/>
    </row>
    <row r="376">
      <c r="E376" s="86" t="s">
        <v>301</v>
      </c>
      <c r="F376" s="86">
        <v>200.0</v>
      </c>
      <c r="G376" s="87">
        <v>9.5</v>
      </c>
      <c r="H376" s="88">
        <f t="shared" si="3"/>
        <v>1900</v>
      </c>
      <c r="I376" s="131"/>
      <c r="J376" s="6"/>
    </row>
    <row r="377">
      <c r="E377" s="86" t="s">
        <v>177</v>
      </c>
      <c r="F377" s="86">
        <v>1.0</v>
      </c>
      <c r="G377" s="87">
        <v>1000.0</v>
      </c>
      <c r="H377" s="88">
        <f t="shared" si="3"/>
        <v>1000</v>
      </c>
      <c r="I377" s="46"/>
      <c r="J377" s="6"/>
    </row>
    <row r="378">
      <c r="E378" s="90" t="s">
        <v>302</v>
      </c>
      <c r="F378" s="90">
        <v>1.0</v>
      </c>
      <c r="G378" s="11">
        <v>2320.0</v>
      </c>
      <c r="H378" s="88">
        <f t="shared" si="3"/>
        <v>2320</v>
      </c>
      <c r="I378" s="89"/>
      <c r="J378" s="6"/>
    </row>
    <row r="379">
      <c r="E379" s="90" t="s">
        <v>303</v>
      </c>
      <c r="F379" s="90">
        <v>1.0</v>
      </c>
      <c r="G379" s="11">
        <v>1000.0</v>
      </c>
      <c r="H379" s="88">
        <f t="shared" si="3"/>
        <v>1000</v>
      </c>
      <c r="I379" s="89"/>
      <c r="J379" s="6"/>
    </row>
    <row r="380">
      <c r="E380" s="86" t="s">
        <v>304</v>
      </c>
      <c r="F380" s="86">
        <v>86.0</v>
      </c>
      <c r="G380" s="87">
        <v>25.0</v>
      </c>
      <c r="H380" s="88">
        <f t="shared" si="3"/>
        <v>2150</v>
      </c>
      <c r="I380" s="89"/>
      <c r="J380" s="6"/>
    </row>
    <row r="381">
      <c r="E381" s="90" t="s">
        <v>305</v>
      </c>
      <c r="F381" s="86">
        <v>27.0</v>
      </c>
      <c r="G381" s="11">
        <v>61.0</v>
      </c>
      <c r="H381" s="88">
        <f t="shared" si="3"/>
        <v>1647</v>
      </c>
      <c r="I381" s="89"/>
      <c r="J381" s="6"/>
    </row>
    <row r="382">
      <c r="E382" s="90" t="s">
        <v>306</v>
      </c>
      <c r="F382" s="86">
        <v>54.0</v>
      </c>
      <c r="G382" s="91">
        <v>32.0</v>
      </c>
      <c r="H382" s="88">
        <f t="shared" si="3"/>
        <v>1728</v>
      </c>
      <c r="I382" s="89"/>
      <c r="J382" s="6"/>
    </row>
    <row r="383">
      <c r="E383" s="90" t="s">
        <v>307</v>
      </c>
      <c r="F383" s="86">
        <v>26.0</v>
      </c>
      <c r="G383" s="91">
        <v>21.0</v>
      </c>
      <c r="H383" s="88">
        <f t="shared" si="3"/>
        <v>546</v>
      </c>
      <c r="I383" s="89"/>
      <c r="J383" s="6"/>
    </row>
    <row r="384">
      <c r="E384" s="90" t="s">
        <v>308</v>
      </c>
      <c r="F384" s="86">
        <v>4.0</v>
      </c>
      <c r="G384" s="91">
        <v>250.0</v>
      </c>
      <c r="H384" s="88">
        <f t="shared" si="3"/>
        <v>1000</v>
      </c>
      <c r="I384" s="89"/>
      <c r="J384" s="6"/>
    </row>
    <row r="385">
      <c r="E385" s="90" t="s">
        <v>309</v>
      </c>
      <c r="F385" s="90">
        <v>300.0</v>
      </c>
      <c r="G385" s="91">
        <v>1.0</v>
      </c>
      <c r="H385" s="88">
        <f t="shared" si="3"/>
        <v>300</v>
      </c>
      <c r="I385" s="89"/>
      <c r="J385" s="6"/>
    </row>
    <row r="386">
      <c r="E386" s="90" t="s">
        <v>310</v>
      </c>
      <c r="F386" s="90">
        <v>60.0</v>
      </c>
      <c r="G386" s="91">
        <v>10.0</v>
      </c>
      <c r="H386" s="88">
        <f t="shared" si="3"/>
        <v>600</v>
      </c>
      <c r="I386" s="89"/>
      <c r="J386" s="6"/>
    </row>
    <row r="387">
      <c r="E387" s="90" t="s">
        <v>311</v>
      </c>
      <c r="F387" s="86">
        <v>20.0</v>
      </c>
      <c r="G387" s="91">
        <v>41.0</v>
      </c>
      <c r="H387" s="88">
        <f t="shared" si="3"/>
        <v>820</v>
      </c>
      <c r="I387" s="89"/>
      <c r="J387" s="6"/>
    </row>
    <row r="388">
      <c r="E388" s="90" t="s">
        <v>312</v>
      </c>
      <c r="F388" s="86">
        <v>10.0</v>
      </c>
      <c r="G388" s="91">
        <v>130.0</v>
      </c>
      <c r="H388" s="88">
        <f t="shared" si="3"/>
        <v>1300</v>
      </c>
      <c r="I388" s="89"/>
      <c r="J388" s="6"/>
    </row>
    <row r="389">
      <c r="E389" s="90" t="s">
        <v>313</v>
      </c>
      <c r="F389" s="86">
        <v>26.0</v>
      </c>
      <c r="G389" s="91">
        <v>70.0</v>
      </c>
      <c r="H389" s="88">
        <f t="shared" si="3"/>
        <v>1820</v>
      </c>
      <c r="I389" s="89"/>
      <c r="J389" s="6"/>
    </row>
    <row r="390">
      <c r="E390" s="90" t="s">
        <v>314</v>
      </c>
      <c r="F390" s="86">
        <v>300.0</v>
      </c>
      <c r="G390" s="91">
        <v>10.5</v>
      </c>
      <c r="H390" s="88">
        <f t="shared" si="3"/>
        <v>3150</v>
      </c>
      <c r="I390" s="89"/>
      <c r="J390" s="6"/>
    </row>
    <row r="391">
      <c r="E391" s="90" t="s">
        <v>301</v>
      </c>
      <c r="F391" s="86">
        <v>50.0</v>
      </c>
      <c r="G391" s="91">
        <v>9.5</v>
      </c>
      <c r="H391" s="88">
        <f t="shared" si="3"/>
        <v>475</v>
      </c>
      <c r="I391" s="89"/>
      <c r="J391" s="6"/>
    </row>
    <row r="392">
      <c r="E392" s="90" t="s">
        <v>315</v>
      </c>
      <c r="F392" s="86">
        <v>300.0</v>
      </c>
      <c r="G392" s="91">
        <v>13.7</v>
      </c>
      <c r="H392" s="88">
        <f t="shared" si="3"/>
        <v>4110</v>
      </c>
      <c r="I392" s="89"/>
      <c r="J392" s="6"/>
    </row>
    <row r="393">
      <c r="E393" s="90" t="s">
        <v>316</v>
      </c>
      <c r="F393" s="86">
        <v>0.0</v>
      </c>
      <c r="G393" s="91">
        <v>20.0</v>
      </c>
      <c r="H393" s="88">
        <f t="shared" si="3"/>
        <v>0</v>
      </c>
      <c r="I393" s="89"/>
      <c r="J393" s="6"/>
    </row>
    <row r="394">
      <c r="E394" s="90" t="s">
        <v>317</v>
      </c>
      <c r="F394" s="90">
        <v>50.0</v>
      </c>
      <c r="G394" s="91">
        <v>21.0</v>
      </c>
      <c r="H394" s="88">
        <f t="shared" si="3"/>
        <v>1050</v>
      </c>
      <c r="I394" s="89"/>
      <c r="J394" s="6"/>
    </row>
    <row r="395">
      <c r="E395" s="90" t="s">
        <v>318</v>
      </c>
      <c r="F395" s="86">
        <v>50.0</v>
      </c>
      <c r="G395" s="91">
        <v>27.0</v>
      </c>
      <c r="H395" s="88">
        <f t="shared" si="3"/>
        <v>1350</v>
      </c>
      <c r="I395" s="89"/>
      <c r="J395" s="6"/>
    </row>
    <row r="396">
      <c r="E396" s="90" t="s">
        <v>319</v>
      </c>
      <c r="F396" s="86">
        <v>50.0</v>
      </c>
      <c r="G396" s="91">
        <v>33.0</v>
      </c>
      <c r="H396" s="88">
        <f t="shared" si="3"/>
        <v>1650</v>
      </c>
      <c r="I396" s="89"/>
      <c r="J396" s="6"/>
    </row>
    <row r="397">
      <c r="E397" s="90" t="s">
        <v>320</v>
      </c>
      <c r="F397" s="86">
        <v>70.0</v>
      </c>
      <c r="G397" s="87">
        <v>11.5</v>
      </c>
      <c r="H397" s="88">
        <f t="shared" si="3"/>
        <v>805</v>
      </c>
      <c r="I397" s="89"/>
      <c r="J397" s="6"/>
    </row>
    <row r="398">
      <c r="E398" s="90" t="s">
        <v>123</v>
      </c>
      <c r="F398" s="86">
        <v>4.0</v>
      </c>
      <c r="G398" s="12">
        <v>1450.0</v>
      </c>
      <c r="H398" s="88">
        <f t="shared" si="3"/>
        <v>5800</v>
      </c>
      <c r="I398" s="89"/>
      <c r="J398" s="6"/>
    </row>
    <row r="399">
      <c r="E399" s="90" t="s">
        <v>123</v>
      </c>
      <c r="F399" s="90">
        <v>1.0</v>
      </c>
      <c r="G399" s="12">
        <v>1400.0</v>
      </c>
      <c r="H399" s="88">
        <f t="shared" si="3"/>
        <v>1400</v>
      </c>
      <c r="I399" s="89"/>
      <c r="J399" s="6"/>
    </row>
    <row r="400">
      <c r="E400" s="90" t="s">
        <v>123</v>
      </c>
      <c r="F400" s="90">
        <v>1.0</v>
      </c>
      <c r="G400" s="11">
        <v>1500.0</v>
      </c>
      <c r="H400" s="88">
        <f t="shared" si="3"/>
        <v>1500</v>
      </c>
      <c r="I400" s="89"/>
      <c r="J400" s="6"/>
    </row>
    <row r="401">
      <c r="E401" s="90" t="s">
        <v>321</v>
      </c>
      <c r="F401" s="90">
        <v>1.0</v>
      </c>
      <c r="G401" s="11">
        <v>1800.0</v>
      </c>
      <c r="H401" s="88">
        <f t="shared" si="3"/>
        <v>1800</v>
      </c>
      <c r="I401" s="132"/>
      <c r="J401" s="6"/>
    </row>
    <row r="402">
      <c r="E402" s="90" t="s">
        <v>322</v>
      </c>
      <c r="F402" s="90">
        <v>1.0</v>
      </c>
      <c r="G402" s="11">
        <v>2200.0</v>
      </c>
      <c r="H402" s="88">
        <f t="shared" si="3"/>
        <v>2200</v>
      </c>
      <c r="I402" s="132"/>
      <c r="J402" s="6"/>
    </row>
    <row r="403">
      <c r="E403" s="90" t="s">
        <v>323</v>
      </c>
      <c r="F403" s="90">
        <v>1.0</v>
      </c>
      <c r="G403" s="11">
        <v>350.0</v>
      </c>
      <c r="H403" s="88">
        <f t="shared" si="3"/>
        <v>350</v>
      </c>
      <c r="I403" s="132"/>
      <c r="J403" s="6"/>
    </row>
    <row r="404">
      <c r="E404" s="90" t="s">
        <v>324</v>
      </c>
      <c r="F404" s="90">
        <v>2.0</v>
      </c>
      <c r="G404" s="11">
        <v>400.0</v>
      </c>
      <c r="H404" s="88">
        <f t="shared" si="3"/>
        <v>800</v>
      </c>
      <c r="I404" s="132"/>
      <c r="J404" s="6"/>
    </row>
    <row r="405">
      <c r="E405" s="125" t="s">
        <v>325</v>
      </c>
      <c r="F405" s="125">
        <v>1.0</v>
      </c>
      <c r="G405" s="115">
        <v>10000.0</v>
      </c>
      <c r="H405" s="120">
        <f t="shared" si="3"/>
        <v>10000</v>
      </c>
      <c r="I405" s="132" t="s">
        <v>326</v>
      </c>
      <c r="J405" s="6"/>
    </row>
    <row r="406">
      <c r="E406" s="133" t="s">
        <v>327</v>
      </c>
      <c r="F406" s="134">
        <v>1.0</v>
      </c>
      <c r="G406" s="135">
        <v>2500.0</v>
      </c>
      <c r="H406" s="136">
        <f t="shared" si="3"/>
        <v>2500</v>
      </c>
      <c r="I406" s="89"/>
      <c r="J406" s="6"/>
    </row>
    <row r="407">
      <c r="E407" s="137"/>
      <c r="F407" s="138"/>
      <c r="G407" s="139"/>
      <c r="H407" s="140">
        <f>SUM(H36:H406)</f>
        <v>719941</v>
      </c>
      <c r="I407" s="89"/>
      <c r="J407" s="6"/>
    </row>
  </sheetData>
  <mergeCells count="1">
    <mergeCell ref="I372:I37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2" max="6" width="25.38"/>
    <col customWidth="1" min="7" max="7" width="25.13"/>
    <col customWidth="1" min="8" max="8" width="30.63"/>
    <col customWidth="1" min="9" max="9" width="25.13"/>
    <col customWidth="1" min="10" max="14" width="25.38"/>
    <col customWidth="1" min="15" max="15" width="25.13"/>
    <col customWidth="1" min="16" max="16" width="26.88"/>
    <col customWidth="1" min="17" max="17" width="25.38"/>
    <col customWidth="1" min="18" max="18" width="25.13"/>
    <col customWidth="1" min="19" max="19" width="165.13"/>
    <col customWidth="1" min="21" max="22" width="25.63"/>
    <col customWidth="1" min="23" max="23" width="26.63"/>
  </cols>
  <sheetData>
    <row r="1">
      <c r="A1" s="30"/>
      <c r="B1" s="2" t="s">
        <v>0</v>
      </c>
      <c r="C1" s="141" t="s">
        <v>328</v>
      </c>
      <c r="D1" s="141" t="s">
        <v>329</v>
      </c>
      <c r="E1" s="141" t="s">
        <v>330</v>
      </c>
      <c r="F1" s="141" t="s">
        <v>331</v>
      </c>
      <c r="G1" s="141" t="s">
        <v>332</v>
      </c>
      <c r="H1" s="141" t="s">
        <v>333</v>
      </c>
      <c r="I1" s="141" t="s">
        <v>334</v>
      </c>
      <c r="J1" s="141" t="s">
        <v>335</v>
      </c>
      <c r="K1" s="141" t="s">
        <v>336</v>
      </c>
      <c r="L1" s="141" t="s">
        <v>337</v>
      </c>
      <c r="M1" s="141" t="s">
        <v>338</v>
      </c>
      <c r="N1" s="141" t="s">
        <v>339</v>
      </c>
      <c r="O1" s="141" t="s">
        <v>340</v>
      </c>
      <c r="P1" s="141" t="s">
        <v>341</v>
      </c>
      <c r="Q1" s="141" t="s">
        <v>342</v>
      </c>
      <c r="R1" s="142"/>
      <c r="S1" s="137"/>
    </row>
    <row r="2">
      <c r="A2" s="9" t="s">
        <v>11</v>
      </c>
      <c r="B2" s="10">
        <v>45931.0</v>
      </c>
      <c r="C2" s="143">
        <v>1.0</v>
      </c>
      <c r="D2" s="143">
        <v>0.5</v>
      </c>
      <c r="E2" s="143">
        <v>1.0</v>
      </c>
      <c r="F2" s="143">
        <v>1.0</v>
      </c>
      <c r="G2" s="143">
        <v>0.0</v>
      </c>
      <c r="H2" s="143">
        <v>1.0</v>
      </c>
      <c r="I2" s="143">
        <v>1.0</v>
      </c>
      <c r="J2" s="143">
        <v>0.5</v>
      </c>
      <c r="K2" s="143">
        <v>1.0</v>
      </c>
      <c r="L2" s="144">
        <v>1.0</v>
      </c>
      <c r="M2" s="143">
        <v>0.0</v>
      </c>
      <c r="N2" s="143">
        <v>0.0</v>
      </c>
      <c r="O2" s="143">
        <v>0.0</v>
      </c>
      <c r="P2" s="143">
        <v>0.0</v>
      </c>
      <c r="Q2" s="143">
        <v>0.0</v>
      </c>
      <c r="R2" s="145"/>
      <c r="S2" s="145"/>
    </row>
    <row r="3">
      <c r="A3" s="9" t="s">
        <v>12</v>
      </c>
      <c r="B3" s="10">
        <v>45932.0</v>
      </c>
      <c r="C3" s="146">
        <v>0.5</v>
      </c>
      <c r="D3" s="146">
        <v>1.0</v>
      </c>
      <c r="E3" s="146">
        <v>0.0</v>
      </c>
      <c r="F3" s="146">
        <v>1.0</v>
      </c>
      <c r="G3" s="147">
        <v>1.0</v>
      </c>
      <c r="H3" s="146">
        <v>1.0</v>
      </c>
      <c r="I3" s="146">
        <v>1.0</v>
      </c>
      <c r="J3" s="146">
        <v>0.5</v>
      </c>
      <c r="K3" s="146">
        <v>1.0</v>
      </c>
      <c r="L3" s="148">
        <v>0.0</v>
      </c>
      <c r="M3" s="147">
        <v>1.0</v>
      </c>
      <c r="N3" s="146">
        <v>0.0</v>
      </c>
      <c r="O3" s="146">
        <v>0.0</v>
      </c>
      <c r="P3" s="146">
        <v>0.0</v>
      </c>
      <c r="Q3" s="146">
        <v>0.0</v>
      </c>
      <c r="R3" s="149"/>
      <c r="S3" s="150"/>
    </row>
    <row r="4">
      <c r="A4" s="21" t="s">
        <v>17</v>
      </c>
      <c r="B4" s="22">
        <v>45933.0</v>
      </c>
      <c r="C4" s="151">
        <v>2.0</v>
      </c>
      <c r="D4" s="151">
        <v>2.0</v>
      </c>
      <c r="E4" s="151">
        <v>0.0</v>
      </c>
      <c r="F4" s="151">
        <v>2.0</v>
      </c>
      <c r="G4" s="151">
        <v>2.0</v>
      </c>
      <c r="H4" s="151">
        <v>2.0</v>
      </c>
      <c r="I4" s="152">
        <v>1.0</v>
      </c>
      <c r="J4" s="151">
        <v>0.0</v>
      </c>
      <c r="K4" s="151">
        <v>2.0</v>
      </c>
      <c r="L4" s="153">
        <v>2.0</v>
      </c>
      <c r="M4" s="151">
        <v>0.0</v>
      </c>
      <c r="N4" s="151">
        <v>0.0</v>
      </c>
      <c r="O4" s="143">
        <v>0.0</v>
      </c>
      <c r="P4" s="143">
        <v>0.0</v>
      </c>
      <c r="Q4" s="143">
        <v>0.0</v>
      </c>
      <c r="R4" s="145"/>
      <c r="S4" s="154"/>
    </row>
    <row r="5">
      <c r="A5" s="9" t="s">
        <v>18</v>
      </c>
      <c r="B5" s="10">
        <v>45934.0</v>
      </c>
      <c r="C5" s="146">
        <v>1.0</v>
      </c>
      <c r="D5" s="146">
        <v>1.0</v>
      </c>
      <c r="E5" s="146">
        <v>0.5</v>
      </c>
      <c r="F5" s="146">
        <v>1.0</v>
      </c>
      <c r="G5" s="152">
        <v>1.0</v>
      </c>
      <c r="H5" s="146">
        <v>1.0</v>
      </c>
      <c r="I5" s="146">
        <v>1.0</v>
      </c>
      <c r="J5" s="146">
        <v>1.0</v>
      </c>
      <c r="K5" s="146">
        <v>1.0</v>
      </c>
      <c r="L5" s="148">
        <v>0.0</v>
      </c>
      <c r="M5" s="146">
        <v>1.0</v>
      </c>
      <c r="N5" s="146">
        <v>0.0</v>
      </c>
      <c r="O5" s="146">
        <v>0.0</v>
      </c>
      <c r="P5" s="146">
        <v>0.0</v>
      </c>
      <c r="Q5" s="146">
        <v>0.0</v>
      </c>
      <c r="R5" s="149"/>
      <c r="S5" s="150"/>
    </row>
    <row r="6">
      <c r="A6" s="9" t="s">
        <v>19</v>
      </c>
      <c r="B6" s="10">
        <v>45935.0</v>
      </c>
      <c r="C6" s="147">
        <v>1.0</v>
      </c>
      <c r="D6" s="155">
        <v>1.0</v>
      </c>
      <c r="E6" s="155">
        <v>1.0</v>
      </c>
      <c r="F6" s="156">
        <v>1.0</v>
      </c>
      <c r="G6" s="155">
        <v>1.0</v>
      </c>
      <c r="H6" s="152">
        <v>1.0</v>
      </c>
      <c r="I6" s="147">
        <v>1.0</v>
      </c>
      <c r="J6" s="147">
        <v>1.0</v>
      </c>
      <c r="K6" s="155">
        <v>1.0</v>
      </c>
      <c r="L6" s="157">
        <v>0.0</v>
      </c>
      <c r="M6" s="155">
        <v>0.0</v>
      </c>
      <c r="N6" s="155">
        <v>0.0</v>
      </c>
      <c r="O6" s="155">
        <v>0.0</v>
      </c>
      <c r="P6" s="155">
        <v>0.0</v>
      </c>
      <c r="Q6" s="155">
        <v>0.0</v>
      </c>
      <c r="R6" s="158"/>
      <c r="S6" s="159" t="s">
        <v>343</v>
      </c>
    </row>
    <row r="7">
      <c r="A7" s="9" t="s">
        <v>22</v>
      </c>
      <c r="B7" s="10">
        <v>45936.0</v>
      </c>
      <c r="C7" s="152">
        <v>2.0</v>
      </c>
      <c r="D7" s="152">
        <v>1.0</v>
      </c>
      <c r="E7" s="146">
        <v>1.0</v>
      </c>
      <c r="F7" s="146">
        <v>1.0</v>
      </c>
      <c r="G7" s="146">
        <v>1.0</v>
      </c>
      <c r="H7" s="146">
        <v>1.0</v>
      </c>
      <c r="I7" s="146">
        <v>1.0</v>
      </c>
      <c r="J7" s="146">
        <v>1.0</v>
      </c>
      <c r="K7" s="146">
        <v>1.0</v>
      </c>
      <c r="L7" s="148">
        <v>0.0</v>
      </c>
      <c r="M7" s="146">
        <v>1.0</v>
      </c>
      <c r="N7" s="146">
        <v>0.0</v>
      </c>
      <c r="O7" s="146">
        <v>0.0</v>
      </c>
      <c r="P7" s="146">
        <v>0.0</v>
      </c>
      <c r="Q7" s="146">
        <v>0.0</v>
      </c>
      <c r="R7" s="149"/>
      <c r="S7" s="150"/>
    </row>
    <row r="8">
      <c r="A8" s="9" t="s">
        <v>23</v>
      </c>
      <c r="B8" s="10">
        <v>45937.0</v>
      </c>
      <c r="C8" s="143">
        <v>1.0</v>
      </c>
      <c r="D8" s="147">
        <v>0.75</v>
      </c>
      <c r="E8" s="160">
        <v>0.0</v>
      </c>
      <c r="F8" s="143">
        <v>1.0</v>
      </c>
      <c r="G8" s="143">
        <v>1.0</v>
      </c>
      <c r="H8" s="143">
        <v>1.0</v>
      </c>
      <c r="I8" s="143">
        <v>1.0</v>
      </c>
      <c r="J8" s="143">
        <v>1.0</v>
      </c>
      <c r="K8" s="152">
        <v>1.0</v>
      </c>
      <c r="L8" s="144">
        <v>1.0</v>
      </c>
      <c r="M8" s="143">
        <v>0.0</v>
      </c>
      <c r="N8" s="143">
        <v>1.0</v>
      </c>
      <c r="O8" s="143">
        <v>0.0</v>
      </c>
      <c r="P8" s="143">
        <v>0.0</v>
      </c>
      <c r="Q8" s="143">
        <v>0.0</v>
      </c>
      <c r="R8" s="145"/>
      <c r="S8" s="154"/>
    </row>
    <row r="9">
      <c r="A9" s="9" t="s">
        <v>11</v>
      </c>
      <c r="B9" s="10">
        <v>45938.0</v>
      </c>
      <c r="C9" s="146">
        <v>1.0</v>
      </c>
      <c r="D9" s="146">
        <v>1.0</v>
      </c>
      <c r="E9" s="160">
        <v>0.0</v>
      </c>
      <c r="F9" s="152">
        <v>1.0</v>
      </c>
      <c r="G9" s="146">
        <v>1.0</v>
      </c>
      <c r="H9" s="146">
        <v>1.0</v>
      </c>
      <c r="I9" s="146">
        <v>1.0</v>
      </c>
      <c r="J9" s="146">
        <v>0.5</v>
      </c>
      <c r="K9" s="146">
        <v>1.0</v>
      </c>
      <c r="L9" s="157">
        <v>0.0</v>
      </c>
      <c r="M9" s="146">
        <v>1.0</v>
      </c>
      <c r="N9" s="146">
        <v>0.0</v>
      </c>
      <c r="O9" s="146">
        <v>0.0</v>
      </c>
      <c r="P9" s="146">
        <v>0.0</v>
      </c>
      <c r="Q9" s="146">
        <v>0.0</v>
      </c>
      <c r="R9" s="149"/>
      <c r="S9" s="150"/>
    </row>
    <row r="10">
      <c r="A10" s="9" t="s">
        <v>12</v>
      </c>
      <c r="B10" s="10">
        <v>45939.0</v>
      </c>
      <c r="C10" s="143">
        <v>1.0</v>
      </c>
      <c r="D10" s="143">
        <v>1.0</v>
      </c>
      <c r="E10" s="160">
        <v>0.0</v>
      </c>
      <c r="F10" s="143">
        <v>1.0</v>
      </c>
      <c r="G10" s="143">
        <v>1.0</v>
      </c>
      <c r="H10" s="143">
        <v>1.0</v>
      </c>
      <c r="I10" s="143">
        <v>1.0</v>
      </c>
      <c r="J10" s="143">
        <v>0.5</v>
      </c>
      <c r="K10" s="143">
        <v>1.0</v>
      </c>
      <c r="L10" s="157">
        <v>1.0</v>
      </c>
      <c r="M10" s="147">
        <v>0.0</v>
      </c>
      <c r="N10" s="143">
        <v>0.0</v>
      </c>
      <c r="O10" s="143">
        <v>0.0</v>
      </c>
      <c r="P10" s="143">
        <v>0.0</v>
      </c>
      <c r="Q10" s="143">
        <v>0.0</v>
      </c>
      <c r="R10" s="145"/>
      <c r="S10" s="154"/>
    </row>
    <row r="11">
      <c r="A11" s="21" t="s">
        <v>17</v>
      </c>
      <c r="B11" s="22">
        <v>45940.0</v>
      </c>
      <c r="C11" s="151">
        <v>2.0</v>
      </c>
      <c r="D11" s="151">
        <v>2.0</v>
      </c>
      <c r="E11" s="160">
        <v>0.0</v>
      </c>
      <c r="F11" s="151">
        <v>2.0</v>
      </c>
      <c r="G11" s="151">
        <v>2.0</v>
      </c>
      <c r="H11" s="151">
        <v>2.0</v>
      </c>
      <c r="I11" s="152">
        <v>1.0</v>
      </c>
      <c r="J11" s="152">
        <v>1.0</v>
      </c>
      <c r="K11" s="151">
        <v>2.0</v>
      </c>
      <c r="L11" s="153">
        <v>0.0</v>
      </c>
      <c r="M11" s="151">
        <v>2.0</v>
      </c>
      <c r="N11" s="151">
        <v>0.0</v>
      </c>
      <c r="O11" s="146">
        <v>0.0</v>
      </c>
      <c r="P11" s="146">
        <v>0.0</v>
      </c>
      <c r="Q11" s="146">
        <v>0.0</v>
      </c>
      <c r="R11" s="149"/>
      <c r="S11" s="150"/>
    </row>
    <row r="12">
      <c r="A12" s="9" t="s">
        <v>18</v>
      </c>
      <c r="B12" s="10">
        <v>45941.0</v>
      </c>
      <c r="C12" s="143">
        <v>1.0</v>
      </c>
      <c r="D12" s="143">
        <v>1.0</v>
      </c>
      <c r="E12" s="160">
        <v>0.0</v>
      </c>
      <c r="F12" s="143">
        <v>1.0</v>
      </c>
      <c r="G12" s="143">
        <v>1.0</v>
      </c>
      <c r="H12" s="143">
        <v>1.0</v>
      </c>
      <c r="I12" s="143">
        <v>1.0</v>
      </c>
      <c r="J12" s="143">
        <v>1.0</v>
      </c>
      <c r="K12" s="143">
        <v>1.0</v>
      </c>
      <c r="L12" s="144">
        <v>1.0</v>
      </c>
      <c r="M12" s="143">
        <v>0.0</v>
      </c>
      <c r="N12" s="143">
        <v>0.0</v>
      </c>
      <c r="O12" s="143">
        <v>1.0</v>
      </c>
      <c r="P12" s="143">
        <v>0.0</v>
      </c>
      <c r="Q12" s="143">
        <v>0.0</v>
      </c>
      <c r="R12" s="145"/>
      <c r="S12" s="161" t="s">
        <v>344</v>
      </c>
    </row>
    <row r="13">
      <c r="A13" s="9" t="s">
        <v>19</v>
      </c>
      <c r="B13" s="10">
        <v>45942.0</v>
      </c>
      <c r="C13" s="147">
        <v>1.0</v>
      </c>
      <c r="D13" s="155">
        <v>1.0</v>
      </c>
      <c r="E13" s="160">
        <v>0.0</v>
      </c>
      <c r="F13" s="152">
        <v>1.0</v>
      </c>
      <c r="G13" s="147">
        <v>1.0</v>
      </c>
      <c r="H13" s="152">
        <v>1.0</v>
      </c>
      <c r="I13" s="147">
        <v>1.0</v>
      </c>
      <c r="J13" s="147">
        <v>1.0</v>
      </c>
      <c r="K13" s="147">
        <v>1.0</v>
      </c>
      <c r="L13" s="157">
        <v>0.0</v>
      </c>
      <c r="M13" s="155">
        <v>1.0</v>
      </c>
      <c r="N13" s="155">
        <v>0.0</v>
      </c>
      <c r="O13" s="155">
        <v>1.0</v>
      </c>
      <c r="P13" s="155">
        <v>0.0</v>
      </c>
      <c r="Q13" s="155">
        <v>0.0</v>
      </c>
      <c r="R13" s="158"/>
      <c r="S13" s="150"/>
    </row>
    <row r="14">
      <c r="A14" s="9" t="s">
        <v>22</v>
      </c>
      <c r="B14" s="10">
        <v>45943.0</v>
      </c>
      <c r="C14" s="152">
        <v>2.0</v>
      </c>
      <c r="D14" s="143">
        <v>0.0</v>
      </c>
      <c r="E14" s="160">
        <v>0.0</v>
      </c>
      <c r="F14" s="143">
        <v>0.0</v>
      </c>
      <c r="G14" s="152">
        <v>1.0</v>
      </c>
      <c r="H14" s="143">
        <v>0.0</v>
      </c>
      <c r="I14" s="162">
        <v>1.0</v>
      </c>
      <c r="J14" s="143">
        <v>1.0</v>
      </c>
      <c r="K14" s="152">
        <v>1.0</v>
      </c>
      <c r="L14" s="144">
        <v>1.0</v>
      </c>
      <c r="M14" s="143">
        <v>0.0</v>
      </c>
      <c r="N14" s="143">
        <v>1.0</v>
      </c>
      <c r="O14" s="143">
        <v>1.0</v>
      </c>
      <c r="P14" s="143">
        <v>0.0</v>
      </c>
      <c r="Q14" s="143">
        <v>0.0</v>
      </c>
      <c r="R14" s="145"/>
      <c r="S14" s="154"/>
    </row>
    <row r="15">
      <c r="A15" s="9" t="s">
        <v>23</v>
      </c>
      <c r="B15" s="10">
        <v>45944.0</v>
      </c>
      <c r="C15" s="146">
        <v>1.0</v>
      </c>
      <c r="D15" s="152">
        <v>1.0</v>
      </c>
      <c r="E15" s="160">
        <v>0.0</v>
      </c>
      <c r="F15" s="146">
        <v>0.0</v>
      </c>
      <c r="G15" s="163">
        <v>1.0</v>
      </c>
      <c r="H15" s="146">
        <v>0.0</v>
      </c>
      <c r="I15" s="162">
        <v>1.0</v>
      </c>
      <c r="J15" s="146">
        <v>1.0</v>
      </c>
      <c r="K15" s="146">
        <v>1.0</v>
      </c>
      <c r="L15" s="148">
        <v>0.0</v>
      </c>
      <c r="M15" s="146">
        <v>1.0</v>
      </c>
      <c r="N15" s="146">
        <v>0.0</v>
      </c>
      <c r="O15" s="146">
        <v>0.0</v>
      </c>
      <c r="P15" s="146">
        <v>0.0</v>
      </c>
      <c r="Q15" s="146">
        <v>0.0</v>
      </c>
      <c r="R15" s="149"/>
      <c r="S15" s="150"/>
    </row>
    <row r="16">
      <c r="A16" s="9" t="s">
        <v>11</v>
      </c>
      <c r="B16" s="10">
        <v>45945.0</v>
      </c>
      <c r="C16" s="143">
        <v>1.0</v>
      </c>
      <c r="D16" s="143">
        <v>1.0</v>
      </c>
      <c r="E16" s="160">
        <v>0.0</v>
      </c>
      <c r="F16" s="143">
        <v>1.0</v>
      </c>
      <c r="G16" s="163">
        <v>1.0</v>
      </c>
      <c r="H16" s="143">
        <v>0.0</v>
      </c>
      <c r="I16" s="162">
        <v>1.0</v>
      </c>
      <c r="J16" s="143">
        <v>0.0</v>
      </c>
      <c r="K16" s="143">
        <v>1.0</v>
      </c>
      <c r="L16" s="144">
        <v>1.0</v>
      </c>
      <c r="M16" s="143">
        <v>0.0</v>
      </c>
      <c r="N16" s="143">
        <v>0.0</v>
      </c>
      <c r="O16" s="143">
        <v>1.0</v>
      </c>
      <c r="P16" s="143">
        <v>0.0</v>
      </c>
      <c r="Q16" s="143">
        <v>0.0</v>
      </c>
      <c r="R16" s="145"/>
      <c r="S16" s="154"/>
    </row>
    <row r="17">
      <c r="A17" s="9" t="s">
        <v>12</v>
      </c>
      <c r="B17" s="10">
        <v>45946.0</v>
      </c>
      <c r="C17" s="164">
        <v>1.0</v>
      </c>
      <c r="D17" s="164">
        <v>0.0</v>
      </c>
      <c r="E17" s="165">
        <v>0.0</v>
      </c>
      <c r="F17" s="164">
        <v>1.0</v>
      </c>
      <c r="G17" s="166">
        <v>1.0</v>
      </c>
      <c r="H17" s="164">
        <v>0.0</v>
      </c>
      <c r="I17" s="162">
        <v>1.0</v>
      </c>
      <c r="J17" s="146">
        <v>0.5</v>
      </c>
      <c r="K17" s="146">
        <v>0.0</v>
      </c>
      <c r="L17" s="148">
        <v>0.0</v>
      </c>
      <c r="M17" s="146">
        <v>1.0</v>
      </c>
      <c r="N17" s="146">
        <v>0.0</v>
      </c>
      <c r="O17" s="146">
        <v>1.0</v>
      </c>
      <c r="P17" s="146">
        <v>0.0</v>
      </c>
      <c r="Q17" s="146">
        <v>0.0</v>
      </c>
      <c r="R17" s="149"/>
      <c r="S17" s="150"/>
    </row>
    <row r="18">
      <c r="A18" s="21" t="s">
        <v>17</v>
      </c>
      <c r="B18" s="22">
        <v>45947.0</v>
      </c>
      <c r="C18" s="151">
        <v>2.0</v>
      </c>
      <c r="D18" s="151">
        <v>2.0</v>
      </c>
      <c r="E18" s="160">
        <v>0.0</v>
      </c>
      <c r="F18" s="151">
        <v>2.0</v>
      </c>
      <c r="G18" s="151">
        <v>2.0</v>
      </c>
      <c r="H18" s="151">
        <v>2.0</v>
      </c>
      <c r="I18" s="152">
        <v>1.0</v>
      </c>
      <c r="J18" s="151">
        <v>2.0</v>
      </c>
      <c r="K18" s="151">
        <v>2.0</v>
      </c>
      <c r="L18" s="153">
        <v>2.0</v>
      </c>
      <c r="M18" s="151">
        <v>0.0</v>
      </c>
      <c r="N18" s="151">
        <v>0.0</v>
      </c>
      <c r="O18" s="151">
        <v>2.0</v>
      </c>
      <c r="P18" s="143">
        <v>0.0</v>
      </c>
      <c r="Q18" s="143">
        <v>0.0</v>
      </c>
      <c r="R18" s="145"/>
      <c r="S18" s="154"/>
    </row>
    <row r="19">
      <c r="A19" s="9" t="s">
        <v>18</v>
      </c>
      <c r="B19" s="10">
        <v>45948.0</v>
      </c>
      <c r="C19" s="146">
        <v>1.0</v>
      </c>
      <c r="D19" s="146">
        <v>1.0</v>
      </c>
      <c r="E19" s="160">
        <v>0.0</v>
      </c>
      <c r="F19" s="146">
        <v>1.0</v>
      </c>
      <c r="G19" s="163">
        <v>1.0</v>
      </c>
      <c r="H19" s="146">
        <v>1.0</v>
      </c>
      <c r="I19" s="162">
        <v>1.0</v>
      </c>
      <c r="J19" s="146">
        <v>1.0</v>
      </c>
      <c r="K19" s="146">
        <v>1.0</v>
      </c>
      <c r="L19" s="148">
        <v>0.0</v>
      </c>
      <c r="M19" s="146">
        <v>1.0</v>
      </c>
      <c r="N19" s="146">
        <v>0.0</v>
      </c>
      <c r="O19" s="146">
        <v>1.0</v>
      </c>
      <c r="P19" s="146">
        <v>1.0</v>
      </c>
      <c r="Q19" s="146">
        <v>0.0</v>
      </c>
      <c r="R19" s="149"/>
      <c r="S19" s="150"/>
    </row>
    <row r="20">
      <c r="A20" s="9" t="s">
        <v>19</v>
      </c>
      <c r="B20" s="10">
        <v>45949.0</v>
      </c>
      <c r="C20" s="147">
        <v>1.0</v>
      </c>
      <c r="D20" s="167">
        <v>1.0</v>
      </c>
      <c r="E20" s="160">
        <v>0.0</v>
      </c>
      <c r="F20" s="155">
        <v>1.0</v>
      </c>
      <c r="G20" s="163">
        <v>1.0</v>
      </c>
      <c r="H20" s="155">
        <v>0.0</v>
      </c>
      <c r="I20" s="162">
        <v>1.0</v>
      </c>
      <c r="J20" s="152">
        <v>1.0</v>
      </c>
      <c r="K20" s="155">
        <v>1.0</v>
      </c>
      <c r="L20" s="168">
        <v>1.0</v>
      </c>
      <c r="M20" s="155">
        <v>0.0</v>
      </c>
      <c r="N20" s="155">
        <v>0.0</v>
      </c>
      <c r="O20" s="155">
        <v>1.0</v>
      </c>
      <c r="P20" s="155">
        <v>1.0</v>
      </c>
      <c r="Q20" s="155">
        <v>1.0</v>
      </c>
      <c r="R20" s="158"/>
      <c r="S20" s="154"/>
    </row>
    <row r="21">
      <c r="A21" s="9" t="s">
        <v>22</v>
      </c>
      <c r="B21" s="10">
        <v>45950.0</v>
      </c>
      <c r="C21" s="146">
        <v>2.0</v>
      </c>
      <c r="D21" s="146">
        <v>1.0</v>
      </c>
      <c r="E21" s="160">
        <v>0.0</v>
      </c>
      <c r="F21" s="146">
        <v>1.0</v>
      </c>
      <c r="G21" s="146">
        <v>1.0</v>
      </c>
      <c r="H21" s="146">
        <v>0.0</v>
      </c>
      <c r="I21" s="162">
        <v>1.0</v>
      </c>
      <c r="J21" s="146">
        <v>1.0</v>
      </c>
      <c r="K21" s="152">
        <v>1.0</v>
      </c>
      <c r="L21" s="148">
        <v>0.0</v>
      </c>
      <c r="M21" s="146">
        <v>1.0</v>
      </c>
      <c r="N21" s="146">
        <v>1.0</v>
      </c>
      <c r="O21" s="146">
        <v>1.0</v>
      </c>
      <c r="P21" s="146">
        <v>1.0</v>
      </c>
      <c r="Q21" s="146">
        <v>1.0</v>
      </c>
      <c r="R21" s="149"/>
      <c r="S21" s="150"/>
    </row>
    <row r="22">
      <c r="A22" s="9" t="s">
        <v>23</v>
      </c>
      <c r="B22" s="10">
        <v>45951.0</v>
      </c>
      <c r="C22" s="143">
        <v>0.75</v>
      </c>
      <c r="D22" s="147">
        <v>1.0</v>
      </c>
      <c r="E22" s="160">
        <v>0.0</v>
      </c>
      <c r="F22" s="162">
        <v>1.0</v>
      </c>
      <c r="G22" s="143">
        <v>1.0</v>
      </c>
      <c r="H22" s="143">
        <v>0.0</v>
      </c>
      <c r="I22" s="162">
        <v>1.0</v>
      </c>
      <c r="J22" s="143">
        <v>1.0</v>
      </c>
      <c r="K22" s="143">
        <v>1.0</v>
      </c>
      <c r="L22" s="144">
        <v>1.0</v>
      </c>
      <c r="M22" s="143">
        <v>0.0</v>
      </c>
      <c r="N22" s="143">
        <v>0.0</v>
      </c>
      <c r="O22" s="143">
        <v>0.0</v>
      </c>
      <c r="P22" s="143">
        <v>1.0</v>
      </c>
      <c r="Q22" s="143">
        <v>1.0</v>
      </c>
      <c r="R22" s="145"/>
      <c r="S22" s="154"/>
    </row>
    <row r="23">
      <c r="A23" s="9" t="s">
        <v>11</v>
      </c>
      <c r="B23" s="10">
        <v>45952.0</v>
      </c>
      <c r="C23" s="146">
        <v>1.0</v>
      </c>
      <c r="D23" s="146">
        <v>0.25</v>
      </c>
      <c r="E23" s="160">
        <v>0.0</v>
      </c>
      <c r="F23" s="162">
        <v>1.0</v>
      </c>
      <c r="G23" s="146">
        <v>1.0</v>
      </c>
      <c r="H23" s="146">
        <v>0.0</v>
      </c>
      <c r="I23" s="162">
        <v>1.0</v>
      </c>
      <c r="J23" s="146">
        <v>0.5</v>
      </c>
      <c r="K23" s="146">
        <v>1.0</v>
      </c>
      <c r="L23" s="148">
        <v>0.0</v>
      </c>
      <c r="M23" s="146">
        <v>1.0</v>
      </c>
      <c r="N23" s="146">
        <v>0.0</v>
      </c>
      <c r="O23" s="146">
        <v>0.0</v>
      </c>
      <c r="P23" s="146">
        <v>1.0</v>
      </c>
      <c r="Q23" s="146">
        <v>1.0</v>
      </c>
      <c r="R23" s="149"/>
      <c r="S23" s="150"/>
    </row>
    <row r="24">
      <c r="A24" s="9" t="s">
        <v>12</v>
      </c>
      <c r="B24" s="10">
        <v>45953.0</v>
      </c>
      <c r="C24" s="143">
        <v>1.0</v>
      </c>
      <c r="D24" s="143">
        <v>0.0</v>
      </c>
      <c r="E24" s="160">
        <v>0.0</v>
      </c>
      <c r="F24" s="162">
        <v>1.0</v>
      </c>
      <c r="G24" s="143">
        <v>1.0</v>
      </c>
      <c r="H24" s="143">
        <v>0.0</v>
      </c>
      <c r="I24" s="162">
        <v>1.0</v>
      </c>
      <c r="J24" s="143">
        <v>0.5</v>
      </c>
      <c r="K24" s="143">
        <v>1.0</v>
      </c>
      <c r="L24" s="144">
        <v>1.0</v>
      </c>
      <c r="M24" s="147">
        <v>0.0</v>
      </c>
      <c r="N24" s="143">
        <v>0.0</v>
      </c>
      <c r="O24" s="143">
        <v>0.0</v>
      </c>
      <c r="P24" s="143">
        <v>0.75</v>
      </c>
      <c r="Q24" s="143">
        <v>1.0</v>
      </c>
      <c r="R24" s="145"/>
      <c r="S24" s="154"/>
    </row>
    <row r="25">
      <c r="A25" s="21" t="s">
        <v>17</v>
      </c>
      <c r="B25" s="22">
        <v>45954.0</v>
      </c>
      <c r="C25" s="151">
        <v>2.0</v>
      </c>
      <c r="D25" s="151">
        <v>2.0</v>
      </c>
      <c r="E25" s="160">
        <v>0.0</v>
      </c>
      <c r="F25" s="151">
        <v>0.0</v>
      </c>
      <c r="G25" s="151">
        <v>2.0</v>
      </c>
      <c r="H25" s="151">
        <v>2.0</v>
      </c>
      <c r="I25" s="152">
        <v>1.0</v>
      </c>
      <c r="J25" s="152">
        <v>1.0</v>
      </c>
      <c r="K25" s="151">
        <v>2.0</v>
      </c>
      <c r="L25" s="153">
        <v>0.0</v>
      </c>
      <c r="M25" s="151">
        <v>2.0</v>
      </c>
      <c r="N25" s="151">
        <v>0.0</v>
      </c>
      <c r="O25" s="146">
        <v>0.0</v>
      </c>
      <c r="P25" s="152">
        <v>0.0</v>
      </c>
      <c r="Q25" s="146">
        <v>0.0</v>
      </c>
      <c r="R25" s="149"/>
      <c r="S25" s="150"/>
    </row>
    <row r="26">
      <c r="A26" s="9" t="s">
        <v>18</v>
      </c>
      <c r="B26" s="10">
        <v>45955.0</v>
      </c>
      <c r="C26" s="169">
        <v>1.0</v>
      </c>
      <c r="D26" s="169">
        <v>1.0</v>
      </c>
      <c r="E26" s="165">
        <v>0.0</v>
      </c>
      <c r="F26" s="170">
        <v>1.0</v>
      </c>
      <c r="G26" s="169">
        <v>1.0</v>
      </c>
      <c r="H26" s="169">
        <v>1.0</v>
      </c>
      <c r="I26" s="170">
        <v>0.0</v>
      </c>
      <c r="J26" s="143">
        <v>1.0</v>
      </c>
      <c r="K26" s="169">
        <v>1.0</v>
      </c>
      <c r="L26" s="171">
        <v>1.0</v>
      </c>
      <c r="M26" s="169">
        <v>0.0</v>
      </c>
      <c r="N26" s="143">
        <v>0.0</v>
      </c>
      <c r="O26" s="169">
        <v>0.0</v>
      </c>
      <c r="P26" s="169">
        <v>1.0</v>
      </c>
      <c r="Q26" s="169">
        <v>1.0</v>
      </c>
      <c r="R26" s="145"/>
      <c r="S26" s="154"/>
    </row>
    <row r="27">
      <c r="A27" s="9" t="s">
        <v>19</v>
      </c>
      <c r="B27" s="10">
        <v>45956.0</v>
      </c>
      <c r="C27" s="155">
        <v>1.0</v>
      </c>
      <c r="D27" s="155">
        <v>1.0</v>
      </c>
      <c r="E27" s="160">
        <v>0.0</v>
      </c>
      <c r="F27" s="162">
        <v>1.0</v>
      </c>
      <c r="G27" s="155">
        <v>1.0</v>
      </c>
      <c r="H27" s="155">
        <v>0.0</v>
      </c>
      <c r="I27" s="162">
        <v>1.0</v>
      </c>
      <c r="J27" s="147">
        <v>1.0</v>
      </c>
      <c r="K27" s="155">
        <v>0.0</v>
      </c>
      <c r="L27" s="168">
        <v>1.0</v>
      </c>
      <c r="M27" s="155">
        <v>1.0</v>
      </c>
      <c r="N27" s="155">
        <v>0.0</v>
      </c>
      <c r="O27" s="155">
        <v>0.0</v>
      </c>
      <c r="P27" s="155">
        <v>1.0</v>
      </c>
      <c r="Q27" s="155">
        <v>1.0</v>
      </c>
      <c r="R27" s="158"/>
      <c r="S27" s="150"/>
    </row>
    <row r="28">
      <c r="A28" s="9" t="s">
        <v>22</v>
      </c>
      <c r="B28" s="10">
        <v>45957.0</v>
      </c>
      <c r="C28" s="172">
        <v>2.0</v>
      </c>
      <c r="D28" s="173">
        <v>1.0</v>
      </c>
      <c r="E28" s="174">
        <v>0.0</v>
      </c>
      <c r="F28" s="175">
        <v>1.0</v>
      </c>
      <c r="G28" s="176">
        <v>1.0</v>
      </c>
      <c r="H28" s="176">
        <v>0.0</v>
      </c>
      <c r="I28" s="175">
        <v>1.0</v>
      </c>
      <c r="J28" s="176">
        <v>0.0</v>
      </c>
      <c r="K28" s="177">
        <v>1.0</v>
      </c>
      <c r="L28" s="176">
        <v>1.0</v>
      </c>
      <c r="M28" s="176">
        <v>0.0</v>
      </c>
      <c r="N28" s="143">
        <v>1.0</v>
      </c>
      <c r="O28" s="143">
        <v>0.0</v>
      </c>
      <c r="P28" s="143">
        <v>1.0</v>
      </c>
      <c r="Q28" s="152">
        <v>1.0</v>
      </c>
      <c r="R28" s="145"/>
      <c r="S28" s="154"/>
    </row>
    <row r="29">
      <c r="A29" s="9" t="s">
        <v>23</v>
      </c>
      <c r="B29" s="10">
        <v>45958.0</v>
      </c>
      <c r="C29" s="178">
        <v>1.0</v>
      </c>
      <c r="D29" s="172">
        <v>1.0</v>
      </c>
      <c r="E29" s="174">
        <v>0.0</v>
      </c>
      <c r="F29" s="175">
        <v>1.0</v>
      </c>
      <c r="G29" s="178">
        <v>1.0</v>
      </c>
      <c r="H29" s="178">
        <v>0.0</v>
      </c>
      <c r="I29" s="175">
        <v>1.0</v>
      </c>
      <c r="J29" s="178">
        <v>1.0</v>
      </c>
      <c r="K29" s="178">
        <v>1.0</v>
      </c>
      <c r="L29" s="178">
        <v>0.0</v>
      </c>
      <c r="M29" s="178">
        <v>1.0</v>
      </c>
      <c r="N29" s="146">
        <v>0.0</v>
      </c>
      <c r="O29" s="146">
        <v>0.0</v>
      </c>
      <c r="P29" s="146">
        <v>1.0</v>
      </c>
      <c r="Q29" s="146">
        <v>1.0</v>
      </c>
      <c r="R29" s="149"/>
      <c r="S29" s="150"/>
    </row>
    <row r="30">
      <c r="A30" s="9" t="s">
        <v>11</v>
      </c>
      <c r="B30" s="10">
        <v>45959.0</v>
      </c>
      <c r="C30" s="179">
        <v>1.0</v>
      </c>
      <c r="D30" s="180">
        <v>1.0</v>
      </c>
      <c r="E30" s="181">
        <v>0.0</v>
      </c>
      <c r="F30" s="182">
        <v>1.0</v>
      </c>
      <c r="G30" s="94">
        <v>1.0</v>
      </c>
      <c r="H30" s="180">
        <v>0.0</v>
      </c>
      <c r="I30" s="182">
        <v>1.0</v>
      </c>
      <c r="J30" s="180">
        <v>0.5</v>
      </c>
      <c r="K30" s="180">
        <v>1.0</v>
      </c>
      <c r="L30" s="180">
        <v>1.0</v>
      </c>
      <c r="M30" s="180">
        <v>0.0</v>
      </c>
      <c r="N30" s="180">
        <v>0.0</v>
      </c>
      <c r="O30" s="180">
        <v>0.0</v>
      </c>
      <c r="P30" s="180">
        <v>1.0</v>
      </c>
      <c r="Q30" s="183">
        <v>1.0</v>
      </c>
      <c r="R30" s="184"/>
      <c r="S30" s="185"/>
    </row>
    <row r="31">
      <c r="A31" s="9" t="s">
        <v>12</v>
      </c>
      <c r="B31" s="10">
        <v>45960.0</v>
      </c>
      <c r="C31" s="186">
        <v>1.0</v>
      </c>
      <c r="D31" s="187">
        <v>1.0</v>
      </c>
      <c r="E31" s="188">
        <v>0.0</v>
      </c>
      <c r="F31" s="189">
        <v>1.0</v>
      </c>
      <c r="G31" s="190">
        <v>1.0</v>
      </c>
      <c r="H31" s="187">
        <v>0.0</v>
      </c>
      <c r="I31" s="189">
        <v>1.0</v>
      </c>
      <c r="J31" s="191">
        <v>0.5</v>
      </c>
      <c r="K31" s="187">
        <v>1.0</v>
      </c>
      <c r="L31" s="187">
        <v>0.0</v>
      </c>
      <c r="M31" s="192">
        <v>1.0</v>
      </c>
      <c r="N31" s="191">
        <v>0.0</v>
      </c>
      <c r="O31" s="191">
        <v>0.0</v>
      </c>
      <c r="P31" s="191">
        <v>0.75</v>
      </c>
      <c r="Q31" s="193">
        <v>1.0</v>
      </c>
      <c r="R31" s="194"/>
      <c r="S31" s="195"/>
    </row>
    <row r="32">
      <c r="A32" s="21" t="s">
        <v>17</v>
      </c>
      <c r="B32" s="22">
        <v>45961.0</v>
      </c>
      <c r="C32" s="196">
        <v>2.0</v>
      </c>
      <c r="D32" s="104">
        <v>2.0</v>
      </c>
      <c r="E32" s="104">
        <v>0.0</v>
      </c>
      <c r="F32" s="104">
        <v>2.0</v>
      </c>
      <c r="G32" s="104">
        <v>2.0</v>
      </c>
      <c r="H32" s="104">
        <v>2.0</v>
      </c>
      <c r="I32" s="104">
        <v>1.0</v>
      </c>
      <c r="J32" s="104">
        <v>2.0</v>
      </c>
      <c r="K32" s="104">
        <v>2.0</v>
      </c>
      <c r="L32" s="104">
        <v>0.0</v>
      </c>
      <c r="M32" s="104">
        <v>0.0</v>
      </c>
      <c r="N32" s="104">
        <v>0.0</v>
      </c>
      <c r="O32" s="104">
        <v>0.0</v>
      </c>
      <c r="P32" s="94">
        <v>0.0</v>
      </c>
      <c r="Q32" s="197">
        <v>2.0</v>
      </c>
      <c r="R32" s="184"/>
      <c r="S32" s="185"/>
    </row>
    <row r="33">
      <c r="A33" s="16"/>
      <c r="B33" s="70"/>
      <c r="C33" s="198">
        <v>3.0</v>
      </c>
      <c r="D33" s="199"/>
      <c r="E33" s="200">
        <v>0.0</v>
      </c>
      <c r="F33" s="200">
        <v>1.0</v>
      </c>
      <c r="G33" s="200">
        <v>1.0</v>
      </c>
      <c r="H33" s="200">
        <v>0.0</v>
      </c>
      <c r="I33" s="199"/>
      <c r="J33" s="200">
        <v>1.0</v>
      </c>
      <c r="K33" s="199"/>
      <c r="L33" s="199"/>
      <c r="M33" s="199"/>
      <c r="N33" s="199"/>
      <c r="O33" s="199"/>
      <c r="P33" s="199"/>
      <c r="Q33" s="200">
        <v>0.0</v>
      </c>
      <c r="R33" s="199"/>
      <c r="S33" s="201" t="s">
        <v>345</v>
      </c>
    </row>
    <row r="34">
      <c r="A34" s="16"/>
      <c r="B34" s="70"/>
      <c r="C34" s="202">
        <f t="shared" ref="C34:R34" si="1">SUM(C2:C33)</f>
        <v>42.25</v>
      </c>
      <c r="D34" s="202">
        <f t="shared" si="1"/>
        <v>31.5</v>
      </c>
      <c r="E34" s="202">
        <f t="shared" si="1"/>
        <v>3.5</v>
      </c>
      <c r="F34" s="202">
        <f t="shared" si="1"/>
        <v>33</v>
      </c>
      <c r="G34" s="202">
        <f t="shared" si="1"/>
        <v>36</v>
      </c>
      <c r="H34" s="202">
        <f t="shared" si="1"/>
        <v>22</v>
      </c>
      <c r="I34" s="202">
        <f t="shared" si="1"/>
        <v>30</v>
      </c>
      <c r="J34" s="202">
        <f t="shared" si="1"/>
        <v>26.5</v>
      </c>
      <c r="K34" s="202">
        <f t="shared" si="1"/>
        <v>34</v>
      </c>
      <c r="L34" s="202">
        <f t="shared" si="1"/>
        <v>17</v>
      </c>
      <c r="M34" s="202">
        <f t="shared" si="1"/>
        <v>17</v>
      </c>
      <c r="N34" s="202">
        <f t="shared" si="1"/>
        <v>4</v>
      </c>
      <c r="O34" s="202">
        <f t="shared" si="1"/>
        <v>10</v>
      </c>
      <c r="P34" s="202">
        <f t="shared" si="1"/>
        <v>11.5</v>
      </c>
      <c r="Q34" s="202">
        <f t="shared" si="1"/>
        <v>13</v>
      </c>
      <c r="R34" s="202">
        <f t="shared" si="1"/>
        <v>0</v>
      </c>
      <c r="S34" s="194"/>
    </row>
    <row r="35">
      <c r="C35" s="203">
        <v>1290.0</v>
      </c>
      <c r="D35" s="204">
        <v>1126.0</v>
      </c>
      <c r="E35" s="204">
        <v>1000.0</v>
      </c>
      <c r="F35" s="204">
        <v>970.0</v>
      </c>
      <c r="G35" s="205">
        <v>970.0</v>
      </c>
      <c r="H35" s="205">
        <v>1100.0</v>
      </c>
      <c r="I35" s="206">
        <v>970.0</v>
      </c>
      <c r="J35" s="206">
        <v>970.0</v>
      </c>
      <c r="K35" s="206">
        <v>970.0</v>
      </c>
      <c r="L35" s="206">
        <v>1000.0</v>
      </c>
      <c r="M35" s="206">
        <v>1200.0</v>
      </c>
      <c r="N35" s="207">
        <v>1200.0</v>
      </c>
      <c r="O35" s="207">
        <v>800.0</v>
      </c>
      <c r="P35" s="207">
        <v>1350.0</v>
      </c>
      <c r="Q35" s="207">
        <v>970.0</v>
      </c>
      <c r="R35" s="208"/>
      <c r="S35" s="209"/>
    </row>
    <row r="36">
      <c r="C36" s="210">
        <f t="shared" ref="C36:R36" si="2">C34*C35</f>
        <v>54502.5</v>
      </c>
      <c r="D36" s="210">
        <f t="shared" si="2"/>
        <v>35469</v>
      </c>
      <c r="E36" s="210">
        <f t="shared" si="2"/>
        <v>3500</v>
      </c>
      <c r="F36" s="210">
        <f t="shared" si="2"/>
        <v>32010</v>
      </c>
      <c r="G36" s="210">
        <f t="shared" si="2"/>
        <v>34920</v>
      </c>
      <c r="H36" s="210">
        <f t="shared" si="2"/>
        <v>24200</v>
      </c>
      <c r="I36" s="210">
        <f t="shared" si="2"/>
        <v>29100</v>
      </c>
      <c r="J36" s="210">
        <f t="shared" si="2"/>
        <v>25705</v>
      </c>
      <c r="K36" s="210">
        <f t="shared" si="2"/>
        <v>32980</v>
      </c>
      <c r="L36" s="210">
        <f t="shared" si="2"/>
        <v>17000</v>
      </c>
      <c r="M36" s="210">
        <f t="shared" si="2"/>
        <v>20400</v>
      </c>
      <c r="N36" s="210">
        <f t="shared" si="2"/>
        <v>4800</v>
      </c>
      <c r="O36" s="210">
        <f t="shared" si="2"/>
        <v>8000</v>
      </c>
      <c r="P36" s="210">
        <f t="shared" si="2"/>
        <v>15525</v>
      </c>
      <c r="Q36" s="210">
        <f t="shared" si="2"/>
        <v>12610</v>
      </c>
      <c r="R36" s="210">
        <f t="shared" si="2"/>
        <v>0</v>
      </c>
      <c r="S36" s="211"/>
    </row>
    <row r="37" ht="40.5" customHeight="1">
      <c r="C37" s="212">
        <v>40000.0</v>
      </c>
      <c r="D37" s="212">
        <v>35000.0</v>
      </c>
      <c r="E37" s="212">
        <v>30000.0</v>
      </c>
      <c r="F37" s="212">
        <v>30000.0</v>
      </c>
      <c r="G37" s="212">
        <v>30000.0</v>
      </c>
      <c r="H37" s="212">
        <v>33000.0</v>
      </c>
      <c r="I37" s="213">
        <v>30000.0</v>
      </c>
      <c r="J37" s="213">
        <v>30000.0</v>
      </c>
      <c r="K37" s="213">
        <v>30000.0</v>
      </c>
      <c r="L37" s="213">
        <v>30000.0</v>
      </c>
      <c r="M37" s="213" t="s">
        <v>346</v>
      </c>
      <c r="N37" s="213">
        <v>30000.0</v>
      </c>
      <c r="O37" s="213">
        <v>25000.0</v>
      </c>
      <c r="P37" s="214"/>
      <c r="Q37" s="214"/>
      <c r="R37" s="214"/>
      <c r="S37" s="209"/>
    </row>
    <row r="38">
      <c r="U38" s="30"/>
      <c r="V38" s="2" t="s">
        <v>0</v>
      </c>
      <c r="W38" s="141" t="s">
        <v>341</v>
      </c>
    </row>
    <row r="39">
      <c r="U39" s="9" t="s">
        <v>11</v>
      </c>
      <c r="V39" s="10">
        <v>45931.0</v>
      </c>
      <c r="W39" s="143">
        <v>0.0</v>
      </c>
    </row>
    <row r="40">
      <c r="U40" s="9" t="s">
        <v>12</v>
      </c>
      <c r="V40" s="10">
        <v>45932.0</v>
      </c>
      <c r="W40" s="146">
        <v>0.0</v>
      </c>
    </row>
    <row r="41">
      <c r="U41" s="21" t="s">
        <v>17</v>
      </c>
      <c r="V41" s="22">
        <v>45933.0</v>
      </c>
      <c r="W41" s="143">
        <v>0.0</v>
      </c>
    </row>
    <row r="42">
      <c r="U42" s="9" t="s">
        <v>18</v>
      </c>
      <c r="V42" s="10">
        <v>45934.0</v>
      </c>
      <c r="W42" s="146">
        <v>0.0</v>
      </c>
    </row>
    <row r="43">
      <c r="U43" s="9" t="s">
        <v>19</v>
      </c>
      <c r="V43" s="10">
        <v>45935.0</v>
      </c>
      <c r="W43" s="155">
        <v>0.0</v>
      </c>
    </row>
    <row r="44">
      <c r="U44" s="9" t="s">
        <v>22</v>
      </c>
      <c r="V44" s="10">
        <v>45936.0</v>
      </c>
      <c r="W44" s="146">
        <v>0.0</v>
      </c>
    </row>
    <row r="45">
      <c r="U45" s="9" t="s">
        <v>23</v>
      </c>
      <c r="V45" s="10">
        <v>45937.0</v>
      </c>
      <c r="W45" s="143">
        <v>0.0</v>
      </c>
    </row>
    <row r="46">
      <c r="U46" s="9" t="s">
        <v>11</v>
      </c>
      <c r="V46" s="10">
        <v>45938.0</v>
      </c>
      <c r="W46" s="146">
        <v>0.0</v>
      </c>
    </row>
    <row r="47">
      <c r="U47" s="9" t="s">
        <v>12</v>
      </c>
      <c r="V47" s="10">
        <v>45939.0</v>
      </c>
      <c r="W47" s="143">
        <v>0.0</v>
      </c>
    </row>
    <row r="48">
      <c r="U48" s="21" t="s">
        <v>17</v>
      </c>
      <c r="V48" s="22">
        <v>45940.0</v>
      </c>
      <c r="W48" s="146">
        <v>0.0</v>
      </c>
    </row>
    <row r="49">
      <c r="U49" s="9" t="s">
        <v>18</v>
      </c>
      <c r="V49" s="10">
        <v>45941.0</v>
      </c>
      <c r="W49" s="143">
        <v>0.0</v>
      </c>
    </row>
    <row r="50">
      <c r="U50" s="9" t="s">
        <v>19</v>
      </c>
      <c r="V50" s="10">
        <v>45942.0</v>
      </c>
      <c r="W50" s="155">
        <v>0.0</v>
      </c>
    </row>
    <row r="51">
      <c r="U51" s="9" t="s">
        <v>22</v>
      </c>
      <c r="V51" s="10">
        <v>45943.0</v>
      </c>
      <c r="W51" s="143">
        <v>0.0</v>
      </c>
    </row>
    <row r="52">
      <c r="U52" s="9" t="s">
        <v>23</v>
      </c>
      <c r="V52" s="10">
        <v>45944.0</v>
      </c>
      <c r="W52" s="146">
        <v>0.0</v>
      </c>
    </row>
    <row r="53">
      <c r="U53" s="9" t="s">
        <v>11</v>
      </c>
      <c r="V53" s="10">
        <v>45945.0</v>
      </c>
      <c r="W53" s="143">
        <v>0.0</v>
      </c>
    </row>
    <row r="54">
      <c r="U54" s="9" t="s">
        <v>12</v>
      </c>
      <c r="V54" s="10">
        <v>45946.0</v>
      </c>
      <c r="W54" s="146">
        <v>0.0</v>
      </c>
    </row>
    <row r="55">
      <c r="U55" s="21" t="s">
        <v>17</v>
      </c>
      <c r="V55" s="22">
        <v>45947.0</v>
      </c>
      <c r="W55" s="143">
        <v>0.0</v>
      </c>
    </row>
    <row r="56">
      <c r="U56" s="9" t="s">
        <v>18</v>
      </c>
      <c r="V56" s="10">
        <v>45948.0</v>
      </c>
      <c r="W56" s="146">
        <v>1.0</v>
      </c>
    </row>
    <row r="57">
      <c r="U57" s="9" t="s">
        <v>19</v>
      </c>
      <c r="V57" s="10">
        <v>45949.0</v>
      </c>
      <c r="W57" s="155">
        <v>1.0</v>
      </c>
    </row>
    <row r="58">
      <c r="U58" s="9" t="s">
        <v>22</v>
      </c>
      <c r="V58" s="10">
        <v>45950.0</v>
      </c>
      <c r="W58" s="146">
        <v>1.0</v>
      </c>
    </row>
    <row r="59">
      <c r="U59" s="9" t="s">
        <v>23</v>
      </c>
      <c r="V59" s="10">
        <v>45951.0</v>
      </c>
      <c r="W59" s="143">
        <v>1.0</v>
      </c>
    </row>
    <row r="60">
      <c r="U60" s="9" t="s">
        <v>11</v>
      </c>
      <c r="V60" s="10">
        <v>45952.0</v>
      </c>
      <c r="W60" s="146">
        <v>1.0</v>
      </c>
    </row>
    <row r="61">
      <c r="U61" s="9" t="s">
        <v>12</v>
      </c>
      <c r="V61" s="10">
        <v>45953.0</v>
      </c>
      <c r="W61" s="143">
        <v>0.75</v>
      </c>
    </row>
    <row r="62">
      <c r="U62" s="21" t="s">
        <v>17</v>
      </c>
      <c r="V62" s="22">
        <v>45954.0</v>
      </c>
      <c r="W62" s="152">
        <v>1.0</v>
      </c>
    </row>
    <row r="63">
      <c r="U63" s="9" t="s">
        <v>18</v>
      </c>
      <c r="V63" s="10">
        <v>45955.0</v>
      </c>
      <c r="W63" s="169">
        <v>1.0</v>
      </c>
    </row>
    <row r="64">
      <c r="U64" s="9" t="s">
        <v>19</v>
      </c>
      <c r="V64" s="10">
        <v>45956.0</v>
      </c>
      <c r="W64" s="155">
        <v>1.0</v>
      </c>
    </row>
    <row r="65">
      <c r="U65" s="9" t="s">
        <v>22</v>
      </c>
      <c r="V65" s="10">
        <v>45957.0</v>
      </c>
      <c r="W65" s="143">
        <v>1.0</v>
      </c>
    </row>
    <row r="66">
      <c r="U66" s="9" t="s">
        <v>23</v>
      </c>
      <c r="V66" s="10">
        <v>45958.0</v>
      </c>
      <c r="W66" s="146">
        <v>1.0</v>
      </c>
    </row>
    <row r="67">
      <c r="U67" s="9" t="s">
        <v>11</v>
      </c>
      <c r="V67" s="10">
        <v>45959.0</v>
      </c>
      <c r="W67" s="180">
        <v>1.0</v>
      </c>
    </row>
    <row r="68">
      <c r="U68" s="9" t="s">
        <v>12</v>
      </c>
      <c r="V68" s="10">
        <v>45960.0</v>
      </c>
      <c r="W68" s="191">
        <v>0.75</v>
      </c>
    </row>
    <row r="69">
      <c r="U69" s="21" t="s">
        <v>17</v>
      </c>
      <c r="V69" s="22">
        <v>45961.0</v>
      </c>
      <c r="W69" s="94">
        <v>1.0</v>
      </c>
    </row>
    <row r="70">
      <c r="U70" s="16"/>
      <c r="V70" s="70"/>
      <c r="W70" s="199"/>
    </row>
    <row r="71">
      <c r="U71" s="16"/>
      <c r="V71" s="70"/>
      <c r="W71" s="202">
        <f>SUM(W39:W70)</f>
        <v>13.5</v>
      </c>
    </row>
    <row r="72">
      <c r="W72" s="207">
        <v>1350.0</v>
      </c>
    </row>
    <row r="73">
      <c r="W73" s="210">
        <f>W71*W72</f>
        <v>18225</v>
      </c>
    </row>
    <row r="74">
      <c r="W74" s="214"/>
    </row>
  </sheetData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32.13"/>
    <col customWidth="1" min="10" max="10" width="26.38"/>
    <col customWidth="1" min="11" max="11" width="25.88"/>
    <col customWidth="1" min="12" max="12" width="27.13"/>
    <col customWidth="1" min="13" max="13" width="25.63"/>
    <col customWidth="1" min="14" max="14" width="119.38"/>
  </cols>
  <sheetData>
    <row r="11">
      <c r="G11" s="6"/>
      <c r="H11" s="6"/>
      <c r="I11" s="6"/>
      <c r="J11" s="6"/>
      <c r="K11" s="6"/>
      <c r="L11" s="6"/>
    </row>
    <row r="12">
      <c r="G12" s="6"/>
      <c r="H12" s="149"/>
      <c r="I12" s="215" t="s">
        <v>347</v>
      </c>
      <c r="J12" s="215" t="s">
        <v>4</v>
      </c>
      <c r="K12" s="215" t="s">
        <v>348</v>
      </c>
      <c r="L12" s="216" t="s">
        <v>349</v>
      </c>
      <c r="M12" s="217"/>
      <c r="N12" s="217"/>
    </row>
    <row r="13">
      <c r="G13" s="6"/>
      <c r="H13" s="145"/>
      <c r="I13" s="218" t="s">
        <v>350</v>
      </c>
      <c r="J13" s="219">
        <v>30000.0</v>
      </c>
      <c r="K13" s="220">
        <v>30000.0</v>
      </c>
      <c r="L13" s="219">
        <f t="shared" ref="L13:L31" si="1">J13-K13</f>
        <v>0</v>
      </c>
      <c r="M13" s="221"/>
      <c r="N13" s="222">
        <v>45949.0</v>
      </c>
    </row>
    <row r="14">
      <c r="G14" s="6"/>
      <c r="H14" s="149"/>
      <c r="I14" s="223" t="s">
        <v>351</v>
      </c>
      <c r="J14" s="224">
        <v>30000.0</v>
      </c>
      <c r="K14" s="225">
        <v>30000.0</v>
      </c>
      <c r="L14" s="224">
        <f t="shared" si="1"/>
        <v>0</v>
      </c>
      <c r="M14" s="226"/>
      <c r="N14" s="226"/>
    </row>
    <row r="15">
      <c r="G15" s="6"/>
      <c r="H15" s="227">
        <v>1.0</v>
      </c>
      <c r="I15" s="228" t="s">
        <v>352</v>
      </c>
      <c r="J15" s="219">
        <f>Pointage!C36</f>
        <v>54502.5</v>
      </c>
      <c r="K15" s="229">
        <v>54500.0</v>
      </c>
      <c r="L15" s="219">
        <f t="shared" si="1"/>
        <v>2.5</v>
      </c>
      <c r="M15" s="221"/>
      <c r="N15" s="230" t="s">
        <v>353</v>
      </c>
    </row>
    <row r="16">
      <c r="G16" s="6"/>
      <c r="H16" s="231">
        <v>2.0</v>
      </c>
      <c r="I16" s="232" t="s">
        <v>329</v>
      </c>
      <c r="J16" s="224">
        <f>Pointage!D36</f>
        <v>35469</v>
      </c>
      <c r="K16" s="225">
        <v>35500.0</v>
      </c>
      <c r="L16" s="224">
        <f t="shared" si="1"/>
        <v>-31</v>
      </c>
      <c r="M16" s="226"/>
      <c r="N16" s="226"/>
    </row>
    <row r="17">
      <c r="G17" s="6"/>
      <c r="H17" s="227">
        <v>3.0</v>
      </c>
      <c r="I17" s="228" t="s">
        <v>330</v>
      </c>
      <c r="J17" s="219">
        <f>Pointage!E36</f>
        <v>3500</v>
      </c>
      <c r="K17" s="229">
        <v>3500.0</v>
      </c>
      <c r="L17" s="219">
        <f t="shared" si="1"/>
        <v>0</v>
      </c>
      <c r="M17" s="221"/>
      <c r="N17" s="221"/>
    </row>
    <row r="18">
      <c r="G18" s="6"/>
      <c r="H18" s="231">
        <v>4.0</v>
      </c>
      <c r="I18" s="232" t="s">
        <v>354</v>
      </c>
      <c r="J18" s="224">
        <f>Pointage!F36</f>
        <v>32010</v>
      </c>
      <c r="K18" s="225">
        <v>32000.0</v>
      </c>
      <c r="L18" s="224">
        <f t="shared" si="1"/>
        <v>10</v>
      </c>
      <c r="M18" s="226"/>
      <c r="N18" s="233" t="s">
        <v>355</v>
      </c>
    </row>
    <row r="19">
      <c r="G19" s="6"/>
      <c r="H19" s="227">
        <v>5.0</v>
      </c>
      <c r="I19" s="228" t="s">
        <v>332</v>
      </c>
      <c r="J19" s="219">
        <f>Pointage!G36</f>
        <v>34920</v>
      </c>
      <c r="K19" s="229">
        <v>35000.0</v>
      </c>
      <c r="L19" s="219">
        <f t="shared" si="1"/>
        <v>-80</v>
      </c>
      <c r="M19" s="234"/>
      <c r="N19" s="230" t="s">
        <v>356</v>
      </c>
    </row>
    <row r="20">
      <c r="G20" s="6"/>
      <c r="H20" s="231">
        <v>6.0</v>
      </c>
      <c r="I20" s="232" t="s">
        <v>357</v>
      </c>
      <c r="J20" s="224">
        <f>Pointage!H36</f>
        <v>24200</v>
      </c>
      <c r="K20" s="225">
        <v>24500.0</v>
      </c>
      <c r="L20" s="224">
        <f t="shared" si="1"/>
        <v>-300</v>
      </c>
      <c r="M20" s="226"/>
      <c r="N20" s="233" t="s">
        <v>358</v>
      </c>
    </row>
    <row r="21">
      <c r="G21" s="6"/>
      <c r="H21" s="227">
        <v>7.0</v>
      </c>
      <c r="I21" s="228" t="s">
        <v>334</v>
      </c>
      <c r="J21" s="219">
        <f>Pointage!I36</f>
        <v>29100</v>
      </c>
      <c r="K21" s="229">
        <v>29500.0</v>
      </c>
      <c r="L21" s="219">
        <f t="shared" si="1"/>
        <v>-400</v>
      </c>
      <c r="M21" s="221"/>
      <c r="N21" s="221"/>
    </row>
    <row r="22">
      <c r="G22" s="6"/>
      <c r="H22" s="231">
        <v>8.0</v>
      </c>
      <c r="I22" s="232" t="s">
        <v>335</v>
      </c>
      <c r="J22" s="224">
        <f>Pointage!J36</f>
        <v>25705</v>
      </c>
      <c r="K22" s="225">
        <v>26000.0</v>
      </c>
      <c r="L22" s="224">
        <f t="shared" si="1"/>
        <v>-295</v>
      </c>
      <c r="M22" s="233" t="s">
        <v>359</v>
      </c>
      <c r="N22" s="226"/>
    </row>
    <row r="23">
      <c r="G23" s="6"/>
      <c r="H23" s="227">
        <v>9.0</v>
      </c>
      <c r="I23" s="228" t="s">
        <v>360</v>
      </c>
      <c r="J23" s="219">
        <f>Pointage!K36+M23</f>
        <v>37980</v>
      </c>
      <c r="K23" s="229">
        <v>38000.0</v>
      </c>
      <c r="L23" s="219">
        <f t="shared" si="1"/>
        <v>-20</v>
      </c>
      <c r="M23" s="235">
        <v>5000.0</v>
      </c>
      <c r="N23" s="236"/>
    </row>
    <row r="24">
      <c r="G24" s="6"/>
      <c r="H24" s="231">
        <v>10.0</v>
      </c>
      <c r="I24" s="232" t="s">
        <v>361</v>
      </c>
      <c r="J24" s="224">
        <f>Pointage!L36</f>
        <v>17000</v>
      </c>
      <c r="K24" s="225">
        <v>17000.0</v>
      </c>
      <c r="L24" s="224">
        <f t="shared" si="1"/>
        <v>0</v>
      </c>
      <c r="M24" s="226"/>
      <c r="N24" s="226"/>
    </row>
    <row r="25">
      <c r="G25" s="6"/>
      <c r="H25" s="227">
        <v>11.0</v>
      </c>
      <c r="I25" s="228" t="s">
        <v>362</v>
      </c>
      <c r="J25" s="219">
        <f>Pointage!M36</f>
        <v>20400</v>
      </c>
      <c r="K25" s="229">
        <v>20500.0</v>
      </c>
      <c r="L25" s="219">
        <f t="shared" si="1"/>
        <v>-100</v>
      </c>
      <c r="M25" s="221"/>
      <c r="N25" s="221"/>
    </row>
    <row r="26">
      <c r="G26" s="6"/>
      <c r="H26" s="231">
        <v>12.0</v>
      </c>
      <c r="I26" s="232" t="s">
        <v>363</v>
      </c>
      <c r="J26" s="224">
        <f>Pointage!N36</f>
        <v>4800</v>
      </c>
      <c r="K26" s="225">
        <v>5000.0</v>
      </c>
      <c r="L26" s="224">
        <f t="shared" si="1"/>
        <v>-200</v>
      </c>
      <c r="M26" s="233" t="s">
        <v>364</v>
      </c>
      <c r="N26" s="226"/>
    </row>
    <row r="27">
      <c r="G27" s="6"/>
      <c r="H27" s="227">
        <v>13.0</v>
      </c>
      <c r="I27" s="228" t="s">
        <v>365</v>
      </c>
      <c r="J27" s="219">
        <f>Pointage!O36</f>
        <v>8000</v>
      </c>
      <c r="K27" s="229">
        <v>8000.0</v>
      </c>
      <c r="L27" s="219">
        <f t="shared" si="1"/>
        <v>0</v>
      </c>
      <c r="M27" s="221"/>
      <c r="N27" s="221"/>
    </row>
    <row r="28">
      <c r="G28" s="6"/>
      <c r="H28" s="231">
        <v>14.0</v>
      </c>
      <c r="I28" s="232" t="s">
        <v>341</v>
      </c>
      <c r="J28" s="224">
        <f>Pointage!P36</f>
        <v>15525</v>
      </c>
      <c r="K28" s="225">
        <v>16000.0</v>
      </c>
      <c r="L28" s="224">
        <f t="shared" si="1"/>
        <v>-475</v>
      </c>
      <c r="M28" s="226"/>
      <c r="N28" s="226"/>
    </row>
    <row r="29">
      <c r="G29" s="6"/>
      <c r="H29" s="227">
        <v>15.0</v>
      </c>
      <c r="I29" s="228" t="s">
        <v>342</v>
      </c>
      <c r="J29" s="219">
        <f>Pointage!Q36</f>
        <v>12610</v>
      </c>
      <c r="K29" s="229">
        <v>13000.0</v>
      </c>
      <c r="L29" s="219">
        <f t="shared" si="1"/>
        <v>-390</v>
      </c>
      <c r="M29" s="230">
        <v>2000.0</v>
      </c>
      <c r="N29" s="221"/>
    </row>
    <row r="30">
      <c r="G30" s="6"/>
      <c r="H30" s="145"/>
      <c r="I30" s="218" t="s">
        <v>366</v>
      </c>
      <c r="J30" s="219">
        <f t="shared" ref="J30:K30" si="2">SUM(J13:J29)</f>
        <v>415721.5</v>
      </c>
      <c r="K30" s="219">
        <f t="shared" si="2"/>
        <v>418000</v>
      </c>
      <c r="L30" s="237">
        <f t="shared" si="1"/>
        <v>-2278.5</v>
      </c>
      <c r="M30" s="238"/>
      <c r="N30" s="238"/>
    </row>
    <row r="31">
      <c r="G31" s="6"/>
      <c r="H31" s="149"/>
      <c r="I31" s="239"/>
      <c r="J31" s="194"/>
      <c r="K31" s="194"/>
      <c r="L31" s="224">
        <f t="shared" si="1"/>
        <v>0</v>
      </c>
      <c r="M31" s="226"/>
      <c r="N31" s="226"/>
    </row>
    <row r="32">
      <c r="G32" s="6"/>
      <c r="H32" s="240"/>
      <c r="I32" s="240"/>
      <c r="J32" s="209"/>
      <c r="K32" s="240"/>
      <c r="L32" s="240"/>
      <c r="M32" s="209"/>
      <c r="N32" s="209"/>
    </row>
    <row r="33">
      <c r="G33" s="6"/>
      <c r="H33" s="211"/>
      <c r="I33" s="211"/>
      <c r="J33" s="211"/>
      <c r="K33" s="211"/>
      <c r="L33" s="211"/>
      <c r="M33" s="241"/>
      <c r="N33" s="241"/>
    </row>
    <row r="34">
      <c r="G34" s="6"/>
      <c r="H34" s="240"/>
      <c r="I34" s="240"/>
      <c r="J34" s="240"/>
      <c r="K34" s="240"/>
      <c r="L34" s="209"/>
      <c r="M34" s="209"/>
      <c r="N34" s="209"/>
    </row>
    <row r="35">
      <c r="G35" s="6"/>
      <c r="H35" s="16"/>
      <c r="I35" s="16"/>
      <c r="J35" s="16"/>
      <c r="K35" s="16"/>
      <c r="L35" s="16"/>
    </row>
    <row r="36">
      <c r="G36" s="6"/>
      <c r="H36" s="6"/>
      <c r="I36" s="6"/>
      <c r="J36" s="6"/>
      <c r="K36" s="6"/>
      <c r="L36" s="6"/>
    </row>
    <row r="37">
      <c r="G37" s="6"/>
      <c r="H37" s="6"/>
      <c r="I37" s="6"/>
      <c r="J37" s="6"/>
      <c r="K37" s="6"/>
      <c r="L37" s="6"/>
    </row>
    <row r="38">
      <c r="G38" s="6"/>
      <c r="H38" s="6"/>
      <c r="I38" s="6"/>
      <c r="J38" s="6"/>
      <c r="K38" s="6"/>
      <c r="L38" s="6"/>
    </row>
    <row r="39">
      <c r="G39" s="6"/>
      <c r="H39" s="6"/>
      <c r="I39" s="6"/>
      <c r="J39" s="6"/>
      <c r="K39" s="6"/>
      <c r="L39" s="6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6.75"/>
    <col customWidth="1" min="5" max="5" width="33.88"/>
    <col customWidth="1" min="6" max="6" width="26.38"/>
    <col customWidth="1" min="7" max="8" width="36.13"/>
    <col customWidth="1" min="9" max="9" width="30.13"/>
    <col customWidth="1" min="10" max="10" width="33.5"/>
    <col customWidth="1" min="11" max="11" width="31.25"/>
    <col customWidth="1" min="12" max="12" width="30.88"/>
    <col customWidth="1" min="13" max="13" width="38.0"/>
    <col customWidth="1" min="14" max="14" width="38.38"/>
  </cols>
  <sheetData>
    <row r="17">
      <c r="D17" s="6"/>
      <c r="E17" s="37"/>
      <c r="F17" s="37"/>
      <c r="G17" s="6"/>
      <c r="H17" s="6"/>
      <c r="I17" s="6"/>
      <c r="J17" s="6"/>
      <c r="K17" s="6"/>
      <c r="L17" s="6"/>
      <c r="M17" s="6"/>
    </row>
    <row r="18">
      <c r="D18" s="30"/>
      <c r="E18" s="242" t="s">
        <v>367</v>
      </c>
      <c r="F18" s="242" t="s">
        <v>368</v>
      </c>
      <c r="G18" s="242" t="s">
        <v>369</v>
      </c>
      <c r="H18" s="242" t="s">
        <v>370</v>
      </c>
      <c r="I18" s="242" t="s">
        <v>371</v>
      </c>
      <c r="J18" s="243" t="s">
        <v>372</v>
      </c>
      <c r="K18" s="242" t="s">
        <v>373</v>
      </c>
      <c r="L18" s="243" t="s">
        <v>374</v>
      </c>
      <c r="M18" s="243" t="s">
        <v>10</v>
      </c>
      <c r="N18" s="244" t="s">
        <v>375</v>
      </c>
    </row>
    <row r="19">
      <c r="D19" s="245" t="s">
        <v>2</v>
      </c>
      <c r="E19" s="63">
        <v>2033000.0</v>
      </c>
      <c r="F19" s="63">
        <v>1859000.0</v>
      </c>
      <c r="G19" s="63">
        <v>2094000.0</v>
      </c>
      <c r="H19" s="63">
        <v>1282000.0</v>
      </c>
      <c r="I19" s="63">
        <v>2077000.0</v>
      </c>
      <c r="J19" s="35">
        <v>2345000.0</v>
      </c>
      <c r="K19" s="63">
        <v>1997000.0</v>
      </c>
      <c r="L19" s="35">
        <v>1772000.0</v>
      </c>
      <c r="M19" s="246">
        <v>1907000.0</v>
      </c>
      <c r="N19" s="246">
        <v>1898000.0</v>
      </c>
    </row>
    <row r="20">
      <c r="D20" s="245" t="s">
        <v>3</v>
      </c>
      <c r="E20" s="63">
        <v>854000.0</v>
      </c>
      <c r="F20" s="63">
        <v>884000.0</v>
      </c>
      <c r="G20" s="63">
        <v>962000.0</v>
      </c>
      <c r="H20" s="63">
        <v>669000.0</v>
      </c>
      <c r="I20" s="63">
        <v>800000.0</v>
      </c>
      <c r="J20" s="35">
        <v>883000.0</v>
      </c>
      <c r="K20" s="63">
        <v>883000.0</v>
      </c>
      <c r="L20" s="35">
        <v>664000.0</v>
      </c>
      <c r="M20" s="35">
        <v>702000.0</v>
      </c>
      <c r="N20" s="246">
        <v>720000.0</v>
      </c>
    </row>
    <row r="21">
      <c r="D21" s="245" t="s">
        <v>376</v>
      </c>
      <c r="E21" s="63">
        <v>427000.0</v>
      </c>
      <c r="F21" s="63">
        <v>409000.0</v>
      </c>
      <c r="G21" s="63">
        <v>439000.0</v>
      </c>
      <c r="H21" s="63">
        <v>338000.0</v>
      </c>
      <c r="I21" s="63">
        <v>385000.0</v>
      </c>
      <c r="J21" s="35">
        <v>365000.0</v>
      </c>
      <c r="K21" s="63">
        <v>392000.0</v>
      </c>
      <c r="L21" s="35">
        <v>370000.0</v>
      </c>
      <c r="M21" s="35">
        <v>367000.0</v>
      </c>
      <c r="N21" s="246">
        <v>416000.0</v>
      </c>
    </row>
    <row r="22">
      <c r="D22" s="245" t="s">
        <v>377</v>
      </c>
      <c r="E22" s="63">
        <v>62000.0</v>
      </c>
      <c r="F22" s="63">
        <v>56000.0</v>
      </c>
      <c r="G22" s="63">
        <v>60000.0</v>
      </c>
      <c r="H22" s="63">
        <v>50000.0</v>
      </c>
      <c r="I22" s="63">
        <v>180000.0</v>
      </c>
      <c r="J22" s="35">
        <v>56000.0</v>
      </c>
      <c r="K22" s="63">
        <v>62000.0</v>
      </c>
      <c r="L22" s="35">
        <v>48000.0</v>
      </c>
      <c r="M22" s="246">
        <v>58000.0</v>
      </c>
      <c r="N22" s="246">
        <v>62000.0</v>
      </c>
    </row>
    <row r="23">
      <c r="D23" s="245" t="s">
        <v>378</v>
      </c>
      <c r="E23" s="63">
        <v>180000.0</v>
      </c>
      <c r="F23" s="63">
        <v>180000.0</v>
      </c>
      <c r="G23" s="63">
        <v>180000.0</v>
      </c>
      <c r="H23" s="63">
        <v>180000.0</v>
      </c>
      <c r="I23" s="63">
        <v>180000.0</v>
      </c>
      <c r="J23" s="35">
        <v>180000.0</v>
      </c>
      <c r="K23" s="63">
        <v>180000.0</v>
      </c>
      <c r="L23" s="35">
        <v>180000.0</v>
      </c>
      <c r="M23" s="35">
        <v>180000.0</v>
      </c>
      <c r="N23" s="246">
        <v>190000.0</v>
      </c>
    </row>
    <row r="24">
      <c r="D24" s="245" t="s">
        <v>379</v>
      </c>
      <c r="E24" s="63">
        <f t="shared" ref="E24:N24" si="1">E19-E20-E21-E22-E23</f>
        <v>510000</v>
      </c>
      <c r="F24" s="63">
        <f t="shared" si="1"/>
        <v>330000</v>
      </c>
      <c r="G24" s="63">
        <f t="shared" si="1"/>
        <v>453000</v>
      </c>
      <c r="H24" s="63">
        <f t="shared" si="1"/>
        <v>45000</v>
      </c>
      <c r="I24" s="63">
        <f t="shared" si="1"/>
        <v>532000</v>
      </c>
      <c r="J24" s="35">
        <f t="shared" si="1"/>
        <v>861000</v>
      </c>
      <c r="K24" s="63">
        <f t="shared" si="1"/>
        <v>480000</v>
      </c>
      <c r="L24" s="35">
        <f t="shared" si="1"/>
        <v>510000</v>
      </c>
      <c r="M24" s="35">
        <f t="shared" si="1"/>
        <v>600000</v>
      </c>
      <c r="N24" s="35">
        <f t="shared" si="1"/>
        <v>510000</v>
      </c>
    </row>
    <row r="25">
      <c r="D25" s="6"/>
      <c r="E25" s="6"/>
      <c r="F25" s="6"/>
      <c r="G25" s="6"/>
      <c r="H25" s="6"/>
      <c r="I25" s="6"/>
      <c r="J25" s="6"/>
      <c r="K25" s="6"/>
      <c r="L25" s="6"/>
      <c r="M25" s="6"/>
    </row>
    <row r="26">
      <c r="D26" s="6"/>
      <c r="E26" s="6"/>
      <c r="F26" s="6"/>
      <c r="G26" s="6"/>
      <c r="H26" s="6"/>
      <c r="I26" s="6"/>
      <c r="J26" s="6"/>
      <c r="K26" s="6"/>
      <c r="L26" s="6"/>
      <c r="M26" s="6"/>
    </row>
    <row r="27">
      <c r="D27" s="6"/>
      <c r="E27" s="6"/>
      <c r="F27" s="6"/>
      <c r="G27" s="6"/>
      <c r="H27" s="6"/>
      <c r="I27" s="6"/>
      <c r="J27" s="6"/>
      <c r="K27" s="6"/>
      <c r="L27" s="6"/>
      <c r="M27" s="6"/>
    </row>
    <row r="28">
      <c r="D28" s="6"/>
      <c r="E28" s="6"/>
      <c r="F28" s="6"/>
      <c r="G28" s="6"/>
      <c r="H28" s="6"/>
      <c r="I28" s="6"/>
      <c r="J28" s="6"/>
      <c r="K28" s="6"/>
      <c r="L28" s="6"/>
      <c r="M28" s="6"/>
    </row>
    <row r="29">
      <c r="D29" s="6"/>
      <c r="E29" s="6"/>
      <c r="F29" s="6"/>
      <c r="G29" s="6"/>
      <c r="H29" s="6"/>
      <c r="I29" s="6"/>
      <c r="J29" s="6"/>
      <c r="K29" s="6"/>
      <c r="L29" s="6"/>
      <c r="M29" s="6"/>
    </row>
    <row r="30">
      <c r="D30" s="6"/>
      <c r="E30" s="6"/>
      <c r="F30" s="6"/>
      <c r="G30" s="6"/>
      <c r="H30" s="247" t="s">
        <v>380</v>
      </c>
      <c r="I30" s="6"/>
      <c r="J30" s="6"/>
      <c r="K30" s="6"/>
      <c r="L30" s="6"/>
      <c r="M30" s="6"/>
    </row>
    <row r="31">
      <c r="D31" s="6"/>
      <c r="E31" s="6"/>
      <c r="F31" s="6"/>
      <c r="G31" s="245" t="s">
        <v>2</v>
      </c>
      <c r="H31" s="248">
        <v>1898000.0</v>
      </c>
      <c r="I31" s="6"/>
      <c r="J31" s="6"/>
      <c r="K31" s="6"/>
      <c r="L31" s="6"/>
      <c r="M31" s="6"/>
    </row>
    <row r="32">
      <c r="D32" s="6"/>
      <c r="E32" s="6"/>
      <c r="F32" s="6"/>
      <c r="G32" s="245" t="s">
        <v>3</v>
      </c>
      <c r="H32" s="248">
        <v>720000.0</v>
      </c>
      <c r="I32" s="6"/>
      <c r="J32" s="6"/>
      <c r="K32" s="6"/>
      <c r="L32" s="6"/>
      <c r="M32" s="6"/>
    </row>
    <row r="33">
      <c r="D33" s="6"/>
      <c r="E33" s="6"/>
      <c r="F33" s="6"/>
      <c r="G33" s="245" t="s">
        <v>376</v>
      </c>
      <c r="H33" s="248">
        <v>416000.0</v>
      </c>
      <c r="I33" s="6"/>
      <c r="J33" s="6"/>
      <c r="K33" s="6"/>
      <c r="L33" s="6"/>
      <c r="M33" s="6"/>
    </row>
    <row r="34">
      <c r="D34" s="6"/>
      <c r="E34" s="6"/>
      <c r="F34" s="6"/>
      <c r="G34" s="245" t="s">
        <v>377</v>
      </c>
      <c r="H34" s="248">
        <v>62000.0</v>
      </c>
      <c r="I34" s="6"/>
      <c r="J34" s="6"/>
      <c r="K34" s="6"/>
      <c r="L34" s="6"/>
      <c r="M34" s="6"/>
    </row>
    <row r="35">
      <c r="D35" s="6"/>
      <c r="E35" s="6"/>
      <c r="F35" s="6"/>
      <c r="G35" s="245" t="s">
        <v>378</v>
      </c>
      <c r="H35" s="248">
        <v>190000.0</v>
      </c>
      <c r="I35" s="6"/>
      <c r="J35" s="6"/>
      <c r="K35" s="6"/>
      <c r="L35" s="6"/>
      <c r="M35" s="6"/>
    </row>
    <row r="36">
      <c r="D36" s="6"/>
      <c r="E36" s="6"/>
      <c r="F36" s="6"/>
      <c r="G36" s="245" t="s">
        <v>379</v>
      </c>
      <c r="H36" s="63">
        <f>H31-H32-H33-H34-H35</f>
        <v>510000</v>
      </c>
      <c r="I36" s="6"/>
      <c r="J36" s="6"/>
      <c r="K36" s="6"/>
      <c r="L36" s="6"/>
      <c r="M36" s="6"/>
    </row>
    <row r="37">
      <c r="D37" s="6"/>
      <c r="E37" s="6"/>
      <c r="F37" s="6"/>
      <c r="G37" s="6"/>
      <c r="H37" s="6"/>
      <c r="I37" s="6"/>
      <c r="J37" s="6"/>
      <c r="K37" s="6"/>
      <c r="L37" s="6"/>
      <c r="M37" s="6"/>
    </row>
    <row r="38">
      <c r="D38" s="6"/>
      <c r="E38" s="6"/>
      <c r="F38" s="6"/>
      <c r="G38" s="6"/>
      <c r="H38" s="6"/>
      <c r="I38" s="6"/>
      <c r="J38" s="6"/>
      <c r="K38" s="6"/>
      <c r="L38" s="6"/>
      <c r="M38" s="6"/>
    </row>
    <row r="39">
      <c r="D39" s="6"/>
      <c r="E39" s="6"/>
      <c r="F39" s="6"/>
      <c r="G39" s="6"/>
      <c r="H39" s="6"/>
      <c r="I39" s="6"/>
      <c r="J39" s="6"/>
      <c r="K39" s="6"/>
      <c r="L39" s="6"/>
      <c r="M39" s="6"/>
    </row>
  </sheetData>
  <drawing r:id="rId1"/>
</worksheet>
</file>