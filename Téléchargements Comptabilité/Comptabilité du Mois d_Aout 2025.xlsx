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Les Salaires" sheetId="4" r:id="rId7"/>
    <sheet state="visible" name="Comparaison entre les Mois " sheetId="5" r:id="rId8"/>
  </sheets>
  <definedNames/>
  <calcPr/>
</workbook>
</file>

<file path=xl/sharedStrings.xml><?xml version="1.0" encoding="utf-8"?>
<sst xmlns="http://schemas.openxmlformats.org/spreadsheetml/2006/main" count="636" uniqueCount="414">
  <si>
    <t>Date</t>
  </si>
  <si>
    <t>Recette Juillet  2025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</si>
  <si>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</si>
  <si>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</si>
  <si>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</si>
  <si>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</si>
  <si>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</si>
  <si>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</si>
  <si>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</si>
  <si>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</si>
  <si>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de Juillet  2025</t>
  </si>
  <si>
    <t>Vendredi</t>
  </si>
  <si>
    <t>Samedi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</si>
  <si>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</si>
  <si>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</si>
  <si>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</si>
  <si>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</si>
  <si>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Dimanche</t>
  </si>
  <si>
    <t>Lundi</t>
  </si>
  <si>
    <t>Mardi</t>
  </si>
  <si>
    <t xml:space="preserve">Moyenne des charges par jour </t>
  </si>
  <si>
    <t xml:space="preserve">Objectif </t>
  </si>
  <si>
    <t xml:space="preserve">Mercredi </t>
  </si>
  <si>
    <t>Jeudi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</si>
  <si>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</si>
  <si>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</si>
  <si>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</si>
  <si>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</si>
  <si>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</si>
  <si>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</si>
  <si>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</si>
  <si>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>La caisse :16000DA</t>
  </si>
  <si>
    <t>CCP:100000Da</t>
  </si>
  <si>
    <t>Dus Non payés: 115000Da</t>
  </si>
  <si>
    <t>Facture Toufik DZ Event: 117000Da</t>
  </si>
  <si>
    <t>Différence mois de Décembre</t>
  </si>
  <si>
    <t>chahrazed Baraki: 40600 Da</t>
  </si>
  <si>
    <t>Sofiane Wise: 43euro =11000Da</t>
  </si>
  <si>
    <t xml:space="preserve">Différence objectif </t>
  </si>
  <si>
    <t xml:space="preserve">Cash PorteFeuille : 60000Da </t>
  </si>
  <si>
    <t xml:space="preserve">Différence du Totale </t>
  </si>
  <si>
    <t xml:space="preserve">Les vendredis </t>
  </si>
  <si>
    <t>rest à payer</t>
  </si>
  <si>
    <t>Loyer Magasin</t>
  </si>
  <si>
    <t xml:space="preserve">Loyer Locale </t>
  </si>
  <si>
    <t xml:space="preserve">Sofiane Maison </t>
  </si>
  <si>
    <t>Papa</t>
  </si>
  <si>
    <t>Dette Papa</t>
  </si>
  <si>
    <t>-</t>
  </si>
  <si>
    <t>Produit</t>
  </si>
  <si>
    <t>Quantité</t>
  </si>
  <si>
    <t xml:space="preserve">Prix unitaire </t>
  </si>
  <si>
    <t>Prix</t>
  </si>
  <si>
    <t>Date d'achat</t>
  </si>
  <si>
    <t>Canette Hamoud Annanas</t>
  </si>
  <si>
    <t xml:space="preserve">Boissons </t>
  </si>
  <si>
    <t>Canette Hamoud Orange</t>
  </si>
  <si>
    <t>Canette Hamoud Pomme</t>
  </si>
  <si>
    <t>Canette Hamoud citron</t>
  </si>
  <si>
    <t>Canette Hamoud poire</t>
  </si>
  <si>
    <t xml:space="preserve">Canette Hamoud pèche </t>
  </si>
  <si>
    <t>Canette Hamoud Litchi</t>
  </si>
  <si>
    <t xml:space="preserve">Canette Hamoud Blanc </t>
  </si>
  <si>
    <t>Canette Hamoud Selecto</t>
  </si>
  <si>
    <t xml:space="preserve">Canette Hamoud Cola </t>
  </si>
  <si>
    <t xml:space="preserve">Canette Shwepess Grenadine </t>
  </si>
  <si>
    <t>canette Shwepess Citron</t>
  </si>
  <si>
    <t>Canette Shwepes Gold</t>
  </si>
  <si>
    <t xml:space="preserve">Canette Coca Cola </t>
  </si>
  <si>
    <t xml:space="preserve">Canette Izem Blanc  Noix de Coco / Mertylle </t>
  </si>
  <si>
    <t>Canette Izem Violet Cerise</t>
  </si>
  <si>
    <t>Canette Izem Bleu</t>
  </si>
  <si>
    <t xml:space="preserve">Canette Izem Noir </t>
  </si>
  <si>
    <t>Canette Izem Rouge</t>
  </si>
  <si>
    <t>Canette Sprit</t>
  </si>
  <si>
    <t xml:space="preserve">Canette Fanta Orange </t>
  </si>
  <si>
    <t xml:space="preserve">Hamoud Bouteille Blanc </t>
  </si>
  <si>
    <t xml:space="preserve">Hamoud Bouteille Orange </t>
  </si>
  <si>
    <t xml:space="preserve">Hamoud Bouteille Cola </t>
  </si>
  <si>
    <t xml:space="preserve">Jus Tchina Orange </t>
  </si>
  <si>
    <t>Jus Rouiba 20cl</t>
  </si>
  <si>
    <t>Eau Miniral 0.5</t>
  </si>
  <si>
    <t>Hamoud Bouteille pomme</t>
  </si>
  <si>
    <t>Semoule Fine 25kg</t>
  </si>
  <si>
    <t>Payée  le 10/08/2025</t>
  </si>
  <si>
    <t xml:space="preserve">Transport et Manutention </t>
  </si>
  <si>
    <t>Semoule Moula Gros 10kg</t>
  </si>
  <si>
    <t>Semoule Moula moyenne 10kg</t>
  </si>
  <si>
    <t>Faine Makam 10kg</t>
  </si>
  <si>
    <t>Farine Sousimie 5kg</t>
  </si>
  <si>
    <t>Chocolat Wedjedane au Lait</t>
  </si>
  <si>
    <t>Chocolat wedjedane au lait</t>
  </si>
  <si>
    <t>Chocolat wedjedane Blanc</t>
  </si>
  <si>
    <t>Chocolat wedjedane Noir</t>
  </si>
  <si>
    <t xml:space="preserve">Chocolat wedjedane Noisette </t>
  </si>
  <si>
    <t>Margarine Feuilletage 500g</t>
  </si>
  <si>
    <t>Sucre cristalisé 25kg</t>
  </si>
  <si>
    <t xml:space="preserve">Amande marron </t>
  </si>
  <si>
    <t xml:space="preserve">Khel </t>
  </si>
  <si>
    <t>avoine</t>
  </si>
  <si>
    <t>Pate d'arome Maa Zehar</t>
  </si>
  <si>
    <t>pate d'arome citron</t>
  </si>
  <si>
    <t>pate d'arome beuure vanille</t>
  </si>
  <si>
    <t>Amande moulu</t>
  </si>
  <si>
    <t xml:space="preserve">La commande de chebah Sofera annulée </t>
  </si>
  <si>
    <t>Levure Boulangère Staf Intense 500g</t>
  </si>
  <si>
    <t>pate à sucre</t>
  </si>
  <si>
    <t>Crème chocolat Mordjane 700g</t>
  </si>
  <si>
    <t xml:space="preserve">pate à tartiner Mordjane </t>
  </si>
  <si>
    <t xml:space="preserve">Crème liquide 4 fromages </t>
  </si>
  <si>
    <t>Fromage spéciale pizza</t>
  </si>
  <si>
    <t xml:space="preserve">olive noir </t>
  </si>
  <si>
    <t>Olive coupé</t>
  </si>
  <si>
    <t>Olive dényauté</t>
  </si>
  <si>
    <t>Maiizina</t>
  </si>
  <si>
    <t xml:space="preserve">Huile 5 Litres </t>
  </si>
  <si>
    <t>Semen 1,8</t>
  </si>
  <si>
    <t>cgiffon serpièrre brosse</t>
  </si>
  <si>
    <t>viande hachée</t>
  </si>
  <si>
    <t>Pate à Filo</t>
  </si>
  <si>
    <t>Tomate Conserve</t>
  </si>
  <si>
    <t>Harrissa 1kg</t>
  </si>
  <si>
    <t>Gherss Safari</t>
  </si>
  <si>
    <t>Farine Sim 1kg</t>
  </si>
  <si>
    <t>Crème liquide Maitre culinaire</t>
  </si>
  <si>
    <t xml:space="preserve">Serviette en papaier </t>
  </si>
  <si>
    <t>Boites 48/10</t>
  </si>
  <si>
    <t>Boites 48/07</t>
  </si>
  <si>
    <t>Boites Num 36</t>
  </si>
  <si>
    <t>Boites num 24</t>
  </si>
  <si>
    <t>Boites num 18</t>
  </si>
  <si>
    <t>Boites Plateau 40/60</t>
  </si>
  <si>
    <t>Boites demie plateau 30/40</t>
  </si>
  <si>
    <t>Boite 12</t>
  </si>
  <si>
    <t>Boite 08</t>
  </si>
  <si>
    <t>Boites 500ccl</t>
  </si>
  <si>
    <t>sachets pain tranparents</t>
  </si>
  <si>
    <t>Sac croissant N23</t>
  </si>
  <si>
    <t>Sac croissant 18</t>
  </si>
  <si>
    <t>Sac Croissant Num 14</t>
  </si>
  <si>
    <t>Quissetes Num 8</t>
  </si>
  <si>
    <t>quissetes blanc num 10</t>
  </si>
  <si>
    <t>quissetes blanc num 12</t>
  </si>
  <si>
    <t>Barquettes 1185</t>
  </si>
  <si>
    <t>Barquettes 1065</t>
  </si>
  <si>
    <t>cuillères petis</t>
  </si>
  <si>
    <t>Sachets de congulation</t>
  </si>
  <si>
    <t>Boites Patisserie num 24</t>
  </si>
  <si>
    <t>Motif Bébé Boy</t>
  </si>
  <si>
    <t>Cerise confit</t>
  </si>
  <si>
    <t>poches à douille</t>
  </si>
  <si>
    <t>Dentelle simple Oronza 4,5</t>
  </si>
  <si>
    <t>Dentelle cellophane 4,5</t>
  </si>
  <si>
    <t>Dentelle cellophane 5,5</t>
  </si>
  <si>
    <t xml:space="preserve">goblets </t>
  </si>
  <si>
    <t xml:space="preserve">douzettes de sucre </t>
  </si>
  <si>
    <t>boites Raib</t>
  </si>
  <si>
    <t>Cheddar</t>
  </si>
  <si>
    <t>Fromage Bidon 3.8kg</t>
  </si>
  <si>
    <t xml:space="preserve">Poivre noir </t>
  </si>
  <si>
    <t>Jingembre</t>
  </si>
  <si>
    <t>épice poulet</t>
  </si>
  <si>
    <t>Maa zehar</t>
  </si>
  <si>
    <t>Mrgarine Fleurial 500g</t>
  </si>
  <si>
    <t>Sucre glace Mordjane</t>
  </si>
  <si>
    <t>Topy Caramel 3kg</t>
  </si>
  <si>
    <t>Tofia Caramel 2kg</t>
  </si>
  <si>
    <t>Pain Tacos</t>
  </si>
  <si>
    <t>lait en poudre</t>
  </si>
  <si>
    <t>thon 2kg</t>
  </si>
  <si>
    <t>Thon 1kg</t>
  </si>
  <si>
    <t>Maiis 750g</t>
  </si>
  <si>
    <t>Amandes Blanc</t>
  </si>
  <si>
    <t>Noix</t>
  </si>
  <si>
    <t>Plateaux gateaux</t>
  </si>
  <si>
    <t>plateaux avec tule</t>
  </si>
  <si>
    <t>sanoudj</t>
  </si>
  <si>
    <t xml:space="preserve">7abet 7alawa </t>
  </si>
  <si>
    <t>Noix noir</t>
  </si>
  <si>
    <t>Levure chimique</t>
  </si>
  <si>
    <t>Sucre roux</t>
  </si>
  <si>
    <t>Confiture 1kg</t>
  </si>
  <si>
    <t>Amandes Moulu</t>
  </si>
  <si>
    <t>Papier Aluminium  180m</t>
  </si>
  <si>
    <t>Vanille Baraka 4kg</t>
  </si>
  <si>
    <t>noix de coco</t>
  </si>
  <si>
    <t>Nakkach</t>
  </si>
  <si>
    <t>rechta</t>
  </si>
  <si>
    <t>oeufs</t>
  </si>
  <si>
    <t>poivre+ poivron + tomate fraiche</t>
  </si>
  <si>
    <t>barquettes</t>
  </si>
  <si>
    <t xml:space="preserve">pomme de terre </t>
  </si>
  <si>
    <t>deyoul</t>
  </si>
  <si>
    <t>Hamissa</t>
  </si>
  <si>
    <t>cuisses</t>
  </si>
  <si>
    <t xml:space="preserve">blanc de poulet + poulet haché+ escalope </t>
  </si>
  <si>
    <t>plateaux oeufs</t>
  </si>
  <si>
    <t xml:space="preserve">cuissses </t>
  </si>
  <si>
    <t xml:space="preserve">courgette </t>
  </si>
  <si>
    <t>Navet</t>
  </si>
  <si>
    <t>viande morceaux</t>
  </si>
  <si>
    <t>coriandre + persil</t>
  </si>
  <si>
    <t>samedi + dimanche</t>
  </si>
  <si>
    <t>pate feuilletée</t>
  </si>
  <si>
    <t>les enveloppes</t>
  </si>
  <si>
    <t>Poelle</t>
  </si>
  <si>
    <t>cuillère + forchette</t>
  </si>
  <si>
    <t>rechtaa</t>
  </si>
  <si>
    <t>salade</t>
  </si>
  <si>
    <t xml:space="preserve">blanc de poulet </t>
  </si>
  <si>
    <t>poivre</t>
  </si>
  <si>
    <t>tomate fraiche</t>
  </si>
  <si>
    <t>Légumes</t>
  </si>
  <si>
    <t>storm magasin</t>
  </si>
  <si>
    <t>Tomate Fraiche</t>
  </si>
  <si>
    <t xml:space="preserve">Poivre </t>
  </si>
  <si>
    <t xml:space="preserve">Bons de Livraison </t>
  </si>
  <si>
    <t>Rechta</t>
  </si>
  <si>
    <t xml:space="preserve">demie cuisses </t>
  </si>
  <si>
    <t>Cuisses</t>
  </si>
  <si>
    <t>Bessel 164+147</t>
  </si>
  <si>
    <t>Tomate Fraiche 20+20</t>
  </si>
  <si>
    <t>Salade</t>
  </si>
  <si>
    <t>Heech Yasmine Vendredi</t>
  </si>
  <si>
    <t>Livraison Sofiane + Thé</t>
  </si>
  <si>
    <t>SOS CAFARDS Dette</t>
  </si>
  <si>
    <t>cuisses de poulet</t>
  </si>
  <si>
    <t xml:space="preserve">légumes navet + courgette </t>
  </si>
  <si>
    <t xml:space="preserve">Blanc de poulet </t>
  </si>
  <si>
    <t xml:space="preserve">Livraison + Manutention </t>
  </si>
  <si>
    <t>Poulet Haché</t>
  </si>
  <si>
    <t>Manchons</t>
  </si>
  <si>
    <t>Boites 36</t>
  </si>
  <si>
    <t>Boits 24</t>
  </si>
  <si>
    <t xml:space="preserve">Beuure </t>
  </si>
  <si>
    <t>plateau oeufs</t>
  </si>
  <si>
    <t>pipites chocolat</t>
  </si>
  <si>
    <t>Blanc de poulet</t>
  </si>
  <si>
    <t xml:space="preserve">poubelle </t>
  </si>
  <si>
    <t>olive</t>
  </si>
  <si>
    <t>Viande Hachée</t>
  </si>
  <si>
    <t>viande morceaux 150g</t>
  </si>
  <si>
    <t>viande d'agneau 1700Da/kg</t>
  </si>
  <si>
    <t>raisins sec 50g</t>
  </si>
  <si>
    <t>abricot</t>
  </si>
  <si>
    <t>Prunes</t>
  </si>
  <si>
    <t>motifs fleur</t>
  </si>
  <si>
    <t>orgonza</t>
  </si>
  <si>
    <t>quissetes Dorés</t>
  </si>
  <si>
    <t>légume</t>
  </si>
  <si>
    <t>Thon</t>
  </si>
  <si>
    <t xml:space="preserve">Salade </t>
  </si>
  <si>
    <t>persil + coriandre+ menth</t>
  </si>
  <si>
    <t>Citron</t>
  </si>
  <si>
    <t>Canelle</t>
  </si>
  <si>
    <t xml:space="preserve">Amina Baghrir Mois de Juillet </t>
  </si>
  <si>
    <t>Sofiane Traveaux</t>
  </si>
  <si>
    <t>reste 8000Da</t>
  </si>
  <si>
    <t>Islem Jolie Vue</t>
  </si>
  <si>
    <t>Boits Plateaux</t>
  </si>
  <si>
    <t>Ananas confit</t>
  </si>
  <si>
    <t>raisisns</t>
  </si>
  <si>
    <t>Nectarine</t>
  </si>
  <si>
    <t xml:space="preserve">citron </t>
  </si>
  <si>
    <t>Pistache</t>
  </si>
  <si>
    <t>Chantully</t>
  </si>
  <si>
    <t>Tomate cerise</t>
  </si>
  <si>
    <t>Viande hachée</t>
  </si>
  <si>
    <t>poulet haché + blanc de poulet</t>
  </si>
  <si>
    <t>Plateaux Oeufs</t>
  </si>
  <si>
    <t>pépites de chocolat</t>
  </si>
  <si>
    <t>Barquetts 1320</t>
  </si>
  <si>
    <t>Grain de sésame</t>
  </si>
  <si>
    <t>Noix de Cajou</t>
  </si>
  <si>
    <t>Cristo</t>
  </si>
  <si>
    <t>Olive Noir</t>
  </si>
  <si>
    <t xml:space="preserve">Nappage </t>
  </si>
  <si>
    <t>boites 48/10</t>
  </si>
  <si>
    <t>Moh Marché</t>
  </si>
  <si>
    <t>Boites 24</t>
  </si>
  <si>
    <t>Boites 18</t>
  </si>
  <si>
    <t>Deyoul</t>
  </si>
  <si>
    <t>viande Hachée</t>
  </si>
  <si>
    <t>Deoul</t>
  </si>
  <si>
    <t>boites 500 ccl</t>
  </si>
  <si>
    <t>Huile Elio 5 litres</t>
  </si>
  <si>
    <t>nectarine + raisins</t>
  </si>
  <si>
    <t xml:space="preserve">chakhechoukhate dhfer </t>
  </si>
  <si>
    <t>Lentille</t>
  </si>
  <si>
    <t>poulet haché</t>
  </si>
  <si>
    <t>Plateaux oeufs</t>
  </si>
  <si>
    <t>légumes</t>
  </si>
  <si>
    <t>loubya</t>
  </si>
  <si>
    <t>Huile 5 litres</t>
  </si>
  <si>
    <t>Farine Sosimie 5kg</t>
  </si>
  <si>
    <t>champignion</t>
  </si>
  <si>
    <t xml:space="preserve">cousscous Blé complet </t>
  </si>
  <si>
    <t>Terida</t>
  </si>
  <si>
    <t>Boites Num 08</t>
  </si>
  <si>
    <t>Boites Num 18</t>
  </si>
  <si>
    <t>Boites Num 24</t>
  </si>
  <si>
    <t>Boites 500 ccl</t>
  </si>
  <si>
    <t>Miel 2kg</t>
  </si>
  <si>
    <t>Miel 1kg</t>
  </si>
  <si>
    <t>Papiercuisson</t>
  </si>
  <si>
    <t>Fromage</t>
  </si>
  <si>
    <t>Papier transparent</t>
  </si>
  <si>
    <t>Déboucheur</t>
  </si>
  <si>
    <t xml:space="preserve">Betrave </t>
  </si>
  <si>
    <t xml:space="preserve">Persil  </t>
  </si>
  <si>
    <t>Poire</t>
  </si>
  <si>
    <t>Pain</t>
  </si>
  <si>
    <t>Poivre</t>
  </si>
  <si>
    <t xml:space="preserve">Tomate </t>
  </si>
  <si>
    <t>Tomate Fraiche dure</t>
  </si>
  <si>
    <t>Huile d'Olive</t>
  </si>
  <si>
    <t>Ail</t>
  </si>
  <si>
    <t xml:space="preserve">Viande d'agneau </t>
  </si>
  <si>
    <t>Viande Morceaux</t>
  </si>
  <si>
    <t>Concombre</t>
  </si>
  <si>
    <t>Carotte</t>
  </si>
  <si>
    <t xml:space="preserve">Prune </t>
  </si>
  <si>
    <t>Abricot</t>
  </si>
  <si>
    <t xml:space="preserve">Raisins sec  </t>
  </si>
  <si>
    <t>Amandes éffilet</t>
  </si>
  <si>
    <t>Assiette</t>
  </si>
  <si>
    <t>Olive Mélande</t>
  </si>
  <si>
    <t>Maiis</t>
  </si>
  <si>
    <t xml:space="preserve">Coriandre  </t>
  </si>
  <si>
    <t>Frik</t>
  </si>
  <si>
    <t>épice chorba</t>
  </si>
  <si>
    <t>Cannelle</t>
  </si>
  <si>
    <t>Poerte Mangé</t>
  </si>
  <si>
    <t>les quissettes doré</t>
  </si>
  <si>
    <t>Barquette 1065</t>
  </si>
  <si>
    <t>Livraison les dunes</t>
  </si>
  <si>
    <t>Olive coupée</t>
  </si>
  <si>
    <t>Miel 5kg</t>
  </si>
  <si>
    <t xml:space="preserve">isis </t>
  </si>
  <si>
    <t>Bingo</t>
  </si>
  <si>
    <t>Lait en poudre</t>
  </si>
  <si>
    <t xml:space="preserve">Sucre Glace </t>
  </si>
  <si>
    <t>Harrissa</t>
  </si>
  <si>
    <t>Maa Zehar</t>
  </si>
  <si>
    <t>amande blanc</t>
  </si>
  <si>
    <t>Force Express</t>
  </si>
  <si>
    <t xml:space="preserve">Complément de salaire Mois d'Aout </t>
  </si>
  <si>
    <t>Abderrahman Comptable</t>
  </si>
  <si>
    <t>Impots Mois d'Aout</t>
  </si>
  <si>
    <t>Complément de Salaires Mois de Juillet</t>
  </si>
  <si>
    <t>Saida</t>
  </si>
  <si>
    <t xml:space="preserve">Fatiha </t>
  </si>
  <si>
    <t>Samira Z</t>
  </si>
  <si>
    <t>Souad</t>
  </si>
  <si>
    <t xml:space="preserve">Yasmine </t>
  </si>
  <si>
    <t xml:space="preserve">Zohra </t>
  </si>
  <si>
    <t>Lynda</t>
  </si>
  <si>
    <t xml:space="preserve">Amina </t>
  </si>
  <si>
    <t>Ahlem</t>
  </si>
  <si>
    <t>Samira</t>
  </si>
  <si>
    <t>Zahia</t>
  </si>
  <si>
    <t>Nacera</t>
  </si>
  <si>
    <t>Houda</t>
  </si>
  <si>
    <t>Israa</t>
  </si>
  <si>
    <t>Ikram</t>
  </si>
  <si>
    <t>Fella</t>
  </si>
  <si>
    <t>Bacup</t>
  </si>
  <si>
    <t>8 jours Congé Pour Zohra Mois de Juillet souad over time minimum 1,5 heurs / jour  et Nacera overtime+ 3 jours de  juillet*</t>
  </si>
  <si>
    <t>Saida et Isrraa djaw à 09h30</t>
  </si>
  <si>
    <t xml:space="preserve">overtilme </t>
  </si>
  <si>
    <t>chiraz</t>
  </si>
  <si>
    <t>zohra overtime</t>
  </si>
  <si>
    <t>Fatiha sa journée + over time</t>
  </si>
  <si>
    <t xml:space="preserve">Salaires </t>
  </si>
  <si>
    <t>Saida lui reste 3 jours non Payée de son congé</t>
  </si>
  <si>
    <t xml:space="preserve">Zohra c'est bon edate 8 jours </t>
  </si>
  <si>
    <t xml:space="preserve">Yasmine 8 jours elle lui reste 7 jours </t>
  </si>
  <si>
    <t>Fatiha lui reste une journéee de congé</t>
  </si>
  <si>
    <t xml:space="preserve">Heures Suplémentaires + 3 jours de juillets </t>
  </si>
  <si>
    <t>OFF</t>
  </si>
  <si>
    <t>Double journée</t>
  </si>
  <si>
    <t>Demie journée autorisée</t>
  </si>
  <si>
    <t>Totale</t>
  </si>
  <si>
    <t>Avance</t>
  </si>
  <si>
    <t>Reste à payer</t>
  </si>
  <si>
    <t>8 heures suplémentaires</t>
  </si>
  <si>
    <t>Double Journée</t>
  </si>
  <si>
    <t xml:space="preserve">Nom </t>
  </si>
  <si>
    <t xml:space="preserve">Salaire à payer </t>
  </si>
  <si>
    <t xml:space="preserve">Sofiane </t>
  </si>
  <si>
    <t>Amel</t>
  </si>
  <si>
    <t>8000+8000</t>
  </si>
  <si>
    <t>Fatiha</t>
  </si>
  <si>
    <t>6000+1000+1000+3000+1000+</t>
  </si>
  <si>
    <t>Samira z</t>
  </si>
  <si>
    <t>25000+5000   reste -9000</t>
  </si>
  <si>
    <t>Yasmine</t>
  </si>
  <si>
    <t>Amina</t>
  </si>
  <si>
    <t>6000+22000</t>
  </si>
  <si>
    <t>Backup</t>
  </si>
  <si>
    <t>2000+7000</t>
  </si>
  <si>
    <t>TOTAL</t>
  </si>
  <si>
    <t>Mois de Janvier 2025</t>
  </si>
  <si>
    <t>Mois de Février  2025</t>
  </si>
  <si>
    <t>Mois de Mars  2025</t>
  </si>
  <si>
    <t>Mois d'Avril  2025</t>
  </si>
  <si>
    <t>Mois de Mai  2025</t>
  </si>
  <si>
    <t>Mois de Juin 2025</t>
  </si>
  <si>
    <t>Mois d'Aout 2025</t>
  </si>
  <si>
    <t>Salaires</t>
  </si>
  <si>
    <t xml:space="preserve">Che7i7a </t>
  </si>
  <si>
    <t>Loyer+Dettes</t>
  </si>
  <si>
    <t xml:space="preserve">Profit Net </t>
  </si>
  <si>
    <t>Mois d'Août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</si>
</sst>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€-1]"/>
    <numFmt numFmtId="165" formatCode="dd/mm/yyyy"/>
    <numFmt numFmtId="166" formatCode="#,##0.00\ [$€-1]"/>
    <numFmt numFmtId="167" formatCode="&quot;$&quot;#,##0.00"/>
  </numFmts>
  <fonts count="2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20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17.0"/>
      <color theme="1"/>
      <name val="Arial"/>
    </font>
    <font>
      <b/>
      <sz val="20.0"/>
      <color theme="1"/>
      <name val="Arial"/>
    </font>
    <font>
      <b/>
      <sz val="24.0"/>
      <color theme="1"/>
      <name val="Arial"/>
    </font>
    <font/>
    <font>
      <sz val="19.0"/>
      <color rgb="FF434343"/>
      <name val="Roboto"/>
    </font>
    <font>
      <sz val="20.0"/>
      <color theme="1"/>
      <name val="Arial"/>
      <scheme val="minor"/>
    </font>
    <font>
      <sz val="19.0"/>
      <color theme="1"/>
      <name val="Arial"/>
      <scheme val="minor"/>
    </font>
    <font>
      <sz val="18.0"/>
      <color rgb="FF434343"/>
      <name val="Arial"/>
    </font>
    <font>
      <sz val="17.0"/>
      <color rgb="FF434343"/>
      <name val="Arial"/>
    </font>
    <font>
      <sz val="24.0"/>
      <color theme="1"/>
      <name val="Arial"/>
    </font>
    <font>
      <sz val="19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b/>
      <sz val="17.0"/>
      <color theme="1"/>
      <name val="Arial"/>
    </font>
    <font>
      <b/>
      <sz val="27.0"/>
      <color theme="1"/>
      <name val="Arial"/>
    </font>
    <font>
      <sz val="18.0"/>
      <color theme="1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sz val="17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6" fontId="3" numFmtId="166" xfId="0" applyAlignment="1" applyBorder="1" applyFill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vertical="bottom"/>
    </xf>
    <xf borderId="0" fillId="6" fontId="1" numFmtId="0" xfId="0" applyAlignment="1" applyFont="1">
      <alignment vertical="bottom"/>
    </xf>
    <xf borderId="1" fillId="6" fontId="1" numFmtId="166" xfId="0" applyAlignment="1" applyBorder="1" applyFont="1" applyNumberFormat="1">
      <alignment vertical="bottom"/>
    </xf>
    <xf borderId="3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6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6" fontId="1" numFmtId="164" xfId="0" applyAlignment="1" applyBorder="1" applyFont="1" applyNumberFormat="1">
      <alignment vertical="bottom"/>
    </xf>
    <xf borderId="1" fillId="6" fontId="3" numFmtId="0" xfId="0" applyAlignment="1" applyBorder="1" applyFont="1">
      <alignment horizontal="center" vertical="bottom"/>
    </xf>
    <xf borderId="4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6" fontId="3" numFmtId="0" xfId="0" applyAlignment="1" applyBorder="1" applyFont="1">
      <alignment horizontal="center" readingOrder="0"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3" fillId="9" fontId="3" numFmtId="0" xfId="0" applyAlignment="1" applyBorder="1" applyFill="1" applyFont="1">
      <alignment horizontal="center" readingOrder="0" vertical="bottom"/>
    </xf>
    <xf borderId="1" fillId="9" fontId="3" numFmtId="165" xfId="0" applyAlignment="1" applyBorder="1" applyFont="1" applyNumberFormat="1">
      <alignment horizontal="center" readingOrder="0" vertical="bottom"/>
    </xf>
    <xf borderId="1" fillId="9" fontId="3" numFmtId="166" xfId="0" applyAlignment="1" applyBorder="1" applyFont="1" applyNumberFormat="1">
      <alignment horizontal="center" readingOrder="0" vertical="bottom"/>
    </xf>
    <xf borderId="1" fillId="9" fontId="1" numFmtId="0" xfId="0" applyAlignment="1" applyBorder="1" applyFont="1">
      <alignment vertical="bottom"/>
    </xf>
    <xf borderId="1" fillId="9" fontId="1" numFmtId="164" xfId="0" applyAlignment="1" applyBorder="1" applyFont="1" applyNumberFormat="1">
      <alignment vertical="bottom"/>
    </xf>
    <xf borderId="1" fillId="9" fontId="3" numFmtId="0" xfId="0" applyAlignment="1" applyBorder="1" applyFont="1">
      <alignment horizontal="center" readingOrder="0" vertical="bottom"/>
    </xf>
    <xf borderId="0" fillId="6" fontId="1" numFmtId="0" xfId="0" applyAlignment="1" applyFont="1">
      <alignment horizontal="right" vertical="bottom"/>
    </xf>
    <xf borderId="0" fillId="6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4" fillId="0" fontId="1" numFmtId="166" xfId="0" applyAlignment="1" applyBorder="1" applyFont="1" applyNumberFormat="1">
      <alignment vertical="bottom"/>
    </xf>
    <xf borderId="0" fillId="0" fontId="3" numFmtId="166" xfId="0" applyAlignment="1" applyFont="1" applyNumberFormat="1">
      <alignment readingOrder="0" vertical="bottom"/>
    </xf>
    <xf borderId="0" fillId="0" fontId="3" numFmtId="166" xfId="0" applyAlignment="1" applyFont="1" applyNumberFormat="1">
      <alignment horizontal="right" vertical="bottom"/>
    </xf>
    <xf borderId="4" fillId="7" fontId="6" numFmtId="166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readingOrder="0" vertical="bottom"/>
    </xf>
    <xf borderId="0" fillId="6" fontId="3" numFmtId="166" xfId="0" applyAlignment="1" applyFont="1" applyNumberFormat="1">
      <alignment readingOrder="0" vertical="bottom"/>
    </xf>
    <xf borderId="1" fillId="10" fontId="7" numFmtId="0" xfId="0" applyAlignment="1" applyBorder="1" applyFill="1" applyFont="1">
      <alignment horizontal="center" vertical="bottom"/>
    </xf>
    <xf borderId="0" fillId="6" fontId="4" numFmtId="166" xfId="0" applyAlignment="1" applyFont="1" applyNumberFormat="1">
      <alignment readingOrder="0" vertical="bottom"/>
    </xf>
    <xf borderId="5" fillId="6" fontId="1" numFmtId="0" xfId="0" applyAlignment="1" applyBorder="1" applyFont="1">
      <alignment vertical="bottom"/>
    </xf>
    <xf borderId="5" fillId="6" fontId="1" numFmtId="166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vertical="bottom"/>
    </xf>
    <xf borderId="3" fillId="6" fontId="4" numFmtId="0" xfId="0" applyAlignment="1" applyBorder="1" applyFont="1">
      <alignment horizontal="center" readingOrder="0" vertical="bottom"/>
    </xf>
    <xf borderId="1" fillId="6" fontId="8" numFmtId="166" xfId="0" applyAlignment="1" applyBorder="1" applyFont="1" applyNumberFormat="1">
      <alignment horizontal="center" readingOrder="0" vertical="bottom"/>
    </xf>
    <xf borderId="1" fillId="6" fontId="1" numFmtId="165" xfId="0" applyAlignment="1" applyBorder="1" applyFont="1" applyNumberFormat="1">
      <alignment vertical="bottom"/>
    </xf>
    <xf borderId="1" fillId="6" fontId="2" numFmtId="166" xfId="0" applyAlignment="1" applyBorder="1" applyFont="1" applyNumberFormat="1">
      <alignment horizontal="center" vertical="bottom"/>
    </xf>
    <xf borderId="1" fillId="6" fontId="2" numFmtId="164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vertical="bottom"/>
    </xf>
    <xf borderId="0" fillId="6" fontId="1" numFmtId="164" xfId="0" applyAlignment="1" applyFont="1" applyNumberFormat="1">
      <alignment vertical="bottom"/>
    </xf>
    <xf borderId="5" fillId="6" fontId="3" numFmtId="0" xfId="0" applyAlignment="1" applyBorder="1" applyFont="1">
      <alignment horizontal="center" vertical="bottom"/>
    </xf>
    <xf borderId="5" fillId="6" fontId="3" numFmtId="167" xfId="0" applyAlignment="1" applyBorder="1" applyFont="1" applyNumberFormat="1">
      <alignment horizontal="center" vertical="bottom"/>
    </xf>
    <xf borderId="5" fillId="6" fontId="3" numFmtId="166" xfId="0" applyAlignment="1" applyBorder="1" applyFont="1" applyNumberFormat="1">
      <alignment horizontal="center" vertical="bottom"/>
    </xf>
    <xf borderId="0" fillId="6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1" fillId="5" fontId="9" numFmtId="0" xfId="0" applyAlignment="1" applyBorder="1" applyFont="1">
      <alignment horizontal="center" vertical="bottom"/>
    </xf>
    <xf borderId="2" fillId="5" fontId="9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readingOrder="0" vertical="bottom"/>
    </xf>
    <xf borderId="1" fillId="6" fontId="4" numFmtId="166" xfId="0" applyAlignment="1" applyBorder="1" applyFont="1" applyNumberFormat="1">
      <alignment horizontal="center" vertical="bottom"/>
    </xf>
    <xf borderId="2" fillId="6" fontId="4" numFmtId="166" xfId="0" applyAlignment="1" applyBorder="1" applyFont="1" applyNumberFormat="1">
      <alignment horizontal="center" vertical="bottom"/>
    </xf>
    <xf borderId="6" fillId="6" fontId="10" numFmtId="0" xfId="0" applyAlignment="1" applyBorder="1" applyFont="1">
      <alignment horizontal="center" vertical="bottom"/>
    </xf>
    <xf borderId="6" fillId="0" fontId="11" numFmtId="0" xfId="0" applyBorder="1" applyFont="1"/>
    <xf borderId="1" fillId="6" fontId="4" numFmtId="166" xfId="0" applyAlignment="1" applyBorder="1" applyFont="1" applyNumberFormat="1">
      <alignment horizontal="center" readingOrder="0" vertical="bottom"/>
    </xf>
    <xf borderId="1" fillId="0" fontId="11" numFmtId="0" xfId="0" applyBorder="1" applyFont="1"/>
    <xf borderId="1" fillId="6" fontId="3" numFmtId="0" xfId="0" applyAlignment="1" applyBorder="1" applyFont="1">
      <alignment readingOrder="0" vertical="bottom"/>
    </xf>
    <xf borderId="1" fillId="6" fontId="4" numFmtId="0" xfId="0" applyAlignment="1" applyBorder="1" applyFont="1">
      <alignment horizontal="center" vertical="bottom"/>
    </xf>
    <xf borderId="1" fillId="6" fontId="12" numFmtId="0" xfId="0" applyAlignment="1" applyBorder="1" applyFont="1">
      <alignment horizontal="center" shrinkToFit="0" vertical="bottom" wrapText="0"/>
    </xf>
    <xf borderId="1" fillId="6" fontId="1" numFmtId="165" xfId="0" applyAlignment="1" applyBorder="1" applyFont="1" applyNumberFormat="1">
      <alignment readingOrder="0" vertical="bottom"/>
    </xf>
    <xf borderId="1" fillId="11" fontId="4" numFmtId="0" xfId="0" applyAlignment="1" applyBorder="1" applyFill="1" applyFont="1">
      <alignment horizontal="center" vertical="bottom"/>
    </xf>
    <xf borderId="1" fillId="11" fontId="4" numFmtId="166" xfId="0" applyAlignment="1" applyBorder="1" applyFont="1" applyNumberFormat="1">
      <alignment horizontal="center" vertical="bottom"/>
    </xf>
    <xf borderId="1" fillId="11" fontId="4" numFmtId="165" xfId="0" applyAlignment="1" applyBorder="1" applyFont="1" applyNumberFormat="1">
      <alignment horizontal="center" vertical="bottom"/>
    </xf>
    <xf borderId="1" fillId="6" fontId="4" numFmtId="165" xfId="0" applyAlignment="1" applyBorder="1" applyFont="1" applyNumberFormat="1">
      <alignment horizontal="center" vertical="bottom"/>
    </xf>
    <xf borderId="1" fillId="6" fontId="4" numFmtId="165" xfId="0" applyAlignment="1" applyBorder="1" applyFont="1" applyNumberFormat="1">
      <alignment vertical="bottom"/>
    </xf>
    <xf borderId="1" fillId="12" fontId="4" numFmtId="0" xfId="0" applyAlignment="1" applyBorder="1" applyFill="1" applyFont="1">
      <alignment horizontal="center" vertical="bottom"/>
    </xf>
    <xf borderId="1" fillId="6" fontId="4" numFmtId="165" xfId="0" applyAlignment="1" applyBorder="1" applyFont="1" applyNumberFormat="1">
      <alignment readingOrder="0" vertical="bottom"/>
    </xf>
    <xf borderId="1" fillId="6" fontId="4" numFmtId="0" xfId="0" applyAlignment="1" applyBorder="1" applyFont="1">
      <alignment readingOrder="0" vertical="bottom"/>
    </xf>
    <xf borderId="1" fillId="13" fontId="4" numFmtId="0" xfId="0" applyAlignment="1" applyBorder="1" applyFill="1" applyFont="1">
      <alignment horizontal="center" readingOrder="0" vertical="bottom"/>
    </xf>
    <xf borderId="1" fillId="13" fontId="4" numFmtId="166" xfId="0" applyAlignment="1" applyBorder="1" applyFont="1" applyNumberFormat="1">
      <alignment horizontal="center" readingOrder="0" vertical="bottom"/>
    </xf>
    <xf borderId="1" fillId="13" fontId="4" numFmtId="165" xfId="0" applyAlignment="1" applyBorder="1" applyFont="1" applyNumberFormat="1">
      <alignment horizontal="center" vertical="bottom"/>
    </xf>
    <xf borderId="1" fillId="6" fontId="5" numFmtId="166" xfId="0" applyAlignment="1" applyBorder="1" applyFont="1" applyNumberFormat="1">
      <alignment horizontal="center" readingOrder="0" vertical="bottom"/>
    </xf>
    <xf borderId="1" fillId="6" fontId="4" numFmtId="165" xfId="0" applyAlignment="1" applyBorder="1" applyFont="1" applyNumberFormat="1">
      <alignment horizontal="center" readingOrder="0" vertical="bottom"/>
    </xf>
    <xf borderId="1" fillId="9" fontId="4" numFmtId="0" xfId="0" applyAlignment="1" applyBorder="1" applyFont="1">
      <alignment horizontal="center" readingOrder="0" vertical="bottom"/>
    </xf>
    <xf borderId="1" fillId="9" fontId="4" numFmtId="166" xfId="0" applyAlignment="1" applyBorder="1" applyFont="1" applyNumberFormat="1">
      <alignment horizontal="center" readingOrder="0" vertical="bottom"/>
    </xf>
    <xf borderId="2" fillId="9" fontId="4" numFmtId="166" xfId="0" applyAlignment="1" applyBorder="1" applyFont="1" applyNumberFormat="1">
      <alignment horizontal="center" vertical="bottom"/>
    </xf>
    <xf borderId="1" fillId="9" fontId="4" numFmtId="0" xfId="0" applyAlignment="1" applyBorder="1" applyFont="1">
      <alignment readingOrder="0" vertical="bottom"/>
    </xf>
    <xf borderId="6" fillId="6" fontId="4" numFmtId="0" xfId="0" applyAlignment="1" applyBorder="1" applyFont="1">
      <alignment vertical="bottom"/>
    </xf>
    <xf borderId="6" fillId="6" fontId="4" numFmtId="165" xfId="0" applyAlignment="1" applyBorder="1" applyFont="1" applyNumberFormat="1">
      <alignment horizontal="center" vertical="bottom"/>
    </xf>
    <xf borderId="1" fillId="6" fontId="4" numFmtId="0" xfId="0" applyAlignment="1" applyBorder="1" applyFont="1">
      <alignment vertical="bottom"/>
    </xf>
    <xf borderId="6" fillId="6" fontId="4" numFmtId="0" xfId="0" applyAlignment="1" applyBorder="1" applyFont="1">
      <alignment horizontal="center" vertical="bottom"/>
    </xf>
    <xf borderId="6" fillId="6" fontId="4" numFmtId="165" xfId="0" applyAlignment="1" applyBorder="1" applyFont="1" applyNumberFormat="1">
      <alignment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1" fillId="14" fontId="4" numFmtId="0" xfId="0" applyAlignment="1" applyBorder="1" applyFill="1" applyFont="1">
      <alignment horizontal="center" readingOrder="0" vertical="bottom"/>
    </xf>
    <xf borderId="1" fillId="14" fontId="4" numFmtId="166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horizontal="center" vertical="bottom"/>
    </xf>
    <xf borderId="2" fillId="6" fontId="5" numFmtId="166" xfId="0" applyAlignment="1" applyBorder="1" applyFont="1" applyNumberFormat="1">
      <alignment horizontal="center" vertical="bottom"/>
    </xf>
    <xf borderId="1" fillId="2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horizontal="center" vertical="bottom"/>
    </xf>
    <xf borderId="1" fillId="2" fontId="8" numFmtId="166" xfId="0" applyAlignment="1" applyBorder="1" applyFont="1" applyNumberFormat="1">
      <alignment horizontal="center" readingOrder="0" vertical="bottom"/>
    </xf>
    <xf borderId="2" fillId="2" fontId="8" numFmtId="166" xfId="0" applyAlignment="1" applyBorder="1" applyFont="1" applyNumberFormat="1">
      <alignment horizontal="center" vertical="bottom"/>
    </xf>
    <xf borderId="1" fillId="2" fontId="4" numFmtId="165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0" numFmtId="166" xfId="0" applyAlignment="1" applyBorder="1" applyFont="1" applyNumberFormat="1">
      <alignment horizontal="center" vertical="bottom"/>
    </xf>
    <xf borderId="2" fillId="0" fontId="4" numFmtId="165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14" numFmtId="0" xfId="0" applyFont="1"/>
    <xf borderId="5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5" fillId="12" fontId="3" numFmtId="0" xfId="0" applyAlignment="1" applyBorder="1" applyFont="1">
      <alignment horizontal="center" readingOrder="0" vertical="bottom"/>
    </xf>
    <xf borderId="5" fillId="9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5" fillId="6" fontId="3" numFmtId="0" xfId="0" applyAlignment="1" applyBorder="1" applyFont="1">
      <alignment horizontal="center" readingOrder="0" vertical="bottom"/>
    </xf>
    <xf borderId="5" fillId="6" fontId="8" numFmtId="0" xfId="0" applyAlignment="1" applyBorder="1" applyFont="1">
      <alignment horizontal="center" readingOrder="0" vertical="bottom"/>
    </xf>
    <xf borderId="5" fillId="6" fontId="3" numFmtId="0" xfId="0" applyAlignment="1" applyBorder="1" applyFont="1">
      <alignment horizontal="center" readingOrder="2" vertical="bottom"/>
    </xf>
    <xf borderId="5" fillId="6" fontId="5" numFmtId="0" xfId="0" applyAlignment="1" applyBorder="1" applyFont="1">
      <alignment readingOrder="0" vertical="bottom"/>
    </xf>
    <xf borderId="5" fillId="15" fontId="3" numFmtId="0" xfId="0" applyAlignment="1" applyBorder="1" applyFill="1" applyFont="1">
      <alignment horizontal="center" readingOrder="0" vertical="bottom"/>
    </xf>
    <xf borderId="5" fillId="15" fontId="8" numFmtId="0" xfId="0" applyAlignment="1" applyBorder="1" applyFont="1">
      <alignment horizontal="center" readingOrder="0" vertical="bottom"/>
    </xf>
    <xf borderId="5" fillId="15" fontId="3" numFmtId="0" xfId="0" applyAlignment="1" applyBorder="1" applyFont="1">
      <alignment horizontal="center" readingOrder="2" vertical="bottom"/>
    </xf>
    <xf borderId="5" fillId="15" fontId="5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5" fillId="6" fontId="5" numFmtId="0" xfId="0" applyAlignment="1" applyBorder="1" applyFont="1">
      <alignment vertical="bottom"/>
    </xf>
    <xf borderId="5" fillId="5" fontId="3" numFmtId="0" xfId="0" applyAlignment="1" applyBorder="1" applyFont="1">
      <alignment horizontal="center" readingOrder="0" vertical="bottom"/>
    </xf>
    <xf borderId="5" fillId="5" fontId="8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readingOrder="2" vertical="bottom"/>
    </xf>
    <xf borderId="5" fillId="13" fontId="3" numFmtId="0" xfId="0" applyAlignment="1" applyBorder="1" applyFont="1">
      <alignment horizontal="center" readingOrder="0" vertical="bottom"/>
    </xf>
    <xf borderId="5" fillId="13" fontId="5" numFmtId="0" xfId="0" applyAlignment="1" applyBorder="1" applyFont="1">
      <alignment readingOrder="0" vertical="bottom"/>
    </xf>
    <xf borderId="5" fillId="5" fontId="3" numFmtId="0" xfId="0" applyAlignment="1" applyBorder="1" applyFont="1">
      <alignment horizontal="center" readingOrder="0" vertical="bottom"/>
    </xf>
    <xf borderId="5" fillId="5" fontId="8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readingOrder="2" vertical="bottom"/>
    </xf>
    <xf borderId="5" fillId="12" fontId="8" numFmtId="0" xfId="0" applyAlignment="1" applyBorder="1" applyFont="1">
      <alignment horizontal="center" readingOrder="0" vertical="bottom"/>
    </xf>
    <xf borderId="5" fillId="6" fontId="3" numFmtId="0" xfId="0" applyAlignment="1" applyBorder="1" applyFont="1">
      <alignment horizontal="center" vertical="bottom"/>
    </xf>
    <xf borderId="5" fillId="15" fontId="3" numFmtId="0" xfId="0" applyAlignment="1" applyBorder="1" applyFont="1">
      <alignment horizontal="center" vertical="bottom"/>
    </xf>
    <xf borderId="5" fillId="9" fontId="3" numFmtId="0" xfId="0" applyAlignment="1" applyBorder="1" applyFont="1">
      <alignment horizontal="center" readingOrder="0" vertical="bottom"/>
    </xf>
    <xf borderId="5" fillId="7" fontId="3" numFmtId="0" xfId="0" applyAlignment="1" applyBorder="1" applyFont="1">
      <alignment horizontal="center" readingOrder="0" vertical="bottom"/>
    </xf>
    <xf borderId="5" fillId="9" fontId="8" numFmtId="0" xfId="0" applyAlignment="1" applyBorder="1" applyFont="1">
      <alignment horizontal="center" readingOrder="0" vertical="bottom"/>
    </xf>
    <xf borderId="5" fillId="9" fontId="3" numFmtId="0" xfId="0" applyAlignment="1" applyBorder="1" applyFont="1">
      <alignment horizontal="center" readingOrder="2" vertical="bottom"/>
    </xf>
    <xf borderId="5" fillId="9" fontId="3" numFmtId="0" xfId="0" applyAlignment="1" applyBorder="1" applyFont="1">
      <alignment horizontal="center" vertical="bottom"/>
    </xf>
    <xf borderId="5" fillId="9" fontId="15" numFmtId="0" xfId="0" applyAlignment="1" applyBorder="1" applyFont="1">
      <alignment horizontal="center" readingOrder="0" vertical="bottom"/>
    </xf>
    <xf borderId="5" fillId="6" fontId="3" numFmtId="0" xfId="0" applyAlignment="1" applyBorder="1" applyFont="1">
      <alignment horizontal="center" readingOrder="0" vertical="bottom"/>
    </xf>
    <xf borderId="5" fillId="4" fontId="8" numFmtId="0" xfId="0" applyAlignment="1" applyBorder="1" applyFont="1">
      <alignment horizontal="center" readingOrder="0" vertical="bottom"/>
    </xf>
    <xf borderId="5" fillId="15" fontId="5" numFmtId="0" xfId="0" applyAlignment="1" applyBorder="1" applyFont="1">
      <alignment readingOrder="0" vertical="bottom"/>
    </xf>
    <xf borderId="5" fillId="5" fontId="15" numFmtId="0" xfId="0" applyAlignment="1" applyBorder="1" applyFont="1">
      <alignment horizontal="center" readingOrder="0" vertical="bottom"/>
    </xf>
    <xf borderId="5" fillId="12" fontId="15" numFmtId="0" xfId="0" applyAlignment="1" applyBorder="1" applyFont="1">
      <alignment horizontal="center" readingOrder="0" vertical="bottom"/>
    </xf>
    <xf borderId="5" fillId="5" fontId="16" numFmtId="0" xfId="0" applyAlignment="1" applyBorder="1" applyFont="1">
      <alignment horizontal="center" readingOrder="0" vertical="bottom"/>
    </xf>
    <xf borderId="5" fillId="5" fontId="15" numFmtId="0" xfId="0" applyAlignment="1" applyBorder="1" applyFont="1">
      <alignment horizontal="center" readingOrder="2" vertical="bottom"/>
    </xf>
    <xf borderId="5" fillId="15" fontId="17" numFmtId="0" xfId="0" applyAlignment="1" applyBorder="1" applyFont="1">
      <alignment horizontal="center" readingOrder="0" vertical="bottom"/>
    </xf>
    <xf borderId="5" fillId="9" fontId="4" numFmtId="0" xfId="0" applyAlignment="1" applyBorder="1" applyFont="1">
      <alignment horizontal="center" readingOrder="0" vertical="bottom"/>
    </xf>
    <xf borderId="5" fillId="6" fontId="4" numFmtId="0" xfId="0" applyAlignment="1" applyBorder="1" applyFont="1">
      <alignment horizontal="center" readingOrder="0" vertical="bottom"/>
    </xf>
    <xf borderId="5" fillId="6" fontId="4" numFmtId="0" xfId="0" applyAlignment="1" applyBorder="1" applyFont="1">
      <alignment horizontal="center" readingOrder="2" vertical="bottom"/>
    </xf>
    <xf borderId="5" fillId="6" fontId="17" numFmtId="0" xfId="0" applyAlignment="1" applyBorder="1" applyFont="1">
      <alignment horizontal="center" readingOrder="0" vertical="bottom"/>
    </xf>
    <xf borderId="5" fillId="15" fontId="4" numFmtId="0" xfId="0" applyAlignment="1" applyBorder="1" applyFont="1">
      <alignment horizontal="center" readingOrder="0" vertical="bottom"/>
    </xf>
    <xf borderId="5" fillId="15" fontId="4" numFmtId="0" xfId="0" applyAlignment="1" applyBorder="1" applyFont="1">
      <alignment horizontal="center" readingOrder="2" vertical="bottom"/>
    </xf>
    <xf borderId="3" fillId="12" fontId="4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readingOrder="0" vertical="bottom"/>
    </xf>
    <xf borderId="1" fillId="12" fontId="4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readingOrder="2" vertical="bottom"/>
    </xf>
    <xf borderId="1" fillId="6" fontId="17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vertical="bottom"/>
    </xf>
    <xf borderId="3" fillId="9" fontId="18" numFmtId="0" xfId="0" applyAlignment="1" applyBorder="1" applyFont="1">
      <alignment horizontal="center" readingOrder="0" vertical="bottom"/>
    </xf>
    <xf borderId="1" fillId="15" fontId="18" numFmtId="0" xfId="0" applyAlignment="1" applyBorder="1" applyFont="1">
      <alignment horizontal="center" readingOrder="0" vertical="bottom"/>
    </xf>
    <xf borderId="1" fillId="12" fontId="18" numFmtId="0" xfId="0" applyAlignment="1" applyBorder="1" applyFont="1">
      <alignment horizontal="center" readingOrder="0" vertical="bottom"/>
    </xf>
    <xf borderId="1" fillId="15" fontId="4" numFmtId="0" xfId="0" applyAlignment="1" applyBorder="1" applyFont="1">
      <alignment horizontal="center" readingOrder="0" vertical="bottom"/>
    </xf>
    <xf borderId="1" fillId="15" fontId="4" numFmtId="0" xfId="0" applyAlignment="1" applyBorder="1" applyFont="1">
      <alignment horizontal="center" readingOrder="2" vertical="bottom"/>
    </xf>
    <xf borderId="1" fillId="15" fontId="17" numFmtId="0" xfId="0" applyAlignment="1" applyBorder="1" applyFont="1">
      <alignment horizontal="center" readingOrder="0" vertical="bottom"/>
    </xf>
    <xf borderId="1" fillId="15" fontId="5" numFmtId="0" xfId="0" applyAlignment="1" applyBorder="1" applyFont="1">
      <alignment readingOrder="0" vertical="bottom"/>
    </xf>
    <xf borderId="3" fillId="6" fontId="4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readingOrder="0" vertical="bottom"/>
    </xf>
    <xf borderId="3" fillId="15" fontId="9" numFmtId="0" xfId="0" applyAlignment="1" applyBorder="1" applyFont="1">
      <alignment horizontal="center" vertical="bottom"/>
    </xf>
    <xf borderId="1" fillId="15" fontId="5" numFmtId="0" xfId="0" applyAlignment="1" applyBorder="1" applyFont="1">
      <alignment vertical="bottom"/>
    </xf>
    <xf borderId="5" fillId="6" fontId="19" numFmtId="166" xfId="0" applyAlignment="1" applyBorder="1" applyFont="1" applyNumberFormat="1">
      <alignment horizontal="center" readingOrder="0" vertical="bottom"/>
    </xf>
    <xf borderId="1" fillId="6" fontId="19" numFmtId="166" xfId="0" applyAlignment="1" applyBorder="1" applyFont="1" applyNumberFormat="1">
      <alignment horizontal="center" readingOrder="0" vertical="bottom"/>
    </xf>
    <xf borderId="1" fillId="6" fontId="9" numFmtId="166" xfId="0" applyAlignment="1" applyBorder="1" applyFont="1" applyNumberFormat="1">
      <alignment horizontal="center" readingOrder="0" vertical="bottom"/>
    </xf>
    <xf borderId="1" fillId="6" fontId="9" numFmtId="166" xfId="0" applyAlignment="1" applyBorder="1" applyFont="1" applyNumberFormat="1">
      <alignment horizontal="center" vertical="bottom"/>
    </xf>
    <xf borderId="1" fillId="6" fontId="4" numFmtId="166" xfId="0" applyAlignment="1" applyBorder="1" applyFont="1" applyNumberFormat="1">
      <alignment horizontal="right" readingOrder="0" vertical="bottom"/>
    </xf>
    <xf borderId="1" fillId="6" fontId="8" numFmtId="166" xfId="0" applyAlignment="1" applyBorder="1" applyFont="1" applyNumberFormat="1">
      <alignment horizontal="center" readingOrder="0" vertical="bottom"/>
    </xf>
    <xf borderId="0" fillId="6" fontId="5" numFmtId="0" xfId="0" applyAlignment="1" applyFont="1">
      <alignment vertical="bottom"/>
    </xf>
    <xf borderId="5" fillId="15" fontId="20" numFmtId="166" xfId="0" applyAlignment="1" applyBorder="1" applyFont="1" applyNumberFormat="1">
      <alignment horizontal="center" vertical="bottom"/>
    </xf>
    <xf borderId="1" fillId="15" fontId="20" numFmtId="166" xfId="0" applyAlignment="1" applyBorder="1" applyFont="1" applyNumberFormat="1">
      <alignment horizontal="center" vertical="bottom"/>
    </xf>
    <xf borderId="1" fillId="15" fontId="9" numFmtId="166" xfId="0" applyAlignment="1" applyBorder="1" applyFont="1" applyNumberFormat="1">
      <alignment horizontal="right" vertical="bottom"/>
    </xf>
    <xf borderId="1" fillId="15" fontId="4" numFmtId="166" xfId="0" applyAlignment="1" applyBorder="1" applyFont="1" applyNumberFormat="1">
      <alignment horizontal="right" vertical="bottom"/>
    </xf>
    <xf borderId="1" fillId="15" fontId="21" numFmtId="166" xfId="0" applyAlignment="1" applyBorder="1" applyFont="1" applyNumberFormat="1">
      <alignment horizontal="right" vertical="bottom"/>
    </xf>
    <xf borderId="1" fillId="15" fontId="22" numFmtId="166" xfId="0" applyAlignment="1" applyBorder="1" applyFont="1" applyNumberFormat="1">
      <alignment horizontal="center" vertical="bottom"/>
    </xf>
    <xf borderId="0" fillId="15" fontId="5" numFmtId="166" xfId="0" applyAlignment="1" applyFont="1" applyNumberFormat="1">
      <alignment vertical="bottom"/>
    </xf>
    <xf borderId="4" fillId="6" fontId="1" numFmtId="166" xfId="0" applyAlignment="1" applyBorder="1" applyFont="1" applyNumberFormat="1">
      <alignment vertical="bottom"/>
    </xf>
    <xf borderId="1" fillId="6" fontId="1" numFmtId="166" xfId="0" applyAlignment="1" applyBorder="1" applyFont="1" applyNumberFormat="1">
      <alignment vertical="bottom"/>
    </xf>
    <xf borderId="1" fillId="6" fontId="1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0" fillId="0" fontId="23" numFmtId="0" xfId="0" applyAlignment="1" applyFont="1">
      <alignment horizontal="center" readingOrder="0" vertical="bottom"/>
    </xf>
    <xf borderId="0" fillId="15" fontId="23" numFmtId="166" xfId="0" applyAlignment="1" applyFont="1" applyNumberFormat="1">
      <alignment horizontal="center" readingOrder="0" vertical="bottom"/>
    </xf>
    <xf borderId="0" fillId="15" fontId="23" numFmtId="166" xfId="0" applyAlignment="1" applyFont="1" applyNumberFormat="1">
      <alignment horizontal="center" vertical="bottom"/>
    </xf>
    <xf borderId="0" fillId="15" fontId="1" numFmtId="0" xfId="0" applyAlignment="1" applyFont="1">
      <alignment vertical="bottom"/>
    </xf>
    <xf borderId="0" fillId="0" fontId="24" numFmtId="0" xfId="0" applyFont="1"/>
    <xf borderId="5" fillId="0" fontId="1" numFmtId="0" xfId="0" applyAlignment="1" applyBorder="1" applyFont="1">
      <alignment vertical="bottom"/>
    </xf>
    <xf borderId="5" fillId="5" fontId="3" numFmtId="165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5" fillId="6" fontId="3" numFmtId="165" xfId="0" applyAlignment="1" applyBorder="1" applyFont="1" applyNumberFormat="1">
      <alignment horizontal="center" readingOrder="0" vertical="bottom"/>
    </xf>
    <xf borderId="0" fillId="15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5" fontId="3" numFmtId="0" xfId="0" applyAlignment="1" applyFont="1">
      <alignment horizontal="center" readingOrder="0" vertical="bottom"/>
    </xf>
    <xf borderId="0" fillId="12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5" fillId="9" fontId="3" numFmtId="165" xfId="0" applyAlignment="1" applyBorder="1" applyFont="1" applyNumberFormat="1">
      <alignment horizontal="center" readingOrder="0" vertical="bottom"/>
    </xf>
    <xf borderId="0" fillId="9" fontId="3" numFmtId="0" xfId="0" applyAlignment="1" applyFont="1">
      <alignment horizontal="center" readingOrder="0" vertical="bottom"/>
    </xf>
    <xf borderId="0" fillId="5" fontId="15" numFmtId="0" xfId="0" applyAlignment="1" applyFont="1">
      <alignment horizontal="center" readingOrder="0" vertical="bottom"/>
    </xf>
    <xf borderId="0" fillId="15" fontId="3" numFmtId="0" xfId="0" applyAlignment="1" applyFont="1">
      <alignment horizontal="center" readingOrder="0" vertical="bottom"/>
    </xf>
    <xf borderId="0" fillId="6" fontId="4" numFmtId="0" xfId="0" applyAlignment="1" applyFont="1">
      <alignment horizontal="center" readingOrder="0" vertical="bottom"/>
    </xf>
    <xf borderId="0" fillId="15" fontId="4" numFmtId="0" xfId="0" applyAlignment="1" applyFont="1">
      <alignment horizontal="center" readingOrder="0" vertical="bottom"/>
    </xf>
    <xf borderId="0" fillId="12" fontId="4" numFmtId="0" xfId="0" applyAlignment="1" applyFont="1">
      <alignment horizontal="center" readingOrder="0" vertical="bottom"/>
    </xf>
    <xf borderId="5" fillId="6" fontId="4" numFmtId="0" xfId="0" applyAlignment="1" applyBorder="1" applyFont="1">
      <alignment horizontal="center" readingOrder="0" vertical="bottom"/>
    </xf>
    <xf borderId="5" fillId="0" fontId="25" numFmtId="0" xfId="0" applyBorder="1" applyFont="1"/>
    <xf borderId="5" fillId="0" fontId="26" numFmtId="0" xfId="0" applyAlignment="1" applyBorder="1" applyFont="1">
      <alignment horizontal="center"/>
    </xf>
    <xf borderId="3" fillId="15" fontId="22" numFmtId="0" xfId="0" applyAlignment="1" applyBorder="1" applyFont="1">
      <alignment horizontal="center" vertical="bottom"/>
    </xf>
    <xf borderId="0" fillId="15" fontId="9" numFmtId="0" xfId="0" applyAlignment="1" applyFont="1">
      <alignment horizontal="center" vertical="bottom"/>
    </xf>
    <xf borderId="1" fillId="6" fontId="22" numFmtId="166" xfId="0" applyAlignment="1" applyBorder="1" applyFont="1" applyNumberFormat="1">
      <alignment horizontal="center" readingOrder="0" vertical="bottom"/>
    </xf>
    <xf borderId="0" fillId="6" fontId="4" numFmtId="0" xfId="0" applyAlignment="1" applyFont="1">
      <alignment horizontal="right" readingOrder="0" vertical="bottom"/>
    </xf>
    <xf borderId="5" fillId="0" fontId="26" numFmtId="0" xfId="0" applyAlignment="1" applyBorder="1" applyFont="1">
      <alignment horizontal="center" readingOrder="0"/>
    </xf>
    <xf borderId="0" fillId="15" fontId="21" numFmtId="0" xfId="0" applyAlignment="1" applyFont="1">
      <alignment horizontal="right" vertical="bottom"/>
    </xf>
    <xf borderId="0" fillId="15" fontId="22" numFmtId="0" xfId="0" applyAlignment="1" applyFont="1">
      <alignment horizontal="center" readingOrder="0" vertical="bottom"/>
    </xf>
    <xf borderId="0" fillId="15" fontId="22" numFmtId="166" xfId="0" applyAlignment="1" applyFont="1" applyNumberFormat="1">
      <alignment horizontal="center" readingOrder="0" vertical="bottom"/>
    </xf>
    <xf borderId="0" fillId="9" fontId="15" numFmtId="0" xfId="0" applyAlignment="1" applyFont="1">
      <alignment horizontal="center" readingOrder="0" vertical="bottom"/>
    </xf>
    <xf borderId="0" fillId="12" fontId="15" numFmtId="0" xfId="0" applyAlignment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0" fillId="15" fontId="18" numFmtId="0" xfId="0" applyAlignment="1" applyFont="1">
      <alignment horizontal="center" readingOrder="0" vertical="bottom"/>
    </xf>
    <xf borderId="0" fillId="6" fontId="19" numFmtId="0" xfId="0" applyAlignment="1" applyFont="1">
      <alignment horizontal="center" readingOrder="0" vertical="bottom"/>
    </xf>
    <xf borderId="0" fillId="15" fontId="20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5" fillId="15" fontId="8" numFmtId="0" xfId="0" applyAlignment="1" applyBorder="1" applyFont="1">
      <alignment horizontal="center" vertical="bottom"/>
    </xf>
    <xf borderId="1" fillId="15" fontId="22" numFmtId="0" xfId="0" applyAlignment="1" applyBorder="1" applyFont="1">
      <alignment horizontal="center" vertical="bottom"/>
    </xf>
    <xf borderId="4" fillId="15" fontId="22" numFmtId="0" xfId="0" applyAlignment="1" applyBorder="1" applyFont="1">
      <alignment horizontal="center" vertical="bottom"/>
    </xf>
    <xf borderId="0" fillId="15" fontId="8" numFmtId="0" xfId="0" applyAlignment="1" applyFont="1">
      <alignment horizontal="center" vertical="bottom"/>
    </xf>
    <xf borderId="5" fillId="6" fontId="8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vertical="bottom"/>
    </xf>
    <xf borderId="1" fillId="6" fontId="8" numFmtId="166" xfId="0" applyAlignment="1" applyBorder="1" applyFont="1" applyNumberFormat="1">
      <alignment horizontal="center" vertical="bottom"/>
    </xf>
    <xf borderId="0" fillId="6" fontId="8" numFmtId="165" xfId="0" applyAlignment="1" applyFont="1" applyNumberFormat="1">
      <alignment horizontal="center" readingOrder="0" vertical="bottom"/>
    </xf>
    <xf borderId="1" fillId="15" fontId="8" numFmtId="0" xfId="0" applyAlignment="1" applyBorder="1" applyFont="1">
      <alignment horizontal="center" vertical="bottom"/>
    </xf>
    <xf borderId="1" fillId="15" fontId="8" numFmtId="166" xfId="0" applyAlignment="1" applyBorder="1" applyFont="1" applyNumberFormat="1">
      <alignment horizontal="center" vertical="bottom"/>
    </xf>
    <xf borderId="1" fillId="15" fontId="8" numFmtId="166" xfId="0" applyAlignment="1" applyBorder="1" applyFont="1" applyNumberFormat="1">
      <alignment horizontal="center" readingOrder="0" vertical="bottom"/>
    </xf>
    <xf borderId="0" fillId="6" fontId="8" numFmtId="0" xfId="0" applyAlignment="1" applyFont="1">
      <alignment horizontal="center" readingOrder="0" vertical="bottom"/>
    </xf>
    <xf borderId="0" fillId="15" fontId="8" numFmtId="0" xfId="0" applyAlignment="1" applyFont="1">
      <alignment horizontal="center" readingOrder="0" vertical="bottom"/>
    </xf>
    <xf borderId="1" fillId="15" fontId="8" numFmtId="0" xfId="0" applyAlignment="1" applyBorder="1" applyFont="1">
      <alignment horizontal="center" readingOrder="0" vertical="bottom"/>
    </xf>
    <xf borderId="0" fillId="6" fontId="8" numFmtId="166" xfId="0" applyAlignment="1" applyFont="1" applyNumberFormat="1">
      <alignment horizontal="center" vertical="bottom"/>
    </xf>
    <xf borderId="0" fillId="6" fontId="8" numFmtId="0" xfId="0" applyAlignment="1" applyFont="1">
      <alignment horizontal="center" vertical="bottom"/>
    </xf>
    <xf borderId="1" fillId="6" fontId="8" numFmtId="0" xfId="0" applyAlignment="1" applyBorder="1" applyFont="1">
      <alignment horizontal="center" readingOrder="0" vertical="bottom"/>
    </xf>
    <xf borderId="1" fillId="6" fontId="22" numFmtId="166" xfId="0" applyAlignment="1" applyBorder="1" applyFont="1" applyNumberFormat="1">
      <alignment horizontal="center" vertical="bottom"/>
    </xf>
    <xf borderId="0" fillId="15" fontId="8" numFmtId="166" xfId="0" applyAlignment="1" applyFont="1" applyNumberFormat="1">
      <alignment horizontal="center" vertical="bottom"/>
    </xf>
    <xf borderId="0" fillId="6" fontId="8" numFmtId="0" xfId="0" applyAlignment="1" applyFont="1">
      <alignment horizontal="center" vertical="bottom"/>
    </xf>
    <xf borderId="0" fillId="0" fontId="27" numFmtId="0" xfId="0" applyAlignment="1" applyFont="1">
      <alignment horizontal="center"/>
    </xf>
    <xf borderId="4" fillId="0" fontId="1" numFmtId="0" xfId="0" applyAlignment="1" applyBorder="1" applyFont="1">
      <alignment vertical="bottom"/>
    </xf>
    <xf borderId="1" fillId="5" fontId="2" numFmtId="0" xfId="0" applyAlignment="1" applyBorder="1" applyFont="1">
      <alignment horizontal="center" vertical="bottom"/>
    </xf>
    <xf borderId="5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readingOrder="0" vertical="bottom"/>
    </xf>
    <xf borderId="5" fillId="5" fontId="2" numFmtId="0" xfId="0" applyAlignment="1" applyBorder="1" applyFont="1">
      <alignment horizontal="center" readingOrder="0" vertical="bottom"/>
    </xf>
    <xf borderId="1" fillId="16" fontId="2" numFmtId="0" xfId="0" applyAlignment="1" applyBorder="1" applyFill="1" applyFon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Pointage-style">
      <tableStyleElement dxfId="1" type="firstRowStripe"/>
      <tableStyleElement dxfId="2" type="secondRowStripe"/>
    </tableStyle>
    <tableStyle count="2" pivot="0" name="Pointage-style 2">
      <tableStyleElement dxfId="1" type="firstRowStripe"/>
      <tableStyleElement dxfId="2" type="secondRowStripe"/>
    </tableStyle>
    <tableStyle count="2" pivot="0" name="Pointage-style 3">
      <tableStyleElement dxfId="1" type="firstRowStripe"/>
      <tableStyleElement dxfId="2" type="secondRowStripe"/>
    </tableStyle>
    <tableStyle count="2" pivot="0" name="Les Salaires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T37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Pointage-style" showColumnStripes="0" showFirstColumn="1" showLastColumn="1" showRowStripes="1"/>
</table>
</file>

<file path=xl/tables/table2.xml><?xml version="1.0" encoding="utf-8"?>
<table xmlns="http://schemas.openxmlformats.org/spreadsheetml/2006/main" headerRowCount="0" ref="C48:D83" displayName="Table_2" name="Table_2" id="2">
  <tableColumns count="2">
    <tableColumn name="Column1" id="1"/>
    <tableColumn name="Column2" id="2"/>
  </tableColumns>
  <tableStyleInfo name="Pointage-style 2" showColumnStripes="0" showFirstColumn="1" showLastColumn="1" showRowStripes="1"/>
</table>
</file>

<file path=xl/tables/table3.xml><?xml version="1.0" encoding="utf-8"?>
<table xmlns="http://schemas.openxmlformats.org/spreadsheetml/2006/main" headerRowCount="0" ref="C89:D122" displayName="Table_3" name="Table_3" id="3">
  <tableColumns count="2">
    <tableColumn name="Column1" id="1"/>
    <tableColumn name="Column2" id="2"/>
  </tableColumns>
  <tableStyleInfo name="Pointage-style 3" showColumnStripes="0" showFirstColumn="1" showLastColumn="1" showRowStripes="1"/>
</table>
</file>

<file path=xl/tables/table4.xml><?xml version="1.0" encoding="utf-8"?>
<table xmlns="http://schemas.openxmlformats.org/spreadsheetml/2006/main" headerRowCount="0" ref="G12:L36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s Salai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4.88"/>
    <col customWidth="1" min="3" max="3" width="33.5"/>
    <col customWidth="1" min="4" max="4" width="25.63"/>
    <col customWidth="1" min="5" max="6" width="26.75"/>
    <col customWidth="1" min="7" max="7" width="26.0"/>
    <col customWidth="1" min="8" max="8" width="25.63"/>
    <col customWidth="1" min="9" max="9" width="34.25"/>
    <col customWidth="1" min="10" max="10" width="27.5"/>
    <col customWidth="1" min="12" max="12" width="34.25"/>
    <col customWidth="1" min="13" max="13" width="39.13"/>
    <col customWidth="1" min="14" max="14" width="51.5"/>
    <col customWidth="1" min="15" max="15" width="53.0"/>
    <col customWidth="1" min="16" max="16" width="61.25"/>
    <col customWidth="1" min="17" max="17" width="80.0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9" t="s">
        <v>11</v>
      </c>
      <c r="B2" s="10">
        <v>45870.0</v>
      </c>
      <c r="C2" s="11">
        <v>43000.0</v>
      </c>
      <c r="D2" s="12">
        <v>71000.0</v>
      </c>
      <c r="E2" s="13"/>
      <c r="F2" s="14"/>
      <c r="G2" s="12">
        <v>2000.0</v>
      </c>
      <c r="H2" s="13"/>
      <c r="I2" s="13"/>
      <c r="J2" s="15">
        <v>1.0</v>
      </c>
      <c r="K2" s="16"/>
      <c r="L2" s="17"/>
      <c r="M2" s="11">
        <v>43000.0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8" t="s">
        <v>12</v>
      </c>
      <c r="B3" s="19">
        <v>45871.0</v>
      </c>
      <c r="C3" s="11">
        <v>66000.0</v>
      </c>
      <c r="D3" s="20">
        <v>60000.0</v>
      </c>
      <c r="E3" s="21"/>
      <c r="F3" s="22"/>
      <c r="G3" s="20">
        <v>2000.0</v>
      </c>
      <c r="H3" s="21"/>
      <c r="I3" s="21"/>
      <c r="J3" s="23">
        <v>1.0</v>
      </c>
      <c r="K3" s="16"/>
      <c r="L3" s="17"/>
      <c r="M3" s="11">
        <v>66000.0</v>
      </c>
      <c r="N3" s="24" t="s">
        <v>13</v>
      </c>
      <c r="O3" s="24" t="s">
        <v>14</v>
      </c>
      <c r="P3" s="25" t="s">
        <v>15</v>
      </c>
      <c r="Q3" s="26" t="s">
        <v>16</v>
      </c>
      <c r="R3" s="6"/>
      <c r="S3" s="6"/>
      <c r="T3" s="6"/>
      <c r="U3" s="6"/>
      <c r="V3" s="6"/>
      <c r="W3" s="6"/>
      <c r="X3" s="6"/>
      <c r="Y3" s="6"/>
    </row>
    <row r="4">
      <c r="A4" s="18" t="s">
        <v>17</v>
      </c>
      <c r="B4" s="19">
        <v>45872.0</v>
      </c>
      <c r="C4" s="11">
        <v>82000.0</v>
      </c>
      <c r="D4" s="20">
        <v>78000.0</v>
      </c>
      <c r="E4" s="21"/>
      <c r="F4" s="22"/>
      <c r="G4" s="20">
        <v>2000.0</v>
      </c>
      <c r="H4" s="21"/>
      <c r="I4" s="21"/>
      <c r="J4" s="27">
        <v>1.0</v>
      </c>
      <c r="K4" s="16"/>
      <c r="L4" s="17"/>
      <c r="M4" s="11">
        <v>82000.0</v>
      </c>
      <c r="N4" s="28">
        <f>I33/J33</f>
        <v>22179.66304</v>
      </c>
      <c r="O4" s="28">
        <f>D33/J33</f>
        <v>77043.47826</v>
      </c>
      <c r="P4" s="29"/>
      <c r="Q4" s="30">
        <f>P4/O4</f>
        <v>0</v>
      </c>
      <c r="R4" s="6"/>
      <c r="S4" s="6"/>
      <c r="T4" s="6"/>
      <c r="U4" s="6"/>
      <c r="V4" s="6"/>
      <c r="W4" s="6"/>
      <c r="X4" s="6"/>
      <c r="Y4" s="6"/>
    </row>
    <row r="5">
      <c r="A5" s="18" t="s">
        <v>18</v>
      </c>
      <c r="B5" s="19">
        <v>45873.0</v>
      </c>
      <c r="C5" s="31">
        <v>87000.0</v>
      </c>
      <c r="D5" s="20">
        <v>50000.0</v>
      </c>
      <c r="E5" s="21"/>
      <c r="F5" s="22"/>
      <c r="G5" s="20">
        <v>2000.0</v>
      </c>
      <c r="H5" s="21"/>
      <c r="I5" s="21"/>
      <c r="J5" s="27">
        <v>1.0</v>
      </c>
      <c r="K5" s="16"/>
      <c r="L5" s="17"/>
      <c r="M5" s="31">
        <v>87000.0</v>
      </c>
      <c r="N5" s="1"/>
      <c r="O5" s="1"/>
      <c r="P5" s="6"/>
      <c r="Q5" s="32"/>
      <c r="R5" s="6"/>
      <c r="S5" s="6"/>
      <c r="T5" s="6"/>
      <c r="U5" s="6"/>
      <c r="V5" s="6"/>
      <c r="W5" s="6"/>
      <c r="X5" s="6"/>
      <c r="Y5" s="6"/>
    </row>
    <row r="6">
      <c r="A6" s="18" t="s">
        <v>19</v>
      </c>
      <c r="B6" s="19">
        <v>45874.0</v>
      </c>
      <c r="C6" s="11">
        <v>148000.0</v>
      </c>
      <c r="D6" s="20">
        <v>52000.0</v>
      </c>
      <c r="E6" s="21"/>
      <c r="F6" s="22"/>
      <c r="G6" s="20">
        <v>2000.0</v>
      </c>
      <c r="H6" s="21"/>
      <c r="I6" s="21"/>
      <c r="J6" s="27">
        <v>1.0</v>
      </c>
      <c r="K6" s="16"/>
      <c r="L6" s="17"/>
      <c r="M6" s="11">
        <v>148000.0</v>
      </c>
      <c r="N6" s="33" t="s">
        <v>20</v>
      </c>
      <c r="O6" s="34" t="s">
        <v>21</v>
      </c>
      <c r="P6" s="6"/>
      <c r="Q6" s="1"/>
      <c r="R6" s="6"/>
      <c r="S6" s="6"/>
      <c r="T6" s="6"/>
      <c r="U6" s="6"/>
      <c r="V6" s="6"/>
      <c r="W6" s="6"/>
      <c r="X6" s="6"/>
      <c r="Y6" s="6"/>
    </row>
    <row r="7">
      <c r="A7" s="18" t="s">
        <v>22</v>
      </c>
      <c r="B7" s="19">
        <v>45875.0</v>
      </c>
      <c r="C7" s="20">
        <v>63000.0</v>
      </c>
      <c r="D7" s="20">
        <v>48000.0</v>
      </c>
      <c r="E7" s="21"/>
      <c r="F7" s="22"/>
      <c r="G7" s="20">
        <v>2000.0</v>
      </c>
      <c r="H7" s="21"/>
      <c r="I7" s="21"/>
      <c r="J7" s="27">
        <v>1.0</v>
      </c>
      <c r="K7" s="16"/>
      <c r="L7" s="17"/>
      <c r="M7" s="11">
        <v>63000.0</v>
      </c>
      <c r="N7" s="35">
        <f>E33/J33</f>
        <v>28807.73913</v>
      </c>
      <c r="O7" s="35">
        <v>100000.0</v>
      </c>
      <c r="P7" s="1"/>
      <c r="Q7" s="1"/>
      <c r="R7" s="29"/>
      <c r="S7" s="6"/>
      <c r="T7" s="6"/>
      <c r="U7" s="6"/>
      <c r="V7" s="6"/>
      <c r="W7" s="6"/>
      <c r="X7" s="6"/>
      <c r="Y7" s="6"/>
    </row>
    <row r="8">
      <c r="A8" s="18" t="s">
        <v>23</v>
      </c>
      <c r="B8" s="19">
        <v>45876.0</v>
      </c>
      <c r="C8" s="20">
        <v>30000.0</v>
      </c>
      <c r="D8" s="20">
        <v>70000.0</v>
      </c>
      <c r="E8" s="21"/>
      <c r="F8" s="22"/>
      <c r="G8" s="20">
        <v>2000.0</v>
      </c>
      <c r="H8" s="21"/>
      <c r="I8" s="21"/>
      <c r="J8" s="27">
        <v>1.0</v>
      </c>
      <c r="K8" s="16"/>
      <c r="L8" s="17"/>
      <c r="M8" s="11">
        <v>30000.0</v>
      </c>
      <c r="N8" s="1" t="s">
        <v>24</v>
      </c>
      <c r="O8" s="1"/>
      <c r="P8" s="1"/>
      <c r="Q8" s="1"/>
      <c r="R8" s="29"/>
      <c r="S8" s="6" t="s">
        <v>25</v>
      </c>
      <c r="T8" s="6"/>
      <c r="U8" s="6"/>
      <c r="V8" s="6"/>
      <c r="W8" s="6"/>
      <c r="X8" s="6"/>
      <c r="Y8" s="6"/>
    </row>
    <row r="9">
      <c r="A9" s="9" t="s">
        <v>11</v>
      </c>
      <c r="B9" s="10">
        <v>45877.0</v>
      </c>
      <c r="C9" s="12">
        <v>39000.0</v>
      </c>
      <c r="D9" s="12">
        <v>45000.0</v>
      </c>
      <c r="E9" s="13"/>
      <c r="F9" s="14"/>
      <c r="G9" s="12">
        <v>2000.0</v>
      </c>
      <c r="H9" s="13"/>
      <c r="I9" s="13"/>
      <c r="J9" s="36">
        <v>1.0</v>
      </c>
      <c r="K9" s="16"/>
      <c r="L9" s="17"/>
      <c r="M9" s="11">
        <v>39000.0</v>
      </c>
      <c r="N9" s="1"/>
      <c r="O9" s="1"/>
      <c r="P9" s="1"/>
      <c r="Q9" s="1"/>
      <c r="R9" s="29"/>
      <c r="S9" s="6"/>
      <c r="T9" s="6"/>
      <c r="U9" s="6"/>
      <c r="V9" s="6"/>
      <c r="W9" s="6"/>
      <c r="X9" s="6"/>
      <c r="Y9" s="6"/>
    </row>
    <row r="10">
      <c r="A10" s="18" t="s">
        <v>12</v>
      </c>
      <c r="B10" s="19">
        <v>45878.0</v>
      </c>
      <c r="C10" s="20">
        <v>32000.0</v>
      </c>
      <c r="D10" s="20">
        <v>102000.0</v>
      </c>
      <c r="E10" s="21"/>
      <c r="F10" s="22"/>
      <c r="G10" s="20">
        <v>2000.0</v>
      </c>
      <c r="H10" s="21"/>
      <c r="I10" s="21"/>
      <c r="J10" s="27">
        <v>1.0</v>
      </c>
      <c r="K10" s="16"/>
      <c r="L10" s="17"/>
      <c r="M10" s="11">
        <v>32000.0</v>
      </c>
      <c r="N10" s="37" t="s">
        <v>26</v>
      </c>
      <c r="O10" s="37" t="s">
        <v>27</v>
      </c>
      <c r="P10" s="38" t="s">
        <v>28</v>
      </c>
      <c r="Q10" s="39" t="s">
        <v>29</v>
      </c>
      <c r="R10" s="29"/>
      <c r="S10" s="6"/>
      <c r="T10" s="6"/>
      <c r="U10" s="6"/>
      <c r="V10" s="6"/>
      <c r="W10" s="6"/>
      <c r="X10" s="6"/>
      <c r="Y10" s="6"/>
    </row>
    <row r="11">
      <c r="A11" s="18" t="s">
        <v>17</v>
      </c>
      <c r="B11" s="19">
        <v>45879.0</v>
      </c>
      <c r="C11" s="20">
        <v>32000.0</v>
      </c>
      <c r="D11" s="20">
        <v>64000.0</v>
      </c>
      <c r="E11" s="21"/>
      <c r="F11" s="22"/>
      <c r="G11" s="20">
        <v>2000.0</v>
      </c>
      <c r="H11" s="21"/>
      <c r="I11" s="21"/>
      <c r="J11" s="27">
        <v>1.0</v>
      </c>
      <c r="K11" s="16"/>
      <c r="L11" s="17"/>
      <c r="M11" s="11">
        <v>32000.0</v>
      </c>
      <c r="N11" s="11">
        <f>D33+N14-O11-E33-'Les Salaires'!J32-G33</f>
        <v>559422</v>
      </c>
      <c r="O11" s="40">
        <v>459000.0</v>
      </c>
      <c r="P11" s="41">
        <v>540000.0</v>
      </c>
      <c r="Q11" s="35">
        <f>N11-P11</f>
        <v>19422</v>
      </c>
      <c r="R11" s="6"/>
      <c r="S11" s="6"/>
      <c r="T11" s="6"/>
      <c r="U11" s="6"/>
      <c r="V11" s="6"/>
      <c r="W11" s="6"/>
      <c r="X11" s="6"/>
      <c r="Y11" s="6"/>
    </row>
    <row r="12">
      <c r="A12" s="18" t="s">
        <v>18</v>
      </c>
      <c r="B12" s="19">
        <v>45880.0</v>
      </c>
      <c r="C12" s="20">
        <v>62000.0</v>
      </c>
      <c r="D12" s="20">
        <v>64000.0</v>
      </c>
      <c r="E12" s="21"/>
      <c r="F12" s="22"/>
      <c r="G12" s="20">
        <v>2000.0</v>
      </c>
      <c r="H12" s="21"/>
      <c r="I12" s="21"/>
      <c r="J12" s="27">
        <v>1.0</v>
      </c>
      <c r="K12" s="16"/>
      <c r="L12" s="17"/>
      <c r="M12" s="31">
        <v>62000.0</v>
      </c>
      <c r="N12" s="1"/>
      <c r="O12" s="1"/>
      <c r="P12" s="42"/>
      <c r="Q12" s="42"/>
      <c r="R12" s="6"/>
      <c r="S12" s="6"/>
      <c r="T12" s="6"/>
      <c r="U12" s="6"/>
      <c r="V12" s="6"/>
      <c r="W12" s="6"/>
      <c r="X12" s="6"/>
      <c r="Y12" s="6"/>
    </row>
    <row r="13">
      <c r="A13" s="18" t="s">
        <v>19</v>
      </c>
      <c r="B13" s="19">
        <v>45881.0</v>
      </c>
      <c r="C13" s="20">
        <v>112000.0</v>
      </c>
      <c r="D13" s="20">
        <v>55000.0</v>
      </c>
      <c r="E13" s="21"/>
      <c r="F13" s="22"/>
      <c r="G13" s="20">
        <v>2000.0</v>
      </c>
      <c r="H13" s="21"/>
      <c r="I13" s="21"/>
      <c r="J13" s="27">
        <v>1.0</v>
      </c>
      <c r="K13" s="16"/>
      <c r="L13" s="17"/>
      <c r="M13" s="11">
        <v>112000.0</v>
      </c>
      <c r="N13" s="38" t="s">
        <v>30</v>
      </c>
      <c r="O13" s="42"/>
      <c r="P13" s="6"/>
      <c r="Q13" s="42"/>
      <c r="R13" s="6"/>
      <c r="S13" s="6"/>
      <c r="T13" s="6"/>
      <c r="U13" s="6"/>
      <c r="V13" s="6"/>
      <c r="W13" s="6"/>
      <c r="X13" s="6"/>
      <c r="Y13" s="6"/>
    </row>
    <row r="14">
      <c r="A14" s="18" t="s">
        <v>22</v>
      </c>
      <c r="B14" s="19">
        <v>45882.0</v>
      </c>
      <c r="C14" s="20">
        <v>77000.0</v>
      </c>
      <c r="D14" s="20">
        <v>50000.0</v>
      </c>
      <c r="E14" s="21"/>
      <c r="F14" s="22"/>
      <c r="G14" s="20">
        <v>2000.0</v>
      </c>
      <c r="H14" s="21"/>
      <c r="I14" s="21"/>
      <c r="J14" s="27">
        <v>1.0</v>
      </c>
      <c r="K14" s="16"/>
      <c r="L14" s="17"/>
      <c r="M14" s="11">
        <v>77000.0</v>
      </c>
      <c r="N14" s="43">
        <v>330000.0</v>
      </c>
      <c r="O14" s="42"/>
      <c r="P14" s="6"/>
      <c r="Q14" s="29"/>
      <c r="R14" s="6"/>
      <c r="S14" s="6"/>
      <c r="T14" s="6"/>
      <c r="U14" s="6"/>
      <c r="V14" s="6"/>
      <c r="W14" s="6"/>
      <c r="X14" s="6"/>
      <c r="Y14" s="6"/>
    </row>
    <row r="15">
      <c r="A15" s="18" t="s">
        <v>23</v>
      </c>
      <c r="B15" s="19">
        <v>45883.0</v>
      </c>
      <c r="C15" s="20">
        <v>43000.0</v>
      </c>
      <c r="D15" s="20">
        <v>124000.0</v>
      </c>
      <c r="E15" s="21"/>
      <c r="F15" s="22"/>
      <c r="G15" s="20">
        <v>2000.0</v>
      </c>
      <c r="H15" s="21"/>
      <c r="I15" s="21"/>
      <c r="J15" s="27">
        <v>1.0</v>
      </c>
      <c r="K15" s="16"/>
      <c r="L15" s="17"/>
      <c r="M15" s="11">
        <v>43000.0</v>
      </c>
      <c r="N15" s="29"/>
      <c r="O15" s="29"/>
      <c r="P15" s="16"/>
      <c r="Q15" s="44" t="s">
        <v>31</v>
      </c>
      <c r="R15" s="29"/>
      <c r="S15" s="6"/>
      <c r="T15" s="6"/>
      <c r="U15" s="6"/>
      <c r="V15" s="6"/>
      <c r="W15" s="6"/>
      <c r="X15" s="6"/>
      <c r="Y15" s="6"/>
    </row>
    <row r="16">
      <c r="A16" s="45" t="s">
        <v>11</v>
      </c>
      <c r="B16" s="46">
        <v>45884.0</v>
      </c>
      <c r="C16" s="47">
        <v>53000.0</v>
      </c>
      <c r="D16" s="47">
        <v>0.0</v>
      </c>
      <c r="E16" s="48"/>
      <c r="F16" s="49"/>
      <c r="G16" s="47">
        <v>0.0</v>
      </c>
      <c r="H16" s="48"/>
      <c r="I16" s="48"/>
      <c r="J16" s="50">
        <v>0.0</v>
      </c>
      <c r="K16" s="51">
        <v>1.0</v>
      </c>
      <c r="L16" s="17"/>
      <c r="M16" s="11">
        <v>53000.0</v>
      </c>
      <c r="N16" s="29"/>
      <c r="O16" s="29"/>
      <c r="P16" s="29"/>
      <c r="Q16" s="44" t="s">
        <v>32</v>
      </c>
      <c r="R16" s="29"/>
      <c r="S16" s="6"/>
      <c r="T16" s="6"/>
      <c r="U16" s="6"/>
      <c r="V16" s="6"/>
      <c r="W16" s="6"/>
      <c r="X16" s="6"/>
      <c r="Y16" s="6"/>
    </row>
    <row r="17">
      <c r="A17" s="45" t="s">
        <v>12</v>
      </c>
      <c r="B17" s="46">
        <v>45885.0</v>
      </c>
      <c r="C17" s="47">
        <v>68000.0</v>
      </c>
      <c r="D17" s="47">
        <v>0.0</v>
      </c>
      <c r="E17" s="48"/>
      <c r="F17" s="49"/>
      <c r="G17" s="47">
        <v>0.0</v>
      </c>
      <c r="H17" s="48"/>
      <c r="I17" s="48"/>
      <c r="J17" s="50">
        <v>0.0</v>
      </c>
      <c r="K17" s="51">
        <v>1.0</v>
      </c>
      <c r="L17" s="17"/>
      <c r="M17" s="11">
        <v>68000.0</v>
      </c>
      <c r="N17" s="52"/>
      <c r="O17" s="29"/>
      <c r="P17" s="29"/>
      <c r="Q17" s="53" t="s">
        <v>33</v>
      </c>
      <c r="R17" s="29"/>
      <c r="S17" s="6"/>
      <c r="T17" s="6"/>
      <c r="U17" s="6"/>
      <c r="V17" s="6"/>
      <c r="W17" s="6"/>
      <c r="X17" s="6"/>
      <c r="Y17" s="6"/>
    </row>
    <row r="18">
      <c r="A18" s="45" t="s">
        <v>17</v>
      </c>
      <c r="B18" s="46">
        <v>45886.0</v>
      </c>
      <c r="C18" s="47">
        <v>64000.0</v>
      </c>
      <c r="D18" s="47">
        <v>0.0</v>
      </c>
      <c r="E18" s="48"/>
      <c r="F18" s="49"/>
      <c r="G18" s="47">
        <v>0.0</v>
      </c>
      <c r="H18" s="48"/>
      <c r="I18" s="48"/>
      <c r="J18" s="50">
        <v>0.0</v>
      </c>
      <c r="K18" s="16"/>
      <c r="L18" s="17"/>
      <c r="M18" s="11">
        <v>64000.0</v>
      </c>
      <c r="N18" s="54"/>
      <c r="O18" s="29"/>
      <c r="P18" s="52"/>
      <c r="Q18" s="55" t="s">
        <v>34</v>
      </c>
      <c r="R18" s="56"/>
      <c r="S18" s="6"/>
      <c r="T18" s="6"/>
      <c r="U18" s="6"/>
      <c r="V18" s="6"/>
      <c r="W18" s="6"/>
      <c r="X18" s="6"/>
      <c r="Y18" s="6"/>
    </row>
    <row r="19">
      <c r="A19" s="45" t="s">
        <v>18</v>
      </c>
      <c r="B19" s="46">
        <v>45887.0</v>
      </c>
      <c r="C19" s="47">
        <v>89000.0</v>
      </c>
      <c r="D19" s="47">
        <v>0.0</v>
      </c>
      <c r="E19" s="48"/>
      <c r="F19" s="49"/>
      <c r="G19" s="47">
        <v>0.0</v>
      </c>
      <c r="H19" s="48"/>
      <c r="I19" s="48"/>
      <c r="J19" s="50">
        <v>0.0</v>
      </c>
      <c r="K19" s="16"/>
      <c r="L19" s="17"/>
      <c r="M19" s="31">
        <v>89000.0</v>
      </c>
      <c r="N19" s="57" t="s">
        <v>35</v>
      </c>
      <c r="O19" s="29"/>
      <c r="P19" s="29"/>
      <c r="Q19" s="58" t="s">
        <v>36</v>
      </c>
      <c r="R19" s="29"/>
      <c r="S19" s="29"/>
      <c r="T19" s="6"/>
      <c r="U19" s="6"/>
      <c r="V19" s="6"/>
      <c r="W19" s="6"/>
      <c r="X19" s="6"/>
      <c r="Y19" s="6"/>
    </row>
    <row r="20">
      <c r="A20" s="45" t="s">
        <v>19</v>
      </c>
      <c r="B20" s="46">
        <v>45888.0</v>
      </c>
      <c r="C20" s="47">
        <v>69000.0</v>
      </c>
      <c r="D20" s="47">
        <v>0.0</v>
      </c>
      <c r="E20" s="48"/>
      <c r="F20" s="49"/>
      <c r="G20" s="47">
        <v>0.0</v>
      </c>
      <c r="H20" s="48"/>
      <c r="I20" s="48"/>
      <c r="J20" s="50">
        <v>0.0</v>
      </c>
      <c r="K20" s="16"/>
      <c r="L20" s="17"/>
      <c r="M20" s="11">
        <v>69000.0</v>
      </c>
      <c r="N20" s="11">
        <f>D33-C33</f>
        <v>-225000</v>
      </c>
      <c r="O20" s="29"/>
      <c r="P20" s="6"/>
      <c r="Q20" s="59" t="s">
        <v>37</v>
      </c>
      <c r="R20" s="29"/>
      <c r="S20" s="6"/>
      <c r="T20" s="6"/>
      <c r="U20" s="6"/>
      <c r="V20" s="6"/>
      <c r="W20" s="6"/>
      <c r="X20" s="6"/>
      <c r="Y20" s="6"/>
    </row>
    <row r="21">
      <c r="A21" s="45" t="s">
        <v>22</v>
      </c>
      <c r="B21" s="46">
        <v>45889.0</v>
      </c>
      <c r="C21" s="47">
        <v>62000.0</v>
      </c>
      <c r="D21" s="47">
        <v>0.0</v>
      </c>
      <c r="E21" s="48"/>
      <c r="F21" s="49"/>
      <c r="G21" s="47">
        <v>0.0</v>
      </c>
      <c r="H21" s="48"/>
      <c r="I21" s="48"/>
      <c r="J21" s="50">
        <v>0.0</v>
      </c>
      <c r="K21" s="16"/>
      <c r="L21" s="17"/>
      <c r="M21" s="11">
        <v>62000.0</v>
      </c>
      <c r="N21" s="60" t="s">
        <v>38</v>
      </c>
      <c r="O21" s="29"/>
      <c r="P21" s="16"/>
      <c r="Q21" s="61" t="s">
        <v>39</v>
      </c>
      <c r="R21" s="52"/>
      <c r="S21" s="52"/>
      <c r="T21" s="6"/>
      <c r="U21" s="6"/>
      <c r="V21" s="6"/>
      <c r="W21" s="6"/>
      <c r="X21" s="6"/>
      <c r="Y21" s="6"/>
    </row>
    <row r="22">
      <c r="A22" s="45" t="s">
        <v>23</v>
      </c>
      <c r="B22" s="46">
        <v>45890.0</v>
      </c>
      <c r="C22" s="47">
        <v>50000.0</v>
      </c>
      <c r="D22" s="47">
        <v>0.0</v>
      </c>
      <c r="E22" s="48"/>
      <c r="F22" s="49"/>
      <c r="G22" s="47">
        <v>0.0</v>
      </c>
      <c r="H22" s="48"/>
      <c r="I22" s="48"/>
      <c r="J22" s="50">
        <v>0.0</v>
      </c>
      <c r="K22" s="16"/>
      <c r="L22" s="17"/>
      <c r="M22" s="11">
        <v>50000.0</v>
      </c>
      <c r="N22" s="35">
        <f>L36-E36</f>
        <v>0</v>
      </c>
      <c r="O22" s="29"/>
      <c r="P22" s="62"/>
      <c r="Q22" s="63"/>
      <c r="R22" s="52"/>
      <c r="S22" s="52"/>
      <c r="T22" s="6"/>
      <c r="U22" s="6"/>
      <c r="V22" s="6"/>
      <c r="W22" s="6"/>
      <c r="X22" s="6"/>
      <c r="Y22" s="6"/>
    </row>
    <row r="23">
      <c r="A23" s="45" t="s">
        <v>11</v>
      </c>
      <c r="B23" s="46">
        <v>45891.0</v>
      </c>
      <c r="C23" s="47">
        <v>47000.0</v>
      </c>
      <c r="D23" s="47">
        <v>4000.0</v>
      </c>
      <c r="E23" s="48"/>
      <c r="F23" s="49"/>
      <c r="G23" s="47">
        <v>0.0</v>
      </c>
      <c r="H23" s="48"/>
      <c r="I23" s="48"/>
      <c r="J23" s="50">
        <v>0.0</v>
      </c>
      <c r="K23" s="16"/>
      <c r="L23" s="17"/>
      <c r="M23" s="11">
        <v>47000.0</v>
      </c>
      <c r="N23" s="64" t="s">
        <v>40</v>
      </c>
      <c r="O23" s="29"/>
      <c r="P23" s="62"/>
      <c r="Q23" s="63"/>
      <c r="R23" s="52"/>
      <c r="S23" s="52"/>
      <c r="T23" s="6"/>
      <c r="U23" s="6"/>
      <c r="V23" s="6"/>
      <c r="W23" s="6"/>
      <c r="X23" s="6"/>
      <c r="Y23" s="6"/>
    </row>
    <row r="24">
      <c r="A24" s="18" t="s">
        <v>12</v>
      </c>
      <c r="B24" s="19">
        <v>45892.0</v>
      </c>
      <c r="C24" s="20">
        <v>48000.0</v>
      </c>
      <c r="D24" s="20">
        <v>104000.0</v>
      </c>
      <c r="E24" s="21"/>
      <c r="F24" s="22"/>
      <c r="G24" s="20">
        <v>2000.0</v>
      </c>
      <c r="H24" s="21"/>
      <c r="I24" s="21"/>
      <c r="J24" s="27">
        <v>1.0</v>
      </c>
      <c r="K24" s="16"/>
      <c r="L24" s="17"/>
      <c r="M24" s="11">
        <v>48000.0</v>
      </c>
      <c r="N24" s="43">
        <f>D33-C33</f>
        <v>-225000</v>
      </c>
      <c r="O24" s="29"/>
      <c r="P24" s="62"/>
      <c r="Q24" s="63"/>
      <c r="R24" s="16"/>
      <c r="S24" s="16"/>
      <c r="T24" s="6"/>
      <c r="U24" s="6"/>
      <c r="V24" s="6"/>
      <c r="W24" s="6"/>
      <c r="X24" s="6"/>
      <c r="Y24" s="6"/>
    </row>
    <row r="25">
      <c r="A25" s="18" t="s">
        <v>17</v>
      </c>
      <c r="B25" s="19">
        <v>45893.0</v>
      </c>
      <c r="C25" s="20">
        <v>68000.0</v>
      </c>
      <c r="D25" s="20">
        <v>34000.0</v>
      </c>
      <c r="E25" s="21"/>
      <c r="F25" s="22"/>
      <c r="G25" s="20">
        <v>2000.0</v>
      </c>
      <c r="H25" s="21"/>
      <c r="I25" s="21"/>
      <c r="J25" s="27">
        <v>1.0</v>
      </c>
      <c r="K25" s="16"/>
      <c r="L25" s="17"/>
      <c r="M25" s="11">
        <v>68000.0</v>
      </c>
      <c r="N25" s="38" t="s">
        <v>41</v>
      </c>
      <c r="O25" s="29"/>
      <c r="P25" s="62"/>
      <c r="Q25" s="63"/>
      <c r="R25" s="16"/>
      <c r="S25" s="16"/>
      <c r="T25" s="6"/>
      <c r="U25" s="6"/>
      <c r="V25" s="6"/>
      <c r="W25" s="6"/>
      <c r="X25" s="6"/>
      <c r="Y25" s="6"/>
    </row>
    <row r="26">
      <c r="A26" s="18" t="s">
        <v>18</v>
      </c>
      <c r="B26" s="19">
        <v>45894.0</v>
      </c>
      <c r="C26" s="20">
        <v>29000.0</v>
      </c>
      <c r="D26" s="20">
        <v>78000.0</v>
      </c>
      <c r="E26" s="21"/>
      <c r="F26" s="22"/>
      <c r="G26" s="20">
        <v>2000.0</v>
      </c>
      <c r="H26" s="21"/>
      <c r="I26" s="21"/>
      <c r="J26" s="27">
        <v>1.0</v>
      </c>
      <c r="K26" s="16"/>
      <c r="L26" s="17"/>
      <c r="M26" s="31">
        <v>29000.0</v>
      </c>
      <c r="N26" s="35">
        <f>D9+D16+D23+D30</f>
        <v>142000</v>
      </c>
      <c r="O26" s="6"/>
      <c r="P26" s="62"/>
      <c r="Q26" s="63"/>
      <c r="R26" s="16"/>
      <c r="S26" s="16"/>
      <c r="T26" s="6"/>
      <c r="U26" s="6"/>
      <c r="V26" s="6"/>
      <c r="W26" s="6"/>
      <c r="X26" s="6"/>
      <c r="Y26" s="6"/>
    </row>
    <row r="27">
      <c r="A27" s="18" t="s">
        <v>19</v>
      </c>
      <c r="B27" s="19">
        <v>45895.0</v>
      </c>
      <c r="C27" s="20">
        <v>161000.0</v>
      </c>
      <c r="D27" s="20">
        <v>63000.0</v>
      </c>
      <c r="E27" s="21"/>
      <c r="F27" s="22"/>
      <c r="G27" s="20">
        <v>2000.0</v>
      </c>
      <c r="H27" s="21"/>
      <c r="I27" s="21"/>
      <c r="J27" s="27">
        <v>1.0</v>
      </c>
      <c r="K27" s="16"/>
      <c r="L27" s="17"/>
      <c r="M27" s="11">
        <v>161000.0</v>
      </c>
      <c r="N27" s="42"/>
      <c r="O27" s="6"/>
      <c r="P27" s="62"/>
      <c r="Q27" s="63"/>
      <c r="R27" s="16"/>
      <c r="S27" s="16"/>
      <c r="T27" s="6"/>
      <c r="U27" s="6"/>
      <c r="V27" s="6"/>
      <c r="W27" s="6"/>
      <c r="X27" s="6"/>
      <c r="Y27" s="6"/>
    </row>
    <row r="28">
      <c r="A28" s="18" t="s">
        <v>22</v>
      </c>
      <c r="B28" s="19">
        <v>45896.0</v>
      </c>
      <c r="C28" s="20">
        <v>57000.0</v>
      </c>
      <c r="D28" s="20">
        <v>59000.0</v>
      </c>
      <c r="E28" s="21"/>
      <c r="F28" s="22"/>
      <c r="G28" s="20">
        <v>2000.0</v>
      </c>
      <c r="H28" s="21"/>
      <c r="I28" s="21"/>
      <c r="J28" s="27">
        <v>1.0</v>
      </c>
      <c r="K28" s="16"/>
      <c r="L28" s="17"/>
      <c r="M28" s="11">
        <v>57000.0</v>
      </c>
      <c r="N28" s="33" t="s">
        <v>28</v>
      </c>
      <c r="O28" s="6"/>
      <c r="P28" s="62"/>
      <c r="Q28" s="63"/>
      <c r="R28" s="16"/>
      <c r="S28" s="16"/>
      <c r="T28" s="6"/>
      <c r="U28" s="6"/>
      <c r="V28" s="6"/>
      <c r="W28" s="6"/>
      <c r="X28" s="6"/>
      <c r="Y28" s="6"/>
    </row>
    <row r="29">
      <c r="A29" s="18" t="s">
        <v>23</v>
      </c>
      <c r="B29" s="19">
        <v>45897.0</v>
      </c>
      <c r="C29" s="20">
        <v>53000.0</v>
      </c>
      <c r="D29" s="20">
        <v>62000.0</v>
      </c>
      <c r="E29" s="21"/>
      <c r="F29" s="22"/>
      <c r="G29" s="20">
        <v>2000.0</v>
      </c>
      <c r="H29" s="21"/>
      <c r="I29" s="21"/>
      <c r="J29" s="27">
        <v>1.0</v>
      </c>
      <c r="K29" s="16"/>
      <c r="L29" s="17"/>
      <c r="M29" s="11">
        <v>53000.0</v>
      </c>
      <c r="N29" s="35">
        <v>51000.0</v>
      </c>
      <c r="O29" s="29"/>
      <c r="P29" s="62"/>
      <c r="Q29" s="63"/>
      <c r="R29" s="16"/>
      <c r="S29" s="16"/>
      <c r="T29" s="6"/>
      <c r="U29" s="6"/>
      <c r="V29" s="6"/>
      <c r="W29" s="6"/>
      <c r="X29" s="6"/>
      <c r="Y29" s="6"/>
    </row>
    <row r="30">
      <c r="A30" s="9" t="s">
        <v>11</v>
      </c>
      <c r="B30" s="10">
        <v>45898.0</v>
      </c>
      <c r="C30" s="12">
        <v>32000.0</v>
      </c>
      <c r="D30" s="12">
        <v>93000.0</v>
      </c>
      <c r="E30" s="13"/>
      <c r="F30" s="14"/>
      <c r="G30" s="12">
        <v>2000.0</v>
      </c>
      <c r="H30" s="13"/>
      <c r="I30" s="13"/>
      <c r="J30" s="36">
        <v>1.0</v>
      </c>
      <c r="K30" s="16"/>
      <c r="L30" s="17"/>
      <c r="M30" s="11">
        <v>32000.0</v>
      </c>
      <c r="N30" s="65" t="s">
        <v>42</v>
      </c>
      <c r="O30" s="6"/>
      <c r="P30" s="62"/>
      <c r="Q30" s="63"/>
      <c r="R30" s="16"/>
      <c r="S30" s="16"/>
      <c r="T30" s="6"/>
      <c r="U30" s="6"/>
      <c r="V30" s="6"/>
      <c r="W30" s="6"/>
      <c r="X30" s="6"/>
      <c r="Y30" s="6"/>
    </row>
    <row r="31">
      <c r="A31" s="18" t="s">
        <v>12</v>
      </c>
      <c r="B31" s="19">
        <v>45899.0</v>
      </c>
      <c r="C31" s="20">
        <v>58000.0</v>
      </c>
      <c r="D31" s="20">
        <v>300000.0</v>
      </c>
      <c r="E31" s="21"/>
      <c r="F31" s="22"/>
      <c r="G31" s="20">
        <v>2000.0</v>
      </c>
      <c r="H31" s="21"/>
      <c r="I31" s="21"/>
      <c r="J31" s="27">
        <v>1.0</v>
      </c>
      <c r="K31" s="16"/>
      <c r="L31" s="17"/>
      <c r="M31" s="11">
        <v>58000.0</v>
      </c>
      <c r="N31" s="42"/>
      <c r="O31" s="6"/>
      <c r="P31" s="63"/>
      <c r="Q31" s="62"/>
      <c r="R31" s="16"/>
      <c r="S31" s="16"/>
      <c r="T31" s="6"/>
      <c r="U31" s="6"/>
      <c r="V31" s="6"/>
      <c r="W31" s="6"/>
      <c r="X31" s="6"/>
      <c r="Y31" s="6"/>
    </row>
    <row r="32">
      <c r="A32" s="66" t="s">
        <v>17</v>
      </c>
      <c r="B32" s="19">
        <v>45900.0</v>
      </c>
      <c r="C32" s="20">
        <v>73000.0</v>
      </c>
      <c r="D32" s="20">
        <v>42000.0</v>
      </c>
      <c r="E32" s="21"/>
      <c r="F32" s="22"/>
      <c r="G32" s="67">
        <v>2000.0</v>
      </c>
      <c r="H32" s="21"/>
      <c r="I32" s="21"/>
      <c r="J32" s="27">
        <v>1.0</v>
      </c>
      <c r="K32" s="16"/>
      <c r="L32" s="17"/>
      <c r="M32" s="11">
        <v>73000.0</v>
      </c>
      <c r="N32" s="42"/>
      <c r="O32" s="6"/>
      <c r="P32" s="63"/>
      <c r="Q32" s="63"/>
      <c r="R32" s="16"/>
      <c r="S32" s="16"/>
      <c r="T32" s="6"/>
      <c r="U32" s="6"/>
      <c r="V32" s="6"/>
      <c r="W32" s="6"/>
      <c r="X32" s="6"/>
      <c r="Y32" s="6"/>
    </row>
    <row r="33">
      <c r="A33" s="16"/>
      <c r="B33" s="68"/>
      <c r="C33" s="69">
        <f t="shared" ref="C33:D33" si="1">SUM(C2:C32)</f>
        <v>1997000</v>
      </c>
      <c r="D33" s="69">
        <f t="shared" si="1"/>
        <v>1772000</v>
      </c>
      <c r="E33" s="69">
        <f>'Les Charges '!H360</f>
        <v>662578</v>
      </c>
      <c r="F33" s="70">
        <f>'Les Salaires'!I32</f>
        <v>373289.75</v>
      </c>
      <c r="G33" s="69">
        <f>SUM(G2:G32)</f>
        <v>46000</v>
      </c>
      <c r="H33" s="69">
        <v>180000.0</v>
      </c>
      <c r="I33" s="69">
        <f>D33-E33-F33-G33-H33</f>
        <v>510132.25</v>
      </c>
      <c r="J33" s="71">
        <f>SUM(J2:J32)</f>
        <v>23</v>
      </c>
      <c r="K33" s="6"/>
      <c r="L33" s="17"/>
      <c r="M33" s="31">
        <f>SUM(M2:M32)</f>
        <v>1997000</v>
      </c>
      <c r="N33" s="42"/>
      <c r="O33" s="29"/>
      <c r="P33" s="52"/>
      <c r="Q33" s="52"/>
      <c r="R33" s="16"/>
      <c r="S33" s="16"/>
      <c r="T33" s="6"/>
      <c r="U33" s="6"/>
      <c r="V33" s="6"/>
      <c r="W33" s="6"/>
      <c r="X33" s="6"/>
      <c r="Y33" s="6"/>
    </row>
    <row r="34">
      <c r="A34" s="6"/>
      <c r="B34" s="72"/>
      <c r="C34" s="52"/>
      <c r="D34" s="52"/>
      <c r="E34" s="16"/>
      <c r="F34" s="73"/>
      <c r="G34" s="74" t="s">
        <v>43</v>
      </c>
      <c r="H34" s="75">
        <v>55000.0</v>
      </c>
      <c r="I34" s="16"/>
      <c r="J34" s="16"/>
      <c r="K34" s="6"/>
      <c r="L34" s="29"/>
      <c r="M34" s="29"/>
      <c r="N34" s="42"/>
      <c r="O34" s="29"/>
      <c r="P34" s="52"/>
      <c r="Q34" s="16"/>
      <c r="R34" s="16"/>
      <c r="S34" s="16"/>
      <c r="T34" s="6"/>
      <c r="U34" s="6"/>
      <c r="V34" s="6"/>
      <c r="W34" s="6"/>
      <c r="X34" s="6"/>
      <c r="Y34" s="6"/>
    </row>
    <row r="35">
      <c r="A35" s="6"/>
      <c r="B35" s="72"/>
      <c r="C35" s="52"/>
      <c r="D35" s="52"/>
      <c r="E35" s="52"/>
      <c r="F35" s="73"/>
      <c r="G35" s="76" t="s">
        <v>44</v>
      </c>
      <c r="H35" s="75">
        <v>40000.0</v>
      </c>
      <c r="I35" s="52"/>
      <c r="J35" s="16"/>
      <c r="K35" s="6"/>
      <c r="L35" s="29"/>
      <c r="M35" s="29"/>
      <c r="N35" s="35">
        <f>N11-N29-N34</f>
        <v>508422</v>
      </c>
      <c r="O35" s="6"/>
      <c r="P35" s="52"/>
      <c r="Q35" s="16"/>
      <c r="R35" s="16"/>
      <c r="S35" s="16"/>
      <c r="T35" s="6"/>
      <c r="U35" s="6"/>
      <c r="V35" s="6"/>
      <c r="W35" s="6"/>
      <c r="X35" s="6"/>
      <c r="Y35" s="6"/>
    </row>
    <row r="36">
      <c r="A36" s="6"/>
      <c r="B36" s="6"/>
      <c r="C36" s="16"/>
      <c r="D36" s="77">
        <v>200000.0</v>
      </c>
      <c r="E36" s="16"/>
      <c r="F36" s="73"/>
      <c r="G36" s="74" t="s">
        <v>45</v>
      </c>
      <c r="H36" s="75">
        <v>45000.0</v>
      </c>
      <c r="I36" s="16"/>
      <c r="J36" s="16"/>
      <c r="K36" s="6"/>
      <c r="L36" s="6"/>
      <c r="M36" s="6"/>
      <c r="N36" s="6"/>
      <c r="O36" s="6"/>
      <c r="P36" s="74" t="s">
        <v>46</v>
      </c>
      <c r="Q36" s="76">
        <v>40000.0</v>
      </c>
      <c r="R36" s="16"/>
      <c r="S36" s="16"/>
      <c r="T36" s="6"/>
      <c r="U36" s="6"/>
      <c r="V36" s="6"/>
      <c r="W36" s="6"/>
      <c r="X36" s="6"/>
      <c r="Y36" s="6"/>
    </row>
    <row r="37">
      <c r="A37" s="6"/>
      <c r="B37" s="6"/>
      <c r="C37" s="16"/>
      <c r="D37" s="16"/>
      <c r="E37" s="16"/>
      <c r="F37" s="73"/>
      <c r="G37" s="74" t="s">
        <v>47</v>
      </c>
      <c r="H37" s="75">
        <v>40000.0</v>
      </c>
      <c r="I37" s="16"/>
      <c r="J37" s="16"/>
      <c r="K37" s="6"/>
      <c r="L37" s="6"/>
      <c r="M37" s="6"/>
      <c r="N37" s="6"/>
      <c r="O37" s="6"/>
      <c r="P37" s="16"/>
      <c r="Q37" s="16"/>
      <c r="R37" s="16"/>
      <c r="S37" s="16"/>
      <c r="T37" s="6"/>
      <c r="U37" s="6"/>
      <c r="V37" s="6"/>
      <c r="W37" s="6"/>
      <c r="X37" s="6"/>
      <c r="Y37" s="6"/>
    </row>
    <row r="38">
      <c r="A38" s="6"/>
      <c r="B38" s="6"/>
      <c r="C38" s="16"/>
      <c r="D38" s="16" t="s">
        <v>48</v>
      </c>
      <c r="E38" s="16"/>
      <c r="F38" s="73"/>
      <c r="G38" s="16"/>
      <c r="H38" s="16"/>
      <c r="I38" s="16"/>
      <c r="J38" s="16"/>
      <c r="K38" s="6"/>
      <c r="L38" s="6"/>
      <c r="M38" s="6"/>
      <c r="N38" s="6"/>
      <c r="O38" s="6"/>
      <c r="P38" s="16"/>
      <c r="Q38" s="16"/>
      <c r="R38" s="16"/>
      <c r="S38" s="1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78"/>
      <c r="G39" s="6"/>
      <c r="H39" s="6"/>
      <c r="I39" s="6"/>
      <c r="J39" s="6"/>
      <c r="K39" s="6"/>
      <c r="L39" s="6"/>
      <c r="M39" s="6"/>
      <c r="N39" s="6"/>
      <c r="O39" s="6"/>
      <c r="P39" s="16"/>
      <c r="Q39" s="16"/>
      <c r="R39" s="16"/>
      <c r="S39" s="1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78"/>
      <c r="G40" s="6"/>
      <c r="H40" s="6"/>
      <c r="I40" s="6"/>
      <c r="J40" s="6"/>
      <c r="K40" s="6"/>
      <c r="L40" s="6"/>
      <c r="M40" s="6"/>
      <c r="N40" s="6"/>
      <c r="O40" s="6"/>
      <c r="P40" s="16"/>
      <c r="Q40" s="16"/>
      <c r="R40" s="16"/>
      <c r="S40" s="1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7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7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7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79">
        <v>1.0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4.88"/>
    <col customWidth="1" min="6" max="6" width="40.63"/>
    <col customWidth="1" min="7" max="7" width="38.0"/>
    <col customWidth="1" min="8" max="8" width="38.75"/>
    <col customWidth="1" min="9" max="9" width="76.25"/>
  </cols>
  <sheetData>
    <row r="1">
      <c r="E1" s="80" t="s">
        <v>49</v>
      </c>
      <c r="F1" s="81" t="s">
        <v>50</v>
      </c>
      <c r="G1" s="81" t="s">
        <v>51</v>
      </c>
      <c r="H1" s="81" t="s">
        <v>52</v>
      </c>
      <c r="I1" s="81" t="s">
        <v>53</v>
      </c>
    </row>
    <row r="2">
      <c r="E2" s="82" t="s">
        <v>54</v>
      </c>
      <c r="F2" s="83">
        <v>29.0</v>
      </c>
      <c r="G2" s="84">
        <v>44.0</v>
      </c>
      <c r="H2" s="85">
        <f t="shared" ref="H2:H359" si="1">F2*G2</f>
        <v>1276</v>
      </c>
      <c r="I2" s="86" t="s">
        <v>55</v>
      </c>
    </row>
    <row r="3">
      <c r="E3" s="82" t="s">
        <v>56</v>
      </c>
      <c r="F3" s="83">
        <v>23.0</v>
      </c>
      <c r="G3" s="84">
        <v>44.0</v>
      </c>
      <c r="H3" s="85">
        <f t="shared" si="1"/>
        <v>1012</v>
      </c>
      <c r="I3" s="87"/>
    </row>
    <row r="4">
      <c r="E4" s="82" t="s">
        <v>57</v>
      </c>
      <c r="F4" s="83">
        <v>26.0</v>
      </c>
      <c r="G4" s="84">
        <v>44.0</v>
      </c>
      <c r="H4" s="85">
        <f t="shared" si="1"/>
        <v>1144</v>
      </c>
      <c r="I4" s="87"/>
    </row>
    <row r="5">
      <c r="E5" s="82" t="s">
        <v>58</v>
      </c>
      <c r="F5" s="83">
        <v>17.0</v>
      </c>
      <c r="G5" s="84">
        <v>44.0</v>
      </c>
      <c r="H5" s="85">
        <f t="shared" si="1"/>
        <v>748</v>
      </c>
      <c r="I5" s="87"/>
    </row>
    <row r="6">
      <c r="E6" s="82" t="s">
        <v>59</v>
      </c>
      <c r="F6" s="82">
        <v>6.0</v>
      </c>
      <c r="G6" s="84">
        <v>44.0</v>
      </c>
      <c r="H6" s="85">
        <f t="shared" si="1"/>
        <v>264</v>
      </c>
      <c r="I6" s="87"/>
    </row>
    <row r="7">
      <c r="E7" s="82" t="s">
        <v>60</v>
      </c>
      <c r="F7" s="82">
        <v>6.0</v>
      </c>
      <c r="G7" s="84">
        <v>44.0</v>
      </c>
      <c r="H7" s="85">
        <f t="shared" si="1"/>
        <v>264</v>
      </c>
      <c r="I7" s="87"/>
    </row>
    <row r="8">
      <c r="E8" s="82" t="s">
        <v>61</v>
      </c>
      <c r="F8" s="83">
        <v>7.0</v>
      </c>
      <c r="G8" s="84">
        <v>44.0</v>
      </c>
      <c r="H8" s="85">
        <f t="shared" si="1"/>
        <v>308</v>
      </c>
      <c r="I8" s="87"/>
    </row>
    <row r="9">
      <c r="E9" s="82" t="s">
        <v>62</v>
      </c>
      <c r="F9" s="83">
        <v>5.0</v>
      </c>
      <c r="G9" s="84">
        <v>44.0</v>
      </c>
      <c r="H9" s="85">
        <f t="shared" si="1"/>
        <v>220</v>
      </c>
      <c r="I9" s="87"/>
    </row>
    <row r="10">
      <c r="E10" s="82" t="s">
        <v>63</v>
      </c>
      <c r="F10" s="83">
        <v>21.0</v>
      </c>
      <c r="G10" s="84">
        <v>44.0</v>
      </c>
      <c r="H10" s="85">
        <f t="shared" si="1"/>
        <v>924</v>
      </c>
      <c r="I10" s="87"/>
    </row>
    <row r="11">
      <c r="E11" s="82" t="s">
        <v>64</v>
      </c>
      <c r="F11" s="83">
        <v>8.0</v>
      </c>
      <c r="G11" s="84">
        <v>44.0</v>
      </c>
      <c r="H11" s="85">
        <f t="shared" si="1"/>
        <v>352</v>
      </c>
      <c r="I11" s="87"/>
    </row>
    <row r="12">
      <c r="E12" s="83" t="s">
        <v>65</v>
      </c>
      <c r="F12" s="83">
        <v>1.0</v>
      </c>
      <c r="G12" s="88">
        <v>73.0</v>
      </c>
      <c r="H12" s="85">
        <f t="shared" si="1"/>
        <v>73</v>
      </c>
      <c r="I12" s="87"/>
    </row>
    <row r="13">
      <c r="E13" s="83" t="s">
        <v>66</v>
      </c>
      <c r="F13" s="83">
        <v>4.0</v>
      </c>
      <c r="G13" s="88">
        <v>73.0</v>
      </c>
      <c r="H13" s="85">
        <f t="shared" si="1"/>
        <v>292</v>
      </c>
      <c r="I13" s="87"/>
    </row>
    <row r="14">
      <c r="E14" s="82" t="s">
        <v>67</v>
      </c>
      <c r="F14" s="83">
        <v>10.0</v>
      </c>
      <c r="G14" s="84">
        <v>73.0</v>
      </c>
      <c r="H14" s="85">
        <f t="shared" si="1"/>
        <v>730</v>
      </c>
      <c r="I14" s="87"/>
    </row>
    <row r="15">
      <c r="E15" s="82" t="s">
        <v>68</v>
      </c>
      <c r="F15" s="83">
        <v>48.0</v>
      </c>
      <c r="G15" s="84">
        <v>60.0</v>
      </c>
      <c r="H15" s="85">
        <f t="shared" si="1"/>
        <v>2880</v>
      </c>
      <c r="I15" s="87"/>
    </row>
    <row r="16">
      <c r="E16" s="83" t="s">
        <v>69</v>
      </c>
      <c r="F16" s="83">
        <v>24.0</v>
      </c>
      <c r="G16" s="84">
        <v>72.0</v>
      </c>
      <c r="H16" s="85">
        <f t="shared" si="1"/>
        <v>1728</v>
      </c>
      <c r="I16" s="87"/>
    </row>
    <row r="17">
      <c r="E17" s="83" t="s">
        <v>70</v>
      </c>
      <c r="F17" s="83">
        <v>23.0</v>
      </c>
      <c r="G17" s="84">
        <v>72.0</v>
      </c>
      <c r="H17" s="85">
        <f t="shared" si="1"/>
        <v>1656</v>
      </c>
      <c r="I17" s="87"/>
    </row>
    <row r="18">
      <c r="E18" s="82" t="s">
        <v>71</v>
      </c>
      <c r="F18" s="83">
        <v>1.0</v>
      </c>
      <c r="G18" s="84">
        <v>72.0</v>
      </c>
      <c r="H18" s="85">
        <f t="shared" si="1"/>
        <v>72</v>
      </c>
      <c r="I18" s="87"/>
    </row>
    <row r="19">
      <c r="E19" s="82" t="s">
        <v>72</v>
      </c>
      <c r="F19" s="83">
        <v>2.0</v>
      </c>
      <c r="G19" s="84">
        <v>72.0</v>
      </c>
      <c r="H19" s="85">
        <f t="shared" si="1"/>
        <v>144</v>
      </c>
      <c r="I19" s="87"/>
    </row>
    <row r="20">
      <c r="E20" s="82" t="s">
        <v>73</v>
      </c>
      <c r="F20" s="83">
        <v>1.0</v>
      </c>
      <c r="G20" s="84">
        <v>72.0</v>
      </c>
      <c r="H20" s="85">
        <f t="shared" si="1"/>
        <v>72</v>
      </c>
      <c r="I20" s="87"/>
    </row>
    <row r="21">
      <c r="E21" s="82" t="s">
        <v>74</v>
      </c>
      <c r="F21" s="83">
        <v>14.0</v>
      </c>
      <c r="G21" s="84">
        <v>50.0</v>
      </c>
      <c r="H21" s="85">
        <f t="shared" si="1"/>
        <v>700</v>
      </c>
      <c r="I21" s="87"/>
    </row>
    <row r="22">
      <c r="E22" s="82" t="s">
        <v>75</v>
      </c>
      <c r="F22" s="83">
        <v>11.0</v>
      </c>
      <c r="G22" s="84">
        <v>50.0</v>
      </c>
      <c r="H22" s="85">
        <f t="shared" si="1"/>
        <v>550</v>
      </c>
      <c r="I22" s="87"/>
    </row>
    <row r="23">
      <c r="E23" s="82" t="s">
        <v>76</v>
      </c>
      <c r="F23" s="83">
        <v>14.0</v>
      </c>
      <c r="G23" s="84">
        <v>35.0</v>
      </c>
      <c r="H23" s="85">
        <f t="shared" si="1"/>
        <v>490</v>
      </c>
      <c r="I23" s="87"/>
    </row>
    <row r="24">
      <c r="E24" s="82" t="s">
        <v>77</v>
      </c>
      <c r="F24" s="83">
        <v>19.0</v>
      </c>
      <c r="G24" s="84">
        <v>35.0</v>
      </c>
      <c r="H24" s="85">
        <f t="shared" si="1"/>
        <v>665</v>
      </c>
      <c r="I24" s="87"/>
    </row>
    <row r="25">
      <c r="E25" s="82" t="s">
        <v>78</v>
      </c>
      <c r="F25" s="83">
        <v>8.0</v>
      </c>
      <c r="G25" s="84">
        <v>35.0</v>
      </c>
      <c r="H25" s="85">
        <f t="shared" si="1"/>
        <v>280</v>
      </c>
      <c r="I25" s="87"/>
    </row>
    <row r="26">
      <c r="E26" s="82" t="s">
        <v>79</v>
      </c>
      <c r="F26" s="83">
        <v>18.0</v>
      </c>
      <c r="G26" s="84">
        <v>44.0</v>
      </c>
      <c r="H26" s="85">
        <f t="shared" si="1"/>
        <v>792</v>
      </c>
      <c r="I26" s="87"/>
    </row>
    <row r="27">
      <c r="E27" s="82" t="s">
        <v>80</v>
      </c>
      <c r="F27" s="82">
        <v>27.0</v>
      </c>
      <c r="G27" s="84">
        <v>21.49</v>
      </c>
      <c r="H27" s="85">
        <f t="shared" si="1"/>
        <v>580.23</v>
      </c>
      <c r="I27" s="87"/>
    </row>
    <row r="28">
      <c r="E28" s="82" t="s">
        <v>81</v>
      </c>
      <c r="F28" s="83">
        <v>152.0</v>
      </c>
      <c r="G28" s="84">
        <v>16.0</v>
      </c>
      <c r="H28" s="85">
        <f t="shared" si="1"/>
        <v>2432</v>
      </c>
      <c r="I28" s="87"/>
    </row>
    <row r="29">
      <c r="E29" s="82" t="s">
        <v>82</v>
      </c>
      <c r="F29" s="83">
        <v>31.0</v>
      </c>
      <c r="G29" s="84">
        <v>35.0</v>
      </c>
      <c r="H29" s="85">
        <f t="shared" si="1"/>
        <v>1085</v>
      </c>
      <c r="I29" s="89"/>
    </row>
    <row r="30">
      <c r="E30" s="82" t="s">
        <v>83</v>
      </c>
      <c r="F30" s="83">
        <v>6.0</v>
      </c>
      <c r="G30" s="84">
        <v>1000.0</v>
      </c>
      <c r="H30" s="85">
        <f t="shared" si="1"/>
        <v>6000</v>
      </c>
      <c r="I30" s="90" t="s">
        <v>84</v>
      </c>
    </row>
    <row r="31">
      <c r="E31" s="82" t="s">
        <v>85</v>
      </c>
      <c r="F31" s="91">
        <v>1.0</v>
      </c>
      <c r="G31" s="84">
        <v>2000.0</v>
      </c>
      <c r="H31" s="85">
        <f t="shared" si="1"/>
        <v>2000</v>
      </c>
      <c r="I31" s="68"/>
    </row>
    <row r="32">
      <c r="E32" s="82" t="s">
        <v>86</v>
      </c>
      <c r="F32" s="83">
        <v>6.0</v>
      </c>
      <c r="G32" s="84">
        <v>850.0</v>
      </c>
      <c r="H32" s="85">
        <f t="shared" si="1"/>
        <v>5100</v>
      </c>
      <c r="I32" s="68"/>
    </row>
    <row r="33">
      <c r="E33" s="82" t="s">
        <v>87</v>
      </c>
      <c r="F33" s="83">
        <v>7.0</v>
      </c>
      <c r="G33" s="84">
        <v>520.0</v>
      </c>
      <c r="H33" s="85">
        <f t="shared" si="1"/>
        <v>3640</v>
      </c>
      <c r="I33" s="68"/>
    </row>
    <row r="34">
      <c r="E34" s="92" t="s">
        <v>88</v>
      </c>
      <c r="F34" s="83">
        <v>1.0</v>
      </c>
      <c r="G34" s="88">
        <v>450.0</v>
      </c>
      <c r="H34" s="85">
        <f t="shared" si="1"/>
        <v>450</v>
      </c>
      <c r="I34" s="68"/>
    </row>
    <row r="35">
      <c r="E35" s="82" t="s">
        <v>89</v>
      </c>
      <c r="F35" s="83">
        <v>4.0</v>
      </c>
      <c r="G35" s="88">
        <v>320.0</v>
      </c>
      <c r="H35" s="85">
        <f t="shared" si="1"/>
        <v>1280</v>
      </c>
      <c r="I35" s="68"/>
    </row>
    <row r="36">
      <c r="E36" s="83" t="s">
        <v>90</v>
      </c>
      <c r="F36" s="83">
        <v>3.0</v>
      </c>
      <c r="G36" s="88">
        <v>255.0</v>
      </c>
      <c r="H36" s="85">
        <f t="shared" si="1"/>
        <v>765</v>
      </c>
      <c r="I36" s="68"/>
    </row>
    <row r="37">
      <c r="E37" s="82" t="s">
        <v>91</v>
      </c>
      <c r="F37" s="83">
        <v>0.0</v>
      </c>
      <c r="G37" s="88">
        <v>245.0</v>
      </c>
      <c r="H37" s="85">
        <f t="shared" si="1"/>
        <v>0</v>
      </c>
      <c r="I37" s="68"/>
    </row>
    <row r="38">
      <c r="E38" s="82" t="s">
        <v>92</v>
      </c>
      <c r="F38" s="83">
        <v>1.0</v>
      </c>
      <c r="G38" s="88">
        <v>245.0</v>
      </c>
      <c r="H38" s="85">
        <f t="shared" si="1"/>
        <v>245</v>
      </c>
      <c r="I38" s="68"/>
    </row>
    <row r="39">
      <c r="E39" s="82" t="s">
        <v>93</v>
      </c>
      <c r="F39" s="83">
        <v>10.0</v>
      </c>
      <c r="G39" s="88">
        <v>245.0</v>
      </c>
      <c r="H39" s="85">
        <f t="shared" si="1"/>
        <v>2450</v>
      </c>
      <c r="I39" s="68"/>
    </row>
    <row r="40">
      <c r="E40" s="82" t="s">
        <v>94</v>
      </c>
      <c r="F40" s="83">
        <v>0.0</v>
      </c>
      <c r="G40" s="84">
        <v>200.0</v>
      </c>
      <c r="H40" s="85">
        <f t="shared" si="1"/>
        <v>0</v>
      </c>
      <c r="I40" s="68"/>
    </row>
    <row r="41">
      <c r="E41" s="82" t="s">
        <v>95</v>
      </c>
      <c r="F41" s="83">
        <v>5.0</v>
      </c>
      <c r="G41" s="88">
        <v>154.0</v>
      </c>
      <c r="H41" s="85">
        <f t="shared" si="1"/>
        <v>770</v>
      </c>
      <c r="I41" s="93">
        <v>45876.0</v>
      </c>
    </row>
    <row r="42">
      <c r="E42" s="82" t="s">
        <v>96</v>
      </c>
      <c r="F42" s="83">
        <v>30.0</v>
      </c>
      <c r="G42" s="88">
        <v>99.0</v>
      </c>
      <c r="H42" s="85">
        <f t="shared" si="1"/>
        <v>2970</v>
      </c>
      <c r="I42" s="68"/>
    </row>
    <row r="43">
      <c r="E43" s="82" t="s">
        <v>97</v>
      </c>
      <c r="F43" s="83">
        <v>2.5</v>
      </c>
      <c r="G43" s="88">
        <v>2220.0</v>
      </c>
      <c r="H43" s="85">
        <f t="shared" si="1"/>
        <v>5550</v>
      </c>
      <c r="I43" s="68"/>
    </row>
    <row r="44">
      <c r="E44" s="82" t="s">
        <v>98</v>
      </c>
      <c r="F44" s="83">
        <v>1.0</v>
      </c>
      <c r="G44" s="88">
        <v>30.0</v>
      </c>
      <c r="H44" s="85">
        <f t="shared" si="1"/>
        <v>30</v>
      </c>
      <c r="I44" s="68"/>
    </row>
    <row r="45">
      <c r="E45" s="82" t="s">
        <v>99</v>
      </c>
      <c r="F45" s="82">
        <v>5.0</v>
      </c>
      <c r="G45" s="84">
        <v>280.0</v>
      </c>
      <c r="H45" s="85">
        <f t="shared" si="1"/>
        <v>1400</v>
      </c>
      <c r="I45" s="68"/>
    </row>
    <row r="46">
      <c r="E46" s="82" t="s">
        <v>100</v>
      </c>
      <c r="F46" s="82">
        <v>0.5</v>
      </c>
      <c r="G46" s="84">
        <v>1150.0</v>
      </c>
      <c r="H46" s="85">
        <f t="shared" si="1"/>
        <v>575</v>
      </c>
      <c r="I46" s="68"/>
    </row>
    <row r="47">
      <c r="E47" s="82" t="s">
        <v>101</v>
      </c>
      <c r="F47" s="82">
        <v>0.5</v>
      </c>
      <c r="G47" s="84">
        <v>780.0</v>
      </c>
      <c r="H47" s="85">
        <f t="shared" si="1"/>
        <v>390</v>
      </c>
      <c r="I47" s="68"/>
    </row>
    <row r="48">
      <c r="E48" s="82" t="s">
        <v>102</v>
      </c>
      <c r="F48" s="82">
        <v>0.5</v>
      </c>
      <c r="G48" s="84">
        <v>950.0</v>
      </c>
      <c r="H48" s="85">
        <f t="shared" si="1"/>
        <v>475</v>
      </c>
      <c r="I48" s="68"/>
    </row>
    <row r="49">
      <c r="E49" s="94" t="s">
        <v>103</v>
      </c>
      <c r="F49" s="94">
        <v>2.0</v>
      </c>
      <c r="G49" s="95">
        <v>1700.0</v>
      </c>
      <c r="H49" s="85">
        <f t="shared" si="1"/>
        <v>3400</v>
      </c>
      <c r="I49" s="96" t="s">
        <v>104</v>
      </c>
    </row>
    <row r="50">
      <c r="E50" s="82" t="s">
        <v>105</v>
      </c>
      <c r="F50" s="83">
        <v>5.0</v>
      </c>
      <c r="G50" s="84">
        <v>420.0</v>
      </c>
      <c r="H50" s="85">
        <f t="shared" si="1"/>
        <v>2100</v>
      </c>
      <c r="I50" s="68"/>
    </row>
    <row r="51">
      <c r="E51" s="82" t="s">
        <v>106</v>
      </c>
      <c r="F51" s="82">
        <v>2.0</v>
      </c>
      <c r="G51" s="84">
        <v>150.0</v>
      </c>
      <c r="H51" s="85">
        <f t="shared" si="1"/>
        <v>300</v>
      </c>
      <c r="I51" s="68"/>
    </row>
    <row r="52">
      <c r="E52" s="82" t="s">
        <v>107</v>
      </c>
      <c r="F52" s="82">
        <v>0.5</v>
      </c>
      <c r="G52" s="84">
        <v>850.0</v>
      </c>
      <c r="H52" s="85">
        <f t="shared" si="1"/>
        <v>425</v>
      </c>
      <c r="I52" s="68"/>
    </row>
    <row r="53">
      <c r="E53" s="82" t="s">
        <v>108</v>
      </c>
      <c r="F53" s="82">
        <v>0.5</v>
      </c>
      <c r="G53" s="84">
        <v>900.0</v>
      </c>
      <c r="H53" s="85">
        <f t="shared" si="1"/>
        <v>450</v>
      </c>
      <c r="I53" s="68"/>
    </row>
    <row r="54">
      <c r="E54" s="82" t="s">
        <v>109</v>
      </c>
      <c r="F54" s="83">
        <v>6.0</v>
      </c>
      <c r="G54" s="84">
        <v>351.0</v>
      </c>
      <c r="H54" s="85">
        <f t="shared" si="1"/>
        <v>2106</v>
      </c>
      <c r="I54" s="68"/>
    </row>
    <row r="55">
      <c r="E55" s="82" t="s">
        <v>110</v>
      </c>
      <c r="F55" s="83">
        <v>2.0</v>
      </c>
      <c r="G55" s="84">
        <v>650.0</v>
      </c>
      <c r="H55" s="85">
        <f t="shared" si="1"/>
        <v>1300</v>
      </c>
      <c r="I55" s="68"/>
    </row>
    <row r="56">
      <c r="E56" s="82" t="s">
        <v>111</v>
      </c>
      <c r="F56" s="82">
        <v>1.0</v>
      </c>
      <c r="G56" s="84">
        <v>600.0</v>
      </c>
      <c r="H56" s="85">
        <f t="shared" si="1"/>
        <v>600</v>
      </c>
      <c r="I56" s="68"/>
    </row>
    <row r="57">
      <c r="E57" s="82" t="s">
        <v>112</v>
      </c>
      <c r="F57" s="82">
        <v>1.0</v>
      </c>
      <c r="G57" s="84">
        <v>650.0</v>
      </c>
      <c r="H57" s="85">
        <f t="shared" si="1"/>
        <v>650</v>
      </c>
      <c r="I57" s="68"/>
    </row>
    <row r="58">
      <c r="E58" s="82" t="s">
        <v>113</v>
      </c>
      <c r="F58" s="82">
        <v>1.0</v>
      </c>
      <c r="G58" s="84">
        <v>650.0</v>
      </c>
      <c r="H58" s="85">
        <f t="shared" si="1"/>
        <v>650</v>
      </c>
      <c r="I58" s="84"/>
      <c r="J58" s="85"/>
    </row>
    <row r="59">
      <c r="E59" s="82" t="s">
        <v>114</v>
      </c>
      <c r="F59" s="82">
        <v>2.5</v>
      </c>
      <c r="G59" s="84">
        <v>220.0</v>
      </c>
      <c r="H59" s="85">
        <f t="shared" si="1"/>
        <v>550</v>
      </c>
      <c r="I59" s="68"/>
    </row>
    <row r="60">
      <c r="E60" s="82" t="s">
        <v>115</v>
      </c>
      <c r="F60" s="83">
        <v>44.0</v>
      </c>
      <c r="G60" s="84">
        <v>600.0</v>
      </c>
      <c r="H60" s="85">
        <f t="shared" si="1"/>
        <v>26400</v>
      </c>
      <c r="I60" s="68"/>
    </row>
    <row r="61">
      <c r="E61" s="82" t="s">
        <v>116</v>
      </c>
      <c r="F61" s="83">
        <v>14.0</v>
      </c>
      <c r="G61" s="84">
        <v>790.0</v>
      </c>
      <c r="H61" s="85">
        <f t="shared" si="1"/>
        <v>11060</v>
      </c>
      <c r="I61" s="68"/>
    </row>
    <row r="62">
      <c r="E62" s="82" t="s">
        <v>117</v>
      </c>
      <c r="F62" s="82">
        <v>1.0</v>
      </c>
      <c r="G62" s="84">
        <v>1800.0</v>
      </c>
      <c r="H62" s="85">
        <f t="shared" si="1"/>
        <v>1800</v>
      </c>
      <c r="I62" s="68"/>
    </row>
    <row r="63">
      <c r="E63" s="82" t="s">
        <v>118</v>
      </c>
      <c r="F63" s="82">
        <v>1.0</v>
      </c>
      <c r="G63" s="84">
        <v>1200.0</v>
      </c>
      <c r="H63" s="85">
        <f t="shared" si="1"/>
        <v>1200</v>
      </c>
      <c r="I63" s="68"/>
    </row>
    <row r="64">
      <c r="E64" s="82" t="s">
        <v>119</v>
      </c>
      <c r="F64" s="82">
        <v>1.0</v>
      </c>
      <c r="G64" s="84">
        <v>250.0</v>
      </c>
      <c r="H64" s="85">
        <f t="shared" si="1"/>
        <v>250</v>
      </c>
      <c r="I64" s="68"/>
    </row>
    <row r="65">
      <c r="E65" s="82" t="s">
        <v>112</v>
      </c>
      <c r="F65" s="82">
        <v>1.0</v>
      </c>
      <c r="G65" s="84">
        <v>650.0</v>
      </c>
      <c r="H65" s="85">
        <f t="shared" si="1"/>
        <v>650</v>
      </c>
      <c r="I65" s="97"/>
    </row>
    <row r="66">
      <c r="E66" s="82" t="s">
        <v>120</v>
      </c>
      <c r="F66" s="83">
        <v>7.0</v>
      </c>
      <c r="G66" s="84">
        <v>320.0</v>
      </c>
      <c r="H66" s="85">
        <f t="shared" si="1"/>
        <v>2240</v>
      </c>
      <c r="I66" s="68"/>
    </row>
    <row r="67">
      <c r="E67" s="82" t="s">
        <v>121</v>
      </c>
      <c r="F67" s="83">
        <v>7.0</v>
      </c>
      <c r="G67" s="84">
        <v>265.0</v>
      </c>
      <c r="H67" s="85">
        <f t="shared" si="1"/>
        <v>1855</v>
      </c>
      <c r="I67" s="68"/>
    </row>
    <row r="68">
      <c r="E68" s="82" t="s">
        <v>122</v>
      </c>
      <c r="F68" s="83">
        <v>25.0</v>
      </c>
      <c r="G68" s="84">
        <v>125.0</v>
      </c>
      <c r="H68" s="85">
        <f t="shared" si="1"/>
        <v>3125</v>
      </c>
      <c r="I68" s="68"/>
    </row>
    <row r="69">
      <c r="E69" s="82" t="s">
        <v>123</v>
      </c>
      <c r="F69" s="83">
        <v>24.0</v>
      </c>
      <c r="G69" s="84">
        <v>73.0</v>
      </c>
      <c r="H69" s="85">
        <f t="shared" si="1"/>
        <v>1752</v>
      </c>
      <c r="I69" s="68"/>
    </row>
    <row r="70">
      <c r="E70" s="82" t="s">
        <v>124</v>
      </c>
      <c r="F70" s="82">
        <v>12.0</v>
      </c>
      <c r="G70" s="84">
        <v>435.0</v>
      </c>
      <c r="H70" s="85">
        <f t="shared" si="1"/>
        <v>5220</v>
      </c>
      <c r="I70" s="68"/>
    </row>
    <row r="71">
      <c r="E71" s="82" t="s">
        <v>125</v>
      </c>
      <c r="F71" s="83">
        <v>15.0</v>
      </c>
      <c r="G71" s="88">
        <v>35.0</v>
      </c>
      <c r="H71" s="85">
        <f t="shared" si="1"/>
        <v>525</v>
      </c>
      <c r="I71" s="68"/>
    </row>
    <row r="72">
      <c r="E72" s="82" t="s">
        <v>126</v>
      </c>
      <c r="F72" s="83">
        <v>100.0</v>
      </c>
      <c r="G72" s="84">
        <v>33.0</v>
      </c>
      <c r="H72" s="85">
        <f t="shared" si="1"/>
        <v>3300</v>
      </c>
      <c r="I72" s="68"/>
    </row>
    <row r="73">
      <c r="E73" s="82" t="s">
        <v>127</v>
      </c>
      <c r="F73" s="82">
        <v>50.0</v>
      </c>
      <c r="G73" s="84">
        <v>27.0</v>
      </c>
      <c r="H73" s="85">
        <f t="shared" si="1"/>
        <v>1350</v>
      </c>
      <c r="I73" s="68"/>
    </row>
    <row r="74">
      <c r="E74" s="83" t="s">
        <v>128</v>
      </c>
      <c r="F74" s="83">
        <v>80.0</v>
      </c>
      <c r="G74" s="84">
        <v>21.0</v>
      </c>
      <c r="H74" s="85">
        <f t="shared" si="1"/>
        <v>1680</v>
      </c>
      <c r="I74" s="68"/>
    </row>
    <row r="75">
      <c r="E75" s="82" t="s">
        <v>129</v>
      </c>
      <c r="F75" s="82">
        <v>50.0</v>
      </c>
      <c r="G75" s="84">
        <v>20.0</v>
      </c>
      <c r="H75" s="85">
        <f t="shared" si="1"/>
        <v>1000</v>
      </c>
      <c r="I75" s="68"/>
    </row>
    <row r="76">
      <c r="E76" s="82" t="s">
        <v>130</v>
      </c>
      <c r="F76" s="82">
        <v>100.0</v>
      </c>
      <c r="G76" s="84">
        <v>13.75</v>
      </c>
      <c r="H76" s="85">
        <f t="shared" si="1"/>
        <v>1375</v>
      </c>
      <c r="I76" s="68"/>
    </row>
    <row r="77">
      <c r="E77" s="83" t="s">
        <v>131</v>
      </c>
      <c r="F77" s="83">
        <v>24.0</v>
      </c>
      <c r="G77" s="84">
        <v>150.0</v>
      </c>
      <c r="H77" s="85">
        <f t="shared" si="1"/>
        <v>3600</v>
      </c>
      <c r="I77" s="68"/>
    </row>
    <row r="78">
      <c r="E78" s="82" t="s">
        <v>132</v>
      </c>
      <c r="F78" s="83">
        <v>15.0</v>
      </c>
      <c r="G78" s="84">
        <v>67.5</v>
      </c>
      <c r="H78" s="85">
        <f t="shared" si="1"/>
        <v>1012.5</v>
      </c>
      <c r="I78" s="68"/>
    </row>
    <row r="79">
      <c r="E79" s="82" t="s">
        <v>133</v>
      </c>
      <c r="F79" s="83">
        <v>100.0</v>
      </c>
      <c r="G79" s="84">
        <v>10.5</v>
      </c>
      <c r="H79" s="85">
        <f t="shared" si="1"/>
        <v>1050</v>
      </c>
      <c r="I79" s="68"/>
    </row>
    <row r="80">
      <c r="E80" s="82" t="s">
        <v>134</v>
      </c>
      <c r="F80" s="83">
        <v>130.0</v>
      </c>
      <c r="G80" s="84">
        <v>9.5</v>
      </c>
      <c r="H80" s="85">
        <f t="shared" si="1"/>
        <v>1235</v>
      </c>
      <c r="I80" s="68"/>
    </row>
    <row r="81">
      <c r="E81" s="82" t="s">
        <v>135</v>
      </c>
      <c r="F81" s="83">
        <v>30.0</v>
      </c>
      <c r="G81" s="84">
        <v>10.0</v>
      </c>
      <c r="H81" s="85">
        <f t="shared" si="1"/>
        <v>300</v>
      </c>
      <c r="I81" s="68"/>
    </row>
    <row r="82">
      <c r="E82" s="82" t="s">
        <v>136</v>
      </c>
      <c r="F82" s="83">
        <v>20.0</v>
      </c>
      <c r="G82" s="88">
        <v>25.0</v>
      </c>
      <c r="H82" s="85">
        <f t="shared" si="1"/>
        <v>500</v>
      </c>
      <c r="I82" s="68"/>
    </row>
    <row r="83">
      <c r="E83" s="82" t="s">
        <v>137</v>
      </c>
      <c r="F83" s="83">
        <v>200.0</v>
      </c>
      <c r="G83" s="88">
        <v>2.0</v>
      </c>
      <c r="H83" s="85">
        <f t="shared" si="1"/>
        <v>400</v>
      </c>
      <c r="I83" s="68"/>
    </row>
    <row r="84">
      <c r="E84" s="82" t="s">
        <v>138</v>
      </c>
      <c r="F84" s="83">
        <v>300.0</v>
      </c>
      <c r="G84" s="88">
        <v>1.25</v>
      </c>
      <c r="H84" s="85">
        <f t="shared" si="1"/>
        <v>375</v>
      </c>
      <c r="I84" s="68"/>
    </row>
    <row r="85">
      <c r="E85" s="83" t="s">
        <v>139</v>
      </c>
      <c r="F85" s="83">
        <v>300.0</v>
      </c>
      <c r="G85" s="88">
        <v>1.0</v>
      </c>
      <c r="H85" s="85">
        <f t="shared" si="1"/>
        <v>300</v>
      </c>
      <c r="I85" s="68"/>
    </row>
    <row r="86">
      <c r="E86" s="83" t="s">
        <v>140</v>
      </c>
      <c r="F86" s="83">
        <v>36.0</v>
      </c>
      <c r="G86" s="88">
        <v>10.0</v>
      </c>
      <c r="H86" s="85">
        <f t="shared" si="1"/>
        <v>360</v>
      </c>
      <c r="I86" s="68"/>
    </row>
    <row r="87">
      <c r="E87" s="82" t="s">
        <v>141</v>
      </c>
      <c r="F87" s="83">
        <v>13.0</v>
      </c>
      <c r="G87" s="84">
        <v>41.0</v>
      </c>
      <c r="H87" s="85">
        <f t="shared" si="1"/>
        <v>533</v>
      </c>
      <c r="I87" s="68"/>
    </row>
    <row r="88">
      <c r="E88" s="82" t="s">
        <v>142</v>
      </c>
      <c r="F88" s="82">
        <v>25.0</v>
      </c>
      <c r="G88" s="84">
        <v>37.0</v>
      </c>
      <c r="H88" s="85">
        <f t="shared" si="1"/>
        <v>925</v>
      </c>
      <c r="I88" s="68"/>
    </row>
    <row r="89">
      <c r="E89" s="82" t="s">
        <v>143</v>
      </c>
      <c r="F89" s="83">
        <v>30.0</v>
      </c>
      <c r="G89" s="84">
        <v>35.0</v>
      </c>
      <c r="H89" s="85">
        <f t="shared" si="1"/>
        <v>1050</v>
      </c>
      <c r="I89" s="68"/>
    </row>
    <row r="90">
      <c r="E90" s="82" t="s">
        <v>144</v>
      </c>
      <c r="F90" s="83">
        <v>20.0</v>
      </c>
      <c r="G90" s="84">
        <v>20.0</v>
      </c>
      <c r="H90" s="85">
        <f t="shared" si="1"/>
        <v>400</v>
      </c>
      <c r="I90" s="68"/>
    </row>
    <row r="91">
      <c r="E91" s="82" t="s">
        <v>145</v>
      </c>
      <c r="F91" s="83">
        <v>10.0</v>
      </c>
      <c r="G91" s="84">
        <v>100.0</v>
      </c>
      <c r="H91" s="85">
        <f t="shared" si="1"/>
        <v>1000</v>
      </c>
      <c r="I91" s="68"/>
    </row>
    <row r="92">
      <c r="E92" s="83" t="s">
        <v>146</v>
      </c>
      <c r="F92" s="83">
        <v>7.0</v>
      </c>
      <c r="G92" s="88">
        <v>50.0</v>
      </c>
      <c r="H92" s="85">
        <f t="shared" si="1"/>
        <v>350</v>
      </c>
      <c r="I92" s="68"/>
    </row>
    <row r="93">
      <c r="E93" s="82" t="s">
        <v>147</v>
      </c>
      <c r="F93" s="82">
        <v>40.0</v>
      </c>
      <c r="G93" s="84">
        <v>13.8</v>
      </c>
      <c r="H93" s="85">
        <f t="shared" si="1"/>
        <v>552</v>
      </c>
      <c r="I93" s="68"/>
    </row>
    <row r="94">
      <c r="E94" s="82" t="s">
        <v>148</v>
      </c>
      <c r="F94" s="82">
        <v>7.0</v>
      </c>
      <c r="G94" s="84">
        <v>180.0</v>
      </c>
      <c r="H94" s="85">
        <f t="shared" si="1"/>
        <v>1260</v>
      </c>
      <c r="I94" s="68"/>
    </row>
    <row r="95">
      <c r="E95" s="82" t="s">
        <v>149</v>
      </c>
      <c r="F95" s="82">
        <v>13.0</v>
      </c>
      <c r="G95" s="84">
        <v>150.0</v>
      </c>
      <c r="H95" s="85">
        <f t="shared" si="1"/>
        <v>1950</v>
      </c>
      <c r="I95" s="68"/>
    </row>
    <row r="96">
      <c r="E96" s="82" t="s">
        <v>150</v>
      </c>
      <c r="F96" s="82">
        <v>100.0</v>
      </c>
      <c r="G96" s="84">
        <v>5.0</v>
      </c>
      <c r="H96" s="85">
        <f t="shared" si="1"/>
        <v>500</v>
      </c>
      <c r="I96" s="21"/>
    </row>
    <row r="97">
      <c r="E97" s="82" t="s">
        <v>151</v>
      </c>
      <c r="F97" s="82">
        <v>5.0</v>
      </c>
      <c r="G97" s="84">
        <v>60.0</v>
      </c>
      <c r="H97" s="85">
        <f t="shared" si="1"/>
        <v>300</v>
      </c>
      <c r="I97" s="68"/>
    </row>
    <row r="98">
      <c r="E98" s="82" t="s">
        <v>152</v>
      </c>
      <c r="F98" s="83">
        <v>3.0</v>
      </c>
      <c r="G98" s="84">
        <v>78.0</v>
      </c>
      <c r="H98" s="85">
        <f t="shared" si="1"/>
        <v>234</v>
      </c>
      <c r="I98" s="68"/>
    </row>
    <row r="99">
      <c r="E99" s="82" t="s">
        <v>153</v>
      </c>
      <c r="F99" s="83">
        <v>3.0</v>
      </c>
      <c r="G99" s="84">
        <v>88.0</v>
      </c>
      <c r="H99" s="85">
        <f t="shared" si="1"/>
        <v>264</v>
      </c>
      <c r="I99" s="68"/>
    </row>
    <row r="100">
      <c r="E100" s="82" t="s">
        <v>154</v>
      </c>
      <c r="F100" s="83">
        <v>0.0</v>
      </c>
      <c r="G100" s="84">
        <v>80.0</v>
      </c>
      <c r="H100" s="85">
        <f t="shared" si="1"/>
        <v>0</v>
      </c>
      <c r="I100" s="68"/>
    </row>
    <row r="101">
      <c r="E101" s="82" t="s">
        <v>155</v>
      </c>
      <c r="F101" s="83">
        <v>0.0</v>
      </c>
      <c r="G101" s="84">
        <v>1.25</v>
      </c>
      <c r="H101" s="85">
        <f t="shared" si="1"/>
        <v>0</v>
      </c>
      <c r="I101" s="68"/>
    </row>
    <row r="102">
      <c r="E102" s="82" t="s">
        <v>156</v>
      </c>
      <c r="F102" s="83">
        <v>16.0</v>
      </c>
      <c r="G102" s="84">
        <v>11.0</v>
      </c>
      <c r="H102" s="85">
        <f t="shared" si="1"/>
        <v>176</v>
      </c>
      <c r="I102" s="68"/>
    </row>
    <row r="103">
      <c r="E103" s="82" t="s">
        <v>124</v>
      </c>
      <c r="F103" s="83">
        <v>10.0</v>
      </c>
      <c r="G103" s="84">
        <v>435.0</v>
      </c>
      <c r="H103" s="85">
        <f t="shared" si="1"/>
        <v>4350</v>
      </c>
      <c r="I103" s="68"/>
    </row>
    <row r="104">
      <c r="E104" s="82" t="s">
        <v>157</v>
      </c>
      <c r="F104" s="83">
        <v>2.0</v>
      </c>
      <c r="G104" s="84">
        <v>1880.0</v>
      </c>
      <c r="H104" s="85">
        <f t="shared" si="1"/>
        <v>3760</v>
      </c>
      <c r="I104" s="68"/>
    </row>
    <row r="105">
      <c r="E105" s="82" t="s">
        <v>158</v>
      </c>
      <c r="F105" s="83">
        <v>1.0</v>
      </c>
      <c r="G105" s="84">
        <v>1300.0</v>
      </c>
      <c r="H105" s="85">
        <f t="shared" si="1"/>
        <v>1300</v>
      </c>
      <c r="I105" s="68"/>
    </row>
    <row r="106">
      <c r="E106" s="82" t="s">
        <v>159</v>
      </c>
      <c r="F106" s="82">
        <v>1.0</v>
      </c>
      <c r="G106" s="84">
        <v>500.0</v>
      </c>
      <c r="H106" s="85">
        <f t="shared" si="1"/>
        <v>500</v>
      </c>
      <c r="I106" s="68"/>
    </row>
    <row r="107">
      <c r="E107" s="82" t="s">
        <v>160</v>
      </c>
      <c r="F107" s="82">
        <v>1.0</v>
      </c>
      <c r="G107" s="84">
        <v>500.0</v>
      </c>
      <c r="H107" s="85">
        <f t="shared" si="1"/>
        <v>500</v>
      </c>
      <c r="I107" s="68"/>
    </row>
    <row r="108">
      <c r="E108" s="82" t="s">
        <v>161</v>
      </c>
      <c r="F108" s="82">
        <v>1.0</v>
      </c>
      <c r="G108" s="84">
        <v>300.0</v>
      </c>
      <c r="H108" s="85">
        <f t="shared" si="1"/>
        <v>300</v>
      </c>
      <c r="I108" s="68"/>
    </row>
    <row r="109">
      <c r="E109" s="82" t="s">
        <v>162</v>
      </c>
      <c r="F109" s="83">
        <v>16.0</v>
      </c>
      <c r="G109" s="84">
        <v>65.0</v>
      </c>
      <c r="H109" s="85">
        <f t="shared" si="1"/>
        <v>1040</v>
      </c>
      <c r="I109" s="68"/>
    </row>
    <row r="110">
      <c r="E110" s="82" t="s">
        <v>163</v>
      </c>
      <c r="F110" s="83">
        <v>55.0</v>
      </c>
      <c r="G110" s="84">
        <v>178.0</v>
      </c>
      <c r="H110" s="85">
        <f t="shared" si="1"/>
        <v>9790</v>
      </c>
      <c r="I110" s="68"/>
    </row>
    <row r="111">
      <c r="E111" s="82" t="s">
        <v>164</v>
      </c>
      <c r="F111" s="83">
        <v>7.0</v>
      </c>
      <c r="G111" s="84">
        <v>117.5</v>
      </c>
      <c r="H111" s="85">
        <f t="shared" si="1"/>
        <v>822.5</v>
      </c>
      <c r="I111" s="68"/>
    </row>
    <row r="112">
      <c r="E112" s="82" t="s">
        <v>165</v>
      </c>
      <c r="F112" s="83">
        <v>0.0</v>
      </c>
      <c r="G112" s="84">
        <v>1420.0</v>
      </c>
      <c r="H112" s="85">
        <f t="shared" si="1"/>
        <v>0</v>
      </c>
      <c r="I112" s="68"/>
    </row>
    <row r="113">
      <c r="E113" s="82" t="s">
        <v>166</v>
      </c>
      <c r="F113" s="83">
        <v>1.0</v>
      </c>
      <c r="G113" s="84">
        <v>950.0</v>
      </c>
      <c r="H113" s="85">
        <f t="shared" si="1"/>
        <v>950</v>
      </c>
      <c r="I113" s="68"/>
    </row>
    <row r="114">
      <c r="E114" s="82" t="s">
        <v>167</v>
      </c>
      <c r="F114" s="83">
        <v>2.0</v>
      </c>
      <c r="G114" s="84">
        <v>340.0</v>
      </c>
      <c r="H114" s="85">
        <f t="shared" si="1"/>
        <v>680</v>
      </c>
      <c r="I114" s="68"/>
    </row>
    <row r="115">
      <c r="E115" s="82" t="s">
        <v>168</v>
      </c>
      <c r="F115" s="83">
        <v>5.0</v>
      </c>
      <c r="G115" s="84">
        <v>450.0</v>
      </c>
      <c r="H115" s="85">
        <f t="shared" si="1"/>
        <v>2250</v>
      </c>
      <c r="I115" s="68"/>
    </row>
    <row r="116">
      <c r="E116" s="82" t="s">
        <v>169</v>
      </c>
      <c r="F116" s="83">
        <v>2.0</v>
      </c>
      <c r="G116" s="84">
        <v>1750.0</v>
      </c>
      <c r="H116" s="85">
        <f t="shared" si="1"/>
        <v>3500</v>
      </c>
      <c r="I116" s="68"/>
    </row>
    <row r="117">
      <c r="E117" s="82" t="s">
        <v>170</v>
      </c>
      <c r="F117" s="83">
        <v>6.0</v>
      </c>
      <c r="G117" s="84">
        <v>950.0</v>
      </c>
      <c r="H117" s="85">
        <f t="shared" si="1"/>
        <v>5700</v>
      </c>
      <c r="I117" s="98"/>
    </row>
    <row r="118">
      <c r="E118" s="82" t="s">
        <v>171</v>
      </c>
      <c r="F118" s="83">
        <v>10.0</v>
      </c>
      <c r="G118" s="84">
        <v>480.0</v>
      </c>
      <c r="H118" s="85">
        <f t="shared" si="1"/>
        <v>4800</v>
      </c>
      <c r="I118" s="98"/>
    </row>
    <row r="119">
      <c r="E119" s="82" t="s">
        <v>172</v>
      </c>
      <c r="F119" s="83">
        <v>4.0</v>
      </c>
      <c r="G119" s="84">
        <v>2130.0</v>
      </c>
      <c r="H119" s="85">
        <f t="shared" si="1"/>
        <v>8520</v>
      </c>
      <c r="I119" s="98"/>
    </row>
    <row r="120">
      <c r="E120" s="82" t="s">
        <v>173</v>
      </c>
      <c r="F120" s="83">
        <v>0.5</v>
      </c>
      <c r="G120" s="84">
        <v>1320.0</v>
      </c>
      <c r="H120" s="85">
        <f t="shared" si="1"/>
        <v>660</v>
      </c>
      <c r="I120" s="98"/>
    </row>
    <row r="121">
      <c r="E121" s="82" t="s">
        <v>174</v>
      </c>
      <c r="F121" s="82">
        <v>1.0</v>
      </c>
      <c r="G121" s="84">
        <v>700.0</v>
      </c>
      <c r="H121" s="85">
        <f t="shared" si="1"/>
        <v>700</v>
      </c>
      <c r="I121" s="98"/>
    </row>
    <row r="122">
      <c r="E122" s="82" t="s">
        <v>175</v>
      </c>
      <c r="F122" s="82">
        <v>4.0</v>
      </c>
      <c r="G122" s="84">
        <v>200.0</v>
      </c>
      <c r="H122" s="85">
        <f t="shared" si="1"/>
        <v>800</v>
      </c>
      <c r="I122" s="98"/>
    </row>
    <row r="123">
      <c r="E123" s="82" t="s">
        <v>176</v>
      </c>
      <c r="F123" s="83">
        <v>0.5</v>
      </c>
      <c r="G123" s="84">
        <v>1300.0</v>
      </c>
      <c r="H123" s="85">
        <f t="shared" si="1"/>
        <v>650</v>
      </c>
      <c r="I123" s="98"/>
    </row>
    <row r="124">
      <c r="E124" s="82" t="s">
        <v>177</v>
      </c>
      <c r="F124" s="83">
        <v>0.5</v>
      </c>
      <c r="G124" s="84">
        <v>1300.0</v>
      </c>
      <c r="H124" s="85">
        <f t="shared" si="1"/>
        <v>650</v>
      </c>
      <c r="I124" s="98"/>
    </row>
    <row r="125">
      <c r="E125" s="82" t="s">
        <v>178</v>
      </c>
      <c r="F125" s="82">
        <v>4.0</v>
      </c>
      <c r="G125" s="84">
        <v>750.0</v>
      </c>
      <c r="H125" s="85">
        <f t="shared" si="1"/>
        <v>3000</v>
      </c>
      <c r="I125" s="98"/>
    </row>
    <row r="126">
      <c r="E126" s="82" t="s">
        <v>179</v>
      </c>
      <c r="F126" s="83">
        <v>100.0</v>
      </c>
      <c r="G126" s="84">
        <v>6.0</v>
      </c>
      <c r="H126" s="85">
        <f t="shared" si="1"/>
        <v>600</v>
      </c>
      <c r="I126" s="98"/>
    </row>
    <row r="127">
      <c r="E127" s="82" t="s">
        <v>180</v>
      </c>
      <c r="F127" s="82">
        <v>1.0</v>
      </c>
      <c r="G127" s="84">
        <v>280.0</v>
      </c>
      <c r="H127" s="85">
        <f t="shared" si="1"/>
        <v>280</v>
      </c>
      <c r="I127" s="98"/>
    </row>
    <row r="128">
      <c r="E128" s="82" t="s">
        <v>181</v>
      </c>
      <c r="F128" s="83">
        <v>6.0</v>
      </c>
      <c r="G128" s="84">
        <v>240.0</v>
      </c>
      <c r="H128" s="85">
        <f t="shared" si="1"/>
        <v>1440</v>
      </c>
      <c r="I128" s="98"/>
    </row>
    <row r="129">
      <c r="E129" s="82" t="s">
        <v>182</v>
      </c>
      <c r="F129" s="83">
        <v>1.0</v>
      </c>
      <c r="G129" s="84">
        <v>1800.0</v>
      </c>
      <c r="H129" s="85">
        <f t="shared" si="1"/>
        <v>1800</v>
      </c>
      <c r="I129" s="98"/>
    </row>
    <row r="130">
      <c r="E130" s="83" t="s">
        <v>183</v>
      </c>
      <c r="F130" s="83">
        <v>2.0</v>
      </c>
      <c r="G130" s="84">
        <v>1350.0</v>
      </c>
      <c r="H130" s="85">
        <f t="shared" si="1"/>
        <v>2700</v>
      </c>
      <c r="I130" s="98"/>
    </row>
    <row r="131">
      <c r="E131" s="82" t="s">
        <v>184</v>
      </c>
      <c r="F131" s="83">
        <v>1.0</v>
      </c>
      <c r="G131" s="84">
        <v>570.0</v>
      </c>
      <c r="H131" s="85">
        <f t="shared" si="1"/>
        <v>570</v>
      </c>
      <c r="I131" s="98"/>
    </row>
    <row r="132">
      <c r="E132" s="82" t="s">
        <v>185</v>
      </c>
      <c r="F132" s="83">
        <v>1.0</v>
      </c>
      <c r="G132" s="84">
        <v>900.0</v>
      </c>
      <c r="H132" s="85">
        <f t="shared" si="1"/>
        <v>900</v>
      </c>
      <c r="I132" s="99"/>
    </row>
    <row r="133">
      <c r="E133" s="83" t="s">
        <v>186</v>
      </c>
      <c r="F133" s="83">
        <v>120.0</v>
      </c>
      <c r="G133" s="88">
        <v>60.0</v>
      </c>
      <c r="H133" s="85">
        <f t="shared" si="1"/>
        <v>7200</v>
      </c>
      <c r="I133" s="100">
        <v>45870.0</v>
      </c>
    </row>
    <row r="134">
      <c r="E134" s="83" t="s">
        <v>187</v>
      </c>
      <c r="F134" s="83">
        <v>10.0</v>
      </c>
      <c r="G134" s="88">
        <v>100.0</v>
      </c>
      <c r="H134" s="85">
        <f t="shared" si="1"/>
        <v>1000</v>
      </c>
      <c r="I134" s="100">
        <v>45875.0</v>
      </c>
    </row>
    <row r="135">
      <c r="E135" s="83" t="s">
        <v>188</v>
      </c>
      <c r="F135" s="83">
        <v>4.0</v>
      </c>
      <c r="G135" s="88">
        <v>580.0</v>
      </c>
      <c r="H135" s="85">
        <f t="shared" si="1"/>
        <v>2320</v>
      </c>
      <c r="I135" s="98"/>
    </row>
    <row r="136">
      <c r="E136" s="83" t="s">
        <v>189</v>
      </c>
      <c r="F136" s="83">
        <v>3.0</v>
      </c>
      <c r="G136" s="88">
        <v>100.0</v>
      </c>
      <c r="H136" s="85">
        <f t="shared" si="1"/>
        <v>300</v>
      </c>
      <c r="I136" s="98"/>
    </row>
    <row r="137">
      <c r="E137" s="83" t="s">
        <v>190</v>
      </c>
      <c r="F137" s="83">
        <v>5.0</v>
      </c>
      <c r="G137" s="88">
        <v>30.0</v>
      </c>
      <c r="H137" s="85">
        <f t="shared" si="1"/>
        <v>150</v>
      </c>
      <c r="I137" s="97"/>
    </row>
    <row r="138">
      <c r="E138" s="83" t="s">
        <v>191</v>
      </c>
      <c r="F138" s="83">
        <v>3.0</v>
      </c>
      <c r="G138" s="88">
        <v>50.0</v>
      </c>
      <c r="H138" s="85">
        <f t="shared" si="1"/>
        <v>150</v>
      </c>
      <c r="I138" s="98"/>
    </row>
    <row r="139">
      <c r="E139" s="83" t="s">
        <v>192</v>
      </c>
      <c r="F139" s="83">
        <v>2.0</v>
      </c>
      <c r="G139" s="88">
        <v>100.0</v>
      </c>
      <c r="H139" s="85">
        <f t="shared" si="1"/>
        <v>200</v>
      </c>
      <c r="I139" s="97"/>
    </row>
    <row r="140">
      <c r="E140" s="83" t="s">
        <v>193</v>
      </c>
      <c r="F140" s="83">
        <v>2.0</v>
      </c>
      <c r="G140" s="88">
        <v>450.0</v>
      </c>
      <c r="H140" s="85">
        <f t="shared" si="1"/>
        <v>900</v>
      </c>
      <c r="I140" s="98"/>
    </row>
    <row r="141">
      <c r="E141" s="83" t="s">
        <v>187</v>
      </c>
      <c r="F141" s="83">
        <v>2.0</v>
      </c>
      <c r="G141" s="88">
        <v>100.0</v>
      </c>
      <c r="H141" s="85">
        <f t="shared" si="1"/>
        <v>200</v>
      </c>
      <c r="I141" s="98"/>
    </row>
    <row r="142">
      <c r="E142" s="83" t="s">
        <v>194</v>
      </c>
      <c r="F142" s="83">
        <v>7.0</v>
      </c>
      <c r="G142" s="88">
        <v>200.0</v>
      </c>
      <c r="H142" s="85">
        <f t="shared" si="1"/>
        <v>1400</v>
      </c>
      <c r="I142" s="98"/>
    </row>
    <row r="143">
      <c r="E143" s="83" t="s">
        <v>195</v>
      </c>
      <c r="F143" s="83">
        <v>12.0</v>
      </c>
      <c r="G143" s="88">
        <v>700.0</v>
      </c>
      <c r="H143" s="85">
        <f t="shared" si="1"/>
        <v>8400</v>
      </c>
      <c r="I143" s="100">
        <v>45871.0</v>
      </c>
    </row>
    <row r="144">
      <c r="E144" s="83" t="s">
        <v>196</v>
      </c>
      <c r="F144" s="83">
        <v>4.0</v>
      </c>
      <c r="G144" s="88">
        <v>500.0</v>
      </c>
      <c r="H144" s="85">
        <f t="shared" si="1"/>
        <v>2000</v>
      </c>
      <c r="I144" s="98"/>
    </row>
    <row r="145">
      <c r="E145" s="83" t="s">
        <v>197</v>
      </c>
      <c r="F145" s="83">
        <v>15.0</v>
      </c>
      <c r="G145" s="88">
        <v>200.0</v>
      </c>
      <c r="H145" s="85">
        <f t="shared" si="1"/>
        <v>3000</v>
      </c>
      <c r="I145" s="98"/>
    </row>
    <row r="146">
      <c r="E146" s="83" t="s">
        <v>198</v>
      </c>
      <c r="F146" s="83">
        <v>1.5</v>
      </c>
      <c r="G146" s="88">
        <v>200.0</v>
      </c>
      <c r="H146" s="85">
        <f t="shared" si="1"/>
        <v>300</v>
      </c>
      <c r="I146" s="98"/>
    </row>
    <row r="147">
      <c r="E147" s="83" t="s">
        <v>199</v>
      </c>
      <c r="F147" s="83">
        <v>2.0</v>
      </c>
      <c r="G147" s="88">
        <v>300.0</v>
      </c>
      <c r="H147" s="85">
        <f t="shared" si="1"/>
        <v>600</v>
      </c>
      <c r="I147" s="98"/>
    </row>
    <row r="148">
      <c r="E148" s="83" t="s">
        <v>187</v>
      </c>
      <c r="F148" s="83">
        <v>10.0</v>
      </c>
      <c r="G148" s="88">
        <v>100.0</v>
      </c>
      <c r="H148" s="85">
        <f t="shared" si="1"/>
        <v>1000</v>
      </c>
      <c r="I148" s="98"/>
    </row>
    <row r="149">
      <c r="E149" s="83" t="s">
        <v>200</v>
      </c>
      <c r="F149" s="83">
        <v>13.0</v>
      </c>
      <c r="G149" s="88">
        <v>400.0</v>
      </c>
      <c r="H149" s="85">
        <f t="shared" si="1"/>
        <v>5200</v>
      </c>
      <c r="I149" s="97"/>
    </row>
    <row r="150">
      <c r="E150" s="83" t="s">
        <v>201</v>
      </c>
      <c r="F150" s="83">
        <v>6.0</v>
      </c>
      <c r="G150" s="88">
        <v>40.0</v>
      </c>
      <c r="H150" s="85">
        <f t="shared" si="1"/>
        <v>240</v>
      </c>
      <c r="I150" s="98"/>
    </row>
    <row r="151">
      <c r="E151" s="83" t="s">
        <v>187</v>
      </c>
      <c r="F151" s="83">
        <v>11.0</v>
      </c>
      <c r="G151" s="88">
        <v>100.0</v>
      </c>
      <c r="H151" s="85">
        <f t="shared" si="1"/>
        <v>1100</v>
      </c>
      <c r="I151" s="101" t="s">
        <v>202</v>
      </c>
    </row>
    <row r="152">
      <c r="E152" s="83" t="s">
        <v>118</v>
      </c>
      <c r="F152" s="83">
        <v>1.0</v>
      </c>
      <c r="G152" s="88">
        <v>1200.0</v>
      </c>
      <c r="H152" s="85">
        <f t="shared" si="1"/>
        <v>1200</v>
      </c>
      <c r="I152" s="98"/>
    </row>
    <row r="153">
      <c r="E153" s="83" t="s">
        <v>203</v>
      </c>
      <c r="F153" s="83">
        <v>1.0</v>
      </c>
      <c r="G153" s="88">
        <v>400.0</v>
      </c>
      <c r="H153" s="85">
        <f t="shared" si="1"/>
        <v>400</v>
      </c>
      <c r="I153" s="98"/>
    </row>
    <row r="154">
      <c r="E154" s="83" t="s">
        <v>204</v>
      </c>
      <c r="F154" s="83">
        <v>50.0</v>
      </c>
      <c r="G154" s="88">
        <v>15.0</v>
      </c>
      <c r="H154" s="85">
        <f t="shared" si="1"/>
        <v>750</v>
      </c>
      <c r="I154" s="98"/>
    </row>
    <row r="155">
      <c r="E155" s="83" t="s">
        <v>205</v>
      </c>
      <c r="F155" s="83">
        <v>1.0</v>
      </c>
      <c r="G155" s="88">
        <v>2000.0</v>
      </c>
      <c r="H155" s="85">
        <f t="shared" si="1"/>
        <v>2000</v>
      </c>
      <c r="I155" s="100">
        <v>45875.0</v>
      </c>
    </row>
    <row r="156">
      <c r="E156" s="83" t="s">
        <v>206</v>
      </c>
      <c r="F156" s="83">
        <v>2.0</v>
      </c>
      <c r="G156" s="88">
        <v>150.0</v>
      </c>
      <c r="H156" s="85">
        <f t="shared" si="1"/>
        <v>300</v>
      </c>
      <c r="I156" s="98"/>
    </row>
    <row r="157">
      <c r="E157" s="83" t="s">
        <v>207</v>
      </c>
      <c r="F157" s="83">
        <v>20.0</v>
      </c>
      <c r="G157" s="88">
        <v>100.0</v>
      </c>
      <c r="H157" s="85">
        <f t="shared" si="1"/>
        <v>2000</v>
      </c>
      <c r="I157" s="100">
        <v>45876.0</v>
      </c>
    </row>
    <row r="158">
      <c r="E158" s="83" t="s">
        <v>208</v>
      </c>
      <c r="F158" s="83">
        <v>1.0</v>
      </c>
      <c r="G158" s="88">
        <v>150.0</v>
      </c>
      <c r="H158" s="85">
        <f t="shared" si="1"/>
        <v>150</v>
      </c>
      <c r="I158" s="98"/>
    </row>
    <row r="159">
      <c r="E159" s="83" t="s">
        <v>192</v>
      </c>
      <c r="F159" s="83">
        <v>4.0</v>
      </c>
      <c r="G159" s="88">
        <v>120.0</v>
      </c>
      <c r="H159" s="85">
        <f t="shared" si="1"/>
        <v>480</v>
      </c>
      <c r="I159" s="98"/>
    </row>
    <row r="160">
      <c r="E160" s="83" t="s">
        <v>209</v>
      </c>
      <c r="F160" s="83">
        <v>2.0</v>
      </c>
      <c r="G160" s="88">
        <v>750.0</v>
      </c>
      <c r="H160" s="85">
        <f t="shared" si="1"/>
        <v>1500</v>
      </c>
      <c r="I160" s="98"/>
    </row>
    <row r="161">
      <c r="E161" s="83" t="s">
        <v>210</v>
      </c>
      <c r="F161" s="83">
        <v>2.0</v>
      </c>
      <c r="G161" s="88">
        <v>150.0</v>
      </c>
      <c r="H161" s="85">
        <f t="shared" si="1"/>
        <v>300</v>
      </c>
      <c r="I161" s="98"/>
    </row>
    <row r="162">
      <c r="E162" s="102" t="s">
        <v>211</v>
      </c>
      <c r="F162" s="102">
        <v>1.5</v>
      </c>
      <c r="G162" s="103">
        <v>70.0</v>
      </c>
      <c r="H162" s="85">
        <f t="shared" si="1"/>
        <v>105</v>
      </c>
      <c r="I162" s="104"/>
    </row>
    <row r="163">
      <c r="E163" s="83" t="s">
        <v>187</v>
      </c>
      <c r="F163" s="83">
        <v>10.0</v>
      </c>
      <c r="G163" s="88">
        <v>100.0</v>
      </c>
      <c r="H163" s="85">
        <f t="shared" si="1"/>
        <v>1000</v>
      </c>
      <c r="I163" s="98"/>
    </row>
    <row r="164">
      <c r="E164" s="83" t="s">
        <v>212</v>
      </c>
      <c r="F164" s="83">
        <v>1.0</v>
      </c>
      <c r="G164" s="88">
        <v>600.0</v>
      </c>
      <c r="H164" s="85">
        <f t="shared" si="1"/>
        <v>600</v>
      </c>
      <c r="I164" s="97"/>
    </row>
    <row r="165">
      <c r="E165" s="83" t="s">
        <v>213</v>
      </c>
      <c r="F165" s="83">
        <v>1.0</v>
      </c>
      <c r="G165" s="88">
        <v>1500.0</v>
      </c>
      <c r="H165" s="85">
        <f t="shared" si="1"/>
        <v>1500</v>
      </c>
      <c r="I165" s="100">
        <v>45872.0</v>
      </c>
    </row>
    <row r="166">
      <c r="E166" s="83" t="s">
        <v>214</v>
      </c>
      <c r="F166" s="83">
        <v>0.5</v>
      </c>
      <c r="G166" s="88">
        <v>60.0</v>
      </c>
      <c r="H166" s="85">
        <f t="shared" si="1"/>
        <v>30</v>
      </c>
      <c r="I166" s="100"/>
    </row>
    <row r="167">
      <c r="E167" s="83" t="s">
        <v>215</v>
      </c>
      <c r="F167" s="83">
        <v>2.0</v>
      </c>
      <c r="G167" s="88">
        <v>150.0</v>
      </c>
      <c r="H167" s="85">
        <f t="shared" si="1"/>
        <v>300</v>
      </c>
      <c r="I167" s="100"/>
    </row>
    <row r="168">
      <c r="E168" s="83" t="s">
        <v>216</v>
      </c>
      <c r="F168" s="83">
        <v>5.0</v>
      </c>
      <c r="G168" s="88">
        <v>150.0</v>
      </c>
      <c r="H168" s="85">
        <f t="shared" si="1"/>
        <v>750</v>
      </c>
      <c r="I168" s="100"/>
    </row>
    <row r="169">
      <c r="E169" s="83" t="s">
        <v>217</v>
      </c>
      <c r="F169" s="83">
        <v>10.0</v>
      </c>
      <c r="G169" s="88">
        <v>100.0</v>
      </c>
      <c r="H169" s="85">
        <f t="shared" si="1"/>
        <v>1000</v>
      </c>
      <c r="I169" s="100">
        <v>45877.0</v>
      </c>
    </row>
    <row r="170">
      <c r="E170" s="83" t="s">
        <v>218</v>
      </c>
      <c r="F170" s="83">
        <v>12.0</v>
      </c>
      <c r="G170" s="88">
        <v>120.0</v>
      </c>
      <c r="H170" s="85">
        <f t="shared" si="1"/>
        <v>1440</v>
      </c>
      <c r="I170" s="98"/>
    </row>
    <row r="171">
      <c r="E171" s="83" t="s">
        <v>219</v>
      </c>
      <c r="F171" s="83">
        <v>5.0</v>
      </c>
      <c r="G171" s="88">
        <v>130.0</v>
      </c>
      <c r="H171" s="85">
        <f t="shared" si="1"/>
        <v>650</v>
      </c>
      <c r="I171" s="98"/>
    </row>
    <row r="172">
      <c r="E172" s="83" t="s">
        <v>199</v>
      </c>
      <c r="F172" s="83">
        <v>2.0</v>
      </c>
      <c r="G172" s="88">
        <v>300.0</v>
      </c>
      <c r="H172" s="85">
        <f t="shared" si="1"/>
        <v>600</v>
      </c>
      <c r="I172" s="98"/>
    </row>
    <row r="173">
      <c r="E173" s="83" t="s">
        <v>198</v>
      </c>
      <c r="F173" s="83">
        <v>1.0</v>
      </c>
      <c r="G173" s="88">
        <v>200.0</v>
      </c>
      <c r="H173" s="85">
        <f t="shared" si="1"/>
        <v>200</v>
      </c>
      <c r="I173" s="98"/>
    </row>
    <row r="174">
      <c r="E174" s="83" t="s">
        <v>220</v>
      </c>
      <c r="F174" s="83">
        <v>311.0</v>
      </c>
      <c r="G174" s="88">
        <v>50.0</v>
      </c>
      <c r="H174" s="85">
        <f t="shared" si="1"/>
        <v>15550</v>
      </c>
      <c r="I174" s="100">
        <v>45891.0</v>
      </c>
    </row>
    <row r="175">
      <c r="E175" s="83" t="s">
        <v>221</v>
      </c>
      <c r="F175" s="83">
        <v>40.0</v>
      </c>
      <c r="G175" s="88">
        <v>50.0</v>
      </c>
      <c r="H175" s="85">
        <f t="shared" si="1"/>
        <v>2000</v>
      </c>
      <c r="I175" s="98"/>
    </row>
    <row r="176">
      <c r="E176" s="83" t="s">
        <v>186</v>
      </c>
      <c r="F176" s="83">
        <v>380.0</v>
      </c>
      <c r="G176" s="88">
        <v>60.0</v>
      </c>
      <c r="H176" s="85">
        <f t="shared" si="1"/>
        <v>22800</v>
      </c>
      <c r="I176" s="98"/>
    </row>
    <row r="177">
      <c r="E177" s="83" t="s">
        <v>222</v>
      </c>
      <c r="F177" s="83">
        <v>1.0</v>
      </c>
      <c r="G177" s="88">
        <v>100.0</v>
      </c>
      <c r="H177" s="85">
        <f t="shared" si="1"/>
        <v>100</v>
      </c>
      <c r="I177" s="98"/>
    </row>
    <row r="178">
      <c r="E178" s="83" t="s">
        <v>223</v>
      </c>
      <c r="F178" s="83">
        <v>1.0</v>
      </c>
      <c r="G178" s="88">
        <v>780.0</v>
      </c>
      <c r="H178" s="85">
        <f t="shared" si="1"/>
        <v>780</v>
      </c>
      <c r="I178" s="98"/>
    </row>
    <row r="179">
      <c r="E179" s="83" t="s">
        <v>224</v>
      </c>
      <c r="F179" s="83">
        <v>1.0</v>
      </c>
      <c r="G179" s="88">
        <v>350.0</v>
      </c>
      <c r="H179" s="85">
        <f t="shared" si="1"/>
        <v>350</v>
      </c>
      <c r="I179" s="98"/>
    </row>
    <row r="180">
      <c r="E180" s="83" t="s">
        <v>225</v>
      </c>
      <c r="F180" s="83">
        <v>1.0</v>
      </c>
      <c r="G180" s="88">
        <v>15000.0</v>
      </c>
      <c r="H180" s="85">
        <f t="shared" si="1"/>
        <v>15000</v>
      </c>
      <c r="I180" s="100">
        <v>45878.0</v>
      </c>
    </row>
    <row r="181">
      <c r="E181" s="83" t="s">
        <v>226</v>
      </c>
      <c r="F181" s="83">
        <v>2.0</v>
      </c>
      <c r="G181" s="88">
        <v>200.0</v>
      </c>
      <c r="H181" s="85">
        <f t="shared" si="1"/>
        <v>400</v>
      </c>
      <c r="I181" s="100"/>
    </row>
    <row r="182">
      <c r="E182" s="83" t="s">
        <v>227</v>
      </c>
      <c r="F182" s="83">
        <v>1.0</v>
      </c>
      <c r="G182" s="88">
        <v>110.0</v>
      </c>
      <c r="H182" s="85">
        <f t="shared" si="1"/>
        <v>110</v>
      </c>
      <c r="I182" s="100"/>
    </row>
    <row r="183">
      <c r="E183" s="83" t="s">
        <v>222</v>
      </c>
      <c r="F183" s="83">
        <v>1.0</v>
      </c>
      <c r="G183" s="88">
        <v>90.0</v>
      </c>
      <c r="H183" s="85">
        <f t="shared" si="1"/>
        <v>90</v>
      </c>
      <c r="I183" s="100"/>
    </row>
    <row r="184">
      <c r="E184" s="83" t="s">
        <v>196</v>
      </c>
      <c r="F184" s="83">
        <v>2.0</v>
      </c>
      <c r="G184" s="88">
        <v>580.0</v>
      </c>
      <c r="H184" s="85">
        <f t="shared" si="1"/>
        <v>1160</v>
      </c>
      <c r="I184" s="100"/>
    </row>
    <row r="185">
      <c r="E185" s="83" t="s">
        <v>228</v>
      </c>
      <c r="F185" s="83">
        <v>1.0</v>
      </c>
      <c r="G185" s="88">
        <v>750.0</v>
      </c>
      <c r="H185" s="85">
        <f t="shared" si="1"/>
        <v>750</v>
      </c>
      <c r="I185" s="100">
        <v>45879.0</v>
      </c>
    </row>
    <row r="186">
      <c r="E186" s="83" t="s">
        <v>83</v>
      </c>
      <c r="F186" s="83">
        <v>30.0</v>
      </c>
      <c r="G186" s="88">
        <v>1000.0</v>
      </c>
      <c r="H186" s="85">
        <f t="shared" si="1"/>
        <v>30000</v>
      </c>
      <c r="I186" s="98"/>
    </row>
    <row r="187">
      <c r="E187" s="83" t="s">
        <v>229</v>
      </c>
      <c r="F187" s="83">
        <v>1.0</v>
      </c>
      <c r="G187" s="88">
        <v>2000.0</v>
      </c>
      <c r="H187" s="85">
        <f t="shared" si="1"/>
        <v>2000</v>
      </c>
      <c r="I187" s="97"/>
    </row>
    <row r="188">
      <c r="E188" s="83" t="s">
        <v>230</v>
      </c>
      <c r="F188" s="83">
        <v>1.5</v>
      </c>
      <c r="G188" s="88">
        <v>700.0</v>
      </c>
      <c r="H188" s="85">
        <f t="shared" si="1"/>
        <v>1050</v>
      </c>
      <c r="I188" s="98"/>
    </row>
    <row r="189">
      <c r="E189" s="83" t="s">
        <v>231</v>
      </c>
      <c r="F189" s="83">
        <v>10.0</v>
      </c>
      <c r="G189" s="88">
        <v>50.0</v>
      </c>
      <c r="H189" s="85">
        <f t="shared" si="1"/>
        <v>500</v>
      </c>
      <c r="I189" s="98"/>
    </row>
    <row r="190">
      <c r="E190" s="83" t="s">
        <v>127</v>
      </c>
      <c r="F190" s="83">
        <v>50.0</v>
      </c>
      <c r="G190" s="88">
        <v>28.0</v>
      </c>
      <c r="H190" s="85">
        <f t="shared" si="1"/>
        <v>1400</v>
      </c>
      <c r="I190" s="98"/>
    </row>
    <row r="191">
      <c r="E191" s="83" t="s">
        <v>126</v>
      </c>
      <c r="F191" s="83">
        <v>50.0</v>
      </c>
      <c r="G191" s="88">
        <v>34.0</v>
      </c>
      <c r="H191" s="85">
        <f t="shared" si="1"/>
        <v>1700</v>
      </c>
      <c r="I191" s="98"/>
    </row>
    <row r="192">
      <c r="E192" s="83" t="s">
        <v>232</v>
      </c>
      <c r="F192" s="83">
        <v>50.0</v>
      </c>
      <c r="G192" s="88">
        <v>21.0</v>
      </c>
      <c r="H192" s="85">
        <f t="shared" si="1"/>
        <v>1050</v>
      </c>
      <c r="I192" s="98"/>
    </row>
    <row r="193">
      <c r="E193" s="83" t="s">
        <v>233</v>
      </c>
      <c r="F193" s="83">
        <v>50.0</v>
      </c>
      <c r="G193" s="88">
        <v>20.0</v>
      </c>
      <c r="H193" s="85">
        <f t="shared" si="1"/>
        <v>1000</v>
      </c>
      <c r="I193" s="98"/>
    </row>
    <row r="194">
      <c r="E194" s="83" t="s">
        <v>234</v>
      </c>
      <c r="F194" s="83">
        <v>1.5</v>
      </c>
      <c r="G194" s="88">
        <v>1400.0</v>
      </c>
      <c r="H194" s="85">
        <f t="shared" si="1"/>
        <v>2100</v>
      </c>
      <c r="I194" s="98"/>
    </row>
    <row r="195">
      <c r="E195" s="83" t="s">
        <v>217</v>
      </c>
      <c r="F195" s="83">
        <v>5.0</v>
      </c>
      <c r="G195" s="88">
        <v>100.0</v>
      </c>
      <c r="H195" s="85">
        <f t="shared" si="1"/>
        <v>500</v>
      </c>
      <c r="I195" s="100">
        <v>45880.0</v>
      </c>
    </row>
    <row r="196">
      <c r="E196" s="83" t="s">
        <v>192</v>
      </c>
      <c r="F196" s="83">
        <v>3.0</v>
      </c>
      <c r="G196" s="88">
        <v>100.0</v>
      </c>
      <c r="H196" s="85">
        <f t="shared" si="1"/>
        <v>300</v>
      </c>
      <c r="I196" s="98"/>
    </row>
    <row r="197">
      <c r="E197" s="83" t="s">
        <v>230</v>
      </c>
      <c r="F197" s="83">
        <v>1.0</v>
      </c>
      <c r="G197" s="88">
        <v>680.0</v>
      </c>
      <c r="H197" s="85">
        <f t="shared" si="1"/>
        <v>680</v>
      </c>
      <c r="I197" s="98"/>
    </row>
    <row r="198">
      <c r="E198" s="83" t="s">
        <v>235</v>
      </c>
      <c r="F198" s="83">
        <v>1.0</v>
      </c>
      <c r="G198" s="88">
        <v>540.0</v>
      </c>
      <c r="H198" s="85">
        <f t="shared" si="1"/>
        <v>540</v>
      </c>
      <c r="I198" s="98"/>
    </row>
    <row r="199">
      <c r="E199" s="83" t="s">
        <v>236</v>
      </c>
      <c r="F199" s="83">
        <v>0.5</v>
      </c>
      <c r="G199" s="88">
        <v>800.0</v>
      </c>
      <c r="H199" s="85">
        <f t="shared" si="1"/>
        <v>400</v>
      </c>
      <c r="I199" s="98"/>
    </row>
    <row r="200">
      <c r="E200" s="83" t="s">
        <v>184</v>
      </c>
      <c r="F200" s="83">
        <v>2.0</v>
      </c>
      <c r="G200" s="88">
        <v>800.0</v>
      </c>
      <c r="H200" s="85">
        <f t="shared" si="1"/>
        <v>1600</v>
      </c>
      <c r="I200" s="98"/>
    </row>
    <row r="201">
      <c r="E201" s="83" t="s">
        <v>187</v>
      </c>
      <c r="F201" s="83">
        <v>5.0</v>
      </c>
      <c r="G201" s="88">
        <v>100.0</v>
      </c>
      <c r="H201" s="85">
        <f t="shared" si="1"/>
        <v>500</v>
      </c>
      <c r="I201" s="100">
        <v>45881.0</v>
      </c>
    </row>
    <row r="202">
      <c r="E202" s="83" t="s">
        <v>230</v>
      </c>
      <c r="F202" s="83">
        <v>1.0</v>
      </c>
      <c r="G202" s="88">
        <v>750.0</v>
      </c>
      <c r="H202" s="85">
        <f t="shared" si="1"/>
        <v>750</v>
      </c>
      <c r="I202" s="98"/>
    </row>
    <row r="203">
      <c r="E203" s="83" t="s">
        <v>203</v>
      </c>
      <c r="F203" s="83">
        <v>1.0</v>
      </c>
      <c r="G203" s="88">
        <v>400.0</v>
      </c>
      <c r="H203" s="85">
        <f t="shared" si="1"/>
        <v>400</v>
      </c>
      <c r="I203" s="98"/>
    </row>
    <row r="204">
      <c r="E204" s="83" t="s">
        <v>235</v>
      </c>
      <c r="F204" s="83">
        <v>1.0</v>
      </c>
      <c r="G204" s="88">
        <v>540.0</v>
      </c>
      <c r="H204" s="85">
        <f t="shared" si="1"/>
        <v>540</v>
      </c>
      <c r="I204" s="98"/>
    </row>
    <row r="205">
      <c r="E205" s="83" t="s">
        <v>237</v>
      </c>
      <c r="F205" s="83">
        <v>1.0</v>
      </c>
      <c r="G205" s="88">
        <v>750.0</v>
      </c>
      <c r="H205" s="85">
        <f t="shared" si="1"/>
        <v>750</v>
      </c>
      <c r="I205" s="98"/>
    </row>
    <row r="206">
      <c r="E206" s="83" t="s">
        <v>187</v>
      </c>
      <c r="F206" s="83">
        <v>10.0</v>
      </c>
      <c r="G206" s="88">
        <v>100.0</v>
      </c>
      <c r="H206" s="85">
        <f t="shared" si="1"/>
        <v>1000</v>
      </c>
      <c r="I206" s="100">
        <v>45883.0</v>
      </c>
    </row>
    <row r="207">
      <c r="E207" s="83" t="s">
        <v>238</v>
      </c>
      <c r="F207" s="83">
        <v>3.0</v>
      </c>
      <c r="G207" s="88">
        <v>300.0</v>
      </c>
      <c r="H207" s="85">
        <f t="shared" si="1"/>
        <v>900</v>
      </c>
      <c r="I207" s="98"/>
    </row>
    <row r="208">
      <c r="E208" s="83" t="s">
        <v>192</v>
      </c>
      <c r="F208" s="83">
        <v>7.0</v>
      </c>
      <c r="G208" s="88">
        <v>100.0</v>
      </c>
      <c r="H208" s="85">
        <f t="shared" si="1"/>
        <v>700</v>
      </c>
      <c r="I208" s="98"/>
    </row>
    <row r="209">
      <c r="E209" s="83" t="s">
        <v>239</v>
      </c>
      <c r="F209" s="83">
        <v>1.0</v>
      </c>
      <c r="G209" s="88">
        <v>200.0</v>
      </c>
      <c r="H209" s="85">
        <f t="shared" si="1"/>
        <v>200</v>
      </c>
      <c r="I209" s="98"/>
    </row>
    <row r="210">
      <c r="E210" s="83" t="s">
        <v>240</v>
      </c>
      <c r="F210" s="83">
        <v>1.0</v>
      </c>
      <c r="G210" s="88">
        <v>1200.0</v>
      </c>
      <c r="H210" s="85">
        <f t="shared" si="1"/>
        <v>1200</v>
      </c>
      <c r="I210" s="97"/>
    </row>
    <row r="211">
      <c r="E211" s="83" t="s">
        <v>241</v>
      </c>
      <c r="F211" s="83">
        <v>4.0</v>
      </c>
      <c r="G211" s="88">
        <v>300.0</v>
      </c>
      <c r="H211" s="85">
        <f t="shared" si="1"/>
        <v>1200</v>
      </c>
      <c r="I211" s="98"/>
    </row>
    <row r="212">
      <c r="E212" s="83" t="s">
        <v>230</v>
      </c>
      <c r="F212" s="83">
        <v>1.0</v>
      </c>
      <c r="G212" s="88">
        <v>700.0</v>
      </c>
      <c r="H212" s="85">
        <f t="shared" si="1"/>
        <v>700</v>
      </c>
      <c r="I212" s="98"/>
    </row>
    <row r="213">
      <c r="E213" s="83" t="s">
        <v>237</v>
      </c>
      <c r="F213" s="83">
        <v>1.0</v>
      </c>
      <c r="G213" s="88">
        <v>200.0</v>
      </c>
      <c r="H213" s="85">
        <f t="shared" si="1"/>
        <v>200</v>
      </c>
      <c r="I213" s="98"/>
    </row>
    <row r="214">
      <c r="E214" s="83" t="s">
        <v>242</v>
      </c>
      <c r="F214" s="83">
        <v>1.0</v>
      </c>
      <c r="G214" s="88">
        <v>500.0</v>
      </c>
      <c r="H214" s="85">
        <f t="shared" si="1"/>
        <v>500</v>
      </c>
      <c r="I214" s="98"/>
    </row>
    <row r="215">
      <c r="E215" s="83" t="s">
        <v>243</v>
      </c>
      <c r="F215" s="83">
        <v>1.0</v>
      </c>
      <c r="G215" s="88">
        <v>110.0</v>
      </c>
      <c r="H215" s="85">
        <f t="shared" si="1"/>
        <v>110</v>
      </c>
      <c r="I215" s="98"/>
    </row>
    <row r="216">
      <c r="E216" s="83" t="s">
        <v>244</v>
      </c>
      <c r="F216" s="83">
        <v>1.0</v>
      </c>
      <c r="G216" s="105">
        <v>110.0</v>
      </c>
      <c r="H216" s="85">
        <f t="shared" si="1"/>
        <v>110</v>
      </c>
      <c r="I216" s="98"/>
    </row>
    <row r="217">
      <c r="E217" s="83" t="s">
        <v>245</v>
      </c>
      <c r="F217" s="83">
        <v>1.0</v>
      </c>
      <c r="G217" s="88">
        <v>120.0</v>
      </c>
      <c r="H217" s="85">
        <f t="shared" si="1"/>
        <v>120</v>
      </c>
      <c r="I217" s="98"/>
    </row>
    <row r="218">
      <c r="E218" s="83" t="s">
        <v>246</v>
      </c>
      <c r="F218" s="83">
        <v>2.0</v>
      </c>
      <c r="G218" s="88">
        <v>180.0</v>
      </c>
      <c r="H218" s="85">
        <f t="shared" si="1"/>
        <v>360</v>
      </c>
      <c r="I218" s="98"/>
    </row>
    <row r="219">
      <c r="E219" s="83" t="s">
        <v>247</v>
      </c>
      <c r="F219" s="83">
        <v>1.0</v>
      </c>
      <c r="G219" s="88">
        <v>150.0</v>
      </c>
      <c r="H219" s="85">
        <f t="shared" si="1"/>
        <v>150</v>
      </c>
      <c r="I219" s="98"/>
    </row>
    <row r="220">
      <c r="E220" s="83" t="s">
        <v>248</v>
      </c>
      <c r="F220" s="83">
        <v>5.0</v>
      </c>
      <c r="G220" s="88">
        <v>70.0</v>
      </c>
      <c r="H220" s="85">
        <f t="shared" si="1"/>
        <v>350</v>
      </c>
      <c r="I220" s="98"/>
    </row>
    <row r="221">
      <c r="E221" s="83" t="s">
        <v>249</v>
      </c>
      <c r="F221" s="83">
        <v>1.0</v>
      </c>
      <c r="G221" s="88">
        <v>200.0</v>
      </c>
      <c r="H221" s="85">
        <f t="shared" si="1"/>
        <v>200</v>
      </c>
      <c r="I221" s="98"/>
    </row>
    <row r="222">
      <c r="E222" s="83" t="s">
        <v>250</v>
      </c>
      <c r="F222" s="83">
        <v>1.0</v>
      </c>
      <c r="G222" s="88">
        <v>170.0</v>
      </c>
      <c r="H222" s="85">
        <f t="shared" si="1"/>
        <v>170</v>
      </c>
      <c r="I222" s="98"/>
    </row>
    <row r="223">
      <c r="E223" s="83" t="s">
        <v>251</v>
      </c>
      <c r="F223" s="83">
        <v>1.0</v>
      </c>
      <c r="G223" s="88">
        <v>250.0</v>
      </c>
      <c r="H223" s="85">
        <f t="shared" si="1"/>
        <v>250</v>
      </c>
      <c r="I223" s="98"/>
    </row>
    <row r="224">
      <c r="E224" s="83" t="s">
        <v>252</v>
      </c>
      <c r="F224" s="83">
        <v>3.0</v>
      </c>
      <c r="G224" s="88">
        <v>30.0</v>
      </c>
      <c r="H224" s="85">
        <f t="shared" si="1"/>
        <v>90</v>
      </c>
      <c r="I224" s="98"/>
    </row>
    <row r="225">
      <c r="E225" s="83" t="s">
        <v>253</v>
      </c>
      <c r="F225" s="83">
        <v>1.0</v>
      </c>
      <c r="G225" s="88">
        <v>200.0</v>
      </c>
      <c r="H225" s="85">
        <f t="shared" si="1"/>
        <v>200</v>
      </c>
      <c r="I225" s="98"/>
    </row>
    <row r="226">
      <c r="E226" s="83" t="s">
        <v>254</v>
      </c>
      <c r="F226" s="83">
        <v>1.0</v>
      </c>
      <c r="G226" s="88">
        <v>100.0</v>
      </c>
      <c r="H226" s="85">
        <f t="shared" si="1"/>
        <v>100</v>
      </c>
      <c r="I226" s="98"/>
    </row>
    <row r="227">
      <c r="E227" s="83" t="s">
        <v>255</v>
      </c>
      <c r="F227" s="83">
        <v>4.0</v>
      </c>
      <c r="G227" s="88">
        <v>16000.0</v>
      </c>
      <c r="H227" s="85">
        <f t="shared" si="1"/>
        <v>64000</v>
      </c>
      <c r="I227" s="106">
        <v>45893.0</v>
      </c>
    </row>
    <row r="228">
      <c r="E228" s="107" t="s">
        <v>256</v>
      </c>
      <c r="F228" s="107">
        <v>1.0</v>
      </c>
      <c r="G228" s="108">
        <v>50000.0</v>
      </c>
      <c r="H228" s="109">
        <f t="shared" si="1"/>
        <v>50000</v>
      </c>
      <c r="I228" s="110" t="s">
        <v>257</v>
      </c>
    </row>
    <row r="229">
      <c r="E229" s="83" t="s">
        <v>127</v>
      </c>
      <c r="F229" s="83">
        <v>50.0</v>
      </c>
      <c r="G229" s="88">
        <v>27.0</v>
      </c>
      <c r="H229" s="85">
        <f t="shared" si="1"/>
        <v>1350</v>
      </c>
      <c r="I229" s="83" t="s">
        <v>258</v>
      </c>
    </row>
    <row r="230">
      <c r="E230" s="83" t="s">
        <v>232</v>
      </c>
      <c r="F230" s="83">
        <v>50.0</v>
      </c>
      <c r="G230" s="88">
        <v>21.0</v>
      </c>
      <c r="H230" s="85">
        <f t="shared" si="1"/>
        <v>1050</v>
      </c>
      <c r="I230" s="98"/>
    </row>
    <row r="231">
      <c r="E231" s="83" t="s">
        <v>126</v>
      </c>
      <c r="F231" s="83">
        <v>50.0</v>
      </c>
      <c r="G231" s="88">
        <v>34.0</v>
      </c>
      <c r="H231" s="85">
        <f t="shared" si="1"/>
        <v>1700</v>
      </c>
      <c r="I231" s="98"/>
    </row>
    <row r="232">
      <c r="E232" s="83" t="s">
        <v>259</v>
      </c>
      <c r="F232" s="83">
        <v>10.0</v>
      </c>
      <c r="G232" s="88">
        <v>140.0</v>
      </c>
      <c r="H232" s="85">
        <f t="shared" si="1"/>
        <v>1400</v>
      </c>
      <c r="I232" s="98"/>
    </row>
    <row r="233">
      <c r="E233" s="83" t="s">
        <v>260</v>
      </c>
      <c r="F233" s="83">
        <v>2.0</v>
      </c>
      <c r="G233" s="88">
        <v>450.0</v>
      </c>
      <c r="H233" s="85">
        <f t="shared" si="1"/>
        <v>900</v>
      </c>
      <c r="I233" s="98"/>
    </row>
    <row r="234">
      <c r="E234" s="83" t="s">
        <v>261</v>
      </c>
      <c r="F234" s="83">
        <v>1.0</v>
      </c>
      <c r="G234" s="88">
        <v>200.0</v>
      </c>
      <c r="H234" s="85">
        <f t="shared" si="1"/>
        <v>200</v>
      </c>
      <c r="I234" s="98"/>
    </row>
    <row r="235">
      <c r="E235" s="83" t="s">
        <v>262</v>
      </c>
      <c r="F235" s="83">
        <v>1.0</v>
      </c>
      <c r="G235" s="88">
        <v>350.0</v>
      </c>
      <c r="H235" s="85">
        <f t="shared" si="1"/>
        <v>350</v>
      </c>
      <c r="I235" s="98"/>
    </row>
    <row r="236">
      <c r="E236" s="83" t="s">
        <v>263</v>
      </c>
      <c r="F236" s="83">
        <v>1.0</v>
      </c>
      <c r="G236" s="88">
        <v>200.0</v>
      </c>
      <c r="H236" s="85">
        <f t="shared" si="1"/>
        <v>200</v>
      </c>
      <c r="I236" s="98"/>
    </row>
    <row r="237">
      <c r="E237" s="83" t="s">
        <v>264</v>
      </c>
      <c r="F237" s="83">
        <v>0.1</v>
      </c>
      <c r="G237" s="88">
        <v>4900.0</v>
      </c>
      <c r="H237" s="85">
        <f t="shared" si="1"/>
        <v>490</v>
      </c>
      <c r="I237" s="98"/>
    </row>
    <row r="238">
      <c r="E238" s="83" t="s">
        <v>265</v>
      </c>
      <c r="F238" s="83">
        <v>1.0</v>
      </c>
      <c r="G238" s="88">
        <v>1000.0</v>
      </c>
      <c r="H238" s="85">
        <f t="shared" si="1"/>
        <v>1000</v>
      </c>
      <c r="I238" s="98"/>
    </row>
    <row r="239">
      <c r="E239" s="83" t="s">
        <v>266</v>
      </c>
      <c r="F239" s="83">
        <v>2.0</v>
      </c>
      <c r="G239" s="88">
        <v>250.0</v>
      </c>
      <c r="H239" s="85">
        <f t="shared" si="1"/>
        <v>500</v>
      </c>
      <c r="I239" s="98"/>
    </row>
    <row r="240">
      <c r="E240" s="83" t="s">
        <v>253</v>
      </c>
      <c r="F240" s="83">
        <v>2.0</v>
      </c>
      <c r="G240" s="88">
        <v>200.0</v>
      </c>
      <c r="H240" s="85">
        <f t="shared" si="1"/>
        <v>400</v>
      </c>
      <c r="I240" s="98"/>
    </row>
    <row r="241">
      <c r="E241" s="83" t="s">
        <v>267</v>
      </c>
      <c r="F241" s="83">
        <v>1.0</v>
      </c>
      <c r="G241" s="88">
        <v>1200.0</v>
      </c>
      <c r="H241" s="85">
        <f t="shared" si="1"/>
        <v>1200</v>
      </c>
      <c r="I241" s="98"/>
    </row>
    <row r="242">
      <c r="E242" s="83" t="s">
        <v>268</v>
      </c>
      <c r="F242" s="83">
        <v>2.0</v>
      </c>
      <c r="G242" s="88">
        <v>750.0</v>
      </c>
      <c r="H242" s="85">
        <f t="shared" si="1"/>
        <v>1500</v>
      </c>
      <c r="I242" s="98"/>
    </row>
    <row r="243">
      <c r="E243" s="83" t="s">
        <v>269</v>
      </c>
      <c r="F243" s="83">
        <v>3.0</v>
      </c>
      <c r="G243" s="88">
        <v>450.0</v>
      </c>
      <c r="H243" s="85">
        <f t="shared" si="1"/>
        <v>1350</v>
      </c>
      <c r="I243" s="98"/>
    </row>
    <row r="244">
      <c r="E244" s="83" t="s">
        <v>270</v>
      </c>
      <c r="F244" s="83">
        <v>0.5</v>
      </c>
      <c r="G244" s="88">
        <v>900.0</v>
      </c>
      <c r="H244" s="85">
        <f t="shared" si="1"/>
        <v>450</v>
      </c>
      <c r="I244" s="98"/>
    </row>
    <row r="245">
      <c r="E245" s="83" t="s">
        <v>271</v>
      </c>
      <c r="F245" s="83">
        <v>5.0</v>
      </c>
      <c r="G245" s="88">
        <v>80.0</v>
      </c>
      <c r="H245" s="85">
        <f t="shared" si="1"/>
        <v>400</v>
      </c>
      <c r="I245" s="98"/>
    </row>
    <row r="246">
      <c r="E246" s="83" t="s">
        <v>272</v>
      </c>
      <c r="F246" s="83">
        <v>0.5</v>
      </c>
      <c r="G246" s="88">
        <v>800.0</v>
      </c>
      <c r="H246" s="85">
        <f t="shared" si="1"/>
        <v>400</v>
      </c>
      <c r="I246" s="98"/>
    </row>
    <row r="247">
      <c r="E247" s="83" t="s">
        <v>273</v>
      </c>
      <c r="F247" s="83">
        <v>0.3</v>
      </c>
      <c r="G247" s="88">
        <v>3500.0</v>
      </c>
      <c r="H247" s="85">
        <f t="shared" si="1"/>
        <v>1050</v>
      </c>
      <c r="I247" s="98"/>
    </row>
    <row r="248">
      <c r="E248" s="83" t="s">
        <v>274</v>
      </c>
      <c r="F248" s="83">
        <v>2.0</v>
      </c>
      <c r="G248" s="88">
        <v>200.0</v>
      </c>
      <c r="H248" s="85">
        <f t="shared" si="1"/>
        <v>400</v>
      </c>
      <c r="I248" s="98"/>
    </row>
    <row r="249">
      <c r="E249" s="83" t="s">
        <v>275</v>
      </c>
      <c r="F249" s="83">
        <v>0.5</v>
      </c>
      <c r="G249" s="88">
        <v>600.0</v>
      </c>
      <c r="H249" s="85">
        <f t="shared" si="1"/>
        <v>300</v>
      </c>
      <c r="I249" s="98"/>
    </row>
    <row r="250">
      <c r="E250" s="83" t="s">
        <v>276</v>
      </c>
      <c r="F250" s="83">
        <v>1.0</v>
      </c>
      <c r="G250" s="88">
        <v>400.0</v>
      </c>
      <c r="H250" s="85">
        <f t="shared" si="1"/>
        <v>400</v>
      </c>
      <c r="I250" s="98"/>
    </row>
    <row r="251">
      <c r="E251" s="83" t="s">
        <v>277</v>
      </c>
      <c r="F251" s="83">
        <v>0.0</v>
      </c>
      <c r="G251" s="88">
        <v>34.0</v>
      </c>
      <c r="H251" s="85">
        <f t="shared" si="1"/>
        <v>0</v>
      </c>
      <c r="I251" s="101" t="s">
        <v>278</v>
      </c>
    </row>
    <row r="252">
      <c r="E252" s="83" t="s">
        <v>127</v>
      </c>
      <c r="F252" s="83">
        <v>0.0</v>
      </c>
      <c r="G252" s="88">
        <v>27.0</v>
      </c>
      <c r="H252" s="85">
        <f t="shared" si="1"/>
        <v>0</v>
      </c>
      <c r="I252" s="98"/>
    </row>
    <row r="253">
      <c r="E253" s="83" t="s">
        <v>232</v>
      </c>
      <c r="F253" s="83">
        <v>50.0</v>
      </c>
      <c r="G253" s="88">
        <v>21.0</v>
      </c>
      <c r="H253" s="85">
        <f t="shared" si="1"/>
        <v>1050</v>
      </c>
      <c r="I253" s="98"/>
    </row>
    <row r="254">
      <c r="E254" s="83" t="s">
        <v>279</v>
      </c>
      <c r="F254" s="83">
        <v>50.0</v>
      </c>
      <c r="G254" s="88">
        <v>20.0</v>
      </c>
      <c r="H254" s="85">
        <f t="shared" si="1"/>
        <v>1000</v>
      </c>
      <c r="I254" s="98"/>
    </row>
    <row r="255">
      <c r="E255" s="83" t="s">
        <v>280</v>
      </c>
      <c r="F255" s="83">
        <v>100.0</v>
      </c>
      <c r="G255" s="88">
        <v>13.5</v>
      </c>
      <c r="H255" s="85">
        <f t="shared" si="1"/>
        <v>1350</v>
      </c>
      <c r="I255" s="98"/>
    </row>
    <row r="256">
      <c r="E256" s="83" t="s">
        <v>186</v>
      </c>
      <c r="F256" s="83">
        <v>114.0</v>
      </c>
      <c r="G256" s="88">
        <v>60.0</v>
      </c>
      <c r="H256" s="85">
        <f t="shared" si="1"/>
        <v>6840</v>
      </c>
      <c r="I256" s="100">
        <v>45893.0</v>
      </c>
    </row>
    <row r="257">
      <c r="E257" s="83" t="s">
        <v>281</v>
      </c>
      <c r="F257" s="83">
        <v>4.0</v>
      </c>
      <c r="G257" s="88">
        <v>100.0</v>
      </c>
      <c r="H257" s="85">
        <f t="shared" si="1"/>
        <v>400</v>
      </c>
      <c r="I257" s="100">
        <v>45894.0</v>
      </c>
    </row>
    <row r="258">
      <c r="E258" s="83" t="s">
        <v>282</v>
      </c>
      <c r="F258" s="83">
        <v>1.0</v>
      </c>
      <c r="G258" s="88">
        <v>1350.0</v>
      </c>
      <c r="H258" s="85">
        <f t="shared" si="1"/>
        <v>1350</v>
      </c>
      <c r="I258" s="98"/>
    </row>
    <row r="259">
      <c r="E259" s="83" t="s">
        <v>230</v>
      </c>
      <c r="F259" s="83">
        <v>1.0</v>
      </c>
      <c r="G259" s="88">
        <v>700.0</v>
      </c>
      <c r="H259" s="85">
        <f t="shared" si="1"/>
        <v>700</v>
      </c>
      <c r="I259" s="98"/>
    </row>
    <row r="260">
      <c r="E260" s="83" t="s">
        <v>237</v>
      </c>
      <c r="F260" s="83">
        <v>1.0</v>
      </c>
      <c r="G260" s="88">
        <v>700.0</v>
      </c>
      <c r="H260" s="85">
        <f t="shared" si="1"/>
        <v>700</v>
      </c>
      <c r="I260" s="98"/>
    </row>
    <row r="261">
      <c r="E261" s="83" t="s">
        <v>235</v>
      </c>
      <c r="F261" s="83">
        <v>1.0</v>
      </c>
      <c r="G261" s="88">
        <v>450.0</v>
      </c>
      <c r="H261" s="85">
        <f t="shared" si="1"/>
        <v>450</v>
      </c>
      <c r="I261" s="97"/>
    </row>
    <row r="262">
      <c r="E262" s="83" t="s">
        <v>187</v>
      </c>
      <c r="F262" s="83">
        <v>10.0</v>
      </c>
      <c r="G262" s="88">
        <v>100.0</v>
      </c>
      <c r="H262" s="85">
        <f t="shared" si="1"/>
        <v>1000</v>
      </c>
      <c r="I262" s="111"/>
    </row>
    <row r="263">
      <c r="E263" s="83" t="s">
        <v>283</v>
      </c>
      <c r="F263" s="83">
        <v>1.0</v>
      </c>
      <c r="G263" s="88">
        <v>100.0</v>
      </c>
      <c r="H263" s="85">
        <f t="shared" si="1"/>
        <v>100</v>
      </c>
      <c r="I263" s="111"/>
    </row>
    <row r="264">
      <c r="E264" s="83" t="s">
        <v>284</v>
      </c>
      <c r="F264" s="83">
        <v>20.0</v>
      </c>
      <c r="G264" s="88">
        <v>15.0</v>
      </c>
      <c r="H264" s="85">
        <f t="shared" si="1"/>
        <v>300</v>
      </c>
      <c r="I264" s="111"/>
    </row>
    <row r="265">
      <c r="E265" s="83" t="s">
        <v>285</v>
      </c>
      <c r="F265" s="83">
        <v>2.0</v>
      </c>
      <c r="G265" s="88">
        <v>700.0</v>
      </c>
      <c r="H265" s="85">
        <f t="shared" si="1"/>
        <v>1400</v>
      </c>
      <c r="I265" s="111"/>
    </row>
    <row r="266">
      <c r="E266" s="83" t="s">
        <v>286</v>
      </c>
      <c r="F266" s="83">
        <v>1.0</v>
      </c>
      <c r="G266" s="88">
        <v>400.0</v>
      </c>
      <c r="H266" s="85">
        <f t="shared" si="1"/>
        <v>400</v>
      </c>
      <c r="I266" s="112"/>
    </row>
    <row r="267">
      <c r="E267" s="83" t="s">
        <v>267</v>
      </c>
      <c r="F267" s="83">
        <v>0.75</v>
      </c>
      <c r="G267" s="88">
        <v>1400.0</v>
      </c>
      <c r="H267" s="85">
        <f t="shared" si="1"/>
        <v>1050</v>
      </c>
      <c r="I267" s="111"/>
    </row>
    <row r="268">
      <c r="E268" s="83" t="s">
        <v>187</v>
      </c>
      <c r="F268" s="83">
        <v>7.0</v>
      </c>
      <c r="G268" s="88">
        <v>100.0</v>
      </c>
      <c r="H268" s="85">
        <f t="shared" si="1"/>
        <v>700</v>
      </c>
      <c r="I268" s="113"/>
    </row>
    <row r="269">
      <c r="E269" s="83" t="s">
        <v>287</v>
      </c>
      <c r="F269" s="83">
        <v>2.0</v>
      </c>
      <c r="G269" s="88">
        <v>220.0</v>
      </c>
      <c r="H269" s="85">
        <f t="shared" si="1"/>
        <v>440</v>
      </c>
      <c r="I269" s="114"/>
    </row>
    <row r="270">
      <c r="E270" s="83" t="s">
        <v>288</v>
      </c>
      <c r="F270" s="83">
        <v>1.0</v>
      </c>
      <c r="G270" s="88">
        <v>220.0</v>
      </c>
      <c r="H270" s="85">
        <f t="shared" si="1"/>
        <v>220</v>
      </c>
      <c r="I270" s="111"/>
    </row>
    <row r="271">
      <c r="E271" s="83" t="s">
        <v>289</v>
      </c>
      <c r="F271" s="83">
        <v>1.5</v>
      </c>
      <c r="G271" s="88">
        <v>700.0</v>
      </c>
      <c r="H271" s="85">
        <f t="shared" si="1"/>
        <v>1050</v>
      </c>
      <c r="I271" s="111"/>
    </row>
    <row r="272">
      <c r="E272" s="83" t="s">
        <v>237</v>
      </c>
      <c r="F272" s="83">
        <v>1.5</v>
      </c>
      <c r="G272" s="88">
        <v>700.0</v>
      </c>
      <c r="H272" s="85">
        <f t="shared" si="1"/>
        <v>1050</v>
      </c>
      <c r="I272" s="113"/>
    </row>
    <row r="273">
      <c r="E273" s="83" t="s">
        <v>290</v>
      </c>
      <c r="F273" s="83">
        <v>3.0</v>
      </c>
      <c r="G273" s="88">
        <v>450.0</v>
      </c>
      <c r="H273" s="85">
        <f t="shared" si="1"/>
        <v>1350</v>
      </c>
      <c r="I273" s="111"/>
    </row>
    <row r="274">
      <c r="E274" s="83" t="s">
        <v>291</v>
      </c>
      <c r="F274" s="83">
        <v>1.0</v>
      </c>
      <c r="G274" s="88">
        <v>300.0</v>
      </c>
      <c r="H274" s="85">
        <f t="shared" si="1"/>
        <v>300</v>
      </c>
      <c r="I274" s="113"/>
    </row>
    <row r="275">
      <c r="E275" s="83" t="s">
        <v>222</v>
      </c>
      <c r="F275" s="83">
        <v>1.0</v>
      </c>
      <c r="G275" s="88">
        <v>100.0</v>
      </c>
      <c r="H275" s="85">
        <f t="shared" si="1"/>
        <v>100</v>
      </c>
      <c r="I275" s="111"/>
    </row>
    <row r="276">
      <c r="E276" s="83" t="s">
        <v>292</v>
      </c>
      <c r="F276" s="83">
        <v>1.0</v>
      </c>
      <c r="G276" s="88">
        <v>250.0</v>
      </c>
      <c r="H276" s="85">
        <f t="shared" si="1"/>
        <v>250</v>
      </c>
      <c r="I276" s="111"/>
    </row>
    <row r="277">
      <c r="E277" s="83" t="s">
        <v>293</v>
      </c>
      <c r="F277" s="83">
        <v>10.0</v>
      </c>
      <c r="G277" s="88">
        <v>600.0</v>
      </c>
      <c r="H277" s="85">
        <f t="shared" si="1"/>
        <v>6000</v>
      </c>
      <c r="I277" s="114"/>
    </row>
    <row r="278">
      <c r="E278" s="83" t="s">
        <v>294</v>
      </c>
      <c r="F278" s="83">
        <v>5.0</v>
      </c>
      <c r="G278" s="88">
        <v>320.0</v>
      </c>
      <c r="H278" s="85">
        <f t="shared" si="1"/>
        <v>1600</v>
      </c>
      <c r="I278" s="111"/>
    </row>
    <row r="279">
      <c r="E279" s="83" t="s">
        <v>217</v>
      </c>
      <c r="F279" s="83">
        <v>7.0</v>
      </c>
      <c r="G279" s="88">
        <v>100.0</v>
      </c>
      <c r="H279" s="85">
        <f t="shared" si="1"/>
        <v>700</v>
      </c>
      <c r="I279" s="115">
        <v>45896.0</v>
      </c>
    </row>
    <row r="280">
      <c r="E280" s="83" t="s">
        <v>275</v>
      </c>
      <c r="F280" s="83">
        <v>0.5</v>
      </c>
      <c r="G280" s="88">
        <v>600.0</v>
      </c>
      <c r="H280" s="85">
        <f t="shared" si="1"/>
        <v>300</v>
      </c>
      <c r="I280" s="111"/>
    </row>
    <row r="281">
      <c r="E281" s="83" t="s">
        <v>281</v>
      </c>
      <c r="F281" s="83">
        <v>4.0</v>
      </c>
      <c r="G281" s="88">
        <v>100.0</v>
      </c>
      <c r="H281" s="85">
        <f t="shared" si="1"/>
        <v>400</v>
      </c>
      <c r="I281" s="111"/>
    </row>
    <row r="282">
      <c r="E282" s="83" t="s">
        <v>217</v>
      </c>
      <c r="F282" s="83">
        <v>10.0</v>
      </c>
      <c r="G282" s="88">
        <v>100.0</v>
      </c>
      <c r="H282" s="85">
        <f t="shared" si="1"/>
        <v>1000</v>
      </c>
      <c r="I282" s="115">
        <v>45897.0</v>
      </c>
    </row>
    <row r="283">
      <c r="E283" s="83" t="s">
        <v>295</v>
      </c>
      <c r="F283" s="83">
        <v>0.25</v>
      </c>
      <c r="G283" s="88">
        <v>1800.0</v>
      </c>
      <c r="H283" s="85">
        <f t="shared" si="1"/>
        <v>450</v>
      </c>
      <c r="I283" s="97"/>
    </row>
    <row r="284">
      <c r="E284" s="83" t="s">
        <v>296</v>
      </c>
      <c r="F284" s="83">
        <v>3.0</v>
      </c>
      <c r="G284" s="88">
        <v>200.0</v>
      </c>
      <c r="H284" s="85">
        <f t="shared" si="1"/>
        <v>600</v>
      </c>
      <c r="I284" s="113"/>
    </row>
    <row r="285">
      <c r="E285" s="83" t="s">
        <v>289</v>
      </c>
      <c r="F285" s="83">
        <v>1.5</v>
      </c>
      <c r="G285" s="88">
        <v>700.0</v>
      </c>
      <c r="H285" s="85">
        <f t="shared" si="1"/>
        <v>1050</v>
      </c>
      <c r="I285" s="113"/>
    </row>
    <row r="286">
      <c r="E286" s="83" t="s">
        <v>297</v>
      </c>
      <c r="F286" s="83">
        <v>1.0</v>
      </c>
      <c r="G286" s="88">
        <v>180.0</v>
      </c>
      <c r="H286" s="85">
        <f t="shared" si="1"/>
        <v>180</v>
      </c>
      <c r="I286" s="98"/>
    </row>
    <row r="287">
      <c r="E287" s="83" t="s">
        <v>287</v>
      </c>
      <c r="F287" s="83">
        <v>1.0</v>
      </c>
      <c r="G287" s="88">
        <v>220.0</v>
      </c>
      <c r="H287" s="85">
        <f t="shared" si="1"/>
        <v>220</v>
      </c>
      <c r="I287" s="98"/>
    </row>
    <row r="288">
      <c r="E288" s="83" t="s">
        <v>298</v>
      </c>
      <c r="F288" s="83">
        <v>0.0</v>
      </c>
      <c r="G288" s="88">
        <v>9.5</v>
      </c>
      <c r="H288" s="85">
        <f t="shared" si="1"/>
        <v>0</v>
      </c>
      <c r="I288" s="97"/>
    </row>
    <row r="289">
      <c r="E289" s="83" t="s">
        <v>299</v>
      </c>
      <c r="F289" s="83">
        <v>0.0</v>
      </c>
      <c r="G289" s="88">
        <v>13.7</v>
      </c>
      <c r="H289" s="85">
        <f t="shared" si="1"/>
        <v>0</v>
      </c>
      <c r="I289" s="111"/>
    </row>
    <row r="290">
      <c r="E290" s="83" t="s">
        <v>300</v>
      </c>
      <c r="F290" s="83">
        <v>0.0</v>
      </c>
      <c r="G290" s="88">
        <v>20.0</v>
      </c>
      <c r="H290" s="85">
        <f t="shared" si="1"/>
        <v>0</v>
      </c>
      <c r="I290" s="111"/>
    </row>
    <row r="291">
      <c r="E291" s="83" t="s">
        <v>128</v>
      </c>
      <c r="F291" s="83">
        <v>50.0</v>
      </c>
      <c r="G291" s="88">
        <v>21.0</v>
      </c>
      <c r="H291" s="85">
        <f t="shared" si="1"/>
        <v>1050</v>
      </c>
      <c r="I291" s="111"/>
    </row>
    <row r="292">
      <c r="E292" s="83" t="s">
        <v>127</v>
      </c>
      <c r="F292" s="83">
        <v>50.0</v>
      </c>
      <c r="G292" s="88">
        <v>27.0</v>
      </c>
      <c r="H292" s="85">
        <f t="shared" si="1"/>
        <v>1350</v>
      </c>
      <c r="I292" s="111"/>
    </row>
    <row r="293">
      <c r="E293" s="83" t="s">
        <v>126</v>
      </c>
      <c r="F293" s="83">
        <v>0.0</v>
      </c>
      <c r="G293" s="88">
        <v>33.0</v>
      </c>
      <c r="H293" s="85">
        <f t="shared" si="1"/>
        <v>0</v>
      </c>
      <c r="I293" s="111"/>
    </row>
    <row r="294">
      <c r="E294" s="83" t="s">
        <v>301</v>
      </c>
      <c r="F294" s="83">
        <v>20.0</v>
      </c>
      <c r="G294" s="88">
        <v>11.5</v>
      </c>
      <c r="H294" s="85">
        <f t="shared" si="1"/>
        <v>230</v>
      </c>
      <c r="I294" s="111"/>
    </row>
    <row r="295">
      <c r="E295" s="83" t="s">
        <v>302</v>
      </c>
      <c r="F295" s="83">
        <v>1.0</v>
      </c>
      <c r="G295" s="88">
        <v>385.0</v>
      </c>
      <c r="H295" s="85">
        <f t="shared" si="1"/>
        <v>385</v>
      </c>
      <c r="I295" s="111"/>
    </row>
    <row r="296">
      <c r="E296" s="83" t="s">
        <v>303</v>
      </c>
      <c r="F296" s="83">
        <v>1.0</v>
      </c>
      <c r="G296" s="88">
        <v>200.0</v>
      </c>
      <c r="H296" s="85">
        <f t="shared" si="1"/>
        <v>200</v>
      </c>
      <c r="I296" s="113"/>
    </row>
    <row r="297">
      <c r="E297" s="83" t="s">
        <v>281</v>
      </c>
      <c r="F297" s="83">
        <v>6.0</v>
      </c>
      <c r="G297" s="88">
        <v>100.0</v>
      </c>
      <c r="H297" s="85">
        <f t="shared" si="1"/>
        <v>600</v>
      </c>
      <c r="I297" s="111"/>
    </row>
    <row r="298">
      <c r="E298" s="83" t="s">
        <v>304</v>
      </c>
      <c r="F298" s="83">
        <v>2.0</v>
      </c>
      <c r="G298" s="88">
        <v>100.0</v>
      </c>
      <c r="H298" s="85">
        <f t="shared" si="1"/>
        <v>200</v>
      </c>
      <c r="I298" s="87"/>
    </row>
    <row r="299">
      <c r="E299" s="83" t="s">
        <v>305</v>
      </c>
      <c r="F299" s="83">
        <v>1.0</v>
      </c>
      <c r="G299" s="88">
        <v>390.0</v>
      </c>
      <c r="H299" s="85">
        <f t="shared" si="1"/>
        <v>390</v>
      </c>
      <c r="I299" s="87"/>
    </row>
    <row r="300">
      <c r="E300" s="83" t="s">
        <v>173</v>
      </c>
      <c r="F300" s="83">
        <v>0.5</v>
      </c>
      <c r="G300" s="88">
        <v>1350.0</v>
      </c>
      <c r="H300" s="85">
        <f t="shared" si="1"/>
        <v>675</v>
      </c>
      <c r="I300" s="89"/>
    </row>
    <row r="301">
      <c r="E301" s="83" t="s">
        <v>306</v>
      </c>
      <c r="F301" s="83">
        <v>1.0</v>
      </c>
      <c r="G301" s="88">
        <v>100.0</v>
      </c>
      <c r="H301" s="85">
        <f t="shared" si="1"/>
        <v>100</v>
      </c>
      <c r="I301" s="111"/>
    </row>
    <row r="302">
      <c r="E302" s="83" t="s">
        <v>307</v>
      </c>
      <c r="F302" s="83">
        <v>1.0</v>
      </c>
      <c r="G302" s="88">
        <v>195.0</v>
      </c>
      <c r="H302" s="85">
        <f t="shared" si="1"/>
        <v>195</v>
      </c>
      <c r="I302" s="89"/>
    </row>
    <row r="303">
      <c r="E303" s="83" t="s">
        <v>186</v>
      </c>
      <c r="F303" s="83">
        <v>1.0</v>
      </c>
      <c r="G303" s="88">
        <v>5000.0</v>
      </c>
      <c r="H303" s="85">
        <f t="shared" si="1"/>
        <v>5000</v>
      </c>
      <c r="I303" s="113"/>
    </row>
    <row r="304">
      <c r="E304" s="83" t="s">
        <v>191</v>
      </c>
      <c r="F304" s="83">
        <v>3.0</v>
      </c>
      <c r="G304" s="88">
        <v>70.0</v>
      </c>
      <c r="H304" s="85">
        <f t="shared" si="1"/>
        <v>210</v>
      </c>
      <c r="I304" s="100">
        <v>45899.0</v>
      </c>
    </row>
    <row r="305">
      <c r="D305" s="116">
        <v>100.0</v>
      </c>
      <c r="E305" s="83" t="s">
        <v>308</v>
      </c>
      <c r="F305" s="83">
        <v>5.0</v>
      </c>
      <c r="G305" s="88">
        <v>100.0</v>
      </c>
      <c r="H305" s="85">
        <f t="shared" si="1"/>
        <v>500</v>
      </c>
      <c r="I305" s="111"/>
    </row>
    <row r="306">
      <c r="D306" s="117"/>
      <c r="E306" s="83" t="s">
        <v>309</v>
      </c>
      <c r="F306" s="83">
        <v>7.0</v>
      </c>
      <c r="G306" s="88">
        <v>30.0</v>
      </c>
      <c r="H306" s="85">
        <f t="shared" si="1"/>
        <v>210</v>
      </c>
      <c r="I306" s="87"/>
    </row>
    <row r="307">
      <c r="D307" s="117"/>
      <c r="E307" s="83" t="s">
        <v>222</v>
      </c>
      <c r="F307" s="83">
        <v>2.0</v>
      </c>
      <c r="G307" s="88">
        <v>250.0</v>
      </c>
      <c r="H307" s="85">
        <f t="shared" si="1"/>
        <v>500</v>
      </c>
      <c r="I307" s="87"/>
    </row>
    <row r="308">
      <c r="D308" s="117"/>
      <c r="E308" s="83" t="s">
        <v>310</v>
      </c>
      <c r="F308" s="83">
        <v>1.5</v>
      </c>
      <c r="G308" s="88">
        <v>280.0</v>
      </c>
      <c r="H308" s="85">
        <f t="shared" si="1"/>
        <v>420</v>
      </c>
      <c r="I308" s="87"/>
    </row>
    <row r="309">
      <c r="D309" s="117"/>
      <c r="E309" s="83" t="s">
        <v>311</v>
      </c>
      <c r="F309" s="83">
        <v>6.0</v>
      </c>
      <c r="G309" s="88">
        <v>20.0</v>
      </c>
      <c r="H309" s="85">
        <f t="shared" si="1"/>
        <v>120</v>
      </c>
      <c r="I309" s="87"/>
    </row>
    <row r="310">
      <c r="D310" s="117"/>
      <c r="E310" s="83" t="s">
        <v>312</v>
      </c>
      <c r="F310" s="83">
        <v>15.0</v>
      </c>
      <c r="G310" s="88">
        <v>150.0</v>
      </c>
      <c r="H310" s="85">
        <f t="shared" si="1"/>
        <v>2250</v>
      </c>
      <c r="I310" s="89"/>
    </row>
    <row r="311">
      <c r="D311" s="117"/>
      <c r="E311" s="83" t="s">
        <v>313</v>
      </c>
      <c r="F311" s="83">
        <v>3.0</v>
      </c>
      <c r="G311" s="88">
        <v>80.0</v>
      </c>
      <c r="H311" s="85">
        <f t="shared" si="1"/>
        <v>240</v>
      </c>
      <c r="I311" s="98"/>
    </row>
    <row r="312">
      <c r="D312" s="117"/>
      <c r="E312" s="83" t="s">
        <v>314</v>
      </c>
      <c r="F312" s="83">
        <v>3.0</v>
      </c>
      <c r="G312" s="88">
        <v>120.0</v>
      </c>
      <c r="H312" s="85">
        <f t="shared" si="1"/>
        <v>360</v>
      </c>
      <c r="I312" s="98"/>
    </row>
    <row r="313">
      <c r="D313" s="117"/>
      <c r="E313" s="83" t="s">
        <v>315</v>
      </c>
      <c r="F313" s="83">
        <v>1.0</v>
      </c>
      <c r="G313" s="88">
        <v>700.0</v>
      </c>
      <c r="H313" s="85">
        <f t="shared" si="1"/>
        <v>700</v>
      </c>
      <c r="I313" s="98"/>
    </row>
    <row r="314">
      <c r="D314" s="117"/>
      <c r="E314" s="83" t="s">
        <v>316</v>
      </c>
      <c r="F314" s="83">
        <v>0.25</v>
      </c>
      <c r="G314" s="88">
        <v>600.0</v>
      </c>
      <c r="H314" s="85">
        <f t="shared" si="1"/>
        <v>150</v>
      </c>
      <c r="I314" s="113"/>
    </row>
    <row r="315">
      <c r="D315" s="117"/>
      <c r="E315" s="83" t="s">
        <v>290</v>
      </c>
      <c r="F315" s="83">
        <v>5.0</v>
      </c>
      <c r="G315" s="88">
        <v>450.0</v>
      </c>
      <c r="H315" s="85">
        <f t="shared" si="1"/>
        <v>2250</v>
      </c>
      <c r="I315" s="98"/>
    </row>
    <row r="316">
      <c r="D316" s="117"/>
      <c r="E316" s="83" t="s">
        <v>237</v>
      </c>
      <c r="F316" s="83">
        <v>5.0</v>
      </c>
      <c r="G316" s="88">
        <v>700.0</v>
      </c>
      <c r="H316" s="85">
        <f t="shared" si="1"/>
        <v>3500</v>
      </c>
      <c r="I316" s="113"/>
    </row>
    <row r="317">
      <c r="D317" s="116">
        <v>2500.0</v>
      </c>
      <c r="E317" s="83" t="s">
        <v>317</v>
      </c>
      <c r="F317" s="83">
        <v>3.0</v>
      </c>
      <c r="G317" s="88">
        <v>2500.0</v>
      </c>
      <c r="H317" s="85">
        <f t="shared" si="1"/>
        <v>7500</v>
      </c>
      <c r="I317" s="98"/>
    </row>
    <row r="318">
      <c r="D318" s="116">
        <v>1300.0</v>
      </c>
      <c r="E318" s="83" t="s">
        <v>240</v>
      </c>
      <c r="F318" s="83">
        <v>10.0</v>
      </c>
      <c r="G318" s="88">
        <v>1300.0</v>
      </c>
      <c r="H318" s="85">
        <f t="shared" si="1"/>
        <v>13000</v>
      </c>
      <c r="I318" s="98"/>
    </row>
    <row r="319">
      <c r="D319" s="116">
        <v>1350.0</v>
      </c>
      <c r="E319" s="83" t="s">
        <v>318</v>
      </c>
      <c r="F319" s="83">
        <v>9.5</v>
      </c>
      <c r="G319" s="88">
        <v>1350.0</v>
      </c>
      <c r="H319" s="85">
        <f t="shared" si="1"/>
        <v>12825</v>
      </c>
      <c r="I319" s="98"/>
    </row>
    <row r="320">
      <c r="D320" s="117"/>
      <c r="E320" s="83" t="s">
        <v>319</v>
      </c>
      <c r="F320" s="83">
        <v>3.0</v>
      </c>
      <c r="G320" s="88">
        <v>150.0</v>
      </c>
      <c r="H320" s="85">
        <f t="shared" si="1"/>
        <v>450</v>
      </c>
      <c r="I320" s="98"/>
    </row>
    <row r="321">
      <c r="D321" s="117"/>
      <c r="E321" s="83" t="s">
        <v>320</v>
      </c>
      <c r="F321" s="83">
        <v>2.5</v>
      </c>
      <c r="G321" s="88">
        <v>150.0</v>
      </c>
      <c r="H321" s="85">
        <f t="shared" si="1"/>
        <v>375</v>
      </c>
      <c r="I321" s="98"/>
    </row>
    <row r="322">
      <c r="D322" s="117"/>
      <c r="E322" s="83" t="s">
        <v>198</v>
      </c>
      <c r="F322" s="83">
        <v>0.5</v>
      </c>
      <c r="G322" s="88">
        <v>150.0</v>
      </c>
      <c r="H322" s="85">
        <f t="shared" si="1"/>
        <v>75</v>
      </c>
      <c r="I322" s="98"/>
    </row>
    <row r="323">
      <c r="D323" s="117"/>
      <c r="E323" s="83" t="s">
        <v>281</v>
      </c>
      <c r="F323" s="83">
        <v>18.0</v>
      </c>
      <c r="G323" s="88">
        <v>100.0</v>
      </c>
      <c r="H323" s="85">
        <f t="shared" si="1"/>
        <v>1800</v>
      </c>
      <c r="I323" s="98"/>
    </row>
    <row r="324">
      <c r="D324" s="117"/>
      <c r="E324" s="83" t="s">
        <v>321</v>
      </c>
      <c r="F324" s="83">
        <v>2.4</v>
      </c>
      <c r="G324" s="88">
        <v>1500.0</v>
      </c>
      <c r="H324" s="85">
        <f t="shared" si="1"/>
        <v>3600</v>
      </c>
      <c r="I324" s="98"/>
    </row>
    <row r="325">
      <c r="D325" s="117"/>
      <c r="E325" s="83" t="s">
        <v>322</v>
      </c>
      <c r="F325" s="83">
        <v>0.75</v>
      </c>
      <c r="G325" s="88">
        <v>1800.0</v>
      </c>
      <c r="H325" s="85">
        <f t="shared" si="1"/>
        <v>1350</v>
      </c>
      <c r="I325" s="97"/>
    </row>
    <row r="326">
      <c r="D326" s="117"/>
      <c r="E326" s="83" t="s">
        <v>323</v>
      </c>
      <c r="F326" s="83">
        <v>1.5</v>
      </c>
      <c r="G326" s="88">
        <v>2500.0</v>
      </c>
      <c r="H326" s="85">
        <f t="shared" si="1"/>
        <v>3750</v>
      </c>
      <c r="I326" s="98"/>
    </row>
    <row r="327">
      <c r="D327" s="116">
        <v>2800.0</v>
      </c>
      <c r="E327" s="83" t="s">
        <v>324</v>
      </c>
      <c r="F327" s="83">
        <v>0.25</v>
      </c>
      <c r="G327" s="88">
        <v>2800.0</v>
      </c>
      <c r="H327" s="85">
        <f t="shared" si="1"/>
        <v>700</v>
      </c>
      <c r="I327" s="98"/>
    </row>
    <row r="328">
      <c r="D328" s="116">
        <v>130.0</v>
      </c>
      <c r="E328" s="83" t="s">
        <v>325</v>
      </c>
      <c r="F328" s="83">
        <v>1.0</v>
      </c>
      <c r="G328" s="88">
        <v>130.0</v>
      </c>
      <c r="H328" s="85">
        <f t="shared" si="1"/>
        <v>130</v>
      </c>
      <c r="I328" s="98"/>
    </row>
    <row r="329">
      <c r="D329" s="117"/>
      <c r="E329" s="118" t="s">
        <v>326</v>
      </c>
      <c r="F329" s="118">
        <v>0.5</v>
      </c>
      <c r="G329" s="119">
        <v>700.0</v>
      </c>
      <c r="H329" s="85">
        <f t="shared" si="1"/>
        <v>350</v>
      </c>
      <c r="I329" s="98"/>
    </row>
    <row r="330">
      <c r="E330" s="83" t="s">
        <v>327</v>
      </c>
      <c r="F330" s="83">
        <v>0.25</v>
      </c>
      <c r="G330" s="88">
        <v>1400.0</v>
      </c>
      <c r="H330" s="85">
        <f t="shared" si="1"/>
        <v>350</v>
      </c>
      <c r="I330" s="98"/>
    </row>
    <row r="331">
      <c r="E331" s="83" t="s">
        <v>328</v>
      </c>
      <c r="F331" s="83">
        <v>10.0</v>
      </c>
      <c r="G331" s="88">
        <v>30.0</v>
      </c>
      <c r="H331" s="85">
        <f t="shared" si="1"/>
        <v>300</v>
      </c>
      <c r="I331" s="98"/>
    </row>
    <row r="332">
      <c r="E332" s="83" t="s">
        <v>253</v>
      </c>
      <c r="F332" s="83">
        <v>1.5</v>
      </c>
      <c r="G332" s="88">
        <v>200.0</v>
      </c>
      <c r="H332" s="85">
        <f t="shared" si="1"/>
        <v>300</v>
      </c>
      <c r="I332" s="98"/>
    </row>
    <row r="333">
      <c r="E333" s="83" t="s">
        <v>329</v>
      </c>
      <c r="F333" s="83">
        <v>1.0</v>
      </c>
      <c r="G333" s="88">
        <v>450.0</v>
      </c>
      <c r="H333" s="85">
        <f t="shared" si="1"/>
        <v>450</v>
      </c>
      <c r="I333" s="98"/>
    </row>
    <row r="334">
      <c r="E334" s="83" t="s">
        <v>330</v>
      </c>
      <c r="F334" s="83">
        <v>0.1</v>
      </c>
      <c r="G334" s="88">
        <v>1800.0</v>
      </c>
      <c r="H334" s="85">
        <f t="shared" si="1"/>
        <v>180</v>
      </c>
      <c r="I334" s="97"/>
    </row>
    <row r="335">
      <c r="E335" s="83" t="s">
        <v>331</v>
      </c>
      <c r="F335" s="83">
        <v>1.0</v>
      </c>
      <c r="G335" s="88">
        <v>100.0</v>
      </c>
      <c r="H335" s="85">
        <f t="shared" si="1"/>
        <v>100</v>
      </c>
      <c r="I335" s="97"/>
    </row>
    <row r="336">
      <c r="E336" s="83" t="s">
        <v>230</v>
      </c>
      <c r="F336" s="83">
        <v>3.0</v>
      </c>
      <c r="G336" s="88">
        <v>700.0</v>
      </c>
      <c r="H336" s="85">
        <f t="shared" si="1"/>
        <v>2100</v>
      </c>
      <c r="I336" s="98"/>
    </row>
    <row r="337">
      <c r="E337" s="83" t="s">
        <v>332</v>
      </c>
      <c r="F337" s="83">
        <v>1.0</v>
      </c>
      <c r="G337" s="88">
        <v>650.0</v>
      </c>
      <c r="H337" s="85">
        <f t="shared" si="1"/>
        <v>650</v>
      </c>
      <c r="I337" s="98"/>
    </row>
    <row r="338">
      <c r="E338" s="83" t="s">
        <v>271</v>
      </c>
      <c r="F338" s="83">
        <v>10.0</v>
      </c>
      <c r="G338" s="88">
        <v>35.0</v>
      </c>
      <c r="H338" s="85">
        <f t="shared" si="1"/>
        <v>350</v>
      </c>
      <c r="I338" s="98"/>
    </row>
    <row r="339">
      <c r="E339" s="83" t="s">
        <v>333</v>
      </c>
      <c r="F339" s="83">
        <v>10.0</v>
      </c>
      <c r="G339" s="88">
        <v>70.0</v>
      </c>
      <c r="H339" s="85">
        <f t="shared" si="1"/>
        <v>700</v>
      </c>
      <c r="I339" s="98"/>
    </row>
    <row r="340">
      <c r="E340" s="83" t="s">
        <v>334</v>
      </c>
      <c r="F340" s="83">
        <v>10.0</v>
      </c>
      <c r="G340" s="88">
        <v>25.0</v>
      </c>
      <c r="H340" s="85">
        <f t="shared" si="1"/>
        <v>250</v>
      </c>
      <c r="I340" s="98"/>
    </row>
    <row r="341">
      <c r="E341" s="83" t="s">
        <v>335</v>
      </c>
      <c r="F341" s="83">
        <v>1.0</v>
      </c>
      <c r="G341" s="88">
        <v>2500.0</v>
      </c>
      <c r="H341" s="85">
        <f t="shared" si="1"/>
        <v>2500</v>
      </c>
      <c r="I341" s="98"/>
    </row>
    <row r="342">
      <c r="E342" s="83" t="s">
        <v>336</v>
      </c>
      <c r="F342" s="83">
        <v>0.5</v>
      </c>
      <c r="G342" s="88">
        <v>2900.0</v>
      </c>
      <c r="H342" s="85">
        <f t="shared" si="1"/>
        <v>1450</v>
      </c>
      <c r="I342" s="98"/>
    </row>
    <row r="343">
      <c r="E343" s="83" t="s">
        <v>337</v>
      </c>
      <c r="F343" s="83">
        <v>5.0</v>
      </c>
      <c r="G343" s="88">
        <v>780.0</v>
      </c>
      <c r="H343" s="85">
        <f t="shared" si="1"/>
        <v>3900</v>
      </c>
      <c r="I343" s="98"/>
    </row>
    <row r="344">
      <c r="E344" s="83" t="s">
        <v>338</v>
      </c>
      <c r="F344" s="83">
        <v>6.0</v>
      </c>
      <c r="G344" s="88">
        <v>285.0</v>
      </c>
      <c r="H344" s="85">
        <f t="shared" si="1"/>
        <v>1710</v>
      </c>
      <c r="I344" s="97"/>
    </row>
    <row r="345">
      <c r="E345" s="83" t="s">
        <v>339</v>
      </c>
      <c r="F345" s="83">
        <v>1.0</v>
      </c>
      <c r="G345" s="88">
        <v>230.0</v>
      </c>
      <c r="H345" s="85">
        <f t="shared" si="1"/>
        <v>230</v>
      </c>
      <c r="I345" s="98"/>
    </row>
    <row r="346">
      <c r="E346" s="83" t="s">
        <v>179</v>
      </c>
      <c r="F346" s="83">
        <v>50.0</v>
      </c>
      <c r="G346" s="88">
        <v>6.3</v>
      </c>
      <c r="H346" s="85">
        <f t="shared" si="1"/>
        <v>315</v>
      </c>
      <c r="I346" s="98"/>
    </row>
    <row r="347">
      <c r="E347" s="83" t="s">
        <v>340</v>
      </c>
      <c r="F347" s="83">
        <v>6.0</v>
      </c>
      <c r="G347" s="88">
        <v>420.0</v>
      </c>
      <c r="H347" s="85">
        <f t="shared" si="1"/>
        <v>2520</v>
      </c>
      <c r="I347" s="98"/>
    </row>
    <row r="348">
      <c r="E348" s="83" t="s">
        <v>123</v>
      </c>
      <c r="F348" s="83">
        <v>45.0</v>
      </c>
      <c r="G348" s="88">
        <v>67.0</v>
      </c>
      <c r="H348" s="85">
        <f t="shared" si="1"/>
        <v>3015</v>
      </c>
      <c r="I348" s="98"/>
    </row>
    <row r="349">
      <c r="E349" s="83" t="s">
        <v>341</v>
      </c>
      <c r="F349" s="83">
        <v>45.0</v>
      </c>
      <c r="G349" s="88">
        <v>125.0</v>
      </c>
      <c r="H349" s="85">
        <f t="shared" si="1"/>
        <v>5625</v>
      </c>
      <c r="I349" s="98"/>
    </row>
    <row r="350">
      <c r="E350" s="83" t="s">
        <v>342</v>
      </c>
      <c r="F350" s="83">
        <v>6.0</v>
      </c>
      <c r="G350" s="88">
        <v>250.0</v>
      </c>
      <c r="H350" s="85">
        <f t="shared" si="1"/>
        <v>1500</v>
      </c>
      <c r="I350" s="98"/>
    </row>
    <row r="351">
      <c r="E351" s="83" t="s">
        <v>157</v>
      </c>
      <c r="F351" s="83">
        <v>3.24</v>
      </c>
      <c r="G351" s="88">
        <v>1900.0</v>
      </c>
      <c r="H351" s="85">
        <f t="shared" si="1"/>
        <v>6156</v>
      </c>
      <c r="I351" s="98"/>
    </row>
    <row r="352">
      <c r="E352" s="83" t="s">
        <v>343</v>
      </c>
      <c r="F352" s="83">
        <v>12.0</v>
      </c>
      <c r="G352" s="88">
        <v>65.0</v>
      </c>
      <c r="H352" s="85">
        <f t="shared" si="1"/>
        <v>780</v>
      </c>
      <c r="I352" s="98"/>
    </row>
    <row r="353">
      <c r="E353" s="83" t="s">
        <v>327</v>
      </c>
      <c r="F353" s="83">
        <v>2.0</v>
      </c>
      <c r="G353" s="88">
        <v>250.0</v>
      </c>
      <c r="H353" s="85">
        <f t="shared" si="1"/>
        <v>500</v>
      </c>
      <c r="I353" s="98"/>
    </row>
    <row r="354">
      <c r="E354" s="83" t="s">
        <v>344</v>
      </c>
      <c r="F354" s="83">
        <v>5.0</v>
      </c>
      <c r="G354" s="88">
        <v>2170.0</v>
      </c>
      <c r="H354" s="85">
        <f t="shared" si="1"/>
        <v>10850</v>
      </c>
      <c r="I354" s="98"/>
    </row>
    <row r="355">
      <c r="E355" s="83" t="s">
        <v>167</v>
      </c>
      <c r="F355" s="83">
        <v>5.0</v>
      </c>
      <c r="G355" s="88">
        <v>330.0</v>
      </c>
      <c r="H355" s="85">
        <f t="shared" si="1"/>
        <v>1650</v>
      </c>
      <c r="I355" s="98"/>
    </row>
    <row r="356">
      <c r="E356" s="83" t="s">
        <v>345</v>
      </c>
      <c r="F356" s="83">
        <v>2.0</v>
      </c>
      <c r="G356" s="88">
        <v>300.0</v>
      </c>
      <c r="H356" s="85">
        <f t="shared" si="1"/>
        <v>600</v>
      </c>
      <c r="I356" s="98"/>
    </row>
    <row r="357">
      <c r="E357" s="83" t="s">
        <v>346</v>
      </c>
      <c r="F357" s="83">
        <v>1.0</v>
      </c>
      <c r="G357" s="88">
        <v>2000.0</v>
      </c>
      <c r="H357" s="85">
        <f t="shared" si="1"/>
        <v>2000</v>
      </c>
      <c r="I357" s="98"/>
    </row>
    <row r="358">
      <c r="E358" s="120" t="s">
        <v>347</v>
      </c>
      <c r="F358" s="120">
        <v>1.0</v>
      </c>
      <c r="G358" s="105">
        <v>10000.0</v>
      </c>
      <c r="H358" s="121">
        <f t="shared" si="1"/>
        <v>10000</v>
      </c>
      <c r="I358" s="83" t="s">
        <v>348</v>
      </c>
    </row>
    <row r="359">
      <c r="E359" s="122" t="s">
        <v>349</v>
      </c>
      <c r="F359" s="123">
        <v>1.0</v>
      </c>
      <c r="G359" s="124">
        <v>4700.0</v>
      </c>
      <c r="H359" s="125">
        <f t="shared" si="1"/>
        <v>4700</v>
      </c>
      <c r="I359" s="126"/>
    </row>
    <row r="360">
      <c r="E360" s="62"/>
      <c r="F360" s="127"/>
      <c r="G360" s="128"/>
      <c r="H360" s="129">
        <f>SUM(H30:H359)</f>
        <v>662578</v>
      </c>
      <c r="I360" s="130"/>
    </row>
    <row r="361">
      <c r="E361" s="16"/>
      <c r="F361" s="6"/>
      <c r="G361" s="6"/>
      <c r="H361" s="6"/>
      <c r="I361" s="131"/>
    </row>
    <row r="362">
      <c r="E362" s="6"/>
      <c r="F362" s="6"/>
      <c r="G362" s="6"/>
      <c r="H362" s="6"/>
      <c r="I362" s="131"/>
    </row>
    <row r="363">
      <c r="I363" s="132"/>
    </row>
    <row r="364">
      <c r="I364" s="132"/>
    </row>
    <row r="365">
      <c r="I365" s="132"/>
    </row>
    <row r="366">
      <c r="I366" s="132"/>
    </row>
    <row r="367">
      <c r="I367" s="132"/>
    </row>
    <row r="368">
      <c r="I368" s="132"/>
    </row>
    <row r="369">
      <c r="I369" s="132"/>
    </row>
    <row r="370">
      <c r="I370" s="132"/>
    </row>
    <row r="371">
      <c r="I371" s="132"/>
    </row>
    <row r="372">
      <c r="I372" s="132"/>
    </row>
    <row r="373">
      <c r="I373" s="132"/>
    </row>
    <row r="374">
      <c r="I374" s="132"/>
    </row>
    <row r="375">
      <c r="I375" s="132"/>
    </row>
    <row r="376">
      <c r="I376" s="132"/>
    </row>
    <row r="377">
      <c r="I377" s="132"/>
    </row>
    <row r="378">
      <c r="I378" s="132"/>
    </row>
    <row r="379">
      <c r="I379" s="132"/>
    </row>
    <row r="380">
      <c r="I380" s="132"/>
    </row>
    <row r="381">
      <c r="I381" s="132"/>
    </row>
    <row r="382">
      <c r="I382" s="132"/>
    </row>
    <row r="383">
      <c r="I383" s="132"/>
    </row>
    <row r="384">
      <c r="I384" s="132"/>
    </row>
    <row r="385">
      <c r="I385" s="132"/>
    </row>
    <row r="386">
      <c r="I386" s="132"/>
    </row>
    <row r="387">
      <c r="I387" s="132"/>
    </row>
    <row r="388">
      <c r="I388" s="132"/>
    </row>
    <row r="389">
      <c r="I389" s="132"/>
    </row>
    <row r="390">
      <c r="I390" s="132"/>
    </row>
    <row r="391">
      <c r="I391" s="132"/>
    </row>
    <row r="392">
      <c r="I392" s="132"/>
    </row>
    <row r="393">
      <c r="I393" s="132"/>
    </row>
    <row r="394">
      <c r="I394" s="132"/>
    </row>
    <row r="395">
      <c r="I395" s="132"/>
    </row>
    <row r="396">
      <c r="I396" s="132"/>
    </row>
    <row r="397">
      <c r="I397" s="132"/>
    </row>
    <row r="398">
      <c r="I398" s="132"/>
    </row>
    <row r="399">
      <c r="I399" s="132"/>
    </row>
    <row r="400">
      <c r="I400" s="132"/>
    </row>
    <row r="401">
      <c r="I401" s="132"/>
    </row>
    <row r="402">
      <c r="I402" s="132"/>
    </row>
    <row r="403">
      <c r="I403" s="132"/>
    </row>
    <row r="404">
      <c r="I404" s="132"/>
    </row>
    <row r="405">
      <c r="I405" s="132"/>
    </row>
    <row r="406">
      <c r="I406" s="132"/>
    </row>
    <row r="407">
      <c r="I407" s="132"/>
    </row>
    <row r="408">
      <c r="I408" s="132"/>
    </row>
    <row r="409">
      <c r="I409" s="132"/>
    </row>
    <row r="410">
      <c r="I410" s="132"/>
    </row>
    <row r="411">
      <c r="I411" s="132"/>
    </row>
    <row r="412">
      <c r="I412" s="132"/>
    </row>
    <row r="413">
      <c r="I413" s="132"/>
    </row>
    <row r="414">
      <c r="I414" s="132"/>
    </row>
    <row r="415">
      <c r="I415" s="132"/>
    </row>
    <row r="416">
      <c r="I416" s="132"/>
    </row>
    <row r="417">
      <c r="I417" s="132"/>
    </row>
    <row r="418">
      <c r="I418" s="132"/>
    </row>
    <row r="419">
      <c r="I419" s="132"/>
    </row>
    <row r="420">
      <c r="I420" s="132"/>
    </row>
    <row r="421">
      <c r="I421" s="132"/>
    </row>
  </sheetData>
  <mergeCells count="4">
    <mergeCell ref="I2:I29"/>
    <mergeCell ref="I297:I300"/>
    <mergeCell ref="I301:I302"/>
    <mergeCell ref="I305:I3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5.38"/>
    <col customWidth="1" min="3" max="3" width="26.0"/>
    <col customWidth="1" min="4" max="4" width="75.88"/>
    <col customWidth="1" min="5" max="5" width="25.63"/>
    <col customWidth="1" min="6" max="6" width="27.5"/>
    <col customWidth="1" min="7" max="7" width="24.13"/>
    <col customWidth="1" min="8" max="8" width="28.63"/>
    <col customWidth="1" min="9" max="9" width="21.63"/>
    <col customWidth="1" min="10" max="10" width="25.13"/>
    <col customWidth="1" min="11" max="11" width="27.88"/>
    <col customWidth="1" min="12" max="12" width="25.25"/>
    <col customWidth="1" min="13" max="13" width="28.63"/>
    <col customWidth="1" min="14" max="14" width="18.63"/>
    <col customWidth="1" min="15" max="18" width="20.38"/>
    <col customWidth="1" min="19" max="19" width="25.63"/>
    <col customWidth="1" min="20" max="20" width="138.13"/>
  </cols>
  <sheetData>
    <row r="1">
      <c r="A1" s="1"/>
      <c r="B1" s="2" t="s">
        <v>0</v>
      </c>
      <c r="C1" s="133" t="s">
        <v>350</v>
      </c>
      <c r="D1" s="133" t="s">
        <v>351</v>
      </c>
      <c r="E1" s="133" t="s">
        <v>352</v>
      </c>
      <c r="F1" s="134" t="s">
        <v>353</v>
      </c>
      <c r="G1" s="133" t="s">
        <v>354</v>
      </c>
      <c r="H1" s="133" t="s">
        <v>355</v>
      </c>
      <c r="I1" s="133" t="s">
        <v>356</v>
      </c>
      <c r="J1" s="134" t="s">
        <v>357</v>
      </c>
      <c r="K1" s="133" t="s">
        <v>358</v>
      </c>
      <c r="L1" s="133" t="s">
        <v>359</v>
      </c>
      <c r="M1" s="133" t="s">
        <v>360</v>
      </c>
      <c r="N1" s="134" t="s">
        <v>361</v>
      </c>
      <c r="O1" s="134" t="s">
        <v>362</v>
      </c>
      <c r="P1" s="134" t="s">
        <v>363</v>
      </c>
      <c r="Q1" s="134" t="s">
        <v>364</v>
      </c>
      <c r="R1" s="134" t="s">
        <v>365</v>
      </c>
      <c r="S1" s="135" t="s">
        <v>366</v>
      </c>
      <c r="T1" s="62"/>
      <c r="U1" s="6"/>
      <c r="V1" s="6"/>
      <c r="W1" s="6"/>
      <c r="X1" s="6"/>
    </row>
    <row r="2">
      <c r="A2" s="9" t="s">
        <v>11</v>
      </c>
      <c r="B2" s="10">
        <v>45870.0</v>
      </c>
      <c r="C2" s="136">
        <v>1.0</v>
      </c>
      <c r="D2" s="137">
        <v>2.0</v>
      </c>
      <c r="E2" s="136">
        <v>1.0</v>
      </c>
      <c r="F2" s="138">
        <v>3.0</v>
      </c>
      <c r="G2" s="139">
        <v>2.0</v>
      </c>
      <c r="H2" s="139">
        <v>8.0</v>
      </c>
      <c r="I2" s="139">
        <v>2.0</v>
      </c>
      <c r="J2" s="136">
        <v>1.0</v>
      </c>
      <c r="K2" s="139">
        <v>2.0</v>
      </c>
      <c r="L2" s="139">
        <v>2.0</v>
      </c>
      <c r="M2" s="140">
        <v>2.0</v>
      </c>
      <c r="N2" s="138">
        <v>3.5</v>
      </c>
      <c r="O2" s="141"/>
      <c r="P2" s="139">
        <v>0.0</v>
      </c>
      <c r="Q2" s="139">
        <v>0.0</v>
      </c>
      <c r="R2" s="139">
        <v>0.0</v>
      </c>
      <c r="S2" s="139"/>
      <c r="T2" s="142" t="s">
        <v>367</v>
      </c>
      <c r="U2" s="6"/>
      <c r="V2" s="6"/>
      <c r="W2" s="6"/>
      <c r="X2" s="6"/>
    </row>
    <row r="3">
      <c r="A3" s="18" t="s">
        <v>12</v>
      </c>
      <c r="B3" s="19">
        <v>45871.0</v>
      </c>
      <c r="C3" s="143">
        <v>1.0</v>
      </c>
      <c r="D3" s="137">
        <v>1.0</v>
      </c>
      <c r="E3" s="143">
        <v>1.0</v>
      </c>
      <c r="F3" s="143">
        <v>0.0</v>
      </c>
      <c r="G3" s="143">
        <v>1.0</v>
      </c>
      <c r="H3" s="143">
        <v>1.0</v>
      </c>
      <c r="I3" s="143">
        <v>0.0</v>
      </c>
      <c r="J3" s="143">
        <v>1.0</v>
      </c>
      <c r="K3" s="136">
        <v>1.0</v>
      </c>
      <c r="L3" s="143">
        <v>0.0</v>
      </c>
      <c r="M3" s="144">
        <v>1.0</v>
      </c>
      <c r="N3" s="143">
        <v>1.0</v>
      </c>
      <c r="O3" s="145"/>
      <c r="P3" s="143">
        <v>1.0</v>
      </c>
      <c r="Q3" s="143">
        <v>0.0</v>
      </c>
      <c r="R3" s="143">
        <v>1.0</v>
      </c>
      <c r="S3" s="143"/>
      <c r="T3" s="146"/>
      <c r="U3" s="147"/>
      <c r="V3" s="6"/>
      <c r="W3" s="6"/>
      <c r="X3" s="6"/>
    </row>
    <row r="4">
      <c r="A4" s="18" t="s">
        <v>17</v>
      </c>
      <c r="B4" s="19">
        <v>45872.0</v>
      </c>
      <c r="C4" s="139">
        <v>1.0</v>
      </c>
      <c r="D4" s="137">
        <v>1.0</v>
      </c>
      <c r="E4" s="139">
        <v>1.0</v>
      </c>
      <c r="F4" s="139">
        <v>0.0</v>
      </c>
      <c r="G4" s="139">
        <v>1.0</v>
      </c>
      <c r="H4" s="139">
        <v>0.0</v>
      </c>
      <c r="I4" s="139">
        <v>0.0</v>
      </c>
      <c r="J4" s="139">
        <v>1.0</v>
      </c>
      <c r="K4" s="139">
        <v>1.0</v>
      </c>
      <c r="L4" s="139">
        <v>0.0</v>
      </c>
      <c r="M4" s="140">
        <v>1.0</v>
      </c>
      <c r="N4" s="139">
        <v>1.0</v>
      </c>
      <c r="O4" s="141"/>
      <c r="P4" s="139">
        <v>1.0</v>
      </c>
      <c r="Q4" s="139">
        <v>0.0</v>
      </c>
      <c r="R4" s="139">
        <v>0.0</v>
      </c>
      <c r="S4" s="139"/>
      <c r="T4" s="148"/>
      <c r="U4" s="6"/>
      <c r="V4" s="6"/>
      <c r="W4" s="6"/>
      <c r="X4" s="6"/>
    </row>
    <row r="5">
      <c r="A5" s="18" t="s">
        <v>18</v>
      </c>
      <c r="B5" s="19">
        <v>45873.0</v>
      </c>
      <c r="C5" s="149">
        <v>1.0</v>
      </c>
      <c r="D5" s="137">
        <v>1.0</v>
      </c>
      <c r="E5" s="149">
        <v>1.0</v>
      </c>
      <c r="F5" s="149">
        <v>0.0</v>
      </c>
      <c r="G5" s="149">
        <v>1.0</v>
      </c>
      <c r="H5" s="149">
        <v>1.0</v>
      </c>
      <c r="I5" s="149">
        <v>0.0</v>
      </c>
      <c r="J5" s="149">
        <v>1.0</v>
      </c>
      <c r="K5" s="149">
        <v>1.0</v>
      </c>
      <c r="L5" s="149">
        <v>0.0</v>
      </c>
      <c r="M5" s="150">
        <v>1.0</v>
      </c>
      <c r="N5" s="149">
        <v>1.0</v>
      </c>
      <c r="O5" s="151"/>
      <c r="P5" s="149">
        <v>1.0</v>
      </c>
      <c r="Q5" s="149">
        <v>0.0</v>
      </c>
      <c r="R5" s="149">
        <v>0.0</v>
      </c>
      <c r="S5" s="143"/>
      <c r="T5" s="146"/>
      <c r="U5" s="6"/>
      <c r="V5" s="6"/>
      <c r="W5" s="6"/>
      <c r="X5" s="6"/>
    </row>
    <row r="6">
      <c r="A6" s="18" t="s">
        <v>19</v>
      </c>
      <c r="B6" s="19">
        <v>45874.0</v>
      </c>
      <c r="C6" s="139">
        <v>1.0</v>
      </c>
      <c r="D6" s="137">
        <v>1.0</v>
      </c>
      <c r="E6" s="139">
        <v>1.0</v>
      </c>
      <c r="F6" s="139">
        <v>1.0</v>
      </c>
      <c r="G6" s="139">
        <v>1.0</v>
      </c>
      <c r="H6" s="139">
        <v>0.0</v>
      </c>
      <c r="I6" s="139">
        <v>0.0</v>
      </c>
      <c r="J6" s="139">
        <v>1.0</v>
      </c>
      <c r="K6" s="139">
        <v>1.0</v>
      </c>
      <c r="L6" s="139">
        <v>0.0</v>
      </c>
      <c r="M6" s="140">
        <v>1.0</v>
      </c>
      <c r="N6" s="139">
        <v>1.0</v>
      </c>
      <c r="O6" s="141"/>
      <c r="P6" s="139">
        <v>1.0</v>
      </c>
      <c r="Q6" s="139">
        <v>0.0</v>
      </c>
      <c r="R6" s="139">
        <v>0.0</v>
      </c>
      <c r="S6" s="139"/>
      <c r="T6" s="148"/>
      <c r="U6" s="6"/>
      <c r="V6" s="6"/>
      <c r="W6" s="6"/>
      <c r="X6" s="6"/>
    </row>
    <row r="7">
      <c r="A7" s="18" t="s">
        <v>22</v>
      </c>
      <c r="B7" s="19">
        <v>45875.0</v>
      </c>
      <c r="C7" s="143">
        <v>1.0</v>
      </c>
      <c r="D7" s="137">
        <v>1.0</v>
      </c>
      <c r="E7" s="143">
        <v>1.0</v>
      </c>
      <c r="F7" s="143">
        <v>1.0</v>
      </c>
      <c r="G7" s="136">
        <v>1.0</v>
      </c>
      <c r="H7" s="143">
        <v>1.0</v>
      </c>
      <c r="I7" s="143">
        <v>0.0</v>
      </c>
      <c r="J7" s="143">
        <v>1.0</v>
      </c>
      <c r="K7" s="143">
        <v>1.0</v>
      </c>
      <c r="L7" s="143">
        <v>0.0</v>
      </c>
      <c r="M7" s="144">
        <v>1.0</v>
      </c>
      <c r="N7" s="143">
        <v>1.0</v>
      </c>
      <c r="O7" s="145"/>
      <c r="P7" s="143">
        <v>0.0</v>
      </c>
      <c r="Q7" s="143">
        <v>0.0</v>
      </c>
      <c r="R7" s="143">
        <v>0.0</v>
      </c>
      <c r="S7" s="143"/>
      <c r="T7" s="146"/>
      <c r="U7" s="6"/>
      <c r="V7" s="6"/>
      <c r="W7" s="6"/>
      <c r="X7" s="6"/>
    </row>
    <row r="8">
      <c r="A8" s="18" t="s">
        <v>23</v>
      </c>
      <c r="B8" s="19">
        <v>45876.0</v>
      </c>
      <c r="C8" s="139">
        <v>1.0</v>
      </c>
      <c r="D8" s="137">
        <v>1.0</v>
      </c>
      <c r="E8" s="139">
        <v>1.0</v>
      </c>
      <c r="F8" s="139">
        <v>1.0</v>
      </c>
      <c r="G8" s="152">
        <v>1.0</v>
      </c>
      <c r="H8" s="139">
        <v>0.0</v>
      </c>
      <c r="I8" s="139">
        <v>0.0</v>
      </c>
      <c r="J8" s="139">
        <v>1.0</v>
      </c>
      <c r="K8" s="137">
        <v>1.0</v>
      </c>
      <c r="L8" s="139">
        <v>0.0</v>
      </c>
      <c r="M8" s="140">
        <v>1.0</v>
      </c>
      <c r="N8" s="139">
        <v>1.0</v>
      </c>
      <c r="O8" s="141"/>
      <c r="P8" s="139">
        <v>1.0</v>
      </c>
      <c r="Q8" s="139">
        <v>1.0</v>
      </c>
      <c r="R8" s="139">
        <v>0.0</v>
      </c>
      <c r="S8" s="139"/>
      <c r="T8" s="153" t="s">
        <v>368</v>
      </c>
      <c r="U8" s="6"/>
      <c r="V8" s="6"/>
      <c r="W8" s="6"/>
      <c r="X8" s="6"/>
    </row>
    <row r="9">
      <c r="A9" s="9" t="s">
        <v>11</v>
      </c>
      <c r="B9" s="10">
        <v>45877.0</v>
      </c>
      <c r="C9" s="136">
        <v>1.0</v>
      </c>
      <c r="D9" s="154">
        <v>2.0</v>
      </c>
      <c r="E9" s="136">
        <v>1.0</v>
      </c>
      <c r="F9" s="154">
        <v>2.0</v>
      </c>
      <c r="G9" s="154">
        <v>2.0</v>
      </c>
      <c r="H9" s="154">
        <v>2.0</v>
      </c>
      <c r="I9" s="154">
        <v>0.0</v>
      </c>
      <c r="J9" s="136">
        <v>1.0</v>
      </c>
      <c r="K9" s="137">
        <v>1.0</v>
      </c>
      <c r="L9" s="154">
        <v>0.0</v>
      </c>
      <c r="M9" s="155">
        <v>2.0</v>
      </c>
      <c r="N9" s="136">
        <v>1.0</v>
      </c>
      <c r="O9" s="156"/>
      <c r="P9" s="154">
        <v>0.0</v>
      </c>
      <c r="Q9" s="154">
        <v>1.0</v>
      </c>
      <c r="R9" s="154">
        <v>1.0</v>
      </c>
      <c r="S9" s="154"/>
      <c r="T9" s="146"/>
      <c r="U9" s="6"/>
      <c r="V9" s="6"/>
      <c r="W9" s="6"/>
      <c r="X9" s="6"/>
    </row>
    <row r="10">
      <c r="A10" s="18" t="s">
        <v>12</v>
      </c>
      <c r="B10" s="19">
        <v>45878.0</v>
      </c>
      <c r="C10" s="139">
        <v>1.0</v>
      </c>
      <c r="D10" s="139">
        <v>1.0</v>
      </c>
      <c r="E10" s="139">
        <v>1.0</v>
      </c>
      <c r="F10" s="139">
        <v>1.0</v>
      </c>
      <c r="G10" s="139">
        <v>1.0</v>
      </c>
      <c r="H10" s="139">
        <v>0.0</v>
      </c>
      <c r="I10" s="139">
        <v>0.0</v>
      </c>
      <c r="J10" s="139">
        <v>1.0</v>
      </c>
      <c r="K10" s="137">
        <v>1.0</v>
      </c>
      <c r="L10" s="139">
        <v>0.0</v>
      </c>
      <c r="M10" s="157">
        <v>1.0</v>
      </c>
      <c r="N10" s="139">
        <v>1.0</v>
      </c>
      <c r="O10" s="141"/>
      <c r="P10" s="139">
        <v>1.0</v>
      </c>
      <c r="Q10" s="139">
        <v>1.0</v>
      </c>
      <c r="R10" s="139">
        <v>1.0</v>
      </c>
      <c r="S10" s="158"/>
      <c r="T10" s="148"/>
      <c r="U10" s="6"/>
      <c r="V10" s="6"/>
      <c r="W10" s="6"/>
      <c r="X10" s="6"/>
    </row>
    <row r="11">
      <c r="A11" s="18" t="s">
        <v>17</v>
      </c>
      <c r="B11" s="19">
        <v>45879.0</v>
      </c>
      <c r="C11" s="143">
        <v>1.0</v>
      </c>
      <c r="D11" s="143">
        <v>1.0</v>
      </c>
      <c r="E11" s="143">
        <v>1.0</v>
      </c>
      <c r="F11" s="143">
        <v>1.0</v>
      </c>
      <c r="G11" s="143">
        <v>1.0</v>
      </c>
      <c r="H11" s="143">
        <v>1.0</v>
      </c>
      <c r="I11" s="143">
        <v>0.0</v>
      </c>
      <c r="J11" s="143">
        <v>0.0</v>
      </c>
      <c r="K11" s="137">
        <v>1.0</v>
      </c>
      <c r="L11" s="143">
        <v>0.0</v>
      </c>
      <c r="M11" s="144">
        <v>1.0</v>
      </c>
      <c r="N11" s="143">
        <v>1.0</v>
      </c>
      <c r="O11" s="145"/>
      <c r="P11" s="143">
        <v>1.0</v>
      </c>
      <c r="Q11" s="143">
        <v>1.0</v>
      </c>
      <c r="R11" s="143">
        <v>0.0</v>
      </c>
      <c r="S11" s="159"/>
      <c r="T11" s="146"/>
      <c r="U11" s="6"/>
      <c r="V11" s="6"/>
      <c r="W11" s="6"/>
      <c r="X11" s="6"/>
    </row>
    <row r="12">
      <c r="A12" s="18" t="s">
        <v>18</v>
      </c>
      <c r="B12" s="19">
        <v>45880.0</v>
      </c>
      <c r="C12" s="149">
        <v>1.0</v>
      </c>
      <c r="D12" s="149">
        <v>1.0</v>
      </c>
      <c r="E12" s="149">
        <v>1.0</v>
      </c>
      <c r="F12" s="149">
        <v>1.0</v>
      </c>
      <c r="G12" s="149">
        <v>1.0</v>
      </c>
      <c r="H12" s="149">
        <v>0.0</v>
      </c>
      <c r="I12" s="149">
        <v>0.0</v>
      </c>
      <c r="J12" s="149">
        <v>0.0</v>
      </c>
      <c r="K12" s="137">
        <v>1.0</v>
      </c>
      <c r="L12" s="149">
        <v>0.0</v>
      </c>
      <c r="M12" s="150">
        <v>1.0</v>
      </c>
      <c r="N12" s="149">
        <v>1.0</v>
      </c>
      <c r="O12" s="151"/>
      <c r="P12" s="149">
        <v>1.0</v>
      </c>
      <c r="Q12" s="149">
        <v>1.0</v>
      </c>
      <c r="R12" s="149">
        <v>0.0</v>
      </c>
      <c r="S12" s="158"/>
      <c r="T12" s="148"/>
      <c r="U12" s="6"/>
      <c r="V12" s="6"/>
      <c r="W12" s="6"/>
      <c r="X12" s="6"/>
    </row>
    <row r="13">
      <c r="A13" s="18" t="s">
        <v>19</v>
      </c>
      <c r="B13" s="19">
        <v>45881.0</v>
      </c>
      <c r="C13" s="160">
        <v>1.0</v>
      </c>
      <c r="D13" s="161">
        <v>1.0</v>
      </c>
      <c r="E13" s="143">
        <v>1.0</v>
      </c>
      <c r="F13" s="143">
        <v>1.0</v>
      </c>
      <c r="G13" s="143">
        <v>0.0</v>
      </c>
      <c r="H13" s="143">
        <v>1.0</v>
      </c>
      <c r="I13" s="143">
        <v>0.0</v>
      </c>
      <c r="J13" s="143">
        <v>0.0</v>
      </c>
      <c r="K13" s="137">
        <v>1.0</v>
      </c>
      <c r="L13" s="143">
        <v>0.0</v>
      </c>
      <c r="M13" s="144">
        <v>1.0</v>
      </c>
      <c r="N13" s="143">
        <v>1.0</v>
      </c>
      <c r="O13" s="145"/>
      <c r="P13" s="143">
        <v>1.0</v>
      </c>
      <c r="Q13" s="143">
        <v>1.0</v>
      </c>
      <c r="R13" s="143">
        <v>0.0</v>
      </c>
      <c r="S13" s="159"/>
      <c r="T13" s="146"/>
      <c r="U13" s="6"/>
      <c r="V13" s="6"/>
      <c r="W13" s="6"/>
      <c r="X13" s="6"/>
    </row>
    <row r="14">
      <c r="A14" s="18" t="s">
        <v>22</v>
      </c>
      <c r="B14" s="19">
        <v>45882.0</v>
      </c>
      <c r="C14" s="160">
        <v>1.0</v>
      </c>
      <c r="D14" s="139">
        <v>1.0</v>
      </c>
      <c r="E14" s="139">
        <v>1.0</v>
      </c>
      <c r="F14" s="139">
        <v>2.0</v>
      </c>
      <c r="G14" s="139">
        <v>1.0</v>
      </c>
      <c r="H14" s="139">
        <v>0.0</v>
      </c>
      <c r="I14" s="139">
        <v>0.0</v>
      </c>
      <c r="J14" s="139">
        <v>0.0</v>
      </c>
      <c r="K14" s="137">
        <v>1.0</v>
      </c>
      <c r="L14" s="139">
        <v>0.0</v>
      </c>
      <c r="M14" s="140">
        <v>2.0</v>
      </c>
      <c r="N14" s="139">
        <v>2.0</v>
      </c>
      <c r="O14" s="141"/>
      <c r="P14" s="139">
        <v>1.0</v>
      </c>
      <c r="Q14" s="139">
        <v>2.0</v>
      </c>
      <c r="R14" s="139">
        <v>0.0</v>
      </c>
      <c r="S14" s="139">
        <v>1.0</v>
      </c>
      <c r="T14" s="148"/>
      <c r="U14" s="6"/>
      <c r="V14" s="6"/>
      <c r="W14" s="6"/>
      <c r="X14" s="6"/>
    </row>
    <row r="15">
      <c r="A15" s="18" t="s">
        <v>23</v>
      </c>
      <c r="B15" s="19">
        <v>45883.0</v>
      </c>
      <c r="C15" s="160">
        <v>1.0</v>
      </c>
      <c r="D15" s="143">
        <v>1.0</v>
      </c>
      <c r="E15" s="143">
        <v>0.75</v>
      </c>
      <c r="F15" s="143">
        <v>1.0</v>
      </c>
      <c r="G15" s="143">
        <v>1.0</v>
      </c>
      <c r="H15" s="143">
        <v>0.0</v>
      </c>
      <c r="I15" s="143">
        <v>0.0</v>
      </c>
      <c r="J15" s="143">
        <v>0.0</v>
      </c>
      <c r="K15" s="137">
        <v>1.0</v>
      </c>
      <c r="L15" s="143">
        <v>0.0</v>
      </c>
      <c r="M15" s="144">
        <v>1.0</v>
      </c>
      <c r="N15" s="143">
        <v>1.0</v>
      </c>
      <c r="O15" s="145"/>
      <c r="P15" s="143">
        <v>1.0</v>
      </c>
      <c r="Q15" s="143">
        <v>1.0</v>
      </c>
      <c r="R15" s="143">
        <v>1.0</v>
      </c>
      <c r="S15" s="159"/>
      <c r="T15" s="146"/>
      <c r="U15" s="6"/>
      <c r="V15" s="6"/>
      <c r="W15" s="6"/>
      <c r="X15" s="6"/>
    </row>
    <row r="16">
      <c r="A16" s="9" t="s">
        <v>11</v>
      </c>
      <c r="B16" s="46">
        <v>45884.0</v>
      </c>
      <c r="C16" s="137">
        <v>0.0</v>
      </c>
      <c r="D16" s="137">
        <v>1.0</v>
      </c>
      <c r="E16" s="137">
        <v>0.0</v>
      </c>
      <c r="F16" s="137">
        <v>0.0</v>
      </c>
      <c r="G16" s="137">
        <v>1.0</v>
      </c>
      <c r="H16" s="137">
        <v>1.0</v>
      </c>
      <c r="I16" s="137">
        <v>0.0</v>
      </c>
      <c r="J16" s="137">
        <v>0.0</v>
      </c>
      <c r="K16" s="137">
        <v>1.0</v>
      </c>
      <c r="L16" s="137">
        <v>0.0</v>
      </c>
      <c r="M16" s="162">
        <v>0.0</v>
      </c>
      <c r="N16" s="137">
        <v>0.0</v>
      </c>
      <c r="O16" s="163"/>
      <c r="P16" s="137">
        <v>0.0</v>
      </c>
      <c r="Q16" s="137">
        <v>0.0</v>
      </c>
      <c r="R16" s="137">
        <v>0.0</v>
      </c>
      <c r="S16" s="164"/>
      <c r="T16" s="148"/>
      <c r="U16" s="6"/>
      <c r="V16" s="6"/>
      <c r="W16" s="6"/>
      <c r="X16" s="6"/>
    </row>
    <row r="17">
      <c r="A17" s="18" t="s">
        <v>12</v>
      </c>
      <c r="B17" s="46">
        <v>45885.0</v>
      </c>
      <c r="C17" s="165">
        <v>1.0</v>
      </c>
      <c r="D17" s="165">
        <v>1.0</v>
      </c>
      <c r="E17" s="165">
        <v>0.0</v>
      </c>
      <c r="F17" s="165">
        <v>0.0</v>
      </c>
      <c r="G17" s="165">
        <v>1.0</v>
      </c>
      <c r="H17" s="165">
        <v>0.0</v>
      </c>
      <c r="I17" s="137">
        <v>0.0</v>
      </c>
      <c r="J17" s="137">
        <v>0.0</v>
      </c>
      <c r="K17" s="137">
        <v>1.0</v>
      </c>
      <c r="L17" s="137">
        <v>0.0</v>
      </c>
      <c r="M17" s="162">
        <v>0.0</v>
      </c>
      <c r="N17" s="137">
        <v>0.0</v>
      </c>
      <c r="O17" s="163"/>
      <c r="P17" s="137">
        <v>0.0</v>
      </c>
      <c r="Q17" s="137">
        <v>0.0</v>
      </c>
      <c r="R17" s="137">
        <v>0.0</v>
      </c>
      <c r="S17" s="164"/>
      <c r="T17" s="146"/>
      <c r="U17" s="6"/>
      <c r="V17" s="6"/>
      <c r="W17" s="6"/>
      <c r="X17" s="6"/>
    </row>
    <row r="18">
      <c r="A18" s="18" t="s">
        <v>17</v>
      </c>
      <c r="B18" s="46">
        <v>45886.0</v>
      </c>
      <c r="C18" s="137">
        <v>1.0</v>
      </c>
      <c r="D18" s="137">
        <v>1.0</v>
      </c>
      <c r="E18" s="137">
        <v>0.0</v>
      </c>
      <c r="F18" s="137">
        <v>0.0</v>
      </c>
      <c r="G18" s="137">
        <v>1.0</v>
      </c>
      <c r="H18" s="137">
        <v>1.0</v>
      </c>
      <c r="I18" s="137">
        <v>0.0</v>
      </c>
      <c r="J18" s="137">
        <v>0.0</v>
      </c>
      <c r="K18" s="137">
        <v>1.0</v>
      </c>
      <c r="L18" s="137">
        <v>0.0</v>
      </c>
      <c r="M18" s="162">
        <v>0.0</v>
      </c>
      <c r="N18" s="137">
        <v>0.0</v>
      </c>
      <c r="O18" s="163"/>
      <c r="P18" s="137">
        <v>0.0</v>
      </c>
      <c r="Q18" s="137">
        <v>0.0</v>
      </c>
      <c r="R18" s="137">
        <v>0.0</v>
      </c>
      <c r="S18" s="164"/>
      <c r="T18" s="148"/>
      <c r="U18" s="6"/>
      <c r="V18" s="6"/>
      <c r="W18" s="6"/>
      <c r="X18" s="6"/>
    </row>
    <row r="19">
      <c r="A19" s="18" t="s">
        <v>18</v>
      </c>
      <c r="B19" s="46">
        <v>45887.0</v>
      </c>
      <c r="C19" s="137">
        <v>1.0</v>
      </c>
      <c r="D19" s="137">
        <v>1.0</v>
      </c>
      <c r="E19" s="137">
        <v>0.0</v>
      </c>
      <c r="F19" s="137">
        <v>0.0</v>
      </c>
      <c r="G19" s="137">
        <v>1.0</v>
      </c>
      <c r="H19" s="137">
        <v>0.0</v>
      </c>
      <c r="I19" s="137">
        <v>0.0</v>
      </c>
      <c r="J19" s="137">
        <v>0.0</v>
      </c>
      <c r="K19" s="137">
        <v>1.0</v>
      </c>
      <c r="L19" s="137">
        <v>0.0</v>
      </c>
      <c r="M19" s="162">
        <v>0.0</v>
      </c>
      <c r="N19" s="137">
        <v>0.0</v>
      </c>
      <c r="O19" s="163"/>
      <c r="P19" s="137">
        <v>0.0</v>
      </c>
      <c r="Q19" s="137">
        <v>0.0</v>
      </c>
      <c r="R19" s="137">
        <v>0.0</v>
      </c>
      <c r="S19" s="164"/>
      <c r="T19" s="146"/>
      <c r="U19" s="6"/>
      <c r="V19" s="6"/>
      <c r="W19" s="6"/>
      <c r="X19" s="6"/>
    </row>
    <row r="20">
      <c r="A20" s="18" t="s">
        <v>19</v>
      </c>
      <c r="B20" s="46">
        <v>45888.0</v>
      </c>
      <c r="C20" s="137">
        <v>0.0</v>
      </c>
      <c r="D20" s="137">
        <v>1.0</v>
      </c>
      <c r="E20" s="137">
        <v>0.0</v>
      </c>
      <c r="F20" s="137">
        <v>0.0</v>
      </c>
      <c r="G20" s="137">
        <v>1.0</v>
      </c>
      <c r="H20" s="137">
        <v>1.0</v>
      </c>
      <c r="I20" s="137">
        <v>0.0</v>
      </c>
      <c r="J20" s="137">
        <v>0.0</v>
      </c>
      <c r="K20" s="137">
        <v>1.0</v>
      </c>
      <c r="L20" s="164"/>
      <c r="M20" s="162">
        <v>0.0</v>
      </c>
      <c r="N20" s="137">
        <v>0.0</v>
      </c>
      <c r="O20" s="163"/>
      <c r="P20" s="137">
        <v>0.0</v>
      </c>
      <c r="Q20" s="137">
        <v>0.0</v>
      </c>
      <c r="R20" s="137">
        <v>0.0</v>
      </c>
      <c r="S20" s="164"/>
      <c r="T20" s="148"/>
      <c r="U20" s="6"/>
      <c r="V20" s="6"/>
      <c r="W20" s="6"/>
      <c r="X20" s="6"/>
    </row>
    <row r="21">
      <c r="A21" s="18" t="s">
        <v>22</v>
      </c>
      <c r="B21" s="46">
        <v>45889.0</v>
      </c>
      <c r="C21" s="137">
        <v>0.0</v>
      </c>
      <c r="D21" s="137">
        <v>1.0</v>
      </c>
      <c r="E21" s="137">
        <v>0.0</v>
      </c>
      <c r="F21" s="137">
        <v>0.0</v>
      </c>
      <c r="G21" s="137">
        <v>1.0</v>
      </c>
      <c r="H21" s="137">
        <v>0.0</v>
      </c>
      <c r="I21" s="137">
        <v>0.0</v>
      </c>
      <c r="J21" s="137">
        <v>0.0</v>
      </c>
      <c r="K21" s="137">
        <v>1.0</v>
      </c>
      <c r="L21" s="137">
        <v>0.0</v>
      </c>
      <c r="M21" s="162">
        <v>0.0</v>
      </c>
      <c r="N21" s="137">
        <v>0.0</v>
      </c>
      <c r="O21" s="163"/>
      <c r="P21" s="137">
        <v>0.0</v>
      </c>
      <c r="Q21" s="137">
        <v>0.0</v>
      </c>
      <c r="R21" s="137">
        <v>0.0</v>
      </c>
      <c r="S21" s="164"/>
      <c r="T21" s="146"/>
      <c r="U21" s="6"/>
      <c r="V21" s="6"/>
      <c r="W21" s="6"/>
      <c r="X21" s="6"/>
    </row>
    <row r="22">
      <c r="A22" s="18" t="s">
        <v>23</v>
      </c>
      <c r="B22" s="46">
        <v>45890.0</v>
      </c>
      <c r="C22" s="137">
        <v>0.0</v>
      </c>
      <c r="D22" s="137">
        <v>1.0</v>
      </c>
      <c r="E22" s="137">
        <v>0.0</v>
      </c>
      <c r="F22" s="166">
        <v>1.0</v>
      </c>
      <c r="G22" s="137">
        <v>1.0</v>
      </c>
      <c r="H22" s="137">
        <v>1.0</v>
      </c>
      <c r="I22" s="137">
        <v>0.0</v>
      </c>
      <c r="J22" s="166">
        <v>0.0</v>
      </c>
      <c r="K22" s="137">
        <v>1.0</v>
      </c>
      <c r="L22" s="137">
        <v>0.0</v>
      </c>
      <c r="M22" s="162">
        <v>0.0</v>
      </c>
      <c r="N22" s="166">
        <v>1.0</v>
      </c>
      <c r="O22" s="163"/>
      <c r="P22" s="137">
        <v>0.0</v>
      </c>
      <c r="Q22" s="166">
        <v>0.0</v>
      </c>
      <c r="R22" s="166">
        <v>0.0</v>
      </c>
      <c r="S22" s="164"/>
      <c r="T22" s="148"/>
      <c r="U22" s="6"/>
      <c r="V22" s="6"/>
      <c r="W22" s="6"/>
      <c r="X22" s="6"/>
    </row>
    <row r="23">
      <c r="A23" s="9" t="s">
        <v>11</v>
      </c>
      <c r="B23" s="46">
        <v>45891.0</v>
      </c>
      <c r="C23" s="137">
        <v>0.0</v>
      </c>
      <c r="D23" s="137">
        <v>2.0</v>
      </c>
      <c r="E23" s="137">
        <v>0.0</v>
      </c>
      <c r="F23" s="166">
        <v>2.0</v>
      </c>
      <c r="G23" s="137">
        <v>1.0</v>
      </c>
      <c r="H23" s="137">
        <v>2.0</v>
      </c>
      <c r="I23" s="137">
        <v>0.0</v>
      </c>
      <c r="J23" s="166">
        <v>0.0</v>
      </c>
      <c r="K23" s="137">
        <v>0.0</v>
      </c>
      <c r="L23" s="137">
        <v>0.0</v>
      </c>
      <c r="M23" s="162">
        <v>0.0</v>
      </c>
      <c r="N23" s="136">
        <v>1.0</v>
      </c>
      <c r="O23" s="163"/>
      <c r="P23" s="137">
        <v>0.0</v>
      </c>
      <c r="Q23" s="166">
        <v>0.0</v>
      </c>
      <c r="R23" s="166">
        <v>0.0</v>
      </c>
      <c r="S23" s="164"/>
      <c r="T23" s="146"/>
      <c r="U23" s="6"/>
      <c r="V23" s="6"/>
      <c r="W23" s="6"/>
      <c r="X23" s="6"/>
    </row>
    <row r="24">
      <c r="A24" s="18" t="s">
        <v>12</v>
      </c>
      <c r="B24" s="19">
        <v>45892.0</v>
      </c>
      <c r="C24" s="139">
        <v>1.0</v>
      </c>
      <c r="D24" s="139">
        <v>1.0</v>
      </c>
      <c r="E24" s="139">
        <v>0.0</v>
      </c>
      <c r="F24" s="139">
        <v>1.0</v>
      </c>
      <c r="G24" s="139">
        <v>1.0</v>
      </c>
      <c r="H24" s="139">
        <v>0.0</v>
      </c>
      <c r="I24" s="139">
        <v>0.0</v>
      </c>
      <c r="J24" s="139">
        <v>1.0</v>
      </c>
      <c r="K24" s="139">
        <v>1.0</v>
      </c>
      <c r="L24" s="139">
        <v>0.0</v>
      </c>
      <c r="M24" s="140">
        <v>0.0</v>
      </c>
      <c r="N24" s="139">
        <v>1.0</v>
      </c>
      <c r="O24" s="141"/>
      <c r="P24" s="139">
        <v>1.0</v>
      </c>
      <c r="Q24" s="139">
        <v>0.0</v>
      </c>
      <c r="R24" s="139">
        <v>0.0</v>
      </c>
      <c r="S24" s="139">
        <v>1.0</v>
      </c>
      <c r="T24" s="148"/>
      <c r="U24" s="6"/>
      <c r="V24" s="6"/>
      <c r="W24" s="6"/>
      <c r="X24" s="6"/>
    </row>
    <row r="25">
      <c r="A25" s="18" t="s">
        <v>17</v>
      </c>
      <c r="B25" s="19">
        <v>45893.0</v>
      </c>
      <c r="C25" s="143">
        <v>1.0</v>
      </c>
      <c r="D25" s="143">
        <v>1.0</v>
      </c>
      <c r="E25" s="143">
        <v>1.0</v>
      </c>
      <c r="F25" s="143">
        <v>1.0</v>
      </c>
      <c r="G25" s="143">
        <v>0.0</v>
      </c>
      <c r="H25" s="143">
        <v>1.0</v>
      </c>
      <c r="I25" s="143">
        <v>0.0</v>
      </c>
      <c r="J25" s="143">
        <v>0.5</v>
      </c>
      <c r="K25" s="143">
        <v>1.0</v>
      </c>
      <c r="L25" s="143">
        <v>0.0</v>
      </c>
      <c r="M25" s="167">
        <v>1.0</v>
      </c>
      <c r="N25" s="143">
        <v>1.0</v>
      </c>
      <c r="O25" s="145"/>
      <c r="P25" s="143">
        <v>1.0</v>
      </c>
      <c r="Q25" s="143">
        <v>0.0</v>
      </c>
      <c r="R25" s="143">
        <v>0.0</v>
      </c>
      <c r="S25" s="159"/>
      <c r="T25" s="168" t="s">
        <v>369</v>
      </c>
      <c r="U25" s="6"/>
      <c r="V25" s="6"/>
      <c r="W25" s="6"/>
      <c r="X25" s="6"/>
    </row>
    <row r="26">
      <c r="A26" s="18" t="s">
        <v>18</v>
      </c>
      <c r="B26" s="19">
        <v>45894.0</v>
      </c>
      <c r="C26" s="169">
        <v>0.0</v>
      </c>
      <c r="D26" s="169">
        <v>1.0</v>
      </c>
      <c r="E26" s="169">
        <v>1.0</v>
      </c>
      <c r="F26" s="170">
        <v>1.0</v>
      </c>
      <c r="G26" s="169">
        <v>1.0</v>
      </c>
      <c r="H26" s="169">
        <v>0.0</v>
      </c>
      <c r="I26" s="169">
        <v>0.0</v>
      </c>
      <c r="J26" s="169">
        <v>1.0</v>
      </c>
      <c r="K26" s="149">
        <v>1.0</v>
      </c>
      <c r="L26" s="169">
        <v>0.0</v>
      </c>
      <c r="M26" s="171">
        <v>0.0</v>
      </c>
      <c r="N26" s="169">
        <v>1.0</v>
      </c>
      <c r="O26" s="172"/>
      <c r="P26" s="169">
        <v>0.0</v>
      </c>
      <c r="Q26" s="169">
        <v>0.0</v>
      </c>
      <c r="R26" s="169">
        <v>0.0</v>
      </c>
      <c r="S26" s="158"/>
      <c r="T26" s="148"/>
      <c r="U26" s="6"/>
      <c r="V26" s="6"/>
      <c r="W26" s="6"/>
      <c r="X26" s="6"/>
    </row>
    <row r="27">
      <c r="A27" s="18" t="s">
        <v>19</v>
      </c>
      <c r="B27" s="19">
        <v>45895.0</v>
      </c>
      <c r="C27" s="143">
        <v>0.0</v>
      </c>
      <c r="D27" s="143">
        <v>1.0</v>
      </c>
      <c r="E27" s="143">
        <v>1.0</v>
      </c>
      <c r="F27" s="143">
        <v>1.0</v>
      </c>
      <c r="G27" s="143">
        <v>0.0</v>
      </c>
      <c r="H27" s="143">
        <v>1.0</v>
      </c>
      <c r="I27" s="143">
        <v>0.0</v>
      </c>
      <c r="J27" s="143">
        <v>1.0</v>
      </c>
      <c r="K27" s="143">
        <v>1.0</v>
      </c>
      <c r="L27" s="143">
        <v>0.0</v>
      </c>
      <c r="M27" s="144">
        <v>0.0</v>
      </c>
      <c r="N27" s="143">
        <v>0.5</v>
      </c>
      <c r="O27" s="145">
        <v>1.0</v>
      </c>
      <c r="P27" s="143">
        <v>0.0</v>
      </c>
      <c r="Q27" s="143">
        <v>0.0</v>
      </c>
      <c r="R27" s="143">
        <v>0.0</v>
      </c>
      <c r="S27" s="173">
        <v>1.0</v>
      </c>
      <c r="T27" s="168" t="s">
        <v>370</v>
      </c>
      <c r="U27" s="6"/>
      <c r="V27" s="6"/>
      <c r="W27" s="6"/>
      <c r="X27" s="6"/>
    </row>
    <row r="28">
      <c r="A28" s="18" t="s">
        <v>22</v>
      </c>
      <c r="B28" s="19">
        <v>45896.0</v>
      </c>
      <c r="C28" s="174">
        <v>1.0</v>
      </c>
      <c r="D28" s="175">
        <v>1.0</v>
      </c>
      <c r="E28" s="175">
        <v>1.0</v>
      </c>
      <c r="F28" s="175">
        <v>1.0</v>
      </c>
      <c r="G28" s="175">
        <v>0.0</v>
      </c>
      <c r="H28" s="175">
        <v>0.0</v>
      </c>
      <c r="I28" s="175">
        <v>0.0</v>
      </c>
      <c r="J28" s="175">
        <v>1.0</v>
      </c>
      <c r="K28" s="175">
        <v>1.0</v>
      </c>
      <c r="L28" s="175">
        <v>0.0</v>
      </c>
      <c r="M28" s="175">
        <v>0.0</v>
      </c>
      <c r="N28" s="175">
        <v>1.0</v>
      </c>
      <c r="O28" s="176">
        <v>0.0</v>
      </c>
      <c r="P28" s="175">
        <v>1.0</v>
      </c>
      <c r="Q28" s="175">
        <v>0.0</v>
      </c>
      <c r="R28" s="175">
        <v>0.0</v>
      </c>
      <c r="S28" s="177">
        <v>1.0</v>
      </c>
      <c r="T28" s="142" t="s">
        <v>370</v>
      </c>
      <c r="U28" s="6"/>
      <c r="V28" s="6"/>
      <c r="W28" s="6"/>
      <c r="X28" s="6"/>
    </row>
    <row r="29">
      <c r="A29" s="18" t="s">
        <v>23</v>
      </c>
      <c r="B29" s="19">
        <v>45897.0</v>
      </c>
      <c r="C29" s="174">
        <v>1.0</v>
      </c>
      <c r="D29" s="178">
        <v>1.0</v>
      </c>
      <c r="E29" s="178">
        <v>1.0</v>
      </c>
      <c r="F29" s="178">
        <v>1.0</v>
      </c>
      <c r="G29" s="178">
        <v>1.0</v>
      </c>
      <c r="H29" s="178">
        <v>1.0</v>
      </c>
      <c r="I29" s="178">
        <v>0.0</v>
      </c>
      <c r="J29" s="178">
        <v>1.0</v>
      </c>
      <c r="K29" s="178">
        <v>1.0</v>
      </c>
      <c r="L29" s="178">
        <v>0.0</v>
      </c>
      <c r="M29" s="178">
        <v>0.0</v>
      </c>
      <c r="N29" s="178">
        <v>1.0</v>
      </c>
      <c r="O29" s="179">
        <v>0.0</v>
      </c>
      <c r="P29" s="178">
        <v>0.0</v>
      </c>
      <c r="Q29" s="178">
        <v>0.0</v>
      </c>
      <c r="R29" s="178">
        <v>0.0</v>
      </c>
      <c r="S29" s="173">
        <v>1.0</v>
      </c>
      <c r="T29" s="146"/>
      <c r="U29" s="6"/>
      <c r="V29" s="6"/>
      <c r="W29" s="6"/>
      <c r="X29" s="6"/>
    </row>
    <row r="30">
      <c r="A30" s="9" t="s">
        <v>11</v>
      </c>
      <c r="B30" s="10">
        <v>45898.0</v>
      </c>
      <c r="C30" s="180">
        <v>1.0</v>
      </c>
      <c r="D30" s="181">
        <v>2.0</v>
      </c>
      <c r="E30" s="182">
        <v>1.0</v>
      </c>
      <c r="F30" s="181">
        <v>2.0</v>
      </c>
      <c r="G30" s="181">
        <v>2.0</v>
      </c>
      <c r="H30" s="181">
        <v>2.0</v>
      </c>
      <c r="I30" s="181">
        <v>0.0</v>
      </c>
      <c r="J30" s="181">
        <v>0.0</v>
      </c>
      <c r="K30" s="182">
        <v>1.0</v>
      </c>
      <c r="L30" s="181">
        <v>0.0</v>
      </c>
      <c r="M30" s="181">
        <v>0.0</v>
      </c>
      <c r="N30" s="182">
        <v>1.0</v>
      </c>
      <c r="O30" s="183">
        <v>0.0</v>
      </c>
      <c r="P30" s="181">
        <v>0.0</v>
      </c>
      <c r="Q30" s="181">
        <v>0.0</v>
      </c>
      <c r="R30" s="181">
        <v>0.0</v>
      </c>
      <c r="S30" s="184">
        <v>2.0</v>
      </c>
      <c r="T30" s="185"/>
      <c r="U30" s="6"/>
      <c r="V30" s="6"/>
      <c r="W30" s="6"/>
      <c r="X30" s="6"/>
    </row>
    <row r="31">
      <c r="A31" s="18" t="s">
        <v>12</v>
      </c>
      <c r="B31" s="19">
        <v>45899.0</v>
      </c>
      <c r="C31" s="186">
        <v>1.0</v>
      </c>
      <c r="D31" s="187">
        <v>1.0</v>
      </c>
      <c r="E31" s="187">
        <v>0.0</v>
      </c>
      <c r="F31" s="187">
        <v>1.0</v>
      </c>
      <c r="G31" s="187">
        <v>1.0</v>
      </c>
      <c r="H31" s="188">
        <v>2.0</v>
      </c>
      <c r="I31" s="187">
        <v>0.0</v>
      </c>
      <c r="J31" s="187">
        <v>0.0</v>
      </c>
      <c r="K31" s="189">
        <v>1.0</v>
      </c>
      <c r="L31" s="187">
        <v>0.0</v>
      </c>
      <c r="M31" s="187">
        <v>1.0</v>
      </c>
      <c r="N31" s="189">
        <v>1.0</v>
      </c>
      <c r="O31" s="190">
        <v>0.0</v>
      </c>
      <c r="P31" s="189">
        <v>0.0</v>
      </c>
      <c r="Q31" s="189">
        <v>0.0</v>
      </c>
      <c r="R31" s="189">
        <v>0.0</v>
      </c>
      <c r="S31" s="191">
        <v>1.0</v>
      </c>
      <c r="T31" s="192" t="s">
        <v>371</v>
      </c>
      <c r="U31" s="6"/>
      <c r="V31" s="6"/>
      <c r="W31" s="6"/>
      <c r="X31" s="6"/>
    </row>
    <row r="32">
      <c r="A32" s="66" t="s">
        <v>17</v>
      </c>
      <c r="B32" s="19">
        <v>45900.0</v>
      </c>
      <c r="C32" s="193">
        <v>1.0</v>
      </c>
      <c r="D32" s="182">
        <v>2.0</v>
      </c>
      <c r="E32" s="181">
        <v>0.0</v>
      </c>
      <c r="F32" s="181">
        <v>1.0</v>
      </c>
      <c r="G32" s="182">
        <v>1.0</v>
      </c>
      <c r="H32" s="181">
        <v>1.0</v>
      </c>
      <c r="I32" s="181">
        <v>0.0</v>
      </c>
      <c r="J32" s="181">
        <v>0.0</v>
      </c>
      <c r="K32" s="181">
        <v>1.0</v>
      </c>
      <c r="L32" s="181">
        <v>0.0</v>
      </c>
      <c r="M32" s="181">
        <v>1.0</v>
      </c>
      <c r="N32" s="181">
        <v>1.0</v>
      </c>
      <c r="O32" s="183">
        <v>1.0</v>
      </c>
      <c r="P32" s="181">
        <v>0.0</v>
      </c>
      <c r="Q32" s="181">
        <v>0.0</v>
      </c>
      <c r="R32" s="181">
        <v>0.0</v>
      </c>
      <c r="S32" s="184">
        <v>1.0</v>
      </c>
      <c r="T32" s="194" t="s">
        <v>372</v>
      </c>
      <c r="U32" s="6"/>
      <c r="V32" s="6"/>
      <c r="W32" s="6"/>
      <c r="X32" s="6"/>
    </row>
    <row r="33">
      <c r="A33" s="16"/>
      <c r="B33" s="68"/>
      <c r="C33" s="195">
        <f t="shared" ref="C33:S33" si="1">SUM(C2:C32)</f>
        <v>24</v>
      </c>
      <c r="D33" s="195">
        <f t="shared" si="1"/>
        <v>36</v>
      </c>
      <c r="E33" s="195">
        <f t="shared" si="1"/>
        <v>19.75</v>
      </c>
      <c r="F33" s="195">
        <f t="shared" si="1"/>
        <v>28</v>
      </c>
      <c r="G33" s="195">
        <f t="shared" si="1"/>
        <v>30</v>
      </c>
      <c r="H33" s="195">
        <f t="shared" si="1"/>
        <v>29</v>
      </c>
      <c r="I33" s="195">
        <f t="shared" si="1"/>
        <v>2</v>
      </c>
      <c r="J33" s="195">
        <f t="shared" si="1"/>
        <v>14.5</v>
      </c>
      <c r="K33" s="195">
        <f t="shared" si="1"/>
        <v>31</v>
      </c>
      <c r="L33" s="195">
        <f t="shared" si="1"/>
        <v>2</v>
      </c>
      <c r="M33" s="195">
        <f t="shared" si="1"/>
        <v>20</v>
      </c>
      <c r="N33" s="195">
        <f t="shared" si="1"/>
        <v>28</v>
      </c>
      <c r="O33" s="195">
        <f t="shared" si="1"/>
        <v>2</v>
      </c>
      <c r="P33" s="195">
        <f t="shared" si="1"/>
        <v>14</v>
      </c>
      <c r="Q33" s="195">
        <f t="shared" si="1"/>
        <v>9</v>
      </c>
      <c r="R33" s="195">
        <f t="shared" si="1"/>
        <v>4</v>
      </c>
      <c r="S33" s="195">
        <f t="shared" si="1"/>
        <v>9</v>
      </c>
      <c r="T33" s="196"/>
      <c r="U33" s="6"/>
      <c r="V33" s="6"/>
      <c r="W33" s="6"/>
      <c r="X33" s="6"/>
    </row>
    <row r="34">
      <c r="A34" s="6"/>
      <c r="B34" s="6"/>
      <c r="C34" s="197">
        <v>1032.0</v>
      </c>
      <c r="D34" s="198">
        <v>968.0</v>
      </c>
      <c r="E34" s="198">
        <v>1065.0</v>
      </c>
      <c r="F34" s="198">
        <v>1032.0</v>
      </c>
      <c r="G34" s="199">
        <v>968.0</v>
      </c>
      <c r="H34" s="199">
        <v>1000.0</v>
      </c>
      <c r="I34" s="200">
        <v>1400.0</v>
      </c>
      <c r="J34" s="201">
        <v>1200.0</v>
      </c>
      <c r="K34" s="201">
        <v>968.0</v>
      </c>
      <c r="L34" s="201">
        <v>968.0</v>
      </c>
      <c r="M34" s="201">
        <v>968.0</v>
      </c>
      <c r="N34" s="201">
        <v>1000.0</v>
      </c>
      <c r="O34" s="202">
        <v>1000.0</v>
      </c>
      <c r="P34" s="202">
        <v>1100.0</v>
      </c>
      <c r="Q34" s="202">
        <v>1000.0</v>
      </c>
      <c r="R34" s="202">
        <v>1000.0</v>
      </c>
      <c r="S34" s="201">
        <v>1200.0</v>
      </c>
      <c r="T34" s="203"/>
      <c r="U34" s="6"/>
      <c r="V34" s="6"/>
      <c r="W34" s="6"/>
      <c r="X34" s="6"/>
    </row>
    <row r="35">
      <c r="A35" s="6"/>
      <c r="B35" s="6"/>
      <c r="C35" s="204">
        <f t="shared" ref="C35:P35" si="2">C33*C34</f>
        <v>24768</v>
      </c>
      <c r="D35" s="205">
        <f t="shared" si="2"/>
        <v>34848</v>
      </c>
      <c r="E35" s="205">
        <f t="shared" si="2"/>
        <v>21033.75</v>
      </c>
      <c r="F35" s="205">
        <f t="shared" si="2"/>
        <v>28896</v>
      </c>
      <c r="G35" s="206">
        <f t="shared" si="2"/>
        <v>29040</v>
      </c>
      <c r="H35" s="206">
        <f t="shared" si="2"/>
        <v>29000</v>
      </c>
      <c r="I35" s="206">
        <f t="shared" si="2"/>
        <v>2800</v>
      </c>
      <c r="J35" s="207">
        <f t="shared" si="2"/>
        <v>17400</v>
      </c>
      <c r="K35" s="208">
        <f t="shared" si="2"/>
        <v>30008</v>
      </c>
      <c r="L35" s="208">
        <f t="shared" si="2"/>
        <v>1936</v>
      </c>
      <c r="M35" s="208">
        <f t="shared" si="2"/>
        <v>19360</v>
      </c>
      <c r="N35" s="208">
        <f t="shared" si="2"/>
        <v>28000</v>
      </c>
      <c r="O35" s="209">
        <f t="shared" si="2"/>
        <v>2000</v>
      </c>
      <c r="P35" s="209">
        <f t="shared" si="2"/>
        <v>15400</v>
      </c>
      <c r="Q35" s="209">
        <f>Q34*Q33</f>
        <v>9000</v>
      </c>
      <c r="R35" s="209">
        <f t="shared" ref="R35:S35" si="3">R33*R34</f>
        <v>4000</v>
      </c>
      <c r="S35" s="208">
        <f t="shared" si="3"/>
        <v>10800</v>
      </c>
      <c r="T35" s="210"/>
      <c r="U35" s="6"/>
      <c r="V35" s="6"/>
      <c r="W35" s="6"/>
      <c r="X35" s="6"/>
    </row>
    <row r="36">
      <c r="A36" s="6"/>
      <c r="B36" s="6"/>
      <c r="C36" s="211"/>
      <c r="D36" s="211"/>
      <c r="E36" s="211"/>
      <c r="F36" s="211"/>
      <c r="G36" s="211"/>
      <c r="H36" s="211"/>
      <c r="I36" s="211"/>
      <c r="J36" s="212"/>
      <c r="K36" s="213"/>
      <c r="L36" s="213"/>
      <c r="M36" s="213"/>
      <c r="N36" s="213"/>
      <c r="O36" s="213"/>
      <c r="P36" s="213"/>
      <c r="Q36" s="213"/>
      <c r="R36" s="213"/>
      <c r="S36" s="213"/>
      <c r="T36" s="214"/>
      <c r="U36" s="6"/>
      <c r="V36" s="6"/>
      <c r="W36" s="6"/>
      <c r="X36" s="6"/>
    </row>
    <row r="37">
      <c r="A37" s="6"/>
      <c r="B37" s="215" t="s">
        <v>373</v>
      </c>
      <c r="C37" s="216">
        <v>32000.0</v>
      </c>
      <c r="D37" s="216">
        <v>30000.0</v>
      </c>
      <c r="E37" s="216">
        <v>33000.0</v>
      </c>
      <c r="F37" s="216">
        <v>35000.0</v>
      </c>
      <c r="G37" s="216">
        <v>30000.0</v>
      </c>
      <c r="H37" s="216">
        <v>30000.0</v>
      </c>
      <c r="I37" s="217"/>
      <c r="J37" s="216">
        <v>37000.0</v>
      </c>
      <c r="K37" s="216">
        <v>30000.0</v>
      </c>
      <c r="L37" s="216">
        <v>30000.0</v>
      </c>
      <c r="M37" s="216">
        <v>30000.0</v>
      </c>
      <c r="N37" s="216"/>
      <c r="O37" s="217"/>
      <c r="P37" s="217"/>
      <c r="Q37" s="217"/>
      <c r="R37" s="217"/>
      <c r="S37" s="217"/>
      <c r="T37" s="218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44" t="s">
        <v>374</v>
      </c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44" t="s">
        <v>375</v>
      </c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44" t="s">
        <v>376</v>
      </c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44" t="s">
        <v>377</v>
      </c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26"/>
      <c r="U44" s="6"/>
      <c r="V44" s="6"/>
      <c r="W44" s="6"/>
      <c r="X44" s="6"/>
    </row>
    <row r="45">
      <c r="T45" s="219"/>
    </row>
    <row r="46">
      <c r="T46" s="219"/>
    </row>
    <row r="47">
      <c r="A47" s="220"/>
      <c r="B47" s="133" t="s">
        <v>0</v>
      </c>
      <c r="T47" s="219"/>
    </row>
    <row r="48">
      <c r="A48" s="154" t="s">
        <v>11</v>
      </c>
      <c r="B48" s="221">
        <v>45870.0</v>
      </c>
      <c r="C48" s="138">
        <v>3.5</v>
      </c>
      <c r="D48" s="222" t="s">
        <v>378</v>
      </c>
      <c r="T48" s="219"/>
    </row>
    <row r="49">
      <c r="A49" s="166" t="s">
        <v>12</v>
      </c>
      <c r="B49" s="223">
        <v>45871.0</v>
      </c>
      <c r="C49" s="143">
        <v>1.0</v>
      </c>
      <c r="D49" s="224"/>
      <c r="T49" s="219"/>
    </row>
    <row r="50">
      <c r="A50" s="166" t="s">
        <v>17</v>
      </c>
      <c r="B50" s="223">
        <v>45872.0</v>
      </c>
      <c r="C50" s="139">
        <v>1.0</v>
      </c>
      <c r="D50" s="225"/>
      <c r="T50" s="219"/>
    </row>
    <row r="51">
      <c r="A51" s="166" t="s">
        <v>18</v>
      </c>
      <c r="B51" s="223">
        <v>45873.0</v>
      </c>
      <c r="C51" s="149">
        <v>1.0</v>
      </c>
      <c r="D51" s="226"/>
      <c r="T51" s="219"/>
    </row>
    <row r="52">
      <c r="A52" s="166" t="s">
        <v>19</v>
      </c>
      <c r="B52" s="223">
        <v>45874.0</v>
      </c>
      <c r="C52" s="139">
        <v>1.0</v>
      </c>
      <c r="D52" s="225"/>
      <c r="T52" s="219"/>
    </row>
    <row r="53">
      <c r="A53" s="166" t="s">
        <v>22</v>
      </c>
      <c r="B53" s="223">
        <v>45875.0</v>
      </c>
      <c r="C53" s="143">
        <v>1.0</v>
      </c>
      <c r="D53" s="224"/>
      <c r="T53" s="219"/>
    </row>
    <row r="54">
      <c r="A54" s="166" t="s">
        <v>23</v>
      </c>
      <c r="B54" s="223">
        <v>45876.0</v>
      </c>
      <c r="C54" s="139">
        <v>1.0</v>
      </c>
      <c r="D54" s="225"/>
    </row>
    <row r="55">
      <c r="A55" s="154" t="s">
        <v>11</v>
      </c>
      <c r="B55" s="221">
        <v>45877.0</v>
      </c>
      <c r="C55" s="136">
        <v>1.0</v>
      </c>
      <c r="D55" s="227" t="s">
        <v>379</v>
      </c>
    </row>
    <row r="56">
      <c r="A56" s="166" t="s">
        <v>12</v>
      </c>
      <c r="B56" s="223">
        <v>45878.0</v>
      </c>
      <c r="C56" s="139">
        <v>1.0</v>
      </c>
      <c r="D56" s="225"/>
    </row>
    <row r="57">
      <c r="A57" s="166" t="s">
        <v>17</v>
      </c>
      <c r="B57" s="223">
        <v>45879.0</v>
      </c>
      <c r="C57" s="143">
        <v>1.0</v>
      </c>
      <c r="D57" s="224"/>
    </row>
    <row r="58">
      <c r="A58" s="166" t="s">
        <v>18</v>
      </c>
      <c r="B58" s="223">
        <v>45880.0</v>
      </c>
      <c r="C58" s="149">
        <v>1.0</v>
      </c>
      <c r="D58" s="226"/>
    </row>
    <row r="59">
      <c r="A59" s="166" t="s">
        <v>19</v>
      </c>
      <c r="B59" s="223">
        <v>45881.0</v>
      </c>
      <c r="C59" s="143">
        <v>1.0</v>
      </c>
      <c r="D59" s="224"/>
    </row>
    <row r="60">
      <c r="A60" s="166" t="s">
        <v>22</v>
      </c>
      <c r="B60" s="223">
        <v>45882.0</v>
      </c>
      <c r="C60" s="139">
        <v>2.0</v>
      </c>
      <c r="D60" s="228" t="s">
        <v>380</v>
      </c>
    </row>
    <row r="61">
      <c r="A61" s="166" t="s">
        <v>23</v>
      </c>
      <c r="B61" s="223">
        <v>45883.0</v>
      </c>
      <c r="C61" s="143">
        <v>1.0</v>
      </c>
      <c r="D61" s="224"/>
    </row>
    <row r="62">
      <c r="A62" s="154" t="s">
        <v>11</v>
      </c>
      <c r="B62" s="229">
        <v>45884.0</v>
      </c>
      <c r="C62" s="137">
        <v>0.0</v>
      </c>
      <c r="D62" s="230"/>
    </row>
    <row r="63">
      <c r="A63" s="166" t="s">
        <v>12</v>
      </c>
      <c r="B63" s="229">
        <v>45885.0</v>
      </c>
      <c r="C63" s="137">
        <v>0.0</v>
      </c>
      <c r="D63" s="230"/>
    </row>
    <row r="64">
      <c r="A64" s="166" t="s">
        <v>17</v>
      </c>
      <c r="B64" s="229">
        <v>45886.0</v>
      </c>
      <c r="C64" s="137">
        <v>0.0</v>
      </c>
      <c r="D64" s="230"/>
    </row>
    <row r="65">
      <c r="A65" s="166" t="s">
        <v>18</v>
      </c>
      <c r="B65" s="229">
        <v>45887.0</v>
      </c>
      <c r="C65" s="137">
        <v>0.0</v>
      </c>
      <c r="D65" s="230"/>
    </row>
    <row r="66">
      <c r="A66" s="166" t="s">
        <v>19</v>
      </c>
      <c r="B66" s="229">
        <v>45888.0</v>
      </c>
      <c r="C66" s="137">
        <v>0.0</v>
      </c>
      <c r="D66" s="230"/>
    </row>
    <row r="67">
      <c r="A67" s="166" t="s">
        <v>22</v>
      </c>
      <c r="B67" s="229">
        <v>45889.0</v>
      </c>
      <c r="C67" s="137">
        <v>0.0</v>
      </c>
      <c r="D67" s="230"/>
    </row>
    <row r="68">
      <c r="A68" s="166" t="s">
        <v>23</v>
      </c>
      <c r="B68" s="229">
        <v>45890.0</v>
      </c>
      <c r="C68" s="166">
        <v>1.0</v>
      </c>
      <c r="D68" s="225"/>
    </row>
    <row r="69">
      <c r="A69" s="154" t="s">
        <v>11</v>
      </c>
      <c r="B69" s="229">
        <v>45891.0</v>
      </c>
      <c r="C69" s="136">
        <v>1.0</v>
      </c>
      <c r="D69" s="227" t="s">
        <v>379</v>
      </c>
    </row>
    <row r="70">
      <c r="A70" s="166" t="s">
        <v>12</v>
      </c>
      <c r="B70" s="223">
        <v>45892.0</v>
      </c>
      <c r="C70" s="139">
        <v>1.0</v>
      </c>
      <c r="D70" s="225"/>
    </row>
    <row r="71">
      <c r="A71" s="166" t="s">
        <v>17</v>
      </c>
      <c r="B71" s="223">
        <v>45893.0</v>
      </c>
      <c r="C71" s="143">
        <v>1.0</v>
      </c>
      <c r="D71" s="224"/>
    </row>
    <row r="72">
      <c r="A72" s="166" t="s">
        <v>18</v>
      </c>
      <c r="B72" s="223">
        <v>45894.0</v>
      </c>
      <c r="C72" s="169">
        <v>1.0</v>
      </c>
      <c r="D72" s="231"/>
    </row>
    <row r="73">
      <c r="A73" s="166" t="s">
        <v>19</v>
      </c>
      <c r="B73" s="223">
        <v>45895.0</v>
      </c>
      <c r="C73" s="143">
        <v>0.5</v>
      </c>
      <c r="D73" s="232" t="s">
        <v>381</v>
      </c>
    </row>
    <row r="74">
      <c r="A74" s="166" t="s">
        <v>22</v>
      </c>
      <c r="B74" s="223">
        <v>45896.0</v>
      </c>
      <c r="C74" s="175">
        <v>1.0</v>
      </c>
      <c r="D74" s="233"/>
    </row>
    <row r="75">
      <c r="A75" s="166" t="s">
        <v>23</v>
      </c>
      <c r="B75" s="223">
        <v>45897.0</v>
      </c>
      <c r="C75" s="178">
        <v>1.0</v>
      </c>
      <c r="D75" s="234"/>
    </row>
    <row r="76">
      <c r="A76" s="154" t="s">
        <v>11</v>
      </c>
      <c r="B76" s="221">
        <v>45898.0</v>
      </c>
      <c r="C76" s="182">
        <v>1.0</v>
      </c>
      <c r="D76" s="235" t="s">
        <v>379</v>
      </c>
    </row>
    <row r="77">
      <c r="A77" s="166" t="s">
        <v>12</v>
      </c>
      <c r="B77" s="223">
        <v>45899.0</v>
      </c>
      <c r="C77" s="189">
        <v>1.0</v>
      </c>
      <c r="D77" s="234"/>
    </row>
    <row r="78">
      <c r="A78" s="236" t="s">
        <v>17</v>
      </c>
      <c r="B78" s="223">
        <v>45900.0</v>
      </c>
      <c r="C78" s="181">
        <v>1.0</v>
      </c>
      <c r="D78" s="233"/>
    </row>
    <row r="79">
      <c r="A79" s="237"/>
      <c r="B79" s="238"/>
      <c r="C79" s="239">
        <f>SUM(C48:C78)</f>
        <v>28</v>
      </c>
      <c r="D79" s="240"/>
    </row>
    <row r="80">
      <c r="A80" s="237"/>
      <c r="B80" s="238"/>
      <c r="C80" s="241">
        <v>1000.0</v>
      </c>
      <c r="D80" s="242"/>
    </row>
    <row r="81">
      <c r="A81" s="237"/>
      <c r="B81" s="243" t="s">
        <v>382</v>
      </c>
      <c r="C81" s="209">
        <f>C79*C80</f>
        <v>28000</v>
      </c>
      <c r="D81" s="244"/>
    </row>
    <row r="82">
      <c r="A82" s="237"/>
      <c r="B82" s="243" t="s">
        <v>383</v>
      </c>
      <c r="C82" s="245">
        <v>6000.0</v>
      </c>
      <c r="D82" s="244"/>
    </row>
    <row r="83">
      <c r="A83" s="237"/>
      <c r="B83" s="243" t="s">
        <v>384</v>
      </c>
      <c r="C83" s="246">
        <f>C81-C82</f>
        <v>22000</v>
      </c>
      <c r="D83" s="244"/>
    </row>
    <row r="88">
      <c r="A88" s="220"/>
      <c r="B88" s="133" t="s">
        <v>0</v>
      </c>
      <c r="C88" s="134" t="s">
        <v>353</v>
      </c>
    </row>
    <row r="89">
      <c r="A89" s="154" t="s">
        <v>11</v>
      </c>
      <c r="B89" s="221">
        <v>45870.0</v>
      </c>
      <c r="C89" s="138">
        <v>1.0</v>
      </c>
      <c r="D89" s="222" t="s">
        <v>385</v>
      </c>
    </row>
    <row r="90">
      <c r="A90" s="166" t="s">
        <v>12</v>
      </c>
      <c r="B90" s="223">
        <v>45871.0</v>
      </c>
      <c r="C90" s="143">
        <v>0.0</v>
      </c>
      <c r="D90" s="224"/>
    </row>
    <row r="91">
      <c r="A91" s="166" t="s">
        <v>17</v>
      </c>
      <c r="B91" s="223">
        <v>45872.0</v>
      </c>
      <c r="C91" s="139">
        <v>0.0</v>
      </c>
      <c r="D91" s="225"/>
    </row>
    <row r="92">
      <c r="A92" s="166" t="s">
        <v>18</v>
      </c>
      <c r="B92" s="223">
        <v>45873.0</v>
      </c>
      <c r="C92" s="149">
        <v>0.0</v>
      </c>
      <c r="D92" s="226"/>
    </row>
    <row r="93">
      <c r="A93" s="166" t="s">
        <v>19</v>
      </c>
      <c r="B93" s="223">
        <v>45874.0</v>
      </c>
      <c r="C93" s="139">
        <v>1.0</v>
      </c>
      <c r="D93" s="225"/>
    </row>
    <row r="94">
      <c r="A94" s="166" t="s">
        <v>22</v>
      </c>
      <c r="B94" s="223">
        <v>45875.0</v>
      </c>
      <c r="C94" s="143">
        <v>1.0</v>
      </c>
      <c r="D94" s="224"/>
    </row>
    <row r="95">
      <c r="A95" s="166" t="s">
        <v>23</v>
      </c>
      <c r="B95" s="223">
        <v>45876.0</v>
      </c>
      <c r="C95" s="139">
        <v>1.0</v>
      </c>
      <c r="D95" s="225"/>
    </row>
    <row r="96">
      <c r="A96" s="154" t="s">
        <v>11</v>
      </c>
      <c r="B96" s="221">
        <v>45877.0</v>
      </c>
      <c r="C96" s="154">
        <v>2.0</v>
      </c>
      <c r="D96" s="226"/>
    </row>
    <row r="97">
      <c r="A97" s="166" t="s">
        <v>12</v>
      </c>
      <c r="B97" s="223">
        <v>45878.0</v>
      </c>
      <c r="C97" s="139">
        <v>1.0</v>
      </c>
      <c r="D97" s="225"/>
    </row>
    <row r="98">
      <c r="A98" s="166" t="s">
        <v>17</v>
      </c>
      <c r="B98" s="223">
        <v>45879.0</v>
      </c>
      <c r="C98" s="143">
        <v>1.0</v>
      </c>
      <c r="D98" s="224"/>
    </row>
    <row r="99">
      <c r="A99" s="166" t="s">
        <v>18</v>
      </c>
      <c r="B99" s="223">
        <v>45880.0</v>
      </c>
      <c r="C99" s="149">
        <v>1.0</v>
      </c>
      <c r="D99" s="226"/>
    </row>
    <row r="100">
      <c r="A100" s="166" t="s">
        <v>19</v>
      </c>
      <c r="B100" s="223">
        <v>45881.0</v>
      </c>
      <c r="C100" s="143">
        <v>1.0</v>
      </c>
      <c r="D100" s="224"/>
    </row>
    <row r="101">
      <c r="A101" s="166" t="s">
        <v>22</v>
      </c>
      <c r="B101" s="223">
        <v>45882.0</v>
      </c>
      <c r="C101" s="139">
        <v>2.0</v>
      </c>
      <c r="D101" s="228" t="s">
        <v>386</v>
      </c>
    </row>
    <row r="102">
      <c r="A102" s="166" t="s">
        <v>23</v>
      </c>
      <c r="B102" s="223">
        <v>45883.0</v>
      </c>
      <c r="C102" s="143">
        <v>1.0</v>
      </c>
      <c r="D102" s="224"/>
    </row>
    <row r="103">
      <c r="A103" s="154" t="s">
        <v>11</v>
      </c>
      <c r="B103" s="229">
        <v>45884.0</v>
      </c>
      <c r="C103" s="137">
        <v>0.0</v>
      </c>
      <c r="D103" s="230"/>
    </row>
    <row r="104">
      <c r="A104" s="166" t="s">
        <v>12</v>
      </c>
      <c r="B104" s="229">
        <v>45885.0</v>
      </c>
      <c r="C104" s="165">
        <v>0.0</v>
      </c>
      <c r="D104" s="247"/>
    </row>
    <row r="105">
      <c r="A105" s="166" t="s">
        <v>17</v>
      </c>
      <c r="B105" s="229">
        <v>45886.0</v>
      </c>
      <c r="C105" s="137">
        <v>0.0</v>
      </c>
      <c r="D105" s="230"/>
    </row>
    <row r="106">
      <c r="A106" s="166" t="s">
        <v>18</v>
      </c>
      <c r="B106" s="229">
        <v>45887.0</v>
      </c>
      <c r="C106" s="137">
        <v>0.0</v>
      </c>
      <c r="D106" s="230"/>
    </row>
    <row r="107">
      <c r="A107" s="166" t="s">
        <v>19</v>
      </c>
      <c r="B107" s="229">
        <v>45888.0</v>
      </c>
      <c r="C107" s="137">
        <v>0.0</v>
      </c>
      <c r="D107" s="230"/>
    </row>
    <row r="108">
      <c r="A108" s="166" t="s">
        <v>22</v>
      </c>
      <c r="B108" s="229">
        <v>45889.0</v>
      </c>
      <c r="C108" s="137">
        <v>0.0</v>
      </c>
      <c r="D108" s="230"/>
    </row>
    <row r="109">
      <c r="A109" s="166" t="s">
        <v>23</v>
      </c>
      <c r="B109" s="229">
        <v>45890.0</v>
      </c>
      <c r="C109" s="166">
        <v>1.0</v>
      </c>
      <c r="D109" s="225"/>
    </row>
    <row r="110">
      <c r="A110" s="154" t="s">
        <v>11</v>
      </c>
      <c r="B110" s="229">
        <v>45891.0</v>
      </c>
      <c r="C110" s="154">
        <v>2.0</v>
      </c>
      <c r="D110" s="226"/>
    </row>
    <row r="111">
      <c r="A111" s="166" t="s">
        <v>12</v>
      </c>
      <c r="B111" s="223">
        <v>45892.0</v>
      </c>
      <c r="C111" s="139">
        <v>1.0</v>
      </c>
      <c r="D111" s="225"/>
    </row>
    <row r="112">
      <c r="A112" s="166" t="s">
        <v>17</v>
      </c>
      <c r="B112" s="223">
        <v>45893.0</v>
      </c>
      <c r="C112" s="143">
        <v>1.0</v>
      </c>
      <c r="D112" s="224"/>
    </row>
    <row r="113">
      <c r="A113" s="166" t="s">
        <v>18</v>
      </c>
      <c r="B113" s="223">
        <v>45894.0</v>
      </c>
      <c r="C113" s="170">
        <v>1.0</v>
      </c>
      <c r="D113" s="248" t="s">
        <v>379</v>
      </c>
    </row>
    <row r="114">
      <c r="A114" s="166" t="s">
        <v>19</v>
      </c>
      <c r="B114" s="223">
        <v>45895.0</v>
      </c>
      <c r="C114" s="143">
        <v>1.0</v>
      </c>
      <c r="D114" s="224"/>
    </row>
    <row r="115">
      <c r="A115" s="166" t="s">
        <v>22</v>
      </c>
      <c r="B115" s="223">
        <v>45896.0</v>
      </c>
      <c r="C115" s="175">
        <v>1.0</v>
      </c>
      <c r="D115" s="233"/>
    </row>
    <row r="116">
      <c r="A116" s="166" t="s">
        <v>23</v>
      </c>
      <c r="B116" s="223">
        <v>45897.0</v>
      </c>
      <c r="C116" s="178">
        <v>1.0</v>
      </c>
      <c r="D116" s="234"/>
    </row>
    <row r="117">
      <c r="A117" s="154" t="s">
        <v>11</v>
      </c>
      <c r="B117" s="221">
        <v>45898.0</v>
      </c>
      <c r="C117" s="249">
        <v>2.0</v>
      </c>
      <c r="D117" s="250"/>
    </row>
    <row r="118">
      <c r="A118" s="166" t="s">
        <v>12</v>
      </c>
      <c r="B118" s="223">
        <v>45899.0</v>
      </c>
      <c r="C118" s="187">
        <v>1.0</v>
      </c>
      <c r="D118" s="251"/>
    </row>
    <row r="119">
      <c r="A119" s="236" t="s">
        <v>17</v>
      </c>
      <c r="B119" s="223">
        <v>45900.0</v>
      </c>
      <c r="C119" s="181">
        <v>1.0</v>
      </c>
      <c r="D119" s="233"/>
    </row>
    <row r="120">
      <c r="A120" s="237"/>
      <c r="B120" s="238"/>
      <c r="C120" s="195">
        <f>SUM(C89:C119)</f>
        <v>26</v>
      </c>
      <c r="D120" s="240"/>
    </row>
    <row r="121">
      <c r="A121" s="237"/>
      <c r="B121" s="238"/>
      <c r="C121" s="198">
        <v>1032.0</v>
      </c>
      <c r="D121" s="252"/>
    </row>
    <row r="122">
      <c r="A122" s="237"/>
      <c r="B122" s="243" t="s">
        <v>382</v>
      </c>
      <c r="C122" s="205">
        <f>C120*C121</f>
        <v>26832</v>
      </c>
      <c r="D122" s="253"/>
    </row>
    <row r="123">
      <c r="A123" s="237"/>
      <c r="B123" s="243" t="s">
        <v>383</v>
      </c>
    </row>
    <row r="124">
      <c r="A124" s="237"/>
      <c r="B124" s="243" t="s">
        <v>384</v>
      </c>
    </row>
  </sheetData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1.0"/>
    <col customWidth="1" min="9" max="9" width="26.13"/>
    <col customWidth="1" min="10" max="10" width="25.88"/>
    <col customWidth="1" min="11" max="11" width="26.88"/>
    <col customWidth="1" min="12" max="12" width="140.88"/>
  </cols>
  <sheetData>
    <row r="11">
      <c r="F11" s="6"/>
      <c r="G11" s="254"/>
      <c r="H11" s="254"/>
      <c r="I11" s="254"/>
      <c r="J11" s="254"/>
      <c r="K11" s="254"/>
      <c r="L11" s="254"/>
      <c r="M11" s="6"/>
    </row>
    <row r="12">
      <c r="F12" s="6"/>
      <c r="G12" s="255"/>
      <c r="H12" s="256" t="s">
        <v>387</v>
      </c>
      <c r="I12" s="256" t="s">
        <v>4</v>
      </c>
      <c r="J12" s="256" t="s">
        <v>383</v>
      </c>
      <c r="K12" s="257" t="s">
        <v>388</v>
      </c>
      <c r="L12" s="258"/>
      <c r="M12" s="6"/>
    </row>
    <row r="13">
      <c r="F13" s="6"/>
      <c r="G13" s="259"/>
      <c r="H13" s="260" t="s">
        <v>389</v>
      </c>
      <c r="I13" s="261">
        <v>30000.0</v>
      </c>
      <c r="J13" s="241">
        <v>30000.0</v>
      </c>
      <c r="K13" s="261">
        <f t="shared" ref="K13:K16" si="1">I13-J13</f>
        <v>0</v>
      </c>
      <c r="L13" s="262">
        <v>45883.0</v>
      </c>
      <c r="M13" s="6"/>
    </row>
    <row r="14">
      <c r="F14" s="6"/>
      <c r="G14" s="255"/>
      <c r="H14" s="263" t="s">
        <v>390</v>
      </c>
      <c r="I14" s="264">
        <v>30000.0</v>
      </c>
      <c r="J14" s="265">
        <v>30000.0</v>
      </c>
      <c r="K14" s="264">
        <f t="shared" si="1"/>
        <v>0</v>
      </c>
      <c r="L14" s="258"/>
      <c r="M14" s="6"/>
    </row>
    <row r="15">
      <c r="F15" s="6"/>
      <c r="G15" s="259">
        <v>1.0</v>
      </c>
      <c r="H15" s="260" t="s">
        <v>350</v>
      </c>
      <c r="I15" s="261">
        <f>Pointage!C35</f>
        <v>24768</v>
      </c>
      <c r="J15" s="202">
        <v>25000.0</v>
      </c>
      <c r="K15" s="261">
        <f t="shared" si="1"/>
        <v>-232</v>
      </c>
      <c r="L15" s="266" t="s">
        <v>391</v>
      </c>
      <c r="M15" s="6"/>
    </row>
    <row r="16">
      <c r="F16" s="6"/>
      <c r="G16" s="255">
        <v>2.0</v>
      </c>
      <c r="H16" s="263" t="s">
        <v>392</v>
      </c>
      <c r="I16" s="264">
        <f>Pointage!D35</f>
        <v>34848</v>
      </c>
      <c r="J16" s="265">
        <v>35000.0</v>
      </c>
      <c r="K16" s="264">
        <f t="shared" si="1"/>
        <v>-152</v>
      </c>
      <c r="L16" s="267" t="s">
        <v>393</v>
      </c>
      <c r="M16" s="6"/>
    </row>
    <row r="17">
      <c r="F17" s="6"/>
      <c r="G17" s="140">
        <v>3.0</v>
      </c>
      <c r="H17" s="260" t="s">
        <v>394</v>
      </c>
      <c r="I17" s="261">
        <f>Pointage!E35</f>
        <v>21033.75</v>
      </c>
      <c r="J17" s="202">
        <v>21000.0</v>
      </c>
      <c r="K17" s="202">
        <v>0.0</v>
      </c>
      <c r="L17" s="266" t="s">
        <v>395</v>
      </c>
      <c r="M17" s="6"/>
    </row>
    <row r="18">
      <c r="F18" s="6"/>
      <c r="G18" s="144">
        <v>4.0</v>
      </c>
      <c r="H18" s="268" t="s">
        <v>353</v>
      </c>
      <c r="I18" s="264">
        <f>Pointage!F35</f>
        <v>28896</v>
      </c>
      <c r="J18" s="265">
        <v>29000.0</v>
      </c>
      <c r="K18" s="264">
        <f>I18-J18</f>
        <v>-104</v>
      </c>
      <c r="L18" s="258"/>
      <c r="M18" s="6"/>
    </row>
    <row r="19">
      <c r="F19" s="6"/>
      <c r="G19" s="140">
        <v>5.0</v>
      </c>
      <c r="H19" s="260" t="s">
        <v>396</v>
      </c>
      <c r="I19" s="261">
        <f>Pointage!G35+L19</f>
        <v>34040</v>
      </c>
      <c r="J19" s="202">
        <v>34000.0</v>
      </c>
      <c r="K19" s="202">
        <v>0.0</v>
      </c>
      <c r="L19" s="269">
        <v>5000.0</v>
      </c>
      <c r="M19" s="6"/>
    </row>
    <row r="20">
      <c r="F20" s="6"/>
      <c r="G20" s="144">
        <v>6.0</v>
      </c>
      <c r="H20" s="263" t="s">
        <v>355</v>
      </c>
      <c r="I20" s="264">
        <f>Pointage!H35</f>
        <v>29000</v>
      </c>
      <c r="J20" s="265">
        <v>29000.0</v>
      </c>
      <c r="K20" s="264">
        <f t="shared" ref="K20:K22" si="2">I20-J20</f>
        <v>0</v>
      </c>
      <c r="L20" s="267">
        <v>8000.0</v>
      </c>
      <c r="M20" s="6"/>
    </row>
    <row r="21">
      <c r="F21" s="6"/>
      <c r="G21" s="140">
        <v>7.0</v>
      </c>
      <c r="H21" s="260" t="s">
        <v>356</v>
      </c>
      <c r="I21" s="261">
        <f>Pointage!I35</f>
        <v>2800</v>
      </c>
      <c r="J21" s="202">
        <v>3000.0</v>
      </c>
      <c r="K21" s="261">
        <f t="shared" si="2"/>
        <v>-200</v>
      </c>
      <c r="L21" s="270"/>
      <c r="M21" s="6"/>
    </row>
    <row r="22">
      <c r="F22" s="6"/>
      <c r="G22" s="144">
        <v>8.0</v>
      </c>
      <c r="H22" s="268" t="s">
        <v>397</v>
      </c>
      <c r="I22" s="264">
        <f>Pointage!J35</f>
        <v>17400</v>
      </c>
      <c r="J22" s="265">
        <v>17500.0</v>
      </c>
      <c r="K22" s="264">
        <f t="shared" si="2"/>
        <v>-100</v>
      </c>
      <c r="L22" s="258"/>
      <c r="M22" s="6"/>
    </row>
    <row r="23">
      <c r="F23" s="6"/>
      <c r="G23" s="140">
        <v>9.0</v>
      </c>
      <c r="H23" s="260" t="s">
        <v>358</v>
      </c>
      <c r="I23" s="261">
        <f>Pointage!K35</f>
        <v>30008</v>
      </c>
      <c r="J23" s="202">
        <v>30000.0</v>
      </c>
      <c r="K23" s="261">
        <v>0.0</v>
      </c>
      <c r="L23" s="270"/>
      <c r="M23" s="6"/>
    </row>
    <row r="24">
      <c r="F24" s="6"/>
      <c r="G24" s="144">
        <v>10.0</v>
      </c>
      <c r="H24" s="263" t="s">
        <v>359</v>
      </c>
      <c r="I24" s="264">
        <f>Pointage!L35</f>
        <v>1936</v>
      </c>
      <c r="J24" s="265">
        <v>2000.0</v>
      </c>
      <c r="K24" s="264">
        <f t="shared" ref="K24:K33" si="3">I24-J24</f>
        <v>-64</v>
      </c>
      <c r="L24" s="258"/>
      <c r="M24" s="6"/>
    </row>
    <row r="25">
      <c r="F25" s="6"/>
      <c r="G25" s="140">
        <v>11.0</v>
      </c>
      <c r="H25" s="260" t="s">
        <v>360</v>
      </c>
      <c r="I25" s="261">
        <f>Pointage!M35</f>
        <v>19360</v>
      </c>
      <c r="J25" s="202">
        <v>19500.0</v>
      </c>
      <c r="K25" s="261">
        <f t="shared" si="3"/>
        <v>-140</v>
      </c>
      <c r="L25" s="270"/>
      <c r="M25" s="6"/>
    </row>
    <row r="26">
      <c r="F26" s="6"/>
      <c r="G26" s="144">
        <v>12.0</v>
      </c>
      <c r="H26" s="268" t="s">
        <v>361</v>
      </c>
      <c r="I26" s="264">
        <f>Pointage!N35</f>
        <v>28000</v>
      </c>
      <c r="J26" s="265">
        <v>28000.0</v>
      </c>
      <c r="K26" s="264">
        <f t="shared" si="3"/>
        <v>0</v>
      </c>
      <c r="L26" s="267" t="s">
        <v>398</v>
      </c>
      <c r="M26" s="6"/>
    </row>
    <row r="27">
      <c r="F27" s="6"/>
      <c r="G27" s="140">
        <v>13.0</v>
      </c>
      <c r="H27" s="271" t="s">
        <v>362</v>
      </c>
      <c r="I27" s="261">
        <f>Pointage!O35</f>
        <v>2000</v>
      </c>
      <c r="J27" s="202">
        <v>2000.0</v>
      </c>
      <c r="K27" s="261">
        <f t="shared" si="3"/>
        <v>0</v>
      </c>
      <c r="L27" s="270"/>
      <c r="M27" s="6"/>
    </row>
    <row r="28">
      <c r="F28" s="6"/>
      <c r="G28" s="140">
        <v>14.0</v>
      </c>
      <c r="H28" s="271" t="s">
        <v>363</v>
      </c>
      <c r="I28" s="261">
        <f>Pointage!P35</f>
        <v>15400</v>
      </c>
      <c r="J28" s="202">
        <v>16000.0</v>
      </c>
      <c r="K28" s="261">
        <f t="shared" si="3"/>
        <v>-600</v>
      </c>
      <c r="L28" s="270"/>
      <c r="M28" s="6"/>
    </row>
    <row r="29">
      <c r="F29" s="6"/>
      <c r="G29" s="140">
        <v>15.0</v>
      </c>
      <c r="H29" s="271" t="s">
        <v>365</v>
      </c>
      <c r="I29" s="261">
        <f>Pointage!R35</f>
        <v>4000</v>
      </c>
      <c r="J29" s="202">
        <v>4000.0</v>
      </c>
      <c r="K29" s="261">
        <f t="shared" si="3"/>
        <v>0</v>
      </c>
      <c r="L29" s="270"/>
      <c r="M29" s="6"/>
    </row>
    <row r="30">
      <c r="F30" s="6"/>
      <c r="G30" s="144">
        <v>16.0</v>
      </c>
      <c r="H30" s="268" t="s">
        <v>399</v>
      </c>
      <c r="I30" s="264">
        <f>Pointage!S35</f>
        <v>10800</v>
      </c>
      <c r="J30" s="265">
        <v>11000.0</v>
      </c>
      <c r="K30" s="264">
        <f t="shared" si="3"/>
        <v>-200</v>
      </c>
      <c r="L30" s="258"/>
      <c r="M30" s="6"/>
    </row>
    <row r="31">
      <c r="F31" s="6"/>
      <c r="G31" s="144">
        <v>17.0</v>
      </c>
      <c r="H31" s="268" t="s">
        <v>364</v>
      </c>
      <c r="I31" s="264">
        <f>Pointage!Q35</f>
        <v>9000</v>
      </c>
      <c r="J31" s="265">
        <v>9000.0</v>
      </c>
      <c r="K31" s="264">
        <f t="shared" si="3"/>
        <v>0</v>
      </c>
      <c r="L31" s="267" t="s">
        <v>400</v>
      </c>
      <c r="M31" s="6"/>
    </row>
    <row r="32">
      <c r="F32" s="6"/>
      <c r="G32" s="259"/>
      <c r="H32" s="260" t="s">
        <v>401</v>
      </c>
      <c r="I32" s="261">
        <f t="shared" ref="I32:J32" si="4">SUM(I13:I31)</f>
        <v>373289.75</v>
      </c>
      <c r="J32" s="261">
        <f t="shared" si="4"/>
        <v>375000</v>
      </c>
      <c r="K32" s="272">
        <f t="shared" si="3"/>
        <v>-1710.25</v>
      </c>
      <c r="L32" s="270"/>
      <c r="M32" s="6"/>
    </row>
    <row r="33">
      <c r="F33" s="6"/>
      <c r="G33" s="255"/>
      <c r="H33" s="264"/>
      <c r="I33" s="263"/>
      <c r="J33" s="263"/>
      <c r="K33" s="264">
        <f t="shared" si="3"/>
        <v>0</v>
      </c>
      <c r="L33" s="258"/>
      <c r="M33" s="6"/>
    </row>
    <row r="34">
      <c r="F34" s="6"/>
      <c r="G34" s="269"/>
      <c r="H34" s="269"/>
      <c r="I34" s="270"/>
      <c r="J34" s="269"/>
      <c r="K34" s="269"/>
      <c r="L34" s="270"/>
      <c r="M34" s="6"/>
    </row>
    <row r="35">
      <c r="F35" s="6"/>
      <c r="G35" s="273"/>
      <c r="H35" s="273"/>
      <c r="I35" s="273"/>
      <c r="J35" s="273"/>
      <c r="K35" s="273"/>
      <c r="L35" s="258"/>
      <c r="M35" s="6"/>
    </row>
    <row r="36">
      <c r="F36" s="6"/>
      <c r="G36" s="269"/>
      <c r="H36" s="269"/>
      <c r="I36" s="269"/>
      <c r="J36" s="269"/>
      <c r="K36" s="270"/>
      <c r="L36" s="270"/>
      <c r="M36" s="6"/>
    </row>
    <row r="37">
      <c r="F37" s="6"/>
      <c r="G37" s="274"/>
      <c r="H37" s="274"/>
      <c r="I37" s="274"/>
      <c r="J37" s="274"/>
      <c r="K37" s="274"/>
      <c r="L37" s="254"/>
      <c r="M37" s="6"/>
    </row>
    <row r="38">
      <c r="F38" s="6"/>
      <c r="G38" s="254"/>
      <c r="H38" s="254"/>
      <c r="I38" s="254"/>
      <c r="J38" s="254"/>
      <c r="K38" s="254"/>
      <c r="L38" s="254"/>
      <c r="M38" s="6"/>
    </row>
    <row r="39">
      <c r="F39" s="6"/>
      <c r="G39" s="254"/>
      <c r="H39" s="254"/>
      <c r="I39" s="254"/>
      <c r="J39" s="254"/>
      <c r="K39" s="254"/>
      <c r="L39" s="254"/>
      <c r="M39" s="6"/>
    </row>
    <row r="40">
      <c r="G40" s="275"/>
      <c r="H40" s="275"/>
      <c r="I40" s="275"/>
      <c r="J40" s="275"/>
      <c r="K40" s="275"/>
      <c r="L40" s="27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34.88"/>
    <col customWidth="1" min="4" max="4" width="33.63"/>
    <col customWidth="1" min="5" max="5" width="30.38"/>
    <col customWidth="1" min="6" max="6" width="31.13"/>
    <col customWidth="1" min="7" max="8" width="30.38"/>
    <col customWidth="1" min="9" max="9" width="30.63"/>
    <col customWidth="1" min="10" max="10" width="31.38"/>
  </cols>
  <sheetData>
    <row r="14">
      <c r="B14" s="6"/>
      <c r="C14" s="6"/>
      <c r="D14" s="6"/>
      <c r="E14" s="6"/>
      <c r="F14" s="6"/>
      <c r="G14" s="6"/>
      <c r="H14" s="6"/>
      <c r="I14" s="6"/>
      <c r="J14" s="6"/>
    </row>
    <row r="15">
      <c r="B15" s="6"/>
      <c r="C15" s="276"/>
      <c r="D15" s="276"/>
      <c r="E15" s="6"/>
      <c r="F15" s="6"/>
      <c r="G15" s="6"/>
      <c r="H15" s="6"/>
      <c r="I15" s="6"/>
      <c r="J15" s="6"/>
    </row>
    <row r="16">
      <c r="B16" s="1"/>
      <c r="C16" s="277" t="s">
        <v>402</v>
      </c>
      <c r="D16" s="277" t="s">
        <v>403</v>
      </c>
      <c r="E16" s="277" t="s">
        <v>404</v>
      </c>
      <c r="F16" s="277" t="s">
        <v>405</v>
      </c>
      <c r="G16" s="277" t="s">
        <v>406</v>
      </c>
      <c r="H16" s="278" t="s">
        <v>407</v>
      </c>
      <c r="I16" s="279" t="s">
        <v>10</v>
      </c>
      <c r="J16" s="280" t="s">
        <v>408</v>
      </c>
    </row>
    <row r="17">
      <c r="B17" s="281" t="s">
        <v>2</v>
      </c>
      <c r="C17" s="35">
        <v>2033000.0</v>
      </c>
      <c r="D17" s="35">
        <v>1859000.0</v>
      </c>
      <c r="E17" s="35">
        <v>2094000.0</v>
      </c>
      <c r="F17" s="35">
        <v>1282000.0</v>
      </c>
      <c r="G17" s="35">
        <v>2077000.0</v>
      </c>
      <c r="H17" s="282">
        <v>2345000.0</v>
      </c>
      <c r="I17" s="283">
        <v>1997000.0</v>
      </c>
      <c r="J17" s="284">
        <v>1772000.0</v>
      </c>
    </row>
    <row r="18">
      <c r="B18" s="281" t="s">
        <v>3</v>
      </c>
      <c r="C18" s="35">
        <v>854000.0</v>
      </c>
      <c r="D18" s="35">
        <v>884000.0</v>
      </c>
      <c r="E18" s="35">
        <v>962000.0</v>
      </c>
      <c r="F18" s="35">
        <v>669000.0</v>
      </c>
      <c r="G18" s="35">
        <v>800000.0</v>
      </c>
      <c r="H18" s="282">
        <v>883000.0</v>
      </c>
      <c r="I18" s="35">
        <v>883000.0</v>
      </c>
      <c r="J18" s="284">
        <v>664000.0</v>
      </c>
    </row>
    <row r="19">
      <c r="B19" s="281" t="s">
        <v>409</v>
      </c>
      <c r="C19" s="35">
        <v>427000.0</v>
      </c>
      <c r="D19" s="35">
        <v>409000.0</v>
      </c>
      <c r="E19" s="35">
        <v>439000.0</v>
      </c>
      <c r="F19" s="35">
        <v>338000.0</v>
      </c>
      <c r="G19" s="35">
        <v>385000.0</v>
      </c>
      <c r="H19" s="282">
        <v>365000.0</v>
      </c>
      <c r="I19" s="35">
        <v>392000.0</v>
      </c>
      <c r="J19" s="284">
        <v>370000.0</v>
      </c>
    </row>
    <row r="20">
      <c r="B20" s="281" t="s">
        <v>410</v>
      </c>
      <c r="C20" s="35">
        <v>62000.0</v>
      </c>
      <c r="D20" s="35">
        <v>56000.0</v>
      </c>
      <c r="E20" s="35">
        <v>60000.0</v>
      </c>
      <c r="F20" s="35">
        <v>50000.0</v>
      </c>
      <c r="G20" s="35">
        <v>180000.0</v>
      </c>
      <c r="H20" s="282">
        <v>56000.0</v>
      </c>
      <c r="I20" s="35">
        <v>62000.0</v>
      </c>
      <c r="J20" s="284">
        <v>48000.0</v>
      </c>
    </row>
    <row r="21">
      <c r="B21" s="281" t="s">
        <v>411</v>
      </c>
      <c r="C21" s="35">
        <v>180000.0</v>
      </c>
      <c r="D21" s="35">
        <v>180000.0</v>
      </c>
      <c r="E21" s="35">
        <v>180000.0</v>
      </c>
      <c r="F21" s="35">
        <v>180000.0</v>
      </c>
      <c r="G21" s="35">
        <v>180000.0</v>
      </c>
      <c r="H21" s="282">
        <v>180000.0</v>
      </c>
      <c r="I21" s="35">
        <v>180000.0</v>
      </c>
      <c r="J21" s="282">
        <v>180000.0</v>
      </c>
    </row>
    <row r="22">
      <c r="B22" s="281" t="s">
        <v>412</v>
      </c>
      <c r="C22" s="35">
        <f t="shared" ref="C22:J22" si="1">C17-C18-C19-C20-C21</f>
        <v>510000</v>
      </c>
      <c r="D22" s="35">
        <f t="shared" si="1"/>
        <v>330000</v>
      </c>
      <c r="E22" s="35">
        <f t="shared" si="1"/>
        <v>453000</v>
      </c>
      <c r="F22" s="35">
        <f t="shared" si="1"/>
        <v>45000</v>
      </c>
      <c r="G22" s="35">
        <f t="shared" si="1"/>
        <v>532000</v>
      </c>
      <c r="H22" s="282">
        <f t="shared" si="1"/>
        <v>861000</v>
      </c>
      <c r="I22" s="35">
        <f t="shared" si="1"/>
        <v>480000</v>
      </c>
      <c r="J22" s="282">
        <f t="shared" si="1"/>
        <v>510000</v>
      </c>
    </row>
    <row r="23">
      <c r="B23" s="6"/>
      <c r="C23" s="6"/>
      <c r="D23" s="6"/>
      <c r="E23" s="6"/>
      <c r="F23" s="6"/>
      <c r="G23" s="6"/>
      <c r="H23" s="6"/>
      <c r="I23" s="6"/>
      <c r="J23" s="6"/>
    </row>
    <row r="24">
      <c r="B24" s="6"/>
      <c r="C24" s="6"/>
      <c r="D24" s="6"/>
      <c r="E24" s="6"/>
      <c r="F24" s="6"/>
      <c r="G24" s="6"/>
      <c r="H24" s="6"/>
      <c r="I24" s="6"/>
      <c r="J24" s="6"/>
    </row>
    <row r="25">
      <c r="B25" s="6"/>
      <c r="C25" s="6"/>
      <c r="D25" s="6"/>
      <c r="E25" s="6"/>
      <c r="F25" s="6"/>
      <c r="G25" s="6"/>
      <c r="H25" s="6"/>
      <c r="I25" s="6"/>
      <c r="J25" s="6"/>
    </row>
    <row r="26">
      <c r="B26" s="6"/>
      <c r="C26" s="6"/>
      <c r="D26" s="6"/>
      <c r="E26" s="6"/>
      <c r="F26" s="6"/>
      <c r="G26" s="6"/>
      <c r="H26" s="6"/>
      <c r="I26" s="6"/>
      <c r="J26" s="6"/>
    </row>
    <row r="27">
      <c r="B27" s="6"/>
      <c r="C27" s="6"/>
      <c r="D27" s="6"/>
      <c r="E27" s="6"/>
      <c r="F27" s="6"/>
      <c r="G27" s="6"/>
      <c r="H27" s="6"/>
      <c r="I27" s="6"/>
      <c r="J27" s="6"/>
    </row>
    <row r="28">
      <c r="B28" s="6"/>
      <c r="C28" s="6"/>
      <c r="D28" s="6"/>
      <c r="E28" s="6"/>
      <c r="F28" s="279" t="s">
        <v>413</v>
      </c>
      <c r="G28" s="6"/>
      <c r="H28" s="6"/>
      <c r="I28" s="6"/>
      <c r="J28" s="6"/>
    </row>
    <row r="29">
      <c r="B29" s="6"/>
      <c r="C29" s="6"/>
      <c r="D29" s="6"/>
      <c r="E29" s="281" t="s">
        <v>2</v>
      </c>
      <c r="F29" s="283">
        <v>1772000.0</v>
      </c>
      <c r="G29" s="6"/>
      <c r="H29" s="6"/>
      <c r="I29" s="6"/>
      <c r="J29" s="6"/>
    </row>
    <row r="30">
      <c r="B30" s="6"/>
      <c r="C30" s="6"/>
      <c r="D30" s="6"/>
      <c r="E30" s="281" t="s">
        <v>3</v>
      </c>
      <c r="F30" s="283">
        <v>664000.0</v>
      </c>
      <c r="G30" s="6"/>
      <c r="H30" s="6"/>
      <c r="I30" s="6"/>
      <c r="J30" s="6"/>
    </row>
    <row r="31">
      <c r="B31" s="6"/>
      <c r="C31" s="6"/>
      <c r="D31" s="6"/>
      <c r="E31" s="281" t="s">
        <v>409</v>
      </c>
      <c r="F31" s="283">
        <v>370000.0</v>
      </c>
      <c r="G31" s="6"/>
      <c r="H31" s="6"/>
      <c r="I31" s="6"/>
      <c r="J31" s="6"/>
    </row>
    <row r="32">
      <c r="B32" s="6"/>
      <c r="C32" s="6"/>
      <c r="D32" s="6"/>
      <c r="E32" s="281" t="s">
        <v>410</v>
      </c>
      <c r="F32" s="283">
        <v>48000.0</v>
      </c>
      <c r="G32" s="6"/>
      <c r="H32" s="6"/>
      <c r="I32" s="6"/>
      <c r="J32" s="6"/>
    </row>
    <row r="33">
      <c r="B33" s="6"/>
      <c r="C33" s="6"/>
      <c r="D33" s="6"/>
      <c r="E33" s="281" t="s">
        <v>411</v>
      </c>
      <c r="F33" s="35">
        <v>180000.0</v>
      </c>
      <c r="G33" s="6"/>
      <c r="H33" s="6"/>
      <c r="I33" s="6"/>
      <c r="J33" s="6"/>
    </row>
    <row r="34">
      <c r="B34" s="6"/>
      <c r="C34" s="6"/>
      <c r="D34" s="6"/>
      <c r="E34" s="281" t="s">
        <v>412</v>
      </c>
      <c r="F34" s="283">
        <v>510000.0</v>
      </c>
      <c r="G34" s="6"/>
      <c r="H34" s="6"/>
      <c r="I34" s="6"/>
      <c r="J34" s="6"/>
    </row>
    <row r="35">
      <c r="B35" s="6"/>
      <c r="C35" s="6"/>
      <c r="D35" s="6"/>
      <c r="E35" s="6"/>
      <c r="F35" s="6"/>
      <c r="G35" s="6"/>
      <c r="H35" s="6"/>
      <c r="I35" s="6"/>
      <c r="J35" s="6"/>
    </row>
    <row r="36">
      <c r="B36" s="6"/>
      <c r="C36" s="6"/>
      <c r="D36" s="6"/>
      <c r="E36" s="6"/>
      <c r="F36" s="6"/>
      <c r="G36" s="6"/>
      <c r="H36" s="6"/>
      <c r="I36" s="6"/>
      <c r="J36" s="6"/>
    </row>
  </sheetData>
  <drawing r:id="rId1"/>
</worksheet>
</file>