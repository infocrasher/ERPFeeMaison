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CAP" sheetId="1" r:id="rId4"/>
    <sheet state="visible" name="Les Charges" sheetId="2" r:id="rId5"/>
    <sheet state="visible" name="Pointage" sheetId="3" r:id="rId6"/>
    <sheet state="visible" name="Salaires" sheetId="4" r:id="rId7"/>
    <sheet state="visible" name="Feuille 10" sheetId="5" r:id="rId8"/>
    <sheet state="visible" name="Feuille 5" sheetId="6" r:id="rId9"/>
  </sheets>
  <definedNames/>
  <calcPr/>
</workbook>
</file>

<file path=xl/sharedStrings.xml><?xml version="1.0" encoding="utf-8"?>
<sst xmlns="http://schemas.openxmlformats.org/spreadsheetml/2006/main" count="699" uniqueCount="388">
  <si>
    <t>Date</t>
  </si>
  <si>
    <t>Recette de Février  2022</t>
  </si>
  <si>
    <t xml:space="preserve">Recette </t>
  </si>
  <si>
    <t>Charges</t>
  </si>
  <si>
    <t>Salaire</t>
  </si>
  <si>
    <t>Loyer</t>
  </si>
  <si>
    <t>Net Profit</t>
  </si>
  <si>
    <t>Nb de jours</t>
  </si>
  <si>
    <t>Objectif</t>
  </si>
  <si>
    <t xml:space="preserve">Février </t>
  </si>
  <si>
    <t xml:space="preserve">Moyenne </t>
  </si>
  <si>
    <t>Mardi</t>
  </si>
  <si>
    <t>Mercredi</t>
  </si>
  <si>
    <t>Jeudi</t>
  </si>
  <si>
    <t>Vendredi</t>
  </si>
  <si>
    <t>Samedi</t>
  </si>
  <si>
    <t>²</t>
  </si>
  <si>
    <t>Dimanche</t>
  </si>
  <si>
    <t>Lundi</t>
  </si>
  <si>
    <t xml:space="preserve">Cash restant </t>
  </si>
  <si>
    <t>Magasin</t>
  </si>
  <si>
    <t xml:space="preserve">Sofiane </t>
  </si>
  <si>
    <t>caisse</t>
  </si>
  <si>
    <t>Hayet+Sousou</t>
  </si>
  <si>
    <t xml:space="preserve"> </t>
  </si>
  <si>
    <t>10000+20000</t>
  </si>
  <si>
    <t>loyer</t>
  </si>
  <si>
    <t>Fadhila</t>
  </si>
  <si>
    <t>pétrin+ four</t>
  </si>
  <si>
    <t>75000+145000</t>
  </si>
  <si>
    <t>Différence mois de Février</t>
  </si>
  <si>
    <t xml:space="preserve">Différence objectif </t>
  </si>
  <si>
    <t xml:space="preserve">Les vendredis </t>
  </si>
  <si>
    <t>Cash réel</t>
  </si>
  <si>
    <t>CCP</t>
  </si>
  <si>
    <t xml:space="preserve">diférence à payer </t>
  </si>
  <si>
    <t>Mois de Février</t>
  </si>
  <si>
    <t>:::::</t>
  </si>
  <si>
    <t>Produit</t>
  </si>
  <si>
    <t>Quantité</t>
  </si>
  <si>
    <t xml:space="preserve">Prix unitaire </t>
  </si>
  <si>
    <t>Prix</t>
  </si>
  <si>
    <t>Date d'achat</t>
  </si>
  <si>
    <t>Cheddar</t>
  </si>
  <si>
    <t>6kg</t>
  </si>
  <si>
    <t xml:space="preserve">thon </t>
  </si>
  <si>
    <t>10 boites de 2kg</t>
  </si>
  <si>
    <t>fromage spécial pizza</t>
  </si>
  <si>
    <t>11kg</t>
  </si>
  <si>
    <t>shewepess canette</t>
  </si>
  <si>
    <t>pp</t>
  </si>
  <si>
    <t>Coca canette</t>
  </si>
  <si>
    <t xml:space="preserve">Coca bouteille </t>
  </si>
  <si>
    <t>Ifruit 33cl</t>
  </si>
  <si>
    <t>Rouiba 33cl</t>
  </si>
  <si>
    <t>Hamoud</t>
  </si>
  <si>
    <t>Pepsi</t>
  </si>
  <si>
    <t>Rouiba25ml</t>
  </si>
  <si>
    <t xml:space="preserve">amandes </t>
  </si>
  <si>
    <t>20kg</t>
  </si>
  <si>
    <t>tofia 500g</t>
  </si>
  <si>
    <t>arome fleur d'oranger</t>
  </si>
  <si>
    <t>amandes éfilet</t>
  </si>
  <si>
    <t>500g</t>
  </si>
  <si>
    <t>djeldjelan</t>
  </si>
  <si>
    <t>pistache</t>
  </si>
  <si>
    <t>300g</t>
  </si>
  <si>
    <t>la gelée</t>
  </si>
  <si>
    <t>noix</t>
  </si>
  <si>
    <t>700g</t>
  </si>
  <si>
    <t>amande noir</t>
  </si>
  <si>
    <t>1kg</t>
  </si>
  <si>
    <t>framboise</t>
  </si>
  <si>
    <t>Quissettes dorée N10</t>
  </si>
  <si>
    <t>balance</t>
  </si>
  <si>
    <t>organza5.5</t>
  </si>
  <si>
    <t>orgonza4.5</t>
  </si>
  <si>
    <t xml:space="preserve">3akeri </t>
  </si>
  <si>
    <t>02kg</t>
  </si>
  <si>
    <t>boites 08/07</t>
  </si>
  <si>
    <t>1 fardeaux de 100</t>
  </si>
  <si>
    <t>boites 24/07</t>
  </si>
  <si>
    <t>1 fardeaux de50</t>
  </si>
  <si>
    <t>boites de 36/07</t>
  </si>
  <si>
    <t>1 fardeaux de 50</t>
  </si>
  <si>
    <t>boites de 48/10</t>
  </si>
  <si>
    <t>2 fardeaux de 50</t>
  </si>
  <si>
    <t>les gants</t>
  </si>
  <si>
    <t>1 boite</t>
  </si>
  <si>
    <t xml:space="preserve"> extincteur</t>
  </si>
  <si>
    <t>Leuvre de Bièrre 500g la boite</t>
  </si>
  <si>
    <t>9 boites de 500g</t>
  </si>
  <si>
    <t xml:space="preserve">chocolat à tartiner </t>
  </si>
  <si>
    <t xml:space="preserve">1 bidon de 7kg </t>
  </si>
  <si>
    <t>chocolat wedjedane blanc</t>
  </si>
  <si>
    <t>2 boites de 250g</t>
  </si>
  <si>
    <t xml:space="preserve">chocolat wedjedane noisette </t>
  </si>
  <si>
    <t>3 boites de 250g</t>
  </si>
  <si>
    <t>miel Nounours 5kg</t>
  </si>
  <si>
    <t xml:space="preserve">Fromage slices cheezy </t>
  </si>
  <si>
    <t>boites demie plateau</t>
  </si>
  <si>
    <t>/</t>
  </si>
  <si>
    <t>Semen Madina 1,8kg</t>
  </si>
  <si>
    <t>16  boites</t>
  </si>
  <si>
    <t>Levure Chimique 100 Sachets /Boite</t>
  </si>
  <si>
    <t xml:space="preserve">3 boites </t>
  </si>
  <si>
    <t>Semoule SIM myenne 25kg</t>
  </si>
  <si>
    <t xml:space="preserve">2 sachets </t>
  </si>
  <si>
    <t xml:space="preserve">huile elio 2 litres </t>
  </si>
  <si>
    <t>20 fardeaux</t>
  </si>
  <si>
    <t>Boite Raib</t>
  </si>
  <si>
    <t>1 fardeau de 100 boites</t>
  </si>
  <si>
    <t xml:space="preserve">Barquettes plastique </t>
  </si>
  <si>
    <t>1 fardeau de 100</t>
  </si>
  <si>
    <t>Vinaigre 1 litre</t>
  </si>
  <si>
    <t>Farine Maria T55 1kg</t>
  </si>
  <si>
    <t>Sel</t>
  </si>
  <si>
    <t>20 kg</t>
  </si>
  <si>
    <t>Tomate conserve Dahra 1kg</t>
  </si>
  <si>
    <t xml:space="preserve">1 fardeau de 12 boites </t>
  </si>
  <si>
    <t>barquettes en aluminium 1065</t>
  </si>
  <si>
    <t>1 fardeau</t>
  </si>
  <si>
    <t>Margarine Fleurial 250g*40/carton</t>
  </si>
  <si>
    <t>fromage blanc barre la bonne vache 1,7kg</t>
  </si>
  <si>
    <t xml:space="preserve">fromage bidon 1.7kg </t>
  </si>
  <si>
    <t>Margarine Parisienne 500g</t>
  </si>
  <si>
    <t xml:space="preserve">5 Boites </t>
  </si>
  <si>
    <t>papier Aluminium 200m*6</t>
  </si>
  <si>
    <t xml:space="preserve">Maa zehar </t>
  </si>
  <si>
    <t>Sucre cristalisé 25kg</t>
  </si>
  <si>
    <t>semoule Amor Ben Amor 25kg</t>
  </si>
  <si>
    <t>Farine Alama T55</t>
  </si>
  <si>
    <t>10 fardedeaux de 9kg</t>
  </si>
  <si>
    <t xml:space="preserve">Farine Sim </t>
  </si>
  <si>
    <t>4  fardeaux de 9kg</t>
  </si>
  <si>
    <t>viande hachée</t>
  </si>
  <si>
    <t>bessel</t>
  </si>
  <si>
    <t>10kg</t>
  </si>
  <si>
    <t>oeufs</t>
  </si>
  <si>
    <t xml:space="preserve">transport marchandise </t>
  </si>
  <si>
    <t>rechta</t>
  </si>
  <si>
    <t>poulet haché</t>
  </si>
  <si>
    <t xml:space="preserve">blanc de poulet </t>
  </si>
  <si>
    <t>600g</t>
  </si>
  <si>
    <t>épinard+ persil+Thym</t>
  </si>
  <si>
    <t>5+2+3</t>
  </si>
  <si>
    <t>olive éfilet</t>
  </si>
  <si>
    <t>légumes</t>
  </si>
  <si>
    <t xml:space="preserve">tomate fraiche </t>
  </si>
  <si>
    <t>3kg</t>
  </si>
  <si>
    <t xml:space="preserve">tomates fraiche salade </t>
  </si>
  <si>
    <t>2kg</t>
  </si>
  <si>
    <t>salade</t>
  </si>
  <si>
    <t>pomme de terre</t>
  </si>
  <si>
    <t>harrissa</t>
  </si>
  <si>
    <t>2 boites</t>
  </si>
  <si>
    <t>Harrissa</t>
  </si>
  <si>
    <t>12 boites</t>
  </si>
  <si>
    <t>Tomate conserve zahra</t>
  </si>
  <si>
    <t xml:space="preserve">12 boites </t>
  </si>
  <si>
    <t>sachets transparent</t>
  </si>
  <si>
    <t>Mais princesse 800 g</t>
  </si>
  <si>
    <t>30kg</t>
  </si>
  <si>
    <t>poivre + poivron</t>
  </si>
  <si>
    <t>6+3</t>
  </si>
  <si>
    <t>olive noir vert mauve</t>
  </si>
  <si>
    <t>5+2</t>
  </si>
  <si>
    <t>2 plateaux</t>
  </si>
  <si>
    <t>14 fardeaux</t>
  </si>
  <si>
    <t>margarine fleurial 500g barquette</t>
  </si>
  <si>
    <t>5-10 barquets</t>
  </si>
  <si>
    <t>1,5kg</t>
  </si>
  <si>
    <t xml:space="preserve">Rechta </t>
  </si>
  <si>
    <t xml:space="preserve">poivron </t>
  </si>
  <si>
    <t xml:space="preserve">chiffons </t>
  </si>
  <si>
    <t>citron</t>
  </si>
  <si>
    <t xml:space="preserve">colorant </t>
  </si>
  <si>
    <t>demie cuisses</t>
  </si>
  <si>
    <t>erida</t>
  </si>
  <si>
    <t>Hamiss</t>
  </si>
  <si>
    <t>heech</t>
  </si>
  <si>
    <t>5kg</t>
  </si>
  <si>
    <t>3 plateaux</t>
  </si>
  <si>
    <t>4kg</t>
  </si>
  <si>
    <t xml:space="preserve">carotte , foul, couregette </t>
  </si>
  <si>
    <t xml:space="preserve">petit pois </t>
  </si>
  <si>
    <t>épinard+ persil+Thym+coriandre</t>
  </si>
  <si>
    <t>5+2+3+4</t>
  </si>
  <si>
    <t>djefena</t>
  </si>
  <si>
    <t>deyoul</t>
  </si>
  <si>
    <t>olive efilet+ dényauté</t>
  </si>
  <si>
    <t>cousscouss</t>
  </si>
  <si>
    <t>2.5kg</t>
  </si>
  <si>
    <t xml:space="preserve">fromage cheezy </t>
  </si>
  <si>
    <t>viandemorceaux</t>
  </si>
  <si>
    <t>frik</t>
  </si>
  <si>
    <t>ail</t>
  </si>
  <si>
    <t xml:space="preserve">olive noir   </t>
  </si>
  <si>
    <t>hamissa</t>
  </si>
  <si>
    <t>vénigrètte</t>
  </si>
  <si>
    <t>barquettes 1065</t>
  </si>
  <si>
    <t xml:space="preserve">boites </t>
  </si>
  <si>
    <t>gherss</t>
  </si>
  <si>
    <t xml:space="preserve">portes manger 30 litres </t>
  </si>
  <si>
    <t>eau</t>
  </si>
  <si>
    <t xml:space="preserve">3 fardeau de 5 litres </t>
  </si>
  <si>
    <t>bon de livraison</t>
  </si>
  <si>
    <t>secotch</t>
  </si>
  <si>
    <t>salade + concombre</t>
  </si>
  <si>
    <t>2+5</t>
  </si>
  <si>
    <t xml:space="preserve">briquets </t>
  </si>
  <si>
    <t xml:space="preserve">registre </t>
  </si>
  <si>
    <t>foul</t>
  </si>
  <si>
    <t xml:space="preserve">cuisses </t>
  </si>
  <si>
    <t>viande morceaux</t>
  </si>
  <si>
    <t>torechi</t>
  </si>
  <si>
    <t xml:space="preserve">légumes </t>
  </si>
  <si>
    <t>1+1+1+1</t>
  </si>
  <si>
    <t>16kg</t>
  </si>
  <si>
    <t xml:space="preserve">olive mélange </t>
  </si>
  <si>
    <t>djeldjlane</t>
  </si>
  <si>
    <t>gheress</t>
  </si>
  <si>
    <t>isis+javel</t>
  </si>
  <si>
    <t xml:space="preserve">lavette + rapeuse </t>
  </si>
  <si>
    <t>100+250</t>
  </si>
  <si>
    <t>flexy ooredoo</t>
  </si>
  <si>
    <t>flexy internet</t>
  </si>
  <si>
    <t>boites rouge 48/10</t>
  </si>
  <si>
    <t>boites 36/07</t>
  </si>
  <si>
    <t>boites 12/07</t>
  </si>
  <si>
    <t>boites08/07</t>
  </si>
  <si>
    <t>fromage djeezy</t>
  </si>
  <si>
    <t>beurre 250g</t>
  </si>
  <si>
    <t>MMotif bébé</t>
  </si>
  <si>
    <t xml:space="preserve">beurre  </t>
  </si>
  <si>
    <t>dragé naissance bébé</t>
  </si>
  <si>
    <t xml:space="preserve">bébé pate à sucre </t>
  </si>
  <si>
    <t>pate à sucre  nacré</t>
  </si>
  <si>
    <t>caissette à chaud cigar</t>
  </si>
  <si>
    <t>médicament</t>
  </si>
  <si>
    <t>1.5 cartons</t>
  </si>
  <si>
    <t>épices</t>
  </si>
  <si>
    <t>15kg</t>
  </si>
  <si>
    <t xml:space="preserve">pain </t>
  </si>
  <si>
    <t>cuisses entières</t>
  </si>
  <si>
    <t>barquettes aluminium</t>
  </si>
  <si>
    <t>280g</t>
  </si>
  <si>
    <t>olive éfilet + olive dénoyauté</t>
  </si>
  <si>
    <t>500g+500g</t>
  </si>
  <si>
    <t>olive noire</t>
  </si>
  <si>
    <t>sele9+ persil+thym</t>
  </si>
  <si>
    <t>Ka3ek Nakache</t>
  </si>
  <si>
    <t>250g</t>
  </si>
  <si>
    <t xml:space="preserve">escalope </t>
  </si>
  <si>
    <t xml:space="preserve">isis </t>
  </si>
  <si>
    <t>Boites 36/07</t>
  </si>
  <si>
    <t>Boites 36/10</t>
  </si>
  <si>
    <t>Boites 48/10</t>
  </si>
  <si>
    <t xml:space="preserve">fromage Tip Top slices </t>
  </si>
  <si>
    <t>Semoule demie Grosse Moula  2kg</t>
  </si>
  <si>
    <t xml:space="preserve">semoule Grosse </t>
  </si>
  <si>
    <t>12kg</t>
  </si>
  <si>
    <t>Semoule Sosemie moyenne 10kg</t>
  </si>
  <si>
    <t xml:space="preserve">Tomate conserve </t>
  </si>
  <si>
    <t xml:space="preserve">Harrissa </t>
  </si>
  <si>
    <t>Confiture teloise 500g</t>
  </si>
  <si>
    <t>Transport et manitution semmar</t>
  </si>
  <si>
    <t>Amina baghrir 27/01-01/03</t>
  </si>
  <si>
    <t xml:space="preserve">rechta </t>
  </si>
  <si>
    <t>détergents</t>
  </si>
  <si>
    <t>cafardside</t>
  </si>
  <si>
    <t>teste</t>
  </si>
  <si>
    <t>sac poubelle</t>
  </si>
  <si>
    <t>force express</t>
  </si>
  <si>
    <t>800g</t>
  </si>
  <si>
    <t>ashebadh</t>
  </si>
  <si>
    <t>épinards+persil+coriandre+thym</t>
  </si>
  <si>
    <t>5+3+3+3+2</t>
  </si>
  <si>
    <t xml:space="preserve">cuisse </t>
  </si>
  <si>
    <t xml:space="preserve">olive noir </t>
  </si>
  <si>
    <t>haricot vert</t>
  </si>
  <si>
    <t>terida</t>
  </si>
  <si>
    <t>1+1</t>
  </si>
  <si>
    <t>curdent</t>
  </si>
  <si>
    <t>1.5kg</t>
  </si>
  <si>
    <t>épinard</t>
  </si>
  <si>
    <t>riz basmati</t>
  </si>
  <si>
    <t>crème fraiche</t>
  </si>
  <si>
    <t xml:space="preserve">olive éfilet  </t>
  </si>
  <si>
    <t xml:space="preserve">deyoul </t>
  </si>
  <si>
    <t>tomate</t>
  </si>
  <si>
    <t>isis</t>
  </si>
  <si>
    <t>zehor transport vendredi et samedi</t>
  </si>
  <si>
    <t xml:space="preserve">épices </t>
  </si>
  <si>
    <t>2+2+22+</t>
  </si>
  <si>
    <t>pate à filo</t>
  </si>
  <si>
    <t xml:space="preserve">épinards +persil </t>
  </si>
  <si>
    <t xml:space="preserve">éscalope </t>
  </si>
  <si>
    <t>olive dényauté</t>
  </si>
  <si>
    <t>viande chorba</t>
  </si>
  <si>
    <t>9etayef</t>
  </si>
  <si>
    <t>brocoli+ tomate cerise</t>
  </si>
  <si>
    <t>Hafida</t>
  </si>
  <si>
    <t>éléctricité</t>
  </si>
  <si>
    <t>3 mois</t>
  </si>
  <si>
    <t xml:space="preserve">poivre+ poivron+ tomate </t>
  </si>
  <si>
    <t>12+12+1kg</t>
  </si>
  <si>
    <t>épinard+thym+ persil</t>
  </si>
  <si>
    <t xml:space="preserve">ail+ 9arefa </t>
  </si>
  <si>
    <t>3+1</t>
  </si>
  <si>
    <t>Pates Sim</t>
  </si>
  <si>
    <t>lait candia</t>
  </si>
  <si>
    <t>750g</t>
  </si>
  <si>
    <t>110kg</t>
  </si>
  <si>
    <t>courgette+ carotte+ haricot vert</t>
  </si>
  <si>
    <t>500g+500g+300g</t>
  </si>
  <si>
    <t>100g</t>
  </si>
  <si>
    <t xml:space="preserve">les boites </t>
  </si>
  <si>
    <t>17+17+12</t>
  </si>
  <si>
    <t>22+18+32</t>
  </si>
  <si>
    <t>Zehor transprot vendredi</t>
  </si>
  <si>
    <t>miel</t>
  </si>
  <si>
    <t>5 boites de 1kg</t>
  </si>
  <si>
    <t xml:space="preserve">8 bidons de 5 litres </t>
  </si>
  <si>
    <t>lahssen coursse de poubelles</t>
  </si>
  <si>
    <t>poulet hachée</t>
  </si>
  <si>
    <t xml:space="preserve">salade </t>
  </si>
  <si>
    <t>épinards</t>
  </si>
  <si>
    <t xml:space="preserve">petits pois </t>
  </si>
  <si>
    <t>olive noir</t>
  </si>
  <si>
    <t>maiis</t>
  </si>
  <si>
    <t>Souad ka3ek nakach</t>
  </si>
  <si>
    <t xml:space="preserve">semoule blé Bio </t>
  </si>
  <si>
    <t>escalope de dinde</t>
  </si>
  <si>
    <t>poivre + poivron+ tomate</t>
  </si>
  <si>
    <t>14+14+1</t>
  </si>
  <si>
    <t>escalope</t>
  </si>
  <si>
    <t xml:space="preserve">lentille </t>
  </si>
  <si>
    <t>poulet haché+ blanc de poulet</t>
  </si>
  <si>
    <t>30/03/0202</t>
  </si>
  <si>
    <t xml:space="preserve">escalope de dinde </t>
  </si>
  <si>
    <t>TOTALE</t>
  </si>
  <si>
    <t>Zehor</t>
  </si>
  <si>
    <t>Soumia</t>
  </si>
  <si>
    <t xml:space="preserve">Nadjet </t>
  </si>
  <si>
    <t>Hadjer</t>
  </si>
  <si>
    <t>Amel</t>
  </si>
  <si>
    <t>Marwa</t>
  </si>
  <si>
    <t>djamila</t>
  </si>
  <si>
    <t xml:space="preserve">Mounia </t>
  </si>
  <si>
    <t>Soumeya</t>
  </si>
  <si>
    <t>Houda</t>
  </si>
  <si>
    <t>Noura</t>
  </si>
  <si>
    <t xml:space="preserve">Samira </t>
  </si>
  <si>
    <t>Hafidha</t>
  </si>
  <si>
    <t>Zahida</t>
  </si>
  <si>
    <t>elyoum zehor djate à 08h40 Amel 08h50 et Hafida 08h55</t>
  </si>
  <si>
    <t>zehor et hadjer djaw à 08h50 Hafida à 09h</t>
  </si>
  <si>
    <t>Hafida djate à 11h et kharedjet à 18h</t>
  </si>
  <si>
    <t xml:space="preserve">la journnée international des droits des femmes on leurs a donné la demie journée </t>
  </si>
  <si>
    <t>f</t>
  </si>
  <si>
    <t xml:space="preserve">elyoum ma kanetech 3anedehom khadema bezaaf </t>
  </si>
  <si>
    <t>samira djate à 13h + zahida ra7et à 13h30et elate à 16h</t>
  </si>
  <si>
    <t>hadjer djate à 09h50 et ma khademetech tt la journnée</t>
  </si>
  <si>
    <t xml:space="preserve">hadjer kanet merida et maq kanetech khadema donc 9a3edet tediri ménage </t>
  </si>
  <si>
    <t>Houda kharedjet à 14h30</t>
  </si>
  <si>
    <t xml:space="preserve">Houda ra7et 3aned le médecin we welate </t>
  </si>
  <si>
    <t xml:space="preserve">Nom </t>
  </si>
  <si>
    <t>Avance</t>
  </si>
  <si>
    <t xml:space="preserve">Salaire à payer </t>
  </si>
  <si>
    <t>1000+ 10000+2000+11000</t>
  </si>
  <si>
    <t>Nadjet</t>
  </si>
  <si>
    <t>1000+23500</t>
  </si>
  <si>
    <t>2000+7000+3000+1000+5000+7000+2000</t>
  </si>
  <si>
    <t>Djamila</t>
  </si>
  <si>
    <t>4000+24500</t>
  </si>
  <si>
    <t>Samira</t>
  </si>
  <si>
    <t xml:space="preserve">Faiza a pris 1000Da </t>
  </si>
  <si>
    <t>5000+2000+3000+2000+3000+2000+2000</t>
  </si>
  <si>
    <t>Mounia</t>
  </si>
  <si>
    <t>TOTAL</t>
  </si>
  <si>
    <t xml:space="preserve">Mois de Janvier </t>
  </si>
  <si>
    <t>Mois de Mars</t>
  </si>
  <si>
    <t>Salaires</t>
  </si>
  <si>
    <t xml:space="preserve">Profit Net </t>
  </si>
  <si>
    <t>Moyenne / jour</t>
  </si>
  <si>
    <t>Moyenne réelle</t>
  </si>
  <si>
    <t xml:space="preserve">Objectif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</si>
</sst>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dd/mm/yyyy"/>
    <numFmt numFmtId="165" formatCode="#,##0.00\ [$€-1]"/>
    <numFmt numFmtId="166" formatCode="d.m"/>
  </numFmts>
  <fonts count="18">
    <font>
      <sz val="10.0"/>
      <color rgb="FF000000"/>
      <name val="Arial"/>
      <scheme val="minor"/>
    </font>
    <font>
      <color theme="1"/>
      <name val="Arial"/>
    </font>
    <font>
      <b/>
      <sz val="14.0"/>
      <color theme="1"/>
      <name val="Arial"/>
    </font>
    <font>
      <sz val="14.0"/>
      <color theme="1"/>
      <name val="Arial"/>
    </font>
    <font>
      <b/>
      <sz val="12.0"/>
      <color theme="1"/>
      <name val="Arial"/>
    </font>
    <font>
      <sz val="12.0"/>
      <color theme="1"/>
      <name val="Arial"/>
      <scheme val="minor"/>
    </font>
    <font>
      <b/>
      <sz val="14.0"/>
      <color rgb="FFFF0000"/>
      <name val="Arial"/>
    </font>
    <font>
      <b/>
      <sz val="14.0"/>
      <color rgb="FFFFFF00"/>
      <name val="Arial"/>
    </font>
    <font>
      <sz val="12.0"/>
      <color theme="1"/>
      <name val="Arial"/>
    </font>
    <font>
      <color theme="1"/>
      <name val="Arial"/>
      <scheme val="minor"/>
    </font>
    <font>
      <b/>
      <sz val="18.0"/>
      <color theme="1"/>
      <name val="Arial"/>
    </font>
    <font>
      <sz val="14.0"/>
      <color rgb="FF000000"/>
      <name val="Arial"/>
    </font>
    <font>
      <b/>
      <sz val="14.0"/>
      <color rgb="FF000000"/>
      <name val="Arial"/>
    </font>
    <font>
      <sz val="14.0"/>
      <color rgb="FF434343"/>
      <name val="Arial"/>
    </font>
    <font>
      <b/>
      <sz val="14.0"/>
      <color rgb="FF1C4587"/>
      <name val="Arial"/>
    </font>
    <font>
      <sz val="18.0"/>
      <color theme="1"/>
      <name val="Arial"/>
    </font>
    <font>
      <b/>
      <sz val="14.0"/>
      <color theme="1"/>
      <name val="Arial"/>
      <scheme val="minor"/>
    </font>
    <font>
      <sz val="14.0"/>
      <color theme="1"/>
      <name val="Arial"/>
      <scheme val="minor"/>
    </font>
  </fonts>
  <fills count="12">
    <fill>
      <patternFill patternType="none"/>
    </fill>
    <fill>
      <patternFill patternType="lightGray"/>
    </fill>
    <fill>
      <patternFill patternType="solid">
        <fgColor rgb="FF0000FF"/>
        <bgColor rgb="FF0000FF"/>
      </patternFill>
    </fill>
    <fill>
      <patternFill patternType="solid">
        <fgColor rgb="FFFFFFFF"/>
        <bgColor rgb="FFFFFFFF"/>
      </patternFill>
    </fill>
    <fill>
      <patternFill patternType="solid">
        <fgColor rgb="FFFF00FF"/>
        <bgColor rgb="FFFF00FF"/>
      </patternFill>
    </fill>
    <fill>
      <patternFill patternType="solid">
        <fgColor rgb="FF00FFFF"/>
        <bgColor rgb="FF00FFFF"/>
      </patternFill>
    </fill>
    <fill>
      <patternFill patternType="solid">
        <fgColor rgb="FF00FF00"/>
        <bgColor rgb="FF00FF00"/>
      </patternFill>
    </fill>
    <fill>
      <patternFill patternType="solid">
        <fgColor rgb="FFFFFF00"/>
        <bgColor rgb="FFFFFF00"/>
      </patternFill>
    </fill>
    <fill>
      <patternFill patternType="solid">
        <fgColor rgb="FFFF0000"/>
        <bgColor rgb="FFFF0000"/>
      </patternFill>
    </fill>
    <fill>
      <patternFill patternType="solid">
        <fgColor rgb="FF3C78D8"/>
        <bgColor rgb="FF3C78D8"/>
      </patternFill>
    </fill>
    <fill>
      <patternFill patternType="solid">
        <fgColor theme="0"/>
        <bgColor theme="0"/>
      </patternFill>
    </fill>
    <fill>
      <patternFill patternType="solid">
        <fgColor rgb="FFFF9900"/>
        <bgColor rgb="FFFF99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1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right" vertical="bottom"/>
    </xf>
    <xf borderId="1" fillId="2" fontId="2" numFmtId="0" xfId="0" applyAlignment="1" applyBorder="1" applyFill="1" applyFont="1">
      <alignment horizontal="center" vertical="bottom"/>
    </xf>
    <xf borderId="1" fillId="2" fontId="2" numFmtId="0" xfId="0" applyAlignment="1" applyBorder="1" applyFont="1">
      <alignment horizontal="center" readingOrder="0" vertical="bottom"/>
    </xf>
    <xf borderId="1" fillId="2" fontId="3" numFmtId="0" xfId="0" applyAlignment="1" applyBorder="1" applyFont="1">
      <alignment horizontal="center" vertical="bottom"/>
    </xf>
    <xf borderId="1" fillId="3" fontId="1" numFmtId="0" xfId="0" applyAlignment="1" applyBorder="1" applyFill="1" applyFont="1">
      <alignment vertical="bottom"/>
    </xf>
    <xf borderId="1" fillId="4" fontId="2" numFmtId="0" xfId="0" applyAlignment="1" applyBorder="1" applyFill="1" applyFont="1">
      <alignment horizontal="center" vertical="bottom"/>
    </xf>
    <xf borderId="1" fillId="5" fontId="4" numFmtId="0" xfId="0" applyAlignment="1" applyBorder="1" applyFill="1" applyFont="1">
      <alignment horizontal="center" readingOrder="0" vertical="bottom"/>
    </xf>
    <xf borderId="0" fillId="0" fontId="1" numFmtId="0" xfId="0" applyAlignment="1" applyFont="1">
      <alignment vertical="bottom"/>
    </xf>
    <xf borderId="0" fillId="4" fontId="2" numFmtId="0" xfId="0" applyAlignment="1" applyFont="1">
      <alignment horizontal="center" vertical="bottom"/>
    </xf>
    <xf borderId="1" fillId="3" fontId="2" numFmtId="0" xfId="0" applyAlignment="1" applyBorder="1" applyFont="1">
      <alignment horizontal="center" vertical="bottom"/>
    </xf>
    <xf borderId="1" fillId="3" fontId="3" numFmtId="164" xfId="0" applyAlignment="1" applyBorder="1" applyFont="1" applyNumberFormat="1">
      <alignment horizontal="center" readingOrder="0" vertical="bottom"/>
    </xf>
    <xf borderId="1" fillId="3" fontId="3" numFmtId="165" xfId="0" applyAlignment="1" applyBorder="1" applyFont="1" applyNumberFormat="1">
      <alignment horizontal="center" readingOrder="0" vertical="bottom"/>
    </xf>
    <xf borderId="1" fillId="3" fontId="3" numFmtId="0" xfId="0" applyAlignment="1" applyBorder="1" applyFont="1">
      <alignment horizontal="center" readingOrder="0" vertical="bottom"/>
    </xf>
    <xf borderId="1" fillId="3" fontId="1" numFmtId="165" xfId="0" applyAlignment="1" applyBorder="1" applyFont="1" applyNumberFormat="1">
      <alignment vertical="bottom"/>
    </xf>
    <xf borderId="1" fillId="3" fontId="3" numFmtId="165" xfId="0" applyAlignment="1" applyBorder="1" applyFont="1" applyNumberFormat="1">
      <alignment horizontal="center" vertical="bottom"/>
    </xf>
    <xf borderId="0" fillId="5" fontId="2" numFmtId="165" xfId="0" applyAlignment="1" applyFont="1" applyNumberFormat="1">
      <alignment horizontal="center" vertical="bottom"/>
    </xf>
    <xf borderId="0" fillId="6" fontId="2" numFmtId="165" xfId="0" applyAlignment="1" applyFill="1" applyFont="1" applyNumberFormat="1">
      <alignment horizontal="center" vertical="bottom"/>
    </xf>
    <xf borderId="1" fillId="6" fontId="2" numFmtId="0" xfId="0" applyAlignment="1" applyBorder="1" applyFont="1">
      <alignment horizontal="center" vertical="bottom"/>
    </xf>
    <xf borderId="1" fillId="6" fontId="3" numFmtId="165" xfId="0" applyAlignment="1" applyBorder="1" applyFont="1" applyNumberFormat="1">
      <alignment horizontal="center" readingOrder="0" vertical="bottom"/>
    </xf>
    <xf borderId="1" fillId="7" fontId="2" numFmtId="0" xfId="0" applyAlignment="1" applyBorder="1" applyFill="1" applyFont="1">
      <alignment horizontal="center" vertical="bottom"/>
    </xf>
    <xf borderId="0" fillId="0" fontId="5" numFmtId="0" xfId="0" applyAlignment="1" applyFont="1">
      <alignment readingOrder="0"/>
    </xf>
    <xf borderId="1" fillId="6" fontId="2" numFmtId="165" xfId="0" applyAlignment="1" applyBorder="1" applyFont="1" applyNumberFormat="1">
      <alignment horizontal="center" vertical="bottom"/>
    </xf>
    <xf borderId="1" fillId="5" fontId="2" numFmtId="165" xfId="0" applyAlignment="1" applyBorder="1" applyFont="1" applyNumberFormat="1">
      <alignment horizontal="center" readingOrder="0" vertical="bottom"/>
    </xf>
    <xf borderId="0" fillId="0" fontId="5" numFmtId="165" xfId="0" applyAlignment="1" applyFont="1" applyNumberFormat="1">
      <alignment readingOrder="0"/>
    </xf>
    <xf borderId="0" fillId="0" fontId="5" numFmtId="0" xfId="0" applyFont="1"/>
    <xf borderId="1" fillId="0" fontId="3" numFmtId="0" xfId="0" applyAlignment="1" applyBorder="1" applyFont="1">
      <alignment horizontal="center" readingOrder="0" vertical="bottom"/>
    </xf>
    <xf borderId="1" fillId="0" fontId="3" numFmtId="165" xfId="0" applyAlignment="1" applyBorder="1" applyFont="1" applyNumberFormat="1">
      <alignment horizontal="center" readingOrder="0" vertical="bottom"/>
    </xf>
    <xf borderId="0" fillId="0" fontId="3" numFmtId="165" xfId="0" applyAlignment="1" applyFont="1" applyNumberFormat="1">
      <alignment horizontal="center" vertical="bottom"/>
    </xf>
    <xf borderId="0" fillId="0" fontId="3" numFmtId="165" xfId="0" applyAlignment="1" applyFont="1" applyNumberFormat="1">
      <alignment horizontal="center" readingOrder="0" vertical="bottom"/>
    </xf>
    <xf borderId="0" fillId="0" fontId="1" numFmtId="165" xfId="0" applyAlignment="1" applyFont="1" applyNumberFormat="1">
      <alignment vertical="bottom"/>
    </xf>
    <xf borderId="0" fillId="3" fontId="1" numFmtId="165" xfId="0" applyAlignment="1" applyFont="1" applyNumberFormat="1">
      <alignment vertical="bottom"/>
    </xf>
    <xf borderId="0" fillId="7" fontId="6" numFmtId="165" xfId="0" applyAlignment="1" applyFont="1" applyNumberFormat="1">
      <alignment horizontal="center" readingOrder="0" vertical="bottom"/>
    </xf>
    <xf borderId="0" fillId="3" fontId="3" numFmtId="165" xfId="0" applyAlignment="1" applyFont="1" applyNumberFormat="1">
      <alignment horizontal="center" vertical="bottom"/>
    </xf>
    <xf borderId="0" fillId="8" fontId="7" numFmtId="0" xfId="0" applyAlignment="1" applyFill="1" applyFont="1">
      <alignment horizontal="center" vertical="bottom"/>
    </xf>
    <xf borderId="1" fillId="0" fontId="3" numFmtId="0" xfId="0" applyAlignment="1" applyBorder="1" applyFont="1">
      <alignment horizontal="center" vertical="bottom"/>
    </xf>
    <xf borderId="1" fillId="0" fontId="3" numFmtId="165" xfId="0" applyAlignment="1" applyBorder="1" applyFont="1" applyNumberFormat="1">
      <alignment horizontal="center" vertical="bottom"/>
    </xf>
    <xf borderId="1" fillId="6" fontId="3" numFmtId="0" xfId="0" applyAlignment="1" applyBorder="1" applyFont="1">
      <alignment horizontal="center" readingOrder="0" vertical="bottom"/>
    </xf>
    <xf borderId="0" fillId="0" fontId="8" numFmtId="0" xfId="0" applyAlignment="1" applyFont="1">
      <alignment vertical="bottom"/>
    </xf>
    <xf borderId="0" fillId="0" fontId="8" numFmtId="165" xfId="0" applyAlignment="1" applyFont="1" applyNumberFormat="1">
      <alignment readingOrder="0" vertical="bottom"/>
    </xf>
    <xf borderId="1" fillId="8" fontId="3" numFmtId="0" xfId="0" applyAlignment="1" applyBorder="1" applyFont="1">
      <alignment horizontal="center" readingOrder="0" vertical="bottom"/>
    </xf>
    <xf borderId="1" fillId="3" fontId="2" numFmtId="0" xfId="0" applyAlignment="1" applyBorder="1" applyFont="1">
      <alignment horizontal="center" readingOrder="0" vertical="bottom"/>
    </xf>
    <xf borderId="1" fillId="5" fontId="2" numFmtId="165" xfId="0" applyAlignment="1" applyBorder="1" applyFont="1" applyNumberFormat="1">
      <alignment horizontal="center" vertical="bottom"/>
    </xf>
    <xf borderId="1" fillId="8" fontId="2" numFmtId="165" xfId="0" applyAlignment="1" applyBorder="1" applyFont="1" applyNumberFormat="1">
      <alignment horizontal="center" vertical="bottom"/>
    </xf>
    <xf borderId="1" fillId="9" fontId="2" numFmtId="165" xfId="0" applyAlignment="1" applyBorder="1" applyFill="1" applyFont="1" applyNumberFormat="1">
      <alignment horizontal="center" vertical="bottom"/>
    </xf>
    <xf borderId="1" fillId="7" fontId="2" numFmtId="165" xfId="0" applyAlignment="1" applyBorder="1" applyFont="1" applyNumberFormat="1">
      <alignment horizontal="center" vertical="bottom"/>
    </xf>
    <xf borderId="1" fillId="0" fontId="1" numFmtId="0" xfId="0" applyAlignment="1" applyBorder="1" applyFont="1">
      <alignment vertical="bottom"/>
    </xf>
    <xf borderId="1" fillId="0" fontId="2" numFmtId="165" xfId="0" applyAlignment="1" applyBorder="1" applyFont="1" applyNumberFormat="1">
      <alignment horizontal="center" readingOrder="0" vertical="bottom"/>
    </xf>
    <xf borderId="1" fillId="0" fontId="2" numFmtId="165" xfId="0" applyAlignment="1" applyBorder="1" applyFont="1" applyNumberFormat="1">
      <alignment horizontal="center" vertical="bottom"/>
    </xf>
    <xf borderId="1" fillId="0" fontId="2" numFmtId="0" xfId="0" applyAlignment="1" applyBorder="1" applyFont="1">
      <alignment horizontal="center" readingOrder="0" vertical="bottom"/>
    </xf>
    <xf borderId="1" fillId="6" fontId="2" numFmtId="165" xfId="0" applyAlignment="1" applyBorder="1" applyFont="1" applyNumberFormat="1">
      <alignment horizontal="center" readingOrder="0" vertical="bottom"/>
    </xf>
    <xf borderId="1" fillId="8" fontId="2" numFmtId="165" xfId="0" applyAlignment="1" applyBorder="1" applyFont="1" applyNumberFormat="1">
      <alignment horizontal="center" readingOrder="0" vertical="bottom"/>
    </xf>
    <xf borderId="1" fillId="9" fontId="2" numFmtId="165" xfId="0" applyAlignment="1" applyBorder="1" applyFont="1" applyNumberFormat="1">
      <alignment horizontal="center" readingOrder="0" vertical="bottom"/>
    </xf>
    <xf borderId="0" fillId="0" fontId="9" numFmtId="0" xfId="0" applyAlignment="1" applyFont="1">
      <alignment readingOrder="0"/>
    </xf>
    <xf borderId="0" fillId="6" fontId="10" numFmtId="0" xfId="0" applyAlignment="1" applyFont="1">
      <alignment horizontal="center" vertical="bottom"/>
    </xf>
    <xf borderId="1" fillId="6" fontId="10" numFmtId="0" xfId="0" applyAlignment="1" applyBorder="1" applyFont="1">
      <alignment horizontal="center" vertical="bottom"/>
    </xf>
    <xf borderId="1" fillId="5" fontId="3" numFmtId="0" xfId="0" applyAlignment="1" applyBorder="1" applyFont="1">
      <alignment horizontal="center" readingOrder="0" vertical="bottom"/>
    </xf>
    <xf borderId="1" fillId="5" fontId="3" numFmtId="165" xfId="0" applyAlignment="1" applyBorder="1" applyFont="1" applyNumberFormat="1">
      <alignment horizontal="center" readingOrder="0" vertical="bottom"/>
    </xf>
    <xf borderId="1" fillId="5" fontId="3" numFmtId="164" xfId="0" applyAlignment="1" applyBorder="1" applyFont="1" applyNumberFormat="1">
      <alignment horizontal="center" readingOrder="0" vertical="bottom"/>
    </xf>
    <xf borderId="1" fillId="3" fontId="3" numFmtId="0" xfId="0" applyAlignment="1" applyBorder="1" applyFont="1">
      <alignment horizontal="center" vertical="bottom"/>
    </xf>
    <xf borderId="1" fillId="3" fontId="3" numFmtId="164" xfId="0" applyAlignment="1" applyBorder="1" applyFont="1" applyNumberFormat="1">
      <alignment horizontal="center" vertical="bottom"/>
    </xf>
    <xf borderId="0" fillId="6" fontId="3" numFmtId="0" xfId="0" applyAlignment="1" applyFont="1">
      <alignment horizontal="center" vertical="bottom"/>
    </xf>
    <xf borderId="1" fillId="6" fontId="3" numFmtId="165" xfId="0" applyAlignment="1" applyBorder="1" applyFont="1" applyNumberFormat="1">
      <alignment horizontal="center" vertical="bottom"/>
    </xf>
    <xf borderId="1" fillId="6" fontId="3" numFmtId="164" xfId="0" applyAlignment="1" applyBorder="1" applyFont="1" applyNumberFormat="1">
      <alignment horizontal="center" vertical="bottom"/>
    </xf>
    <xf borderId="1" fillId="6" fontId="3" numFmtId="0" xfId="0" applyAlignment="1" applyBorder="1" applyFont="1">
      <alignment horizontal="center" vertical="bottom"/>
    </xf>
    <xf borderId="1" fillId="10" fontId="3" numFmtId="0" xfId="0" applyAlignment="1" applyBorder="1" applyFill="1" applyFont="1">
      <alignment horizontal="center" vertical="bottom"/>
    </xf>
    <xf borderId="1" fillId="10" fontId="3" numFmtId="0" xfId="0" applyAlignment="1" applyBorder="1" applyFont="1">
      <alignment horizontal="center" readingOrder="0" vertical="bottom"/>
    </xf>
    <xf borderId="1" fillId="10" fontId="3" numFmtId="165" xfId="0" applyAlignment="1" applyBorder="1" applyFont="1" applyNumberFormat="1">
      <alignment horizontal="center" vertical="bottom"/>
    </xf>
    <xf borderId="1" fillId="10" fontId="3" numFmtId="165" xfId="0" applyAlignment="1" applyBorder="1" applyFont="1" applyNumberFormat="1">
      <alignment horizontal="center" readingOrder="0" vertical="bottom"/>
    </xf>
    <xf borderId="1" fillId="10" fontId="3" numFmtId="164" xfId="0" applyAlignment="1" applyBorder="1" applyFont="1" applyNumberFormat="1">
      <alignment horizontal="center" vertical="bottom"/>
    </xf>
    <xf borderId="1" fillId="10" fontId="2" numFmtId="165" xfId="0" applyAlignment="1" applyBorder="1" applyFont="1" applyNumberFormat="1">
      <alignment horizontal="center" readingOrder="0" vertical="bottom"/>
    </xf>
    <xf borderId="1" fillId="10" fontId="3" numFmtId="164" xfId="0" applyAlignment="1" applyBorder="1" applyFont="1" applyNumberFormat="1">
      <alignment horizontal="center" readingOrder="0" vertical="bottom"/>
    </xf>
    <xf borderId="0" fillId="10" fontId="3" numFmtId="0" xfId="0" applyAlignment="1" applyFont="1">
      <alignment horizontal="center" vertical="bottom"/>
    </xf>
    <xf borderId="0" fillId="3" fontId="3" numFmtId="0" xfId="0" applyAlignment="1" applyFont="1">
      <alignment horizontal="center" vertical="bottom"/>
    </xf>
    <xf borderId="1" fillId="3" fontId="2" numFmtId="165" xfId="0" applyAlignment="1" applyBorder="1" applyFont="1" applyNumberFormat="1">
      <alignment horizontal="center" readingOrder="0" vertical="bottom"/>
    </xf>
    <xf borderId="1" fillId="3" fontId="3" numFmtId="166" xfId="0" applyAlignment="1" applyBorder="1" applyFont="1" applyNumberFormat="1">
      <alignment horizontal="center" readingOrder="0" vertical="bottom"/>
    </xf>
    <xf borderId="1" fillId="7" fontId="3" numFmtId="0" xfId="0" applyAlignment="1" applyBorder="1" applyFont="1">
      <alignment horizontal="center" readingOrder="0" vertical="bottom"/>
    </xf>
    <xf borderId="1" fillId="7" fontId="3" numFmtId="165" xfId="0" applyAlignment="1" applyBorder="1" applyFont="1" applyNumberFormat="1">
      <alignment horizontal="center" readingOrder="0" vertical="bottom"/>
    </xf>
    <xf borderId="1" fillId="7" fontId="3" numFmtId="164" xfId="0" applyAlignment="1" applyBorder="1" applyFont="1" applyNumberFormat="1">
      <alignment horizontal="center" readingOrder="0" vertical="bottom"/>
    </xf>
    <xf borderId="1" fillId="7" fontId="6" numFmtId="0" xfId="0" applyAlignment="1" applyBorder="1" applyFont="1">
      <alignment horizontal="center" vertical="bottom"/>
    </xf>
    <xf borderId="1" fillId="8" fontId="1" numFmtId="165" xfId="0" applyAlignment="1" applyBorder="1" applyFont="1" applyNumberFormat="1">
      <alignment vertical="bottom"/>
    </xf>
    <xf borderId="1" fillId="8" fontId="3" numFmtId="165" xfId="0" applyAlignment="1" applyBorder="1" applyFont="1" applyNumberFormat="1">
      <alignment horizontal="right" vertical="bottom"/>
    </xf>
    <xf borderId="0" fillId="2" fontId="2" numFmtId="0" xfId="0" applyAlignment="1" applyFont="1">
      <alignment horizontal="center" vertical="bottom"/>
    </xf>
    <xf borderId="1" fillId="3" fontId="3" numFmtId="0" xfId="0" applyAlignment="1" applyBorder="1" applyFont="1">
      <alignment readingOrder="0" vertical="bottom"/>
    </xf>
    <xf borderId="1" fillId="3" fontId="3" numFmtId="0" xfId="0" applyAlignment="1" applyBorder="1" applyFont="1">
      <alignment vertical="bottom"/>
    </xf>
    <xf borderId="1" fillId="6" fontId="3" numFmtId="164" xfId="0" applyAlignment="1" applyBorder="1" applyFont="1" applyNumberFormat="1">
      <alignment horizontal="center" readingOrder="0" vertical="bottom"/>
    </xf>
    <xf borderId="1" fillId="11" fontId="3" numFmtId="0" xfId="0" applyAlignment="1" applyBorder="1" applyFill="1" applyFont="1">
      <alignment horizontal="center" readingOrder="0" vertical="bottom"/>
    </xf>
    <xf borderId="1" fillId="3" fontId="8" numFmtId="0" xfId="0" applyAlignment="1" applyBorder="1" applyFont="1">
      <alignment readingOrder="0" vertical="bottom"/>
    </xf>
    <xf borderId="1" fillId="6" fontId="2" numFmtId="0" xfId="0" applyAlignment="1" applyBorder="1" applyFont="1">
      <alignment horizontal="center" readingOrder="0" vertical="bottom"/>
    </xf>
    <xf borderId="1" fillId="3" fontId="8" numFmtId="0" xfId="0" applyAlignment="1" applyBorder="1" applyFont="1">
      <alignment vertical="bottom"/>
    </xf>
    <xf borderId="1" fillId="3" fontId="8" numFmtId="0" xfId="0" applyAlignment="1" applyBorder="1" applyFont="1">
      <alignment shrinkToFit="0" vertical="bottom" wrapText="0"/>
    </xf>
    <xf borderId="1" fillId="3" fontId="11" numFmtId="0" xfId="0" applyAlignment="1" applyBorder="1" applyFont="1">
      <alignment horizontal="center" readingOrder="0" vertical="bottom"/>
    </xf>
    <xf borderId="1" fillId="8" fontId="11" numFmtId="0" xfId="0" applyAlignment="1" applyBorder="1" applyFont="1">
      <alignment horizontal="center" readingOrder="0" vertical="bottom"/>
    </xf>
    <xf borderId="1" fillId="8" fontId="2" numFmtId="0" xfId="0" applyAlignment="1" applyBorder="1" applyFont="1">
      <alignment horizontal="center" readingOrder="0" vertical="bottom"/>
    </xf>
    <xf borderId="1" fillId="3" fontId="12" numFmtId="0" xfId="0" applyAlignment="1" applyBorder="1" applyFont="1">
      <alignment horizontal="center" readingOrder="0" vertical="bottom"/>
    </xf>
    <xf borderId="1" fillId="8" fontId="12" numFmtId="0" xfId="0" applyAlignment="1" applyBorder="1" applyFont="1">
      <alignment horizontal="center" readingOrder="0" vertical="bottom"/>
    </xf>
    <xf borderId="1" fillId="3" fontId="3" numFmtId="0" xfId="0" applyAlignment="1" applyBorder="1" applyFont="1">
      <alignment horizontal="right" vertical="bottom"/>
    </xf>
    <xf borderId="1" fillId="3" fontId="13" numFmtId="165" xfId="0" applyAlignment="1" applyBorder="1" applyFont="1" applyNumberFormat="1">
      <alignment horizontal="center" readingOrder="0" vertical="bottom"/>
    </xf>
    <xf borderId="1" fillId="3" fontId="13" numFmtId="165" xfId="0" applyAlignment="1" applyBorder="1" applyFont="1" applyNumberFormat="1">
      <alignment horizontal="center" vertical="bottom"/>
    </xf>
    <xf borderId="1" fillId="6" fontId="14" numFmtId="165" xfId="0" applyAlignment="1" applyBorder="1" applyFont="1" applyNumberFormat="1">
      <alignment horizontal="center" vertical="bottom"/>
    </xf>
    <xf borderId="1" fillId="5" fontId="2" numFmtId="0" xfId="0" applyAlignment="1" applyBorder="1" applyFont="1">
      <alignment horizontal="center" vertical="bottom"/>
    </xf>
    <xf borderId="0" fillId="0" fontId="9" numFmtId="0" xfId="0" applyAlignment="1" applyFont="1">
      <alignment horizontal="left" readingOrder="0"/>
    </xf>
    <xf borderId="0" fillId="0" fontId="9" numFmtId="0" xfId="0" applyAlignment="1" applyFont="1">
      <alignment horizontal="left"/>
    </xf>
    <xf borderId="1" fillId="6" fontId="15" numFmtId="0" xfId="0" applyAlignment="1" applyBorder="1" applyFont="1">
      <alignment horizontal="center" vertical="bottom"/>
    </xf>
    <xf borderId="1" fillId="6" fontId="16" numFmtId="0" xfId="0" applyAlignment="1" applyBorder="1" applyFont="1">
      <alignment horizontal="center" readingOrder="0"/>
    </xf>
    <xf borderId="1" fillId="0" fontId="17" numFmtId="165" xfId="0" applyAlignment="1" applyBorder="1" applyFont="1" applyNumberFormat="1">
      <alignment horizontal="center"/>
    </xf>
    <xf borderId="1" fillId="0" fontId="17" numFmtId="165" xfId="0" applyAlignment="1" applyBorder="1" applyFont="1" applyNumberFormat="1">
      <alignment horizontal="center" readingOrder="0"/>
    </xf>
    <xf borderId="1" fillId="4" fontId="2" numFmtId="0" xfId="0" applyAlignment="1" applyBorder="1" applyFont="1">
      <alignment horizontal="center" readingOrder="0" vertical="bottom"/>
    </xf>
    <xf borderId="1" fillId="0" fontId="17" numFmtId="0" xfId="0" applyAlignment="1" applyBorder="1" applyFont="1">
      <alignment horizontal="center" readingOrder="0"/>
    </xf>
    <xf borderId="1" fillId="3" fontId="2" numFmtId="165" xfId="0" applyAlignment="1" applyBorder="1" applyFont="1" applyNumberFormat="1">
      <alignment horizontal="center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1.0"/>
    <col customWidth="1" min="3" max="3" width="20.25"/>
    <col customWidth="1" min="4" max="4" width="19.75"/>
    <col customWidth="1" min="5" max="5" width="18.63"/>
    <col customWidth="1" min="6" max="6" width="15.13"/>
    <col customWidth="1" min="7" max="7" width="16.38"/>
    <col customWidth="1" min="8" max="8" width="15.88"/>
    <col customWidth="1" min="11" max="11" width="18.75"/>
    <col customWidth="1" min="12" max="12" width="17.63"/>
    <col customWidth="1" min="14" max="14" width="33.13"/>
    <col customWidth="1" min="15" max="15" width="20.38"/>
    <col customWidth="1" min="16" max="16" width="17.13"/>
    <col customWidth="1" min="17" max="17" width="15.63"/>
    <col customWidth="1" min="18" max="18" width="22.63"/>
  </cols>
  <sheetData>
    <row r="1">
      <c r="A1" s="1"/>
      <c r="B1" s="2" t="s">
        <v>0</v>
      </c>
      <c r="C1" s="3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4" t="s">
        <v>7</v>
      </c>
      <c r="J1" s="5"/>
      <c r="K1" s="6" t="s">
        <v>8</v>
      </c>
      <c r="L1" s="7" t="s">
        <v>9</v>
      </c>
      <c r="M1" s="8"/>
      <c r="N1" s="8"/>
      <c r="O1" s="9" t="s">
        <v>10</v>
      </c>
    </row>
    <row r="2">
      <c r="A2" s="10" t="s">
        <v>11</v>
      </c>
      <c r="B2" s="11">
        <v>44621.0</v>
      </c>
      <c r="C2" s="12">
        <v>30000.0</v>
      </c>
      <c r="D2" s="12">
        <v>36000.0</v>
      </c>
      <c r="E2" s="5"/>
      <c r="F2" s="5"/>
      <c r="G2" s="5"/>
      <c r="H2" s="5"/>
      <c r="I2" s="13">
        <v>1.0</v>
      </c>
      <c r="J2" s="14"/>
      <c r="K2" s="12">
        <v>50000.0</v>
      </c>
      <c r="L2" s="15">
        <v>30000.0</v>
      </c>
      <c r="M2" s="8"/>
      <c r="N2" s="8"/>
      <c r="O2" s="16">
        <f>D33/I33</f>
        <v>51000</v>
      </c>
    </row>
    <row r="3">
      <c r="A3" s="10" t="s">
        <v>12</v>
      </c>
      <c r="B3" s="11">
        <v>44622.0</v>
      </c>
      <c r="C3" s="12">
        <v>50000.0</v>
      </c>
      <c r="D3" s="12">
        <v>18000.0</v>
      </c>
      <c r="E3" s="5"/>
      <c r="F3" s="5"/>
      <c r="G3" s="5"/>
      <c r="H3" s="5"/>
      <c r="I3" s="13">
        <v>1.0</v>
      </c>
      <c r="J3" s="14"/>
      <c r="K3" s="12">
        <v>50000.0</v>
      </c>
      <c r="L3" s="15">
        <v>50000.0</v>
      </c>
      <c r="M3" s="8"/>
      <c r="N3" s="8"/>
      <c r="O3" s="8"/>
    </row>
    <row r="4">
      <c r="A4" s="10" t="s">
        <v>13</v>
      </c>
      <c r="B4" s="11">
        <v>44623.0</v>
      </c>
      <c r="C4" s="12">
        <v>85000.0</v>
      </c>
      <c r="D4" s="12">
        <v>52000.0</v>
      </c>
      <c r="E4" s="5"/>
      <c r="F4" s="5"/>
      <c r="G4" s="5"/>
      <c r="H4" s="5"/>
      <c r="I4" s="13">
        <v>1.0</v>
      </c>
      <c r="J4" s="14"/>
      <c r="K4" s="12">
        <v>50000.0</v>
      </c>
      <c r="L4" s="15">
        <v>85000.0</v>
      </c>
      <c r="M4" s="8"/>
      <c r="N4" s="8"/>
      <c r="O4" s="17">
        <v>50000.0</v>
      </c>
    </row>
    <row r="5">
      <c r="A5" s="18" t="s">
        <v>14</v>
      </c>
      <c r="B5" s="11">
        <v>44624.0</v>
      </c>
      <c r="C5" s="19">
        <v>0.0</v>
      </c>
      <c r="D5" s="19">
        <v>40000.0</v>
      </c>
      <c r="E5" s="5"/>
      <c r="F5" s="5"/>
      <c r="G5" s="5"/>
      <c r="H5" s="5"/>
      <c r="I5" s="13">
        <v>1.0</v>
      </c>
      <c r="J5" s="14"/>
      <c r="K5" s="12">
        <v>50000.0</v>
      </c>
      <c r="L5" s="15">
        <v>0.0</v>
      </c>
      <c r="M5" s="8"/>
      <c r="N5" s="8"/>
      <c r="O5" s="8"/>
    </row>
    <row r="6">
      <c r="A6" s="10" t="s">
        <v>15</v>
      </c>
      <c r="B6" s="11">
        <v>44625.0</v>
      </c>
      <c r="C6" s="12">
        <v>33000.0</v>
      </c>
      <c r="D6" s="12">
        <v>70000.0</v>
      </c>
      <c r="E6" s="5"/>
      <c r="F6" s="5"/>
      <c r="G6" s="5"/>
      <c r="H6" s="5"/>
      <c r="I6" s="13">
        <v>1.0</v>
      </c>
      <c r="J6" s="14"/>
      <c r="K6" s="12">
        <v>50000.0</v>
      </c>
      <c r="L6" s="15">
        <v>33000.0</v>
      </c>
      <c r="M6" s="8"/>
      <c r="N6" s="8" t="s">
        <v>16</v>
      </c>
      <c r="O6" s="8"/>
    </row>
    <row r="7">
      <c r="A7" s="10" t="s">
        <v>17</v>
      </c>
      <c r="B7" s="11">
        <v>44626.0</v>
      </c>
      <c r="C7" s="12">
        <v>38000.0</v>
      </c>
      <c r="D7" s="12">
        <v>34000.0</v>
      </c>
      <c r="E7" s="5"/>
      <c r="F7" s="5"/>
      <c r="G7" s="5"/>
      <c r="H7" s="5"/>
      <c r="I7" s="13">
        <v>1.0</v>
      </c>
      <c r="J7" s="14"/>
      <c r="K7" s="12">
        <v>50000.0</v>
      </c>
      <c r="L7" s="15">
        <v>38000.0</v>
      </c>
      <c r="M7" s="8"/>
      <c r="N7" s="8"/>
      <c r="O7" s="8"/>
    </row>
    <row r="8">
      <c r="A8" s="10" t="s">
        <v>18</v>
      </c>
      <c r="B8" s="11">
        <v>44627.0</v>
      </c>
      <c r="C8" s="12">
        <v>31000.0</v>
      </c>
      <c r="D8" s="12">
        <v>90000.0</v>
      </c>
      <c r="E8" s="5"/>
      <c r="F8" s="5"/>
      <c r="G8" s="5"/>
      <c r="H8" s="5"/>
      <c r="I8" s="13">
        <v>1.0</v>
      </c>
      <c r="J8" s="14"/>
      <c r="K8" s="12">
        <v>50000.0</v>
      </c>
      <c r="L8" s="15">
        <v>31000.0</v>
      </c>
      <c r="M8" s="8"/>
      <c r="N8" s="20" t="s">
        <v>19</v>
      </c>
      <c r="O8" s="20" t="s">
        <v>20</v>
      </c>
      <c r="P8" s="21" t="s">
        <v>21</v>
      </c>
      <c r="Q8" s="21" t="s">
        <v>22</v>
      </c>
      <c r="R8" s="21" t="s">
        <v>23</v>
      </c>
    </row>
    <row r="9">
      <c r="A9" s="10" t="s">
        <v>11</v>
      </c>
      <c r="B9" s="11">
        <v>44628.0</v>
      </c>
      <c r="C9" s="12">
        <v>60000.0</v>
      </c>
      <c r="D9" s="12">
        <v>30000.0</v>
      </c>
      <c r="E9" s="5"/>
      <c r="F9" s="5"/>
      <c r="G9" s="5"/>
      <c r="H9" s="5"/>
      <c r="I9" s="13">
        <v>1.0</v>
      </c>
      <c r="J9" s="14"/>
      <c r="K9" s="12">
        <v>50000.0</v>
      </c>
      <c r="L9" s="15">
        <v>60000.0</v>
      </c>
      <c r="M9" s="8"/>
      <c r="N9" s="22">
        <f>D33+O11-O9-O12-E33-Salaires!J27</f>
        <v>643243.5</v>
      </c>
      <c r="O9" s="23">
        <f>P9+Q9+R9</f>
        <v>94000</v>
      </c>
      <c r="P9" s="24">
        <v>40000.0</v>
      </c>
      <c r="Q9" s="24">
        <v>22000.0</v>
      </c>
      <c r="R9" s="24">
        <v>32000.0</v>
      </c>
    </row>
    <row r="10">
      <c r="A10" s="10" t="s">
        <v>12</v>
      </c>
      <c r="B10" s="11">
        <v>44629.0</v>
      </c>
      <c r="C10" s="12">
        <v>34000.0</v>
      </c>
      <c r="D10" s="12">
        <v>32000.0</v>
      </c>
      <c r="E10" s="5"/>
      <c r="F10" s="5"/>
      <c r="G10" s="5"/>
      <c r="H10" s="5"/>
      <c r="I10" s="13">
        <v>1.0</v>
      </c>
      <c r="J10" s="14"/>
      <c r="K10" s="12">
        <v>50000.0</v>
      </c>
      <c r="L10" s="15">
        <v>34000.0</v>
      </c>
      <c r="M10" s="8"/>
      <c r="N10" s="8"/>
      <c r="O10" s="8" t="s">
        <v>24</v>
      </c>
      <c r="P10" s="24" t="s">
        <v>25</v>
      </c>
      <c r="Q10" s="25"/>
    </row>
    <row r="11">
      <c r="A11" s="10" t="s">
        <v>13</v>
      </c>
      <c r="B11" s="11">
        <v>44630.0</v>
      </c>
      <c r="C11" s="12">
        <v>103000.0</v>
      </c>
      <c r="D11" s="12">
        <v>92000.0</v>
      </c>
      <c r="E11" s="5"/>
      <c r="F11" s="5"/>
      <c r="G11" s="5"/>
      <c r="H11" s="5"/>
      <c r="I11" s="13">
        <v>1.0</v>
      </c>
      <c r="J11" s="14"/>
      <c r="K11" s="12">
        <v>50000.0</v>
      </c>
      <c r="L11" s="15">
        <v>103000.0</v>
      </c>
      <c r="M11" s="8"/>
      <c r="N11" s="26" t="s">
        <v>26</v>
      </c>
      <c r="O11" s="27">
        <v>270000.0</v>
      </c>
      <c r="P11" s="24">
        <v>10000.0</v>
      </c>
      <c r="Q11" s="21" t="s">
        <v>27</v>
      </c>
    </row>
    <row r="12">
      <c r="A12" s="18" t="s">
        <v>14</v>
      </c>
      <c r="B12" s="11">
        <v>44631.0</v>
      </c>
      <c r="C12" s="19">
        <v>50000.0</v>
      </c>
      <c r="D12" s="19">
        <v>50000.0</v>
      </c>
      <c r="E12" s="5"/>
      <c r="F12" s="5"/>
      <c r="G12" s="5"/>
      <c r="H12" s="5"/>
      <c r="I12" s="13">
        <v>1.0</v>
      </c>
      <c r="J12" s="14"/>
      <c r="K12" s="12">
        <v>50000.0</v>
      </c>
      <c r="L12" s="15">
        <v>50000.0</v>
      </c>
      <c r="M12" s="8"/>
      <c r="N12" s="27" t="s">
        <v>28</v>
      </c>
      <c r="O12" s="27">
        <v>220000.0</v>
      </c>
    </row>
    <row r="13">
      <c r="A13" s="10" t="s">
        <v>15</v>
      </c>
      <c r="B13" s="11">
        <v>44632.0</v>
      </c>
      <c r="C13" s="12">
        <v>39000.0</v>
      </c>
      <c r="D13" s="12">
        <v>70000.0</v>
      </c>
      <c r="E13" s="5"/>
      <c r="F13" s="5"/>
      <c r="G13" s="5"/>
      <c r="H13" s="5"/>
      <c r="I13" s="13">
        <v>1.0</v>
      </c>
      <c r="J13" s="14"/>
      <c r="K13" s="12">
        <v>50000.0</v>
      </c>
      <c r="L13" s="15">
        <v>39000.0</v>
      </c>
      <c r="M13" s="8"/>
      <c r="N13" s="28"/>
      <c r="O13" s="29" t="s">
        <v>29</v>
      </c>
    </row>
    <row r="14">
      <c r="A14" s="10" t="s">
        <v>17</v>
      </c>
      <c r="B14" s="11">
        <v>44633.0</v>
      </c>
      <c r="C14" s="12">
        <v>50000.0</v>
      </c>
      <c r="D14" s="12">
        <v>36000.0</v>
      </c>
      <c r="E14" s="5"/>
      <c r="F14" s="5"/>
      <c r="G14" s="5"/>
      <c r="H14" s="5"/>
      <c r="I14" s="13">
        <v>1.0</v>
      </c>
      <c r="J14" s="14"/>
      <c r="K14" s="12">
        <v>50000.0</v>
      </c>
      <c r="L14" s="15">
        <v>50000.0</v>
      </c>
      <c r="M14" s="8"/>
      <c r="N14" s="30"/>
      <c r="O14" s="28"/>
    </row>
    <row r="15">
      <c r="A15" s="10" t="s">
        <v>18</v>
      </c>
      <c r="B15" s="11">
        <v>44634.0</v>
      </c>
      <c r="C15" s="12">
        <v>44000.0</v>
      </c>
      <c r="D15" s="12">
        <v>38000.0</v>
      </c>
      <c r="E15" s="5"/>
      <c r="F15" s="5"/>
      <c r="G15" s="5"/>
      <c r="H15" s="5"/>
      <c r="I15" s="13">
        <v>1.0</v>
      </c>
      <c r="J15" s="14"/>
      <c r="K15" s="12">
        <v>50000.0</v>
      </c>
      <c r="L15" s="15">
        <v>44000.0</v>
      </c>
      <c r="M15" s="8"/>
      <c r="N15" s="31"/>
      <c r="O15" s="8"/>
    </row>
    <row r="16">
      <c r="A16" s="10" t="s">
        <v>11</v>
      </c>
      <c r="B16" s="11">
        <v>44635.0</v>
      </c>
      <c r="C16" s="12">
        <v>53000.0</v>
      </c>
      <c r="D16" s="12">
        <v>39000.0</v>
      </c>
      <c r="E16" s="5"/>
      <c r="F16" s="5"/>
      <c r="G16" s="5"/>
      <c r="H16" s="5"/>
      <c r="I16" s="13">
        <v>1.0</v>
      </c>
      <c r="J16" s="14"/>
      <c r="K16" s="12">
        <v>50000.0</v>
      </c>
      <c r="L16" s="15">
        <v>53000.0</v>
      </c>
      <c r="M16" s="8"/>
      <c r="N16" s="30"/>
      <c r="O16" s="8"/>
    </row>
    <row r="17">
      <c r="A17" s="10" t="s">
        <v>12</v>
      </c>
      <c r="B17" s="11">
        <v>44636.0</v>
      </c>
      <c r="C17" s="12">
        <v>50000.0</v>
      </c>
      <c r="D17" s="12">
        <v>40000.0</v>
      </c>
      <c r="E17" s="5"/>
      <c r="F17" s="5"/>
      <c r="G17" s="5"/>
      <c r="H17" s="5"/>
      <c r="I17" s="13">
        <v>1.0</v>
      </c>
      <c r="J17" s="14"/>
      <c r="K17" s="12">
        <v>50000.0</v>
      </c>
      <c r="L17" s="15">
        <v>50000.0</v>
      </c>
      <c r="M17" s="8"/>
      <c r="N17" s="32" t="s">
        <v>30</v>
      </c>
      <c r="O17" s="8"/>
    </row>
    <row r="18">
      <c r="A18" s="10" t="s">
        <v>13</v>
      </c>
      <c r="B18" s="11">
        <v>44637.0</v>
      </c>
      <c r="C18" s="12">
        <v>55000.0</v>
      </c>
      <c r="D18" s="12">
        <v>57000.0</v>
      </c>
      <c r="E18" s="5"/>
      <c r="F18" s="5"/>
      <c r="G18" s="5"/>
      <c r="H18" s="5"/>
      <c r="I18" s="13">
        <v>1.0</v>
      </c>
      <c r="J18" s="14"/>
      <c r="K18" s="12">
        <v>50000.0</v>
      </c>
      <c r="L18" s="15">
        <v>55000.0</v>
      </c>
      <c r="M18" s="8"/>
      <c r="N18" s="33">
        <f>D33-C33</f>
        <v>262000</v>
      </c>
      <c r="O18" s="8"/>
    </row>
    <row r="19">
      <c r="A19" s="18" t="s">
        <v>14</v>
      </c>
      <c r="B19" s="11">
        <v>44638.0</v>
      </c>
      <c r="C19" s="19">
        <v>55000.0</v>
      </c>
      <c r="D19" s="19">
        <v>74000.0</v>
      </c>
      <c r="E19" s="5"/>
      <c r="F19" s="5"/>
      <c r="G19" s="5"/>
      <c r="H19" s="5"/>
      <c r="I19" s="13">
        <v>1.0</v>
      </c>
      <c r="J19" s="14"/>
      <c r="K19" s="12">
        <v>50000.0</v>
      </c>
      <c r="L19" s="15">
        <v>40000.0</v>
      </c>
      <c r="M19" s="8"/>
      <c r="N19" s="34" t="s">
        <v>31</v>
      </c>
      <c r="O19" s="8"/>
    </row>
    <row r="20">
      <c r="A20" s="10" t="s">
        <v>15</v>
      </c>
      <c r="B20" s="11">
        <v>44639.0</v>
      </c>
      <c r="C20" s="12">
        <v>40000.0</v>
      </c>
      <c r="D20" s="12">
        <v>40000.0</v>
      </c>
      <c r="E20" s="5"/>
      <c r="F20" s="5"/>
      <c r="G20" s="5"/>
      <c r="H20" s="5"/>
      <c r="I20" s="13">
        <v>1.0</v>
      </c>
      <c r="J20" s="14"/>
      <c r="K20" s="12">
        <v>50000.0</v>
      </c>
      <c r="L20" s="15">
        <v>36000.0</v>
      </c>
      <c r="M20" s="8"/>
      <c r="N20" s="28">
        <f>D33-K33</f>
        <v>31000</v>
      </c>
      <c r="O20" s="8"/>
    </row>
    <row r="21">
      <c r="A21" s="10" t="s">
        <v>17</v>
      </c>
      <c r="B21" s="11">
        <v>44640.0</v>
      </c>
      <c r="C21" s="12">
        <v>25000.0</v>
      </c>
      <c r="D21" s="12">
        <v>40000.0</v>
      </c>
      <c r="E21" s="5"/>
      <c r="F21" s="5"/>
      <c r="G21" s="5"/>
      <c r="H21" s="5"/>
      <c r="I21" s="13">
        <v>1.0</v>
      </c>
      <c r="J21" s="14"/>
      <c r="K21" s="12">
        <v>50000.0</v>
      </c>
      <c r="L21" s="15">
        <v>25000.0</v>
      </c>
      <c r="M21" s="8"/>
      <c r="N21" s="8"/>
      <c r="O21" s="8"/>
    </row>
    <row r="22">
      <c r="A22" s="10" t="s">
        <v>18</v>
      </c>
      <c r="B22" s="11">
        <v>44641.0</v>
      </c>
      <c r="C22" s="12">
        <v>50000.0</v>
      </c>
      <c r="D22" s="12">
        <v>24000.0</v>
      </c>
      <c r="E22" s="5"/>
      <c r="F22" s="5"/>
      <c r="G22" s="5"/>
      <c r="H22" s="5"/>
      <c r="I22" s="13">
        <v>1.0</v>
      </c>
      <c r="J22" s="14"/>
      <c r="K22" s="12">
        <v>50000.0</v>
      </c>
      <c r="L22" s="15">
        <v>50000.0</v>
      </c>
      <c r="M22" s="8"/>
      <c r="N22" s="8"/>
      <c r="O22" s="8"/>
    </row>
    <row r="23">
      <c r="A23" s="10" t="s">
        <v>11</v>
      </c>
      <c r="B23" s="11">
        <v>44642.0</v>
      </c>
      <c r="C23" s="12">
        <v>45000.0</v>
      </c>
      <c r="D23" s="12">
        <v>35000.0</v>
      </c>
      <c r="E23" s="5"/>
      <c r="F23" s="5"/>
      <c r="G23" s="5"/>
      <c r="H23" s="5"/>
      <c r="I23" s="13">
        <v>1.0</v>
      </c>
      <c r="J23" s="14"/>
      <c r="K23" s="12">
        <v>50000.0</v>
      </c>
      <c r="L23" s="15">
        <v>45000.0</v>
      </c>
      <c r="M23" s="8"/>
      <c r="N23" s="35" t="s">
        <v>32</v>
      </c>
      <c r="O23" s="8"/>
    </row>
    <row r="24">
      <c r="A24" s="10" t="s">
        <v>12</v>
      </c>
      <c r="B24" s="11">
        <v>44643.0</v>
      </c>
      <c r="C24" s="12">
        <v>58000.0</v>
      </c>
      <c r="D24" s="12">
        <v>54000.0</v>
      </c>
      <c r="E24" s="5"/>
      <c r="F24" s="5"/>
      <c r="G24" s="5"/>
      <c r="H24" s="5"/>
      <c r="I24" s="13">
        <v>1.0</v>
      </c>
      <c r="J24" s="14"/>
      <c r="K24" s="12">
        <v>50000.0</v>
      </c>
      <c r="L24" s="15">
        <v>58000.0</v>
      </c>
      <c r="M24" s="8"/>
      <c r="N24" s="36">
        <f>D5+D12+D19+D26</f>
        <v>220000</v>
      </c>
      <c r="O24" s="8"/>
    </row>
    <row r="25">
      <c r="A25" s="10" t="s">
        <v>13</v>
      </c>
      <c r="B25" s="11">
        <v>44644.0</v>
      </c>
      <c r="C25" s="12">
        <v>70000.0</v>
      </c>
      <c r="D25" s="12">
        <v>74000.0</v>
      </c>
      <c r="E25" s="5"/>
      <c r="F25" s="5"/>
      <c r="G25" s="5"/>
      <c r="H25" s="5"/>
      <c r="I25" s="13">
        <v>1.0</v>
      </c>
      <c r="J25" s="14"/>
      <c r="K25" s="12">
        <v>50000.0</v>
      </c>
      <c r="L25" s="15">
        <v>70000.0</v>
      </c>
      <c r="M25" s="8"/>
      <c r="N25" s="8"/>
      <c r="O25" s="8"/>
    </row>
    <row r="26">
      <c r="A26" s="18" t="s">
        <v>14</v>
      </c>
      <c r="B26" s="11">
        <v>44645.0</v>
      </c>
      <c r="C26" s="19">
        <v>39000.0</v>
      </c>
      <c r="D26" s="19">
        <v>56000.0</v>
      </c>
      <c r="E26" s="5"/>
      <c r="F26" s="5"/>
      <c r="G26" s="5"/>
      <c r="H26" s="5"/>
      <c r="I26" s="13">
        <v>1.0</v>
      </c>
      <c r="J26" s="14"/>
      <c r="K26" s="12">
        <v>50000.0</v>
      </c>
      <c r="L26" s="15">
        <v>39000.0</v>
      </c>
      <c r="M26" s="8"/>
      <c r="N26" s="37" t="s">
        <v>33</v>
      </c>
      <c r="O26" s="38"/>
      <c r="P26" s="21" t="s">
        <v>34</v>
      </c>
    </row>
    <row r="27">
      <c r="A27" s="10" t="s">
        <v>15</v>
      </c>
      <c r="B27" s="11">
        <v>44646.0</v>
      </c>
      <c r="C27" s="12">
        <v>36000.0</v>
      </c>
      <c r="D27" s="12">
        <v>50000.0</v>
      </c>
      <c r="E27" s="5"/>
      <c r="F27" s="5"/>
      <c r="G27" s="5"/>
      <c r="H27" s="5"/>
      <c r="I27" s="13">
        <v>1.0</v>
      </c>
      <c r="J27" s="14"/>
      <c r="K27" s="12">
        <v>50000.0</v>
      </c>
      <c r="L27" s="15">
        <v>36000.0</v>
      </c>
      <c r="M27" s="8"/>
      <c r="N27" s="27">
        <v>133000.0</v>
      </c>
      <c r="O27" s="39">
        <v>113000.0</v>
      </c>
      <c r="P27" s="24">
        <v>20000.0</v>
      </c>
    </row>
    <row r="28">
      <c r="A28" s="10" t="s">
        <v>17</v>
      </c>
      <c r="B28" s="11">
        <v>44647.0</v>
      </c>
      <c r="C28" s="12">
        <v>40000.0</v>
      </c>
      <c r="D28" s="12">
        <v>42000.0</v>
      </c>
      <c r="E28" s="5"/>
      <c r="F28" s="5"/>
      <c r="G28" s="5"/>
      <c r="H28" s="5"/>
      <c r="I28" s="13">
        <v>1.0</v>
      </c>
      <c r="J28" s="14"/>
      <c r="K28" s="12">
        <v>50000.0</v>
      </c>
      <c r="L28" s="15">
        <v>40000.0</v>
      </c>
      <c r="M28" s="8"/>
      <c r="N28" s="40" t="s">
        <v>35</v>
      </c>
      <c r="O28" s="8"/>
    </row>
    <row r="29">
      <c r="A29" s="41" t="s">
        <v>18</v>
      </c>
      <c r="B29" s="11">
        <v>44648.0</v>
      </c>
      <c r="C29" s="12">
        <v>56000.0</v>
      </c>
      <c r="D29" s="12">
        <v>37000.0</v>
      </c>
      <c r="E29" s="5"/>
      <c r="F29" s="5"/>
      <c r="G29" s="5"/>
      <c r="H29" s="5"/>
      <c r="I29" s="13">
        <v>1.0</v>
      </c>
      <c r="J29" s="14"/>
      <c r="K29" s="12">
        <v>50000.0</v>
      </c>
      <c r="L29" s="12">
        <v>56000.0</v>
      </c>
      <c r="M29" s="8"/>
      <c r="N29" s="36">
        <f>N9-N27</f>
        <v>510243.5</v>
      </c>
      <c r="O29" s="8"/>
    </row>
    <row r="30">
      <c r="A30" s="41" t="s">
        <v>11</v>
      </c>
      <c r="B30" s="11">
        <v>44649.0</v>
      </c>
      <c r="C30" s="12">
        <v>0.0</v>
      </c>
      <c r="D30" s="12">
        <v>70000.0</v>
      </c>
      <c r="E30" s="5"/>
      <c r="F30" s="5"/>
      <c r="G30" s="5"/>
      <c r="H30" s="5"/>
      <c r="I30" s="13">
        <v>1.0</v>
      </c>
      <c r="J30" s="14"/>
      <c r="K30" s="12">
        <v>50000.0</v>
      </c>
      <c r="L30" s="12">
        <v>0.0</v>
      </c>
      <c r="M30" s="8"/>
      <c r="N30" s="8"/>
      <c r="O30" s="8"/>
    </row>
    <row r="31">
      <c r="A31" s="41" t="s">
        <v>12</v>
      </c>
      <c r="B31" s="11">
        <v>44650.0</v>
      </c>
      <c r="C31" s="12">
        <v>0.0</v>
      </c>
      <c r="D31" s="12">
        <v>83000.0</v>
      </c>
      <c r="E31" s="5"/>
      <c r="F31" s="5"/>
      <c r="G31" s="5"/>
      <c r="H31" s="5"/>
      <c r="I31" s="13">
        <v>1.0</v>
      </c>
      <c r="J31" s="14"/>
      <c r="K31" s="12">
        <v>50000.0</v>
      </c>
      <c r="L31" s="12">
        <v>0.0</v>
      </c>
      <c r="M31" s="8"/>
      <c r="N31" s="8"/>
      <c r="O31" s="8"/>
    </row>
    <row r="32">
      <c r="A32" s="41" t="s">
        <v>13</v>
      </c>
      <c r="B32" s="11">
        <v>44651.0</v>
      </c>
      <c r="C32" s="12">
        <v>0.0</v>
      </c>
      <c r="D32" s="12">
        <v>78000.0</v>
      </c>
      <c r="E32" s="5"/>
      <c r="F32" s="5"/>
      <c r="G32" s="5"/>
      <c r="H32" s="5"/>
      <c r="I32" s="13">
        <v>1.0</v>
      </c>
      <c r="J32" s="14"/>
      <c r="K32" s="12">
        <v>50000.0</v>
      </c>
      <c r="L32" s="12">
        <v>0.0</v>
      </c>
      <c r="M32" s="8"/>
      <c r="N32" s="8"/>
      <c r="O32" s="8"/>
    </row>
    <row r="33">
      <c r="A33" s="8"/>
      <c r="B33" s="8"/>
      <c r="C33" s="42">
        <f t="shared" ref="C33:D33" si="1">SUM(C2:C32)</f>
        <v>1319000</v>
      </c>
      <c r="D33" s="22">
        <f t="shared" si="1"/>
        <v>1581000</v>
      </c>
      <c r="E33" s="43">
        <f>'Les Charges'!F347*1</f>
        <v>590756.5</v>
      </c>
      <c r="F33" s="44">
        <f>Pointage!Q35*1</f>
        <v>300000.0048</v>
      </c>
      <c r="G33" s="45">
        <v>90000.0</v>
      </c>
      <c r="H33" s="42">
        <f>D33-G33-F33-E33</f>
        <v>600243.4952</v>
      </c>
      <c r="I33" s="6">
        <f>SUM(I2:I32)</f>
        <v>31</v>
      </c>
      <c r="J33" s="46"/>
      <c r="K33" s="36">
        <f t="shared" ref="K33:L33" si="2">SUM(K2:K32)</f>
        <v>1550000</v>
      </c>
      <c r="L33" s="36">
        <f t="shared" si="2"/>
        <v>1300000</v>
      </c>
      <c r="M33" s="8"/>
      <c r="N33" s="8"/>
      <c r="O33" s="8"/>
    </row>
    <row r="34">
      <c r="A34" s="8"/>
      <c r="B34" s="46"/>
      <c r="C34" s="46"/>
      <c r="D34" s="46"/>
      <c r="E34" s="46"/>
      <c r="F34" s="46"/>
      <c r="G34" s="46"/>
      <c r="H34" s="46"/>
      <c r="I34" s="8"/>
      <c r="J34" s="8"/>
      <c r="K34" s="8"/>
      <c r="L34" s="8"/>
      <c r="M34" s="8"/>
      <c r="N34" s="8"/>
      <c r="O34" s="8"/>
    </row>
    <row r="35">
      <c r="A35" s="8"/>
      <c r="B35" s="46"/>
      <c r="C35" s="10" t="s">
        <v>8</v>
      </c>
      <c r="D35" s="47">
        <v>1550000.0</v>
      </c>
      <c r="E35" s="48">
        <v>500000.0</v>
      </c>
      <c r="F35" s="47">
        <v>300000.0</v>
      </c>
      <c r="G35" s="48">
        <v>90000.0</v>
      </c>
      <c r="H35" s="48">
        <f>D35-E35-F35-G35</f>
        <v>660000</v>
      </c>
      <c r="I35" s="8"/>
      <c r="J35" s="8"/>
      <c r="K35" s="8"/>
      <c r="L35" s="8"/>
      <c r="M35" s="8"/>
      <c r="N35" s="8"/>
      <c r="O35" s="8"/>
    </row>
    <row r="36">
      <c r="A36" s="8"/>
      <c r="B36" s="46"/>
      <c r="C36" s="49" t="s">
        <v>36</v>
      </c>
      <c r="D36" s="50">
        <v>1300000.0</v>
      </c>
      <c r="E36" s="51">
        <v>462400.0</v>
      </c>
      <c r="F36" s="52">
        <v>277600.0</v>
      </c>
      <c r="G36" s="45">
        <v>90000.0</v>
      </c>
      <c r="H36" s="23">
        <v>470000.0</v>
      </c>
      <c r="I36" s="8"/>
      <c r="J36" s="8"/>
      <c r="K36" s="8"/>
      <c r="L36" s="8"/>
      <c r="M36" s="8"/>
      <c r="N36" s="8"/>
      <c r="O36" s="8"/>
    </row>
    <row r="37">
      <c r="A37" s="8"/>
      <c r="B37" s="8"/>
      <c r="C37" s="8"/>
      <c r="D37" s="8"/>
      <c r="E37" s="8"/>
      <c r="F37" s="8"/>
      <c r="G37" s="8"/>
      <c r="H37" s="8"/>
      <c r="I37" s="8"/>
      <c r="J37" s="8"/>
      <c r="K37" s="8"/>
      <c r="L37" s="8"/>
      <c r="M37" s="8"/>
      <c r="N37" s="8"/>
      <c r="O37" s="8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65.25"/>
    <col customWidth="1" min="4" max="4" width="25.0"/>
    <col customWidth="1" min="5" max="5" width="25.5"/>
    <col customWidth="1" min="6" max="6" width="25.38"/>
    <col customWidth="1" min="7" max="7" width="26.25"/>
  </cols>
  <sheetData>
    <row r="1">
      <c r="A1" s="53" t="s">
        <v>37</v>
      </c>
    </row>
    <row r="2">
      <c r="C2" s="54" t="s">
        <v>38</v>
      </c>
      <c r="D2" s="55" t="s">
        <v>39</v>
      </c>
      <c r="E2" s="55" t="s">
        <v>40</v>
      </c>
      <c r="F2" s="55" t="s">
        <v>41</v>
      </c>
      <c r="G2" s="55" t="s">
        <v>42</v>
      </c>
    </row>
    <row r="3">
      <c r="C3" s="13" t="s">
        <v>43</v>
      </c>
      <c r="D3" s="13" t="s">
        <v>44</v>
      </c>
      <c r="E3" s="12">
        <v>1870.0</v>
      </c>
      <c r="F3" s="12">
        <v>11220.0</v>
      </c>
      <c r="G3" s="11">
        <v>44613.0</v>
      </c>
    </row>
    <row r="4">
      <c r="C4" s="56" t="s">
        <v>45</v>
      </c>
      <c r="D4" s="56" t="s">
        <v>46</v>
      </c>
      <c r="E4" s="57">
        <v>1800.0</v>
      </c>
      <c r="F4" s="57">
        <v>18000.0</v>
      </c>
      <c r="G4" s="58">
        <v>44613.0</v>
      </c>
    </row>
    <row r="5">
      <c r="C5" s="56" t="s">
        <v>47</v>
      </c>
      <c r="D5" s="56" t="s">
        <v>48</v>
      </c>
      <c r="E5" s="57">
        <v>370.0</v>
      </c>
      <c r="F5" s="57">
        <v>4070.0</v>
      </c>
      <c r="G5" s="58">
        <v>44613.0</v>
      </c>
    </row>
    <row r="6">
      <c r="C6" s="56" t="s">
        <v>49</v>
      </c>
      <c r="D6" s="56">
        <v>1.0</v>
      </c>
      <c r="E6" s="57">
        <v>1500.0</v>
      </c>
      <c r="F6" s="57">
        <v>1500.0</v>
      </c>
      <c r="G6" s="58">
        <v>44613.0</v>
      </c>
    </row>
    <row r="7">
      <c r="A7" s="53" t="s">
        <v>50</v>
      </c>
      <c r="C7" s="56" t="s">
        <v>51</v>
      </c>
      <c r="D7" s="56">
        <v>1.0</v>
      </c>
      <c r="E7" s="57">
        <v>1450.0</v>
      </c>
      <c r="F7" s="57">
        <v>1450.0</v>
      </c>
      <c r="G7" s="58">
        <v>44613.0</v>
      </c>
    </row>
    <row r="8">
      <c r="C8" s="56" t="s">
        <v>52</v>
      </c>
      <c r="D8" s="56">
        <v>2.0</v>
      </c>
      <c r="E8" s="57">
        <v>520.0</v>
      </c>
      <c r="F8" s="57">
        <v>1040.0</v>
      </c>
      <c r="G8" s="58">
        <v>44613.0</v>
      </c>
    </row>
    <row r="9">
      <c r="C9" s="56" t="s">
        <v>53</v>
      </c>
      <c r="D9" s="56">
        <v>8.0</v>
      </c>
      <c r="E9" s="57">
        <v>520.0</v>
      </c>
      <c r="F9" s="57">
        <v>4160.0</v>
      </c>
      <c r="G9" s="58">
        <v>44613.0</v>
      </c>
    </row>
    <row r="10">
      <c r="C10" s="56" t="s">
        <v>54</v>
      </c>
      <c r="D10" s="56">
        <v>3.0</v>
      </c>
      <c r="E10" s="57">
        <v>430.0</v>
      </c>
      <c r="F10" s="57">
        <v>1290.0</v>
      </c>
      <c r="G10" s="58">
        <v>44613.0</v>
      </c>
    </row>
    <row r="11">
      <c r="C11" s="56" t="s">
        <v>55</v>
      </c>
      <c r="D11" s="56">
        <v>3.0</v>
      </c>
      <c r="E11" s="57">
        <v>430.0</v>
      </c>
      <c r="F11" s="57">
        <v>1290.0</v>
      </c>
      <c r="G11" s="58">
        <v>44613.0</v>
      </c>
    </row>
    <row r="12">
      <c r="C12" s="56" t="s">
        <v>56</v>
      </c>
      <c r="D12" s="56">
        <v>4.0</v>
      </c>
      <c r="E12" s="57">
        <v>390.0</v>
      </c>
      <c r="F12" s="57">
        <v>1560.0</v>
      </c>
      <c r="G12" s="58">
        <v>44613.0</v>
      </c>
    </row>
    <row r="13">
      <c r="C13" s="13" t="s">
        <v>57</v>
      </c>
      <c r="D13" s="13">
        <v>2.0</v>
      </c>
      <c r="E13" s="12">
        <v>520.0</v>
      </c>
      <c r="F13" s="12">
        <v>1040.0</v>
      </c>
      <c r="G13" s="11">
        <v>44613.0</v>
      </c>
    </row>
    <row r="14">
      <c r="C14" s="59" t="s">
        <v>58</v>
      </c>
      <c r="D14" s="59" t="s">
        <v>59</v>
      </c>
      <c r="E14" s="15">
        <v>1580.0</v>
      </c>
      <c r="F14" s="15">
        <v>31600.0</v>
      </c>
      <c r="G14" s="60">
        <v>44612.0</v>
      </c>
    </row>
    <row r="15">
      <c r="C15" s="59" t="s">
        <v>60</v>
      </c>
      <c r="D15" s="59">
        <v>2.0</v>
      </c>
      <c r="E15" s="15">
        <v>240.0</v>
      </c>
      <c r="F15" s="15">
        <v>480.0</v>
      </c>
      <c r="G15" s="60">
        <v>44612.0</v>
      </c>
    </row>
    <row r="16">
      <c r="C16" s="59" t="s">
        <v>61</v>
      </c>
      <c r="D16" s="59">
        <v>1.0</v>
      </c>
      <c r="E16" s="15">
        <v>850.0</v>
      </c>
      <c r="F16" s="15">
        <v>850.0</v>
      </c>
      <c r="G16" s="60">
        <v>44612.0</v>
      </c>
    </row>
    <row r="17">
      <c r="C17" s="59" t="s">
        <v>62</v>
      </c>
      <c r="D17" s="59" t="s">
        <v>63</v>
      </c>
      <c r="E17" s="15">
        <v>2000.0</v>
      </c>
      <c r="F17" s="15">
        <v>1000.0</v>
      </c>
      <c r="G17" s="60">
        <v>44612.0</v>
      </c>
    </row>
    <row r="18">
      <c r="C18" s="59" t="s">
        <v>64</v>
      </c>
      <c r="D18" s="59" t="s">
        <v>63</v>
      </c>
      <c r="E18" s="15">
        <v>600.0</v>
      </c>
      <c r="F18" s="15">
        <v>300.0</v>
      </c>
      <c r="G18" s="60">
        <v>44612.0</v>
      </c>
    </row>
    <row r="19">
      <c r="C19" s="59" t="s">
        <v>65</v>
      </c>
      <c r="D19" s="59" t="s">
        <v>66</v>
      </c>
      <c r="E19" s="15">
        <v>3400.0</v>
      </c>
      <c r="F19" s="15">
        <v>1000.0</v>
      </c>
      <c r="G19" s="60">
        <v>44612.0</v>
      </c>
    </row>
    <row r="20">
      <c r="C20" s="59" t="s">
        <v>67</v>
      </c>
      <c r="D20" s="59">
        <v>1.0</v>
      </c>
      <c r="E20" s="15">
        <v>110.0</v>
      </c>
      <c r="F20" s="15">
        <v>110.0</v>
      </c>
      <c r="G20" s="60">
        <v>44612.0</v>
      </c>
    </row>
    <row r="21">
      <c r="C21" s="59" t="s">
        <v>68</v>
      </c>
      <c r="D21" s="59" t="s">
        <v>69</v>
      </c>
      <c r="E21" s="15">
        <v>1600.0</v>
      </c>
      <c r="F21" s="15">
        <v>1000.0</v>
      </c>
      <c r="G21" s="60">
        <v>44612.0</v>
      </c>
    </row>
    <row r="22">
      <c r="C22" s="59" t="s">
        <v>70</v>
      </c>
      <c r="D22" s="59" t="s">
        <v>71</v>
      </c>
      <c r="E22" s="15">
        <v>1600.0</v>
      </c>
      <c r="F22" s="15">
        <v>1600.0</v>
      </c>
      <c r="G22" s="60">
        <v>44612.0</v>
      </c>
    </row>
    <row r="23">
      <c r="C23" s="59" t="s">
        <v>72</v>
      </c>
      <c r="D23" s="59">
        <v>1.0</v>
      </c>
      <c r="E23" s="15">
        <v>280.0</v>
      </c>
      <c r="F23" s="15">
        <v>280.0</v>
      </c>
      <c r="G23" s="60">
        <v>44612.0</v>
      </c>
    </row>
    <row r="24">
      <c r="C24" s="59" t="s">
        <v>73</v>
      </c>
      <c r="D24" s="59">
        <v>5.0</v>
      </c>
      <c r="E24" s="15">
        <v>60.0</v>
      </c>
      <c r="F24" s="15">
        <v>300.0</v>
      </c>
      <c r="G24" s="60">
        <v>44612.0</v>
      </c>
    </row>
    <row r="25">
      <c r="C25" s="59" t="s">
        <v>74</v>
      </c>
      <c r="D25" s="59">
        <v>1.0</v>
      </c>
      <c r="E25" s="15">
        <v>700.0</v>
      </c>
      <c r="F25" s="15">
        <v>700.0</v>
      </c>
      <c r="G25" s="60">
        <v>44612.0</v>
      </c>
    </row>
    <row r="26">
      <c r="C26" s="59" t="s">
        <v>75</v>
      </c>
      <c r="D26" s="59">
        <v>2.0</v>
      </c>
      <c r="E26" s="15">
        <v>90.0</v>
      </c>
      <c r="F26" s="15">
        <v>180.0</v>
      </c>
      <c r="G26" s="60">
        <v>44612.0</v>
      </c>
    </row>
    <row r="27">
      <c r="C27" s="59" t="s">
        <v>76</v>
      </c>
      <c r="D27" s="59">
        <v>2.0</v>
      </c>
      <c r="E27" s="15">
        <v>85.0</v>
      </c>
      <c r="F27" s="15">
        <v>170.0</v>
      </c>
      <c r="G27" s="60">
        <v>44612.0</v>
      </c>
    </row>
    <row r="28">
      <c r="C28" s="56" t="s">
        <v>77</v>
      </c>
      <c r="D28" s="56" t="s">
        <v>78</v>
      </c>
      <c r="E28" s="57">
        <v>800.0</v>
      </c>
      <c r="F28" s="57">
        <v>1600.0</v>
      </c>
      <c r="G28" s="58">
        <v>44607.0</v>
      </c>
    </row>
    <row r="29">
      <c r="C29" s="13" t="s">
        <v>79</v>
      </c>
      <c r="D29" s="13" t="s">
        <v>80</v>
      </c>
      <c r="E29" s="12">
        <v>1700.0</v>
      </c>
      <c r="F29" s="12">
        <v>1700.0</v>
      </c>
      <c r="G29" s="11">
        <v>44597.0</v>
      </c>
    </row>
    <row r="30">
      <c r="C30" s="13" t="s">
        <v>81</v>
      </c>
      <c r="D30" s="13" t="s">
        <v>82</v>
      </c>
      <c r="E30" s="12">
        <v>1600.0</v>
      </c>
      <c r="F30" s="12">
        <v>1600.0</v>
      </c>
      <c r="G30" s="11">
        <v>44597.0</v>
      </c>
    </row>
    <row r="31">
      <c r="C31" s="13" t="s">
        <v>83</v>
      </c>
      <c r="D31" s="13" t="s">
        <v>84</v>
      </c>
      <c r="E31" s="12">
        <v>1600.0</v>
      </c>
      <c r="F31" s="12">
        <v>1600.0</v>
      </c>
      <c r="G31" s="11">
        <v>44597.0</v>
      </c>
    </row>
    <row r="32">
      <c r="C32" s="13" t="s">
        <v>85</v>
      </c>
      <c r="D32" s="13" t="s">
        <v>86</v>
      </c>
      <c r="E32" s="12">
        <v>2700.0</v>
      </c>
      <c r="F32" s="12">
        <v>5400.0</v>
      </c>
      <c r="G32" s="11">
        <v>44597.0</v>
      </c>
    </row>
    <row r="33">
      <c r="C33" s="13" t="s">
        <v>87</v>
      </c>
      <c r="D33" s="13" t="s">
        <v>88</v>
      </c>
      <c r="E33" s="12">
        <v>1350.0</v>
      </c>
      <c r="F33" s="12">
        <v>1350.0</v>
      </c>
      <c r="G33" s="11">
        <v>44616.0</v>
      </c>
    </row>
    <row r="34">
      <c r="C34" s="13" t="s">
        <v>89</v>
      </c>
      <c r="D34" s="13">
        <v>1.0</v>
      </c>
      <c r="E34" s="12">
        <v>1200.0</v>
      </c>
      <c r="F34" s="12">
        <v>1200.0</v>
      </c>
      <c r="G34" s="11">
        <v>44618.0</v>
      </c>
    </row>
    <row r="35">
      <c r="C35" s="61" t="s">
        <v>90</v>
      </c>
      <c r="D35" s="37" t="s">
        <v>91</v>
      </c>
      <c r="E35" s="62">
        <v>270.5</v>
      </c>
      <c r="F35" s="19">
        <v>2434.5</v>
      </c>
      <c r="G35" s="63">
        <v>44593.0</v>
      </c>
    </row>
    <row r="36">
      <c r="C36" s="64" t="s">
        <v>92</v>
      </c>
      <c r="D36" s="37" t="s">
        <v>93</v>
      </c>
      <c r="E36" s="19">
        <v>486.0</v>
      </c>
      <c r="F36" s="19">
        <v>3400.0</v>
      </c>
      <c r="G36" s="63">
        <v>44593.0</v>
      </c>
    </row>
    <row r="37">
      <c r="C37" s="64" t="s">
        <v>94</v>
      </c>
      <c r="D37" s="37" t="s">
        <v>95</v>
      </c>
      <c r="E37" s="62">
        <v>225.0</v>
      </c>
      <c r="F37" s="19">
        <v>450.0</v>
      </c>
      <c r="G37" s="63">
        <v>44593.0</v>
      </c>
    </row>
    <row r="38">
      <c r="C38" s="64" t="s">
        <v>96</v>
      </c>
      <c r="D38" s="37" t="s">
        <v>97</v>
      </c>
      <c r="E38" s="62">
        <v>245.0</v>
      </c>
      <c r="F38" s="19">
        <v>735.0</v>
      </c>
      <c r="G38" s="63">
        <v>44593.0</v>
      </c>
    </row>
    <row r="39">
      <c r="C39" s="64" t="s">
        <v>98</v>
      </c>
      <c r="D39" s="37">
        <v>2.0</v>
      </c>
      <c r="E39" s="62">
        <v>740.0</v>
      </c>
      <c r="F39" s="19">
        <v>1480.0</v>
      </c>
      <c r="G39" s="63">
        <v>44593.0</v>
      </c>
    </row>
    <row r="40">
      <c r="C40" s="64" t="s">
        <v>99</v>
      </c>
      <c r="D40" s="37">
        <v>10.0</v>
      </c>
      <c r="E40" s="62">
        <v>130.0</v>
      </c>
      <c r="F40" s="19">
        <v>1300.0</v>
      </c>
      <c r="G40" s="63">
        <v>44593.0</v>
      </c>
    </row>
    <row r="41">
      <c r="C41" s="64" t="s">
        <v>100</v>
      </c>
      <c r="D41" s="37">
        <v>10.0</v>
      </c>
      <c r="E41" s="62" t="s">
        <v>101</v>
      </c>
      <c r="F41" s="19">
        <v>1400.0</v>
      </c>
      <c r="G41" s="63">
        <v>44593.0</v>
      </c>
    </row>
    <row r="42">
      <c r="C42" s="64" t="s">
        <v>102</v>
      </c>
      <c r="D42" s="37" t="s">
        <v>103</v>
      </c>
      <c r="E42" s="62">
        <v>643.0</v>
      </c>
      <c r="F42" s="19">
        <v>10288.0</v>
      </c>
      <c r="G42" s="63">
        <v>44562.0</v>
      </c>
    </row>
    <row r="43">
      <c r="C43" s="65" t="s">
        <v>104</v>
      </c>
      <c r="D43" s="66" t="s">
        <v>105</v>
      </c>
      <c r="E43" s="67">
        <v>375.0</v>
      </c>
      <c r="F43" s="68">
        <v>1125.0</v>
      </c>
      <c r="G43" s="69">
        <v>44562.0</v>
      </c>
    </row>
    <row r="44">
      <c r="C44" s="65" t="s">
        <v>106</v>
      </c>
      <c r="D44" s="66" t="s">
        <v>107</v>
      </c>
      <c r="E44" s="67">
        <v>1000.0</v>
      </c>
      <c r="F44" s="68">
        <v>2000.0</v>
      </c>
      <c r="G44" s="69">
        <v>44562.0</v>
      </c>
    </row>
    <row r="45">
      <c r="C45" s="65" t="s">
        <v>108</v>
      </c>
      <c r="D45" s="66" t="s">
        <v>109</v>
      </c>
      <c r="E45" s="67">
        <v>1416.0</v>
      </c>
      <c r="F45" s="68">
        <v>28320.0</v>
      </c>
      <c r="G45" s="69">
        <v>44593.0</v>
      </c>
    </row>
    <row r="46">
      <c r="C46" s="65" t="s">
        <v>110</v>
      </c>
      <c r="D46" s="65" t="s">
        <v>111</v>
      </c>
      <c r="E46" s="67">
        <v>980.0</v>
      </c>
      <c r="F46" s="67">
        <v>980.0</v>
      </c>
      <c r="G46" s="69">
        <v>44593.0</v>
      </c>
    </row>
    <row r="47">
      <c r="C47" s="65" t="s">
        <v>112</v>
      </c>
      <c r="D47" s="65" t="s">
        <v>113</v>
      </c>
      <c r="E47" s="67">
        <v>13.0</v>
      </c>
      <c r="F47" s="67">
        <v>1300.0</v>
      </c>
      <c r="G47" s="69">
        <v>44593.0</v>
      </c>
    </row>
    <row r="48">
      <c r="C48" s="65" t="s">
        <v>114</v>
      </c>
      <c r="D48" s="66">
        <v>5.0</v>
      </c>
      <c r="E48" s="67">
        <v>60.0</v>
      </c>
      <c r="F48" s="68">
        <v>300.0</v>
      </c>
      <c r="G48" s="69">
        <v>44593.0</v>
      </c>
    </row>
    <row r="49">
      <c r="C49" s="65" t="s">
        <v>115</v>
      </c>
      <c r="D49" s="66">
        <v>60.0</v>
      </c>
      <c r="E49" s="67">
        <v>45.0</v>
      </c>
      <c r="F49" s="68">
        <v>2700.0</v>
      </c>
      <c r="G49" s="69">
        <v>44593.0</v>
      </c>
    </row>
    <row r="50">
      <c r="C50" s="65" t="s">
        <v>116</v>
      </c>
      <c r="D50" s="66" t="s">
        <v>117</v>
      </c>
      <c r="E50" s="67">
        <v>24.0</v>
      </c>
      <c r="F50" s="68">
        <v>480.0</v>
      </c>
      <c r="G50" s="69">
        <v>44593.0</v>
      </c>
    </row>
    <row r="51">
      <c r="C51" s="65" t="s">
        <v>118</v>
      </c>
      <c r="D51" s="66" t="s">
        <v>119</v>
      </c>
      <c r="E51" s="67">
        <v>175.0</v>
      </c>
      <c r="F51" s="70">
        <v>2100.0</v>
      </c>
      <c r="G51" s="69">
        <v>44593.0</v>
      </c>
    </row>
    <row r="52">
      <c r="C52" s="65" t="s">
        <v>120</v>
      </c>
      <c r="D52" s="65" t="s">
        <v>121</v>
      </c>
      <c r="E52" s="67">
        <v>2200.0</v>
      </c>
      <c r="F52" s="67">
        <v>2200.0</v>
      </c>
      <c r="G52" s="69">
        <v>44593.0</v>
      </c>
    </row>
    <row r="53">
      <c r="C53" s="65" t="s">
        <v>122</v>
      </c>
      <c r="D53" s="65">
        <v>2.0</v>
      </c>
      <c r="E53" s="67">
        <v>3180.0</v>
      </c>
      <c r="F53" s="67">
        <v>6360.0</v>
      </c>
      <c r="G53" s="69">
        <v>44601.0</v>
      </c>
    </row>
    <row r="54">
      <c r="C54" s="65" t="s">
        <v>123</v>
      </c>
      <c r="D54" s="66">
        <v>3.0</v>
      </c>
      <c r="E54" s="67">
        <v>490.0</v>
      </c>
      <c r="F54" s="68">
        <v>1470.0</v>
      </c>
      <c r="G54" s="69">
        <v>44593.0</v>
      </c>
    </row>
    <row r="55">
      <c r="C55" s="65" t="s">
        <v>124</v>
      </c>
      <c r="D55" s="66">
        <v>7.0</v>
      </c>
      <c r="E55" s="67">
        <v>500.0</v>
      </c>
      <c r="F55" s="68">
        <v>3500.0</v>
      </c>
      <c r="G55" s="69">
        <v>44593.0</v>
      </c>
    </row>
    <row r="56">
      <c r="C56" s="65" t="s">
        <v>125</v>
      </c>
      <c r="D56" s="66" t="s">
        <v>126</v>
      </c>
      <c r="E56" s="67">
        <v>300.0</v>
      </c>
      <c r="F56" s="68">
        <v>1500.0</v>
      </c>
      <c r="G56" s="69">
        <v>44593.0</v>
      </c>
    </row>
    <row r="57">
      <c r="C57" s="65" t="s">
        <v>127</v>
      </c>
      <c r="D57" s="66">
        <v>2.0</v>
      </c>
      <c r="E57" s="67">
        <v>1750.0</v>
      </c>
      <c r="F57" s="68">
        <v>3500.0</v>
      </c>
      <c r="G57" s="69">
        <v>44593.0</v>
      </c>
    </row>
    <row r="58">
      <c r="C58" s="65" t="s">
        <v>128</v>
      </c>
      <c r="D58" s="66">
        <v>10.0</v>
      </c>
      <c r="E58" s="67">
        <v>55.0</v>
      </c>
      <c r="F58" s="68">
        <v>550.0</v>
      </c>
      <c r="G58" s="69">
        <v>44593.0</v>
      </c>
    </row>
    <row r="59">
      <c r="C59" s="65" t="s">
        <v>129</v>
      </c>
      <c r="D59" s="66">
        <v>1.0</v>
      </c>
      <c r="E59" s="67">
        <v>2275.0</v>
      </c>
      <c r="F59" s="67">
        <v>4550.0</v>
      </c>
      <c r="G59" s="71">
        <v>44593.0</v>
      </c>
    </row>
    <row r="60">
      <c r="C60" s="72" t="s">
        <v>130</v>
      </c>
      <c r="D60" s="66">
        <v>4.0</v>
      </c>
      <c r="E60" s="67">
        <v>1350.0</v>
      </c>
      <c r="F60" s="70">
        <v>5400.0</v>
      </c>
      <c r="G60" s="69">
        <v>44593.0</v>
      </c>
    </row>
    <row r="61">
      <c r="C61" s="73" t="s">
        <v>130</v>
      </c>
      <c r="D61" s="13">
        <v>30.0</v>
      </c>
      <c r="E61" s="12">
        <v>1300.0</v>
      </c>
      <c r="F61" s="74">
        <v>39000.0</v>
      </c>
      <c r="G61" s="11">
        <v>44608.0</v>
      </c>
    </row>
    <row r="62">
      <c r="C62" s="13" t="s">
        <v>131</v>
      </c>
      <c r="D62" s="13" t="s">
        <v>132</v>
      </c>
      <c r="E62" s="12">
        <v>360.0</v>
      </c>
      <c r="F62" s="12">
        <v>3600.0</v>
      </c>
      <c r="G62" s="11">
        <v>44608.0</v>
      </c>
    </row>
    <row r="63">
      <c r="C63" s="13" t="s">
        <v>133</v>
      </c>
      <c r="D63" s="13" t="s">
        <v>134</v>
      </c>
      <c r="E63" s="12">
        <v>650.0</v>
      </c>
      <c r="F63" s="12">
        <v>2600.0</v>
      </c>
      <c r="G63" s="11">
        <v>44608.0</v>
      </c>
    </row>
    <row r="64">
      <c r="C64" s="13" t="s">
        <v>135</v>
      </c>
      <c r="D64" s="13" t="s">
        <v>66</v>
      </c>
      <c r="E64" s="12">
        <v>1500.0</v>
      </c>
      <c r="F64" s="12">
        <v>500.0</v>
      </c>
      <c r="G64" s="11">
        <v>44621.0</v>
      </c>
    </row>
    <row r="65">
      <c r="C65" s="13" t="s">
        <v>136</v>
      </c>
      <c r="D65" s="13" t="s">
        <v>137</v>
      </c>
      <c r="E65" s="12">
        <v>50.0</v>
      </c>
      <c r="F65" s="12">
        <v>500.0</v>
      </c>
      <c r="G65" s="11">
        <v>44621.0</v>
      </c>
    </row>
    <row r="66">
      <c r="C66" s="13" t="s">
        <v>138</v>
      </c>
      <c r="D66" s="13">
        <v>1.0</v>
      </c>
      <c r="E66" s="12">
        <v>450.0</v>
      </c>
      <c r="F66" s="12">
        <v>450.0</v>
      </c>
      <c r="G66" s="11">
        <v>44621.0</v>
      </c>
    </row>
    <row r="67">
      <c r="C67" s="13" t="s">
        <v>139</v>
      </c>
      <c r="D67" s="13">
        <v>1.0</v>
      </c>
      <c r="E67" s="12">
        <v>450.0</v>
      </c>
      <c r="F67" s="12">
        <v>450.0</v>
      </c>
      <c r="G67" s="11">
        <v>44593.0</v>
      </c>
    </row>
    <row r="68">
      <c r="C68" s="13" t="s">
        <v>136</v>
      </c>
      <c r="D68" s="13" t="s">
        <v>137</v>
      </c>
      <c r="E68" s="12">
        <v>50.0</v>
      </c>
      <c r="F68" s="12">
        <v>500.0</v>
      </c>
      <c r="G68" s="11">
        <v>44622.0</v>
      </c>
    </row>
    <row r="69">
      <c r="C69" s="13" t="s">
        <v>140</v>
      </c>
      <c r="D69" s="13" t="s">
        <v>137</v>
      </c>
      <c r="E69" s="12">
        <v>100.0</v>
      </c>
      <c r="F69" s="12">
        <v>1000.0</v>
      </c>
      <c r="G69" s="11">
        <v>44622.0</v>
      </c>
    </row>
    <row r="70">
      <c r="C70" s="13" t="s">
        <v>141</v>
      </c>
      <c r="D70" s="13" t="s">
        <v>71</v>
      </c>
      <c r="E70" s="12">
        <v>600.0</v>
      </c>
      <c r="F70" s="12">
        <v>600.0</v>
      </c>
      <c r="G70" s="11">
        <v>44622.0</v>
      </c>
    </row>
    <row r="71">
      <c r="C71" s="13" t="s">
        <v>142</v>
      </c>
      <c r="D71" s="13" t="s">
        <v>71</v>
      </c>
      <c r="E71" s="12">
        <v>600.0</v>
      </c>
      <c r="F71" s="12">
        <v>600.0</v>
      </c>
      <c r="G71" s="11">
        <v>44622.0</v>
      </c>
    </row>
    <row r="72">
      <c r="C72" s="13" t="s">
        <v>135</v>
      </c>
      <c r="D72" s="13" t="s">
        <v>143</v>
      </c>
      <c r="E72" s="12">
        <v>1500.0</v>
      </c>
      <c r="F72" s="12">
        <v>1000.0</v>
      </c>
      <c r="G72" s="11">
        <v>44622.0</v>
      </c>
    </row>
    <row r="73">
      <c r="C73" s="13" t="s">
        <v>144</v>
      </c>
      <c r="D73" s="13" t="s">
        <v>145</v>
      </c>
      <c r="E73" s="12">
        <v>20.0</v>
      </c>
      <c r="F73" s="12">
        <v>200.0</v>
      </c>
      <c r="G73" s="11">
        <v>44622.0</v>
      </c>
    </row>
    <row r="74">
      <c r="C74" s="13" t="s">
        <v>146</v>
      </c>
      <c r="D74" s="13" t="s">
        <v>71</v>
      </c>
      <c r="E74" s="12">
        <v>500.0</v>
      </c>
      <c r="F74" s="12">
        <v>500.0</v>
      </c>
      <c r="G74" s="11">
        <v>44622.0</v>
      </c>
    </row>
    <row r="75">
      <c r="C75" s="13" t="s">
        <v>147</v>
      </c>
      <c r="D75" s="13" t="s">
        <v>101</v>
      </c>
      <c r="E75" s="12" t="s">
        <v>101</v>
      </c>
      <c r="F75" s="12">
        <v>200.0</v>
      </c>
      <c r="G75" s="11">
        <v>44622.0</v>
      </c>
    </row>
    <row r="76">
      <c r="C76" s="13" t="s">
        <v>148</v>
      </c>
      <c r="D76" s="13" t="s">
        <v>149</v>
      </c>
      <c r="E76" s="12">
        <v>70.0</v>
      </c>
      <c r="F76" s="12">
        <v>200.0</v>
      </c>
      <c r="G76" s="11">
        <v>44622.0</v>
      </c>
    </row>
    <row r="77">
      <c r="C77" s="13" t="s">
        <v>150</v>
      </c>
      <c r="D77" s="13" t="s">
        <v>151</v>
      </c>
      <c r="E77" s="12">
        <v>100.0</v>
      </c>
      <c r="F77" s="12">
        <v>200.0</v>
      </c>
      <c r="G77" s="11">
        <v>44622.0</v>
      </c>
    </row>
    <row r="78">
      <c r="C78" s="13" t="s">
        <v>152</v>
      </c>
      <c r="D78" s="13">
        <v>1.0</v>
      </c>
      <c r="E78" s="12">
        <v>100.0</v>
      </c>
      <c r="F78" s="12">
        <v>100.0</v>
      </c>
      <c r="G78" s="11">
        <v>44622.0</v>
      </c>
    </row>
    <row r="79">
      <c r="C79" s="13" t="s">
        <v>153</v>
      </c>
      <c r="D79" s="13" t="s">
        <v>151</v>
      </c>
      <c r="E79" s="12">
        <v>100.0</v>
      </c>
      <c r="F79" s="12">
        <v>200.0</v>
      </c>
      <c r="G79" s="11">
        <v>44622.0</v>
      </c>
    </row>
    <row r="80">
      <c r="C80" s="13" t="s">
        <v>154</v>
      </c>
      <c r="D80" s="13" t="s">
        <v>155</v>
      </c>
      <c r="E80" s="12">
        <v>250.0</v>
      </c>
      <c r="F80" s="12">
        <v>500.0</v>
      </c>
      <c r="G80" s="11">
        <v>44622.0</v>
      </c>
    </row>
    <row r="81">
      <c r="C81" s="13" t="s">
        <v>156</v>
      </c>
      <c r="D81" s="13" t="s">
        <v>157</v>
      </c>
      <c r="E81" s="12">
        <v>185.0</v>
      </c>
      <c r="F81" s="12">
        <v>2220.0</v>
      </c>
      <c r="G81" s="11">
        <v>44622.0</v>
      </c>
    </row>
    <row r="82">
      <c r="C82" s="13" t="s">
        <v>158</v>
      </c>
      <c r="D82" s="13" t="s">
        <v>159</v>
      </c>
      <c r="E82" s="12">
        <v>230.0</v>
      </c>
      <c r="F82" s="12">
        <v>2760.0</v>
      </c>
      <c r="G82" s="11">
        <v>44622.0</v>
      </c>
    </row>
    <row r="83">
      <c r="C83" s="13" t="s">
        <v>160</v>
      </c>
      <c r="D83" s="13" t="s">
        <v>121</v>
      </c>
      <c r="E83" s="12">
        <v>1050.0</v>
      </c>
      <c r="F83" s="12">
        <v>1050.0</v>
      </c>
      <c r="G83" s="11">
        <v>44622.0</v>
      </c>
    </row>
    <row r="84">
      <c r="C84" s="13" t="s">
        <v>161</v>
      </c>
      <c r="D84" s="13">
        <v>14.0</v>
      </c>
      <c r="E84" s="12">
        <v>330.0</v>
      </c>
      <c r="F84" s="12">
        <v>4620.0</v>
      </c>
      <c r="G84" s="11">
        <v>44622.0</v>
      </c>
    </row>
    <row r="85">
      <c r="C85" s="13" t="s">
        <v>140</v>
      </c>
      <c r="D85" s="13" t="s">
        <v>137</v>
      </c>
      <c r="E85" s="12">
        <v>100.0</v>
      </c>
      <c r="F85" s="12">
        <v>1000.0</v>
      </c>
      <c r="G85" s="11">
        <v>44622.0</v>
      </c>
    </row>
    <row r="86">
      <c r="C86" s="13" t="s">
        <v>136</v>
      </c>
      <c r="D86" s="13" t="s">
        <v>162</v>
      </c>
      <c r="E86" s="12">
        <v>50.0</v>
      </c>
      <c r="F86" s="12">
        <v>1500.0</v>
      </c>
      <c r="G86" s="11">
        <v>44622.0</v>
      </c>
    </row>
    <row r="87">
      <c r="C87" s="13" t="s">
        <v>163</v>
      </c>
      <c r="D87" s="13" t="s">
        <v>164</v>
      </c>
      <c r="E87" s="12">
        <v>200.0</v>
      </c>
      <c r="F87" s="12">
        <v>200.0</v>
      </c>
      <c r="G87" s="11">
        <v>44622.0</v>
      </c>
    </row>
    <row r="88">
      <c r="C88" s="13" t="s">
        <v>165</v>
      </c>
      <c r="D88" s="59"/>
      <c r="E88" s="12">
        <v>450.0</v>
      </c>
      <c r="F88" s="12">
        <v>50.0</v>
      </c>
      <c r="G88" s="11">
        <v>44622.0</v>
      </c>
    </row>
    <row r="89">
      <c r="C89" s="13" t="s">
        <v>144</v>
      </c>
      <c r="D89" s="13" t="s">
        <v>166</v>
      </c>
      <c r="E89" s="12">
        <v>20.0</v>
      </c>
      <c r="F89" s="12">
        <v>140.0</v>
      </c>
      <c r="G89" s="11">
        <v>44622.0</v>
      </c>
    </row>
    <row r="90">
      <c r="C90" s="13" t="s">
        <v>141</v>
      </c>
      <c r="D90" s="13">
        <v>1.0</v>
      </c>
      <c r="E90" s="12">
        <v>500.0</v>
      </c>
      <c r="F90" s="12">
        <v>500.0</v>
      </c>
      <c r="G90" s="11">
        <v>44622.0</v>
      </c>
    </row>
    <row r="91">
      <c r="C91" s="13" t="s">
        <v>138</v>
      </c>
      <c r="D91" s="13" t="s">
        <v>167</v>
      </c>
      <c r="E91" s="12">
        <v>450.0</v>
      </c>
      <c r="F91" s="12">
        <v>900.0</v>
      </c>
      <c r="G91" s="11">
        <v>44622.0</v>
      </c>
    </row>
    <row r="92">
      <c r="C92" s="13" t="s">
        <v>108</v>
      </c>
      <c r="D92" s="13" t="s">
        <v>168</v>
      </c>
      <c r="E92" s="12">
        <v>236.0</v>
      </c>
      <c r="F92" s="12">
        <v>19824.0</v>
      </c>
      <c r="G92" s="11">
        <v>44622.0</v>
      </c>
    </row>
    <row r="93">
      <c r="C93" s="13" t="s">
        <v>169</v>
      </c>
      <c r="D93" s="13" t="s">
        <v>170</v>
      </c>
      <c r="E93" s="12">
        <v>2688.0</v>
      </c>
      <c r="F93" s="12">
        <v>11760.0</v>
      </c>
      <c r="G93" s="11">
        <v>44622.0</v>
      </c>
    </row>
    <row r="94">
      <c r="C94" s="13" t="s">
        <v>140</v>
      </c>
      <c r="D94" s="13" t="s">
        <v>137</v>
      </c>
      <c r="E94" s="12">
        <v>100.0</v>
      </c>
      <c r="F94" s="12">
        <v>1000.0</v>
      </c>
      <c r="G94" s="11">
        <v>44624.0</v>
      </c>
    </row>
    <row r="95">
      <c r="C95" s="13" t="s">
        <v>141</v>
      </c>
      <c r="D95" s="13" t="s">
        <v>71</v>
      </c>
      <c r="E95" s="12">
        <v>600.0</v>
      </c>
      <c r="F95" s="12">
        <v>600.0</v>
      </c>
      <c r="G95" s="11">
        <v>44624.0</v>
      </c>
    </row>
    <row r="96">
      <c r="C96" s="13" t="s">
        <v>142</v>
      </c>
      <c r="D96" s="13" t="s">
        <v>171</v>
      </c>
      <c r="E96" s="12">
        <v>600.0</v>
      </c>
      <c r="F96" s="12">
        <v>900.0</v>
      </c>
      <c r="G96" s="11">
        <v>44624.0</v>
      </c>
    </row>
    <row r="97">
      <c r="C97" s="13" t="s">
        <v>135</v>
      </c>
      <c r="D97" s="13" t="s">
        <v>66</v>
      </c>
      <c r="E97" s="12">
        <v>1500.0</v>
      </c>
      <c r="F97" s="12">
        <v>500.0</v>
      </c>
      <c r="G97" s="11">
        <v>44624.0</v>
      </c>
    </row>
    <row r="98">
      <c r="C98" s="13" t="s">
        <v>172</v>
      </c>
      <c r="D98" s="13" t="s">
        <v>59</v>
      </c>
      <c r="E98" s="12">
        <v>100.0</v>
      </c>
      <c r="F98" s="12">
        <v>2000.0</v>
      </c>
      <c r="G98" s="11">
        <v>44625.0</v>
      </c>
    </row>
    <row r="99">
      <c r="C99" s="13" t="s">
        <v>173</v>
      </c>
      <c r="D99" s="13" t="s">
        <v>71</v>
      </c>
      <c r="E99" s="12">
        <v>100.0</v>
      </c>
      <c r="F99" s="12">
        <v>100.0</v>
      </c>
      <c r="G99" s="11">
        <v>44625.0</v>
      </c>
    </row>
    <row r="100">
      <c r="C100" s="13" t="s">
        <v>174</v>
      </c>
      <c r="D100" s="13">
        <v>2.0</v>
      </c>
      <c r="E100" s="12">
        <v>150.0</v>
      </c>
      <c r="F100" s="12">
        <v>300.0</v>
      </c>
      <c r="G100" s="11">
        <v>44625.0</v>
      </c>
    </row>
    <row r="101">
      <c r="C101" s="13" t="s">
        <v>136</v>
      </c>
      <c r="D101" s="13" t="s">
        <v>59</v>
      </c>
      <c r="E101" s="12">
        <v>50.0</v>
      </c>
      <c r="F101" s="12">
        <v>1000.0</v>
      </c>
      <c r="G101" s="11">
        <v>44598.0</v>
      </c>
    </row>
    <row r="102">
      <c r="C102" s="13" t="s">
        <v>135</v>
      </c>
      <c r="D102" s="13" t="s">
        <v>143</v>
      </c>
      <c r="E102" s="12">
        <v>1500.0</v>
      </c>
      <c r="F102" s="12">
        <v>1000.0</v>
      </c>
      <c r="G102" s="11">
        <v>44626.0</v>
      </c>
    </row>
    <row r="103">
      <c r="C103" s="13" t="s">
        <v>175</v>
      </c>
      <c r="D103" s="13" t="s">
        <v>71</v>
      </c>
      <c r="E103" s="12">
        <v>200.0</v>
      </c>
      <c r="F103" s="12">
        <v>200.0</v>
      </c>
      <c r="G103" s="11">
        <v>44626.0</v>
      </c>
    </row>
    <row r="104">
      <c r="C104" s="13" t="s">
        <v>176</v>
      </c>
      <c r="D104" s="13">
        <v>1.0</v>
      </c>
      <c r="E104" s="12">
        <v>300.0</v>
      </c>
      <c r="F104" s="12">
        <v>300.0</v>
      </c>
      <c r="G104" s="11">
        <v>44626.0</v>
      </c>
    </row>
    <row r="105">
      <c r="C105" s="13" t="s">
        <v>177</v>
      </c>
      <c r="D105" s="13">
        <v>4.0</v>
      </c>
      <c r="E105" s="12">
        <v>80.0</v>
      </c>
      <c r="F105" s="12">
        <v>320.0</v>
      </c>
      <c r="G105" s="11">
        <v>44626.0</v>
      </c>
    </row>
    <row r="106">
      <c r="C106" s="13" t="s">
        <v>178</v>
      </c>
      <c r="D106" s="13" t="s">
        <v>71</v>
      </c>
      <c r="E106" s="12">
        <v>200.0</v>
      </c>
      <c r="F106" s="12">
        <v>200.0</v>
      </c>
      <c r="G106" s="11">
        <v>44626.0</v>
      </c>
    </row>
    <row r="107">
      <c r="C107" s="13" t="s">
        <v>179</v>
      </c>
      <c r="D107" s="13">
        <v>1.0</v>
      </c>
      <c r="E107" s="12">
        <v>130.0</v>
      </c>
      <c r="F107" s="12">
        <v>130.0</v>
      </c>
      <c r="G107" s="11">
        <v>44626.0</v>
      </c>
    </row>
    <row r="108">
      <c r="C108" s="13" t="s">
        <v>180</v>
      </c>
      <c r="D108" s="13">
        <v>1.0</v>
      </c>
      <c r="E108" s="12">
        <v>300.0</v>
      </c>
      <c r="F108" s="12">
        <v>300.0</v>
      </c>
      <c r="G108" s="11">
        <v>44626.0</v>
      </c>
    </row>
    <row r="109">
      <c r="C109" s="13" t="s">
        <v>136</v>
      </c>
      <c r="D109" s="13" t="s">
        <v>59</v>
      </c>
      <c r="E109" s="12">
        <v>50.0</v>
      </c>
      <c r="F109" s="12">
        <v>1000.0</v>
      </c>
      <c r="G109" s="11">
        <v>44627.0</v>
      </c>
    </row>
    <row r="110">
      <c r="C110" s="13" t="s">
        <v>135</v>
      </c>
      <c r="D110" s="13" t="s">
        <v>143</v>
      </c>
      <c r="E110" s="12">
        <v>1800.0</v>
      </c>
      <c r="F110" s="12">
        <v>1000.0</v>
      </c>
      <c r="G110" s="11">
        <v>44627.0</v>
      </c>
    </row>
    <row r="111">
      <c r="C111" s="13" t="s">
        <v>142</v>
      </c>
      <c r="D111" s="13">
        <v>1.0</v>
      </c>
      <c r="E111" s="12">
        <v>850.0</v>
      </c>
      <c r="F111" s="12">
        <v>500.0</v>
      </c>
      <c r="G111" s="11">
        <v>44627.0</v>
      </c>
    </row>
    <row r="112">
      <c r="C112" s="13" t="s">
        <v>138</v>
      </c>
      <c r="D112" s="13">
        <v>10.0</v>
      </c>
      <c r="E112" s="12">
        <v>170.0</v>
      </c>
      <c r="F112" s="12">
        <v>170.0</v>
      </c>
      <c r="G112" s="11">
        <v>44627.0</v>
      </c>
    </row>
    <row r="113">
      <c r="C113" s="13" t="s">
        <v>140</v>
      </c>
      <c r="D113" s="13" t="s">
        <v>181</v>
      </c>
      <c r="E113" s="12">
        <v>100.0</v>
      </c>
      <c r="F113" s="12">
        <v>500.0</v>
      </c>
      <c r="G113" s="11">
        <v>44627.0</v>
      </c>
    </row>
    <row r="114">
      <c r="C114" s="13" t="s">
        <v>141</v>
      </c>
      <c r="D114" s="13" t="s">
        <v>71</v>
      </c>
      <c r="E114" s="12">
        <v>600.0</v>
      </c>
      <c r="F114" s="12">
        <v>600.0</v>
      </c>
      <c r="G114" s="11">
        <v>44627.0</v>
      </c>
    </row>
    <row r="115">
      <c r="C115" s="13" t="s">
        <v>138</v>
      </c>
      <c r="D115" s="13" t="s">
        <v>182</v>
      </c>
      <c r="E115" s="12">
        <v>450.0</v>
      </c>
      <c r="F115" s="12">
        <v>1350.0</v>
      </c>
      <c r="G115" s="11">
        <v>44627.0</v>
      </c>
    </row>
    <row r="116">
      <c r="C116" s="13" t="s">
        <v>148</v>
      </c>
      <c r="D116" s="13" t="s">
        <v>183</v>
      </c>
      <c r="E116" s="12">
        <v>100.0</v>
      </c>
      <c r="F116" s="12">
        <v>400.0</v>
      </c>
      <c r="G116" s="11">
        <v>44627.0</v>
      </c>
    </row>
    <row r="117">
      <c r="C117" s="13" t="s">
        <v>153</v>
      </c>
      <c r="D117" s="13" t="s">
        <v>71</v>
      </c>
      <c r="E117" s="12">
        <v>100.0</v>
      </c>
      <c r="F117" s="12">
        <v>100.0</v>
      </c>
      <c r="G117" s="11">
        <v>44627.0</v>
      </c>
    </row>
    <row r="118">
      <c r="C118" s="13" t="s">
        <v>184</v>
      </c>
      <c r="D118" s="13" t="s">
        <v>183</v>
      </c>
      <c r="E118" s="12">
        <v>50.0</v>
      </c>
      <c r="F118" s="12">
        <v>200.0</v>
      </c>
      <c r="G118" s="11">
        <v>44627.0</v>
      </c>
    </row>
    <row r="119">
      <c r="C119" s="13" t="s">
        <v>185</v>
      </c>
      <c r="D119" s="13">
        <v>1.0</v>
      </c>
      <c r="E119" s="12">
        <v>200.0</v>
      </c>
      <c r="F119" s="12">
        <v>200.0</v>
      </c>
      <c r="G119" s="11">
        <v>44627.0</v>
      </c>
    </row>
    <row r="120">
      <c r="C120" s="13" t="s">
        <v>186</v>
      </c>
      <c r="D120" s="13" t="s">
        <v>187</v>
      </c>
      <c r="E120" s="12">
        <v>30.0</v>
      </c>
      <c r="F120" s="12">
        <v>450.0</v>
      </c>
      <c r="G120" s="11">
        <v>44627.0</v>
      </c>
    </row>
    <row r="121">
      <c r="C121" s="13" t="s">
        <v>188</v>
      </c>
      <c r="D121" s="13">
        <v>2.0</v>
      </c>
      <c r="E121" s="12">
        <v>650.0</v>
      </c>
      <c r="F121" s="12">
        <v>1300.0</v>
      </c>
      <c r="G121" s="11">
        <v>44627.0</v>
      </c>
    </row>
    <row r="122">
      <c r="C122" s="13" t="s">
        <v>189</v>
      </c>
      <c r="D122" s="13">
        <v>4.0</v>
      </c>
      <c r="E122" s="12">
        <v>100.0</v>
      </c>
      <c r="F122" s="12">
        <v>400.0</v>
      </c>
      <c r="G122" s="11">
        <v>44627.0</v>
      </c>
    </row>
    <row r="123">
      <c r="C123" s="13" t="s">
        <v>190</v>
      </c>
      <c r="D123" s="13" t="s">
        <v>151</v>
      </c>
      <c r="E123" s="12">
        <v>450.0</v>
      </c>
      <c r="F123" s="12">
        <v>900.0</v>
      </c>
      <c r="G123" s="11">
        <v>44627.0</v>
      </c>
    </row>
    <row r="124">
      <c r="C124" s="13" t="s">
        <v>135</v>
      </c>
      <c r="D124" s="13" t="s">
        <v>66</v>
      </c>
      <c r="E124" s="12">
        <v>1500.0</v>
      </c>
      <c r="F124" s="12">
        <v>500.0</v>
      </c>
      <c r="G124" s="11">
        <v>44627.0</v>
      </c>
    </row>
    <row r="125">
      <c r="C125" s="13" t="s">
        <v>191</v>
      </c>
      <c r="D125" s="13" t="s">
        <v>192</v>
      </c>
      <c r="E125" s="12">
        <v>100.0</v>
      </c>
      <c r="F125" s="12">
        <v>300.0</v>
      </c>
      <c r="G125" s="11">
        <v>44627.0</v>
      </c>
    </row>
    <row r="126">
      <c r="C126" s="13" t="s">
        <v>193</v>
      </c>
      <c r="D126" s="13">
        <v>1.0</v>
      </c>
      <c r="E126" s="12">
        <v>150.0</v>
      </c>
      <c r="F126" s="12">
        <v>150.0</v>
      </c>
      <c r="G126" s="11">
        <v>44627.0</v>
      </c>
    </row>
    <row r="127">
      <c r="C127" s="13" t="s">
        <v>177</v>
      </c>
      <c r="D127" s="13">
        <v>50.0</v>
      </c>
      <c r="E127" s="12">
        <v>80.0</v>
      </c>
      <c r="F127" s="12">
        <v>4000.0</v>
      </c>
      <c r="G127" s="11">
        <v>44627.0</v>
      </c>
    </row>
    <row r="128">
      <c r="C128" s="13" t="s">
        <v>194</v>
      </c>
      <c r="D128" s="13" t="s">
        <v>151</v>
      </c>
      <c r="E128" s="12">
        <v>1500.0</v>
      </c>
      <c r="F128" s="12">
        <v>3000.0</v>
      </c>
      <c r="G128" s="11">
        <v>44627.0</v>
      </c>
    </row>
    <row r="129">
      <c r="C129" s="13" t="s">
        <v>195</v>
      </c>
      <c r="D129" s="75">
        <v>44682.0</v>
      </c>
      <c r="E129" s="12">
        <v>350.0</v>
      </c>
      <c r="F129" s="12">
        <v>500.0</v>
      </c>
      <c r="G129" s="11">
        <v>44627.0</v>
      </c>
    </row>
    <row r="130">
      <c r="C130" s="13" t="s">
        <v>196</v>
      </c>
      <c r="D130" s="13">
        <v>5.0</v>
      </c>
      <c r="E130" s="12">
        <v>300.0</v>
      </c>
      <c r="F130" s="12">
        <v>300.0</v>
      </c>
      <c r="G130" s="11">
        <v>44627.0</v>
      </c>
    </row>
    <row r="131">
      <c r="C131" s="13" t="s">
        <v>197</v>
      </c>
      <c r="D131" s="13">
        <v>500.0</v>
      </c>
      <c r="E131" s="12">
        <v>500.0</v>
      </c>
      <c r="F131" s="12">
        <v>250.0</v>
      </c>
      <c r="G131" s="11">
        <v>44627.0</v>
      </c>
    </row>
    <row r="132">
      <c r="C132" s="13" t="s">
        <v>198</v>
      </c>
      <c r="D132" s="13">
        <v>5.0</v>
      </c>
      <c r="E132" s="12">
        <v>130.0</v>
      </c>
      <c r="F132" s="12">
        <v>650.0</v>
      </c>
      <c r="G132" s="11">
        <v>44627.0</v>
      </c>
    </row>
    <row r="133">
      <c r="C133" s="13" t="s">
        <v>152</v>
      </c>
      <c r="D133" s="13">
        <v>1.0</v>
      </c>
      <c r="E133" s="12">
        <v>150.0</v>
      </c>
      <c r="F133" s="12">
        <v>150.0</v>
      </c>
      <c r="G133" s="11">
        <v>44627.0</v>
      </c>
    </row>
    <row r="134">
      <c r="C134" s="13" t="s">
        <v>199</v>
      </c>
      <c r="D134" s="13">
        <v>1.0</v>
      </c>
      <c r="E134" s="12">
        <v>150.0</v>
      </c>
      <c r="F134" s="12">
        <v>150.0</v>
      </c>
      <c r="G134" s="11">
        <v>44627.0</v>
      </c>
    </row>
    <row r="135">
      <c r="C135" s="13" t="s">
        <v>200</v>
      </c>
      <c r="D135" s="13">
        <v>50.0</v>
      </c>
      <c r="E135" s="12">
        <v>25.0</v>
      </c>
      <c r="F135" s="12">
        <v>1250.0</v>
      </c>
      <c r="G135" s="11">
        <v>44627.0</v>
      </c>
    </row>
    <row r="136">
      <c r="C136" s="13" t="s">
        <v>201</v>
      </c>
      <c r="D136" s="13">
        <v>50.0</v>
      </c>
      <c r="E136" s="12">
        <v>20.0</v>
      </c>
      <c r="F136" s="12">
        <v>1000.0</v>
      </c>
      <c r="G136" s="11">
        <v>44627.0</v>
      </c>
    </row>
    <row r="137">
      <c r="C137" s="13" t="s">
        <v>202</v>
      </c>
      <c r="D137" s="13">
        <v>10.0</v>
      </c>
      <c r="E137" s="12">
        <v>150.0</v>
      </c>
      <c r="F137" s="12">
        <v>1500.0</v>
      </c>
      <c r="G137" s="11">
        <v>44627.0</v>
      </c>
    </row>
    <row r="138">
      <c r="C138" s="13" t="s">
        <v>203</v>
      </c>
      <c r="D138" s="13">
        <v>6.0</v>
      </c>
      <c r="E138" s="12">
        <v>750.0</v>
      </c>
      <c r="F138" s="12">
        <v>4500.0</v>
      </c>
      <c r="G138" s="11">
        <v>44627.0</v>
      </c>
    </row>
    <row r="139">
      <c r="C139" s="13" t="s">
        <v>204</v>
      </c>
      <c r="D139" s="13" t="s">
        <v>205</v>
      </c>
      <c r="E139" s="12">
        <v>180.0</v>
      </c>
      <c r="F139" s="12">
        <v>540.0</v>
      </c>
      <c r="G139" s="11">
        <v>44627.0</v>
      </c>
    </row>
    <row r="140">
      <c r="C140" s="13" t="s">
        <v>206</v>
      </c>
      <c r="D140" s="13">
        <v>2.0</v>
      </c>
      <c r="E140" s="12">
        <v>125.0</v>
      </c>
      <c r="F140" s="12">
        <v>250.0</v>
      </c>
      <c r="G140" s="11">
        <v>44627.0</v>
      </c>
    </row>
    <row r="141">
      <c r="C141" s="13" t="s">
        <v>207</v>
      </c>
      <c r="D141" s="13">
        <v>1.0</v>
      </c>
      <c r="E141" s="12">
        <v>250.0</v>
      </c>
      <c r="F141" s="12">
        <v>250.0</v>
      </c>
      <c r="G141" s="11">
        <v>44627.0</v>
      </c>
    </row>
    <row r="142">
      <c r="C142" s="13" t="s">
        <v>208</v>
      </c>
      <c r="D142" s="13" t="s">
        <v>209</v>
      </c>
      <c r="E142" s="12">
        <v>340.0</v>
      </c>
      <c r="F142" s="12">
        <v>340.0</v>
      </c>
      <c r="G142" s="11">
        <v>44627.0</v>
      </c>
    </row>
    <row r="143">
      <c r="C143" s="13" t="s">
        <v>210</v>
      </c>
      <c r="D143" s="13">
        <v>2.0</v>
      </c>
      <c r="E143" s="12">
        <v>100.0</v>
      </c>
      <c r="F143" s="12">
        <v>200.0</v>
      </c>
      <c r="G143" s="11">
        <v>44627.0</v>
      </c>
    </row>
    <row r="144">
      <c r="C144" s="13" t="s">
        <v>206</v>
      </c>
      <c r="D144" s="13">
        <v>20.0</v>
      </c>
      <c r="E144" s="12">
        <v>90.0</v>
      </c>
      <c r="F144" s="12">
        <v>1800.0</v>
      </c>
      <c r="G144" s="11">
        <v>44628.0</v>
      </c>
    </row>
    <row r="145">
      <c r="C145" s="13" t="s">
        <v>211</v>
      </c>
      <c r="D145" s="13">
        <v>1.0</v>
      </c>
      <c r="E145" s="12">
        <v>350.0</v>
      </c>
      <c r="F145" s="12">
        <v>350.0</v>
      </c>
      <c r="G145" s="11">
        <v>44628.0</v>
      </c>
    </row>
    <row r="146">
      <c r="C146" s="13" t="s">
        <v>212</v>
      </c>
      <c r="D146" s="13" t="s">
        <v>71</v>
      </c>
      <c r="E146" s="12">
        <v>80.0</v>
      </c>
      <c r="F146" s="12">
        <v>80.0</v>
      </c>
      <c r="G146" s="11">
        <v>44628.0</v>
      </c>
    </row>
    <row r="147">
      <c r="C147" s="13" t="s">
        <v>141</v>
      </c>
      <c r="D147" s="13" t="s">
        <v>71</v>
      </c>
      <c r="E147" s="12">
        <v>600.0</v>
      </c>
      <c r="F147" s="12">
        <v>600.0</v>
      </c>
      <c r="G147" s="11">
        <v>44628.0</v>
      </c>
    </row>
    <row r="148">
      <c r="C148" s="13" t="s">
        <v>142</v>
      </c>
      <c r="D148" s="13">
        <v>1.0</v>
      </c>
      <c r="E148" s="12">
        <v>500.0</v>
      </c>
      <c r="F148" s="12">
        <v>500.0</v>
      </c>
      <c r="G148" s="11">
        <v>44628.0</v>
      </c>
    </row>
    <row r="149">
      <c r="C149" s="13" t="s">
        <v>213</v>
      </c>
      <c r="D149" s="13">
        <v>3.0</v>
      </c>
      <c r="E149" s="12">
        <v>150.0</v>
      </c>
      <c r="F149" s="12">
        <v>450.0</v>
      </c>
      <c r="G149" s="11">
        <v>44629.0</v>
      </c>
    </row>
    <row r="150">
      <c r="C150" s="13" t="s">
        <v>214</v>
      </c>
      <c r="D150" s="13">
        <v>2.0</v>
      </c>
      <c r="E150" s="12">
        <v>350.0</v>
      </c>
      <c r="F150" s="12">
        <v>700.0</v>
      </c>
      <c r="G150" s="11">
        <v>44629.0</v>
      </c>
    </row>
    <row r="151">
      <c r="C151" s="13" t="s">
        <v>189</v>
      </c>
      <c r="D151" s="13">
        <v>8.0</v>
      </c>
      <c r="E151" s="12">
        <v>100.0</v>
      </c>
      <c r="F151" s="12">
        <v>800.0</v>
      </c>
      <c r="G151" s="11">
        <v>44629.0</v>
      </c>
    </row>
    <row r="152">
      <c r="C152" s="13" t="s">
        <v>173</v>
      </c>
      <c r="D152" s="13" t="s">
        <v>71</v>
      </c>
      <c r="E152" s="12">
        <v>140.0</v>
      </c>
      <c r="F152" s="12">
        <v>140.0</v>
      </c>
      <c r="G152" s="11">
        <v>44629.0</v>
      </c>
    </row>
    <row r="153">
      <c r="C153" s="13" t="s">
        <v>215</v>
      </c>
      <c r="D153" s="13" t="s">
        <v>71</v>
      </c>
      <c r="E153" s="12">
        <v>160.0</v>
      </c>
      <c r="F153" s="12">
        <v>160.0</v>
      </c>
      <c r="G153" s="11">
        <v>44629.0</v>
      </c>
    </row>
    <row r="154">
      <c r="C154" s="13" t="s">
        <v>148</v>
      </c>
      <c r="D154" s="13" t="s">
        <v>71</v>
      </c>
      <c r="E154" s="12">
        <v>100.0</v>
      </c>
      <c r="F154" s="12">
        <v>100.0</v>
      </c>
      <c r="G154" s="11">
        <v>44629.0</v>
      </c>
    </row>
    <row r="155">
      <c r="C155" s="13" t="s">
        <v>216</v>
      </c>
      <c r="D155" s="13" t="s">
        <v>217</v>
      </c>
      <c r="E155" s="12">
        <v>300.0</v>
      </c>
      <c r="F155" s="12">
        <v>300.0</v>
      </c>
      <c r="G155" s="11">
        <v>44629.0</v>
      </c>
    </row>
    <row r="156">
      <c r="C156" s="13" t="s">
        <v>136</v>
      </c>
      <c r="D156" s="13" t="s">
        <v>218</v>
      </c>
      <c r="E156" s="12">
        <v>45.0</v>
      </c>
      <c r="F156" s="12">
        <v>700.0</v>
      </c>
      <c r="G156" s="11">
        <v>44629.0</v>
      </c>
    </row>
    <row r="157">
      <c r="C157" s="13" t="s">
        <v>135</v>
      </c>
      <c r="D157" s="13" t="s">
        <v>66</v>
      </c>
      <c r="E157" s="12">
        <v>1500.0</v>
      </c>
      <c r="F157" s="12">
        <v>500.0</v>
      </c>
      <c r="G157" s="11">
        <v>44629.0</v>
      </c>
    </row>
    <row r="158">
      <c r="C158" s="13" t="s">
        <v>219</v>
      </c>
      <c r="D158" s="13">
        <v>1.0</v>
      </c>
      <c r="E158" s="12">
        <v>400.0</v>
      </c>
      <c r="F158" s="12">
        <v>100.0</v>
      </c>
      <c r="G158" s="11">
        <v>44629.0</v>
      </c>
    </row>
    <row r="159">
      <c r="C159" s="13" t="s">
        <v>220</v>
      </c>
      <c r="D159" s="13" t="s">
        <v>63</v>
      </c>
      <c r="E159" s="12">
        <v>500.0</v>
      </c>
      <c r="F159" s="12">
        <v>250.0</v>
      </c>
      <c r="G159" s="11">
        <v>44629.0</v>
      </c>
    </row>
    <row r="160">
      <c r="C160" s="13" t="s">
        <v>221</v>
      </c>
      <c r="D160" s="13" t="s">
        <v>149</v>
      </c>
      <c r="E160" s="12">
        <v>150.0</v>
      </c>
      <c r="F160" s="12">
        <v>450.0</v>
      </c>
      <c r="G160" s="11">
        <v>44629.0</v>
      </c>
    </row>
    <row r="161">
      <c r="C161" s="13" t="s">
        <v>222</v>
      </c>
      <c r="D161" s="13">
        <v>2.0</v>
      </c>
      <c r="E161" s="12">
        <v>150.0</v>
      </c>
      <c r="F161" s="12">
        <v>300.0</v>
      </c>
      <c r="G161" s="11">
        <v>44629.0</v>
      </c>
    </row>
    <row r="162">
      <c r="C162" s="13" t="s">
        <v>223</v>
      </c>
      <c r="D162" s="13">
        <v>2.0</v>
      </c>
      <c r="E162" s="12" t="s">
        <v>224</v>
      </c>
      <c r="F162" s="12">
        <v>350.0</v>
      </c>
      <c r="G162" s="11">
        <v>44629.0</v>
      </c>
    </row>
    <row r="163">
      <c r="C163" s="13" t="s">
        <v>225</v>
      </c>
      <c r="D163" s="13">
        <v>1.0</v>
      </c>
      <c r="E163" s="12">
        <v>1000.0</v>
      </c>
      <c r="F163" s="12">
        <v>1000.0</v>
      </c>
      <c r="G163" s="11">
        <v>44629.0</v>
      </c>
    </row>
    <row r="164">
      <c r="C164" s="13" t="s">
        <v>226</v>
      </c>
      <c r="D164" s="13">
        <v>1.0</v>
      </c>
      <c r="E164" s="12">
        <v>1500.0</v>
      </c>
      <c r="F164" s="12">
        <v>1500.0</v>
      </c>
      <c r="G164" s="11">
        <v>44629.0</v>
      </c>
    </row>
    <row r="165">
      <c r="C165" s="13" t="s">
        <v>227</v>
      </c>
      <c r="D165" s="13">
        <v>2.0</v>
      </c>
      <c r="E165" s="12">
        <v>2800.0</v>
      </c>
      <c r="F165" s="12">
        <v>5600.0</v>
      </c>
      <c r="G165" s="11">
        <v>44629.0</v>
      </c>
    </row>
    <row r="166">
      <c r="C166" s="13" t="s">
        <v>228</v>
      </c>
      <c r="D166" s="13">
        <v>3.0</v>
      </c>
      <c r="E166" s="12">
        <v>1800.0</v>
      </c>
      <c r="F166" s="12">
        <v>5400.0</v>
      </c>
      <c r="G166" s="11">
        <v>44629.0</v>
      </c>
    </row>
    <row r="167">
      <c r="C167" s="13" t="s">
        <v>81</v>
      </c>
      <c r="D167" s="13">
        <v>3.0</v>
      </c>
      <c r="E167" s="12">
        <v>1650.0</v>
      </c>
      <c r="F167" s="12">
        <v>4950.0</v>
      </c>
      <c r="G167" s="11">
        <v>44629.0</v>
      </c>
    </row>
    <row r="168">
      <c r="C168" s="13" t="s">
        <v>229</v>
      </c>
      <c r="D168" s="13">
        <v>1.0</v>
      </c>
      <c r="E168" s="12">
        <v>2000.0</v>
      </c>
      <c r="F168" s="12">
        <v>2000.0</v>
      </c>
      <c r="G168" s="11">
        <v>44629.0</v>
      </c>
    </row>
    <row r="169">
      <c r="C169" s="13" t="s">
        <v>230</v>
      </c>
      <c r="D169" s="13">
        <v>1.0</v>
      </c>
      <c r="E169" s="12">
        <v>1700.0</v>
      </c>
      <c r="F169" s="12">
        <v>1700.0</v>
      </c>
      <c r="G169" s="11">
        <v>44629.0</v>
      </c>
    </row>
    <row r="170">
      <c r="C170" s="13" t="s">
        <v>231</v>
      </c>
      <c r="D170" s="13">
        <v>2.0</v>
      </c>
      <c r="E170" s="12">
        <v>160.0</v>
      </c>
      <c r="F170" s="12">
        <v>320.0</v>
      </c>
      <c r="G170" s="11">
        <v>44629.0</v>
      </c>
    </row>
    <row r="171">
      <c r="C171" s="13" t="s">
        <v>232</v>
      </c>
      <c r="D171" s="13">
        <v>1.0</v>
      </c>
      <c r="E171" s="12">
        <v>450.0</v>
      </c>
      <c r="F171" s="12">
        <v>450.0</v>
      </c>
      <c r="G171" s="11">
        <v>44629.0</v>
      </c>
    </row>
    <row r="172">
      <c r="C172" s="13" t="s">
        <v>233</v>
      </c>
      <c r="D172" s="13">
        <v>30.0</v>
      </c>
      <c r="E172" s="12">
        <v>5.0</v>
      </c>
      <c r="F172" s="12">
        <v>150.0</v>
      </c>
      <c r="G172" s="11">
        <v>44629.0</v>
      </c>
    </row>
    <row r="173">
      <c r="C173" s="13" t="s">
        <v>234</v>
      </c>
      <c r="D173" s="13" t="s">
        <v>71</v>
      </c>
      <c r="E173" s="12">
        <v>1800.0</v>
      </c>
      <c r="F173" s="12">
        <v>1800.0</v>
      </c>
      <c r="G173" s="11">
        <v>44629.0</v>
      </c>
    </row>
    <row r="174">
      <c r="C174" s="13" t="s">
        <v>235</v>
      </c>
      <c r="D174" s="13">
        <v>3.0</v>
      </c>
      <c r="E174" s="12">
        <v>230.0</v>
      </c>
      <c r="F174" s="12">
        <v>690.0</v>
      </c>
      <c r="G174" s="11">
        <v>44629.0</v>
      </c>
    </row>
    <row r="175">
      <c r="C175" s="13" t="s">
        <v>236</v>
      </c>
      <c r="D175" s="13">
        <v>2.0</v>
      </c>
      <c r="E175" s="12">
        <v>200.0</v>
      </c>
      <c r="F175" s="12">
        <v>400.0</v>
      </c>
      <c r="G175" s="11">
        <v>44629.0</v>
      </c>
    </row>
    <row r="176">
      <c r="C176" s="13" t="s">
        <v>237</v>
      </c>
      <c r="D176" s="13">
        <v>1.0</v>
      </c>
      <c r="E176" s="12">
        <v>190.0</v>
      </c>
      <c r="F176" s="12">
        <v>190.0</v>
      </c>
      <c r="G176" s="11">
        <v>44629.0</v>
      </c>
    </row>
    <row r="177">
      <c r="C177" s="13" t="s">
        <v>238</v>
      </c>
      <c r="D177" s="13">
        <v>4.0</v>
      </c>
      <c r="E177" s="12">
        <v>50.0</v>
      </c>
      <c r="F177" s="12">
        <v>200.0</v>
      </c>
      <c r="G177" s="11">
        <v>44629.0</v>
      </c>
    </row>
    <row r="178">
      <c r="C178" s="13" t="s">
        <v>239</v>
      </c>
      <c r="D178" s="13" t="s">
        <v>101</v>
      </c>
      <c r="E178" s="12" t="s">
        <v>101</v>
      </c>
      <c r="F178" s="12">
        <v>1000.0</v>
      </c>
      <c r="G178" s="11">
        <v>44629.0</v>
      </c>
    </row>
    <row r="179">
      <c r="C179" s="13" t="s">
        <v>102</v>
      </c>
      <c r="D179" s="13" t="s">
        <v>240</v>
      </c>
      <c r="E179" s="12">
        <v>2780.0</v>
      </c>
      <c r="F179" s="12">
        <v>4170.0</v>
      </c>
      <c r="G179" s="11">
        <v>44629.0</v>
      </c>
    </row>
    <row r="180">
      <c r="C180" s="13" t="s">
        <v>142</v>
      </c>
      <c r="D180" s="13" t="s">
        <v>44</v>
      </c>
      <c r="E180" s="12">
        <v>600.0</v>
      </c>
      <c r="F180" s="12">
        <v>3600.0</v>
      </c>
      <c r="G180" s="11">
        <v>44630.0</v>
      </c>
    </row>
    <row r="181">
      <c r="C181" s="13" t="s">
        <v>241</v>
      </c>
      <c r="D181" s="13">
        <v>3.0</v>
      </c>
      <c r="E181" s="12">
        <v>100.0</v>
      </c>
      <c r="F181" s="12">
        <v>300.0</v>
      </c>
      <c r="G181" s="11">
        <v>44630.0</v>
      </c>
    </row>
    <row r="182">
      <c r="C182" s="13" t="s">
        <v>153</v>
      </c>
      <c r="D182" s="13" t="s">
        <v>242</v>
      </c>
      <c r="E182" s="12">
        <v>120.0</v>
      </c>
      <c r="F182" s="12">
        <v>1800.0</v>
      </c>
      <c r="G182" s="11">
        <v>44630.0</v>
      </c>
    </row>
    <row r="183">
      <c r="C183" s="13" t="s">
        <v>152</v>
      </c>
      <c r="D183" s="13">
        <v>5.0</v>
      </c>
      <c r="E183" s="12">
        <v>80.0</v>
      </c>
      <c r="F183" s="12">
        <v>400.0</v>
      </c>
      <c r="G183" s="11">
        <v>44630.0</v>
      </c>
    </row>
    <row r="184">
      <c r="C184" s="13" t="s">
        <v>140</v>
      </c>
      <c r="D184" s="13" t="s">
        <v>59</v>
      </c>
      <c r="E184" s="12">
        <v>100.0</v>
      </c>
      <c r="F184" s="12">
        <v>2000.0</v>
      </c>
      <c r="G184" s="11">
        <v>44630.0</v>
      </c>
    </row>
    <row r="185">
      <c r="C185" s="13" t="s">
        <v>243</v>
      </c>
      <c r="D185" s="13">
        <v>30.0</v>
      </c>
      <c r="E185" s="12">
        <v>10.0</v>
      </c>
      <c r="F185" s="12">
        <v>300.0</v>
      </c>
      <c r="G185" s="11">
        <v>44630.0</v>
      </c>
    </row>
    <row r="186">
      <c r="C186" s="13" t="s">
        <v>136</v>
      </c>
      <c r="D186" s="13" t="s">
        <v>59</v>
      </c>
      <c r="E186" s="12">
        <v>50.0</v>
      </c>
      <c r="F186" s="12">
        <v>1000.0</v>
      </c>
      <c r="G186" s="11">
        <v>44630.0</v>
      </c>
    </row>
    <row r="187">
      <c r="C187" s="13" t="s">
        <v>140</v>
      </c>
      <c r="D187" s="13" t="s">
        <v>137</v>
      </c>
      <c r="E187" s="12">
        <v>100.0</v>
      </c>
      <c r="F187" s="12">
        <v>1000.0</v>
      </c>
      <c r="G187" s="11">
        <v>44632.0</v>
      </c>
    </row>
    <row r="188">
      <c r="C188" s="13" t="s">
        <v>244</v>
      </c>
      <c r="D188" s="13">
        <v>10.0</v>
      </c>
      <c r="E188" s="12">
        <v>140.0</v>
      </c>
      <c r="F188" s="12">
        <v>1400.0</v>
      </c>
      <c r="G188" s="11">
        <v>44632.0</v>
      </c>
    </row>
    <row r="189">
      <c r="C189" s="13" t="s">
        <v>141</v>
      </c>
      <c r="D189" s="13" t="s">
        <v>71</v>
      </c>
      <c r="E189" s="12">
        <v>600.0</v>
      </c>
      <c r="F189" s="12">
        <v>600.0</v>
      </c>
      <c r="G189" s="11">
        <v>44632.0</v>
      </c>
    </row>
    <row r="190">
      <c r="C190" s="13" t="s">
        <v>138</v>
      </c>
      <c r="D190" s="13" t="s">
        <v>182</v>
      </c>
      <c r="E190" s="12">
        <v>450.0</v>
      </c>
      <c r="F190" s="12">
        <v>1350.0</v>
      </c>
      <c r="G190" s="11">
        <v>44632.0</v>
      </c>
    </row>
    <row r="191">
      <c r="C191" s="13" t="s">
        <v>73</v>
      </c>
      <c r="D191" s="13">
        <v>10.0</v>
      </c>
      <c r="E191" s="12">
        <v>50.0</v>
      </c>
      <c r="F191" s="12">
        <v>500.0</v>
      </c>
      <c r="G191" s="11">
        <v>44632.0</v>
      </c>
    </row>
    <row r="192">
      <c r="C192" s="13" t="s">
        <v>245</v>
      </c>
      <c r="D192" s="13">
        <v>10.0</v>
      </c>
      <c r="E192" s="12">
        <v>50.0</v>
      </c>
      <c r="F192" s="12">
        <v>500.0</v>
      </c>
      <c r="G192" s="11">
        <v>44632.0</v>
      </c>
    </row>
    <row r="193">
      <c r="C193" s="13" t="s">
        <v>68</v>
      </c>
      <c r="D193" s="13" t="s">
        <v>246</v>
      </c>
      <c r="E193" s="12">
        <v>1800.0</v>
      </c>
      <c r="F193" s="12">
        <v>500.0</v>
      </c>
      <c r="G193" s="11">
        <v>44632.0</v>
      </c>
    </row>
    <row r="194">
      <c r="C194" s="13" t="s">
        <v>247</v>
      </c>
      <c r="D194" s="13" t="s">
        <v>248</v>
      </c>
      <c r="E194" s="12">
        <v>400.0</v>
      </c>
      <c r="F194" s="12">
        <v>400.0</v>
      </c>
      <c r="G194" s="11">
        <v>44632.0</v>
      </c>
    </row>
    <row r="195">
      <c r="C195" s="13" t="s">
        <v>249</v>
      </c>
      <c r="D195" s="59"/>
      <c r="E195" s="15"/>
      <c r="F195" s="12">
        <v>100.0</v>
      </c>
      <c r="G195" s="11">
        <v>44632.0</v>
      </c>
    </row>
    <row r="196">
      <c r="C196" s="13" t="s">
        <v>189</v>
      </c>
      <c r="D196" s="13">
        <v>7.0</v>
      </c>
      <c r="E196" s="12">
        <v>100.0</v>
      </c>
      <c r="F196" s="12">
        <v>700.0</v>
      </c>
      <c r="G196" s="11">
        <v>44632.0</v>
      </c>
    </row>
    <row r="197">
      <c r="C197" s="13" t="s">
        <v>250</v>
      </c>
      <c r="D197" s="13" t="s">
        <v>145</v>
      </c>
      <c r="E197" s="12">
        <v>20.0</v>
      </c>
      <c r="F197" s="12">
        <v>200.0</v>
      </c>
      <c r="G197" s="11">
        <v>44632.0</v>
      </c>
    </row>
    <row r="198">
      <c r="C198" s="13" t="s">
        <v>136</v>
      </c>
      <c r="D198" s="13" t="s">
        <v>242</v>
      </c>
      <c r="E198" s="12">
        <v>50.0</v>
      </c>
      <c r="F198" s="12">
        <v>750.0</v>
      </c>
      <c r="G198" s="11">
        <v>44632.0</v>
      </c>
    </row>
    <row r="199">
      <c r="C199" s="13" t="s">
        <v>251</v>
      </c>
      <c r="D199" s="13">
        <v>448.0</v>
      </c>
      <c r="E199" s="12">
        <v>50.0</v>
      </c>
      <c r="F199" s="12">
        <v>22400.0</v>
      </c>
      <c r="G199" s="11">
        <v>44632.0</v>
      </c>
    </row>
    <row r="200">
      <c r="C200" s="13" t="s">
        <v>148</v>
      </c>
      <c r="D200" s="13" t="s">
        <v>71</v>
      </c>
      <c r="E200" s="12">
        <v>100.0</v>
      </c>
      <c r="F200" s="12">
        <v>100.0</v>
      </c>
      <c r="G200" s="11">
        <v>44633.0</v>
      </c>
    </row>
    <row r="201">
      <c r="C201" s="13" t="s">
        <v>135</v>
      </c>
      <c r="D201" s="13" t="s">
        <v>252</v>
      </c>
      <c r="E201" s="12">
        <v>2000.0</v>
      </c>
      <c r="F201" s="12">
        <v>500.0</v>
      </c>
      <c r="G201" s="11">
        <v>44633.0</v>
      </c>
    </row>
    <row r="202">
      <c r="C202" s="13" t="s">
        <v>253</v>
      </c>
      <c r="D202" s="13" t="s">
        <v>66</v>
      </c>
      <c r="E202" s="12">
        <v>1000.0</v>
      </c>
      <c r="F202" s="12">
        <v>300.0</v>
      </c>
      <c r="G202" s="11">
        <v>44633.0</v>
      </c>
    </row>
    <row r="203">
      <c r="C203" s="13" t="s">
        <v>99</v>
      </c>
      <c r="D203" s="13">
        <v>1.0</v>
      </c>
      <c r="E203" s="12">
        <v>160.0</v>
      </c>
      <c r="F203" s="12">
        <v>160.0</v>
      </c>
      <c r="G203" s="11">
        <v>44633.0</v>
      </c>
    </row>
    <row r="204">
      <c r="C204" s="13" t="s">
        <v>254</v>
      </c>
      <c r="D204" s="13">
        <v>1.0</v>
      </c>
      <c r="E204" s="12">
        <v>280.0</v>
      </c>
      <c r="F204" s="12">
        <v>280.0</v>
      </c>
      <c r="G204" s="11">
        <v>44633.0</v>
      </c>
    </row>
    <row r="205">
      <c r="C205" s="13" t="s">
        <v>255</v>
      </c>
      <c r="D205" s="13">
        <v>2.0</v>
      </c>
      <c r="E205" s="12">
        <v>1680.0</v>
      </c>
      <c r="F205" s="12">
        <v>3360.0</v>
      </c>
      <c r="G205" s="11">
        <v>44633.0</v>
      </c>
    </row>
    <row r="206">
      <c r="C206" s="13" t="s">
        <v>256</v>
      </c>
      <c r="D206" s="13">
        <v>2.0</v>
      </c>
      <c r="E206" s="12">
        <v>2300.0</v>
      </c>
      <c r="F206" s="12">
        <v>4600.0</v>
      </c>
      <c r="G206" s="11">
        <v>44633.0</v>
      </c>
    </row>
    <row r="207">
      <c r="C207" s="13" t="s">
        <v>257</v>
      </c>
      <c r="D207" s="13">
        <v>2.0</v>
      </c>
      <c r="E207" s="12">
        <v>2850.0</v>
      </c>
      <c r="F207" s="12">
        <v>5700.0</v>
      </c>
      <c r="G207" s="11">
        <v>44633.0</v>
      </c>
    </row>
    <row r="208">
      <c r="C208" s="13" t="s">
        <v>258</v>
      </c>
      <c r="D208" s="13">
        <v>8.0</v>
      </c>
      <c r="E208" s="12">
        <v>140.0</v>
      </c>
      <c r="F208" s="12">
        <v>1120.0</v>
      </c>
      <c r="G208" s="11">
        <v>44633.0</v>
      </c>
    </row>
    <row r="209">
      <c r="C209" s="13" t="s">
        <v>259</v>
      </c>
      <c r="D209" s="13">
        <v>5.0</v>
      </c>
      <c r="E209" s="12">
        <v>200.0</v>
      </c>
      <c r="F209" s="12">
        <v>1000.0</v>
      </c>
      <c r="G209" s="11">
        <v>44633.0</v>
      </c>
    </row>
    <row r="210">
      <c r="C210" s="13" t="s">
        <v>260</v>
      </c>
      <c r="D210" s="13" t="s">
        <v>261</v>
      </c>
      <c r="E210" s="12">
        <v>60.0</v>
      </c>
      <c r="F210" s="12">
        <v>1260.0</v>
      </c>
      <c r="G210" s="11">
        <v>44633.0</v>
      </c>
    </row>
    <row r="211">
      <c r="C211" s="13" t="s">
        <v>262</v>
      </c>
      <c r="D211" s="13">
        <v>6.0</v>
      </c>
      <c r="E211" s="12">
        <v>480.0</v>
      </c>
      <c r="F211" s="12">
        <v>2880.0</v>
      </c>
      <c r="G211" s="11">
        <v>44633.0</v>
      </c>
    </row>
    <row r="212">
      <c r="C212" s="13" t="s">
        <v>263</v>
      </c>
      <c r="D212" s="13">
        <v>10.0</v>
      </c>
      <c r="E212" s="12">
        <v>160.0</v>
      </c>
      <c r="F212" s="12">
        <v>1600.0</v>
      </c>
      <c r="G212" s="11">
        <v>44633.0</v>
      </c>
    </row>
    <row r="213">
      <c r="C213" s="13" t="s">
        <v>264</v>
      </c>
      <c r="D213" s="13">
        <v>11.0</v>
      </c>
      <c r="E213" s="12">
        <v>175.0</v>
      </c>
      <c r="F213" s="12">
        <v>1925.0</v>
      </c>
      <c r="G213" s="11">
        <v>44633.0</v>
      </c>
    </row>
    <row r="214">
      <c r="C214" s="13" t="s">
        <v>265</v>
      </c>
      <c r="D214" s="13">
        <v>24.0</v>
      </c>
      <c r="E214" s="12">
        <v>100.0</v>
      </c>
      <c r="F214" s="12">
        <v>2400.0</v>
      </c>
      <c r="G214" s="11">
        <v>44633.0</v>
      </c>
    </row>
    <row r="215">
      <c r="C215" s="13" t="s">
        <v>266</v>
      </c>
      <c r="D215" s="13">
        <v>2.0</v>
      </c>
      <c r="E215" s="12">
        <v>3000.0</v>
      </c>
      <c r="F215" s="12">
        <v>6000.0</v>
      </c>
      <c r="G215" s="11">
        <v>44633.0</v>
      </c>
    </row>
    <row r="216">
      <c r="C216" s="13" t="s">
        <v>267</v>
      </c>
      <c r="D216" s="13">
        <v>286.0</v>
      </c>
      <c r="E216" s="12">
        <v>25.0</v>
      </c>
      <c r="F216" s="12">
        <v>20625.0</v>
      </c>
      <c r="G216" s="11">
        <v>44634.0</v>
      </c>
    </row>
    <row r="217">
      <c r="C217" s="13" t="s">
        <v>141</v>
      </c>
      <c r="D217" s="13" t="s">
        <v>71</v>
      </c>
      <c r="E217" s="12">
        <v>650.0</v>
      </c>
      <c r="F217" s="12">
        <v>650.0</v>
      </c>
      <c r="G217" s="11">
        <v>44635.0</v>
      </c>
    </row>
    <row r="218">
      <c r="C218" s="13" t="s">
        <v>268</v>
      </c>
      <c r="D218" s="13" t="s">
        <v>137</v>
      </c>
      <c r="E218" s="12">
        <v>100.0</v>
      </c>
      <c r="F218" s="12">
        <v>1000.0</v>
      </c>
      <c r="G218" s="11">
        <v>44635.0</v>
      </c>
    </row>
    <row r="219">
      <c r="C219" s="13" t="s">
        <v>269</v>
      </c>
      <c r="D219" s="13">
        <v>3.0</v>
      </c>
      <c r="E219" s="12">
        <v>150.0</v>
      </c>
      <c r="F219" s="12">
        <v>450.0</v>
      </c>
      <c r="G219" s="11">
        <v>44635.0</v>
      </c>
    </row>
    <row r="220">
      <c r="C220" s="13" t="s">
        <v>270</v>
      </c>
      <c r="D220" s="13">
        <v>10.0</v>
      </c>
      <c r="E220" s="12">
        <v>30.0</v>
      </c>
      <c r="F220" s="12">
        <v>300.0</v>
      </c>
      <c r="G220" s="11">
        <v>44635.0</v>
      </c>
    </row>
    <row r="221">
      <c r="C221" s="13" t="s">
        <v>271</v>
      </c>
      <c r="D221" s="13">
        <v>1.0</v>
      </c>
      <c r="E221" s="12">
        <v>180.0</v>
      </c>
      <c r="F221" s="12">
        <v>180.0</v>
      </c>
      <c r="G221" s="11">
        <v>44635.0</v>
      </c>
    </row>
    <row r="222">
      <c r="C222" s="13" t="s">
        <v>272</v>
      </c>
      <c r="D222" s="13">
        <v>1.0</v>
      </c>
      <c r="E222" s="12">
        <v>120.0</v>
      </c>
      <c r="F222" s="12">
        <v>120.0</v>
      </c>
      <c r="G222" s="11">
        <v>44635.0</v>
      </c>
    </row>
    <row r="223">
      <c r="C223" s="13" t="s">
        <v>273</v>
      </c>
      <c r="D223" s="13">
        <v>1.0</v>
      </c>
      <c r="E223" s="12">
        <v>330.0</v>
      </c>
      <c r="F223" s="12">
        <v>330.0</v>
      </c>
      <c r="G223" s="11">
        <v>44635.0</v>
      </c>
    </row>
    <row r="224">
      <c r="C224" s="13" t="s">
        <v>253</v>
      </c>
      <c r="D224" s="13" t="s">
        <v>274</v>
      </c>
      <c r="E224" s="12">
        <v>1000.0</v>
      </c>
      <c r="F224" s="12">
        <v>800.0</v>
      </c>
      <c r="G224" s="11">
        <v>44635.0</v>
      </c>
    </row>
    <row r="225">
      <c r="C225" s="13" t="s">
        <v>275</v>
      </c>
      <c r="D225" s="13">
        <v>10.0</v>
      </c>
      <c r="E225" s="12">
        <v>170.0</v>
      </c>
      <c r="F225" s="12">
        <v>1700.0</v>
      </c>
      <c r="G225" s="11">
        <v>44635.0</v>
      </c>
    </row>
    <row r="226">
      <c r="C226" s="13" t="s">
        <v>147</v>
      </c>
      <c r="D226" s="13" t="s">
        <v>101</v>
      </c>
      <c r="E226" s="12" t="s">
        <v>101</v>
      </c>
      <c r="F226" s="12">
        <v>300.0</v>
      </c>
      <c r="G226" s="11">
        <v>44636.0</v>
      </c>
    </row>
    <row r="227">
      <c r="C227" s="13" t="s">
        <v>276</v>
      </c>
      <c r="D227" s="13" t="s">
        <v>277</v>
      </c>
      <c r="E227" s="12">
        <v>20.0</v>
      </c>
      <c r="F227" s="12">
        <v>300.0</v>
      </c>
      <c r="G227" s="11">
        <v>44636.0</v>
      </c>
    </row>
    <row r="228">
      <c r="C228" s="13" t="s">
        <v>141</v>
      </c>
      <c r="D228" s="13" t="s">
        <v>71</v>
      </c>
      <c r="E228" s="12">
        <v>600.0</v>
      </c>
      <c r="F228" s="12">
        <v>600.0</v>
      </c>
      <c r="G228" s="11">
        <v>44636.0</v>
      </c>
    </row>
    <row r="229">
      <c r="C229" s="13" t="s">
        <v>278</v>
      </c>
      <c r="D229" s="13">
        <v>3.0</v>
      </c>
      <c r="E229" s="12">
        <v>150.0</v>
      </c>
      <c r="F229" s="12">
        <v>450.0</v>
      </c>
      <c r="G229" s="11">
        <v>44636.0</v>
      </c>
    </row>
    <row r="230">
      <c r="C230" s="13" t="s">
        <v>279</v>
      </c>
      <c r="D230" s="13">
        <v>200.0</v>
      </c>
      <c r="E230" s="12">
        <v>400.0</v>
      </c>
      <c r="F230" s="12">
        <v>200.0</v>
      </c>
      <c r="G230" s="11">
        <v>44636.0</v>
      </c>
    </row>
    <row r="231">
      <c r="C231" s="13" t="s">
        <v>146</v>
      </c>
      <c r="D231" s="13">
        <v>500.0</v>
      </c>
      <c r="E231" s="12">
        <v>500.0</v>
      </c>
      <c r="F231" s="12">
        <v>250.0</v>
      </c>
      <c r="G231" s="11">
        <v>44636.0</v>
      </c>
    </row>
    <row r="232">
      <c r="C232" s="13" t="s">
        <v>140</v>
      </c>
      <c r="D232" s="13" t="s">
        <v>137</v>
      </c>
      <c r="E232" s="12">
        <v>100.0</v>
      </c>
      <c r="F232" s="12">
        <v>1000.0</v>
      </c>
      <c r="G232" s="11">
        <v>44636.0</v>
      </c>
    </row>
    <row r="233">
      <c r="C233" s="13" t="s">
        <v>148</v>
      </c>
      <c r="D233" s="13" t="s">
        <v>183</v>
      </c>
      <c r="E233" s="12">
        <v>75.0</v>
      </c>
      <c r="F233" s="12">
        <v>300.0</v>
      </c>
      <c r="G233" s="11">
        <v>44636.0</v>
      </c>
    </row>
    <row r="234">
      <c r="C234" s="13" t="s">
        <v>280</v>
      </c>
      <c r="D234" s="13">
        <v>350.0</v>
      </c>
      <c r="E234" s="12">
        <v>400.0</v>
      </c>
      <c r="F234" s="12">
        <v>100.0</v>
      </c>
      <c r="G234" s="11">
        <v>44636.0</v>
      </c>
    </row>
    <row r="235">
      <c r="C235" s="13" t="s">
        <v>281</v>
      </c>
      <c r="D235" s="13" t="s">
        <v>44</v>
      </c>
      <c r="E235" s="12">
        <v>200.0</v>
      </c>
      <c r="F235" s="12">
        <v>1200.0</v>
      </c>
      <c r="G235" s="11">
        <v>44636.0</v>
      </c>
    </row>
    <row r="236">
      <c r="C236" s="13" t="s">
        <v>196</v>
      </c>
      <c r="D236" s="13">
        <v>5.0</v>
      </c>
      <c r="E236" s="12">
        <v>1500.0</v>
      </c>
      <c r="F236" s="12">
        <v>300.0</v>
      </c>
      <c r="G236" s="11">
        <v>44636.0</v>
      </c>
    </row>
    <row r="237">
      <c r="C237" s="13" t="s">
        <v>241</v>
      </c>
      <c r="D237" s="13" t="s">
        <v>282</v>
      </c>
      <c r="E237" s="12">
        <v>500.0</v>
      </c>
      <c r="F237" s="12">
        <v>1000.0</v>
      </c>
      <c r="G237" s="11">
        <v>44636.0</v>
      </c>
    </row>
    <row r="238">
      <c r="C238" s="13" t="s">
        <v>128</v>
      </c>
      <c r="D238" s="13">
        <v>4.0</v>
      </c>
      <c r="E238" s="12">
        <v>75.0</v>
      </c>
      <c r="F238" s="12">
        <v>300.0</v>
      </c>
      <c r="G238" s="11">
        <v>44636.0</v>
      </c>
    </row>
    <row r="239">
      <c r="C239" s="13" t="s">
        <v>283</v>
      </c>
      <c r="D239" s="13">
        <v>3.0</v>
      </c>
      <c r="E239" s="12">
        <v>20.0</v>
      </c>
      <c r="F239" s="12">
        <v>60.0</v>
      </c>
      <c r="G239" s="11">
        <v>44636.0</v>
      </c>
    </row>
    <row r="240">
      <c r="C240" s="13" t="s">
        <v>138</v>
      </c>
      <c r="D240" s="13" t="s">
        <v>167</v>
      </c>
      <c r="E240" s="12">
        <v>450.0</v>
      </c>
      <c r="F240" s="12">
        <v>900.0</v>
      </c>
      <c r="G240" s="11">
        <v>44636.0</v>
      </c>
    </row>
    <row r="241">
      <c r="C241" s="13" t="s">
        <v>189</v>
      </c>
      <c r="D241" s="13">
        <v>5.0</v>
      </c>
      <c r="E241" s="12">
        <v>100.0</v>
      </c>
      <c r="F241" s="12">
        <v>500.0</v>
      </c>
      <c r="G241" s="11">
        <v>44636.0</v>
      </c>
    </row>
    <row r="242">
      <c r="C242" s="13" t="s">
        <v>140</v>
      </c>
      <c r="D242" s="13" t="s">
        <v>137</v>
      </c>
      <c r="E242" s="12">
        <v>100.0</v>
      </c>
      <c r="F242" s="12">
        <v>1000.0</v>
      </c>
      <c r="G242" s="11">
        <v>44637.0</v>
      </c>
    </row>
    <row r="243">
      <c r="C243" s="13" t="s">
        <v>141</v>
      </c>
      <c r="D243" s="13" t="s">
        <v>284</v>
      </c>
      <c r="E243" s="12">
        <v>600.0</v>
      </c>
      <c r="F243" s="12">
        <v>900.0</v>
      </c>
      <c r="G243" s="11">
        <v>44637.0</v>
      </c>
    </row>
    <row r="244">
      <c r="C244" s="13" t="s">
        <v>142</v>
      </c>
      <c r="D244" s="13" t="s">
        <v>71</v>
      </c>
      <c r="E244" s="12">
        <v>600.0</v>
      </c>
      <c r="F244" s="12">
        <v>600.0</v>
      </c>
      <c r="G244" s="11">
        <v>44637.0</v>
      </c>
    </row>
    <row r="245">
      <c r="C245" s="13" t="s">
        <v>285</v>
      </c>
      <c r="D245" s="13">
        <v>5.0</v>
      </c>
      <c r="E245" s="12">
        <v>20.0</v>
      </c>
      <c r="F245" s="12">
        <v>100.0</v>
      </c>
      <c r="G245" s="11">
        <v>44637.0</v>
      </c>
    </row>
    <row r="246">
      <c r="C246" s="13" t="s">
        <v>173</v>
      </c>
      <c r="D246" s="13">
        <v>5.0</v>
      </c>
      <c r="E246" s="12">
        <v>10.0</v>
      </c>
      <c r="F246" s="12">
        <v>50.0</v>
      </c>
      <c r="G246" s="11">
        <v>44637.0</v>
      </c>
    </row>
    <row r="247">
      <c r="C247" s="13" t="s">
        <v>286</v>
      </c>
      <c r="D247" s="13" t="s">
        <v>71</v>
      </c>
      <c r="E247" s="12">
        <v>320.0</v>
      </c>
      <c r="F247" s="12">
        <v>320.0</v>
      </c>
      <c r="G247" s="11">
        <v>44637.0</v>
      </c>
    </row>
    <row r="248">
      <c r="C248" s="13" t="s">
        <v>135</v>
      </c>
      <c r="D248" s="13" t="s">
        <v>143</v>
      </c>
      <c r="E248" s="12">
        <v>1500.0</v>
      </c>
      <c r="F248" s="12">
        <v>1000.0</v>
      </c>
      <c r="G248" s="11">
        <v>44637.0</v>
      </c>
    </row>
    <row r="249">
      <c r="C249" s="13" t="s">
        <v>287</v>
      </c>
      <c r="D249" s="13">
        <v>2.0</v>
      </c>
      <c r="E249" s="12">
        <v>200.0</v>
      </c>
      <c r="F249" s="12">
        <v>400.0</v>
      </c>
      <c r="G249" s="11">
        <v>44637.0</v>
      </c>
    </row>
    <row r="250">
      <c r="C250" s="13" t="s">
        <v>141</v>
      </c>
      <c r="D250" s="13" t="s">
        <v>151</v>
      </c>
      <c r="E250" s="12">
        <v>700.0</v>
      </c>
      <c r="F250" s="12">
        <v>1400.0</v>
      </c>
      <c r="G250" s="11">
        <v>44639.0</v>
      </c>
    </row>
    <row r="251">
      <c r="C251" s="13" t="s">
        <v>142</v>
      </c>
      <c r="D251" s="13" t="s">
        <v>71</v>
      </c>
      <c r="E251" s="12">
        <v>700.0</v>
      </c>
      <c r="F251" s="12">
        <v>700.0</v>
      </c>
      <c r="G251" s="11">
        <v>44639.0</v>
      </c>
    </row>
    <row r="252">
      <c r="C252" s="13" t="s">
        <v>140</v>
      </c>
      <c r="D252" s="13" t="s">
        <v>137</v>
      </c>
      <c r="E252" s="12">
        <v>100.0</v>
      </c>
      <c r="F252" s="12">
        <v>1000.0</v>
      </c>
      <c r="G252" s="11">
        <v>44639.0</v>
      </c>
    </row>
    <row r="253">
      <c r="C253" s="13" t="s">
        <v>288</v>
      </c>
      <c r="D253" s="13" t="s">
        <v>71</v>
      </c>
      <c r="E253" s="12">
        <v>450.0</v>
      </c>
      <c r="F253" s="12">
        <v>450.0</v>
      </c>
      <c r="G253" s="11">
        <v>44639.0</v>
      </c>
    </row>
    <row r="254">
      <c r="C254" s="13" t="s">
        <v>289</v>
      </c>
      <c r="D254" s="13">
        <v>5.0</v>
      </c>
      <c r="E254" s="12">
        <v>100.0</v>
      </c>
      <c r="F254" s="12">
        <v>500.0</v>
      </c>
      <c r="G254" s="11">
        <v>44639.0</v>
      </c>
    </row>
    <row r="255">
      <c r="C255" s="13" t="s">
        <v>285</v>
      </c>
      <c r="D255" s="13">
        <v>5.0</v>
      </c>
      <c r="E255" s="12">
        <v>20.0</v>
      </c>
      <c r="F255" s="12">
        <v>100.0</v>
      </c>
      <c r="G255" s="11">
        <v>44639.0</v>
      </c>
    </row>
    <row r="256">
      <c r="C256" s="13" t="s">
        <v>290</v>
      </c>
      <c r="D256" s="13" t="s">
        <v>151</v>
      </c>
      <c r="E256" s="12">
        <v>100.0</v>
      </c>
      <c r="F256" s="12">
        <v>200.0</v>
      </c>
      <c r="G256" s="11">
        <v>44639.0</v>
      </c>
    </row>
    <row r="257">
      <c r="C257" s="13" t="s">
        <v>152</v>
      </c>
      <c r="D257" s="13">
        <v>1.0</v>
      </c>
      <c r="E257" s="12">
        <v>100.0</v>
      </c>
      <c r="F257" s="12">
        <v>100.0</v>
      </c>
      <c r="G257" s="11">
        <v>44639.0</v>
      </c>
    </row>
    <row r="258">
      <c r="C258" s="13" t="s">
        <v>291</v>
      </c>
      <c r="D258" s="13">
        <v>1.0</v>
      </c>
      <c r="E258" s="12">
        <v>150.0</v>
      </c>
      <c r="F258" s="12">
        <v>150.0</v>
      </c>
      <c r="G258" s="11">
        <v>44639.0</v>
      </c>
    </row>
    <row r="259">
      <c r="C259" s="13" t="s">
        <v>139</v>
      </c>
      <c r="D259" s="13">
        <v>1.0</v>
      </c>
      <c r="E259" s="12">
        <v>500.0</v>
      </c>
      <c r="F259" s="12">
        <v>500.0</v>
      </c>
      <c r="G259" s="11">
        <v>44639.0</v>
      </c>
    </row>
    <row r="260">
      <c r="C260" s="13" t="s">
        <v>292</v>
      </c>
      <c r="D260" s="13">
        <v>2.0</v>
      </c>
      <c r="E260" s="12">
        <v>1000.0</v>
      </c>
      <c r="F260" s="12">
        <v>2000.0</v>
      </c>
      <c r="G260" s="11">
        <v>44639.0</v>
      </c>
    </row>
    <row r="261">
      <c r="C261" s="13" t="s">
        <v>196</v>
      </c>
      <c r="D261" s="13">
        <v>3.0</v>
      </c>
      <c r="E261" s="12">
        <v>1500.0</v>
      </c>
      <c r="F261" s="12">
        <v>300.0</v>
      </c>
      <c r="G261" s="11">
        <v>44639.0</v>
      </c>
    </row>
    <row r="262">
      <c r="C262" s="13" t="s">
        <v>293</v>
      </c>
      <c r="D262" s="13">
        <v>3.0</v>
      </c>
      <c r="E262" s="12">
        <v>100.0</v>
      </c>
      <c r="F262" s="12">
        <v>300.0</v>
      </c>
      <c r="G262" s="11">
        <v>44639.0</v>
      </c>
    </row>
    <row r="263">
      <c r="C263" s="13" t="s">
        <v>244</v>
      </c>
      <c r="D263" s="13">
        <v>2.0</v>
      </c>
      <c r="E263" s="12">
        <v>175.0</v>
      </c>
      <c r="F263" s="12">
        <v>350.0</v>
      </c>
      <c r="G263" s="11">
        <v>44640.0</v>
      </c>
    </row>
    <row r="264">
      <c r="C264" s="13" t="s">
        <v>147</v>
      </c>
      <c r="D264" s="13" t="s">
        <v>294</v>
      </c>
      <c r="E264" s="15"/>
      <c r="F264" s="12">
        <v>200.0</v>
      </c>
      <c r="G264" s="11">
        <v>44640.0</v>
      </c>
    </row>
    <row r="265">
      <c r="C265" s="13" t="s">
        <v>295</v>
      </c>
      <c r="D265" s="13">
        <v>1.0</v>
      </c>
      <c r="E265" s="12">
        <v>800.0</v>
      </c>
      <c r="F265" s="12">
        <v>800.0</v>
      </c>
      <c r="G265" s="11">
        <v>44640.0</v>
      </c>
    </row>
    <row r="266">
      <c r="C266" s="13" t="s">
        <v>87</v>
      </c>
      <c r="D266" s="13">
        <v>20.0</v>
      </c>
      <c r="E266" s="12">
        <v>16.0</v>
      </c>
      <c r="F266" s="12">
        <v>640.0</v>
      </c>
      <c r="G266" s="11">
        <v>44640.0</v>
      </c>
    </row>
    <row r="267">
      <c r="C267" s="13" t="s">
        <v>141</v>
      </c>
      <c r="D267" s="13" t="s">
        <v>71</v>
      </c>
      <c r="E267" s="12">
        <v>650.0</v>
      </c>
      <c r="F267" s="12">
        <v>650.0</v>
      </c>
      <c r="G267" s="11">
        <v>44640.0</v>
      </c>
    </row>
    <row r="268">
      <c r="C268" s="13" t="s">
        <v>135</v>
      </c>
      <c r="D268" s="13" t="s">
        <v>66</v>
      </c>
      <c r="E268" s="12">
        <v>1500.0</v>
      </c>
      <c r="F268" s="12">
        <v>500.0</v>
      </c>
      <c r="G268" s="11">
        <v>44641.0</v>
      </c>
    </row>
    <row r="269">
      <c r="C269" s="13" t="s">
        <v>296</v>
      </c>
      <c r="D269" s="13" t="s">
        <v>166</v>
      </c>
      <c r="E269" s="12">
        <v>20.0</v>
      </c>
      <c r="F269" s="12">
        <v>140.0</v>
      </c>
      <c r="G269" s="11">
        <v>44641.0</v>
      </c>
    </row>
    <row r="270">
      <c r="C270" s="13" t="s">
        <v>297</v>
      </c>
      <c r="D270" s="13" t="s">
        <v>63</v>
      </c>
      <c r="E270" s="12">
        <v>900.0</v>
      </c>
      <c r="F270" s="12">
        <v>450.0</v>
      </c>
      <c r="G270" s="11">
        <v>44641.0</v>
      </c>
    </row>
    <row r="271">
      <c r="C271" s="13" t="s">
        <v>279</v>
      </c>
      <c r="D271" s="13" t="s">
        <v>63</v>
      </c>
      <c r="E271" s="12">
        <v>400.0</v>
      </c>
      <c r="F271" s="12">
        <v>200.0</v>
      </c>
      <c r="G271" s="11">
        <v>44641.0</v>
      </c>
    </row>
    <row r="272">
      <c r="C272" s="13" t="s">
        <v>298</v>
      </c>
      <c r="D272" s="13" t="s">
        <v>71</v>
      </c>
      <c r="E272" s="12">
        <v>450.0</v>
      </c>
      <c r="F272" s="12">
        <v>450.0</v>
      </c>
      <c r="G272" s="11">
        <v>44641.0</v>
      </c>
    </row>
    <row r="273">
      <c r="C273" s="13" t="s">
        <v>138</v>
      </c>
      <c r="D273" s="13" t="s">
        <v>167</v>
      </c>
      <c r="E273" s="12">
        <v>450.0</v>
      </c>
      <c r="F273" s="12">
        <v>900.0</v>
      </c>
      <c r="G273" s="11">
        <v>44641.0</v>
      </c>
    </row>
    <row r="274">
      <c r="C274" s="13" t="s">
        <v>216</v>
      </c>
      <c r="D274" s="13" t="s">
        <v>101</v>
      </c>
      <c r="E274" s="12" t="s">
        <v>101</v>
      </c>
      <c r="F274" s="12">
        <v>200.0</v>
      </c>
      <c r="G274" s="11">
        <v>44641.0</v>
      </c>
    </row>
    <row r="275">
      <c r="C275" s="13" t="s">
        <v>141</v>
      </c>
      <c r="D275" s="13" t="s">
        <v>71</v>
      </c>
      <c r="E275" s="12">
        <v>650.0</v>
      </c>
      <c r="F275" s="12">
        <v>650.0</v>
      </c>
      <c r="G275" s="11">
        <v>44642.0</v>
      </c>
    </row>
    <row r="276">
      <c r="C276" s="13" t="s">
        <v>142</v>
      </c>
      <c r="D276" s="13" t="s">
        <v>71</v>
      </c>
      <c r="E276" s="12">
        <v>650.0</v>
      </c>
      <c r="F276" s="12">
        <v>650.0</v>
      </c>
      <c r="G276" s="11">
        <v>44642.0</v>
      </c>
    </row>
    <row r="277">
      <c r="C277" s="13" t="s">
        <v>135</v>
      </c>
      <c r="D277" s="13" t="s">
        <v>66</v>
      </c>
      <c r="E277" s="12">
        <v>1500.0</v>
      </c>
      <c r="F277" s="12">
        <v>500.0</v>
      </c>
      <c r="G277" s="11">
        <v>44642.0</v>
      </c>
    </row>
    <row r="278">
      <c r="C278" s="13" t="s">
        <v>299</v>
      </c>
      <c r="D278" s="13" t="s">
        <v>101</v>
      </c>
      <c r="E278" s="12">
        <v>1500.0</v>
      </c>
      <c r="F278" s="12">
        <v>500.0</v>
      </c>
      <c r="G278" s="11">
        <v>44642.0</v>
      </c>
    </row>
    <row r="279">
      <c r="C279" s="13" t="s">
        <v>140</v>
      </c>
      <c r="D279" s="13" t="s">
        <v>181</v>
      </c>
      <c r="E279" s="12">
        <v>100.0</v>
      </c>
      <c r="F279" s="12">
        <v>500.0</v>
      </c>
      <c r="G279" s="11">
        <v>44642.0</v>
      </c>
    </row>
    <row r="280">
      <c r="C280" s="13" t="s">
        <v>153</v>
      </c>
      <c r="D280" s="13" t="s">
        <v>151</v>
      </c>
      <c r="E280" s="12">
        <v>100.0</v>
      </c>
      <c r="F280" s="12">
        <v>200.0</v>
      </c>
      <c r="G280" s="11">
        <v>44642.0</v>
      </c>
    </row>
    <row r="281">
      <c r="C281" s="13" t="s">
        <v>148</v>
      </c>
      <c r="D281" s="13" t="s">
        <v>151</v>
      </c>
      <c r="E281" s="12">
        <v>100.0</v>
      </c>
      <c r="F281" s="12">
        <v>200.0</v>
      </c>
      <c r="G281" s="11">
        <v>44642.0</v>
      </c>
    </row>
    <row r="282">
      <c r="C282" s="13" t="s">
        <v>136</v>
      </c>
      <c r="D282" s="13" t="s">
        <v>192</v>
      </c>
      <c r="E282" s="12">
        <v>40.0</v>
      </c>
      <c r="F282" s="12">
        <v>100.0</v>
      </c>
      <c r="G282" s="11">
        <v>44642.0</v>
      </c>
    </row>
    <row r="283">
      <c r="C283" s="13" t="s">
        <v>141</v>
      </c>
      <c r="D283" s="13" t="s">
        <v>284</v>
      </c>
      <c r="E283" s="12">
        <v>650.0</v>
      </c>
      <c r="F283" s="12">
        <v>1000.0</v>
      </c>
      <c r="G283" s="11">
        <v>44642.0</v>
      </c>
    </row>
    <row r="284">
      <c r="C284" s="13" t="s">
        <v>285</v>
      </c>
      <c r="D284" s="13">
        <v>5.0</v>
      </c>
      <c r="E284" s="12">
        <v>20.0</v>
      </c>
      <c r="F284" s="12">
        <v>100.0</v>
      </c>
      <c r="G284" s="11">
        <v>44642.0</v>
      </c>
    </row>
    <row r="285">
      <c r="C285" s="13" t="s">
        <v>189</v>
      </c>
      <c r="D285" s="13">
        <v>13.0</v>
      </c>
      <c r="E285" s="12">
        <v>90.0</v>
      </c>
      <c r="F285" s="12">
        <v>780.0</v>
      </c>
      <c r="G285" s="11">
        <v>44643.0</v>
      </c>
    </row>
    <row r="286">
      <c r="C286" s="13" t="s">
        <v>300</v>
      </c>
      <c r="D286" s="13">
        <v>11.0</v>
      </c>
      <c r="E286" s="12">
        <v>60.0</v>
      </c>
      <c r="F286" s="12">
        <v>660.0</v>
      </c>
      <c r="G286" s="11">
        <v>44643.0</v>
      </c>
    </row>
    <row r="287">
      <c r="C287" s="13" t="s">
        <v>140</v>
      </c>
      <c r="D287" s="13" t="s">
        <v>137</v>
      </c>
      <c r="E287" s="12">
        <v>100.0</v>
      </c>
      <c r="F287" s="12">
        <v>1000.0</v>
      </c>
      <c r="G287" s="11">
        <v>44643.0</v>
      </c>
    </row>
    <row r="288">
      <c r="C288" s="13" t="s">
        <v>301</v>
      </c>
      <c r="D288" s="13" t="s">
        <v>101</v>
      </c>
      <c r="E288" s="12" t="s">
        <v>101</v>
      </c>
      <c r="F288" s="12">
        <v>200.0</v>
      </c>
      <c r="G288" s="11">
        <v>44643.0</v>
      </c>
    </row>
    <row r="289">
      <c r="C289" s="76" t="s">
        <v>302</v>
      </c>
      <c r="D289" s="76" t="s">
        <v>101</v>
      </c>
      <c r="E289" s="77" t="s">
        <v>101</v>
      </c>
      <c r="F289" s="77">
        <v>4000.0</v>
      </c>
      <c r="G289" s="78">
        <v>44644.0</v>
      </c>
    </row>
    <row r="290">
      <c r="C290" s="76" t="s">
        <v>303</v>
      </c>
      <c r="D290" s="76" t="s">
        <v>304</v>
      </c>
      <c r="E290" s="77" t="s">
        <v>101</v>
      </c>
      <c r="F290" s="77">
        <v>19740.0</v>
      </c>
      <c r="G290" s="78">
        <v>44644.0</v>
      </c>
    </row>
    <row r="291">
      <c r="C291" s="13" t="s">
        <v>140</v>
      </c>
      <c r="D291" s="13" t="s">
        <v>242</v>
      </c>
      <c r="E291" s="12">
        <v>100.0</v>
      </c>
      <c r="F291" s="12">
        <v>1500.0</v>
      </c>
      <c r="G291" s="11">
        <v>44644.0</v>
      </c>
    </row>
    <row r="292">
      <c r="C292" s="13" t="s">
        <v>305</v>
      </c>
      <c r="D292" s="13" t="s">
        <v>306</v>
      </c>
      <c r="E292" s="12" t="s">
        <v>101</v>
      </c>
      <c r="F292" s="12">
        <v>400.0</v>
      </c>
      <c r="G292" s="11">
        <v>44644.0</v>
      </c>
    </row>
    <row r="293">
      <c r="C293" s="13" t="s">
        <v>152</v>
      </c>
      <c r="D293" s="13">
        <v>1.0</v>
      </c>
      <c r="E293" s="12">
        <v>100.0</v>
      </c>
      <c r="F293" s="12">
        <v>100.0</v>
      </c>
      <c r="G293" s="11">
        <v>44644.0</v>
      </c>
    </row>
    <row r="294">
      <c r="C294" s="13" t="s">
        <v>307</v>
      </c>
      <c r="D294" s="13" t="s">
        <v>145</v>
      </c>
      <c r="E294" s="12">
        <v>20.0</v>
      </c>
      <c r="F294" s="12">
        <v>240.0</v>
      </c>
      <c r="G294" s="11">
        <v>44644.0</v>
      </c>
    </row>
    <row r="295">
      <c r="C295" s="13" t="s">
        <v>308</v>
      </c>
      <c r="D295" s="13" t="s">
        <v>309</v>
      </c>
      <c r="E295" s="12">
        <v>1800.0</v>
      </c>
      <c r="F295" s="12">
        <v>400.0</v>
      </c>
      <c r="G295" s="11">
        <v>44644.0</v>
      </c>
    </row>
    <row r="296">
      <c r="C296" s="13" t="s">
        <v>189</v>
      </c>
      <c r="D296" s="13">
        <v>10.0</v>
      </c>
      <c r="E296" s="12">
        <v>100.0</v>
      </c>
      <c r="F296" s="12">
        <v>1000.0</v>
      </c>
      <c r="G296" s="11">
        <v>44644.0</v>
      </c>
    </row>
    <row r="297">
      <c r="C297" s="13" t="s">
        <v>310</v>
      </c>
      <c r="D297" s="13">
        <v>4.0</v>
      </c>
      <c r="E297" s="12">
        <v>50.0</v>
      </c>
      <c r="F297" s="12">
        <v>200.0</v>
      </c>
      <c r="G297" s="11">
        <v>44644.0</v>
      </c>
    </row>
    <row r="298">
      <c r="C298" s="13" t="s">
        <v>287</v>
      </c>
      <c r="D298" s="13">
        <v>2.0</v>
      </c>
      <c r="E298" s="12">
        <v>230.0</v>
      </c>
      <c r="F298" s="12">
        <v>460.0</v>
      </c>
      <c r="G298" s="11">
        <v>44644.0</v>
      </c>
    </row>
    <row r="299">
      <c r="C299" s="13" t="s">
        <v>311</v>
      </c>
      <c r="D299" s="13">
        <v>1.0</v>
      </c>
      <c r="E299" s="12">
        <v>200.0</v>
      </c>
      <c r="F299" s="12">
        <v>200.0</v>
      </c>
      <c r="G299" s="11">
        <v>44644.0</v>
      </c>
    </row>
    <row r="300">
      <c r="C300" s="13" t="s">
        <v>135</v>
      </c>
      <c r="D300" s="13" t="s">
        <v>312</v>
      </c>
      <c r="E300" s="12">
        <v>1500.0</v>
      </c>
      <c r="F300" s="12">
        <v>1000.0</v>
      </c>
      <c r="G300" s="11">
        <v>44644.0</v>
      </c>
    </row>
    <row r="301">
      <c r="C301" s="13" t="s">
        <v>136</v>
      </c>
      <c r="D301" s="13" t="s">
        <v>313</v>
      </c>
      <c r="E301" s="12">
        <v>35.0</v>
      </c>
      <c r="F301" s="12">
        <v>3850.0</v>
      </c>
      <c r="G301" s="11">
        <v>44645.0</v>
      </c>
    </row>
    <row r="302">
      <c r="C302" s="13" t="s">
        <v>140</v>
      </c>
      <c r="D302" s="13" t="s">
        <v>59</v>
      </c>
      <c r="E302" s="12">
        <v>100.0</v>
      </c>
      <c r="F302" s="12">
        <v>2000.0</v>
      </c>
      <c r="G302" s="11">
        <v>44645.0</v>
      </c>
    </row>
    <row r="303">
      <c r="C303" s="13" t="s">
        <v>189</v>
      </c>
      <c r="D303" s="13" t="s">
        <v>137</v>
      </c>
      <c r="E303" s="12">
        <v>100.0</v>
      </c>
      <c r="F303" s="12">
        <v>1000.0</v>
      </c>
      <c r="G303" s="11">
        <v>44645.0</v>
      </c>
    </row>
    <row r="304">
      <c r="C304" s="13" t="s">
        <v>142</v>
      </c>
      <c r="D304" s="13" t="s">
        <v>192</v>
      </c>
      <c r="E304" s="12">
        <v>700.0</v>
      </c>
      <c r="F304" s="12">
        <v>1750.0</v>
      </c>
      <c r="G304" s="11">
        <v>44645.0</v>
      </c>
    </row>
    <row r="305">
      <c r="C305" s="13" t="s">
        <v>148</v>
      </c>
      <c r="D305" s="13" t="s">
        <v>71</v>
      </c>
      <c r="E305" s="12">
        <v>100.0</v>
      </c>
      <c r="F305" s="12">
        <v>100.0</v>
      </c>
      <c r="G305" s="11">
        <v>44645.0</v>
      </c>
    </row>
    <row r="306">
      <c r="C306" s="13" t="s">
        <v>314</v>
      </c>
      <c r="D306" s="13" t="s">
        <v>315</v>
      </c>
      <c r="E306" s="12">
        <v>100.0</v>
      </c>
      <c r="F306" s="12">
        <v>200.0</v>
      </c>
      <c r="G306" s="11">
        <v>44645.0</v>
      </c>
    </row>
    <row r="307">
      <c r="C307" s="13" t="s">
        <v>152</v>
      </c>
      <c r="D307" s="13">
        <v>1.0</v>
      </c>
      <c r="E307" s="12">
        <v>100.0</v>
      </c>
      <c r="F307" s="12">
        <v>100.0</v>
      </c>
      <c r="G307" s="11">
        <v>44645.0</v>
      </c>
    </row>
    <row r="308">
      <c r="C308" s="13" t="s">
        <v>146</v>
      </c>
      <c r="D308" s="13" t="s">
        <v>316</v>
      </c>
      <c r="E308" s="12">
        <v>450.0</v>
      </c>
      <c r="F308" s="12">
        <v>50.0</v>
      </c>
      <c r="G308" s="11">
        <v>44645.0</v>
      </c>
    </row>
    <row r="309">
      <c r="C309" s="13" t="s">
        <v>317</v>
      </c>
      <c r="D309" s="13" t="s">
        <v>318</v>
      </c>
      <c r="E309" s="12" t="s">
        <v>319</v>
      </c>
      <c r="F309" s="12">
        <v>980.0</v>
      </c>
      <c r="G309" s="11">
        <v>44645.0</v>
      </c>
    </row>
    <row r="310">
      <c r="C310" s="13" t="s">
        <v>320</v>
      </c>
      <c r="D310" s="13">
        <v>2.0</v>
      </c>
      <c r="E310" s="12">
        <v>1000.0</v>
      </c>
      <c r="F310" s="12">
        <v>2000.0</v>
      </c>
      <c r="G310" s="11">
        <v>44645.0</v>
      </c>
    </row>
    <row r="311">
      <c r="C311" s="13" t="s">
        <v>321</v>
      </c>
      <c r="D311" s="13" t="s">
        <v>322</v>
      </c>
      <c r="E311" s="12">
        <v>160.0</v>
      </c>
      <c r="F311" s="12">
        <v>800.0</v>
      </c>
      <c r="G311" s="11">
        <v>44645.0</v>
      </c>
    </row>
    <row r="312">
      <c r="C312" s="13" t="s">
        <v>204</v>
      </c>
      <c r="D312" s="13" t="s">
        <v>323</v>
      </c>
      <c r="E312" s="12">
        <v>100.0</v>
      </c>
      <c r="F312" s="12">
        <v>800.0</v>
      </c>
      <c r="G312" s="11">
        <v>44645.0</v>
      </c>
    </row>
    <row r="313">
      <c r="C313" s="13" t="s">
        <v>324</v>
      </c>
      <c r="D313" s="13">
        <v>3.0</v>
      </c>
      <c r="E313" s="12">
        <v>300.0</v>
      </c>
      <c r="F313" s="12">
        <v>900.0</v>
      </c>
      <c r="G313" s="11">
        <v>44645.0</v>
      </c>
    </row>
    <row r="314">
      <c r="C314" s="13" t="s">
        <v>140</v>
      </c>
      <c r="D314" s="13" t="s">
        <v>181</v>
      </c>
      <c r="E314" s="12">
        <v>100.0</v>
      </c>
      <c r="F314" s="12">
        <v>500.0</v>
      </c>
      <c r="G314" s="11">
        <v>44646.0</v>
      </c>
    </row>
    <row r="315">
      <c r="C315" s="13" t="s">
        <v>325</v>
      </c>
      <c r="D315" s="13" t="s">
        <v>71</v>
      </c>
      <c r="E315" s="12">
        <v>650.0</v>
      </c>
      <c r="F315" s="12">
        <v>650.0</v>
      </c>
      <c r="G315" s="11">
        <v>44646.0</v>
      </c>
    </row>
    <row r="316">
      <c r="C316" s="13" t="s">
        <v>142</v>
      </c>
      <c r="D316" s="13" t="s">
        <v>71</v>
      </c>
      <c r="E316" s="12">
        <v>650.0</v>
      </c>
      <c r="F316" s="12">
        <v>650.0</v>
      </c>
      <c r="G316" s="11">
        <v>44646.0</v>
      </c>
    </row>
    <row r="317">
      <c r="C317" s="13" t="s">
        <v>244</v>
      </c>
      <c r="D317" s="13">
        <v>7.0</v>
      </c>
      <c r="E317" s="12">
        <v>160.0</v>
      </c>
      <c r="F317" s="12">
        <v>1120.0</v>
      </c>
      <c r="G317" s="11">
        <v>44646.0</v>
      </c>
    </row>
    <row r="318">
      <c r="C318" s="13" t="s">
        <v>326</v>
      </c>
      <c r="D318" s="13">
        <v>2.0</v>
      </c>
      <c r="E318" s="12">
        <v>100.0</v>
      </c>
      <c r="F318" s="12">
        <v>200.0</v>
      </c>
      <c r="G318" s="11">
        <v>44646.0</v>
      </c>
    </row>
    <row r="319">
      <c r="C319" s="13" t="s">
        <v>327</v>
      </c>
      <c r="D319" s="13">
        <v>5.0</v>
      </c>
      <c r="E319" s="12">
        <v>20.0</v>
      </c>
      <c r="F319" s="12">
        <v>100.0</v>
      </c>
      <c r="G319" s="11">
        <v>44646.0</v>
      </c>
    </row>
    <row r="320">
      <c r="C320" s="13" t="s">
        <v>328</v>
      </c>
      <c r="D320" s="13">
        <v>1.0</v>
      </c>
      <c r="E320" s="12">
        <v>200.0</v>
      </c>
      <c r="F320" s="12">
        <v>200.0</v>
      </c>
      <c r="G320" s="11">
        <v>44646.0</v>
      </c>
    </row>
    <row r="321">
      <c r="C321" s="13" t="s">
        <v>146</v>
      </c>
      <c r="D321" s="13" t="s">
        <v>143</v>
      </c>
      <c r="E321" s="12">
        <v>450.0</v>
      </c>
      <c r="F321" s="12">
        <v>270.0</v>
      </c>
      <c r="G321" s="11">
        <v>44646.0</v>
      </c>
    </row>
    <row r="322">
      <c r="C322" s="13" t="s">
        <v>189</v>
      </c>
      <c r="D322" s="13">
        <v>15.0</v>
      </c>
      <c r="E322" s="12">
        <v>100.0</v>
      </c>
      <c r="F322" s="12">
        <v>1500.0</v>
      </c>
      <c r="G322" s="11">
        <v>44646.0</v>
      </c>
    </row>
    <row r="323">
      <c r="C323" s="13" t="s">
        <v>329</v>
      </c>
      <c r="D323" s="13">
        <v>50.0</v>
      </c>
      <c r="E323" s="12">
        <v>400.0</v>
      </c>
      <c r="F323" s="12">
        <v>50.0</v>
      </c>
      <c r="G323" s="11">
        <v>44646.0</v>
      </c>
    </row>
    <row r="324">
      <c r="C324" s="13" t="s">
        <v>330</v>
      </c>
      <c r="D324" s="13">
        <v>1.0</v>
      </c>
      <c r="E324" s="12">
        <v>180.0</v>
      </c>
      <c r="F324" s="12">
        <v>180.0</v>
      </c>
      <c r="G324" s="11">
        <v>44646.0</v>
      </c>
    </row>
    <row r="325">
      <c r="C325" s="13" t="s">
        <v>331</v>
      </c>
      <c r="D325" s="13">
        <v>600.0</v>
      </c>
      <c r="E325" s="12">
        <v>50.0</v>
      </c>
      <c r="F325" s="12">
        <v>30000.0</v>
      </c>
      <c r="G325" s="11">
        <v>44646.0</v>
      </c>
    </row>
    <row r="326">
      <c r="C326" s="13" t="s">
        <v>332</v>
      </c>
      <c r="D326" s="75">
        <v>44683.0</v>
      </c>
      <c r="E326" s="12">
        <v>180.0</v>
      </c>
      <c r="F326" s="12">
        <v>400.0</v>
      </c>
      <c r="G326" s="11">
        <v>44646.0</v>
      </c>
    </row>
    <row r="327">
      <c r="C327" s="13" t="s">
        <v>140</v>
      </c>
      <c r="D327" s="13" t="s">
        <v>181</v>
      </c>
      <c r="E327" s="12">
        <v>100.0</v>
      </c>
      <c r="F327" s="12">
        <v>500.0</v>
      </c>
      <c r="G327" s="11">
        <v>44648.0</v>
      </c>
    </row>
    <row r="328">
      <c r="C328" s="13" t="s">
        <v>333</v>
      </c>
      <c r="D328" s="13" t="s">
        <v>63</v>
      </c>
      <c r="E328" s="12">
        <v>900.0</v>
      </c>
      <c r="F328" s="12">
        <v>450.0</v>
      </c>
      <c r="G328" s="11">
        <v>44648.0</v>
      </c>
    </row>
    <row r="329">
      <c r="C329" s="13" t="s">
        <v>135</v>
      </c>
      <c r="D329" s="13" t="s">
        <v>101</v>
      </c>
      <c r="E329" s="12">
        <v>1800.0</v>
      </c>
      <c r="F329" s="12">
        <v>200.0</v>
      </c>
      <c r="G329" s="11">
        <v>44648.0</v>
      </c>
    </row>
    <row r="330">
      <c r="C330" s="13" t="s">
        <v>148</v>
      </c>
      <c r="D330" s="13" t="s">
        <v>149</v>
      </c>
      <c r="E330" s="12">
        <v>100.0</v>
      </c>
      <c r="F330" s="12">
        <v>300.0</v>
      </c>
      <c r="G330" s="11">
        <v>44648.0</v>
      </c>
    </row>
    <row r="331">
      <c r="C331" s="13" t="s">
        <v>141</v>
      </c>
      <c r="D331" s="13" t="s">
        <v>71</v>
      </c>
      <c r="E331" s="12">
        <v>650.0</v>
      </c>
      <c r="F331" s="12">
        <v>650.0</v>
      </c>
      <c r="G331" s="11">
        <v>44648.0</v>
      </c>
    </row>
    <row r="332">
      <c r="C332" s="13" t="s">
        <v>300</v>
      </c>
      <c r="D332" s="13">
        <v>15.0</v>
      </c>
      <c r="E332" s="12">
        <v>60.0</v>
      </c>
      <c r="F332" s="12">
        <v>900.0</v>
      </c>
      <c r="G332" s="11">
        <v>44648.0</v>
      </c>
    </row>
    <row r="333">
      <c r="C333" s="13" t="s">
        <v>189</v>
      </c>
      <c r="D333" s="13">
        <v>10.0</v>
      </c>
      <c r="E333" s="12">
        <v>100.0</v>
      </c>
      <c r="F333" s="12">
        <v>1000.0</v>
      </c>
      <c r="G333" s="11">
        <v>44648.0</v>
      </c>
    </row>
    <row r="334">
      <c r="C334" s="13" t="s">
        <v>327</v>
      </c>
      <c r="D334" s="13">
        <v>5.0</v>
      </c>
      <c r="E334" s="12">
        <v>20.0</v>
      </c>
      <c r="F334" s="12">
        <v>100.0</v>
      </c>
      <c r="G334" s="11">
        <v>44648.0</v>
      </c>
    </row>
    <row r="335">
      <c r="C335" s="13" t="s">
        <v>196</v>
      </c>
      <c r="D335" s="13">
        <v>5.0</v>
      </c>
      <c r="E335" s="12">
        <v>1800.0</v>
      </c>
      <c r="F335" s="12">
        <v>200.0</v>
      </c>
      <c r="G335" s="11">
        <v>44648.0</v>
      </c>
    </row>
    <row r="336">
      <c r="C336" s="13" t="s">
        <v>334</v>
      </c>
      <c r="D336" s="13" t="s">
        <v>335</v>
      </c>
      <c r="E336" s="12" t="s">
        <v>101</v>
      </c>
      <c r="F336" s="12">
        <v>400.0</v>
      </c>
      <c r="G336" s="11">
        <v>44648.0</v>
      </c>
    </row>
    <row r="337">
      <c r="C337" s="13" t="s">
        <v>336</v>
      </c>
      <c r="D337" s="13" t="s">
        <v>71</v>
      </c>
      <c r="E337" s="12">
        <v>900.0</v>
      </c>
      <c r="F337" s="12">
        <v>1050.0</v>
      </c>
      <c r="G337" s="11">
        <v>44649.0</v>
      </c>
    </row>
    <row r="338">
      <c r="C338" s="13" t="s">
        <v>280</v>
      </c>
      <c r="D338" s="13" t="s">
        <v>101</v>
      </c>
      <c r="E338" s="12" t="s">
        <v>101</v>
      </c>
      <c r="F338" s="12">
        <v>100.0</v>
      </c>
      <c r="G338" s="11">
        <v>44649.0</v>
      </c>
    </row>
    <row r="339">
      <c r="C339" s="13" t="s">
        <v>337</v>
      </c>
      <c r="D339" s="13" t="s">
        <v>63</v>
      </c>
      <c r="E339" s="12">
        <v>280.0</v>
      </c>
      <c r="F339" s="12">
        <v>140.0</v>
      </c>
      <c r="G339" s="11">
        <v>44649.0</v>
      </c>
    </row>
    <row r="340">
      <c r="C340" s="13" t="s">
        <v>338</v>
      </c>
      <c r="D340" s="13" t="s">
        <v>149</v>
      </c>
      <c r="E340" s="12">
        <v>700.0</v>
      </c>
      <c r="F340" s="12">
        <v>2100.0</v>
      </c>
      <c r="G340" s="11" t="s">
        <v>339</v>
      </c>
    </row>
    <row r="341">
      <c r="C341" s="13" t="s">
        <v>340</v>
      </c>
      <c r="D341" s="13" t="s">
        <v>71</v>
      </c>
      <c r="E341" s="12">
        <v>850.0</v>
      </c>
      <c r="F341" s="12">
        <v>850.0</v>
      </c>
      <c r="G341" s="11">
        <v>44651.0</v>
      </c>
    </row>
    <row r="342">
      <c r="C342" s="13" t="s">
        <v>189</v>
      </c>
      <c r="D342" s="13">
        <v>30.0</v>
      </c>
      <c r="E342" s="12">
        <v>10.0</v>
      </c>
      <c r="F342" s="12">
        <v>3000.0</v>
      </c>
      <c r="G342" s="11">
        <v>44651.0</v>
      </c>
    </row>
    <row r="343">
      <c r="C343" s="59"/>
      <c r="D343" s="59"/>
      <c r="E343" s="15"/>
      <c r="F343" s="15"/>
      <c r="G343" s="59"/>
    </row>
    <row r="344">
      <c r="C344" s="59"/>
      <c r="D344" s="59"/>
      <c r="E344" s="15"/>
      <c r="F344" s="15"/>
      <c r="G344" s="59"/>
    </row>
    <row r="345">
      <c r="C345" s="59"/>
      <c r="D345" s="59"/>
      <c r="E345" s="15"/>
      <c r="F345" s="15"/>
      <c r="G345" s="59"/>
    </row>
    <row r="346">
      <c r="C346" s="13"/>
      <c r="D346" s="59"/>
      <c r="E346" s="15"/>
      <c r="F346" s="12"/>
      <c r="G346" s="59"/>
    </row>
    <row r="347">
      <c r="C347" s="79" t="s">
        <v>341</v>
      </c>
      <c r="D347" s="46"/>
      <c r="E347" s="80"/>
      <c r="F347" s="81">
        <f>SUM(F3:F346)</f>
        <v>590756.5</v>
      </c>
      <c r="G347" s="46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5.88"/>
    <col customWidth="1" min="2" max="2" width="19.5"/>
    <col customWidth="1" min="3" max="3" width="14.5"/>
    <col customWidth="1" min="4" max="4" width="13.88"/>
    <col customWidth="1" min="5" max="5" width="15.25"/>
    <col customWidth="1" min="6" max="6" width="15.0"/>
    <col customWidth="1" min="7" max="7" width="14.75"/>
    <col customWidth="1" min="8" max="8" width="13.88"/>
    <col customWidth="1" min="9" max="9" width="14.25"/>
    <col customWidth="1" min="11" max="12" width="13.5"/>
    <col customWidth="1" min="13" max="13" width="14.75"/>
    <col customWidth="1" min="14" max="14" width="14.25"/>
    <col customWidth="1" min="15" max="15" width="14.63"/>
    <col customWidth="1" min="16" max="16" width="14.0"/>
    <col customWidth="1" min="17" max="17" width="108.75"/>
  </cols>
  <sheetData>
    <row r="1">
      <c r="A1" s="1"/>
      <c r="B1" s="2" t="s">
        <v>0</v>
      </c>
      <c r="C1" s="82" t="s">
        <v>342</v>
      </c>
      <c r="D1" s="2" t="s">
        <v>343</v>
      </c>
      <c r="E1" s="2" t="s">
        <v>344</v>
      </c>
      <c r="F1" s="2" t="s">
        <v>345</v>
      </c>
      <c r="G1" s="2" t="s">
        <v>346</v>
      </c>
      <c r="H1" s="2" t="s">
        <v>347</v>
      </c>
      <c r="I1" s="2" t="s">
        <v>348</v>
      </c>
      <c r="J1" s="3" t="s">
        <v>349</v>
      </c>
      <c r="K1" s="3" t="s">
        <v>350</v>
      </c>
      <c r="L1" s="2" t="s">
        <v>351</v>
      </c>
      <c r="M1" s="3" t="s">
        <v>352</v>
      </c>
      <c r="N1" s="3" t="s">
        <v>353</v>
      </c>
      <c r="O1" s="2" t="s">
        <v>354</v>
      </c>
      <c r="P1" s="2" t="s">
        <v>355</v>
      </c>
      <c r="Q1" s="2"/>
    </row>
    <row r="2">
      <c r="A2" s="10" t="s">
        <v>11</v>
      </c>
      <c r="B2" s="11">
        <v>44621.0</v>
      </c>
      <c r="C2" s="13">
        <v>1.0</v>
      </c>
      <c r="D2" s="13">
        <v>1.0</v>
      </c>
      <c r="E2" s="13">
        <v>1.0</v>
      </c>
      <c r="F2" s="13">
        <v>0.0</v>
      </c>
      <c r="G2" s="13">
        <v>1.0</v>
      </c>
      <c r="H2" s="13">
        <v>0.0</v>
      </c>
      <c r="I2" s="13">
        <v>1.0</v>
      </c>
      <c r="J2" s="13">
        <v>0.0</v>
      </c>
      <c r="K2" s="13">
        <v>0.0</v>
      </c>
      <c r="L2" s="13">
        <v>1.0</v>
      </c>
      <c r="M2" s="13">
        <v>0.0</v>
      </c>
      <c r="N2" s="13">
        <v>0.0</v>
      </c>
      <c r="O2" s="13">
        <v>1.0</v>
      </c>
      <c r="P2" s="13">
        <v>1.0</v>
      </c>
      <c r="Q2" s="83" t="s">
        <v>356</v>
      </c>
    </row>
    <row r="3">
      <c r="A3" s="10" t="s">
        <v>12</v>
      </c>
      <c r="B3" s="11">
        <v>44622.0</v>
      </c>
      <c r="C3" s="13">
        <v>1.0</v>
      </c>
      <c r="D3" s="13">
        <v>1.0</v>
      </c>
      <c r="E3" s="41">
        <v>1.0</v>
      </c>
      <c r="F3" s="13">
        <v>0.0</v>
      </c>
      <c r="G3" s="13">
        <v>1.0</v>
      </c>
      <c r="H3" s="13">
        <v>0.0</v>
      </c>
      <c r="I3" s="13">
        <v>1.0</v>
      </c>
      <c r="J3" s="13">
        <v>0.0</v>
      </c>
      <c r="K3" s="13">
        <v>0.0</v>
      </c>
      <c r="L3" s="13">
        <v>1.0</v>
      </c>
      <c r="M3" s="13">
        <v>0.0</v>
      </c>
      <c r="N3" s="13">
        <v>0.0</v>
      </c>
      <c r="O3" s="13">
        <v>1.0</v>
      </c>
      <c r="P3" s="13">
        <v>1.0</v>
      </c>
      <c r="Q3" s="84"/>
    </row>
    <row r="4">
      <c r="A4" s="10" t="s">
        <v>13</v>
      </c>
      <c r="B4" s="11">
        <v>44623.0</v>
      </c>
      <c r="C4" s="13">
        <v>1.0</v>
      </c>
      <c r="D4" s="13">
        <v>0.0</v>
      </c>
      <c r="E4" s="13">
        <v>1.0</v>
      </c>
      <c r="F4" s="13">
        <v>0.0</v>
      </c>
      <c r="G4" s="13">
        <v>1.0</v>
      </c>
      <c r="H4" s="13">
        <v>1.0</v>
      </c>
      <c r="I4" s="13">
        <v>1.0</v>
      </c>
      <c r="J4" s="13">
        <v>0.0</v>
      </c>
      <c r="K4" s="13">
        <v>0.0</v>
      </c>
      <c r="L4" s="13">
        <v>1.0</v>
      </c>
      <c r="M4" s="13">
        <v>0.0</v>
      </c>
      <c r="N4" s="13">
        <v>0.0</v>
      </c>
      <c r="O4" s="13">
        <v>1.0</v>
      </c>
      <c r="P4" s="13">
        <v>1.0</v>
      </c>
      <c r="Q4" s="84"/>
    </row>
    <row r="5">
      <c r="A5" s="18" t="s">
        <v>14</v>
      </c>
      <c r="B5" s="85">
        <v>44624.0</v>
      </c>
      <c r="C5" s="37">
        <v>1.0</v>
      </c>
      <c r="D5" s="37">
        <v>0.0</v>
      </c>
      <c r="E5" s="37">
        <v>0.0</v>
      </c>
      <c r="F5" s="37">
        <v>1.0</v>
      </c>
      <c r="G5" s="37">
        <v>1.5</v>
      </c>
      <c r="H5" s="37">
        <v>0.0</v>
      </c>
      <c r="I5" s="37">
        <v>0.0</v>
      </c>
      <c r="J5" s="37">
        <v>0.0</v>
      </c>
      <c r="K5" s="37">
        <v>0.0</v>
      </c>
      <c r="L5" s="37">
        <v>0.0</v>
      </c>
      <c r="M5" s="86">
        <v>0.0</v>
      </c>
      <c r="N5" s="86">
        <v>1.0</v>
      </c>
      <c r="O5" s="37">
        <v>0.0</v>
      </c>
      <c r="P5" s="37">
        <v>1.0</v>
      </c>
      <c r="Q5" s="5"/>
    </row>
    <row r="6">
      <c r="A6" s="10" t="s">
        <v>15</v>
      </c>
      <c r="B6" s="11">
        <v>44625.0</v>
      </c>
      <c r="C6" s="13">
        <v>1.0</v>
      </c>
      <c r="D6" s="13">
        <v>1.0</v>
      </c>
      <c r="E6" s="13">
        <v>1.0</v>
      </c>
      <c r="F6" s="13">
        <v>1.0</v>
      </c>
      <c r="G6" s="13">
        <v>1.0</v>
      </c>
      <c r="H6" s="13">
        <v>1.0</v>
      </c>
      <c r="I6" s="13">
        <v>0.0</v>
      </c>
      <c r="J6" s="13">
        <v>0.0</v>
      </c>
      <c r="K6" s="13">
        <v>0.0</v>
      </c>
      <c r="L6" s="13">
        <v>1.0</v>
      </c>
      <c r="M6" s="13">
        <v>0.0</v>
      </c>
      <c r="N6" s="13">
        <v>0.0</v>
      </c>
      <c r="O6" s="13">
        <v>1.0</v>
      </c>
      <c r="P6" s="13">
        <v>0.0</v>
      </c>
      <c r="Q6" s="5"/>
    </row>
    <row r="7">
      <c r="A7" s="10" t="s">
        <v>17</v>
      </c>
      <c r="B7" s="11">
        <v>44626.0</v>
      </c>
      <c r="C7" s="13">
        <v>1.0</v>
      </c>
      <c r="D7" s="13">
        <v>1.0</v>
      </c>
      <c r="E7" s="13">
        <v>1.0</v>
      </c>
      <c r="F7" s="13">
        <v>1.0</v>
      </c>
      <c r="G7" s="13">
        <v>1.0</v>
      </c>
      <c r="H7" s="13">
        <v>1.0</v>
      </c>
      <c r="I7" s="13">
        <v>0.0</v>
      </c>
      <c r="J7" s="13">
        <v>0.0</v>
      </c>
      <c r="K7" s="13">
        <v>0.0</v>
      </c>
      <c r="L7" s="13">
        <v>1.0</v>
      </c>
      <c r="M7" s="13">
        <v>0.0</v>
      </c>
      <c r="N7" s="13">
        <v>0.0</v>
      </c>
      <c r="O7" s="13">
        <v>1.0</v>
      </c>
      <c r="P7" s="13">
        <v>1.0</v>
      </c>
      <c r="Q7" s="83" t="s">
        <v>357</v>
      </c>
    </row>
    <row r="8">
      <c r="A8" s="10" t="s">
        <v>18</v>
      </c>
      <c r="B8" s="11">
        <v>44627.0</v>
      </c>
      <c r="C8" s="13">
        <v>1.0</v>
      </c>
      <c r="D8" s="13">
        <v>1.0</v>
      </c>
      <c r="E8" s="13">
        <v>1.0</v>
      </c>
      <c r="F8" s="13">
        <v>1.0</v>
      </c>
      <c r="G8" s="13">
        <v>1.0</v>
      </c>
      <c r="H8" s="13">
        <v>0.0</v>
      </c>
      <c r="I8" s="13">
        <v>0.0</v>
      </c>
      <c r="J8" s="13">
        <v>0.0</v>
      </c>
      <c r="K8" s="13">
        <v>0.0</v>
      </c>
      <c r="L8" s="13">
        <v>0.0</v>
      </c>
      <c r="M8" s="13">
        <v>0.0</v>
      </c>
      <c r="N8" s="13">
        <v>0.0</v>
      </c>
      <c r="O8" s="13">
        <v>1.0</v>
      </c>
      <c r="P8" s="13">
        <v>1.0</v>
      </c>
      <c r="Q8" s="83" t="s">
        <v>358</v>
      </c>
    </row>
    <row r="9">
      <c r="A9" s="10" t="s">
        <v>11</v>
      </c>
      <c r="B9" s="11">
        <v>44628.0</v>
      </c>
      <c r="C9" s="13">
        <v>1.0</v>
      </c>
      <c r="D9" s="13">
        <v>1.0</v>
      </c>
      <c r="E9" s="13">
        <v>1.0</v>
      </c>
      <c r="F9" s="13">
        <v>1.0</v>
      </c>
      <c r="G9" s="13">
        <v>1.0</v>
      </c>
      <c r="H9" s="13">
        <v>1.0</v>
      </c>
      <c r="I9" s="13">
        <v>0.0</v>
      </c>
      <c r="J9" s="13">
        <v>0.0</v>
      </c>
      <c r="K9" s="13">
        <v>0.0</v>
      </c>
      <c r="L9" s="13">
        <v>1.0</v>
      </c>
      <c r="M9" s="13">
        <v>0.0</v>
      </c>
      <c r="N9" s="13">
        <v>0.0</v>
      </c>
      <c r="O9" s="13">
        <v>1.0</v>
      </c>
      <c r="P9" s="13">
        <v>1.0</v>
      </c>
      <c r="Q9" s="83" t="s">
        <v>359</v>
      </c>
    </row>
    <row r="10">
      <c r="A10" s="10" t="s">
        <v>12</v>
      </c>
      <c r="B10" s="11">
        <v>44629.0</v>
      </c>
      <c r="C10" s="13">
        <v>1.0</v>
      </c>
      <c r="D10" s="13">
        <v>1.0</v>
      </c>
      <c r="E10" s="13">
        <v>1.0</v>
      </c>
      <c r="F10" s="13">
        <v>1.0</v>
      </c>
      <c r="G10" s="13">
        <v>1.0</v>
      </c>
      <c r="H10" s="13">
        <v>0.0</v>
      </c>
      <c r="I10" s="13">
        <v>1.0</v>
      </c>
      <c r="J10" s="13">
        <v>0.0</v>
      </c>
      <c r="K10" s="13">
        <v>0.0</v>
      </c>
      <c r="L10" s="13">
        <v>1.0</v>
      </c>
      <c r="M10" s="13">
        <v>0.0</v>
      </c>
      <c r="N10" s="13">
        <v>0.0</v>
      </c>
      <c r="O10" s="13">
        <v>1.0</v>
      </c>
      <c r="P10" s="13">
        <v>1.0</v>
      </c>
      <c r="Q10" s="84"/>
    </row>
    <row r="11">
      <c r="A11" s="10" t="s">
        <v>13</v>
      </c>
      <c r="B11" s="11">
        <v>44630.0</v>
      </c>
      <c r="C11" s="13">
        <v>1.0</v>
      </c>
      <c r="D11" s="13">
        <v>1.0</v>
      </c>
      <c r="E11" s="13">
        <v>1.0</v>
      </c>
      <c r="F11" s="13">
        <v>0.0</v>
      </c>
      <c r="G11" s="13">
        <v>1.0</v>
      </c>
      <c r="H11" s="13">
        <v>0.0</v>
      </c>
      <c r="I11" s="13">
        <v>1.0</v>
      </c>
      <c r="J11" s="13">
        <v>0.0</v>
      </c>
      <c r="K11" s="13">
        <v>0.0</v>
      </c>
      <c r="L11" s="13">
        <v>1.0</v>
      </c>
      <c r="M11" s="13">
        <v>0.0</v>
      </c>
      <c r="N11" s="13">
        <v>0.0</v>
      </c>
      <c r="O11" s="13">
        <v>1.0</v>
      </c>
      <c r="P11" s="13">
        <v>1.0</v>
      </c>
      <c r="Q11" s="84"/>
    </row>
    <row r="12">
      <c r="A12" s="18" t="s">
        <v>14</v>
      </c>
      <c r="B12" s="85">
        <v>44631.0</v>
      </c>
      <c r="C12" s="37">
        <v>1.25</v>
      </c>
      <c r="D12" s="37">
        <v>0.0</v>
      </c>
      <c r="E12" s="37">
        <v>0.0</v>
      </c>
      <c r="F12" s="37">
        <v>1.25</v>
      </c>
      <c r="G12" s="37">
        <v>0.75</v>
      </c>
      <c r="H12" s="37">
        <v>0.0</v>
      </c>
      <c r="I12" s="37">
        <v>1.0</v>
      </c>
      <c r="J12" s="37">
        <v>0.0</v>
      </c>
      <c r="K12" s="37">
        <v>0.0</v>
      </c>
      <c r="L12" s="37">
        <v>0.0</v>
      </c>
      <c r="M12" s="37">
        <v>0.0</v>
      </c>
      <c r="N12" s="37">
        <v>0.0</v>
      </c>
      <c r="O12" s="37">
        <v>0.0</v>
      </c>
      <c r="P12" s="37">
        <v>0.0</v>
      </c>
      <c r="Q12" s="84"/>
    </row>
    <row r="13">
      <c r="A13" s="10" t="s">
        <v>15</v>
      </c>
      <c r="B13" s="11">
        <v>44632.0</v>
      </c>
      <c r="C13" s="13">
        <v>0.0</v>
      </c>
      <c r="D13" s="13">
        <v>1.0</v>
      </c>
      <c r="E13" s="13">
        <v>1.0</v>
      </c>
      <c r="F13" s="13">
        <v>1.0</v>
      </c>
      <c r="G13" s="13">
        <v>1.0</v>
      </c>
      <c r="H13" s="13">
        <v>0.0</v>
      </c>
      <c r="I13" s="13">
        <v>1.0</v>
      </c>
      <c r="J13" s="13">
        <v>0.0</v>
      </c>
      <c r="K13" s="13">
        <v>0.0</v>
      </c>
      <c r="L13" s="13">
        <v>1.0</v>
      </c>
      <c r="M13" s="13">
        <v>0.0</v>
      </c>
      <c r="N13" s="13">
        <v>0.5</v>
      </c>
      <c r="O13" s="13">
        <v>1.0</v>
      </c>
      <c r="P13" s="13">
        <v>0.0</v>
      </c>
      <c r="Q13" s="5"/>
    </row>
    <row r="14">
      <c r="A14" s="10" t="s">
        <v>17</v>
      </c>
      <c r="B14" s="11">
        <v>44633.0</v>
      </c>
      <c r="C14" s="13">
        <v>1.0</v>
      </c>
      <c r="D14" s="13">
        <v>1.0</v>
      </c>
      <c r="E14" s="13">
        <v>1.0</v>
      </c>
      <c r="F14" s="13">
        <v>0.0</v>
      </c>
      <c r="G14" s="13">
        <v>0.25</v>
      </c>
      <c r="H14" s="13">
        <v>0.0</v>
      </c>
      <c r="I14" s="13">
        <v>1.0</v>
      </c>
      <c r="J14" s="13">
        <v>0.0</v>
      </c>
      <c r="K14" s="13">
        <v>0.0</v>
      </c>
      <c r="L14" s="13">
        <v>1.0</v>
      </c>
      <c r="M14" s="13">
        <v>0.0</v>
      </c>
      <c r="N14" s="13">
        <v>0.75</v>
      </c>
      <c r="O14" s="13">
        <v>1.0</v>
      </c>
      <c r="P14" s="13">
        <v>0.0</v>
      </c>
      <c r="Q14" s="5"/>
    </row>
    <row r="15">
      <c r="A15" s="10" t="s">
        <v>18</v>
      </c>
      <c r="B15" s="11">
        <v>44634.0</v>
      </c>
      <c r="C15" s="13">
        <v>1.0</v>
      </c>
      <c r="D15" s="13">
        <v>1.0</v>
      </c>
      <c r="E15" s="13">
        <v>1.0</v>
      </c>
      <c r="F15" s="13">
        <v>0.0</v>
      </c>
      <c r="G15" s="13">
        <v>1.0</v>
      </c>
      <c r="H15" s="13">
        <v>0.0</v>
      </c>
      <c r="I15" s="13">
        <v>1.0</v>
      </c>
      <c r="J15" s="13">
        <v>0.0</v>
      </c>
      <c r="K15" s="13">
        <v>0.0</v>
      </c>
      <c r="L15" s="13">
        <v>1.0</v>
      </c>
      <c r="M15" s="13">
        <v>0.0</v>
      </c>
      <c r="N15" s="13" t="s">
        <v>360</v>
      </c>
      <c r="O15" s="13">
        <v>1.0</v>
      </c>
      <c r="P15" s="13">
        <v>0.0</v>
      </c>
      <c r="Q15" s="5"/>
    </row>
    <row r="16">
      <c r="A16" s="10" t="s">
        <v>11</v>
      </c>
      <c r="B16" s="11">
        <v>44635.0</v>
      </c>
      <c r="C16" s="13">
        <v>1.0</v>
      </c>
      <c r="D16" s="13">
        <v>0.5</v>
      </c>
      <c r="E16" s="13">
        <v>0.0</v>
      </c>
      <c r="F16" s="13">
        <v>0.0</v>
      </c>
      <c r="G16" s="13">
        <v>1.0</v>
      </c>
      <c r="H16" s="13">
        <v>0.0</v>
      </c>
      <c r="I16" s="13">
        <v>1.0</v>
      </c>
      <c r="J16" s="13">
        <v>0.0</v>
      </c>
      <c r="K16" s="13">
        <v>0.0</v>
      </c>
      <c r="L16" s="13">
        <v>1.0</v>
      </c>
      <c r="M16" s="13">
        <v>0.0</v>
      </c>
      <c r="N16" s="13">
        <v>0.75</v>
      </c>
      <c r="O16" s="13">
        <v>1.0</v>
      </c>
      <c r="P16" s="13">
        <v>0.0</v>
      </c>
      <c r="Q16" s="5"/>
    </row>
    <row r="17">
      <c r="A17" s="10" t="s">
        <v>12</v>
      </c>
      <c r="B17" s="11">
        <v>44636.0</v>
      </c>
      <c r="C17" s="41">
        <v>1.0</v>
      </c>
      <c r="D17" s="13">
        <v>1.0</v>
      </c>
      <c r="E17" s="41">
        <v>1.0</v>
      </c>
      <c r="F17" s="13">
        <v>1.0</v>
      </c>
      <c r="G17" s="41">
        <v>1.0</v>
      </c>
      <c r="H17" s="41">
        <v>0.0</v>
      </c>
      <c r="I17" s="41">
        <v>1.0</v>
      </c>
      <c r="J17" s="41">
        <v>0.0</v>
      </c>
      <c r="K17" s="41">
        <v>0.0</v>
      </c>
      <c r="L17" s="41">
        <v>1.0</v>
      </c>
      <c r="M17" s="13">
        <v>0.0</v>
      </c>
      <c r="N17" s="13">
        <v>0.75</v>
      </c>
      <c r="O17" s="13">
        <v>1.0</v>
      </c>
      <c r="P17" s="41">
        <v>1.0</v>
      </c>
      <c r="Q17" s="87" t="s">
        <v>361</v>
      </c>
    </row>
    <row r="18">
      <c r="A18" s="10" t="s">
        <v>13</v>
      </c>
      <c r="B18" s="11">
        <v>44637.0</v>
      </c>
      <c r="C18" s="13">
        <v>1.0</v>
      </c>
      <c r="D18" s="13">
        <v>1.0</v>
      </c>
      <c r="E18" s="13">
        <v>1.0</v>
      </c>
      <c r="F18" s="13">
        <v>1.0</v>
      </c>
      <c r="G18" s="13">
        <v>1.0</v>
      </c>
      <c r="H18" s="13">
        <v>0.0</v>
      </c>
      <c r="I18" s="13">
        <v>1.0</v>
      </c>
      <c r="J18" s="13">
        <v>0.0</v>
      </c>
      <c r="K18" s="13">
        <v>0.0</v>
      </c>
      <c r="L18" s="13">
        <v>1.0</v>
      </c>
      <c r="M18" s="13">
        <v>0.0</v>
      </c>
      <c r="N18" s="13">
        <v>0.75</v>
      </c>
      <c r="O18" s="13">
        <v>1.0</v>
      </c>
      <c r="P18" s="13">
        <v>1.0</v>
      </c>
      <c r="Q18" s="87" t="s">
        <v>362</v>
      </c>
    </row>
    <row r="19">
      <c r="A19" s="18" t="s">
        <v>14</v>
      </c>
      <c r="B19" s="85">
        <v>44638.0</v>
      </c>
      <c r="C19" s="88">
        <v>1.0</v>
      </c>
      <c r="D19" s="37">
        <v>1.0</v>
      </c>
      <c r="E19" s="37">
        <v>0.0</v>
      </c>
      <c r="F19" s="37">
        <v>1.0</v>
      </c>
      <c r="G19" s="37">
        <v>1.5</v>
      </c>
      <c r="H19" s="37">
        <v>0.0</v>
      </c>
      <c r="I19" s="37">
        <v>1.0</v>
      </c>
      <c r="J19" s="37">
        <v>0.0</v>
      </c>
      <c r="K19" s="37">
        <v>0.0</v>
      </c>
      <c r="L19" s="37">
        <v>0.0</v>
      </c>
      <c r="M19" s="37">
        <v>0.0</v>
      </c>
      <c r="N19" s="37">
        <v>0.0</v>
      </c>
      <c r="O19" s="37">
        <v>1.0</v>
      </c>
      <c r="P19" s="88">
        <v>1.0</v>
      </c>
      <c r="Q19" s="89"/>
    </row>
    <row r="20">
      <c r="A20" s="10" t="s">
        <v>15</v>
      </c>
      <c r="B20" s="11">
        <v>44639.0</v>
      </c>
      <c r="C20" s="13">
        <v>1.0</v>
      </c>
      <c r="D20" s="13">
        <v>1.0</v>
      </c>
      <c r="E20" s="13">
        <v>1.0</v>
      </c>
      <c r="F20" s="13">
        <v>1.0</v>
      </c>
      <c r="G20" s="13">
        <v>0.0</v>
      </c>
      <c r="H20" s="13">
        <v>0.0</v>
      </c>
      <c r="I20" s="13">
        <v>1.0</v>
      </c>
      <c r="J20" s="13">
        <v>0.5</v>
      </c>
      <c r="K20" s="13">
        <v>0.0</v>
      </c>
      <c r="L20" s="13">
        <v>1.0</v>
      </c>
      <c r="M20" s="13">
        <v>0.0</v>
      </c>
      <c r="N20" s="13">
        <v>0.5</v>
      </c>
      <c r="O20" s="13">
        <v>1.0</v>
      </c>
      <c r="P20" s="13">
        <v>1.0</v>
      </c>
      <c r="Q20" s="89"/>
    </row>
    <row r="21">
      <c r="A21" s="10" t="s">
        <v>17</v>
      </c>
      <c r="B21" s="11">
        <v>44640.0</v>
      </c>
      <c r="C21" s="13">
        <v>1.0</v>
      </c>
      <c r="D21" s="13">
        <v>1.0</v>
      </c>
      <c r="E21" s="13">
        <v>1.0</v>
      </c>
      <c r="F21" s="13">
        <v>1.0</v>
      </c>
      <c r="G21" s="13">
        <v>1.0</v>
      </c>
      <c r="H21" s="13">
        <v>0.0</v>
      </c>
      <c r="I21" s="13">
        <v>0.0</v>
      </c>
      <c r="J21" s="13">
        <v>1.0</v>
      </c>
      <c r="K21" s="13">
        <v>0.0</v>
      </c>
      <c r="L21" s="13">
        <v>1.0</v>
      </c>
      <c r="M21" s="13">
        <v>0.0</v>
      </c>
      <c r="N21" s="40">
        <v>0.0</v>
      </c>
      <c r="O21" s="13">
        <v>1.0</v>
      </c>
      <c r="P21" s="13">
        <v>1.0</v>
      </c>
      <c r="Q21" s="87" t="s">
        <v>363</v>
      </c>
    </row>
    <row r="22">
      <c r="A22" s="10" t="s">
        <v>18</v>
      </c>
      <c r="B22" s="11">
        <v>44641.0</v>
      </c>
      <c r="C22" s="13">
        <v>1.0</v>
      </c>
      <c r="D22" s="13">
        <v>1.0</v>
      </c>
      <c r="E22" s="13">
        <v>1.0</v>
      </c>
      <c r="F22" s="13">
        <v>1.0</v>
      </c>
      <c r="G22" s="13">
        <v>1.0</v>
      </c>
      <c r="H22" s="13">
        <v>0.0</v>
      </c>
      <c r="I22" s="13">
        <v>0.0</v>
      </c>
      <c r="J22" s="13">
        <v>0.5</v>
      </c>
      <c r="K22" s="13">
        <v>1.0</v>
      </c>
      <c r="L22" s="13">
        <v>1.0</v>
      </c>
      <c r="M22" s="13">
        <v>1.0</v>
      </c>
      <c r="N22" s="40">
        <v>0.0</v>
      </c>
      <c r="O22" s="13">
        <v>1.25</v>
      </c>
      <c r="P22" s="13">
        <v>1.0</v>
      </c>
      <c r="Q22" s="87" t="s">
        <v>364</v>
      </c>
    </row>
    <row r="23">
      <c r="A23" s="10" t="s">
        <v>11</v>
      </c>
      <c r="B23" s="11">
        <v>44642.0</v>
      </c>
      <c r="C23" s="13">
        <v>1.0</v>
      </c>
      <c r="D23" s="13">
        <v>0.0</v>
      </c>
      <c r="E23" s="13">
        <v>1.0</v>
      </c>
      <c r="F23" s="13">
        <v>1.0</v>
      </c>
      <c r="G23" s="13">
        <v>1.0</v>
      </c>
      <c r="H23" s="13">
        <v>1.0</v>
      </c>
      <c r="I23" s="13">
        <v>0.0</v>
      </c>
      <c r="J23" s="13">
        <v>1.0</v>
      </c>
      <c r="K23" s="13">
        <v>1.0</v>
      </c>
      <c r="L23" s="13">
        <v>1.0</v>
      </c>
      <c r="M23" s="13">
        <v>1.0</v>
      </c>
      <c r="N23" s="40">
        <v>0.0</v>
      </c>
      <c r="O23" s="13">
        <v>1.0</v>
      </c>
      <c r="P23" s="13">
        <v>1.0</v>
      </c>
      <c r="Q23" s="90"/>
    </row>
    <row r="24">
      <c r="A24" s="10" t="s">
        <v>12</v>
      </c>
      <c r="B24" s="11">
        <v>44643.0</v>
      </c>
      <c r="C24" s="13">
        <v>1.0</v>
      </c>
      <c r="D24" s="13">
        <v>1.0</v>
      </c>
      <c r="E24" s="13">
        <v>1.0</v>
      </c>
      <c r="F24" s="13">
        <v>0.75</v>
      </c>
      <c r="G24" s="13">
        <v>1.0</v>
      </c>
      <c r="H24" s="13">
        <v>1.0</v>
      </c>
      <c r="I24" s="13">
        <v>0.0</v>
      </c>
      <c r="J24" s="13">
        <v>0.5</v>
      </c>
      <c r="K24" s="13">
        <v>1.0</v>
      </c>
      <c r="L24" s="13">
        <v>1.0</v>
      </c>
      <c r="M24" s="13">
        <v>1.0</v>
      </c>
      <c r="N24" s="40">
        <v>0.0</v>
      </c>
      <c r="O24" s="13">
        <v>1.0</v>
      </c>
      <c r="P24" s="13">
        <v>1.0</v>
      </c>
      <c r="Q24" s="89"/>
    </row>
    <row r="25">
      <c r="A25" s="10" t="s">
        <v>13</v>
      </c>
      <c r="B25" s="11">
        <v>44644.0</v>
      </c>
      <c r="C25" s="13">
        <v>1.0</v>
      </c>
      <c r="D25" s="13">
        <v>1.0</v>
      </c>
      <c r="E25" s="13">
        <v>1.0</v>
      </c>
      <c r="F25" s="13">
        <v>1.0</v>
      </c>
      <c r="G25" s="13">
        <v>1.0</v>
      </c>
      <c r="H25" s="13">
        <v>1.0</v>
      </c>
      <c r="I25" s="13">
        <v>0.0</v>
      </c>
      <c r="J25" s="13">
        <v>1.0</v>
      </c>
      <c r="K25" s="13">
        <v>1.0</v>
      </c>
      <c r="L25" s="13">
        <v>1.0</v>
      </c>
      <c r="M25" s="13">
        <v>1.0</v>
      </c>
      <c r="N25" s="40">
        <v>0.0</v>
      </c>
      <c r="O25" s="13">
        <v>1.0</v>
      </c>
      <c r="P25" s="13">
        <v>1.0</v>
      </c>
      <c r="Q25" s="87" t="s">
        <v>365</v>
      </c>
    </row>
    <row r="26">
      <c r="A26" s="18" t="s">
        <v>14</v>
      </c>
      <c r="B26" s="85">
        <v>44645.0</v>
      </c>
      <c r="C26" s="37">
        <v>1.0</v>
      </c>
      <c r="D26" s="37">
        <v>0.0</v>
      </c>
      <c r="E26" s="37">
        <v>0.0</v>
      </c>
      <c r="F26" s="37">
        <v>1.0</v>
      </c>
      <c r="G26" s="37">
        <v>1.5</v>
      </c>
      <c r="H26" s="37">
        <v>0.0</v>
      </c>
      <c r="I26" s="37">
        <v>0.0</v>
      </c>
      <c r="J26" s="37">
        <v>0.0</v>
      </c>
      <c r="K26" s="37">
        <v>0.0</v>
      </c>
      <c r="L26" s="37">
        <v>0.0</v>
      </c>
      <c r="M26" s="37">
        <v>0.0</v>
      </c>
      <c r="N26" s="40">
        <v>0.0</v>
      </c>
      <c r="O26" s="37">
        <v>0.0</v>
      </c>
      <c r="P26" s="37">
        <v>1.0</v>
      </c>
      <c r="Q26" s="89"/>
    </row>
    <row r="27">
      <c r="A27" s="10" t="s">
        <v>15</v>
      </c>
      <c r="B27" s="11">
        <v>44646.0</v>
      </c>
      <c r="C27" s="13">
        <v>1.0</v>
      </c>
      <c r="D27" s="13">
        <v>1.0</v>
      </c>
      <c r="E27" s="13">
        <v>0.0</v>
      </c>
      <c r="F27" s="13">
        <v>1.0</v>
      </c>
      <c r="G27" s="13">
        <v>1.0</v>
      </c>
      <c r="H27" s="13">
        <v>1.0</v>
      </c>
      <c r="I27" s="13">
        <v>0.0</v>
      </c>
      <c r="J27" s="13">
        <v>1.0</v>
      </c>
      <c r="K27" s="13">
        <v>1.0</v>
      </c>
      <c r="L27" s="13">
        <v>1.0</v>
      </c>
      <c r="M27" s="13">
        <v>0.5</v>
      </c>
      <c r="N27" s="40">
        <v>0.0</v>
      </c>
      <c r="O27" s="13">
        <v>1.0</v>
      </c>
      <c r="P27" s="13">
        <v>1.0</v>
      </c>
      <c r="Q27" s="84"/>
    </row>
    <row r="28">
      <c r="A28" s="10" t="s">
        <v>17</v>
      </c>
      <c r="B28" s="11">
        <v>44647.0</v>
      </c>
      <c r="C28" s="13">
        <v>1.0</v>
      </c>
      <c r="D28" s="13">
        <v>1.0</v>
      </c>
      <c r="E28" s="13">
        <v>0.0</v>
      </c>
      <c r="F28" s="13">
        <v>1.0</v>
      </c>
      <c r="G28" s="13">
        <v>1.0</v>
      </c>
      <c r="H28" s="13">
        <v>0.0</v>
      </c>
      <c r="I28" s="13">
        <v>0.0</v>
      </c>
      <c r="J28" s="13">
        <v>1.0</v>
      </c>
      <c r="K28" s="13">
        <v>1.0</v>
      </c>
      <c r="L28" s="13">
        <v>1.0</v>
      </c>
      <c r="M28" s="40">
        <v>0.0</v>
      </c>
      <c r="N28" s="40">
        <v>0.0</v>
      </c>
      <c r="O28" s="13">
        <v>1.0</v>
      </c>
      <c r="P28" s="13">
        <v>1.0</v>
      </c>
      <c r="Q28" s="83" t="s">
        <v>366</v>
      </c>
    </row>
    <row r="29">
      <c r="A29" s="41" t="s">
        <v>18</v>
      </c>
      <c r="B29" s="11">
        <v>44648.0</v>
      </c>
      <c r="C29" s="91">
        <v>1.0</v>
      </c>
      <c r="D29" s="91">
        <v>1.0</v>
      </c>
      <c r="E29" s="91">
        <v>1.0</v>
      </c>
      <c r="F29" s="91">
        <v>0.0</v>
      </c>
      <c r="G29" s="91">
        <v>0.0</v>
      </c>
      <c r="H29" s="91">
        <v>0.0</v>
      </c>
      <c r="I29" s="91">
        <v>1.0</v>
      </c>
      <c r="J29" s="91">
        <v>1.0</v>
      </c>
      <c r="K29" s="91">
        <v>1.0</v>
      </c>
      <c r="L29" s="91">
        <v>1.0</v>
      </c>
      <c r="M29" s="92">
        <v>0.0</v>
      </c>
      <c r="N29" s="92">
        <v>0.0</v>
      </c>
      <c r="O29" s="91">
        <v>1.0</v>
      </c>
      <c r="P29" s="91">
        <v>0.0</v>
      </c>
      <c r="Q29" s="5"/>
    </row>
    <row r="30">
      <c r="A30" s="41" t="s">
        <v>11</v>
      </c>
      <c r="B30" s="11">
        <v>44649.0</v>
      </c>
      <c r="C30" s="41">
        <v>1.0</v>
      </c>
      <c r="D30" s="41">
        <v>1.0</v>
      </c>
      <c r="E30" s="41">
        <v>1.0</v>
      </c>
      <c r="F30" s="41">
        <v>0.0</v>
      </c>
      <c r="G30" s="41">
        <v>1.0</v>
      </c>
      <c r="H30" s="41">
        <v>0.0</v>
      </c>
      <c r="I30" s="41">
        <v>1.0</v>
      </c>
      <c r="J30" s="41">
        <v>1.0</v>
      </c>
      <c r="K30" s="41">
        <v>1.0</v>
      </c>
      <c r="L30" s="41">
        <v>1.0</v>
      </c>
      <c r="M30" s="93">
        <v>0.0</v>
      </c>
      <c r="N30" s="40">
        <v>0.0</v>
      </c>
      <c r="O30" s="41">
        <v>0.0</v>
      </c>
      <c r="P30" s="41">
        <v>1.0</v>
      </c>
      <c r="Q30" s="5"/>
    </row>
    <row r="31">
      <c r="A31" s="41" t="s">
        <v>12</v>
      </c>
      <c r="B31" s="11">
        <v>44650.0</v>
      </c>
      <c r="C31" s="41">
        <v>0.0</v>
      </c>
      <c r="D31" s="41">
        <v>1.0</v>
      </c>
      <c r="E31" s="41">
        <v>1.0</v>
      </c>
      <c r="F31" s="41">
        <v>1.0</v>
      </c>
      <c r="G31" s="41">
        <v>1.0</v>
      </c>
      <c r="H31" s="41">
        <v>0.0</v>
      </c>
      <c r="I31" s="41">
        <v>1.0</v>
      </c>
      <c r="J31" s="41">
        <v>1.0</v>
      </c>
      <c r="K31" s="41">
        <v>1.0</v>
      </c>
      <c r="L31" s="41">
        <v>0.5</v>
      </c>
      <c r="M31" s="93">
        <v>0.0</v>
      </c>
      <c r="N31" s="40">
        <v>0.0</v>
      </c>
      <c r="O31" s="41">
        <v>1.0</v>
      </c>
      <c r="P31" s="41">
        <v>1.0</v>
      </c>
      <c r="Q31" s="14"/>
    </row>
    <row r="32">
      <c r="A32" s="41" t="s">
        <v>13</v>
      </c>
      <c r="B32" s="11">
        <v>44651.0</v>
      </c>
      <c r="C32" s="41">
        <v>0.0</v>
      </c>
      <c r="D32" s="94">
        <v>1.0</v>
      </c>
      <c r="E32" s="94">
        <v>1.0</v>
      </c>
      <c r="F32" s="94">
        <v>1.0</v>
      </c>
      <c r="G32" s="94">
        <v>1.0</v>
      </c>
      <c r="H32" s="94">
        <v>0.0</v>
      </c>
      <c r="I32" s="94">
        <v>1.0</v>
      </c>
      <c r="J32" s="94">
        <v>1.0</v>
      </c>
      <c r="K32" s="94">
        <v>1.0</v>
      </c>
      <c r="L32" s="94">
        <v>1.0</v>
      </c>
      <c r="M32" s="95">
        <v>0.0</v>
      </c>
      <c r="N32" s="92">
        <v>1.0648</v>
      </c>
      <c r="O32" s="94">
        <v>1.0</v>
      </c>
      <c r="P32" s="94">
        <v>1.0</v>
      </c>
      <c r="Q32" s="14"/>
    </row>
    <row r="33">
      <c r="C33" s="96">
        <f t="shared" ref="C33:P33" si="1">SUM(C2:C32)</f>
        <v>28.25</v>
      </c>
      <c r="D33" s="96">
        <f t="shared" si="1"/>
        <v>25.5</v>
      </c>
      <c r="E33" s="96">
        <f t="shared" si="1"/>
        <v>24</v>
      </c>
      <c r="F33" s="96">
        <f t="shared" si="1"/>
        <v>22</v>
      </c>
      <c r="G33" s="96">
        <f t="shared" si="1"/>
        <v>29.5</v>
      </c>
      <c r="H33" s="96">
        <f t="shared" si="1"/>
        <v>8</v>
      </c>
      <c r="I33" s="96">
        <f t="shared" si="1"/>
        <v>18</v>
      </c>
      <c r="J33" s="96">
        <f t="shared" si="1"/>
        <v>10.5</v>
      </c>
      <c r="K33" s="96">
        <f t="shared" si="1"/>
        <v>10</v>
      </c>
      <c r="L33" s="96">
        <f t="shared" si="1"/>
        <v>25.5</v>
      </c>
      <c r="M33" s="96">
        <f t="shared" si="1"/>
        <v>4.5</v>
      </c>
      <c r="N33" s="96">
        <f t="shared" si="1"/>
        <v>6.0648</v>
      </c>
      <c r="O33" s="96">
        <f t="shared" si="1"/>
        <v>27.25</v>
      </c>
      <c r="P33" s="96">
        <f t="shared" si="1"/>
        <v>24</v>
      </c>
      <c r="Q33" s="14"/>
    </row>
    <row r="34">
      <c r="C34" s="97">
        <v>1852.0</v>
      </c>
      <c r="D34" s="97">
        <v>926.0</v>
      </c>
      <c r="E34" s="97">
        <v>1112.0</v>
      </c>
      <c r="F34" s="97">
        <v>1112.0</v>
      </c>
      <c r="G34" s="97">
        <v>1112.0</v>
      </c>
      <c r="H34" s="98">
        <v>1000.0</v>
      </c>
      <c r="I34" s="98">
        <v>1000.0</v>
      </c>
      <c r="J34" s="97">
        <v>926.0</v>
      </c>
      <c r="K34" s="97">
        <v>926.0</v>
      </c>
      <c r="L34" s="97">
        <v>1112.0</v>
      </c>
      <c r="M34" s="97">
        <v>926.0</v>
      </c>
      <c r="N34" s="97">
        <v>926.0</v>
      </c>
      <c r="O34" s="97">
        <v>1112.0</v>
      </c>
      <c r="P34" s="97">
        <v>1112.0</v>
      </c>
      <c r="Q34" s="14"/>
    </row>
    <row r="35">
      <c r="C35" s="99">
        <f t="shared" ref="C35:O35" si="2">C34*C33</f>
        <v>52319</v>
      </c>
      <c r="D35" s="99">
        <f t="shared" si="2"/>
        <v>23613</v>
      </c>
      <c r="E35" s="99">
        <f t="shared" si="2"/>
        <v>26688</v>
      </c>
      <c r="F35" s="99">
        <f t="shared" si="2"/>
        <v>24464</v>
      </c>
      <c r="G35" s="99">
        <f t="shared" si="2"/>
        <v>32804</v>
      </c>
      <c r="H35" s="99">
        <f t="shared" si="2"/>
        <v>8000</v>
      </c>
      <c r="I35" s="99">
        <f t="shared" si="2"/>
        <v>18000</v>
      </c>
      <c r="J35" s="99">
        <f t="shared" si="2"/>
        <v>9723</v>
      </c>
      <c r="K35" s="99">
        <f t="shared" si="2"/>
        <v>9260</v>
      </c>
      <c r="L35" s="99">
        <f t="shared" si="2"/>
        <v>28356</v>
      </c>
      <c r="M35" s="99">
        <f t="shared" si="2"/>
        <v>4167</v>
      </c>
      <c r="N35" s="99">
        <f t="shared" si="2"/>
        <v>5616.0048</v>
      </c>
      <c r="O35" s="99">
        <f t="shared" si="2"/>
        <v>30302</v>
      </c>
      <c r="P35" s="99">
        <f>P33*P34</f>
        <v>26688</v>
      </c>
      <c r="Q35" s="43">
        <f>SUM(C35:P35)</f>
        <v>300000.0048</v>
      </c>
    </row>
    <row r="36">
      <c r="C36" s="8"/>
      <c r="D36" s="8"/>
      <c r="E36" s="8"/>
      <c r="F36" s="8"/>
      <c r="G36" s="8"/>
      <c r="H36" s="8"/>
      <c r="I36" s="8"/>
      <c r="J36" s="8"/>
      <c r="K36" s="8"/>
      <c r="L36" s="8"/>
      <c r="M36" s="8"/>
      <c r="N36" s="8"/>
      <c r="O36" s="8"/>
      <c r="P36" s="8"/>
      <c r="Q36" s="8"/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8" max="8" width="24.5"/>
    <col customWidth="1" min="9" max="9" width="21.25"/>
    <col customWidth="1" min="10" max="10" width="22.13"/>
    <col customWidth="1" min="11" max="11" width="22.0"/>
    <col customWidth="1" min="12" max="12" width="36.63"/>
    <col customWidth="1" min="13" max="13" width="24.5"/>
  </cols>
  <sheetData>
    <row r="11">
      <c r="G11" s="8"/>
      <c r="H11" s="8"/>
      <c r="I11" s="8"/>
      <c r="J11" s="8"/>
      <c r="K11" s="8"/>
    </row>
    <row r="12">
      <c r="G12" s="46"/>
      <c r="H12" s="100" t="s">
        <v>367</v>
      </c>
      <c r="I12" s="100" t="s">
        <v>4</v>
      </c>
      <c r="J12" s="100" t="s">
        <v>368</v>
      </c>
      <c r="K12" s="20" t="s">
        <v>369</v>
      </c>
    </row>
    <row r="13">
      <c r="G13" s="26">
        <v>1.0</v>
      </c>
      <c r="H13" s="26" t="s">
        <v>342</v>
      </c>
      <c r="I13" s="15">
        <f>Pointage!C35*1</f>
        <v>52319</v>
      </c>
      <c r="J13" s="12">
        <v>52500.0</v>
      </c>
      <c r="K13" s="15">
        <f t="shared" ref="K13:K26" si="1">I13-J13</f>
        <v>-181</v>
      </c>
    </row>
    <row r="14">
      <c r="G14" s="26">
        <v>2.0</v>
      </c>
      <c r="H14" s="26" t="s">
        <v>343</v>
      </c>
      <c r="I14" s="15">
        <f>Pointage!D35*1</f>
        <v>23613</v>
      </c>
      <c r="J14" s="12">
        <v>24000.0</v>
      </c>
      <c r="K14" s="15">
        <f t="shared" si="1"/>
        <v>-387</v>
      </c>
      <c r="L14" s="53" t="s">
        <v>370</v>
      </c>
    </row>
    <row r="15">
      <c r="G15" s="26">
        <v>3.0</v>
      </c>
      <c r="H15" s="26" t="s">
        <v>371</v>
      </c>
      <c r="I15" s="15">
        <f>Pointage!E35*1</f>
        <v>26688</v>
      </c>
      <c r="J15" s="12">
        <v>27000.0</v>
      </c>
      <c r="K15" s="15">
        <f t="shared" si="1"/>
        <v>-312</v>
      </c>
    </row>
    <row r="16">
      <c r="G16" s="26">
        <v>4.0</v>
      </c>
      <c r="H16" s="26" t="s">
        <v>345</v>
      </c>
      <c r="I16" s="15">
        <f>Pointage!F35*1</f>
        <v>24464</v>
      </c>
      <c r="J16" s="12">
        <v>24500.0</v>
      </c>
      <c r="K16" s="15">
        <f t="shared" si="1"/>
        <v>-36</v>
      </c>
      <c r="L16" s="53" t="s">
        <v>372</v>
      </c>
    </row>
    <row r="17">
      <c r="G17" s="26">
        <v>5.0</v>
      </c>
      <c r="H17" s="26" t="s">
        <v>346</v>
      </c>
      <c r="I17" s="15">
        <f>Pointage!G35*1</f>
        <v>32804</v>
      </c>
      <c r="J17" s="12">
        <v>33000.0</v>
      </c>
      <c r="K17" s="15">
        <f t="shared" si="1"/>
        <v>-196</v>
      </c>
      <c r="L17" s="101" t="s">
        <v>373</v>
      </c>
    </row>
    <row r="18">
      <c r="G18" s="26">
        <v>6.0</v>
      </c>
      <c r="H18" s="26" t="s">
        <v>347</v>
      </c>
      <c r="I18" s="15">
        <f>Pointage!H35*1</f>
        <v>8000</v>
      </c>
      <c r="J18" s="12">
        <v>8000.0</v>
      </c>
      <c r="K18" s="15">
        <f t="shared" si="1"/>
        <v>0</v>
      </c>
      <c r="L18" s="102"/>
    </row>
    <row r="19">
      <c r="G19" s="26">
        <v>7.0</v>
      </c>
      <c r="H19" s="26" t="s">
        <v>374</v>
      </c>
      <c r="I19" s="15">
        <f>Pointage!I35*1</f>
        <v>18000</v>
      </c>
      <c r="J19" s="12">
        <v>18000.0</v>
      </c>
      <c r="K19" s="15">
        <f t="shared" si="1"/>
        <v>0</v>
      </c>
      <c r="L19" s="102"/>
    </row>
    <row r="20">
      <c r="G20" s="26">
        <v>8.0</v>
      </c>
      <c r="H20" s="26" t="s">
        <v>351</v>
      </c>
      <c r="I20" s="15">
        <f>Pointage!L35*1</f>
        <v>28356</v>
      </c>
      <c r="J20" s="12">
        <v>28500.0</v>
      </c>
      <c r="K20" s="15">
        <f t="shared" si="1"/>
        <v>-144</v>
      </c>
      <c r="L20" s="101" t="s">
        <v>375</v>
      </c>
    </row>
    <row r="21">
      <c r="G21" s="26">
        <v>9.0</v>
      </c>
      <c r="H21" s="26" t="s">
        <v>376</v>
      </c>
      <c r="I21" s="15">
        <f>Pointage!N35*1</f>
        <v>5616.0048</v>
      </c>
      <c r="J21" s="12">
        <v>6000.0</v>
      </c>
      <c r="K21" s="15">
        <f t="shared" si="1"/>
        <v>-383.9952</v>
      </c>
      <c r="L21" s="101">
        <v>1000.0</v>
      </c>
      <c r="M21" s="53" t="s">
        <v>377</v>
      </c>
    </row>
    <row r="22">
      <c r="G22" s="26">
        <v>10.0</v>
      </c>
      <c r="H22" s="26" t="s">
        <v>302</v>
      </c>
      <c r="I22" s="15">
        <f>Pointage!O35*1</f>
        <v>30302</v>
      </c>
      <c r="J22" s="12">
        <v>30500.0</v>
      </c>
      <c r="K22" s="15">
        <f t="shared" si="1"/>
        <v>-198</v>
      </c>
      <c r="L22" s="101" t="s">
        <v>378</v>
      </c>
    </row>
    <row r="23">
      <c r="G23" s="26">
        <v>11.0</v>
      </c>
      <c r="H23" s="26" t="s">
        <v>379</v>
      </c>
      <c r="I23" s="15">
        <f>Pointage!J35*1</f>
        <v>9723</v>
      </c>
      <c r="J23" s="12">
        <v>10000.0</v>
      </c>
      <c r="K23" s="15">
        <f t="shared" si="1"/>
        <v>-277</v>
      </c>
    </row>
    <row r="24">
      <c r="G24" s="26">
        <v>12.0</v>
      </c>
      <c r="H24" s="26" t="s">
        <v>350</v>
      </c>
      <c r="I24" s="15">
        <f>Pointage!K35*1</f>
        <v>9260</v>
      </c>
      <c r="J24" s="12">
        <v>9500.0</v>
      </c>
      <c r="K24" s="15">
        <f t="shared" si="1"/>
        <v>-240</v>
      </c>
    </row>
    <row r="25">
      <c r="G25" s="26">
        <v>13.0</v>
      </c>
      <c r="H25" s="26" t="s">
        <v>352</v>
      </c>
      <c r="I25" s="15">
        <f>Pointage!M35*1</f>
        <v>4167</v>
      </c>
      <c r="J25" s="12">
        <v>4500.0</v>
      </c>
      <c r="K25" s="15">
        <f t="shared" si="1"/>
        <v>-333</v>
      </c>
    </row>
    <row r="26">
      <c r="G26" s="26">
        <v>14.0</v>
      </c>
      <c r="H26" s="26" t="s">
        <v>355</v>
      </c>
      <c r="I26" s="15">
        <f>Pointage!P35*1</f>
        <v>26688</v>
      </c>
      <c r="J26" s="12">
        <v>27000.0</v>
      </c>
      <c r="K26" s="15">
        <f t="shared" si="1"/>
        <v>-312</v>
      </c>
    </row>
    <row r="27">
      <c r="G27" s="46"/>
      <c r="H27" s="103" t="s">
        <v>380</v>
      </c>
      <c r="I27" s="36">
        <f t="shared" ref="I27:K27" si="2">SUM(I13:I26)</f>
        <v>300000.0048</v>
      </c>
      <c r="J27" s="36">
        <f t="shared" si="2"/>
        <v>303000</v>
      </c>
      <c r="K27" s="22">
        <f t="shared" si="2"/>
        <v>-2999.9952</v>
      </c>
    </row>
    <row r="28">
      <c r="G28" s="46"/>
      <c r="H28" s="42">
        <f>I27-J27</f>
        <v>-2999.9952</v>
      </c>
      <c r="I28" s="46"/>
      <c r="J28" s="46"/>
      <c r="K28" s="62">
        <f>I28-J28</f>
        <v>0</v>
      </c>
    </row>
    <row r="29">
      <c r="G29" s="8"/>
      <c r="H29" s="8"/>
      <c r="I29" s="8"/>
      <c r="J29" s="8"/>
      <c r="K29" s="8"/>
    </row>
    <row r="30">
      <c r="G30" s="8"/>
      <c r="H30" s="8"/>
      <c r="I30" s="8"/>
      <c r="J30" s="8"/>
      <c r="K30" s="8"/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6" max="6" width="19.5"/>
    <col customWidth="1" min="7" max="7" width="25.5"/>
    <col customWidth="1" min="8" max="8" width="25.38"/>
    <col customWidth="1" min="9" max="9" width="25.63"/>
    <col customWidth="1" min="10" max="10" width="25.5"/>
  </cols>
  <sheetData>
    <row r="9">
      <c r="F9" s="8"/>
      <c r="G9" s="18" t="s">
        <v>381</v>
      </c>
      <c r="H9" s="18" t="s">
        <v>36</v>
      </c>
      <c r="I9" s="104" t="s">
        <v>382</v>
      </c>
      <c r="J9" s="104" t="s">
        <v>8</v>
      </c>
    </row>
    <row r="10">
      <c r="F10" s="20" t="s">
        <v>2</v>
      </c>
      <c r="G10" s="36">
        <v>1051000.0</v>
      </c>
      <c r="H10" s="36">
        <v>1300000.0</v>
      </c>
      <c r="I10" s="105">
        <f>RECAP!D33*1</f>
        <v>1581000</v>
      </c>
      <c r="J10" s="106">
        <v>1550000.0</v>
      </c>
    </row>
    <row r="11">
      <c r="F11" s="20" t="s">
        <v>3</v>
      </c>
      <c r="G11" s="36">
        <v>435000.0</v>
      </c>
      <c r="H11" s="36">
        <v>462400.0</v>
      </c>
      <c r="I11" s="105">
        <f>RECAP!E33*1</f>
        <v>590756.5</v>
      </c>
      <c r="J11" s="106">
        <v>500000.0</v>
      </c>
    </row>
    <row r="12">
      <c r="F12" s="20" t="s">
        <v>383</v>
      </c>
      <c r="G12" s="36">
        <v>226000.0</v>
      </c>
      <c r="H12" s="36">
        <v>277600.0</v>
      </c>
      <c r="I12" s="105">
        <f>RECAP!F33*1</f>
        <v>300000.0048</v>
      </c>
      <c r="J12" s="106">
        <v>300000.0</v>
      </c>
    </row>
    <row r="13">
      <c r="F13" s="20" t="s">
        <v>5</v>
      </c>
      <c r="G13" s="36">
        <v>90000.0</v>
      </c>
      <c r="H13" s="36">
        <v>90000.0</v>
      </c>
      <c r="I13" s="105">
        <f>RECAP!G33*1</f>
        <v>90000</v>
      </c>
      <c r="J13" s="106">
        <v>90000.0</v>
      </c>
    </row>
    <row r="14">
      <c r="F14" s="20" t="s">
        <v>384</v>
      </c>
      <c r="G14" s="36">
        <v>300000.0</v>
      </c>
      <c r="H14" s="36">
        <v>470000.0</v>
      </c>
      <c r="I14" s="106">
        <v>600000.0</v>
      </c>
      <c r="J14" s="106">
        <v>660000.0</v>
      </c>
    </row>
    <row r="21">
      <c r="H21" s="107" t="s">
        <v>385</v>
      </c>
    </row>
    <row r="22">
      <c r="G22" s="108" t="s">
        <v>386</v>
      </c>
      <c r="H22" s="74">
        <v>51000.0</v>
      </c>
    </row>
    <row r="23">
      <c r="G23" s="108" t="s">
        <v>387</v>
      </c>
      <c r="H23" s="109">
        <v>50000.0</v>
      </c>
    </row>
  </sheetData>
  <drawing r:id="rId1"/>
</worksheet>
</file>