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 " sheetId="3" r:id="rId6"/>
    <sheet state="visible" name="Salaires 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<sst xmlns="http://schemas.openxmlformats.org/spreadsheetml/2006/main" count="410" uniqueCount="264">
  <si>
    <t>Date</t>
  </si>
  <si>
    <t>Recette Septembre 2023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</si>
  <si>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</si>
  <si>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</si>
  <si>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</si>
  <si>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</si>
  <si>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</si>
  <si>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</si>
  <si>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</si>
  <si>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Mercredi</t>
  </si>
  <si>
    <t>Jeudi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</si>
  <si>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</si>
  <si>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</si>
  <si>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</si>
  <si>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</si>
  <si>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Vendredi</t>
  </si>
  <si>
    <t>Samedi</t>
  </si>
  <si>
    <t>Dimanche</t>
  </si>
  <si>
    <t xml:space="preserve">Moyenne des charges par jour </t>
  </si>
  <si>
    <t xml:space="preserve">Objectif </t>
  </si>
  <si>
    <t>Lundi</t>
  </si>
  <si>
    <t>Mardi</t>
  </si>
  <si>
    <t>²</t>
  </si>
  <si>
    <t xml:space="preserve">Cash restant </t>
  </si>
  <si>
    <t>Magasin</t>
  </si>
  <si>
    <t xml:space="preserve"> </t>
  </si>
  <si>
    <t>loyer</t>
  </si>
  <si>
    <t>La caisse :  44000</t>
  </si>
  <si>
    <t xml:space="preserve">Sofiane </t>
  </si>
  <si>
    <t>32000+ 26000+12000</t>
  </si>
  <si>
    <t>70000-40000</t>
  </si>
  <si>
    <t xml:space="preserve">Sofiane complément </t>
  </si>
  <si>
    <t>recette</t>
  </si>
  <si>
    <t>Bénéfice Octobre+ loyer</t>
  </si>
  <si>
    <t>charges</t>
  </si>
  <si>
    <t xml:space="preserve">Bloc moteur </t>
  </si>
  <si>
    <t>avances salaires</t>
  </si>
  <si>
    <t xml:space="preserve">Différence mois de Juin </t>
  </si>
  <si>
    <t>fenetres</t>
  </si>
  <si>
    <t>la caisse</t>
  </si>
  <si>
    <t>VMR Maghreb</t>
  </si>
  <si>
    <t>9000+13000+11000</t>
  </si>
  <si>
    <t xml:space="preserve">chèque </t>
  </si>
  <si>
    <t xml:space="preserve">Différence objectif </t>
  </si>
  <si>
    <t xml:space="preserve">cache qui doit etre rester </t>
  </si>
  <si>
    <t>cache réel</t>
  </si>
  <si>
    <t xml:space="preserve">Différence du Totale </t>
  </si>
  <si>
    <t>mes dettes pour le magasin</t>
  </si>
  <si>
    <t xml:space="preserve">Les vendredis </t>
  </si>
  <si>
    <t>Cash réel</t>
  </si>
  <si>
    <t>rest à payer</t>
  </si>
  <si>
    <t>-</t>
  </si>
  <si>
    <t xml:space="preserve">Lynda </t>
  </si>
  <si>
    <t xml:space="preserve">Hafida </t>
  </si>
  <si>
    <t>Djamila</t>
  </si>
  <si>
    <t>Youssera</t>
  </si>
  <si>
    <t>Yasmine vendeuse</t>
  </si>
  <si>
    <t>Kenza</t>
  </si>
  <si>
    <t>Yasmine</t>
  </si>
  <si>
    <t>Amina</t>
  </si>
  <si>
    <t>Chaherazed</t>
  </si>
  <si>
    <t>Nadjet</t>
  </si>
  <si>
    <t>Samia</t>
  </si>
  <si>
    <t>Alia</t>
  </si>
  <si>
    <t>Samira</t>
  </si>
  <si>
    <t>NadiaFemme de ménage</t>
  </si>
  <si>
    <t>Nadia</t>
  </si>
  <si>
    <t>Remarque</t>
  </si>
  <si>
    <t>Hafida djate à 09h30 et djamila à 09h</t>
  </si>
  <si>
    <t xml:space="preserve">Les salaires </t>
  </si>
  <si>
    <t>Produit</t>
  </si>
  <si>
    <t>Quantité</t>
  </si>
  <si>
    <t xml:space="preserve">Prix unitaire </t>
  </si>
  <si>
    <t>Prix</t>
  </si>
  <si>
    <t>Date d'achat</t>
  </si>
  <si>
    <t>légumes</t>
  </si>
  <si>
    <t xml:space="preserve">les épices </t>
  </si>
  <si>
    <t>Nakkache</t>
  </si>
  <si>
    <t>Maa zehar</t>
  </si>
  <si>
    <t>Farine SIM 1kg</t>
  </si>
  <si>
    <t>semoule moula moyenne 2kg</t>
  </si>
  <si>
    <t>djedjelan</t>
  </si>
  <si>
    <t>3akeri</t>
  </si>
  <si>
    <t>sucre glace 1kg</t>
  </si>
  <si>
    <t>fromage slices</t>
  </si>
  <si>
    <t>cheddar+ gouda</t>
  </si>
  <si>
    <t>Thon</t>
  </si>
  <si>
    <t>oeufs</t>
  </si>
  <si>
    <t>Farine Sim 5kg</t>
  </si>
  <si>
    <t>Sachets</t>
  </si>
  <si>
    <t>dentelle</t>
  </si>
  <si>
    <t>sachetsq 5kg blanc</t>
  </si>
  <si>
    <t>Tofia caramel</t>
  </si>
  <si>
    <t xml:space="preserve">serviette en papier </t>
  </si>
  <si>
    <t>sac croissant 24</t>
  </si>
  <si>
    <t>lahessen</t>
  </si>
  <si>
    <t xml:space="preserve">Amina Baghrir </t>
  </si>
  <si>
    <t>barquettes 1185</t>
  </si>
  <si>
    <t xml:space="preserve"> canette coca </t>
  </si>
  <si>
    <t>jus tchina 33cl</t>
  </si>
  <si>
    <t>Eau mineral 0,5 litre</t>
  </si>
  <si>
    <t>eau mineral 1,5 litre</t>
  </si>
  <si>
    <t xml:space="preserve">Soda Slim  33cl </t>
  </si>
  <si>
    <t xml:space="preserve">soda slim canette </t>
  </si>
  <si>
    <t xml:space="preserve">Margarine fleurial 250g      </t>
  </si>
  <si>
    <t>Margarine fleurial 500g</t>
  </si>
  <si>
    <t xml:space="preserve">semoule </t>
  </si>
  <si>
    <t>caprice + tofia caramel</t>
  </si>
  <si>
    <t>épice poulet</t>
  </si>
  <si>
    <t>huile d'olive</t>
  </si>
  <si>
    <t>levure chimique</t>
  </si>
  <si>
    <t>confiture</t>
  </si>
  <si>
    <t>Chocolat wedjedane noisette</t>
  </si>
  <si>
    <t xml:space="preserve">Chocolat wedjedane blanc </t>
  </si>
  <si>
    <t>Chocolat wedjedane noir</t>
  </si>
  <si>
    <t xml:space="preserve">chocolat wedjedane au lait </t>
  </si>
  <si>
    <t>sanoudj</t>
  </si>
  <si>
    <t>7abet halawa</t>
  </si>
  <si>
    <t xml:space="preserve">semoule Fine Agrodive 25kg </t>
  </si>
  <si>
    <t>tomate conserve</t>
  </si>
  <si>
    <t>Harrissa</t>
  </si>
  <si>
    <t>semen 1,8kg</t>
  </si>
  <si>
    <t xml:space="preserve">Lait en poudre </t>
  </si>
  <si>
    <t>levure boulangère</t>
  </si>
  <si>
    <t>semoule Sim Moyenne 10kg</t>
  </si>
  <si>
    <t>Papier Aluminium</t>
  </si>
  <si>
    <t>huile 5 litres</t>
  </si>
  <si>
    <t>3assila Madina 5kg</t>
  </si>
  <si>
    <t xml:space="preserve">Transport semoule </t>
  </si>
  <si>
    <t xml:space="preserve">nettoyage des vitres </t>
  </si>
  <si>
    <t>Boites 48/10</t>
  </si>
  <si>
    <t>Boites 48/07</t>
  </si>
  <si>
    <t>Boites 36</t>
  </si>
  <si>
    <t>Boite 18</t>
  </si>
  <si>
    <t>Boite 12</t>
  </si>
  <si>
    <t>Boite 8</t>
  </si>
  <si>
    <t>Olive noir+ coupé+vert</t>
  </si>
  <si>
    <t xml:space="preserve">poulet haché + blanc de poulet </t>
  </si>
  <si>
    <t>rechta</t>
  </si>
  <si>
    <t>javel+ isis</t>
  </si>
  <si>
    <t>Amandes blanc</t>
  </si>
  <si>
    <t>khel</t>
  </si>
  <si>
    <t>Djouz</t>
  </si>
  <si>
    <t>Maiis</t>
  </si>
  <si>
    <t>Maiizina</t>
  </si>
  <si>
    <t>gherss</t>
  </si>
  <si>
    <t>fromage mont d'or</t>
  </si>
  <si>
    <t>blanc de poulet + poulet haché</t>
  </si>
  <si>
    <t>pain tacos</t>
  </si>
  <si>
    <t>viande hachée</t>
  </si>
  <si>
    <t>bessel</t>
  </si>
  <si>
    <t xml:space="preserve">épinards+ tomate </t>
  </si>
  <si>
    <t>boites et dragées</t>
  </si>
  <si>
    <t>fromage 3,8kg</t>
  </si>
  <si>
    <t>sel</t>
  </si>
  <si>
    <t>tomate fraiche</t>
  </si>
  <si>
    <t>salade</t>
  </si>
  <si>
    <t>les dettes Brahim</t>
  </si>
  <si>
    <t>camemebert</t>
  </si>
  <si>
    <t>pain de Mie</t>
  </si>
  <si>
    <t>crevette</t>
  </si>
  <si>
    <t xml:space="preserve">bessel </t>
  </si>
  <si>
    <t>Boite 48/10</t>
  </si>
  <si>
    <t>Boite 48/07</t>
  </si>
  <si>
    <t>Boite 36</t>
  </si>
  <si>
    <t>Boite 24</t>
  </si>
  <si>
    <t>curdents</t>
  </si>
  <si>
    <t>fromage</t>
  </si>
  <si>
    <t>isis</t>
  </si>
  <si>
    <t>nacré+ colorant</t>
  </si>
  <si>
    <t>livraison Nakach</t>
  </si>
  <si>
    <t>nétoyage des vitres</t>
  </si>
  <si>
    <t>pièces Tabounates</t>
  </si>
  <si>
    <t>Riz</t>
  </si>
  <si>
    <t>force express</t>
  </si>
  <si>
    <t>isis 5 litres</t>
  </si>
  <si>
    <t>cuisses</t>
  </si>
  <si>
    <t>boite</t>
  </si>
  <si>
    <t>détergents</t>
  </si>
  <si>
    <t>tomate</t>
  </si>
  <si>
    <t>14/11*2023</t>
  </si>
  <si>
    <t>epinard</t>
  </si>
  <si>
    <t>transport marchandise</t>
  </si>
  <si>
    <t xml:space="preserve">huile 5 litres </t>
  </si>
  <si>
    <t xml:space="preserve">transport gateaux +rechta </t>
  </si>
  <si>
    <t>deyoul</t>
  </si>
  <si>
    <t>draissant</t>
  </si>
  <si>
    <t>sachets</t>
  </si>
  <si>
    <t>sachets 5kg</t>
  </si>
  <si>
    <t>fromage bidon</t>
  </si>
  <si>
    <t>fromage rapé</t>
  </si>
  <si>
    <t>épinards + persil</t>
  </si>
  <si>
    <t>citron</t>
  </si>
  <si>
    <t>lynda achats</t>
  </si>
  <si>
    <t>pouelt haché + blanc de poulet</t>
  </si>
  <si>
    <t>rechta blanche</t>
  </si>
  <si>
    <t>cuisses de poulet</t>
  </si>
  <si>
    <t xml:space="preserve">fruits </t>
  </si>
  <si>
    <t>kiwi</t>
  </si>
  <si>
    <t>3assila</t>
  </si>
  <si>
    <t>achats divers</t>
  </si>
  <si>
    <t>les quissetes</t>
  </si>
  <si>
    <t>la gelée</t>
  </si>
  <si>
    <t>terida</t>
  </si>
  <si>
    <t>coca -fanta</t>
  </si>
  <si>
    <t>hamissa</t>
  </si>
  <si>
    <t>sac poubelle</t>
  </si>
  <si>
    <t>farine sim 1kg</t>
  </si>
  <si>
    <t xml:space="preserve">levure </t>
  </si>
  <si>
    <t>pain de mie</t>
  </si>
  <si>
    <t>idir</t>
  </si>
  <si>
    <t>pain + livraison</t>
  </si>
  <si>
    <t xml:space="preserve">livrarsin VMR MAGHEREB </t>
  </si>
  <si>
    <t xml:space="preserve">Amandes </t>
  </si>
  <si>
    <t xml:space="preserve">cheddar  </t>
  </si>
  <si>
    <t>fourchette</t>
  </si>
  <si>
    <t>2 plateaux</t>
  </si>
  <si>
    <t>crème liquide</t>
  </si>
  <si>
    <t>maiizena</t>
  </si>
  <si>
    <t>poire</t>
  </si>
  <si>
    <t>légulmes</t>
  </si>
  <si>
    <t xml:space="preserve">Farine </t>
  </si>
  <si>
    <t>sucre glace</t>
  </si>
  <si>
    <t>farine sim 5kg</t>
  </si>
  <si>
    <t>prévious depttes</t>
  </si>
  <si>
    <t>pomme</t>
  </si>
  <si>
    <t>jus Tchina</t>
  </si>
  <si>
    <t>saray orange</t>
  </si>
  <si>
    <t xml:space="preserve">épices </t>
  </si>
  <si>
    <t>riz</t>
  </si>
  <si>
    <t xml:space="preserve">mandarine </t>
  </si>
  <si>
    <t>femme de ménafe</t>
  </si>
  <si>
    <t>cuisse de poulet</t>
  </si>
  <si>
    <t>decapant + lavette</t>
  </si>
  <si>
    <t>poulethaché</t>
  </si>
  <si>
    <t>tranche escalope</t>
  </si>
  <si>
    <t>Totale</t>
  </si>
  <si>
    <t xml:space="preserve">Nom </t>
  </si>
  <si>
    <t>Avance</t>
  </si>
  <si>
    <t xml:space="preserve">Salaire à payer </t>
  </si>
  <si>
    <t>Amel</t>
  </si>
  <si>
    <t>Lynda</t>
  </si>
  <si>
    <t>2000+4000</t>
  </si>
  <si>
    <t>Yasmine Vendeuse</t>
  </si>
  <si>
    <t xml:space="preserve">Yasmine </t>
  </si>
  <si>
    <t>2500+10000+3000</t>
  </si>
  <si>
    <t xml:space="preserve">Nadia Femme de ménage </t>
  </si>
  <si>
    <t xml:space="preserve">Nadia   </t>
  </si>
  <si>
    <t>chahrazed</t>
  </si>
  <si>
    <t>TOTAL</t>
  </si>
  <si>
    <t xml:space="preserve">Mois de Janvier </t>
  </si>
  <si>
    <t xml:space="preserve">Mois de Février </t>
  </si>
  <si>
    <t xml:space="preserve">Mois de Mars </t>
  </si>
  <si>
    <t>Mois d'Avril</t>
  </si>
  <si>
    <t>Mois de Mai</t>
  </si>
  <si>
    <t xml:space="preserve">Mois de Jiun </t>
  </si>
  <si>
    <t xml:space="preserve">Mois de Juillet </t>
  </si>
  <si>
    <t xml:space="preserve">Mois d'Aout </t>
  </si>
  <si>
    <t xml:space="preserve">Mois de Septembre </t>
  </si>
  <si>
    <t>Mois d'Octobre</t>
  </si>
  <si>
    <t>Mois de Novembre</t>
  </si>
  <si>
    <t>Mois de Décembre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</si>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</sst>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dd/mm/yyyy"/>
    <numFmt numFmtId="166" formatCode="#,##0.00\ [$€-1]"/>
    <numFmt numFmtId="167" formatCode="d/m/yyyy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7.0"/>
      <color theme="1"/>
      <name val="Arial"/>
    </font>
    <font>
      <sz val="18.0"/>
      <color theme="1"/>
      <name val="Arial"/>
      <scheme val="minor"/>
    </font>
    <font>
      <sz val="18.0"/>
      <color rgb="FFFF0000"/>
      <name val="Arial"/>
    </font>
    <font>
      <sz val="18.0"/>
      <color rgb="FFFFFF00"/>
      <name val="Arial"/>
    </font>
    <font>
      <sz val="19.0"/>
      <color theme="1"/>
      <name val="Arial"/>
    </font>
    <font>
      <sz val="18.0"/>
      <color rgb="FF434343"/>
      <name val="Arial"/>
    </font>
    <font>
      <b/>
      <sz val="20.0"/>
      <color theme="1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sz val="20.0"/>
      <color theme="1"/>
      <name val="Arial"/>
      <scheme val="minor"/>
    </font>
    <font>
      <sz val="20.0"/>
      <color theme="1"/>
      <name val="Arial"/>
    </font>
    <font>
      <b/>
      <sz val="24.0"/>
      <color theme="1"/>
      <name val="Arial"/>
    </font>
    <font>
      <b/>
      <sz val="42.0"/>
      <color theme="1"/>
      <name val="Arial"/>
    </font>
    <font/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1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164" xfId="0" applyAlignment="1" applyBorder="1" applyFill="1" applyFont="1" applyNumberFormat="1">
      <alignment horizontal="center" readingOrder="0" vertical="bottom"/>
    </xf>
    <xf borderId="3" fillId="5" fontId="3" numFmtId="0" xfId="0" applyAlignment="1" applyBorder="1" applyFill="1" applyFon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1" fillId="5" fontId="3" numFmtId="166" xfId="0" applyAlignment="1" applyBorder="1" applyFont="1" applyNumberFormat="1">
      <alignment horizontal="center" vertical="bottom"/>
    </xf>
    <xf borderId="1" fillId="5" fontId="1" numFmtId="0" xfId="0" applyAlignment="1" applyBorder="1" applyFont="1">
      <alignment vertical="bottom"/>
    </xf>
    <xf borderId="1" fillId="5" fontId="4" numFmtId="0" xfId="0" applyAlignment="1" applyBorder="1" applyFont="1">
      <alignment horizontal="center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3" fillId="8" fontId="3" numFmtId="0" xfId="0" applyAlignment="1" applyBorder="1" applyFill="1" applyFont="1">
      <alignment horizontal="center" vertical="bottom"/>
    </xf>
    <xf borderId="1" fillId="8" fontId="3" numFmtId="165" xfId="0" applyAlignment="1" applyBorder="1" applyFont="1" applyNumberFormat="1">
      <alignment horizontal="center" vertical="bottom"/>
    </xf>
    <xf borderId="1" fillId="8" fontId="3" numFmtId="166" xfId="0" applyAlignment="1" applyBorder="1" applyFont="1" applyNumberFormat="1">
      <alignment horizontal="center" readingOrder="0" vertical="bottom"/>
    </xf>
    <xf borderId="1" fillId="8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horizontal="center" readingOrder="0" vertical="bottom"/>
    </xf>
    <xf borderId="1" fillId="8" fontId="3" numFmtId="166" xfId="0" applyAlignment="1" applyBorder="1" applyFont="1" applyNumberFormat="1">
      <alignment horizontal="center"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1" fillId="7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0" fillId="0" fontId="3" numFmtId="166" xfId="0" applyAlignment="1" applyFont="1" applyNumberFormat="1">
      <alignment horizontal="right" readingOrder="0" vertical="bottom"/>
    </xf>
    <xf borderId="1" fillId="0" fontId="1" numFmtId="166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readingOrder="0" vertical="bottom"/>
    </xf>
    <xf borderId="0" fillId="0" fontId="3" numFmtId="166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5" fillId="0" fontId="5" numFmtId="0" xfId="0" applyAlignment="1" applyBorder="1" applyFont="1">
      <alignment readingOrder="0"/>
    </xf>
    <xf borderId="5" fillId="0" fontId="5" numFmtId="166" xfId="0" applyBorder="1" applyFont="1" applyNumberFormat="1"/>
    <xf borderId="0" fillId="5" fontId="1" numFmtId="166" xfId="0" applyAlignment="1" applyFont="1" applyNumberFormat="1">
      <alignment vertical="bottom"/>
    </xf>
    <xf borderId="1" fillId="9" fontId="3" numFmtId="165" xfId="0" applyAlignment="1" applyBorder="1" applyFill="1" applyFont="1" applyNumberFormat="1">
      <alignment horizontal="center" vertical="bottom"/>
    </xf>
    <xf borderId="4" fillId="0" fontId="1" numFmtId="166" xfId="0" applyAlignment="1" applyBorder="1" applyFont="1" applyNumberFormat="1">
      <alignment vertical="bottom"/>
    </xf>
    <xf borderId="4" fillId="6" fontId="6" numFmtId="166" xfId="0" applyAlignment="1" applyBorder="1" applyFont="1" applyNumberFormat="1">
      <alignment horizontal="center" shrinkToFit="0" vertical="bottom" wrapText="0"/>
    </xf>
    <xf borderId="4" fillId="0" fontId="3" numFmtId="166" xfId="0" applyAlignment="1" applyBorder="1" applyFont="1" applyNumberFormat="1">
      <alignment horizontal="center" readingOrder="0" vertical="bottom"/>
    </xf>
    <xf borderId="5" fillId="0" fontId="5" numFmtId="166" xfId="0" applyAlignment="1" applyBorder="1" applyFont="1" applyNumberFormat="1">
      <alignment readingOrder="0"/>
    </xf>
    <xf borderId="6" fillId="0" fontId="3" numFmtId="166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10" fontId="7" numFmtId="0" xfId="0" applyAlignment="1" applyBorder="1" applyFill="1" applyFont="1">
      <alignment horizontal="center" vertical="bottom"/>
    </xf>
    <xf borderId="6" fillId="0" fontId="1" numFmtId="166" xfId="0" applyAlignment="1" applyBorder="1" applyFont="1" applyNumberFormat="1">
      <alignment vertical="bottom"/>
    </xf>
    <xf borderId="1" fillId="4" fontId="3" numFmtId="0" xfId="0" applyAlignment="1" applyBorder="1" applyFont="1">
      <alignment horizontal="center" vertical="bottom"/>
    </xf>
    <xf borderId="5" fillId="6" fontId="5" numFmtId="166" xfId="0" applyBorder="1" applyFont="1" applyNumberFormat="1"/>
    <xf borderId="1" fillId="0" fontId="8" numFmtId="166" xfId="0" applyAlignment="1" applyBorder="1" applyFont="1" applyNumberFormat="1">
      <alignment horizontal="center" vertical="bottom"/>
    </xf>
    <xf borderId="6" fillId="0" fontId="1" numFmtId="0" xfId="0" applyAlignment="1" applyBorder="1" applyFont="1">
      <alignment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10" fontId="3" numFmtId="0" xfId="0" applyAlignment="1" applyBorder="1" applyFont="1">
      <alignment horizontal="center" vertical="bottom"/>
    </xf>
    <xf borderId="3" fillId="5" fontId="1" numFmtId="0" xfId="0" applyAlignment="1" applyBorder="1" applyFont="1">
      <alignment vertical="bottom"/>
    </xf>
    <xf borderId="1" fillId="5" fontId="1" numFmtId="165" xfId="0" applyAlignment="1" applyBorder="1" applyFont="1" applyNumberFormat="1">
      <alignment vertical="bottom"/>
    </xf>
    <xf borderId="1" fillId="5" fontId="8" numFmtId="166" xfId="0" applyAlignment="1" applyBorder="1" applyFont="1" applyNumberFormat="1">
      <alignment horizontal="center" vertical="bottom"/>
    </xf>
    <xf borderId="1" fillId="5" fontId="2" numFmtId="166" xfId="0" applyAlignment="1" applyBorder="1" applyFont="1" applyNumberFormat="1">
      <alignment horizontal="right"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vertical="bottom"/>
    </xf>
    <xf borderId="3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3" fillId="5" fontId="3" numFmtId="0" xfId="0" applyAlignment="1" applyBorder="1" applyFont="1">
      <alignment horizontal="center" readingOrder="0" vertical="bottom"/>
    </xf>
    <xf borderId="4" fillId="5" fontId="3" numFmtId="0" xfId="0" applyAlignment="1" applyBorder="1" applyFont="1">
      <alignment horizontal="center" readingOrder="0" vertical="bottom"/>
    </xf>
    <xf borderId="4" fillId="5" fontId="1" numFmtId="0" xfId="0" applyAlignment="1" applyBorder="1" applyFont="1">
      <alignment vertical="bottom"/>
    </xf>
    <xf borderId="5" fillId="5" fontId="3" numFmtId="0" xfId="0" applyAlignment="1" applyBorder="1" applyFont="1">
      <alignment horizontal="center" readingOrder="0" vertical="bottom"/>
    </xf>
    <xf borderId="3" fillId="5" fontId="9" numFmtId="0" xfId="0" applyAlignment="1" applyBorder="1" applyFont="1">
      <alignment horizontal="center" readingOrder="0" vertical="bottom"/>
    </xf>
    <xf borderId="1" fillId="5" fontId="9" numFmtId="0" xfId="0" applyAlignment="1" applyBorder="1" applyFont="1">
      <alignment horizontal="center" readingOrder="0" vertical="bottom"/>
    </xf>
    <xf borderId="7" fillId="5" fontId="10" numFmtId="0" xfId="0" applyAlignment="1" applyBorder="1" applyFont="1">
      <alignment horizontal="center" vertical="bottom"/>
    </xf>
    <xf borderId="1" fillId="5" fontId="10" numFmtId="0" xfId="0" applyAlignment="1" applyBorder="1" applyFont="1">
      <alignment horizontal="right" vertical="bottom"/>
    </xf>
    <xf borderId="5" fillId="5" fontId="3" numFmtId="0" xfId="0" applyAlignment="1" applyBorder="1" applyFont="1">
      <alignment horizontal="center" vertical="bottom"/>
    </xf>
    <xf borderId="6" fillId="5" fontId="11" numFmtId="166" xfId="0" applyAlignment="1" applyBorder="1" applyFont="1" applyNumberFormat="1">
      <alignment horizontal="center" vertical="bottom"/>
    </xf>
    <xf borderId="1" fillId="5" fontId="11" numFmtId="166" xfId="0" applyAlignment="1" applyBorder="1" applyFont="1" applyNumberFormat="1">
      <alignment horizontal="center" readingOrder="0" vertical="bottom"/>
    </xf>
    <xf borderId="1" fillId="5" fontId="10" numFmtId="166" xfId="0" applyAlignment="1" applyBorder="1" applyFont="1" applyNumberFormat="1">
      <alignment horizontal="center" readingOrder="0" vertical="bottom"/>
    </xf>
    <xf borderId="5" fillId="5" fontId="3" numFmtId="166" xfId="0" applyAlignment="1" applyBorder="1" applyFont="1" applyNumberFormat="1">
      <alignment horizontal="center" readingOrder="0" vertical="bottom"/>
    </xf>
    <xf borderId="6" fillId="7" fontId="12" numFmtId="166" xfId="0" applyAlignment="1" applyBorder="1" applyFont="1" applyNumberFormat="1">
      <alignment horizontal="center" vertical="bottom"/>
    </xf>
    <xf borderId="1" fillId="7" fontId="12" numFmtId="166" xfId="0" applyAlignment="1" applyBorder="1" applyFont="1" applyNumberFormat="1">
      <alignment horizontal="center" vertical="bottom"/>
    </xf>
    <xf borderId="1" fillId="7" fontId="10" numFmtId="166" xfId="0" applyAlignment="1" applyBorder="1" applyFont="1" applyNumberFormat="1">
      <alignment horizontal="right" vertical="bottom"/>
    </xf>
    <xf borderId="5" fillId="7" fontId="2" numFmtId="166" xfId="0" applyAlignment="1" applyBorder="1" applyFont="1" applyNumberFormat="1">
      <alignment horizontal="center" vertical="bottom"/>
    </xf>
    <xf borderId="1" fillId="10" fontId="10" numFmtId="166" xfId="0" applyAlignment="1" applyBorder="1" applyFont="1" applyNumberFormat="1">
      <alignment horizontal="right" vertical="bottom"/>
    </xf>
    <xf borderId="8" fillId="0" fontId="13" numFmtId="0" xfId="0" applyAlignment="1" applyBorder="1" applyFont="1">
      <alignment readingOrder="0"/>
    </xf>
    <xf borderId="9" fillId="0" fontId="14" numFmtId="166" xfId="0" applyAlignment="1" applyBorder="1" applyFont="1" applyNumberFormat="1">
      <alignment readingOrder="0" vertical="bottom"/>
    </xf>
    <xf borderId="2" fillId="0" fontId="14" numFmtId="166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0" fillId="3" fontId="3" numFmtId="166" xfId="0" applyAlignment="1" applyFont="1" applyNumberFormat="1">
      <alignment readingOrder="0" vertical="bottom"/>
    </xf>
    <xf borderId="1" fillId="8" fontId="15" numFmtId="0" xfId="0" applyAlignment="1" applyBorder="1" applyFont="1">
      <alignment horizontal="center" vertical="bottom"/>
    </xf>
    <xf borderId="2" fillId="8" fontId="15" numFmtId="0" xfId="0" applyAlignment="1" applyBorder="1" applyFont="1">
      <alignment horizontal="center" vertical="bottom"/>
    </xf>
    <xf borderId="10" fillId="0" fontId="16" numFmtId="0" xfId="0" applyAlignment="1" applyBorder="1" applyFont="1">
      <alignment horizontal="center" readingOrder="0" textRotation="90" vertical="center"/>
    </xf>
    <xf borderId="6" fillId="0" fontId="17" numFmtId="0" xfId="0" applyBorder="1" applyFont="1"/>
    <xf borderId="1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166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readingOrder="0" vertical="bottom"/>
    </xf>
    <xf borderId="2" fillId="5" fontId="3" numFmtId="166" xfId="0" applyAlignment="1" applyBorder="1" applyFont="1" applyNumberFormat="1">
      <alignment horizontal="center" vertical="bottom"/>
    </xf>
    <xf borderId="0" fillId="0" fontId="18" numFmtId="0" xfId="0" applyAlignment="1" applyFont="1">
      <alignment readingOrder="0"/>
    </xf>
    <xf borderId="3" fillId="4" fontId="8" numFmtId="0" xfId="0" applyAlignment="1" applyBorder="1" applyFont="1">
      <alignment horizontal="center" readingOrder="0" vertical="bottom"/>
    </xf>
    <xf borderId="1" fillId="4" fontId="8" numFmtId="0" xfId="0" applyAlignment="1" applyBorder="1" applyFont="1">
      <alignment horizontal="center" readingOrder="0" vertical="bottom"/>
    </xf>
    <xf borderId="1" fillId="0" fontId="17" numFmtId="0" xfId="0" applyBorder="1" applyFont="1"/>
    <xf borderId="1" fillId="0" fontId="8" numFmtId="165" xfId="0" applyAlignment="1" applyBorder="1" applyFont="1" applyNumberFormat="1">
      <alignment horizontal="center" readingOrder="0" vertical="bottom"/>
    </xf>
    <xf borderId="1" fillId="0" fontId="8" numFmtId="167" xfId="0" applyAlignment="1" applyBorder="1" applyFont="1" applyNumberFormat="1">
      <alignment horizontal="center" readingOrder="0" vertical="bottom"/>
    </xf>
    <xf borderId="1" fillId="0" fontId="8" numFmtId="166" xfId="0" applyAlignment="1" applyBorder="1" applyFont="1" applyNumberFormat="1">
      <alignment horizontal="center" readingOrder="0" vertical="bottom"/>
    </xf>
    <xf borderId="3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3" fillId="0" fontId="15" numFmtId="0" xfId="0" applyAlignment="1" applyBorder="1" applyFont="1">
      <alignment horizontal="center" vertical="bottom"/>
    </xf>
    <xf borderId="1" fillId="0" fontId="15" numFmtId="166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  <xf borderId="4" fillId="6" fontId="2" numFmtId="0" xfId="0" applyAlignment="1" applyBorder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1" fillId="3" fontId="3" numFmtId="166" xfId="0" applyAlignment="1" applyBorder="1" applyFont="1" applyNumberFormat="1">
      <alignment horizontal="center" vertical="bottom"/>
    </xf>
    <xf borderId="1" fillId="7" fontId="2" numFmtId="166" xfId="0" applyAlignment="1" applyBorder="1" applyFont="1" applyNumberFormat="1">
      <alignment horizontal="center" vertical="bottom"/>
    </xf>
    <xf borderId="1" fillId="4" fontId="2" numFmtId="166" xfId="0" applyAlignment="1" applyBorder="1" applyFont="1" applyNumberFormat="1">
      <alignment horizontal="center" vertical="bottom"/>
    </xf>
    <xf borderId="4" fillId="11" fontId="2" numFmtId="0" xfId="0" applyAlignment="1" applyBorder="1" applyFill="1" applyFont="1">
      <alignment horizontal="center" vertical="bottom"/>
    </xf>
    <xf borderId="1" fillId="11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12" fontId="2" numFmtId="0" xfId="0" applyAlignment="1" applyBorder="1" applyFill="1" applyFont="1">
      <alignment horizontal="center" vertical="bottom"/>
    </xf>
    <xf borderId="1" fillId="11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right" vertical="bottom"/>
    </xf>
    <xf borderId="1" fillId="0" fontId="3" numFmtId="166" xfId="0" applyAlignment="1" applyBorder="1" applyFont="1" applyNumberFormat="1">
      <alignment readingOrder="0" vertical="bottom"/>
    </xf>
    <xf borderId="1" fillId="0" fontId="3" numFmtId="166" xfId="0" applyAlignment="1" applyBorder="1" applyFont="1" applyNumberFormat="1">
      <alignment horizontal="right" readingOrder="0" vertical="bottom"/>
    </xf>
    <xf borderId="1" fillId="0" fontId="3" numFmtId="166" xfId="0" applyAlignment="1" applyBorder="1" applyFont="1" applyNumberFormat="1">
      <alignment vertical="bottom"/>
    </xf>
    <xf borderId="1" fillId="11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6.38"/>
    <col customWidth="1" min="3" max="3" width="25.38"/>
    <col customWidth="1" min="4" max="4" width="25.63"/>
    <col customWidth="1" min="5" max="5" width="25.13"/>
    <col customWidth="1" min="6" max="6" width="24.88"/>
    <col customWidth="1" min="7" max="8" width="25.63"/>
    <col customWidth="1" min="9" max="9" width="25.38"/>
    <col customWidth="1" min="11" max="11" width="25.63"/>
    <col customWidth="1" min="12" max="12" width="25.88"/>
    <col customWidth="1" min="13" max="13" width="45.63"/>
    <col customWidth="1" min="14" max="14" width="43.88"/>
    <col customWidth="1" min="15" max="15" width="42.13"/>
    <col customWidth="1" min="16" max="16" width="37.38"/>
    <col customWidth="1" min="19" max="19" width="42.13"/>
    <col customWidth="1" min="20" max="20" width="27.63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/>
      <c r="K1" s="5" t="s">
        <v>8</v>
      </c>
      <c r="L1" s="6">
        <v>45200.0</v>
      </c>
    </row>
    <row r="2">
      <c r="A2" s="7" t="s">
        <v>9</v>
      </c>
      <c r="B2" s="8">
        <v>45231.0</v>
      </c>
      <c r="C2" s="9">
        <v>34000.0</v>
      </c>
      <c r="D2" s="9">
        <v>48000.0</v>
      </c>
      <c r="E2" s="10"/>
      <c r="F2" s="10"/>
      <c r="G2" s="10"/>
      <c r="H2" s="10"/>
      <c r="I2" s="11">
        <v>1.0</v>
      </c>
      <c r="J2" s="12"/>
      <c r="K2" s="13"/>
      <c r="L2" s="9">
        <v>34000.0</v>
      </c>
    </row>
    <row r="3">
      <c r="A3" s="7" t="s">
        <v>10</v>
      </c>
      <c r="B3" s="8">
        <v>45232.0</v>
      </c>
      <c r="C3" s="14">
        <v>44000.0</v>
      </c>
      <c r="D3" s="14">
        <v>36000.0</v>
      </c>
      <c r="E3" s="15"/>
      <c r="F3" s="15"/>
      <c r="G3" s="15"/>
      <c r="H3" s="15"/>
      <c r="I3" s="16">
        <v>1.0</v>
      </c>
      <c r="J3" s="12"/>
      <c r="K3" s="13"/>
      <c r="L3" s="9">
        <v>44000.0</v>
      </c>
      <c r="M3" s="17" t="s">
        <v>11</v>
      </c>
      <c r="N3" s="17" t="s">
        <v>12</v>
      </c>
      <c r="O3" s="18" t="s">
        <v>13</v>
      </c>
      <c r="P3" s="19" t="s">
        <v>14</v>
      </c>
      <c r="Q3" s="4"/>
      <c r="R3" s="4"/>
    </row>
    <row r="4">
      <c r="A4" s="20" t="s">
        <v>15</v>
      </c>
      <c r="B4" s="21">
        <v>45233.0</v>
      </c>
      <c r="C4" s="22">
        <v>40000.0</v>
      </c>
      <c r="D4" s="22">
        <v>48000.0</v>
      </c>
      <c r="E4" s="23"/>
      <c r="F4" s="23"/>
      <c r="G4" s="23"/>
      <c r="H4" s="23"/>
      <c r="I4" s="24">
        <v>1.0</v>
      </c>
      <c r="J4" s="12"/>
      <c r="K4" s="13"/>
      <c r="L4" s="25">
        <v>40000.0</v>
      </c>
      <c r="M4" s="26" t="str">
        <f>H35/I35</f>
        <v>#DIV/0!</v>
      </c>
      <c r="N4" s="26" t="str">
        <f>D35/I35</f>
        <v>#DIV/0!</v>
      </c>
      <c r="O4" s="27"/>
      <c r="P4" s="28" t="str">
        <f>O4/N4</f>
        <v>#DIV/0!</v>
      </c>
      <c r="Q4" s="4"/>
      <c r="R4" s="4"/>
    </row>
    <row r="5">
      <c r="A5" s="7" t="s">
        <v>16</v>
      </c>
      <c r="B5" s="8">
        <v>45234.0</v>
      </c>
      <c r="C5" s="14">
        <v>50000.0</v>
      </c>
      <c r="D5" s="14">
        <v>25000.0</v>
      </c>
      <c r="E5" s="15"/>
      <c r="F5" s="15"/>
      <c r="G5" s="15"/>
      <c r="H5" s="15"/>
      <c r="I5" s="16">
        <v>1.0</v>
      </c>
      <c r="J5" s="12"/>
      <c r="K5" s="13"/>
      <c r="L5" s="9">
        <v>50000.0</v>
      </c>
      <c r="M5" s="1"/>
      <c r="N5" s="1"/>
      <c r="O5" s="4"/>
      <c r="P5" s="29"/>
      <c r="Q5" s="4"/>
      <c r="R5" s="4"/>
    </row>
    <row r="6">
      <c r="A6" s="7" t="s">
        <v>17</v>
      </c>
      <c r="B6" s="8">
        <v>45235.0</v>
      </c>
      <c r="C6" s="14">
        <v>35000.0</v>
      </c>
      <c r="D6" s="14">
        <v>34000.0</v>
      </c>
      <c r="E6" s="15"/>
      <c r="F6" s="15"/>
      <c r="G6" s="15"/>
      <c r="H6" s="15"/>
      <c r="I6" s="16">
        <v>1.0</v>
      </c>
      <c r="J6" s="12"/>
      <c r="K6" s="13"/>
      <c r="L6" s="9">
        <v>35000.0</v>
      </c>
      <c r="M6" s="30" t="s">
        <v>18</v>
      </c>
      <c r="N6" s="31" t="s">
        <v>19</v>
      </c>
      <c r="O6" s="4"/>
      <c r="P6" s="1"/>
      <c r="Q6" s="4"/>
      <c r="R6" s="4"/>
    </row>
    <row r="7">
      <c r="A7" s="7" t="s">
        <v>20</v>
      </c>
      <c r="B7" s="8">
        <v>45236.0</v>
      </c>
      <c r="C7" s="14">
        <v>35000.0</v>
      </c>
      <c r="D7" s="14">
        <v>25000.0</v>
      </c>
      <c r="E7" s="15"/>
      <c r="F7" s="15"/>
      <c r="G7" s="15"/>
      <c r="H7" s="15"/>
      <c r="I7" s="16">
        <v>1.0</v>
      </c>
      <c r="J7" s="12"/>
      <c r="K7" s="13"/>
      <c r="L7" s="9">
        <v>35000.0</v>
      </c>
      <c r="M7" s="32" t="str">
        <f>E35/I35</f>
        <v>#DIV/0!</v>
      </c>
      <c r="N7" s="32">
        <v>100000.0</v>
      </c>
      <c r="O7" s="1"/>
      <c r="P7" s="1"/>
      <c r="Q7" s="4"/>
      <c r="R7" s="4"/>
    </row>
    <row r="8">
      <c r="A8" s="7" t="s">
        <v>21</v>
      </c>
      <c r="B8" s="8">
        <v>45237.0</v>
      </c>
      <c r="C8" s="14">
        <v>56000.0</v>
      </c>
      <c r="D8" s="14">
        <v>31000.0</v>
      </c>
      <c r="E8" s="15"/>
      <c r="F8" s="15"/>
      <c r="G8" s="15"/>
      <c r="H8" s="15"/>
      <c r="I8" s="16">
        <v>1.0</v>
      </c>
      <c r="J8" s="12"/>
      <c r="K8" s="13"/>
      <c r="L8" s="9">
        <v>56000.0</v>
      </c>
      <c r="M8" s="1" t="s">
        <v>22</v>
      </c>
      <c r="N8" s="1"/>
      <c r="O8" s="1"/>
      <c r="P8" s="1"/>
      <c r="Q8" s="4"/>
      <c r="R8" s="4"/>
    </row>
    <row r="9">
      <c r="A9" s="7" t="s">
        <v>9</v>
      </c>
      <c r="B9" s="8">
        <v>45238.0</v>
      </c>
      <c r="C9" s="14">
        <v>36000.0</v>
      </c>
      <c r="D9" s="14">
        <v>37000.0</v>
      </c>
      <c r="E9" s="15"/>
      <c r="F9" s="15"/>
      <c r="G9" s="15"/>
      <c r="H9" s="15"/>
      <c r="I9" s="16">
        <v>1.0</v>
      </c>
      <c r="J9" s="12"/>
      <c r="K9" s="13"/>
      <c r="L9" s="9">
        <v>36000.0</v>
      </c>
      <c r="M9" s="1"/>
      <c r="N9" s="1"/>
      <c r="O9" s="1"/>
      <c r="P9" s="1"/>
      <c r="Q9" s="4"/>
      <c r="R9" s="4"/>
    </row>
    <row r="10">
      <c r="A10" s="7" t="s">
        <v>10</v>
      </c>
      <c r="B10" s="8">
        <v>45239.0</v>
      </c>
      <c r="C10" s="14">
        <v>34000.0</v>
      </c>
      <c r="D10" s="14">
        <v>40000.0</v>
      </c>
      <c r="E10" s="15"/>
      <c r="F10" s="15"/>
      <c r="G10" s="15"/>
      <c r="H10" s="15"/>
      <c r="I10" s="16">
        <v>1.0</v>
      </c>
      <c r="J10" s="12"/>
      <c r="K10" s="13"/>
      <c r="L10" s="9">
        <v>34000.0</v>
      </c>
      <c r="M10" s="33" t="s">
        <v>23</v>
      </c>
      <c r="N10" s="33" t="s">
        <v>24</v>
      </c>
      <c r="O10" s="1"/>
      <c r="P10" s="34"/>
      <c r="Q10" s="4"/>
      <c r="R10" s="4"/>
    </row>
    <row r="11">
      <c r="A11" s="20" t="s">
        <v>15</v>
      </c>
      <c r="B11" s="21">
        <v>45240.0</v>
      </c>
      <c r="C11" s="22">
        <v>38000.0</v>
      </c>
      <c r="D11" s="22">
        <v>44000.0</v>
      </c>
      <c r="E11" s="23"/>
      <c r="F11" s="23"/>
      <c r="G11" s="23"/>
      <c r="H11" s="23"/>
      <c r="I11" s="24">
        <v>1.0</v>
      </c>
      <c r="J11" s="12"/>
      <c r="K11" s="13"/>
      <c r="L11" s="25">
        <v>38000.0</v>
      </c>
      <c r="M11" s="31">
        <f>O17+D33-O11-O18-O19-'Salaires '!K22-'Les charges '!H308-O16</f>
        <v>528270</v>
      </c>
      <c r="N11" s="26">
        <f>O11*1</f>
        <v>70000</v>
      </c>
      <c r="O11" s="35">
        <v>70000.0</v>
      </c>
      <c r="P11" s="36"/>
      <c r="Q11" s="4"/>
      <c r="R11" s="4"/>
    </row>
    <row r="12">
      <c r="A12" s="7" t="s">
        <v>16</v>
      </c>
      <c r="B12" s="8">
        <v>45241.0</v>
      </c>
      <c r="C12" s="14">
        <v>45000.0</v>
      </c>
      <c r="D12" s="14">
        <v>37000.0</v>
      </c>
      <c r="E12" s="15"/>
      <c r="F12" s="15"/>
      <c r="G12" s="15"/>
      <c r="H12" s="15"/>
      <c r="I12" s="16">
        <v>1.0</v>
      </c>
      <c r="J12" s="12"/>
      <c r="K12" s="13"/>
      <c r="L12" s="9">
        <v>45000.0</v>
      </c>
      <c r="M12" s="1"/>
      <c r="N12" s="1" t="s">
        <v>25</v>
      </c>
      <c r="O12" s="36"/>
      <c r="P12" s="36"/>
      <c r="Q12" s="4"/>
      <c r="R12" s="4"/>
    </row>
    <row r="13">
      <c r="A13" s="7" t="s">
        <v>17</v>
      </c>
      <c r="B13" s="8">
        <v>45242.0</v>
      </c>
      <c r="C13" s="14">
        <v>62000.0</v>
      </c>
      <c r="D13" s="14">
        <v>32000.0</v>
      </c>
      <c r="E13" s="15"/>
      <c r="F13" s="15"/>
      <c r="G13" s="15"/>
      <c r="H13" s="15"/>
      <c r="I13" s="16">
        <v>1.0</v>
      </c>
      <c r="J13" s="12"/>
      <c r="K13" s="13"/>
      <c r="L13" s="9">
        <v>62000.0</v>
      </c>
      <c r="M13" s="37" t="s">
        <v>26</v>
      </c>
      <c r="N13" s="36"/>
      <c r="O13" s="4"/>
      <c r="P13" s="36"/>
      <c r="Q13" s="4"/>
      <c r="R13" s="4"/>
    </row>
    <row r="14">
      <c r="A14" s="7" t="s">
        <v>20</v>
      </c>
      <c r="B14" s="8">
        <v>45243.0</v>
      </c>
      <c r="C14" s="14">
        <v>51000.0</v>
      </c>
      <c r="D14" s="14">
        <v>37000.0</v>
      </c>
      <c r="E14" s="15"/>
      <c r="F14" s="15"/>
      <c r="G14" s="15"/>
      <c r="H14" s="15"/>
      <c r="I14" s="16">
        <v>1.0</v>
      </c>
      <c r="J14" s="12"/>
      <c r="K14" s="13"/>
      <c r="L14" s="9">
        <v>51000.0</v>
      </c>
      <c r="M14" s="36"/>
      <c r="N14" s="36"/>
      <c r="O14" s="38" t="s">
        <v>27</v>
      </c>
      <c r="P14" s="39">
        <v>25000.0</v>
      </c>
      <c r="Q14" s="4"/>
      <c r="R14" s="4"/>
    </row>
    <row r="15">
      <c r="A15" s="7" t="s">
        <v>21</v>
      </c>
      <c r="B15" s="8">
        <v>45244.0</v>
      </c>
      <c r="C15" s="14">
        <v>32000.0</v>
      </c>
      <c r="D15" s="14">
        <v>37000.0</v>
      </c>
      <c r="E15" s="15"/>
      <c r="F15" s="15"/>
      <c r="G15" s="15"/>
      <c r="H15" s="15"/>
      <c r="I15" s="16">
        <v>1.0</v>
      </c>
      <c r="J15" s="12"/>
      <c r="K15" s="13"/>
      <c r="L15" s="9">
        <v>32000.0</v>
      </c>
      <c r="M15" s="27"/>
      <c r="N15" s="40" t="s">
        <v>28</v>
      </c>
      <c r="O15" s="41" t="s">
        <v>29</v>
      </c>
      <c r="P15" s="41" t="s">
        <v>30</v>
      </c>
      <c r="Q15" s="4"/>
      <c r="R15" s="4"/>
    </row>
    <row r="16">
      <c r="A16" s="7" t="s">
        <v>9</v>
      </c>
      <c r="B16" s="8">
        <v>45245.0</v>
      </c>
      <c r="C16" s="14">
        <v>20000.0</v>
      </c>
      <c r="D16" s="14">
        <v>42000.0</v>
      </c>
      <c r="E16" s="15"/>
      <c r="F16" s="15"/>
      <c r="G16" s="15"/>
      <c r="H16" s="15"/>
      <c r="I16" s="16">
        <v>1.0</v>
      </c>
      <c r="J16" s="12"/>
      <c r="K16" s="13"/>
      <c r="L16" s="9">
        <v>20000.0</v>
      </c>
      <c r="M16" s="27"/>
      <c r="N16" s="40" t="s">
        <v>31</v>
      </c>
      <c r="O16" s="40">
        <v>40000.0</v>
      </c>
      <c r="P16" s="4"/>
      <c r="Q16" s="4"/>
      <c r="R16" s="4"/>
      <c r="S16" s="42" t="s">
        <v>32</v>
      </c>
      <c r="T16" s="43">
        <f>D33</f>
        <v>1254000</v>
      </c>
    </row>
    <row r="17">
      <c r="A17" s="7" t="s">
        <v>10</v>
      </c>
      <c r="B17" s="8">
        <v>45246.0</v>
      </c>
      <c r="C17" s="14">
        <v>37000.0</v>
      </c>
      <c r="D17" s="14">
        <v>59000.0</v>
      </c>
      <c r="E17" s="15"/>
      <c r="F17" s="15"/>
      <c r="G17" s="15"/>
      <c r="H17" s="15"/>
      <c r="I17" s="16">
        <v>1.0</v>
      </c>
      <c r="J17" s="12"/>
      <c r="K17" s="13"/>
      <c r="L17" s="9">
        <v>37000.0</v>
      </c>
      <c r="M17" s="44"/>
      <c r="N17" s="40" t="s">
        <v>33</v>
      </c>
      <c r="O17" s="40">
        <v>320000.0</v>
      </c>
      <c r="P17" s="4"/>
      <c r="Q17" s="4"/>
      <c r="R17" s="4"/>
      <c r="S17" s="42" t="s">
        <v>34</v>
      </c>
      <c r="T17" s="43">
        <f>E33</f>
        <v>508730</v>
      </c>
    </row>
    <row r="18">
      <c r="A18" s="20" t="s">
        <v>15</v>
      </c>
      <c r="B18" s="45">
        <v>45247.0</v>
      </c>
      <c r="C18" s="22">
        <v>32000.0</v>
      </c>
      <c r="D18" s="22">
        <v>58000.0</v>
      </c>
      <c r="E18" s="23"/>
      <c r="F18" s="23"/>
      <c r="G18" s="23"/>
      <c r="H18" s="23"/>
      <c r="I18" s="24">
        <v>1.0</v>
      </c>
      <c r="J18" s="12"/>
      <c r="K18" s="13"/>
      <c r="L18" s="25">
        <v>32000.0</v>
      </c>
      <c r="M18" s="46"/>
      <c r="N18" s="40" t="s">
        <v>35</v>
      </c>
      <c r="O18" s="40">
        <v>50000.0</v>
      </c>
      <c r="P18" s="27"/>
      <c r="Q18" s="4"/>
      <c r="R18" s="4"/>
      <c r="S18" s="42" t="s">
        <v>36</v>
      </c>
      <c r="T18" s="43">
        <f>'Salaires '!K22</f>
        <v>307000</v>
      </c>
    </row>
    <row r="19">
      <c r="A19" s="7" t="s">
        <v>16</v>
      </c>
      <c r="B19" s="8">
        <v>45248.0</v>
      </c>
      <c r="C19" s="14">
        <v>40000.0</v>
      </c>
      <c r="D19" s="14">
        <v>25000.0</v>
      </c>
      <c r="E19" s="15"/>
      <c r="F19" s="15"/>
      <c r="G19" s="15"/>
      <c r="H19" s="15"/>
      <c r="I19" s="16">
        <v>1.0</v>
      </c>
      <c r="J19" s="12"/>
      <c r="K19" s="13"/>
      <c r="L19" s="9">
        <v>40000.0</v>
      </c>
      <c r="M19" s="47" t="s">
        <v>37</v>
      </c>
      <c r="N19" s="40" t="s">
        <v>38</v>
      </c>
      <c r="O19" s="48">
        <v>70000.0</v>
      </c>
      <c r="P19" s="46"/>
      <c r="Q19" s="4"/>
      <c r="R19" s="4"/>
      <c r="S19" s="42" t="s">
        <v>39</v>
      </c>
      <c r="T19" s="49">
        <v>44000.0</v>
      </c>
    </row>
    <row r="20">
      <c r="A20" s="7" t="s">
        <v>17</v>
      </c>
      <c r="B20" s="8">
        <v>45249.0</v>
      </c>
      <c r="C20" s="14">
        <v>60000.0</v>
      </c>
      <c r="D20" s="14">
        <v>38000.0</v>
      </c>
      <c r="E20" s="15"/>
      <c r="F20" s="15"/>
      <c r="G20" s="15"/>
      <c r="H20" s="15"/>
      <c r="I20" s="16">
        <v>1.0</v>
      </c>
      <c r="J20" s="12"/>
      <c r="K20" s="13"/>
      <c r="L20" s="9">
        <v>60000.0</v>
      </c>
      <c r="M20" s="9">
        <f>D35-C35</f>
        <v>0</v>
      </c>
      <c r="N20" s="50" t="s">
        <v>40</v>
      </c>
      <c r="O20" s="51" t="s">
        <v>41</v>
      </c>
      <c r="P20" s="36"/>
      <c r="Q20" s="4"/>
      <c r="R20" s="4"/>
      <c r="S20" s="42" t="s">
        <v>42</v>
      </c>
      <c r="T20" s="49">
        <v>34000.0</v>
      </c>
    </row>
    <row r="21">
      <c r="A21" s="7" t="s">
        <v>20</v>
      </c>
      <c r="B21" s="8">
        <v>45250.0</v>
      </c>
      <c r="C21" s="14">
        <v>36000.0</v>
      </c>
      <c r="D21" s="14">
        <v>16000.0</v>
      </c>
      <c r="E21" s="15"/>
      <c r="F21" s="15"/>
      <c r="G21" s="15"/>
      <c r="H21" s="15"/>
      <c r="I21" s="16">
        <v>1.0</v>
      </c>
      <c r="J21" s="12"/>
      <c r="K21" s="13"/>
      <c r="L21" s="9">
        <v>36000.0</v>
      </c>
      <c r="M21" s="52" t="s">
        <v>43</v>
      </c>
      <c r="N21" s="53"/>
      <c r="O21" s="1"/>
      <c r="P21" s="36"/>
      <c r="Q21" s="4"/>
      <c r="R21" s="4"/>
      <c r="S21" s="42" t="s">
        <v>44</v>
      </c>
      <c r="T21" s="43">
        <f>T16-T17-T18-T19-T20</f>
        <v>360270</v>
      </c>
    </row>
    <row r="22">
      <c r="A22" s="7" t="s">
        <v>21</v>
      </c>
      <c r="B22" s="8">
        <v>45251.0</v>
      </c>
      <c r="C22" s="14">
        <v>60000.0</v>
      </c>
      <c r="D22" s="14">
        <v>50000.0</v>
      </c>
      <c r="E22" s="15"/>
      <c r="F22" s="15"/>
      <c r="G22" s="15"/>
      <c r="H22" s="15"/>
      <c r="I22" s="16">
        <v>1.0</v>
      </c>
      <c r="J22" s="12"/>
      <c r="K22" s="13"/>
      <c r="L22" s="9">
        <v>60000.0</v>
      </c>
      <c r="M22" s="32">
        <f>K36-E36</f>
        <v>0</v>
      </c>
      <c r="N22" s="53"/>
      <c r="O22" s="1"/>
      <c r="P22" s="36"/>
      <c r="Q22" s="4"/>
      <c r="R22" s="4"/>
      <c r="S22" s="42" t="s">
        <v>45</v>
      </c>
      <c r="T22" s="49">
        <v>152000.0</v>
      </c>
    </row>
    <row r="23">
      <c r="A23" s="7" t="s">
        <v>9</v>
      </c>
      <c r="B23" s="8">
        <v>45252.0</v>
      </c>
      <c r="C23" s="14">
        <v>36000.0</v>
      </c>
      <c r="D23" s="14">
        <v>90000.0</v>
      </c>
      <c r="E23" s="15"/>
      <c r="F23" s="15"/>
      <c r="G23" s="15"/>
      <c r="H23" s="15"/>
      <c r="I23" s="16">
        <v>1.0</v>
      </c>
      <c r="J23" s="12"/>
      <c r="K23" s="13"/>
      <c r="L23" s="9">
        <v>36000.0</v>
      </c>
      <c r="M23" s="54" t="s">
        <v>46</v>
      </c>
      <c r="N23" s="53"/>
      <c r="O23" s="1"/>
      <c r="P23" s="36"/>
      <c r="Q23" s="4"/>
      <c r="R23" s="4"/>
      <c r="S23" s="42" t="s">
        <v>47</v>
      </c>
      <c r="T23" s="55">
        <f>T21-T22</f>
        <v>208270</v>
      </c>
    </row>
    <row r="24">
      <c r="A24" s="7" t="s">
        <v>10</v>
      </c>
      <c r="B24" s="8">
        <v>45253.0</v>
      </c>
      <c r="C24" s="14">
        <v>35000.0</v>
      </c>
      <c r="D24" s="14">
        <v>79000.0</v>
      </c>
      <c r="E24" s="15"/>
      <c r="F24" s="15"/>
      <c r="G24" s="15"/>
      <c r="H24" s="15"/>
      <c r="I24" s="16">
        <v>1.0</v>
      </c>
      <c r="J24" s="12"/>
      <c r="K24" s="13"/>
      <c r="L24" s="9">
        <v>35000.0</v>
      </c>
      <c r="M24" s="56">
        <f>D35-L35</f>
        <v>0</v>
      </c>
      <c r="N24" s="53"/>
      <c r="O24" s="1"/>
      <c r="P24" s="36"/>
      <c r="Q24" s="4"/>
      <c r="R24" s="4"/>
    </row>
    <row r="25">
      <c r="A25" s="20" t="s">
        <v>15</v>
      </c>
      <c r="B25" s="21">
        <v>45254.0</v>
      </c>
      <c r="C25" s="22">
        <v>27000.0</v>
      </c>
      <c r="D25" s="22">
        <v>33000.0</v>
      </c>
      <c r="E25" s="23"/>
      <c r="F25" s="23"/>
      <c r="G25" s="23"/>
      <c r="H25" s="23"/>
      <c r="I25" s="24">
        <v>1.0</v>
      </c>
      <c r="J25" s="12"/>
      <c r="K25" s="13"/>
      <c r="L25" s="25">
        <v>27000.0</v>
      </c>
      <c r="M25" s="37" t="s">
        <v>48</v>
      </c>
      <c r="N25" s="53"/>
      <c r="O25" s="1"/>
      <c r="P25" s="36"/>
      <c r="Q25" s="4"/>
      <c r="R25" s="4"/>
    </row>
    <row r="26">
      <c r="A26" s="7" t="s">
        <v>16</v>
      </c>
      <c r="B26" s="8">
        <v>45255.0</v>
      </c>
      <c r="C26" s="14">
        <v>57000.0</v>
      </c>
      <c r="D26" s="14">
        <v>47000.0</v>
      </c>
      <c r="E26" s="15"/>
      <c r="F26" s="15"/>
      <c r="G26" s="15"/>
      <c r="H26" s="15"/>
      <c r="I26" s="16">
        <v>1.0</v>
      </c>
      <c r="J26" s="12"/>
      <c r="K26" s="13"/>
      <c r="L26" s="9">
        <v>57000.0</v>
      </c>
      <c r="M26" s="32">
        <f>E6+E13+E20+E27</f>
        <v>0</v>
      </c>
      <c r="N26" s="57"/>
      <c r="O26" s="1"/>
      <c r="P26" s="36"/>
      <c r="Q26" s="4"/>
      <c r="R26" s="4"/>
    </row>
    <row r="27">
      <c r="A27" s="7" t="s">
        <v>17</v>
      </c>
      <c r="B27" s="8">
        <v>45256.0</v>
      </c>
      <c r="C27" s="14">
        <v>62000.0</v>
      </c>
      <c r="D27" s="14">
        <v>35000.0</v>
      </c>
      <c r="E27" s="15"/>
      <c r="F27" s="15"/>
      <c r="G27" s="15"/>
      <c r="H27" s="15"/>
      <c r="I27" s="16">
        <v>1.0</v>
      </c>
      <c r="J27" s="12"/>
      <c r="K27" s="13"/>
      <c r="L27" s="9">
        <v>62000.0</v>
      </c>
      <c r="M27" s="36"/>
      <c r="N27" s="57"/>
      <c r="O27" s="1"/>
      <c r="P27" s="36"/>
      <c r="Q27" s="4"/>
      <c r="R27" s="4"/>
    </row>
    <row r="28">
      <c r="A28" s="7" t="s">
        <v>20</v>
      </c>
      <c r="B28" s="8">
        <v>45257.0</v>
      </c>
      <c r="C28" s="14">
        <v>43000.0</v>
      </c>
      <c r="D28" s="14">
        <v>36000.0</v>
      </c>
      <c r="E28" s="15"/>
      <c r="F28" s="15"/>
      <c r="G28" s="15"/>
      <c r="H28" s="15"/>
      <c r="I28" s="16">
        <v>1.0</v>
      </c>
      <c r="J28" s="12"/>
      <c r="K28" s="13"/>
      <c r="L28" s="9">
        <v>43000.0</v>
      </c>
      <c r="M28" s="30" t="s">
        <v>49</v>
      </c>
      <c r="N28" s="57"/>
      <c r="O28" s="36"/>
      <c r="P28" s="36"/>
      <c r="Q28" s="4"/>
      <c r="R28" s="4"/>
    </row>
    <row r="29">
      <c r="A29" s="7" t="s">
        <v>21</v>
      </c>
      <c r="B29" s="8">
        <v>45258.0</v>
      </c>
      <c r="C29" s="14">
        <v>34000.0</v>
      </c>
      <c r="D29" s="14">
        <v>35000.0</v>
      </c>
      <c r="E29" s="15"/>
      <c r="F29" s="15"/>
      <c r="G29" s="15"/>
      <c r="H29" s="15"/>
      <c r="I29" s="16">
        <v>1.0</v>
      </c>
      <c r="J29" s="12"/>
      <c r="K29" s="13"/>
      <c r="L29" s="9">
        <v>34000.0</v>
      </c>
      <c r="M29" s="58">
        <v>51000.0</v>
      </c>
      <c r="N29" s="27"/>
      <c r="O29" s="27"/>
      <c r="P29" s="4"/>
      <c r="Q29" s="4"/>
      <c r="R29" s="4"/>
    </row>
    <row r="30">
      <c r="A30" s="7" t="s">
        <v>9</v>
      </c>
      <c r="B30" s="8">
        <v>45259.0</v>
      </c>
      <c r="C30" s="14">
        <v>30000.0</v>
      </c>
      <c r="D30" s="14">
        <v>43000.0</v>
      </c>
      <c r="E30" s="15"/>
      <c r="F30" s="15"/>
      <c r="G30" s="15"/>
      <c r="H30" s="15"/>
      <c r="I30" s="16">
        <v>1.0</v>
      </c>
      <c r="J30" s="12"/>
      <c r="K30" s="13"/>
      <c r="L30" s="9">
        <v>30000.0</v>
      </c>
      <c r="M30" s="59" t="s">
        <v>50</v>
      </c>
      <c r="N30" s="4"/>
      <c r="O30" s="27"/>
      <c r="P30" s="4"/>
      <c r="Q30" s="4"/>
      <c r="R30" s="4"/>
    </row>
    <row r="31">
      <c r="A31" s="7" t="s">
        <v>10</v>
      </c>
      <c r="B31" s="8">
        <v>45260.0</v>
      </c>
      <c r="C31" s="14">
        <v>15000.0</v>
      </c>
      <c r="D31" s="14">
        <v>57000.0</v>
      </c>
      <c r="E31" s="15"/>
      <c r="F31" s="15"/>
      <c r="G31" s="15"/>
      <c r="H31" s="15"/>
      <c r="I31" s="16">
        <v>1.0</v>
      </c>
      <c r="J31" s="12"/>
      <c r="K31" s="13"/>
      <c r="L31" s="9">
        <v>15000.0</v>
      </c>
      <c r="M31" s="36"/>
      <c r="N31" s="4"/>
      <c r="O31" s="27"/>
      <c r="P31" s="4"/>
      <c r="Q31" s="4"/>
      <c r="R31" s="4"/>
    </row>
    <row r="32">
      <c r="A32" s="60"/>
      <c r="B32" s="61"/>
      <c r="C32" s="14">
        <v>48000.0</v>
      </c>
      <c r="D32" s="14">
        <v>0.0</v>
      </c>
      <c r="E32" s="15"/>
      <c r="F32" s="15"/>
      <c r="G32" s="15"/>
      <c r="H32" s="15"/>
      <c r="I32" s="15"/>
      <c r="J32" s="12"/>
      <c r="K32" s="13"/>
      <c r="L32" s="62">
        <v>48000.0</v>
      </c>
      <c r="M32" s="36"/>
      <c r="N32" s="4"/>
      <c r="O32" s="27"/>
      <c r="P32" s="4"/>
      <c r="Q32" s="4"/>
      <c r="R32" s="4"/>
    </row>
    <row r="33">
      <c r="A33" s="60"/>
      <c r="B33" s="61"/>
      <c r="C33" s="63">
        <f t="shared" ref="C33:D33" si="1">SUM(C2:C32)</f>
        <v>1264000</v>
      </c>
      <c r="D33" s="64">
        <f t="shared" si="1"/>
        <v>1254000</v>
      </c>
      <c r="E33" s="63">
        <f>'Les charges '!H308*1</f>
        <v>508730</v>
      </c>
      <c r="F33" s="63">
        <f>'Salaires '!J22*1</f>
        <v>304541.5</v>
      </c>
      <c r="G33" s="63">
        <v>110000.0</v>
      </c>
      <c r="H33" s="63">
        <f>D33-E33-F33-G33</f>
        <v>330728.5</v>
      </c>
      <c r="I33" s="65">
        <f>SUM(I2:I32)</f>
        <v>30</v>
      </c>
      <c r="J33" s="4"/>
      <c r="K33" s="13"/>
      <c r="L33" s="25">
        <f>SUM(L2:L32)</f>
        <v>1264000</v>
      </c>
      <c r="M33" s="36"/>
      <c r="N33" s="27"/>
      <c r="O33" s="27"/>
      <c r="P33" s="4"/>
      <c r="Q33" s="4"/>
      <c r="R33" s="4"/>
    </row>
    <row r="34">
      <c r="A34" s="4"/>
      <c r="B34" s="66"/>
      <c r="C34" s="27"/>
      <c r="D34" s="27"/>
      <c r="E34" s="4"/>
      <c r="F34" s="4"/>
      <c r="G34" s="4"/>
      <c r="H34" s="4"/>
      <c r="I34" s="4"/>
      <c r="J34" s="4"/>
      <c r="K34" s="27"/>
      <c r="L34" s="27"/>
      <c r="M34" s="36"/>
      <c r="N34" s="27"/>
      <c r="O34" s="27"/>
      <c r="P34" s="4"/>
      <c r="Q34" s="4"/>
      <c r="R34" s="4"/>
    </row>
    <row r="35">
      <c r="A35" s="4"/>
      <c r="B35" s="66"/>
      <c r="C35" s="27"/>
      <c r="D35" s="27"/>
      <c r="E35" s="27"/>
      <c r="F35" s="27"/>
      <c r="G35" s="27"/>
      <c r="H35" s="27"/>
      <c r="I35" s="4"/>
      <c r="J35" s="4"/>
      <c r="K35" s="27"/>
      <c r="L35" s="27"/>
      <c r="M35" s="32">
        <f>M11-M29-M34</f>
        <v>477270</v>
      </c>
      <c r="N35" s="4"/>
      <c r="O35" s="27"/>
      <c r="P35" s="4"/>
      <c r="Q35" s="4"/>
      <c r="R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>
      <c r="A38" s="4"/>
      <c r="B38" s="4"/>
      <c r="C38" s="4"/>
      <c r="D38" s="4" t="s">
        <v>51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5.38"/>
    <col customWidth="1" min="3" max="4" width="25.63"/>
    <col customWidth="1" min="5" max="5" width="25.38"/>
    <col customWidth="1" min="6" max="8" width="25.63"/>
    <col customWidth="1" min="9" max="9" width="25.38"/>
    <col customWidth="1" min="10" max="11" width="26.63"/>
    <col customWidth="1" min="12" max="13" width="25.38"/>
    <col customWidth="1" min="14" max="15" width="26.13"/>
    <col customWidth="1" min="16" max="16" width="39.63"/>
    <col customWidth="1" min="17" max="17" width="28.38"/>
    <col customWidth="1" min="18" max="18" width="77.63"/>
  </cols>
  <sheetData>
    <row r="1">
      <c r="A1" s="1"/>
      <c r="B1" s="2" t="s">
        <v>0</v>
      </c>
      <c r="C1" s="67" t="s">
        <v>52</v>
      </c>
      <c r="D1" s="68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69" t="s">
        <v>59</v>
      </c>
      <c r="K1" s="3" t="s">
        <v>60</v>
      </c>
      <c r="L1" s="69" t="s">
        <v>61</v>
      </c>
      <c r="M1" s="3" t="s">
        <v>62</v>
      </c>
      <c r="N1" s="69" t="s">
        <v>63</v>
      </c>
      <c r="O1" s="3" t="s">
        <v>64</v>
      </c>
      <c r="P1" s="69" t="s">
        <v>65</v>
      </c>
      <c r="Q1" s="69" t="s">
        <v>66</v>
      </c>
      <c r="R1" s="3" t="s">
        <v>67</v>
      </c>
      <c r="S1" s="4"/>
    </row>
    <row r="2">
      <c r="A2" s="7" t="s">
        <v>9</v>
      </c>
      <c r="B2" s="8">
        <v>45231.0</v>
      </c>
      <c r="C2" s="70">
        <v>1.0</v>
      </c>
      <c r="D2" s="16">
        <v>0.0</v>
      </c>
      <c r="E2" s="16">
        <v>0.0</v>
      </c>
      <c r="F2" s="16">
        <v>1.0</v>
      </c>
      <c r="G2" s="16">
        <v>1.0</v>
      </c>
      <c r="H2" s="16">
        <v>1.0</v>
      </c>
      <c r="I2" s="16">
        <v>1.0</v>
      </c>
      <c r="J2" s="16">
        <v>0.0</v>
      </c>
      <c r="K2" s="16">
        <v>1.0</v>
      </c>
      <c r="L2" s="16">
        <v>0.0</v>
      </c>
      <c r="M2" s="16">
        <v>1.5</v>
      </c>
      <c r="N2" s="16">
        <v>0.0</v>
      </c>
      <c r="O2" s="16">
        <v>1.0</v>
      </c>
      <c r="P2" s="16">
        <v>0.0</v>
      </c>
      <c r="Q2" s="16">
        <v>0.0</v>
      </c>
      <c r="R2" s="15"/>
      <c r="S2" s="12"/>
    </row>
    <row r="3">
      <c r="A3" s="7" t="s">
        <v>10</v>
      </c>
      <c r="B3" s="8">
        <v>45232.0</v>
      </c>
      <c r="C3" s="70">
        <v>2.0</v>
      </c>
      <c r="D3" s="16">
        <v>0.0</v>
      </c>
      <c r="E3" s="16">
        <v>0.0</v>
      </c>
      <c r="F3" s="16">
        <v>0.0</v>
      </c>
      <c r="G3" s="16">
        <v>1.0</v>
      </c>
      <c r="H3" s="16">
        <v>1.0</v>
      </c>
      <c r="I3" s="16">
        <v>1.0</v>
      </c>
      <c r="J3" s="16">
        <v>0.0</v>
      </c>
      <c r="K3" s="16">
        <v>1.0</v>
      </c>
      <c r="L3" s="16">
        <v>0.5</v>
      </c>
      <c r="M3" s="16">
        <v>1.5</v>
      </c>
      <c r="N3" s="16">
        <v>0.0</v>
      </c>
      <c r="O3" s="16">
        <v>1.0</v>
      </c>
      <c r="P3" s="16">
        <v>0.0</v>
      </c>
      <c r="Q3" s="16">
        <v>0.0</v>
      </c>
      <c r="R3" s="15"/>
      <c r="S3" s="12"/>
    </row>
    <row r="4">
      <c r="A4" s="20" t="s">
        <v>15</v>
      </c>
      <c r="B4" s="21">
        <v>45233.0</v>
      </c>
      <c r="C4" s="70">
        <v>2.0</v>
      </c>
      <c r="D4" s="16">
        <v>0.0</v>
      </c>
      <c r="E4" s="16">
        <v>0.0</v>
      </c>
      <c r="F4" s="16">
        <v>0.0</v>
      </c>
      <c r="G4" s="16">
        <v>1.0</v>
      </c>
      <c r="H4" s="16">
        <v>1.5</v>
      </c>
      <c r="I4" s="16">
        <v>1.5</v>
      </c>
      <c r="J4" s="16">
        <v>0.0</v>
      </c>
      <c r="K4" s="16">
        <v>0.0</v>
      </c>
      <c r="L4" s="16">
        <v>1.0</v>
      </c>
      <c r="M4" s="16">
        <v>0.0</v>
      </c>
      <c r="N4" s="16">
        <v>0.0</v>
      </c>
      <c r="O4" s="16">
        <v>0.0</v>
      </c>
      <c r="P4" s="16">
        <v>0.0</v>
      </c>
      <c r="Q4" s="16">
        <v>0.0</v>
      </c>
      <c r="R4" s="15"/>
      <c r="S4" s="12"/>
    </row>
    <row r="5">
      <c r="A5" s="7" t="s">
        <v>16</v>
      </c>
      <c r="B5" s="8">
        <v>45234.0</v>
      </c>
      <c r="C5" s="70">
        <v>2.0</v>
      </c>
      <c r="D5" s="16">
        <v>0.0</v>
      </c>
      <c r="E5" s="16">
        <v>0.0</v>
      </c>
      <c r="F5" s="16">
        <v>1.0</v>
      </c>
      <c r="G5" s="16">
        <v>1.0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16">
        <v>1.5</v>
      </c>
      <c r="N5" s="16">
        <v>0.0</v>
      </c>
      <c r="O5" s="16">
        <v>1.0</v>
      </c>
      <c r="P5" s="16">
        <v>1.0</v>
      </c>
      <c r="Q5" s="16">
        <v>0.0</v>
      </c>
      <c r="R5" s="10"/>
      <c r="S5" s="12"/>
    </row>
    <row r="6">
      <c r="A6" s="7" t="s">
        <v>17</v>
      </c>
      <c r="B6" s="8">
        <v>45235.0</v>
      </c>
      <c r="C6" s="70">
        <v>0.0</v>
      </c>
      <c r="D6" s="16">
        <v>1.0</v>
      </c>
      <c r="E6" s="16">
        <v>0.0</v>
      </c>
      <c r="F6" s="16">
        <v>0.25</v>
      </c>
      <c r="G6" s="16">
        <v>1.0</v>
      </c>
      <c r="H6" s="16">
        <v>0.0</v>
      </c>
      <c r="I6" s="16">
        <v>0.0</v>
      </c>
      <c r="J6" s="16">
        <v>0.0</v>
      </c>
      <c r="K6" s="16">
        <v>0.0</v>
      </c>
      <c r="L6" s="16">
        <v>1.0</v>
      </c>
      <c r="M6" s="16">
        <v>1.0</v>
      </c>
      <c r="N6" s="16">
        <v>0.0</v>
      </c>
      <c r="O6" s="16">
        <v>0.0</v>
      </c>
      <c r="P6" s="71">
        <v>1.0</v>
      </c>
      <c r="Q6" s="71">
        <v>0.0</v>
      </c>
      <c r="R6" s="72"/>
      <c r="S6" s="12"/>
    </row>
    <row r="7">
      <c r="A7" s="7" t="s">
        <v>20</v>
      </c>
      <c r="B7" s="8">
        <v>45236.0</v>
      </c>
      <c r="C7" s="70">
        <v>0.0</v>
      </c>
      <c r="D7" s="16">
        <v>1.0</v>
      </c>
      <c r="E7" s="16">
        <v>0.0</v>
      </c>
      <c r="F7" s="16">
        <v>1.0</v>
      </c>
      <c r="G7" s="16">
        <v>0.0</v>
      </c>
      <c r="H7" s="16">
        <v>1.0</v>
      </c>
      <c r="I7" s="16">
        <v>0.0</v>
      </c>
      <c r="J7" s="16">
        <v>0.0</v>
      </c>
      <c r="K7" s="16">
        <v>0.0</v>
      </c>
      <c r="L7" s="16">
        <v>1.0</v>
      </c>
      <c r="M7" s="16">
        <v>1.0</v>
      </c>
      <c r="N7" s="16">
        <v>0.0</v>
      </c>
      <c r="O7" s="16">
        <v>0.0</v>
      </c>
      <c r="P7" s="16">
        <v>1.0</v>
      </c>
      <c r="Q7" s="16">
        <v>0.0</v>
      </c>
      <c r="R7" s="10"/>
      <c r="S7" s="12"/>
    </row>
    <row r="8">
      <c r="A8" s="7" t="s">
        <v>21</v>
      </c>
      <c r="B8" s="8">
        <v>45237.0</v>
      </c>
      <c r="C8" s="70">
        <v>0.0</v>
      </c>
      <c r="D8" s="16">
        <v>1.0</v>
      </c>
      <c r="E8" s="16">
        <v>0.0</v>
      </c>
      <c r="F8" s="16">
        <v>0.5</v>
      </c>
      <c r="G8" s="16">
        <v>1.0</v>
      </c>
      <c r="H8" s="16">
        <v>0.0</v>
      </c>
      <c r="I8" s="16">
        <v>0.0</v>
      </c>
      <c r="J8" s="16">
        <v>0.0</v>
      </c>
      <c r="K8" s="16">
        <v>0.0</v>
      </c>
      <c r="L8" s="16">
        <v>1.0</v>
      </c>
      <c r="M8" s="16">
        <v>1.0</v>
      </c>
      <c r="N8" s="16">
        <v>0.0</v>
      </c>
      <c r="O8" s="16">
        <v>0.0</v>
      </c>
      <c r="P8" s="16">
        <v>1.0</v>
      </c>
      <c r="Q8" s="16">
        <v>0.0</v>
      </c>
      <c r="R8" s="10"/>
      <c r="S8" s="12"/>
    </row>
    <row r="9">
      <c r="A9" s="7" t="s">
        <v>9</v>
      </c>
      <c r="B9" s="8">
        <v>45238.0</v>
      </c>
      <c r="C9" s="70">
        <v>0.5</v>
      </c>
      <c r="D9" s="16">
        <v>1.0</v>
      </c>
      <c r="E9" s="16">
        <v>0.0</v>
      </c>
      <c r="F9" s="16">
        <v>0.0</v>
      </c>
      <c r="G9" s="16">
        <v>1.0</v>
      </c>
      <c r="H9" s="16">
        <v>0.0</v>
      </c>
      <c r="I9" s="16">
        <v>0.0</v>
      </c>
      <c r="J9" s="16"/>
      <c r="K9" s="16">
        <v>0.0</v>
      </c>
      <c r="L9" s="16">
        <v>1.0</v>
      </c>
      <c r="M9" s="16">
        <v>1.0</v>
      </c>
      <c r="N9" s="16">
        <v>0.0</v>
      </c>
      <c r="O9" s="16">
        <v>0.0</v>
      </c>
      <c r="P9" s="16">
        <v>1.0</v>
      </c>
      <c r="Q9" s="16">
        <v>0.0</v>
      </c>
      <c r="R9" s="15"/>
      <c r="S9" s="12"/>
    </row>
    <row r="10">
      <c r="A10" s="7" t="s">
        <v>10</v>
      </c>
      <c r="B10" s="8">
        <v>45239.0</v>
      </c>
      <c r="C10" s="70">
        <v>0.5</v>
      </c>
      <c r="D10" s="16">
        <v>1.0</v>
      </c>
      <c r="E10" s="16">
        <v>0.0</v>
      </c>
      <c r="F10" s="16">
        <v>0.0</v>
      </c>
      <c r="G10" s="16">
        <v>1.0</v>
      </c>
      <c r="H10" s="16">
        <v>0.0</v>
      </c>
      <c r="I10" s="16">
        <v>0.0</v>
      </c>
      <c r="J10" s="16">
        <v>0.75</v>
      </c>
      <c r="K10" s="16">
        <v>0.0</v>
      </c>
      <c r="L10" s="16">
        <v>1.0</v>
      </c>
      <c r="M10" s="16">
        <v>1.0</v>
      </c>
      <c r="N10" s="16">
        <v>0.0</v>
      </c>
      <c r="O10" s="16">
        <v>0.0</v>
      </c>
      <c r="P10" s="71">
        <v>1.0</v>
      </c>
      <c r="Q10" s="71">
        <v>0.0</v>
      </c>
      <c r="R10" s="72"/>
      <c r="S10" s="12"/>
    </row>
    <row r="11">
      <c r="A11" s="20" t="s">
        <v>15</v>
      </c>
      <c r="B11" s="21">
        <v>45240.0</v>
      </c>
      <c r="C11" s="70">
        <v>1.0</v>
      </c>
      <c r="D11" s="16">
        <v>0.0</v>
      </c>
      <c r="E11" s="16">
        <v>0.0</v>
      </c>
      <c r="F11" s="16">
        <v>0.0</v>
      </c>
      <c r="G11" s="16">
        <v>1.0</v>
      </c>
      <c r="H11" s="16">
        <v>1.0</v>
      </c>
      <c r="I11" s="16">
        <v>1.0</v>
      </c>
      <c r="J11" s="16">
        <v>0.0</v>
      </c>
      <c r="K11" s="16">
        <v>0.0</v>
      </c>
      <c r="L11" s="16">
        <v>1.0</v>
      </c>
      <c r="M11" s="16">
        <v>0.0</v>
      </c>
      <c r="N11" s="16">
        <v>0.0</v>
      </c>
      <c r="O11" s="16">
        <v>0.0</v>
      </c>
      <c r="P11" s="16">
        <v>0.0</v>
      </c>
      <c r="Q11" s="16">
        <v>0.0</v>
      </c>
      <c r="R11" s="15"/>
      <c r="S11" s="12"/>
    </row>
    <row r="12">
      <c r="A12" s="7" t="s">
        <v>16</v>
      </c>
      <c r="B12" s="8">
        <v>45241.0</v>
      </c>
      <c r="C12" s="70">
        <v>1.0</v>
      </c>
      <c r="D12" s="16">
        <v>0.0</v>
      </c>
      <c r="E12" s="16">
        <v>0.0</v>
      </c>
      <c r="F12" s="16">
        <v>1.0</v>
      </c>
      <c r="G12" s="16">
        <v>1.0</v>
      </c>
      <c r="H12" s="16">
        <v>0.0</v>
      </c>
      <c r="I12" s="16">
        <v>0.0</v>
      </c>
      <c r="J12" s="16">
        <v>1.0</v>
      </c>
      <c r="K12" s="16">
        <v>0.0</v>
      </c>
      <c r="L12" s="16">
        <v>1.5</v>
      </c>
      <c r="M12" s="16">
        <v>0.0</v>
      </c>
      <c r="N12" s="16">
        <v>0.0</v>
      </c>
      <c r="O12" s="16">
        <v>0.0</v>
      </c>
      <c r="P12" s="16">
        <v>1.0</v>
      </c>
      <c r="Q12" s="16">
        <v>0.0</v>
      </c>
      <c r="R12" s="10"/>
      <c r="S12" s="12"/>
    </row>
    <row r="13">
      <c r="A13" s="7" t="s">
        <v>17</v>
      </c>
      <c r="B13" s="8">
        <v>45242.0</v>
      </c>
      <c r="C13" s="70">
        <v>0.0</v>
      </c>
      <c r="D13" s="16">
        <v>1.0</v>
      </c>
      <c r="E13" s="16">
        <v>0.0</v>
      </c>
      <c r="F13" s="16">
        <v>0.5</v>
      </c>
      <c r="G13" s="16">
        <v>1.0</v>
      </c>
      <c r="H13" s="16">
        <v>0.0</v>
      </c>
      <c r="I13" s="16">
        <v>0.0</v>
      </c>
      <c r="J13" s="16">
        <v>1.0</v>
      </c>
      <c r="K13" s="16">
        <v>0.0</v>
      </c>
      <c r="L13" s="16">
        <v>0.0</v>
      </c>
      <c r="M13" s="16">
        <v>0.0</v>
      </c>
      <c r="N13" s="16">
        <v>0.0</v>
      </c>
      <c r="O13" s="16">
        <v>0.0</v>
      </c>
      <c r="P13" s="16">
        <v>1.0</v>
      </c>
      <c r="Q13" s="16">
        <v>1.0</v>
      </c>
      <c r="R13" s="10"/>
      <c r="S13" s="12"/>
    </row>
    <row r="14">
      <c r="A14" s="7" t="s">
        <v>20</v>
      </c>
      <c r="B14" s="8">
        <v>45243.0</v>
      </c>
      <c r="C14" s="70">
        <v>0.0</v>
      </c>
      <c r="D14" s="16">
        <v>1.0</v>
      </c>
      <c r="E14" s="16">
        <v>0.0</v>
      </c>
      <c r="F14" s="16">
        <v>1.0</v>
      </c>
      <c r="G14" s="16">
        <v>0.0</v>
      </c>
      <c r="H14" s="16">
        <v>1.0</v>
      </c>
      <c r="I14" s="16">
        <v>1.0</v>
      </c>
      <c r="J14" s="16">
        <v>1.0</v>
      </c>
      <c r="K14" s="16">
        <v>0.0</v>
      </c>
      <c r="L14" s="16">
        <v>1.0</v>
      </c>
      <c r="M14" s="16">
        <v>1.0</v>
      </c>
      <c r="N14" s="16">
        <v>0.0</v>
      </c>
      <c r="O14" s="16">
        <v>0.0</v>
      </c>
      <c r="P14" s="73">
        <v>1.0</v>
      </c>
      <c r="Q14" s="73">
        <v>1.0</v>
      </c>
      <c r="R14" s="10"/>
      <c r="S14" s="12"/>
    </row>
    <row r="15">
      <c r="A15" s="7" t="s">
        <v>21</v>
      </c>
      <c r="B15" s="8">
        <v>45244.0</v>
      </c>
      <c r="C15" s="70">
        <v>0.0</v>
      </c>
      <c r="D15" s="16">
        <v>1.0</v>
      </c>
      <c r="E15" s="16">
        <v>0.0</v>
      </c>
      <c r="F15" s="16">
        <v>0.5</v>
      </c>
      <c r="G15" s="16">
        <v>1.0</v>
      </c>
      <c r="H15" s="16">
        <v>0.0</v>
      </c>
      <c r="I15" s="16">
        <v>0.0</v>
      </c>
      <c r="J15" s="16">
        <v>1.0</v>
      </c>
      <c r="K15" s="16">
        <v>0.0</v>
      </c>
      <c r="L15" s="16">
        <v>1.0</v>
      </c>
      <c r="M15" s="16">
        <v>1.0</v>
      </c>
      <c r="N15" s="16">
        <v>0.0</v>
      </c>
      <c r="O15" s="16">
        <v>0.0</v>
      </c>
      <c r="P15" s="73">
        <v>1.0</v>
      </c>
      <c r="Q15" s="73">
        <v>1.0</v>
      </c>
      <c r="R15" s="72"/>
      <c r="S15" s="12"/>
    </row>
    <row r="16">
      <c r="A16" s="7" t="s">
        <v>9</v>
      </c>
      <c r="B16" s="8">
        <v>45245.0</v>
      </c>
      <c r="C16" s="74">
        <v>0.5</v>
      </c>
      <c r="D16" s="75">
        <v>1.0</v>
      </c>
      <c r="E16" s="75">
        <v>0.0</v>
      </c>
      <c r="F16" s="75">
        <v>1.0</v>
      </c>
      <c r="G16" s="75">
        <v>1.0</v>
      </c>
      <c r="H16" s="75">
        <v>0.0</v>
      </c>
      <c r="I16" s="75">
        <v>0.0</v>
      </c>
      <c r="J16" s="75">
        <v>0.0</v>
      </c>
      <c r="K16" s="75">
        <v>0.0</v>
      </c>
      <c r="L16" s="75">
        <v>0.0</v>
      </c>
      <c r="M16" s="75">
        <v>1.0</v>
      </c>
      <c r="N16" s="75">
        <v>0.0</v>
      </c>
      <c r="O16" s="75">
        <v>0.0</v>
      </c>
      <c r="P16" s="73">
        <v>1.0</v>
      </c>
      <c r="Q16" s="73">
        <v>1.0</v>
      </c>
      <c r="R16" s="15"/>
      <c r="S16" s="12"/>
    </row>
    <row r="17">
      <c r="A17" s="7" t="s">
        <v>10</v>
      </c>
      <c r="B17" s="8">
        <v>45246.0</v>
      </c>
      <c r="C17" s="70">
        <v>2.0</v>
      </c>
      <c r="D17" s="16">
        <v>1.0</v>
      </c>
      <c r="E17" s="16">
        <v>0.0</v>
      </c>
      <c r="F17" s="16">
        <v>0.0</v>
      </c>
      <c r="G17" s="16">
        <v>1.0</v>
      </c>
      <c r="H17" s="16">
        <v>0.0</v>
      </c>
      <c r="I17" s="16">
        <v>0.0</v>
      </c>
      <c r="J17" s="16">
        <v>1.0</v>
      </c>
      <c r="K17" s="16">
        <v>0.0</v>
      </c>
      <c r="L17" s="16">
        <v>0.0</v>
      </c>
      <c r="M17" s="16">
        <v>1.0</v>
      </c>
      <c r="N17" s="16">
        <v>0.0</v>
      </c>
      <c r="O17" s="16">
        <v>0.0</v>
      </c>
      <c r="P17" s="73">
        <v>1.0</v>
      </c>
      <c r="Q17" s="73">
        <v>1.0</v>
      </c>
      <c r="R17" s="15"/>
      <c r="S17" s="12"/>
    </row>
    <row r="18">
      <c r="A18" s="20" t="s">
        <v>15</v>
      </c>
      <c r="B18" s="45">
        <v>45247.0</v>
      </c>
      <c r="C18" s="70">
        <v>1.5</v>
      </c>
      <c r="D18" s="16">
        <v>0.0</v>
      </c>
      <c r="E18" s="16">
        <v>0.0</v>
      </c>
      <c r="F18" s="16">
        <v>0.0</v>
      </c>
      <c r="G18" s="16">
        <v>1.0</v>
      </c>
      <c r="H18" s="16">
        <v>1.0</v>
      </c>
      <c r="I18" s="16">
        <v>1.0</v>
      </c>
      <c r="J18" s="16">
        <v>1.0</v>
      </c>
      <c r="K18" s="16">
        <v>0.0</v>
      </c>
      <c r="L18" s="16">
        <v>0.0</v>
      </c>
      <c r="M18" s="16">
        <v>0.0</v>
      </c>
      <c r="N18" s="16">
        <v>0.0</v>
      </c>
      <c r="O18" s="16">
        <v>0.0</v>
      </c>
      <c r="P18" s="73">
        <v>0.0</v>
      </c>
      <c r="Q18" s="73">
        <v>0.0</v>
      </c>
      <c r="R18" s="15"/>
      <c r="S18" s="12"/>
    </row>
    <row r="19">
      <c r="A19" s="7" t="s">
        <v>16</v>
      </c>
      <c r="B19" s="8">
        <v>45248.0</v>
      </c>
      <c r="C19" s="70">
        <v>1.0</v>
      </c>
      <c r="D19" s="16">
        <v>0.0</v>
      </c>
      <c r="E19" s="16">
        <v>0.0</v>
      </c>
      <c r="F19" s="16">
        <v>0.0</v>
      </c>
      <c r="G19" s="16">
        <v>1.0</v>
      </c>
      <c r="H19" s="16">
        <v>0.0</v>
      </c>
      <c r="I19" s="16">
        <v>0.0</v>
      </c>
      <c r="J19" s="16">
        <v>0.0</v>
      </c>
      <c r="K19" s="16">
        <v>0.0</v>
      </c>
      <c r="L19" s="16">
        <v>0.0</v>
      </c>
      <c r="M19" s="16">
        <v>0.0</v>
      </c>
      <c r="N19" s="16">
        <v>0.0</v>
      </c>
      <c r="O19" s="16">
        <v>0.0</v>
      </c>
      <c r="P19" s="73">
        <v>1.0</v>
      </c>
      <c r="Q19" s="73">
        <v>1.0</v>
      </c>
      <c r="R19" s="15"/>
      <c r="S19" s="12"/>
    </row>
    <row r="20">
      <c r="A20" s="7" t="s">
        <v>17</v>
      </c>
      <c r="B20" s="8">
        <v>45249.0</v>
      </c>
      <c r="C20" s="70">
        <v>0.5</v>
      </c>
      <c r="D20" s="16">
        <v>1.0</v>
      </c>
      <c r="E20" s="16">
        <v>0.0</v>
      </c>
      <c r="F20" s="16">
        <v>1.0</v>
      </c>
      <c r="G20" s="16">
        <v>1.0</v>
      </c>
      <c r="H20" s="16">
        <v>1.0</v>
      </c>
      <c r="I20" s="16">
        <v>0.0</v>
      </c>
      <c r="J20" s="16">
        <v>0.0</v>
      </c>
      <c r="K20" s="16">
        <v>0.0</v>
      </c>
      <c r="L20" s="16">
        <v>0.0</v>
      </c>
      <c r="M20" s="16">
        <v>1.0</v>
      </c>
      <c r="N20" s="16">
        <v>0.0</v>
      </c>
      <c r="O20" s="16">
        <v>0.0</v>
      </c>
      <c r="P20" s="73">
        <v>1.0</v>
      </c>
      <c r="Q20" s="73">
        <v>1.0</v>
      </c>
      <c r="R20" s="15"/>
      <c r="S20" s="12"/>
    </row>
    <row r="21">
      <c r="A21" s="7" t="s">
        <v>20</v>
      </c>
      <c r="B21" s="8">
        <v>45250.0</v>
      </c>
      <c r="C21" s="70">
        <v>0.0</v>
      </c>
      <c r="D21" s="16">
        <v>1.0</v>
      </c>
      <c r="E21" s="16">
        <v>1.0</v>
      </c>
      <c r="F21" s="16">
        <v>0.5</v>
      </c>
      <c r="G21" s="16">
        <v>0.0</v>
      </c>
      <c r="H21" s="16">
        <v>0.0</v>
      </c>
      <c r="I21" s="16">
        <v>1.0</v>
      </c>
      <c r="J21" s="16">
        <v>0.0</v>
      </c>
      <c r="K21" s="16">
        <v>0.0</v>
      </c>
      <c r="L21" s="16">
        <v>0.0</v>
      </c>
      <c r="M21" s="16">
        <v>0.0</v>
      </c>
      <c r="N21" s="16">
        <v>1.0</v>
      </c>
      <c r="O21" s="16">
        <v>0.0</v>
      </c>
      <c r="P21" s="73">
        <v>1.0</v>
      </c>
      <c r="Q21" s="73">
        <v>1.0</v>
      </c>
      <c r="R21" s="10"/>
      <c r="S21" s="12"/>
    </row>
    <row r="22">
      <c r="A22" s="7" t="s">
        <v>21</v>
      </c>
      <c r="B22" s="8">
        <v>45251.0</v>
      </c>
      <c r="C22" s="70">
        <v>0.0</v>
      </c>
      <c r="D22" s="16">
        <v>1.0</v>
      </c>
      <c r="E22" s="16">
        <v>1.0</v>
      </c>
      <c r="F22" s="16">
        <v>0.5</v>
      </c>
      <c r="G22" s="16">
        <v>1.0</v>
      </c>
      <c r="H22" s="16">
        <v>0.0</v>
      </c>
      <c r="I22" s="16">
        <v>0.0</v>
      </c>
      <c r="J22" s="16">
        <v>0.0</v>
      </c>
      <c r="K22" s="16">
        <v>0.0</v>
      </c>
      <c r="L22" s="16">
        <v>0.0</v>
      </c>
      <c r="M22" s="16">
        <v>1.0</v>
      </c>
      <c r="N22" s="16">
        <v>0.0</v>
      </c>
      <c r="O22" s="16">
        <v>0.0</v>
      </c>
      <c r="P22" s="73">
        <v>1.0</v>
      </c>
      <c r="Q22" s="73">
        <v>1.0</v>
      </c>
      <c r="R22" s="10"/>
      <c r="S22" s="12"/>
    </row>
    <row r="23">
      <c r="A23" s="7" t="s">
        <v>9</v>
      </c>
      <c r="B23" s="8">
        <v>45252.0</v>
      </c>
      <c r="C23" s="70">
        <v>1.0</v>
      </c>
      <c r="D23" s="16">
        <v>1.0</v>
      </c>
      <c r="E23" s="16">
        <v>1.0</v>
      </c>
      <c r="F23" s="16">
        <v>1.0</v>
      </c>
      <c r="G23" s="16">
        <v>1.0</v>
      </c>
      <c r="H23" s="16">
        <v>0.0</v>
      </c>
      <c r="I23" s="16">
        <v>0.0</v>
      </c>
      <c r="J23" s="16">
        <v>0.0</v>
      </c>
      <c r="K23" s="16">
        <v>0.0</v>
      </c>
      <c r="L23" s="16">
        <v>0.0</v>
      </c>
      <c r="M23" s="16">
        <v>1.0</v>
      </c>
      <c r="N23" s="16">
        <v>1.0</v>
      </c>
      <c r="O23" s="16">
        <v>0.0</v>
      </c>
      <c r="P23" s="73">
        <v>1.0</v>
      </c>
      <c r="Q23" s="73">
        <v>1.0</v>
      </c>
      <c r="R23" s="10"/>
      <c r="S23" s="12"/>
    </row>
    <row r="24">
      <c r="A24" s="7" t="s">
        <v>10</v>
      </c>
      <c r="B24" s="8">
        <v>45253.0</v>
      </c>
      <c r="C24" s="70">
        <v>0.0</v>
      </c>
      <c r="D24" s="16">
        <v>1.0</v>
      </c>
      <c r="E24" s="16">
        <v>1.0</v>
      </c>
      <c r="F24" s="16">
        <v>0.0</v>
      </c>
      <c r="G24" s="16">
        <v>1.0</v>
      </c>
      <c r="H24" s="16">
        <v>0.0</v>
      </c>
      <c r="I24" s="16">
        <v>0.0</v>
      </c>
      <c r="J24" s="16">
        <v>0.0</v>
      </c>
      <c r="K24" s="16">
        <v>0.0</v>
      </c>
      <c r="L24" s="16">
        <v>0.0</v>
      </c>
      <c r="M24" s="16">
        <v>0.0</v>
      </c>
      <c r="N24" s="16">
        <v>0.0</v>
      </c>
      <c r="O24" s="16">
        <v>0.0</v>
      </c>
      <c r="P24" s="73">
        <v>1.0</v>
      </c>
      <c r="Q24" s="73">
        <v>1.0</v>
      </c>
      <c r="R24" s="16" t="s">
        <v>68</v>
      </c>
      <c r="S24" s="12"/>
    </row>
    <row r="25">
      <c r="A25" s="20" t="s">
        <v>15</v>
      </c>
      <c r="B25" s="21">
        <v>45254.0</v>
      </c>
      <c r="C25" s="70">
        <v>1.0</v>
      </c>
      <c r="D25" s="16">
        <v>0.0</v>
      </c>
      <c r="E25" s="16">
        <v>0.0</v>
      </c>
      <c r="F25" s="16">
        <v>0.0</v>
      </c>
      <c r="G25" s="16">
        <v>1.0</v>
      </c>
      <c r="H25" s="16">
        <v>0.0</v>
      </c>
      <c r="I25" s="16">
        <v>1.0</v>
      </c>
      <c r="J25" s="16">
        <v>0.0</v>
      </c>
      <c r="K25" s="16">
        <v>0.0</v>
      </c>
      <c r="L25" s="16">
        <v>0.0</v>
      </c>
      <c r="M25" s="16">
        <v>0.0</v>
      </c>
      <c r="N25" s="16">
        <v>1.0</v>
      </c>
      <c r="O25" s="16">
        <v>0.0</v>
      </c>
      <c r="P25" s="73">
        <v>0.0</v>
      </c>
      <c r="Q25" s="73">
        <v>0.0</v>
      </c>
      <c r="R25" s="10"/>
      <c r="S25" s="12"/>
    </row>
    <row r="26">
      <c r="A26" s="7" t="s">
        <v>16</v>
      </c>
      <c r="B26" s="8">
        <v>45255.0</v>
      </c>
      <c r="C26" s="70">
        <v>1.0</v>
      </c>
      <c r="D26" s="16">
        <v>0.0</v>
      </c>
      <c r="E26" s="16">
        <v>0.0</v>
      </c>
      <c r="F26" s="16">
        <v>1.0</v>
      </c>
      <c r="G26" s="16">
        <v>1.0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>
        <v>1.0</v>
      </c>
      <c r="N26" s="16">
        <v>1.0</v>
      </c>
      <c r="O26" s="16">
        <v>0.0</v>
      </c>
      <c r="P26" s="73">
        <v>1.0</v>
      </c>
      <c r="Q26" s="73">
        <v>1.0</v>
      </c>
      <c r="R26" s="72"/>
      <c r="S26" s="12"/>
    </row>
    <row r="27">
      <c r="A27" s="7" t="s">
        <v>17</v>
      </c>
      <c r="B27" s="8">
        <v>45256.0</v>
      </c>
      <c r="C27" s="70">
        <v>0.0</v>
      </c>
      <c r="D27" s="16">
        <v>1.0</v>
      </c>
      <c r="E27" s="16">
        <v>1.0</v>
      </c>
      <c r="F27" s="16">
        <v>1.0</v>
      </c>
      <c r="G27" s="16">
        <v>1.0</v>
      </c>
      <c r="H27" s="16">
        <v>1.0</v>
      </c>
      <c r="I27" s="16">
        <v>0.0</v>
      </c>
      <c r="J27" s="16">
        <v>0.0</v>
      </c>
      <c r="K27" s="16">
        <v>0.0</v>
      </c>
      <c r="L27" s="16">
        <v>0.0</v>
      </c>
      <c r="M27" s="16">
        <v>1.0</v>
      </c>
      <c r="N27" s="16">
        <v>0.0</v>
      </c>
      <c r="O27" s="16">
        <v>0.0</v>
      </c>
      <c r="P27" s="73">
        <v>1.0</v>
      </c>
      <c r="Q27" s="73">
        <v>1.0</v>
      </c>
      <c r="R27" s="10"/>
      <c r="S27" s="12"/>
    </row>
    <row r="28">
      <c r="A28" s="7" t="s">
        <v>20</v>
      </c>
      <c r="B28" s="8">
        <v>45257.0</v>
      </c>
      <c r="C28" s="70">
        <v>0.5</v>
      </c>
      <c r="D28" s="16">
        <v>1.0</v>
      </c>
      <c r="E28" s="16">
        <v>1.0</v>
      </c>
      <c r="F28" s="16">
        <v>1.0</v>
      </c>
      <c r="G28" s="16">
        <v>0.0</v>
      </c>
      <c r="H28" s="16">
        <v>0.0</v>
      </c>
      <c r="I28" s="16">
        <v>1.0</v>
      </c>
      <c r="J28" s="16">
        <v>0.0</v>
      </c>
      <c r="K28" s="16">
        <v>0.0</v>
      </c>
      <c r="L28" s="16">
        <v>0.0</v>
      </c>
      <c r="M28" s="16">
        <v>1.0</v>
      </c>
      <c r="N28" s="16">
        <v>1.0</v>
      </c>
      <c r="O28" s="16">
        <v>0.0</v>
      </c>
      <c r="P28" s="73">
        <v>1.0</v>
      </c>
      <c r="Q28" s="73">
        <v>1.0</v>
      </c>
      <c r="R28" s="10"/>
      <c r="S28" s="12"/>
    </row>
    <row r="29">
      <c r="A29" s="7" t="s">
        <v>21</v>
      </c>
      <c r="B29" s="8">
        <v>45258.0</v>
      </c>
      <c r="C29" s="70">
        <v>0.0</v>
      </c>
      <c r="D29" s="16">
        <v>1.0</v>
      </c>
      <c r="E29" s="16">
        <v>0.0</v>
      </c>
      <c r="F29" s="16">
        <v>0.0</v>
      </c>
      <c r="G29" s="16">
        <v>1.0</v>
      </c>
      <c r="H29" s="16">
        <v>0.0</v>
      </c>
      <c r="I29" s="16">
        <v>0.0</v>
      </c>
      <c r="J29" s="16">
        <v>0.0</v>
      </c>
      <c r="K29" s="16">
        <v>0.0</v>
      </c>
      <c r="L29" s="16">
        <v>0.0</v>
      </c>
      <c r="M29" s="16">
        <v>1.0</v>
      </c>
      <c r="N29" s="16">
        <v>0.0</v>
      </c>
      <c r="O29" s="16">
        <v>0.0</v>
      </c>
      <c r="P29" s="73">
        <v>1.0</v>
      </c>
      <c r="Q29" s="73">
        <v>1.0</v>
      </c>
      <c r="R29" s="10"/>
      <c r="S29" s="12"/>
    </row>
    <row r="30">
      <c r="A30" s="7" t="s">
        <v>9</v>
      </c>
      <c r="B30" s="8">
        <v>45259.0</v>
      </c>
      <c r="C30" s="70">
        <v>0.0</v>
      </c>
      <c r="D30" s="16">
        <v>1.0</v>
      </c>
      <c r="E30" s="16">
        <v>1.0</v>
      </c>
      <c r="F30" s="16">
        <v>1.0</v>
      </c>
      <c r="G30" s="16">
        <v>1.0</v>
      </c>
      <c r="H30" s="16">
        <v>0.0</v>
      </c>
      <c r="I30" s="16">
        <v>0.0</v>
      </c>
      <c r="J30" s="16">
        <v>0.0</v>
      </c>
      <c r="K30" s="16">
        <v>0.0</v>
      </c>
      <c r="L30" s="16">
        <v>0.0</v>
      </c>
      <c r="M30" s="16">
        <v>1.0</v>
      </c>
      <c r="N30" s="16">
        <v>0.0</v>
      </c>
      <c r="O30" s="16">
        <v>0.0</v>
      </c>
      <c r="P30" s="73">
        <v>1.0</v>
      </c>
      <c r="Q30" s="73">
        <v>1.0</v>
      </c>
      <c r="R30" s="10"/>
      <c r="S30" s="12"/>
    </row>
    <row r="31">
      <c r="A31" s="7" t="s">
        <v>10</v>
      </c>
      <c r="B31" s="8">
        <v>45260.0</v>
      </c>
      <c r="C31" s="70">
        <v>0.0</v>
      </c>
      <c r="D31" s="16">
        <v>1.0</v>
      </c>
      <c r="E31" s="16">
        <v>1.0</v>
      </c>
      <c r="F31" s="16">
        <v>0.0</v>
      </c>
      <c r="G31" s="16">
        <v>1.0</v>
      </c>
      <c r="H31" s="16">
        <v>0.0</v>
      </c>
      <c r="I31" s="16">
        <v>1.0</v>
      </c>
      <c r="J31" s="16">
        <v>0.0</v>
      </c>
      <c r="K31" s="16">
        <v>0.0</v>
      </c>
      <c r="L31" s="16">
        <v>0.0</v>
      </c>
      <c r="M31" s="16">
        <v>1.0</v>
      </c>
      <c r="N31" s="16">
        <v>1.0</v>
      </c>
      <c r="O31" s="16">
        <v>0.0</v>
      </c>
      <c r="P31" s="73">
        <v>1.0</v>
      </c>
      <c r="Q31" s="73">
        <v>1.0</v>
      </c>
      <c r="R31" s="10"/>
      <c r="S31" s="12"/>
    </row>
    <row r="32">
      <c r="C32" s="76">
        <f t="shared" ref="C32:Q32" si="1">SUM(C2:C31)</f>
        <v>19</v>
      </c>
      <c r="D32" s="77">
        <f t="shared" si="1"/>
        <v>20</v>
      </c>
      <c r="E32" s="77">
        <f t="shared" si="1"/>
        <v>8</v>
      </c>
      <c r="F32" s="77">
        <f t="shared" si="1"/>
        <v>14.75</v>
      </c>
      <c r="G32" s="77">
        <f t="shared" si="1"/>
        <v>26</v>
      </c>
      <c r="H32" s="77">
        <f t="shared" si="1"/>
        <v>9.5</v>
      </c>
      <c r="I32" s="77">
        <f t="shared" si="1"/>
        <v>10.5</v>
      </c>
      <c r="J32" s="77">
        <f t="shared" si="1"/>
        <v>6.75</v>
      </c>
      <c r="K32" s="77">
        <f t="shared" si="1"/>
        <v>2</v>
      </c>
      <c r="L32" s="77">
        <f t="shared" si="1"/>
        <v>11</v>
      </c>
      <c r="M32" s="77">
        <f t="shared" si="1"/>
        <v>22.5</v>
      </c>
      <c r="N32" s="77">
        <f t="shared" si="1"/>
        <v>6</v>
      </c>
      <c r="O32" s="77">
        <f t="shared" si="1"/>
        <v>3</v>
      </c>
      <c r="P32" s="78">
        <f t="shared" si="1"/>
        <v>24</v>
      </c>
      <c r="Q32" s="78">
        <f t="shared" si="1"/>
        <v>17</v>
      </c>
      <c r="R32" s="10"/>
      <c r="S32" s="12"/>
    </row>
    <row r="33">
      <c r="C33" s="79">
        <v>1300.0</v>
      </c>
      <c r="D33" s="80">
        <v>1400.0</v>
      </c>
      <c r="E33" s="80">
        <v>1270.0</v>
      </c>
      <c r="F33" s="80">
        <v>1270.0</v>
      </c>
      <c r="G33" s="80">
        <v>1154.0</v>
      </c>
      <c r="H33" s="80">
        <v>1154.0</v>
      </c>
      <c r="I33" s="80">
        <v>1154.0</v>
      </c>
      <c r="J33" s="81">
        <v>1500.0</v>
      </c>
      <c r="K33" s="81">
        <v>1000.0</v>
      </c>
      <c r="L33" s="81">
        <v>1400.0</v>
      </c>
      <c r="M33" s="81">
        <v>1270.0</v>
      </c>
      <c r="N33" s="81">
        <v>1200.0</v>
      </c>
      <c r="O33" s="81">
        <v>1080.0</v>
      </c>
      <c r="P33" s="82">
        <v>1100.0</v>
      </c>
      <c r="Q33" s="82">
        <v>1000.0</v>
      </c>
      <c r="R33" s="13"/>
      <c r="S33" s="12"/>
    </row>
    <row r="34">
      <c r="C34" s="83">
        <f>C32*C33</f>
        <v>24700</v>
      </c>
      <c r="D34" s="84">
        <f t="shared" ref="D34:J34" si="2">D33*D32</f>
        <v>28000</v>
      </c>
      <c r="E34" s="84">
        <f t="shared" si="2"/>
        <v>10160</v>
      </c>
      <c r="F34" s="84">
        <f t="shared" si="2"/>
        <v>18732.5</v>
      </c>
      <c r="G34" s="84">
        <f t="shared" si="2"/>
        <v>30004</v>
      </c>
      <c r="H34" s="84">
        <f t="shared" si="2"/>
        <v>10963</v>
      </c>
      <c r="I34" s="84">
        <f t="shared" si="2"/>
        <v>12117</v>
      </c>
      <c r="J34" s="85">
        <f t="shared" si="2"/>
        <v>10125</v>
      </c>
      <c r="K34" s="85">
        <f t="shared" ref="K34:N34" si="3">K32*K33</f>
        <v>2000</v>
      </c>
      <c r="L34" s="85">
        <f t="shared" si="3"/>
        <v>15400</v>
      </c>
      <c r="M34" s="85">
        <f t="shared" si="3"/>
        <v>28575</v>
      </c>
      <c r="N34" s="85">
        <f t="shared" si="3"/>
        <v>7200</v>
      </c>
      <c r="O34" s="85">
        <f t="shared" ref="O34:P34" si="4">O33*O32</f>
        <v>3240</v>
      </c>
      <c r="P34" s="86">
        <f t="shared" si="4"/>
        <v>26400</v>
      </c>
      <c r="Q34" s="86">
        <f>Q32*Q33</f>
        <v>17000</v>
      </c>
      <c r="R34" s="87">
        <f>SUM(D34:I34)</f>
        <v>109976.5</v>
      </c>
      <c r="S34" s="4"/>
    </row>
    <row r="35">
      <c r="B35" s="88" t="s">
        <v>69</v>
      </c>
      <c r="C35" s="89">
        <v>33000.0</v>
      </c>
      <c r="D35" s="89">
        <v>36000.0</v>
      </c>
      <c r="E35" s="89">
        <v>33000.0</v>
      </c>
      <c r="F35" s="89">
        <v>33000.0</v>
      </c>
      <c r="G35" s="89">
        <v>30000.0</v>
      </c>
      <c r="H35" s="89">
        <v>28000.0</v>
      </c>
      <c r="I35" s="89">
        <v>28000.0</v>
      </c>
      <c r="J35" s="89">
        <v>40000.0</v>
      </c>
      <c r="K35" s="89">
        <v>26000.0</v>
      </c>
      <c r="L35" s="89">
        <v>36000.0</v>
      </c>
      <c r="M35" s="89">
        <v>33000.0</v>
      </c>
      <c r="N35" s="89"/>
      <c r="O35" s="90">
        <v>28000.0</v>
      </c>
      <c r="P35" s="91">
        <v>28000.0</v>
      </c>
      <c r="Q35" s="91">
        <v>26000.0</v>
      </c>
      <c r="R35" s="4"/>
      <c r="S35" s="4"/>
    </row>
    <row r="36">
      <c r="C36" s="4"/>
      <c r="D36" s="92">
        <v>31000.0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5.63"/>
    <col customWidth="1" min="6" max="6" width="25.63"/>
    <col customWidth="1" min="7" max="7" width="25.38"/>
    <col customWidth="1" min="8" max="8" width="24.88"/>
    <col customWidth="1" min="9" max="9" width="38.13"/>
  </cols>
  <sheetData>
    <row r="3">
      <c r="E3" s="93" t="s">
        <v>70</v>
      </c>
      <c r="F3" s="94" t="s">
        <v>71</v>
      </c>
      <c r="G3" s="94" t="s">
        <v>72</v>
      </c>
      <c r="H3" s="94" t="s">
        <v>73</v>
      </c>
      <c r="I3" s="94" t="s">
        <v>74</v>
      </c>
    </row>
    <row r="4">
      <c r="E4" s="7" t="s">
        <v>75</v>
      </c>
      <c r="F4" s="37">
        <v>1.0</v>
      </c>
      <c r="G4" s="37">
        <v>250.0</v>
      </c>
      <c r="H4" s="32">
        <f t="shared" ref="H4:H26" si="1">F4*G4</f>
        <v>250</v>
      </c>
      <c r="I4" s="95"/>
    </row>
    <row r="5">
      <c r="E5" s="7" t="s">
        <v>76</v>
      </c>
      <c r="F5" s="37">
        <v>3.0</v>
      </c>
      <c r="G5" s="37">
        <v>200.0</v>
      </c>
      <c r="H5" s="32">
        <f t="shared" si="1"/>
        <v>600</v>
      </c>
      <c r="I5" s="96"/>
    </row>
    <row r="6">
      <c r="E6" s="7" t="s">
        <v>77</v>
      </c>
      <c r="F6" s="37">
        <v>335.0</v>
      </c>
      <c r="G6" s="37">
        <v>60.0</v>
      </c>
      <c r="H6" s="32">
        <f t="shared" si="1"/>
        <v>20100</v>
      </c>
      <c r="I6" s="96"/>
    </row>
    <row r="7">
      <c r="E7" s="7" t="s">
        <v>78</v>
      </c>
      <c r="F7" s="37">
        <v>12.0</v>
      </c>
      <c r="G7" s="37">
        <v>75.0</v>
      </c>
      <c r="H7" s="32">
        <f t="shared" si="1"/>
        <v>900</v>
      </c>
      <c r="I7" s="96"/>
    </row>
    <row r="8">
      <c r="E8" s="7" t="s">
        <v>79</v>
      </c>
      <c r="F8" s="37">
        <v>27.0</v>
      </c>
      <c r="G8" s="37">
        <v>90.0</v>
      </c>
      <c r="H8" s="32">
        <f t="shared" si="1"/>
        <v>2430</v>
      </c>
      <c r="I8" s="96"/>
    </row>
    <row r="9">
      <c r="E9" s="7" t="s">
        <v>80</v>
      </c>
      <c r="F9" s="97">
        <v>24.0</v>
      </c>
      <c r="G9" s="97">
        <v>260.0</v>
      </c>
      <c r="H9" s="32">
        <f t="shared" si="1"/>
        <v>6240</v>
      </c>
      <c r="I9" s="96"/>
    </row>
    <row r="10">
      <c r="E10" s="7" t="s">
        <v>81</v>
      </c>
      <c r="F10" s="37">
        <v>1.0</v>
      </c>
      <c r="G10" s="37">
        <v>650.0</v>
      </c>
      <c r="H10" s="32">
        <f t="shared" si="1"/>
        <v>650</v>
      </c>
      <c r="I10" s="96"/>
    </row>
    <row r="11">
      <c r="E11" s="7" t="s">
        <v>82</v>
      </c>
      <c r="F11" s="37">
        <v>2.0</v>
      </c>
      <c r="G11" s="37">
        <v>1100.0</v>
      </c>
      <c r="H11" s="32">
        <f t="shared" si="1"/>
        <v>2200</v>
      </c>
      <c r="I11" s="96"/>
    </row>
    <row r="12">
      <c r="E12" s="7" t="s">
        <v>83</v>
      </c>
      <c r="F12" s="37">
        <v>16.0</v>
      </c>
      <c r="G12" s="37">
        <v>115.0</v>
      </c>
      <c r="H12" s="32">
        <f t="shared" si="1"/>
        <v>1840</v>
      </c>
      <c r="I12" s="96"/>
    </row>
    <row r="13">
      <c r="E13" s="7" t="s">
        <v>84</v>
      </c>
      <c r="F13" s="37">
        <v>14.0</v>
      </c>
      <c r="G13" s="37">
        <v>200.0</v>
      </c>
      <c r="H13" s="32">
        <f t="shared" si="1"/>
        <v>2800</v>
      </c>
      <c r="I13" s="96"/>
    </row>
    <row r="14">
      <c r="E14" s="7" t="s">
        <v>85</v>
      </c>
      <c r="F14" s="37">
        <v>4.3</v>
      </c>
      <c r="G14" s="37">
        <v>1800.0</v>
      </c>
      <c r="H14" s="32">
        <f t="shared" si="1"/>
        <v>7740</v>
      </c>
      <c r="I14" s="96"/>
    </row>
    <row r="15">
      <c r="E15" s="7" t="s">
        <v>86</v>
      </c>
      <c r="F15" s="97">
        <v>8.0</v>
      </c>
      <c r="G15" s="37">
        <v>1880.0</v>
      </c>
      <c r="H15" s="32">
        <f t="shared" si="1"/>
        <v>15040</v>
      </c>
      <c r="I15" s="96"/>
    </row>
    <row r="16">
      <c r="E16" s="7" t="s">
        <v>87</v>
      </c>
      <c r="F16" s="37">
        <v>5.0</v>
      </c>
      <c r="G16" s="37">
        <v>650.0</v>
      </c>
      <c r="H16" s="32">
        <f t="shared" si="1"/>
        <v>3250</v>
      </c>
      <c r="I16" s="96"/>
    </row>
    <row r="17">
      <c r="E17" s="7" t="s">
        <v>88</v>
      </c>
      <c r="F17" s="97">
        <v>5.0</v>
      </c>
      <c r="G17" s="37">
        <v>350.0</v>
      </c>
      <c r="H17" s="32">
        <f t="shared" si="1"/>
        <v>1750</v>
      </c>
      <c r="I17" s="96"/>
    </row>
    <row r="18">
      <c r="E18" s="7" t="s">
        <v>89</v>
      </c>
      <c r="F18" s="37">
        <v>1.0</v>
      </c>
      <c r="G18" s="37">
        <v>1000.0</v>
      </c>
      <c r="H18" s="32">
        <f t="shared" si="1"/>
        <v>1000</v>
      </c>
      <c r="I18" s="96"/>
    </row>
    <row r="19">
      <c r="E19" s="7" t="s">
        <v>90</v>
      </c>
      <c r="F19" s="37">
        <v>5.0</v>
      </c>
      <c r="G19" s="37">
        <v>100.0</v>
      </c>
      <c r="H19" s="32">
        <f t="shared" si="1"/>
        <v>500</v>
      </c>
      <c r="I19" s="96"/>
    </row>
    <row r="20">
      <c r="E20" s="7" t="s">
        <v>91</v>
      </c>
      <c r="F20" s="37">
        <v>1.0</v>
      </c>
      <c r="G20" s="37">
        <v>850.0</v>
      </c>
      <c r="H20" s="32">
        <f t="shared" si="1"/>
        <v>850</v>
      </c>
      <c r="I20" s="96"/>
    </row>
    <row r="21">
      <c r="E21" s="7" t="s">
        <v>92</v>
      </c>
      <c r="F21" s="37">
        <v>4.0</v>
      </c>
      <c r="G21" s="37">
        <v>250.0</v>
      </c>
      <c r="H21" s="32">
        <f t="shared" si="1"/>
        <v>1000</v>
      </c>
      <c r="I21" s="96"/>
    </row>
    <row r="22">
      <c r="E22" s="7" t="s">
        <v>93</v>
      </c>
      <c r="F22" s="37">
        <v>1.0</v>
      </c>
      <c r="G22" s="37">
        <v>1000.0</v>
      </c>
      <c r="H22" s="32">
        <f t="shared" si="1"/>
        <v>1000</v>
      </c>
      <c r="I22" s="96"/>
    </row>
    <row r="23">
      <c r="E23" s="7" t="s">
        <v>94</v>
      </c>
      <c r="F23" s="37">
        <v>1.0</v>
      </c>
      <c r="G23" s="37">
        <v>700.0</v>
      </c>
      <c r="H23" s="32">
        <f t="shared" si="1"/>
        <v>700</v>
      </c>
      <c r="I23" s="96"/>
    </row>
    <row r="24">
      <c r="E24" s="98" t="s">
        <v>95</v>
      </c>
      <c r="F24" s="99">
        <v>1.0</v>
      </c>
      <c r="G24" s="100">
        <v>11000.0</v>
      </c>
      <c r="H24" s="101">
        <f t="shared" si="1"/>
        <v>11000</v>
      </c>
      <c r="I24" s="96"/>
    </row>
    <row r="25">
      <c r="E25" s="102" t="s">
        <v>96</v>
      </c>
      <c r="F25" s="103">
        <v>1.0</v>
      </c>
      <c r="G25" s="103">
        <v>37000.0</v>
      </c>
      <c r="H25" s="56">
        <f t="shared" si="1"/>
        <v>37000</v>
      </c>
      <c r="I25" s="96"/>
    </row>
    <row r="26">
      <c r="E26" s="104" t="s">
        <v>97</v>
      </c>
      <c r="F26" s="105">
        <v>100.0</v>
      </c>
      <c r="G26" s="105">
        <v>40.0</v>
      </c>
      <c r="H26" s="101">
        <f t="shared" si="1"/>
        <v>4000</v>
      </c>
      <c r="I26" s="96"/>
    </row>
    <row r="27">
      <c r="E27" s="104"/>
      <c r="F27" s="105"/>
      <c r="G27" s="105"/>
      <c r="H27" s="101"/>
      <c r="I27" s="96"/>
    </row>
    <row r="28">
      <c r="E28" s="104"/>
      <c r="F28" s="105"/>
      <c r="G28" s="105"/>
      <c r="H28" s="101"/>
      <c r="I28" s="96"/>
    </row>
    <row r="29">
      <c r="E29" s="104"/>
      <c r="F29" s="105"/>
      <c r="G29" s="105"/>
      <c r="H29" s="101"/>
      <c r="I29" s="96"/>
    </row>
    <row r="30">
      <c r="E30" s="106" t="s">
        <v>98</v>
      </c>
      <c r="F30" s="37">
        <v>12.0</v>
      </c>
      <c r="G30" s="37">
        <v>60.0</v>
      </c>
      <c r="H30" s="32">
        <f t="shared" ref="H30:H37" si="2">F30*G30</f>
        <v>720</v>
      </c>
      <c r="I30" s="96"/>
    </row>
    <row r="31">
      <c r="E31" s="106" t="s">
        <v>99</v>
      </c>
      <c r="F31" s="51">
        <v>8.0</v>
      </c>
      <c r="G31" s="37">
        <v>500.0</v>
      </c>
      <c r="H31" s="32">
        <f t="shared" si="2"/>
        <v>4000</v>
      </c>
      <c r="I31" s="96"/>
    </row>
    <row r="32">
      <c r="E32" s="106" t="s">
        <v>100</v>
      </c>
      <c r="F32" s="51">
        <v>0.0</v>
      </c>
      <c r="G32" s="37">
        <v>200.0</v>
      </c>
      <c r="H32" s="32">
        <f t="shared" si="2"/>
        <v>0</v>
      </c>
      <c r="I32" s="96"/>
    </row>
    <row r="33">
      <c r="E33" s="106" t="s">
        <v>101</v>
      </c>
      <c r="F33" s="51">
        <v>12.0</v>
      </c>
      <c r="G33" s="37">
        <v>200.0</v>
      </c>
      <c r="H33" s="32">
        <f t="shared" si="2"/>
        <v>2400</v>
      </c>
      <c r="I33" s="96"/>
    </row>
    <row r="34">
      <c r="E34" s="106" t="s">
        <v>102</v>
      </c>
      <c r="F34" s="51">
        <v>6.0</v>
      </c>
      <c r="G34" s="37">
        <v>420.0</v>
      </c>
      <c r="H34" s="32">
        <f t="shared" si="2"/>
        <v>2520</v>
      </c>
      <c r="I34" s="96"/>
    </row>
    <row r="35">
      <c r="E35" s="106" t="s">
        <v>103</v>
      </c>
      <c r="F35" s="37">
        <v>5.0</v>
      </c>
      <c r="G35" s="37">
        <v>360.0</v>
      </c>
      <c r="H35" s="32">
        <f t="shared" si="2"/>
        <v>1800</v>
      </c>
      <c r="I35" s="96"/>
    </row>
    <row r="36">
      <c r="E36" s="104" t="s">
        <v>104</v>
      </c>
      <c r="F36" s="100">
        <v>35.0</v>
      </c>
      <c r="G36" s="105">
        <v>85.0</v>
      </c>
      <c r="H36" s="101">
        <f t="shared" si="2"/>
        <v>2975</v>
      </c>
      <c r="I36" s="96"/>
    </row>
    <row r="37">
      <c r="E37" s="106" t="s">
        <v>105</v>
      </c>
      <c r="F37" s="51">
        <v>38.0</v>
      </c>
      <c r="G37" s="37">
        <v>195.0</v>
      </c>
      <c r="H37" s="32">
        <f t="shared" si="2"/>
        <v>7410</v>
      </c>
      <c r="I37" s="96"/>
    </row>
    <row r="38">
      <c r="E38" s="106"/>
      <c r="F38" s="51"/>
      <c r="G38" s="37"/>
      <c r="H38" s="32"/>
      <c r="I38" s="96"/>
    </row>
    <row r="39">
      <c r="E39" s="104" t="s">
        <v>106</v>
      </c>
      <c r="F39" s="105">
        <v>2.0</v>
      </c>
      <c r="G39" s="105">
        <v>1200.0</v>
      </c>
      <c r="H39" s="101">
        <f t="shared" ref="H39:H51" si="3">F39*G39</f>
        <v>2400</v>
      </c>
      <c r="I39" s="96"/>
    </row>
    <row r="40">
      <c r="E40" s="104" t="s">
        <v>107</v>
      </c>
      <c r="F40" s="105">
        <v>2.0</v>
      </c>
      <c r="G40" s="105">
        <v>300.0</v>
      </c>
      <c r="H40" s="101">
        <f t="shared" si="3"/>
        <v>600</v>
      </c>
      <c r="I40" s="96"/>
    </row>
    <row r="41">
      <c r="E41" s="104" t="s">
        <v>108</v>
      </c>
      <c r="F41" s="105">
        <v>1.0</v>
      </c>
      <c r="G41" s="105">
        <v>1800.0</v>
      </c>
      <c r="H41" s="101">
        <f t="shared" si="3"/>
        <v>1800</v>
      </c>
      <c r="I41" s="96"/>
    </row>
    <row r="42">
      <c r="E42" s="104" t="s">
        <v>109</v>
      </c>
      <c r="F42" s="105">
        <v>1.0</v>
      </c>
      <c r="G42" s="105">
        <v>850.0</v>
      </c>
      <c r="H42" s="101">
        <f t="shared" si="3"/>
        <v>850</v>
      </c>
      <c r="I42" s="96"/>
    </row>
    <row r="43">
      <c r="E43" s="104" t="s">
        <v>110</v>
      </c>
      <c r="F43" s="105">
        <v>1.0</v>
      </c>
      <c r="G43" s="105">
        <v>630.0</v>
      </c>
      <c r="H43" s="101">
        <f t="shared" si="3"/>
        <v>630</v>
      </c>
      <c r="I43" s="96"/>
    </row>
    <row r="44">
      <c r="E44" s="106" t="s">
        <v>111</v>
      </c>
      <c r="F44" s="51">
        <v>7.0</v>
      </c>
      <c r="G44" s="37">
        <v>240.0</v>
      </c>
      <c r="H44" s="32">
        <f t="shared" si="3"/>
        <v>1680</v>
      </c>
      <c r="I44" s="96"/>
    </row>
    <row r="45">
      <c r="E45" s="107" t="s">
        <v>112</v>
      </c>
      <c r="F45" s="51">
        <v>1.0</v>
      </c>
      <c r="G45" s="51">
        <v>270.0</v>
      </c>
      <c r="H45" s="32">
        <f t="shared" si="3"/>
        <v>270</v>
      </c>
      <c r="I45" s="96"/>
    </row>
    <row r="46">
      <c r="E46" s="107" t="s">
        <v>113</v>
      </c>
      <c r="F46" s="51">
        <v>0.0</v>
      </c>
      <c r="G46" s="51">
        <v>240.0</v>
      </c>
      <c r="H46" s="32">
        <f t="shared" si="3"/>
        <v>0</v>
      </c>
      <c r="I46" s="96"/>
    </row>
    <row r="47">
      <c r="E47" s="107" t="s">
        <v>114</v>
      </c>
      <c r="F47" s="51">
        <v>12.0</v>
      </c>
      <c r="G47" s="51">
        <v>240.0</v>
      </c>
      <c r="H47" s="32">
        <f t="shared" si="3"/>
        <v>2880</v>
      </c>
      <c r="I47" s="96"/>
    </row>
    <row r="48">
      <c r="E48" s="107" t="s">
        <v>115</v>
      </c>
      <c r="F48" s="51">
        <v>8.0</v>
      </c>
      <c r="G48" s="51">
        <v>240.0</v>
      </c>
      <c r="H48" s="32">
        <f t="shared" si="3"/>
        <v>1920</v>
      </c>
      <c r="I48" s="96"/>
    </row>
    <row r="49">
      <c r="E49" s="104" t="s">
        <v>116</v>
      </c>
      <c r="F49" s="100">
        <v>0.0</v>
      </c>
      <c r="G49" s="105">
        <v>1500.0</v>
      </c>
      <c r="H49" s="101">
        <f t="shared" si="3"/>
        <v>0</v>
      </c>
      <c r="I49" s="96"/>
    </row>
    <row r="50">
      <c r="E50" s="106" t="s">
        <v>117</v>
      </c>
      <c r="F50" s="51">
        <v>0.0</v>
      </c>
      <c r="G50" s="37">
        <v>1400.0</v>
      </c>
      <c r="H50" s="32">
        <f t="shared" si="3"/>
        <v>0</v>
      </c>
      <c r="I50" s="96"/>
    </row>
    <row r="51">
      <c r="E51" s="104" t="s">
        <v>118</v>
      </c>
      <c r="F51" s="100">
        <v>5.0</v>
      </c>
      <c r="G51" s="105">
        <v>1000.0</v>
      </c>
      <c r="H51" s="101">
        <f t="shared" si="3"/>
        <v>5000</v>
      </c>
      <c r="I51" s="96"/>
    </row>
    <row r="52">
      <c r="E52" s="104" t="s">
        <v>119</v>
      </c>
      <c r="F52" s="100">
        <v>17.0</v>
      </c>
      <c r="G52" s="105">
        <v>280.0</v>
      </c>
      <c r="H52" s="108">
        <f t="shared" ref="H52:H58" si="4">G52*F52</f>
        <v>4760</v>
      </c>
      <c r="I52" s="96"/>
    </row>
    <row r="53">
      <c r="E53" s="106" t="s">
        <v>120</v>
      </c>
      <c r="F53" s="51">
        <v>18.0</v>
      </c>
      <c r="G53" s="37">
        <v>240.0</v>
      </c>
      <c r="H53" s="9">
        <f t="shared" si="4"/>
        <v>4320</v>
      </c>
      <c r="I53" s="96"/>
    </row>
    <row r="54">
      <c r="E54" s="104" t="s">
        <v>121</v>
      </c>
      <c r="F54" s="100">
        <v>10.0</v>
      </c>
      <c r="G54" s="105">
        <v>830.0</v>
      </c>
      <c r="H54" s="108">
        <f t="shared" si="4"/>
        <v>8300</v>
      </c>
      <c r="I54" s="96"/>
    </row>
    <row r="55">
      <c r="E55" s="104" t="s">
        <v>122</v>
      </c>
      <c r="F55" s="100">
        <v>11.0</v>
      </c>
      <c r="G55" s="105">
        <v>540.0</v>
      </c>
      <c r="H55" s="108">
        <f t="shared" si="4"/>
        <v>5940</v>
      </c>
      <c r="I55" s="96"/>
    </row>
    <row r="56">
      <c r="E56" s="102" t="s">
        <v>123</v>
      </c>
      <c r="F56" s="103">
        <v>5.0</v>
      </c>
      <c r="G56" s="103">
        <v>650.0</v>
      </c>
      <c r="H56" s="56">
        <f t="shared" si="4"/>
        <v>3250</v>
      </c>
      <c r="I56" s="96"/>
    </row>
    <row r="57">
      <c r="E57" s="102" t="s">
        <v>124</v>
      </c>
      <c r="F57" s="103">
        <v>8.0</v>
      </c>
      <c r="G57" s="103">
        <v>500.0</v>
      </c>
      <c r="H57" s="56">
        <f t="shared" si="4"/>
        <v>4000</v>
      </c>
      <c r="I57" s="96"/>
    </row>
    <row r="58">
      <c r="E58" s="104" t="s">
        <v>125</v>
      </c>
      <c r="F58" s="105">
        <v>3.0</v>
      </c>
      <c r="G58" s="105">
        <v>2100.0</v>
      </c>
      <c r="H58" s="108">
        <f t="shared" si="4"/>
        <v>6300</v>
      </c>
      <c r="I58" s="96"/>
    </row>
    <row r="59">
      <c r="E59" s="104" t="s">
        <v>126</v>
      </c>
      <c r="F59" s="100">
        <v>16.0</v>
      </c>
      <c r="G59" s="105">
        <v>600.0</v>
      </c>
      <c r="H59" s="101">
        <f t="shared" ref="H59:H65" si="5">F59*G59</f>
        <v>9600</v>
      </c>
      <c r="I59" s="96"/>
    </row>
    <row r="60">
      <c r="E60" s="104" t="s">
        <v>127</v>
      </c>
      <c r="F60" s="105">
        <v>6.0</v>
      </c>
      <c r="G60" s="105">
        <v>680.0</v>
      </c>
      <c r="H60" s="101">
        <f t="shared" si="5"/>
        <v>4080</v>
      </c>
      <c r="I60" s="96"/>
    </row>
    <row r="61">
      <c r="E61" s="104" t="s">
        <v>128</v>
      </c>
      <c r="F61" s="105">
        <v>1.0</v>
      </c>
      <c r="G61" s="105">
        <v>2000.0</v>
      </c>
      <c r="H61" s="101">
        <f t="shared" si="5"/>
        <v>2000</v>
      </c>
      <c r="I61" s="96"/>
    </row>
    <row r="62">
      <c r="E62" s="102" t="s">
        <v>129</v>
      </c>
      <c r="F62" s="103">
        <v>1.0</v>
      </c>
      <c r="G62" s="103">
        <v>1000.0</v>
      </c>
      <c r="H62" s="56">
        <f t="shared" si="5"/>
        <v>1000</v>
      </c>
      <c r="I62" s="96"/>
    </row>
    <row r="63">
      <c r="E63" s="104" t="s">
        <v>130</v>
      </c>
      <c r="F63" s="100">
        <v>1.0</v>
      </c>
      <c r="G63" s="105">
        <v>1900.0</v>
      </c>
      <c r="H63" s="101">
        <f t="shared" si="5"/>
        <v>1900</v>
      </c>
      <c r="I63" s="96"/>
    </row>
    <row r="64">
      <c r="E64" s="106" t="s">
        <v>131</v>
      </c>
      <c r="F64" s="51">
        <v>1.0</v>
      </c>
      <c r="G64" s="37">
        <v>1600.0</v>
      </c>
      <c r="H64" s="32">
        <f t="shared" si="5"/>
        <v>1600</v>
      </c>
      <c r="I64" s="96"/>
    </row>
    <row r="65">
      <c r="E65" s="106" t="s">
        <v>132</v>
      </c>
      <c r="F65" s="51">
        <v>1.0</v>
      </c>
      <c r="G65" s="37">
        <v>1200.0</v>
      </c>
      <c r="H65" s="32">
        <f t="shared" si="5"/>
        <v>1200</v>
      </c>
      <c r="I65" s="96"/>
    </row>
    <row r="66">
      <c r="E66" s="104" t="s">
        <v>133</v>
      </c>
      <c r="F66" s="100">
        <v>1.0</v>
      </c>
      <c r="G66" s="105">
        <v>1550.0</v>
      </c>
      <c r="H66" s="108">
        <f t="shared" ref="H66:H72" si="6">G66*F66</f>
        <v>1550</v>
      </c>
      <c r="I66" s="96"/>
    </row>
    <row r="67">
      <c r="E67" s="106" t="s">
        <v>134</v>
      </c>
      <c r="F67" s="51">
        <v>1.0</v>
      </c>
      <c r="G67" s="37">
        <v>1350.0</v>
      </c>
      <c r="H67" s="9">
        <f t="shared" si="6"/>
        <v>1350</v>
      </c>
      <c r="I67" s="96"/>
    </row>
    <row r="68">
      <c r="E68" s="106" t="s">
        <v>135</v>
      </c>
      <c r="F68" s="37">
        <v>2.0</v>
      </c>
      <c r="G68" s="37">
        <v>1150.0</v>
      </c>
      <c r="H68" s="9">
        <f t="shared" si="6"/>
        <v>2300</v>
      </c>
      <c r="I68" s="96"/>
    </row>
    <row r="69">
      <c r="E69" s="102" t="s">
        <v>136</v>
      </c>
      <c r="F69" s="103">
        <v>3.0</v>
      </c>
      <c r="G69" s="103">
        <v>600.0</v>
      </c>
      <c r="H69" s="9">
        <f t="shared" si="6"/>
        <v>1800</v>
      </c>
      <c r="I69" s="96"/>
    </row>
    <row r="70">
      <c r="E70" s="102" t="s">
        <v>137</v>
      </c>
      <c r="F70" s="103">
        <v>3.0</v>
      </c>
      <c r="G70" s="103">
        <v>800.0</v>
      </c>
      <c r="H70" s="9">
        <f t="shared" si="6"/>
        <v>2400</v>
      </c>
      <c r="I70" s="96"/>
    </row>
    <row r="71">
      <c r="E71" s="102" t="s">
        <v>138</v>
      </c>
      <c r="F71" s="103">
        <v>5.0</v>
      </c>
      <c r="G71" s="103">
        <v>120.0</v>
      </c>
      <c r="H71" s="9">
        <f t="shared" si="6"/>
        <v>600</v>
      </c>
      <c r="I71" s="96"/>
    </row>
    <row r="72">
      <c r="E72" s="102" t="s">
        <v>139</v>
      </c>
      <c r="F72" s="103">
        <v>2.0</v>
      </c>
      <c r="G72" s="103">
        <v>150.0</v>
      </c>
      <c r="H72" s="9">
        <f t="shared" si="6"/>
        <v>300</v>
      </c>
      <c r="I72" s="96"/>
    </row>
    <row r="73">
      <c r="E73" s="102"/>
      <c r="F73" s="103"/>
      <c r="G73" s="103"/>
      <c r="H73" s="14"/>
      <c r="I73" s="96"/>
    </row>
    <row r="74">
      <c r="D74" s="109">
        <v>10.0</v>
      </c>
      <c r="E74" s="110" t="s">
        <v>140</v>
      </c>
      <c r="F74" s="111"/>
      <c r="G74" s="111">
        <v>1580.0</v>
      </c>
      <c r="H74" s="26"/>
      <c r="I74" s="96"/>
    </row>
    <row r="75">
      <c r="D75" s="109">
        <v>10.0</v>
      </c>
      <c r="E75" s="110" t="s">
        <v>141</v>
      </c>
      <c r="F75" s="111"/>
      <c r="G75" s="111">
        <v>82.0</v>
      </c>
      <c r="H75" s="26"/>
      <c r="I75" s="96"/>
    </row>
    <row r="76">
      <c r="D76" s="109">
        <v>2.0</v>
      </c>
      <c r="E76" s="110" t="s">
        <v>142</v>
      </c>
      <c r="F76" s="111"/>
      <c r="G76" s="111">
        <v>1550.0</v>
      </c>
      <c r="H76" s="26">
        <f t="shared" ref="H76:H77" si="7">G76*F76</f>
        <v>0</v>
      </c>
      <c r="I76" s="96"/>
    </row>
    <row r="77">
      <c r="E77" s="102" t="s">
        <v>143</v>
      </c>
      <c r="F77" s="103">
        <v>14.0</v>
      </c>
      <c r="G77" s="103">
        <v>360.0</v>
      </c>
      <c r="H77" s="9">
        <f t="shared" si="7"/>
        <v>5040</v>
      </c>
      <c r="I77" s="96"/>
    </row>
    <row r="78">
      <c r="E78" s="102"/>
      <c r="F78" s="103"/>
      <c r="G78" s="103"/>
      <c r="H78" s="9"/>
      <c r="I78" s="96"/>
    </row>
    <row r="79">
      <c r="E79" s="102"/>
      <c r="F79" s="103"/>
      <c r="G79" s="103"/>
      <c r="H79" s="9"/>
      <c r="I79" s="96"/>
    </row>
    <row r="80">
      <c r="E80" s="102" t="s">
        <v>144</v>
      </c>
      <c r="F80" s="103">
        <v>5.0</v>
      </c>
      <c r="G80" s="103">
        <v>400.0</v>
      </c>
      <c r="H80" s="9">
        <f t="shared" ref="H80:H81" si="8">G80*F80</f>
        <v>2000</v>
      </c>
      <c r="I80" s="96"/>
    </row>
    <row r="81">
      <c r="E81" s="102" t="s">
        <v>145</v>
      </c>
      <c r="F81" s="103">
        <v>17.0</v>
      </c>
      <c r="G81" s="103">
        <v>-200.0</v>
      </c>
      <c r="H81" s="9">
        <f t="shared" si="8"/>
        <v>-3400</v>
      </c>
      <c r="I81" s="96"/>
    </row>
    <row r="82">
      <c r="E82" s="102"/>
      <c r="F82" s="103"/>
      <c r="G82" s="103"/>
      <c r="H82" s="9"/>
      <c r="I82" s="96"/>
    </row>
    <row r="83">
      <c r="E83" s="102" t="s">
        <v>146</v>
      </c>
      <c r="F83" s="103">
        <v>1.0</v>
      </c>
      <c r="G83" s="103">
        <v>1400.0</v>
      </c>
      <c r="H83" s="9">
        <f t="shared" ref="H83:H94" si="9">G83*F83</f>
        <v>1400</v>
      </c>
      <c r="I83" s="112"/>
    </row>
    <row r="84">
      <c r="E84" s="102" t="s">
        <v>138</v>
      </c>
      <c r="F84" s="103">
        <v>10.0</v>
      </c>
      <c r="G84" s="103">
        <v>120.0</v>
      </c>
      <c r="H84" s="9">
        <f t="shared" si="9"/>
        <v>1200</v>
      </c>
      <c r="I84" s="113">
        <v>45232.0</v>
      </c>
    </row>
    <row r="85">
      <c r="E85" s="102" t="s">
        <v>147</v>
      </c>
      <c r="F85" s="103">
        <v>2.0</v>
      </c>
      <c r="G85" s="103">
        <v>1000.0</v>
      </c>
      <c r="H85" s="9">
        <f t="shared" si="9"/>
        <v>2000</v>
      </c>
      <c r="I85" s="113">
        <v>45232.0</v>
      </c>
    </row>
    <row r="86">
      <c r="E86" s="102" t="s">
        <v>148</v>
      </c>
      <c r="F86" s="103">
        <v>4.0</v>
      </c>
      <c r="G86" s="103">
        <v>280.0</v>
      </c>
      <c r="H86" s="9">
        <f t="shared" si="9"/>
        <v>1120</v>
      </c>
      <c r="I86" s="113">
        <v>45232.0</v>
      </c>
    </row>
    <row r="87">
      <c r="E87" s="102" t="s">
        <v>149</v>
      </c>
      <c r="F87" s="103">
        <v>1.0</v>
      </c>
      <c r="G87" s="103">
        <v>2400.0</v>
      </c>
      <c r="H87" s="9">
        <f t="shared" si="9"/>
        <v>2400</v>
      </c>
      <c r="I87" s="113">
        <v>45232.0</v>
      </c>
    </row>
    <row r="88">
      <c r="E88" s="102" t="s">
        <v>150</v>
      </c>
      <c r="F88" s="103">
        <v>20.0</v>
      </c>
      <c r="G88" s="103">
        <v>50.0</v>
      </c>
      <c r="H88" s="9">
        <f t="shared" si="9"/>
        <v>1000</v>
      </c>
      <c r="I88" s="113">
        <v>45232.0</v>
      </c>
    </row>
    <row r="89">
      <c r="E89" s="102" t="s">
        <v>151</v>
      </c>
      <c r="F89" s="103">
        <v>2.0</v>
      </c>
      <c r="G89" s="103">
        <v>200.0</v>
      </c>
      <c r="H89" s="9">
        <f t="shared" si="9"/>
        <v>400</v>
      </c>
      <c r="I89" s="113">
        <v>45232.0</v>
      </c>
    </row>
    <row r="90">
      <c r="E90" s="102" t="s">
        <v>149</v>
      </c>
      <c r="F90" s="103">
        <v>1.0</v>
      </c>
      <c r="G90" s="103">
        <v>1900.0</v>
      </c>
      <c r="H90" s="9">
        <f t="shared" si="9"/>
        <v>1900</v>
      </c>
      <c r="I90" s="113">
        <v>45233.0</v>
      </c>
    </row>
    <row r="91">
      <c r="E91" s="102" t="s">
        <v>137</v>
      </c>
      <c r="F91" s="103">
        <v>4.0</v>
      </c>
      <c r="G91" s="103">
        <v>900.0</v>
      </c>
      <c r="H91" s="9">
        <f t="shared" si="9"/>
        <v>3600</v>
      </c>
      <c r="I91" s="113">
        <v>45233.0</v>
      </c>
    </row>
    <row r="92">
      <c r="E92" s="102" t="s">
        <v>138</v>
      </c>
      <c r="F92" s="103">
        <v>10.0</v>
      </c>
      <c r="G92" s="103">
        <v>120.0</v>
      </c>
      <c r="H92" s="9">
        <f t="shared" si="9"/>
        <v>1200</v>
      </c>
      <c r="I92" s="113">
        <v>45233.0</v>
      </c>
    </row>
    <row r="93">
      <c r="E93" s="102" t="s">
        <v>152</v>
      </c>
      <c r="F93" s="103">
        <v>1.0</v>
      </c>
      <c r="G93" s="103">
        <v>2500.0</v>
      </c>
      <c r="H93" s="9">
        <f t="shared" si="9"/>
        <v>2500</v>
      </c>
      <c r="I93" s="113">
        <v>45234.0</v>
      </c>
    </row>
    <row r="94">
      <c r="E94" s="102" t="s">
        <v>153</v>
      </c>
      <c r="F94" s="103">
        <v>2.0</v>
      </c>
      <c r="G94" s="103">
        <v>1400.0</v>
      </c>
      <c r="H94" s="9">
        <f t="shared" si="9"/>
        <v>2800</v>
      </c>
      <c r="I94" s="113">
        <v>45234.0</v>
      </c>
    </row>
    <row r="95">
      <c r="E95" s="102"/>
      <c r="F95" s="103"/>
      <c r="G95" s="103"/>
      <c r="H95" s="9"/>
      <c r="I95" s="113"/>
    </row>
    <row r="96">
      <c r="E96" s="102"/>
      <c r="F96" s="103"/>
      <c r="G96" s="103"/>
      <c r="H96" s="9"/>
      <c r="I96" s="113"/>
    </row>
    <row r="97">
      <c r="E97" s="102" t="s">
        <v>154</v>
      </c>
      <c r="F97" s="103">
        <v>1.0</v>
      </c>
      <c r="G97" s="103">
        <v>400.0</v>
      </c>
      <c r="H97" s="9">
        <f t="shared" ref="H97:H101" si="10">G97*F97</f>
        <v>400</v>
      </c>
      <c r="I97" s="113">
        <v>45234.0</v>
      </c>
    </row>
    <row r="98">
      <c r="E98" s="102" t="s">
        <v>150</v>
      </c>
      <c r="F98" s="103">
        <v>25.0</v>
      </c>
      <c r="G98" s="103">
        <v>40.0</v>
      </c>
      <c r="H98" s="9">
        <f t="shared" si="10"/>
        <v>1000</v>
      </c>
      <c r="I98" s="113">
        <v>45234.0</v>
      </c>
    </row>
    <row r="99">
      <c r="E99" s="102" t="s">
        <v>155</v>
      </c>
      <c r="F99" s="103">
        <v>1.0</v>
      </c>
      <c r="G99" s="103">
        <v>100.0</v>
      </c>
      <c r="H99" s="9">
        <f t="shared" si="10"/>
        <v>100</v>
      </c>
      <c r="I99" s="113">
        <v>45234.0</v>
      </c>
    </row>
    <row r="100">
      <c r="E100" s="102" t="s">
        <v>156</v>
      </c>
      <c r="F100" s="103">
        <v>1.0</v>
      </c>
      <c r="G100" s="103">
        <v>200.0</v>
      </c>
      <c r="H100" s="9">
        <f t="shared" si="10"/>
        <v>200</v>
      </c>
      <c r="I100" s="113">
        <v>45234.0</v>
      </c>
    </row>
    <row r="101">
      <c r="E101" s="102" t="s">
        <v>150</v>
      </c>
      <c r="F101" s="103">
        <v>16.0</v>
      </c>
      <c r="G101" s="103">
        <v>50.0</v>
      </c>
      <c r="H101" s="9">
        <f t="shared" si="10"/>
        <v>800</v>
      </c>
      <c r="I101" s="113">
        <v>45238.0</v>
      </c>
    </row>
    <row r="102">
      <c r="E102" s="102"/>
      <c r="F102" s="103"/>
      <c r="G102" s="103"/>
      <c r="H102" s="9"/>
      <c r="I102" s="114"/>
    </row>
    <row r="103">
      <c r="E103" s="102" t="s">
        <v>126</v>
      </c>
      <c r="F103" s="103">
        <v>10.0</v>
      </c>
      <c r="G103" s="103">
        <v>600.0</v>
      </c>
      <c r="H103" s="9">
        <f t="shared" ref="H103:H118" si="11">G103*F103</f>
        <v>6000</v>
      </c>
      <c r="I103" s="114">
        <v>45240.0</v>
      </c>
    </row>
    <row r="104">
      <c r="E104" s="102" t="s">
        <v>157</v>
      </c>
      <c r="F104" s="103">
        <v>1.0</v>
      </c>
      <c r="G104" s="103">
        <v>12000.0</v>
      </c>
      <c r="H104" s="9">
        <f t="shared" si="11"/>
        <v>12000</v>
      </c>
      <c r="I104" s="114">
        <v>45240.0</v>
      </c>
    </row>
    <row r="105">
      <c r="E105" s="102" t="s">
        <v>158</v>
      </c>
      <c r="F105" s="103">
        <v>1.0</v>
      </c>
      <c r="G105" s="103">
        <v>420.0</v>
      </c>
      <c r="H105" s="9">
        <f t="shared" si="11"/>
        <v>420</v>
      </c>
      <c r="I105" s="114">
        <v>45240.0</v>
      </c>
    </row>
    <row r="106">
      <c r="E106" s="102" t="s">
        <v>159</v>
      </c>
      <c r="F106" s="103">
        <v>1.0</v>
      </c>
      <c r="G106" s="103">
        <v>270.0</v>
      </c>
      <c r="H106" s="9">
        <f t="shared" si="11"/>
        <v>270</v>
      </c>
      <c r="I106" s="114">
        <v>45240.0</v>
      </c>
    </row>
    <row r="107">
      <c r="E107" s="102" t="s">
        <v>160</v>
      </c>
      <c r="F107" s="103">
        <v>1.0</v>
      </c>
      <c r="G107" s="103">
        <v>1200.0</v>
      </c>
      <c r="H107" s="9">
        <f t="shared" si="11"/>
        <v>1200</v>
      </c>
      <c r="I107" s="114">
        <v>45240.0</v>
      </c>
    </row>
    <row r="108">
      <c r="E108" s="102" t="s">
        <v>155</v>
      </c>
      <c r="F108" s="103">
        <v>3.0</v>
      </c>
      <c r="G108" s="103">
        <v>100.0</v>
      </c>
      <c r="H108" s="9">
        <f t="shared" si="11"/>
        <v>300</v>
      </c>
      <c r="I108" s="114">
        <v>45240.0</v>
      </c>
    </row>
    <row r="109">
      <c r="E109" s="102" t="s">
        <v>161</v>
      </c>
      <c r="F109" s="103">
        <v>20.0</v>
      </c>
      <c r="G109" s="103">
        <v>50.0</v>
      </c>
      <c r="H109" s="9">
        <f t="shared" si="11"/>
        <v>1000</v>
      </c>
      <c r="I109" s="114">
        <v>45240.0</v>
      </c>
    </row>
    <row r="110">
      <c r="E110" s="102" t="s">
        <v>137</v>
      </c>
      <c r="F110" s="103">
        <v>4.0</v>
      </c>
      <c r="G110" s="103">
        <v>950.0</v>
      </c>
      <c r="H110" s="9">
        <f t="shared" si="11"/>
        <v>3800</v>
      </c>
      <c r="I110" s="114">
        <v>45240.0</v>
      </c>
    </row>
    <row r="111">
      <c r="E111" s="102" t="s">
        <v>138</v>
      </c>
      <c r="F111" s="103">
        <v>15.0</v>
      </c>
      <c r="G111" s="103">
        <v>120.0</v>
      </c>
      <c r="H111" s="9">
        <f t="shared" si="11"/>
        <v>1800</v>
      </c>
      <c r="I111" s="114">
        <v>45240.0</v>
      </c>
    </row>
    <row r="112">
      <c r="E112" s="102" t="s">
        <v>162</v>
      </c>
      <c r="F112" s="103">
        <v>2.0</v>
      </c>
      <c r="G112" s="103">
        <v>1900.0</v>
      </c>
      <c r="H112" s="9">
        <f t="shared" si="11"/>
        <v>3800</v>
      </c>
      <c r="I112" s="114">
        <v>45240.0</v>
      </c>
    </row>
    <row r="113">
      <c r="E113" s="102" t="s">
        <v>163</v>
      </c>
      <c r="F113" s="103">
        <v>2.0</v>
      </c>
      <c r="G113" s="103">
        <v>1500.0</v>
      </c>
      <c r="H113" s="9">
        <f t="shared" si="11"/>
        <v>3000</v>
      </c>
      <c r="I113" s="114">
        <v>45240.0</v>
      </c>
    </row>
    <row r="114">
      <c r="E114" s="102" t="s">
        <v>164</v>
      </c>
      <c r="F114" s="103">
        <v>2.0</v>
      </c>
      <c r="G114" s="103">
        <v>1200.0</v>
      </c>
      <c r="H114" s="9">
        <f t="shared" si="11"/>
        <v>2400</v>
      </c>
      <c r="I114" s="114">
        <v>45240.0</v>
      </c>
    </row>
    <row r="115">
      <c r="E115" s="102" t="s">
        <v>165</v>
      </c>
      <c r="F115" s="103">
        <v>1.0</v>
      </c>
      <c r="G115" s="103">
        <v>1100.0</v>
      </c>
      <c r="H115" s="9">
        <f t="shared" si="11"/>
        <v>1100</v>
      </c>
      <c r="I115" s="114">
        <v>45240.0</v>
      </c>
    </row>
    <row r="116">
      <c r="E116" s="102" t="s">
        <v>133</v>
      </c>
      <c r="F116" s="103">
        <v>0.0</v>
      </c>
      <c r="G116" s="103">
        <v>1550.0</v>
      </c>
      <c r="H116" s="9">
        <f t="shared" si="11"/>
        <v>0</v>
      </c>
      <c r="I116" s="114">
        <v>45240.0</v>
      </c>
    </row>
    <row r="117">
      <c r="E117" s="102" t="s">
        <v>134</v>
      </c>
      <c r="F117" s="103">
        <v>0.0</v>
      </c>
      <c r="G117" s="103">
        <v>1350.0</v>
      </c>
      <c r="H117" s="9">
        <f t="shared" si="11"/>
        <v>0</v>
      </c>
      <c r="I117" s="114">
        <v>45240.0</v>
      </c>
    </row>
    <row r="118">
      <c r="E118" s="102" t="s">
        <v>135</v>
      </c>
      <c r="F118" s="103">
        <v>1.0</v>
      </c>
      <c r="G118" s="103">
        <v>1150.0</v>
      </c>
      <c r="H118" s="9">
        <f t="shared" si="11"/>
        <v>1150</v>
      </c>
      <c r="I118" s="114">
        <v>45240.0</v>
      </c>
    </row>
    <row r="119">
      <c r="E119" s="102"/>
      <c r="F119" s="103"/>
      <c r="G119" s="103"/>
      <c r="H119" s="9"/>
      <c r="I119" s="114"/>
    </row>
    <row r="120">
      <c r="E120" s="102"/>
      <c r="F120" s="103"/>
      <c r="G120" s="103"/>
      <c r="H120" s="9"/>
      <c r="I120" s="114"/>
    </row>
    <row r="121">
      <c r="E121" s="102"/>
      <c r="F121" s="103"/>
      <c r="G121" s="103"/>
      <c r="H121" s="9"/>
      <c r="I121" s="114"/>
    </row>
    <row r="122">
      <c r="E122" s="102"/>
      <c r="F122" s="103"/>
      <c r="G122" s="103"/>
      <c r="H122" s="9"/>
      <c r="I122" s="114"/>
    </row>
    <row r="123">
      <c r="E123" s="102" t="s">
        <v>161</v>
      </c>
      <c r="F123" s="103">
        <v>30.0</v>
      </c>
      <c r="G123" s="103">
        <v>40.0</v>
      </c>
      <c r="H123" s="9">
        <f t="shared" ref="H123:H137" si="12">G123*F123</f>
        <v>1200</v>
      </c>
      <c r="I123" s="114">
        <v>45240.0</v>
      </c>
    </row>
    <row r="124">
      <c r="E124" s="102" t="s">
        <v>166</v>
      </c>
      <c r="F124" s="103">
        <v>1.0</v>
      </c>
      <c r="G124" s="103">
        <v>150.0</v>
      </c>
      <c r="H124" s="9">
        <f t="shared" si="12"/>
        <v>150</v>
      </c>
      <c r="I124" s="114">
        <v>45240.0</v>
      </c>
    </row>
    <row r="125">
      <c r="E125" s="102" t="s">
        <v>149</v>
      </c>
      <c r="F125" s="103">
        <v>1.0</v>
      </c>
      <c r="G125" s="103">
        <v>1000.0</v>
      </c>
      <c r="H125" s="9">
        <f t="shared" si="12"/>
        <v>1000</v>
      </c>
      <c r="I125" s="114">
        <v>45240.0</v>
      </c>
    </row>
    <row r="126">
      <c r="E126" s="102" t="s">
        <v>167</v>
      </c>
      <c r="F126" s="103">
        <v>1.0</v>
      </c>
      <c r="G126" s="103">
        <v>790.0</v>
      </c>
      <c r="H126" s="9">
        <f t="shared" si="12"/>
        <v>790</v>
      </c>
      <c r="I126" s="114">
        <v>45240.0</v>
      </c>
    </row>
    <row r="127">
      <c r="E127" s="102" t="s">
        <v>168</v>
      </c>
      <c r="F127" s="103">
        <v>1.0</v>
      </c>
      <c r="G127" s="103">
        <v>190.0</v>
      </c>
      <c r="H127" s="9">
        <f t="shared" si="12"/>
        <v>190</v>
      </c>
      <c r="I127" s="114">
        <v>45240.0</v>
      </c>
    </row>
    <row r="128">
      <c r="E128" s="102" t="s">
        <v>145</v>
      </c>
      <c r="F128" s="103">
        <v>2.0</v>
      </c>
      <c r="G128" s="103">
        <v>250.0</v>
      </c>
      <c r="H128" s="9">
        <f t="shared" si="12"/>
        <v>500</v>
      </c>
      <c r="I128" s="114">
        <v>45240.0</v>
      </c>
    </row>
    <row r="129">
      <c r="E129" s="102" t="s">
        <v>169</v>
      </c>
      <c r="F129" s="103">
        <v>2.0</v>
      </c>
      <c r="G129" s="103">
        <v>300.0</v>
      </c>
      <c r="H129" s="9">
        <f t="shared" si="12"/>
        <v>600</v>
      </c>
      <c r="I129" s="114">
        <v>45240.0</v>
      </c>
    </row>
    <row r="130">
      <c r="E130" s="102" t="s">
        <v>170</v>
      </c>
      <c r="F130" s="103">
        <v>2.0</v>
      </c>
      <c r="G130" s="103">
        <v>500.0</v>
      </c>
      <c r="H130" s="9">
        <f t="shared" si="12"/>
        <v>1000</v>
      </c>
      <c r="I130" s="114">
        <v>45240.0</v>
      </c>
    </row>
    <row r="131">
      <c r="E131" s="102" t="s">
        <v>171</v>
      </c>
      <c r="F131" s="103">
        <v>1.0</v>
      </c>
      <c r="G131" s="103">
        <v>1000.0</v>
      </c>
      <c r="H131" s="9">
        <f t="shared" si="12"/>
        <v>1000</v>
      </c>
      <c r="I131" s="114">
        <v>45240.0</v>
      </c>
    </row>
    <row r="132">
      <c r="E132" s="102" t="s">
        <v>172</v>
      </c>
      <c r="F132" s="103">
        <v>1.0</v>
      </c>
      <c r="G132" s="103">
        <v>2000.0</v>
      </c>
      <c r="H132" s="9">
        <f t="shared" si="12"/>
        <v>2000</v>
      </c>
      <c r="I132" s="114">
        <v>45240.0</v>
      </c>
    </row>
    <row r="133">
      <c r="E133" s="102" t="s">
        <v>173</v>
      </c>
      <c r="F133" s="103">
        <v>1.0</v>
      </c>
      <c r="G133" s="103">
        <v>450.0</v>
      </c>
      <c r="H133" s="9">
        <f t="shared" si="12"/>
        <v>450</v>
      </c>
      <c r="I133" s="114">
        <v>45240.0</v>
      </c>
    </row>
    <row r="134">
      <c r="E134" s="102" t="s">
        <v>138</v>
      </c>
      <c r="F134" s="103">
        <v>25.0</v>
      </c>
      <c r="G134" s="103">
        <v>130.0</v>
      </c>
      <c r="H134" s="9">
        <f t="shared" si="12"/>
        <v>3250</v>
      </c>
      <c r="I134" s="114">
        <v>45241.0</v>
      </c>
    </row>
    <row r="135">
      <c r="E135" s="102" t="s">
        <v>137</v>
      </c>
      <c r="F135" s="103">
        <v>11.0</v>
      </c>
      <c r="G135" s="103">
        <v>1000.0</v>
      </c>
      <c r="H135" s="9">
        <f t="shared" si="12"/>
        <v>11000</v>
      </c>
      <c r="I135" s="114">
        <v>45241.0</v>
      </c>
    </row>
    <row r="136">
      <c r="E136" s="102" t="s">
        <v>174</v>
      </c>
      <c r="F136" s="103">
        <v>1.0</v>
      </c>
      <c r="G136" s="103">
        <v>350.0</v>
      </c>
      <c r="H136" s="9">
        <f t="shared" si="12"/>
        <v>350</v>
      </c>
      <c r="I136" s="114">
        <v>45241.0</v>
      </c>
    </row>
    <row r="137">
      <c r="E137" s="102" t="s">
        <v>175</v>
      </c>
      <c r="F137" s="103">
        <v>1.0</v>
      </c>
      <c r="G137" s="103">
        <v>550.0</v>
      </c>
      <c r="H137" s="9">
        <f t="shared" si="12"/>
        <v>550</v>
      </c>
      <c r="I137" s="114">
        <v>45241.0</v>
      </c>
    </row>
    <row r="138">
      <c r="E138" s="102"/>
      <c r="F138" s="103"/>
      <c r="G138" s="103"/>
      <c r="H138" s="9"/>
      <c r="I138" s="114"/>
    </row>
    <row r="139">
      <c r="E139" s="102" t="s">
        <v>150</v>
      </c>
      <c r="F139" s="103">
        <v>30.0</v>
      </c>
      <c r="G139" s="103">
        <v>60.0</v>
      </c>
      <c r="H139" s="9">
        <f t="shared" ref="H139:H167" si="13">G139*F139</f>
        <v>1800</v>
      </c>
      <c r="I139" s="114">
        <v>45241.0</v>
      </c>
    </row>
    <row r="140">
      <c r="E140" s="102" t="s">
        <v>87</v>
      </c>
      <c r="F140" s="103">
        <v>2.0</v>
      </c>
      <c r="G140" s="103">
        <v>700.0</v>
      </c>
      <c r="H140" s="9">
        <f t="shared" si="13"/>
        <v>1400</v>
      </c>
      <c r="I140" s="114">
        <v>45241.0</v>
      </c>
    </row>
    <row r="141">
      <c r="E141" s="102" t="s">
        <v>176</v>
      </c>
      <c r="F141" s="103">
        <v>5.0</v>
      </c>
      <c r="G141" s="103">
        <v>2000.0</v>
      </c>
      <c r="H141" s="9">
        <f t="shared" si="13"/>
        <v>10000</v>
      </c>
      <c r="I141" s="114">
        <v>45243.0</v>
      </c>
    </row>
    <row r="142">
      <c r="E142" s="102" t="s">
        <v>137</v>
      </c>
      <c r="F142" s="103">
        <v>3.0</v>
      </c>
      <c r="G142" s="103">
        <v>1000.0</v>
      </c>
      <c r="H142" s="9">
        <f t="shared" si="13"/>
        <v>3000</v>
      </c>
      <c r="I142" s="114">
        <v>45243.0</v>
      </c>
    </row>
    <row r="143">
      <c r="E143" s="102" t="s">
        <v>138</v>
      </c>
      <c r="F143" s="103">
        <v>2.0</v>
      </c>
      <c r="G143" s="103">
        <v>100.0</v>
      </c>
      <c r="H143" s="9">
        <f t="shared" si="13"/>
        <v>200</v>
      </c>
      <c r="I143" s="114">
        <v>45243.0</v>
      </c>
    </row>
    <row r="144">
      <c r="E144" s="102" t="s">
        <v>177</v>
      </c>
      <c r="F144" s="103">
        <v>1.0</v>
      </c>
      <c r="G144" s="103">
        <v>300.0</v>
      </c>
      <c r="H144" s="9">
        <f t="shared" si="13"/>
        <v>300</v>
      </c>
      <c r="I144" s="114">
        <v>45243.0</v>
      </c>
    </row>
    <row r="145">
      <c r="E145" s="102" t="s">
        <v>178</v>
      </c>
      <c r="F145" s="103">
        <v>3.0</v>
      </c>
      <c r="G145" s="103">
        <v>200.0</v>
      </c>
      <c r="H145" s="9">
        <f t="shared" si="13"/>
        <v>600</v>
      </c>
      <c r="I145" s="114">
        <v>45243.0</v>
      </c>
    </row>
    <row r="146">
      <c r="E146" s="102" t="s">
        <v>75</v>
      </c>
      <c r="F146" s="103">
        <v>2.0</v>
      </c>
      <c r="G146" s="103">
        <v>100.0</v>
      </c>
      <c r="H146" s="9">
        <f t="shared" si="13"/>
        <v>200</v>
      </c>
      <c r="I146" s="114">
        <v>45243.0</v>
      </c>
    </row>
    <row r="147">
      <c r="E147" s="102" t="s">
        <v>150</v>
      </c>
      <c r="F147" s="103">
        <v>20.0</v>
      </c>
      <c r="G147" s="103">
        <v>50.0</v>
      </c>
      <c r="H147" s="9">
        <f t="shared" si="13"/>
        <v>1000</v>
      </c>
      <c r="I147" s="114">
        <v>45243.0</v>
      </c>
    </row>
    <row r="148">
      <c r="E148" s="102" t="s">
        <v>150</v>
      </c>
      <c r="F148" s="103">
        <v>20.0</v>
      </c>
      <c r="G148" s="103">
        <v>60.0</v>
      </c>
      <c r="H148" s="9">
        <f t="shared" si="13"/>
        <v>1200</v>
      </c>
      <c r="I148" s="114">
        <v>45244.0</v>
      </c>
    </row>
    <row r="149">
      <c r="E149" s="102" t="s">
        <v>137</v>
      </c>
      <c r="F149" s="103">
        <v>2.0</v>
      </c>
      <c r="G149" s="103">
        <v>1000.0</v>
      </c>
      <c r="H149" s="9">
        <f t="shared" si="13"/>
        <v>2000</v>
      </c>
      <c r="I149" s="114">
        <v>45244.0</v>
      </c>
    </row>
    <row r="150">
      <c r="E150" s="102" t="s">
        <v>179</v>
      </c>
      <c r="F150" s="103">
        <v>4.0</v>
      </c>
      <c r="G150" s="103">
        <v>50.0</v>
      </c>
      <c r="H150" s="9">
        <f t="shared" si="13"/>
        <v>200</v>
      </c>
      <c r="I150" s="103" t="s">
        <v>180</v>
      </c>
    </row>
    <row r="151">
      <c r="E151" s="102" t="s">
        <v>136</v>
      </c>
      <c r="F151" s="103">
        <v>3.0</v>
      </c>
      <c r="G151" s="103">
        <v>600.0</v>
      </c>
      <c r="H151" s="9">
        <f t="shared" si="13"/>
        <v>1800</v>
      </c>
      <c r="I151" s="114">
        <v>45244.0</v>
      </c>
    </row>
    <row r="152">
      <c r="E152" s="102" t="s">
        <v>156</v>
      </c>
      <c r="F152" s="103">
        <v>1.0</v>
      </c>
      <c r="G152" s="103">
        <v>50.0</v>
      </c>
      <c r="H152" s="9">
        <f t="shared" si="13"/>
        <v>50</v>
      </c>
      <c r="I152" s="114">
        <v>45244.0</v>
      </c>
    </row>
    <row r="153">
      <c r="E153" s="102" t="s">
        <v>181</v>
      </c>
      <c r="F153" s="103">
        <v>5.0</v>
      </c>
      <c r="G153" s="103">
        <v>40.0</v>
      </c>
      <c r="H153" s="9">
        <f t="shared" si="13"/>
        <v>200</v>
      </c>
      <c r="I153" s="114">
        <v>45244.0</v>
      </c>
    </row>
    <row r="154">
      <c r="E154" s="102" t="s">
        <v>149</v>
      </c>
      <c r="F154" s="103">
        <v>1.0</v>
      </c>
      <c r="G154" s="103">
        <v>1000.0</v>
      </c>
      <c r="H154" s="9">
        <f t="shared" si="13"/>
        <v>1000</v>
      </c>
      <c r="I154" s="114">
        <v>45245.0</v>
      </c>
    </row>
    <row r="155">
      <c r="E155" s="102" t="s">
        <v>137</v>
      </c>
      <c r="F155" s="103">
        <v>2.0</v>
      </c>
      <c r="G155" s="103">
        <v>1000.0</v>
      </c>
      <c r="H155" s="9">
        <f t="shared" si="13"/>
        <v>2000</v>
      </c>
      <c r="I155" s="114">
        <v>45245.0</v>
      </c>
    </row>
    <row r="156">
      <c r="E156" s="102" t="s">
        <v>129</v>
      </c>
      <c r="F156" s="103">
        <v>1.0</v>
      </c>
      <c r="G156" s="103">
        <v>1000.0</v>
      </c>
      <c r="H156" s="9">
        <f t="shared" si="13"/>
        <v>1000</v>
      </c>
      <c r="I156" s="114">
        <v>45245.0</v>
      </c>
    </row>
    <row r="157">
      <c r="E157" s="102" t="s">
        <v>84</v>
      </c>
      <c r="F157" s="103">
        <v>2.0</v>
      </c>
      <c r="G157" s="103">
        <v>200.0</v>
      </c>
      <c r="H157" s="9">
        <f t="shared" si="13"/>
        <v>400</v>
      </c>
      <c r="I157" s="114">
        <v>45245.0</v>
      </c>
    </row>
    <row r="158">
      <c r="E158" s="102" t="s">
        <v>182</v>
      </c>
      <c r="F158" s="103">
        <v>4.0</v>
      </c>
      <c r="G158" s="103">
        <v>500.0</v>
      </c>
      <c r="H158" s="9">
        <f t="shared" si="13"/>
        <v>2000</v>
      </c>
      <c r="I158" s="114">
        <v>45245.0</v>
      </c>
    </row>
    <row r="159">
      <c r="E159" s="102" t="s">
        <v>183</v>
      </c>
      <c r="F159" s="103">
        <v>20.0</v>
      </c>
      <c r="G159" s="103">
        <v>600.0</v>
      </c>
      <c r="H159" s="9">
        <f t="shared" si="13"/>
        <v>12000</v>
      </c>
      <c r="I159" s="114">
        <v>45245.0</v>
      </c>
    </row>
    <row r="160">
      <c r="E160" s="102" t="s">
        <v>184</v>
      </c>
      <c r="F160" s="103">
        <v>3.0</v>
      </c>
      <c r="G160" s="103">
        <v>500.0</v>
      </c>
      <c r="H160" s="9">
        <f t="shared" si="13"/>
        <v>1500</v>
      </c>
      <c r="I160" s="114">
        <v>45246.0</v>
      </c>
    </row>
    <row r="161">
      <c r="E161" s="102" t="s">
        <v>185</v>
      </c>
      <c r="F161" s="103">
        <v>6.0</v>
      </c>
      <c r="G161" s="103">
        <v>110.0</v>
      </c>
      <c r="H161" s="9">
        <f t="shared" si="13"/>
        <v>660</v>
      </c>
      <c r="I161" s="114">
        <v>45246.0</v>
      </c>
    </row>
    <row r="162">
      <c r="E162" s="102" t="s">
        <v>138</v>
      </c>
      <c r="F162" s="103">
        <v>25.0</v>
      </c>
      <c r="G162" s="103">
        <v>100.0</v>
      </c>
      <c r="H162" s="9">
        <f t="shared" si="13"/>
        <v>2500</v>
      </c>
      <c r="I162" s="114">
        <v>45246.0</v>
      </c>
    </row>
    <row r="163">
      <c r="E163" s="102" t="s">
        <v>186</v>
      </c>
      <c r="F163" s="103">
        <v>2.0</v>
      </c>
      <c r="G163" s="103">
        <v>230.0</v>
      </c>
      <c r="H163" s="9">
        <f t="shared" si="13"/>
        <v>460</v>
      </c>
      <c r="I163" s="114">
        <v>45246.0</v>
      </c>
    </row>
    <row r="164">
      <c r="E164" s="102" t="s">
        <v>187</v>
      </c>
      <c r="F164" s="103">
        <v>5.0</v>
      </c>
      <c r="G164" s="103">
        <v>70.0</v>
      </c>
      <c r="H164" s="9">
        <f t="shared" si="13"/>
        <v>350</v>
      </c>
      <c r="I164" s="114">
        <v>45246.0</v>
      </c>
    </row>
    <row r="165">
      <c r="E165" s="102" t="s">
        <v>188</v>
      </c>
      <c r="F165" s="103">
        <v>2.0</v>
      </c>
      <c r="G165" s="103">
        <v>130.0</v>
      </c>
      <c r="H165" s="9">
        <f t="shared" si="13"/>
        <v>260</v>
      </c>
      <c r="I165" s="114">
        <v>45246.0</v>
      </c>
    </row>
    <row r="166">
      <c r="E166" s="102" t="s">
        <v>189</v>
      </c>
      <c r="F166" s="103">
        <v>1.0</v>
      </c>
      <c r="G166" s="103">
        <v>750.0</v>
      </c>
      <c r="H166" s="9">
        <f t="shared" si="13"/>
        <v>750</v>
      </c>
      <c r="I166" s="114">
        <v>45246.0</v>
      </c>
    </row>
    <row r="167">
      <c r="E167" s="102" t="s">
        <v>190</v>
      </c>
      <c r="F167" s="103">
        <v>5.0</v>
      </c>
      <c r="G167" s="103">
        <v>200.0</v>
      </c>
      <c r="H167" s="9">
        <f t="shared" si="13"/>
        <v>1000</v>
      </c>
      <c r="I167" s="114">
        <v>45246.0</v>
      </c>
    </row>
    <row r="168">
      <c r="E168" s="102"/>
      <c r="F168" s="103"/>
      <c r="G168" s="103"/>
      <c r="H168" s="9"/>
      <c r="I168" s="114"/>
    </row>
    <row r="169">
      <c r="E169" s="102"/>
      <c r="F169" s="103"/>
      <c r="G169" s="103"/>
      <c r="H169" s="9"/>
      <c r="I169" s="114"/>
    </row>
    <row r="170">
      <c r="E170" s="102" t="s">
        <v>191</v>
      </c>
      <c r="F170" s="103">
        <v>10.0</v>
      </c>
      <c r="G170" s="103">
        <v>20.0</v>
      </c>
      <c r="H170" s="14">
        <v>200.0</v>
      </c>
      <c r="I170" s="114">
        <v>45246.0</v>
      </c>
    </row>
    <row r="171">
      <c r="E171" s="102" t="s">
        <v>192</v>
      </c>
      <c r="F171" s="103">
        <v>1.0</v>
      </c>
      <c r="G171" s="103">
        <v>150.0</v>
      </c>
      <c r="H171" s="9">
        <f t="shared" ref="H171:H190" si="14">G171*F171</f>
        <v>150</v>
      </c>
      <c r="I171" s="114">
        <v>45246.0</v>
      </c>
    </row>
    <row r="172">
      <c r="E172" s="102" t="s">
        <v>193</v>
      </c>
      <c r="F172" s="103">
        <v>3.0</v>
      </c>
      <c r="G172" s="103">
        <v>1000.0</v>
      </c>
      <c r="H172" s="9">
        <f t="shared" si="14"/>
        <v>3000</v>
      </c>
      <c r="I172" s="114">
        <v>45248.0</v>
      </c>
    </row>
    <row r="173">
      <c r="E173" s="102" t="s">
        <v>150</v>
      </c>
      <c r="F173" s="103">
        <v>20.0</v>
      </c>
      <c r="G173" s="103">
        <v>50.0</v>
      </c>
      <c r="H173" s="9">
        <f t="shared" si="14"/>
        <v>1000</v>
      </c>
      <c r="I173" s="114">
        <v>6695949.0</v>
      </c>
    </row>
    <row r="174">
      <c r="E174" s="102" t="s">
        <v>138</v>
      </c>
      <c r="F174" s="103">
        <v>25.0</v>
      </c>
      <c r="G174" s="103">
        <v>100.0</v>
      </c>
      <c r="H174" s="9">
        <f t="shared" si="14"/>
        <v>2500</v>
      </c>
      <c r="I174" s="114">
        <v>45248.0</v>
      </c>
    </row>
    <row r="175">
      <c r="E175" s="102" t="s">
        <v>194</v>
      </c>
      <c r="F175" s="103">
        <v>4.0</v>
      </c>
      <c r="G175" s="103">
        <v>1000.0</v>
      </c>
      <c r="H175" s="9">
        <f t="shared" si="14"/>
        <v>4000</v>
      </c>
      <c r="I175" s="114">
        <v>45248.0</v>
      </c>
    </row>
    <row r="176">
      <c r="E176" s="102" t="s">
        <v>195</v>
      </c>
      <c r="F176" s="103">
        <v>5.0</v>
      </c>
      <c r="G176" s="103">
        <v>120.0</v>
      </c>
      <c r="H176" s="9">
        <f t="shared" si="14"/>
        <v>600</v>
      </c>
      <c r="I176" s="114">
        <v>45248.0</v>
      </c>
    </row>
    <row r="177">
      <c r="E177" s="102" t="s">
        <v>196</v>
      </c>
      <c r="F177" s="103">
        <v>5.0</v>
      </c>
      <c r="G177" s="103">
        <v>200.0</v>
      </c>
      <c r="H177" s="9">
        <f t="shared" si="14"/>
        <v>1000</v>
      </c>
      <c r="I177" s="114">
        <v>45248.0</v>
      </c>
    </row>
    <row r="178">
      <c r="E178" s="102" t="s">
        <v>75</v>
      </c>
      <c r="F178" s="103">
        <v>3.0</v>
      </c>
      <c r="G178" s="103">
        <v>100.0</v>
      </c>
      <c r="H178" s="9">
        <f t="shared" si="14"/>
        <v>300</v>
      </c>
      <c r="I178" s="114">
        <v>45248.0</v>
      </c>
    </row>
    <row r="179">
      <c r="E179" s="102" t="s">
        <v>197</v>
      </c>
      <c r="F179" s="103">
        <v>2.0</v>
      </c>
      <c r="G179" s="103">
        <v>200.0</v>
      </c>
      <c r="H179" s="9">
        <f t="shared" si="14"/>
        <v>400</v>
      </c>
      <c r="I179" s="114">
        <v>45248.0</v>
      </c>
    </row>
    <row r="180">
      <c r="E180" s="102" t="s">
        <v>198</v>
      </c>
      <c r="F180" s="103">
        <v>1.0</v>
      </c>
      <c r="G180" s="103">
        <v>500.0</v>
      </c>
      <c r="H180" s="9">
        <f t="shared" si="14"/>
        <v>500</v>
      </c>
      <c r="I180" s="114">
        <v>45248.0</v>
      </c>
    </row>
    <row r="181">
      <c r="E181" s="102" t="s">
        <v>199</v>
      </c>
      <c r="F181" s="103">
        <v>2.0</v>
      </c>
      <c r="G181" s="103">
        <v>800.0</v>
      </c>
      <c r="H181" s="9">
        <f t="shared" si="14"/>
        <v>1600</v>
      </c>
      <c r="I181" s="114">
        <v>45248.0</v>
      </c>
    </row>
    <row r="182">
      <c r="E182" s="102" t="s">
        <v>200</v>
      </c>
      <c r="F182" s="103">
        <v>1.0</v>
      </c>
      <c r="G182" s="103">
        <v>1100.0</v>
      </c>
      <c r="H182" s="9">
        <f t="shared" si="14"/>
        <v>1100</v>
      </c>
      <c r="I182" s="114">
        <v>45248.0</v>
      </c>
    </row>
    <row r="183">
      <c r="E183" s="102" t="s">
        <v>168</v>
      </c>
      <c r="F183" s="103">
        <v>1.0</v>
      </c>
      <c r="G183" s="103">
        <v>190.0</v>
      </c>
      <c r="H183" s="9">
        <f t="shared" si="14"/>
        <v>190</v>
      </c>
      <c r="I183" s="114">
        <v>45217.0</v>
      </c>
    </row>
    <row r="184">
      <c r="E184" s="102" t="s">
        <v>166</v>
      </c>
      <c r="F184" s="103">
        <v>1.0</v>
      </c>
      <c r="G184" s="103">
        <v>660.0</v>
      </c>
      <c r="H184" s="9">
        <f t="shared" si="14"/>
        <v>660</v>
      </c>
      <c r="I184" s="114">
        <v>45248.0</v>
      </c>
    </row>
    <row r="185">
      <c r="E185" s="102" t="s">
        <v>201</v>
      </c>
      <c r="F185" s="103">
        <v>5.0</v>
      </c>
      <c r="G185" s="103">
        <v>25.0</v>
      </c>
      <c r="H185" s="9">
        <f t="shared" si="14"/>
        <v>125</v>
      </c>
      <c r="I185" s="114">
        <v>45248.0</v>
      </c>
    </row>
    <row r="186">
      <c r="E186" s="102" t="s">
        <v>202</v>
      </c>
      <c r="F186" s="103">
        <v>1.0</v>
      </c>
      <c r="G186" s="103">
        <v>85.0</v>
      </c>
      <c r="H186" s="9">
        <f t="shared" si="14"/>
        <v>85</v>
      </c>
      <c r="I186" s="114">
        <v>45248.0</v>
      </c>
    </row>
    <row r="187">
      <c r="E187" s="102" t="s">
        <v>185</v>
      </c>
      <c r="F187" s="103">
        <v>4.0</v>
      </c>
      <c r="G187" s="103">
        <v>100.0</v>
      </c>
      <c r="H187" s="9">
        <f t="shared" si="14"/>
        <v>400</v>
      </c>
      <c r="I187" s="114">
        <v>45248.0</v>
      </c>
    </row>
    <row r="188">
      <c r="E188" s="102" t="s">
        <v>203</v>
      </c>
      <c r="F188" s="103">
        <v>2.0</v>
      </c>
      <c r="G188" s="103">
        <v>200.0</v>
      </c>
      <c r="H188" s="9">
        <f t="shared" si="14"/>
        <v>400</v>
      </c>
      <c r="I188" s="114">
        <v>45248.0</v>
      </c>
    </row>
    <row r="189">
      <c r="E189" s="102" t="s">
        <v>138</v>
      </c>
      <c r="F189" s="103">
        <v>13.0</v>
      </c>
      <c r="G189" s="103">
        <v>100.0</v>
      </c>
      <c r="H189" s="9">
        <f t="shared" si="14"/>
        <v>1300</v>
      </c>
      <c r="I189" s="114">
        <v>45248.0</v>
      </c>
    </row>
    <row r="190">
      <c r="E190" s="102" t="s">
        <v>204</v>
      </c>
      <c r="F190" s="103">
        <v>1.0</v>
      </c>
      <c r="G190" s="103">
        <v>530.0</v>
      </c>
      <c r="H190" s="9">
        <f t="shared" si="14"/>
        <v>530</v>
      </c>
      <c r="I190" s="114">
        <v>45248.0</v>
      </c>
    </row>
    <row r="191">
      <c r="E191" s="102" t="s">
        <v>205</v>
      </c>
      <c r="F191" s="103">
        <v>2.0</v>
      </c>
      <c r="G191" s="103">
        <v>220.0</v>
      </c>
      <c r="H191" s="56">
        <f t="shared" ref="H191:H204" si="15">F191*G191</f>
        <v>440</v>
      </c>
      <c r="I191" s="114">
        <v>45248.0</v>
      </c>
    </row>
    <row r="192">
      <c r="E192" s="102" t="s">
        <v>206</v>
      </c>
      <c r="F192" s="103">
        <v>1.0</v>
      </c>
      <c r="G192" s="103">
        <v>500.0</v>
      </c>
      <c r="H192" s="56">
        <f t="shared" si="15"/>
        <v>500</v>
      </c>
      <c r="I192" s="114">
        <v>45248.0</v>
      </c>
    </row>
    <row r="193">
      <c r="E193" s="102" t="s">
        <v>167</v>
      </c>
      <c r="F193" s="103">
        <v>1.0</v>
      </c>
      <c r="G193" s="103">
        <v>890.0</v>
      </c>
      <c r="H193" s="56">
        <f t="shared" si="15"/>
        <v>890</v>
      </c>
      <c r="I193" s="114">
        <v>45248.0</v>
      </c>
    </row>
    <row r="194">
      <c r="E194" s="102" t="s">
        <v>207</v>
      </c>
      <c r="F194" s="103">
        <v>5.0</v>
      </c>
      <c r="G194" s="103">
        <v>100.0</v>
      </c>
      <c r="H194" s="56">
        <f t="shared" si="15"/>
        <v>500</v>
      </c>
      <c r="I194" s="114">
        <v>45248.0</v>
      </c>
    </row>
    <row r="195">
      <c r="E195" s="102" t="s">
        <v>148</v>
      </c>
      <c r="F195" s="103">
        <v>2.0</v>
      </c>
      <c r="G195" s="103">
        <v>450.0</v>
      </c>
      <c r="H195" s="56">
        <f t="shared" si="15"/>
        <v>900</v>
      </c>
      <c r="I195" s="114">
        <v>45248.0</v>
      </c>
    </row>
    <row r="196">
      <c r="E196" s="102" t="s">
        <v>208</v>
      </c>
      <c r="F196" s="103">
        <v>10.0</v>
      </c>
      <c r="G196" s="103">
        <v>7.5</v>
      </c>
      <c r="H196" s="56">
        <f t="shared" si="15"/>
        <v>75</v>
      </c>
      <c r="I196" s="114">
        <v>45248.0</v>
      </c>
    </row>
    <row r="197">
      <c r="E197" s="102" t="s">
        <v>209</v>
      </c>
      <c r="F197" s="103">
        <v>1.0</v>
      </c>
      <c r="G197" s="103">
        <v>260.0</v>
      </c>
      <c r="H197" s="56">
        <f t="shared" si="15"/>
        <v>260</v>
      </c>
      <c r="I197" s="114">
        <v>45248.0</v>
      </c>
    </row>
    <row r="198">
      <c r="E198" s="102" t="s">
        <v>189</v>
      </c>
      <c r="F198" s="103">
        <v>1.0</v>
      </c>
      <c r="G198" s="103">
        <v>1400.0</v>
      </c>
      <c r="H198" s="56">
        <f t="shared" si="15"/>
        <v>1400</v>
      </c>
      <c r="I198" s="114">
        <v>45250.0</v>
      </c>
    </row>
    <row r="199">
      <c r="E199" s="102" t="s">
        <v>138</v>
      </c>
      <c r="F199" s="103">
        <v>40.0</v>
      </c>
      <c r="G199" s="103">
        <v>100.0</v>
      </c>
      <c r="H199" s="56">
        <f t="shared" si="15"/>
        <v>4000</v>
      </c>
      <c r="I199" s="114">
        <v>45250.0</v>
      </c>
    </row>
    <row r="200">
      <c r="E200" s="102" t="s">
        <v>210</v>
      </c>
      <c r="F200" s="103">
        <v>1.0</v>
      </c>
      <c r="G200" s="103">
        <v>600.0</v>
      </c>
      <c r="H200" s="56">
        <f t="shared" si="15"/>
        <v>600</v>
      </c>
      <c r="I200" s="114">
        <v>45250.0</v>
      </c>
    </row>
    <row r="201">
      <c r="E201" s="102" t="s">
        <v>211</v>
      </c>
      <c r="F201" s="103">
        <v>2.0</v>
      </c>
      <c r="G201" s="103">
        <v>200.0</v>
      </c>
      <c r="H201" s="56">
        <f t="shared" si="15"/>
        <v>400</v>
      </c>
      <c r="I201" s="114">
        <v>45250.0</v>
      </c>
    </row>
    <row r="202">
      <c r="E202" s="102" t="s">
        <v>150</v>
      </c>
      <c r="F202" s="103">
        <v>10.0</v>
      </c>
      <c r="G202" s="103">
        <v>65.0</v>
      </c>
      <c r="H202" s="56">
        <f t="shared" si="15"/>
        <v>650</v>
      </c>
      <c r="I202" s="114">
        <v>45250.0</v>
      </c>
    </row>
    <row r="203">
      <c r="E203" s="102" t="s">
        <v>212</v>
      </c>
      <c r="F203" s="103">
        <v>3.0</v>
      </c>
      <c r="G203" s="103">
        <v>500.0</v>
      </c>
      <c r="H203" s="56">
        <f t="shared" si="15"/>
        <v>1500</v>
      </c>
      <c r="I203" s="114">
        <v>45252.0</v>
      </c>
    </row>
    <row r="204">
      <c r="E204" s="102" t="s">
        <v>213</v>
      </c>
      <c r="F204" s="103">
        <v>6.0</v>
      </c>
      <c r="G204" s="103">
        <v>1600.0</v>
      </c>
      <c r="H204" s="56">
        <f t="shared" si="15"/>
        <v>9600</v>
      </c>
      <c r="I204" s="114">
        <v>45252.0</v>
      </c>
    </row>
    <row r="205">
      <c r="E205" s="102" t="s">
        <v>214</v>
      </c>
      <c r="F205" s="103">
        <v>0.0</v>
      </c>
      <c r="G205" s="103">
        <v>1800.0</v>
      </c>
      <c r="H205" s="115">
        <f>G205*F205</f>
        <v>0</v>
      </c>
      <c r="I205" s="114">
        <v>45252.0</v>
      </c>
      <c r="J205" s="109">
        <v>2.0</v>
      </c>
    </row>
    <row r="206">
      <c r="E206" s="102"/>
      <c r="F206" s="103"/>
      <c r="G206" s="103"/>
      <c r="H206" s="56"/>
      <c r="I206" s="114"/>
    </row>
    <row r="207">
      <c r="E207" s="102"/>
      <c r="F207" s="103"/>
      <c r="G207" s="103"/>
      <c r="H207" s="56"/>
      <c r="I207" s="114"/>
    </row>
    <row r="208">
      <c r="E208" s="102" t="s">
        <v>145</v>
      </c>
      <c r="F208" s="103">
        <v>32.0</v>
      </c>
      <c r="G208" s="103">
        <v>270.0</v>
      </c>
      <c r="H208" s="56">
        <f t="shared" ref="H208:H218" si="16">F208*G208</f>
        <v>8640</v>
      </c>
      <c r="I208" s="114">
        <v>45252.0</v>
      </c>
    </row>
    <row r="209">
      <c r="E209" s="102" t="s">
        <v>84</v>
      </c>
      <c r="F209" s="103">
        <v>20.0</v>
      </c>
      <c r="G209" s="103">
        <v>200.0</v>
      </c>
      <c r="H209" s="56">
        <f t="shared" si="16"/>
        <v>4000</v>
      </c>
      <c r="I209" s="114">
        <v>45252.0</v>
      </c>
    </row>
    <row r="210">
      <c r="E210" s="102" t="s">
        <v>215</v>
      </c>
      <c r="F210" s="103">
        <v>1.0</v>
      </c>
      <c r="G210" s="103">
        <v>100.0</v>
      </c>
      <c r="H210" s="56">
        <f t="shared" si="16"/>
        <v>100</v>
      </c>
      <c r="I210" s="114">
        <v>45252.0</v>
      </c>
    </row>
    <row r="211">
      <c r="E211" s="102" t="s">
        <v>216</v>
      </c>
      <c r="F211" s="103">
        <v>2.0</v>
      </c>
      <c r="G211" s="103">
        <v>300.0</v>
      </c>
      <c r="H211" s="56">
        <f t="shared" si="16"/>
        <v>600</v>
      </c>
      <c r="I211" s="114">
        <v>45252.0</v>
      </c>
    </row>
    <row r="212">
      <c r="E212" s="102" t="s">
        <v>217</v>
      </c>
      <c r="F212" s="103">
        <v>2.0</v>
      </c>
      <c r="G212" s="103">
        <v>200.0</v>
      </c>
      <c r="H212" s="56">
        <f t="shared" si="16"/>
        <v>400</v>
      </c>
      <c r="I212" s="114">
        <v>45252.0</v>
      </c>
    </row>
    <row r="213">
      <c r="E213" s="102" t="s">
        <v>218</v>
      </c>
      <c r="F213" s="103">
        <v>1.0</v>
      </c>
      <c r="G213" s="103">
        <v>220.0</v>
      </c>
      <c r="H213" s="56">
        <f t="shared" si="16"/>
        <v>220</v>
      </c>
      <c r="I213" s="114">
        <v>45252.0</v>
      </c>
    </row>
    <row r="214">
      <c r="E214" s="102" t="s">
        <v>219</v>
      </c>
      <c r="F214" s="103">
        <v>1.0</v>
      </c>
      <c r="G214" s="103">
        <v>600.0</v>
      </c>
      <c r="H214" s="56">
        <f t="shared" si="16"/>
        <v>600</v>
      </c>
      <c r="I214" s="114">
        <v>45252.0</v>
      </c>
    </row>
    <row r="215">
      <c r="E215" s="102" t="s">
        <v>137</v>
      </c>
      <c r="F215" s="103">
        <v>5.0</v>
      </c>
      <c r="G215" s="103">
        <v>1000.0</v>
      </c>
      <c r="H215" s="56">
        <f t="shared" si="16"/>
        <v>5000</v>
      </c>
      <c r="I215" s="114">
        <v>45252.0</v>
      </c>
    </row>
    <row r="216">
      <c r="E216" s="102" t="s">
        <v>220</v>
      </c>
      <c r="F216" s="103">
        <v>2.0</v>
      </c>
      <c r="G216" s="103">
        <v>1000.0</v>
      </c>
      <c r="H216" s="56">
        <f t="shared" si="16"/>
        <v>2000</v>
      </c>
      <c r="I216" s="114">
        <v>45252.0</v>
      </c>
    </row>
    <row r="217">
      <c r="E217" s="102" t="s">
        <v>221</v>
      </c>
      <c r="F217" s="103">
        <v>5.0</v>
      </c>
      <c r="G217" s="103">
        <v>700.0</v>
      </c>
      <c r="H217" s="56">
        <f t="shared" si="16"/>
        <v>3500</v>
      </c>
      <c r="I217" s="114">
        <v>45252.0</v>
      </c>
    </row>
    <row r="218">
      <c r="E218" s="102" t="s">
        <v>222</v>
      </c>
      <c r="F218" s="103">
        <v>16.0</v>
      </c>
      <c r="G218" s="103">
        <v>120.0</v>
      </c>
      <c r="H218" s="56">
        <f t="shared" si="16"/>
        <v>1920</v>
      </c>
      <c r="I218" s="114">
        <v>44948.0</v>
      </c>
    </row>
    <row r="219">
      <c r="E219" s="102"/>
      <c r="F219" s="103"/>
      <c r="G219" s="103"/>
      <c r="H219" s="56"/>
      <c r="I219" s="114"/>
    </row>
    <row r="220">
      <c r="E220" s="102" t="s">
        <v>154</v>
      </c>
      <c r="F220" s="103">
        <v>1.0</v>
      </c>
      <c r="G220" s="103">
        <v>400.0</v>
      </c>
      <c r="H220" s="56">
        <f>F220*G220</f>
        <v>400</v>
      </c>
      <c r="I220" s="114">
        <v>45252.0</v>
      </c>
    </row>
    <row r="221">
      <c r="E221" s="102"/>
      <c r="F221" s="103"/>
      <c r="G221" s="103"/>
      <c r="H221" s="56"/>
      <c r="I221" s="114"/>
    </row>
    <row r="222">
      <c r="E222" s="102"/>
      <c r="F222" s="103"/>
      <c r="G222" s="103"/>
      <c r="H222" s="56"/>
      <c r="I222" s="114"/>
    </row>
    <row r="223">
      <c r="E223" s="102" t="s">
        <v>223</v>
      </c>
      <c r="F223" s="103">
        <v>5.0</v>
      </c>
      <c r="G223" s="103">
        <v>360.0</v>
      </c>
      <c r="H223" s="56">
        <f>F223*G223</f>
        <v>1800</v>
      </c>
      <c r="I223" s="114">
        <v>45252.0</v>
      </c>
    </row>
    <row r="224">
      <c r="E224" s="102"/>
      <c r="F224" s="103"/>
      <c r="G224" s="103"/>
      <c r="H224" s="56"/>
      <c r="I224" s="114"/>
    </row>
    <row r="225">
      <c r="E225" s="102"/>
      <c r="F225" s="103"/>
      <c r="G225" s="103"/>
      <c r="H225" s="56"/>
      <c r="I225" s="114"/>
    </row>
    <row r="226">
      <c r="E226" s="102"/>
      <c r="F226" s="103"/>
      <c r="G226" s="103"/>
      <c r="H226" s="56"/>
      <c r="I226" s="114"/>
    </row>
    <row r="227">
      <c r="E227" s="102"/>
      <c r="F227" s="103"/>
      <c r="G227" s="103"/>
      <c r="H227" s="56"/>
      <c r="I227" s="114"/>
    </row>
    <row r="228">
      <c r="E228" s="102" t="s">
        <v>87</v>
      </c>
      <c r="F228" s="103">
        <v>4.0</v>
      </c>
      <c r="G228" s="103">
        <v>650.0</v>
      </c>
      <c r="H228" s="56">
        <f t="shared" ref="H228:H252" si="17">F228*G228</f>
        <v>2600</v>
      </c>
      <c r="I228" s="114">
        <v>45252.0</v>
      </c>
    </row>
    <row r="229">
      <c r="E229" s="102" t="s">
        <v>224</v>
      </c>
      <c r="F229" s="103">
        <v>1.0</v>
      </c>
      <c r="G229" s="103">
        <v>19720.0</v>
      </c>
      <c r="H229" s="56">
        <f t="shared" si="17"/>
        <v>19720</v>
      </c>
      <c r="I229" s="114">
        <v>45252.0</v>
      </c>
    </row>
    <row r="230">
      <c r="E230" s="102" t="s">
        <v>225</v>
      </c>
      <c r="F230" s="103">
        <v>1.0</v>
      </c>
      <c r="G230" s="103">
        <v>400.0</v>
      </c>
      <c r="H230" s="56">
        <f t="shared" si="17"/>
        <v>400</v>
      </c>
      <c r="I230" s="114">
        <v>45252.0</v>
      </c>
    </row>
    <row r="231">
      <c r="E231" s="102" t="s">
        <v>105</v>
      </c>
      <c r="F231" s="103">
        <v>32.0</v>
      </c>
      <c r="G231" s="103">
        <v>190.0</v>
      </c>
      <c r="H231" s="56">
        <f t="shared" si="17"/>
        <v>6080</v>
      </c>
      <c r="I231" s="114">
        <v>45252.0</v>
      </c>
    </row>
    <row r="232">
      <c r="E232" s="102" t="s">
        <v>226</v>
      </c>
      <c r="F232" s="103">
        <v>20.0</v>
      </c>
      <c r="G232" s="103">
        <v>42.0</v>
      </c>
      <c r="H232" s="56">
        <f t="shared" si="17"/>
        <v>840</v>
      </c>
      <c r="I232" s="114">
        <v>45252.0</v>
      </c>
    </row>
    <row r="233">
      <c r="E233" s="102" t="s">
        <v>227</v>
      </c>
      <c r="F233" s="103">
        <v>10.0</v>
      </c>
      <c r="G233" s="103">
        <v>21.0</v>
      </c>
      <c r="H233" s="56">
        <f t="shared" si="17"/>
        <v>210</v>
      </c>
      <c r="I233" s="114">
        <v>45252.0</v>
      </c>
    </row>
    <row r="234">
      <c r="E234" s="102" t="s">
        <v>137</v>
      </c>
      <c r="F234" s="103">
        <v>2.0</v>
      </c>
      <c r="G234" s="103">
        <v>1000.0</v>
      </c>
      <c r="H234" s="56">
        <f t="shared" si="17"/>
        <v>2000</v>
      </c>
      <c r="I234" s="114">
        <v>45253.0</v>
      </c>
    </row>
    <row r="235">
      <c r="E235" s="102" t="s">
        <v>196</v>
      </c>
      <c r="F235" s="103">
        <v>7.0</v>
      </c>
      <c r="G235" s="103">
        <v>200.0</v>
      </c>
      <c r="H235" s="56">
        <f t="shared" si="17"/>
        <v>1400</v>
      </c>
      <c r="I235" s="114">
        <v>45253.0</v>
      </c>
    </row>
    <row r="236">
      <c r="E236" s="102" t="s">
        <v>150</v>
      </c>
      <c r="F236" s="103">
        <v>16.0</v>
      </c>
      <c r="G236" s="103">
        <v>45.0</v>
      </c>
      <c r="H236" s="56">
        <f t="shared" si="17"/>
        <v>720</v>
      </c>
      <c r="I236" s="114">
        <v>45253.0</v>
      </c>
    </row>
    <row r="237">
      <c r="E237" s="102" t="s">
        <v>185</v>
      </c>
      <c r="F237" s="103">
        <v>8.0</v>
      </c>
      <c r="G237" s="103">
        <v>120.0</v>
      </c>
      <c r="H237" s="56">
        <f t="shared" si="17"/>
        <v>960</v>
      </c>
      <c r="I237" s="114">
        <v>45253.0</v>
      </c>
    </row>
    <row r="238">
      <c r="E238" s="102" t="s">
        <v>228</v>
      </c>
      <c r="F238" s="103">
        <v>5.0</v>
      </c>
      <c r="G238" s="103">
        <v>100.0</v>
      </c>
      <c r="H238" s="56">
        <f t="shared" si="17"/>
        <v>500</v>
      </c>
      <c r="I238" s="114">
        <v>45253.0</v>
      </c>
    </row>
    <row r="239">
      <c r="E239" s="102" t="s">
        <v>138</v>
      </c>
      <c r="F239" s="103">
        <v>20.0</v>
      </c>
      <c r="G239" s="103">
        <v>100.0</v>
      </c>
      <c r="H239" s="56">
        <f t="shared" si="17"/>
        <v>2000</v>
      </c>
      <c r="I239" s="114">
        <v>45253.0</v>
      </c>
    </row>
    <row r="240">
      <c r="E240" s="102" t="s">
        <v>229</v>
      </c>
      <c r="F240" s="103">
        <v>2.0</v>
      </c>
      <c r="G240" s="103">
        <v>450.0</v>
      </c>
      <c r="H240" s="56">
        <f t="shared" si="17"/>
        <v>900</v>
      </c>
      <c r="I240" s="114">
        <v>45253.0</v>
      </c>
    </row>
    <row r="241">
      <c r="E241" s="102" t="s">
        <v>230</v>
      </c>
      <c r="F241" s="103">
        <v>1.0</v>
      </c>
      <c r="G241" s="103">
        <v>350.0</v>
      </c>
      <c r="H241" s="56">
        <f t="shared" si="17"/>
        <v>350</v>
      </c>
      <c r="I241" s="114">
        <v>45253.0</v>
      </c>
    </row>
    <row r="242">
      <c r="E242" s="102" t="s">
        <v>137</v>
      </c>
      <c r="F242" s="103">
        <v>2.0</v>
      </c>
      <c r="G242" s="103">
        <v>1000.0</v>
      </c>
      <c r="H242" s="56">
        <f t="shared" si="17"/>
        <v>2000</v>
      </c>
      <c r="I242" s="114">
        <v>45254.0</v>
      </c>
    </row>
    <row r="243">
      <c r="E243" s="102" t="s">
        <v>185</v>
      </c>
      <c r="F243" s="103">
        <v>3.0</v>
      </c>
      <c r="G243" s="103">
        <v>120.0</v>
      </c>
      <c r="H243" s="56">
        <f t="shared" si="17"/>
        <v>360</v>
      </c>
      <c r="I243" s="114">
        <v>45254.0</v>
      </c>
    </row>
    <row r="244">
      <c r="E244" s="102" t="s">
        <v>138</v>
      </c>
      <c r="F244" s="103">
        <v>5.0</v>
      </c>
      <c r="G244" s="103">
        <v>100.0</v>
      </c>
      <c r="H244" s="56">
        <f t="shared" si="17"/>
        <v>500</v>
      </c>
      <c r="I244" s="114">
        <v>45254.0</v>
      </c>
    </row>
    <row r="245">
      <c r="E245" s="102" t="s">
        <v>149</v>
      </c>
      <c r="F245" s="103">
        <v>1.0</v>
      </c>
      <c r="G245" s="103">
        <v>1500.0</v>
      </c>
      <c r="H245" s="56">
        <f t="shared" si="17"/>
        <v>1500</v>
      </c>
      <c r="I245" s="114">
        <v>45254.0</v>
      </c>
    </row>
    <row r="246">
      <c r="E246" s="102" t="s">
        <v>155</v>
      </c>
      <c r="F246" s="103">
        <v>4.0</v>
      </c>
      <c r="G246" s="103">
        <v>100.0</v>
      </c>
      <c r="H246" s="56">
        <f t="shared" si="17"/>
        <v>400</v>
      </c>
      <c r="I246" s="114">
        <v>45254.0</v>
      </c>
    </row>
    <row r="247">
      <c r="E247" s="102" t="s">
        <v>156</v>
      </c>
      <c r="F247" s="103">
        <v>1.0</v>
      </c>
      <c r="G247" s="103">
        <v>70.0</v>
      </c>
      <c r="H247" s="56">
        <f t="shared" si="17"/>
        <v>70</v>
      </c>
      <c r="I247" s="114">
        <v>45254.0</v>
      </c>
    </row>
    <row r="248">
      <c r="E248" s="102" t="s">
        <v>87</v>
      </c>
      <c r="F248" s="103">
        <v>1.0</v>
      </c>
      <c r="G248" s="103">
        <v>700.0</v>
      </c>
      <c r="H248" s="56">
        <f t="shared" si="17"/>
        <v>700</v>
      </c>
      <c r="I248" s="114">
        <v>45254.0</v>
      </c>
    </row>
    <row r="249">
      <c r="E249" s="102" t="s">
        <v>231</v>
      </c>
      <c r="F249" s="103">
        <v>2.0</v>
      </c>
      <c r="G249" s="103">
        <v>1000.0</v>
      </c>
      <c r="H249" s="56">
        <f t="shared" si="17"/>
        <v>2000</v>
      </c>
      <c r="I249" s="114">
        <v>45254.0</v>
      </c>
    </row>
    <row r="250">
      <c r="E250" s="102" t="s">
        <v>150</v>
      </c>
      <c r="F250" s="103">
        <v>40.0</v>
      </c>
      <c r="G250" s="103">
        <v>45.0</v>
      </c>
      <c r="H250" s="56">
        <f t="shared" si="17"/>
        <v>1800</v>
      </c>
      <c r="I250" s="114">
        <v>45255.0</v>
      </c>
    </row>
    <row r="251">
      <c r="E251" s="102" t="s">
        <v>137</v>
      </c>
      <c r="F251" s="103">
        <v>3.0</v>
      </c>
      <c r="G251" s="103">
        <v>1000.0</v>
      </c>
      <c r="H251" s="56">
        <f t="shared" si="17"/>
        <v>3000</v>
      </c>
      <c r="I251" s="114">
        <v>2.9264655E7</v>
      </c>
    </row>
    <row r="252">
      <c r="E252" s="102" t="s">
        <v>232</v>
      </c>
      <c r="F252" s="103">
        <v>2.0</v>
      </c>
      <c r="G252" s="103">
        <v>200.0</v>
      </c>
      <c r="H252" s="56">
        <f t="shared" si="17"/>
        <v>400</v>
      </c>
      <c r="I252" s="114">
        <v>45255.0</v>
      </c>
    </row>
    <row r="253">
      <c r="E253" s="102"/>
      <c r="F253" s="103"/>
      <c r="G253" s="103"/>
      <c r="H253" s="56"/>
      <c r="I253" s="114"/>
    </row>
    <row r="254">
      <c r="E254" s="102" t="s">
        <v>185</v>
      </c>
      <c r="F254" s="103">
        <v>4.0</v>
      </c>
      <c r="G254" s="103">
        <v>120.0</v>
      </c>
      <c r="H254" s="56">
        <f t="shared" ref="H254:H257" si="18">F254*G254</f>
        <v>480</v>
      </c>
      <c r="I254" s="114">
        <v>45255.0</v>
      </c>
    </row>
    <row r="255">
      <c r="E255" s="102" t="s">
        <v>203</v>
      </c>
      <c r="F255" s="103">
        <v>2.0</v>
      </c>
      <c r="G255" s="103">
        <v>200.0</v>
      </c>
      <c r="H255" s="56">
        <f t="shared" si="18"/>
        <v>400</v>
      </c>
      <c r="I255" s="114">
        <v>45255.0</v>
      </c>
    </row>
    <row r="256">
      <c r="E256" s="102" t="s">
        <v>193</v>
      </c>
      <c r="F256" s="103">
        <v>1.0</v>
      </c>
      <c r="G256" s="103">
        <v>5000.0</v>
      </c>
      <c r="H256" s="56">
        <f t="shared" si="18"/>
        <v>5000</v>
      </c>
      <c r="I256" s="114">
        <v>45255.0</v>
      </c>
    </row>
    <row r="257">
      <c r="E257" s="102" t="s">
        <v>233</v>
      </c>
      <c r="F257" s="103">
        <v>1.0</v>
      </c>
      <c r="G257" s="103">
        <v>600.0</v>
      </c>
      <c r="H257" s="56">
        <f t="shared" si="18"/>
        <v>600</v>
      </c>
      <c r="I257" s="114">
        <v>45255.0</v>
      </c>
    </row>
    <row r="258">
      <c r="E258" s="102"/>
      <c r="F258" s="103"/>
      <c r="G258" s="103"/>
      <c r="H258" s="56"/>
      <c r="I258" s="114"/>
    </row>
    <row r="259">
      <c r="E259" s="102"/>
      <c r="F259" s="103"/>
      <c r="G259" s="103"/>
      <c r="H259" s="56"/>
      <c r="I259" s="114"/>
    </row>
    <row r="260">
      <c r="E260" s="102"/>
      <c r="F260" s="103"/>
      <c r="G260" s="103"/>
      <c r="H260" s="56"/>
      <c r="I260" s="114"/>
    </row>
    <row r="261">
      <c r="E261" s="102"/>
      <c r="F261" s="103"/>
      <c r="G261" s="103"/>
      <c r="H261" s="56"/>
      <c r="I261" s="114"/>
    </row>
    <row r="262">
      <c r="E262" s="102"/>
      <c r="F262" s="103"/>
      <c r="G262" s="103"/>
      <c r="H262" s="56"/>
      <c r="I262" s="114"/>
    </row>
    <row r="263">
      <c r="E263" s="102"/>
      <c r="F263" s="103"/>
      <c r="G263" s="103"/>
      <c r="H263" s="56"/>
      <c r="I263" s="114"/>
    </row>
    <row r="264">
      <c r="E264" s="102"/>
      <c r="F264" s="103"/>
      <c r="G264" s="103"/>
      <c r="H264" s="56"/>
      <c r="I264" s="114"/>
    </row>
    <row r="265">
      <c r="E265" s="102"/>
      <c r="F265" s="103"/>
      <c r="G265" s="103"/>
      <c r="H265" s="56"/>
      <c r="I265" s="114"/>
    </row>
    <row r="266">
      <c r="E266" s="102"/>
      <c r="F266" s="103"/>
      <c r="G266" s="103"/>
      <c r="H266" s="56"/>
      <c r="I266" s="114"/>
    </row>
    <row r="267">
      <c r="E267" s="102"/>
      <c r="F267" s="103"/>
      <c r="G267" s="103"/>
      <c r="H267" s="56"/>
      <c r="I267" s="114"/>
    </row>
    <row r="268">
      <c r="E268" s="102"/>
      <c r="F268" s="103"/>
      <c r="G268" s="103"/>
      <c r="H268" s="56"/>
      <c r="I268" s="114"/>
    </row>
    <row r="269">
      <c r="E269" s="102"/>
      <c r="F269" s="103"/>
      <c r="G269" s="103"/>
      <c r="H269" s="56"/>
      <c r="I269" s="114"/>
    </row>
    <row r="270">
      <c r="E270" s="102"/>
      <c r="F270" s="103"/>
      <c r="G270" s="103"/>
      <c r="H270" s="56"/>
      <c r="I270" s="114"/>
    </row>
    <row r="271">
      <c r="E271" s="102"/>
      <c r="F271" s="103"/>
      <c r="G271" s="103"/>
      <c r="H271" s="56"/>
      <c r="I271" s="114"/>
    </row>
    <row r="272">
      <c r="E272" s="102"/>
      <c r="F272" s="103"/>
      <c r="G272" s="103"/>
      <c r="H272" s="56"/>
      <c r="I272" s="114"/>
    </row>
    <row r="273">
      <c r="E273" s="102"/>
      <c r="F273" s="103"/>
      <c r="G273" s="103"/>
      <c r="H273" s="56"/>
      <c r="I273" s="114"/>
    </row>
    <row r="274">
      <c r="E274" s="102"/>
      <c r="F274" s="103"/>
      <c r="G274" s="103"/>
      <c r="H274" s="56"/>
      <c r="I274" s="114"/>
    </row>
    <row r="275">
      <c r="E275" s="102"/>
      <c r="F275" s="103"/>
      <c r="G275" s="103"/>
      <c r="H275" s="56"/>
      <c r="I275" s="114"/>
    </row>
    <row r="276">
      <c r="E276" s="102"/>
      <c r="F276" s="103"/>
      <c r="G276" s="103"/>
      <c r="H276" s="56"/>
      <c r="I276" s="114"/>
    </row>
    <row r="277">
      <c r="E277" s="102"/>
      <c r="F277" s="103"/>
      <c r="G277" s="103"/>
      <c r="H277" s="56"/>
      <c r="I277" s="114"/>
    </row>
    <row r="278">
      <c r="E278" s="102"/>
      <c r="F278" s="103"/>
      <c r="G278" s="103"/>
      <c r="H278" s="56"/>
      <c r="I278" s="114"/>
    </row>
    <row r="279">
      <c r="E279" s="102"/>
      <c r="F279" s="103"/>
      <c r="G279" s="103"/>
      <c r="H279" s="56"/>
      <c r="I279" s="114"/>
    </row>
    <row r="280">
      <c r="E280" s="102"/>
      <c r="F280" s="103"/>
      <c r="G280" s="103"/>
      <c r="H280" s="56"/>
      <c r="I280" s="114"/>
    </row>
    <row r="281">
      <c r="E281" s="102" t="s">
        <v>150</v>
      </c>
      <c r="F281" s="103">
        <v>45.0</v>
      </c>
      <c r="G281" s="103">
        <v>60.0</v>
      </c>
      <c r="H281" s="56">
        <f t="shared" ref="H281:H284" si="19">F281*G281</f>
        <v>2700</v>
      </c>
      <c r="I281" s="114">
        <v>45258.0</v>
      </c>
    </row>
    <row r="282">
      <c r="E282" s="102" t="s">
        <v>137</v>
      </c>
      <c r="F282" s="103">
        <v>4.0</v>
      </c>
      <c r="G282" s="103">
        <v>1000.0</v>
      </c>
      <c r="H282" s="56">
        <f t="shared" si="19"/>
        <v>4000</v>
      </c>
      <c r="I282" s="114">
        <v>45258.0</v>
      </c>
    </row>
    <row r="283">
      <c r="E283" s="102" t="s">
        <v>138</v>
      </c>
      <c r="F283" s="103">
        <v>7.0</v>
      </c>
      <c r="G283" s="103">
        <v>100.0</v>
      </c>
      <c r="H283" s="56">
        <f t="shared" si="19"/>
        <v>700</v>
      </c>
      <c r="I283" s="114">
        <v>45258.0</v>
      </c>
    </row>
    <row r="284">
      <c r="E284" s="102" t="s">
        <v>234</v>
      </c>
      <c r="F284" s="103">
        <v>1.0</v>
      </c>
      <c r="G284" s="103">
        <v>1000.0</v>
      </c>
      <c r="H284" s="56">
        <f t="shared" si="19"/>
        <v>1000</v>
      </c>
      <c r="I284" s="114">
        <v>45259.0</v>
      </c>
    </row>
    <row r="285">
      <c r="E285" s="102"/>
      <c r="F285" s="103"/>
      <c r="G285" s="103"/>
      <c r="H285" s="56"/>
      <c r="I285" s="114"/>
    </row>
    <row r="286">
      <c r="E286" s="102"/>
      <c r="F286" s="103"/>
      <c r="G286" s="103"/>
      <c r="H286" s="56"/>
      <c r="I286" s="114"/>
    </row>
    <row r="287">
      <c r="E287" s="102"/>
      <c r="F287" s="103"/>
      <c r="G287" s="103"/>
      <c r="H287" s="56"/>
      <c r="I287" s="114"/>
    </row>
    <row r="288">
      <c r="E288" s="102"/>
      <c r="F288" s="103"/>
      <c r="G288" s="103"/>
      <c r="H288" s="56"/>
      <c r="I288" s="114"/>
    </row>
    <row r="289">
      <c r="E289" s="102"/>
      <c r="F289" s="103"/>
      <c r="G289" s="103"/>
      <c r="H289" s="56"/>
      <c r="I289" s="114"/>
    </row>
    <row r="290">
      <c r="E290" s="102" t="s">
        <v>235</v>
      </c>
      <c r="F290" s="103">
        <v>1.0</v>
      </c>
      <c r="G290" s="103">
        <v>500.0</v>
      </c>
      <c r="H290" s="56">
        <f>F290*G290</f>
        <v>500</v>
      </c>
      <c r="I290" s="114">
        <v>45259.0</v>
      </c>
    </row>
    <row r="291">
      <c r="E291" s="102"/>
      <c r="F291" s="103"/>
      <c r="G291" s="103"/>
      <c r="H291" s="56"/>
      <c r="I291" s="114"/>
    </row>
    <row r="292">
      <c r="E292" s="116"/>
      <c r="F292" s="117"/>
      <c r="G292" s="117"/>
      <c r="H292" s="56">
        <f t="shared" ref="H292:H307" si="20">F292*G292</f>
        <v>0</v>
      </c>
      <c r="I292" s="117"/>
    </row>
    <row r="293">
      <c r="E293" s="116"/>
      <c r="F293" s="117"/>
      <c r="G293" s="117"/>
      <c r="H293" s="56">
        <f t="shared" si="20"/>
        <v>0</v>
      </c>
      <c r="I293" s="117"/>
    </row>
    <row r="294">
      <c r="E294" s="116"/>
      <c r="F294" s="117"/>
      <c r="G294" s="117"/>
      <c r="H294" s="56">
        <f t="shared" si="20"/>
        <v>0</v>
      </c>
      <c r="I294" s="117"/>
    </row>
    <row r="295">
      <c r="E295" s="116"/>
      <c r="F295" s="117"/>
      <c r="G295" s="117"/>
      <c r="H295" s="56">
        <f t="shared" si="20"/>
        <v>0</v>
      </c>
      <c r="I295" s="117"/>
    </row>
    <row r="296">
      <c r="E296" s="116"/>
      <c r="F296" s="117"/>
      <c r="G296" s="117"/>
      <c r="H296" s="56">
        <f t="shared" si="20"/>
        <v>0</v>
      </c>
      <c r="I296" s="117"/>
    </row>
    <row r="297">
      <c r="E297" s="116"/>
      <c r="F297" s="117"/>
      <c r="G297" s="117"/>
      <c r="H297" s="56">
        <f t="shared" si="20"/>
        <v>0</v>
      </c>
      <c r="I297" s="117"/>
    </row>
    <row r="298">
      <c r="E298" s="116"/>
      <c r="F298" s="117"/>
      <c r="G298" s="117"/>
      <c r="H298" s="56">
        <f t="shared" si="20"/>
        <v>0</v>
      </c>
      <c r="I298" s="117"/>
    </row>
    <row r="299">
      <c r="E299" s="116"/>
      <c r="F299" s="117"/>
      <c r="G299" s="117"/>
      <c r="H299" s="56">
        <f t="shared" si="20"/>
        <v>0</v>
      </c>
      <c r="I299" s="117"/>
    </row>
    <row r="300">
      <c r="E300" s="116"/>
      <c r="F300" s="117"/>
      <c r="G300" s="117"/>
      <c r="H300" s="56">
        <f t="shared" si="20"/>
        <v>0</v>
      </c>
      <c r="I300" s="117"/>
    </row>
    <row r="301">
      <c r="E301" s="116"/>
      <c r="F301" s="117"/>
      <c r="G301" s="117"/>
      <c r="H301" s="56">
        <f t="shared" si="20"/>
        <v>0</v>
      </c>
      <c r="I301" s="117"/>
    </row>
    <row r="302">
      <c r="E302" s="116"/>
      <c r="F302" s="117"/>
      <c r="G302" s="117"/>
      <c r="H302" s="56">
        <f t="shared" si="20"/>
        <v>0</v>
      </c>
      <c r="I302" s="117"/>
    </row>
    <row r="303">
      <c r="E303" s="116"/>
      <c r="F303" s="117"/>
      <c r="G303" s="117"/>
      <c r="H303" s="56">
        <f t="shared" si="20"/>
        <v>0</v>
      </c>
      <c r="I303" s="117"/>
    </row>
    <row r="304">
      <c r="E304" s="116"/>
      <c r="F304" s="117"/>
      <c r="G304" s="117"/>
      <c r="H304" s="56">
        <f t="shared" si="20"/>
        <v>0</v>
      </c>
      <c r="I304" s="117"/>
    </row>
    <row r="305">
      <c r="E305" s="116"/>
      <c r="F305" s="117"/>
      <c r="G305" s="117"/>
      <c r="H305" s="56">
        <f t="shared" si="20"/>
        <v>0</v>
      </c>
      <c r="I305" s="117"/>
    </row>
    <row r="306">
      <c r="E306" s="116"/>
      <c r="F306" s="117"/>
      <c r="G306" s="117"/>
      <c r="H306" s="56">
        <f t="shared" si="20"/>
        <v>0</v>
      </c>
      <c r="I306" s="117"/>
    </row>
    <row r="307">
      <c r="E307" s="116"/>
      <c r="F307" s="117"/>
      <c r="G307" s="117"/>
      <c r="H307" s="56">
        <f t="shared" si="20"/>
        <v>0</v>
      </c>
      <c r="I307" s="117"/>
    </row>
    <row r="308">
      <c r="E308" s="118" t="s">
        <v>236</v>
      </c>
      <c r="F308" s="1"/>
      <c r="G308" s="36"/>
      <c r="H308" s="119">
        <f>SUM(H4:H307)</f>
        <v>508730</v>
      </c>
      <c r="I308" s="120"/>
    </row>
    <row r="309">
      <c r="E309" s="4"/>
      <c r="F309" s="4"/>
      <c r="G309" s="4"/>
      <c r="H309" s="4"/>
      <c r="I309" s="4"/>
    </row>
  </sheetData>
  <mergeCells count="1">
    <mergeCell ref="I4:I8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6.88"/>
    <col customWidth="1" min="10" max="10" width="25.63"/>
    <col customWidth="1" min="11" max="11" width="25.38"/>
    <col customWidth="1" min="12" max="12" width="39.13"/>
  </cols>
  <sheetData>
    <row r="3">
      <c r="H3" s="34"/>
      <c r="I3" s="34"/>
      <c r="J3" s="34"/>
      <c r="K3" s="34"/>
      <c r="L3" s="34"/>
      <c r="M3" s="4"/>
    </row>
    <row r="4">
      <c r="H4" s="121"/>
      <c r="I4" s="122" t="s">
        <v>237</v>
      </c>
      <c r="J4" s="122" t="s">
        <v>4</v>
      </c>
      <c r="K4" s="122" t="s">
        <v>238</v>
      </c>
      <c r="L4" s="123" t="s">
        <v>239</v>
      </c>
      <c r="M4" s="4"/>
    </row>
    <row r="5">
      <c r="H5" s="106">
        <v>1.0</v>
      </c>
      <c r="I5" s="37" t="s">
        <v>28</v>
      </c>
      <c r="J5" s="9">
        <v>30000.0</v>
      </c>
      <c r="K5" s="14">
        <v>30000.0</v>
      </c>
      <c r="L5" s="9">
        <f t="shared" ref="L5:L21" si="1">J5-K5</f>
        <v>0</v>
      </c>
      <c r="M5" s="4"/>
    </row>
    <row r="6">
      <c r="H6" s="106">
        <v>2.0</v>
      </c>
      <c r="I6" s="37" t="s">
        <v>240</v>
      </c>
      <c r="J6" s="9">
        <v>30000.0</v>
      </c>
      <c r="K6" s="14">
        <v>30000.0</v>
      </c>
      <c r="L6" s="9">
        <f t="shared" si="1"/>
        <v>0</v>
      </c>
      <c r="M6" s="4"/>
    </row>
    <row r="7">
      <c r="H7" s="106">
        <v>3.0</v>
      </c>
      <c r="I7" s="37" t="s">
        <v>241</v>
      </c>
      <c r="J7" s="9">
        <f>Pointage!C34*1</f>
        <v>24700</v>
      </c>
      <c r="K7" s="14">
        <v>25000.0</v>
      </c>
      <c r="L7" s="9">
        <f t="shared" si="1"/>
        <v>-300</v>
      </c>
      <c r="M7" s="4"/>
    </row>
    <row r="8">
      <c r="H8" s="106">
        <v>4.0</v>
      </c>
      <c r="I8" s="37" t="s">
        <v>53</v>
      </c>
      <c r="J8" s="9">
        <f>Pointage!D34*1</f>
        <v>28000</v>
      </c>
      <c r="K8" s="14">
        <v>28000.0</v>
      </c>
      <c r="L8" s="9">
        <f t="shared" si="1"/>
        <v>0</v>
      </c>
      <c r="M8" s="124"/>
    </row>
    <row r="9">
      <c r="H9" s="106">
        <v>5.0</v>
      </c>
      <c r="I9" s="37" t="s">
        <v>54</v>
      </c>
      <c r="J9" s="9">
        <f>Pointage!E34*1</f>
        <v>10160</v>
      </c>
      <c r="K9" s="14">
        <v>10500.0</v>
      </c>
      <c r="L9" s="9">
        <f t="shared" si="1"/>
        <v>-340</v>
      </c>
      <c r="M9" s="4"/>
    </row>
    <row r="10">
      <c r="H10" s="106">
        <v>6.0</v>
      </c>
      <c r="I10" s="37" t="s">
        <v>55</v>
      </c>
      <c r="J10" s="9">
        <f>Pointage!F34*1</f>
        <v>18732.5</v>
      </c>
      <c r="K10" s="14">
        <v>19000.0</v>
      </c>
      <c r="L10" s="9">
        <f t="shared" si="1"/>
        <v>-267.5</v>
      </c>
      <c r="M10" s="125" t="s">
        <v>242</v>
      </c>
    </row>
    <row r="11">
      <c r="H11" s="106">
        <v>7.0</v>
      </c>
      <c r="I11" s="37" t="s">
        <v>243</v>
      </c>
      <c r="J11" s="9">
        <f>Pointage!G34*1</f>
        <v>30004</v>
      </c>
      <c r="K11" s="14">
        <v>30000.0</v>
      </c>
      <c r="L11" s="9">
        <f t="shared" si="1"/>
        <v>4</v>
      </c>
      <c r="M11" s="4"/>
    </row>
    <row r="12">
      <c r="H12" s="106">
        <v>8.0</v>
      </c>
      <c r="I12" s="37" t="s">
        <v>57</v>
      </c>
      <c r="J12" s="9">
        <f>Pointage!H34*1</f>
        <v>10963</v>
      </c>
      <c r="K12" s="14">
        <v>11000.0</v>
      </c>
      <c r="L12" s="9">
        <f t="shared" si="1"/>
        <v>-37</v>
      </c>
      <c r="M12" s="4"/>
    </row>
    <row r="13">
      <c r="H13" s="106">
        <v>9.0</v>
      </c>
      <c r="I13" s="37" t="s">
        <v>244</v>
      </c>
      <c r="J13" s="9">
        <f>Pointage!I34*1</f>
        <v>12117</v>
      </c>
      <c r="K13" s="14">
        <v>12500.0</v>
      </c>
      <c r="L13" s="9">
        <f t="shared" si="1"/>
        <v>-383</v>
      </c>
      <c r="M13" s="4"/>
    </row>
    <row r="14">
      <c r="H14" s="107">
        <v>10.0</v>
      </c>
      <c r="I14" s="51" t="s">
        <v>61</v>
      </c>
      <c r="J14" s="9">
        <f>Pointage!L34*1</f>
        <v>15400</v>
      </c>
      <c r="K14" s="14">
        <v>15500.0</v>
      </c>
      <c r="L14" s="9">
        <f t="shared" si="1"/>
        <v>-100</v>
      </c>
      <c r="M14" s="125" t="s">
        <v>245</v>
      </c>
    </row>
    <row r="15">
      <c r="H15" s="107">
        <v>11.0</v>
      </c>
      <c r="I15" s="51" t="s">
        <v>59</v>
      </c>
      <c r="J15" s="9">
        <f>Pointage!J34*1</f>
        <v>10125</v>
      </c>
      <c r="K15" s="14">
        <v>10500.0</v>
      </c>
      <c r="L15" s="9">
        <f t="shared" si="1"/>
        <v>-375</v>
      </c>
      <c r="M15" s="4"/>
    </row>
    <row r="16">
      <c r="H16" s="107">
        <v>12.0</v>
      </c>
      <c r="I16" s="37" t="s">
        <v>64</v>
      </c>
      <c r="J16" s="9">
        <f>Pointage!O34*1</f>
        <v>3240</v>
      </c>
      <c r="K16" s="14">
        <v>3500.0</v>
      </c>
      <c r="L16" s="9">
        <f t="shared" si="1"/>
        <v>-260</v>
      </c>
      <c r="M16" s="4"/>
    </row>
    <row r="17">
      <c r="H17" s="107">
        <v>13.0</v>
      </c>
      <c r="I17" s="37" t="s">
        <v>62</v>
      </c>
      <c r="J17" s="14">
        <v>28500.0</v>
      </c>
      <c r="K17" s="14">
        <v>28500.0</v>
      </c>
      <c r="L17" s="9">
        <f t="shared" si="1"/>
        <v>0</v>
      </c>
      <c r="M17" s="4"/>
    </row>
    <row r="18">
      <c r="H18" s="107">
        <v>14.0</v>
      </c>
      <c r="I18" s="51" t="s">
        <v>246</v>
      </c>
      <c r="J18" s="9">
        <f>Pointage!P34*1</f>
        <v>26400</v>
      </c>
      <c r="K18" s="14">
        <v>26500.0</v>
      </c>
      <c r="L18" s="9">
        <f t="shared" si="1"/>
        <v>-100</v>
      </c>
      <c r="M18" s="4"/>
    </row>
    <row r="19">
      <c r="H19" s="107">
        <v>15.0</v>
      </c>
      <c r="I19" s="51" t="s">
        <v>63</v>
      </c>
      <c r="J19" s="9">
        <f>Pointage!N34*1</f>
        <v>7200</v>
      </c>
      <c r="K19" s="14">
        <v>7500.0</v>
      </c>
      <c r="L19" s="9">
        <f t="shared" si="1"/>
        <v>-300</v>
      </c>
      <c r="M19" s="4"/>
    </row>
    <row r="20">
      <c r="H20" s="107">
        <v>16.0</v>
      </c>
      <c r="I20" s="51" t="s">
        <v>247</v>
      </c>
      <c r="J20" s="9">
        <f>Pointage!Q34</f>
        <v>17000</v>
      </c>
      <c r="K20" s="14">
        <v>17000.0</v>
      </c>
      <c r="L20" s="9">
        <f t="shared" si="1"/>
        <v>0</v>
      </c>
      <c r="M20" s="4"/>
    </row>
    <row r="21">
      <c r="H21" s="107">
        <v>17.0</v>
      </c>
      <c r="I21" s="37" t="s">
        <v>248</v>
      </c>
      <c r="J21" s="9">
        <f>Pointage!K34*1</f>
        <v>2000</v>
      </c>
      <c r="K21" s="14">
        <v>2000.0</v>
      </c>
      <c r="L21" s="9">
        <f t="shared" si="1"/>
        <v>0</v>
      </c>
      <c r="M21" s="4"/>
    </row>
    <row r="22">
      <c r="H22" s="121"/>
      <c r="I22" s="30" t="s">
        <v>249</v>
      </c>
      <c r="J22" s="32">
        <f t="shared" ref="J22:L22" si="2">SUM(J5:J21)</f>
        <v>304541.5</v>
      </c>
      <c r="K22" s="126">
        <f t="shared" si="2"/>
        <v>307000</v>
      </c>
      <c r="L22" s="127">
        <f t="shared" si="2"/>
        <v>-2458.5</v>
      </c>
      <c r="M22" s="4"/>
    </row>
    <row r="23">
      <c r="H23" s="121"/>
      <c r="I23" s="128">
        <f>J22-K22</f>
        <v>-2458.5</v>
      </c>
      <c r="J23" s="1"/>
      <c r="K23" s="1"/>
      <c r="L23" s="31">
        <f>J23-K23</f>
        <v>0</v>
      </c>
      <c r="M23" s="4"/>
    </row>
    <row r="24">
      <c r="H24" s="4"/>
      <c r="I24" s="4"/>
      <c r="J24" s="4"/>
      <c r="K24" s="4"/>
      <c r="L24" s="4"/>
      <c r="M24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3" width="25.63"/>
    <col customWidth="1" min="4" max="4" width="25.88"/>
    <col customWidth="1" min="5" max="7" width="25.63"/>
    <col customWidth="1" min="8" max="8" width="25.88"/>
    <col customWidth="1" min="9" max="9" width="24.63"/>
    <col customWidth="1" min="10" max="10" width="25.63"/>
    <col customWidth="1" min="11" max="11" width="25.13"/>
    <col customWidth="1" min="12" max="12" width="26.38"/>
    <col customWidth="1" min="13" max="13" width="25.63"/>
    <col customWidth="1" min="14" max="14" width="31.13"/>
    <col customWidth="1" min="15" max="15" width="34.13"/>
  </cols>
  <sheetData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4"/>
      <c r="B13" s="34"/>
      <c r="C13" s="34"/>
      <c r="D13" s="34"/>
      <c r="E13" s="34"/>
      <c r="F13" s="34"/>
      <c r="G13" s="34"/>
      <c r="H13" s="34"/>
      <c r="I13" s="34"/>
      <c r="J13" s="4"/>
      <c r="K13" s="4"/>
      <c r="L13" s="4"/>
      <c r="M13" s="4"/>
      <c r="N13" s="4"/>
      <c r="O13" s="34"/>
      <c r="P13" s="4"/>
      <c r="Q13" s="4"/>
    </row>
    <row r="14">
      <c r="A14" s="57"/>
      <c r="B14" s="34"/>
      <c r="C14" s="129" t="s">
        <v>250</v>
      </c>
      <c r="D14" s="130" t="s">
        <v>251</v>
      </c>
      <c r="E14" s="130" t="s">
        <v>252</v>
      </c>
      <c r="F14" s="130" t="s">
        <v>253</v>
      </c>
      <c r="G14" s="130" t="s">
        <v>254</v>
      </c>
      <c r="H14" s="130" t="s">
        <v>255</v>
      </c>
      <c r="I14" s="130" t="s">
        <v>256</v>
      </c>
      <c r="J14" s="130" t="s">
        <v>257</v>
      </c>
      <c r="K14" s="130" t="s">
        <v>258</v>
      </c>
      <c r="L14" s="130" t="s">
        <v>259</v>
      </c>
      <c r="M14" s="130" t="s">
        <v>260</v>
      </c>
      <c r="N14" s="130" t="s">
        <v>261</v>
      </c>
      <c r="O14" s="131" t="s">
        <v>236</v>
      </c>
      <c r="P14" s="4"/>
      <c r="Q14" s="4"/>
    </row>
    <row r="15">
      <c r="A15" s="57"/>
      <c r="B15" s="132" t="s">
        <v>2</v>
      </c>
      <c r="C15" s="32">
        <v>1441000.0</v>
      </c>
      <c r="D15" s="32">
        <v>1400000.0</v>
      </c>
      <c r="E15" s="32">
        <v>1928000.0</v>
      </c>
      <c r="F15" s="32">
        <v>1488000.0</v>
      </c>
      <c r="G15" s="32">
        <v>1540000.0</v>
      </c>
      <c r="H15" s="32">
        <v>1577000.0</v>
      </c>
      <c r="I15" s="32">
        <v>1880000.0</v>
      </c>
      <c r="J15" s="32">
        <v>941000.0</v>
      </c>
      <c r="K15" s="133">
        <v>1629000.0</v>
      </c>
      <c r="L15" s="134">
        <v>1264000.0</v>
      </c>
      <c r="M15" s="135">
        <v>1254000.0</v>
      </c>
      <c r="N15" s="36"/>
      <c r="O15" s="134">
        <f t="shared" ref="O15:O19" si="1">SUM(C15:N15)</f>
        <v>16342000</v>
      </c>
      <c r="P15" s="4"/>
      <c r="Q15" s="4"/>
    </row>
    <row r="16">
      <c r="A16" s="57"/>
      <c r="B16" s="132" t="s">
        <v>3</v>
      </c>
      <c r="C16" s="32">
        <v>749000.0</v>
      </c>
      <c r="D16" s="32">
        <v>597000.0</v>
      </c>
      <c r="E16" s="32">
        <v>938000.0</v>
      </c>
      <c r="F16" s="32">
        <v>670000.0</v>
      </c>
      <c r="G16" s="32">
        <v>753000.0</v>
      </c>
      <c r="H16" s="32">
        <v>716000.0</v>
      </c>
      <c r="I16" s="32">
        <v>834000.0</v>
      </c>
      <c r="J16" s="32">
        <v>492000.0</v>
      </c>
      <c r="K16" s="133">
        <v>692000.0</v>
      </c>
      <c r="L16" s="136">
        <v>580000.0</v>
      </c>
      <c r="M16" s="135">
        <v>509000.0</v>
      </c>
      <c r="N16" s="36"/>
      <c r="O16" s="134">
        <f t="shared" si="1"/>
        <v>7530000</v>
      </c>
      <c r="P16" s="4"/>
      <c r="Q16" s="4"/>
    </row>
    <row r="17">
      <c r="A17" s="57"/>
      <c r="B17" s="132" t="s">
        <v>262</v>
      </c>
      <c r="C17" s="32">
        <v>332000.0</v>
      </c>
      <c r="D17" s="32">
        <v>413000.0</v>
      </c>
      <c r="E17" s="32">
        <v>360000.0</v>
      </c>
      <c r="F17" s="32">
        <v>335000.0</v>
      </c>
      <c r="G17" s="32">
        <v>347000.0</v>
      </c>
      <c r="H17" s="32">
        <v>331000.0</v>
      </c>
      <c r="I17" s="32">
        <v>416000.0</v>
      </c>
      <c r="J17" s="32">
        <v>239000.0</v>
      </c>
      <c r="K17" s="133">
        <v>287000.0</v>
      </c>
      <c r="L17" s="134">
        <v>364000.0</v>
      </c>
      <c r="M17" s="135">
        <v>305000.0</v>
      </c>
      <c r="N17" s="36"/>
      <c r="O17" s="134">
        <f t="shared" si="1"/>
        <v>3729000</v>
      </c>
      <c r="P17" s="4"/>
      <c r="Q17" s="4"/>
    </row>
    <row r="18">
      <c r="A18" s="57"/>
      <c r="B18" s="132" t="s">
        <v>5</v>
      </c>
      <c r="C18" s="32">
        <v>110000.0</v>
      </c>
      <c r="D18" s="32">
        <v>110000.0</v>
      </c>
      <c r="E18" s="32">
        <v>110000.0</v>
      </c>
      <c r="F18" s="32">
        <v>110000.0</v>
      </c>
      <c r="G18" s="32">
        <v>110000.0</v>
      </c>
      <c r="H18" s="32">
        <v>110000.0</v>
      </c>
      <c r="I18" s="32">
        <v>110000.0</v>
      </c>
      <c r="J18" s="32">
        <v>110000.0</v>
      </c>
      <c r="K18" s="133">
        <v>110000.0</v>
      </c>
      <c r="L18" s="134">
        <v>110000.0</v>
      </c>
      <c r="M18" s="135">
        <v>110000.0</v>
      </c>
      <c r="N18" s="36"/>
      <c r="O18" s="134">
        <f t="shared" si="1"/>
        <v>1210000</v>
      </c>
      <c r="P18" s="4"/>
      <c r="Q18" s="4"/>
    </row>
    <row r="19">
      <c r="A19" s="57"/>
      <c r="B19" s="132" t="s">
        <v>263</v>
      </c>
      <c r="C19" s="32">
        <v>250000.0</v>
      </c>
      <c r="D19" s="32">
        <v>280000.0</v>
      </c>
      <c r="E19" s="32">
        <v>520000.0</v>
      </c>
      <c r="F19" s="32">
        <v>370000.0</v>
      </c>
      <c r="G19" s="32">
        <f t="shared" ref="G19:H19" si="2">G15-G16-G17-G18</f>
        <v>330000</v>
      </c>
      <c r="H19" s="32">
        <f t="shared" si="2"/>
        <v>420000</v>
      </c>
      <c r="I19" s="32">
        <v>520000.0</v>
      </c>
      <c r="J19" s="32">
        <v>100000.0</v>
      </c>
      <c r="K19" s="133">
        <v>540000.0</v>
      </c>
      <c r="L19" s="134">
        <v>210000.0</v>
      </c>
      <c r="M19" s="137">
        <f>M15-M16-M17-M18</f>
        <v>330000</v>
      </c>
      <c r="N19" s="36"/>
      <c r="O19" s="134">
        <f t="shared" si="1"/>
        <v>3870000</v>
      </c>
      <c r="P19" s="4"/>
      <c r="Q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4"/>
      <c r="B32" s="4"/>
      <c r="C32" s="4"/>
      <c r="D32" s="4"/>
      <c r="E32" s="4"/>
      <c r="F32" s="3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4"/>
      <c r="B33" s="4"/>
      <c r="C33" s="4"/>
      <c r="D33" s="4"/>
      <c r="E33" s="57"/>
      <c r="F33" s="34"/>
      <c r="G33" s="138" t="s">
        <v>260</v>
      </c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4"/>
      <c r="B34" s="4"/>
      <c r="C34" s="4"/>
      <c r="D34" s="4"/>
      <c r="E34" s="57"/>
      <c r="F34" s="132" t="s">
        <v>2</v>
      </c>
      <c r="G34" s="136">
        <v>1254000.0</v>
      </c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4"/>
      <c r="B35" s="4"/>
      <c r="C35" s="4"/>
      <c r="D35" s="4"/>
      <c r="E35" s="57"/>
      <c r="F35" s="132" t="s">
        <v>3</v>
      </c>
      <c r="G35" s="136">
        <v>509000.0</v>
      </c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4"/>
      <c r="B36" s="4"/>
      <c r="C36" s="4"/>
      <c r="D36" s="4"/>
      <c r="E36" s="57"/>
      <c r="F36" s="132" t="s">
        <v>262</v>
      </c>
      <c r="G36" s="136">
        <v>305000.0</v>
      </c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4"/>
      <c r="B37" s="4"/>
      <c r="C37" s="4"/>
      <c r="D37" s="4"/>
      <c r="E37" s="57"/>
      <c r="F37" s="132" t="s">
        <v>5</v>
      </c>
      <c r="G37" s="134">
        <v>110000.0</v>
      </c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4"/>
      <c r="B38" s="4"/>
      <c r="C38" s="4"/>
      <c r="D38" s="4"/>
      <c r="E38" s="57"/>
      <c r="F38" s="132" t="s">
        <v>263</v>
      </c>
      <c r="G38" s="134">
        <f>G34-G35-G36-G37</f>
        <v>330000</v>
      </c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</sheetData>
  <drawing r:id="rId1"/>
</worksheet>
</file>