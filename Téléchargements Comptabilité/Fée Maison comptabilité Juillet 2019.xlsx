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3"/>
    <sheet state="visible" name="Pointage" sheetId="2" r:id="rId4"/>
    <sheet state="visible" name="Salaires" sheetId="3" r:id="rId5"/>
    <sheet state="visible" name="Charges" sheetId="4" r:id="rId6"/>
    <sheet state="visible" name="Salaire et pointage mois dAout " sheetId="5" r:id="rId7"/>
  </sheets>
  <definedNames/>
  <calcPr/>
</workbook>
</file>

<file path=xl/sharedStrings.xml><?xml version="1.0" encoding="utf-8"?>
<sst xmlns="http://schemas.openxmlformats.org/spreadsheetml/2006/main" count="236" uniqueCount="133">
  <si>
    <t>Date</t>
  </si>
  <si>
    <t>Recette</t>
  </si>
  <si>
    <t>Charges</t>
  </si>
  <si>
    <t>Salaire</t>
  </si>
  <si>
    <t>Loyer</t>
  </si>
  <si>
    <t>Net Profit</t>
  </si>
  <si>
    <t>Lundi</t>
  </si>
  <si>
    <t>mardi</t>
  </si>
  <si>
    <t>mercredi</t>
  </si>
  <si>
    <t>jeudi</t>
  </si>
  <si>
    <t>vendredi</t>
  </si>
  <si>
    <t>samedi</t>
  </si>
  <si>
    <t>dimanche</t>
  </si>
  <si>
    <t>lundi</t>
  </si>
  <si>
    <t>TOTAL</t>
  </si>
  <si>
    <t>Zehor</t>
  </si>
  <si>
    <t>Loubna</t>
  </si>
  <si>
    <t>Souad</t>
  </si>
  <si>
    <t>Yasmina</t>
  </si>
  <si>
    <t>Akila</t>
  </si>
  <si>
    <t>Djoher</t>
  </si>
  <si>
    <t>Meriem</t>
  </si>
  <si>
    <t>Sarah</t>
  </si>
  <si>
    <t>Amina</t>
  </si>
  <si>
    <t>Remarque</t>
  </si>
  <si>
    <t>Mardi</t>
  </si>
  <si>
    <t>Mercredi</t>
  </si>
  <si>
    <t>Jeudi</t>
  </si>
  <si>
    <t>Vendredi</t>
  </si>
  <si>
    <t>Samedi</t>
  </si>
  <si>
    <t>Dimanche</t>
  </si>
  <si>
    <t>akila est venu à 10h30</t>
  </si>
  <si>
    <t>Akila est sorti à 16h</t>
  </si>
  <si>
    <t>Sara est venue à 09h35 et sortie à 13h05</t>
  </si>
  <si>
    <t>Lardi</t>
  </si>
  <si>
    <t>Sara djate à 10h</t>
  </si>
  <si>
    <t>Salaire/jour</t>
  </si>
  <si>
    <t xml:space="preserve">SALAIRE </t>
  </si>
  <si>
    <t>Reste des salaires à payer</t>
  </si>
  <si>
    <t>11/072019</t>
  </si>
  <si>
    <t>/</t>
  </si>
  <si>
    <t>Produit</t>
  </si>
  <si>
    <t>Quantité</t>
  </si>
  <si>
    <t>Prix</t>
  </si>
  <si>
    <t>Date d'achat</t>
  </si>
  <si>
    <t xml:space="preserve">Bessel </t>
  </si>
  <si>
    <t>30kg</t>
  </si>
  <si>
    <t>Tomate Fraiche</t>
  </si>
  <si>
    <t>10kg</t>
  </si>
  <si>
    <t>levure chimique</t>
  </si>
  <si>
    <t>1 boite</t>
  </si>
  <si>
    <t>Huile</t>
  </si>
  <si>
    <t>70 litres</t>
  </si>
  <si>
    <t>Goblets</t>
  </si>
  <si>
    <t>Sachets blanc de 5kg</t>
  </si>
  <si>
    <t>2 Fardeaux</t>
  </si>
  <si>
    <t xml:space="preserve">Boites </t>
  </si>
  <si>
    <t>3 cartons</t>
  </si>
  <si>
    <t xml:space="preserve">bessel+livraison </t>
  </si>
  <si>
    <t>100kg</t>
  </si>
  <si>
    <t xml:space="preserve">gants </t>
  </si>
  <si>
    <t xml:space="preserve">1 boîte </t>
  </si>
  <si>
    <t>herbes</t>
  </si>
  <si>
    <t>na3ena3 yabess</t>
  </si>
  <si>
    <t>400g</t>
  </si>
  <si>
    <t>semoule ameur Ben Amor</t>
  </si>
  <si>
    <t>Semoule Bousbi3</t>
  </si>
  <si>
    <t>25kg</t>
  </si>
  <si>
    <t>pile</t>
  </si>
  <si>
    <t>gheress</t>
  </si>
  <si>
    <t xml:space="preserve">1 carton </t>
  </si>
  <si>
    <t>serviettes en papier</t>
  </si>
  <si>
    <t>1 carton</t>
  </si>
  <si>
    <t xml:space="preserve">semoule mama </t>
  </si>
  <si>
    <t xml:space="preserve">semoule Soussimi </t>
  </si>
  <si>
    <t>40kg</t>
  </si>
  <si>
    <t>Coriandre</t>
  </si>
  <si>
    <t>1kg</t>
  </si>
  <si>
    <t>3akeri</t>
  </si>
  <si>
    <t>margarine Mani</t>
  </si>
  <si>
    <t>4 boites</t>
  </si>
  <si>
    <t>Margarine Mani</t>
  </si>
  <si>
    <t>1 carton de 24 boites de 500g</t>
  </si>
  <si>
    <t>Les impots</t>
  </si>
  <si>
    <t xml:space="preserve">Semoule </t>
  </si>
  <si>
    <t>boites 8/6</t>
  </si>
  <si>
    <t xml:space="preserve">eau </t>
  </si>
  <si>
    <t>3 fardeaux</t>
  </si>
  <si>
    <t>isis+lave sol</t>
  </si>
  <si>
    <t>1+1</t>
  </si>
  <si>
    <t xml:space="preserve">7abet 7elawa </t>
  </si>
  <si>
    <t>Comptable</t>
  </si>
  <si>
    <t xml:space="preserve">Semoule soussimi </t>
  </si>
  <si>
    <t>Ruiba</t>
  </si>
  <si>
    <t>Coca canette</t>
  </si>
  <si>
    <t xml:space="preserve">1 carton 24 canettes </t>
  </si>
  <si>
    <t>Coca 1/2 litre</t>
  </si>
  <si>
    <t>Negawous</t>
  </si>
  <si>
    <t>2 cartons</t>
  </si>
  <si>
    <t>Excelence</t>
  </si>
  <si>
    <t>bessel</t>
  </si>
  <si>
    <t>150kg</t>
  </si>
  <si>
    <t>huile</t>
  </si>
  <si>
    <t xml:space="preserve">10 litres </t>
  </si>
  <si>
    <t xml:space="preserve">30 kg </t>
  </si>
  <si>
    <t>200 litres bidons de 10 litres</t>
  </si>
  <si>
    <t xml:space="preserve">Boites 36/7 </t>
  </si>
  <si>
    <t>Boites 48/10</t>
  </si>
  <si>
    <t xml:space="preserve">Grand sachet en papier </t>
  </si>
  <si>
    <t>1 Fardeau</t>
  </si>
  <si>
    <t>Alluminium</t>
  </si>
  <si>
    <t xml:space="preserve">1 boite de 200m </t>
  </si>
  <si>
    <t xml:space="preserve">Sel </t>
  </si>
  <si>
    <t>1 fardeau</t>
  </si>
  <si>
    <t>1 carton de 24 boites</t>
  </si>
  <si>
    <t>Facture d'eau</t>
  </si>
  <si>
    <t>Semoule Amour+ transport</t>
  </si>
  <si>
    <t xml:space="preserve">12 sachets de 25kg </t>
  </si>
  <si>
    <t>Amina baghrir</t>
  </si>
  <si>
    <t>chifons</t>
  </si>
  <si>
    <t>vachette</t>
  </si>
  <si>
    <t>puce Djezzy</t>
  </si>
  <si>
    <t>12kg</t>
  </si>
  <si>
    <t>bessel + transport</t>
  </si>
  <si>
    <t>javel +levure chimique+sachets</t>
  </si>
  <si>
    <t>flexy</t>
  </si>
  <si>
    <t>Total</t>
  </si>
  <si>
    <t xml:space="preserve">Salaires </t>
  </si>
  <si>
    <t xml:space="preserve">Zehor </t>
  </si>
  <si>
    <t>Totale</t>
  </si>
  <si>
    <t>Pointage</t>
  </si>
  <si>
    <t xml:space="preserve">Samedi </t>
  </si>
  <si>
    <t>Salaire/Jour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</si>
</sst>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22">
    <font>
      <sz val="10.0"/>
      <color rgb="FF000000"/>
      <name val="Arial"/>
    </font>
    <font>
      <b/>
      <sz val="12.0"/>
      <name val="Arial"/>
    </font>
    <font>
      <b/>
      <sz val="12.0"/>
    </font>
    <font>
      <sz val="12.0"/>
    </font>
    <font>
      <b/>
      <sz val="12.0"/>
      <color rgb="FFFF0000"/>
    </font>
    <font>
      <name val="Arial"/>
    </font>
    <font>
      <b/>
      <sz val="12.0"/>
      <color rgb="FF434343"/>
      <name val="Arial"/>
    </font>
    <font>
      <b/>
      <sz val="12.0"/>
      <color rgb="FF0000FF"/>
      <name val="Arial"/>
    </font>
    <font>
      <b/>
      <sz val="12.0"/>
      <color rgb="FF9900FF"/>
      <name val="Arial"/>
    </font>
    <font>
      <sz val="12.0"/>
      <name val="Arial"/>
    </font>
    <font>
      <sz val="12.0"/>
      <color rgb="FF000000"/>
      <name val="Arial"/>
    </font>
    <font>
      <sz val="12.0"/>
      <color rgb="FFFF0000"/>
      <name val="Arial"/>
    </font>
    <font>
      <sz val="12.0"/>
      <color rgb="FFFF9900"/>
      <name val="Arial"/>
    </font>
    <font>
      <b/>
      <sz val="12.0"/>
      <color rgb="FFFF0000"/>
      <name val="Arial"/>
    </font>
    <font>
      <b/>
      <sz val="12.0"/>
      <color rgb="FFFFFF00"/>
      <name val="Arial"/>
    </font>
    <font>
      <sz val="12.0"/>
      <color rgb="FFFFFF00"/>
      <name val="Arial"/>
    </font>
    <font/>
    <font>
      <sz val="12.0"/>
      <color rgb="FF434343"/>
      <name val="Arial"/>
    </font>
    <font>
      <b/>
      <sz val="14.0"/>
      <color rgb="FF0000FF"/>
    </font>
    <font>
      <b/>
      <sz val="14.0"/>
      <color rgb="FF00FF00"/>
    </font>
    <font>
      <b/>
      <sz val="12.0"/>
      <color rgb="FF000000"/>
    </font>
    <font>
      <b/>
      <sz val="12.0"/>
      <color rgb="FFFFFF00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165" xfId="0" applyBorder="1" applyFont="1" applyNumberFormat="1"/>
    <xf borderId="1" fillId="3" fontId="2" numFmtId="0" xfId="0" applyAlignment="1" applyBorder="1" applyFill="1" applyFont="1">
      <alignment horizontal="center" readingOrder="0"/>
    </xf>
    <xf borderId="1" fillId="3" fontId="3" numFmtId="164" xfId="0" applyAlignment="1" applyBorder="1" applyFont="1" applyNumberFormat="1">
      <alignment readingOrder="0"/>
    </xf>
    <xf borderId="1" fillId="3" fontId="3" numFmtId="165" xfId="0" applyAlignment="1" applyBorder="1" applyFont="1" applyNumberFormat="1">
      <alignment readingOrder="0"/>
    </xf>
    <xf borderId="1" fillId="3" fontId="3" numFmtId="165" xfId="0" applyBorder="1" applyFont="1" applyNumberFormat="1"/>
    <xf borderId="1" fillId="0" fontId="4" numFmtId="0" xfId="0" applyAlignment="1" applyBorder="1" applyFont="1">
      <alignment horizontal="center" readingOrder="0"/>
    </xf>
    <xf borderId="1" fillId="4" fontId="3" numFmtId="165" xfId="0" applyBorder="1" applyFill="1" applyFont="1" applyNumberFormat="1"/>
    <xf borderId="1" fillId="5" fontId="3" numFmtId="165" xfId="0" applyBorder="1" applyFill="1" applyFont="1" applyNumberFormat="1"/>
    <xf borderId="3" fillId="0" fontId="5" numFmtId="0" xfId="0" applyAlignment="1" applyBorder="1" applyFont="1">
      <alignment vertical="bottom"/>
    </xf>
    <xf borderId="2" fillId="5" fontId="6" numFmtId="0" xfId="0" applyAlignment="1" applyBorder="1" applyFont="1">
      <alignment horizontal="center" vertical="bottom"/>
    </xf>
    <xf borderId="2" fillId="5" fontId="7" numFmtId="0" xfId="0" applyAlignment="1" applyBorder="1" applyFont="1">
      <alignment horizontal="center" vertical="bottom"/>
    </xf>
    <xf borderId="2" fillId="5" fontId="7" numFmtId="0" xfId="0" applyAlignment="1" applyBorder="1" applyFont="1">
      <alignment horizontal="center" readingOrder="0" vertical="bottom"/>
    </xf>
    <xf borderId="2" fillId="5" fontId="8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3" fillId="0" fontId="9" numFmtId="164" xfId="0" applyAlignment="1" applyBorder="1" applyFont="1" applyNumberFormat="1">
      <alignment horizontal="center" readingOrder="0" vertical="bottom"/>
    </xf>
    <xf borderId="3" fillId="0" fontId="9" numFmtId="0" xfId="0" applyAlignment="1" applyBorder="1" applyFont="1">
      <alignment horizontal="right" vertical="bottom"/>
    </xf>
    <xf borderId="3" fillId="0" fontId="9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3" fillId="3" fontId="9" numFmtId="0" xfId="0" applyAlignment="1" applyBorder="1" applyFont="1">
      <alignment horizontal="right" vertical="bottom"/>
    </xf>
    <xf borderId="3" fillId="3" fontId="9" numFmtId="0" xfId="0" applyAlignment="1" applyBorder="1" applyFont="1">
      <alignment horizontal="right" readingOrder="0" vertical="bottom"/>
    </xf>
    <xf borderId="3" fillId="6" fontId="10" numFmtId="0" xfId="0" applyAlignment="1" applyBorder="1" applyFill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3" fillId="6" fontId="11" numFmtId="0" xfId="0" applyAlignment="1" applyBorder="1" applyFont="1">
      <alignment horizontal="right" readingOrder="0" vertical="bottom"/>
    </xf>
    <xf borderId="3" fillId="6" fontId="12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3" fillId="4" fontId="13" numFmtId="0" xfId="0" applyAlignment="1" applyBorder="1" applyFont="1">
      <alignment horizontal="center" vertical="bottom"/>
    </xf>
    <xf borderId="3" fillId="4" fontId="11" numFmtId="0" xfId="0" applyAlignment="1" applyBorder="1" applyFont="1">
      <alignment horizontal="right" vertical="bottom"/>
    </xf>
    <xf borderId="3" fillId="0" fontId="9" numFmtId="0" xfId="0" applyAlignment="1" applyBorder="1" applyFont="1">
      <alignment vertical="bottom"/>
    </xf>
    <xf borderId="3" fillId="0" fontId="9" numFmtId="165" xfId="0" applyAlignment="1" applyBorder="1" applyFont="1" applyNumberFormat="1">
      <alignment horizontal="right" vertical="bottom"/>
    </xf>
    <xf borderId="3" fillId="0" fontId="9" numFmtId="165" xfId="0" applyAlignment="1" applyBorder="1" applyFont="1" applyNumberFormat="1">
      <alignment horizontal="right" readingOrder="0" vertical="bottom"/>
    </xf>
    <xf borderId="6" fillId="0" fontId="5" numFmtId="0" xfId="0" applyAlignment="1" applyBorder="1" applyFont="1">
      <alignment vertical="bottom"/>
    </xf>
    <xf borderId="3" fillId="4" fontId="14" numFmtId="0" xfId="0" applyAlignment="1" applyBorder="1" applyFont="1">
      <alignment horizontal="center" vertical="bottom"/>
    </xf>
    <xf borderId="3" fillId="4" fontId="15" numFmtId="165" xfId="0" applyAlignment="1" applyBorder="1" applyFont="1" applyNumberFormat="1">
      <alignment horizontal="right" vertical="bottom"/>
    </xf>
    <xf borderId="3" fillId="7" fontId="1" numFmtId="165" xfId="0" applyAlignment="1" applyBorder="1" applyFill="1" applyFont="1" applyNumberFormat="1">
      <alignment horizontal="right" vertical="bottom"/>
    </xf>
    <xf borderId="0" fillId="5" fontId="3" numFmtId="0" xfId="0" applyAlignment="1" applyFont="1">
      <alignment readingOrder="0"/>
    </xf>
    <xf borderId="0" fillId="5" fontId="3" numFmtId="165" xfId="0" applyFont="1" applyNumberFormat="1"/>
    <xf borderId="1" fillId="0" fontId="5" numFmtId="0" xfId="0" applyAlignment="1" applyBorder="1" applyFont="1">
      <alignment vertical="bottom"/>
    </xf>
    <xf borderId="2" fillId="3" fontId="9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horizontal="center" readingOrder="0"/>
    </xf>
    <xf borderId="0" fillId="0" fontId="16" numFmtId="164" xfId="0" applyAlignment="1" applyFont="1" applyNumberFormat="1">
      <alignment readingOrder="0"/>
    </xf>
    <xf borderId="4" fillId="0" fontId="9" numFmtId="0" xfId="0" applyAlignment="1" applyBorder="1" applyFont="1">
      <alignment horizontal="center" readingOrder="0" vertical="bottom"/>
    </xf>
    <xf borderId="4" fillId="6" fontId="17" numFmtId="0" xfId="0" applyAlignment="1" applyBorder="1" applyFont="1">
      <alignment horizontal="center" readingOrder="0" vertical="bottom"/>
    </xf>
    <xf borderId="3" fillId="6" fontId="9" numFmtId="165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4" fillId="6" fontId="17" numFmtId="0" xfId="0" applyAlignment="1" applyBorder="1" applyFont="1">
      <alignment horizontal="center" vertical="bottom"/>
    </xf>
    <xf borderId="4" fillId="4" fontId="11" numFmtId="0" xfId="0" applyAlignment="1" applyBorder="1" applyFont="1">
      <alignment horizontal="center" vertical="bottom"/>
    </xf>
    <xf borderId="3" fillId="4" fontId="9" numFmtId="165" xfId="0" applyAlignment="1" applyBorder="1" applyFont="1" applyNumberFormat="1">
      <alignment horizontal="right" vertical="bottom"/>
    </xf>
    <xf borderId="3" fillId="0" fontId="9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/>
    </xf>
    <xf borderId="1" fillId="0" fontId="3" numFmtId="0" xfId="0" applyBorder="1" applyFont="1"/>
    <xf borderId="1" fillId="7" fontId="3" numFmtId="165" xfId="0" applyBorder="1" applyFont="1" applyNumberFormat="1"/>
    <xf borderId="0" fillId="0" fontId="18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Font="1"/>
    <xf borderId="0" fillId="0" fontId="19" numFmtId="0" xfId="0" applyAlignment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6" fontId="20" numFmtId="0" xfId="0" applyAlignment="1" applyBorder="1" applyFont="1">
      <alignment horizontal="center" readingOrder="0"/>
    </xf>
    <xf borderId="1" fillId="6" fontId="3" numFmtId="164" xfId="0" applyAlignment="1" applyBorder="1" applyFont="1" applyNumberForma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8" fontId="4" numFmtId="0" xfId="0" applyAlignment="1" applyBorder="1" applyFill="1" applyFont="1">
      <alignment horizontal="center" readingOrder="0"/>
    </xf>
    <xf borderId="1" fillId="8" fontId="3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/>
    </xf>
    <xf borderId="1" fillId="0" fontId="3" numFmtId="165" xfId="0" applyAlignment="1" applyBorder="1" applyFont="1" applyNumberFormat="1">
      <alignment horizontal="center" readingOrder="0"/>
    </xf>
    <xf borderId="1" fillId="4" fontId="21" numFmtId="0" xfId="0" applyAlignment="1" applyBorder="1" applyFont="1">
      <alignment horizontal="center" readingOrder="0"/>
    </xf>
    <xf borderId="1" fillId="4" fontId="16" numFmtId="0" xfId="0" applyAlignment="1" applyBorder="1" applyFont="1">
      <alignment horizontal="center" readingOrder="0"/>
    </xf>
    <xf borderId="1" fillId="4" fontId="16" numFmtId="165" xfId="0" applyAlignment="1" applyBorder="1" applyFont="1" applyNumberFormat="1">
      <alignment horizontal="center"/>
    </xf>
    <xf borderId="1" fillId="4" fontId="3" numFmtId="165" xfId="0" applyAlignment="1" applyBorder="1" applyFont="1" applyNumberFormat="1">
      <alignment horizontal="center"/>
    </xf>
    <xf borderId="0" fillId="7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>
        <v>43647.0</v>
      </c>
      <c r="C2" s="5">
        <v>13000.0</v>
      </c>
      <c r="D2" s="6"/>
      <c r="E2" s="6"/>
      <c r="F2" s="6"/>
      <c r="G2" s="6"/>
    </row>
    <row r="3">
      <c r="A3" s="3" t="s">
        <v>7</v>
      </c>
      <c r="B3" s="4">
        <v>43648.0</v>
      </c>
      <c r="C3" s="5">
        <v>12000.0</v>
      </c>
      <c r="D3" s="6"/>
      <c r="E3" s="6"/>
      <c r="F3" s="6"/>
      <c r="G3" s="6"/>
    </row>
    <row r="4">
      <c r="A4" s="3" t="s">
        <v>8</v>
      </c>
      <c r="B4" s="4">
        <v>43649.0</v>
      </c>
      <c r="C4" s="5">
        <v>19200.0</v>
      </c>
      <c r="D4" s="6"/>
      <c r="E4" s="6"/>
      <c r="F4" s="6"/>
      <c r="G4" s="6"/>
    </row>
    <row r="5">
      <c r="A5" s="3" t="s">
        <v>9</v>
      </c>
      <c r="B5" s="4">
        <v>43650.0</v>
      </c>
      <c r="C5" s="5">
        <v>23600.0</v>
      </c>
      <c r="D5" s="6"/>
      <c r="E5" s="6"/>
      <c r="F5" s="6"/>
      <c r="G5" s="6"/>
    </row>
    <row r="6">
      <c r="A6" s="7" t="s">
        <v>10</v>
      </c>
      <c r="B6" s="8">
        <v>43651.0</v>
      </c>
      <c r="C6" s="9">
        <v>0.0</v>
      </c>
      <c r="D6" s="10"/>
      <c r="E6" s="10"/>
      <c r="F6" s="10"/>
      <c r="G6" s="10"/>
    </row>
    <row r="7">
      <c r="A7" s="3" t="s">
        <v>11</v>
      </c>
      <c r="B7" s="4">
        <v>43652.0</v>
      </c>
      <c r="C7" s="5">
        <v>15500.0</v>
      </c>
      <c r="D7" s="6"/>
      <c r="E7" s="6"/>
      <c r="F7" s="6"/>
      <c r="G7" s="6"/>
    </row>
    <row r="8">
      <c r="A8" s="3" t="s">
        <v>12</v>
      </c>
      <c r="B8" s="4">
        <v>43653.0</v>
      </c>
      <c r="C8" s="5">
        <v>23000.0</v>
      </c>
      <c r="D8" s="6"/>
      <c r="E8" s="6"/>
      <c r="F8" s="6"/>
      <c r="G8" s="6"/>
    </row>
    <row r="9">
      <c r="A9" s="3" t="s">
        <v>13</v>
      </c>
      <c r="B9" s="4">
        <v>43654.0</v>
      </c>
      <c r="C9" s="5">
        <v>29000.0</v>
      </c>
      <c r="D9" s="6"/>
      <c r="E9" s="6"/>
      <c r="F9" s="6"/>
      <c r="G9" s="6"/>
    </row>
    <row r="10">
      <c r="A10" s="3" t="s">
        <v>7</v>
      </c>
      <c r="B10" s="4">
        <v>43655.0</v>
      </c>
      <c r="C10" s="5">
        <v>22600.0</v>
      </c>
      <c r="D10" s="6"/>
      <c r="E10" s="6"/>
      <c r="F10" s="6"/>
      <c r="G10" s="6"/>
    </row>
    <row r="11">
      <c r="A11" s="3" t="s">
        <v>8</v>
      </c>
      <c r="B11" s="4">
        <v>43656.0</v>
      </c>
      <c r="C11" s="5">
        <v>17000.0</v>
      </c>
      <c r="D11" s="6"/>
      <c r="E11" s="6"/>
      <c r="F11" s="6"/>
      <c r="G11" s="6"/>
    </row>
    <row r="12">
      <c r="A12" s="3" t="s">
        <v>9</v>
      </c>
      <c r="B12" s="4">
        <v>43657.0</v>
      </c>
      <c r="C12" s="5">
        <v>21000.0</v>
      </c>
      <c r="D12" s="6"/>
      <c r="E12" s="6"/>
      <c r="F12" s="6"/>
      <c r="G12" s="6"/>
    </row>
    <row r="13">
      <c r="A13" s="7" t="s">
        <v>10</v>
      </c>
      <c r="B13" s="8">
        <v>43658.0</v>
      </c>
      <c r="C13" s="9">
        <v>0.0</v>
      </c>
      <c r="D13" s="10"/>
      <c r="E13" s="10"/>
      <c r="F13" s="10"/>
      <c r="G13" s="10"/>
    </row>
    <row r="14">
      <c r="A14" s="3" t="s">
        <v>11</v>
      </c>
      <c r="B14" s="4">
        <v>43659.0</v>
      </c>
      <c r="C14" s="5">
        <v>12000.0</v>
      </c>
      <c r="D14" s="6"/>
      <c r="E14" s="6"/>
      <c r="F14" s="6"/>
      <c r="G14" s="6"/>
    </row>
    <row r="15">
      <c r="A15" s="3" t="s">
        <v>12</v>
      </c>
      <c r="B15" s="4">
        <v>43660.0</v>
      </c>
      <c r="C15" s="5">
        <v>14000.0</v>
      </c>
      <c r="D15" s="6"/>
      <c r="E15" s="6"/>
      <c r="F15" s="6"/>
      <c r="G15" s="6"/>
    </row>
    <row r="16">
      <c r="A16" s="3" t="s">
        <v>13</v>
      </c>
      <c r="B16" s="4">
        <v>43661.0</v>
      </c>
      <c r="C16" s="5">
        <v>13000.0</v>
      </c>
      <c r="D16" s="6"/>
      <c r="E16" s="6"/>
      <c r="F16" s="6"/>
      <c r="G16" s="6"/>
    </row>
    <row r="17">
      <c r="A17" s="3" t="s">
        <v>7</v>
      </c>
      <c r="B17" s="4">
        <v>43662.0</v>
      </c>
      <c r="C17" s="5">
        <v>15000.0</v>
      </c>
      <c r="D17" s="6"/>
      <c r="E17" s="6"/>
      <c r="F17" s="6"/>
      <c r="G17" s="6"/>
    </row>
    <row r="18">
      <c r="A18" s="3" t="s">
        <v>8</v>
      </c>
      <c r="B18" s="4">
        <v>43663.0</v>
      </c>
      <c r="C18" s="5">
        <v>16000.0</v>
      </c>
      <c r="D18" s="6"/>
      <c r="E18" s="6"/>
      <c r="F18" s="6"/>
      <c r="G18" s="6"/>
    </row>
    <row r="19">
      <c r="A19" s="3" t="s">
        <v>9</v>
      </c>
      <c r="B19" s="4">
        <v>43664.0</v>
      </c>
      <c r="C19" s="5">
        <v>20000.0</v>
      </c>
      <c r="D19" s="6"/>
      <c r="E19" s="6"/>
      <c r="F19" s="6"/>
      <c r="G19" s="6"/>
    </row>
    <row r="20">
      <c r="A20" s="7" t="s">
        <v>10</v>
      </c>
      <c r="B20" s="8">
        <v>43665.0</v>
      </c>
      <c r="C20" s="9">
        <v>0.0</v>
      </c>
      <c r="D20" s="10"/>
      <c r="E20" s="10"/>
      <c r="F20" s="10"/>
      <c r="G20" s="10"/>
    </row>
    <row r="21">
      <c r="A21" s="3" t="s">
        <v>11</v>
      </c>
      <c r="B21" s="4">
        <v>43666.0</v>
      </c>
      <c r="C21" s="5">
        <v>8500.0</v>
      </c>
      <c r="D21" s="6"/>
      <c r="E21" s="6"/>
      <c r="F21" s="6"/>
      <c r="G21" s="6"/>
    </row>
    <row r="22">
      <c r="A22" s="3" t="s">
        <v>12</v>
      </c>
      <c r="B22" s="4">
        <v>43667.0</v>
      </c>
      <c r="C22" s="5">
        <v>10000.0</v>
      </c>
      <c r="D22" s="6"/>
      <c r="E22" s="6"/>
      <c r="F22" s="6"/>
      <c r="G22" s="6"/>
    </row>
    <row r="23">
      <c r="A23" s="3" t="s">
        <v>13</v>
      </c>
      <c r="B23" s="4">
        <v>43668.0</v>
      </c>
      <c r="C23" s="5">
        <v>9500.0</v>
      </c>
      <c r="D23" s="6"/>
      <c r="E23" s="6"/>
      <c r="F23" s="6"/>
      <c r="G23" s="6"/>
    </row>
    <row r="24">
      <c r="A24" s="3" t="s">
        <v>7</v>
      </c>
      <c r="B24" s="4">
        <v>43669.0</v>
      </c>
      <c r="C24" s="5">
        <v>17000.0</v>
      </c>
      <c r="D24" s="6"/>
      <c r="E24" s="6"/>
      <c r="F24" s="6"/>
      <c r="G24" s="6"/>
    </row>
    <row r="25">
      <c r="A25" s="3" t="s">
        <v>8</v>
      </c>
      <c r="B25" s="4">
        <v>43670.0</v>
      </c>
      <c r="C25" s="5">
        <v>17000.0</v>
      </c>
      <c r="D25" s="6"/>
      <c r="E25" s="6"/>
      <c r="F25" s="6"/>
      <c r="G25" s="6"/>
    </row>
    <row r="26">
      <c r="A26" s="3" t="s">
        <v>9</v>
      </c>
      <c r="B26" s="4">
        <v>43671.0</v>
      </c>
      <c r="C26" s="5">
        <v>12000.0</v>
      </c>
      <c r="D26" s="6"/>
      <c r="E26" s="6"/>
      <c r="F26" s="6"/>
      <c r="G26" s="6"/>
    </row>
    <row r="27">
      <c r="A27" s="7" t="s">
        <v>10</v>
      </c>
      <c r="B27" s="8">
        <v>43672.0</v>
      </c>
      <c r="C27" s="9">
        <v>0.0</v>
      </c>
      <c r="D27" s="10"/>
      <c r="E27" s="10"/>
      <c r="F27" s="10"/>
      <c r="G27" s="10"/>
    </row>
    <row r="28">
      <c r="A28" s="3" t="s">
        <v>11</v>
      </c>
      <c r="B28" s="4">
        <v>43673.0</v>
      </c>
      <c r="C28" s="5">
        <v>15300.0</v>
      </c>
      <c r="D28" s="6"/>
      <c r="E28" s="6"/>
      <c r="F28" s="6"/>
      <c r="G28" s="6"/>
    </row>
    <row r="29">
      <c r="A29" s="3" t="s">
        <v>12</v>
      </c>
      <c r="B29" s="4">
        <v>43674.0</v>
      </c>
      <c r="C29" s="5">
        <v>1210.0</v>
      </c>
      <c r="D29" s="6"/>
      <c r="E29" s="6"/>
      <c r="F29" s="6"/>
      <c r="G29" s="6"/>
    </row>
    <row r="30">
      <c r="A30" s="3" t="s">
        <v>13</v>
      </c>
      <c r="B30" s="4">
        <v>43675.0</v>
      </c>
      <c r="C30" s="5">
        <v>10200.0</v>
      </c>
      <c r="D30" s="6"/>
      <c r="E30" s="6"/>
      <c r="F30" s="6"/>
      <c r="G30" s="6"/>
    </row>
    <row r="31">
      <c r="A31" s="3" t="s">
        <v>7</v>
      </c>
      <c r="B31" s="4">
        <v>43676.0</v>
      </c>
      <c r="C31" s="5">
        <v>9290.0</v>
      </c>
      <c r="D31" s="6"/>
      <c r="E31" s="6"/>
      <c r="F31" s="6"/>
      <c r="G31" s="6"/>
    </row>
    <row r="32">
      <c r="A32" s="3" t="s">
        <v>8</v>
      </c>
      <c r="B32" s="4">
        <v>43677.0</v>
      </c>
      <c r="C32" s="5">
        <v>19400.0</v>
      </c>
      <c r="D32" s="6"/>
      <c r="E32" s="6"/>
      <c r="F32" s="6"/>
      <c r="G32" s="6"/>
    </row>
    <row r="33">
      <c r="A33" s="3"/>
      <c r="B33" s="11" t="s">
        <v>14</v>
      </c>
      <c r="C33" s="12">
        <f>SUM(C2:C32)</f>
        <v>415300</v>
      </c>
      <c r="D33" s="6">
        <f>Charges!D62*1</f>
        <v>143150</v>
      </c>
      <c r="E33" s="6">
        <f>Pointage!L35*1</f>
        <v>151800</v>
      </c>
      <c r="F33" s="5">
        <v>40000.0</v>
      </c>
      <c r="G33" s="13">
        <f>C33-F33-Charges!D62-Pointage!L35</f>
        <v>80350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4.5"/>
  </cols>
  <sheetData>
    <row r="1">
      <c r="A1" s="14"/>
      <c r="B1" s="15" t="s">
        <v>0</v>
      </c>
      <c r="C1" s="16" t="s">
        <v>15</v>
      </c>
      <c r="D1" s="16" t="s">
        <v>16</v>
      </c>
      <c r="E1" s="16" t="s">
        <v>17</v>
      </c>
      <c r="F1" s="17" t="s">
        <v>18</v>
      </c>
      <c r="G1" s="18" t="s">
        <v>19</v>
      </c>
      <c r="H1" s="18" t="s">
        <v>20</v>
      </c>
      <c r="I1" s="17" t="s">
        <v>21</v>
      </c>
      <c r="J1" s="17" t="s">
        <v>22</v>
      </c>
      <c r="K1" s="16" t="s">
        <v>23</v>
      </c>
      <c r="L1" s="19" t="s">
        <v>24</v>
      </c>
    </row>
    <row r="2">
      <c r="A2" s="20" t="s">
        <v>6</v>
      </c>
      <c r="B2" s="21">
        <v>43647.0</v>
      </c>
      <c r="C2" s="22">
        <v>1.0</v>
      </c>
      <c r="D2" s="22">
        <v>1.0</v>
      </c>
      <c r="E2" s="22">
        <v>1.0</v>
      </c>
      <c r="F2" s="22">
        <v>1.0</v>
      </c>
      <c r="G2" s="23">
        <v>0.0</v>
      </c>
      <c r="H2" s="23">
        <v>1.0</v>
      </c>
      <c r="I2" s="23">
        <v>0.0</v>
      </c>
      <c r="J2" s="23">
        <v>1.0</v>
      </c>
      <c r="K2" s="23">
        <v>1.0</v>
      </c>
      <c r="L2" s="24"/>
    </row>
    <row r="3">
      <c r="A3" s="20" t="s">
        <v>25</v>
      </c>
      <c r="B3" s="21">
        <v>43648.0</v>
      </c>
      <c r="C3" s="22">
        <v>1.0</v>
      </c>
      <c r="D3" s="22">
        <v>0.0</v>
      </c>
      <c r="E3" s="22">
        <v>1.0</v>
      </c>
      <c r="F3" s="22">
        <v>1.0</v>
      </c>
      <c r="G3" s="23">
        <v>0.0</v>
      </c>
      <c r="H3" s="23">
        <v>1.0</v>
      </c>
      <c r="I3" s="23">
        <v>0.0</v>
      </c>
      <c r="J3" s="23">
        <v>1.0</v>
      </c>
      <c r="K3" s="23">
        <v>1.0</v>
      </c>
      <c r="L3" s="24"/>
    </row>
    <row r="4">
      <c r="A4" s="20" t="s">
        <v>26</v>
      </c>
      <c r="B4" s="21">
        <v>43649.0</v>
      </c>
      <c r="C4" s="23">
        <v>1.0</v>
      </c>
      <c r="D4" s="23">
        <v>1.0</v>
      </c>
      <c r="E4" s="23">
        <v>1.0</v>
      </c>
      <c r="F4" s="23">
        <v>1.0</v>
      </c>
      <c r="G4" s="23">
        <v>0.0</v>
      </c>
      <c r="H4" s="23">
        <v>1.0</v>
      </c>
      <c r="I4" s="23">
        <v>0.0</v>
      </c>
      <c r="J4" s="23">
        <v>1.0</v>
      </c>
      <c r="K4" s="23">
        <v>0.0</v>
      </c>
      <c r="L4" s="24"/>
    </row>
    <row r="5">
      <c r="A5" s="20" t="s">
        <v>27</v>
      </c>
      <c r="B5" s="21">
        <v>43650.0</v>
      </c>
      <c r="C5" s="23">
        <v>1.0</v>
      </c>
      <c r="D5" s="23">
        <v>1.0</v>
      </c>
      <c r="E5" s="23">
        <v>1.0</v>
      </c>
      <c r="F5" s="23">
        <v>1.0</v>
      </c>
      <c r="G5" s="23">
        <v>0.0</v>
      </c>
      <c r="H5" s="23">
        <v>1.0</v>
      </c>
      <c r="I5" s="23">
        <v>0.0</v>
      </c>
      <c r="J5" s="23">
        <v>1.0</v>
      </c>
      <c r="K5" s="23">
        <v>1.0</v>
      </c>
      <c r="L5" s="24"/>
    </row>
    <row r="6">
      <c r="A6" s="20" t="s">
        <v>28</v>
      </c>
      <c r="B6" s="21">
        <v>43651.0</v>
      </c>
      <c r="C6" s="25">
        <v>0.0</v>
      </c>
      <c r="D6" s="25">
        <v>0.0</v>
      </c>
      <c r="E6" s="26">
        <v>0.0</v>
      </c>
      <c r="F6" s="26">
        <v>1.0</v>
      </c>
      <c r="G6" s="26">
        <v>0.0</v>
      </c>
      <c r="H6" s="26">
        <v>0.0</v>
      </c>
      <c r="I6" s="26">
        <v>0.0</v>
      </c>
      <c r="J6" s="25"/>
      <c r="K6" s="26">
        <v>0.0</v>
      </c>
      <c r="L6" s="24"/>
    </row>
    <row r="7">
      <c r="A7" s="20" t="s">
        <v>29</v>
      </c>
      <c r="B7" s="21">
        <v>43652.0</v>
      </c>
      <c r="C7" s="23">
        <v>1.0</v>
      </c>
      <c r="D7" s="23">
        <v>1.0</v>
      </c>
      <c r="E7" s="23">
        <v>1.0</v>
      </c>
      <c r="F7" s="23">
        <v>1.0</v>
      </c>
      <c r="G7" s="23">
        <v>1.0</v>
      </c>
      <c r="H7" s="23">
        <v>0.0</v>
      </c>
      <c r="I7" s="23">
        <v>0.0</v>
      </c>
      <c r="J7" s="23">
        <v>1.0</v>
      </c>
      <c r="K7" s="23">
        <v>0.0</v>
      </c>
      <c r="L7" s="24"/>
    </row>
    <row r="8">
      <c r="A8" s="20" t="s">
        <v>30</v>
      </c>
      <c r="B8" s="21">
        <v>43653.0</v>
      </c>
      <c r="C8" s="27">
        <v>1.0</v>
      </c>
      <c r="D8" s="27">
        <v>1.0</v>
      </c>
      <c r="E8" s="27">
        <v>1.0</v>
      </c>
      <c r="F8" s="27">
        <v>1.0</v>
      </c>
      <c r="G8" s="27">
        <v>1.0</v>
      </c>
      <c r="H8" s="27">
        <v>0.0</v>
      </c>
      <c r="I8" s="27">
        <v>0.0</v>
      </c>
      <c r="J8" s="27">
        <v>1.0</v>
      </c>
      <c r="K8" s="27">
        <v>0.0</v>
      </c>
      <c r="L8" s="28" t="s">
        <v>31</v>
      </c>
    </row>
    <row r="9">
      <c r="A9" s="20" t="s">
        <v>6</v>
      </c>
      <c r="B9" s="21">
        <v>43654.0</v>
      </c>
      <c r="C9" s="23">
        <v>1.0</v>
      </c>
      <c r="D9" s="23">
        <v>1.0</v>
      </c>
      <c r="E9" s="23">
        <v>1.0</v>
      </c>
      <c r="F9" s="23">
        <v>1.0</v>
      </c>
      <c r="G9" s="23">
        <v>1.0</v>
      </c>
      <c r="H9" s="23">
        <v>0.0</v>
      </c>
      <c r="I9" s="23">
        <v>0.0</v>
      </c>
      <c r="J9" s="23">
        <v>1.0</v>
      </c>
      <c r="K9" s="23">
        <v>0.0</v>
      </c>
      <c r="L9" s="24"/>
    </row>
    <row r="10">
      <c r="A10" s="20" t="s">
        <v>25</v>
      </c>
      <c r="B10" s="21">
        <v>43655.0</v>
      </c>
      <c r="C10" s="23">
        <v>1.0</v>
      </c>
      <c r="D10" s="23">
        <v>1.0</v>
      </c>
      <c r="E10" s="23">
        <v>0.0</v>
      </c>
      <c r="F10" s="23">
        <v>1.0</v>
      </c>
      <c r="G10" s="23">
        <v>1.0</v>
      </c>
      <c r="H10" s="23">
        <v>0.0</v>
      </c>
      <c r="I10" s="23">
        <v>0.0</v>
      </c>
      <c r="J10" s="23">
        <v>1.0</v>
      </c>
      <c r="K10" s="23">
        <v>0.0</v>
      </c>
      <c r="L10" s="28" t="s">
        <v>32</v>
      </c>
    </row>
    <row r="11">
      <c r="A11" s="20" t="s">
        <v>26</v>
      </c>
      <c r="B11" s="21">
        <v>43656.0</v>
      </c>
      <c r="C11" s="23">
        <v>1.0</v>
      </c>
      <c r="D11" s="23">
        <v>1.0</v>
      </c>
      <c r="E11" s="23">
        <v>0.0</v>
      </c>
      <c r="F11" s="23">
        <v>1.0</v>
      </c>
      <c r="G11" s="23">
        <v>1.0</v>
      </c>
      <c r="H11" s="23">
        <v>0.0</v>
      </c>
      <c r="I11" s="23">
        <v>0.0</v>
      </c>
      <c r="J11" s="23">
        <v>1.0</v>
      </c>
      <c r="K11" s="23">
        <v>0.0</v>
      </c>
      <c r="L11" s="28" t="s">
        <v>33</v>
      </c>
    </row>
    <row r="12">
      <c r="A12" s="20" t="s">
        <v>27</v>
      </c>
      <c r="B12" s="21">
        <v>43657.0</v>
      </c>
      <c r="C12" s="23">
        <v>1.0</v>
      </c>
      <c r="D12" s="23">
        <v>1.0</v>
      </c>
      <c r="E12" s="23">
        <v>0.0</v>
      </c>
      <c r="F12" s="23">
        <v>1.0</v>
      </c>
      <c r="G12" s="23">
        <v>0.0</v>
      </c>
      <c r="H12" s="23">
        <v>0.0</v>
      </c>
      <c r="I12" s="23">
        <v>0.0</v>
      </c>
      <c r="J12" s="23">
        <v>0.0</v>
      </c>
      <c r="K12" s="23">
        <v>0.0</v>
      </c>
      <c r="L12" s="24"/>
    </row>
    <row r="13">
      <c r="A13" s="20" t="s">
        <v>28</v>
      </c>
      <c r="B13" s="21">
        <v>43658.0</v>
      </c>
      <c r="C13" s="26">
        <v>0.0</v>
      </c>
      <c r="D13" s="26">
        <v>0.0</v>
      </c>
      <c r="E13" s="25">
        <v>0.0</v>
      </c>
      <c r="F13" s="26">
        <v>1.0</v>
      </c>
      <c r="G13" s="26">
        <v>0.0</v>
      </c>
      <c r="H13" s="25">
        <v>0.0</v>
      </c>
      <c r="I13" s="26">
        <v>0.0</v>
      </c>
      <c r="J13" s="26">
        <v>0.0</v>
      </c>
      <c r="K13" s="26">
        <v>0.0</v>
      </c>
      <c r="L13" s="24"/>
    </row>
    <row r="14">
      <c r="A14" s="20" t="s">
        <v>29</v>
      </c>
      <c r="B14" s="21">
        <v>43659.0</v>
      </c>
      <c r="C14" s="23">
        <v>1.0</v>
      </c>
      <c r="D14" s="23">
        <v>0.0</v>
      </c>
      <c r="E14" s="23">
        <v>1.0</v>
      </c>
      <c r="F14" s="23">
        <v>0.0</v>
      </c>
      <c r="G14" s="23">
        <v>0.0</v>
      </c>
      <c r="H14" s="23">
        <v>0.0</v>
      </c>
      <c r="I14" s="23">
        <v>0.0</v>
      </c>
      <c r="J14" s="23">
        <v>1.0</v>
      </c>
      <c r="K14" s="23">
        <v>0.0</v>
      </c>
      <c r="L14" s="24"/>
    </row>
    <row r="15">
      <c r="A15" s="20" t="s">
        <v>30</v>
      </c>
      <c r="B15" s="21">
        <v>43660.0</v>
      </c>
      <c r="C15" s="27">
        <v>1.0</v>
      </c>
      <c r="D15" s="27">
        <v>1.0</v>
      </c>
      <c r="E15" s="27">
        <v>1.0</v>
      </c>
      <c r="F15" s="27">
        <v>0.0</v>
      </c>
      <c r="G15" s="27">
        <v>0.0</v>
      </c>
      <c r="H15" s="27">
        <v>0.0</v>
      </c>
      <c r="I15" s="27">
        <v>0.0</v>
      </c>
      <c r="J15" s="27">
        <v>1.0</v>
      </c>
      <c r="K15" s="27">
        <v>0.0</v>
      </c>
      <c r="L15" s="24"/>
    </row>
    <row r="16">
      <c r="A16" s="20" t="s">
        <v>6</v>
      </c>
      <c r="B16" s="21">
        <v>43661.0</v>
      </c>
      <c r="C16" s="23">
        <v>1.0</v>
      </c>
      <c r="D16" s="23">
        <v>0.0</v>
      </c>
      <c r="E16" s="23">
        <v>1.0</v>
      </c>
      <c r="F16" s="23">
        <v>0.0</v>
      </c>
      <c r="G16" s="23">
        <v>0.0</v>
      </c>
      <c r="H16" s="23">
        <v>0.0</v>
      </c>
      <c r="I16" s="23">
        <v>1.0</v>
      </c>
      <c r="J16" s="23">
        <v>1.0</v>
      </c>
      <c r="K16" s="23">
        <v>0.0</v>
      </c>
      <c r="L16" s="24"/>
    </row>
    <row r="17">
      <c r="A17" s="20" t="s">
        <v>34</v>
      </c>
      <c r="B17" s="21">
        <v>43662.0</v>
      </c>
      <c r="C17" s="23">
        <v>1.0</v>
      </c>
      <c r="D17" s="23">
        <v>1.0</v>
      </c>
      <c r="E17" s="23">
        <v>1.0</v>
      </c>
      <c r="F17" s="23">
        <v>0.0</v>
      </c>
      <c r="G17" s="23">
        <v>0.0</v>
      </c>
      <c r="H17" s="23">
        <v>0.0</v>
      </c>
      <c r="I17" s="23">
        <v>1.0</v>
      </c>
      <c r="J17" s="23">
        <v>1.0</v>
      </c>
      <c r="K17" s="23">
        <v>0.0</v>
      </c>
      <c r="L17" s="24"/>
    </row>
    <row r="18">
      <c r="A18" s="20" t="s">
        <v>26</v>
      </c>
      <c r="B18" s="21">
        <v>43663.0</v>
      </c>
      <c r="C18" s="23">
        <v>1.0</v>
      </c>
      <c r="D18" s="23">
        <v>1.0</v>
      </c>
      <c r="E18" s="23">
        <v>1.0</v>
      </c>
      <c r="F18" s="23">
        <v>0.0</v>
      </c>
      <c r="G18" s="23">
        <v>0.0</v>
      </c>
      <c r="H18" s="23">
        <v>0.0</v>
      </c>
      <c r="I18" s="23">
        <v>1.0</v>
      </c>
      <c r="J18" s="23">
        <v>1.0</v>
      </c>
      <c r="K18" s="23">
        <v>0.0</v>
      </c>
      <c r="L18" s="28" t="s">
        <v>35</v>
      </c>
    </row>
    <row r="19">
      <c r="A19" s="20" t="s">
        <v>27</v>
      </c>
      <c r="B19" s="21">
        <v>43664.0</v>
      </c>
      <c r="C19" s="23">
        <v>1.0</v>
      </c>
      <c r="D19" s="23">
        <v>0.0</v>
      </c>
      <c r="E19" s="23">
        <v>1.0</v>
      </c>
      <c r="F19" s="23">
        <v>0.0</v>
      </c>
      <c r="G19" s="23">
        <v>0.0</v>
      </c>
      <c r="H19" s="23">
        <v>0.0</v>
      </c>
      <c r="I19" s="23">
        <v>1.0</v>
      </c>
      <c r="J19" s="23">
        <v>1.0</v>
      </c>
      <c r="K19" s="23">
        <v>0.0</v>
      </c>
      <c r="L19" s="24"/>
    </row>
    <row r="20">
      <c r="A20" s="20" t="s">
        <v>28</v>
      </c>
      <c r="B20" s="21">
        <v>43665.0</v>
      </c>
      <c r="C20" s="26">
        <v>0.0</v>
      </c>
      <c r="D20" s="25">
        <v>0.0</v>
      </c>
      <c r="E20" s="26">
        <v>0.0</v>
      </c>
      <c r="F20" s="26">
        <v>0.0</v>
      </c>
      <c r="G20" s="26">
        <v>0.0</v>
      </c>
      <c r="H20" s="25">
        <v>0.0</v>
      </c>
      <c r="I20" s="25"/>
      <c r="J20" s="26">
        <v>0.0</v>
      </c>
      <c r="K20" s="26">
        <v>0.0</v>
      </c>
      <c r="L20" s="24"/>
    </row>
    <row r="21">
      <c r="A21" s="20" t="s">
        <v>29</v>
      </c>
      <c r="B21" s="21">
        <v>43666.0</v>
      </c>
      <c r="C21" s="23">
        <v>1.0</v>
      </c>
      <c r="D21" s="23">
        <v>0.0</v>
      </c>
      <c r="E21" s="23">
        <v>1.0</v>
      </c>
      <c r="F21" s="23">
        <v>0.0</v>
      </c>
      <c r="G21" s="23">
        <v>0.0</v>
      </c>
      <c r="H21" s="23">
        <v>0.0</v>
      </c>
      <c r="I21" s="23">
        <v>1.0</v>
      </c>
      <c r="J21" s="23">
        <v>1.0</v>
      </c>
      <c r="K21" s="23">
        <v>0.0</v>
      </c>
      <c r="L21" s="24"/>
    </row>
    <row r="22">
      <c r="A22" s="20" t="s">
        <v>30</v>
      </c>
      <c r="B22" s="21">
        <v>43667.0</v>
      </c>
      <c r="C22" s="27">
        <v>1.0</v>
      </c>
      <c r="D22" s="27">
        <v>0.0</v>
      </c>
      <c r="E22" s="27">
        <v>1.0</v>
      </c>
      <c r="F22" s="27">
        <v>0.0</v>
      </c>
      <c r="G22" s="27">
        <v>0.0</v>
      </c>
      <c r="H22" s="27">
        <v>0.0</v>
      </c>
      <c r="I22" s="27">
        <v>1.0</v>
      </c>
      <c r="J22" s="27">
        <v>1.0</v>
      </c>
      <c r="K22" s="27">
        <v>0.0</v>
      </c>
      <c r="L22" s="24"/>
    </row>
    <row r="23">
      <c r="A23" s="20" t="s">
        <v>6</v>
      </c>
      <c r="B23" s="21">
        <v>43668.0</v>
      </c>
      <c r="C23" s="23">
        <v>1.0</v>
      </c>
      <c r="D23" s="23">
        <v>0.0</v>
      </c>
      <c r="E23" s="23">
        <v>1.0</v>
      </c>
      <c r="F23" s="23">
        <v>0.0</v>
      </c>
      <c r="G23" s="23">
        <v>0.0</v>
      </c>
      <c r="H23" s="23">
        <v>0.0</v>
      </c>
      <c r="I23" s="23">
        <v>1.0</v>
      </c>
      <c r="J23" s="23">
        <v>1.0</v>
      </c>
      <c r="K23" s="23">
        <v>0.0</v>
      </c>
      <c r="L23" s="24"/>
    </row>
    <row r="24">
      <c r="A24" s="20" t="s">
        <v>25</v>
      </c>
      <c r="B24" s="21">
        <v>43669.0</v>
      </c>
      <c r="C24" s="23">
        <v>1.0</v>
      </c>
      <c r="D24" s="23">
        <v>0.0</v>
      </c>
      <c r="E24" s="23">
        <v>1.0</v>
      </c>
      <c r="F24" s="23">
        <v>0.0</v>
      </c>
      <c r="G24" s="23">
        <v>0.0</v>
      </c>
      <c r="H24" s="23">
        <v>0.0</v>
      </c>
      <c r="I24" s="23">
        <v>1.0</v>
      </c>
      <c r="J24" s="23">
        <v>1.0</v>
      </c>
      <c r="K24" s="23">
        <v>0.0</v>
      </c>
      <c r="L24" s="24"/>
    </row>
    <row r="25">
      <c r="A25" s="20" t="s">
        <v>26</v>
      </c>
      <c r="B25" s="21">
        <v>43670.0</v>
      </c>
      <c r="C25" s="23">
        <v>0.0</v>
      </c>
      <c r="D25" s="23">
        <v>0.0</v>
      </c>
      <c r="E25" s="23">
        <v>1.0</v>
      </c>
      <c r="F25" s="23">
        <v>0.0</v>
      </c>
      <c r="G25" s="23">
        <v>0.0</v>
      </c>
      <c r="H25" s="23">
        <v>0.0</v>
      </c>
      <c r="I25" s="23">
        <v>1.0</v>
      </c>
      <c r="J25" s="23">
        <v>1.0</v>
      </c>
      <c r="K25" s="23">
        <v>0.0</v>
      </c>
      <c r="L25" s="24"/>
    </row>
    <row r="26">
      <c r="A26" s="20" t="s">
        <v>27</v>
      </c>
      <c r="B26" s="21">
        <v>43671.0</v>
      </c>
      <c r="C26" s="23">
        <v>0.0</v>
      </c>
      <c r="D26" s="23">
        <v>0.0</v>
      </c>
      <c r="E26" s="23">
        <v>1.0</v>
      </c>
      <c r="F26" s="23">
        <v>0.0</v>
      </c>
      <c r="G26" s="23">
        <v>0.0</v>
      </c>
      <c r="H26" s="23">
        <v>0.0</v>
      </c>
      <c r="I26" s="23">
        <v>1.0</v>
      </c>
      <c r="J26" s="23">
        <v>1.0</v>
      </c>
      <c r="K26" s="23">
        <v>0.0</v>
      </c>
      <c r="L26" s="24"/>
    </row>
    <row r="27">
      <c r="A27" s="20" t="s">
        <v>28</v>
      </c>
      <c r="B27" s="21">
        <v>43672.0</v>
      </c>
      <c r="C27" s="26">
        <v>0.0</v>
      </c>
      <c r="D27" s="25">
        <v>0.0</v>
      </c>
      <c r="E27" s="26">
        <v>0.0</v>
      </c>
      <c r="F27" s="26">
        <v>0.0</v>
      </c>
      <c r="G27" s="26">
        <v>0.0</v>
      </c>
      <c r="H27" s="25">
        <v>0.0</v>
      </c>
      <c r="I27" s="26">
        <v>0.0</v>
      </c>
      <c r="J27" s="26">
        <v>0.0</v>
      </c>
      <c r="K27" s="26">
        <v>0.0</v>
      </c>
      <c r="L27" s="24"/>
    </row>
    <row r="28">
      <c r="A28" s="20" t="s">
        <v>29</v>
      </c>
      <c r="B28" s="21">
        <v>43673.0</v>
      </c>
      <c r="C28" s="23">
        <v>1.0</v>
      </c>
      <c r="D28" s="23">
        <v>0.0</v>
      </c>
      <c r="E28" s="23">
        <v>1.0</v>
      </c>
      <c r="F28" s="23">
        <v>0.0</v>
      </c>
      <c r="G28" s="23">
        <v>0.0</v>
      </c>
      <c r="H28" s="23">
        <v>0.0</v>
      </c>
      <c r="I28" s="23">
        <v>1.0</v>
      </c>
      <c r="J28" s="23">
        <v>1.0</v>
      </c>
      <c r="K28" s="23">
        <v>0.0</v>
      </c>
      <c r="L28" s="24"/>
    </row>
    <row r="29">
      <c r="A29" s="20" t="s">
        <v>30</v>
      </c>
      <c r="B29" s="21">
        <v>43674.0</v>
      </c>
      <c r="C29" s="27">
        <v>1.0</v>
      </c>
      <c r="D29" s="27">
        <v>0.0</v>
      </c>
      <c r="E29" s="27">
        <v>1.0</v>
      </c>
      <c r="F29" s="27">
        <v>0.0</v>
      </c>
      <c r="G29" s="27">
        <v>0.0</v>
      </c>
      <c r="H29" s="27">
        <v>0.0</v>
      </c>
      <c r="I29" s="27">
        <v>1.0</v>
      </c>
      <c r="J29" s="27">
        <v>0.0</v>
      </c>
      <c r="K29" s="27">
        <v>0.0</v>
      </c>
      <c r="L29" s="24"/>
    </row>
    <row r="30">
      <c r="A30" s="20" t="s">
        <v>6</v>
      </c>
      <c r="B30" s="21">
        <v>43675.0</v>
      </c>
      <c r="C30" s="23">
        <v>1.0</v>
      </c>
      <c r="D30" s="23">
        <v>0.0</v>
      </c>
      <c r="E30" s="23">
        <v>1.0</v>
      </c>
      <c r="F30" s="23">
        <v>0.0</v>
      </c>
      <c r="G30" s="23">
        <v>0.0</v>
      </c>
      <c r="H30" s="23">
        <v>0.0</v>
      </c>
      <c r="I30" s="23">
        <v>1.0</v>
      </c>
      <c r="J30" s="23">
        <v>0.0</v>
      </c>
      <c r="K30" s="23">
        <v>0.0</v>
      </c>
      <c r="L30" s="24"/>
    </row>
    <row r="31">
      <c r="A31" s="20" t="s">
        <v>25</v>
      </c>
      <c r="B31" s="21">
        <v>43676.0</v>
      </c>
      <c r="C31" s="23">
        <v>1.0</v>
      </c>
      <c r="D31" s="23">
        <v>0.0</v>
      </c>
      <c r="E31" s="23">
        <v>1.0</v>
      </c>
      <c r="F31" s="23">
        <v>0.0</v>
      </c>
      <c r="G31" s="23">
        <v>0.0</v>
      </c>
      <c r="H31" s="23">
        <v>0.0</v>
      </c>
      <c r="I31" s="23">
        <v>1.0</v>
      </c>
      <c r="J31" s="23">
        <v>0.0</v>
      </c>
      <c r="K31" s="23">
        <v>0.0</v>
      </c>
      <c r="L31" s="24"/>
    </row>
    <row r="32">
      <c r="A32" s="29" t="s">
        <v>26</v>
      </c>
      <c r="B32" s="21">
        <v>43677.0</v>
      </c>
      <c r="C32" s="30">
        <v>1.0</v>
      </c>
      <c r="D32" s="30">
        <v>0.0</v>
      </c>
      <c r="E32" s="30">
        <v>1.0</v>
      </c>
      <c r="F32" s="30">
        <v>0.0</v>
      </c>
      <c r="G32" s="31">
        <v>0.0</v>
      </c>
      <c r="H32" s="31">
        <v>0.0</v>
      </c>
      <c r="I32" s="31">
        <v>1.0</v>
      </c>
      <c r="J32" s="31">
        <v>0.0</v>
      </c>
      <c r="K32" s="31">
        <v>0.0</v>
      </c>
      <c r="L32" s="24"/>
    </row>
    <row r="33">
      <c r="A33" s="32"/>
      <c r="B33" s="33" t="s">
        <v>14</v>
      </c>
      <c r="C33" s="34">
        <f t="shared" ref="C33:G33" si="1">SUM(C2:C32)</f>
        <v>25</v>
      </c>
      <c r="D33" s="34">
        <f t="shared" si="1"/>
        <v>12</v>
      </c>
      <c r="E33" s="34">
        <f t="shared" si="1"/>
        <v>24</v>
      </c>
      <c r="F33" s="34">
        <f t="shared" si="1"/>
        <v>12</v>
      </c>
      <c r="G33" s="34">
        <f t="shared" si="1"/>
        <v>5</v>
      </c>
      <c r="H33" s="34">
        <f>SUM(H2:H31)</f>
        <v>4</v>
      </c>
      <c r="I33" s="34">
        <f t="shared" ref="I33:K33" si="2">SUM(I2:I32)</f>
        <v>15</v>
      </c>
      <c r="J33" s="34">
        <f t="shared" si="2"/>
        <v>22</v>
      </c>
      <c r="K33" s="34">
        <f t="shared" si="2"/>
        <v>3</v>
      </c>
      <c r="L33" s="24"/>
    </row>
    <row r="34">
      <c r="A34" s="32"/>
      <c r="B34" s="35" t="s">
        <v>36</v>
      </c>
      <c r="C34" s="36">
        <v>2000.0</v>
      </c>
      <c r="D34" s="36">
        <v>1000.0</v>
      </c>
      <c r="E34" s="36">
        <v>1200.0</v>
      </c>
      <c r="F34" s="36">
        <v>1000.0</v>
      </c>
      <c r="G34" s="37">
        <v>1000.0</v>
      </c>
      <c r="H34" s="36">
        <v>1000.0</v>
      </c>
      <c r="I34" s="37">
        <v>1000.0</v>
      </c>
      <c r="J34" s="37">
        <v>1000.0</v>
      </c>
      <c r="K34" s="36">
        <v>1000.0</v>
      </c>
      <c r="L34" s="38"/>
    </row>
    <row r="35">
      <c r="A35" s="32"/>
      <c r="B35" s="39" t="s">
        <v>37</v>
      </c>
      <c r="C35" s="40">
        <f t="shared" ref="C35:F35" si="3">C34*C33</f>
        <v>50000</v>
      </c>
      <c r="D35" s="40">
        <f t="shared" si="3"/>
        <v>12000</v>
      </c>
      <c r="E35" s="40">
        <f t="shared" si="3"/>
        <v>28800</v>
      </c>
      <c r="F35" s="40">
        <f t="shared" si="3"/>
        <v>12000</v>
      </c>
      <c r="G35" s="40">
        <f t="shared" ref="G35:H35" si="4">G33*G34</f>
        <v>5000</v>
      </c>
      <c r="H35" s="40">
        <f t="shared" si="4"/>
        <v>4000</v>
      </c>
      <c r="I35" s="40">
        <f t="shared" ref="I35:J35" si="5">I34*I33</f>
        <v>15000</v>
      </c>
      <c r="J35" s="40">
        <f t="shared" si="5"/>
        <v>22000</v>
      </c>
      <c r="K35" s="40">
        <f>K33*K34</f>
        <v>3000</v>
      </c>
      <c r="L35" s="41">
        <f>SUM(C35:K35)</f>
        <v>151800</v>
      </c>
    </row>
    <row r="37">
      <c r="L37" s="42" t="s">
        <v>38</v>
      </c>
      <c r="M37" s="43">
        <f>C35+D35+E35+I35+J35</f>
        <v>127800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6.25"/>
  </cols>
  <sheetData>
    <row r="4">
      <c r="E4" s="44"/>
      <c r="F4" s="45" t="s">
        <v>3</v>
      </c>
      <c r="G4" s="45" t="s">
        <v>0</v>
      </c>
    </row>
    <row r="5">
      <c r="D5" s="3">
        <v>1.0</v>
      </c>
      <c r="E5" s="46" t="s">
        <v>15</v>
      </c>
      <c r="F5" s="37">
        <v>50000.0</v>
      </c>
      <c r="G5" s="21">
        <v>43647.0</v>
      </c>
    </row>
    <row r="6">
      <c r="D6" s="3">
        <v>2.0</v>
      </c>
      <c r="E6" s="46" t="s">
        <v>17</v>
      </c>
      <c r="F6" s="37">
        <v>2000.0</v>
      </c>
      <c r="G6" s="21">
        <v>43647.0</v>
      </c>
      <c r="H6" s="47">
        <v>2000.0</v>
      </c>
      <c r="I6" s="48">
        <v>43669.0</v>
      </c>
    </row>
    <row r="7">
      <c r="D7" s="3">
        <v>3.0</v>
      </c>
      <c r="E7" s="46" t="s">
        <v>16</v>
      </c>
      <c r="F7" s="37">
        <v>12000.0</v>
      </c>
      <c r="G7" s="21">
        <v>43647.0</v>
      </c>
    </row>
    <row r="8">
      <c r="D8" s="3">
        <v>4.0</v>
      </c>
      <c r="E8" s="49" t="s">
        <v>18</v>
      </c>
      <c r="F8" s="37">
        <v>12000.0</v>
      </c>
      <c r="G8" s="21">
        <v>43647.0</v>
      </c>
      <c r="H8" s="47" t="s">
        <v>39</v>
      </c>
    </row>
    <row r="9">
      <c r="D9" s="3">
        <v>5.0</v>
      </c>
      <c r="E9" s="50" t="s">
        <v>22</v>
      </c>
      <c r="F9" s="51">
        <v>22000.0</v>
      </c>
      <c r="G9" s="21">
        <v>43647.0</v>
      </c>
      <c r="H9" s="52"/>
    </row>
    <row r="10">
      <c r="D10" s="3">
        <v>6.0</v>
      </c>
      <c r="E10" s="50" t="s">
        <v>19</v>
      </c>
      <c r="F10" s="51">
        <v>5000.0</v>
      </c>
      <c r="G10" s="21">
        <v>43652.0</v>
      </c>
      <c r="H10" s="53">
        <v>43657.0</v>
      </c>
    </row>
    <row r="11">
      <c r="D11" s="3">
        <v>7.0</v>
      </c>
      <c r="E11" s="50" t="s">
        <v>20</v>
      </c>
      <c r="F11" s="51">
        <v>4000.0</v>
      </c>
      <c r="G11" s="21">
        <v>43647.0</v>
      </c>
      <c r="H11" s="53">
        <v>43650.0</v>
      </c>
    </row>
    <row r="12">
      <c r="D12" s="3">
        <v>8.0</v>
      </c>
      <c r="E12" s="54" t="s">
        <v>23</v>
      </c>
      <c r="F12" s="51">
        <v>2000.0</v>
      </c>
      <c r="G12" s="21">
        <v>43647.0</v>
      </c>
      <c r="H12" s="52"/>
    </row>
    <row r="13">
      <c r="E13" s="55" t="s">
        <v>14</v>
      </c>
      <c r="F13" s="56">
        <f>SUM(F5:F12)</f>
        <v>109000</v>
      </c>
      <c r="G13" s="57" t="s">
        <v>40</v>
      </c>
      <c r="H13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3" max="3" width="37.0"/>
    <col customWidth="1" min="4" max="4" width="15.38"/>
    <col customWidth="1" min="5" max="5" width="16.38"/>
  </cols>
  <sheetData>
    <row r="2">
      <c r="B2" s="58" t="s">
        <v>41</v>
      </c>
      <c r="C2" s="59" t="s">
        <v>42</v>
      </c>
      <c r="D2" s="59" t="s">
        <v>43</v>
      </c>
      <c r="E2" s="59" t="s">
        <v>44</v>
      </c>
    </row>
    <row r="3">
      <c r="B3" s="3" t="s">
        <v>45</v>
      </c>
      <c r="C3" s="60" t="s">
        <v>46</v>
      </c>
      <c r="D3" s="5">
        <v>900.0</v>
      </c>
      <c r="E3" s="4">
        <v>43648.0</v>
      </c>
    </row>
    <row r="4">
      <c r="B4" s="3" t="s">
        <v>47</v>
      </c>
      <c r="C4" s="60" t="s">
        <v>48</v>
      </c>
      <c r="D4" s="5">
        <v>400.0</v>
      </c>
      <c r="E4" s="4">
        <v>43648.0</v>
      </c>
    </row>
    <row r="5">
      <c r="B5" s="3" t="s">
        <v>49</v>
      </c>
      <c r="C5" s="60" t="s">
        <v>50</v>
      </c>
      <c r="D5" s="5">
        <v>400.0</v>
      </c>
      <c r="E5" s="4">
        <v>43648.0</v>
      </c>
    </row>
    <row r="6">
      <c r="B6" s="3" t="s">
        <v>51</v>
      </c>
      <c r="C6" s="60" t="s">
        <v>52</v>
      </c>
      <c r="D6" s="5">
        <v>7385.0</v>
      </c>
      <c r="E6" s="4">
        <v>43650.0</v>
      </c>
    </row>
    <row r="7">
      <c r="B7" s="3" t="s">
        <v>53</v>
      </c>
      <c r="C7" s="60">
        <v>100.0</v>
      </c>
      <c r="D7" s="5">
        <v>1700.0</v>
      </c>
      <c r="E7" s="4">
        <v>43650.0</v>
      </c>
    </row>
    <row r="8">
      <c r="B8" s="3" t="s">
        <v>54</v>
      </c>
      <c r="C8" s="60" t="s">
        <v>55</v>
      </c>
      <c r="D8" s="5">
        <v>2500.0</v>
      </c>
      <c r="E8" s="4">
        <v>43650.0</v>
      </c>
    </row>
    <row r="9">
      <c r="B9" s="3" t="s">
        <v>56</v>
      </c>
      <c r="C9" s="60" t="s">
        <v>57</v>
      </c>
      <c r="D9" s="5">
        <v>3300.0</v>
      </c>
      <c r="E9" s="4">
        <v>43650.0</v>
      </c>
    </row>
    <row r="10">
      <c r="B10" s="3" t="s">
        <v>58</v>
      </c>
      <c r="C10" s="60" t="s">
        <v>59</v>
      </c>
      <c r="D10" s="5">
        <v>3000.0</v>
      </c>
      <c r="E10" s="4">
        <v>43650.0</v>
      </c>
    </row>
    <row r="11">
      <c r="B11" s="3" t="s">
        <v>60</v>
      </c>
      <c r="C11" s="60" t="s">
        <v>61</v>
      </c>
      <c r="D11" s="5">
        <v>800.0</v>
      </c>
      <c r="E11" s="4">
        <v>43652.0</v>
      </c>
    </row>
    <row r="12">
      <c r="B12" s="3" t="s">
        <v>62</v>
      </c>
      <c r="C12" s="60" t="s">
        <v>40</v>
      </c>
      <c r="D12" s="5">
        <v>500.0</v>
      </c>
      <c r="E12" s="4">
        <v>43654.0</v>
      </c>
    </row>
    <row r="13">
      <c r="B13" s="3" t="s">
        <v>63</v>
      </c>
      <c r="C13" s="60" t="s">
        <v>64</v>
      </c>
      <c r="D13" s="5">
        <v>400.0</v>
      </c>
      <c r="E13" s="4">
        <v>43654.0</v>
      </c>
    </row>
    <row r="14">
      <c r="B14" s="3" t="s">
        <v>65</v>
      </c>
      <c r="C14" s="60" t="s">
        <v>48</v>
      </c>
      <c r="D14" s="5">
        <v>600.0</v>
      </c>
      <c r="E14" s="4">
        <v>43653.0</v>
      </c>
    </row>
    <row r="15">
      <c r="B15" s="3" t="s">
        <v>66</v>
      </c>
      <c r="C15" s="60" t="s">
        <v>67</v>
      </c>
      <c r="D15" s="5">
        <v>1700.0</v>
      </c>
      <c r="E15" s="4">
        <v>43653.0</v>
      </c>
    </row>
    <row r="16">
      <c r="B16" s="3" t="s">
        <v>68</v>
      </c>
      <c r="C16" s="60">
        <v>1.0</v>
      </c>
      <c r="D16" s="5">
        <v>350.0</v>
      </c>
      <c r="E16" s="4">
        <v>43654.0</v>
      </c>
    </row>
    <row r="17">
      <c r="B17" s="3" t="s">
        <v>69</v>
      </c>
      <c r="C17" s="60" t="s">
        <v>70</v>
      </c>
      <c r="D17" s="5">
        <v>1320.0</v>
      </c>
      <c r="E17" s="4">
        <v>43650.0</v>
      </c>
    </row>
    <row r="18">
      <c r="B18" s="3" t="s">
        <v>71</v>
      </c>
      <c r="C18" s="60" t="s">
        <v>72</v>
      </c>
      <c r="D18" s="5">
        <v>4000.0</v>
      </c>
      <c r="E18" s="4">
        <v>43650.0</v>
      </c>
    </row>
    <row r="19">
      <c r="B19" s="3" t="s">
        <v>73</v>
      </c>
      <c r="C19" s="60" t="s">
        <v>48</v>
      </c>
      <c r="D19" s="5">
        <v>760.0</v>
      </c>
      <c r="E19" s="4">
        <v>43654.0</v>
      </c>
    </row>
    <row r="20">
      <c r="B20" s="3" t="s">
        <v>73</v>
      </c>
      <c r="C20" s="60" t="s">
        <v>48</v>
      </c>
      <c r="D20" s="5">
        <v>760.0</v>
      </c>
      <c r="E20" s="4">
        <v>43655.0</v>
      </c>
    </row>
    <row r="21">
      <c r="B21" s="3" t="s">
        <v>74</v>
      </c>
      <c r="C21" s="60" t="s">
        <v>75</v>
      </c>
      <c r="D21" s="5">
        <v>2000.0</v>
      </c>
      <c r="E21" s="4">
        <v>43655.0</v>
      </c>
    </row>
    <row r="22">
      <c r="B22" s="3" t="s">
        <v>76</v>
      </c>
      <c r="C22" s="60" t="s">
        <v>77</v>
      </c>
      <c r="D22" s="5">
        <v>750.0</v>
      </c>
      <c r="E22" s="4">
        <v>43655.0</v>
      </c>
    </row>
    <row r="23">
      <c r="B23" s="3" t="s">
        <v>78</v>
      </c>
      <c r="C23" s="60" t="s">
        <v>77</v>
      </c>
      <c r="D23" s="5">
        <v>750.0</v>
      </c>
      <c r="E23" s="4">
        <v>43655.0</v>
      </c>
    </row>
    <row r="24">
      <c r="B24" s="3" t="s">
        <v>79</v>
      </c>
      <c r="C24" s="60" t="s">
        <v>80</v>
      </c>
      <c r="D24" s="5">
        <v>600.0</v>
      </c>
      <c r="E24" s="4">
        <v>43655.0</v>
      </c>
    </row>
    <row r="25">
      <c r="B25" s="3" t="s">
        <v>81</v>
      </c>
      <c r="C25" s="60" t="s">
        <v>82</v>
      </c>
      <c r="D25" s="5">
        <v>3100.0</v>
      </c>
      <c r="E25" s="4">
        <v>43655.0</v>
      </c>
    </row>
    <row r="26">
      <c r="B26" s="3" t="s">
        <v>83</v>
      </c>
      <c r="C26" s="61"/>
      <c r="D26" s="5">
        <v>11500.0</v>
      </c>
      <c r="E26" s="4">
        <v>43646.0</v>
      </c>
    </row>
    <row r="27">
      <c r="B27" s="3" t="s">
        <v>84</v>
      </c>
      <c r="C27" s="60" t="s">
        <v>59</v>
      </c>
      <c r="D27" s="5">
        <v>5000.0</v>
      </c>
      <c r="E27" s="4">
        <v>43657.0</v>
      </c>
    </row>
    <row r="28">
      <c r="B28" s="3" t="s">
        <v>85</v>
      </c>
      <c r="C28" s="60" t="s">
        <v>70</v>
      </c>
      <c r="D28" s="5">
        <v>800.0</v>
      </c>
      <c r="E28" s="4">
        <v>43659.0</v>
      </c>
    </row>
    <row r="29">
      <c r="B29" s="3" t="s">
        <v>86</v>
      </c>
      <c r="C29" s="60" t="s">
        <v>87</v>
      </c>
      <c r="D29" s="5">
        <v>600.0</v>
      </c>
      <c r="E29" s="4">
        <v>43659.0</v>
      </c>
    </row>
    <row r="30">
      <c r="B30" s="3" t="s">
        <v>88</v>
      </c>
      <c r="C30" s="60" t="s">
        <v>89</v>
      </c>
      <c r="D30" s="5">
        <v>560.0</v>
      </c>
      <c r="E30" s="4">
        <v>43659.0</v>
      </c>
    </row>
    <row r="31">
      <c r="B31" s="3" t="s">
        <v>90</v>
      </c>
      <c r="C31" s="60" t="s">
        <v>77</v>
      </c>
      <c r="D31" s="5">
        <v>850.0</v>
      </c>
      <c r="E31" s="4">
        <v>43659.0</v>
      </c>
    </row>
    <row r="32">
      <c r="B32" s="3" t="s">
        <v>91</v>
      </c>
      <c r="C32" s="61"/>
      <c r="D32" s="5">
        <v>2000.0</v>
      </c>
      <c r="E32" s="4">
        <v>43659.0</v>
      </c>
    </row>
    <row r="33">
      <c r="B33" s="3" t="s">
        <v>92</v>
      </c>
      <c r="C33" s="60" t="s">
        <v>59</v>
      </c>
      <c r="D33" s="5">
        <v>4800.0</v>
      </c>
      <c r="E33" s="4">
        <v>43660.0</v>
      </c>
    </row>
    <row r="34">
      <c r="B34" s="3" t="s">
        <v>93</v>
      </c>
      <c r="C34" s="60" t="s">
        <v>72</v>
      </c>
      <c r="D34" s="5">
        <v>650.0</v>
      </c>
      <c r="E34" s="4">
        <v>43660.0</v>
      </c>
    </row>
    <row r="35">
      <c r="B35" s="3" t="s">
        <v>94</v>
      </c>
      <c r="C35" s="60" t="s">
        <v>95</v>
      </c>
      <c r="D35" s="5">
        <v>1200.0</v>
      </c>
      <c r="E35" s="4">
        <v>43660.0</v>
      </c>
    </row>
    <row r="36">
      <c r="B36" s="3" t="s">
        <v>96</v>
      </c>
      <c r="C36" s="61"/>
      <c r="D36" s="5">
        <v>700.0</v>
      </c>
      <c r="E36" s="4">
        <v>43660.0</v>
      </c>
    </row>
    <row r="37">
      <c r="B37" s="3" t="s">
        <v>97</v>
      </c>
      <c r="C37" s="60" t="s">
        <v>98</v>
      </c>
      <c r="D37" s="5">
        <v>900.0</v>
      </c>
      <c r="E37" s="4">
        <v>43660.0</v>
      </c>
    </row>
    <row r="38">
      <c r="B38" s="3" t="s">
        <v>99</v>
      </c>
      <c r="C38" s="60" t="s">
        <v>98</v>
      </c>
      <c r="D38" s="5">
        <v>1300.0</v>
      </c>
      <c r="E38" s="4">
        <v>43660.0</v>
      </c>
    </row>
    <row r="39">
      <c r="B39" s="3" t="s">
        <v>100</v>
      </c>
      <c r="C39" s="60" t="s">
        <v>101</v>
      </c>
      <c r="D39" s="5">
        <v>4000.0</v>
      </c>
      <c r="E39" s="4">
        <v>43661.0</v>
      </c>
    </row>
    <row r="40">
      <c r="B40" s="3" t="s">
        <v>102</v>
      </c>
      <c r="C40" s="60" t="s">
        <v>103</v>
      </c>
      <c r="D40" s="5">
        <v>1160.0</v>
      </c>
      <c r="E40" s="4">
        <v>43661.0</v>
      </c>
    </row>
    <row r="41">
      <c r="B41" s="3" t="s">
        <v>47</v>
      </c>
      <c r="C41" s="60" t="s">
        <v>104</v>
      </c>
      <c r="D41" s="5">
        <v>1000.0</v>
      </c>
      <c r="E41" s="4">
        <v>43661.0</v>
      </c>
    </row>
    <row r="42">
      <c r="B42" s="3" t="s">
        <v>102</v>
      </c>
      <c r="C42" s="60" t="s">
        <v>105</v>
      </c>
      <c r="D42" s="5">
        <v>21100.0</v>
      </c>
      <c r="E42" s="4">
        <v>43664.0</v>
      </c>
    </row>
    <row r="43">
      <c r="B43" s="3" t="s">
        <v>106</v>
      </c>
      <c r="C43" s="60" t="s">
        <v>70</v>
      </c>
      <c r="D43" s="5">
        <v>850.0</v>
      </c>
      <c r="E43" s="4">
        <v>43667.0</v>
      </c>
    </row>
    <row r="44">
      <c r="B44" s="3" t="s">
        <v>107</v>
      </c>
      <c r="C44" s="60" t="s">
        <v>70</v>
      </c>
      <c r="D44" s="5">
        <v>1360.0</v>
      </c>
      <c r="E44" s="4">
        <v>43667.0</v>
      </c>
    </row>
    <row r="45">
      <c r="B45" s="3" t="s">
        <v>108</v>
      </c>
      <c r="C45" s="60" t="s">
        <v>109</v>
      </c>
      <c r="D45" s="5">
        <v>1100.0</v>
      </c>
      <c r="E45" s="4">
        <v>43667.0</v>
      </c>
    </row>
    <row r="46">
      <c r="B46" s="3" t="s">
        <v>110</v>
      </c>
      <c r="C46" s="60" t="s">
        <v>111</v>
      </c>
      <c r="D46" s="5">
        <v>1100.0</v>
      </c>
      <c r="E46" s="4">
        <v>43667.0</v>
      </c>
    </row>
    <row r="47">
      <c r="B47" s="3" t="s">
        <v>112</v>
      </c>
      <c r="C47" s="60" t="s">
        <v>113</v>
      </c>
      <c r="D47" s="5">
        <v>380.0</v>
      </c>
      <c r="E47" s="4">
        <v>43667.0</v>
      </c>
    </row>
    <row r="48">
      <c r="B48" s="3" t="s">
        <v>81</v>
      </c>
      <c r="C48" s="60" t="s">
        <v>114</v>
      </c>
      <c r="D48" s="5">
        <v>3120.0</v>
      </c>
      <c r="E48" s="4">
        <v>43667.0</v>
      </c>
    </row>
    <row r="49">
      <c r="B49" s="3" t="s">
        <v>115</v>
      </c>
      <c r="C49" s="61"/>
      <c r="D49" s="5">
        <v>2600.0</v>
      </c>
      <c r="E49" s="4">
        <v>43667.0</v>
      </c>
    </row>
    <row r="50">
      <c r="B50" s="3" t="s">
        <v>116</v>
      </c>
      <c r="C50" s="60" t="s">
        <v>117</v>
      </c>
      <c r="D50" s="5">
        <v>13140.0</v>
      </c>
      <c r="E50" s="4">
        <v>43668.0</v>
      </c>
    </row>
    <row r="51">
      <c r="B51" s="3" t="s">
        <v>118</v>
      </c>
      <c r="C51" s="60">
        <v>1.0</v>
      </c>
      <c r="D51" s="5">
        <v>1380.0</v>
      </c>
      <c r="E51" s="4">
        <v>43673.0</v>
      </c>
    </row>
    <row r="52">
      <c r="B52" s="3" t="s">
        <v>118</v>
      </c>
      <c r="C52" s="60" t="s">
        <v>40</v>
      </c>
      <c r="D52" s="5">
        <v>13920.0</v>
      </c>
      <c r="E52" s="4">
        <v>43673.0</v>
      </c>
    </row>
    <row r="53">
      <c r="B53" s="3" t="s">
        <v>119</v>
      </c>
      <c r="C53" s="60">
        <v>2.0</v>
      </c>
      <c r="D53" s="5">
        <v>75.0</v>
      </c>
      <c r="E53" s="4">
        <v>43674.0</v>
      </c>
    </row>
    <row r="54">
      <c r="B54" s="3" t="s">
        <v>120</v>
      </c>
      <c r="C54" s="60">
        <v>1.0</v>
      </c>
      <c r="D54" s="5">
        <v>150.0</v>
      </c>
      <c r="E54" s="4">
        <v>43674.0</v>
      </c>
    </row>
    <row r="55">
      <c r="B55" s="3" t="s">
        <v>121</v>
      </c>
      <c r="C55" s="60">
        <v>1.0</v>
      </c>
      <c r="D55" s="5">
        <v>1400.0</v>
      </c>
      <c r="E55" s="4">
        <v>43675.0</v>
      </c>
    </row>
    <row r="56">
      <c r="B56" s="3" t="s">
        <v>69</v>
      </c>
      <c r="C56" s="60" t="s">
        <v>122</v>
      </c>
      <c r="D56" s="5">
        <v>1320.0</v>
      </c>
      <c r="E56" s="4">
        <v>43674.0</v>
      </c>
    </row>
    <row r="57">
      <c r="B57" s="3" t="s">
        <v>123</v>
      </c>
      <c r="C57" s="60" t="s">
        <v>59</v>
      </c>
      <c r="D57" s="5">
        <v>3500.0</v>
      </c>
      <c r="E57" s="4">
        <v>43675.0</v>
      </c>
    </row>
    <row r="58">
      <c r="B58" s="3" t="s">
        <v>124</v>
      </c>
      <c r="C58" s="60" t="s">
        <v>40</v>
      </c>
      <c r="D58" s="5">
        <v>660.0</v>
      </c>
      <c r="E58" s="4">
        <v>43676.0</v>
      </c>
    </row>
    <row r="59">
      <c r="B59" s="3" t="s">
        <v>125</v>
      </c>
      <c r="C59" s="61"/>
      <c r="D59" s="5">
        <v>1000.0</v>
      </c>
      <c r="E59" s="4">
        <v>43676.0</v>
      </c>
    </row>
    <row r="60">
      <c r="B60" s="3"/>
      <c r="C60" s="61"/>
      <c r="D60" s="5"/>
      <c r="E60" s="4"/>
    </row>
    <row r="61">
      <c r="B61" s="3"/>
      <c r="C61" s="61"/>
      <c r="D61" s="5"/>
      <c r="E61" s="4"/>
    </row>
    <row r="62">
      <c r="B62" s="62" t="s">
        <v>126</v>
      </c>
      <c r="C62" s="63"/>
      <c r="D62" s="64">
        <f>SUM(D3:D61)</f>
        <v>143150</v>
      </c>
      <c r="E62" s="6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65" t="s">
        <v>127</v>
      </c>
    </row>
    <row r="4">
      <c r="C4" s="66" t="s">
        <v>128</v>
      </c>
      <c r="D4" s="5">
        <v>4000.0</v>
      </c>
      <c r="E4" s="67"/>
      <c r="F4" s="67"/>
    </row>
    <row r="5">
      <c r="C5" s="66" t="s">
        <v>17</v>
      </c>
      <c r="D5" s="5">
        <v>10800.0</v>
      </c>
      <c r="E5" s="67"/>
      <c r="F5" s="67"/>
    </row>
    <row r="6">
      <c r="C6" s="66" t="s">
        <v>21</v>
      </c>
      <c r="D6" s="5">
        <v>8000.0</v>
      </c>
      <c r="E6" s="67"/>
      <c r="F6" s="67"/>
    </row>
    <row r="7">
      <c r="C7" s="66" t="s">
        <v>129</v>
      </c>
      <c r="D7" s="6">
        <f>SUM(D4:D6)</f>
        <v>22800</v>
      </c>
      <c r="E7" s="67"/>
      <c r="F7" s="67"/>
    </row>
    <row r="9">
      <c r="D9" s="68" t="s">
        <v>130</v>
      </c>
    </row>
    <row r="11">
      <c r="B11" s="63"/>
      <c r="C11" s="69" t="s">
        <v>0</v>
      </c>
      <c r="D11" s="70" t="s">
        <v>15</v>
      </c>
      <c r="E11" s="70" t="s">
        <v>17</v>
      </c>
      <c r="F11" s="70" t="s">
        <v>21</v>
      </c>
    </row>
    <row r="12">
      <c r="B12" s="3" t="s">
        <v>27</v>
      </c>
      <c r="C12" s="4">
        <v>43678.0</v>
      </c>
      <c r="D12" s="60">
        <v>1.0</v>
      </c>
      <c r="E12" s="60">
        <v>1.0</v>
      </c>
      <c r="F12" s="60">
        <v>1.0</v>
      </c>
    </row>
    <row r="13">
      <c r="B13" s="7" t="s">
        <v>28</v>
      </c>
      <c r="C13" s="8">
        <v>43679.0</v>
      </c>
      <c r="D13" s="71">
        <v>0.0</v>
      </c>
      <c r="E13" s="71">
        <v>0.0</v>
      </c>
      <c r="F13" s="71">
        <v>0.0</v>
      </c>
    </row>
    <row r="14">
      <c r="B14" s="3" t="s">
        <v>131</v>
      </c>
      <c r="C14" s="4">
        <v>43680.0</v>
      </c>
      <c r="D14" s="60">
        <v>1.0</v>
      </c>
      <c r="E14" s="60">
        <v>1.0</v>
      </c>
      <c r="F14" s="60">
        <v>1.0</v>
      </c>
    </row>
    <row r="15">
      <c r="B15" s="3" t="s">
        <v>30</v>
      </c>
      <c r="C15" s="4">
        <v>43681.0</v>
      </c>
      <c r="D15" s="60">
        <v>0.0</v>
      </c>
      <c r="E15" s="60">
        <v>1.0</v>
      </c>
      <c r="F15" s="60">
        <v>1.0</v>
      </c>
    </row>
    <row r="16">
      <c r="B16" s="3" t="s">
        <v>6</v>
      </c>
      <c r="C16" s="4">
        <v>43682.0</v>
      </c>
      <c r="D16" s="60">
        <v>0.0</v>
      </c>
      <c r="E16" s="60">
        <v>1.0</v>
      </c>
      <c r="F16" s="60">
        <v>1.0</v>
      </c>
    </row>
    <row r="17">
      <c r="B17" s="3" t="s">
        <v>25</v>
      </c>
      <c r="C17" s="4">
        <v>43683.0</v>
      </c>
      <c r="D17" s="60">
        <v>0.0</v>
      </c>
      <c r="E17" s="60">
        <v>1.0</v>
      </c>
      <c r="F17" s="60">
        <v>1.0</v>
      </c>
    </row>
    <row r="18">
      <c r="B18" s="3" t="s">
        <v>26</v>
      </c>
      <c r="C18" s="4">
        <v>43684.0</v>
      </c>
      <c r="D18" s="60">
        <v>0.0</v>
      </c>
      <c r="E18" s="60">
        <v>1.0</v>
      </c>
      <c r="F18" s="60">
        <v>1.0</v>
      </c>
    </row>
    <row r="19">
      <c r="B19" s="3" t="s">
        <v>27</v>
      </c>
      <c r="C19" s="4">
        <v>43685.0</v>
      </c>
      <c r="D19" s="60">
        <v>0.0</v>
      </c>
      <c r="E19" s="60">
        <v>1.0</v>
      </c>
      <c r="F19" s="60">
        <v>1.0</v>
      </c>
    </row>
    <row r="20">
      <c r="B20" s="7" t="s">
        <v>28</v>
      </c>
      <c r="C20" s="8">
        <v>43686.0</v>
      </c>
      <c r="D20" s="71">
        <v>0.0</v>
      </c>
      <c r="E20" s="71">
        <v>0.0</v>
      </c>
      <c r="F20" s="71">
        <v>0.0</v>
      </c>
    </row>
    <row r="21">
      <c r="B21" s="3" t="s">
        <v>131</v>
      </c>
      <c r="C21" s="4">
        <v>43687.0</v>
      </c>
      <c r="D21" s="60">
        <v>0.0</v>
      </c>
      <c r="E21" s="60">
        <v>1.0</v>
      </c>
      <c r="F21" s="60">
        <v>1.0</v>
      </c>
    </row>
    <row r="22">
      <c r="B22" s="72" t="s">
        <v>26</v>
      </c>
      <c r="C22" s="73">
        <v>43698.0</v>
      </c>
      <c r="D22" s="74">
        <v>0.0</v>
      </c>
      <c r="E22" s="74">
        <v>1.0</v>
      </c>
      <c r="F22" s="74">
        <v>0.0</v>
      </c>
    </row>
    <row r="23">
      <c r="B23" s="75" t="s">
        <v>129</v>
      </c>
      <c r="C23" s="76" t="s">
        <v>40</v>
      </c>
      <c r="D23" s="77">
        <f t="shared" ref="D23:F23" si="1">SUM(D12:D22)</f>
        <v>2</v>
      </c>
      <c r="E23" s="77">
        <f t="shared" si="1"/>
        <v>9</v>
      </c>
      <c r="F23" s="77">
        <f t="shared" si="1"/>
        <v>8</v>
      </c>
    </row>
    <row r="24">
      <c r="B24" s="3" t="s">
        <v>132</v>
      </c>
      <c r="C24" s="60" t="s">
        <v>40</v>
      </c>
      <c r="D24" s="78">
        <v>2000.0</v>
      </c>
      <c r="E24" s="78">
        <v>1200.0</v>
      </c>
      <c r="F24" s="78">
        <v>1000.0</v>
      </c>
    </row>
    <row r="25">
      <c r="B25" s="79" t="s">
        <v>3</v>
      </c>
      <c r="C25" s="80" t="s">
        <v>40</v>
      </c>
      <c r="D25" s="81">
        <f t="shared" ref="D25:F25" si="2">D23*D24</f>
        <v>4000</v>
      </c>
      <c r="E25" s="81">
        <f t="shared" si="2"/>
        <v>10800</v>
      </c>
      <c r="F25" s="82">
        <f t="shared" si="2"/>
        <v>8000</v>
      </c>
      <c r="G25" s="83">
        <f>SUM(D25:F25)</f>
        <v>22800</v>
      </c>
    </row>
  </sheetData>
  <drawing r:id="rId1"/>
</worksheet>
</file>