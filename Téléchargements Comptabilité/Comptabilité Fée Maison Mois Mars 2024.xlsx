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Pointage" sheetId="2" r:id="rId5"/>
    <sheet state="visible" name="Les Charges " sheetId="3" r:id="rId6"/>
    <sheet state="visible" name="Salaires" sheetId="4" r:id="rId7"/>
    <sheet state="visible" name="Feuille 5" sheetId="5" r:id="rId8"/>
  </sheets>
  <definedNames/>
  <calcPr/>
</workbook>
</file>

<file path=xl/sharedStrings.xml><?xml version="1.0" encoding="utf-8"?>
<sst xmlns="http://schemas.openxmlformats.org/spreadsheetml/2006/main" count="656" uniqueCount="356">
  <si>
    <t>Date</t>
  </si>
  <si>
    <t xml:space="preserve">Recette </t>
  </si>
  <si>
    <t>Charges</t>
  </si>
  <si>
    <t>Salaire</t>
  </si>
  <si>
    <t>Loyer</t>
  </si>
  <si>
    <t>Net Profit</t>
  </si>
  <si>
    <t>Nb de jours</t>
  </si>
  <si>
    <t>Objectif</t>
  </si>
  <si>
    <t>Vendredi</t>
  </si>
  <si>
    <t>Samedi</t>
  </si>
  <si>
    <t>Bénéfice Moyen par jour</t>
  </si>
  <si>
    <t xml:space="preserve">Moyenne </t>
  </si>
  <si>
    <t xml:space="preserve">Moyenne salaire </t>
  </si>
  <si>
    <t xml:space="preserve">pourcentage du salaire vis à vis la recettte </t>
  </si>
  <si>
    <t>Dimanche</t>
  </si>
  <si>
    <t>Lundi</t>
  </si>
  <si>
    <t>Mardi</t>
  </si>
  <si>
    <t xml:space="preserve">Moyenne des charges par jour </t>
  </si>
  <si>
    <t xml:space="preserve">Objectif </t>
  </si>
  <si>
    <t>Mercredi</t>
  </si>
  <si>
    <t>Jeudi</t>
  </si>
  <si>
    <t>²</t>
  </si>
  <si>
    <t xml:space="preserve">Cash restant </t>
  </si>
  <si>
    <t>Magasin</t>
  </si>
  <si>
    <t>Cash réel</t>
  </si>
  <si>
    <t>Mes dettes pour le magasin</t>
  </si>
  <si>
    <t xml:space="preserve">Fond de Roulement </t>
  </si>
  <si>
    <t>Demain je prends de la caisse: 18000Da</t>
  </si>
  <si>
    <t>Cash réel: 790000Da</t>
  </si>
  <si>
    <t>140000+424000+330000-12000-284000-8000</t>
  </si>
  <si>
    <t>Che7i7a: 20000Da</t>
  </si>
  <si>
    <t xml:space="preserve">les charges Avril: 284000Da </t>
  </si>
  <si>
    <t xml:space="preserve">Différence mois de Février </t>
  </si>
  <si>
    <t>la vraie caisse:    12000Da</t>
  </si>
  <si>
    <t xml:space="preserve">Différence objectif </t>
  </si>
  <si>
    <t>réparation Tabouna</t>
  </si>
  <si>
    <t>Torchons</t>
  </si>
  <si>
    <t xml:space="preserve">Différence du Totale </t>
  </si>
  <si>
    <t>poelle</t>
  </si>
  <si>
    <t xml:space="preserve">Les vendredis </t>
  </si>
  <si>
    <t xml:space="preserve">Lynda </t>
  </si>
  <si>
    <t xml:space="preserve">Hafida </t>
  </si>
  <si>
    <t>Dalila</t>
  </si>
  <si>
    <t>Yasmine Sidi Abd Allah</t>
  </si>
  <si>
    <t>Kenza</t>
  </si>
  <si>
    <t>Yasmine Dely Brahim</t>
  </si>
  <si>
    <t>Fouzia</t>
  </si>
  <si>
    <t>Nadjet</t>
  </si>
  <si>
    <t>Alia</t>
  </si>
  <si>
    <t>Fatiha</t>
  </si>
  <si>
    <t>Samira</t>
  </si>
  <si>
    <t>Asma</t>
  </si>
  <si>
    <t>Zohra</t>
  </si>
  <si>
    <t>Sarah</t>
  </si>
  <si>
    <t xml:space="preserve">Chiraz </t>
  </si>
  <si>
    <t>Romaissa</t>
  </si>
  <si>
    <t xml:space="preserve">Asma est sortie sans autorisation + Fatiha est sortie sans terminer son travaille </t>
  </si>
  <si>
    <t xml:space="preserve">Hafida djate à 09h comme hier </t>
  </si>
  <si>
    <t>Hadida djate à 09h30 à cause des analyses et Lynda daret chebah sofra</t>
  </si>
  <si>
    <t>sarah et Fouzia kharedjou à 14h</t>
  </si>
  <si>
    <t>Fouzia + Sarah djaw à 11h à cause d'une panne de voiture</t>
  </si>
  <si>
    <t>fouzia djate à 12h</t>
  </si>
  <si>
    <t>Produit</t>
  </si>
  <si>
    <t>Quantité</t>
  </si>
  <si>
    <t xml:space="preserve">Prix unitaire </t>
  </si>
  <si>
    <t>Prix</t>
  </si>
  <si>
    <t>Date d'achat</t>
  </si>
  <si>
    <t xml:space="preserve">huile Elio 5 litres </t>
  </si>
  <si>
    <t>Fleurial 250g</t>
  </si>
  <si>
    <t>Fleurial 500g</t>
  </si>
  <si>
    <t>Sucre cristalisé 25kg</t>
  </si>
  <si>
    <t>Semoule Moyenne Moula 2kg</t>
  </si>
  <si>
    <t>Farine Sim 1kg</t>
  </si>
  <si>
    <t>Confiture 1 kg</t>
  </si>
  <si>
    <t>Levure Boulangère</t>
  </si>
  <si>
    <t>Maizina</t>
  </si>
  <si>
    <t>Maiis</t>
  </si>
  <si>
    <t>chocolat wedjedane Noisette</t>
  </si>
  <si>
    <t>chocolat wedjedane au lait</t>
  </si>
  <si>
    <t>chocolat wedjedane Noir</t>
  </si>
  <si>
    <t>chocolat wedjedane Blanc</t>
  </si>
  <si>
    <t>Lait en poudre</t>
  </si>
  <si>
    <t>levure chimique</t>
  </si>
  <si>
    <t xml:space="preserve">Plateau ouef </t>
  </si>
  <si>
    <t>Amandes blanc</t>
  </si>
  <si>
    <t xml:space="preserve">Fromage slices </t>
  </si>
  <si>
    <t>Sac poubelle</t>
  </si>
  <si>
    <t>Thon 1,8kg</t>
  </si>
  <si>
    <t>Gherss Ghazala sous vide</t>
  </si>
  <si>
    <t>3akeri</t>
  </si>
  <si>
    <t>Deyoul</t>
  </si>
  <si>
    <t>poivre noir</t>
  </si>
  <si>
    <t>jingembre</t>
  </si>
  <si>
    <t>Ferik</t>
  </si>
  <si>
    <t>9etayef</t>
  </si>
  <si>
    <t>Djouz</t>
  </si>
  <si>
    <t xml:space="preserve">Amande blanc </t>
  </si>
  <si>
    <t>poches à douille</t>
  </si>
  <si>
    <t>Chakhechoukha messiliya</t>
  </si>
  <si>
    <t>Semen Madina 1,8kg</t>
  </si>
  <si>
    <t>Harrissa</t>
  </si>
  <si>
    <t xml:space="preserve">Tomate consrve </t>
  </si>
  <si>
    <t>Farine Sosimie 5kg</t>
  </si>
  <si>
    <t xml:space="preserve">Semoule Fine Sahel  25kg </t>
  </si>
  <si>
    <t xml:space="preserve">Semoule Fine Mama 25kg </t>
  </si>
  <si>
    <t>Semoule Fine Sim 25kg</t>
  </si>
  <si>
    <t>Semoule Moyenne Sim 10kg</t>
  </si>
  <si>
    <t xml:space="preserve">kousseber </t>
  </si>
  <si>
    <t>Maa Zehar</t>
  </si>
  <si>
    <t>Sucre glace</t>
  </si>
  <si>
    <t xml:space="preserve">Sanoudj </t>
  </si>
  <si>
    <t>crème liquide</t>
  </si>
  <si>
    <t>rechta</t>
  </si>
  <si>
    <t>Poulet Haché + Blanc de poulet</t>
  </si>
  <si>
    <t>décoration 3arayech</t>
  </si>
  <si>
    <t>Colorant Blanc</t>
  </si>
  <si>
    <t xml:space="preserve">serviette en papaier </t>
  </si>
  <si>
    <t>Isis liquide 3 litres</t>
  </si>
  <si>
    <t>Shwepess</t>
  </si>
  <si>
    <t>Coca canette</t>
  </si>
  <si>
    <t>Hamoud 33cl</t>
  </si>
  <si>
    <t>Boites 22 litre</t>
  </si>
  <si>
    <t>paquets de stikers</t>
  </si>
  <si>
    <t>barquettes 1056</t>
  </si>
  <si>
    <t>Aluminium</t>
  </si>
  <si>
    <t xml:space="preserve">Motif Temina </t>
  </si>
  <si>
    <t xml:space="preserve">Transfet Bébé </t>
  </si>
  <si>
    <t>petite barquettes Temina</t>
  </si>
  <si>
    <t>Boite 36</t>
  </si>
  <si>
    <t>Boite 24</t>
  </si>
  <si>
    <t>Boites 8</t>
  </si>
  <si>
    <t>Felfel gunaoua</t>
  </si>
  <si>
    <t>Bessel</t>
  </si>
  <si>
    <t>Sac croissant 24</t>
  </si>
  <si>
    <t>Sac croissant 18</t>
  </si>
  <si>
    <t>Boite transparent 500ccl</t>
  </si>
  <si>
    <t>Boite transparent 1000ccl</t>
  </si>
  <si>
    <t>Boite transparent 2000ccl</t>
  </si>
  <si>
    <t>Papier Film</t>
  </si>
  <si>
    <t>olive noir</t>
  </si>
  <si>
    <t>Tomate Fraiche</t>
  </si>
  <si>
    <t>Navet + courgette</t>
  </si>
  <si>
    <t>cuisses de poulet</t>
  </si>
  <si>
    <t>coucouc</t>
  </si>
  <si>
    <t>viande hachée</t>
  </si>
  <si>
    <t>pain tacos</t>
  </si>
  <si>
    <t>Hamissa</t>
  </si>
  <si>
    <t>poivron</t>
  </si>
  <si>
    <t>Pate Feuilltée</t>
  </si>
  <si>
    <t>chakhechoukhate dhefer</t>
  </si>
  <si>
    <t>Rechta</t>
  </si>
  <si>
    <t>épinard</t>
  </si>
  <si>
    <t>Boites 48/10</t>
  </si>
  <si>
    <t>Boites 48/07</t>
  </si>
  <si>
    <t>Boites 36</t>
  </si>
  <si>
    <t>Adel sac CABA P /800</t>
  </si>
  <si>
    <t>Fromage speciale pizza</t>
  </si>
  <si>
    <t>Fromage Bidon</t>
  </si>
  <si>
    <t xml:space="preserve">Bessel </t>
  </si>
  <si>
    <t>Tomate fraiche</t>
  </si>
  <si>
    <t>Salade</t>
  </si>
  <si>
    <t>Miel 3kg</t>
  </si>
  <si>
    <t>Deyoul grande taille</t>
  </si>
  <si>
    <t>Basmati</t>
  </si>
  <si>
    <t>blanc de poulet</t>
  </si>
  <si>
    <t>olive découpé</t>
  </si>
  <si>
    <t xml:space="preserve">épice </t>
  </si>
  <si>
    <t>Plateau oeuf</t>
  </si>
  <si>
    <t xml:space="preserve">papier serviette </t>
  </si>
  <si>
    <t xml:space="preserve">Blanc de poulet </t>
  </si>
  <si>
    <t>Deyoul petite taille</t>
  </si>
  <si>
    <t>ketayef</t>
  </si>
  <si>
    <t>Livraison chebah Sofra</t>
  </si>
  <si>
    <t xml:space="preserve">netoyage vitres </t>
  </si>
  <si>
    <t>livraison Ka3ek nakkach</t>
  </si>
  <si>
    <t>Huile Elio 2 litres</t>
  </si>
  <si>
    <t>Légumes</t>
  </si>
  <si>
    <t xml:space="preserve">Tomate fraiche </t>
  </si>
  <si>
    <t>Tomate fraiche dure</t>
  </si>
  <si>
    <t>Olive noir</t>
  </si>
  <si>
    <t>olive éfilet</t>
  </si>
  <si>
    <t>bessel</t>
  </si>
  <si>
    <t>Amande moulu</t>
  </si>
  <si>
    <t>oeuf plateau</t>
  </si>
  <si>
    <t xml:space="preserve">Poulet Haché </t>
  </si>
  <si>
    <t>Blanc de poulet</t>
  </si>
  <si>
    <t>cheddar</t>
  </si>
  <si>
    <t>Dragée</t>
  </si>
  <si>
    <t>moul de quiches</t>
  </si>
  <si>
    <t>Djeldjlan</t>
  </si>
  <si>
    <t>amande éfilet</t>
  </si>
  <si>
    <t>Pistache</t>
  </si>
  <si>
    <t>Maa zehar</t>
  </si>
  <si>
    <t>deyoul</t>
  </si>
  <si>
    <t>hamissa</t>
  </si>
  <si>
    <t>pomme de terre</t>
  </si>
  <si>
    <t>poivre +poivron</t>
  </si>
  <si>
    <t>cerise confie</t>
  </si>
  <si>
    <t xml:space="preserve">persil + citron </t>
  </si>
  <si>
    <t>ail</t>
  </si>
  <si>
    <t>ail moulu</t>
  </si>
  <si>
    <t>na3ena3 yabess</t>
  </si>
  <si>
    <t>olive dényauté</t>
  </si>
  <si>
    <t>olive mélange</t>
  </si>
  <si>
    <t>sachets 5kg blanc</t>
  </si>
  <si>
    <t>plateaux oeuf</t>
  </si>
  <si>
    <t>poivre + poivron</t>
  </si>
  <si>
    <t>fromage bidon 3,8kg</t>
  </si>
  <si>
    <t>eau mineral 2 litres</t>
  </si>
  <si>
    <t>épinards</t>
  </si>
  <si>
    <t>persil + na3ena3 + thym</t>
  </si>
  <si>
    <t>cème fraiche 450ml</t>
  </si>
  <si>
    <t>cème fraiche 950ml</t>
  </si>
  <si>
    <t>assiètes metelou3</t>
  </si>
  <si>
    <t>livraison assietes et chebah sofera</t>
  </si>
  <si>
    <t>ancre cachet</t>
  </si>
  <si>
    <t>blanc de poulet et poulet haché</t>
  </si>
  <si>
    <t xml:space="preserve">poivre </t>
  </si>
  <si>
    <t>9erefa 3oud</t>
  </si>
  <si>
    <t xml:space="preserve">Huile Elio 5 litres </t>
  </si>
  <si>
    <t>deyoul moyen</t>
  </si>
  <si>
    <t>salade + carotte</t>
  </si>
  <si>
    <t>fromage bidon 1,8kg</t>
  </si>
  <si>
    <t>détergents</t>
  </si>
  <si>
    <t>fruits de mer</t>
  </si>
  <si>
    <t>crevettes</t>
  </si>
  <si>
    <t>Transport Semoule</t>
  </si>
  <si>
    <t>olive noir découpé</t>
  </si>
  <si>
    <t xml:space="preserve">hamissa </t>
  </si>
  <si>
    <t>épice poulet</t>
  </si>
  <si>
    <t>épice chetiteha</t>
  </si>
  <si>
    <t>chaplure</t>
  </si>
  <si>
    <t>escalpoe</t>
  </si>
  <si>
    <t xml:space="preserve">oeuf  </t>
  </si>
  <si>
    <t>Margarine Fleurial 500g</t>
  </si>
  <si>
    <t>poulet haché</t>
  </si>
  <si>
    <t>amande moulu</t>
  </si>
  <si>
    <t>Fromage bidon monte d'or 3,8kg</t>
  </si>
  <si>
    <t>fromage spéciale pizzas</t>
  </si>
  <si>
    <t>poivre</t>
  </si>
  <si>
    <t>serpielle</t>
  </si>
  <si>
    <t>éssuit tout</t>
  </si>
  <si>
    <t>oeuf</t>
  </si>
  <si>
    <t>Olive noir coupé</t>
  </si>
  <si>
    <t>poulet haché blanc de poluet</t>
  </si>
  <si>
    <t xml:space="preserve"> bali</t>
  </si>
  <si>
    <t>gherss</t>
  </si>
  <si>
    <t xml:space="preserve">fromage bidon </t>
  </si>
  <si>
    <t>quissetes cigares</t>
  </si>
  <si>
    <t>boites 500ccl</t>
  </si>
  <si>
    <t>semoule moyenne moula 2kg</t>
  </si>
  <si>
    <t>Cheddar</t>
  </si>
  <si>
    <t>Farine SIM 1kg</t>
  </si>
  <si>
    <t>sel</t>
  </si>
  <si>
    <t xml:space="preserve">Farine 5 kg </t>
  </si>
  <si>
    <t>coriandre + mentth</t>
  </si>
  <si>
    <t>salade</t>
  </si>
  <si>
    <t>Farine 10kg</t>
  </si>
  <si>
    <t>poulet Haché</t>
  </si>
  <si>
    <t xml:space="preserve">épices </t>
  </si>
  <si>
    <t>herbes</t>
  </si>
  <si>
    <t>viande d'agneau</t>
  </si>
  <si>
    <t>javel sidhom</t>
  </si>
  <si>
    <t>isis 650ml</t>
  </si>
  <si>
    <t>isis main 320g</t>
  </si>
  <si>
    <t>Facture éléctricité Locale</t>
  </si>
  <si>
    <t>anchois</t>
  </si>
  <si>
    <t>curdent</t>
  </si>
  <si>
    <t>Poulet haché</t>
  </si>
  <si>
    <t xml:space="preserve">épinards+ coriandre + menth </t>
  </si>
  <si>
    <t>viande morceaux</t>
  </si>
  <si>
    <t>olive coupé noir</t>
  </si>
  <si>
    <t>olive coupé vert</t>
  </si>
  <si>
    <t>prunou</t>
  </si>
  <si>
    <t>abricot séchet</t>
  </si>
  <si>
    <t>raisins secs</t>
  </si>
  <si>
    <t>cannelle</t>
  </si>
  <si>
    <t>Boites de gants</t>
  </si>
  <si>
    <t>Pivre rouge</t>
  </si>
  <si>
    <t>javel 5 litres</t>
  </si>
  <si>
    <t>Barquettes 1325</t>
  </si>
  <si>
    <t xml:space="preserve">citron </t>
  </si>
  <si>
    <t xml:space="preserve">Deyoul </t>
  </si>
  <si>
    <t xml:space="preserve">poulet hach + blanc de poulet </t>
  </si>
  <si>
    <t xml:space="preserve">cuisses de poulet </t>
  </si>
  <si>
    <t>3akeri + epice</t>
  </si>
  <si>
    <t xml:space="preserve">boites </t>
  </si>
  <si>
    <t>poulet haché + blanc de poulet</t>
  </si>
  <si>
    <t>Deyoul  petite taille</t>
  </si>
  <si>
    <t>crème liquide 500ml</t>
  </si>
  <si>
    <t xml:space="preserve">crème liquide 900 ml </t>
  </si>
  <si>
    <t>fromage bidon 2,2kg</t>
  </si>
  <si>
    <t xml:space="preserve">viande hachée </t>
  </si>
  <si>
    <t>Storm locale</t>
  </si>
  <si>
    <t>coriandre + mentth+ épinard</t>
  </si>
  <si>
    <t>Douara</t>
  </si>
  <si>
    <t>crème liquide soumam 500ml</t>
  </si>
  <si>
    <t>épice harira</t>
  </si>
  <si>
    <t>thon 900g</t>
  </si>
  <si>
    <t>Teliteli</t>
  </si>
  <si>
    <t>Tomate conserve 1kg</t>
  </si>
  <si>
    <t>Viande Hachée</t>
  </si>
  <si>
    <t xml:space="preserve">poulet Haché et Blanc de poulet </t>
  </si>
  <si>
    <t>Fromage bidon 2,2kg</t>
  </si>
  <si>
    <t>courgette carottes</t>
  </si>
  <si>
    <t>Thym</t>
  </si>
  <si>
    <t>Facture éléctricité Magasin</t>
  </si>
  <si>
    <t>poulet haché + blance de poulet</t>
  </si>
  <si>
    <t>sac poubelle</t>
  </si>
  <si>
    <t xml:space="preserve">storm , flexy , internet </t>
  </si>
  <si>
    <t>divers</t>
  </si>
  <si>
    <t>Fromage bidon 2kg</t>
  </si>
  <si>
    <t xml:space="preserve">Cuisses </t>
  </si>
  <si>
    <t>olive rouge</t>
  </si>
  <si>
    <t xml:space="preserve">fromage slices </t>
  </si>
  <si>
    <t>ppivre poivron</t>
  </si>
  <si>
    <t>courgette navet</t>
  </si>
  <si>
    <t>isis</t>
  </si>
  <si>
    <t xml:space="preserve">serviette en papier </t>
  </si>
  <si>
    <t>olive violet</t>
  </si>
  <si>
    <t>poivre poivron 1</t>
  </si>
  <si>
    <t>poulet haché et blanc de poulet</t>
  </si>
  <si>
    <t>plateaux d'oeuf</t>
  </si>
  <si>
    <t>tomate fraiche</t>
  </si>
  <si>
    <t>tomate cerise</t>
  </si>
  <si>
    <t>thym</t>
  </si>
  <si>
    <t>na3ena3</t>
  </si>
  <si>
    <t>persil</t>
  </si>
  <si>
    <t>les anchois</t>
  </si>
  <si>
    <t xml:space="preserve">torchons </t>
  </si>
  <si>
    <t xml:space="preserve">Amina Baghrir </t>
  </si>
  <si>
    <t>Ka3ek Nakkache</t>
  </si>
  <si>
    <t xml:space="preserve">Décoration Ramadan </t>
  </si>
  <si>
    <t>citron</t>
  </si>
  <si>
    <t>Totale</t>
  </si>
  <si>
    <t xml:space="preserve">Nom </t>
  </si>
  <si>
    <t>Avance</t>
  </si>
  <si>
    <t xml:space="preserve">Salaire à payer </t>
  </si>
  <si>
    <t xml:space="preserve">Sofiane </t>
  </si>
  <si>
    <t>Amel</t>
  </si>
  <si>
    <t>Lynda</t>
  </si>
  <si>
    <t>5000+2000</t>
  </si>
  <si>
    <t>Mras</t>
  </si>
  <si>
    <t>Février</t>
  </si>
  <si>
    <t>Romayssa</t>
  </si>
  <si>
    <t>Yasmine  Dely Brahim</t>
  </si>
  <si>
    <t>4500+1000</t>
  </si>
  <si>
    <t>1000+1000</t>
  </si>
  <si>
    <t>7000+5000+7500</t>
  </si>
  <si>
    <t>Chiraz</t>
  </si>
  <si>
    <t>TOTAL</t>
  </si>
  <si>
    <t xml:space="preserve">Mois de Janvier </t>
  </si>
  <si>
    <t xml:space="preserve">Mois de Février </t>
  </si>
  <si>
    <t>Mois de Mars</t>
  </si>
  <si>
    <t>Salaires</t>
  </si>
  <si>
    <t xml:space="preserve">Profit Net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</si>
</sst>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m yyyy"/>
    <numFmt numFmtId="165" formatCode="dd/mm/yyyy"/>
    <numFmt numFmtId="166" formatCode="#,##0.00\ [$€-1]"/>
    <numFmt numFmtId="167" formatCode="d/m/yyyy"/>
  </numFmts>
  <fonts count="22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sz val="18.0"/>
      <color theme="1"/>
      <name val="Arial"/>
    </font>
    <font>
      <sz val="17.0"/>
      <color theme="1"/>
      <name val="Arial"/>
    </font>
    <font>
      <sz val="19.0"/>
      <color theme="1"/>
      <name val="Arial"/>
    </font>
    <font>
      <b/>
      <sz val="20.0"/>
      <color theme="1"/>
      <name val="Arial"/>
    </font>
    <font>
      <sz val="18.0"/>
      <color rgb="FFFF0000"/>
      <name val="Arial"/>
    </font>
    <font>
      <sz val="18.0"/>
      <color rgb="FFFFFF00"/>
      <name val="Arial"/>
    </font>
    <font>
      <b/>
      <sz val="18.0"/>
      <color rgb="FFFF0000"/>
      <name val="Arial"/>
    </font>
    <font>
      <sz val="18.0"/>
      <color rgb="FF434343"/>
      <name val="Arial"/>
    </font>
    <font>
      <sz val="18.0"/>
      <color rgb="FF000000"/>
      <name val="Arial"/>
    </font>
    <font>
      <b/>
      <sz val="20.0"/>
      <color rgb="FF434343"/>
      <name val="Arial"/>
    </font>
    <font>
      <b/>
      <sz val="20.0"/>
      <color rgb="FF1C4587"/>
      <name val="Arial"/>
    </font>
    <font>
      <b/>
      <sz val="19.0"/>
      <color theme="1"/>
      <name val="Arial"/>
    </font>
    <font>
      <sz val="20.0"/>
      <color theme="1"/>
      <name val="Arial"/>
    </font>
    <font>
      <sz val="23.0"/>
      <color theme="1"/>
      <name val="Arial"/>
    </font>
    <font>
      <sz val="19.0"/>
      <color theme="1"/>
      <name val="Arial"/>
      <scheme val="minor"/>
    </font>
    <font>
      <b/>
      <sz val="24.0"/>
      <color theme="1"/>
      <name val="Arial"/>
    </font>
    <font>
      <color theme="1"/>
      <name val="Arial"/>
      <scheme val="minor"/>
    </font>
    <font>
      <sz val="18.0"/>
      <color theme="1"/>
      <name val="Arial"/>
      <scheme val="minor"/>
    </font>
    <font>
      <b/>
      <sz val="18.0"/>
      <color theme="1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FF6D9EEB"/>
        <bgColor rgb="FF6D9EEB"/>
      </patternFill>
    </fill>
    <fill>
      <patternFill patternType="solid">
        <fgColor rgb="FF980000"/>
        <bgColor rgb="FF980000"/>
      </patternFill>
    </fill>
    <fill>
      <patternFill patternType="solid">
        <fgColor rgb="FFCC4125"/>
        <bgColor rgb="FFCC4125"/>
      </patternFill>
    </fill>
    <fill>
      <patternFill patternType="solid">
        <fgColor rgb="FF93C47D"/>
        <bgColor rgb="FF93C47D"/>
      </patternFill>
    </fill>
    <fill>
      <patternFill patternType="solid">
        <fgColor rgb="FFC9DAF8"/>
        <bgColor rgb="FFC9DAF8"/>
      </patternFill>
    </fill>
  </fills>
  <borders count="9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2" fontId="2" numFmtId="0" xfId="0" applyAlignment="1" applyBorder="1" applyFill="1" applyFont="1">
      <alignment horizontal="center" vertical="bottom"/>
    </xf>
    <xf borderId="2" fillId="2" fontId="3" numFmtId="164" xfId="0" applyAlignment="1" applyBorder="1" applyFont="1" applyNumberFormat="1">
      <alignment horizontal="center" readingOrder="0" vertical="bottom"/>
    </xf>
    <xf borderId="2" fillId="2" fontId="3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  <xf borderId="2" fillId="3" fontId="3" numFmtId="0" xfId="0" applyAlignment="1" applyBorder="1" applyFill="1" applyFont="1">
      <alignment horizontal="center" vertical="bottom"/>
    </xf>
    <xf borderId="2" fillId="4" fontId="3" numFmtId="164" xfId="0" applyAlignment="1" applyBorder="1" applyFill="1" applyFont="1" applyNumberFormat="1">
      <alignment horizontal="center" readingOrder="0" vertical="bottom"/>
    </xf>
    <xf borderId="3" fillId="5" fontId="3" numFmtId="0" xfId="0" applyAlignment="1" applyBorder="1" applyFill="1" applyFont="1">
      <alignment horizontal="center" vertical="bottom"/>
    </xf>
    <xf borderId="1" fillId="5" fontId="3" numFmtId="165" xfId="0" applyAlignment="1" applyBorder="1" applyFont="1" applyNumberFormat="1">
      <alignment horizontal="center" readingOrder="0" vertical="bottom"/>
    </xf>
    <xf borderId="1" fillId="5" fontId="3" numFmtId="166" xfId="0" applyAlignment="1" applyBorder="1" applyFont="1" applyNumberFormat="1">
      <alignment horizontal="center" readingOrder="0" vertical="bottom"/>
    </xf>
    <xf borderId="1" fillId="5" fontId="1" numFmtId="0" xfId="0" applyAlignment="1" applyBorder="1" applyFont="1">
      <alignment vertical="bottom"/>
    </xf>
    <xf borderId="1" fillId="5" fontId="4" numFmtId="0" xfId="0" applyAlignment="1" applyBorder="1" applyFont="1">
      <alignment horizontal="center" vertical="bottom"/>
    </xf>
    <xf borderId="0" fillId="6" fontId="1" numFmtId="0" xfId="0" applyAlignment="1" applyFill="1" applyFont="1">
      <alignment vertical="bottom"/>
    </xf>
    <xf borderId="1" fillId="6" fontId="1" numFmtId="166" xfId="0" applyAlignment="1" applyBorder="1" applyFont="1" applyNumberFormat="1">
      <alignment vertical="bottom"/>
    </xf>
    <xf borderId="1" fillId="6" fontId="3" numFmtId="166" xfId="0" applyAlignment="1" applyBorder="1" applyFont="1" applyNumberFormat="1">
      <alignment horizontal="center" vertical="bottom"/>
    </xf>
    <xf borderId="3" fillId="6" fontId="3" numFmtId="0" xfId="0" applyAlignment="1" applyBorder="1" applyFont="1">
      <alignment horizontal="center" vertical="bottom"/>
    </xf>
    <xf borderId="1" fillId="6" fontId="3" numFmtId="165" xfId="0" applyAlignment="1" applyBorder="1" applyFont="1" applyNumberFormat="1">
      <alignment horizontal="center" readingOrder="0" vertical="bottom"/>
    </xf>
    <xf borderId="1" fillId="6" fontId="3" numFmtId="166" xfId="0" applyAlignment="1" applyBorder="1" applyFont="1" applyNumberFormat="1">
      <alignment horizontal="center" readingOrder="0" vertical="bottom"/>
    </xf>
    <xf borderId="1" fillId="6" fontId="1" numFmtId="0" xfId="0" applyAlignment="1" applyBorder="1" applyFont="1">
      <alignment vertical="bottom"/>
    </xf>
    <xf borderId="1" fillId="6" fontId="3" numFmtId="0" xfId="0" applyAlignment="1" applyBorder="1" applyFont="1">
      <alignment horizontal="center" readingOrder="0" vertical="bottom"/>
    </xf>
    <xf borderId="4" fillId="7" fontId="3" numFmtId="0" xfId="0" applyAlignment="1" applyBorder="1" applyFill="1" applyFont="1">
      <alignment horizontal="center" vertical="bottom"/>
    </xf>
    <xf borderId="0" fillId="8" fontId="3" numFmtId="0" xfId="0" applyAlignment="1" applyFill="1" applyFont="1">
      <alignment horizontal="center" vertical="bottom"/>
    </xf>
    <xf borderId="0" fillId="0" fontId="3" numFmtId="0" xfId="0" applyAlignment="1" applyFont="1">
      <alignment vertical="bottom"/>
    </xf>
    <xf borderId="1" fillId="4" fontId="3" numFmtId="166" xfId="0" applyAlignment="1" applyBorder="1" applyFont="1" applyNumberFormat="1">
      <alignment horizontal="center" vertical="bottom"/>
    </xf>
    <xf borderId="0" fillId="0" fontId="1" numFmtId="166" xfId="0" applyAlignment="1" applyFont="1" applyNumberFormat="1">
      <alignment vertical="bottom"/>
    </xf>
    <xf borderId="0" fillId="0" fontId="3" numFmtId="10" xfId="0" applyAlignment="1" applyFont="1" applyNumberFormat="1">
      <alignment horizontal="center" vertical="bottom"/>
    </xf>
    <xf borderId="0" fillId="0" fontId="1" numFmtId="10" xfId="0" applyAlignment="1" applyFont="1" applyNumberFormat="1">
      <alignment vertical="bottom"/>
    </xf>
    <xf borderId="1" fillId="8" fontId="3" numFmtId="0" xfId="0" applyAlignment="1" applyBorder="1" applyFont="1">
      <alignment horizontal="center" vertical="bottom"/>
    </xf>
    <xf borderId="1" fillId="8" fontId="3" numFmtId="166" xfId="0" applyAlignment="1" applyBorder="1" applyFont="1" applyNumberFormat="1">
      <alignment horizontal="center" vertical="bottom"/>
    </xf>
    <xf borderId="1" fillId="0" fontId="3" numFmtId="166" xfId="0" applyAlignment="1" applyBorder="1" applyFont="1" applyNumberFormat="1">
      <alignment horizontal="center" vertical="bottom"/>
    </xf>
    <xf borderId="1" fillId="5" fontId="3" numFmtId="0" xfId="0" applyAlignment="1" applyBorder="1" applyFont="1">
      <alignment horizontal="center" readingOrder="0" vertical="bottom"/>
    </xf>
    <xf borderId="1" fillId="7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1" fillId="4" fontId="3" numFmtId="166" xfId="0" applyAlignment="1" applyBorder="1" applyFont="1" applyNumberFormat="1">
      <alignment horizontal="center" readingOrder="0" vertical="bottom"/>
    </xf>
    <xf borderId="0" fillId="0" fontId="3" numFmtId="166" xfId="0" applyAlignment="1" applyFont="1" applyNumberFormat="1">
      <alignment horizontal="center" readingOrder="0" vertical="bottom"/>
    </xf>
    <xf borderId="1" fillId="0" fontId="1" numFmtId="166" xfId="0" applyAlignment="1" applyBorder="1" applyFont="1" applyNumberFormat="1">
      <alignment vertical="bottom"/>
    </xf>
    <xf borderId="1" fillId="0" fontId="5" numFmtId="166" xfId="0" applyAlignment="1" applyBorder="1" applyFont="1" applyNumberFormat="1">
      <alignment horizontal="center" vertical="bottom"/>
    </xf>
    <xf borderId="0" fillId="0" fontId="3" numFmtId="166" xfId="0" applyAlignment="1" applyFont="1" applyNumberFormat="1">
      <alignment readingOrder="0" vertical="bottom"/>
    </xf>
    <xf borderId="0" fillId="6" fontId="5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6" fontId="1" numFmtId="166" xfId="0" applyAlignment="1" applyFont="1" applyNumberFormat="1">
      <alignment vertical="bottom"/>
    </xf>
    <xf borderId="0" fillId="0" fontId="5" numFmtId="166" xfId="0" applyAlignment="1" applyFont="1" applyNumberFormat="1">
      <alignment horizontal="center" readingOrder="0" vertical="bottom"/>
    </xf>
    <xf borderId="0" fillId="0" fontId="6" numFmtId="0" xfId="0" applyAlignment="1" applyFont="1">
      <alignment horizontal="center" vertical="bottom"/>
    </xf>
    <xf borderId="4" fillId="0" fontId="1" numFmtId="166" xfId="0" applyAlignment="1" applyBorder="1" applyFont="1" applyNumberFormat="1">
      <alignment vertical="bottom"/>
    </xf>
    <xf borderId="0" fillId="6" fontId="6" numFmtId="166" xfId="0" applyAlignment="1" applyFont="1" applyNumberFormat="1">
      <alignment horizontal="right" readingOrder="0" vertical="bottom"/>
    </xf>
    <xf borderId="4" fillId="7" fontId="7" numFmtId="166" xfId="0" applyAlignment="1" applyBorder="1" applyFont="1" applyNumberFormat="1">
      <alignment horizontal="center" readingOrder="0" vertical="bottom"/>
    </xf>
    <xf borderId="0" fillId="0" fontId="5" numFmtId="166" xfId="0" applyAlignment="1" applyFont="1" applyNumberFormat="1">
      <alignment horizontal="right" readingOrder="0" vertical="bottom"/>
    </xf>
    <xf borderId="1" fillId="9" fontId="8" numFmtId="0" xfId="0" applyAlignment="1" applyBorder="1" applyFill="1" applyFont="1">
      <alignment horizontal="center" vertical="bottom"/>
    </xf>
    <xf borderId="3" fillId="6" fontId="3" numFmtId="0" xfId="0" applyAlignment="1" applyBorder="1" applyFont="1">
      <alignment horizontal="center" readingOrder="0" vertical="bottom"/>
    </xf>
    <xf borderId="1" fillId="4" fontId="3" numFmtId="0" xfId="0" applyAlignment="1" applyBorder="1" applyFont="1">
      <alignment horizontal="center" vertical="bottom"/>
    </xf>
    <xf borderId="0" fillId="6" fontId="6" numFmtId="166" xfId="0" applyAlignment="1" applyFont="1" applyNumberFormat="1">
      <alignment horizontal="right" vertical="bottom"/>
    </xf>
    <xf borderId="0" fillId="0" fontId="3" numFmtId="166" xfId="0" applyAlignment="1" applyFont="1" applyNumberFormat="1">
      <alignment vertical="bottom"/>
    </xf>
    <xf borderId="0" fillId="0" fontId="6" numFmtId="166" xfId="0" applyAlignment="1" applyFont="1" applyNumberFormat="1">
      <alignment horizontal="center" vertical="bottom"/>
    </xf>
    <xf borderId="3" fillId="5" fontId="3" numFmtId="0" xfId="0" applyAlignment="1" applyBorder="1" applyFont="1">
      <alignment horizontal="center" readingOrder="0" vertical="bottom"/>
    </xf>
    <xf borderId="1" fillId="9" fontId="3" numFmtId="0" xfId="0" applyAlignment="1" applyBorder="1" applyFont="1">
      <alignment horizontal="center" vertical="bottom"/>
    </xf>
    <xf borderId="3" fillId="6" fontId="1" numFmtId="0" xfId="0" applyAlignment="1" applyBorder="1" applyFont="1">
      <alignment vertical="bottom"/>
    </xf>
    <xf borderId="1" fillId="6" fontId="1" numFmtId="165" xfId="0" applyAlignment="1" applyBorder="1" applyFont="1" applyNumberFormat="1">
      <alignment vertical="bottom"/>
    </xf>
    <xf borderId="1" fillId="6" fontId="2" numFmtId="166" xfId="0" applyAlignment="1" applyBorder="1" applyFont="1" applyNumberFormat="1">
      <alignment horizontal="right" vertical="bottom"/>
    </xf>
    <xf borderId="1" fillId="6" fontId="2" numFmtId="166" xfId="0" applyAlignment="1" applyBorder="1" applyFont="1" applyNumberFormat="1">
      <alignment horizontal="center" vertical="bottom"/>
    </xf>
    <xf borderId="1" fillId="6" fontId="2" numFmtId="166" xfId="0" applyAlignment="1" applyBorder="1" applyFont="1" applyNumberFormat="1">
      <alignment horizontal="right" readingOrder="0" vertical="bottom"/>
    </xf>
    <xf borderId="1" fillId="6" fontId="2" numFmtId="0" xfId="0" applyAlignment="1" applyBorder="1" applyFont="1">
      <alignment horizontal="center" vertical="bottom"/>
    </xf>
    <xf borderId="1" fillId="10" fontId="3" numFmtId="166" xfId="0" applyAlignment="1" applyBorder="1" applyFill="1" applyFont="1" applyNumberFormat="1">
      <alignment horizontal="center" vertical="bottom"/>
    </xf>
    <xf borderId="0" fillId="0" fontId="1" numFmtId="165" xfId="0" applyAlignment="1" applyFont="1" applyNumberFormat="1">
      <alignment vertical="bottom"/>
    </xf>
    <xf borderId="5" fillId="0" fontId="2" numFmtId="166" xfId="0" applyAlignment="1" applyBorder="1" applyFont="1" applyNumberFormat="1">
      <alignment readingOrder="0" vertical="bottom"/>
    </xf>
    <xf borderId="5" fillId="0" fontId="2" numFmtId="166" xfId="0" applyAlignment="1" applyBorder="1" applyFont="1" applyNumberFormat="1">
      <alignment vertical="bottom"/>
    </xf>
    <xf borderId="3" fillId="2" fontId="3" numFmtId="0" xfId="0" applyAlignment="1" applyBorder="1" applyFont="1">
      <alignment horizontal="center" vertical="bottom"/>
    </xf>
    <xf borderId="1" fillId="2" fontId="3" numFmtId="0" xfId="0" applyAlignment="1" applyBorder="1" applyFont="1">
      <alignment horizontal="center" vertical="bottom"/>
    </xf>
    <xf borderId="2" fillId="2" fontId="3" numFmtId="0" xfId="0" applyAlignment="1" applyBorder="1" applyFont="1">
      <alignment horizontal="center" readingOrder="0" vertical="bottom"/>
    </xf>
    <xf borderId="2" fillId="11" fontId="3" numFmtId="0" xfId="0" applyAlignment="1" applyBorder="1" applyFill="1" applyFont="1">
      <alignment horizontal="center" vertical="bottom"/>
    </xf>
    <xf borderId="2" fillId="0" fontId="3" numFmtId="0" xfId="0" applyAlignment="1" applyBorder="1" applyFont="1">
      <alignment horizontal="center" vertical="bottom"/>
    </xf>
    <xf borderId="2" fillId="0" fontId="1" numFmtId="0" xfId="0" applyAlignment="1" applyBorder="1" applyFont="1">
      <alignment vertical="bottom"/>
    </xf>
    <xf borderId="1" fillId="5" fontId="3" numFmtId="0" xfId="0" applyAlignment="1" applyBorder="1" applyFont="1">
      <alignment vertical="bottom"/>
    </xf>
    <xf borderId="1" fillId="6" fontId="9" numFmtId="0" xfId="0" applyAlignment="1" applyBorder="1" applyFont="1">
      <alignment horizontal="center" readingOrder="0" vertical="bottom"/>
    </xf>
    <xf borderId="1" fillId="6" fontId="3" numFmtId="0" xfId="0" applyAlignment="1" applyBorder="1" applyFont="1">
      <alignment vertical="bottom"/>
    </xf>
    <xf borderId="1" fillId="6" fontId="3" numFmtId="0" xfId="0" applyAlignment="1" applyBorder="1" applyFont="1">
      <alignment readingOrder="0" vertical="bottom"/>
    </xf>
    <xf borderId="1" fillId="12" fontId="3" numFmtId="0" xfId="0" applyAlignment="1" applyBorder="1" applyFill="1" applyFont="1">
      <alignment horizontal="center" readingOrder="0" vertical="bottom"/>
    </xf>
    <xf borderId="1" fillId="6" fontId="3" numFmtId="0" xfId="0" applyAlignment="1" applyBorder="1" applyFont="1">
      <alignment horizontal="center" vertical="bottom"/>
    </xf>
    <xf borderId="1" fillId="4" fontId="3" numFmtId="0" xfId="0" applyAlignment="1" applyBorder="1" applyFont="1">
      <alignment horizontal="center" readingOrder="0" vertical="bottom"/>
    </xf>
    <xf borderId="1" fillId="13" fontId="3" numFmtId="0" xfId="0" applyAlignment="1" applyBorder="1" applyFill="1" applyFont="1">
      <alignment horizontal="center" readingOrder="0" vertical="bottom"/>
    </xf>
    <xf borderId="3" fillId="5" fontId="10" numFmtId="0" xfId="0" applyAlignment="1" applyBorder="1" applyFont="1">
      <alignment horizontal="center" readingOrder="0" vertical="bottom"/>
    </xf>
    <xf borderId="1" fillId="5" fontId="10" numFmtId="0" xfId="0" applyAlignment="1" applyBorder="1" applyFont="1">
      <alignment horizontal="center" readingOrder="0" vertical="bottom"/>
    </xf>
    <xf borderId="1" fillId="4" fontId="10" numFmtId="0" xfId="0" applyAlignment="1" applyBorder="1" applyFont="1">
      <alignment horizontal="center" readingOrder="0" vertical="bottom"/>
    </xf>
    <xf borderId="1" fillId="13" fontId="10" numFmtId="0" xfId="0" applyAlignment="1" applyBorder="1" applyFont="1">
      <alignment horizontal="center" readingOrder="0" vertical="bottom"/>
    </xf>
    <xf borderId="3" fillId="5" fontId="11" numFmtId="0" xfId="0" applyAlignment="1" applyBorder="1" applyFont="1">
      <alignment horizontal="center" readingOrder="0" vertical="bottom"/>
    </xf>
    <xf borderId="1" fillId="5" fontId="11" numFmtId="0" xfId="0" applyAlignment="1" applyBorder="1" applyFont="1">
      <alignment horizontal="center" readingOrder="0" vertical="bottom"/>
    </xf>
    <xf borderId="1" fillId="4" fontId="11" numFmtId="0" xfId="0" applyAlignment="1" applyBorder="1" applyFont="1">
      <alignment horizontal="center" readingOrder="0" vertical="bottom"/>
    </xf>
    <xf borderId="1" fillId="13" fontId="11" numFmtId="0" xfId="0" applyAlignment="1" applyBorder="1" applyFont="1">
      <alignment horizontal="center" readingOrder="0" vertical="bottom"/>
    </xf>
    <xf borderId="1" fillId="12" fontId="11" numFmtId="0" xfId="0" applyAlignment="1" applyBorder="1" applyFont="1">
      <alignment horizontal="center" readingOrder="0" vertical="bottom"/>
    </xf>
    <xf borderId="3" fillId="6" fontId="11" numFmtId="0" xfId="0" applyAlignment="1" applyBorder="1" applyFont="1">
      <alignment horizontal="center" readingOrder="0" vertical="bottom"/>
    </xf>
    <xf borderId="1" fillId="6" fontId="11" numFmtId="0" xfId="0" applyAlignment="1" applyBorder="1" applyFont="1">
      <alignment horizontal="center" readingOrder="0" vertical="bottom"/>
    </xf>
    <xf borderId="3" fillId="6" fontId="10" numFmtId="0" xfId="0" applyAlignment="1" applyBorder="1" applyFont="1">
      <alignment horizontal="center" readingOrder="0" vertical="bottom"/>
    </xf>
    <xf borderId="1" fillId="6" fontId="10" numFmtId="0" xfId="0" applyAlignment="1" applyBorder="1" applyFont="1">
      <alignment horizontal="center" readingOrder="0" vertical="bottom"/>
    </xf>
    <xf borderId="1" fillId="12" fontId="10" numFmtId="0" xfId="0" applyAlignment="1" applyBorder="1" applyFont="1">
      <alignment horizontal="center" readingOrder="0" vertical="bottom"/>
    </xf>
    <xf borderId="1" fillId="6" fontId="10" numFmtId="0" xfId="0" applyAlignment="1" applyBorder="1" applyFont="1">
      <alignment vertical="bottom"/>
    </xf>
    <xf borderId="1" fillId="6" fontId="11" numFmtId="0" xfId="0" applyAlignment="1" applyBorder="1" applyFont="1">
      <alignment vertical="bottom"/>
    </xf>
    <xf borderId="1" fillId="5" fontId="11" numFmtId="0" xfId="0" applyAlignment="1" applyBorder="1" applyFont="1">
      <alignment vertical="bottom"/>
    </xf>
    <xf borderId="6" fillId="6" fontId="12" numFmtId="0" xfId="0" applyAlignment="1" applyBorder="1" applyFont="1">
      <alignment horizontal="center" readingOrder="0" vertical="bottom"/>
    </xf>
    <xf borderId="6" fillId="6" fontId="6" numFmtId="0" xfId="0" applyAlignment="1" applyBorder="1" applyFont="1">
      <alignment horizontal="center" vertical="bottom"/>
    </xf>
    <xf borderId="1" fillId="6" fontId="6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7" fillId="6" fontId="12" numFmtId="166" xfId="0" applyAlignment="1" applyBorder="1" applyFont="1" applyNumberFormat="1">
      <alignment horizontal="center" readingOrder="0" vertical="bottom"/>
    </xf>
    <xf borderId="1" fillId="6" fontId="12" numFmtId="166" xfId="0" applyAlignment="1" applyBorder="1" applyFont="1" applyNumberFormat="1">
      <alignment horizontal="center" readingOrder="0" vertical="bottom"/>
    </xf>
    <xf borderId="1" fillId="6" fontId="6" numFmtId="166" xfId="0" applyAlignment="1" applyBorder="1" applyFont="1" applyNumberFormat="1">
      <alignment horizontal="center" readingOrder="0" vertical="bottom"/>
    </xf>
    <xf borderId="1" fillId="6" fontId="6" numFmtId="166" xfId="0" applyAlignment="1" applyBorder="1" applyFont="1" applyNumberFormat="1">
      <alignment horizontal="center" vertical="bottom"/>
    </xf>
    <xf borderId="1" fillId="0" fontId="3" numFmtId="166" xfId="0" applyAlignment="1" applyBorder="1" applyFont="1" applyNumberFormat="1">
      <alignment horizontal="center" readingOrder="0" vertical="bottom"/>
    </xf>
    <xf borderId="5" fillId="0" fontId="5" numFmtId="166" xfId="0" applyAlignment="1" applyBorder="1" applyFont="1" applyNumberFormat="1">
      <alignment horizontal="right" readingOrder="0" vertical="bottom"/>
    </xf>
    <xf borderId="1" fillId="10" fontId="13" numFmtId="166" xfId="0" applyAlignment="1" applyBorder="1" applyFont="1" applyNumberFormat="1">
      <alignment horizontal="center" vertical="bottom"/>
    </xf>
    <xf borderId="1" fillId="10" fontId="6" numFmtId="166" xfId="0" applyAlignment="1" applyBorder="1" applyFont="1" applyNumberFormat="1">
      <alignment horizontal="right" vertical="bottom"/>
    </xf>
    <xf borderId="1" fillId="10" fontId="2" numFmtId="166" xfId="0" applyAlignment="1" applyBorder="1" applyFont="1" applyNumberFormat="1">
      <alignment horizontal="center" vertical="bottom"/>
    </xf>
    <xf borderId="5" fillId="10" fontId="5" numFmtId="166" xfId="0" applyAlignment="1" applyBorder="1" applyFont="1" applyNumberFormat="1">
      <alignment horizontal="right" vertical="bottom"/>
    </xf>
    <xf borderId="5" fillId="10" fontId="14" numFmtId="166" xfId="0" applyAlignment="1" applyBorder="1" applyFont="1" applyNumberFormat="1">
      <alignment horizontal="right" vertical="bottom"/>
    </xf>
    <xf borderId="0" fillId="0" fontId="2" numFmtId="166" xfId="0" applyAlignment="1" applyFont="1" applyNumberFormat="1">
      <alignment horizontal="right" vertical="bottom"/>
    </xf>
    <xf borderId="4" fillId="0" fontId="15" numFmtId="166" xfId="0" applyAlignment="1" applyBorder="1" applyFont="1" applyNumberFormat="1">
      <alignment horizontal="right" vertical="bottom"/>
    </xf>
    <xf borderId="4" fillId="0" fontId="16" numFmtId="166" xfId="0" applyAlignment="1" applyBorder="1" applyFont="1" applyNumberFormat="1">
      <alignment horizontal="right" vertical="bottom"/>
    </xf>
    <xf borderId="1" fillId="0" fontId="15" numFmtId="166" xfId="0" applyAlignment="1" applyBorder="1" applyFont="1" applyNumberFormat="1">
      <alignment horizontal="right" vertical="bottom"/>
    </xf>
    <xf borderId="5" fillId="0" fontId="5" numFmtId="166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0" fillId="0" fontId="17" numFmtId="0" xfId="0" applyFont="1"/>
    <xf borderId="1" fillId="10" fontId="18" numFmtId="0" xfId="0" applyAlignment="1" applyBorder="1" applyFont="1">
      <alignment horizontal="center" vertical="bottom"/>
    </xf>
    <xf borderId="2" fillId="10" fontId="18" numFmtId="0" xfId="0" applyAlignment="1" applyBorder="1" applyFont="1">
      <alignment horizontal="center" vertical="bottom"/>
    </xf>
    <xf borderId="5" fillId="6" fontId="3" numFmtId="0" xfId="0" applyAlignment="1" applyBorder="1" applyFont="1">
      <alignment horizontal="center" vertical="bottom"/>
    </xf>
    <xf borderId="2" fillId="6" fontId="3" numFmtId="0" xfId="0" applyAlignment="1" applyBorder="1" applyFont="1">
      <alignment horizontal="center" readingOrder="0" vertical="bottom"/>
    </xf>
    <xf borderId="2" fillId="6" fontId="3" numFmtId="166" xfId="0" applyAlignment="1" applyBorder="1" applyFont="1" applyNumberFormat="1">
      <alignment horizontal="center" vertical="bottom"/>
    </xf>
    <xf borderId="2" fillId="6" fontId="1" numFmtId="0" xfId="0" applyAlignment="1" applyBorder="1" applyFont="1">
      <alignment vertical="bottom"/>
    </xf>
    <xf borderId="3" fillId="4" fontId="3" numFmtId="0" xfId="0" applyAlignment="1" applyBorder="1" applyFont="1">
      <alignment horizontal="center" vertical="bottom"/>
    </xf>
    <xf borderId="5" fillId="4" fontId="3" numFmtId="0" xfId="0" applyAlignment="1" applyBorder="1" applyFont="1">
      <alignment horizontal="center" vertical="bottom"/>
    </xf>
    <xf borderId="2" fillId="4" fontId="3" numFmtId="0" xfId="0" applyAlignment="1" applyBorder="1" applyFont="1">
      <alignment horizontal="center" readingOrder="0" vertical="bottom"/>
    </xf>
    <xf borderId="2" fillId="4" fontId="3" numFmtId="166" xfId="0" applyAlignment="1" applyBorder="1" applyFont="1" applyNumberFormat="1">
      <alignment horizontal="center" vertical="bottom"/>
    </xf>
    <xf borderId="3" fillId="4" fontId="3" numFmtId="0" xfId="0" applyAlignment="1" applyBorder="1" applyFont="1">
      <alignment horizontal="center" readingOrder="0" vertical="bottom"/>
    </xf>
    <xf borderId="2" fillId="4" fontId="3" numFmtId="166" xfId="0" applyAlignment="1" applyBorder="1" applyFont="1" applyNumberFormat="1">
      <alignment horizontal="center" readingOrder="0" vertical="bottom"/>
    </xf>
    <xf borderId="2" fillId="6" fontId="3" numFmtId="0" xfId="0" applyAlignment="1" applyBorder="1" applyFont="1">
      <alignment horizontal="center" vertical="bottom"/>
    </xf>
    <xf borderId="2" fillId="6" fontId="3" numFmtId="166" xfId="0" applyAlignment="1" applyBorder="1" applyFont="1" applyNumberFormat="1">
      <alignment horizontal="center" readingOrder="0" vertical="bottom"/>
    </xf>
    <xf borderId="0" fillId="7" fontId="19" numFmtId="0" xfId="0" applyFont="1"/>
    <xf borderId="3" fillId="7" fontId="3" numFmtId="0" xfId="0" applyAlignment="1" applyBorder="1" applyFont="1">
      <alignment horizontal="center" vertical="bottom"/>
    </xf>
    <xf borderId="1" fillId="7" fontId="3" numFmtId="0" xfId="0" applyAlignment="1" applyBorder="1" applyFont="1">
      <alignment horizontal="center" readingOrder="0" vertical="bottom"/>
    </xf>
    <xf borderId="1" fillId="7" fontId="3" numFmtId="166" xfId="0" applyAlignment="1" applyBorder="1" applyFont="1" applyNumberFormat="1">
      <alignment horizontal="center" vertical="bottom"/>
    </xf>
    <xf borderId="2" fillId="7" fontId="3" numFmtId="166" xfId="0" applyAlignment="1" applyBorder="1" applyFont="1" applyNumberFormat="1">
      <alignment horizontal="center" vertical="bottom"/>
    </xf>
    <xf borderId="2" fillId="7" fontId="3" numFmtId="0" xfId="0" applyAlignment="1" applyBorder="1" applyFont="1">
      <alignment horizontal="center" vertical="bottom"/>
    </xf>
    <xf borderId="3" fillId="14" fontId="3" numFmtId="0" xfId="0" applyAlignment="1" applyBorder="1" applyFill="1" applyFont="1">
      <alignment horizontal="center" readingOrder="0" vertical="bottom"/>
    </xf>
    <xf borderId="1" fillId="14" fontId="3" numFmtId="0" xfId="0" applyAlignment="1" applyBorder="1" applyFont="1">
      <alignment horizontal="center" readingOrder="0" vertical="bottom"/>
    </xf>
    <xf borderId="1" fillId="14" fontId="3" numFmtId="166" xfId="0" applyAlignment="1" applyBorder="1" applyFont="1" applyNumberFormat="1">
      <alignment horizontal="center" readingOrder="0" vertical="bottom"/>
    </xf>
    <xf borderId="1" fillId="14" fontId="3" numFmtId="166" xfId="0" applyAlignment="1" applyBorder="1" applyFont="1" applyNumberFormat="1">
      <alignment horizontal="center" vertical="bottom"/>
    </xf>
    <xf borderId="1" fillId="14" fontId="3" numFmtId="0" xfId="0" applyAlignment="1" applyBorder="1" applyFont="1">
      <alignment horizontal="center" vertical="bottom"/>
    </xf>
    <xf borderId="3" fillId="6" fontId="3" numFmtId="0" xfId="0" applyAlignment="1" applyBorder="1" applyFont="1">
      <alignment horizontal="center" vertical="bottom"/>
    </xf>
    <xf borderId="1" fillId="6" fontId="3" numFmtId="0" xfId="0" applyAlignment="1" applyBorder="1" applyFont="1">
      <alignment horizontal="center" vertical="bottom"/>
    </xf>
    <xf borderId="3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vertical="bottom"/>
    </xf>
    <xf borderId="3" fillId="8" fontId="3" numFmtId="0" xfId="0" applyAlignment="1" applyBorder="1" applyFont="1">
      <alignment horizontal="center" vertical="bottom"/>
    </xf>
    <xf borderId="1" fillId="8" fontId="3" numFmtId="0" xfId="0" applyAlignment="1" applyBorder="1" applyFont="1">
      <alignment horizontal="center" readingOrder="0" vertical="bottom"/>
    </xf>
    <xf borderId="1" fillId="8" fontId="3" numFmtId="167" xfId="0" applyAlignment="1" applyBorder="1" applyFont="1" applyNumberFormat="1">
      <alignment horizontal="center" vertical="bottom"/>
    </xf>
    <xf borderId="3" fillId="0" fontId="18" numFmtId="0" xfId="0" applyAlignment="1" applyBorder="1" applyFont="1">
      <alignment horizontal="center" vertical="bottom"/>
    </xf>
    <xf borderId="1" fillId="0" fontId="18" numFmtId="166" xfId="0" applyAlignment="1" applyBorder="1" applyFont="1" applyNumberFormat="1">
      <alignment horizontal="center" vertical="bottom"/>
    </xf>
    <xf borderId="1" fillId="0" fontId="1" numFmtId="165" xfId="0" applyAlignment="1" applyBorder="1" applyFont="1" applyNumberFormat="1">
      <alignment vertical="bottom"/>
    </xf>
    <xf borderId="5" fillId="0" fontId="1" numFmtId="0" xfId="0" applyAlignment="1" applyBorder="1" applyFont="1">
      <alignment vertical="bottom"/>
    </xf>
    <xf borderId="2" fillId="4" fontId="2" numFmtId="0" xfId="0" applyAlignment="1" applyBorder="1" applyFont="1">
      <alignment horizontal="center" vertical="bottom"/>
    </xf>
    <xf borderId="8" fillId="7" fontId="2" numFmtId="0" xfId="0" applyAlignment="1" applyBorder="1" applyFont="1">
      <alignment horizontal="center" vertical="bottom"/>
    </xf>
    <xf borderId="0" fillId="0" fontId="20" numFmtId="0" xfId="0" applyFont="1"/>
    <xf borderId="3" fillId="0" fontId="1" numFmtId="0" xfId="0" applyAlignment="1" applyBorder="1" applyFont="1">
      <alignment vertical="bottom"/>
    </xf>
    <xf borderId="1" fillId="6" fontId="2" numFmtId="166" xfId="0" applyAlignment="1" applyBorder="1" applyFont="1" applyNumberFormat="1">
      <alignment horizontal="center" readingOrder="0" vertical="bottom"/>
    </xf>
    <xf borderId="3" fillId="0" fontId="3" numFmtId="0" xfId="0" applyAlignment="1" applyBorder="1" applyFont="1">
      <alignment horizontal="center" vertical="bottom"/>
    </xf>
    <xf borderId="0" fillId="0" fontId="20" numFmtId="0" xfId="0" applyAlignment="1" applyFont="1">
      <alignment readingOrder="0"/>
    </xf>
    <xf borderId="0" fillId="0" fontId="20" numFmtId="0" xfId="0" applyAlignment="1" applyFont="1">
      <alignment horizontal="center" readingOrder="0"/>
    </xf>
    <xf borderId="0" fillId="0" fontId="20" numFmtId="166" xfId="0" applyFont="1" applyNumberFormat="1"/>
    <xf borderId="0" fillId="0" fontId="20" numFmtId="166" xfId="0" applyAlignment="1" applyFont="1" applyNumberFormat="1">
      <alignment readingOrder="0"/>
    </xf>
    <xf borderId="0" fillId="0" fontId="17" numFmtId="166" xfId="0" applyAlignment="1" applyFont="1" applyNumberFormat="1">
      <alignment readingOrder="0"/>
    </xf>
    <xf borderId="1" fillId="3" fontId="3" numFmtId="166" xfId="0" applyAlignment="1" applyBorder="1" applyFont="1" applyNumberFormat="1">
      <alignment horizontal="center" vertical="bottom"/>
    </xf>
    <xf borderId="1" fillId="8" fontId="2" numFmtId="166" xfId="0" applyAlignment="1" applyBorder="1" applyFont="1" applyNumberFormat="1">
      <alignment horizontal="center" vertical="bottom"/>
    </xf>
    <xf borderId="1" fillId="4" fontId="2" numFmtId="166" xfId="0" applyAlignment="1" applyBorder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4" fillId="0" fontId="1" numFmtId="0" xfId="0" applyAlignment="1" applyBorder="1" applyFont="1">
      <alignment horizontal="center" vertical="bottom"/>
    </xf>
    <xf borderId="7" fillId="0" fontId="1" numFmtId="0" xfId="0" applyAlignment="1" applyBorder="1" applyFont="1">
      <alignment horizontal="center" vertical="bottom"/>
    </xf>
    <xf borderId="1" fillId="5" fontId="2" numFmtId="0" xfId="0" applyAlignment="1" applyBorder="1" applyFont="1">
      <alignment horizontal="center" vertical="bottom"/>
    </xf>
    <xf borderId="5" fillId="5" fontId="21" numFmtId="0" xfId="0" applyAlignment="1" applyBorder="1" applyFont="1">
      <alignment horizontal="center" readingOrder="0"/>
    </xf>
    <xf borderId="1" fillId="15" fontId="2" numFmtId="0" xfId="0" applyAlignment="1" applyBorder="1" applyFill="1" applyFont="1">
      <alignment horizontal="center" vertical="bottom"/>
    </xf>
    <xf borderId="5" fillId="0" fontId="20" numFmtId="166" xfId="0" applyAlignment="1" applyBorder="1" applyFont="1" applyNumberFormat="1">
      <alignment horizontal="center"/>
    </xf>
    <xf borderId="5" fillId="0" fontId="20" numFmtId="166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22.63"/>
    <col customWidth="1" min="3" max="3" width="26.63"/>
    <col customWidth="1" min="4" max="4" width="23.88"/>
    <col customWidth="1" min="5" max="5" width="23.63"/>
    <col customWidth="1" min="6" max="6" width="26.38"/>
    <col customWidth="1" min="7" max="7" width="29.63"/>
    <col customWidth="1" min="8" max="8" width="29.0"/>
    <col customWidth="1" min="9" max="9" width="28.63"/>
    <col customWidth="1" min="11" max="11" width="26.88"/>
    <col customWidth="1" min="12" max="12" width="25.88"/>
    <col customWidth="1" min="13" max="13" width="49.38"/>
    <col customWidth="1" min="14" max="14" width="38.88"/>
    <col customWidth="1" min="15" max="15" width="37.88"/>
    <col customWidth="1" min="16" max="16" width="82.38"/>
    <col customWidth="1" min="17" max="17" width="26.38"/>
    <col customWidth="1" min="18" max="18" width="25.38"/>
  </cols>
  <sheetData>
    <row r="1">
      <c r="A1" s="1"/>
      <c r="B1" s="2" t="s">
        <v>0</v>
      </c>
      <c r="C1" s="3">
        <v>45323.0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5"/>
      <c r="K1" s="6" t="s">
        <v>7</v>
      </c>
      <c r="L1" s="7">
        <v>45323.0</v>
      </c>
      <c r="M1" s="5"/>
      <c r="N1" s="5"/>
      <c r="O1" s="5"/>
      <c r="P1" s="5"/>
      <c r="Q1" s="5"/>
      <c r="R1" s="5"/>
      <c r="S1" s="5"/>
      <c r="T1" s="5"/>
    </row>
    <row r="2">
      <c r="A2" s="8" t="s">
        <v>8</v>
      </c>
      <c r="B2" s="9">
        <v>45352.0</v>
      </c>
      <c r="C2" s="10">
        <v>76000.0</v>
      </c>
      <c r="D2" s="10">
        <v>63000.0</v>
      </c>
      <c r="E2" s="11"/>
      <c r="F2" s="11"/>
      <c r="G2" s="11"/>
      <c r="H2" s="11"/>
      <c r="I2" s="12">
        <v>1.0</v>
      </c>
      <c r="J2" s="13"/>
      <c r="K2" s="14"/>
      <c r="L2" s="15">
        <v>76000.0</v>
      </c>
      <c r="M2" s="5"/>
      <c r="N2" s="5"/>
      <c r="O2" s="5"/>
      <c r="P2" s="5"/>
      <c r="Q2" s="5"/>
      <c r="R2" s="5"/>
      <c r="S2" s="5"/>
      <c r="T2" s="5"/>
    </row>
    <row r="3">
      <c r="A3" s="16" t="s">
        <v>9</v>
      </c>
      <c r="B3" s="17">
        <v>45353.0</v>
      </c>
      <c r="C3" s="18">
        <v>70000.0</v>
      </c>
      <c r="D3" s="18">
        <v>32000.0</v>
      </c>
      <c r="E3" s="19"/>
      <c r="F3" s="19"/>
      <c r="G3" s="19"/>
      <c r="H3" s="19"/>
      <c r="I3" s="20">
        <v>1.0</v>
      </c>
      <c r="J3" s="13"/>
      <c r="K3" s="14"/>
      <c r="L3" s="15">
        <v>70000.0</v>
      </c>
      <c r="M3" s="21" t="s">
        <v>10</v>
      </c>
      <c r="N3" s="21" t="s">
        <v>11</v>
      </c>
      <c r="O3" s="22" t="s">
        <v>12</v>
      </c>
      <c r="P3" s="23" t="s">
        <v>13</v>
      </c>
      <c r="Q3" s="5"/>
      <c r="R3" s="5"/>
      <c r="S3" s="5"/>
      <c r="T3" s="5"/>
    </row>
    <row r="4">
      <c r="A4" s="16" t="s">
        <v>14</v>
      </c>
      <c r="B4" s="17">
        <v>45354.0</v>
      </c>
      <c r="C4" s="18">
        <v>33000.0</v>
      </c>
      <c r="D4" s="18">
        <v>45000.0</v>
      </c>
      <c r="E4" s="19"/>
      <c r="F4" s="19"/>
      <c r="G4" s="19"/>
      <c r="H4" s="19"/>
      <c r="I4" s="20">
        <v>1.0</v>
      </c>
      <c r="J4" s="13"/>
      <c r="K4" s="14"/>
      <c r="L4" s="15">
        <v>33000.0</v>
      </c>
      <c r="M4" s="24">
        <f>H33/I33</f>
        <v>16451.6129</v>
      </c>
      <c r="N4" s="24">
        <f>D33/I33</f>
        <v>64000</v>
      </c>
      <c r="O4" s="25"/>
      <c r="P4" s="26">
        <f>F33/D33</f>
        <v>0.2046370968</v>
      </c>
      <c r="Q4" s="5"/>
      <c r="R4" s="5"/>
      <c r="S4" s="5"/>
      <c r="T4" s="5"/>
    </row>
    <row r="5">
      <c r="A5" s="16" t="s">
        <v>15</v>
      </c>
      <c r="B5" s="17">
        <v>45355.0</v>
      </c>
      <c r="C5" s="18">
        <v>45000.0</v>
      </c>
      <c r="D5" s="18">
        <v>73000.0</v>
      </c>
      <c r="E5" s="19"/>
      <c r="F5" s="19"/>
      <c r="G5" s="19"/>
      <c r="H5" s="19"/>
      <c r="I5" s="20">
        <v>1.0</v>
      </c>
      <c r="J5" s="13"/>
      <c r="K5" s="14"/>
      <c r="L5" s="15">
        <v>45000.0</v>
      </c>
      <c r="M5" s="1"/>
      <c r="N5" s="1"/>
      <c r="O5" s="5"/>
      <c r="P5" s="27"/>
      <c r="Q5" s="5"/>
      <c r="R5" s="5"/>
      <c r="S5" s="5"/>
      <c r="T5" s="5"/>
    </row>
    <row r="6">
      <c r="A6" s="16" t="s">
        <v>16</v>
      </c>
      <c r="B6" s="17">
        <v>45356.0</v>
      </c>
      <c r="C6" s="18">
        <v>56000.0</v>
      </c>
      <c r="D6" s="18">
        <v>65000.0</v>
      </c>
      <c r="E6" s="19"/>
      <c r="F6" s="19"/>
      <c r="G6" s="19"/>
      <c r="H6" s="19"/>
      <c r="I6" s="20">
        <v>1.0</v>
      </c>
      <c r="J6" s="13"/>
      <c r="K6" s="14"/>
      <c r="L6" s="15">
        <v>56000.0</v>
      </c>
      <c r="M6" s="28" t="s">
        <v>17</v>
      </c>
      <c r="N6" s="29" t="s">
        <v>18</v>
      </c>
      <c r="O6" s="5"/>
      <c r="P6" s="1"/>
      <c r="Q6" s="5"/>
      <c r="R6" s="5"/>
      <c r="S6" s="5"/>
      <c r="T6" s="5"/>
    </row>
    <row r="7">
      <c r="A7" s="16" t="s">
        <v>19</v>
      </c>
      <c r="B7" s="17">
        <v>45357.0</v>
      </c>
      <c r="C7" s="18">
        <v>35000.0</v>
      </c>
      <c r="D7" s="18">
        <v>62000.0</v>
      </c>
      <c r="E7" s="19"/>
      <c r="F7" s="19"/>
      <c r="G7" s="19"/>
      <c r="H7" s="19"/>
      <c r="I7" s="20">
        <v>1.0</v>
      </c>
      <c r="J7" s="13"/>
      <c r="K7" s="14"/>
      <c r="L7" s="15">
        <v>35000.0</v>
      </c>
      <c r="M7" s="30">
        <f>E33/I33</f>
        <v>29935.48387</v>
      </c>
      <c r="N7" s="30">
        <v>100000.0</v>
      </c>
      <c r="O7" s="1"/>
      <c r="P7" s="1"/>
      <c r="Q7" s="5"/>
      <c r="R7" s="5"/>
      <c r="S7" s="5"/>
      <c r="T7" s="5"/>
    </row>
    <row r="8">
      <c r="A8" s="16" t="s">
        <v>20</v>
      </c>
      <c r="B8" s="17">
        <v>45358.0</v>
      </c>
      <c r="C8" s="18">
        <v>62000.0</v>
      </c>
      <c r="D8" s="18">
        <v>70000.0</v>
      </c>
      <c r="E8" s="19"/>
      <c r="F8" s="19"/>
      <c r="G8" s="19"/>
      <c r="H8" s="19"/>
      <c r="I8" s="20">
        <v>1.0</v>
      </c>
      <c r="J8" s="13"/>
      <c r="K8" s="14"/>
      <c r="L8" s="15">
        <v>62000.0</v>
      </c>
      <c r="M8" s="1" t="s">
        <v>21</v>
      </c>
      <c r="N8" s="1"/>
      <c r="O8" s="1"/>
      <c r="P8" s="1"/>
      <c r="Q8" s="5"/>
      <c r="R8" s="5"/>
      <c r="S8" s="5"/>
      <c r="T8" s="5"/>
    </row>
    <row r="9">
      <c r="A9" s="8" t="s">
        <v>8</v>
      </c>
      <c r="B9" s="9">
        <v>45359.0</v>
      </c>
      <c r="C9" s="10">
        <v>110000.0</v>
      </c>
      <c r="D9" s="10">
        <v>43000.0</v>
      </c>
      <c r="E9" s="11"/>
      <c r="F9" s="11"/>
      <c r="G9" s="11"/>
      <c r="H9" s="11"/>
      <c r="I9" s="31">
        <v>1.0</v>
      </c>
      <c r="J9" s="13"/>
      <c r="K9" s="14"/>
      <c r="L9" s="15">
        <v>110000.0</v>
      </c>
      <c r="M9" s="1"/>
      <c r="N9" s="1"/>
      <c r="O9" s="1"/>
      <c r="P9" s="1"/>
      <c r="Q9" s="5"/>
      <c r="R9" s="5"/>
      <c r="S9" s="5"/>
      <c r="T9" s="5"/>
    </row>
    <row r="10">
      <c r="A10" s="16" t="s">
        <v>9</v>
      </c>
      <c r="B10" s="17">
        <v>45360.0</v>
      </c>
      <c r="C10" s="18">
        <v>45000.0</v>
      </c>
      <c r="D10" s="18">
        <v>85000.0</v>
      </c>
      <c r="E10" s="19"/>
      <c r="F10" s="19"/>
      <c r="G10" s="19"/>
      <c r="H10" s="19"/>
      <c r="I10" s="20">
        <v>1.0</v>
      </c>
      <c r="J10" s="13"/>
      <c r="K10" s="14"/>
      <c r="L10" s="15">
        <v>45000.0</v>
      </c>
      <c r="M10" s="32" t="s">
        <v>22</v>
      </c>
      <c r="N10" s="32" t="s">
        <v>23</v>
      </c>
      <c r="O10" s="33" t="s">
        <v>24</v>
      </c>
      <c r="P10" s="34" t="s">
        <v>25</v>
      </c>
      <c r="Q10" s="5"/>
      <c r="R10" s="5"/>
      <c r="S10" s="5"/>
      <c r="T10" s="5"/>
    </row>
    <row r="11">
      <c r="A11" s="16" t="s">
        <v>14</v>
      </c>
      <c r="B11" s="17">
        <v>45361.0</v>
      </c>
      <c r="C11" s="18">
        <v>55000.0</v>
      </c>
      <c r="D11" s="18">
        <v>100000.0</v>
      </c>
      <c r="E11" s="19"/>
      <c r="F11" s="19"/>
      <c r="G11" s="19"/>
      <c r="H11" s="19"/>
      <c r="I11" s="20">
        <v>1.0</v>
      </c>
      <c r="J11" s="13"/>
      <c r="K11" s="14"/>
      <c r="L11" s="15">
        <v>55000.0</v>
      </c>
      <c r="M11" s="15">
        <f>M14+D33-E33-Salaires!K27-N11</f>
        <v>693000</v>
      </c>
      <c r="N11" s="35">
        <v>296000.0</v>
      </c>
      <c r="O11" s="36">
        <v>816000.0</v>
      </c>
      <c r="P11" s="30">
        <f>M11-O11</f>
        <v>-123000</v>
      </c>
      <c r="Q11" s="5"/>
      <c r="R11" s="5"/>
      <c r="S11" s="5"/>
      <c r="T11" s="5"/>
    </row>
    <row r="12">
      <c r="A12" s="16" t="s">
        <v>15</v>
      </c>
      <c r="B12" s="17">
        <v>45362.0</v>
      </c>
      <c r="C12" s="18">
        <v>37000.0</v>
      </c>
      <c r="D12" s="18">
        <v>55000.0</v>
      </c>
      <c r="E12" s="19"/>
      <c r="F12" s="19"/>
      <c r="G12" s="19"/>
      <c r="H12" s="19"/>
      <c r="I12" s="20">
        <v>1.0</v>
      </c>
      <c r="J12" s="13"/>
      <c r="K12" s="14"/>
      <c r="L12" s="15">
        <v>37000.0</v>
      </c>
      <c r="M12" s="1"/>
      <c r="N12" s="1"/>
      <c r="O12" s="37"/>
      <c r="P12" s="37"/>
      <c r="Q12" s="5"/>
      <c r="R12" s="5"/>
      <c r="S12" s="5"/>
      <c r="T12" s="5"/>
    </row>
    <row r="13">
      <c r="A13" s="16" t="s">
        <v>16</v>
      </c>
      <c r="B13" s="17">
        <v>45363.0</v>
      </c>
      <c r="C13" s="18">
        <v>72000.0</v>
      </c>
      <c r="D13" s="18">
        <v>70000.0</v>
      </c>
      <c r="E13" s="19"/>
      <c r="F13" s="19"/>
      <c r="G13" s="19"/>
      <c r="H13" s="19"/>
      <c r="I13" s="20">
        <v>1.0</v>
      </c>
      <c r="J13" s="13"/>
      <c r="K13" s="14"/>
      <c r="L13" s="15">
        <v>72000.0</v>
      </c>
      <c r="M13" s="33" t="s">
        <v>26</v>
      </c>
      <c r="N13" s="37"/>
      <c r="O13" s="5"/>
      <c r="P13" s="37"/>
      <c r="Q13" s="5"/>
      <c r="R13" s="5"/>
      <c r="S13" s="13"/>
      <c r="T13" s="13"/>
    </row>
    <row r="14">
      <c r="A14" s="16" t="s">
        <v>19</v>
      </c>
      <c r="B14" s="17">
        <v>45364.0</v>
      </c>
      <c r="C14" s="18">
        <v>50000.0</v>
      </c>
      <c r="D14" s="18">
        <v>60000.0</v>
      </c>
      <c r="E14" s="19"/>
      <c r="F14" s="19"/>
      <c r="G14" s="19"/>
      <c r="H14" s="19"/>
      <c r="I14" s="20">
        <v>1.0</v>
      </c>
      <c r="J14" s="13"/>
      <c r="K14" s="14"/>
      <c r="L14" s="15">
        <v>50000.0</v>
      </c>
      <c r="M14" s="38">
        <v>342000.0</v>
      </c>
      <c r="N14" s="37"/>
      <c r="O14" s="5"/>
      <c r="P14" s="39" t="s">
        <v>27</v>
      </c>
      <c r="Q14" s="5"/>
      <c r="R14" s="5"/>
      <c r="S14" s="13"/>
      <c r="T14" s="13"/>
    </row>
    <row r="15">
      <c r="A15" s="16" t="s">
        <v>20</v>
      </c>
      <c r="B15" s="17">
        <v>45365.0</v>
      </c>
      <c r="C15" s="18">
        <v>65000.0</v>
      </c>
      <c r="D15" s="18">
        <v>80000.0</v>
      </c>
      <c r="E15" s="19"/>
      <c r="F15" s="19"/>
      <c r="G15" s="19"/>
      <c r="H15" s="19"/>
      <c r="I15" s="20">
        <v>1.0</v>
      </c>
      <c r="J15" s="13"/>
      <c r="K15" s="14"/>
      <c r="L15" s="15">
        <v>65000.0</v>
      </c>
      <c r="M15" s="25"/>
      <c r="N15" s="25"/>
      <c r="O15" s="40"/>
      <c r="P15" s="41"/>
      <c r="Q15" s="5"/>
      <c r="R15" s="5"/>
      <c r="S15" s="13"/>
      <c r="T15" s="42"/>
    </row>
    <row r="16">
      <c r="A16" s="8" t="s">
        <v>8</v>
      </c>
      <c r="B16" s="9">
        <v>45366.0</v>
      </c>
      <c r="C16" s="10">
        <v>115000.0</v>
      </c>
      <c r="D16" s="10">
        <v>52000.0</v>
      </c>
      <c r="E16" s="11"/>
      <c r="F16" s="11"/>
      <c r="G16" s="11"/>
      <c r="H16" s="11"/>
      <c r="I16" s="31">
        <v>1.0</v>
      </c>
      <c r="J16" s="13"/>
      <c r="K16" s="14"/>
      <c r="L16" s="15">
        <v>115000.0</v>
      </c>
      <c r="M16" s="25"/>
      <c r="N16" s="25"/>
      <c r="O16" s="43" t="s">
        <v>28</v>
      </c>
      <c r="P16" s="41" t="s">
        <v>29</v>
      </c>
      <c r="Q16" s="44"/>
      <c r="R16" s="5"/>
      <c r="S16" s="13"/>
      <c r="T16" s="42"/>
    </row>
    <row r="17">
      <c r="A17" s="16" t="s">
        <v>9</v>
      </c>
      <c r="B17" s="17">
        <v>45367.0</v>
      </c>
      <c r="C17" s="18">
        <v>65000.0</v>
      </c>
      <c r="D17" s="18">
        <v>54000.0</v>
      </c>
      <c r="E17" s="19"/>
      <c r="F17" s="19"/>
      <c r="G17" s="19"/>
      <c r="H17" s="19"/>
      <c r="I17" s="20">
        <v>1.0</v>
      </c>
      <c r="J17" s="13"/>
      <c r="K17" s="14"/>
      <c r="L17" s="15">
        <v>65000.0</v>
      </c>
      <c r="M17" s="42"/>
      <c r="N17" s="25"/>
      <c r="O17" s="43"/>
      <c r="P17" s="36"/>
      <c r="Q17" s="5"/>
      <c r="R17" s="5"/>
      <c r="S17" s="13"/>
      <c r="T17" s="42"/>
    </row>
    <row r="18">
      <c r="A18" s="16" t="s">
        <v>14</v>
      </c>
      <c r="B18" s="17">
        <v>45368.0</v>
      </c>
      <c r="C18" s="18">
        <v>162000.0</v>
      </c>
      <c r="D18" s="18">
        <v>52000.0</v>
      </c>
      <c r="E18" s="19"/>
      <c r="F18" s="19"/>
      <c r="G18" s="19"/>
      <c r="H18" s="19"/>
      <c r="I18" s="20">
        <v>1.0</v>
      </c>
      <c r="J18" s="13"/>
      <c r="K18" s="14"/>
      <c r="L18" s="15">
        <v>162000.0</v>
      </c>
      <c r="M18" s="45"/>
      <c r="N18" s="25"/>
      <c r="O18" s="46" t="s">
        <v>30</v>
      </c>
      <c r="P18" s="36" t="s">
        <v>31</v>
      </c>
      <c r="Q18" s="5"/>
      <c r="R18" s="5"/>
      <c r="S18" s="13"/>
      <c r="T18" s="42"/>
    </row>
    <row r="19">
      <c r="A19" s="16" t="s">
        <v>15</v>
      </c>
      <c r="B19" s="17">
        <v>45369.0</v>
      </c>
      <c r="C19" s="18">
        <v>115000.0</v>
      </c>
      <c r="D19" s="18">
        <v>50000.0</v>
      </c>
      <c r="E19" s="19"/>
      <c r="F19" s="19"/>
      <c r="G19" s="19"/>
      <c r="H19" s="19"/>
      <c r="I19" s="20">
        <v>1.0</v>
      </c>
      <c r="J19" s="13"/>
      <c r="K19" s="14"/>
      <c r="L19" s="15">
        <v>115000.0</v>
      </c>
      <c r="M19" s="47" t="s">
        <v>32</v>
      </c>
      <c r="N19" s="25"/>
      <c r="O19" s="39"/>
      <c r="P19" s="48" t="s">
        <v>33</v>
      </c>
      <c r="Q19" s="5"/>
      <c r="R19" s="5"/>
      <c r="S19" s="13"/>
      <c r="T19" s="42"/>
    </row>
    <row r="20">
      <c r="A20" s="16" t="s">
        <v>16</v>
      </c>
      <c r="B20" s="17">
        <v>45370.0</v>
      </c>
      <c r="C20" s="18">
        <v>60000.0</v>
      </c>
      <c r="D20" s="18">
        <v>50000.0</v>
      </c>
      <c r="E20" s="19"/>
      <c r="F20" s="19"/>
      <c r="G20" s="19"/>
      <c r="H20" s="19"/>
      <c r="I20" s="20">
        <v>1.0</v>
      </c>
      <c r="J20" s="13"/>
      <c r="K20" s="14"/>
      <c r="L20" s="15">
        <v>60000.0</v>
      </c>
      <c r="M20" s="15">
        <f>D33-C33</f>
        <v>-290000</v>
      </c>
      <c r="N20" s="25"/>
      <c r="O20" s="5"/>
      <c r="P20" s="46"/>
      <c r="Q20" s="5"/>
      <c r="R20" s="5"/>
      <c r="S20" s="13"/>
      <c r="T20" s="42"/>
    </row>
    <row r="21">
      <c r="A21" s="16" t="s">
        <v>19</v>
      </c>
      <c r="B21" s="17">
        <v>45371.0</v>
      </c>
      <c r="C21" s="18">
        <v>85000.0</v>
      </c>
      <c r="D21" s="18">
        <v>54000.0</v>
      </c>
      <c r="E21" s="19"/>
      <c r="F21" s="19"/>
      <c r="G21" s="19"/>
      <c r="H21" s="19"/>
      <c r="I21" s="20">
        <v>1.0</v>
      </c>
      <c r="J21" s="13"/>
      <c r="K21" s="14"/>
      <c r="L21" s="15">
        <v>85000.0</v>
      </c>
      <c r="M21" s="49" t="s">
        <v>34</v>
      </c>
      <c r="N21" s="25"/>
      <c r="O21" s="50" t="s">
        <v>35</v>
      </c>
      <c r="P21" s="20">
        <v>1.0</v>
      </c>
      <c r="Q21" s="18">
        <v>8800.0</v>
      </c>
      <c r="R21" s="15">
        <f>P21*Q21</f>
        <v>8800</v>
      </c>
      <c r="S21" s="13"/>
      <c r="T21" s="42"/>
    </row>
    <row r="22">
      <c r="A22" s="16" t="s">
        <v>20</v>
      </c>
      <c r="B22" s="17">
        <v>45372.0</v>
      </c>
      <c r="C22" s="18">
        <v>100000.0</v>
      </c>
      <c r="D22" s="18">
        <v>70000.0</v>
      </c>
      <c r="E22" s="19"/>
      <c r="F22" s="19"/>
      <c r="G22" s="19"/>
      <c r="H22" s="19"/>
      <c r="I22" s="20">
        <v>1.0</v>
      </c>
      <c r="J22" s="13"/>
      <c r="K22" s="14"/>
      <c r="L22" s="15">
        <v>100000.0</v>
      </c>
      <c r="M22" s="30">
        <f>K36-E36</f>
        <v>0</v>
      </c>
      <c r="N22" s="25"/>
      <c r="O22" s="50" t="s">
        <v>36</v>
      </c>
      <c r="P22" s="20">
        <v>4.0</v>
      </c>
      <c r="Q22" s="18">
        <v>400.0</v>
      </c>
      <c r="R22" s="18">
        <v>600.0</v>
      </c>
      <c r="S22" s="13"/>
      <c r="T22" s="42"/>
    </row>
    <row r="23">
      <c r="A23" s="8" t="s">
        <v>8</v>
      </c>
      <c r="B23" s="9">
        <v>45373.0</v>
      </c>
      <c r="C23" s="10">
        <v>120000.0</v>
      </c>
      <c r="D23" s="10">
        <v>76000.0</v>
      </c>
      <c r="E23" s="11"/>
      <c r="F23" s="11"/>
      <c r="G23" s="11"/>
      <c r="H23" s="11"/>
      <c r="I23" s="31">
        <v>1.0</v>
      </c>
      <c r="J23" s="13"/>
      <c r="K23" s="14"/>
      <c r="L23" s="15">
        <v>120000.0</v>
      </c>
      <c r="M23" s="51" t="s">
        <v>37</v>
      </c>
      <c r="N23" s="25"/>
      <c r="O23" s="50" t="s">
        <v>38</v>
      </c>
      <c r="P23" s="20">
        <v>1.0</v>
      </c>
      <c r="Q23" s="18">
        <v>2800.0</v>
      </c>
      <c r="R23" s="15">
        <f>P23*Q23</f>
        <v>2800</v>
      </c>
      <c r="S23" s="13"/>
      <c r="T23" s="42"/>
    </row>
    <row r="24">
      <c r="A24" s="16" t="s">
        <v>9</v>
      </c>
      <c r="B24" s="17">
        <v>45374.0</v>
      </c>
      <c r="C24" s="18">
        <v>190000.0</v>
      </c>
      <c r="D24" s="18">
        <v>63000.0</v>
      </c>
      <c r="E24" s="19"/>
      <c r="F24" s="19"/>
      <c r="G24" s="19"/>
      <c r="H24" s="19"/>
      <c r="I24" s="20">
        <v>1.0</v>
      </c>
      <c r="J24" s="13"/>
      <c r="K24" s="14"/>
      <c r="L24" s="15">
        <v>190000.0</v>
      </c>
      <c r="M24" s="38">
        <f>D33-C33</f>
        <v>-290000</v>
      </c>
      <c r="N24" s="25"/>
      <c r="O24" s="5"/>
      <c r="P24" s="52"/>
      <c r="Q24" s="5"/>
      <c r="R24" s="53">
        <f>SUM(R21:R23)</f>
        <v>12200</v>
      </c>
      <c r="S24" s="13"/>
      <c r="T24" s="13"/>
    </row>
    <row r="25">
      <c r="A25" s="16" t="s">
        <v>14</v>
      </c>
      <c r="B25" s="17">
        <v>45375.0</v>
      </c>
      <c r="C25" s="18">
        <v>70000.0</v>
      </c>
      <c r="D25" s="18">
        <v>90000.0</v>
      </c>
      <c r="E25" s="19"/>
      <c r="F25" s="19"/>
      <c r="G25" s="19"/>
      <c r="H25" s="19"/>
      <c r="I25" s="20">
        <v>1.0</v>
      </c>
      <c r="J25" s="13"/>
      <c r="K25" s="14"/>
      <c r="L25" s="15">
        <v>70000.0</v>
      </c>
      <c r="M25" s="33" t="s">
        <v>39</v>
      </c>
      <c r="N25" s="25"/>
      <c r="O25" s="5"/>
      <c r="P25" s="25"/>
      <c r="Q25" s="5"/>
      <c r="R25" s="5"/>
      <c r="S25" s="13"/>
      <c r="T25" s="13"/>
    </row>
    <row r="26">
      <c r="A26" s="16" t="s">
        <v>15</v>
      </c>
      <c r="B26" s="17">
        <v>45376.0</v>
      </c>
      <c r="C26" s="18">
        <v>113000.0</v>
      </c>
      <c r="D26" s="18">
        <v>66000.0</v>
      </c>
      <c r="E26" s="19"/>
      <c r="F26" s="19"/>
      <c r="G26" s="19"/>
      <c r="H26" s="19"/>
      <c r="I26" s="20">
        <v>1.0</v>
      </c>
      <c r="J26" s="13"/>
      <c r="K26" s="14"/>
      <c r="L26" s="15">
        <v>113000.0</v>
      </c>
      <c r="M26" s="30">
        <f>D2+D9+D16+D23+D30</f>
        <v>275000</v>
      </c>
      <c r="N26" s="5"/>
      <c r="O26" s="5"/>
      <c r="P26" s="54"/>
      <c r="Q26" s="5"/>
      <c r="R26" s="5"/>
      <c r="S26" s="5"/>
      <c r="T26" s="5"/>
    </row>
    <row r="27">
      <c r="A27" s="16" t="s">
        <v>16</v>
      </c>
      <c r="B27" s="17">
        <v>45377.0</v>
      </c>
      <c r="C27" s="18">
        <v>75000.0</v>
      </c>
      <c r="D27" s="18">
        <v>83000.0</v>
      </c>
      <c r="E27" s="19"/>
      <c r="F27" s="19"/>
      <c r="G27" s="19"/>
      <c r="H27" s="19"/>
      <c r="I27" s="20">
        <v>1.0</v>
      </c>
      <c r="J27" s="13"/>
      <c r="K27" s="14"/>
      <c r="L27" s="15">
        <v>75000.0</v>
      </c>
      <c r="M27" s="37"/>
      <c r="N27" s="5"/>
      <c r="O27" s="5"/>
      <c r="P27" s="54"/>
      <c r="Q27" s="5"/>
      <c r="R27" s="5"/>
      <c r="S27" s="5"/>
      <c r="T27" s="5"/>
    </row>
    <row r="28">
      <c r="A28" s="16" t="s">
        <v>19</v>
      </c>
      <c r="B28" s="17">
        <v>45378.0</v>
      </c>
      <c r="C28" s="18">
        <v>65000.0</v>
      </c>
      <c r="D28" s="18">
        <v>52000.0</v>
      </c>
      <c r="E28" s="19"/>
      <c r="F28" s="19"/>
      <c r="G28" s="19"/>
      <c r="H28" s="19"/>
      <c r="I28" s="20">
        <v>1.0</v>
      </c>
      <c r="J28" s="13"/>
      <c r="K28" s="14"/>
      <c r="L28" s="15">
        <v>65000.0</v>
      </c>
      <c r="M28" s="28"/>
      <c r="N28" s="5"/>
      <c r="O28" s="25"/>
      <c r="P28" s="54"/>
      <c r="Q28" s="5"/>
      <c r="R28" s="5"/>
      <c r="S28" s="5"/>
      <c r="T28" s="5"/>
    </row>
    <row r="29">
      <c r="A29" s="16" t="s">
        <v>20</v>
      </c>
      <c r="B29" s="17">
        <v>45379.0</v>
      </c>
      <c r="C29" s="18">
        <v>43000.0</v>
      </c>
      <c r="D29" s="18">
        <v>72000.0</v>
      </c>
      <c r="E29" s="19"/>
      <c r="F29" s="19"/>
      <c r="G29" s="19"/>
      <c r="H29" s="19"/>
      <c r="I29" s="20">
        <v>1.0</v>
      </c>
      <c r="J29" s="13"/>
      <c r="K29" s="14"/>
      <c r="L29" s="15">
        <v>43000.0</v>
      </c>
      <c r="M29" s="30"/>
      <c r="N29" s="25"/>
      <c r="O29" s="25"/>
      <c r="P29" s="5"/>
      <c r="Q29" s="5"/>
      <c r="R29" s="5"/>
      <c r="S29" s="5"/>
      <c r="T29" s="5"/>
    </row>
    <row r="30">
      <c r="A30" s="55" t="s">
        <v>8</v>
      </c>
      <c r="B30" s="9">
        <v>45380.0</v>
      </c>
      <c r="C30" s="10">
        <v>85000.0</v>
      </c>
      <c r="D30" s="10">
        <v>41000.0</v>
      </c>
      <c r="E30" s="11"/>
      <c r="F30" s="11"/>
      <c r="G30" s="11"/>
      <c r="H30" s="11"/>
      <c r="I30" s="31">
        <v>1.0</v>
      </c>
      <c r="J30" s="13"/>
      <c r="K30" s="14"/>
      <c r="L30" s="15">
        <v>85000.0</v>
      </c>
      <c r="M30" s="56"/>
      <c r="N30" s="5"/>
      <c r="O30" s="25"/>
      <c r="P30" s="5"/>
      <c r="Q30" s="5"/>
      <c r="R30" s="5"/>
      <c r="S30" s="5"/>
      <c r="T30" s="5"/>
    </row>
    <row r="31">
      <c r="A31" s="50" t="s">
        <v>9</v>
      </c>
      <c r="B31" s="17">
        <v>45381.0</v>
      </c>
      <c r="C31" s="18">
        <v>0.0</v>
      </c>
      <c r="D31" s="18">
        <v>70000.0</v>
      </c>
      <c r="E31" s="19"/>
      <c r="F31" s="19"/>
      <c r="G31" s="19"/>
      <c r="H31" s="19"/>
      <c r="I31" s="20">
        <v>1.0</v>
      </c>
      <c r="J31" s="13"/>
      <c r="K31" s="14"/>
      <c r="L31" s="15">
        <v>0.0</v>
      </c>
      <c r="M31" s="37"/>
      <c r="N31" s="5"/>
      <c r="O31" s="25"/>
      <c r="P31" s="5"/>
      <c r="Q31" s="5"/>
      <c r="R31" s="5"/>
      <c r="S31" s="5"/>
      <c r="T31" s="5"/>
    </row>
    <row r="32">
      <c r="A32" s="50" t="s">
        <v>14</v>
      </c>
      <c r="B32" s="17">
        <v>45382.0</v>
      </c>
      <c r="C32" s="18">
        <v>0.0</v>
      </c>
      <c r="D32" s="18">
        <v>86000.0</v>
      </c>
      <c r="E32" s="19"/>
      <c r="F32" s="19"/>
      <c r="G32" s="19"/>
      <c r="H32" s="19"/>
      <c r="I32" s="20">
        <v>1.0</v>
      </c>
      <c r="J32" s="13"/>
      <c r="K32" s="14"/>
      <c r="L32" s="15">
        <v>0.0</v>
      </c>
      <c r="M32" s="37"/>
      <c r="N32" s="5"/>
      <c r="O32" s="25"/>
      <c r="P32" s="5"/>
      <c r="Q32" s="5"/>
      <c r="R32" s="5"/>
      <c r="S32" s="5"/>
      <c r="T32" s="5"/>
    </row>
    <row r="33">
      <c r="A33" s="57"/>
      <c r="B33" s="58"/>
      <c r="C33" s="59">
        <f t="shared" ref="C33:D33" si="1">SUM(C2:C32)</f>
        <v>2274000</v>
      </c>
      <c r="D33" s="60">
        <f t="shared" si="1"/>
        <v>1984000</v>
      </c>
      <c r="E33" s="59">
        <f>'Les Charges '!G461</f>
        <v>928000</v>
      </c>
      <c r="F33" s="61">
        <v>406000.0</v>
      </c>
      <c r="G33" s="59">
        <v>140000.0</v>
      </c>
      <c r="H33" s="59">
        <f>D33-E33-F33-G33</f>
        <v>510000</v>
      </c>
      <c r="I33" s="62">
        <f>SUM(I2:I32)</f>
        <v>31</v>
      </c>
      <c r="J33" s="5"/>
      <c r="K33" s="14"/>
      <c r="L33" s="63">
        <f>SUM(L2:L32)</f>
        <v>2274000</v>
      </c>
      <c r="M33" s="37"/>
      <c r="N33" s="25"/>
      <c r="O33" s="25"/>
      <c r="P33" s="5"/>
      <c r="Q33" s="5"/>
      <c r="R33" s="5"/>
      <c r="S33" s="5"/>
      <c r="T33" s="5"/>
    </row>
    <row r="34">
      <c r="A34" s="5"/>
      <c r="B34" s="64"/>
      <c r="C34" s="25"/>
      <c r="D34" s="25"/>
      <c r="E34" s="5"/>
      <c r="F34" s="5"/>
      <c r="G34" s="5"/>
      <c r="H34" s="5"/>
      <c r="I34" s="5"/>
      <c r="J34" s="5"/>
      <c r="K34" s="25"/>
      <c r="L34" s="25"/>
      <c r="M34" s="37"/>
      <c r="N34" s="25"/>
      <c r="O34" s="25"/>
      <c r="P34" s="5"/>
      <c r="Q34" s="5"/>
      <c r="R34" s="5"/>
      <c r="S34" s="5"/>
      <c r="T34" s="5"/>
    </row>
    <row r="35">
      <c r="A35" s="5"/>
      <c r="B35" s="64"/>
      <c r="C35" s="25"/>
      <c r="D35" s="65">
        <v>2274000.0</v>
      </c>
      <c r="E35" s="65">
        <v>914000.0</v>
      </c>
      <c r="F35" s="65">
        <v>410000.0</v>
      </c>
      <c r="G35" s="65">
        <v>140000.0</v>
      </c>
      <c r="H35" s="65">
        <v>810000.0</v>
      </c>
      <c r="I35" s="66"/>
      <c r="J35" s="5"/>
      <c r="K35" s="25"/>
      <c r="L35" s="25"/>
      <c r="M35" s="30">
        <f>M11-M29-M34</f>
        <v>693000</v>
      </c>
      <c r="N35" s="5"/>
      <c r="O35" s="25"/>
      <c r="P35" s="5"/>
      <c r="Q35" s="5"/>
      <c r="R35" s="5"/>
      <c r="S35" s="5"/>
      <c r="T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3" width="26.13"/>
    <col customWidth="1" min="4" max="4" width="25.13"/>
    <col customWidth="1" min="5" max="5" width="25.63"/>
    <col customWidth="1" min="6" max="6" width="36.5"/>
    <col customWidth="1" min="7" max="7" width="27.13"/>
    <col customWidth="1" min="8" max="8" width="37.63"/>
    <col customWidth="1" min="9" max="9" width="25.63"/>
    <col customWidth="1" min="10" max="10" width="25.38"/>
    <col customWidth="1" min="11" max="11" width="25.13"/>
    <col customWidth="1" min="12" max="12" width="25.38"/>
    <col customWidth="1" min="13" max="13" width="25.63"/>
    <col customWidth="1" min="14" max="14" width="25.38"/>
    <col customWidth="1" min="15" max="15" width="26.38"/>
    <col customWidth="1" min="16" max="16" width="25.38"/>
    <col customWidth="1" min="17" max="17" width="25.13"/>
    <col customWidth="1" min="18" max="18" width="25.88"/>
    <col customWidth="1" min="19" max="19" width="104.88"/>
    <col customWidth="1" min="22" max="22" width="22.13"/>
  </cols>
  <sheetData>
    <row r="1">
      <c r="A1" s="1"/>
      <c r="B1" s="2" t="s">
        <v>0</v>
      </c>
      <c r="C1" s="67" t="s">
        <v>40</v>
      </c>
      <c r="D1" s="68" t="s">
        <v>41</v>
      </c>
      <c r="E1" s="4" t="s">
        <v>42</v>
      </c>
      <c r="F1" s="69" t="s">
        <v>43</v>
      </c>
      <c r="G1" s="4" t="s">
        <v>44</v>
      </c>
      <c r="H1" s="69" t="s">
        <v>45</v>
      </c>
      <c r="I1" s="4" t="s">
        <v>46</v>
      </c>
      <c r="J1" s="4" t="s">
        <v>47</v>
      </c>
      <c r="K1" s="4" t="s">
        <v>48</v>
      </c>
      <c r="L1" s="4" t="s">
        <v>49</v>
      </c>
      <c r="M1" s="4" t="s">
        <v>50</v>
      </c>
      <c r="N1" s="4" t="s">
        <v>51</v>
      </c>
      <c r="O1" s="70" t="s">
        <v>52</v>
      </c>
      <c r="P1" s="4" t="s">
        <v>53</v>
      </c>
      <c r="Q1" s="71" t="s">
        <v>54</v>
      </c>
      <c r="R1" s="71" t="s">
        <v>55</v>
      </c>
      <c r="S1" s="72"/>
    </row>
    <row r="2">
      <c r="A2" s="16" t="s">
        <v>8</v>
      </c>
      <c r="B2" s="17">
        <v>45352.0</v>
      </c>
      <c r="C2" s="55">
        <v>1.0</v>
      </c>
      <c r="D2" s="31">
        <v>0.0</v>
      </c>
      <c r="E2" s="31">
        <v>1.0</v>
      </c>
      <c r="F2" s="31">
        <v>1.0</v>
      </c>
      <c r="G2" s="31">
        <v>1.0</v>
      </c>
      <c r="H2" s="31">
        <v>1.0</v>
      </c>
      <c r="I2" s="31">
        <v>0.0</v>
      </c>
      <c r="J2" s="31">
        <v>0.0</v>
      </c>
      <c r="K2" s="31">
        <v>0.0</v>
      </c>
      <c r="L2" s="31">
        <v>0.0</v>
      </c>
      <c r="M2" s="31">
        <v>1.0</v>
      </c>
      <c r="N2" s="31">
        <v>1.0</v>
      </c>
      <c r="O2" s="31">
        <v>0.0</v>
      </c>
      <c r="P2" s="31">
        <v>0.0</v>
      </c>
      <c r="Q2" s="31">
        <v>1.0</v>
      </c>
      <c r="R2" s="31">
        <v>1.0</v>
      </c>
      <c r="S2" s="73"/>
    </row>
    <row r="3">
      <c r="A3" s="16" t="s">
        <v>9</v>
      </c>
      <c r="B3" s="17">
        <v>45353.0</v>
      </c>
      <c r="C3" s="50">
        <v>1.0</v>
      </c>
      <c r="D3" s="20">
        <v>0.0</v>
      </c>
      <c r="E3" s="20">
        <v>1.0</v>
      </c>
      <c r="F3" s="20">
        <v>1.0</v>
      </c>
      <c r="G3" s="20">
        <v>1.0</v>
      </c>
      <c r="H3" s="20">
        <v>0.0</v>
      </c>
      <c r="I3" s="20">
        <v>0.0</v>
      </c>
      <c r="J3" s="20">
        <v>0.0</v>
      </c>
      <c r="K3" s="20">
        <v>0.0</v>
      </c>
      <c r="L3" s="20">
        <v>1.0</v>
      </c>
      <c r="M3" s="20">
        <v>1.0</v>
      </c>
      <c r="N3" s="74">
        <v>1.0</v>
      </c>
      <c r="O3" s="20">
        <v>0.0</v>
      </c>
      <c r="P3" s="20">
        <v>0.0</v>
      </c>
      <c r="Q3" s="20">
        <v>0.0</v>
      </c>
      <c r="R3" s="20">
        <v>1.0</v>
      </c>
      <c r="S3" s="75"/>
    </row>
    <row r="4">
      <c r="A4" s="16" t="s">
        <v>14</v>
      </c>
      <c r="B4" s="17">
        <v>45354.0</v>
      </c>
      <c r="C4" s="50">
        <v>0.0</v>
      </c>
      <c r="D4" s="20">
        <v>1.0</v>
      </c>
      <c r="E4" s="20">
        <v>1.0</v>
      </c>
      <c r="F4" s="20">
        <v>0.0</v>
      </c>
      <c r="G4" s="20">
        <v>0.0</v>
      </c>
      <c r="H4" s="20">
        <v>1.0</v>
      </c>
      <c r="I4" s="20">
        <v>1.0</v>
      </c>
      <c r="J4" s="20">
        <v>0.0</v>
      </c>
      <c r="K4" s="20">
        <v>0.5</v>
      </c>
      <c r="L4" s="20">
        <v>1.0</v>
      </c>
      <c r="M4" s="20">
        <v>1.0</v>
      </c>
      <c r="N4" s="20">
        <v>0.5</v>
      </c>
      <c r="O4" s="20">
        <v>0.0</v>
      </c>
      <c r="P4" s="20">
        <v>1.0</v>
      </c>
      <c r="Q4" s="20">
        <v>1.0</v>
      </c>
      <c r="R4" s="20">
        <v>0.0</v>
      </c>
      <c r="S4" s="76" t="s">
        <v>56</v>
      </c>
    </row>
    <row r="5">
      <c r="A5" s="16" t="s">
        <v>15</v>
      </c>
      <c r="B5" s="17">
        <v>45355.0</v>
      </c>
      <c r="C5" s="50">
        <v>0.0</v>
      </c>
      <c r="D5" s="20">
        <v>1.0</v>
      </c>
      <c r="E5" s="20">
        <v>1.0</v>
      </c>
      <c r="F5" s="20">
        <v>1.0</v>
      </c>
      <c r="G5" s="20">
        <v>0.0</v>
      </c>
      <c r="H5" s="20">
        <v>0.0</v>
      </c>
      <c r="I5" s="20">
        <v>1.0</v>
      </c>
      <c r="J5" s="20">
        <v>0.0</v>
      </c>
      <c r="K5" s="20">
        <v>0.0</v>
      </c>
      <c r="L5" s="20">
        <v>1.0</v>
      </c>
      <c r="M5" s="20">
        <v>0.0</v>
      </c>
      <c r="N5" s="77">
        <v>0.0</v>
      </c>
      <c r="O5" s="20">
        <v>0.0</v>
      </c>
      <c r="P5" s="20">
        <v>1.0</v>
      </c>
      <c r="Q5" s="20">
        <v>1.0</v>
      </c>
      <c r="R5" s="20">
        <v>1.0</v>
      </c>
      <c r="S5" s="76" t="s">
        <v>57</v>
      </c>
    </row>
    <row r="6">
      <c r="A6" s="16" t="s">
        <v>16</v>
      </c>
      <c r="B6" s="17">
        <v>45356.0</v>
      </c>
      <c r="C6" s="50">
        <v>0.5</v>
      </c>
      <c r="D6" s="20">
        <v>1.0</v>
      </c>
      <c r="E6" s="20">
        <v>1.0</v>
      </c>
      <c r="F6" s="20">
        <v>1.0</v>
      </c>
      <c r="G6" s="20">
        <v>0.0</v>
      </c>
      <c r="H6" s="20">
        <v>0.0</v>
      </c>
      <c r="I6" s="20">
        <v>0.0</v>
      </c>
      <c r="J6" s="20">
        <v>0.0</v>
      </c>
      <c r="K6" s="20">
        <v>0.0</v>
      </c>
      <c r="L6" s="20">
        <v>1.0</v>
      </c>
      <c r="M6" s="20">
        <v>1.0</v>
      </c>
      <c r="N6" s="77">
        <v>0.0</v>
      </c>
      <c r="O6" s="20">
        <v>0.0</v>
      </c>
      <c r="P6" s="20">
        <v>1.0</v>
      </c>
      <c r="Q6" s="20">
        <v>1.0</v>
      </c>
      <c r="R6" s="20">
        <v>1.0</v>
      </c>
      <c r="S6" s="76" t="s">
        <v>58</v>
      </c>
    </row>
    <row r="7">
      <c r="A7" s="16" t="s">
        <v>19</v>
      </c>
      <c r="B7" s="17">
        <v>45357.0</v>
      </c>
      <c r="C7" s="50">
        <v>0.0</v>
      </c>
      <c r="D7" s="20">
        <v>0.0</v>
      </c>
      <c r="E7" s="20">
        <v>0.0</v>
      </c>
      <c r="F7" s="20">
        <v>1.0</v>
      </c>
      <c r="G7" s="20">
        <v>0.0</v>
      </c>
      <c r="H7" s="20">
        <v>0.0</v>
      </c>
      <c r="I7" s="20">
        <v>1.0</v>
      </c>
      <c r="J7" s="20">
        <v>1.0</v>
      </c>
      <c r="K7" s="20">
        <v>0.5</v>
      </c>
      <c r="L7" s="20">
        <v>1.0</v>
      </c>
      <c r="M7" s="20">
        <v>1.0</v>
      </c>
      <c r="N7" s="77">
        <v>0.0</v>
      </c>
      <c r="O7" s="20">
        <v>0.0</v>
      </c>
      <c r="P7" s="20">
        <v>1.0</v>
      </c>
      <c r="Q7" s="20">
        <v>1.0</v>
      </c>
      <c r="R7" s="20">
        <v>1.0</v>
      </c>
      <c r="S7" s="75"/>
    </row>
    <row r="8">
      <c r="A8" s="16" t="s">
        <v>20</v>
      </c>
      <c r="B8" s="17">
        <v>45358.0</v>
      </c>
      <c r="C8" s="50">
        <v>0.5</v>
      </c>
      <c r="D8" s="20">
        <v>1.0</v>
      </c>
      <c r="E8" s="20">
        <v>1.0</v>
      </c>
      <c r="F8" s="20">
        <v>1.0</v>
      </c>
      <c r="G8" s="20">
        <v>0.0</v>
      </c>
      <c r="H8" s="20">
        <v>1.0</v>
      </c>
      <c r="I8" s="20">
        <v>0.75</v>
      </c>
      <c r="J8" s="20">
        <v>1.0</v>
      </c>
      <c r="K8" s="20">
        <v>1.0</v>
      </c>
      <c r="L8" s="20">
        <v>1.0</v>
      </c>
      <c r="M8" s="20">
        <v>0.0</v>
      </c>
      <c r="N8" s="77">
        <v>0.0</v>
      </c>
      <c r="O8" s="20">
        <v>0.0</v>
      </c>
      <c r="P8" s="20">
        <v>1.0</v>
      </c>
      <c r="Q8" s="20">
        <v>1.0</v>
      </c>
      <c r="R8" s="20">
        <v>1.0</v>
      </c>
      <c r="S8" s="78"/>
    </row>
    <row r="9">
      <c r="A9" s="16" t="s">
        <v>8</v>
      </c>
      <c r="B9" s="17">
        <v>45359.0</v>
      </c>
      <c r="C9" s="55">
        <v>1.0</v>
      </c>
      <c r="D9" s="31">
        <v>1.0</v>
      </c>
      <c r="E9" s="31">
        <v>0.0</v>
      </c>
      <c r="F9" s="31">
        <v>1.0</v>
      </c>
      <c r="G9" s="31">
        <v>1.0</v>
      </c>
      <c r="H9" s="31">
        <v>1.0</v>
      </c>
      <c r="I9" s="31">
        <v>1.0</v>
      </c>
      <c r="J9" s="31">
        <v>0.0</v>
      </c>
      <c r="K9" s="31">
        <v>1.0</v>
      </c>
      <c r="L9" s="31">
        <v>0.0</v>
      </c>
      <c r="M9" s="31">
        <v>0.0</v>
      </c>
      <c r="N9" s="77">
        <v>0.0</v>
      </c>
      <c r="O9" s="31">
        <v>0.0</v>
      </c>
      <c r="P9" s="31">
        <v>1.0</v>
      </c>
      <c r="Q9" s="31">
        <v>0.0</v>
      </c>
      <c r="R9" s="31">
        <v>0.0</v>
      </c>
      <c r="S9" s="76" t="s">
        <v>59</v>
      </c>
    </row>
    <row r="10">
      <c r="A10" s="16" t="s">
        <v>9</v>
      </c>
      <c r="B10" s="17">
        <v>45360.0</v>
      </c>
      <c r="C10" s="50">
        <v>1.0</v>
      </c>
      <c r="D10" s="20">
        <v>0.0</v>
      </c>
      <c r="E10" s="20">
        <v>1.0</v>
      </c>
      <c r="F10" s="20">
        <v>0.5</v>
      </c>
      <c r="G10" s="20">
        <v>0.0</v>
      </c>
      <c r="H10" s="20">
        <v>0.0</v>
      </c>
      <c r="I10" s="20">
        <v>0.0</v>
      </c>
      <c r="J10" s="20">
        <v>1.0</v>
      </c>
      <c r="K10" s="20">
        <v>0.0</v>
      </c>
      <c r="L10" s="20">
        <v>1.0</v>
      </c>
      <c r="M10" s="20">
        <v>0.0</v>
      </c>
      <c r="N10" s="77">
        <v>0.0</v>
      </c>
      <c r="O10" s="20">
        <v>0.0</v>
      </c>
      <c r="P10" s="20">
        <v>0.0</v>
      </c>
      <c r="Q10" s="20">
        <v>1.0</v>
      </c>
      <c r="R10" s="20">
        <v>1.0</v>
      </c>
      <c r="S10" s="75"/>
      <c r="U10" s="1"/>
      <c r="V10" s="2" t="s">
        <v>0</v>
      </c>
      <c r="W10" s="4" t="s">
        <v>50</v>
      </c>
    </row>
    <row r="11">
      <c r="A11" s="16" t="s">
        <v>14</v>
      </c>
      <c r="B11" s="17">
        <v>45361.0</v>
      </c>
      <c r="C11" s="50">
        <v>0.5</v>
      </c>
      <c r="D11" s="20">
        <v>1.0</v>
      </c>
      <c r="E11" s="20">
        <v>1.0</v>
      </c>
      <c r="F11" s="20">
        <v>0.0</v>
      </c>
      <c r="G11" s="20">
        <v>0.0</v>
      </c>
      <c r="H11" s="20">
        <v>1.0</v>
      </c>
      <c r="I11" s="20">
        <v>1.0</v>
      </c>
      <c r="J11" s="20">
        <v>0.0</v>
      </c>
      <c r="K11" s="20">
        <v>1.0</v>
      </c>
      <c r="L11" s="20">
        <v>1.0</v>
      </c>
      <c r="M11" s="20">
        <v>0.0</v>
      </c>
      <c r="N11" s="77">
        <v>0.0</v>
      </c>
      <c r="O11" s="20">
        <v>0.0</v>
      </c>
      <c r="P11" s="20">
        <v>0.0</v>
      </c>
      <c r="Q11" s="20">
        <v>1.0</v>
      </c>
      <c r="R11" s="20">
        <v>0.0</v>
      </c>
      <c r="S11" s="75"/>
      <c r="U11" s="16" t="s">
        <v>8</v>
      </c>
      <c r="V11" s="17">
        <v>45352.0</v>
      </c>
      <c r="W11" s="31">
        <v>1.0</v>
      </c>
    </row>
    <row r="12">
      <c r="A12" s="16" t="s">
        <v>15</v>
      </c>
      <c r="B12" s="17">
        <v>45362.0</v>
      </c>
      <c r="C12" s="50">
        <v>0.5</v>
      </c>
      <c r="D12" s="20">
        <v>1.0</v>
      </c>
      <c r="E12" s="79">
        <v>0.0</v>
      </c>
      <c r="F12" s="20">
        <v>1.0</v>
      </c>
      <c r="G12" s="20">
        <v>0.0</v>
      </c>
      <c r="H12" s="20">
        <v>0.25</v>
      </c>
      <c r="I12" s="20">
        <v>1.0</v>
      </c>
      <c r="J12" s="20">
        <v>0.0</v>
      </c>
      <c r="K12" s="80">
        <v>0.0</v>
      </c>
      <c r="L12" s="20">
        <v>1.0</v>
      </c>
      <c r="M12" s="20">
        <v>1.0</v>
      </c>
      <c r="N12" s="77">
        <v>0.0</v>
      </c>
      <c r="O12" s="20">
        <v>0.0</v>
      </c>
      <c r="P12" s="20">
        <v>1.0</v>
      </c>
      <c r="Q12" s="20">
        <v>0.5</v>
      </c>
      <c r="R12" s="20">
        <v>1.0</v>
      </c>
      <c r="S12" s="75"/>
      <c r="U12" s="16" t="s">
        <v>9</v>
      </c>
      <c r="V12" s="17">
        <v>45353.0</v>
      </c>
      <c r="W12" s="20">
        <v>1.0</v>
      </c>
    </row>
    <row r="13">
      <c r="A13" s="16" t="s">
        <v>16</v>
      </c>
      <c r="B13" s="17">
        <v>45363.0</v>
      </c>
      <c r="C13" s="50">
        <v>0.0</v>
      </c>
      <c r="D13" s="20">
        <v>1.0</v>
      </c>
      <c r="E13" s="79">
        <v>0.0</v>
      </c>
      <c r="F13" s="20">
        <v>1.0</v>
      </c>
      <c r="G13" s="20">
        <v>0.0</v>
      </c>
      <c r="H13" s="20">
        <v>0.25</v>
      </c>
      <c r="I13" s="20">
        <v>1.0</v>
      </c>
      <c r="J13" s="20">
        <v>1.0</v>
      </c>
      <c r="K13" s="80">
        <v>0.0</v>
      </c>
      <c r="L13" s="20">
        <v>1.0</v>
      </c>
      <c r="M13" s="20">
        <v>1.0</v>
      </c>
      <c r="N13" s="77">
        <v>0.0</v>
      </c>
      <c r="O13" s="20">
        <v>0.0</v>
      </c>
      <c r="P13" s="20">
        <v>1.0</v>
      </c>
      <c r="Q13" s="20">
        <v>0.0</v>
      </c>
      <c r="R13" s="20">
        <v>1.0</v>
      </c>
      <c r="S13" s="75"/>
      <c r="U13" s="16" t="s">
        <v>14</v>
      </c>
      <c r="V13" s="17">
        <v>45354.0</v>
      </c>
      <c r="W13" s="20">
        <v>1.0</v>
      </c>
    </row>
    <row r="14">
      <c r="A14" s="16" t="s">
        <v>19</v>
      </c>
      <c r="B14" s="17">
        <v>45364.0</v>
      </c>
      <c r="C14" s="50">
        <v>0.5</v>
      </c>
      <c r="D14" s="20">
        <v>1.0</v>
      </c>
      <c r="E14" s="79">
        <v>0.0</v>
      </c>
      <c r="F14" s="20">
        <v>1.0</v>
      </c>
      <c r="G14" s="20">
        <v>0.0</v>
      </c>
      <c r="H14" s="20">
        <v>0.25</v>
      </c>
      <c r="I14" s="20">
        <v>1.0</v>
      </c>
      <c r="J14" s="20">
        <v>1.0</v>
      </c>
      <c r="K14" s="80">
        <v>0.0</v>
      </c>
      <c r="L14" s="20">
        <v>1.0</v>
      </c>
      <c r="M14" s="20">
        <v>1.0</v>
      </c>
      <c r="N14" s="77">
        <v>0.0</v>
      </c>
      <c r="O14" s="20">
        <v>0.0</v>
      </c>
      <c r="P14" s="20">
        <v>1.0</v>
      </c>
      <c r="Q14" s="20">
        <v>0.0</v>
      </c>
      <c r="R14" s="20">
        <v>1.0</v>
      </c>
      <c r="S14" s="75"/>
      <c r="U14" s="16" t="s">
        <v>15</v>
      </c>
      <c r="V14" s="17">
        <v>45355.0</v>
      </c>
      <c r="W14" s="20">
        <v>0.0</v>
      </c>
    </row>
    <row r="15">
      <c r="A15" s="16" t="s">
        <v>20</v>
      </c>
      <c r="B15" s="17">
        <v>45365.0</v>
      </c>
      <c r="C15" s="50">
        <v>0.5</v>
      </c>
      <c r="D15" s="20">
        <v>1.0</v>
      </c>
      <c r="E15" s="79">
        <v>0.0</v>
      </c>
      <c r="F15" s="20">
        <v>1.0</v>
      </c>
      <c r="G15" s="20">
        <v>0.0</v>
      </c>
      <c r="H15" s="20">
        <v>1.0</v>
      </c>
      <c r="I15" s="20">
        <v>1.0</v>
      </c>
      <c r="J15" s="20">
        <v>1.0</v>
      </c>
      <c r="K15" s="80">
        <v>0.0</v>
      </c>
      <c r="L15" s="20">
        <v>1.0</v>
      </c>
      <c r="M15" s="20">
        <v>1.0</v>
      </c>
      <c r="N15" s="77">
        <v>0.0</v>
      </c>
      <c r="O15" s="20">
        <v>0.0</v>
      </c>
      <c r="P15" s="20">
        <v>1.0</v>
      </c>
      <c r="Q15" s="20">
        <v>1.0</v>
      </c>
      <c r="R15" s="20">
        <v>1.0</v>
      </c>
      <c r="S15" s="75"/>
      <c r="U15" s="16" t="s">
        <v>16</v>
      </c>
      <c r="V15" s="17">
        <v>45356.0</v>
      </c>
      <c r="W15" s="20">
        <v>1.0</v>
      </c>
    </row>
    <row r="16">
      <c r="A16" s="16" t="s">
        <v>8</v>
      </c>
      <c r="B16" s="17">
        <v>45366.0</v>
      </c>
      <c r="C16" s="81">
        <v>1.0</v>
      </c>
      <c r="D16" s="82">
        <v>1.0</v>
      </c>
      <c r="E16" s="83">
        <v>0.0</v>
      </c>
      <c r="F16" s="82">
        <v>1.0</v>
      </c>
      <c r="G16" s="82">
        <v>1.0</v>
      </c>
      <c r="H16" s="82">
        <v>0.0</v>
      </c>
      <c r="I16" s="82">
        <v>0.0</v>
      </c>
      <c r="J16" s="82">
        <v>0.0</v>
      </c>
      <c r="K16" s="84">
        <v>0.0</v>
      </c>
      <c r="L16" s="31">
        <v>0.0</v>
      </c>
      <c r="M16" s="82">
        <v>1.0</v>
      </c>
      <c r="N16" s="77">
        <v>0.0</v>
      </c>
      <c r="O16" s="31">
        <v>0.0</v>
      </c>
      <c r="P16" s="31">
        <v>0.0</v>
      </c>
      <c r="Q16" s="31">
        <v>1.0</v>
      </c>
      <c r="R16" s="31">
        <v>0.0</v>
      </c>
      <c r="S16" s="73"/>
      <c r="U16" s="16" t="s">
        <v>19</v>
      </c>
      <c r="V16" s="17">
        <v>45357.0</v>
      </c>
      <c r="W16" s="20">
        <v>1.0</v>
      </c>
    </row>
    <row r="17">
      <c r="A17" s="16" t="s">
        <v>9</v>
      </c>
      <c r="B17" s="17">
        <v>45367.0</v>
      </c>
      <c r="C17" s="50">
        <v>1.0</v>
      </c>
      <c r="D17" s="20">
        <v>1.0</v>
      </c>
      <c r="E17" s="79">
        <v>0.0</v>
      </c>
      <c r="F17" s="20">
        <v>1.0</v>
      </c>
      <c r="G17" s="20">
        <v>0.0</v>
      </c>
      <c r="H17" s="20">
        <v>0.25</v>
      </c>
      <c r="I17" s="20">
        <v>0.0</v>
      </c>
      <c r="J17" s="20">
        <v>0.0</v>
      </c>
      <c r="K17" s="80">
        <v>0.0</v>
      </c>
      <c r="L17" s="20">
        <v>1.0</v>
      </c>
      <c r="M17" s="20">
        <v>1.0</v>
      </c>
      <c r="N17" s="77">
        <v>0.0</v>
      </c>
      <c r="O17" s="20">
        <v>0.0</v>
      </c>
      <c r="P17" s="20">
        <v>1.0</v>
      </c>
      <c r="Q17" s="20">
        <v>1.0</v>
      </c>
      <c r="R17" s="20">
        <v>1.0</v>
      </c>
      <c r="S17" s="75"/>
      <c r="U17" s="16" t="s">
        <v>20</v>
      </c>
      <c r="V17" s="17">
        <v>45358.0</v>
      </c>
      <c r="W17" s="20">
        <v>0.0</v>
      </c>
    </row>
    <row r="18">
      <c r="A18" s="16" t="s">
        <v>14</v>
      </c>
      <c r="B18" s="17">
        <v>45368.0</v>
      </c>
      <c r="C18" s="50">
        <v>0.0</v>
      </c>
      <c r="D18" s="20">
        <v>1.0</v>
      </c>
      <c r="E18" s="79">
        <v>0.0</v>
      </c>
      <c r="F18" s="20">
        <v>1.0</v>
      </c>
      <c r="G18" s="20">
        <v>0.0</v>
      </c>
      <c r="H18" s="20">
        <v>1.0</v>
      </c>
      <c r="I18" s="20">
        <v>1.0</v>
      </c>
      <c r="J18" s="20">
        <v>0.5</v>
      </c>
      <c r="K18" s="80">
        <v>0.0</v>
      </c>
      <c r="L18" s="20">
        <v>1.0</v>
      </c>
      <c r="M18" s="20">
        <v>0.0</v>
      </c>
      <c r="N18" s="77">
        <v>0.0</v>
      </c>
      <c r="O18" s="20">
        <v>0.0</v>
      </c>
      <c r="P18" s="20">
        <v>1.0</v>
      </c>
      <c r="Q18" s="20">
        <v>1.0</v>
      </c>
      <c r="R18" s="20">
        <v>1.0</v>
      </c>
      <c r="S18" s="75"/>
      <c r="U18" s="16" t="s">
        <v>8</v>
      </c>
      <c r="V18" s="17">
        <v>45359.0</v>
      </c>
      <c r="W18" s="31">
        <v>0.0</v>
      </c>
    </row>
    <row r="19">
      <c r="A19" s="16" t="s">
        <v>15</v>
      </c>
      <c r="B19" s="17">
        <v>45369.0</v>
      </c>
      <c r="C19" s="50">
        <v>0.0</v>
      </c>
      <c r="D19" s="20">
        <v>1.0</v>
      </c>
      <c r="E19" s="79">
        <v>0.0</v>
      </c>
      <c r="F19" s="20">
        <v>1.0</v>
      </c>
      <c r="G19" s="20">
        <v>0.0</v>
      </c>
      <c r="H19" s="20">
        <v>0.25</v>
      </c>
      <c r="I19" s="20">
        <v>1.0</v>
      </c>
      <c r="J19" s="20">
        <v>1.0</v>
      </c>
      <c r="K19" s="80">
        <v>0.0</v>
      </c>
      <c r="L19" s="20">
        <v>1.0</v>
      </c>
      <c r="M19" s="20">
        <v>0.0</v>
      </c>
      <c r="N19" s="77">
        <v>0.0</v>
      </c>
      <c r="O19" s="20">
        <v>0.0</v>
      </c>
      <c r="P19" s="20">
        <v>1.0</v>
      </c>
      <c r="Q19" s="20">
        <v>0.5</v>
      </c>
      <c r="R19" s="20">
        <v>1.0</v>
      </c>
      <c r="S19" s="75"/>
      <c r="U19" s="16" t="s">
        <v>9</v>
      </c>
      <c r="V19" s="17">
        <v>45360.0</v>
      </c>
      <c r="W19" s="20">
        <v>0.0</v>
      </c>
    </row>
    <row r="20">
      <c r="A20" s="16" t="s">
        <v>16</v>
      </c>
      <c r="B20" s="17">
        <v>45370.0</v>
      </c>
      <c r="C20" s="50">
        <v>0.5</v>
      </c>
      <c r="D20" s="20">
        <v>1.0</v>
      </c>
      <c r="E20" s="79">
        <v>0.0</v>
      </c>
      <c r="F20" s="20">
        <v>1.0</v>
      </c>
      <c r="G20" s="20">
        <v>0.0</v>
      </c>
      <c r="H20" s="20">
        <v>0.25</v>
      </c>
      <c r="I20" s="20">
        <v>1.0</v>
      </c>
      <c r="J20" s="20">
        <v>1.0</v>
      </c>
      <c r="K20" s="80">
        <v>0.0</v>
      </c>
      <c r="L20" s="20">
        <v>1.0</v>
      </c>
      <c r="M20" s="20">
        <v>0.0</v>
      </c>
      <c r="N20" s="77">
        <v>0.0</v>
      </c>
      <c r="O20" s="20">
        <v>0.0</v>
      </c>
      <c r="P20" s="20">
        <v>1.0</v>
      </c>
      <c r="Q20" s="20">
        <v>0.0</v>
      </c>
      <c r="R20" s="20">
        <v>1.0</v>
      </c>
      <c r="S20" s="76" t="s">
        <v>60</v>
      </c>
      <c r="U20" s="16" t="s">
        <v>14</v>
      </c>
      <c r="V20" s="17">
        <v>45361.0</v>
      </c>
      <c r="W20" s="20">
        <v>0.0</v>
      </c>
    </row>
    <row r="21">
      <c r="A21" s="16" t="s">
        <v>19</v>
      </c>
      <c r="B21" s="17">
        <v>45371.0</v>
      </c>
      <c r="C21" s="50">
        <v>0.5</v>
      </c>
      <c r="D21" s="20">
        <v>1.0</v>
      </c>
      <c r="E21" s="79">
        <v>0.0</v>
      </c>
      <c r="F21" s="20">
        <v>1.0</v>
      </c>
      <c r="G21" s="20">
        <v>0.0</v>
      </c>
      <c r="H21" s="20">
        <v>0.5</v>
      </c>
      <c r="I21" s="20">
        <v>1.0</v>
      </c>
      <c r="J21" s="20">
        <v>1.0</v>
      </c>
      <c r="K21" s="80">
        <v>0.0</v>
      </c>
      <c r="L21" s="20">
        <v>1.0</v>
      </c>
      <c r="M21" s="20">
        <v>0.0</v>
      </c>
      <c r="N21" s="77">
        <v>0.0</v>
      </c>
      <c r="O21" s="20">
        <v>0.0</v>
      </c>
      <c r="P21" s="20">
        <v>1.0</v>
      </c>
      <c r="Q21" s="20">
        <v>1.0</v>
      </c>
      <c r="R21" s="20">
        <v>1.0</v>
      </c>
      <c r="S21" s="75"/>
      <c r="U21" s="16" t="s">
        <v>15</v>
      </c>
      <c r="V21" s="17">
        <v>45362.0</v>
      </c>
      <c r="W21" s="20">
        <v>1.0</v>
      </c>
    </row>
    <row r="22">
      <c r="A22" s="16" t="s">
        <v>20</v>
      </c>
      <c r="B22" s="17">
        <v>45372.0</v>
      </c>
      <c r="C22" s="50">
        <v>1.0</v>
      </c>
      <c r="D22" s="20">
        <v>1.0</v>
      </c>
      <c r="E22" s="79">
        <v>0.0</v>
      </c>
      <c r="F22" s="20">
        <v>1.0</v>
      </c>
      <c r="G22" s="20">
        <v>0.0</v>
      </c>
      <c r="H22" s="20">
        <v>1.0</v>
      </c>
      <c r="I22" s="20">
        <v>0.75</v>
      </c>
      <c r="J22" s="20">
        <v>1.0</v>
      </c>
      <c r="K22" s="80">
        <v>0.0</v>
      </c>
      <c r="L22" s="20">
        <v>0.0</v>
      </c>
      <c r="M22" s="20">
        <v>0.0</v>
      </c>
      <c r="N22" s="77">
        <v>0.0</v>
      </c>
      <c r="O22" s="20">
        <v>1.0</v>
      </c>
      <c r="P22" s="20">
        <v>1.0</v>
      </c>
      <c r="Q22" s="20">
        <v>1.0</v>
      </c>
      <c r="R22" s="20">
        <v>1.0</v>
      </c>
      <c r="S22" s="76" t="s">
        <v>61</v>
      </c>
      <c r="U22" s="16" t="s">
        <v>16</v>
      </c>
      <c r="V22" s="17">
        <v>45363.0</v>
      </c>
      <c r="W22" s="20">
        <v>1.0</v>
      </c>
    </row>
    <row r="23">
      <c r="A23" s="16" t="s">
        <v>8</v>
      </c>
      <c r="B23" s="17">
        <v>45373.0</v>
      </c>
      <c r="C23" s="85">
        <v>1.5</v>
      </c>
      <c r="D23" s="86">
        <v>1.0</v>
      </c>
      <c r="E23" s="87">
        <v>0.0</v>
      </c>
      <c r="F23" s="86">
        <v>1.5</v>
      </c>
      <c r="G23" s="86">
        <v>1.0</v>
      </c>
      <c r="H23" s="86">
        <v>1.0</v>
      </c>
      <c r="I23" s="86">
        <v>0.0</v>
      </c>
      <c r="J23" s="86">
        <v>0.0</v>
      </c>
      <c r="K23" s="88">
        <v>0.0</v>
      </c>
      <c r="L23" s="86">
        <v>0.0</v>
      </c>
      <c r="M23" s="86">
        <v>1.0</v>
      </c>
      <c r="N23" s="89">
        <v>0.0</v>
      </c>
      <c r="O23" s="86">
        <v>0.0</v>
      </c>
      <c r="P23" s="86">
        <v>0.0</v>
      </c>
      <c r="Q23" s="86">
        <v>1.5</v>
      </c>
      <c r="R23" s="86">
        <v>1.0</v>
      </c>
      <c r="S23" s="73"/>
      <c r="U23" s="16" t="s">
        <v>19</v>
      </c>
      <c r="V23" s="17">
        <v>45364.0</v>
      </c>
      <c r="W23" s="20">
        <v>1.0</v>
      </c>
    </row>
    <row r="24">
      <c r="A24" s="16" t="s">
        <v>9</v>
      </c>
      <c r="B24" s="17">
        <v>45374.0</v>
      </c>
      <c r="C24" s="90">
        <v>1.5</v>
      </c>
      <c r="D24" s="91">
        <v>1.0</v>
      </c>
      <c r="E24" s="87">
        <v>0.0</v>
      </c>
      <c r="F24" s="91">
        <v>1.0</v>
      </c>
      <c r="G24" s="91">
        <v>1.0</v>
      </c>
      <c r="H24" s="91">
        <v>1.0</v>
      </c>
      <c r="I24" s="91">
        <v>0.0</v>
      </c>
      <c r="J24" s="91">
        <v>1.0</v>
      </c>
      <c r="K24" s="88">
        <v>0.0</v>
      </c>
      <c r="L24" s="91">
        <v>1.0</v>
      </c>
      <c r="M24" s="91">
        <v>1.0</v>
      </c>
      <c r="N24" s="89">
        <v>0.0</v>
      </c>
      <c r="O24" s="91">
        <v>0.0</v>
      </c>
      <c r="P24" s="91">
        <v>0.0</v>
      </c>
      <c r="Q24" s="91">
        <v>1.0</v>
      </c>
      <c r="R24" s="91">
        <v>1.0</v>
      </c>
      <c r="S24" s="75"/>
      <c r="U24" s="16" t="s">
        <v>20</v>
      </c>
      <c r="V24" s="17">
        <v>45365.0</v>
      </c>
      <c r="W24" s="20">
        <v>1.0</v>
      </c>
    </row>
    <row r="25">
      <c r="A25" s="16" t="s">
        <v>14</v>
      </c>
      <c r="B25" s="17">
        <v>45375.0</v>
      </c>
      <c r="C25" s="92">
        <v>1.0</v>
      </c>
      <c r="D25" s="93">
        <v>1.0</v>
      </c>
      <c r="E25" s="83">
        <v>0.0</v>
      </c>
      <c r="F25" s="93">
        <v>0.0</v>
      </c>
      <c r="G25" s="93">
        <v>1.0</v>
      </c>
      <c r="H25" s="93">
        <v>1.0</v>
      </c>
      <c r="I25" s="93">
        <v>0.0</v>
      </c>
      <c r="J25" s="93">
        <v>1.0</v>
      </c>
      <c r="K25" s="84">
        <v>0.0</v>
      </c>
      <c r="L25" s="93">
        <v>1.0</v>
      </c>
      <c r="M25" s="93">
        <v>1.0</v>
      </c>
      <c r="N25" s="94">
        <v>0.0</v>
      </c>
      <c r="O25" s="93">
        <v>0.0</v>
      </c>
      <c r="P25" s="93">
        <v>0.0</v>
      </c>
      <c r="Q25" s="93">
        <v>1.0</v>
      </c>
      <c r="R25" s="93">
        <v>0.0</v>
      </c>
      <c r="S25" s="95"/>
      <c r="U25" s="16" t="s">
        <v>8</v>
      </c>
      <c r="V25" s="17">
        <v>45366.0</v>
      </c>
      <c r="W25" s="82">
        <v>1.0</v>
      </c>
    </row>
    <row r="26">
      <c r="A26" s="16" t="s">
        <v>15</v>
      </c>
      <c r="B26" s="17">
        <v>45376.0</v>
      </c>
      <c r="C26" s="90">
        <v>1.0</v>
      </c>
      <c r="D26" s="91">
        <v>1.0</v>
      </c>
      <c r="E26" s="87">
        <v>0.0</v>
      </c>
      <c r="F26" s="91">
        <v>1.0</v>
      </c>
      <c r="G26" s="91">
        <v>1.0</v>
      </c>
      <c r="H26" s="91">
        <v>0.5</v>
      </c>
      <c r="I26" s="91">
        <v>0.0</v>
      </c>
      <c r="J26" s="91">
        <v>1.0</v>
      </c>
      <c r="K26" s="88">
        <v>0.0</v>
      </c>
      <c r="L26" s="91">
        <v>1.0</v>
      </c>
      <c r="M26" s="91">
        <v>1.0</v>
      </c>
      <c r="N26" s="89">
        <v>0.0</v>
      </c>
      <c r="O26" s="91">
        <v>1.0</v>
      </c>
      <c r="P26" s="91">
        <v>0.0</v>
      </c>
      <c r="Q26" s="91">
        <v>1.5</v>
      </c>
      <c r="R26" s="91">
        <v>1.0</v>
      </c>
      <c r="S26" s="75"/>
      <c r="U26" s="16" t="s">
        <v>9</v>
      </c>
      <c r="V26" s="17">
        <v>45367.0</v>
      </c>
      <c r="W26" s="20">
        <v>1.0</v>
      </c>
    </row>
    <row r="27">
      <c r="A27" s="16" t="s">
        <v>16</v>
      </c>
      <c r="B27" s="17">
        <v>45377.0</v>
      </c>
      <c r="C27" s="90">
        <v>1.0</v>
      </c>
      <c r="D27" s="91">
        <v>1.0</v>
      </c>
      <c r="E27" s="87">
        <v>0.0</v>
      </c>
      <c r="F27" s="91">
        <v>1.0</v>
      </c>
      <c r="G27" s="91">
        <v>0.0</v>
      </c>
      <c r="H27" s="91">
        <v>0.0</v>
      </c>
      <c r="I27" s="91">
        <v>0.0</v>
      </c>
      <c r="J27" s="91">
        <v>0.0</v>
      </c>
      <c r="K27" s="88">
        <v>0.0</v>
      </c>
      <c r="L27" s="91">
        <v>1.0</v>
      </c>
      <c r="M27" s="91">
        <v>1.0</v>
      </c>
      <c r="N27" s="89">
        <v>0.0</v>
      </c>
      <c r="O27" s="91">
        <v>0.0</v>
      </c>
      <c r="P27" s="91">
        <v>0.0</v>
      </c>
      <c r="Q27" s="91">
        <v>1.0</v>
      </c>
      <c r="R27" s="91">
        <v>1.0</v>
      </c>
      <c r="S27" s="96"/>
      <c r="U27" s="16" t="s">
        <v>14</v>
      </c>
      <c r="V27" s="17">
        <v>45368.0</v>
      </c>
      <c r="W27" s="20">
        <v>0.0</v>
      </c>
    </row>
    <row r="28">
      <c r="A28" s="16" t="s">
        <v>19</v>
      </c>
      <c r="B28" s="17">
        <v>45378.0</v>
      </c>
      <c r="C28" s="90">
        <v>1.5</v>
      </c>
      <c r="D28" s="91">
        <v>1.0</v>
      </c>
      <c r="E28" s="87">
        <v>0.0</v>
      </c>
      <c r="F28" s="91">
        <v>1.0</v>
      </c>
      <c r="G28" s="91">
        <v>0.0</v>
      </c>
      <c r="H28" s="91">
        <v>0.0</v>
      </c>
      <c r="I28" s="91">
        <v>0.0</v>
      </c>
      <c r="J28" s="91">
        <v>1.0</v>
      </c>
      <c r="K28" s="88">
        <v>0.0</v>
      </c>
      <c r="L28" s="91">
        <v>1.0</v>
      </c>
      <c r="M28" s="91">
        <v>1.0</v>
      </c>
      <c r="N28" s="89">
        <v>0.0</v>
      </c>
      <c r="O28" s="91">
        <v>0.0</v>
      </c>
      <c r="P28" s="91">
        <v>1.0</v>
      </c>
      <c r="Q28" s="91">
        <v>1.0</v>
      </c>
      <c r="R28" s="91">
        <v>1.0</v>
      </c>
      <c r="S28" s="96"/>
      <c r="U28" s="16" t="s">
        <v>15</v>
      </c>
      <c r="V28" s="17">
        <v>45369.0</v>
      </c>
      <c r="W28" s="20">
        <v>0.0</v>
      </c>
    </row>
    <row r="29">
      <c r="A29" s="16" t="s">
        <v>20</v>
      </c>
      <c r="B29" s="17">
        <v>45379.0</v>
      </c>
      <c r="C29" s="90">
        <v>1.0</v>
      </c>
      <c r="D29" s="91">
        <v>1.0</v>
      </c>
      <c r="E29" s="87">
        <v>0.0</v>
      </c>
      <c r="F29" s="91">
        <v>1.0</v>
      </c>
      <c r="G29" s="91">
        <v>0.0</v>
      </c>
      <c r="H29" s="91">
        <v>0.0</v>
      </c>
      <c r="I29" s="91">
        <v>0.0</v>
      </c>
      <c r="J29" s="91">
        <v>1.0</v>
      </c>
      <c r="K29" s="88">
        <v>0.0</v>
      </c>
      <c r="L29" s="91">
        <v>1.0</v>
      </c>
      <c r="M29" s="91">
        <v>1.0</v>
      </c>
      <c r="N29" s="89">
        <v>0.0</v>
      </c>
      <c r="O29" s="91">
        <v>1.0</v>
      </c>
      <c r="P29" s="91">
        <v>1.0</v>
      </c>
      <c r="Q29" s="91">
        <v>1.0</v>
      </c>
      <c r="R29" s="91">
        <v>1.0</v>
      </c>
      <c r="S29" s="96"/>
      <c r="U29" s="16" t="s">
        <v>16</v>
      </c>
      <c r="V29" s="17">
        <v>45370.0</v>
      </c>
      <c r="W29" s="20">
        <v>0.0</v>
      </c>
    </row>
    <row r="30">
      <c r="A30" s="50" t="s">
        <v>8</v>
      </c>
      <c r="B30" s="17">
        <v>45380.0</v>
      </c>
      <c r="C30" s="85">
        <v>1.0</v>
      </c>
      <c r="D30" s="86">
        <v>1.0</v>
      </c>
      <c r="E30" s="87">
        <v>0.0</v>
      </c>
      <c r="F30" s="86">
        <v>1.0</v>
      </c>
      <c r="G30" s="86">
        <v>0.0</v>
      </c>
      <c r="H30" s="86">
        <v>0.0</v>
      </c>
      <c r="I30" s="86">
        <v>0.0</v>
      </c>
      <c r="J30" s="86">
        <v>0.0</v>
      </c>
      <c r="K30" s="88">
        <v>0.0</v>
      </c>
      <c r="L30" s="86">
        <v>0.0</v>
      </c>
      <c r="M30" s="86">
        <v>1.0</v>
      </c>
      <c r="N30" s="89">
        <v>0.0</v>
      </c>
      <c r="O30" s="86">
        <v>0.0</v>
      </c>
      <c r="P30" s="86">
        <v>1.0</v>
      </c>
      <c r="Q30" s="86">
        <v>1.0</v>
      </c>
      <c r="R30" s="86">
        <v>1.0</v>
      </c>
      <c r="S30" s="97"/>
      <c r="U30" s="16" t="s">
        <v>19</v>
      </c>
      <c r="V30" s="17">
        <v>45371.0</v>
      </c>
      <c r="W30" s="20">
        <v>0.0</v>
      </c>
    </row>
    <row r="31">
      <c r="A31" s="50" t="s">
        <v>9</v>
      </c>
      <c r="B31" s="17">
        <v>45381.0</v>
      </c>
      <c r="C31" s="98">
        <v>1.0</v>
      </c>
      <c r="D31" s="93">
        <v>1.0</v>
      </c>
      <c r="E31" s="83">
        <v>0.0</v>
      </c>
      <c r="F31" s="93">
        <v>1.0</v>
      </c>
      <c r="G31" s="93">
        <v>0.0</v>
      </c>
      <c r="H31" s="93">
        <v>0.0</v>
      </c>
      <c r="I31" s="93">
        <v>1.0</v>
      </c>
      <c r="J31" s="93">
        <v>1.0</v>
      </c>
      <c r="K31" s="84">
        <v>0.0</v>
      </c>
      <c r="L31" s="93">
        <v>1.0</v>
      </c>
      <c r="M31" s="93">
        <v>1.0</v>
      </c>
      <c r="N31" s="94">
        <v>0.0</v>
      </c>
      <c r="O31" s="93">
        <v>0.0</v>
      </c>
      <c r="P31" s="93">
        <v>1.0</v>
      </c>
      <c r="Q31" s="93">
        <v>1.0</v>
      </c>
      <c r="R31" s="93">
        <v>1.0</v>
      </c>
      <c r="S31" s="96"/>
      <c r="U31" s="16" t="s">
        <v>20</v>
      </c>
      <c r="V31" s="17">
        <v>45372.0</v>
      </c>
      <c r="W31" s="20">
        <v>0.0</v>
      </c>
    </row>
    <row r="32">
      <c r="A32" s="50" t="s">
        <v>14</v>
      </c>
      <c r="B32" s="17">
        <v>45382.0</v>
      </c>
      <c r="C32" s="98">
        <v>1.0</v>
      </c>
      <c r="D32" s="93">
        <v>1.0</v>
      </c>
      <c r="E32" s="83">
        <v>0.0</v>
      </c>
      <c r="F32" s="93">
        <v>1.0</v>
      </c>
      <c r="G32" s="93">
        <v>0.0</v>
      </c>
      <c r="H32" s="93">
        <v>0.0</v>
      </c>
      <c r="I32" s="93">
        <v>1.0</v>
      </c>
      <c r="J32" s="93">
        <v>1.0</v>
      </c>
      <c r="K32" s="84">
        <v>0.0</v>
      </c>
      <c r="L32" s="93">
        <v>1.0</v>
      </c>
      <c r="M32" s="93">
        <v>1.0</v>
      </c>
      <c r="N32" s="94">
        <v>0.0</v>
      </c>
      <c r="O32" s="93">
        <v>1.0</v>
      </c>
      <c r="P32" s="93">
        <v>1.0</v>
      </c>
      <c r="Q32" s="93">
        <v>1.0</v>
      </c>
      <c r="R32" s="93">
        <v>1.0</v>
      </c>
      <c r="S32" s="75"/>
      <c r="U32" s="16" t="s">
        <v>8</v>
      </c>
      <c r="V32" s="17">
        <v>45373.0</v>
      </c>
      <c r="W32" s="86">
        <v>1.0</v>
      </c>
    </row>
    <row r="33">
      <c r="C33" s="99">
        <f>SUM(C2:C30)</f>
        <v>20.5</v>
      </c>
      <c r="D33" s="100">
        <f t="shared" ref="D33:R33" si="1">SUM(D2:D32)</f>
        <v>27</v>
      </c>
      <c r="E33" s="100">
        <f t="shared" si="1"/>
        <v>8</v>
      </c>
      <c r="F33" s="100">
        <f t="shared" si="1"/>
        <v>28</v>
      </c>
      <c r="G33" s="100">
        <f t="shared" si="1"/>
        <v>8</v>
      </c>
      <c r="H33" s="100">
        <f t="shared" si="1"/>
        <v>13.5</v>
      </c>
      <c r="I33" s="100">
        <f t="shared" si="1"/>
        <v>16.5</v>
      </c>
      <c r="J33" s="100">
        <f t="shared" si="1"/>
        <v>17.5</v>
      </c>
      <c r="K33" s="100">
        <f t="shared" si="1"/>
        <v>4</v>
      </c>
      <c r="L33" s="100">
        <f t="shared" si="1"/>
        <v>25</v>
      </c>
      <c r="M33" s="100">
        <f t="shared" si="1"/>
        <v>21</v>
      </c>
      <c r="N33" s="78">
        <f t="shared" si="1"/>
        <v>2.5</v>
      </c>
      <c r="O33" s="33">
        <f t="shared" si="1"/>
        <v>4</v>
      </c>
      <c r="P33" s="101">
        <f t="shared" si="1"/>
        <v>21</v>
      </c>
      <c r="Q33" s="102">
        <f t="shared" si="1"/>
        <v>26</v>
      </c>
      <c r="R33" s="102">
        <f t="shared" si="1"/>
        <v>26</v>
      </c>
      <c r="S33" s="1"/>
      <c r="U33" s="16" t="s">
        <v>9</v>
      </c>
      <c r="V33" s="17">
        <v>45374.0</v>
      </c>
      <c r="W33" s="91">
        <v>1.0</v>
      </c>
    </row>
    <row r="34">
      <c r="C34" s="103">
        <v>1384.62</v>
      </c>
      <c r="D34" s="104">
        <v>1384.62</v>
      </c>
      <c r="E34" s="104">
        <v>1153.85</v>
      </c>
      <c r="F34" s="104">
        <v>1153.85</v>
      </c>
      <c r="G34" s="104">
        <v>1153.85</v>
      </c>
      <c r="H34" s="104">
        <v>1153.85</v>
      </c>
      <c r="I34" s="105">
        <v>1384.62</v>
      </c>
      <c r="J34" s="106">
        <v>1500.0</v>
      </c>
      <c r="K34" s="105">
        <v>1153.85</v>
      </c>
      <c r="L34" s="105">
        <v>1076.93</v>
      </c>
      <c r="M34" s="105">
        <v>1153.85</v>
      </c>
      <c r="N34" s="18">
        <v>1153.85</v>
      </c>
      <c r="O34" s="107">
        <v>1076.93</v>
      </c>
      <c r="P34" s="108">
        <v>1230.77</v>
      </c>
      <c r="Q34" s="108">
        <v>1153.85</v>
      </c>
      <c r="R34" s="108">
        <v>1076.93</v>
      </c>
      <c r="S34" s="5"/>
      <c r="U34" s="16" t="s">
        <v>14</v>
      </c>
      <c r="V34" s="17">
        <v>45375.0</v>
      </c>
      <c r="W34" s="93">
        <v>1.0</v>
      </c>
    </row>
    <row r="35">
      <c r="C35" s="109">
        <f>C33*C34</f>
        <v>28384.71</v>
      </c>
      <c r="D35" s="109">
        <f t="shared" ref="D35:H35" si="2">D34*D33</f>
        <v>37384.74</v>
      </c>
      <c r="E35" s="109">
        <f t="shared" si="2"/>
        <v>9230.8</v>
      </c>
      <c r="F35" s="109">
        <f t="shared" si="2"/>
        <v>32307.8</v>
      </c>
      <c r="G35" s="109">
        <f t="shared" si="2"/>
        <v>9230.8</v>
      </c>
      <c r="H35" s="109">
        <f t="shared" si="2"/>
        <v>15576.975</v>
      </c>
      <c r="I35" s="110">
        <f t="shared" ref="I35:L35" si="3">I33*I34</f>
        <v>22846.23</v>
      </c>
      <c r="J35" s="110">
        <f t="shared" si="3"/>
        <v>26250</v>
      </c>
      <c r="K35" s="110">
        <f t="shared" si="3"/>
        <v>4615.4</v>
      </c>
      <c r="L35" s="110">
        <f t="shared" si="3"/>
        <v>26923.25</v>
      </c>
      <c r="M35" s="110">
        <f>M34*M33</f>
        <v>24230.85</v>
      </c>
      <c r="N35" s="111">
        <f>N33*N34</f>
        <v>2884.625</v>
      </c>
      <c r="O35" s="63">
        <f>O34*O33</f>
        <v>4307.72</v>
      </c>
      <c r="P35" s="112">
        <f t="shared" ref="P35:R35" si="4">P33*P34</f>
        <v>25846.17</v>
      </c>
      <c r="Q35" s="113">
        <f t="shared" si="4"/>
        <v>30000.1</v>
      </c>
      <c r="R35" s="113">
        <f t="shared" si="4"/>
        <v>28000.18</v>
      </c>
      <c r="S35" s="114">
        <f>SUM(C33:P33)</f>
        <v>216.5</v>
      </c>
      <c r="U35" s="16" t="s">
        <v>15</v>
      </c>
      <c r="V35" s="17">
        <v>45376.0</v>
      </c>
      <c r="W35" s="91">
        <v>1.0</v>
      </c>
    </row>
    <row r="36">
      <c r="C36" s="115">
        <v>36000.0</v>
      </c>
      <c r="D36" s="115">
        <v>36000.0</v>
      </c>
      <c r="E36" s="115">
        <v>30000.0</v>
      </c>
      <c r="F36" s="115">
        <v>30000.0</v>
      </c>
      <c r="G36" s="115">
        <v>30000.0</v>
      </c>
      <c r="H36" s="115">
        <v>30000.0</v>
      </c>
      <c r="I36" s="115">
        <v>36000.0</v>
      </c>
      <c r="J36" s="115"/>
      <c r="K36" s="116">
        <v>30000.0</v>
      </c>
      <c r="L36" s="116">
        <v>28000.0</v>
      </c>
      <c r="M36" s="117">
        <v>30000.0</v>
      </c>
      <c r="N36" s="30">
        <v>30000.0</v>
      </c>
      <c r="O36" s="30">
        <v>28000.0</v>
      </c>
      <c r="P36" s="118">
        <v>32000.0</v>
      </c>
      <c r="Q36" s="119">
        <v>30000.0</v>
      </c>
      <c r="R36" s="102">
        <v>28000.0</v>
      </c>
      <c r="S36" s="5"/>
      <c r="U36" s="16" t="s">
        <v>16</v>
      </c>
      <c r="V36" s="17">
        <v>45377.0</v>
      </c>
      <c r="W36" s="91">
        <v>1.0</v>
      </c>
    </row>
    <row r="37">
      <c r="P37" s="120"/>
      <c r="Q37" s="120"/>
      <c r="R37" s="120"/>
      <c r="U37" s="16" t="s">
        <v>19</v>
      </c>
      <c r="V37" s="17">
        <v>45378.0</v>
      </c>
      <c r="W37" s="91">
        <v>1.0</v>
      </c>
    </row>
    <row r="38">
      <c r="U38" s="16" t="s">
        <v>20</v>
      </c>
      <c r="V38" s="17">
        <v>45379.0</v>
      </c>
      <c r="W38" s="91">
        <v>1.0</v>
      </c>
    </row>
    <row r="39">
      <c r="U39" s="50" t="s">
        <v>8</v>
      </c>
      <c r="V39" s="17">
        <v>45380.0</v>
      </c>
      <c r="W39" s="86">
        <v>1.0</v>
      </c>
    </row>
    <row r="40">
      <c r="U40" s="50" t="s">
        <v>9</v>
      </c>
      <c r="V40" s="17">
        <v>45381.0</v>
      </c>
      <c r="W40" s="93">
        <v>1.0</v>
      </c>
    </row>
    <row r="41">
      <c r="U41" s="50" t="s">
        <v>14</v>
      </c>
      <c r="V41" s="17">
        <v>45382.0</v>
      </c>
      <c r="W41" s="93">
        <v>1.0</v>
      </c>
    </row>
    <row r="42">
      <c r="W42" s="100">
        <f>SUM(W11:W41)</f>
        <v>21</v>
      </c>
    </row>
    <row r="43">
      <c r="W43" s="105">
        <v>1153.85</v>
      </c>
    </row>
    <row r="44">
      <c r="W44" s="110">
        <f>W43*W42</f>
        <v>24230.85</v>
      </c>
    </row>
    <row r="45">
      <c r="W45" s="117">
        <v>30000.0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68.63"/>
    <col customWidth="1" min="5" max="5" width="16.5"/>
    <col customWidth="1" min="6" max="6" width="26.13"/>
    <col customWidth="1" min="7" max="7" width="25.38"/>
    <col customWidth="1" min="8" max="8" width="39.38"/>
  </cols>
  <sheetData>
    <row r="2">
      <c r="D2" s="121" t="s">
        <v>62</v>
      </c>
      <c r="E2" s="122" t="s">
        <v>63</v>
      </c>
      <c r="F2" s="122" t="s">
        <v>64</v>
      </c>
      <c r="G2" s="122" t="s">
        <v>65</v>
      </c>
      <c r="H2" s="122" t="s">
        <v>66</v>
      </c>
    </row>
    <row r="3">
      <c r="D3" s="123" t="s">
        <v>67</v>
      </c>
      <c r="E3" s="124">
        <v>14.0</v>
      </c>
      <c r="F3" s="125">
        <v>600.0</v>
      </c>
      <c r="G3" s="125">
        <f t="shared" ref="G3:G20" si="1">E3*F3</f>
        <v>8400</v>
      </c>
      <c r="H3" s="126"/>
    </row>
    <row r="4">
      <c r="D4" s="50" t="s">
        <v>68</v>
      </c>
      <c r="E4" s="20">
        <v>26.0</v>
      </c>
      <c r="F4" s="18">
        <v>85.0</v>
      </c>
      <c r="G4" s="15">
        <f t="shared" si="1"/>
        <v>2210</v>
      </c>
      <c r="H4" s="126"/>
    </row>
    <row r="5">
      <c r="D5" s="127" t="s">
        <v>69</v>
      </c>
      <c r="E5" s="20">
        <v>12.0</v>
      </c>
      <c r="F5" s="15">
        <v>195.0</v>
      </c>
      <c r="G5" s="15">
        <f t="shared" si="1"/>
        <v>2340</v>
      </c>
      <c r="H5" s="126"/>
    </row>
    <row r="6">
      <c r="D6" s="128" t="s">
        <v>70</v>
      </c>
      <c r="E6" s="124">
        <v>5.0</v>
      </c>
      <c r="F6" s="125">
        <v>104.0</v>
      </c>
      <c r="G6" s="125">
        <f t="shared" si="1"/>
        <v>520</v>
      </c>
      <c r="H6" s="126"/>
    </row>
    <row r="7">
      <c r="D7" s="127" t="s">
        <v>71</v>
      </c>
      <c r="E7" s="20">
        <v>7.0</v>
      </c>
      <c r="F7" s="15">
        <v>250.0</v>
      </c>
      <c r="G7" s="15">
        <f t="shared" si="1"/>
        <v>1750</v>
      </c>
      <c r="H7" s="126"/>
    </row>
    <row r="8">
      <c r="D8" s="16" t="s">
        <v>72</v>
      </c>
      <c r="E8" s="20">
        <v>52.0</v>
      </c>
      <c r="F8" s="15">
        <v>84.0</v>
      </c>
      <c r="G8" s="15">
        <f t="shared" si="1"/>
        <v>4368</v>
      </c>
      <c r="H8" s="126"/>
    </row>
    <row r="9">
      <c r="D9" s="128" t="s">
        <v>73</v>
      </c>
      <c r="E9" s="129">
        <v>2.0</v>
      </c>
      <c r="F9" s="130">
        <v>240.0</v>
      </c>
      <c r="G9" s="130">
        <f t="shared" si="1"/>
        <v>480</v>
      </c>
      <c r="H9" s="126"/>
    </row>
    <row r="10">
      <c r="D10" s="127" t="s">
        <v>74</v>
      </c>
      <c r="E10" s="79">
        <v>11.0</v>
      </c>
      <c r="F10" s="24">
        <v>390.0</v>
      </c>
      <c r="G10" s="24">
        <f t="shared" si="1"/>
        <v>4290</v>
      </c>
      <c r="H10" s="126"/>
    </row>
    <row r="11">
      <c r="D11" s="16" t="s">
        <v>75</v>
      </c>
      <c r="E11" s="78">
        <v>5.0</v>
      </c>
      <c r="F11" s="15">
        <v>180.0</v>
      </c>
      <c r="G11" s="15">
        <f t="shared" si="1"/>
        <v>900</v>
      </c>
      <c r="H11" s="126"/>
    </row>
    <row r="12">
      <c r="D12" s="16" t="s">
        <v>76</v>
      </c>
      <c r="E12" s="20">
        <v>18.0</v>
      </c>
      <c r="F12" s="15">
        <v>250.0</v>
      </c>
      <c r="G12" s="15">
        <f t="shared" si="1"/>
        <v>4500</v>
      </c>
      <c r="H12" s="126"/>
    </row>
    <row r="13">
      <c r="D13" s="131" t="s">
        <v>77</v>
      </c>
      <c r="E13" s="79">
        <v>1.0</v>
      </c>
      <c r="F13" s="35">
        <v>235.0</v>
      </c>
      <c r="G13" s="24">
        <f t="shared" si="1"/>
        <v>235</v>
      </c>
      <c r="H13" s="126"/>
    </row>
    <row r="14">
      <c r="D14" s="131" t="s">
        <v>78</v>
      </c>
      <c r="E14" s="79">
        <v>0.0</v>
      </c>
      <c r="F14" s="35">
        <v>235.0</v>
      </c>
      <c r="G14" s="24">
        <f t="shared" si="1"/>
        <v>0</v>
      </c>
      <c r="H14" s="126"/>
    </row>
    <row r="15">
      <c r="D15" s="127" t="s">
        <v>79</v>
      </c>
      <c r="E15" s="79">
        <v>1.0</v>
      </c>
      <c r="F15" s="24">
        <v>235.0</v>
      </c>
      <c r="G15" s="24">
        <f t="shared" si="1"/>
        <v>235</v>
      </c>
      <c r="H15" s="126"/>
    </row>
    <row r="16">
      <c r="D16" s="127" t="s">
        <v>80</v>
      </c>
      <c r="E16" s="79">
        <v>4.0</v>
      </c>
      <c r="F16" s="24">
        <v>235.0</v>
      </c>
      <c r="G16" s="24">
        <f t="shared" si="1"/>
        <v>940</v>
      </c>
      <c r="H16" s="126"/>
    </row>
    <row r="17">
      <c r="D17" s="127" t="s">
        <v>81</v>
      </c>
      <c r="E17" s="79">
        <v>8.0</v>
      </c>
      <c r="F17" s="24">
        <v>480.0</v>
      </c>
      <c r="G17" s="24">
        <f t="shared" si="1"/>
        <v>3840</v>
      </c>
      <c r="H17" s="126"/>
    </row>
    <row r="18">
      <c r="D18" s="127" t="s">
        <v>82</v>
      </c>
      <c r="E18" s="79">
        <v>150.0</v>
      </c>
      <c r="F18" s="24">
        <v>6.2</v>
      </c>
      <c r="G18" s="24">
        <f t="shared" si="1"/>
        <v>930</v>
      </c>
      <c r="H18" s="126"/>
    </row>
    <row r="19">
      <c r="D19" s="16" t="s">
        <v>83</v>
      </c>
      <c r="E19" s="78">
        <v>5.0</v>
      </c>
      <c r="F19" s="15">
        <v>560.0</v>
      </c>
      <c r="G19" s="15">
        <f t="shared" si="1"/>
        <v>2800</v>
      </c>
      <c r="H19" s="126"/>
    </row>
    <row r="20">
      <c r="D20" s="16" t="s">
        <v>84</v>
      </c>
      <c r="E20" s="20">
        <v>5.0</v>
      </c>
      <c r="F20" s="15">
        <v>1750.0</v>
      </c>
      <c r="G20" s="15">
        <f t="shared" si="1"/>
        <v>8750</v>
      </c>
      <c r="H20" s="126"/>
    </row>
    <row r="21">
      <c r="D21" s="127"/>
      <c r="E21" s="79"/>
      <c r="F21" s="24"/>
      <c r="G21" s="24"/>
      <c r="H21" s="126"/>
    </row>
    <row r="22">
      <c r="D22" s="16" t="s">
        <v>85</v>
      </c>
      <c r="E22" s="78">
        <v>29.0</v>
      </c>
      <c r="F22" s="15">
        <v>200.0</v>
      </c>
      <c r="G22" s="15">
        <f t="shared" ref="G22:G272" si="2">E22*F22</f>
        <v>5800</v>
      </c>
      <c r="H22" s="126"/>
    </row>
    <row r="23">
      <c r="D23" s="16" t="s">
        <v>86</v>
      </c>
      <c r="E23" s="78">
        <v>1.0</v>
      </c>
      <c r="F23" s="15">
        <v>300.0</v>
      </c>
      <c r="G23" s="15">
        <f t="shared" si="2"/>
        <v>300</v>
      </c>
      <c r="H23" s="126"/>
    </row>
    <row r="24">
      <c r="D24" s="16" t="s">
        <v>87</v>
      </c>
      <c r="E24" s="20">
        <v>5.0</v>
      </c>
      <c r="F24" s="15">
        <v>1850.0</v>
      </c>
      <c r="G24" s="15">
        <f t="shared" si="2"/>
        <v>9250</v>
      </c>
      <c r="H24" s="126"/>
    </row>
    <row r="25">
      <c r="D25" s="79" t="s">
        <v>88</v>
      </c>
      <c r="E25" s="129">
        <v>4.0</v>
      </c>
      <c r="F25" s="132">
        <v>250.0</v>
      </c>
      <c r="G25" s="130">
        <f t="shared" si="2"/>
        <v>1000</v>
      </c>
      <c r="H25" s="133"/>
    </row>
    <row r="26">
      <c r="D26" s="20" t="s">
        <v>89</v>
      </c>
      <c r="E26" s="124">
        <v>3.0</v>
      </c>
      <c r="F26" s="134">
        <v>1500.0</v>
      </c>
      <c r="G26" s="125">
        <f t="shared" si="2"/>
        <v>4500</v>
      </c>
      <c r="H26" s="133"/>
    </row>
    <row r="27">
      <c r="D27" s="123" t="s">
        <v>90</v>
      </c>
      <c r="E27" s="124">
        <v>10.0</v>
      </c>
      <c r="F27" s="125">
        <v>100.0</v>
      </c>
      <c r="G27" s="125">
        <f t="shared" si="2"/>
        <v>1000</v>
      </c>
      <c r="H27" s="133"/>
    </row>
    <row r="28">
      <c r="D28" s="123" t="s">
        <v>91</v>
      </c>
      <c r="E28" s="133">
        <v>1.0</v>
      </c>
      <c r="F28" s="125">
        <v>500.0</v>
      </c>
      <c r="G28" s="125">
        <f t="shared" si="2"/>
        <v>500</v>
      </c>
      <c r="H28" s="133"/>
    </row>
    <row r="29">
      <c r="D29" s="16" t="s">
        <v>92</v>
      </c>
      <c r="E29" s="78">
        <v>1.0</v>
      </c>
      <c r="F29" s="15">
        <v>500.0</v>
      </c>
      <c r="G29" s="125">
        <f t="shared" si="2"/>
        <v>500</v>
      </c>
      <c r="H29" s="133"/>
    </row>
    <row r="30">
      <c r="D30" s="123" t="s">
        <v>93</v>
      </c>
      <c r="E30" s="133">
        <v>2.0</v>
      </c>
      <c r="F30" s="125">
        <v>380.0</v>
      </c>
      <c r="G30" s="125">
        <f t="shared" si="2"/>
        <v>760</v>
      </c>
      <c r="H30" s="133"/>
    </row>
    <row r="31">
      <c r="D31" s="123" t="s">
        <v>94</v>
      </c>
      <c r="E31" s="133">
        <v>51.0</v>
      </c>
      <c r="F31" s="125">
        <v>70.0</v>
      </c>
      <c r="G31" s="125">
        <f t="shared" si="2"/>
        <v>3570</v>
      </c>
      <c r="H31" s="133"/>
    </row>
    <row r="32">
      <c r="D32" s="123" t="s">
        <v>95</v>
      </c>
      <c r="E32" s="133">
        <v>0.5</v>
      </c>
      <c r="F32" s="125">
        <v>1600.0</v>
      </c>
      <c r="G32" s="125">
        <f t="shared" si="2"/>
        <v>800</v>
      </c>
      <c r="H32" s="133"/>
    </row>
    <row r="33">
      <c r="D33" s="123" t="s">
        <v>96</v>
      </c>
      <c r="E33" s="133">
        <v>10.0</v>
      </c>
      <c r="F33" s="125">
        <v>1650.0</v>
      </c>
      <c r="G33" s="125">
        <f t="shared" si="2"/>
        <v>16500</v>
      </c>
      <c r="H33" s="133"/>
    </row>
    <row r="34">
      <c r="D34" s="20" t="s">
        <v>96</v>
      </c>
      <c r="E34" s="124">
        <v>5.0</v>
      </c>
      <c r="F34" s="134">
        <v>1800.0</v>
      </c>
      <c r="G34" s="125">
        <f t="shared" si="2"/>
        <v>9000</v>
      </c>
      <c r="H34" s="133"/>
    </row>
    <row r="35">
      <c r="D35" s="123" t="s">
        <v>97</v>
      </c>
      <c r="E35" s="133">
        <v>1.0</v>
      </c>
      <c r="F35" s="125">
        <v>650.0</v>
      </c>
      <c r="G35" s="125">
        <f t="shared" si="2"/>
        <v>650</v>
      </c>
      <c r="H35" s="133"/>
    </row>
    <row r="36">
      <c r="D36" s="123" t="s">
        <v>98</v>
      </c>
      <c r="E36" s="133">
        <v>1.0</v>
      </c>
      <c r="F36" s="125">
        <v>250.0</v>
      </c>
      <c r="G36" s="125">
        <f t="shared" si="2"/>
        <v>250</v>
      </c>
      <c r="H36" s="133"/>
    </row>
    <row r="37">
      <c r="D37" s="79" t="s">
        <v>99</v>
      </c>
      <c r="E37" s="129">
        <v>4.0</v>
      </c>
      <c r="F37" s="132">
        <v>810.0</v>
      </c>
      <c r="G37" s="130">
        <f t="shared" si="2"/>
        <v>3240</v>
      </c>
      <c r="H37" s="133"/>
    </row>
    <row r="38">
      <c r="D38" s="20" t="s">
        <v>100</v>
      </c>
      <c r="E38" s="124">
        <v>8.0</v>
      </c>
      <c r="F38" s="134">
        <v>260.0</v>
      </c>
      <c r="G38" s="125">
        <f t="shared" si="2"/>
        <v>2080</v>
      </c>
      <c r="H38" s="133"/>
    </row>
    <row r="39">
      <c r="D39" s="20" t="s">
        <v>101</v>
      </c>
      <c r="E39" s="124">
        <v>17.0</v>
      </c>
      <c r="F39" s="134">
        <v>240.0</v>
      </c>
      <c r="G39" s="125">
        <f t="shared" si="2"/>
        <v>4080</v>
      </c>
      <c r="H39" s="133"/>
    </row>
    <row r="40">
      <c r="D40" s="20" t="s">
        <v>102</v>
      </c>
      <c r="E40" s="124">
        <v>12.0</v>
      </c>
      <c r="F40" s="134">
        <v>300.0</v>
      </c>
      <c r="G40" s="125">
        <f t="shared" si="2"/>
        <v>3600</v>
      </c>
      <c r="H40" s="133"/>
    </row>
    <row r="41">
      <c r="D41" s="123" t="s">
        <v>103</v>
      </c>
      <c r="E41" s="124">
        <v>26.0</v>
      </c>
      <c r="F41" s="125">
        <v>1000.0</v>
      </c>
      <c r="G41" s="125">
        <f t="shared" si="2"/>
        <v>26000</v>
      </c>
      <c r="H41" s="133"/>
    </row>
    <row r="42">
      <c r="D42" s="123" t="s">
        <v>104</v>
      </c>
      <c r="E42" s="124">
        <v>1.0</v>
      </c>
      <c r="F42" s="125">
        <v>1000.0</v>
      </c>
      <c r="G42" s="125">
        <f t="shared" si="2"/>
        <v>1000</v>
      </c>
      <c r="H42" s="133"/>
    </row>
    <row r="43">
      <c r="D43" s="16" t="s">
        <v>105</v>
      </c>
      <c r="E43" s="20">
        <v>4.0</v>
      </c>
      <c r="F43" s="15">
        <v>1000.0</v>
      </c>
      <c r="G43" s="125">
        <f t="shared" si="2"/>
        <v>4000</v>
      </c>
      <c r="H43" s="133"/>
    </row>
    <row r="44">
      <c r="A44" s="135"/>
      <c r="B44" s="135"/>
      <c r="C44" s="135"/>
      <c r="D44" s="136" t="s">
        <v>106</v>
      </c>
      <c r="E44" s="137">
        <v>10.0</v>
      </c>
      <c r="F44" s="138">
        <v>450.0</v>
      </c>
      <c r="G44" s="139">
        <f t="shared" si="2"/>
        <v>4500</v>
      </c>
      <c r="H44" s="140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5"/>
    </row>
    <row r="45">
      <c r="D45" s="20" t="s">
        <v>107</v>
      </c>
      <c r="E45" s="124">
        <v>1.0</v>
      </c>
      <c r="F45" s="134">
        <v>700.0</v>
      </c>
      <c r="G45" s="125">
        <f t="shared" si="2"/>
        <v>700</v>
      </c>
      <c r="H45" s="133"/>
    </row>
    <row r="46">
      <c r="D46" s="20" t="s">
        <v>108</v>
      </c>
      <c r="E46" s="124">
        <v>12.0</v>
      </c>
      <c r="F46" s="134">
        <v>70.0</v>
      </c>
      <c r="G46" s="125">
        <f t="shared" si="2"/>
        <v>840</v>
      </c>
      <c r="H46" s="133"/>
    </row>
    <row r="47">
      <c r="D47" s="79" t="s">
        <v>109</v>
      </c>
      <c r="E47" s="129">
        <v>6.0</v>
      </c>
      <c r="F47" s="132">
        <v>115.0</v>
      </c>
      <c r="G47" s="130">
        <f t="shared" si="2"/>
        <v>690</v>
      </c>
      <c r="H47" s="133"/>
    </row>
    <row r="48">
      <c r="D48" s="20" t="s">
        <v>110</v>
      </c>
      <c r="E48" s="124">
        <v>1.0</v>
      </c>
      <c r="F48" s="134">
        <v>600.0</v>
      </c>
      <c r="G48" s="125">
        <f t="shared" si="2"/>
        <v>600</v>
      </c>
      <c r="H48" s="133"/>
    </row>
    <row r="49">
      <c r="D49" s="20" t="s">
        <v>111</v>
      </c>
      <c r="E49" s="124">
        <v>6.0</v>
      </c>
      <c r="F49" s="134">
        <v>225.0</v>
      </c>
      <c r="G49" s="125">
        <f t="shared" si="2"/>
        <v>1350</v>
      </c>
      <c r="H49" s="133"/>
    </row>
    <row r="50">
      <c r="D50" s="20" t="s">
        <v>112</v>
      </c>
      <c r="E50" s="124">
        <v>7.0</v>
      </c>
      <c r="F50" s="134">
        <v>100.0</v>
      </c>
      <c r="G50" s="125">
        <f t="shared" si="2"/>
        <v>700</v>
      </c>
      <c r="H50" s="133"/>
    </row>
    <row r="51">
      <c r="D51" s="20" t="s">
        <v>113</v>
      </c>
      <c r="E51" s="124">
        <v>2.5</v>
      </c>
      <c r="F51" s="134">
        <v>850.0</v>
      </c>
      <c r="G51" s="125">
        <f t="shared" si="2"/>
        <v>2125</v>
      </c>
      <c r="H51" s="133"/>
    </row>
    <row r="52">
      <c r="D52" s="20" t="s">
        <v>114</v>
      </c>
      <c r="E52" s="124">
        <v>7.0</v>
      </c>
      <c r="F52" s="134">
        <v>200.0</v>
      </c>
      <c r="G52" s="125">
        <f t="shared" si="2"/>
        <v>1400</v>
      </c>
      <c r="H52" s="133"/>
    </row>
    <row r="53">
      <c r="D53" s="20" t="s">
        <v>115</v>
      </c>
      <c r="E53" s="124">
        <v>2.0</v>
      </c>
      <c r="F53" s="134">
        <v>200.0</v>
      </c>
      <c r="G53" s="125">
        <f t="shared" si="2"/>
        <v>400</v>
      </c>
      <c r="H53" s="133"/>
    </row>
    <row r="54">
      <c r="D54" s="20" t="s">
        <v>116</v>
      </c>
      <c r="E54" s="124">
        <v>2.0</v>
      </c>
      <c r="F54" s="134">
        <v>80.0</v>
      </c>
      <c r="G54" s="125">
        <f t="shared" si="2"/>
        <v>160</v>
      </c>
      <c r="H54" s="133"/>
    </row>
    <row r="55">
      <c r="D55" s="20" t="s">
        <v>117</v>
      </c>
      <c r="E55" s="124">
        <v>1.0</v>
      </c>
      <c r="F55" s="134">
        <v>400.0</v>
      </c>
      <c r="G55" s="125">
        <f t="shared" si="2"/>
        <v>400</v>
      </c>
      <c r="H55" s="133"/>
    </row>
    <row r="56">
      <c r="D56" s="123" t="s">
        <v>118</v>
      </c>
      <c r="E56" s="133">
        <v>24.0</v>
      </c>
      <c r="F56" s="125">
        <v>84.0</v>
      </c>
      <c r="G56" s="125">
        <f t="shared" si="2"/>
        <v>2016</v>
      </c>
      <c r="H56" s="133"/>
    </row>
    <row r="57">
      <c r="D57" s="123" t="s">
        <v>119</v>
      </c>
      <c r="E57" s="133">
        <v>24.0</v>
      </c>
      <c r="F57" s="125">
        <v>57.0</v>
      </c>
      <c r="G57" s="125">
        <f t="shared" si="2"/>
        <v>1368</v>
      </c>
      <c r="H57" s="133"/>
    </row>
    <row r="58">
      <c r="D58" s="123" t="s">
        <v>120</v>
      </c>
      <c r="E58" s="133">
        <v>36.0</v>
      </c>
      <c r="F58" s="125">
        <v>54.0</v>
      </c>
      <c r="G58" s="125">
        <f t="shared" si="2"/>
        <v>1944</v>
      </c>
      <c r="H58" s="133"/>
    </row>
    <row r="59">
      <c r="D59" s="123" t="s">
        <v>121</v>
      </c>
      <c r="E59" s="133">
        <v>3.0</v>
      </c>
      <c r="F59" s="125">
        <v>650.0</v>
      </c>
      <c r="G59" s="125">
        <f t="shared" si="2"/>
        <v>1950</v>
      </c>
      <c r="H59" s="133"/>
    </row>
    <row r="60">
      <c r="D60" s="16" t="s">
        <v>122</v>
      </c>
      <c r="E60" s="78">
        <v>9.0</v>
      </c>
      <c r="F60" s="15">
        <v>200.0</v>
      </c>
      <c r="G60" s="125">
        <f t="shared" si="2"/>
        <v>1800</v>
      </c>
      <c r="H60" s="133"/>
    </row>
    <row r="61">
      <c r="D61" s="123" t="s">
        <v>123</v>
      </c>
      <c r="E61" s="124">
        <v>50.0</v>
      </c>
      <c r="F61" s="125">
        <v>20.0</v>
      </c>
      <c r="G61" s="125">
        <f t="shared" si="2"/>
        <v>1000</v>
      </c>
      <c r="H61" s="133"/>
    </row>
    <row r="62">
      <c r="D62" s="123" t="s">
        <v>124</v>
      </c>
      <c r="E62" s="124">
        <v>4.0</v>
      </c>
      <c r="F62" s="125">
        <v>1800.0</v>
      </c>
      <c r="G62" s="125">
        <f t="shared" si="2"/>
        <v>7200</v>
      </c>
      <c r="H62" s="133"/>
    </row>
    <row r="63">
      <c r="D63" s="123" t="s">
        <v>125</v>
      </c>
      <c r="E63" s="124">
        <v>11.0</v>
      </c>
      <c r="F63" s="125">
        <v>200.0</v>
      </c>
      <c r="G63" s="125">
        <f t="shared" si="2"/>
        <v>2200</v>
      </c>
      <c r="H63" s="133"/>
    </row>
    <row r="64">
      <c r="D64" s="16" t="s">
        <v>126</v>
      </c>
      <c r="E64" s="20">
        <v>5.0</v>
      </c>
      <c r="F64" s="15">
        <v>320.0</v>
      </c>
      <c r="G64" s="125">
        <f t="shared" si="2"/>
        <v>1600</v>
      </c>
      <c r="H64" s="126"/>
    </row>
    <row r="65">
      <c r="D65" s="16" t="s">
        <v>127</v>
      </c>
      <c r="E65" s="20">
        <v>2.0</v>
      </c>
      <c r="F65" s="15">
        <v>500.0</v>
      </c>
      <c r="G65" s="125">
        <f t="shared" si="2"/>
        <v>1000</v>
      </c>
      <c r="H65" s="19"/>
    </row>
    <row r="66">
      <c r="D66" s="16" t="s">
        <v>128</v>
      </c>
      <c r="E66" s="20">
        <v>1.0</v>
      </c>
      <c r="F66" s="15">
        <v>1200.0</v>
      </c>
      <c r="G66" s="125">
        <f t="shared" si="2"/>
        <v>1200</v>
      </c>
      <c r="H66" s="19"/>
    </row>
    <row r="67">
      <c r="D67" s="16" t="s">
        <v>129</v>
      </c>
      <c r="E67" s="78">
        <v>2.0</v>
      </c>
      <c r="F67" s="15">
        <v>1150.0</v>
      </c>
      <c r="G67" s="125">
        <f t="shared" si="2"/>
        <v>2300</v>
      </c>
      <c r="H67" s="19"/>
    </row>
    <row r="68">
      <c r="D68" s="16" t="s">
        <v>130</v>
      </c>
      <c r="E68" s="78">
        <v>2.0</v>
      </c>
      <c r="F68" s="15">
        <v>950.0</v>
      </c>
      <c r="G68" s="125">
        <f t="shared" si="2"/>
        <v>1900</v>
      </c>
      <c r="H68" s="19"/>
    </row>
    <row r="69">
      <c r="D69" s="50" t="s">
        <v>131</v>
      </c>
      <c r="E69" s="20">
        <v>0.5</v>
      </c>
      <c r="F69" s="18">
        <v>3000.0</v>
      </c>
      <c r="G69" s="125">
        <f t="shared" si="2"/>
        <v>1500</v>
      </c>
      <c r="H69" s="19"/>
    </row>
    <row r="70">
      <c r="D70" s="50" t="s">
        <v>132</v>
      </c>
      <c r="E70" s="20">
        <v>30.0</v>
      </c>
      <c r="F70" s="18">
        <v>70.0</v>
      </c>
      <c r="G70" s="125">
        <f t="shared" si="2"/>
        <v>2100</v>
      </c>
      <c r="H70" s="19"/>
    </row>
    <row r="71">
      <c r="D71" s="50" t="s">
        <v>90</v>
      </c>
      <c r="E71" s="20">
        <v>6.0</v>
      </c>
      <c r="F71" s="18">
        <v>100.0</v>
      </c>
      <c r="G71" s="125">
        <f t="shared" si="2"/>
        <v>600</v>
      </c>
      <c r="H71" s="19"/>
    </row>
    <row r="72">
      <c r="D72" s="50" t="s">
        <v>133</v>
      </c>
      <c r="E72" s="20">
        <v>2.0</v>
      </c>
      <c r="F72" s="18">
        <v>800.0</v>
      </c>
      <c r="G72" s="125">
        <f t="shared" si="2"/>
        <v>1600</v>
      </c>
      <c r="H72" s="19"/>
    </row>
    <row r="73">
      <c r="D73" s="50" t="s">
        <v>134</v>
      </c>
      <c r="E73" s="20">
        <v>2.0</v>
      </c>
      <c r="F73" s="18">
        <v>600.0</v>
      </c>
      <c r="G73" s="125">
        <f t="shared" si="2"/>
        <v>1200</v>
      </c>
      <c r="H73" s="19"/>
    </row>
    <row r="74">
      <c r="D74" s="50" t="s">
        <v>135</v>
      </c>
      <c r="E74" s="20">
        <v>50.0</v>
      </c>
      <c r="F74" s="18">
        <v>11.5</v>
      </c>
      <c r="G74" s="125">
        <f t="shared" si="2"/>
        <v>575</v>
      </c>
      <c r="H74" s="19"/>
    </row>
    <row r="75">
      <c r="D75" s="50" t="s">
        <v>136</v>
      </c>
      <c r="E75" s="20">
        <v>50.0</v>
      </c>
      <c r="F75" s="18">
        <v>11.8</v>
      </c>
      <c r="G75" s="125">
        <f t="shared" si="2"/>
        <v>590</v>
      </c>
      <c r="H75" s="19"/>
    </row>
    <row r="76">
      <c r="D76" s="50" t="s">
        <v>137</v>
      </c>
      <c r="E76" s="20">
        <v>50.0</v>
      </c>
      <c r="F76" s="18">
        <v>15.0</v>
      </c>
      <c r="G76" s="125">
        <f t="shared" si="2"/>
        <v>750</v>
      </c>
      <c r="H76" s="19"/>
    </row>
    <row r="77">
      <c r="D77" s="50" t="s">
        <v>138</v>
      </c>
      <c r="E77" s="20">
        <v>1.0</v>
      </c>
      <c r="F77" s="18">
        <v>730.0</v>
      </c>
      <c r="G77" s="125">
        <f t="shared" si="2"/>
        <v>730</v>
      </c>
      <c r="H77" s="19"/>
    </row>
    <row r="78">
      <c r="D78" s="50" t="s">
        <v>132</v>
      </c>
      <c r="E78" s="20">
        <v>30.0</v>
      </c>
      <c r="F78" s="18">
        <v>75.0</v>
      </c>
      <c r="G78" s="125">
        <f t="shared" si="2"/>
        <v>2250</v>
      </c>
      <c r="H78" s="78"/>
    </row>
    <row r="79">
      <c r="D79" s="50" t="s">
        <v>113</v>
      </c>
      <c r="E79" s="20">
        <v>3.0</v>
      </c>
      <c r="F79" s="18">
        <v>850.0</v>
      </c>
      <c r="G79" s="125">
        <f t="shared" si="2"/>
        <v>2550</v>
      </c>
      <c r="H79" s="78"/>
    </row>
    <row r="80">
      <c r="D80" s="50" t="s">
        <v>112</v>
      </c>
      <c r="E80" s="20">
        <v>20.0</v>
      </c>
      <c r="F80" s="18">
        <v>100.0</v>
      </c>
      <c r="G80" s="125">
        <f t="shared" si="2"/>
        <v>2000</v>
      </c>
      <c r="H80" s="78"/>
    </row>
    <row r="81">
      <c r="D81" s="50" t="s">
        <v>90</v>
      </c>
      <c r="E81" s="20">
        <v>16.0</v>
      </c>
      <c r="F81" s="18">
        <v>100.0</v>
      </c>
      <c r="G81" s="125">
        <f t="shared" si="2"/>
        <v>1600</v>
      </c>
      <c r="H81" s="78"/>
    </row>
    <row r="82">
      <c r="D82" s="50" t="s">
        <v>139</v>
      </c>
      <c r="E82" s="20">
        <v>1.0</v>
      </c>
      <c r="F82" s="18">
        <v>400.0</v>
      </c>
      <c r="G82" s="125">
        <f t="shared" si="2"/>
        <v>400</v>
      </c>
      <c r="H82" s="78"/>
    </row>
    <row r="83">
      <c r="D83" s="50" t="s">
        <v>140</v>
      </c>
      <c r="E83" s="20">
        <v>5.0</v>
      </c>
      <c r="F83" s="18">
        <v>100.0</v>
      </c>
      <c r="G83" s="125">
        <f t="shared" si="2"/>
        <v>500</v>
      </c>
      <c r="H83" s="78"/>
    </row>
    <row r="84">
      <c r="D84" s="50" t="s">
        <v>141</v>
      </c>
      <c r="E84" s="20">
        <v>2.0</v>
      </c>
      <c r="F84" s="18">
        <v>100.0</v>
      </c>
      <c r="G84" s="125">
        <f t="shared" si="2"/>
        <v>200</v>
      </c>
      <c r="H84" s="78"/>
    </row>
    <row r="85">
      <c r="D85" s="50" t="s">
        <v>142</v>
      </c>
      <c r="E85" s="20">
        <v>5.0</v>
      </c>
      <c r="F85" s="18">
        <v>180.0</v>
      </c>
      <c r="G85" s="125">
        <f t="shared" si="2"/>
        <v>900</v>
      </c>
      <c r="H85" s="78"/>
    </row>
    <row r="86">
      <c r="D86" s="50" t="s">
        <v>143</v>
      </c>
      <c r="E86" s="20">
        <v>4.0</v>
      </c>
      <c r="F86" s="18">
        <v>200.0</v>
      </c>
      <c r="G86" s="125">
        <f t="shared" si="2"/>
        <v>800</v>
      </c>
      <c r="H86" s="78"/>
    </row>
    <row r="87">
      <c r="D87" s="50" t="s">
        <v>144</v>
      </c>
      <c r="E87" s="20">
        <v>1.0</v>
      </c>
      <c r="F87" s="18">
        <v>500.0</v>
      </c>
      <c r="G87" s="125">
        <f t="shared" si="2"/>
        <v>500</v>
      </c>
      <c r="H87" s="78"/>
    </row>
    <row r="88">
      <c r="D88" s="50" t="s">
        <v>145</v>
      </c>
      <c r="E88" s="20">
        <v>2.0</v>
      </c>
      <c r="F88" s="18">
        <v>280.0</v>
      </c>
      <c r="G88" s="125">
        <f t="shared" si="2"/>
        <v>560</v>
      </c>
      <c r="H88" s="78"/>
    </row>
    <row r="89">
      <c r="D89" s="50" t="s">
        <v>146</v>
      </c>
      <c r="E89" s="20">
        <v>1.0</v>
      </c>
      <c r="F89" s="18">
        <v>220.0</v>
      </c>
      <c r="G89" s="125">
        <f t="shared" si="2"/>
        <v>220</v>
      </c>
      <c r="H89" s="78"/>
    </row>
    <row r="90">
      <c r="D90" s="50" t="s">
        <v>113</v>
      </c>
      <c r="E90" s="20">
        <v>4.0</v>
      </c>
      <c r="F90" s="18">
        <v>850.0</v>
      </c>
      <c r="G90" s="125">
        <f t="shared" si="2"/>
        <v>3400</v>
      </c>
      <c r="H90" s="78"/>
    </row>
    <row r="91">
      <c r="D91" s="50" t="s">
        <v>132</v>
      </c>
      <c r="E91" s="20">
        <v>50.0</v>
      </c>
      <c r="F91" s="18">
        <v>80.0</v>
      </c>
      <c r="G91" s="125">
        <f t="shared" si="2"/>
        <v>4000</v>
      </c>
      <c r="H91" s="78"/>
    </row>
    <row r="92">
      <c r="D92" s="50" t="s">
        <v>147</v>
      </c>
      <c r="E92" s="20">
        <v>2.0</v>
      </c>
      <c r="F92" s="18">
        <v>200.0</v>
      </c>
      <c r="G92" s="125">
        <f t="shared" si="2"/>
        <v>400</v>
      </c>
      <c r="H92" s="78"/>
    </row>
    <row r="93">
      <c r="D93" s="50" t="s">
        <v>148</v>
      </c>
      <c r="E93" s="20">
        <v>8.0</v>
      </c>
      <c r="F93" s="18">
        <v>200.0</v>
      </c>
      <c r="G93" s="125">
        <f t="shared" si="2"/>
        <v>1600</v>
      </c>
      <c r="H93" s="78"/>
    </row>
    <row r="94">
      <c r="D94" s="50" t="s">
        <v>149</v>
      </c>
      <c r="E94" s="20">
        <v>2.0</v>
      </c>
      <c r="F94" s="18">
        <v>250.0</v>
      </c>
      <c r="G94" s="125">
        <f t="shared" si="2"/>
        <v>500</v>
      </c>
      <c r="H94" s="78"/>
    </row>
    <row r="95">
      <c r="D95" s="50" t="s">
        <v>150</v>
      </c>
      <c r="E95" s="20">
        <v>10.0</v>
      </c>
      <c r="F95" s="18">
        <v>120.0</v>
      </c>
      <c r="G95" s="125">
        <f t="shared" si="2"/>
        <v>1200</v>
      </c>
      <c r="H95" s="78"/>
    </row>
    <row r="96">
      <c r="D96" s="50" t="s">
        <v>90</v>
      </c>
      <c r="E96" s="20">
        <v>160.0</v>
      </c>
      <c r="F96" s="18">
        <v>120.0</v>
      </c>
      <c r="G96" s="125">
        <f t="shared" si="2"/>
        <v>19200</v>
      </c>
      <c r="H96" s="78"/>
    </row>
    <row r="97">
      <c r="D97" s="50" t="s">
        <v>151</v>
      </c>
      <c r="E97" s="20">
        <v>5.0</v>
      </c>
      <c r="F97" s="18">
        <v>30.0</v>
      </c>
      <c r="G97" s="125">
        <f t="shared" si="2"/>
        <v>150</v>
      </c>
      <c r="H97" s="78"/>
    </row>
    <row r="98">
      <c r="D98" s="50" t="s">
        <v>139</v>
      </c>
      <c r="E98" s="20">
        <v>1.0</v>
      </c>
      <c r="F98" s="18">
        <v>400.0</v>
      </c>
      <c r="G98" s="125">
        <f t="shared" si="2"/>
        <v>400</v>
      </c>
      <c r="H98" s="78"/>
    </row>
    <row r="99">
      <c r="D99" s="50" t="s">
        <v>152</v>
      </c>
      <c r="E99" s="20">
        <v>3.0</v>
      </c>
      <c r="F99" s="18">
        <v>1650.0</v>
      </c>
      <c r="G99" s="125">
        <f t="shared" si="2"/>
        <v>4950</v>
      </c>
      <c r="H99" s="78"/>
    </row>
    <row r="100">
      <c r="D100" s="50" t="s">
        <v>153</v>
      </c>
      <c r="E100" s="20">
        <v>3.0</v>
      </c>
      <c r="F100" s="18">
        <v>1350.0</v>
      </c>
      <c r="G100" s="125">
        <f t="shared" si="2"/>
        <v>4050</v>
      </c>
      <c r="H100" s="78"/>
    </row>
    <row r="101">
      <c r="D101" s="50" t="s">
        <v>154</v>
      </c>
      <c r="E101" s="20">
        <v>3.0</v>
      </c>
      <c r="F101" s="18">
        <v>1050.0</v>
      </c>
      <c r="G101" s="125">
        <f t="shared" si="2"/>
        <v>3150</v>
      </c>
      <c r="H101" s="78"/>
    </row>
    <row r="102">
      <c r="D102" s="50" t="s">
        <v>155</v>
      </c>
      <c r="E102" s="20">
        <v>2.0</v>
      </c>
      <c r="F102" s="18">
        <v>850.0</v>
      </c>
      <c r="G102" s="125">
        <f t="shared" si="2"/>
        <v>1700</v>
      </c>
      <c r="H102" s="78"/>
    </row>
    <row r="103">
      <c r="D103" s="50" t="s">
        <v>141</v>
      </c>
      <c r="E103" s="20">
        <v>1.5</v>
      </c>
      <c r="F103" s="18">
        <v>100.0</v>
      </c>
      <c r="G103" s="125">
        <f t="shared" si="2"/>
        <v>150</v>
      </c>
      <c r="H103" s="78"/>
    </row>
    <row r="104">
      <c r="D104" s="50" t="s">
        <v>140</v>
      </c>
      <c r="E104" s="20">
        <v>5.0</v>
      </c>
      <c r="F104" s="18">
        <v>100.0</v>
      </c>
      <c r="G104" s="125">
        <f t="shared" si="2"/>
        <v>500</v>
      </c>
      <c r="H104" s="78"/>
    </row>
    <row r="105">
      <c r="D105" s="50" t="s">
        <v>156</v>
      </c>
      <c r="E105" s="20">
        <v>2.0</v>
      </c>
      <c r="F105" s="18">
        <v>800.0</v>
      </c>
      <c r="G105" s="125">
        <f t="shared" si="2"/>
        <v>1600</v>
      </c>
      <c r="H105" s="78"/>
    </row>
    <row r="106">
      <c r="D106" s="50" t="s">
        <v>157</v>
      </c>
      <c r="E106" s="20">
        <v>1.0</v>
      </c>
      <c r="F106" s="18">
        <v>1350.0</v>
      </c>
      <c r="G106" s="125">
        <f t="shared" si="2"/>
        <v>1350</v>
      </c>
      <c r="H106" s="78"/>
    </row>
    <row r="107">
      <c r="D107" s="50" t="s">
        <v>158</v>
      </c>
      <c r="E107" s="20">
        <v>25.0</v>
      </c>
      <c r="F107" s="18">
        <v>80.0</v>
      </c>
      <c r="G107" s="125">
        <f t="shared" si="2"/>
        <v>2000</v>
      </c>
      <c r="H107" s="78"/>
    </row>
    <row r="108">
      <c r="D108" s="50" t="s">
        <v>159</v>
      </c>
      <c r="E108" s="20">
        <v>2.0</v>
      </c>
      <c r="F108" s="18">
        <v>100.0</v>
      </c>
      <c r="G108" s="125">
        <f t="shared" si="2"/>
        <v>200</v>
      </c>
      <c r="H108" s="78"/>
    </row>
    <row r="109">
      <c r="D109" s="50" t="s">
        <v>160</v>
      </c>
      <c r="E109" s="20">
        <v>1.0</v>
      </c>
      <c r="F109" s="18">
        <v>70.0</v>
      </c>
      <c r="G109" s="125">
        <f t="shared" si="2"/>
        <v>70</v>
      </c>
      <c r="H109" s="78"/>
    </row>
    <row r="110">
      <c r="D110" s="50" t="s">
        <v>161</v>
      </c>
      <c r="E110" s="20">
        <v>3.0</v>
      </c>
      <c r="F110" s="18">
        <v>550.0</v>
      </c>
      <c r="G110" s="125">
        <f t="shared" si="2"/>
        <v>1650</v>
      </c>
      <c r="H110" s="78"/>
    </row>
    <row r="111">
      <c r="D111" s="50" t="s">
        <v>162</v>
      </c>
      <c r="E111" s="20">
        <v>5.0</v>
      </c>
      <c r="F111" s="18">
        <v>120.0</v>
      </c>
      <c r="G111" s="125">
        <f t="shared" si="2"/>
        <v>600</v>
      </c>
      <c r="H111" s="78"/>
    </row>
    <row r="112">
      <c r="D112" s="50" t="s">
        <v>150</v>
      </c>
      <c r="E112" s="20">
        <v>1.0</v>
      </c>
      <c r="F112" s="18">
        <v>100.0</v>
      </c>
      <c r="G112" s="125">
        <f t="shared" si="2"/>
        <v>100</v>
      </c>
      <c r="H112" s="78"/>
    </row>
    <row r="113">
      <c r="D113" s="50" t="s">
        <v>163</v>
      </c>
      <c r="E113" s="20">
        <v>1.0</v>
      </c>
      <c r="F113" s="18">
        <v>450.0</v>
      </c>
      <c r="G113" s="125">
        <f t="shared" si="2"/>
        <v>450</v>
      </c>
      <c r="H113" s="78"/>
    </row>
    <row r="114">
      <c r="D114" s="50" t="s">
        <v>164</v>
      </c>
      <c r="E114" s="20">
        <v>0.8</v>
      </c>
      <c r="F114" s="18">
        <v>850.0</v>
      </c>
      <c r="G114" s="125">
        <f t="shared" si="2"/>
        <v>680</v>
      </c>
      <c r="H114" s="78"/>
    </row>
    <row r="115">
      <c r="D115" s="50" t="s">
        <v>165</v>
      </c>
      <c r="E115" s="20">
        <v>1.0</v>
      </c>
      <c r="F115" s="18">
        <v>50.0</v>
      </c>
      <c r="G115" s="15">
        <f t="shared" si="2"/>
        <v>50</v>
      </c>
      <c r="H115" s="78"/>
    </row>
    <row r="116">
      <c r="D116" s="50" t="s">
        <v>166</v>
      </c>
      <c r="E116" s="20">
        <v>2.0</v>
      </c>
      <c r="F116" s="18">
        <v>50.0</v>
      </c>
      <c r="G116" s="15">
        <f t="shared" si="2"/>
        <v>100</v>
      </c>
      <c r="H116" s="78"/>
    </row>
    <row r="117">
      <c r="D117" s="50" t="s">
        <v>167</v>
      </c>
      <c r="E117" s="20">
        <v>2.0</v>
      </c>
      <c r="F117" s="18">
        <v>700.0</v>
      </c>
      <c r="G117" s="15">
        <f t="shared" si="2"/>
        <v>1400</v>
      </c>
      <c r="H117" s="78"/>
    </row>
    <row r="118">
      <c r="D118" s="50" t="s">
        <v>168</v>
      </c>
      <c r="E118" s="20">
        <v>2.0</v>
      </c>
      <c r="F118" s="18">
        <v>80.0</v>
      </c>
      <c r="G118" s="15">
        <f t="shared" si="2"/>
        <v>160</v>
      </c>
      <c r="H118" s="78"/>
    </row>
    <row r="119">
      <c r="D119" s="50" t="s">
        <v>132</v>
      </c>
      <c r="E119" s="20">
        <v>25.0</v>
      </c>
      <c r="F119" s="18">
        <v>80.0</v>
      </c>
      <c r="G119" s="15">
        <f t="shared" si="2"/>
        <v>2000</v>
      </c>
      <c r="H119" s="78"/>
    </row>
    <row r="120">
      <c r="D120" s="50" t="s">
        <v>132</v>
      </c>
      <c r="E120" s="20">
        <v>25.0</v>
      </c>
      <c r="F120" s="18">
        <v>80.0</v>
      </c>
      <c r="G120" s="15">
        <f t="shared" si="2"/>
        <v>2000</v>
      </c>
      <c r="H120" s="17">
        <v>45358.0</v>
      </c>
    </row>
    <row r="121">
      <c r="D121" s="50" t="s">
        <v>169</v>
      </c>
      <c r="E121" s="20">
        <v>1.0</v>
      </c>
      <c r="F121" s="18">
        <v>1000.0</v>
      </c>
      <c r="G121" s="15">
        <f t="shared" si="2"/>
        <v>1000</v>
      </c>
      <c r="H121" s="78"/>
    </row>
    <row r="122">
      <c r="D122" s="50" t="s">
        <v>112</v>
      </c>
      <c r="E122" s="20">
        <v>20.0</v>
      </c>
      <c r="F122" s="18">
        <v>100.0</v>
      </c>
      <c r="G122" s="15">
        <f t="shared" si="2"/>
        <v>2000</v>
      </c>
      <c r="H122" s="78"/>
    </row>
    <row r="123">
      <c r="D123" s="50" t="s">
        <v>162</v>
      </c>
      <c r="E123" s="20">
        <v>35.0</v>
      </c>
      <c r="F123" s="18">
        <v>120.0</v>
      </c>
      <c r="G123" s="15">
        <f t="shared" si="2"/>
        <v>4200</v>
      </c>
      <c r="H123" s="78"/>
    </row>
    <row r="124">
      <c r="D124" s="50" t="s">
        <v>170</v>
      </c>
      <c r="E124" s="20">
        <v>30.0</v>
      </c>
      <c r="F124" s="18">
        <v>100.0</v>
      </c>
      <c r="G124" s="15">
        <f t="shared" si="2"/>
        <v>3000</v>
      </c>
      <c r="H124" s="78"/>
    </row>
    <row r="125">
      <c r="D125" s="50" t="s">
        <v>171</v>
      </c>
      <c r="E125" s="20">
        <v>12.0</v>
      </c>
      <c r="F125" s="18">
        <v>80.0</v>
      </c>
      <c r="G125" s="15">
        <f t="shared" si="2"/>
        <v>960</v>
      </c>
      <c r="H125" s="78"/>
    </row>
    <row r="126">
      <c r="D126" s="50" t="s">
        <v>172</v>
      </c>
      <c r="E126" s="20">
        <v>2.0</v>
      </c>
      <c r="F126" s="18">
        <v>500.0</v>
      </c>
      <c r="G126" s="15">
        <f t="shared" si="2"/>
        <v>1000</v>
      </c>
      <c r="H126" s="78"/>
    </row>
    <row r="127">
      <c r="D127" s="50" t="s">
        <v>173</v>
      </c>
      <c r="E127" s="20">
        <v>1.0</v>
      </c>
      <c r="F127" s="18">
        <v>1000.0</v>
      </c>
      <c r="G127" s="15">
        <f t="shared" si="2"/>
        <v>1000</v>
      </c>
      <c r="H127" s="78"/>
    </row>
    <row r="128">
      <c r="D128" s="50" t="s">
        <v>174</v>
      </c>
      <c r="E128" s="20">
        <v>2.0</v>
      </c>
      <c r="F128" s="18">
        <v>500.0</v>
      </c>
      <c r="G128" s="15">
        <f t="shared" si="2"/>
        <v>1000</v>
      </c>
      <c r="H128" s="78"/>
    </row>
    <row r="129">
      <c r="D129" s="50" t="s">
        <v>175</v>
      </c>
      <c r="E129" s="20">
        <v>42.0</v>
      </c>
      <c r="F129" s="18">
        <v>236.0</v>
      </c>
      <c r="G129" s="15">
        <f t="shared" si="2"/>
        <v>9912</v>
      </c>
      <c r="H129" s="17">
        <v>45358.0</v>
      </c>
    </row>
    <row r="130">
      <c r="D130" s="50" t="s">
        <v>70</v>
      </c>
      <c r="E130" s="20">
        <v>25.0</v>
      </c>
      <c r="F130" s="18">
        <v>104.0</v>
      </c>
      <c r="G130" s="15">
        <f t="shared" si="2"/>
        <v>2600</v>
      </c>
      <c r="H130" s="78"/>
    </row>
    <row r="131">
      <c r="D131" s="50" t="s">
        <v>176</v>
      </c>
      <c r="E131" s="20">
        <v>1.0</v>
      </c>
      <c r="F131" s="18">
        <v>200.0</v>
      </c>
      <c r="G131" s="15">
        <f t="shared" si="2"/>
        <v>200</v>
      </c>
      <c r="H131" s="78"/>
    </row>
    <row r="132">
      <c r="D132" s="50" t="s">
        <v>177</v>
      </c>
      <c r="E132" s="20">
        <v>2.0</v>
      </c>
      <c r="F132" s="18">
        <v>100.0</v>
      </c>
      <c r="G132" s="15">
        <f t="shared" si="2"/>
        <v>200</v>
      </c>
      <c r="H132" s="78"/>
    </row>
    <row r="133">
      <c r="D133" s="50" t="s">
        <v>178</v>
      </c>
      <c r="E133" s="20">
        <v>2.0</v>
      </c>
      <c r="F133" s="18">
        <v>150.0</v>
      </c>
      <c r="G133" s="15">
        <f t="shared" si="2"/>
        <v>300</v>
      </c>
      <c r="H133" s="78"/>
    </row>
    <row r="134">
      <c r="D134" s="50" t="s">
        <v>142</v>
      </c>
      <c r="E134" s="20">
        <v>4.0</v>
      </c>
      <c r="F134" s="18">
        <v>220.0</v>
      </c>
      <c r="G134" s="15">
        <f t="shared" si="2"/>
        <v>880</v>
      </c>
      <c r="H134" s="78"/>
    </row>
    <row r="135">
      <c r="D135" s="50" t="s">
        <v>179</v>
      </c>
      <c r="E135" s="20">
        <v>1.0</v>
      </c>
      <c r="F135" s="18">
        <v>400.0</v>
      </c>
      <c r="G135" s="15">
        <f t="shared" si="2"/>
        <v>400</v>
      </c>
      <c r="H135" s="78"/>
    </row>
    <row r="136">
      <c r="D136" s="50" t="s">
        <v>180</v>
      </c>
      <c r="E136" s="20">
        <v>0.5</v>
      </c>
      <c r="F136" s="18">
        <v>600.0</v>
      </c>
      <c r="G136" s="15">
        <f t="shared" si="2"/>
        <v>300</v>
      </c>
      <c r="H136" s="78"/>
    </row>
    <row r="137">
      <c r="D137" s="50" t="s">
        <v>111</v>
      </c>
      <c r="E137" s="20">
        <v>2.0</v>
      </c>
      <c r="F137" s="18">
        <v>200.0</v>
      </c>
      <c r="G137" s="15">
        <f t="shared" si="2"/>
        <v>400</v>
      </c>
      <c r="H137" s="78"/>
    </row>
    <row r="138">
      <c r="D138" s="50" t="s">
        <v>145</v>
      </c>
      <c r="E138" s="20">
        <v>2.0</v>
      </c>
      <c r="F138" s="18">
        <v>280.0</v>
      </c>
      <c r="G138" s="15">
        <f t="shared" si="2"/>
        <v>560</v>
      </c>
      <c r="H138" s="78"/>
    </row>
    <row r="139">
      <c r="D139" s="50" t="s">
        <v>181</v>
      </c>
      <c r="E139" s="20">
        <v>25.0</v>
      </c>
      <c r="F139" s="18">
        <v>80.0</v>
      </c>
      <c r="G139" s="15">
        <f t="shared" si="2"/>
        <v>2000</v>
      </c>
      <c r="H139" s="78"/>
    </row>
    <row r="140">
      <c r="D140" s="50" t="s">
        <v>181</v>
      </c>
      <c r="E140" s="20">
        <v>20.0</v>
      </c>
      <c r="F140" s="18">
        <v>75.0</v>
      </c>
      <c r="G140" s="15">
        <f t="shared" si="2"/>
        <v>1500</v>
      </c>
      <c r="H140" s="78"/>
    </row>
    <row r="141">
      <c r="D141" s="50" t="s">
        <v>182</v>
      </c>
      <c r="E141" s="20">
        <v>10.0</v>
      </c>
      <c r="F141" s="18">
        <v>1300.0</v>
      </c>
      <c r="G141" s="15">
        <f t="shared" si="2"/>
        <v>13000</v>
      </c>
      <c r="H141" s="78"/>
    </row>
    <row r="142">
      <c r="D142" s="50" t="s">
        <v>183</v>
      </c>
      <c r="E142" s="20">
        <v>2.0</v>
      </c>
      <c r="F142" s="18">
        <v>550.0</v>
      </c>
      <c r="G142" s="15">
        <f t="shared" si="2"/>
        <v>1100</v>
      </c>
      <c r="H142" s="78"/>
    </row>
    <row r="143">
      <c r="D143" s="50" t="s">
        <v>184</v>
      </c>
      <c r="E143" s="20">
        <v>2.0</v>
      </c>
      <c r="F143" s="18">
        <v>900.0</v>
      </c>
      <c r="G143" s="15">
        <f t="shared" si="2"/>
        <v>1800</v>
      </c>
      <c r="H143" s="78"/>
    </row>
    <row r="144">
      <c r="D144" s="50" t="s">
        <v>185</v>
      </c>
      <c r="E144" s="20">
        <v>1.5</v>
      </c>
      <c r="F144" s="18">
        <v>900.0</v>
      </c>
      <c r="G144" s="15">
        <f t="shared" si="2"/>
        <v>1350</v>
      </c>
      <c r="H144" s="78"/>
    </row>
    <row r="145">
      <c r="D145" s="50" t="s">
        <v>185</v>
      </c>
      <c r="E145" s="20">
        <v>2.25</v>
      </c>
      <c r="F145" s="18">
        <v>900.0</v>
      </c>
      <c r="G145" s="15">
        <f t="shared" si="2"/>
        <v>2025</v>
      </c>
      <c r="H145" s="78"/>
    </row>
    <row r="146">
      <c r="D146" s="50" t="s">
        <v>112</v>
      </c>
      <c r="E146" s="20">
        <v>20.0</v>
      </c>
      <c r="F146" s="18">
        <v>100.0</v>
      </c>
      <c r="G146" s="15">
        <f t="shared" si="2"/>
        <v>2000</v>
      </c>
      <c r="H146" s="78"/>
    </row>
    <row r="147">
      <c r="D147" s="50" t="s">
        <v>162</v>
      </c>
      <c r="E147" s="20">
        <v>40.0</v>
      </c>
      <c r="F147" s="18">
        <v>120.0</v>
      </c>
      <c r="G147" s="15">
        <f t="shared" si="2"/>
        <v>4800</v>
      </c>
      <c r="H147" s="78"/>
    </row>
    <row r="148">
      <c r="D148" s="50" t="s">
        <v>186</v>
      </c>
      <c r="E148" s="20">
        <v>0.5</v>
      </c>
      <c r="F148" s="18">
        <v>2500.0</v>
      </c>
      <c r="G148" s="15">
        <f t="shared" si="2"/>
        <v>1250</v>
      </c>
      <c r="H148" s="78"/>
    </row>
    <row r="149">
      <c r="D149" s="50" t="s">
        <v>187</v>
      </c>
      <c r="E149" s="20">
        <v>0.4</v>
      </c>
      <c r="F149" s="18">
        <v>2500.0</v>
      </c>
      <c r="G149" s="15">
        <f t="shared" si="2"/>
        <v>1000</v>
      </c>
      <c r="H149" s="78"/>
    </row>
    <row r="150">
      <c r="D150" s="50" t="s">
        <v>148</v>
      </c>
      <c r="E150" s="20">
        <v>4.0</v>
      </c>
      <c r="F150" s="18">
        <v>360.0</v>
      </c>
      <c r="G150" s="15">
        <f t="shared" si="2"/>
        <v>1440</v>
      </c>
      <c r="H150" s="78"/>
    </row>
    <row r="151">
      <c r="D151" s="50" t="s">
        <v>188</v>
      </c>
      <c r="E151" s="20">
        <v>100.0</v>
      </c>
      <c r="F151" s="18">
        <v>35.0</v>
      </c>
      <c r="G151" s="15">
        <f t="shared" si="2"/>
        <v>3500</v>
      </c>
      <c r="H151" s="78"/>
    </row>
    <row r="152">
      <c r="D152" s="50" t="s">
        <v>154</v>
      </c>
      <c r="E152" s="20">
        <v>3.0</v>
      </c>
      <c r="F152" s="18">
        <v>1200.0</v>
      </c>
      <c r="G152" s="15">
        <f t="shared" si="2"/>
        <v>3600</v>
      </c>
      <c r="H152" s="78"/>
    </row>
    <row r="153">
      <c r="D153" s="50" t="s">
        <v>189</v>
      </c>
      <c r="E153" s="20">
        <v>1.0</v>
      </c>
      <c r="F153" s="18">
        <v>750.0</v>
      </c>
      <c r="G153" s="15">
        <f t="shared" si="2"/>
        <v>750</v>
      </c>
      <c r="H153" s="78"/>
    </row>
    <row r="154">
      <c r="D154" s="50" t="s">
        <v>190</v>
      </c>
      <c r="E154" s="20">
        <v>0.5</v>
      </c>
      <c r="F154" s="18">
        <v>2000.0</v>
      </c>
      <c r="G154" s="15">
        <f t="shared" si="2"/>
        <v>1000</v>
      </c>
      <c r="H154" s="78"/>
    </row>
    <row r="155">
      <c r="D155" s="50" t="s">
        <v>191</v>
      </c>
      <c r="E155" s="20">
        <v>0.25</v>
      </c>
      <c r="F155" s="18">
        <v>4000.0</v>
      </c>
      <c r="G155" s="15">
        <f t="shared" si="2"/>
        <v>1000</v>
      </c>
      <c r="H155" s="78"/>
    </row>
    <row r="156">
      <c r="D156" s="50" t="s">
        <v>192</v>
      </c>
      <c r="E156" s="20">
        <v>12.0</v>
      </c>
      <c r="F156" s="18">
        <v>70.0</v>
      </c>
      <c r="G156" s="15">
        <f t="shared" si="2"/>
        <v>840</v>
      </c>
      <c r="H156" s="78"/>
    </row>
    <row r="157">
      <c r="D157" s="50" t="s">
        <v>193</v>
      </c>
      <c r="E157" s="20">
        <v>65.0</v>
      </c>
      <c r="F157" s="18">
        <v>100.0</v>
      </c>
      <c r="G157" s="15">
        <f t="shared" si="2"/>
        <v>6500</v>
      </c>
      <c r="H157" s="17">
        <v>45362.0</v>
      </c>
    </row>
    <row r="158">
      <c r="D158" s="50" t="s">
        <v>162</v>
      </c>
      <c r="E158" s="20">
        <v>20.0</v>
      </c>
      <c r="F158" s="18">
        <v>120.0</v>
      </c>
      <c r="G158" s="15">
        <f t="shared" si="2"/>
        <v>2400</v>
      </c>
      <c r="H158" s="78"/>
    </row>
    <row r="159">
      <c r="D159" s="50" t="s">
        <v>194</v>
      </c>
      <c r="E159" s="20">
        <v>1.0</v>
      </c>
      <c r="F159" s="18">
        <v>200.0</v>
      </c>
      <c r="G159" s="15">
        <f t="shared" si="2"/>
        <v>200</v>
      </c>
      <c r="H159" s="78"/>
    </row>
    <row r="160">
      <c r="D160" s="50" t="s">
        <v>94</v>
      </c>
      <c r="E160" s="20">
        <v>65.0</v>
      </c>
      <c r="F160" s="18">
        <v>80.0</v>
      </c>
      <c r="G160" s="15">
        <f t="shared" si="2"/>
        <v>5200</v>
      </c>
      <c r="H160" s="78"/>
    </row>
    <row r="161">
      <c r="D161" s="50" t="s">
        <v>164</v>
      </c>
      <c r="E161" s="20">
        <v>2.0</v>
      </c>
      <c r="F161" s="18">
        <v>750.0</v>
      </c>
      <c r="G161" s="15">
        <f t="shared" si="2"/>
        <v>1500</v>
      </c>
      <c r="H161" s="78"/>
    </row>
    <row r="162">
      <c r="D162" s="50" t="s">
        <v>195</v>
      </c>
      <c r="E162" s="20">
        <v>3.0</v>
      </c>
      <c r="F162" s="18">
        <v>85.0</v>
      </c>
      <c r="G162" s="15">
        <f t="shared" si="2"/>
        <v>255</v>
      </c>
      <c r="H162" s="78"/>
    </row>
    <row r="163">
      <c r="D163" s="50" t="s">
        <v>196</v>
      </c>
      <c r="E163" s="20">
        <v>8.0</v>
      </c>
      <c r="F163" s="18">
        <v>180.0</v>
      </c>
      <c r="G163" s="15">
        <f t="shared" si="2"/>
        <v>1440</v>
      </c>
      <c r="H163" s="78"/>
    </row>
    <row r="164">
      <c r="D164" s="50" t="s">
        <v>159</v>
      </c>
      <c r="E164" s="20">
        <v>1.0</v>
      </c>
      <c r="F164" s="18">
        <v>150.0</v>
      </c>
      <c r="G164" s="15">
        <f t="shared" si="2"/>
        <v>150</v>
      </c>
      <c r="H164" s="78"/>
    </row>
    <row r="165">
      <c r="D165" s="50" t="s">
        <v>114</v>
      </c>
      <c r="E165" s="20">
        <v>5.0</v>
      </c>
      <c r="F165" s="18">
        <v>200.0</v>
      </c>
      <c r="G165" s="15">
        <f t="shared" si="2"/>
        <v>1000</v>
      </c>
      <c r="H165" s="78"/>
    </row>
    <row r="166">
      <c r="D166" s="50" t="s">
        <v>197</v>
      </c>
      <c r="E166" s="20">
        <v>1.0</v>
      </c>
      <c r="F166" s="18">
        <v>2250.0</v>
      </c>
      <c r="G166" s="15">
        <f t="shared" si="2"/>
        <v>2250</v>
      </c>
      <c r="H166" s="78"/>
    </row>
    <row r="167">
      <c r="D167" s="50" t="s">
        <v>198</v>
      </c>
      <c r="E167" s="20">
        <v>1.0</v>
      </c>
      <c r="F167" s="18">
        <v>100.0</v>
      </c>
      <c r="G167" s="15">
        <f t="shared" si="2"/>
        <v>100</v>
      </c>
      <c r="H167" s="78"/>
    </row>
    <row r="168">
      <c r="D168" s="50" t="s">
        <v>199</v>
      </c>
      <c r="E168" s="20">
        <v>0.3</v>
      </c>
      <c r="F168" s="18">
        <v>600.0</v>
      </c>
      <c r="G168" s="15">
        <f t="shared" si="2"/>
        <v>180</v>
      </c>
      <c r="H168" s="17">
        <v>45363.0</v>
      </c>
    </row>
    <row r="169">
      <c r="D169" s="50" t="s">
        <v>200</v>
      </c>
      <c r="E169" s="20">
        <v>0.35</v>
      </c>
      <c r="F169" s="18">
        <v>1500.0</v>
      </c>
      <c r="G169" s="15">
        <f t="shared" si="2"/>
        <v>525</v>
      </c>
      <c r="H169" s="78"/>
    </row>
    <row r="170">
      <c r="D170" s="50" t="s">
        <v>201</v>
      </c>
      <c r="E170" s="20">
        <v>0.5</v>
      </c>
      <c r="F170" s="18">
        <v>1000.0</v>
      </c>
      <c r="G170" s="15">
        <f t="shared" si="2"/>
        <v>500</v>
      </c>
      <c r="H170" s="78"/>
    </row>
    <row r="171">
      <c r="D171" s="50" t="s">
        <v>165</v>
      </c>
      <c r="E171" s="20">
        <v>1.0</v>
      </c>
      <c r="F171" s="18">
        <v>600.0</v>
      </c>
      <c r="G171" s="15">
        <f t="shared" si="2"/>
        <v>600</v>
      </c>
      <c r="H171" s="78"/>
    </row>
    <row r="172">
      <c r="D172" s="50" t="s">
        <v>202</v>
      </c>
      <c r="E172" s="20">
        <v>1.0</v>
      </c>
      <c r="F172" s="18">
        <v>600.0</v>
      </c>
      <c r="G172" s="15">
        <f t="shared" si="2"/>
        <v>600</v>
      </c>
      <c r="H172" s="78"/>
    </row>
    <row r="173">
      <c r="D173" s="50" t="s">
        <v>203</v>
      </c>
      <c r="E173" s="20">
        <v>1.0</v>
      </c>
      <c r="F173" s="18">
        <v>400.0</v>
      </c>
      <c r="G173" s="15">
        <f t="shared" si="2"/>
        <v>400</v>
      </c>
      <c r="H173" s="78"/>
    </row>
    <row r="174">
      <c r="D174" s="50" t="s">
        <v>139</v>
      </c>
      <c r="E174" s="20">
        <v>1.0</v>
      </c>
      <c r="F174" s="18">
        <v>400.0</v>
      </c>
      <c r="G174" s="15">
        <f t="shared" si="2"/>
        <v>400</v>
      </c>
      <c r="H174" s="78"/>
    </row>
    <row r="175">
      <c r="D175" s="50" t="s">
        <v>171</v>
      </c>
      <c r="E175" s="20">
        <v>82.0</v>
      </c>
      <c r="F175" s="18">
        <v>80.0</v>
      </c>
      <c r="G175" s="15">
        <f t="shared" si="2"/>
        <v>6560</v>
      </c>
      <c r="H175" s="78"/>
    </row>
    <row r="176">
      <c r="D176" s="50" t="s">
        <v>193</v>
      </c>
      <c r="E176" s="20">
        <v>38.0</v>
      </c>
      <c r="F176" s="18">
        <v>100.0</v>
      </c>
      <c r="G176" s="15">
        <f t="shared" si="2"/>
        <v>3800</v>
      </c>
      <c r="H176" s="78"/>
    </row>
    <row r="177">
      <c r="D177" s="50" t="s">
        <v>144</v>
      </c>
      <c r="E177" s="20">
        <v>4.0</v>
      </c>
      <c r="F177" s="18">
        <v>1550.0</v>
      </c>
      <c r="G177" s="15">
        <f t="shared" si="2"/>
        <v>6200</v>
      </c>
      <c r="H177" s="78"/>
    </row>
    <row r="178">
      <c r="D178" s="50" t="s">
        <v>182</v>
      </c>
      <c r="E178" s="20">
        <v>5.0</v>
      </c>
      <c r="F178" s="18">
        <v>1300.0</v>
      </c>
      <c r="G178" s="15">
        <f t="shared" si="2"/>
        <v>6500</v>
      </c>
      <c r="H178" s="78"/>
    </row>
    <row r="179">
      <c r="D179" s="50" t="s">
        <v>204</v>
      </c>
      <c r="E179" s="20">
        <v>1.0</v>
      </c>
      <c r="F179" s="18">
        <v>1000.0</v>
      </c>
      <c r="G179" s="15">
        <f t="shared" si="2"/>
        <v>1000</v>
      </c>
      <c r="H179" s="78"/>
    </row>
    <row r="180">
      <c r="D180" s="50" t="s">
        <v>193</v>
      </c>
      <c r="E180" s="20">
        <v>40.0</v>
      </c>
      <c r="F180" s="18">
        <v>100.0</v>
      </c>
      <c r="G180" s="15">
        <f t="shared" si="2"/>
        <v>4000</v>
      </c>
      <c r="H180" s="78"/>
    </row>
    <row r="181">
      <c r="D181" s="50" t="s">
        <v>162</v>
      </c>
      <c r="E181" s="20">
        <v>52.0</v>
      </c>
      <c r="F181" s="18">
        <v>140.0</v>
      </c>
      <c r="G181" s="15">
        <f t="shared" si="2"/>
        <v>7280</v>
      </c>
      <c r="H181" s="78"/>
    </row>
    <row r="182">
      <c r="D182" s="50" t="s">
        <v>164</v>
      </c>
      <c r="E182" s="20">
        <v>2.0</v>
      </c>
      <c r="F182" s="18">
        <v>900.0</v>
      </c>
      <c r="G182" s="15">
        <f t="shared" si="2"/>
        <v>1800</v>
      </c>
      <c r="H182" s="78"/>
    </row>
    <row r="183">
      <c r="D183" s="50" t="s">
        <v>205</v>
      </c>
      <c r="E183" s="20">
        <v>2.0</v>
      </c>
      <c r="F183" s="18">
        <v>550.0</v>
      </c>
      <c r="G183" s="15">
        <f t="shared" si="2"/>
        <v>1100</v>
      </c>
      <c r="H183" s="78"/>
    </row>
    <row r="184">
      <c r="D184" s="50" t="s">
        <v>206</v>
      </c>
      <c r="E184" s="20">
        <v>14.0</v>
      </c>
      <c r="F184" s="18">
        <v>220.0</v>
      </c>
      <c r="G184" s="15">
        <f t="shared" si="2"/>
        <v>3080</v>
      </c>
      <c r="H184" s="78"/>
    </row>
    <row r="185">
      <c r="D185" s="50" t="s">
        <v>159</v>
      </c>
      <c r="E185" s="20">
        <v>17.0</v>
      </c>
      <c r="F185" s="18">
        <v>120.0</v>
      </c>
      <c r="G185" s="15">
        <f t="shared" si="2"/>
        <v>2040</v>
      </c>
      <c r="H185" s="78"/>
    </row>
    <row r="186">
      <c r="D186" s="50" t="s">
        <v>186</v>
      </c>
      <c r="E186" s="20">
        <v>0.8</v>
      </c>
      <c r="F186" s="18">
        <v>2500.0</v>
      </c>
      <c r="G186" s="15">
        <f t="shared" si="2"/>
        <v>2000</v>
      </c>
      <c r="H186" s="78"/>
    </row>
    <row r="187">
      <c r="D187" s="50" t="s">
        <v>207</v>
      </c>
      <c r="E187" s="20">
        <v>1.0</v>
      </c>
      <c r="F187" s="18">
        <v>1400.0</v>
      </c>
      <c r="G187" s="15">
        <f t="shared" si="2"/>
        <v>1400</v>
      </c>
      <c r="H187" s="78"/>
    </row>
    <row r="188">
      <c r="D188" s="50" t="s">
        <v>208</v>
      </c>
      <c r="E188" s="20">
        <v>3.0</v>
      </c>
      <c r="F188" s="18">
        <v>230.0</v>
      </c>
      <c r="G188" s="15">
        <f t="shared" si="2"/>
        <v>690</v>
      </c>
      <c r="H188" s="78"/>
    </row>
    <row r="189">
      <c r="D189" s="50" t="s">
        <v>209</v>
      </c>
      <c r="E189" s="20">
        <v>10.0</v>
      </c>
      <c r="F189" s="18">
        <v>20.0</v>
      </c>
      <c r="G189" s="15">
        <f t="shared" si="2"/>
        <v>200</v>
      </c>
      <c r="H189" s="78"/>
    </row>
    <row r="190">
      <c r="D190" s="50" t="s">
        <v>210</v>
      </c>
      <c r="E190" s="20">
        <v>15.0</v>
      </c>
      <c r="F190" s="18">
        <v>40.0</v>
      </c>
      <c r="G190" s="15">
        <f t="shared" si="2"/>
        <v>600</v>
      </c>
      <c r="H190" s="78"/>
    </row>
    <row r="191">
      <c r="D191" s="50" t="s">
        <v>211</v>
      </c>
      <c r="E191" s="20">
        <v>2.0</v>
      </c>
      <c r="F191" s="18">
        <v>250.0</v>
      </c>
      <c r="G191" s="15">
        <f t="shared" si="2"/>
        <v>500</v>
      </c>
      <c r="H191" s="78"/>
    </row>
    <row r="192">
      <c r="D192" s="50" t="s">
        <v>212</v>
      </c>
      <c r="E192" s="20">
        <v>1.0</v>
      </c>
      <c r="F192" s="18">
        <v>400.0</v>
      </c>
      <c r="G192" s="15">
        <f t="shared" si="2"/>
        <v>400</v>
      </c>
      <c r="H192" s="78"/>
    </row>
    <row r="193">
      <c r="D193" s="50" t="s">
        <v>111</v>
      </c>
      <c r="E193" s="20">
        <v>2.0</v>
      </c>
      <c r="F193" s="18">
        <v>250.0</v>
      </c>
      <c r="G193" s="15">
        <f t="shared" si="2"/>
        <v>500</v>
      </c>
      <c r="H193" s="78"/>
    </row>
    <row r="194">
      <c r="D194" s="50" t="s">
        <v>213</v>
      </c>
      <c r="E194" s="20">
        <v>20.0</v>
      </c>
      <c r="F194" s="18">
        <v>35.0</v>
      </c>
      <c r="G194" s="15">
        <f t="shared" si="2"/>
        <v>700</v>
      </c>
      <c r="H194" s="78"/>
    </row>
    <row r="195">
      <c r="D195" s="50" t="s">
        <v>214</v>
      </c>
      <c r="E195" s="20">
        <v>2.0</v>
      </c>
      <c r="F195" s="18">
        <v>500.0</v>
      </c>
      <c r="G195" s="15">
        <f t="shared" si="2"/>
        <v>1000</v>
      </c>
      <c r="H195" s="78"/>
    </row>
    <row r="196">
      <c r="D196" s="50" t="s">
        <v>215</v>
      </c>
      <c r="E196" s="20">
        <v>1.0</v>
      </c>
      <c r="F196" s="18">
        <v>650.0</v>
      </c>
      <c r="G196" s="15">
        <f t="shared" si="2"/>
        <v>650</v>
      </c>
      <c r="H196" s="78"/>
    </row>
    <row r="197">
      <c r="D197" s="50" t="s">
        <v>193</v>
      </c>
      <c r="E197" s="20">
        <v>20.0</v>
      </c>
      <c r="F197" s="18">
        <v>100.0</v>
      </c>
      <c r="G197" s="15">
        <f t="shared" si="2"/>
        <v>2000</v>
      </c>
      <c r="H197" s="17">
        <v>45364.0</v>
      </c>
    </row>
    <row r="198">
      <c r="D198" s="50" t="s">
        <v>164</v>
      </c>
      <c r="E198" s="20">
        <v>1.5</v>
      </c>
      <c r="F198" s="18">
        <v>900.0</v>
      </c>
      <c r="G198" s="15">
        <f t="shared" si="2"/>
        <v>1350</v>
      </c>
      <c r="H198" s="78"/>
    </row>
    <row r="199">
      <c r="D199" s="50" t="s">
        <v>216</v>
      </c>
      <c r="E199" s="20">
        <v>3.0</v>
      </c>
      <c r="F199" s="18">
        <v>1100.0</v>
      </c>
      <c r="G199" s="15">
        <f t="shared" si="2"/>
        <v>3300</v>
      </c>
      <c r="H199" s="78"/>
    </row>
    <row r="200">
      <c r="D200" s="50" t="s">
        <v>205</v>
      </c>
      <c r="E200" s="20">
        <v>1.0</v>
      </c>
      <c r="F200" s="18">
        <v>650.0</v>
      </c>
      <c r="G200" s="15">
        <f t="shared" si="2"/>
        <v>650</v>
      </c>
      <c r="H200" s="78"/>
    </row>
    <row r="201">
      <c r="D201" s="50" t="s">
        <v>205</v>
      </c>
      <c r="E201" s="20">
        <v>2.0</v>
      </c>
      <c r="F201" s="18">
        <v>550.0</v>
      </c>
      <c r="G201" s="15">
        <f t="shared" si="2"/>
        <v>1100</v>
      </c>
      <c r="H201" s="78"/>
    </row>
    <row r="202">
      <c r="D202" s="50" t="s">
        <v>217</v>
      </c>
      <c r="E202" s="20">
        <v>3.0</v>
      </c>
      <c r="F202" s="18">
        <v>250.0</v>
      </c>
      <c r="G202" s="15">
        <f t="shared" si="2"/>
        <v>750</v>
      </c>
      <c r="H202" s="78"/>
    </row>
    <row r="203">
      <c r="D203" s="50" t="s">
        <v>162</v>
      </c>
      <c r="E203" s="20">
        <v>28.0</v>
      </c>
      <c r="F203" s="18">
        <v>120.0</v>
      </c>
      <c r="G203" s="15">
        <f t="shared" si="2"/>
        <v>3360</v>
      </c>
      <c r="H203" s="78"/>
    </row>
    <row r="204">
      <c r="D204" s="50" t="s">
        <v>186</v>
      </c>
      <c r="E204" s="20">
        <v>1.0</v>
      </c>
      <c r="F204" s="18">
        <v>2000.0</v>
      </c>
      <c r="G204" s="15">
        <f t="shared" si="2"/>
        <v>2000</v>
      </c>
      <c r="H204" s="78"/>
    </row>
    <row r="205">
      <c r="D205" s="50" t="s">
        <v>85</v>
      </c>
      <c r="E205" s="20">
        <v>11.0</v>
      </c>
      <c r="F205" s="18">
        <v>200.0</v>
      </c>
      <c r="G205" s="15">
        <f t="shared" si="2"/>
        <v>2200</v>
      </c>
      <c r="H205" s="78"/>
    </row>
    <row r="206">
      <c r="D206" s="50" t="s">
        <v>117</v>
      </c>
      <c r="E206" s="20">
        <v>1.0</v>
      </c>
      <c r="F206" s="18">
        <v>530.0</v>
      </c>
      <c r="G206" s="15">
        <f t="shared" si="2"/>
        <v>530</v>
      </c>
      <c r="H206" s="78"/>
    </row>
    <row r="207">
      <c r="D207" s="50" t="s">
        <v>218</v>
      </c>
      <c r="E207" s="20">
        <v>1.0</v>
      </c>
      <c r="F207" s="18">
        <v>60.0</v>
      </c>
      <c r="G207" s="15">
        <f t="shared" si="2"/>
        <v>60</v>
      </c>
      <c r="H207" s="78"/>
    </row>
    <row r="208">
      <c r="D208" s="50" t="s">
        <v>219</v>
      </c>
      <c r="E208" s="20">
        <v>20.0</v>
      </c>
      <c r="F208" s="18">
        <v>590.0</v>
      </c>
      <c r="G208" s="15">
        <f t="shared" si="2"/>
        <v>11800</v>
      </c>
      <c r="H208" s="78"/>
    </row>
    <row r="209">
      <c r="D209" s="50" t="s">
        <v>193</v>
      </c>
      <c r="E209" s="20">
        <v>10.0</v>
      </c>
      <c r="F209" s="18">
        <v>100.0</v>
      </c>
      <c r="G209" s="15">
        <f t="shared" si="2"/>
        <v>1000</v>
      </c>
      <c r="H209" s="78"/>
    </row>
    <row r="210">
      <c r="D210" s="50" t="s">
        <v>220</v>
      </c>
      <c r="E210" s="20">
        <v>20.0</v>
      </c>
      <c r="F210" s="18">
        <v>120.0</v>
      </c>
      <c r="G210" s="15">
        <f t="shared" si="2"/>
        <v>2400</v>
      </c>
      <c r="H210" s="78"/>
    </row>
    <row r="211">
      <c r="D211" s="50" t="s">
        <v>221</v>
      </c>
      <c r="E211" s="20">
        <v>2.0</v>
      </c>
      <c r="F211" s="18">
        <v>50.0</v>
      </c>
      <c r="G211" s="15">
        <f t="shared" si="2"/>
        <v>100</v>
      </c>
      <c r="H211" s="78"/>
    </row>
    <row r="212">
      <c r="D212" s="50" t="s">
        <v>188</v>
      </c>
      <c r="E212" s="20">
        <v>100.0</v>
      </c>
      <c r="F212" s="18">
        <v>35.0</v>
      </c>
      <c r="G212" s="15">
        <f t="shared" si="2"/>
        <v>3500</v>
      </c>
      <c r="H212" s="78"/>
    </row>
    <row r="213">
      <c r="D213" s="50" t="s">
        <v>197</v>
      </c>
      <c r="E213" s="20">
        <v>1.0</v>
      </c>
      <c r="F213" s="18">
        <v>2250.0</v>
      </c>
      <c r="G213" s="15">
        <f t="shared" si="2"/>
        <v>2250</v>
      </c>
      <c r="H213" s="78"/>
    </row>
    <row r="214">
      <c r="D214" s="50" t="s">
        <v>113</v>
      </c>
      <c r="E214" s="20">
        <v>4.0</v>
      </c>
      <c r="F214" s="18">
        <v>1000.0</v>
      </c>
      <c r="G214" s="15">
        <f t="shared" si="2"/>
        <v>4000</v>
      </c>
      <c r="H214" s="17">
        <v>45364.0</v>
      </c>
    </row>
    <row r="215">
      <c r="D215" s="50" t="s">
        <v>222</v>
      </c>
      <c r="E215" s="20">
        <v>2.0</v>
      </c>
      <c r="F215" s="18">
        <v>750.0</v>
      </c>
      <c r="G215" s="15">
        <f t="shared" si="2"/>
        <v>1500</v>
      </c>
      <c r="H215" s="78"/>
    </row>
    <row r="216">
      <c r="D216" s="50" t="s">
        <v>205</v>
      </c>
      <c r="E216" s="20">
        <v>2.0</v>
      </c>
      <c r="F216" s="18">
        <v>550.0</v>
      </c>
      <c r="G216" s="15">
        <f t="shared" si="2"/>
        <v>1100</v>
      </c>
      <c r="H216" s="78"/>
    </row>
    <row r="217">
      <c r="D217" s="50" t="s">
        <v>173</v>
      </c>
      <c r="E217" s="20">
        <v>1.0</v>
      </c>
      <c r="F217" s="18">
        <v>1000.0</v>
      </c>
      <c r="G217" s="15">
        <f t="shared" si="2"/>
        <v>1000</v>
      </c>
      <c r="H217" s="78"/>
    </row>
    <row r="218">
      <c r="D218" s="50" t="s">
        <v>223</v>
      </c>
      <c r="E218" s="20">
        <v>1.0</v>
      </c>
      <c r="F218" s="18">
        <v>600.0</v>
      </c>
      <c r="G218" s="15">
        <f t="shared" si="2"/>
        <v>600</v>
      </c>
      <c r="H218" s="78"/>
    </row>
    <row r="219">
      <c r="D219" s="50" t="s">
        <v>224</v>
      </c>
      <c r="E219" s="20">
        <v>2.0</v>
      </c>
      <c r="F219" s="18">
        <v>500.0</v>
      </c>
      <c r="G219" s="15">
        <f t="shared" si="2"/>
        <v>1000</v>
      </c>
      <c r="H219" s="78"/>
    </row>
    <row r="220">
      <c r="D220" s="50" t="s">
        <v>225</v>
      </c>
      <c r="E220" s="20">
        <v>2.0</v>
      </c>
      <c r="F220" s="18">
        <v>1000.0</v>
      </c>
      <c r="G220" s="15">
        <f t="shared" si="2"/>
        <v>2000</v>
      </c>
      <c r="H220" s="78"/>
    </row>
    <row r="221">
      <c r="D221" s="50" t="s">
        <v>226</v>
      </c>
      <c r="E221" s="20">
        <v>1.0</v>
      </c>
      <c r="F221" s="18">
        <v>2000.0</v>
      </c>
      <c r="G221" s="15">
        <f t="shared" si="2"/>
        <v>2000</v>
      </c>
      <c r="H221" s="78"/>
    </row>
    <row r="222">
      <c r="D222" s="50" t="s">
        <v>144</v>
      </c>
      <c r="E222" s="20">
        <v>1.0</v>
      </c>
      <c r="F222" s="18">
        <v>1550.0</v>
      </c>
      <c r="G222" s="15">
        <f t="shared" si="2"/>
        <v>1550</v>
      </c>
      <c r="H222" s="17">
        <v>45365.0</v>
      </c>
    </row>
    <row r="223">
      <c r="D223" s="50" t="s">
        <v>193</v>
      </c>
      <c r="E223" s="20">
        <v>40.0</v>
      </c>
      <c r="F223" s="18">
        <v>120.0</v>
      </c>
      <c r="G223" s="15">
        <f t="shared" si="2"/>
        <v>4800</v>
      </c>
      <c r="H223" s="78"/>
    </row>
    <row r="224">
      <c r="D224" s="50" t="s">
        <v>227</v>
      </c>
      <c r="E224" s="20">
        <v>1.0</v>
      </c>
      <c r="F224" s="18">
        <v>200.0</v>
      </c>
      <c r="G224" s="15">
        <f t="shared" si="2"/>
        <v>200</v>
      </c>
      <c r="H224" s="78"/>
    </row>
    <row r="225">
      <c r="D225" s="50" t="s">
        <v>228</v>
      </c>
      <c r="E225" s="20">
        <v>5.0</v>
      </c>
      <c r="F225" s="18">
        <v>200.0</v>
      </c>
      <c r="G225" s="15">
        <f t="shared" si="2"/>
        <v>1000</v>
      </c>
      <c r="H225" s="78"/>
    </row>
    <row r="226">
      <c r="D226" s="50" t="s">
        <v>194</v>
      </c>
      <c r="E226" s="20">
        <v>4.0</v>
      </c>
      <c r="F226" s="18">
        <v>170.0</v>
      </c>
      <c r="G226" s="15">
        <f t="shared" si="2"/>
        <v>680</v>
      </c>
      <c r="H226" s="78"/>
    </row>
    <row r="227">
      <c r="D227" s="50" t="s">
        <v>199</v>
      </c>
      <c r="E227" s="20">
        <v>1.0</v>
      </c>
      <c r="F227" s="18">
        <v>85.0</v>
      </c>
      <c r="G227" s="15">
        <f t="shared" si="2"/>
        <v>85</v>
      </c>
      <c r="H227" s="78"/>
    </row>
    <row r="228">
      <c r="D228" s="50" t="s">
        <v>229</v>
      </c>
      <c r="E228" s="20">
        <v>1.0</v>
      </c>
      <c r="F228" s="18">
        <v>500.0</v>
      </c>
      <c r="G228" s="15">
        <f t="shared" si="2"/>
        <v>500</v>
      </c>
      <c r="H228" s="78"/>
    </row>
    <row r="229">
      <c r="D229" s="50" t="s">
        <v>230</v>
      </c>
      <c r="E229" s="20">
        <v>1.0</v>
      </c>
      <c r="F229" s="18">
        <v>300.0</v>
      </c>
      <c r="G229" s="15">
        <f t="shared" si="2"/>
        <v>300</v>
      </c>
      <c r="H229" s="78"/>
    </row>
    <row r="230">
      <c r="D230" s="50" t="s">
        <v>111</v>
      </c>
      <c r="E230" s="20">
        <v>6.0</v>
      </c>
      <c r="F230" s="18">
        <v>260.0</v>
      </c>
      <c r="G230" s="15">
        <f t="shared" si="2"/>
        <v>1560</v>
      </c>
      <c r="H230" s="78"/>
    </row>
    <row r="231">
      <c r="D231" s="50" t="s">
        <v>231</v>
      </c>
      <c r="E231" s="20">
        <v>2.0</v>
      </c>
      <c r="F231" s="18">
        <v>130.0</v>
      </c>
      <c r="G231" s="15">
        <f t="shared" si="2"/>
        <v>260</v>
      </c>
      <c r="H231" s="78"/>
    </row>
    <row r="232">
      <c r="D232" s="50" t="s">
        <v>144</v>
      </c>
      <c r="E232" s="20">
        <v>1.0</v>
      </c>
      <c r="F232" s="18">
        <v>550.0</v>
      </c>
      <c r="G232" s="15">
        <f t="shared" si="2"/>
        <v>550</v>
      </c>
      <c r="H232" s="78"/>
    </row>
    <row r="233">
      <c r="D233" s="50" t="s">
        <v>142</v>
      </c>
      <c r="E233" s="20">
        <v>11.0</v>
      </c>
      <c r="F233" s="18">
        <v>600.0</v>
      </c>
      <c r="G233" s="15">
        <f t="shared" si="2"/>
        <v>6600</v>
      </c>
      <c r="H233" s="78"/>
    </row>
    <row r="234">
      <c r="D234" s="50" t="s">
        <v>164</v>
      </c>
      <c r="E234" s="20">
        <v>9.0</v>
      </c>
      <c r="F234" s="18">
        <v>750.0</v>
      </c>
      <c r="G234" s="15">
        <f t="shared" si="2"/>
        <v>6750</v>
      </c>
      <c r="H234" s="78"/>
    </row>
    <row r="235">
      <c r="D235" s="50" t="s">
        <v>159</v>
      </c>
      <c r="E235" s="20">
        <v>2.0</v>
      </c>
      <c r="F235" s="18">
        <v>100.0</v>
      </c>
      <c r="G235" s="15">
        <f t="shared" si="2"/>
        <v>200</v>
      </c>
      <c r="H235" s="78"/>
    </row>
    <row r="236">
      <c r="D236" s="50" t="s">
        <v>232</v>
      </c>
      <c r="E236" s="20">
        <v>0.5</v>
      </c>
      <c r="F236" s="18">
        <v>1000.0</v>
      </c>
      <c r="G236" s="15">
        <f t="shared" si="2"/>
        <v>500</v>
      </c>
      <c r="H236" s="78"/>
    </row>
    <row r="237">
      <c r="D237" s="50" t="s">
        <v>171</v>
      </c>
      <c r="E237" s="20">
        <v>28.0</v>
      </c>
      <c r="F237" s="18">
        <v>70.0</v>
      </c>
      <c r="G237" s="15">
        <f t="shared" si="2"/>
        <v>1960</v>
      </c>
      <c r="H237" s="78"/>
    </row>
    <row r="238">
      <c r="D238" s="50" t="s">
        <v>186</v>
      </c>
      <c r="E238" s="20">
        <v>1.2</v>
      </c>
      <c r="F238" s="18">
        <v>2000.0</v>
      </c>
      <c r="G238" s="15">
        <f t="shared" si="2"/>
        <v>2400</v>
      </c>
      <c r="H238" s="78"/>
    </row>
    <row r="239">
      <c r="D239" s="50" t="s">
        <v>225</v>
      </c>
      <c r="E239" s="20">
        <v>1.0</v>
      </c>
      <c r="F239" s="18">
        <v>2000.0</v>
      </c>
      <c r="G239" s="15">
        <f t="shared" si="2"/>
        <v>2000</v>
      </c>
      <c r="H239" s="78"/>
    </row>
    <row r="240">
      <c r="D240" s="50" t="s">
        <v>89</v>
      </c>
      <c r="E240" s="20">
        <v>1.8</v>
      </c>
      <c r="F240" s="18">
        <v>1500.0</v>
      </c>
      <c r="G240" s="15">
        <f t="shared" si="2"/>
        <v>2700</v>
      </c>
      <c r="H240" s="78"/>
    </row>
    <row r="241">
      <c r="D241" s="50" t="s">
        <v>76</v>
      </c>
      <c r="E241" s="20">
        <v>1.0</v>
      </c>
      <c r="F241" s="18">
        <v>350.0</v>
      </c>
      <c r="G241" s="15">
        <f t="shared" si="2"/>
        <v>350</v>
      </c>
      <c r="H241" s="78"/>
    </row>
    <row r="242">
      <c r="D242" s="50" t="s">
        <v>233</v>
      </c>
      <c r="E242" s="20">
        <v>3.0</v>
      </c>
      <c r="F242" s="18">
        <v>15.0</v>
      </c>
      <c r="G242" s="15">
        <f t="shared" si="2"/>
        <v>45</v>
      </c>
      <c r="H242" s="78"/>
    </row>
    <row r="243">
      <c r="D243" s="50" t="s">
        <v>234</v>
      </c>
      <c r="E243" s="20">
        <v>32.0</v>
      </c>
      <c r="F243" s="18">
        <v>180.0</v>
      </c>
      <c r="G243" s="15">
        <f t="shared" si="2"/>
        <v>5760</v>
      </c>
      <c r="H243" s="78"/>
    </row>
    <row r="244">
      <c r="D244" s="50" t="s">
        <v>144</v>
      </c>
      <c r="E244" s="20">
        <v>1.0</v>
      </c>
      <c r="F244" s="18">
        <v>1550.0</v>
      </c>
      <c r="G244" s="15">
        <f t="shared" si="2"/>
        <v>1550</v>
      </c>
      <c r="H244" s="17">
        <v>45366.0</v>
      </c>
    </row>
    <row r="245">
      <c r="D245" s="50" t="s">
        <v>170</v>
      </c>
      <c r="E245" s="20">
        <v>35.0</v>
      </c>
      <c r="F245" s="18">
        <v>100.0</v>
      </c>
      <c r="G245" s="15">
        <f t="shared" si="2"/>
        <v>3500</v>
      </c>
      <c r="H245" s="78"/>
    </row>
    <row r="246">
      <c r="D246" s="50" t="s">
        <v>162</v>
      </c>
      <c r="E246" s="20">
        <v>10.0</v>
      </c>
      <c r="F246" s="18">
        <v>120.0</v>
      </c>
      <c r="G246" s="15">
        <f t="shared" si="2"/>
        <v>1200</v>
      </c>
      <c r="H246" s="78"/>
    </row>
    <row r="247">
      <c r="D247" s="50" t="s">
        <v>235</v>
      </c>
      <c r="E247" s="20">
        <v>2.0</v>
      </c>
      <c r="F247" s="18">
        <v>1000.0</v>
      </c>
      <c r="G247" s="15">
        <f t="shared" si="2"/>
        <v>2000</v>
      </c>
      <c r="H247" s="78"/>
    </row>
    <row r="248">
      <c r="D248" s="50" t="s">
        <v>236</v>
      </c>
      <c r="E248" s="20">
        <v>10.0</v>
      </c>
      <c r="F248" s="18">
        <v>1300.0</v>
      </c>
      <c r="G248" s="15">
        <f t="shared" si="2"/>
        <v>13000</v>
      </c>
      <c r="H248" s="78"/>
    </row>
    <row r="249">
      <c r="D249" s="50" t="s">
        <v>237</v>
      </c>
      <c r="E249" s="20">
        <v>1.0</v>
      </c>
      <c r="F249" s="18">
        <v>1450.0</v>
      </c>
      <c r="G249" s="15">
        <f t="shared" si="2"/>
        <v>1450</v>
      </c>
      <c r="H249" s="78"/>
    </row>
    <row r="250">
      <c r="D250" s="50" t="s">
        <v>238</v>
      </c>
      <c r="E250" s="20">
        <v>5.0</v>
      </c>
      <c r="F250" s="18">
        <v>200.0</v>
      </c>
      <c r="G250" s="15">
        <f t="shared" si="2"/>
        <v>1000</v>
      </c>
      <c r="H250" s="78"/>
    </row>
    <row r="251">
      <c r="D251" s="50" t="s">
        <v>160</v>
      </c>
      <c r="E251" s="20">
        <v>1.0</v>
      </c>
      <c r="F251" s="18">
        <v>50.0</v>
      </c>
      <c r="G251" s="15">
        <f t="shared" si="2"/>
        <v>50</v>
      </c>
      <c r="H251" s="78"/>
    </row>
    <row r="252">
      <c r="D252" s="50" t="s">
        <v>170</v>
      </c>
      <c r="E252" s="20">
        <v>10.0</v>
      </c>
      <c r="F252" s="18">
        <v>100.0</v>
      </c>
      <c r="G252" s="15">
        <f t="shared" si="2"/>
        <v>1000</v>
      </c>
      <c r="H252" s="17">
        <v>45367.0</v>
      </c>
    </row>
    <row r="253">
      <c r="D253" s="50" t="s">
        <v>162</v>
      </c>
      <c r="E253" s="20">
        <v>17.0</v>
      </c>
      <c r="F253" s="18">
        <v>120.0</v>
      </c>
      <c r="G253" s="15">
        <f t="shared" si="2"/>
        <v>2040</v>
      </c>
      <c r="H253" s="78"/>
    </row>
    <row r="254">
      <c r="D254" s="50" t="s">
        <v>186</v>
      </c>
      <c r="E254" s="20">
        <v>1.9</v>
      </c>
      <c r="F254" s="18">
        <v>2300.0</v>
      </c>
      <c r="G254" s="15">
        <f t="shared" si="2"/>
        <v>4370</v>
      </c>
      <c r="H254" s="78"/>
    </row>
    <row r="255">
      <c r="D255" s="50" t="s">
        <v>164</v>
      </c>
      <c r="E255" s="20">
        <v>2.0</v>
      </c>
      <c r="F255" s="18">
        <v>1000.0</v>
      </c>
      <c r="G255" s="15">
        <f t="shared" si="2"/>
        <v>2000</v>
      </c>
      <c r="H255" s="78"/>
    </row>
    <row r="256">
      <c r="D256" s="50" t="s">
        <v>235</v>
      </c>
      <c r="E256" s="20">
        <v>2.0</v>
      </c>
      <c r="F256" s="18">
        <v>1000.0</v>
      </c>
      <c r="G256" s="15">
        <f t="shared" si="2"/>
        <v>2000</v>
      </c>
      <c r="H256" s="78"/>
    </row>
    <row r="257">
      <c r="D257" s="50" t="s">
        <v>167</v>
      </c>
      <c r="E257" s="20">
        <v>4.0</v>
      </c>
      <c r="F257" s="18">
        <v>550.0</v>
      </c>
      <c r="G257" s="15">
        <f t="shared" si="2"/>
        <v>2200</v>
      </c>
      <c r="H257" s="78"/>
    </row>
    <row r="258">
      <c r="D258" s="50" t="s">
        <v>239</v>
      </c>
      <c r="E258" s="20">
        <v>17.0</v>
      </c>
      <c r="F258" s="18">
        <v>180.0</v>
      </c>
      <c r="G258" s="15">
        <f t="shared" si="2"/>
        <v>3060</v>
      </c>
      <c r="H258" s="78"/>
    </row>
    <row r="259">
      <c r="D259" s="50" t="s">
        <v>240</v>
      </c>
      <c r="E259" s="20">
        <v>1.0</v>
      </c>
      <c r="F259" s="18">
        <v>120.0</v>
      </c>
      <c r="G259" s="15">
        <f t="shared" si="2"/>
        <v>120</v>
      </c>
      <c r="H259" s="78"/>
    </row>
    <row r="260">
      <c r="D260" s="50" t="s">
        <v>241</v>
      </c>
      <c r="E260" s="20">
        <v>1.0</v>
      </c>
      <c r="F260" s="18">
        <v>150.0</v>
      </c>
      <c r="G260" s="15">
        <f t="shared" si="2"/>
        <v>150</v>
      </c>
      <c r="H260" s="78"/>
    </row>
    <row r="261">
      <c r="D261" s="50" t="s">
        <v>242</v>
      </c>
      <c r="E261" s="20">
        <v>10.0</v>
      </c>
      <c r="F261" s="18">
        <v>20.0</v>
      </c>
      <c r="G261" s="15">
        <f t="shared" si="2"/>
        <v>200</v>
      </c>
      <c r="H261" s="78"/>
    </row>
    <row r="262">
      <c r="D262" s="50" t="s">
        <v>139</v>
      </c>
      <c r="E262" s="20">
        <v>1.0</v>
      </c>
      <c r="F262" s="18">
        <v>400.0</v>
      </c>
      <c r="G262" s="15">
        <f t="shared" si="2"/>
        <v>400</v>
      </c>
      <c r="H262" s="78"/>
    </row>
    <row r="263">
      <c r="D263" s="50" t="s">
        <v>243</v>
      </c>
      <c r="E263" s="20">
        <v>0.5</v>
      </c>
      <c r="F263" s="18">
        <v>700.0</v>
      </c>
      <c r="G263" s="15">
        <f t="shared" si="2"/>
        <v>350</v>
      </c>
      <c r="H263" s="78"/>
    </row>
    <row r="264">
      <c r="D264" s="50" t="s">
        <v>148</v>
      </c>
      <c r="E264" s="20">
        <v>5.0</v>
      </c>
      <c r="F264" s="18">
        <v>360.0</v>
      </c>
      <c r="G264" s="15">
        <f t="shared" si="2"/>
        <v>1800</v>
      </c>
      <c r="H264" s="78"/>
    </row>
    <row r="265">
      <c r="D265" s="50" t="s">
        <v>170</v>
      </c>
      <c r="E265" s="20">
        <v>20.0</v>
      </c>
      <c r="F265" s="18">
        <v>120.0</v>
      </c>
      <c r="G265" s="15">
        <f t="shared" si="2"/>
        <v>2400</v>
      </c>
      <c r="H265" s="17">
        <v>45368.0</v>
      </c>
    </row>
    <row r="266">
      <c r="D266" s="50" t="s">
        <v>162</v>
      </c>
      <c r="E266" s="20">
        <v>15.0</v>
      </c>
      <c r="F266" s="18">
        <v>120.0</v>
      </c>
      <c r="G266" s="15">
        <f t="shared" si="2"/>
        <v>1800</v>
      </c>
      <c r="H266" s="78"/>
    </row>
    <row r="267">
      <c r="D267" s="50" t="s">
        <v>244</v>
      </c>
      <c r="E267" s="20">
        <v>1.5</v>
      </c>
      <c r="F267" s="18">
        <v>1000.0</v>
      </c>
      <c r="G267" s="15">
        <f t="shared" si="2"/>
        <v>1500</v>
      </c>
      <c r="H267" s="78"/>
    </row>
    <row r="268">
      <c r="D268" s="50" t="s">
        <v>208</v>
      </c>
      <c r="E268" s="20">
        <v>3.0</v>
      </c>
      <c r="F268" s="18">
        <v>250.0</v>
      </c>
      <c r="G268" s="15">
        <f t="shared" si="2"/>
        <v>750</v>
      </c>
      <c r="H268" s="78"/>
    </row>
    <row r="269">
      <c r="D269" s="50" t="s">
        <v>225</v>
      </c>
      <c r="E269" s="20">
        <v>1.0</v>
      </c>
      <c r="F269" s="18">
        <v>1200.0</v>
      </c>
      <c r="G269" s="15">
        <f t="shared" si="2"/>
        <v>1200</v>
      </c>
      <c r="H269" s="78"/>
    </row>
    <row r="270">
      <c r="D270" s="50" t="s">
        <v>245</v>
      </c>
      <c r="E270" s="20">
        <v>1.0</v>
      </c>
      <c r="F270" s="18">
        <v>300.0</v>
      </c>
      <c r="G270" s="15">
        <f t="shared" si="2"/>
        <v>300</v>
      </c>
      <c r="H270" s="78"/>
    </row>
    <row r="271">
      <c r="D271" s="50" t="s">
        <v>246</v>
      </c>
      <c r="E271" s="20">
        <v>16.0</v>
      </c>
      <c r="F271" s="18">
        <v>225.0</v>
      </c>
      <c r="G271" s="15">
        <f t="shared" si="2"/>
        <v>3600</v>
      </c>
      <c r="H271" s="78"/>
    </row>
    <row r="272">
      <c r="D272" s="50" t="s">
        <v>247</v>
      </c>
      <c r="E272" s="20">
        <v>4.0</v>
      </c>
      <c r="F272" s="18">
        <v>720.0</v>
      </c>
      <c r="G272" s="15">
        <f t="shared" si="2"/>
        <v>2880</v>
      </c>
      <c r="H272" s="78"/>
    </row>
    <row r="273">
      <c r="D273" s="50"/>
      <c r="E273" s="20"/>
      <c r="F273" s="18"/>
      <c r="G273" s="15"/>
      <c r="H273" s="78"/>
    </row>
    <row r="274">
      <c r="D274" s="50" t="s">
        <v>248</v>
      </c>
      <c r="E274" s="20">
        <v>5.0</v>
      </c>
      <c r="F274" s="18">
        <v>30.0</v>
      </c>
      <c r="G274" s="15">
        <f t="shared" ref="G274:G454" si="3">E274*F274</f>
        <v>150</v>
      </c>
      <c r="H274" s="78"/>
    </row>
    <row r="275">
      <c r="D275" s="50" t="s">
        <v>249</v>
      </c>
      <c r="E275" s="20">
        <v>100.0</v>
      </c>
      <c r="F275" s="18">
        <v>13.5</v>
      </c>
      <c r="G275" s="15">
        <f t="shared" si="3"/>
        <v>1350</v>
      </c>
      <c r="H275" s="78"/>
    </row>
    <row r="276">
      <c r="D276" s="50" t="s">
        <v>250</v>
      </c>
      <c r="E276" s="20">
        <v>18.0</v>
      </c>
      <c r="F276" s="18">
        <v>260.0</v>
      </c>
      <c r="G276" s="15">
        <f t="shared" si="3"/>
        <v>4680</v>
      </c>
      <c r="H276" s="78"/>
    </row>
    <row r="277">
      <c r="D277" s="50" t="s">
        <v>251</v>
      </c>
      <c r="E277" s="20">
        <v>3.85</v>
      </c>
      <c r="F277" s="18">
        <v>1700.0</v>
      </c>
      <c r="G277" s="15">
        <f t="shared" si="3"/>
        <v>6545</v>
      </c>
      <c r="H277" s="78"/>
    </row>
    <row r="278">
      <c r="D278" s="50" t="s">
        <v>111</v>
      </c>
      <c r="E278" s="20">
        <v>5.0</v>
      </c>
      <c r="F278" s="18">
        <v>320.0</v>
      </c>
      <c r="G278" s="15">
        <f t="shared" si="3"/>
        <v>1600</v>
      </c>
      <c r="H278" s="78"/>
    </row>
    <row r="279">
      <c r="D279" s="50" t="s">
        <v>252</v>
      </c>
      <c r="E279" s="20">
        <v>27.0</v>
      </c>
      <c r="F279" s="18">
        <v>84.0</v>
      </c>
      <c r="G279" s="15">
        <f t="shared" si="3"/>
        <v>2268</v>
      </c>
      <c r="H279" s="78"/>
    </row>
    <row r="280">
      <c r="D280" s="50" t="s">
        <v>85</v>
      </c>
      <c r="E280" s="20">
        <v>16.0</v>
      </c>
      <c r="F280" s="18">
        <v>195.0</v>
      </c>
      <c r="G280" s="15">
        <f t="shared" si="3"/>
        <v>3120</v>
      </c>
      <c r="H280" s="78"/>
    </row>
    <row r="281">
      <c r="D281" s="50" t="s">
        <v>253</v>
      </c>
      <c r="E281" s="20">
        <v>16.0</v>
      </c>
      <c r="F281" s="18">
        <v>25.0</v>
      </c>
      <c r="G281" s="15">
        <f t="shared" si="3"/>
        <v>400</v>
      </c>
      <c r="H281" s="78"/>
    </row>
    <row r="282">
      <c r="D282" s="50" t="s">
        <v>238</v>
      </c>
      <c r="E282" s="20">
        <v>5.0</v>
      </c>
      <c r="F282" s="18">
        <v>200.0</v>
      </c>
      <c r="G282" s="15">
        <f t="shared" si="3"/>
        <v>1000</v>
      </c>
      <c r="H282" s="78"/>
    </row>
    <row r="283">
      <c r="D283" s="50" t="s">
        <v>254</v>
      </c>
      <c r="E283" s="20">
        <v>2.0</v>
      </c>
      <c r="F283" s="18">
        <v>300.0</v>
      </c>
      <c r="G283" s="15">
        <f t="shared" si="3"/>
        <v>600</v>
      </c>
      <c r="H283" s="78"/>
    </row>
    <row r="284">
      <c r="D284" s="50" t="s">
        <v>113</v>
      </c>
      <c r="E284" s="20">
        <v>2.0</v>
      </c>
      <c r="F284" s="18">
        <v>1000.0</v>
      </c>
      <c r="G284" s="15">
        <f t="shared" si="3"/>
        <v>2000</v>
      </c>
      <c r="H284" s="78"/>
    </row>
    <row r="285">
      <c r="D285" s="50" t="s">
        <v>144</v>
      </c>
      <c r="E285" s="20">
        <v>1.0</v>
      </c>
      <c r="F285" s="18">
        <v>1550.0</v>
      </c>
      <c r="G285" s="15">
        <f t="shared" si="3"/>
        <v>1550</v>
      </c>
      <c r="H285" s="78"/>
    </row>
    <row r="286">
      <c r="D286" s="50" t="s">
        <v>170</v>
      </c>
      <c r="E286" s="20">
        <v>15.0</v>
      </c>
      <c r="F286" s="18">
        <v>100.0</v>
      </c>
      <c r="G286" s="15">
        <f t="shared" si="3"/>
        <v>1500</v>
      </c>
      <c r="H286" s="78"/>
    </row>
    <row r="287">
      <c r="D287" s="50" t="s">
        <v>255</v>
      </c>
      <c r="E287" s="20">
        <v>7.0</v>
      </c>
      <c r="F287" s="18">
        <v>30.0</v>
      </c>
      <c r="G287" s="15">
        <f t="shared" si="3"/>
        <v>210</v>
      </c>
      <c r="H287" s="78"/>
    </row>
    <row r="288">
      <c r="D288" s="50" t="s">
        <v>256</v>
      </c>
      <c r="E288" s="20">
        <v>1.0</v>
      </c>
      <c r="F288" s="18">
        <v>50.0</v>
      </c>
      <c r="G288" s="15">
        <f t="shared" si="3"/>
        <v>50</v>
      </c>
      <c r="H288" s="78"/>
    </row>
    <row r="289">
      <c r="D289" s="50" t="s">
        <v>167</v>
      </c>
      <c r="E289" s="20">
        <v>2.0</v>
      </c>
      <c r="F289" s="18">
        <v>700.0</v>
      </c>
      <c r="G289" s="15">
        <f t="shared" si="3"/>
        <v>1400</v>
      </c>
      <c r="H289" s="78"/>
    </row>
    <row r="290">
      <c r="D290" s="50" t="s">
        <v>147</v>
      </c>
      <c r="E290" s="20">
        <v>1.0</v>
      </c>
      <c r="F290" s="18">
        <v>100.0</v>
      </c>
      <c r="G290" s="15">
        <f t="shared" si="3"/>
        <v>100</v>
      </c>
      <c r="H290" s="78"/>
    </row>
    <row r="291">
      <c r="D291" s="50" t="s">
        <v>257</v>
      </c>
      <c r="E291" s="20">
        <v>5.0</v>
      </c>
      <c r="F291" s="18">
        <v>600.0</v>
      </c>
      <c r="G291" s="15">
        <f t="shared" si="3"/>
        <v>3000</v>
      </c>
      <c r="H291" s="17">
        <v>45370.0</v>
      </c>
    </row>
    <row r="292">
      <c r="D292" s="50" t="s">
        <v>144</v>
      </c>
      <c r="E292" s="20">
        <v>2.0</v>
      </c>
      <c r="F292" s="18">
        <v>1550.0</v>
      </c>
      <c r="G292" s="15">
        <f t="shared" si="3"/>
        <v>3100</v>
      </c>
      <c r="H292" s="78"/>
    </row>
    <row r="293">
      <c r="D293" s="50" t="s">
        <v>258</v>
      </c>
      <c r="E293" s="20">
        <v>1.5</v>
      </c>
      <c r="F293" s="18">
        <v>1000.0</v>
      </c>
      <c r="G293" s="15">
        <f t="shared" si="3"/>
        <v>1500</v>
      </c>
      <c r="H293" s="78"/>
    </row>
    <row r="294">
      <c r="D294" s="50" t="s">
        <v>185</v>
      </c>
      <c r="E294" s="20">
        <v>1.5</v>
      </c>
      <c r="F294" s="18">
        <v>1000.0</v>
      </c>
      <c r="G294" s="15">
        <f t="shared" si="3"/>
        <v>1500</v>
      </c>
      <c r="H294" s="78"/>
    </row>
    <row r="295">
      <c r="D295" s="50" t="s">
        <v>170</v>
      </c>
      <c r="E295" s="20">
        <v>30.0</v>
      </c>
      <c r="F295" s="18">
        <v>100.0</v>
      </c>
      <c r="G295" s="15">
        <f t="shared" si="3"/>
        <v>3000</v>
      </c>
      <c r="H295" s="78"/>
    </row>
    <row r="296">
      <c r="D296" s="50" t="s">
        <v>162</v>
      </c>
      <c r="E296" s="20">
        <v>20.0</v>
      </c>
      <c r="F296" s="18">
        <v>120.0</v>
      </c>
      <c r="G296" s="15">
        <f t="shared" si="3"/>
        <v>2400</v>
      </c>
      <c r="H296" s="78"/>
    </row>
    <row r="297">
      <c r="D297" s="50" t="s">
        <v>202</v>
      </c>
      <c r="E297" s="20">
        <v>0.5</v>
      </c>
      <c r="F297" s="18">
        <v>600.0</v>
      </c>
      <c r="G297" s="15">
        <f t="shared" si="3"/>
        <v>300</v>
      </c>
      <c r="H297" s="78"/>
    </row>
    <row r="298">
      <c r="D298" s="50" t="s">
        <v>259</v>
      </c>
      <c r="E298" s="20">
        <v>5.0</v>
      </c>
      <c r="F298" s="18">
        <v>200.0</v>
      </c>
      <c r="G298" s="15">
        <f t="shared" si="3"/>
        <v>1000</v>
      </c>
      <c r="H298" s="78"/>
    </row>
    <row r="299">
      <c r="D299" s="50" t="s">
        <v>176</v>
      </c>
      <c r="E299" s="20">
        <v>1.0</v>
      </c>
      <c r="F299" s="18">
        <v>500.0</v>
      </c>
      <c r="G299" s="15">
        <f t="shared" si="3"/>
        <v>500</v>
      </c>
      <c r="H299" s="78"/>
    </row>
    <row r="300">
      <c r="D300" s="50" t="s">
        <v>260</v>
      </c>
      <c r="E300" s="20">
        <v>3.0</v>
      </c>
      <c r="F300" s="18">
        <v>50.0</v>
      </c>
      <c r="G300" s="15">
        <f t="shared" si="3"/>
        <v>150</v>
      </c>
      <c r="H300" s="78"/>
    </row>
    <row r="301">
      <c r="D301" s="50" t="s">
        <v>142</v>
      </c>
      <c r="E301" s="20">
        <v>2.0</v>
      </c>
      <c r="F301" s="18">
        <v>200.0</v>
      </c>
      <c r="G301" s="15">
        <f t="shared" si="3"/>
        <v>400</v>
      </c>
      <c r="H301" s="78"/>
    </row>
    <row r="302">
      <c r="D302" s="50" t="s">
        <v>261</v>
      </c>
      <c r="E302" s="20">
        <v>0.25</v>
      </c>
      <c r="F302" s="18">
        <v>2800.0</v>
      </c>
      <c r="G302" s="15">
        <f t="shared" si="3"/>
        <v>700</v>
      </c>
      <c r="H302" s="78"/>
    </row>
    <row r="303">
      <c r="D303" s="50" t="s">
        <v>167</v>
      </c>
      <c r="E303" s="20">
        <v>3.0</v>
      </c>
      <c r="F303" s="18">
        <v>500.0</v>
      </c>
      <c r="G303" s="15">
        <f t="shared" si="3"/>
        <v>1500</v>
      </c>
      <c r="H303" s="78"/>
    </row>
    <row r="304">
      <c r="D304" s="50" t="s">
        <v>262</v>
      </c>
      <c r="E304" s="20">
        <v>1.0</v>
      </c>
      <c r="F304" s="18">
        <v>125.0</v>
      </c>
      <c r="G304" s="15">
        <f t="shared" si="3"/>
        <v>125</v>
      </c>
      <c r="H304" s="78"/>
    </row>
    <row r="305">
      <c r="D305" s="50" t="s">
        <v>263</v>
      </c>
      <c r="E305" s="20">
        <v>1.0</v>
      </c>
      <c r="F305" s="18">
        <v>185.0</v>
      </c>
      <c r="G305" s="15">
        <f t="shared" si="3"/>
        <v>185</v>
      </c>
      <c r="H305" s="78"/>
    </row>
    <row r="306">
      <c r="D306" s="50" t="s">
        <v>264</v>
      </c>
      <c r="E306" s="20">
        <v>1.0</v>
      </c>
      <c r="F306" s="18">
        <v>85.0</v>
      </c>
      <c r="G306" s="15">
        <f t="shared" si="3"/>
        <v>85</v>
      </c>
      <c r="H306" s="78"/>
    </row>
    <row r="307">
      <c r="D307" s="141" t="s">
        <v>265</v>
      </c>
      <c r="E307" s="142">
        <v>1.0</v>
      </c>
      <c r="F307" s="143">
        <v>12000.0</v>
      </c>
      <c r="G307" s="144">
        <f t="shared" si="3"/>
        <v>12000</v>
      </c>
      <c r="H307" s="145"/>
    </row>
    <row r="308">
      <c r="D308" s="50" t="s">
        <v>266</v>
      </c>
      <c r="E308" s="20">
        <v>1.0</v>
      </c>
      <c r="F308" s="18">
        <v>200.0</v>
      </c>
      <c r="G308" s="15">
        <f t="shared" si="3"/>
        <v>200</v>
      </c>
      <c r="H308" s="78"/>
    </row>
    <row r="309">
      <c r="D309" s="50" t="s">
        <v>144</v>
      </c>
      <c r="E309" s="20">
        <v>0.3</v>
      </c>
      <c r="F309" s="18">
        <v>1500.0</v>
      </c>
      <c r="G309" s="15">
        <f t="shared" si="3"/>
        <v>450</v>
      </c>
      <c r="H309" s="17">
        <v>45371.0</v>
      </c>
    </row>
    <row r="310">
      <c r="D310" s="50" t="s">
        <v>164</v>
      </c>
      <c r="E310" s="20">
        <v>2.0</v>
      </c>
      <c r="F310" s="18">
        <v>1000.0</v>
      </c>
      <c r="G310" s="15">
        <f t="shared" si="3"/>
        <v>2000</v>
      </c>
      <c r="H310" s="78"/>
    </row>
    <row r="311">
      <c r="D311" s="50" t="s">
        <v>159</v>
      </c>
      <c r="E311" s="20">
        <v>1.0</v>
      </c>
      <c r="F311" s="18">
        <v>150.0</v>
      </c>
      <c r="G311" s="15">
        <f t="shared" si="3"/>
        <v>150</v>
      </c>
      <c r="H311" s="78"/>
    </row>
    <row r="312">
      <c r="D312" s="50" t="s">
        <v>139</v>
      </c>
      <c r="E312" s="20">
        <v>1.0</v>
      </c>
      <c r="F312" s="18">
        <v>400.0</v>
      </c>
      <c r="G312" s="15">
        <f t="shared" si="3"/>
        <v>400</v>
      </c>
      <c r="H312" s="78"/>
    </row>
    <row r="313">
      <c r="D313" s="50" t="s">
        <v>202</v>
      </c>
      <c r="E313" s="20">
        <v>1.0</v>
      </c>
      <c r="F313" s="18">
        <v>600.0</v>
      </c>
      <c r="G313" s="15">
        <f t="shared" si="3"/>
        <v>600</v>
      </c>
      <c r="H313" s="78"/>
    </row>
    <row r="314">
      <c r="D314" s="50" t="s">
        <v>267</v>
      </c>
      <c r="E314" s="20">
        <v>3.0</v>
      </c>
      <c r="F314" s="18">
        <v>50.0</v>
      </c>
      <c r="G314" s="15">
        <f t="shared" si="3"/>
        <v>150</v>
      </c>
      <c r="H314" s="78"/>
    </row>
    <row r="315">
      <c r="D315" s="50" t="s">
        <v>111</v>
      </c>
      <c r="E315" s="20">
        <v>5.0</v>
      </c>
      <c r="F315" s="18">
        <v>250.0</v>
      </c>
      <c r="G315" s="15">
        <f t="shared" si="3"/>
        <v>1250</v>
      </c>
      <c r="H315" s="78"/>
    </row>
    <row r="316">
      <c r="D316" s="50" t="s">
        <v>162</v>
      </c>
      <c r="E316" s="20">
        <v>15.0</v>
      </c>
      <c r="F316" s="18">
        <v>120.0</v>
      </c>
      <c r="G316" s="15">
        <f t="shared" si="3"/>
        <v>1800</v>
      </c>
      <c r="H316" s="17">
        <v>45372.0</v>
      </c>
    </row>
    <row r="317">
      <c r="D317" s="50" t="s">
        <v>170</v>
      </c>
      <c r="E317" s="20">
        <v>20.0</v>
      </c>
      <c r="F317" s="18">
        <v>120.0</v>
      </c>
      <c r="G317" s="15">
        <f t="shared" si="3"/>
        <v>2400</v>
      </c>
      <c r="H317" s="78"/>
    </row>
    <row r="318">
      <c r="D318" s="50" t="s">
        <v>170</v>
      </c>
      <c r="E318" s="20">
        <v>5.0</v>
      </c>
      <c r="F318" s="18">
        <v>100.0</v>
      </c>
      <c r="G318" s="15">
        <f t="shared" si="3"/>
        <v>500</v>
      </c>
      <c r="H318" s="78"/>
    </row>
    <row r="319">
      <c r="D319" s="50" t="s">
        <v>268</v>
      </c>
      <c r="E319" s="20">
        <v>2.0</v>
      </c>
      <c r="F319" s="18">
        <v>1000.0</v>
      </c>
      <c r="G319" s="15">
        <f t="shared" si="3"/>
        <v>2000</v>
      </c>
      <c r="H319" s="78"/>
    </row>
    <row r="320">
      <c r="D320" s="50" t="s">
        <v>185</v>
      </c>
      <c r="E320" s="20">
        <v>2.5</v>
      </c>
      <c r="F320" s="18">
        <v>1000.0</v>
      </c>
      <c r="G320" s="15">
        <f t="shared" si="3"/>
        <v>2500</v>
      </c>
      <c r="H320" s="78"/>
    </row>
    <row r="321">
      <c r="D321" s="50" t="s">
        <v>142</v>
      </c>
      <c r="E321" s="20">
        <v>6.0</v>
      </c>
      <c r="F321" s="18">
        <v>200.0</v>
      </c>
      <c r="G321" s="15">
        <f t="shared" si="3"/>
        <v>1200</v>
      </c>
      <c r="H321" s="78"/>
    </row>
    <row r="322">
      <c r="D322" s="50" t="s">
        <v>205</v>
      </c>
      <c r="E322" s="20">
        <v>2.0</v>
      </c>
      <c r="F322" s="18">
        <v>500.0</v>
      </c>
      <c r="G322" s="15">
        <f t="shared" si="3"/>
        <v>1000</v>
      </c>
      <c r="H322" s="78"/>
    </row>
    <row r="323">
      <c r="D323" s="50" t="s">
        <v>269</v>
      </c>
      <c r="E323" s="20">
        <v>11.0</v>
      </c>
      <c r="F323" s="18">
        <v>30.0</v>
      </c>
      <c r="G323" s="15">
        <f t="shared" si="3"/>
        <v>330</v>
      </c>
      <c r="H323" s="78"/>
    </row>
    <row r="324">
      <c r="D324" s="50" t="s">
        <v>144</v>
      </c>
      <c r="E324" s="20">
        <v>1.6</v>
      </c>
      <c r="F324" s="18">
        <v>1550.0</v>
      </c>
      <c r="G324" s="15">
        <f t="shared" si="3"/>
        <v>2480</v>
      </c>
      <c r="H324" s="78"/>
    </row>
    <row r="325">
      <c r="D325" s="50" t="s">
        <v>270</v>
      </c>
      <c r="E325" s="20">
        <v>0.75</v>
      </c>
      <c r="F325" s="18">
        <v>1600.0</v>
      </c>
      <c r="G325" s="15">
        <f t="shared" si="3"/>
        <v>1200</v>
      </c>
      <c r="H325" s="78"/>
    </row>
    <row r="326">
      <c r="D326" s="50" t="s">
        <v>270</v>
      </c>
      <c r="E326" s="20">
        <v>0.4</v>
      </c>
      <c r="F326" s="18">
        <v>2400.0</v>
      </c>
      <c r="G326" s="15">
        <f t="shared" si="3"/>
        <v>960</v>
      </c>
      <c r="H326" s="78"/>
    </row>
    <row r="327">
      <c r="D327" s="50" t="s">
        <v>261</v>
      </c>
      <c r="E327" s="20">
        <v>0.6</v>
      </c>
      <c r="F327" s="18">
        <v>2800.0</v>
      </c>
      <c r="G327" s="15">
        <f t="shared" si="3"/>
        <v>1680</v>
      </c>
      <c r="H327" s="78"/>
    </row>
    <row r="328">
      <c r="D328" s="50" t="s">
        <v>202</v>
      </c>
      <c r="E328" s="20">
        <v>1.5</v>
      </c>
      <c r="F328" s="18">
        <v>600.0</v>
      </c>
      <c r="G328" s="15">
        <f t="shared" si="3"/>
        <v>900</v>
      </c>
      <c r="H328" s="78"/>
    </row>
    <row r="329">
      <c r="D329" s="50" t="s">
        <v>139</v>
      </c>
      <c r="E329" s="20">
        <v>1.0</v>
      </c>
      <c r="F329" s="18">
        <v>400.0</v>
      </c>
      <c r="G329" s="15">
        <f t="shared" si="3"/>
        <v>400</v>
      </c>
      <c r="H329" s="78"/>
    </row>
    <row r="330">
      <c r="D330" s="50" t="s">
        <v>271</v>
      </c>
      <c r="E330" s="20">
        <v>0.5</v>
      </c>
      <c r="F330" s="18">
        <v>600.0</v>
      </c>
      <c r="G330" s="15">
        <f t="shared" si="3"/>
        <v>300</v>
      </c>
      <c r="H330" s="78"/>
    </row>
    <row r="331">
      <c r="D331" s="50" t="s">
        <v>272</v>
      </c>
      <c r="E331" s="20">
        <v>0.5</v>
      </c>
      <c r="F331" s="18">
        <v>600.0</v>
      </c>
      <c r="G331" s="15">
        <f t="shared" si="3"/>
        <v>300</v>
      </c>
      <c r="H331" s="78"/>
    </row>
    <row r="332">
      <c r="D332" s="50" t="s">
        <v>273</v>
      </c>
      <c r="E332" s="20">
        <v>0.2</v>
      </c>
      <c r="F332" s="18">
        <v>1200.0</v>
      </c>
      <c r="G332" s="15">
        <f t="shared" si="3"/>
        <v>240</v>
      </c>
      <c r="H332" s="78"/>
    </row>
    <row r="333">
      <c r="D333" s="50" t="s">
        <v>274</v>
      </c>
      <c r="E333" s="20">
        <v>0.2</v>
      </c>
      <c r="F333" s="18">
        <v>1500.0</v>
      </c>
      <c r="G333" s="15">
        <f t="shared" si="3"/>
        <v>300</v>
      </c>
      <c r="H333" s="78"/>
    </row>
    <row r="334">
      <c r="D334" s="50" t="s">
        <v>275</v>
      </c>
      <c r="E334" s="20">
        <v>0.2</v>
      </c>
      <c r="F334" s="18">
        <v>1500.0</v>
      </c>
      <c r="G334" s="15">
        <f t="shared" si="3"/>
        <v>300</v>
      </c>
      <c r="H334" s="78"/>
    </row>
    <row r="335">
      <c r="D335" s="50" t="s">
        <v>276</v>
      </c>
      <c r="E335" s="20">
        <v>1.0</v>
      </c>
      <c r="F335" s="18">
        <v>100.0</v>
      </c>
      <c r="G335" s="15">
        <f t="shared" si="3"/>
        <v>100</v>
      </c>
      <c r="H335" s="78"/>
    </row>
    <row r="336">
      <c r="D336" s="50" t="s">
        <v>182</v>
      </c>
      <c r="E336" s="20">
        <v>8.0</v>
      </c>
      <c r="F336" s="18">
        <v>1300.0</v>
      </c>
      <c r="G336" s="15">
        <f t="shared" si="3"/>
        <v>10400</v>
      </c>
      <c r="H336" s="78"/>
    </row>
    <row r="337">
      <c r="D337" s="50" t="s">
        <v>277</v>
      </c>
      <c r="E337" s="20">
        <v>1.0</v>
      </c>
      <c r="F337" s="18">
        <v>1000.0</v>
      </c>
      <c r="G337" s="15">
        <f t="shared" si="3"/>
        <v>1000</v>
      </c>
      <c r="H337" s="78"/>
    </row>
    <row r="338">
      <c r="D338" s="50" t="s">
        <v>278</v>
      </c>
      <c r="E338" s="20">
        <v>1.0</v>
      </c>
      <c r="F338" s="18">
        <v>200.0</v>
      </c>
      <c r="G338" s="15">
        <f t="shared" si="3"/>
        <v>200</v>
      </c>
      <c r="H338" s="78"/>
    </row>
    <row r="339">
      <c r="D339" s="50" t="s">
        <v>159</v>
      </c>
      <c r="E339" s="20">
        <v>3.0</v>
      </c>
      <c r="F339" s="18">
        <v>100.0</v>
      </c>
      <c r="G339" s="15">
        <f t="shared" si="3"/>
        <v>300</v>
      </c>
      <c r="H339" s="78"/>
    </row>
    <row r="340">
      <c r="D340" s="50" t="s">
        <v>279</v>
      </c>
      <c r="E340" s="20">
        <v>1.0</v>
      </c>
      <c r="F340" s="18">
        <v>250.0</v>
      </c>
      <c r="G340" s="15">
        <f t="shared" si="3"/>
        <v>250</v>
      </c>
      <c r="H340" s="78"/>
    </row>
    <row r="341">
      <c r="D341" s="50" t="s">
        <v>204</v>
      </c>
      <c r="E341" s="20">
        <v>1.0</v>
      </c>
      <c r="F341" s="18">
        <v>1200.0</v>
      </c>
      <c r="G341" s="15">
        <f t="shared" si="3"/>
        <v>1200</v>
      </c>
      <c r="H341" s="78"/>
    </row>
    <row r="342">
      <c r="D342" s="50" t="s">
        <v>222</v>
      </c>
      <c r="E342" s="20">
        <v>2.0</v>
      </c>
      <c r="F342" s="18">
        <v>700.0</v>
      </c>
      <c r="G342" s="15">
        <f t="shared" si="3"/>
        <v>1400</v>
      </c>
      <c r="H342" s="78"/>
    </row>
    <row r="343">
      <c r="D343" s="50" t="s">
        <v>280</v>
      </c>
      <c r="E343" s="20">
        <v>3.0</v>
      </c>
      <c r="F343" s="18">
        <v>80.0</v>
      </c>
      <c r="G343" s="15">
        <f t="shared" si="3"/>
        <v>240</v>
      </c>
      <c r="H343" s="78"/>
    </row>
    <row r="344">
      <c r="D344" s="50" t="s">
        <v>281</v>
      </c>
      <c r="E344" s="20">
        <v>1.0</v>
      </c>
      <c r="F344" s="18">
        <v>100.0</v>
      </c>
      <c r="G344" s="15">
        <f t="shared" si="3"/>
        <v>100</v>
      </c>
      <c r="H344" s="78"/>
    </row>
    <row r="345">
      <c r="D345" s="50" t="s">
        <v>90</v>
      </c>
      <c r="E345" s="20">
        <v>30.0</v>
      </c>
      <c r="F345" s="18">
        <v>120.0</v>
      </c>
      <c r="G345" s="15">
        <f t="shared" si="3"/>
        <v>3600</v>
      </c>
      <c r="H345" s="17">
        <v>45373.0</v>
      </c>
    </row>
    <row r="346">
      <c r="D346" s="50" t="s">
        <v>282</v>
      </c>
      <c r="E346" s="20">
        <v>15.0</v>
      </c>
      <c r="F346" s="18">
        <v>100.0</v>
      </c>
      <c r="G346" s="15">
        <f t="shared" si="3"/>
        <v>1500</v>
      </c>
      <c r="H346" s="78"/>
    </row>
    <row r="347">
      <c r="D347" s="50" t="s">
        <v>283</v>
      </c>
      <c r="E347" s="20">
        <v>6.0</v>
      </c>
      <c r="F347" s="18">
        <v>1000.0</v>
      </c>
      <c r="G347" s="15">
        <f t="shared" si="3"/>
        <v>6000</v>
      </c>
      <c r="H347" s="78"/>
    </row>
    <row r="348">
      <c r="D348" s="50" t="s">
        <v>205</v>
      </c>
      <c r="E348" s="20">
        <v>2.0</v>
      </c>
      <c r="F348" s="18">
        <v>500.0</v>
      </c>
      <c r="G348" s="15">
        <f t="shared" si="3"/>
        <v>1000</v>
      </c>
      <c r="H348" s="78"/>
    </row>
    <row r="349">
      <c r="D349" s="50" t="s">
        <v>144</v>
      </c>
      <c r="E349" s="20">
        <v>0.5</v>
      </c>
      <c r="F349" s="18">
        <v>2000.0</v>
      </c>
      <c r="G349" s="15">
        <f t="shared" si="3"/>
        <v>1000</v>
      </c>
      <c r="H349" s="78"/>
    </row>
    <row r="350">
      <c r="D350" s="50" t="s">
        <v>284</v>
      </c>
      <c r="E350" s="20">
        <v>11.0</v>
      </c>
      <c r="F350" s="18">
        <v>500.0</v>
      </c>
      <c r="G350" s="15">
        <f t="shared" si="3"/>
        <v>5500</v>
      </c>
      <c r="H350" s="78"/>
    </row>
    <row r="351">
      <c r="D351" s="50" t="s">
        <v>194</v>
      </c>
      <c r="E351" s="20">
        <v>5.0</v>
      </c>
      <c r="F351" s="18">
        <v>220.0</v>
      </c>
      <c r="G351" s="15">
        <f t="shared" si="3"/>
        <v>1100</v>
      </c>
      <c r="H351" s="78"/>
    </row>
    <row r="352">
      <c r="D352" s="50" t="s">
        <v>285</v>
      </c>
      <c r="E352" s="20">
        <v>2.0</v>
      </c>
      <c r="F352" s="18">
        <v>200.0</v>
      </c>
      <c r="G352" s="15">
        <f t="shared" si="3"/>
        <v>400</v>
      </c>
      <c r="H352" s="78"/>
    </row>
    <row r="353">
      <c r="D353" s="50" t="s">
        <v>286</v>
      </c>
      <c r="E353" s="20">
        <v>2.0</v>
      </c>
      <c r="F353" s="18">
        <v>650.0</v>
      </c>
      <c r="G353" s="15">
        <f t="shared" si="3"/>
        <v>1300</v>
      </c>
      <c r="H353" s="78"/>
    </row>
    <row r="354">
      <c r="D354" s="50" t="s">
        <v>222</v>
      </c>
      <c r="E354" s="20">
        <v>1.0</v>
      </c>
      <c r="F354" s="18">
        <v>750.0</v>
      </c>
      <c r="G354" s="15">
        <f t="shared" si="3"/>
        <v>750</v>
      </c>
      <c r="H354" s="78"/>
    </row>
    <row r="355">
      <c r="D355" s="50" t="s">
        <v>159</v>
      </c>
      <c r="E355" s="20">
        <v>5.0</v>
      </c>
      <c r="F355" s="18">
        <v>100.0</v>
      </c>
      <c r="G355" s="15">
        <f t="shared" si="3"/>
        <v>500</v>
      </c>
      <c r="H355" s="78"/>
    </row>
    <row r="356">
      <c r="D356" s="50" t="s">
        <v>287</v>
      </c>
      <c r="E356" s="20">
        <v>3.0</v>
      </c>
      <c r="F356" s="18">
        <v>950.0</v>
      </c>
      <c r="G356" s="15">
        <f t="shared" si="3"/>
        <v>2850</v>
      </c>
      <c r="H356" s="17">
        <v>45374.0</v>
      </c>
    </row>
    <row r="357">
      <c r="D357" s="50" t="s">
        <v>288</v>
      </c>
      <c r="E357" s="20">
        <v>15.0</v>
      </c>
      <c r="F357" s="18">
        <v>100.0</v>
      </c>
      <c r="G357" s="15">
        <f t="shared" si="3"/>
        <v>1500</v>
      </c>
      <c r="H357" s="78"/>
    </row>
    <row r="358">
      <c r="D358" s="50" t="s">
        <v>202</v>
      </c>
      <c r="E358" s="20">
        <v>0.25</v>
      </c>
      <c r="F358" s="18">
        <v>600.0</v>
      </c>
      <c r="G358" s="15">
        <f t="shared" si="3"/>
        <v>150</v>
      </c>
      <c r="H358" s="78"/>
    </row>
    <row r="359">
      <c r="D359" s="50" t="s">
        <v>289</v>
      </c>
      <c r="E359" s="20">
        <v>2.0</v>
      </c>
      <c r="F359" s="18">
        <v>250.0</v>
      </c>
      <c r="G359" s="15">
        <f t="shared" si="3"/>
        <v>500</v>
      </c>
      <c r="H359" s="78"/>
    </row>
    <row r="360">
      <c r="D360" s="50" t="s">
        <v>290</v>
      </c>
      <c r="E360" s="20">
        <v>2.0</v>
      </c>
      <c r="F360" s="18">
        <v>350.0</v>
      </c>
      <c r="G360" s="15">
        <f t="shared" si="3"/>
        <v>700</v>
      </c>
      <c r="H360" s="78"/>
    </row>
    <row r="361">
      <c r="D361" s="50" t="s">
        <v>291</v>
      </c>
      <c r="E361" s="20">
        <v>1.0</v>
      </c>
      <c r="F361" s="18">
        <v>850.0</v>
      </c>
      <c r="G361" s="15">
        <f t="shared" si="3"/>
        <v>850</v>
      </c>
      <c r="H361" s="78"/>
    </row>
    <row r="362">
      <c r="D362" s="50" t="s">
        <v>292</v>
      </c>
      <c r="E362" s="20">
        <v>1.0</v>
      </c>
      <c r="F362" s="18">
        <v>1550.0</v>
      </c>
      <c r="G362" s="15">
        <f t="shared" si="3"/>
        <v>1550</v>
      </c>
      <c r="H362" s="78"/>
    </row>
    <row r="363">
      <c r="D363" s="50" t="s">
        <v>267</v>
      </c>
      <c r="E363" s="20">
        <v>3.0</v>
      </c>
      <c r="F363" s="18">
        <v>150.0</v>
      </c>
      <c r="G363" s="15">
        <f t="shared" si="3"/>
        <v>450</v>
      </c>
      <c r="H363" s="78"/>
    </row>
    <row r="364">
      <c r="D364" s="50" t="s">
        <v>293</v>
      </c>
      <c r="E364" s="20">
        <v>1.0</v>
      </c>
      <c r="F364" s="18">
        <v>1500.0</v>
      </c>
      <c r="G364" s="15">
        <f t="shared" si="3"/>
        <v>1500</v>
      </c>
      <c r="H364" s="78"/>
    </row>
    <row r="365">
      <c r="D365" s="50" t="s">
        <v>270</v>
      </c>
      <c r="E365" s="20">
        <v>1.0</v>
      </c>
      <c r="F365" s="18">
        <v>1600.0</v>
      </c>
      <c r="G365" s="15">
        <f t="shared" si="3"/>
        <v>1600</v>
      </c>
      <c r="H365" s="78"/>
    </row>
    <row r="366">
      <c r="D366" s="50" t="s">
        <v>235</v>
      </c>
      <c r="E366" s="20">
        <v>1.5</v>
      </c>
      <c r="F366" s="18">
        <v>900.0</v>
      </c>
      <c r="G366" s="15">
        <f t="shared" si="3"/>
        <v>1350</v>
      </c>
      <c r="H366" s="78"/>
    </row>
    <row r="367">
      <c r="D367" s="50" t="s">
        <v>164</v>
      </c>
      <c r="E367" s="20">
        <v>2.0</v>
      </c>
      <c r="F367" s="18">
        <v>900.0</v>
      </c>
      <c r="G367" s="15">
        <f t="shared" si="3"/>
        <v>1800</v>
      </c>
      <c r="H367" s="78"/>
    </row>
    <row r="368">
      <c r="D368" s="50" t="s">
        <v>159</v>
      </c>
      <c r="E368" s="20">
        <v>5.0</v>
      </c>
      <c r="F368" s="18">
        <v>100.0</v>
      </c>
      <c r="G368" s="15">
        <f t="shared" si="3"/>
        <v>500</v>
      </c>
      <c r="H368" s="78"/>
    </row>
    <row r="369">
      <c r="D369" s="50" t="s">
        <v>294</v>
      </c>
      <c r="E369" s="20">
        <v>17.0</v>
      </c>
      <c r="F369" s="18">
        <v>30.0</v>
      </c>
      <c r="G369" s="15">
        <f t="shared" si="3"/>
        <v>510</v>
      </c>
      <c r="H369" s="78"/>
    </row>
    <row r="370">
      <c r="D370" s="50" t="s">
        <v>193</v>
      </c>
      <c r="E370" s="20">
        <v>25.0</v>
      </c>
      <c r="F370" s="18">
        <v>120.0</v>
      </c>
      <c r="G370" s="15">
        <f t="shared" si="3"/>
        <v>3000</v>
      </c>
      <c r="H370" s="78"/>
    </row>
    <row r="371">
      <c r="D371" s="50" t="s">
        <v>181</v>
      </c>
      <c r="E371" s="20">
        <v>5.0</v>
      </c>
      <c r="F371" s="18">
        <v>60.0</v>
      </c>
      <c r="G371" s="15">
        <f t="shared" si="3"/>
        <v>300</v>
      </c>
      <c r="H371" s="78"/>
    </row>
    <row r="372">
      <c r="D372" s="50" t="s">
        <v>94</v>
      </c>
      <c r="E372" s="20">
        <v>20.0</v>
      </c>
      <c r="F372" s="18">
        <v>70.0</v>
      </c>
      <c r="G372" s="15">
        <f t="shared" si="3"/>
        <v>1400</v>
      </c>
      <c r="H372" s="78"/>
    </row>
    <row r="373">
      <c r="D373" s="50" t="s">
        <v>295</v>
      </c>
      <c r="E373" s="20">
        <v>1.0</v>
      </c>
      <c r="F373" s="18">
        <v>2000.0</v>
      </c>
      <c r="G373" s="15">
        <f t="shared" si="3"/>
        <v>2000</v>
      </c>
      <c r="H373" s="78"/>
    </row>
    <row r="374">
      <c r="D374" s="50" t="s">
        <v>296</v>
      </c>
      <c r="E374" s="20">
        <v>7.0</v>
      </c>
      <c r="F374" s="18">
        <v>250.0</v>
      </c>
      <c r="G374" s="15">
        <f t="shared" si="3"/>
        <v>1750</v>
      </c>
      <c r="H374" s="78"/>
    </row>
    <row r="375">
      <c r="D375" s="50" t="s">
        <v>205</v>
      </c>
      <c r="E375" s="20">
        <v>2.0</v>
      </c>
      <c r="F375" s="18">
        <v>550.0</v>
      </c>
      <c r="G375" s="15">
        <f t="shared" si="3"/>
        <v>1100</v>
      </c>
      <c r="H375" s="78"/>
    </row>
    <row r="376">
      <c r="D376" s="50" t="s">
        <v>146</v>
      </c>
      <c r="E376" s="20">
        <v>1.0</v>
      </c>
      <c r="F376" s="18">
        <v>220.0</v>
      </c>
      <c r="G376" s="15">
        <f t="shared" si="3"/>
        <v>220</v>
      </c>
      <c r="H376" s="78"/>
    </row>
    <row r="377">
      <c r="D377" s="50" t="s">
        <v>297</v>
      </c>
      <c r="E377" s="20">
        <v>1.0</v>
      </c>
      <c r="F377" s="18">
        <v>100.0</v>
      </c>
      <c r="G377" s="15">
        <f t="shared" si="3"/>
        <v>100</v>
      </c>
      <c r="H377" s="78"/>
    </row>
    <row r="378">
      <c r="D378" s="50" t="s">
        <v>298</v>
      </c>
      <c r="E378" s="20">
        <v>1.0</v>
      </c>
      <c r="F378" s="18">
        <v>1300.0</v>
      </c>
      <c r="G378" s="15">
        <f t="shared" si="3"/>
        <v>1300</v>
      </c>
      <c r="H378" s="78"/>
    </row>
    <row r="379">
      <c r="D379" s="50" t="s">
        <v>275</v>
      </c>
      <c r="E379" s="20">
        <v>1.0</v>
      </c>
      <c r="F379" s="18">
        <v>1100.0</v>
      </c>
      <c r="G379" s="15">
        <f t="shared" si="3"/>
        <v>1100</v>
      </c>
      <c r="H379" s="78"/>
    </row>
    <row r="380">
      <c r="D380" s="50" t="s">
        <v>299</v>
      </c>
      <c r="E380" s="20">
        <v>2.0</v>
      </c>
      <c r="F380" s="18">
        <v>65.0</v>
      </c>
      <c r="G380" s="15">
        <f t="shared" si="3"/>
        <v>130</v>
      </c>
      <c r="H380" s="78"/>
    </row>
    <row r="381">
      <c r="D381" s="50" t="s">
        <v>300</v>
      </c>
      <c r="E381" s="20">
        <v>2.0</v>
      </c>
      <c r="F381" s="18">
        <v>330.0</v>
      </c>
      <c r="G381" s="15">
        <f t="shared" si="3"/>
        <v>660</v>
      </c>
      <c r="H381" s="78"/>
    </row>
    <row r="382">
      <c r="D382" s="50" t="s">
        <v>238</v>
      </c>
      <c r="E382" s="20">
        <v>5.0</v>
      </c>
      <c r="F382" s="18">
        <v>200.0</v>
      </c>
      <c r="G382" s="15">
        <f t="shared" si="3"/>
        <v>1000</v>
      </c>
      <c r="H382" s="78"/>
    </row>
    <row r="383">
      <c r="D383" s="50" t="s">
        <v>301</v>
      </c>
      <c r="E383" s="20">
        <v>1.0</v>
      </c>
      <c r="F383" s="18">
        <v>1550.0</v>
      </c>
      <c r="G383" s="15">
        <f t="shared" si="3"/>
        <v>1550</v>
      </c>
      <c r="H383" s="17">
        <v>45376.0</v>
      </c>
    </row>
    <row r="384">
      <c r="D384" s="50" t="s">
        <v>261</v>
      </c>
      <c r="E384" s="20">
        <v>0.5</v>
      </c>
      <c r="F384" s="18">
        <v>2700.0</v>
      </c>
      <c r="G384" s="15">
        <f t="shared" si="3"/>
        <v>1350</v>
      </c>
      <c r="H384" s="78"/>
    </row>
    <row r="385">
      <c r="D385" s="50" t="s">
        <v>302</v>
      </c>
      <c r="E385" s="20">
        <v>5.0</v>
      </c>
      <c r="F385" s="18">
        <v>900.0</v>
      </c>
      <c r="G385" s="15">
        <f t="shared" si="3"/>
        <v>4500</v>
      </c>
      <c r="H385" s="78"/>
    </row>
    <row r="386">
      <c r="D386" s="50" t="s">
        <v>94</v>
      </c>
      <c r="E386" s="20">
        <v>10.0</v>
      </c>
      <c r="F386" s="18">
        <v>70.0</v>
      </c>
      <c r="G386" s="15">
        <f t="shared" si="3"/>
        <v>700</v>
      </c>
      <c r="H386" s="78"/>
    </row>
    <row r="387">
      <c r="D387" s="50" t="s">
        <v>193</v>
      </c>
      <c r="E387" s="20">
        <v>20.0</v>
      </c>
      <c r="F387" s="18">
        <v>100.0</v>
      </c>
      <c r="G387" s="15">
        <f t="shared" si="3"/>
        <v>2000</v>
      </c>
      <c r="H387" s="78"/>
    </row>
    <row r="388">
      <c r="D388" s="50" t="s">
        <v>162</v>
      </c>
      <c r="E388" s="20">
        <v>10.0</v>
      </c>
      <c r="F388" s="18">
        <v>120.0</v>
      </c>
      <c r="G388" s="15">
        <f t="shared" si="3"/>
        <v>1200</v>
      </c>
      <c r="H388" s="78"/>
    </row>
    <row r="389">
      <c r="D389" s="50" t="s">
        <v>202</v>
      </c>
      <c r="E389" s="20">
        <v>1.0</v>
      </c>
      <c r="F389" s="18">
        <v>600.0</v>
      </c>
      <c r="G389" s="15">
        <f t="shared" si="3"/>
        <v>600</v>
      </c>
      <c r="H389" s="78"/>
    </row>
    <row r="390">
      <c r="D390" s="50" t="s">
        <v>139</v>
      </c>
      <c r="E390" s="20">
        <v>1.0</v>
      </c>
      <c r="F390" s="18">
        <v>440.0</v>
      </c>
      <c r="G390" s="15">
        <f t="shared" si="3"/>
        <v>440</v>
      </c>
      <c r="H390" s="78"/>
    </row>
    <row r="391">
      <c r="D391" s="50" t="s">
        <v>303</v>
      </c>
      <c r="E391" s="20">
        <v>1.0</v>
      </c>
      <c r="F391" s="18">
        <v>850.0</v>
      </c>
      <c r="G391" s="15">
        <f t="shared" si="3"/>
        <v>850</v>
      </c>
      <c r="H391" s="78"/>
    </row>
    <row r="392">
      <c r="D392" s="50" t="s">
        <v>304</v>
      </c>
      <c r="E392" s="20">
        <v>2.0</v>
      </c>
      <c r="F392" s="18">
        <v>50.0</v>
      </c>
      <c r="G392" s="15">
        <f t="shared" si="3"/>
        <v>100</v>
      </c>
      <c r="H392" s="78"/>
    </row>
    <row r="393">
      <c r="D393" s="50" t="s">
        <v>181</v>
      </c>
      <c r="E393" s="20">
        <v>5.0</v>
      </c>
      <c r="F393" s="18">
        <v>100.0</v>
      </c>
      <c r="G393" s="15">
        <f t="shared" si="3"/>
        <v>500</v>
      </c>
      <c r="H393" s="78"/>
    </row>
    <row r="394">
      <c r="D394" s="50" t="s">
        <v>146</v>
      </c>
      <c r="E394" s="20">
        <v>1.0</v>
      </c>
      <c r="F394" s="18">
        <v>220.0</v>
      </c>
      <c r="G394" s="15">
        <f t="shared" si="3"/>
        <v>220</v>
      </c>
      <c r="H394" s="78"/>
    </row>
    <row r="395">
      <c r="D395" s="50" t="s">
        <v>305</v>
      </c>
      <c r="E395" s="20">
        <v>10.0</v>
      </c>
      <c r="F395" s="18">
        <v>30.0</v>
      </c>
      <c r="G395" s="15">
        <f t="shared" si="3"/>
        <v>300</v>
      </c>
      <c r="H395" s="78"/>
    </row>
    <row r="396">
      <c r="D396" s="50" t="s">
        <v>256</v>
      </c>
      <c r="E396" s="20">
        <v>1.0</v>
      </c>
      <c r="F396" s="18">
        <v>100.0</v>
      </c>
      <c r="G396" s="15">
        <f t="shared" si="3"/>
        <v>100</v>
      </c>
      <c r="H396" s="78"/>
    </row>
    <row r="397">
      <c r="D397" s="50" t="s">
        <v>205</v>
      </c>
      <c r="E397" s="20">
        <v>3.0</v>
      </c>
      <c r="F397" s="18">
        <v>500.0</v>
      </c>
      <c r="G397" s="15">
        <f t="shared" si="3"/>
        <v>1500</v>
      </c>
      <c r="H397" s="78"/>
    </row>
    <row r="398">
      <c r="D398" s="50" t="s">
        <v>229</v>
      </c>
      <c r="E398" s="20">
        <v>0.25</v>
      </c>
      <c r="F398" s="18">
        <v>2000.0</v>
      </c>
      <c r="G398" s="15">
        <f t="shared" si="3"/>
        <v>500</v>
      </c>
      <c r="H398" s="78"/>
    </row>
    <row r="399">
      <c r="D399" s="50" t="s">
        <v>300</v>
      </c>
      <c r="E399" s="20">
        <v>1.0</v>
      </c>
      <c r="F399" s="18">
        <v>330.0</v>
      </c>
      <c r="G399" s="15">
        <f t="shared" si="3"/>
        <v>330</v>
      </c>
      <c r="H399" s="78"/>
    </row>
    <row r="400">
      <c r="D400" s="141" t="s">
        <v>306</v>
      </c>
      <c r="E400" s="142">
        <v>1.0</v>
      </c>
      <c r="F400" s="143">
        <v>20500.0</v>
      </c>
      <c r="G400" s="144">
        <f t="shared" si="3"/>
        <v>20500</v>
      </c>
      <c r="H400" s="145"/>
    </row>
    <row r="401">
      <c r="D401" s="50" t="s">
        <v>307</v>
      </c>
      <c r="E401" s="20">
        <v>6.5</v>
      </c>
      <c r="F401" s="18">
        <v>950.0</v>
      </c>
      <c r="G401" s="15">
        <f t="shared" si="3"/>
        <v>6175</v>
      </c>
      <c r="H401" s="78"/>
    </row>
    <row r="402">
      <c r="D402" s="50" t="s">
        <v>144</v>
      </c>
      <c r="E402" s="20">
        <v>0.7</v>
      </c>
      <c r="F402" s="18">
        <v>2400.0</v>
      </c>
      <c r="G402" s="15">
        <f t="shared" si="3"/>
        <v>1680</v>
      </c>
      <c r="H402" s="78"/>
    </row>
    <row r="403">
      <c r="D403" s="50" t="s">
        <v>193</v>
      </c>
      <c r="E403" s="20">
        <v>25.0</v>
      </c>
      <c r="F403" s="18">
        <v>120.0</v>
      </c>
      <c r="G403" s="15">
        <f t="shared" si="3"/>
        <v>3000</v>
      </c>
      <c r="H403" s="78"/>
    </row>
    <row r="404">
      <c r="D404" s="50" t="s">
        <v>148</v>
      </c>
      <c r="E404" s="20">
        <v>3.0</v>
      </c>
      <c r="F404" s="18">
        <v>300.0</v>
      </c>
      <c r="G404" s="15">
        <f t="shared" si="3"/>
        <v>900</v>
      </c>
      <c r="H404" s="78"/>
    </row>
    <row r="405">
      <c r="D405" s="50" t="s">
        <v>222</v>
      </c>
      <c r="E405" s="20">
        <v>2.0</v>
      </c>
      <c r="F405" s="18">
        <v>750.0</v>
      </c>
      <c r="G405" s="15">
        <f t="shared" si="3"/>
        <v>1500</v>
      </c>
      <c r="H405" s="78"/>
    </row>
    <row r="406">
      <c r="D406" s="50" t="s">
        <v>159</v>
      </c>
      <c r="E406" s="20">
        <v>2.0</v>
      </c>
      <c r="F406" s="18">
        <v>100.0</v>
      </c>
      <c r="G406" s="15">
        <f t="shared" si="3"/>
        <v>200</v>
      </c>
      <c r="H406" s="78"/>
    </row>
    <row r="407">
      <c r="D407" s="50" t="s">
        <v>256</v>
      </c>
      <c r="E407" s="20">
        <v>1.0</v>
      </c>
      <c r="F407" s="18">
        <v>100.0</v>
      </c>
      <c r="G407" s="15">
        <f t="shared" si="3"/>
        <v>100</v>
      </c>
      <c r="H407" s="78"/>
    </row>
    <row r="408">
      <c r="D408" s="50" t="s">
        <v>308</v>
      </c>
      <c r="E408" s="20">
        <v>1.0</v>
      </c>
      <c r="F408" s="18">
        <v>500.0</v>
      </c>
      <c r="G408" s="15">
        <f t="shared" si="3"/>
        <v>500</v>
      </c>
      <c r="H408" s="78"/>
    </row>
    <row r="409">
      <c r="D409" s="50" t="s">
        <v>309</v>
      </c>
      <c r="E409" s="20">
        <v>1.0</v>
      </c>
      <c r="F409" s="18">
        <v>12000.0</v>
      </c>
      <c r="G409" s="15">
        <f t="shared" si="3"/>
        <v>12000</v>
      </c>
      <c r="H409" s="78"/>
    </row>
    <row r="410">
      <c r="D410" s="50" t="s">
        <v>287</v>
      </c>
      <c r="E410" s="20">
        <v>4.55</v>
      </c>
      <c r="F410" s="18">
        <v>880.0</v>
      </c>
      <c r="G410" s="15">
        <f t="shared" si="3"/>
        <v>4004</v>
      </c>
      <c r="H410" s="78"/>
    </row>
    <row r="411">
      <c r="D411" s="50" t="s">
        <v>144</v>
      </c>
      <c r="E411" s="20">
        <v>1.0</v>
      </c>
      <c r="F411" s="18">
        <v>1550.0</v>
      </c>
      <c r="G411" s="15">
        <f t="shared" si="3"/>
        <v>1550</v>
      </c>
      <c r="H411" s="78"/>
    </row>
    <row r="412">
      <c r="D412" s="50" t="s">
        <v>296</v>
      </c>
      <c r="E412" s="20">
        <v>12.0</v>
      </c>
      <c r="F412" s="18">
        <v>260.0</v>
      </c>
      <c r="G412" s="15">
        <f t="shared" si="3"/>
        <v>3120</v>
      </c>
      <c r="H412" s="78"/>
    </row>
    <row r="413">
      <c r="D413" s="50" t="s">
        <v>205</v>
      </c>
      <c r="E413" s="20">
        <v>2.0</v>
      </c>
      <c r="F413" s="18">
        <v>650.0</v>
      </c>
      <c r="G413" s="15">
        <f t="shared" si="3"/>
        <v>1300</v>
      </c>
      <c r="H413" s="78"/>
    </row>
    <row r="414">
      <c r="D414" s="50" t="s">
        <v>194</v>
      </c>
      <c r="E414" s="20">
        <v>2.0</v>
      </c>
      <c r="F414" s="18">
        <v>170.0</v>
      </c>
      <c r="G414" s="15">
        <f t="shared" si="3"/>
        <v>340</v>
      </c>
      <c r="H414" s="78"/>
    </row>
    <row r="415">
      <c r="D415" s="50" t="s">
        <v>310</v>
      </c>
      <c r="E415" s="20">
        <v>1.0</v>
      </c>
      <c r="F415" s="18">
        <v>560.0</v>
      </c>
      <c r="G415" s="15">
        <f t="shared" si="3"/>
        <v>560</v>
      </c>
      <c r="H415" s="78"/>
    </row>
    <row r="416">
      <c r="D416" s="50" t="s">
        <v>193</v>
      </c>
      <c r="E416" s="20">
        <v>45.0</v>
      </c>
      <c r="F416" s="18">
        <v>120.0</v>
      </c>
      <c r="G416" s="15">
        <f t="shared" si="3"/>
        <v>5400</v>
      </c>
      <c r="H416" s="78"/>
    </row>
    <row r="417">
      <c r="D417" s="50" t="s">
        <v>238</v>
      </c>
      <c r="E417" s="20">
        <v>1.0</v>
      </c>
      <c r="F417" s="18">
        <v>350.0</v>
      </c>
      <c r="G417" s="15">
        <f t="shared" si="3"/>
        <v>350</v>
      </c>
      <c r="H417" s="78"/>
    </row>
    <row r="418">
      <c r="D418" s="50" t="s">
        <v>132</v>
      </c>
      <c r="E418" s="20">
        <v>25.0</v>
      </c>
      <c r="F418" s="18">
        <v>80.0</v>
      </c>
      <c r="G418" s="15">
        <f t="shared" si="3"/>
        <v>2000</v>
      </c>
      <c r="H418" s="78"/>
    </row>
    <row r="419">
      <c r="D419" s="50" t="s">
        <v>202</v>
      </c>
      <c r="E419" s="20">
        <v>1.0</v>
      </c>
      <c r="F419" s="18">
        <v>600.0</v>
      </c>
      <c r="G419" s="15">
        <f t="shared" si="3"/>
        <v>600</v>
      </c>
      <c r="H419" s="78"/>
    </row>
    <row r="420">
      <c r="D420" s="50" t="s">
        <v>94</v>
      </c>
      <c r="E420" s="20">
        <v>5.0</v>
      </c>
      <c r="F420" s="18">
        <v>70.0</v>
      </c>
      <c r="G420" s="15">
        <f t="shared" si="3"/>
        <v>350</v>
      </c>
      <c r="H420" s="78"/>
    </row>
    <row r="421">
      <c r="D421" s="50" t="s">
        <v>159</v>
      </c>
      <c r="E421" s="20">
        <v>4.0</v>
      </c>
      <c r="F421" s="18">
        <v>100.0</v>
      </c>
      <c r="G421" s="15">
        <f t="shared" si="3"/>
        <v>400</v>
      </c>
      <c r="H421" s="78"/>
    </row>
    <row r="422">
      <c r="D422" s="50" t="s">
        <v>206</v>
      </c>
      <c r="E422" s="20">
        <v>2.0</v>
      </c>
      <c r="F422" s="18">
        <v>200.0</v>
      </c>
      <c r="G422" s="15">
        <f t="shared" si="3"/>
        <v>400</v>
      </c>
      <c r="H422" s="78"/>
    </row>
    <row r="423">
      <c r="D423" s="50" t="s">
        <v>311</v>
      </c>
      <c r="E423" s="20">
        <v>2.0</v>
      </c>
      <c r="F423" s="18">
        <v>800.0</v>
      </c>
      <c r="G423" s="15">
        <f t="shared" si="3"/>
        <v>1600</v>
      </c>
      <c r="H423" s="78"/>
    </row>
    <row r="424">
      <c r="D424" s="50" t="s">
        <v>312</v>
      </c>
      <c r="E424" s="20">
        <v>3.0</v>
      </c>
      <c r="F424" s="18">
        <v>200.0</v>
      </c>
      <c r="G424" s="15">
        <f t="shared" si="3"/>
        <v>600</v>
      </c>
      <c r="H424" s="78"/>
    </row>
    <row r="425">
      <c r="D425" s="50" t="s">
        <v>112</v>
      </c>
      <c r="E425" s="20">
        <v>10.0</v>
      </c>
      <c r="F425" s="18">
        <v>100.0</v>
      </c>
      <c r="G425" s="15">
        <f t="shared" si="3"/>
        <v>1000</v>
      </c>
      <c r="H425" s="78"/>
    </row>
    <row r="426">
      <c r="D426" s="50" t="s">
        <v>205</v>
      </c>
      <c r="E426" s="20">
        <v>2.0</v>
      </c>
      <c r="F426" s="18">
        <v>480.0</v>
      </c>
      <c r="G426" s="15">
        <f t="shared" si="3"/>
        <v>960</v>
      </c>
      <c r="H426" s="78"/>
    </row>
    <row r="427">
      <c r="D427" s="50" t="s">
        <v>164</v>
      </c>
      <c r="E427" s="20">
        <v>2.0</v>
      </c>
      <c r="F427" s="18">
        <v>900.0</v>
      </c>
      <c r="G427" s="15">
        <f t="shared" si="3"/>
        <v>1800</v>
      </c>
      <c r="H427" s="78"/>
    </row>
    <row r="428">
      <c r="D428" s="50" t="s">
        <v>139</v>
      </c>
      <c r="E428" s="20">
        <v>1.0</v>
      </c>
      <c r="F428" s="18">
        <v>440.0</v>
      </c>
      <c r="G428" s="15">
        <f t="shared" si="3"/>
        <v>440</v>
      </c>
      <c r="H428" s="78"/>
    </row>
    <row r="429">
      <c r="D429" s="50" t="s">
        <v>313</v>
      </c>
      <c r="E429" s="20">
        <v>0.5</v>
      </c>
      <c r="F429" s="18">
        <v>600.0</v>
      </c>
      <c r="G429" s="15">
        <f t="shared" si="3"/>
        <v>300</v>
      </c>
      <c r="H429" s="78"/>
    </row>
    <row r="430">
      <c r="D430" s="50" t="s">
        <v>193</v>
      </c>
      <c r="E430" s="20">
        <v>10.0</v>
      </c>
      <c r="F430" s="18">
        <v>100.0</v>
      </c>
      <c r="G430" s="15">
        <f t="shared" si="3"/>
        <v>1000</v>
      </c>
      <c r="H430" s="78"/>
    </row>
    <row r="431">
      <c r="D431" s="50" t="s">
        <v>314</v>
      </c>
      <c r="E431" s="20">
        <v>4.0</v>
      </c>
      <c r="F431" s="18">
        <v>220.0</v>
      </c>
      <c r="G431" s="15">
        <f t="shared" si="3"/>
        <v>880</v>
      </c>
      <c r="H431" s="78"/>
    </row>
    <row r="432">
      <c r="D432" s="50" t="s">
        <v>315</v>
      </c>
      <c r="E432" s="20">
        <v>2.0</v>
      </c>
      <c r="F432" s="18">
        <v>200.0</v>
      </c>
      <c r="G432" s="15">
        <f t="shared" si="3"/>
        <v>400</v>
      </c>
      <c r="H432" s="78"/>
    </row>
    <row r="433">
      <c r="D433" s="50" t="s">
        <v>316</v>
      </c>
      <c r="E433" s="20">
        <v>2.0</v>
      </c>
      <c r="F433" s="18">
        <v>50.0</v>
      </c>
      <c r="G433" s="15">
        <f t="shared" si="3"/>
        <v>100</v>
      </c>
      <c r="H433" s="78"/>
    </row>
    <row r="434">
      <c r="D434" s="50" t="s">
        <v>194</v>
      </c>
      <c r="E434" s="20">
        <v>1.0</v>
      </c>
      <c r="F434" s="18">
        <v>170.0</v>
      </c>
      <c r="G434" s="15">
        <f t="shared" si="3"/>
        <v>170</v>
      </c>
      <c r="H434" s="78"/>
    </row>
    <row r="435">
      <c r="D435" s="50" t="s">
        <v>148</v>
      </c>
      <c r="E435" s="20">
        <v>3.0</v>
      </c>
      <c r="F435" s="18">
        <v>300.0</v>
      </c>
      <c r="G435" s="15">
        <f t="shared" si="3"/>
        <v>900</v>
      </c>
      <c r="H435" s="78"/>
    </row>
    <row r="436">
      <c r="D436" s="50" t="s">
        <v>317</v>
      </c>
      <c r="E436" s="20">
        <v>1.0</v>
      </c>
      <c r="F436" s="18">
        <v>300.0</v>
      </c>
      <c r="G436" s="15">
        <f t="shared" si="3"/>
        <v>300</v>
      </c>
      <c r="H436" s="78"/>
    </row>
    <row r="437">
      <c r="D437" s="50" t="s">
        <v>318</v>
      </c>
      <c r="E437" s="20">
        <v>1.0</v>
      </c>
      <c r="F437" s="18">
        <v>50.0</v>
      </c>
      <c r="G437" s="15">
        <f t="shared" si="3"/>
        <v>50</v>
      </c>
      <c r="H437" s="78"/>
    </row>
    <row r="438">
      <c r="D438" s="50" t="s">
        <v>202</v>
      </c>
      <c r="E438" s="20">
        <v>1.0</v>
      </c>
      <c r="F438" s="18">
        <v>600.0</v>
      </c>
      <c r="G438" s="15">
        <f t="shared" si="3"/>
        <v>600</v>
      </c>
      <c r="H438" s="78"/>
    </row>
    <row r="439">
      <c r="D439" s="50" t="s">
        <v>319</v>
      </c>
      <c r="E439" s="20">
        <v>0.5</v>
      </c>
      <c r="F439" s="18">
        <v>600.0</v>
      </c>
      <c r="G439" s="15">
        <f t="shared" si="3"/>
        <v>300</v>
      </c>
      <c r="H439" s="78"/>
    </row>
    <row r="440">
      <c r="D440" s="50" t="s">
        <v>193</v>
      </c>
      <c r="E440" s="20">
        <v>26.0</v>
      </c>
      <c r="F440" s="18">
        <v>120.0</v>
      </c>
      <c r="G440" s="15">
        <f t="shared" si="3"/>
        <v>3120</v>
      </c>
      <c r="H440" s="78"/>
    </row>
    <row r="441">
      <c r="D441" s="50" t="s">
        <v>314</v>
      </c>
      <c r="E441" s="20">
        <v>4.0</v>
      </c>
      <c r="F441" s="18">
        <v>220.0</v>
      </c>
      <c r="G441" s="15">
        <f t="shared" si="3"/>
        <v>880</v>
      </c>
      <c r="H441" s="78"/>
    </row>
    <row r="442">
      <c r="D442" s="50" t="s">
        <v>144</v>
      </c>
      <c r="E442" s="20">
        <v>1.0</v>
      </c>
      <c r="F442" s="18">
        <v>1000.0</v>
      </c>
      <c r="G442" s="15">
        <f t="shared" si="3"/>
        <v>1000</v>
      </c>
      <c r="H442" s="78"/>
    </row>
    <row r="443">
      <c r="D443" s="50" t="s">
        <v>320</v>
      </c>
      <c r="E443" s="20">
        <v>2.0</v>
      </c>
      <c r="F443" s="18">
        <v>100.0</v>
      </c>
      <c r="G443" s="15">
        <f t="shared" si="3"/>
        <v>200</v>
      </c>
      <c r="H443" s="78"/>
    </row>
    <row r="444">
      <c r="D444" s="123" t="s">
        <v>321</v>
      </c>
      <c r="E444" s="133">
        <v>6.0</v>
      </c>
      <c r="F444" s="125">
        <v>880.0</v>
      </c>
      <c r="G444" s="125">
        <f t="shared" si="3"/>
        <v>5280</v>
      </c>
      <c r="H444" s="78"/>
    </row>
    <row r="445">
      <c r="D445" s="16" t="s">
        <v>322</v>
      </c>
      <c r="E445" s="78">
        <v>2.0</v>
      </c>
      <c r="F445" s="15">
        <v>480.0</v>
      </c>
      <c r="G445" s="15">
        <f t="shared" si="3"/>
        <v>960</v>
      </c>
      <c r="H445" s="78"/>
    </row>
    <row r="446">
      <c r="D446" s="16" t="s">
        <v>323</v>
      </c>
      <c r="E446" s="78">
        <v>5.0</v>
      </c>
      <c r="F446" s="15">
        <v>140.0</v>
      </c>
      <c r="G446" s="15">
        <f t="shared" si="3"/>
        <v>700</v>
      </c>
      <c r="H446" s="78"/>
    </row>
    <row r="447">
      <c r="D447" s="16" t="s">
        <v>324</v>
      </c>
      <c r="E447" s="78">
        <v>1.0</v>
      </c>
      <c r="F447" s="15">
        <v>500.0</v>
      </c>
      <c r="G447" s="15">
        <f t="shared" si="3"/>
        <v>500</v>
      </c>
      <c r="H447" s="78"/>
    </row>
    <row r="448">
      <c r="D448" s="16" t="s">
        <v>325</v>
      </c>
      <c r="E448" s="78">
        <v>10.0</v>
      </c>
      <c r="F448" s="15">
        <v>30.0</v>
      </c>
      <c r="G448" s="15">
        <f t="shared" si="3"/>
        <v>300</v>
      </c>
      <c r="H448" s="78"/>
    </row>
    <row r="449">
      <c r="D449" s="16" t="s">
        <v>326</v>
      </c>
      <c r="E449" s="78">
        <v>5.0</v>
      </c>
      <c r="F449" s="15">
        <v>30.0</v>
      </c>
      <c r="G449" s="15">
        <f t="shared" si="3"/>
        <v>150</v>
      </c>
      <c r="H449" s="78"/>
    </row>
    <row r="450">
      <c r="D450" s="16" t="s">
        <v>151</v>
      </c>
      <c r="E450" s="78">
        <v>10.0</v>
      </c>
      <c r="F450" s="15">
        <v>30.0</v>
      </c>
      <c r="G450" s="15">
        <f t="shared" si="3"/>
        <v>300</v>
      </c>
      <c r="H450" s="78"/>
    </row>
    <row r="451">
      <c r="D451" s="16" t="s">
        <v>327</v>
      </c>
      <c r="E451" s="78">
        <v>5.0</v>
      </c>
      <c r="F451" s="15">
        <v>30.0</v>
      </c>
      <c r="G451" s="15">
        <f t="shared" si="3"/>
        <v>150</v>
      </c>
      <c r="H451" s="78"/>
    </row>
    <row r="452">
      <c r="D452" s="16" t="s">
        <v>256</v>
      </c>
      <c r="E452" s="78">
        <v>1.0</v>
      </c>
      <c r="F452" s="15">
        <v>100.0</v>
      </c>
      <c r="G452" s="15">
        <f t="shared" si="3"/>
        <v>100</v>
      </c>
      <c r="H452" s="78"/>
    </row>
    <row r="453">
      <c r="D453" s="16" t="s">
        <v>328</v>
      </c>
      <c r="E453" s="78">
        <v>0.25</v>
      </c>
      <c r="F453" s="15">
        <v>4000.0</v>
      </c>
      <c r="G453" s="15">
        <f t="shared" si="3"/>
        <v>1000</v>
      </c>
      <c r="H453" s="78"/>
    </row>
    <row r="454">
      <c r="D454" s="146" t="s">
        <v>144</v>
      </c>
      <c r="E454" s="147">
        <v>1.0</v>
      </c>
      <c r="F454" s="15">
        <v>1550.0</v>
      </c>
      <c r="G454" s="15">
        <f t="shared" si="3"/>
        <v>1550</v>
      </c>
      <c r="H454" s="78"/>
    </row>
    <row r="455">
      <c r="D455" s="50" t="s">
        <v>193</v>
      </c>
      <c r="E455" s="20">
        <v>1.0</v>
      </c>
      <c r="F455" s="18">
        <v>400.0</v>
      </c>
      <c r="G455" s="18">
        <v>400.0</v>
      </c>
      <c r="H455" s="78"/>
    </row>
    <row r="456">
      <c r="D456" s="50" t="s">
        <v>329</v>
      </c>
      <c r="E456" s="20">
        <v>1.0</v>
      </c>
      <c r="F456" s="18">
        <v>1000.0</v>
      </c>
      <c r="G456" s="18">
        <v>1000.0</v>
      </c>
      <c r="H456" s="78"/>
    </row>
    <row r="457">
      <c r="D457" s="148" t="s">
        <v>330</v>
      </c>
      <c r="E457" s="149">
        <v>1.0</v>
      </c>
      <c r="F457" s="107">
        <v>63000.0</v>
      </c>
      <c r="G457" s="30">
        <f t="shared" ref="G457:G459" si="4">E457*F457</f>
        <v>63000</v>
      </c>
      <c r="H457" s="33"/>
    </row>
    <row r="458">
      <c r="D458" s="148" t="s">
        <v>331</v>
      </c>
      <c r="E458" s="149">
        <v>334.0</v>
      </c>
      <c r="F458" s="107">
        <v>60.0</v>
      </c>
      <c r="G458" s="30">
        <f t="shared" si="4"/>
        <v>20040</v>
      </c>
      <c r="H458" s="33"/>
    </row>
    <row r="459">
      <c r="D459" s="148" t="s">
        <v>332</v>
      </c>
      <c r="E459" s="149">
        <v>3.0</v>
      </c>
      <c r="F459" s="107">
        <v>600.0</v>
      </c>
      <c r="G459" s="30">
        <f t="shared" si="4"/>
        <v>1800</v>
      </c>
      <c r="H459" s="33"/>
    </row>
    <row r="460">
      <c r="D460" s="150" t="s">
        <v>333</v>
      </c>
      <c r="E460" s="151">
        <v>50.0</v>
      </c>
      <c r="F460" s="29">
        <v>150.0</v>
      </c>
      <c r="G460" s="29">
        <f>F460*E460</f>
        <v>7500</v>
      </c>
      <c r="H460" s="152">
        <v>45282.0</v>
      </c>
    </row>
    <row r="461">
      <c r="D461" s="153" t="s">
        <v>334</v>
      </c>
      <c r="E461" s="1"/>
      <c r="F461" s="37"/>
      <c r="G461" s="154">
        <f>SUM(G3:G460)</f>
        <v>928000</v>
      </c>
      <c r="H461" s="155"/>
    </row>
    <row r="462">
      <c r="D462" s="5"/>
      <c r="E462" s="5"/>
      <c r="F462" s="5"/>
      <c r="G462" s="5"/>
      <c r="H462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33.63"/>
    <col customWidth="1" min="10" max="10" width="25.88"/>
    <col customWidth="1" min="11" max="11" width="24.88"/>
    <col customWidth="1" min="12" max="12" width="27.63"/>
    <col customWidth="1" min="13" max="13" width="37.88"/>
    <col customWidth="1" min="14" max="14" width="20.13"/>
    <col customWidth="1" min="15" max="15" width="21.13"/>
  </cols>
  <sheetData>
    <row r="8">
      <c r="H8" s="156"/>
      <c r="I8" s="157" t="s">
        <v>335</v>
      </c>
      <c r="J8" s="157" t="s">
        <v>3</v>
      </c>
      <c r="K8" s="157" t="s">
        <v>336</v>
      </c>
      <c r="L8" s="158" t="s">
        <v>337</v>
      </c>
      <c r="M8" s="159"/>
    </row>
    <row r="9">
      <c r="H9" s="160"/>
      <c r="I9" s="33" t="s">
        <v>338</v>
      </c>
      <c r="J9" s="15">
        <v>30000.0</v>
      </c>
      <c r="K9" s="161">
        <v>30000.0</v>
      </c>
      <c r="L9" s="15">
        <f t="shared" ref="L9:L26" si="1">J9-K9</f>
        <v>0</v>
      </c>
      <c r="M9" s="159"/>
    </row>
    <row r="10">
      <c r="H10" s="160"/>
      <c r="I10" s="33" t="s">
        <v>339</v>
      </c>
      <c r="J10" s="15">
        <v>30000.0</v>
      </c>
      <c r="K10" s="60">
        <v>30000.0</v>
      </c>
      <c r="L10" s="15">
        <f t="shared" si="1"/>
        <v>0</v>
      </c>
      <c r="M10" s="159"/>
    </row>
    <row r="11">
      <c r="H11" s="162">
        <v>1.0</v>
      </c>
      <c r="I11" s="33" t="s">
        <v>340</v>
      </c>
      <c r="J11" s="15">
        <f>Pointage!C35</f>
        <v>28384.71</v>
      </c>
      <c r="K11" s="18">
        <v>28500.0</v>
      </c>
      <c r="L11" s="15">
        <f t="shared" si="1"/>
        <v>-115.29</v>
      </c>
      <c r="M11" s="159"/>
    </row>
    <row r="12">
      <c r="H12" s="162">
        <v>2.0</v>
      </c>
      <c r="I12" s="33" t="s">
        <v>41</v>
      </c>
      <c r="J12" s="15">
        <f>Pointage!D35</f>
        <v>37384.74</v>
      </c>
      <c r="K12" s="18">
        <v>37500.0</v>
      </c>
      <c r="L12" s="15">
        <f t="shared" si="1"/>
        <v>-115.26</v>
      </c>
      <c r="M12" s="163" t="s">
        <v>341</v>
      </c>
      <c r="N12" s="164" t="s">
        <v>342</v>
      </c>
      <c r="O12" s="164" t="s">
        <v>343</v>
      </c>
    </row>
    <row r="13">
      <c r="H13" s="162">
        <v>3.0</v>
      </c>
      <c r="I13" s="149" t="s">
        <v>344</v>
      </c>
      <c r="J13" s="15">
        <f>N13+O13</f>
        <v>41000.18</v>
      </c>
      <c r="K13" s="18">
        <v>41000.0</v>
      </c>
      <c r="L13" s="15">
        <f t="shared" si="1"/>
        <v>0.18</v>
      </c>
      <c r="M13" s="159"/>
      <c r="N13" s="165">
        <f>Pointage!R35</f>
        <v>28000.18</v>
      </c>
      <c r="O13" s="166">
        <v>13000.0</v>
      </c>
    </row>
    <row r="14">
      <c r="H14" s="162">
        <v>4.0</v>
      </c>
      <c r="I14" s="33" t="s">
        <v>42</v>
      </c>
      <c r="J14" s="15">
        <f>Pointage!E35</f>
        <v>9230.8</v>
      </c>
      <c r="K14" s="18">
        <v>9500.0</v>
      </c>
      <c r="L14" s="15">
        <f t="shared" si="1"/>
        <v>-269.2</v>
      </c>
      <c r="M14" s="159"/>
    </row>
    <row r="15">
      <c r="H15" s="162">
        <v>5.0</v>
      </c>
      <c r="I15" s="149" t="s">
        <v>43</v>
      </c>
      <c r="J15" s="15">
        <f>N15+O15</f>
        <v>37307.8</v>
      </c>
      <c r="K15" s="18">
        <v>37500.0</v>
      </c>
      <c r="L15" s="15">
        <f t="shared" si="1"/>
        <v>-192.2</v>
      </c>
      <c r="M15" s="159"/>
      <c r="N15" s="165">
        <f>Pointage!F35</f>
        <v>32307.8</v>
      </c>
      <c r="O15" s="167">
        <v>5000.0</v>
      </c>
    </row>
    <row r="16">
      <c r="H16" s="162">
        <v>6.0</v>
      </c>
      <c r="I16" s="33" t="s">
        <v>44</v>
      </c>
      <c r="J16" s="15">
        <f>Pointage!G35</f>
        <v>9230.8</v>
      </c>
      <c r="K16" s="18">
        <v>9500.0</v>
      </c>
      <c r="L16" s="15">
        <f t="shared" si="1"/>
        <v>-269.2</v>
      </c>
      <c r="M16" s="159"/>
    </row>
    <row r="17">
      <c r="H17" s="162">
        <v>7.0</v>
      </c>
      <c r="I17" s="149" t="s">
        <v>345</v>
      </c>
      <c r="J17" s="15">
        <f>Pointage!H35</f>
        <v>15576.975</v>
      </c>
      <c r="K17" s="18">
        <v>16000.0</v>
      </c>
      <c r="L17" s="15">
        <f t="shared" si="1"/>
        <v>-423.025</v>
      </c>
      <c r="M17" s="159"/>
    </row>
    <row r="18">
      <c r="H18" s="162">
        <v>8.0</v>
      </c>
      <c r="I18" s="33" t="s">
        <v>47</v>
      </c>
      <c r="J18" s="15">
        <f>Pointage!J35</f>
        <v>26250</v>
      </c>
      <c r="K18" s="18">
        <v>26500.0</v>
      </c>
      <c r="L18" s="15">
        <f t="shared" si="1"/>
        <v>-250</v>
      </c>
      <c r="M18" s="163" t="s">
        <v>346</v>
      </c>
    </row>
    <row r="19">
      <c r="H19" s="162">
        <v>9.0</v>
      </c>
      <c r="I19" s="33" t="s">
        <v>50</v>
      </c>
      <c r="J19" s="15">
        <f>Pointage!M35</f>
        <v>24230.85</v>
      </c>
      <c r="K19" s="18">
        <v>24500.0</v>
      </c>
      <c r="L19" s="15">
        <f t="shared" si="1"/>
        <v>-269.15</v>
      </c>
      <c r="M19" s="163" t="s">
        <v>347</v>
      </c>
    </row>
    <row r="20">
      <c r="H20" s="162">
        <v>10.0</v>
      </c>
      <c r="I20" s="33" t="s">
        <v>48</v>
      </c>
      <c r="J20" s="15">
        <f>Pointage!K35</f>
        <v>4615.4</v>
      </c>
      <c r="K20" s="18">
        <v>5000.0</v>
      </c>
      <c r="L20" s="15">
        <f t="shared" si="1"/>
        <v>-384.6</v>
      </c>
      <c r="M20" s="159"/>
    </row>
    <row r="21">
      <c r="H21" s="162">
        <v>11.0</v>
      </c>
      <c r="I21" s="33" t="s">
        <v>51</v>
      </c>
      <c r="J21" s="15">
        <f>Pointage!N35</f>
        <v>2884.625</v>
      </c>
      <c r="K21" s="18">
        <v>3000.0</v>
      </c>
      <c r="L21" s="15">
        <f t="shared" si="1"/>
        <v>-115.375</v>
      </c>
      <c r="M21" s="159"/>
    </row>
    <row r="22">
      <c r="H22" s="162">
        <v>12.0</v>
      </c>
      <c r="I22" s="33" t="s">
        <v>49</v>
      </c>
      <c r="J22" s="15">
        <f>Pointage!L35</f>
        <v>26923.25</v>
      </c>
      <c r="K22" s="18">
        <v>27000.0</v>
      </c>
      <c r="L22" s="15">
        <f t="shared" si="1"/>
        <v>-76.75</v>
      </c>
      <c r="M22" s="159"/>
    </row>
    <row r="23">
      <c r="H23" s="162">
        <v>13.0</v>
      </c>
      <c r="I23" s="33" t="s">
        <v>52</v>
      </c>
      <c r="J23" s="15">
        <f>Pointage!O35</f>
        <v>4307.72</v>
      </c>
      <c r="K23" s="18">
        <v>4500.0</v>
      </c>
      <c r="L23" s="15">
        <f t="shared" si="1"/>
        <v>-192.28</v>
      </c>
      <c r="M23" s="159"/>
    </row>
    <row r="24">
      <c r="H24" s="162">
        <v>14.0</v>
      </c>
      <c r="I24" s="33" t="s">
        <v>53</v>
      </c>
      <c r="J24" s="15">
        <f>Pointage!P35</f>
        <v>25846.17</v>
      </c>
      <c r="K24" s="18">
        <v>26000.0</v>
      </c>
      <c r="L24" s="15">
        <f t="shared" si="1"/>
        <v>-153.83</v>
      </c>
      <c r="M24" s="163" t="s">
        <v>348</v>
      </c>
    </row>
    <row r="25">
      <c r="H25" s="162">
        <v>15.0</v>
      </c>
      <c r="I25" s="33" t="s">
        <v>349</v>
      </c>
      <c r="J25" s="15">
        <f>Pointage!Q35</f>
        <v>30000.1</v>
      </c>
      <c r="K25" s="18">
        <v>30000.0</v>
      </c>
      <c r="L25" s="15">
        <f t="shared" si="1"/>
        <v>0.1</v>
      </c>
      <c r="M25" s="159"/>
    </row>
    <row r="26">
      <c r="H26" s="162">
        <v>16.0</v>
      </c>
      <c r="I26" s="33" t="s">
        <v>46</v>
      </c>
      <c r="J26" s="15">
        <f>Pointage!I35</f>
        <v>22846.23</v>
      </c>
      <c r="K26" s="18">
        <v>23000.0</v>
      </c>
      <c r="L26" s="15">
        <f t="shared" si="1"/>
        <v>-153.77</v>
      </c>
      <c r="M26" s="159"/>
    </row>
    <row r="27">
      <c r="H27" s="160"/>
      <c r="I27" s="28" t="s">
        <v>350</v>
      </c>
      <c r="J27" s="30">
        <f t="shared" ref="J27:L27" si="2">SUM(J9:J26)</f>
        <v>406020.35</v>
      </c>
      <c r="K27" s="168">
        <f t="shared" si="2"/>
        <v>409000</v>
      </c>
      <c r="L27" s="169">
        <f t="shared" si="2"/>
        <v>-2979.65</v>
      </c>
      <c r="M27" s="159"/>
    </row>
    <row r="28">
      <c r="H28" s="160"/>
      <c r="I28" s="170">
        <f>J27-K27</f>
        <v>-2979.65</v>
      </c>
      <c r="J28" s="1"/>
      <c r="K28" s="1"/>
      <c r="L28" s="29">
        <f>J28-K28</f>
        <v>0</v>
      </c>
      <c r="M28" s="159"/>
    </row>
    <row r="29">
      <c r="H29" s="5"/>
      <c r="I29" s="5"/>
      <c r="J29" s="5"/>
      <c r="K29" s="5"/>
      <c r="L29" s="5"/>
    </row>
    <row r="30">
      <c r="H30" s="5"/>
      <c r="I30" s="5"/>
      <c r="J30" s="5"/>
      <c r="K30" s="5"/>
      <c r="L30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3.88"/>
    <col customWidth="1" min="9" max="9" width="25.38"/>
    <col customWidth="1" min="10" max="10" width="25.88"/>
    <col customWidth="1" min="11" max="11" width="25.38"/>
    <col customWidth="1" min="13" max="14" width="25.13"/>
  </cols>
  <sheetData>
    <row r="18">
      <c r="G18" s="171"/>
      <c r="H18" s="172"/>
      <c r="I18" s="172"/>
      <c r="J18" s="172"/>
    </row>
    <row r="19">
      <c r="G19" s="173"/>
      <c r="H19" s="172"/>
      <c r="I19" s="174" t="s">
        <v>351</v>
      </c>
      <c r="J19" s="174" t="s">
        <v>352</v>
      </c>
      <c r="K19" s="175" t="s">
        <v>353</v>
      </c>
      <c r="M19" s="172"/>
      <c r="N19" s="175" t="s">
        <v>353</v>
      </c>
    </row>
    <row r="20">
      <c r="G20" s="173"/>
      <c r="H20" s="176" t="s">
        <v>1</v>
      </c>
      <c r="I20" s="107">
        <v>1756000.0</v>
      </c>
      <c r="J20" s="30">
        <v>2274000.0</v>
      </c>
      <c r="K20" s="177">
        <f>RECAP!D33</f>
        <v>1984000</v>
      </c>
      <c r="M20" s="176" t="s">
        <v>1</v>
      </c>
      <c r="N20" s="177">
        <f t="shared" ref="N20:N22" si="1">K20</f>
        <v>1984000</v>
      </c>
    </row>
    <row r="21">
      <c r="G21" s="173"/>
      <c r="H21" s="176" t="s">
        <v>2</v>
      </c>
      <c r="I21" s="30">
        <v>920000.0</v>
      </c>
      <c r="J21" s="30">
        <v>914000.0</v>
      </c>
      <c r="K21" s="177">
        <f>RECAP!E33</f>
        <v>928000</v>
      </c>
      <c r="M21" s="176" t="s">
        <v>2</v>
      </c>
      <c r="N21" s="177">
        <f t="shared" si="1"/>
        <v>928000</v>
      </c>
    </row>
    <row r="22">
      <c r="G22" s="173"/>
      <c r="H22" s="176" t="s">
        <v>354</v>
      </c>
      <c r="I22" s="30">
        <v>349000.0</v>
      </c>
      <c r="J22" s="107">
        <v>410000.0</v>
      </c>
      <c r="K22" s="177">
        <f>RECAP!F33</f>
        <v>406000</v>
      </c>
      <c r="M22" s="176" t="s">
        <v>354</v>
      </c>
      <c r="N22" s="177">
        <f t="shared" si="1"/>
        <v>406000</v>
      </c>
    </row>
    <row r="23">
      <c r="G23" s="173"/>
      <c r="H23" s="176" t="s">
        <v>4</v>
      </c>
      <c r="I23" s="30">
        <v>140000.0</v>
      </c>
      <c r="J23" s="30">
        <v>140000.0</v>
      </c>
      <c r="K23" s="178">
        <v>140000.0</v>
      </c>
      <c r="M23" s="176" t="s">
        <v>4</v>
      </c>
      <c r="N23" s="178">
        <v>140000.0</v>
      </c>
    </row>
    <row r="24">
      <c r="G24" s="173"/>
      <c r="H24" s="176" t="s">
        <v>355</v>
      </c>
      <c r="I24" s="30">
        <f t="shared" ref="I24:J24" si="2">I20-I21-I22-I23</f>
        <v>347000</v>
      </c>
      <c r="J24" s="30">
        <f t="shared" si="2"/>
        <v>810000</v>
      </c>
      <c r="K24" s="177">
        <f>RECAP!H33</f>
        <v>510000</v>
      </c>
      <c r="M24" s="176" t="s">
        <v>355</v>
      </c>
      <c r="N24" s="177">
        <f>N20-N21-N22-N23</f>
        <v>510000</v>
      </c>
    </row>
    <row r="25">
      <c r="G25" s="171"/>
      <c r="H25" s="171"/>
      <c r="I25" s="171"/>
      <c r="J25" s="171"/>
    </row>
    <row r="26">
      <c r="G26" s="171"/>
      <c r="H26" s="171"/>
      <c r="I26" s="171"/>
      <c r="J26" s="171"/>
    </row>
    <row r="27">
      <c r="G27" s="171"/>
      <c r="H27" s="171"/>
      <c r="I27" s="171"/>
      <c r="J27" s="171"/>
    </row>
    <row r="28">
      <c r="G28" s="171"/>
      <c r="H28" s="171"/>
      <c r="I28" s="171"/>
      <c r="J28" s="171"/>
    </row>
    <row r="29">
      <c r="G29" s="171"/>
      <c r="H29" s="171"/>
      <c r="I29" s="171"/>
      <c r="J29" s="171"/>
    </row>
    <row r="30">
      <c r="G30" s="171"/>
      <c r="H30" s="171"/>
      <c r="I30" s="171"/>
      <c r="J30" s="171"/>
    </row>
  </sheetData>
  <drawing r:id="rId1"/>
</worksheet>
</file>