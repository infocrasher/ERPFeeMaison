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Charges" sheetId="2" r:id="rId5"/>
    <sheet state="visible" name="Pointage" sheetId="3" r:id="rId6"/>
    <sheet state="visible" name="Salaires" sheetId="4" r:id="rId7"/>
  </sheets>
  <definedNames/>
  <calcPr/>
</workbook>
</file>

<file path=xl/sharedStrings.xml><?xml version="1.0" encoding="utf-8"?>
<sst xmlns="http://schemas.openxmlformats.org/spreadsheetml/2006/main" count="326" uniqueCount="197">
  <si>
    <t>Date</t>
  </si>
  <si>
    <t>Recette</t>
  </si>
  <si>
    <t>Charges</t>
  </si>
  <si>
    <t>Salaire</t>
  </si>
  <si>
    <t>Loyer</t>
  </si>
  <si>
    <t>Net Profit</t>
  </si>
  <si>
    <t>lundi</t>
  </si>
  <si>
    <t>mardi</t>
  </si>
  <si>
    <t>mercredi</t>
  </si>
  <si>
    <t>jeudi</t>
  </si>
  <si>
    <t>vendredi</t>
  </si>
  <si>
    <t>samedi</t>
  </si>
  <si>
    <t>dimanche</t>
  </si>
  <si>
    <t>cash restant</t>
  </si>
  <si>
    <t>Samedi</t>
  </si>
  <si>
    <t>Dimanche</t>
  </si>
  <si>
    <t>Lundi</t>
  </si>
  <si>
    <t>Mardi</t>
  </si>
  <si>
    <t>Mercredi</t>
  </si>
  <si>
    <t>Jeudi</t>
  </si>
  <si>
    <t>Vendredi</t>
  </si>
  <si>
    <t>TOTAL</t>
  </si>
  <si>
    <t>TAUX</t>
  </si>
  <si>
    <t>-</t>
  </si>
  <si>
    <t>20.&amp;e</t>
  </si>
  <si>
    <t>Produit</t>
  </si>
  <si>
    <t>Quantité</t>
  </si>
  <si>
    <t>Prix</t>
  </si>
  <si>
    <t>Date d'achat</t>
  </si>
  <si>
    <t>Herbes</t>
  </si>
  <si>
    <t xml:space="preserve">7 bouquets </t>
  </si>
  <si>
    <t>Bessel</t>
  </si>
  <si>
    <t>1kg</t>
  </si>
  <si>
    <t>eau de fleur d'oranger</t>
  </si>
  <si>
    <t>4 bouteilles</t>
  </si>
  <si>
    <t>amande</t>
  </si>
  <si>
    <t>500g</t>
  </si>
  <si>
    <t>caocao</t>
  </si>
  <si>
    <t>caocao éfilet</t>
  </si>
  <si>
    <t>150g</t>
  </si>
  <si>
    <t>oeufs</t>
  </si>
  <si>
    <t>farine</t>
  </si>
  <si>
    <t>2kg</t>
  </si>
  <si>
    <t>semen</t>
  </si>
  <si>
    <t>2.7kg</t>
  </si>
  <si>
    <t>les boules argentées</t>
  </si>
  <si>
    <t>2 sachets</t>
  </si>
  <si>
    <t>vanille</t>
  </si>
  <si>
    <t>/</t>
  </si>
  <si>
    <t>halwet torek</t>
  </si>
  <si>
    <t>1 boite</t>
  </si>
  <si>
    <t>Huile  Fridor 10litres</t>
  </si>
  <si>
    <t>15 bidons</t>
  </si>
  <si>
    <t>3assila Mordjane</t>
  </si>
  <si>
    <t xml:space="preserve">2 cartons </t>
  </si>
  <si>
    <t>2 cartons</t>
  </si>
  <si>
    <t>rass tabouna</t>
  </si>
  <si>
    <t>Semoule baraka 25kg</t>
  </si>
  <si>
    <t>23 sachets</t>
  </si>
  <si>
    <t>Storme ooredoo</t>
  </si>
  <si>
    <t>Extra Ben Hamadi 25kg</t>
  </si>
  <si>
    <t>10 sachets</t>
  </si>
  <si>
    <t>gaz</t>
  </si>
  <si>
    <t>eau miniral 1.5litres</t>
  </si>
  <si>
    <t>4 fardeaux</t>
  </si>
  <si>
    <t xml:space="preserve">complément de salaire </t>
  </si>
  <si>
    <t>lait</t>
  </si>
  <si>
    <t>levure de biere</t>
  </si>
  <si>
    <t>22 boites</t>
  </si>
  <si>
    <t>Farine</t>
  </si>
  <si>
    <t xml:space="preserve">1 fardeau de 9kg </t>
  </si>
  <si>
    <t>Extra Ben Hamadi 10kg</t>
  </si>
  <si>
    <t>Deyoul</t>
  </si>
  <si>
    <t>10 paquets</t>
  </si>
  <si>
    <t>les quissetes blanches</t>
  </si>
  <si>
    <t>5 paquets</t>
  </si>
  <si>
    <t>miel mordjane</t>
  </si>
  <si>
    <t>5kg</t>
  </si>
  <si>
    <t>les quissetes+ maizina</t>
  </si>
  <si>
    <t>louz</t>
  </si>
  <si>
    <t>les quissetes pr samsa</t>
  </si>
  <si>
    <t>herebes</t>
  </si>
  <si>
    <t>6 pouquets</t>
  </si>
  <si>
    <t xml:space="preserve">Flexy </t>
  </si>
  <si>
    <t>serpiere sanibon serviettes ben papier</t>
  </si>
  <si>
    <t>sucre</t>
  </si>
  <si>
    <t>5kkg</t>
  </si>
  <si>
    <t>salaires complémentaire de Mars</t>
  </si>
  <si>
    <t>20 paquets</t>
  </si>
  <si>
    <t>20paquets</t>
  </si>
  <si>
    <t xml:space="preserve">serpilleire </t>
  </si>
  <si>
    <t>isis</t>
  </si>
  <si>
    <t>maa ezehar</t>
  </si>
  <si>
    <t xml:space="preserve">bessel et tomate </t>
  </si>
  <si>
    <t>3kg+500g</t>
  </si>
  <si>
    <t>6 paquets</t>
  </si>
  <si>
    <t xml:space="preserve">herbes </t>
  </si>
  <si>
    <t xml:space="preserve">khoubezet tounes </t>
  </si>
  <si>
    <t>7alewe torek oeufs miel</t>
  </si>
  <si>
    <t xml:space="preserve">herebes </t>
  </si>
  <si>
    <t xml:space="preserve">levure chimiques </t>
  </si>
  <si>
    <t xml:space="preserve">Farine </t>
  </si>
  <si>
    <t>20 sachets</t>
  </si>
  <si>
    <t>300g</t>
  </si>
  <si>
    <t>Miel Nounours</t>
  </si>
  <si>
    <t>maa zehar</t>
  </si>
  <si>
    <t>Semen Madina</t>
  </si>
  <si>
    <t>Maizina</t>
  </si>
  <si>
    <t>herbes</t>
  </si>
  <si>
    <t>6 bouquets</t>
  </si>
  <si>
    <t>9kg</t>
  </si>
  <si>
    <t>10kg</t>
  </si>
  <si>
    <t>500ml</t>
  </si>
  <si>
    <t>masques</t>
  </si>
  <si>
    <t>rombouressement</t>
  </si>
  <si>
    <t xml:space="preserve">fardeaux d'eau </t>
  </si>
  <si>
    <t xml:space="preserve">Herbes </t>
  </si>
  <si>
    <t xml:space="preserve">Semen Madina </t>
  </si>
  <si>
    <t>2 boites de 1.8kg</t>
  </si>
  <si>
    <t>3 bouteilles</t>
  </si>
  <si>
    <t>250g</t>
  </si>
  <si>
    <t>les quissetes</t>
  </si>
  <si>
    <t xml:space="preserve">farine </t>
  </si>
  <si>
    <t xml:space="preserve">fardeau de 9 kg </t>
  </si>
  <si>
    <t>deyoul</t>
  </si>
  <si>
    <t xml:space="preserve">25 paquets </t>
  </si>
  <si>
    <t>djeldjelan</t>
  </si>
  <si>
    <t>2 bouteilles</t>
  </si>
  <si>
    <t>miel</t>
  </si>
  <si>
    <t>8kg</t>
  </si>
  <si>
    <t>dentelle</t>
  </si>
  <si>
    <t>700g</t>
  </si>
  <si>
    <t>bessel</t>
  </si>
  <si>
    <t xml:space="preserve">semen madina </t>
  </si>
  <si>
    <t>900g</t>
  </si>
  <si>
    <t xml:space="preserve">les quissetes </t>
  </si>
  <si>
    <t xml:space="preserve">6 paquets </t>
  </si>
  <si>
    <t xml:space="preserve">7 kg </t>
  </si>
  <si>
    <t xml:space="preserve">4 paquets </t>
  </si>
  <si>
    <t xml:space="preserve">amandes </t>
  </si>
  <si>
    <t xml:space="preserve">3 kg </t>
  </si>
  <si>
    <t xml:space="preserve">pistache </t>
  </si>
  <si>
    <t>100g</t>
  </si>
  <si>
    <t xml:space="preserve">bessel </t>
  </si>
  <si>
    <t>1 kg</t>
  </si>
  <si>
    <t>les quisettes</t>
  </si>
  <si>
    <t xml:space="preserve">maa zehar </t>
  </si>
  <si>
    <t>boites 06/08</t>
  </si>
  <si>
    <t>1 carton</t>
  </si>
  <si>
    <t xml:space="preserve">sachets en papier 23 </t>
  </si>
  <si>
    <t>1 faredau</t>
  </si>
  <si>
    <t xml:space="preserve">deyoul elaila </t>
  </si>
  <si>
    <t>25 douzaine</t>
  </si>
  <si>
    <t>tabouna</t>
  </si>
  <si>
    <t xml:space="preserve">la pate </t>
  </si>
  <si>
    <t>papier serviettes</t>
  </si>
  <si>
    <t>citron</t>
  </si>
  <si>
    <t>transport</t>
  </si>
  <si>
    <t>maizina</t>
  </si>
  <si>
    <t>caocao efilet</t>
  </si>
  <si>
    <t>les quissetes 12</t>
  </si>
  <si>
    <t>plateau oeuf</t>
  </si>
  <si>
    <t>chaherazed pistach 800g</t>
  </si>
  <si>
    <t>bicarbonate</t>
  </si>
  <si>
    <t>liquisette</t>
  </si>
  <si>
    <t>gateaux Souad</t>
  </si>
  <si>
    <t>Détergents</t>
  </si>
  <si>
    <t>fromage</t>
  </si>
  <si>
    <t xml:space="preserve">Maa zehar </t>
  </si>
  <si>
    <t xml:space="preserve">lait </t>
  </si>
  <si>
    <t>tuyeau de gaz</t>
  </si>
  <si>
    <t>25m</t>
  </si>
  <si>
    <t>scotch</t>
  </si>
  <si>
    <t>pinture</t>
  </si>
  <si>
    <t>fond de caisse</t>
  </si>
  <si>
    <t>TOTALE</t>
  </si>
  <si>
    <t xml:space="preserve">Somme initiale </t>
  </si>
  <si>
    <t>Rest</t>
  </si>
  <si>
    <t>Zehor</t>
  </si>
  <si>
    <t>Zoubida</t>
  </si>
  <si>
    <t>Amel</t>
  </si>
  <si>
    <t>Karima</t>
  </si>
  <si>
    <t>Nouara</t>
  </si>
  <si>
    <t>Zahida</t>
  </si>
  <si>
    <t>Sifou</t>
  </si>
  <si>
    <t xml:space="preserve">Nacera </t>
  </si>
  <si>
    <t>Remarque</t>
  </si>
  <si>
    <t xml:space="preserve">Reste à payer  </t>
  </si>
  <si>
    <t>Dimenche</t>
  </si>
  <si>
    <t>Mardfi</t>
  </si>
  <si>
    <t>Salaire/jour</t>
  </si>
  <si>
    <t>SALAIRES</t>
  </si>
  <si>
    <t xml:space="preserve">Nom </t>
  </si>
  <si>
    <t>Avance</t>
  </si>
  <si>
    <t>Nowara</t>
  </si>
  <si>
    <t>Nacera</t>
  </si>
  <si>
    <t>Rafik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</si>
</sst>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#,##0.00\ [$€-1]"/>
  </numFmts>
  <fonts count="21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b/>
      <sz val="18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sz val="14.0"/>
      <color theme="1"/>
      <name val="Arial"/>
    </font>
    <font/>
    <font>
      <b/>
      <color theme="1"/>
      <name val="Arial"/>
    </font>
    <font>
      <b/>
      <sz val="18.0"/>
      <color theme="1"/>
      <name val="Arial"/>
    </font>
    <font>
      <sz val="14.0"/>
      <color theme="1"/>
      <name val="Arial"/>
      <scheme val="minor"/>
    </font>
    <font>
      <b/>
      <sz val="14.0"/>
      <color rgb="FFFF0000"/>
      <name val="Arial"/>
    </font>
    <font>
      <b/>
      <sz val="14.0"/>
      <color theme="1"/>
      <name val="Arial"/>
    </font>
    <font>
      <b/>
      <sz val="12.0"/>
      <color rgb="FF0000FF"/>
      <name val="Arial"/>
    </font>
    <font>
      <sz val="12.0"/>
      <color rgb="FFFF0000"/>
      <name val="Arial"/>
    </font>
    <font>
      <sz val="12.0"/>
      <color rgb="FF000000"/>
      <name val="Arial"/>
    </font>
    <font>
      <b/>
      <sz val="12.0"/>
      <color rgb="FFFF0000"/>
      <name val="Arial"/>
    </font>
    <font>
      <b/>
      <sz val="14.0"/>
      <color rgb="FF1C4587"/>
      <name val="Arial"/>
    </font>
    <font>
      <sz val="18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34A853"/>
        <bgColor rgb="FF34A853"/>
      </patternFill>
    </fill>
    <fill>
      <patternFill patternType="solid">
        <fgColor rgb="FF6AA84F"/>
        <bgColor rgb="FF6AA84F"/>
      </patternFill>
    </fill>
    <fill>
      <patternFill patternType="solid">
        <fgColor rgb="FFEA4335"/>
        <bgColor rgb="FFEA4335"/>
      </patternFill>
    </fill>
    <fill>
      <patternFill patternType="solid">
        <fgColor rgb="FF4A86E8"/>
        <bgColor rgb="FF4A86E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1" fillId="3" fontId="2" numFmtId="0" xfId="0" applyAlignment="1" applyBorder="1" applyFill="1" applyFont="1">
      <alignment horizontal="center" vertical="bottom"/>
    </xf>
    <xf borderId="1" fillId="3" fontId="3" numFmtId="164" xfId="0" applyAlignment="1" applyBorder="1" applyFont="1" applyNumberFormat="1">
      <alignment horizontal="right" readingOrder="0" vertical="bottom"/>
    </xf>
    <xf borderId="1" fillId="3" fontId="3" numFmtId="165" xfId="0" applyAlignment="1" applyBorder="1" applyFont="1" applyNumberFormat="1">
      <alignment horizontal="center" readingOrder="0" vertical="bottom"/>
    </xf>
    <xf borderId="1" fillId="3" fontId="1" numFmtId="165" xfId="0" applyAlignment="1" applyBorder="1" applyFont="1" applyNumberFormat="1">
      <alignment vertical="bottom"/>
    </xf>
    <xf borderId="1" fillId="4" fontId="2" numFmtId="0" xfId="0" applyAlignment="1" applyBorder="1" applyFill="1" applyFont="1">
      <alignment horizontal="center" vertical="bottom"/>
    </xf>
    <xf borderId="1" fillId="4" fontId="3" numFmtId="164" xfId="0" applyAlignment="1" applyBorder="1" applyFont="1" applyNumberFormat="1">
      <alignment horizontal="right" readingOrder="0" vertical="bottom"/>
    </xf>
    <xf borderId="1" fillId="4" fontId="3" numFmtId="165" xfId="0" applyAlignment="1" applyBorder="1" applyFont="1" applyNumberFormat="1">
      <alignment horizontal="center" vertical="bottom"/>
    </xf>
    <xf borderId="1" fillId="4" fontId="3" numFmtId="165" xfId="0" applyAlignment="1" applyBorder="1" applyFont="1" applyNumberFormat="1">
      <alignment horizontal="right" vertical="bottom"/>
    </xf>
    <xf borderId="1" fillId="4" fontId="3" numFmtId="165" xfId="0" applyAlignment="1" applyBorder="1" applyFont="1" applyNumberFormat="1">
      <alignment horizontal="center" readingOrder="0" vertical="bottom"/>
    </xf>
    <xf borderId="1" fillId="0" fontId="4" numFmtId="0" xfId="0" applyAlignment="1" applyBorder="1" applyFont="1">
      <alignment horizontal="center" readingOrder="0"/>
    </xf>
    <xf borderId="1" fillId="0" fontId="4" numFmtId="165" xfId="0" applyAlignment="1" applyBorder="1" applyFont="1" applyNumberFormat="1">
      <alignment horizontal="center"/>
    </xf>
    <xf borderId="0" fillId="0" fontId="5" numFmtId="165" xfId="0" applyAlignment="1" applyFont="1" applyNumberFormat="1">
      <alignment readingOrder="0"/>
    </xf>
    <xf borderId="0" fillId="0" fontId="4" numFmtId="165" xfId="0" applyAlignment="1" applyFont="1" applyNumberFormat="1">
      <alignment horizontal="center" readingOrder="0"/>
    </xf>
    <xf borderId="0" fillId="0" fontId="5" numFmtId="165" xfId="0" applyFont="1" applyNumberFormat="1"/>
    <xf borderId="0" fillId="0" fontId="6" numFmtId="0" xfId="0" applyAlignment="1" applyFont="1">
      <alignment readingOrder="0"/>
    </xf>
    <xf borderId="1" fillId="5" fontId="3" numFmtId="165" xfId="0" applyAlignment="1" applyBorder="1" applyFill="1" applyFont="1" applyNumberFormat="1">
      <alignment horizontal="center" readingOrder="0" vertical="bottom"/>
    </xf>
    <xf borderId="0" fillId="0" fontId="7" numFmtId="0" xfId="0" applyAlignment="1" applyFont="1">
      <alignment readingOrder="0"/>
    </xf>
    <xf borderId="1" fillId="3" fontId="2" numFmtId="0" xfId="0" applyAlignment="1" applyBorder="1" applyFont="1">
      <alignment horizontal="center" readingOrder="0" vertical="bottom"/>
    </xf>
    <xf borderId="1" fillId="6" fontId="3" numFmtId="165" xfId="0" applyAlignment="1" applyBorder="1" applyFill="1" applyFont="1" applyNumberFormat="1">
      <alignment horizontal="center" readingOrder="0" vertical="bottom"/>
    </xf>
    <xf borderId="1" fillId="6" fontId="8" numFmtId="165" xfId="0" applyAlignment="1" applyBorder="1" applyFont="1" applyNumberFormat="1">
      <alignment vertical="bottom"/>
    </xf>
    <xf borderId="1" fillId="3" fontId="8" numFmtId="165" xfId="0" applyAlignment="1" applyBorder="1" applyFont="1" applyNumberFormat="1">
      <alignment vertical="bottom"/>
    </xf>
    <xf borderId="1" fillId="4" fontId="2" numFmtId="0" xfId="0" applyAlignment="1" applyBorder="1" applyFont="1">
      <alignment horizontal="center" readingOrder="0" vertical="bottom"/>
    </xf>
    <xf borderId="1" fillId="4" fontId="8" numFmtId="165" xfId="0" applyAlignment="1" applyBorder="1" applyFont="1" applyNumberFormat="1">
      <alignment readingOrder="0" vertical="bottom"/>
    </xf>
    <xf borderId="1" fillId="7" fontId="3" numFmtId="165" xfId="0" applyAlignment="1" applyBorder="1" applyFill="1" applyFont="1" applyNumberFormat="1">
      <alignment horizontal="center" readingOrder="0" vertical="bottom"/>
    </xf>
    <xf borderId="1" fillId="7" fontId="8" numFmtId="165" xfId="0" applyAlignment="1" applyBorder="1" applyFont="1" applyNumberFormat="1">
      <alignment vertical="bottom"/>
    </xf>
    <xf borderId="2" fillId="0" fontId="1" numFmtId="0" xfId="0" applyAlignment="1" applyBorder="1" applyFont="1">
      <alignment horizontal="center" vertical="bottom"/>
    </xf>
    <xf borderId="3" fillId="0" fontId="9" numFmtId="0" xfId="0" applyBorder="1" applyFont="1"/>
    <xf borderId="1" fillId="6" fontId="3" numFmtId="165" xfId="0" applyAlignment="1" applyBorder="1" applyFont="1" applyNumberFormat="1">
      <alignment horizontal="center" vertical="bottom"/>
    </xf>
    <xf borderId="1" fillId="8" fontId="3" numFmtId="165" xfId="0" applyAlignment="1" applyBorder="1" applyFill="1" applyFont="1" applyNumberFormat="1">
      <alignment horizontal="center" vertical="bottom"/>
    </xf>
    <xf borderId="1" fillId="9" fontId="3" numFmtId="165" xfId="0" applyAlignment="1" applyBorder="1" applyFill="1" applyFont="1" applyNumberFormat="1">
      <alignment horizontal="center" vertical="bottom"/>
    </xf>
    <xf borderId="1" fillId="7" fontId="3" numFmtId="165" xfId="0" applyAlignment="1" applyBorder="1" applyFont="1" applyNumberFormat="1">
      <alignment horizontal="center" vertical="bottom"/>
    </xf>
    <xf borderId="2" fillId="10" fontId="1" numFmtId="0" xfId="0" applyAlignment="1" applyBorder="1" applyFill="1" applyFont="1">
      <alignment horizontal="center" vertical="bottom"/>
    </xf>
    <xf borderId="1" fillId="11" fontId="10" numFmtId="9" xfId="0" applyAlignment="1" applyBorder="1" applyFill="1" applyFont="1" applyNumberFormat="1">
      <alignment horizontal="center" vertical="bottom"/>
    </xf>
    <xf borderId="1" fillId="12" fontId="10" numFmtId="10" xfId="0" applyAlignment="1" applyBorder="1" applyFill="1" applyFont="1" applyNumberFormat="1">
      <alignment horizontal="center" vertical="bottom"/>
    </xf>
    <xf borderId="1" fillId="6" fontId="11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readingOrder="0" vertical="bottom"/>
    </xf>
    <xf borderId="1" fillId="0" fontId="8" numFmtId="165" xfId="0" applyAlignment="1" applyBorder="1" applyFont="1" applyNumberFormat="1">
      <alignment horizontal="center" readingOrder="0" vertical="bottom"/>
    </xf>
    <xf borderId="1" fillId="0" fontId="8" numFmtId="164" xfId="0" applyAlignment="1" applyBorder="1" applyFont="1" applyNumberFormat="1">
      <alignment horizontal="center" readingOrder="0" vertical="bottom"/>
    </xf>
    <xf borderId="1" fillId="4" fontId="8" numFmtId="0" xfId="0" applyAlignment="1" applyBorder="1" applyFont="1">
      <alignment horizontal="center" readingOrder="0" vertical="bottom"/>
    </xf>
    <xf borderId="1" fillId="4" fontId="8" numFmtId="165" xfId="0" applyAlignment="1" applyBorder="1" applyFont="1" applyNumberFormat="1">
      <alignment horizontal="center" readingOrder="0" vertical="bottom"/>
    </xf>
    <xf borderId="1" fillId="0" fontId="12" numFmtId="0" xfId="0" applyAlignment="1" applyBorder="1" applyFont="1">
      <alignment horizontal="center" readingOrder="0"/>
    </xf>
    <xf borderId="1" fillId="0" fontId="12" numFmtId="165" xfId="0" applyAlignment="1" applyBorder="1" applyFont="1" applyNumberFormat="1">
      <alignment horizontal="center" readingOrder="0"/>
    </xf>
    <xf borderId="1" fillId="0" fontId="12" numFmtId="0" xfId="0" applyAlignment="1" applyBorder="1" applyFont="1">
      <alignment horizontal="center"/>
    </xf>
    <xf borderId="1" fillId="0" fontId="12" numFmtId="165" xfId="0" applyAlignment="1" applyBorder="1" applyFont="1" applyNumberFormat="1">
      <alignment horizontal="center"/>
    </xf>
    <xf borderId="1" fillId="0" fontId="8" numFmtId="0" xfId="0" applyAlignment="1" applyBorder="1" applyFont="1">
      <alignment horizontal="center" vertical="bottom"/>
    </xf>
    <xf borderId="1" fillId="4" fontId="13" numFmtId="0" xfId="0" applyAlignment="1" applyBorder="1" applyFont="1">
      <alignment horizontal="center" vertical="bottom"/>
    </xf>
    <xf borderId="1" fillId="8" fontId="14" numFmtId="165" xfId="0" applyAlignment="1" applyBorder="1" applyFont="1" applyNumberFormat="1">
      <alignment horizontal="center" vertical="bottom"/>
    </xf>
    <xf borderId="1" fillId="7" fontId="14" numFmtId="165" xfId="0" applyAlignment="1" applyBorder="1" applyFont="1" applyNumberFormat="1">
      <alignment horizontal="center" vertical="bottom"/>
    </xf>
    <xf borderId="1" fillId="6" fontId="14" numFmtId="165" xfId="0" applyAlignment="1" applyBorder="1" applyFont="1" applyNumberFormat="1">
      <alignment horizontal="center" vertical="bottom"/>
    </xf>
    <xf borderId="0" fillId="3" fontId="1" numFmtId="0" xfId="0" applyAlignment="1" applyFont="1">
      <alignment vertical="bottom"/>
    </xf>
    <xf borderId="1" fillId="7" fontId="2" numFmtId="0" xfId="0" applyAlignment="1" applyBorder="1" applyFont="1">
      <alignment horizontal="center" vertical="bottom"/>
    </xf>
    <xf borderId="1" fillId="7" fontId="15" numFmtId="0" xfId="0" applyAlignment="1" applyBorder="1" applyFont="1">
      <alignment horizontal="center" vertical="bottom"/>
    </xf>
    <xf borderId="1" fillId="7" fontId="15" numFmtId="0" xfId="0" applyAlignment="1" applyBorder="1" applyFont="1">
      <alignment horizontal="center" readingOrder="0" vertical="bottom"/>
    </xf>
    <xf borderId="1" fillId="13" fontId="14" numFmtId="0" xfId="0" applyAlignment="1" applyBorder="1" applyFill="1" applyFont="1">
      <alignment horizontal="center" readingOrder="0" vertical="bottom"/>
    </xf>
    <xf borderId="1" fillId="6" fontId="14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right" vertical="bottom"/>
    </xf>
    <xf borderId="1" fillId="3" fontId="3" numFmtId="0" xfId="0" applyAlignment="1" applyBorder="1" applyFont="1">
      <alignment horizontal="right" readingOrder="0" vertical="bottom"/>
    </xf>
    <xf borderId="1" fillId="3" fontId="3" numFmtId="0" xfId="0" applyAlignment="1" applyBorder="1" applyFont="1">
      <alignment readingOrder="0" vertical="bottom"/>
    </xf>
    <xf borderId="0" fillId="0" fontId="1" numFmtId="0" xfId="0" applyAlignment="1" applyFont="1">
      <alignment vertical="bottom"/>
    </xf>
    <xf borderId="1" fillId="3" fontId="16" numFmtId="0" xfId="0" applyAlignment="1" applyBorder="1" applyFont="1">
      <alignment horizontal="right" readingOrder="0" vertical="bottom"/>
    </xf>
    <xf borderId="1" fillId="3" fontId="17" numFmtId="0" xfId="0" applyAlignment="1" applyBorder="1" applyFont="1">
      <alignment horizontal="right" readingOrder="0" vertical="bottom"/>
    </xf>
    <xf borderId="1" fillId="4" fontId="3" numFmtId="0" xfId="0" applyAlignment="1" applyBorder="1" applyFont="1">
      <alignment horizontal="right" vertical="bottom"/>
    </xf>
    <xf borderId="1" fillId="4" fontId="3" numFmtId="0" xfId="0" applyAlignment="1" applyBorder="1" applyFont="1">
      <alignment horizontal="right" readingOrder="0" vertical="bottom"/>
    </xf>
    <xf borderId="1" fillId="4" fontId="3" numFmtId="0" xfId="0" applyAlignment="1" applyBorder="1" applyFont="1">
      <alignment readingOrder="0" vertical="bottom"/>
    </xf>
    <xf borderId="1" fillId="4" fontId="3" numFmtId="0" xfId="0" applyAlignment="1" applyBorder="1" applyFont="1">
      <alignment vertical="bottom"/>
    </xf>
    <xf borderId="1" fillId="3" fontId="17" numFmtId="0" xfId="0" applyAlignment="1" applyBorder="1" applyFont="1">
      <alignment horizontal="right" vertical="bottom"/>
    </xf>
    <xf borderId="1" fillId="4" fontId="17" numFmtId="0" xfId="0" applyAlignment="1" applyBorder="1" applyFont="1">
      <alignment horizontal="right" readingOrder="0" vertical="bottom"/>
    </xf>
    <xf borderId="1" fillId="4" fontId="1" numFmtId="0" xfId="0" applyAlignment="1" applyBorder="1" applyFont="1">
      <alignment readingOrder="0" vertical="bottom"/>
    </xf>
    <xf borderId="1" fillId="4" fontId="17" numFmtId="0" xfId="0" applyAlignment="1" applyBorder="1" applyFont="1">
      <alignment horizontal="right" vertical="bottom"/>
    </xf>
    <xf borderId="1" fillId="6" fontId="13" numFmtId="0" xfId="0" applyAlignment="1" applyBorder="1" applyFont="1">
      <alignment horizontal="center" vertical="bottom"/>
    </xf>
    <xf borderId="1" fillId="6" fontId="18" numFmtId="0" xfId="0" applyAlignment="1" applyBorder="1" applyFont="1">
      <alignment horizontal="center" vertical="bottom"/>
    </xf>
    <xf borderId="1" fillId="6" fontId="18" numFmtId="0" xfId="0" applyAlignment="1" applyBorder="1" applyFont="1">
      <alignment horizontal="center" readingOrder="0" vertical="bottom"/>
    </xf>
    <xf borderId="1" fillId="6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165" xfId="0" applyAlignment="1" applyBorder="1" applyFont="1" applyNumberFormat="1">
      <alignment horizontal="center" vertical="bottom"/>
    </xf>
    <xf borderId="1" fillId="0" fontId="3" numFmtId="165" xfId="0" applyAlignment="1" applyBorder="1" applyFont="1" applyNumberFormat="1">
      <alignment horizontal="center" readingOrder="0" vertical="bottom"/>
    </xf>
    <xf borderId="1" fillId="0" fontId="2" numFmtId="165" xfId="0" applyAlignment="1" applyBorder="1" applyFont="1" applyNumberFormat="1">
      <alignment horizontal="center" readingOrder="0" vertical="bottom"/>
    </xf>
    <xf borderId="1" fillId="0" fontId="2" numFmtId="165" xfId="0" applyAlignment="1" applyBorder="1" applyFont="1" applyNumberFormat="1">
      <alignment horizontal="center" vertical="bottom"/>
    </xf>
    <xf borderId="1" fillId="6" fontId="19" numFmtId="0" xfId="0" applyAlignment="1" applyBorder="1" applyFont="1">
      <alignment horizontal="center" vertical="bottom"/>
    </xf>
    <xf borderId="1" fillId="6" fontId="19" numFmtId="165" xfId="0" applyAlignment="1" applyBorder="1" applyFont="1" applyNumberFormat="1">
      <alignment horizontal="center" vertical="bottom"/>
    </xf>
    <xf borderId="0" fillId="4" fontId="1" numFmtId="165" xfId="0" applyAlignment="1" applyFont="1" applyNumberFormat="1">
      <alignment vertical="bottom"/>
    </xf>
    <xf borderId="1" fillId="4" fontId="14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right" vertical="bottom"/>
    </xf>
    <xf borderId="1" fillId="0" fontId="8" numFmtId="165" xfId="0" applyAlignment="1" applyBorder="1" applyFont="1" applyNumberFormat="1">
      <alignment horizontal="right" vertical="bottom"/>
    </xf>
    <xf borderId="1" fillId="0" fontId="8" numFmtId="165" xfId="0" applyAlignment="1" applyBorder="1" applyFont="1" applyNumberFormat="1">
      <alignment horizontal="right" readingOrder="0" vertical="bottom"/>
    </xf>
    <xf borderId="1" fillId="0" fontId="8" numFmtId="0" xfId="0" applyAlignment="1" applyBorder="1" applyFont="1">
      <alignment horizontal="right" readingOrder="0" vertical="bottom"/>
    </xf>
    <xf borderId="1" fillId="0" fontId="1" numFmtId="0" xfId="0" applyAlignment="1" applyBorder="1" applyFont="1">
      <alignment readingOrder="0" vertical="bottom"/>
    </xf>
    <xf borderId="1" fillId="3" fontId="20" numFmtId="0" xfId="0" applyAlignment="1" applyBorder="1" applyFont="1">
      <alignment horizontal="center" readingOrder="0" vertical="bottom"/>
    </xf>
    <xf borderId="1" fillId="3" fontId="20" numFmtId="165" xfId="0" applyAlignment="1" applyBorder="1" applyFont="1" applyNumberFormat="1">
      <alignment horizontal="right" readingOrder="0" vertical="bottom"/>
    </xf>
    <xf borderId="1" fillId="6" fontId="20" numFmtId="0" xfId="0" applyAlignment="1" applyBorder="1" applyFont="1">
      <alignment horizontal="center" vertical="bottom"/>
    </xf>
    <xf borderId="1" fillId="6" fontId="20" numFmtId="165" xfId="0" applyAlignment="1" applyBorder="1" applyFont="1" applyNumberFormat="1">
      <alignment horizontal="right" vertical="bottom"/>
    </xf>
    <xf borderId="0" fillId="8" fontId="20" numFmtId="165" xfId="0" applyAlignment="1" applyFont="1" applyNumberFormat="1">
      <alignment horizontal="right" vertical="bottom"/>
    </xf>
    <xf borderId="1" fillId="7" fontId="1" numFmtId="0" xfId="0" applyAlignment="1" applyBorder="1" applyFont="1">
      <alignment vertical="bottom"/>
    </xf>
    <xf borderId="1" fillId="7" fontId="20" numFmtId="165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5.38"/>
    <col customWidth="1" min="11" max="11" width="25.5"/>
    <col customWidth="1" min="12" max="13" width="26.2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3" t="s">
        <v>6</v>
      </c>
      <c r="B2" s="4">
        <v>43948.0</v>
      </c>
      <c r="C2" s="5">
        <v>7500.0</v>
      </c>
      <c r="D2" s="6"/>
      <c r="E2" s="6"/>
      <c r="F2" s="6"/>
      <c r="G2" s="6"/>
    </row>
    <row r="3">
      <c r="A3" s="3" t="s">
        <v>7</v>
      </c>
      <c r="B3" s="4">
        <v>43949.0</v>
      </c>
      <c r="C3" s="5">
        <v>8000.0</v>
      </c>
      <c r="D3" s="6"/>
      <c r="E3" s="6"/>
      <c r="F3" s="6"/>
      <c r="G3" s="6"/>
    </row>
    <row r="4">
      <c r="A4" s="3" t="s">
        <v>8</v>
      </c>
      <c r="B4" s="4">
        <v>43950.0</v>
      </c>
      <c r="C4" s="5">
        <v>12000.0</v>
      </c>
      <c r="D4" s="6"/>
      <c r="E4" s="6"/>
      <c r="F4" s="6"/>
      <c r="G4" s="6"/>
    </row>
    <row r="5">
      <c r="A5" s="3" t="s">
        <v>9</v>
      </c>
      <c r="B5" s="4">
        <v>43951.0</v>
      </c>
      <c r="C5" s="5">
        <v>8000.0</v>
      </c>
      <c r="D5" s="6"/>
      <c r="E5" s="6"/>
      <c r="F5" s="6"/>
      <c r="G5" s="6"/>
    </row>
    <row r="6">
      <c r="A6" s="7" t="s">
        <v>10</v>
      </c>
      <c r="B6" s="8">
        <v>43952.0</v>
      </c>
      <c r="C6" s="9">
        <v>0.0</v>
      </c>
      <c r="D6" s="10">
        <v>0.0</v>
      </c>
      <c r="E6" s="10">
        <v>0.0</v>
      </c>
      <c r="F6" s="10">
        <v>0.0</v>
      </c>
      <c r="G6" s="10">
        <v>0.0</v>
      </c>
    </row>
    <row r="7">
      <c r="A7" s="3" t="s">
        <v>11</v>
      </c>
      <c r="B7" s="4">
        <v>43953.0</v>
      </c>
      <c r="C7" s="5">
        <v>14000.0</v>
      </c>
      <c r="D7" s="6"/>
      <c r="E7" s="6"/>
      <c r="F7" s="6"/>
      <c r="G7" s="6"/>
    </row>
    <row r="8">
      <c r="A8" s="3" t="s">
        <v>12</v>
      </c>
      <c r="B8" s="4">
        <v>43954.0</v>
      </c>
      <c r="C8" s="5">
        <v>14000.0</v>
      </c>
      <c r="D8" s="6"/>
      <c r="E8" s="6"/>
      <c r="F8" s="6"/>
      <c r="G8" s="6"/>
    </row>
    <row r="9">
      <c r="A9" s="3" t="s">
        <v>6</v>
      </c>
      <c r="B9" s="4">
        <v>43955.0</v>
      </c>
      <c r="C9" s="5">
        <v>7000.0</v>
      </c>
      <c r="D9" s="6"/>
      <c r="E9" s="6"/>
      <c r="F9" s="6"/>
      <c r="G9" s="6"/>
    </row>
    <row r="10">
      <c r="A10" s="3" t="s">
        <v>7</v>
      </c>
      <c r="B10" s="4">
        <v>43956.0</v>
      </c>
      <c r="C10" s="5">
        <v>9000.0</v>
      </c>
      <c r="D10" s="6"/>
      <c r="E10" s="6"/>
      <c r="F10" s="6"/>
      <c r="G10" s="6"/>
    </row>
    <row r="11">
      <c r="A11" s="3" t="s">
        <v>8</v>
      </c>
      <c r="B11" s="4">
        <v>43957.0</v>
      </c>
      <c r="C11" s="5">
        <v>7500.0</v>
      </c>
      <c r="D11" s="6"/>
      <c r="E11" s="6"/>
      <c r="F11" s="6"/>
      <c r="G11" s="6"/>
    </row>
    <row r="12">
      <c r="A12" s="3" t="s">
        <v>9</v>
      </c>
      <c r="B12" s="4">
        <v>43958.0</v>
      </c>
      <c r="C12" s="5">
        <v>11500.0</v>
      </c>
      <c r="D12" s="6"/>
      <c r="E12" s="6"/>
      <c r="F12" s="6"/>
      <c r="G12" s="6"/>
    </row>
    <row r="13">
      <c r="A13" s="7" t="s">
        <v>10</v>
      </c>
      <c r="B13" s="8">
        <v>43959.0</v>
      </c>
      <c r="C13" s="11">
        <v>0.0</v>
      </c>
      <c r="D13" s="10">
        <v>0.0</v>
      </c>
      <c r="E13" s="10">
        <v>0.0</v>
      </c>
      <c r="F13" s="10">
        <v>0.0</v>
      </c>
      <c r="G13" s="10">
        <v>0.0</v>
      </c>
    </row>
    <row r="14">
      <c r="A14" s="3" t="s">
        <v>11</v>
      </c>
      <c r="B14" s="4">
        <v>43960.0</v>
      </c>
      <c r="C14" s="5">
        <v>13000.0</v>
      </c>
      <c r="D14" s="6"/>
      <c r="E14" s="6"/>
      <c r="F14" s="6"/>
      <c r="G14" s="6"/>
    </row>
    <row r="15">
      <c r="A15" s="3" t="s">
        <v>12</v>
      </c>
      <c r="B15" s="4">
        <v>43961.0</v>
      </c>
      <c r="C15" s="5">
        <v>12000.0</v>
      </c>
      <c r="D15" s="6"/>
      <c r="E15" s="6"/>
      <c r="F15" s="6"/>
      <c r="G15" s="6"/>
    </row>
    <row r="16">
      <c r="A16" s="3" t="s">
        <v>6</v>
      </c>
      <c r="B16" s="4">
        <v>43962.0</v>
      </c>
      <c r="C16" s="5">
        <v>11000.0</v>
      </c>
      <c r="D16" s="6"/>
      <c r="E16" s="6"/>
      <c r="F16" s="6"/>
      <c r="G16" s="6"/>
    </row>
    <row r="17">
      <c r="A17" s="3" t="s">
        <v>7</v>
      </c>
      <c r="B17" s="4">
        <v>43963.0</v>
      </c>
      <c r="C17" s="5">
        <v>12000.0</v>
      </c>
      <c r="D17" s="6"/>
      <c r="E17" s="6"/>
      <c r="F17" s="6"/>
      <c r="G17" s="6"/>
    </row>
    <row r="18">
      <c r="A18" s="3" t="s">
        <v>8</v>
      </c>
      <c r="B18" s="4">
        <v>43964.0</v>
      </c>
      <c r="C18" s="5">
        <v>11000.0</v>
      </c>
      <c r="D18" s="6"/>
      <c r="E18" s="6"/>
      <c r="F18" s="6"/>
      <c r="G18" s="6"/>
      <c r="J18" s="12" t="s">
        <v>13</v>
      </c>
    </row>
    <row r="19">
      <c r="A19" s="3" t="s">
        <v>9</v>
      </c>
      <c r="B19" s="4">
        <v>43965.0</v>
      </c>
      <c r="C19" s="5">
        <v>14000.0</v>
      </c>
      <c r="D19" s="6"/>
      <c r="E19" s="6"/>
      <c r="F19" s="6"/>
      <c r="G19" s="6"/>
      <c r="J19" s="13">
        <f>C37-D37-G37-Salaires!J22</f>
        <v>44600</v>
      </c>
      <c r="K19" s="14"/>
      <c r="L19" s="14"/>
      <c r="M19" s="14"/>
      <c r="N19" s="14"/>
      <c r="O19" s="14"/>
      <c r="P19" s="14"/>
    </row>
    <row r="20">
      <c r="A20" s="7" t="s">
        <v>10</v>
      </c>
      <c r="B20" s="8">
        <v>43966.0</v>
      </c>
      <c r="C20" s="9">
        <v>0.0</v>
      </c>
      <c r="D20" s="10">
        <v>0.0</v>
      </c>
      <c r="E20" s="10">
        <v>0.0</v>
      </c>
      <c r="F20" s="10">
        <v>0.0</v>
      </c>
      <c r="G20" s="10">
        <v>0.0</v>
      </c>
      <c r="J20" s="15">
        <v>17500.0</v>
      </c>
    </row>
    <row r="21">
      <c r="A21" s="3" t="s">
        <v>11</v>
      </c>
      <c r="B21" s="4">
        <v>43967.0</v>
      </c>
      <c r="C21" s="5">
        <v>21000.0</v>
      </c>
      <c r="D21" s="6"/>
      <c r="E21" s="6"/>
      <c r="F21" s="6"/>
      <c r="G21" s="6"/>
      <c r="J21" s="16">
        <f>J19-J20</f>
        <v>27100</v>
      </c>
    </row>
    <row r="22">
      <c r="A22" s="3" t="s">
        <v>12</v>
      </c>
      <c r="B22" s="4">
        <v>43968.0</v>
      </c>
      <c r="C22" s="5">
        <v>22000.0</v>
      </c>
      <c r="D22" s="6"/>
      <c r="E22" s="6"/>
      <c r="F22" s="6"/>
      <c r="G22" s="6"/>
      <c r="J22" s="17">
        <v>24000.0</v>
      </c>
    </row>
    <row r="23">
      <c r="A23" s="3" t="s">
        <v>6</v>
      </c>
      <c r="B23" s="4">
        <v>43969.0</v>
      </c>
      <c r="C23" s="18">
        <v>33000.0</v>
      </c>
      <c r="D23" s="6"/>
      <c r="E23" s="6"/>
      <c r="F23" s="6"/>
      <c r="G23" s="6"/>
      <c r="J23" s="19">
        <v>3000.0</v>
      </c>
    </row>
    <row r="24">
      <c r="A24" s="3" t="s">
        <v>7</v>
      </c>
      <c r="B24" s="4">
        <v>43970.0</v>
      </c>
      <c r="C24" s="5">
        <v>20000.0</v>
      </c>
      <c r="D24" s="6"/>
      <c r="E24" s="6"/>
      <c r="F24" s="6"/>
      <c r="G24" s="6"/>
    </row>
    <row r="25">
      <c r="A25" s="3" t="s">
        <v>8</v>
      </c>
      <c r="B25" s="4">
        <v>43971.0</v>
      </c>
      <c r="C25" s="5">
        <v>15000.0</v>
      </c>
      <c r="D25" s="6"/>
      <c r="E25" s="6"/>
      <c r="F25" s="6"/>
      <c r="G25" s="6"/>
    </row>
    <row r="26">
      <c r="A26" s="3" t="s">
        <v>9</v>
      </c>
      <c r="B26" s="4">
        <v>43972.0</v>
      </c>
      <c r="C26" s="18">
        <v>38000.0</v>
      </c>
      <c r="D26" s="6"/>
      <c r="E26" s="6"/>
      <c r="F26" s="6"/>
      <c r="G26" s="6"/>
    </row>
    <row r="27">
      <c r="A27" s="7" t="s">
        <v>10</v>
      </c>
      <c r="B27" s="8">
        <v>43973.0</v>
      </c>
      <c r="C27" s="18">
        <v>35000.0</v>
      </c>
      <c r="D27" s="10">
        <v>0.0</v>
      </c>
      <c r="E27" s="10">
        <v>0.0</v>
      </c>
      <c r="F27" s="10">
        <v>0.0</v>
      </c>
      <c r="G27" s="10">
        <v>0.0</v>
      </c>
    </row>
    <row r="28">
      <c r="A28" s="20" t="s">
        <v>14</v>
      </c>
      <c r="B28" s="4">
        <v>43974.0</v>
      </c>
      <c r="C28" s="21">
        <v>0.0</v>
      </c>
      <c r="D28" s="22"/>
      <c r="E28" s="22"/>
      <c r="F28" s="22"/>
      <c r="G28" s="22"/>
    </row>
    <row r="29">
      <c r="A29" s="20" t="s">
        <v>15</v>
      </c>
      <c r="B29" s="4">
        <v>43975.0</v>
      </c>
      <c r="C29" s="21">
        <v>0.0</v>
      </c>
      <c r="D29" s="22"/>
      <c r="E29" s="22"/>
      <c r="F29" s="22"/>
      <c r="G29" s="22"/>
    </row>
    <row r="30">
      <c r="A30" s="20" t="s">
        <v>16</v>
      </c>
      <c r="B30" s="4">
        <v>43976.0</v>
      </c>
      <c r="C30" s="21">
        <v>0.0</v>
      </c>
      <c r="D30" s="22"/>
      <c r="E30" s="22"/>
      <c r="F30" s="22"/>
      <c r="G30" s="22"/>
    </row>
    <row r="31">
      <c r="A31" s="20" t="s">
        <v>17</v>
      </c>
      <c r="B31" s="4">
        <v>43977.0</v>
      </c>
      <c r="C31" s="5">
        <v>4500.0</v>
      </c>
      <c r="D31" s="23"/>
      <c r="E31" s="23"/>
      <c r="F31" s="23"/>
      <c r="G31" s="23"/>
    </row>
    <row r="32">
      <c r="A32" s="20" t="s">
        <v>18</v>
      </c>
      <c r="B32" s="4">
        <v>43978.0</v>
      </c>
      <c r="C32" s="5">
        <v>15000.0</v>
      </c>
      <c r="D32" s="23"/>
      <c r="E32" s="23"/>
      <c r="F32" s="23"/>
      <c r="G32" s="23"/>
    </row>
    <row r="33">
      <c r="A33" s="20" t="s">
        <v>19</v>
      </c>
      <c r="B33" s="4">
        <v>43979.0</v>
      </c>
      <c r="C33" s="5">
        <v>17000.0</v>
      </c>
      <c r="D33" s="23"/>
      <c r="E33" s="23"/>
      <c r="F33" s="23"/>
      <c r="G33" s="23"/>
    </row>
    <row r="34">
      <c r="A34" s="24" t="s">
        <v>20</v>
      </c>
      <c r="B34" s="8">
        <v>43980.0</v>
      </c>
      <c r="C34" s="11">
        <v>0.0</v>
      </c>
      <c r="D34" s="25">
        <v>0.0</v>
      </c>
      <c r="E34" s="25">
        <v>0.0</v>
      </c>
      <c r="F34" s="25">
        <v>0.0</v>
      </c>
      <c r="G34" s="25">
        <v>0.0</v>
      </c>
    </row>
    <row r="35">
      <c r="A35" s="20" t="s">
        <v>14</v>
      </c>
      <c r="B35" s="4">
        <v>43981.0</v>
      </c>
      <c r="C35" s="26">
        <v>0.0</v>
      </c>
      <c r="D35" s="27"/>
      <c r="E35" s="27"/>
      <c r="F35" s="27"/>
      <c r="G35" s="27"/>
    </row>
    <row r="36">
      <c r="A36" s="20" t="s">
        <v>15</v>
      </c>
      <c r="B36" s="4">
        <v>43982.0</v>
      </c>
      <c r="C36" s="5">
        <v>19000.0</v>
      </c>
      <c r="D36" s="23"/>
      <c r="E36" s="23"/>
      <c r="F36" s="23"/>
      <c r="G36" s="23"/>
    </row>
    <row r="37">
      <c r="A37" s="28" t="s">
        <v>21</v>
      </c>
      <c r="B37" s="29"/>
      <c r="C37" s="30">
        <f>SUM(C2:C36)</f>
        <v>411000</v>
      </c>
      <c r="D37" s="31">
        <f>Charges!E131*1</f>
        <v>94300</v>
      </c>
      <c r="E37" s="32">
        <f>Salaires!I22*1</f>
        <v>169700</v>
      </c>
      <c r="F37" s="9">
        <v>45000.0</v>
      </c>
      <c r="G37" s="33">
        <f>C37-D37-E37-F37</f>
        <v>102000</v>
      </c>
    </row>
    <row r="38">
      <c r="A38" s="34" t="s">
        <v>22</v>
      </c>
      <c r="B38" s="29"/>
      <c r="C38" s="35">
        <v>1.0</v>
      </c>
      <c r="D38" s="36">
        <f>D37/C37</f>
        <v>0.2294403893</v>
      </c>
      <c r="E38" s="36">
        <f>E37/C37</f>
        <v>0.4128953771</v>
      </c>
      <c r="F38" s="36">
        <f>F37/C37</f>
        <v>0.1094890511</v>
      </c>
      <c r="G38" s="36">
        <f>G37/C37</f>
        <v>0.2481751825</v>
      </c>
    </row>
    <row r="66">
      <c r="C66" s="17" t="s">
        <v>23</v>
      </c>
    </row>
    <row r="90">
      <c r="J90" s="17" t="s">
        <v>24</v>
      </c>
    </row>
  </sheetData>
  <mergeCells count="2">
    <mergeCell ref="A37:B37"/>
    <mergeCell ref="A38:B3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0.63"/>
    <col customWidth="1" min="4" max="4" width="25.88"/>
    <col customWidth="1" min="6" max="6" width="25.5"/>
    <col customWidth="1" min="9" max="9" width="37.5"/>
    <col customWidth="1" min="10" max="10" width="24.88"/>
  </cols>
  <sheetData>
    <row r="2">
      <c r="C2" s="37" t="s">
        <v>25</v>
      </c>
      <c r="D2" s="37" t="s">
        <v>26</v>
      </c>
      <c r="E2" s="37" t="s">
        <v>27</v>
      </c>
      <c r="F2" s="37" t="s">
        <v>28</v>
      </c>
    </row>
    <row r="3">
      <c r="C3" s="38" t="s">
        <v>29</v>
      </c>
      <c r="D3" s="38" t="s">
        <v>30</v>
      </c>
      <c r="E3" s="39">
        <v>150.0</v>
      </c>
      <c r="F3" s="40">
        <v>43948.0</v>
      </c>
    </row>
    <row r="4">
      <c r="C4" s="38" t="s">
        <v>31</v>
      </c>
      <c r="D4" s="38" t="s">
        <v>32</v>
      </c>
      <c r="E4" s="39">
        <v>100.0</v>
      </c>
      <c r="F4" s="40">
        <v>43948.0</v>
      </c>
    </row>
    <row r="5">
      <c r="C5" s="38" t="s">
        <v>33</v>
      </c>
      <c r="D5" s="38" t="s">
        <v>34</v>
      </c>
      <c r="E5" s="39">
        <v>240.0</v>
      </c>
      <c r="F5" s="40">
        <v>43948.0</v>
      </c>
    </row>
    <row r="6">
      <c r="C6" s="41" t="s">
        <v>35</v>
      </c>
      <c r="D6" s="38" t="s">
        <v>36</v>
      </c>
      <c r="E6" s="42">
        <v>950.0</v>
      </c>
      <c r="F6" s="40">
        <v>43948.0</v>
      </c>
    </row>
    <row r="7">
      <c r="C7" s="38" t="s">
        <v>37</v>
      </c>
      <c r="D7" s="38" t="s">
        <v>36</v>
      </c>
      <c r="E7" s="39">
        <v>200.0</v>
      </c>
      <c r="F7" s="40">
        <v>43948.0</v>
      </c>
    </row>
    <row r="8">
      <c r="C8" s="38" t="s">
        <v>38</v>
      </c>
      <c r="D8" s="38" t="s">
        <v>39</v>
      </c>
      <c r="E8" s="39">
        <v>100.0</v>
      </c>
      <c r="F8" s="40">
        <v>43948.0</v>
      </c>
    </row>
    <row r="9">
      <c r="C9" s="38" t="s">
        <v>40</v>
      </c>
      <c r="D9" s="38">
        <v>15.0</v>
      </c>
      <c r="E9" s="39">
        <v>150.0</v>
      </c>
      <c r="F9" s="40">
        <v>43948.0</v>
      </c>
    </row>
    <row r="10">
      <c r="C10" s="38" t="s">
        <v>41</v>
      </c>
      <c r="D10" s="38" t="s">
        <v>42</v>
      </c>
      <c r="E10" s="39">
        <v>160.0</v>
      </c>
      <c r="F10" s="40">
        <v>43948.0</v>
      </c>
    </row>
    <row r="11">
      <c r="C11" s="38" t="s">
        <v>43</v>
      </c>
      <c r="D11" s="38" t="s">
        <v>44</v>
      </c>
      <c r="E11" s="39">
        <v>700.0</v>
      </c>
      <c r="F11" s="40">
        <v>43948.0</v>
      </c>
    </row>
    <row r="12">
      <c r="C12" s="38" t="s">
        <v>45</v>
      </c>
      <c r="D12" s="38" t="s">
        <v>46</v>
      </c>
      <c r="E12" s="39">
        <v>100.0</v>
      </c>
      <c r="F12" s="40">
        <v>43948.0</v>
      </c>
    </row>
    <row r="13">
      <c r="C13" s="38" t="s">
        <v>47</v>
      </c>
      <c r="D13" s="38" t="s">
        <v>48</v>
      </c>
      <c r="E13" s="39">
        <v>200.0</v>
      </c>
      <c r="F13" s="40">
        <v>43948.0</v>
      </c>
    </row>
    <row r="14">
      <c r="C14" s="38" t="s">
        <v>49</v>
      </c>
      <c r="D14" s="38" t="s">
        <v>50</v>
      </c>
      <c r="E14" s="39">
        <v>250.0</v>
      </c>
      <c r="F14" s="40">
        <v>43948.0</v>
      </c>
      <c r="I14" s="43" t="s">
        <v>51</v>
      </c>
      <c r="J14" s="43" t="s">
        <v>52</v>
      </c>
      <c r="K14" s="44">
        <v>15900.0</v>
      </c>
      <c r="L14" s="45"/>
    </row>
    <row r="15">
      <c r="C15" s="38" t="s">
        <v>53</v>
      </c>
      <c r="D15" s="38" t="s">
        <v>42</v>
      </c>
      <c r="E15" s="39">
        <v>320.0</v>
      </c>
      <c r="F15" s="40">
        <v>43948.0</v>
      </c>
      <c r="I15" s="43" t="s">
        <v>54</v>
      </c>
      <c r="J15" s="43" t="s">
        <v>55</v>
      </c>
      <c r="K15" s="44">
        <v>5700.0</v>
      </c>
      <c r="L15" s="45"/>
    </row>
    <row r="16">
      <c r="C16" s="38" t="s">
        <v>56</v>
      </c>
      <c r="D16" s="38">
        <v>1.0</v>
      </c>
      <c r="E16" s="39">
        <v>380.0</v>
      </c>
      <c r="F16" s="40">
        <v>43948.0</v>
      </c>
      <c r="I16" s="43" t="s">
        <v>57</v>
      </c>
      <c r="J16" s="43" t="s">
        <v>58</v>
      </c>
      <c r="K16" s="44">
        <v>28060.0</v>
      </c>
      <c r="L16" s="45"/>
    </row>
    <row r="17">
      <c r="C17" s="38" t="s">
        <v>59</v>
      </c>
      <c r="D17" s="38">
        <v>1.0</v>
      </c>
      <c r="E17" s="39">
        <v>1000.0</v>
      </c>
      <c r="F17" s="40">
        <v>43948.0</v>
      </c>
      <c r="I17" s="43" t="s">
        <v>60</v>
      </c>
      <c r="J17" s="43" t="s">
        <v>61</v>
      </c>
      <c r="K17" s="44">
        <v>12500.0</v>
      </c>
      <c r="L17" s="45"/>
    </row>
    <row r="18">
      <c r="C18" s="38" t="s">
        <v>62</v>
      </c>
      <c r="D18" s="38">
        <v>1.0</v>
      </c>
      <c r="E18" s="39">
        <v>300.0</v>
      </c>
      <c r="F18" s="40">
        <v>43948.0</v>
      </c>
      <c r="I18" s="43" t="s">
        <v>63</v>
      </c>
      <c r="J18" s="43" t="s">
        <v>64</v>
      </c>
      <c r="K18" s="44">
        <v>600.0</v>
      </c>
      <c r="L18" s="45"/>
    </row>
    <row r="19">
      <c r="C19" s="38" t="s">
        <v>65</v>
      </c>
      <c r="D19" s="38"/>
      <c r="E19" s="39">
        <v>2000.0</v>
      </c>
      <c r="F19" s="40">
        <v>43949.0</v>
      </c>
      <c r="I19" s="43"/>
      <c r="J19" s="43"/>
      <c r="K19" s="44"/>
      <c r="L19" s="45"/>
    </row>
    <row r="20">
      <c r="C20" s="38" t="s">
        <v>66</v>
      </c>
      <c r="D20" s="38">
        <v>1.0</v>
      </c>
      <c r="E20" s="39">
        <v>50.0</v>
      </c>
      <c r="F20" s="40">
        <v>43948.0</v>
      </c>
      <c r="I20" s="43" t="s">
        <v>67</v>
      </c>
      <c r="J20" s="43" t="s">
        <v>68</v>
      </c>
      <c r="K20" s="44">
        <v>5500.0</v>
      </c>
      <c r="L20" s="45"/>
    </row>
    <row r="21">
      <c r="C21" s="38" t="s">
        <v>69</v>
      </c>
      <c r="D21" s="38" t="s">
        <v>70</v>
      </c>
      <c r="E21" s="39">
        <v>650.0</v>
      </c>
      <c r="F21" s="40">
        <v>43949.0</v>
      </c>
      <c r="I21" s="43" t="s">
        <v>71</v>
      </c>
      <c r="J21" s="43" t="s">
        <v>46</v>
      </c>
      <c r="K21" s="44">
        <v>1000.0</v>
      </c>
      <c r="L21" s="45"/>
    </row>
    <row r="22">
      <c r="C22" s="38" t="s">
        <v>72</v>
      </c>
      <c r="D22" s="38" t="s">
        <v>73</v>
      </c>
      <c r="E22" s="39">
        <v>700.0</v>
      </c>
      <c r="F22" s="40">
        <v>43949.0</v>
      </c>
      <c r="I22" s="45"/>
      <c r="J22" s="45"/>
      <c r="K22" s="46"/>
      <c r="L22" s="45"/>
    </row>
    <row r="23">
      <c r="C23" s="38" t="s">
        <v>74</v>
      </c>
      <c r="D23" s="38" t="s">
        <v>75</v>
      </c>
      <c r="E23" s="39">
        <v>650.0</v>
      </c>
      <c r="F23" s="40">
        <v>43949.0</v>
      </c>
      <c r="I23" s="45"/>
      <c r="J23" s="45"/>
      <c r="K23" s="46"/>
      <c r="L23" s="45"/>
    </row>
    <row r="24">
      <c r="C24" s="38" t="s">
        <v>76</v>
      </c>
      <c r="D24" s="38" t="s">
        <v>77</v>
      </c>
      <c r="E24" s="39">
        <v>630.0</v>
      </c>
      <c r="F24" s="40">
        <v>43949.0</v>
      </c>
      <c r="I24" s="45"/>
      <c r="J24" s="45"/>
      <c r="K24" s="46">
        <f>SUM(K14:K23)</f>
        <v>69260</v>
      </c>
      <c r="L24" s="45"/>
    </row>
    <row r="25">
      <c r="C25" s="38" t="s">
        <v>78</v>
      </c>
      <c r="D25" s="47"/>
      <c r="E25" s="39">
        <v>300.0</v>
      </c>
      <c r="F25" s="40">
        <v>43949.0</v>
      </c>
      <c r="I25" s="45"/>
      <c r="J25" s="45"/>
      <c r="K25" s="46"/>
      <c r="L25" s="45"/>
    </row>
    <row r="26">
      <c r="C26" s="41" t="s">
        <v>79</v>
      </c>
      <c r="D26" s="38" t="s">
        <v>32</v>
      </c>
      <c r="E26" s="42">
        <v>1800.0</v>
      </c>
      <c r="F26" s="40">
        <v>43950.0</v>
      </c>
      <c r="I26" s="45"/>
      <c r="J26" s="45"/>
      <c r="K26" s="46"/>
      <c r="L26" s="45"/>
    </row>
    <row r="27">
      <c r="C27" s="38" t="s">
        <v>80</v>
      </c>
      <c r="D27" s="38">
        <v>2.0</v>
      </c>
      <c r="E27" s="39">
        <v>100.0</v>
      </c>
      <c r="F27" s="40">
        <v>43950.0</v>
      </c>
      <c r="I27" s="45"/>
      <c r="J27" s="45"/>
      <c r="K27" s="46"/>
      <c r="L27" s="45"/>
    </row>
    <row r="28">
      <c r="C28" s="38" t="s">
        <v>81</v>
      </c>
      <c r="D28" s="38" t="s">
        <v>82</v>
      </c>
      <c r="E28" s="39">
        <v>120.0</v>
      </c>
      <c r="F28" s="40">
        <v>43950.0</v>
      </c>
      <c r="I28" s="45"/>
      <c r="J28" s="45"/>
      <c r="K28" s="46"/>
      <c r="L28" s="45"/>
    </row>
    <row r="29">
      <c r="C29" s="38" t="s">
        <v>83</v>
      </c>
      <c r="D29" s="38">
        <v>1.0</v>
      </c>
      <c r="E29" s="39">
        <v>1500.0</v>
      </c>
      <c r="F29" s="40">
        <v>43950.0</v>
      </c>
      <c r="I29" s="45"/>
      <c r="J29" s="45"/>
      <c r="K29" s="46"/>
      <c r="L29" s="45"/>
    </row>
    <row r="30">
      <c r="C30" s="38" t="s">
        <v>84</v>
      </c>
      <c r="D30" s="38">
        <v>3.0</v>
      </c>
      <c r="E30" s="39">
        <v>300.0</v>
      </c>
      <c r="F30" s="40">
        <v>43950.0</v>
      </c>
    </row>
    <row r="31">
      <c r="C31" s="38" t="s">
        <v>85</v>
      </c>
      <c r="D31" s="38" t="s">
        <v>86</v>
      </c>
      <c r="E31" s="39">
        <v>375.0</v>
      </c>
      <c r="F31" s="40">
        <v>43949.0</v>
      </c>
    </row>
    <row r="32">
      <c r="C32" s="38" t="s">
        <v>87</v>
      </c>
      <c r="D32" s="38" t="s">
        <v>48</v>
      </c>
      <c r="E32" s="39">
        <v>2000.0</v>
      </c>
      <c r="F32" s="40">
        <v>43949.0</v>
      </c>
    </row>
    <row r="33">
      <c r="C33" s="38" t="s">
        <v>72</v>
      </c>
      <c r="D33" s="38" t="s">
        <v>88</v>
      </c>
      <c r="E33" s="39">
        <v>1200.0</v>
      </c>
      <c r="F33" s="40">
        <v>43949.0</v>
      </c>
    </row>
    <row r="34">
      <c r="C34" s="38" t="s">
        <v>72</v>
      </c>
      <c r="D34" s="38" t="s">
        <v>89</v>
      </c>
      <c r="E34" s="39">
        <v>1200.0</v>
      </c>
      <c r="F34" s="40">
        <v>43949.0</v>
      </c>
    </row>
    <row r="35">
      <c r="C35" s="38" t="s">
        <v>90</v>
      </c>
      <c r="D35" s="38">
        <v>2.0</v>
      </c>
      <c r="E35" s="39">
        <v>200.0</v>
      </c>
      <c r="F35" s="40">
        <v>43952.0</v>
      </c>
    </row>
    <row r="36">
      <c r="C36" s="38" t="s">
        <v>91</v>
      </c>
      <c r="D36" s="38">
        <v>1.0</v>
      </c>
      <c r="E36" s="39">
        <v>150.0</v>
      </c>
      <c r="F36" s="40">
        <v>43952.0</v>
      </c>
    </row>
    <row r="37">
      <c r="C37" s="38" t="s">
        <v>92</v>
      </c>
      <c r="D37" s="38">
        <v>2.0</v>
      </c>
      <c r="E37" s="39">
        <v>120.0</v>
      </c>
      <c r="F37" s="40">
        <v>43952.0</v>
      </c>
    </row>
    <row r="38">
      <c r="C38" s="38" t="s">
        <v>93</v>
      </c>
      <c r="D38" s="38" t="s">
        <v>94</v>
      </c>
      <c r="E38" s="39">
        <v>500.0</v>
      </c>
      <c r="F38" s="40">
        <v>43952.0</v>
      </c>
    </row>
    <row r="39">
      <c r="C39" s="38" t="s">
        <v>81</v>
      </c>
      <c r="D39" s="38" t="s">
        <v>95</v>
      </c>
      <c r="E39" s="39">
        <v>120.0</v>
      </c>
      <c r="F39" s="40">
        <v>43952.0</v>
      </c>
    </row>
    <row r="40">
      <c r="C40" s="38" t="s">
        <v>96</v>
      </c>
      <c r="D40" s="38">
        <v>8.0</v>
      </c>
      <c r="E40" s="39">
        <v>160.0</v>
      </c>
      <c r="F40" s="40">
        <v>43954.0</v>
      </c>
    </row>
    <row r="41">
      <c r="C41" s="38" t="s">
        <v>97</v>
      </c>
      <c r="D41" s="38">
        <v>18.0</v>
      </c>
      <c r="E41" s="39">
        <v>1440.0</v>
      </c>
      <c r="F41" s="40">
        <v>43955.0</v>
      </c>
    </row>
    <row r="42">
      <c r="C42" s="38" t="s">
        <v>98</v>
      </c>
      <c r="D42" s="38">
        <v>111.0</v>
      </c>
      <c r="E42" s="39">
        <v>500.0</v>
      </c>
      <c r="F42" s="40">
        <v>43955.0</v>
      </c>
    </row>
    <row r="43">
      <c r="C43" s="38" t="s">
        <v>72</v>
      </c>
      <c r="D43" s="38">
        <v>10.0</v>
      </c>
      <c r="E43" s="39">
        <v>600.0</v>
      </c>
      <c r="F43" s="40">
        <v>43958.0</v>
      </c>
    </row>
    <row r="44">
      <c r="C44" s="38" t="s">
        <v>97</v>
      </c>
      <c r="D44" s="38">
        <v>18.0</v>
      </c>
      <c r="E44" s="39">
        <v>1440.0</v>
      </c>
      <c r="F44" s="40">
        <v>43958.0</v>
      </c>
    </row>
    <row r="45">
      <c r="C45" s="38" t="s">
        <v>99</v>
      </c>
      <c r="D45" s="38">
        <v>4.0</v>
      </c>
      <c r="E45" s="39">
        <v>80.0</v>
      </c>
      <c r="F45" s="40">
        <v>43958.0</v>
      </c>
    </row>
    <row r="46">
      <c r="C46" s="38" t="s">
        <v>92</v>
      </c>
      <c r="D46" s="38">
        <v>1.0</v>
      </c>
      <c r="E46" s="39">
        <v>60.0</v>
      </c>
      <c r="F46" s="40">
        <v>43958.0</v>
      </c>
    </row>
    <row r="47">
      <c r="C47" s="38" t="s">
        <v>100</v>
      </c>
      <c r="D47" s="38">
        <v>5.0</v>
      </c>
      <c r="E47" s="39">
        <v>50.0</v>
      </c>
      <c r="F47" s="40">
        <v>43958.0</v>
      </c>
    </row>
    <row r="48">
      <c r="C48" s="38" t="s">
        <v>40</v>
      </c>
      <c r="D48" s="38">
        <v>5.0</v>
      </c>
      <c r="E48" s="39">
        <v>60.0</v>
      </c>
      <c r="F48" s="40">
        <v>43958.0</v>
      </c>
    </row>
    <row r="49">
      <c r="C49" s="38" t="s">
        <v>101</v>
      </c>
      <c r="D49" s="38" t="s">
        <v>32</v>
      </c>
      <c r="E49" s="39">
        <v>75.0</v>
      </c>
      <c r="F49" s="40">
        <v>43958.0</v>
      </c>
    </row>
    <row r="50">
      <c r="C50" s="38" t="s">
        <v>100</v>
      </c>
      <c r="D50" s="38" t="s">
        <v>102</v>
      </c>
      <c r="E50" s="39">
        <v>200.0</v>
      </c>
      <c r="F50" s="40">
        <v>43959.0</v>
      </c>
    </row>
    <row r="51">
      <c r="C51" s="38" t="s">
        <v>38</v>
      </c>
      <c r="D51" s="38" t="s">
        <v>103</v>
      </c>
      <c r="E51" s="39">
        <v>240.0</v>
      </c>
      <c r="F51" s="40">
        <v>43959.0</v>
      </c>
    </row>
    <row r="52">
      <c r="C52" s="38" t="s">
        <v>104</v>
      </c>
      <c r="D52" s="38" t="s">
        <v>77</v>
      </c>
      <c r="E52" s="39">
        <v>620.0</v>
      </c>
      <c r="F52" s="40">
        <v>43959.0</v>
      </c>
    </row>
    <row r="53">
      <c r="C53" s="38" t="s">
        <v>37</v>
      </c>
      <c r="D53" s="38" t="s">
        <v>36</v>
      </c>
      <c r="E53" s="39">
        <v>200.0</v>
      </c>
      <c r="F53" s="40">
        <v>43959.0</v>
      </c>
    </row>
    <row r="54">
      <c r="C54" s="38" t="s">
        <v>105</v>
      </c>
      <c r="D54" s="38">
        <v>2.0</v>
      </c>
      <c r="E54" s="39">
        <v>120.0</v>
      </c>
      <c r="F54" s="40">
        <v>43959.0</v>
      </c>
    </row>
    <row r="55">
      <c r="C55" s="41" t="s">
        <v>79</v>
      </c>
      <c r="D55" s="38" t="s">
        <v>36</v>
      </c>
      <c r="E55" s="42">
        <v>1000.0</v>
      </c>
      <c r="F55" s="40">
        <v>43959.0</v>
      </c>
    </row>
    <row r="56">
      <c r="C56" s="38" t="s">
        <v>106</v>
      </c>
      <c r="D56" s="38" t="s">
        <v>42</v>
      </c>
      <c r="E56" s="39">
        <v>450.0</v>
      </c>
      <c r="F56" s="40">
        <v>43959.0</v>
      </c>
    </row>
    <row r="57">
      <c r="C57" s="38" t="s">
        <v>107</v>
      </c>
      <c r="D57" s="38" t="s">
        <v>48</v>
      </c>
      <c r="E57" s="39">
        <v>200.0</v>
      </c>
      <c r="F57" s="40">
        <v>43959.0</v>
      </c>
    </row>
    <row r="58">
      <c r="C58" s="38" t="s">
        <v>108</v>
      </c>
      <c r="D58" s="38" t="s">
        <v>109</v>
      </c>
      <c r="E58" s="39">
        <v>120.0</v>
      </c>
      <c r="F58" s="40">
        <v>43959.0</v>
      </c>
    </row>
    <row r="59">
      <c r="C59" s="38" t="s">
        <v>69</v>
      </c>
      <c r="D59" s="38" t="s">
        <v>110</v>
      </c>
      <c r="E59" s="39">
        <v>675.0</v>
      </c>
      <c r="F59" s="40">
        <v>43960.0</v>
      </c>
    </row>
    <row r="60">
      <c r="C60" s="38" t="s">
        <v>85</v>
      </c>
      <c r="D60" s="38" t="s">
        <v>111</v>
      </c>
      <c r="E60" s="39">
        <v>750.0</v>
      </c>
      <c r="F60" s="40">
        <v>43960.0</v>
      </c>
    </row>
    <row r="61">
      <c r="C61" s="38" t="s">
        <v>66</v>
      </c>
      <c r="D61" s="38" t="s">
        <v>112</v>
      </c>
      <c r="E61" s="39">
        <v>55.0</v>
      </c>
      <c r="F61" s="40">
        <v>43960.0</v>
      </c>
    </row>
    <row r="62">
      <c r="C62" s="38" t="s">
        <v>113</v>
      </c>
      <c r="D62" s="47"/>
      <c r="E62" s="39">
        <v>1000.0</v>
      </c>
      <c r="F62" s="47"/>
    </row>
    <row r="63">
      <c r="C63" s="38" t="s">
        <v>97</v>
      </c>
      <c r="D63" s="38">
        <v>18.0</v>
      </c>
      <c r="E63" s="39">
        <v>1440.0</v>
      </c>
      <c r="F63" s="40">
        <v>43961.0</v>
      </c>
    </row>
    <row r="64">
      <c r="C64" s="38" t="s">
        <v>114</v>
      </c>
      <c r="D64" s="38">
        <v>1.0</v>
      </c>
      <c r="E64" s="39">
        <v>350.0</v>
      </c>
      <c r="F64" s="40">
        <v>43961.0</v>
      </c>
    </row>
    <row r="65">
      <c r="C65" s="38" t="s">
        <v>115</v>
      </c>
      <c r="D65" s="38">
        <v>5.0</v>
      </c>
      <c r="E65" s="39">
        <v>830.0</v>
      </c>
      <c r="F65" s="40">
        <v>43962.0</v>
      </c>
    </row>
    <row r="66">
      <c r="C66" s="38" t="s">
        <v>116</v>
      </c>
      <c r="D66" s="38">
        <v>6.0</v>
      </c>
      <c r="E66" s="39">
        <v>120.0</v>
      </c>
      <c r="F66" s="40">
        <v>43962.0</v>
      </c>
    </row>
    <row r="67">
      <c r="C67" s="41" t="s">
        <v>79</v>
      </c>
      <c r="D67" s="38" t="s">
        <v>42</v>
      </c>
      <c r="E67" s="42">
        <v>3500.0</v>
      </c>
      <c r="F67" s="40">
        <v>43963.0</v>
      </c>
    </row>
    <row r="68">
      <c r="C68" s="38" t="s">
        <v>117</v>
      </c>
      <c r="D68" s="38" t="s">
        <v>118</v>
      </c>
      <c r="E68" s="39">
        <v>840.0</v>
      </c>
      <c r="F68" s="40">
        <v>43963.0</v>
      </c>
    </row>
    <row r="69">
      <c r="C69" s="38" t="s">
        <v>105</v>
      </c>
      <c r="D69" s="38" t="s">
        <v>119</v>
      </c>
      <c r="E69" s="39">
        <v>180.0</v>
      </c>
      <c r="F69" s="40">
        <v>43963.0</v>
      </c>
    </row>
    <row r="70">
      <c r="C70" s="38" t="s">
        <v>100</v>
      </c>
      <c r="D70" s="38" t="s">
        <v>120</v>
      </c>
      <c r="E70" s="39">
        <v>250.0</v>
      </c>
      <c r="F70" s="40">
        <v>43963.0</v>
      </c>
    </row>
    <row r="71">
      <c r="C71" s="38" t="s">
        <v>121</v>
      </c>
      <c r="D71" s="38">
        <v>6.0</v>
      </c>
      <c r="E71" s="39">
        <v>450.0</v>
      </c>
      <c r="F71" s="40">
        <v>43963.0</v>
      </c>
    </row>
    <row r="72">
      <c r="C72" s="38" t="s">
        <v>122</v>
      </c>
      <c r="D72" s="38" t="s">
        <v>123</v>
      </c>
      <c r="E72" s="39">
        <v>650.0</v>
      </c>
      <c r="F72" s="40">
        <v>43963.0</v>
      </c>
    </row>
    <row r="73">
      <c r="C73" s="38" t="s">
        <v>124</v>
      </c>
      <c r="D73" s="38" t="s">
        <v>125</v>
      </c>
      <c r="E73" s="39">
        <v>1500.0</v>
      </c>
      <c r="F73" s="40">
        <v>43963.0</v>
      </c>
    </row>
    <row r="74">
      <c r="C74" s="38" t="s">
        <v>47</v>
      </c>
      <c r="D74" s="38" t="s">
        <v>48</v>
      </c>
      <c r="E74" s="39">
        <v>200.0</v>
      </c>
      <c r="F74" s="40">
        <v>43965.0</v>
      </c>
    </row>
    <row r="75">
      <c r="C75" s="38" t="s">
        <v>126</v>
      </c>
      <c r="D75" s="38" t="s">
        <v>48</v>
      </c>
      <c r="E75" s="39">
        <v>50.0</v>
      </c>
      <c r="F75" s="40">
        <v>43965.0</v>
      </c>
    </row>
    <row r="76">
      <c r="C76" s="38" t="s">
        <v>49</v>
      </c>
      <c r="D76" s="38" t="s">
        <v>50</v>
      </c>
      <c r="E76" s="39">
        <v>200.0</v>
      </c>
      <c r="F76" s="40">
        <v>43965.0</v>
      </c>
    </row>
    <row r="77">
      <c r="C77" s="38" t="s">
        <v>92</v>
      </c>
      <c r="D77" s="38" t="s">
        <v>127</v>
      </c>
      <c r="E77" s="39">
        <v>120.0</v>
      </c>
      <c r="F77" s="40">
        <v>43965.0</v>
      </c>
    </row>
    <row r="78">
      <c r="C78" s="41" t="s">
        <v>79</v>
      </c>
      <c r="D78" s="38" t="s">
        <v>32</v>
      </c>
      <c r="E78" s="42">
        <v>1850.0</v>
      </c>
      <c r="F78" s="40">
        <v>43965.0</v>
      </c>
    </row>
    <row r="79">
      <c r="C79" s="38" t="s">
        <v>128</v>
      </c>
      <c r="D79" s="38" t="s">
        <v>129</v>
      </c>
      <c r="E79" s="39">
        <v>1010.0</v>
      </c>
      <c r="F79" s="40">
        <v>43965.0</v>
      </c>
    </row>
    <row r="80">
      <c r="C80" s="38" t="s">
        <v>130</v>
      </c>
      <c r="D80" s="38">
        <v>1.0</v>
      </c>
      <c r="E80" s="39">
        <v>100.0</v>
      </c>
      <c r="F80" s="40">
        <v>43965.0</v>
      </c>
    </row>
    <row r="81">
      <c r="C81" s="38" t="s">
        <v>40</v>
      </c>
      <c r="D81" s="38">
        <v>10.0</v>
      </c>
      <c r="E81" s="39">
        <v>100.0</v>
      </c>
      <c r="F81" s="40">
        <v>43965.0</v>
      </c>
    </row>
    <row r="82">
      <c r="C82" s="38" t="s">
        <v>108</v>
      </c>
      <c r="D82" s="38">
        <v>6.0</v>
      </c>
      <c r="E82" s="39">
        <v>160.0</v>
      </c>
      <c r="F82" s="40">
        <v>43965.0</v>
      </c>
    </row>
    <row r="83">
      <c r="C83" s="38" t="s">
        <v>79</v>
      </c>
      <c r="D83" s="38" t="s">
        <v>131</v>
      </c>
      <c r="E83" s="39">
        <v>1440.0</v>
      </c>
      <c r="F83" s="40">
        <v>43965.0</v>
      </c>
    </row>
    <row r="84">
      <c r="C84" s="38" t="s">
        <v>132</v>
      </c>
      <c r="D84" s="38" t="s">
        <v>36</v>
      </c>
      <c r="E84" s="39">
        <v>40.0</v>
      </c>
      <c r="F84" s="40">
        <v>43965.0</v>
      </c>
    </row>
    <row r="85">
      <c r="C85" s="38" t="s">
        <v>133</v>
      </c>
      <c r="D85" s="38" t="s">
        <v>134</v>
      </c>
      <c r="E85" s="39">
        <v>420.0</v>
      </c>
      <c r="F85" s="40">
        <v>43966.0</v>
      </c>
    </row>
    <row r="86">
      <c r="C86" s="38" t="s">
        <v>135</v>
      </c>
      <c r="D86" s="38" t="s">
        <v>136</v>
      </c>
      <c r="E86" s="39">
        <v>300.0</v>
      </c>
      <c r="F86" s="40">
        <v>43967.0</v>
      </c>
    </row>
    <row r="87">
      <c r="C87" s="38" t="s">
        <v>101</v>
      </c>
      <c r="D87" s="38" t="s">
        <v>137</v>
      </c>
      <c r="E87" s="39">
        <v>500.0</v>
      </c>
      <c r="F87" s="40">
        <v>43967.0</v>
      </c>
    </row>
    <row r="88">
      <c r="C88" s="38" t="s">
        <v>130</v>
      </c>
      <c r="D88" s="38" t="s">
        <v>138</v>
      </c>
      <c r="E88" s="39">
        <v>400.0</v>
      </c>
      <c r="F88" s="40">
        <v>43967.0</v>
      </c>
    </row>
    <row r="89">
      <c r="C89" s="41" t="s">
        <v>139</v>
      </c>
      <c r="D89" s="38" t="s">
        <v>140</v>
      </c>
      <c r="E89" s="42">
        <v>6000.0</v>
      </c>
      <c r="F89" s="40">
        <v>43968.0</v>
      </c>
    </row>
    <row r="90">
      <c r="C90" s="38" t="s">
        <v>141</v>
      </c>
      <c r="D90" s="38" t="s">
        <v>142</v>
      </c>
      <c r="E90" s="39">
        <v>400.0</v>
      </c>
      <c r="F90" s="40">
        <v>43968.0</v>
      </c>
    </row>
    <row r="91">
      <c r="C91" s="38" t="s">
        <v>128</v>
      </c>
      <c r="D91" s="38" t="s">
        <v>77</v>
      </c>
      <c r="E91" s="39">
        <v>650.0</v>
      </c>
      <c r="F91" s="40">
        <v>43968.0</v>
      </c>
    </row>
    <row r="92">
      <c r="C92" s="38" t="s">
        <v>107</v>
      </c>
      <c r="D92" s="38" t="s">
        <v>48</v>
      </c>
      <c r="E92" s="39">
        <v>200.0</v>
      </c>
      <c r="F92" s="40">
        <v>43968.0</v>
      </c>
    </row>
    <row r="93">
      <c r="C93" s="38" t="s">
        <v>143</v>
      </c>
      <c r="D93" s="38" t="s">
        <v>32</v>
      </c>
      <c r="E93" s="39">
        <v>50.0</v>
      </c>
      <c r="F93" s="40">
        <v>43969.0</v>
      </c>
    </row>
    <row r="94">
      <c r="C94" s="38" t="s">
        <v>81</v>
      </c>
      <c r="D94" s="38" t="s">
        <v>95</v>
      </c>
      <c r="E94" s="39">
        <v>150.0</v>
      </c>
      <c r="F94" s="40">
        <v>43969.0</v>
      </c>
    </row>
    <row r="95">
      <c r="C95" s="41" t="s">
        <v>139</v>
      </c>
      <c r="D95" s="38" t="s">
        <v>144</v>
      </c>
      <c r="E95" s="42">
        <v>1700.0</v>
      </c>
      <c r="F95" s="40">
        <v>43969.0</v>
      </c>
    </row>
    <row r="96">
      <c r="C96" s="38" t="s">
        <v>145</v>
      </c>
      <c r="D96" s="38">
        <v>5.0</v>
      </c>
      <c r="E96" s="39">
        <v>300.0</v>
      </c>
      <c r="F96" s="40">
        <v>43969.0</v>
      </c>
    </row>
    <row r="97">
      <c r="C97" s="38" t="s">
        <v>146</v>
      </c>
      <c r="D97" s="38" t="s">
        <v>119</v>
      </c>
      <c r="E97" s="39">
        <v>180.0</v>
      </c>
      <c r="F97" s="40">
        <v>43969.0</v>
      </c>
    </row>
    <row r="98">
      <c r="C98" s="38" t="s">
        <v>147</v>
      </c>
      <c r="D98" s="38" t="s">
        <v>148</v>
      </c>
      <c r="E98" s="39">
        <v>800.0</v>
      </c>
      <c r="F98" s="40">
        <v>43969.0</v>
      </c>
    </row>
    <row r="99">
      <c r="C99" s="38" t="s">
        <v>149</v>
      </c>
      <c r="D99" s="38" t="s">
        <v>150</v>
      </c>
      <c r="E99" s="39">
        <v>700.0</v>
      </c>
      <c r="F99" s="40">
        <v>43969.0</v>
      </c>
    </row>
    <row r="100">
      <c r="C100" s="38" t="s">
        <v>151</v>
      </c>
      <c r="D100" s="38">
        <v>2.0</v>
      </c>
      <c r="E100" s="39">
        <v>240.0</v>
      </c>
      <c r="F100" s="40">
        <v>43969.0</v>
      </c>
    </row>
    <row r="101">
      <c r="C101" s="38" t="s">
        <v>124</v>
      </c>
      <c r="D101" s="38" t="s">
        <v>152</v>
      </c>
      <c r="E101" s="39">
        <v>1500.0</v>
      </c>
      <c r="F101" s="40">
        <v>43969.0</v>
      </c>
      <c r="I101" s="17">
        <v>8670.0</v>
      </c>
    </row>
    <row r="102">
      <c r="C102" s="38" t="s">
        <v>153</v>
      </c>
      <c r="D102" s="38">
        <v>1.0</v>
      </c>
      <c r="E102" s="39">
        <v>1000.0</v>
      </c>
      <c r="F102" s="40">
        <v>43969.0</v>
      </c>
      <c r="I102" s="17">
        <v>2180.0</v>
      </c>
    </row>
    <row r="103">
      <c r="C103" s="38" t="s">
        <v>154</v>
      </c>
      <c r="D103" s="38">
        <v>1.0</v>
      </c>
      <c r="E103" s="39">
        <v>150.0</v>
      </c>
      <c r="F103" s="40">
        <v>43969.0</v>
      </c>
      <c r="I103" s="17">
        <v>2200.0</v>
      </c>
    </row>
    <row r="104">
      <c r="C104" s="38" t="s">
        <v>155</v>
      </c>
      <c r="D104" s="38">
        <v>200.0</v>
      </c>
      <c r="E104" s="39">
        <v>400.0</v>
      </c>
      <c r="F104" s="40">
        <v>43969.0</v>
      </c>
      <c r="I104" s="17">
        <v>13000.0</v>
      </c>
    </row>
    <row r="105">
      <c r="C105" s="38" t="s">
        <v>156</v>
      </c>
      <c r="D105" s="38">
        <v>2.0</v>
      </c>
      <c r="E105" s="39">
        <v>120.0</v>
      </c>
      <c r="F105" s="40">
        <v>43969.0</v>
      </c>
    </row>
    <row r="106">
      <c r="C106" s="38" t="s">
        <v>157</v>
      </c>
      <c r="D106" s="38">
        <v>1.0</v>
      </c>
      <c r="E106" s="39">
        <v>500.0</v>
      </c>
      <c r="F106" s="40">
        <v>43969.0</v>
      </c>
    </row>
    <row r="107">
      <c r="C107" s="38" t="s">
        <v>97</v>
      </c>
      <c r="D107" s="38">
        <v>18.0</v>
      </c>
      <c r="E107" s="39">
        <v>1440.0</v>
      </c>
      <c r="F107" s="40">
        <v>43969.0</v>
      </c>
    </row>
    <row r="108">
      <c r="C108" s="38" t="s">
        <v>158</v>
      </c>
      <c r="D108" s="38" t="s">
        <v>48</v>
      </c>
      <c r="E108" s="39">
        <v>200.0</v>
      </c>
      <c r="F108" s="40">
        <v>43970.0</v>
      </c>
    </row>
    <row r="109">
      <c r="C109" s="38" t="s">
        <v>159</v>
      </c>
      <c r="D109" s="38">
        <v>500.0</v>
      </c>
      <c r="E109" s="39">
        <v>200.0</v>
      </c>
      <c r="F109" s="40">
        <v>43970.0</v>
      </c>
    </row>
    <row r="110">
      <c r="C110" s="38" t="s">
        <v>160</v>
      </c>
      <c r="D110" s="38">
        <v>3.0</v>
      </c>
      <c r="E110" s="39">
        <v>180.0</v>
      </c>
      <c r="F110" s="40">
        <v>43970.0</v>
      </c>
    </row>
    <row r="111">
      <c r="C111" s="38" t="s">
        <v>161</v>
      </c>
      <c r="D111" s="38">
        <v>1.0</v>
      </c>
      <c r="E111" s="39">
        <v>300.0</v>
      </c>
      <c r="F111" s="40">
        <v>43970.0</v>
      </c>
    </row>
    <row r="112">
      <c r="C112" s="38" t="s">
        <v>162</v>
      </c>
      <c r="D112" s="38">
        <v>1.0</v>
      </c>
      <c r="E112" s="39">
        <v>500.0</v>
      </c>
      <c r="F112" s="40">
        <v>43970.0</v>
      </c>
    </row>
    <row r="113">
      <c r="C113" s="38" t="s">
        <v>163</v>
      </c>
      <c r="D113" s="38">
        <v>1.0</v>
      </c>
      <c r="E113" s="39">
        <v>80.0</v>
      </c>
      <c r="F113" s="40">
        <v>43970.0</v>
      </c>
    </row>
    <row r="114">
      <c r="C114" s="38" t="s">
        <v>164</v>
      </c>
      <c r="D114" s="38">
        <v>3.0</v>
      </c>
      <c r="E114" s="39">
        <v>90.0</v>
      </c>
      <c r="F114" s="40">
        <v>43970.0</v>
      </c>
    </row>
    <row r="115">
      <c r="C115" s="38" t="s">
        <v>97</v>
      </c>
      <c r="D115" s="38">
        <v>19.0</v>
      </c>
      <c r="E115" s="39">
        <v>1500.0</v>
      </c>
      <c r="F115" s="40">
        <v>43970.0</v>
      </c>
    </row>
    <row r="116">
      <c r="C116" s="38" t="s">
        <v>105</v>
      </c>
      <c r="D116" s="38">
        <v>5.0</v>
      </c>
      <c r="E116" s="39">
        <v>350.0</v>
      </c>
      <c r="F116" s="40">
        <v>43971.0</v>
      </c>
    </row>
    <row r="117">
      <c r="C117" s="38" t="s">
        <v>37</v>
      </c>
      <c r="D117" s="38" t="s">
        <v>36</v>
      </c>
      <c r="E117" s="39">
        <v>250.0</v>
      </c>
      <c r="F117" s="40">
        <v>43971.0</v>
      </c>
    </row>
    <row r="118">
      <c r="C118" s="38" t="s">
        <v>157</v>
      </c>
      <c r="D118" s="38">
        <v>1.0</v>
      </c>
      <c r="E118" s="39">
        <v>500.0</v>
      </c>
      <c r="F118" s="40">
        <v>43972.0</v>
      </c>
    </row>
    <row r="119">
      <c r="C119" s="38" t="s">
        <v>97</v>
      </c>
      <c r="D119" s="38">
        <v>19.0</v>
      </c>
      <c r="E119" s="39">
        <v>1500.0</v>
      </c>
      <c r="F119" s="40">
        <v>43972.0</v>
      </c>
    </row>
    <row r="120">
      <c r="C120" s="38" t="s">
        <v>165</v>
      </c>
      <c r="D120" s="38">
        <v>438.0</v>
      </c>
      <c r="E120" s="39">
        <v>19000.0</v>
      </c>
      <c r="F120" s="40">
        <v>43973.0</v>
      </c>
    </row>
    <row r="121">
      <c r="C121" s="38" t="s">
        <v>166</v>
      </c>
      <c r="D121" s="38">
        <v>6.0</v>
      </c>
      <c r="E121" s="39">
        <v>600.0</v>
      </c>
      <c r="F121" s="40">
        <v>43977.0</v>
      </c>
    </row>
    <row r="122">
      <c r="C122" s="38" t="s">
        <v>96</v>
      </c>
      <c r="D122" s="38">
        <v>6.0</v>
      </c>
      <c r="E122" s="39">
        <v>150.0</v>
      </c>
      <c r="F122" s="40">
        <v>43975.0</v>
      </c>
    </row>
    <row r="123">
      <c r="C123" s="38" t="s">
        <v>167</v>
      </c>
      <c r="D123" s="38">
        <v>1.0</v>
      </c>
      <c r="E123" s="39">
        <v>110.0</v>
      </c>
      <c r="F123" s="40">
        <v>43977.0</v>
      </c>
    </row>
    <row r="124">
      <c r="C124" s="38" t="s">
        <v>168</v>
      </c>
      <c r="D124" s="38">
        <v>2.0</v>
      </c>
      <c r="E124" s="39">
        <v>120.0</v>
      </c>
      <c r="F124" s="40">
        <v>43977.0</v>
      </c>
    </row>
    <row r="125">
      <c r="C125" s="38" t="s">
        <v>169</v>
      </c>
      <c r="D125" s="38" t="s">
        <v>112</v>
      </c>
      <c r="E125" s="39">
        <v>60.0</v>
      </c>
      <c r="F125" s="40">
        <v>43978.0</v>
      </c>
    </row>
    <row r="126">
      <c r="C126" s="38" t="s">
        <v>157</v>
      </c>
      <c r="D126" s="38">
        <v>3.0</v>
      </c>
      <c r="E126" s="39">
        <v>1500.0</v>
      </c>
      <c r="F126" s="40">
        <v>43978.0</v>
      </c>
    </row>
    <row r="127">
      <c r="C127" s="38" t="s">
        <v>170</v>
      </c>
      <c r="D127" s="38" t="s">
        <v>171</v>
      </c>
      <c r="E127" s="39">
        <v>1900.0</v>
      </c>
      <c r="F127" s="40">
        <v>43981.0</v>
      </c>
    </row>
    <row r="128">
      <c r="C128" s="38" t="s">
        <v>172</v>
      </c>
      <c r="D128" s="38">
        <v>1.0</v>
      </c>
      <c r="E128" s="39">
        <v>170.0</v>
      </c>
      <c r="F128" s="40">
        <v>43981.0</v>
      </c>
    </row>
    <row r="129">
      <c r="C129" s="38" t="s">
        <v>173</v>
      </c>
      <c r="D129" s="38">
        <v>1.0</v>
      </c>
      <c r="E129" s="39">
        <v>1000.0</v>
      </c>
      <c r="F129" s="40">
        <v>43981.0</v>
      </c>
    </row>
    <row r="130">
      <c r="C130" s="38" t="s">
        <v>174</v>
      </c>
      <c r="D130" s="47"/>
      <c r="E130" s="39">
        <v>500.0</v>
      </c>
      <c r="F130" s="40">
        <v>43948.0</v>
      </c>
    </row>
    <row r="131">
      <c r="C131" s="48" t="s">
        <v>175</v>
      </c>
      <c r="D131" s="1"/>
      <c r="E131" s="49">
        <f>SUM(E3:E130)</f>
        <v>94300</v>
      </c>
      <c r="F131" s="1"/>
    </row>
    <row r="132">
      <c r="C132" s="48" t="s">
        <v>176</v>
      </c>
      <c r="D132" s="1"/>
      <c r="E132" s="50"/>
      <c r="F132" s="1"/>
    </row>
    <row r="133">
      <c r="C133" s="48" t="s">
        <v>177</v>
      </c>
      <c r="D133" s="1"/>
      <c r="E133" s="51">
        <f>E132-E131</f>
        <v>-94300</v>
      </c>
      <c r="F133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2"/>
      <c r="B1" s="53" t="s">
        <v>0</v>
      </c>
      <c r="C1" s="54" t="s">
        <v>178</v>
      </c>
      <c r="D1" s="54" t="s">
        <v>179</v>
      </c>
      <c r="E1" s="55" t="s">
        <v>180</v>
      </c>
      <c r="F1" s="55" t="s">
        <v>181</v>
      </c>
      <c r="G1" s="54" t="s">
        <v>182</v>
      </c>
      <c r="H1" s="54" t="s">
        <v>183</v>
      </c>
      <c r="I1" s="56" t="s">
        <v>184</v>
      </c>
      <c r="J1" s="56" t="s">
        <v>185</v>
      </c>
      <c r="K1" s="57" t="s">
        <v>186</v>
      </c>
      <c r="L1" s="57" t="s">
        <v>187</v>
      </c>
    </row>
    <row r="2">
      <c r="A2" s="3" t="s">
        <v>16</v>
      </c>
      <c r="B2" s="4">
        <v>43948.0</v>
      </c>
      <c r="C2" s="58">
        <v>1.0</v>
      </c>
      <c r="D2" s="59">
        <v>0.0</v>
      </c>
      <c r="E2" s="59">
        <v>1.0</v>
      </c>
      <c r="F2" s="59">
        <v>0.0</v>
      </c>
      <c r="G2" s="59">
        <v>1.0</v>
      </c>
      <c r="H2" s="58">
        <v>1.0</v>
      </c>
      <c r="I2" s="60">
        <v>0.0</v>
      </c>
      <c r="J2" s="60">
        <v>0.0</v>
      </c>
      <c r="K2" s="52"/>
      <c r="L2" s="61"/>
    </row>
    <row r="3">
      <c r="A3" s="3" t="s">
        <v>17</v>
      </c>
      <c r="B3" s="4">
        <v>43949.0</v>
      </c>
      <c r="C3" s="59">
        <v>1.0</v>
      </c>
      <c r="D3" s="59">
        <v>0.0</v>
      </c>
      <c r="E3" s="59">
        <v>1.0</v>
      </c>
      <c r="F3" s="59">
        <v>1.0</v>
      </c>
      <c r="G3" s="59">
        <v>1.0</v>
      </c>
      <c r="H3" s="59">
        <v>1.0</v>
      </c>
      <c r="I3" s="60">
        <v>1.0</v>
      </c>
      <c r="J3" s="60">
        <v>0.0</v>
      </c>
      <c r="K3" s="52"/>
      <c r="L3" s="61"/>
      <c r="M3" s="14">
        <v>10000.0</v>
      </c>
    </row>
    <row r="4">
      <c r="A4" s="3" t="s">
        <v>18</v>
      </c>
      <c r="B4" s="4">
        <v>43950.0</v>
      </c>
      <c r="C4" s="62">
        <v>1.0</v>
      </c>
      <c r="D4" s="59">
        <v>1.0</v>
      </c>
      <c r="E4" s="59">
        <v>1.0</v>
      </c>
      <c r="F4" s="59">
        <v>1.0</v>
      </c>
      <c r="G4" s="59">
        <v>1.0</v>
      </c>
      <c r="H4" s="59">
        <v>1.0</v>
      </c>
      <c r="I4" s="60">
        <v>1.0</v>
      </c>
      <c r="J4" s="60">
        <v>0.0</v>
      </c>
      <c r="K4" s="52"/>
      <c r="L4" s="61"/>
    </row>
    <row r="5">
      <c r="A5" s="3" t="s">
        <v>19</v>
      </c>
      <c r="B5" s="4">
        <v>43951.0</v>
      </c>
      <c r="C5" s="63">
        <v>1.0</v>
      </c>
      <c r="D5" s="63">
        <v>0.0</v>
      </c>
      <c r="E5" s="63">
        <v>1.0</v>
      </c>
      <c r="F5" s="63">
        <v>1.0</v>
      </c>
      <c r="G5" s="63">
        <v>1.0</v>
      </c>
      <c r="H5" s="63">
        <v>1.0</v>
      </c>
      <c r="I5" s="60">
        <v>1.0</v>
      </c>
      <c r="J5" s="60">
        <v>0.0</v>
      </c>
      <c r="K5" s="52"/>
      <c r="L5" s="61"/>
    </row>
    <row r="6">
      <c r="A6" s="7" t="s">
        <v>20</v>
      </c>
      <c r="B6" s="8">
        <v>43952.0</v>
      </c>
      <c r="C6" s="64">
        <v>0.0</v>
      </c>
      <c r="D6" s="64">
        <v>0.0</v>
      </c>
      <c r="E6" s="65">
        <v>0.0</v>
      </c>
      <c r="F6" s="64">
        <v>0.0</v>
      </c>
      <c r="G6" s="64">
        <v>0.0</v>
      </c>
      <c r="H6" s="64">
        <v>0.0</v>
      </c>
      <c r="I6" s="66">
        <v>0.0</v>
      </c>
      <c r="J6" s="66">
        <v>0.0</v>
      </c>
      <c r="K6" s="52"/>
      <c r="L6" s="61"/>
    </row>
    <row r="7">
      <c r="A7" s="3" t="s">
        <v>14</v>
      </c>
      <c r="B7" s="4">
        <v>43953.0</v>
      </c>
      <c r="C7" s="59">
        <v>1.0</v>
      </c>
      <c r="D7" s="59">
        <v>0.0</v>
      </c>
      <c r="E7" s="59">
        <v>1.0</v>
      </c>
      <c r="F7" s="59">
        <v>1.0</v>
      </c>
      <c r="G7" s="59">
        <v>1.0</v>
      </c>
      <c r="H7" s="59">
        <v>1.0</v>
      </c>
      <c r="I7" s="60">
        <v>0.0</v>
      </c>
      <c r="J7" s="60">
        <v>0.0</v>
      </c>
      <c r="K7" s="52"/>
      <c r="L7" s="61"/>
    </row>
    <row r="8">
      <c r="A8" s="3" t="s">
        <v>15</v>
      </c>
      <c r="B8" s="4">
        <v>43954.0</v>
      </c>
      <c r="C8" s="59">
        <v>1.0</v>
      </c>
      <c r="D8" s="59">
        <v>0.0</v>
      </c>
      <c r="E8" s="59">
        <v>1.0</v>
      </c>
      <c r="F8" s="59">
        <v>1.0</v>
      </c>
      <c r="G8" s="59">
        <v>1.0</v>
      </c>
      <c r="H8" s="59">
        <v>1.0</v>
      </c>
      <c r="I8" s="60">
        <v>0.0</v>
      </c>
      <c r="J8" s="60">
        <v>1.0</v>
      </c>
      <c r="K8" s="52"/>
      <c r="L8" s="61"/>
    </row>
    <row r="9">
      <c r="A9" s="3" t="s">
        <v>16</v>
      </c>
      <c r="B9" s="4">
        <v>43955.0</v>
      </c>
      <c r="C9" s="59">
        <v>1.0</v>
      </c>
      <c r="D9" s="59">
        <v>0.0</v>
      </c>
      <c r="E9" s="59">
        <v>1.0</v>
      </c>
      <c r="F9" s="59">
        <v>1.0</v>
      </c>
      <c r="G9" s="59">
        <v>1.0</v>
      </c>
      <c r="H9" s="59">
        <v>1.0</v>
      </c>
      <c r="I9" s="60">
        <v>0.0</v>
      </c>
      <c r="J9" s="60">
        <v>1.0</v>
      </c>
      <c r="K9" s="52"/>
      <c r="L9" s="61"/>
    </row>
    <row r="10">
      <c r="A10" s="3" t="s">
        <v>17</v>
      </c>
      <c r="B10" s="4">
        <v>43956.0</v>
      </c>
      <c r="C10" s="59">
        <v>1.0</v>
      </c>
      <c r="D10" s="59">
        <v>0.0</v>
      </c>
      <c r="E10" s="59">
        <v>1.0</v>
      </c>
      <c r="F10" s="59">
        <v>1.0</v>
      </c>
      <c r="G10" s="59">
        <v>1.0</v>
      </c>
      <c r="H10" s="59">
        <v>1.0</v>
      </c>
      <c r="I10" s="60">
        <v>0.0</v>
      </c>
      <c r="J10" s="60">
        <v>1.0</v>
      </c>
      <c r="K10" s="52"/>
      <c r="L10" s="61"/>
    </row>
    <row r="11">
      <c r="A11" s="3" t="s">
        <v>18</v>
      </c>
      <c r="B11" s="4">
        <v>43957.0</v>
      </c>
      <c r="C11" s="59">
        <v>1.0</v>
      </c>
      <c r="D11" s="59">
        <v>0.0</v>
      </c>
      <c r="E11" s="59">
        <v>1.0</v>
      </c>
      <c r="F11" s="59">
        <v>1.0</v>
      </c>
      <c r="G11" s="59">
        <v>1.0</v>
      </c>
      <c r="H11" s="59">
        <v>1.0</v>
      </c>
      <c r="I11" s="60">
        <v>0.0</v>
      </c>
      <c r="J11" s="60">
        <v>1.0</v>
      </c>
      <c r="K11" s="52"/>
      <c r="L11" s="61"/>
    </row>
    <row r="12">
      <c r="A12" s="3" t="s">
        <v>19</v>
      </c>
      <c r="B12" s="4">
        <v>43958.0</v>
      </c>
      <c r="C12" s="63">
        <v>1.0</v>
      </c>
      <c r="D12" s="63">
        <v>0.0</v>
      </c>
      <c r="E12" s="63">
        <v>1.0</v>
      </c>
      <c r="F12" s="63">
        <v>1.0</v>
      </c>
      <c r="G12" s="63">
        <v>1.0</v>
      </c>
      <c r="H12" s="63">
        <v>1.0</v>
      </c>
      <c r="I12" s="60">
        <v>0.0</v>
      </c>
      <c r="J12" s="60">
        <v>1.0</v>
      </c>
      <c r="K12" s="52"/>
      <c r="L12" s="61"/>
    </row>
    <row r="13">
      <c r="A13" s="7" t="s">
        <v>20</v>
      </c>
      <c r="B13" s="8">
        <v>43959.0</v>
      </c>
      <c r="C13" s="64">
        <v>0.0</v>
      </c>
      <c r="D13" s="64">
        <v>0.0</v>
      </c>
      <c r="E13" s="65">
        <v>0.0</v>
      </c>
      <c r="F13" s="65">
        <v>0.0</v>
      </c>
      <c r="G13" s="64">
        <v>0.0</v>
      </c>
      <c r="H13" s="64">
        <v>0.0</v>
      </c>
      <c r="I13" s="66">
        <v>0.0</v>
      </c>
      <c r="J13" s="66">
        <v>0.0</v>
      </c>
      <c r="K13" s="52"/>
      <c r="L13" s="61"/>
    </row>
    <row r="14">
      <c r="A14" s="3" t="s">
        <v>14</v>
      </c>
      <c r="B14" s="4">
        <v>43960.0</v>
      </c>
      <c r="C14" s="59">
        <v>1.0</v>
      </c>
      <c r="D14" s="59">
        <v>0.0</v>
      </c>
      <c r="E14" s="59">
        <v>1.0</v>
      </c>
      <c r="F14" s="59">
        <v>1.0</v>
      </c>
      <c r="G14" s="59">
        <v>1.0</v>
      </c>
      <c r="H14" s="59">
        <v>1.0</v>
      </c>
      <c r="I14" s="60">
        <v>0.0</v>
      </c>
      <c r="J14" s="60">
        <v>1.0</v>
      </c>
      <c r="K14" s="52"/>
      <c r="L14" s="61"/>
    </row>
    <row r="15">
      <c r="A15" s="3" t="s">
        <v>15</v>
      </c>
      <c r="B15" s="4">
        <v>43961.0</v>
      </c>
      <c r="C15" s="59">
        <v>1.0</v>
      </c>
      <c r="D15" s="59">
        <v>0.0</v>
      </c>
      <c r="E15" s="59">
        <v>1.0</v>
      </c>
      <c r="F15" s="59">
        <v>1.0</v>
      </c>
      <c r="G15" s="59">
        <v>1.0</v>
      </c>
      <c r="H15" s="59">
        <v>1.0</v>
      </c>
      <c r="I15" s="60">
        <v>0.0</v>
      </c>
      <c r="J15" s="60">
        <v>1.0</v>
      </c>
      <c r="K15" s="52"/>
      <c r="L15" s="61"/>
    </row>
    <row r="16">
      <c r="A16" s="3" t="s">
        <v>16</v>
      </c>
      <c r="B16" s="4">
        <v>43962.0</v>
      </c>
      <c r="C16" s="59">
        <v>1.0</v>
      </c>
      <c r="D16" s="59">
        <v>0.0</v>
      </c>
      <c r="E16" s="59">
        <v>1.0</v>
      </c>
      <c r="F16" s="59">
        <v>1.0</v>
      </c>
      <c r="G16" s="59">
        <v>1.0</v>
      </c>
      <c r="H16" s="59">
        <v>1.0</v>
      </c>
      <c r="I16" s="60">
        <v>0.0</v>
      </c>
      <c r="J16" s="60">
        <v>1.0</v>
      </c>
      <c r="K16" s="52"/>
      <c r="L16" s="61"/>
    </row>
    <row r="17">
      <c r="A17" s="3" t="s">
        <v>17</v>
      </c>
      <c r="B17" s="4">
        <v>43963.0</v>
      </c>
      <c r="C17" s="59">
        <v>1.0</v>
      </c>
      <c r="D17" s="59">
        <v>0.0</v>
      </c>
      <c r="E17" s="59">
        <v>1.0</v>
      </c>
      <c r="F17" s="59">
        <v>1.0</v>
      </c>
      <c r="G17" s="59">
        <v>1.0</v>
      </c>
      <c r="H17" s="59">
        <v>1.0</v>
      </c>
      <c r="I17" s="60">
        <v>0.0</v>
      </c>
      <c r="J17" s="60">
        <v>1.0</v>
      </c>
      <c r="K17" s="52"/>
      <c r="L17" s="61"/>
    </row>
    <row r="18">
      <c r="A18" s="3" t="s">
        <v>18</v>
      </c>
      <c r="B18" s="4">
        <v>43964.0</v>
      </c>
      <c r="C18" s="59">
        <v>1.0</v>
      </c>
      <c r="D18" s="59">
        <v>0.0</v>
      </c>
      <c r="E18" s="59">
        <v>1.0</v>
      </c>
      <c r="F18" s="59">
        <v>1.0</v>
      </c>
      <c r="G18" s="59">
        <v>1.0</v>
      </c>
      <c r="H18" s="59">
        <v>1.0</v>
      </c>
      <c r="I18" s="60">
        <v>0.0</v>
      </c>
      <c r="J18" s="60">
        <v>1.0</v>
      </c>
      <c r="K18" s="52"/>
      <c r="L18" s="61"/>
    </row>
    <row r="19">
      <c r="A19" s="3" t="s">
        <v>19</v>
      </c>
      <c r="B19" s="4">
        <v>43965.0</v>
      </c>
      <c r="C19" s="63">
        <v>1.0</v>
      </c>
      <c r="D19" s="63">
        <v>0.0</v>
      </c>
      <c r="E19" s="63">
        <v>1.0</v>
      </c>
      <c r="F19" s="63">
        <v>1.0</v>
      </c>
      <c r="G19" s="63">
        <v>1.0</v>
      </c>
      <c r="H19" s="63">
        <v>1.0</v>
      </c>
      <c r="I19" s="60">
        <v>0.0</v>
      </c>
      <c r="J19" s="60">
        <v>1.0</v>
      </c>
      <c r="K19" s="52"/>
      <c r="L19" s="61"/>
    </row>
    <row r="20">
      <c r="A20" s="7" t="s">
        <v>20</v>
      </c>
      <c r="B20" s="8">
        <v>43966.0</v>
      </c>
      <c r="C20" s="64">
        <v>0.0</v>
      </c>
      <c r="D20" s="64">
        <v>0.0</v>
      </c>
      <c r="E20" s="65">
        <v>0.0</v>
      </c>
      <c r="F20" s="65">
        <v>0.0</v>
      </c>
      <c r="G20" s="64">
        <v>0.0</v>
      </c>
      <c r="H20" s="64">
        <v>0.0</v>
      </c>
      <c r="I20" s="66">
        <v>0.0</v>
      </c>
      <c r="J20" s="67"/>
      <c r="K20" s="52"/>
      <c r="L20" s="61"/>
    </row>
    <row r="21">
      <c r="A21" s="3" t="s">
        <v>14</v>
      </c>
      <c r="B21" s="4">
        <v>43967.0</v>
      </c>
      <c r="C21" s="63">
        <v>1.0</v>
      </c>
      <c r="D21" s="63">
        <v>0.0</v>
      </c>
      <c r="E21" s="63">
        <v>1.5</v>
      </c>
      <c r="F21" s="63">
        <v>1.0</v>
      </c>
      <c r="G21" s="63">
        <v>1.0</v>
      </c>
      <c r="H21" s="63">
        <v>1.0</v>
      </c>
      <c r="I21" s="60">
        <v>0.0</v>
      </c>
      <c r="J21" s="60">
        <v>1.0</v>
      </c>
      <c r="K21" s="52"/>
      <c r="L21" s="61"/>
    </row>
    <row r="22">
      <c r="A22" s="3" t="s">
        <v>188</v>
      </c>
      <c r="B22" s="4">
        <v>43968.0</v>
      </c>
      <c r="C22" s="63">
        <v>1.0</v>
      </c>
      <c r="D22" s="68"/>
      <c r="E22" s="63">
        <v>1.0</v>
      </c>
      <c r="F22" s="63">
        <v>1.0</v>
      </c>
      <c r="G22" s="63">
        <v>1.0</v>
      </c>
      <c r="H22" s="63">
        <v>1.0</v>
      </c>
      <c r="I22" s="60">
        <v>0.0</v>
      </c>
      <c r="J22" s="60">
        <v>1.0</v>
      </c>
      <c r="K22" s="52"/>
      <c r="L22" s="61"/>
    </row>
    <row r="23">
      <c r="A23" s="3" t="s">
        <v>16</v>
      </c>
      <c r="B23" s="4">
        <v>43969.0</v>
      </c>
      <c r="C23" s="63">
        <v>1.0</v>
      </c>
      <c r="D23" s="63">
        <v>1.0</v>
      </c>
      <c r="E23" s="63">
        <v>1.0</v>
      </c>
      <c r="F23" s="63">
        <v>1.0</v>
      </c>
      <c r="G23" s="63">
        <v>1.0</v>
      </c>
      <c r="H23" s="63">
        <v>1.0</v>
      </c>
      <c r="I23" s="60">
        <v>0.0</v>
      </c>
      <c r="J23" s="60">
        <v>1.0</v>
      </c>
      <c r="K23" s="52"/>
      <c r="L23" s="61"/>
    </row>
    <row r="24">
      <c r="A24" s="3" t="s">
        <v>189</v>
      </c>
      <c r="B24" s="4">
        <v>43970.0</v>
      </c>
      <c r="C24" s="63">
        <v>1.0</v>
      </c>
      <c r="D24" s="63">
        <v>1.0</v>
      </c>
      <c r="E24" s="63">
        <v>1.0</v>
      </c>
      <c r="F24" s="63">
        <v>1.0</v>
      </c>
      <c r="G24" s="63">
        <v>1.0</v>
      </c>
      <c r="H24" s="63">
        <v>1.0</v>
      </c>
      <c r="I24" s="60">
        <v>0.0</v>
      </c>
      <c r="J24" s="60">
        <v>1.0</v>
      </c>
      <c r="K24" s="52"/>
      <c r="L24" s="61"/>
    </row>
    <row r="25">
      <c r="A25" s="3" t="s">
        <v>18</v>
      </c>
      <c r="B25" s="4">
        <v>43971.0</v>
      </c>
      <c r="C25" s="63">
        <v>1.0</v>
      </c>
      <c r="D25" s="63">
        <v>1.0</v>
      </c>
      <c r="E25" s="63">
        <v>1.0</v>
      </c>
      <c r="F25" s="63">
        <v>1.0</v>
      </c>
      <c r="G25" s="63">
        <v>1.0</v>
      </c>
      <c r="H25" s="63">
        <v>1.0</v>
      </c>
      <c r="I25" s="60">
        <v>0.0</v>
      </c>
      <c r="J25" s="60">
        <v>1.0</v>
      </c>
      <c r="K25" s="52"/>
      <c r="L25" s="61"/>
    </row>
    <row r="26">
      <c r="A26" s="3" t="s">
        <v>19</v>
      </c>
      <c r="B26" s="4">
        <v>43972.0</v>
      </c>
      <c r="C26" s="63">
        <v>1.0</v>
      </c>
      <c r="D26" s="63">
        <v>1.0</v>
      </c>
      <c r="E26" s="63">
        <v>1.0</v>
      </c>
      <c r="F26" s="63">
        <v>1.0</v>
      </c>
      <c r="G26" s="63">
        <v>1.0</v>
      </c>
      <c r="H26" s="63">
        <v>1.0</v>
      </c>
      <c r="I26" s="60">
        <v>0.0</v>
      </c>
      <c r="J26" s="60">
        <v>1.0</v>
      </c>
      <c r="K26" s="52"/>
      <c r="L26" s="61"/>
    </row>
    <row r="27">
      <c r="A27" s="7" t="s">
        <v>20</v>
      </c>
      <c r="B27" s="8">
        <v>43973.0</v>
      </c>
      <c r="C27" s="69">
        <v>1.0</v>
      </c>
      <c r="D27" s="70">
        <v>1.0</v>
      </c>
      <c r="E27" s="69">
        <v>1.0</v>
      </c>
      <c r="F27" s="71">
        <v>0.0</v>
      </c>
      <c r="G27" s="69">
        <v>1.0</v>
      </c>
      <c r="H27" s="69">
        <v>1.0</v>
      </c>
      <c r="I27" s="66">
        <v>0.0</v>
      </c>
      <c r="J27" s="66">
        <v>0.0</v>
      </c>
      <c r="K27" s="52"/>
      <c r="L27" s="61"/>
    </row>
    <row r="28">
      <c r="A28" s="20" t="s">
        <v>14</v>
      </c>
      <c r="B28" s="4">
        <v>43974.0</v>
      </c>
      <c r="C28" s="63">
        <v>0.0</v>
      </c>
      <c r="D28" s="63">
        <v>0.0</v>
      </c>
      <c r="E28" s="63">
        <v>0.0</v>
      </c>
      <c r="F28" s="63">
        <v>0.0</v>
      </c>
      <c r="G28" s="63">
        <v>0.0</v>
      </c>
      <c r="H28" s="63">
        <v>0.0</v>
      </c>
      <c r="I28" s="60">
        <v>0.0</v>
      </c>
      <c r="J28" s="60">
        <v>0.0</v>
      </c>
      <c r="K28" s="52"/>
      <c r="L28" s="61"/>
    </row>
    <row r="29">
      <c r="A29" s="20" t="s">
        <v>15</v>
      </c>
      <c r="B29" s="4">
        <v>43975.0</v>
      </c>
      <c r="C29" s="63">
        <v>0.0</v>
      </c>
      <c r="D29" s="63">
        <v>0.0</v>
      </c>
      <c r="E29" s="63">
        <v>0.0</v>
      </c>
      <c r="F29" s="63">
        <v>0.0</v>
      </c>
      <c r="G29" s="63">
        <v>0.0</v>
      </c>
      <c r="H29" s="63">
        <v>0.0</v>
      </c>
      <c r="I29" s="60">
        <v>0.0</v>
      </c>
      <c r="J29" s="60">
        <v>0.0</v>
      </c>
      <c r="K29" s="52"/>
      <c r="L29" s="61"/>
    </row>
    <row r="30">
      <c r="A30" s="20" t="s">
        <v>16</v>
      </c>
      <c r="B30" s="4">
        <v>43976.0</v>
      </c>
      <c r="C30" s="63">
        <v>0.0</v>
      </c>
      <c r="D30" s="63">
        <v>0.0</v>
      </c>
      <c r="E30" s="63">
        <v>0.0</v>
      </c>
      <c r="F30" s="63">
        <v>0.0</v>
      </c>
      <c r="G30" s="63">
        <v>0.0</v>
      </c>
      <c r="H30" s="63">
        <v>0.0</v>
      </c>
      <c r="I30" s="60">
        <v>0.0</v>
      </c>
      <c r="J30" s="60">
        <v>0.0</v>
      </c>
      <c r="K30" s="52"/>
      <c r="L30" s="61"/>
    </row>
    <row r="31">
      <c r="A31" s="20" t="s">
        <v>17</v>
      </c>
      <c r="B31" s="4">
        <v>43977.0</v>
      </c>
      <c r="C31" s="63">
        <v>0.0</v>
      </c>
      <c r="D31" s="63">
        <v>1.0</v>
      </c>
      <c r="E31" s="63">
        <v>1.0</v>
      </c>
      <c r="F31" s="63">
        <v>0.0</v>
      </c>
      <c r="G31" s="63">
        <v>1.0</v>
      </c>
      <c r="H31" s="63">
        <v>1.0</v>
      </c>
      <c r="I31" s="60">
        <v>0.0</v>
      </c>
      <c r="J31" s="60">
        <v>0.0</v>
      </c>
      <c r="K31" s="52"/>
      <c r="L31" s="61"/>
    </row>
    <row r="32">
      <c r="A32" s="20" t="s">
        <v>18</v>
      </c>
      <c r="B32" s="4">
        <v>43978.0</v>
      </c>
      <c r="C32" s="63">
        <v>0.0</v>
      </c>
      <c r="D32" s="63">
        <v>1.0</v>
      </c>
      <c r="E32" s="63">
        <v>1.0</v>
      </c>
      <c r="F32" s="63">
        <v>0.0</v>
      </c>
      <c r="G32" s="63">
        <v>1.0</v>
      </c>
      <c r="H32" s="63">
        <v>1.0</v>
      </c>
      <c r="I32" s="60">
        <v>0.0</v>
      </c>
      <c r="J32" s="60">
        <v>0.0</v>
      </c>
      <c r="K32" s="52"/>
      <c r="L32" s="61"/>
    </row>
    <row r="33">
      <c r="A33" s="20" t="s">
        <v>19</v>
      </c>
      <c r="B33" s="4">
        <v>43979.0</v>
      </c>
      <c r="C33" s="63">
        <v>0.0</v>
      </c>
      <c r="D33" s="63">
        <v>1.0</v>
      </c>
      <c r="E33" s="63">
        <v>1.0</v>
      </c>
      <c r="F33" s="63">
        <v>0.0</v>
      </c>
      <c r="G33" s="63">
        <v>1.0</v>
      </c>
      <c r="H33" s="63">
        <v>1.0</v>
      </c>
      <c r="I33" s="60">
        <v>0.0</v>
      </c>
      <c r="J33" s="60">
        <v>0.0</v>
      </c>
      <c r="K33" s="52"/>
      <c r="L33" s="61"/>
    </row>
    <row r="34">
      <c r="A34" s="24" t="s">
        <v>20</v>
      </c>
      <c r="B34" s="8">
        <v>43980.0</v>
      </c>
      <c r="C34" s="69">
        <v>0.0</v>
      </c>
      <c r="D34" s="69">
        <v>0.0</v>
      </c>
      <c r="E34" s="69">
        <v>0.0</v>
      </c>
      <c r="F34" s="69">
        <v>0.0</v>
      </c>
      <c r="G34" s="69">
        <v>0.0</v>
      </c>
      <c r="H34" s="69">
        <v>0.0</v>
      </c>
      <c r="I34" s="66">
        <v>0.0</v>
      </c>
      <c r="J34" s="66">
        <v>0.0</v>
      </c>
      <c r="K34" s="52"/>
      <c r="L34" s="61"/>
    </row>
    <row r="35">
      <c r="A35" s="20" t="s">
        <v>14</v>
      </c>
      <c r="B35" s="4">
        <v>43981.0</v>
      </c>
      <c r="C35" s="63">
        <v>0.0</v>
      </c>
      <c r="D35" s="63">
        <v>1.0</v>
      </c>
      <c r="E35" s="63">
        <v>1.0</v>
      </c>
      <c r="F35" s="63">
        <v>1.0</v>
      </c>
      <c r="G35" s="63">
        <v>1.0</v>
      </c>
      <c r="H35" s="63">
        <v>1.0</v>
      </c>
      <c r="I35" s="60">
        <v>0.0</v>
      </c>
      <c r="J35" s="60">
        <v>0.0</v>
      </c>
      <c r="K35" s="52"/>
      <c r="L35" s="61"/>
    </row>
    <row r="36">
      <c r="A36" s="20" t="s">
        <v>15</v>
      </c>
      <c r="B36" s="4">
        <v>43982.0</v>
      </c>
      <c r="C36" s="63">
        <v>0.0</v>
      </c>
      <c r="D36" s="63">
        <v>1.0</v>
      </c>
      <c r="E36" s="63">
        <v>1.0</v>
      </c>
      <c r="F36" s="63">
        <v>1.0</v>
      </c>
      <c r="G36" s="63">
        <v>1.0</v>
      </c>
      <c r="H36" s="63">
        <v>1.0</v>
      </c>
      <c r="I36" s="60">
        <v>0.0</v>
      </c>
      <c r="J36" s="60">
        <v>0.0</v>
      </c>
      <c r="K36" s="52"/>
      <c r="L36" s="61"/>
    </row>
    <row r="37">
      <c r="A37" s="52"/>
      <c r="B37" s="72" t="s">
        <v>21</v>
      </c>
      <c r="C37" s="73">
        <f t="shared" ref="C37:J37" si="1">SUM(C2:C36)</f>
        <v>23</v>
      </c>
      <c r="D37" s="73">
        <f t="shared" si="1"/>
        <v>11</v>
      </c>
      <c r="E37" s="74">
        <f t="shared" si="1"/>
        <v>28.5</v>
      </c>
      <c r="F37" s="73">
        <f t="shared" si="1"/>
        <v>23</v>
      </c>
      <c r="G37" s="73">
        <f t="shared" si="1"/>
        <v>28</v>
      </c>
      <c r="H37" s="73">
        <f t="shared" si="1"/>
        <v>28</v>
      </c>
      <c r="I37" s="75">
        <f t="shared" si="1"/>
        <v>3</v>
      </c>
      <c r="J37" s="75">
        <f t="shared" si="1"/>
        <v>17</v>
      </c>
      <c r="K37" s="61"/>
      <c r="L37" s="61"/>
    </row>
    <row r="38">
      <c r="A38" s="52"/>
      <c r="B38" s="76" t="s">
        <v>190</v>
      </c>
      <c r="C38" s="77">
        <v>2000.0</v>
      </c>
      <c r="D38" s="77">
        <v>1200.0</v>
      </c>
      <c r="E38" s="78">
        <v>1000.0</v>
      </c>
      <c r="F38" s="77">
        <v>600.0</v>
      </c>
      <c r="G38" s="77">
        <v>1000.0</v>
      </c>
      <c r="H38" s="77">
        <v>1200.0</v>
      </c>
      <c r="I38" s="79">
        <v>1200.0</v>
      </c>
      <c r="J38" s="79">
        <v>1000.0</v>
      </c>
      <c r="K38" s="80">
        <f t="shared" ref="K38:K39" si="4">SUM(C38:H38)</f>
        <v>7000</v>
      </c>
      <c r="L38" s="61"/>
    </row>
    <row r="39">
      <c r="A39" s="52"/>
      <c r="B39" s="81" t="s">
        <v>191</v>
      </c>
      <c r="C39" s="82">
        <f>C40-M3</f>
        <v>36000</v>
      </c>
      <c r="D39" s="82">
        <f t="shared" ref="D39:G39" si="2">D38*D37</f>
        <v>13200</v>
      </c>
      <c r="E39" s="82">
        <f t="shared" si="2"/>
        <v>28500</v>
      </c>
      <c r="F39" s="82">
        <f t="shared" si="2"/>
        <v>13800</v>
      </c>
      <c r="G39" s="82">
        <f t="shared" si="2"/>
        <v>28000</v>
      </c>
      <c r="H39" s="82">
        <f>H37*H38</f>
        <v>33600</v>
      </c>
      <c r="I39" s="51">
        <f t="shared" ref="I39:J39" si="3">I38*I37</f>
        <v>3600</v>
      </c>
      <c r="J39" s="51">
        <f t="shared" si="3"/>
        <v>17000</v>
      </c>
      <c r="K39" s="49">
        <f t="shared" si="4"/>
        <v>153100</v>
      </c>
      <c r="L39" s="83"/>
    </row>
    <row r="40">
      <c r="C40" s="16">
        <f>C38*C37</f>
        <v>46000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5.75"/>
    <col customWidth="1" min="10" max="10" width="24.13"/>
  </cols>
  <sheetData>
    <row r="12">
      <c r="G12" s="61"/>
      <c r="H12" s="84" t="s">
        <v>192</v>
      </c>
      <c r="I12" s="84" t="s">
        <v>3</v>
      </c>
      <c r="J12" s="84" t="s">
        <v>193</v>
      </c>
    </row>
    <row r="13">
      <c r="G13" s="85">
        <v>1.0</v>
      </c>
      <c r="H13" s="47" t="s">
        <v>178</v>
      </c>
      <c r="I13" s="86">
        <f>Pointage!C39*1</f>
        <v>36000</v>
      </c>
      <c r="J13" s="87">
        <v>36000.0</v>
      </c>
    </row>
    <row r="14">
      <c r="G14" s="85">
        <v>2.0</v>
      </c>
      <c r="H14" s="38" t="s">
        <v>181</v>
      </c>
      <c r="I14" s="86">
        <f>Pointage!F39*1</f>
        <v>13800</v>
      </c>
      <c r="J14" s="87">
        <v>13800.0</v>
      </c>
    </row>
    <row r="15">
      <c r="G15" s="85">
        <v>3.0</v>
      </c>
      <c r="H15" s="38" t="s">
        <v>180</v>
      </c>
      <c r="I15" s="86">
        <f>Pointage!E39*1</f>
        <v>28500</v>
      </c>
      <c r="J15" s="87">
        <v>28500.0</v>
      </c>
    </row>
    <row r="16">
      <c r="G16" s="85">
        <v>4.0</v>
      </c>
      <c r="H16" s="47" t="s">
        <v>194</v>
      </c>
      <c r="I16" s="86">
        <f>Pointage!G39*1</f>
        <v>28000</v>
      </c>
      <c r="J16" s="87">
        <v>28000.0</v>
      </c>
    </row>
    <row r="17">
      <c r="G17" s="88">
        <v>5.0</v>
      </c>
      <c r="H17" s="47" t="s">
        <v>179</v>
      </c>
      <c r="I17" s="86">
        <f>Pointage!D39*1</f>
        <v>13200</v>
      </c>
      <c r="J17" s="87">
        <v>13200.0</v>
      </c>
    </row>
    <row r="18">
      <c r="G18" s="88">
        <v>6.0</v>
      </c>
      <c r="H18" s="38" t="s">
        <v>184</v>
      </c>
      <c r="I18" s="86">
        <f>Pointage!I39*1</f>
        <v>3600</v>
      </c>
      <c r="J18" s="87">
        <v>4000.0</v>
      </c>
    </row>
    <row r="19">
      <c r="G19" s="88">
        <v>7.0</v>
      </c>
      <c r="H19" s="38" t="s">
        <v>195</v>
      </c>
      <c r="I19" s="87">
        <v>7000.0</v>
      </c>
      <c r="J19" s="87">
        <v>7000.0</v>
      </c>
    </row>
    <row r="20">
      <c r="G20" s="88">
        <v>8.0</v>
      </c>
      <c r="H20" s="47" t="s">
        <v>183</v>
      </c>
      <c r="I20" s="86">
        <f>Pointage!H39*1</f>
        <v>33600</v>
      </c>
      <c r="J20" s="87">
        <v>33600.0</v>
      </c>
    </row>
    <row r="21">
      <c r="G21" s="89">
        <v>9.0</v>
      </c>
      <c r="H21" s="90" t="s">
        <v>196</v>
      </c>
      <c r="I21" s="91">
        <v>6000.0</v>
      </c>
      <c r="J21" s="91">
        <v>6000.0</v>
      </c>
    </row>
    <row r="22">
      <c r="G22" s="1"/>
      <c r="H22" s="92" t="s">
        <v>21</v>
      </c>
      <c r="I22" s="93">
        <f t="shared" ref="I22:J22" si="1">SUM(I13:I21)</f>
        <v>169700</v>
      </c>
      <c r="J22" s="94">
        <f t="shared" si="1"/>
        <v>170100</v>
      </c>
    </row>
    <row r="23">
      <c r="G23" s="1"/>
      <c r="H23" s="95"/>
      <c r="I23" s="96">
        <f>I22-J22</f>
        <v>-400</v>
      </c>
      <c r="J23" s="61"/>
    </row>
  </sheetData>
  <drawing r:id="rId1"/>
</worksheet>
</file>