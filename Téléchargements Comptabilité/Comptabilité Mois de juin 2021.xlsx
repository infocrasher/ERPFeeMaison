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 " sheetId="2" r:id="rId5"/>
    <sheet state="visible" name="Pointage" sheetId="3" r:id="rId6"/>
    <sheet state="visible" name="Feuille 6" sheetId="4" r:id="rId7"/>
    <sheet state="visible" name="Salaires" sheetId="5" r:id="rId8"/>
    <sheet state="visible" name="Feuille 5" sheetId="6" r:id="rId9"/>
  </sheets>
  <definedNames/>
  <calcPr/>
</workbook>
</file>

<file path=xl/sharedStrings.xml><?xml version="1.0" encoding="utf-8"?>
<sst xmlns="http://schemas.openxmlformats.org/spreadsheetml/2006/main" count="663" uniqueCount="408">
  <si>
    <t>Date</t>
  </si>
  <si>
    <t>Recette  de Mai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</si>
  <si>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</si>
  <si>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</si>
  <si>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</si>
  <si>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</si>
  <si>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</si>
  <si>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</si>
  <si>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</si>
  <si>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Mai</t>
  </si>
  <si>
    <t xml:space="preserve">Moyenne </t>
  </si>
  <si>
    <t>Mardi</t>
  </si>
  <si>
    <t>Mercredi</t>
  </si>
  <si>
    <t>Jeudi</t>
  </si>
  <si>
    <t>Vendredi</t>
  </si>
  <si>
    <t>Samedi</t>
  </si>
  <si>
    <t>Dimanche</t>
  </si>
  <si>
    <t>Lundi</t>
  </si>
  <si>
    <t xml:space="preserve">Cash restant </t>
  </si>
  <si>
    <t>Magasin</t>
  </si>
  <si>
    <t>Différence mois d'Avril</t>
  </si>
  <si>
    <t xml:space="preserve">Différence objectif </t>
  </si>
  <si>
    <t xml:space="preserve">caisse </t>
  </si>
  <si>
    <t>Sofiane 06/06/2021</t>
  </si>
  <si>
    <t>Sofiane Storm 18/06/2021</t>
  </si>
  <si>
    <t>Cash restant réel</t>
  </si>
  <si>
    <t>Ccp</t>
  </si>
  <si>
    <t>Cash Disponible</t>
  </si>
  <si>
    <t>AGB</t>
  </si>
  <si>
    <t>.</t>
  </si>
  <si>
    <t>Mois de Mai</t>
  </si>
  <si>
    <t>Produit</t>
  </si>
  <si>
    <t>Quantité</t>
  </si>
  <si>
    <t xml:space="preserve">Prix unitaire </t>
  </si>
  <si>
    <t>Prix</t>
  </si>
  <si>
    <t>Date d'achat</t>
  </si>
  <si>
    <t>vanille</t>
  </si>
  <si>
    <t>chocolat à tartiné 9kg</t>
  </si>
  <si>
    <t>goblet sorbé</t>
  </si>
  <si>
    <t>sac croissant 23</t>
  </si>
  <si>
    <t>sac croissant 18</t>
  </si>
  <si>
    <t>Boite 36/10</t>
  </si>
  <si>
    <t>boite 36/07</t>
  </si>
  <si>
    <t>aluminium</t>
  </si>
  <si>
    <t xml:space="preserve">sac pain </t>
  </si>
  <si>
    <t xml:space="preserve">crème fraiche emprinte </t>
  </si>
  <si>
    <t>sel</t>
  </si>
  <si>
    <t xml:space="preserve">charges mohamed </t>
  </si>
  <si>
    <t>semoule Fine Mama 25kg</t>
  </si>
  <si>
    <t>Semoule fine SIM 25kg</t>
  </si>
  <si>
    <t xml:space="preserve">sucre 25kg </t>
  </si>
  <si>
    <t>3 sachets de 25kg</t>
  </si>
  <si>
    <t>Semoule Sim Moyenne 10kg</t>
  </si>
  <si>
    <t xml:space="preserve">6 sachets </t>
  </si>
  <si>
    <t>Semoule moyenne Sim 2kg</t>
  </si>
  <si>
    <t>2 fardeaux</t>
  </si>
  <si>
    <t xml:space="preserve">levure de bièrre </t>
  </si>
  <si>
    <t>10 de 500g</t>
  </si>
  <si>
    <t>gheress</t>
  </si>
  <si>
    <t>25kg</t>
  </si>
  <si>
    <t>boites 12</t>
  </si>
  <si>
    <t xml:space="preserve">1 carton </t>
  </si>
  <si>
    <t>boites 24</t>
  </si>
  <si>
    <t>boites 1000cc</t>
  </si>
  <si>
    <t>1 fardeau</t>
  </si>
  <si>
    <t xml:space="preserve">sachet de pain </t>
  </si>
  <si>
    <t xml:space="preserve">maa zehar </t>
  </si>
  <si>
    <t xml:space="preserve">amandes </t>
  </si>
  <si>
    <t>5kg</t>
  </si>
  <si>
    <t>semen Madina 1.8kg</t>
  </si>
  <si>
    <t>Harissa</t>
  </si>
  <si>
    <t xml:space="preserve">farine </t>
  </si>
  <si>
    <t>5 fardeaux</t>
  </si>
  <si>
    <t xml:space="preserve">Tomate conserve </t>
  </si>
  <si>
    <t xml:space="preserve">chocolat Dada </t>
  </si>
  <si>
    <t>noix de coco</t>
  </si>
  <si>
    <t>1kg</t>
  </si>
  <si>
    <t>fromage rapé</t>
  </si>
  <si>
    <t>12.80</t>
  </si>
  <si>
    <t xml:space="preserve">ka3ek nakach </t>
  </si>
  <si>
    <t xml:space="preserve">transport marchandise </t>
  </si>
  <si>
    <t>eau petit</t>
  </si>
  <si>
    <t>eau grand</t>
  </si>
  <si>
    <t>coca canette</t>
  </si>
  <si>
    <t>coca bouteille +</t>
  </si>
  <si>
    <t>Rouiba</t>
  </si>
  <si>
    <t>Hamoud 33cl</t>
  </si>
  <si>
    <t>Pepsi</t>
  </si>
  <si>
    <t>Ifruit 33cl</t>
  </si>
  <si>
    <t xml:space="preserve">Huile Eleo 5 litres </t>
  </si>
  <si>
    <t>Rechta</t>
  </si>
  <si>
    <t>10kg</t>
  </si>
  <si>
    <t xml:space="preserve">poulet cuisses </t>
  </si>
  <si>
    <t>poulet haché</t>
  </si>
  <si>
    <t>1.2kg</t>
  </si>
  <si>
    <t>oeufs</t>
  </si>
  <si>
    <t>5 plateaux</t>
  </si>
  <si>
    <t xml:space="preserve">herbes </t>
  </si>
  <si>
    <t xml:space="preserve">ail+canelle </t>
  </si>
  <si>
    <t>5+2</t>
  </si>
  <si>
    <t xml:space="preserve">poivre +tomate </t>
  </si>
  <si>
    <t>3+3</t>
  </si>
  <si>
    <t>dentelles les noeuds ....</t>
  </si>
  <si>
    <t xml:space="preserve">cuisses de poulet </t>
  </si>
  <si>
    <t>1.5kg</t>
  </si>
  <si>
    <t xml:space="preserve">tomate fraiche </t>
  </si>
  <si>
    <t>/</t>
  </si>
  <si>
    <t xml:space="preserve">détergents </t>
  </si>
  <si>
    <t xml:space="preserve">beurre et margarine </t>
  </si>
  <si>
    <t>1+3</t>
  </si>
  <si>
    <t>bessel</t>
  </si>
  <si>
    <t>20kg</t>
  </si>
  <si>
    <t xml:space="preserve">margarine </t>
  </si>
  <si>
    <t xml:space="preserve">courgette, carotte , pomme de terre, navet, poivre </t>
  </si>
  <si>
    <t>rechta</t>
  </si>
  <si>
    <t>15kg</t>
  </si>
  <si>
    <t xml:space="preserve">viande </t>
  </si>
  <si>
    <t>2 morceaux</t>
  </si>
  <si>
    <t>02/06+/2021</t>
  </si>
  <si>
    <t xml:space="preserve">rechta </t>
  </si>
  <si>
    <t>bessel+tomate fraiche</t>
  </si>
  <si>
    <t>20kg+3kg</t>
  </si>
  <si>
    <t>plat</t>
  </si>
  <si>
    <t>boites 36/07</t>
  </si>
  <si>
    <t>Margarine Mani +fleurial 40+lait en poudre+cawcaw ifilet</t>
  </si>
  <si>
    <t>relicat Mois de Mai Omar</t>
  </si>
  <si>
    <t>crème fraiche Soummam</t>
  </si>
  <si>
    <t>chaplure</t>
  </si>
  <si>
    <t>fromage la barre</t>
  </si>
  <si>
    <t>1 de 900g</t>
  </si>
  <si>
    <t xml:space="preserve">semoule mama 2k </t>
  </si>
  <si>
    <t>réparation frigo</t>
  </si>
  <si>
    <t>epinards</t>
  </si>
  <si>
    <t>bras mixeur</t>
  </si>
  <si>
    <t>légumes</t>
  </si>
  <si>
    <t>moules</t>
  </si>
  <si>
    <t>poivre+courgette+navet</t>
  </si>
  <si>
    <t>réparation présentoire</t>
  </si>
  <si>
    <t>100kg</t>
  </si>
  <si>
    <t>emporte pièce 110</t>
  </si>
  <si>
    <t xml:space="preserve">fromage bidon </t>
  </si>
  <si>
    <t>1 de 2kg</t>
  </si>
  <si>
    <t>four Saada</t>
  </si>
  <si>
    <t>2 plateaux des boules</t>
  </si>
  <si>
    <t>mayonaise</t>
  </si>
  <si>
    <t>plateaux de frigo</t>
  </si>
  <si>
    <t>fromage rapé chedar</t>
  </si>
  <si>
    <t>photographe</t>
  </si>
  <si>
    <t>Boubelle</t>
  </si>
  <si>
    <t>géricane</t>
  </si>
  <si>
    <t>yarout</t>
  </si>
  <si>
    <t>CNAS</t>
  </si>
  <si>
    <t xml:space="preserve">mais </t>
  </si>
  <si>
    <t>olive</t>
  </si>
  <si>
    <t>pate</t>
  </si>
  <si>
    <t>gouda</t>
  </si>
  <si>
    <t>2kg</t>
  </si>
  <si>
    <t>isis grand</t>
  </si>
  <si>
    <t>isis lave vissel</t>
  </si>
  <si>
    <t>boite 08/06</t>
  </si>
  <si>
    <t>Boite 12/07</t>
  </si>
  <si>
    <t>boite 36/10</t>
  </si>
  <si>
    <t>boite 48/10</t>
  </si>
  <si>
    <t>prix</t>
  </si>
  <si>
    <t>semoule fine Mama 25kg</t>
  </si>
  <si>
    <t xml:space="preserve">Semoule fine Boumsail 25kg </t>
  </si>
  <si>
    <t>les affaires de gateaux</t>
  </si>
  <si>
    <t>epinards et herbes</t>
  </si>
  <si>
    <t>ail 3awela</t>
  </si>
  <si>
    <t>12kg</t>
  </si>
  <si>
    <t xml:space="preserve">semoule </t>
  </si>
  <si>
    <t>2 de 2kg</t>
  </si>
  <si>
    <t>40kg</t>
  </si>
  <si>
    <t xml:space="preserve">thon </t>
  </si>
  <si>
    <t xml:space="preserve">poulet blanc courgette et navet </t>
  </si>
  <si>
    <t>blanc de poulet</t>
  </si>
  <si>
    <t xml:space="preserve">épinards </t>
  </si>
  <si>
    <t xml:space="preserve">tomate dure </t>
  </si>
  <si>
    <t>olive dénoyauté</t>
  </si>
  <si>
    <t>2.5kg</t>
  </si>
  <si>
    <t>olive noir</t>
  </si>
  <si>
    <t>33kg</t>
  </si>
  <si>
    <t xml:space="preserve">légumes </t>
  </si>
  <si>
    <t>deyoul</t>
  </si>
  <si>
    <t xml:space="preserve">poulet haché </t>
  </si>
  <si>
    <t>9kg</t>
  </si>
  <si>
    <t>viande hachée</t>
  </si>
  <si>
    <t>4kg</t>
  </si>
  <si>
    <t xml:space="preserve">eau miniral grande bouteille </t>
  </si>
  <si>
    <t>10 fardeaux</t>
  </si>
  <si>
    <t>eau miniral petite bouteille</t>
  </si>
  <si>
    <t>6 fardeaux</t>
  </si>
  <si>
    <t>Rouiba 20cl</t>
  </si>
  <si>
    <t xml:space="preserve">Coca canette </t>
  </si>
  <si>
    <t xml:space="preserve">Rouiba 33cl </t>
  </si>
  <si>
    <t>Coca 33cl</t>
  </si>
  <si>
    <t>500g</t>
  </si>
  <si>
    <t>les boites de sauce</t>
  </si>
  <si>
    <t xml:space="preserve">1 fardeau </t>
  </si>
  <si>
    <t xml:space="preserve">herebes </t>
  </si>
  <si>
    <t>Transport zehor</t>
  </si>
  <si>
    <t xml:space="preserve">Tomate fraiche </t>
  </si>
  <si>
    <t xml:space="preserve">fromage la barre </t>
  </si>
  <si>
    <t>1.8kg</t>
  </si>
  <si>
    <t>poivre noir</t>
  </si>
  <si>
    <t>250g</t>
  </si>
  <si>
    <t>3kg</t>
  </si>
  <si>
    <t>curdents</t>
  </si>
  <si>
    <t>Farine Sim de 5kg</t>
  </si>
  <si>
    <t>courgette</t>
  </si>
  <si>
    <t>Farine Sim 1kg</t>
  </si>
  <si>
    <t>2 semoule mama 2kg</t>
  </si>
  <si>
    <t>fromage +yaourt</t>
  </si>
  <si>
    <t>crème fraiche</t>
  </si>
  <si>
    <t>citron</t>
  </si>
  <si>
    <t>Crème chantillé</t>
  </si>
  <si>
    <t>zebib</t>
  </si>
  <si>
    <t>Viande hachée</t>
  </si>
  <si>
    <t>1kg de delybrahim</t>
  </si>
  <si>
    <t xml:space="preserve">cheezy slices </t>
  </si>
  <si>
    <t xml:space="preserve">fromage blanc </t>
  </si>
  <si>
    <t xml:space="preserve">plateaux oeuf </t>
  </si>
  <si>
    <t>30kg</t>
  </si>
  <si>
    <t>les herebes</t>
  </si>
  <si>
    <t>les gants</t>
  </si>
  <si>
    <t>hamissa</t>
  </si>
  <si>
    <t>navet et courgettes</t>
  </si>
  <si>
    <t>semoule moyenne sim</t>
  </si>
  <si>
    <t xml:space="preserve">morceaux de viande </t>
  </si>
  <si>
    <t>poichiche + thyme</t>
  </si>
  <si>
    <t>3+12</t>
  </si>
  <si>
    <t xml:space="preserve">olive noir </t>
  </si>
  <si>
    <t xml:space="preserve">pomme de terre </t>
  </si>
  <si>
    <t xml:space="preserve">boites épices </t>
  </si>
  <si>
    <t xml:space="preserve">détergents : lave mains , isis, javel moussante </t>
  </si>
  <si>
    <t>2+5litres+1</t>
  </si>
  <si>
    <t>125+150+450</t>
  </si>
  <si>
    <t>lavettes et scotch+tourne vise</t>
  </si>
  <si>
    <t>2+6+1+1</t>
  </si>
  <si>
    <t>transport marchandise</t>
  </si>
  <si>
    <t xml:space="preserve">Riz </t>
  </si>
  <si>
    <t>16/06/0202</t>
  </si>
  <si>
    <t xml:space="preserve">poichiche   </t>
  </si>
  <si>
    <t>2+2+2+4</t>
  </si>
  <si>
    <t xml:space="preserve">tartino slices </t>
  </si>
  <si>
    <t xml:space="preserve">sel </t>
  </si>
  <si>
    <t>harissa</t>
  </si>
  <si>
    <t>1 crton de 12kg</t>
  </si>
  <si>
    <t>sucre glace</t>
  </si>
  <si>
    <t>1 carton de 12kg</t>
  </si>
  <si>
    <t>levure nouara</t>
  </si>
  <si>
    <t>cheezybarre</t>
  </si>
  <si>
    <t>2*900g</t>
  </si>
  <si>
    <t xml:space="preserve">Farine sim2fardeaux </t>
  </si>
  <si>
    <t>2 de 9kg</t>
  </si>
  <si>
    <t>boites de 36/07</t>
  </si>
  <si>
    <t xml:space="preserve">2 cartons de 50 </t>
  </si>
  <si>
    <t>pate d'arome de citron</t>
  </si>
  <si>
    <t>pate d'arome fraise</t>
  </si>
  <si>
    <t xml:space="preserve">dettes poulet boucher Slimane delybrahim </t>
  </si>
  <si>
    <t xml:space="preserve">bessel </t>
  </si>
  <si>
    <t>la boite</t>
  </si>
  <si>
    <t xml:space="preserve">les poches </t>
  </si>
  <si>
    <t>recheta</t>
  </si>
  <si>
    <t>chantillé</t>
  </si>
  <si>
    <t>1,5kg</t>
  </si>
  <si>
    <t xml:space="preserve">semoule mama fine </t>
  </si>
  <si>
    <t xml:space="preserve">amande </t>
  </si>
  <si>
    <t>épinards persil coriandre na3ena3</t>
  </si>
  <si>
    <t>4+2+2+2</t>
  </si>
  <si>
    <t>ka3ek enakach</t>
  </si>
  <si>
    <t xml:space="preserve">Amina Baghrir </t>
  </si>
  <si>
    <t xml:space="preserve">Semoule Amor Ben Amor 10kg fine </t>
  </si>
  <si>
    <t>Semoule Amor Ben Amor 25kg</t>
  </si>
  <si>
    <t>farine Sim 1kg</t>
  </si>
  <si>
    <t>1 boite de 400g</t>
  </si>
  <si>
    <t>épinard</t>
  </si>
  <si>
    <t>isis 1.8kg</t>
  </si>
  <si>
    <t xml:space="preserve">poivre et poivron </t>
  </si>
  <si>
    <t xml:space="preserve">tomate </t>
  </si>
  <si>
    <t xml:space="preserve">Support des tartes </t>
  </si>
  <si>
    <t xml:space="preserve">éléctricité + gaz </t>
  </si>
  <si>
    <t xml:space="preserve">2 ème trimestre </t>
  </si>
  <si>
    <t>sachets 23</t>
  </si>
  <si>
    <t>sachets 18</t>
  </si>
  <si>
    <t>sachets 14</t>
  </si>
  <si>
    <t xml:space="preserve">1 chocolat boudjedir </t>
  </si>
  <si>
    <t>légant</t>
  </si>
  <si>
    <t>1 boite</t>
  </si>
  <si>
    <t>5 fardeaux de 9kg</t>
  </si>
  <si>
    <t>maizinq</t>
  </si>
  <si>
    <t xml:space="preserve">noix  </t>
  </si>
  <si>
    <t>1 paquet</t>
  </si>
  <si>
    <t>poivron et tomate</t>
  </si>
  <si>
    <t>50kg</t>
  </si>
  <si>
    <t xml:space="preserve">semoule blé complet </t>
  </si>
  <si>
    <t>che3ir</t>
  </si>
  <si>
    <t>transport aller retour</t>
  </si>
  <si>
    <t xml:space="preserve">poulet haché slimane </t>
  </si>
  <si>
    <t xml:space="preserve">noix </t>
  </si>
  <si>
    <t>100g</t>
  </si>
  <si>
    <t xml:space="preserve">noisette </t>
  </si>
  <si>
    <t>noix de cajoou</t>
  </si>
  <si>
    <t>pistache</t>
  </si>
  <si>
    <t xml:space="preserve">poivre </t>
  </si>
  <si>
    <t>épinards</t>
  </si>
  <si>
    <t>fromage blanc 300g</t>
  </si>
  <si>
    <t>fromage blanc 800g</t>
  </si>
  <si>
    <t>sac poubelle</t>
  </si>
  <si>
    <t>semoule Amor Ben Amor 25kg</t>
  </si>
  <si>
    <t>sachets de poudre anti cafard</t>
  </si>
  <si>
    <t>baton ésquimeau</t>
  </si>
  <si>
    <t>feuille d'or</t>
  </si>
  <si>
    <t>chocolat elwidjane</t>
  </si>
  <si>
    <t>choco Dada</t>
  </si>
  <si>
    <t>serpières</t>
  </si>
  <si>
    <t xml:space="preserve">il nous reste 50 bidon de Elio chez Saida mais j'ai acheté 20 bidons pour dépanner </t>
  </si>
  <si>
    <t xml:space="preserve">lavette en aluminium </t>
  </si>
  <si>
    <t xml:space="preserve">Amel a pris 1 bidon , Hafida 2 bidons , Samira 2 bidons </t>
  </si>
  <si>
    <t xml:space="preserve">Lave sol Amir </t>
  </si>
  <si>
    <t xml:space="preserve">il nous reste 15 </t>
  </si>
  <si>
    <t>javel</t>
  </si>
  <si>
    <t>1 de 5  litres</t>
  </si>
  <si>
    <t>Gaz de rechange</t>
  </si>
  <si>
    <t>mirage</t>
  </si>
  <si>
    <t>poulet Haché</t>
  </si>
  <si>
    <t>olive éfilet</t>
  </si>
  <si>
    <t>salade</t>
  </si>
  <si>
    <t>chedar</t>
  </si>
  <si>
    <t>spéciale pizzal</t>
  </si>
  <si>
    <t>oeuf</t>
  </si>
  <si>
    <t xml:space="preserve">poivron   </t>
  </si>
  <si>
    <t>2 bidons huile</t>
  </si>
  <si>
    <t xml:space="preserve">1 bidon + 12kg sucre </t>
  </si>
  <si>
    <t>17kg</t>
  </si>
  <si>
    <t>trucs de gateaux</t>
  </si>
  <si>
    <t xml:space="preserve">2 bidons huile </t>
  </si>
  <si>
    <t>torchi</t>
  </si>
  <si>
    <t>chocolalat et levure</t>
  </si>
  <si>
    <t>navet   3kg</t>
  </si>
  <si>
    <t>viande morceaux</t>
  </si>
  <si>
    <t xml:space="preserve">poulet cuisses et blanc </t>
  </si>
  <si>
    <t>2+3</t>
  </si>
  <si>
    <t>légumes : carrote, courgette, pomme de terre, navet</t>
  </si>
  <si>
    <t>4*4</t>
  </si>
  <si>
    <t xml:space="preserve">mais + yaourt </t>
  </si>
  <si>
    <t>isis+force expresse</t>
  </si>
  <si>
    <t>1+1</t>
  </si>
  <si>
    <t>Poulet haché</t>
  </si>
  <si>
    <t>TOTALE</t>
  </si>
  <si>
    <t xml:space="preserve">Somme initiale </t>
  </si>
  <si>
    <t>Rest</t>
  </si>
  <si>
    <t>Zehor</t>
  </si>
  <si>
    <t>Yossera</t>
  </si>
  <si>
    <t xml:space="preserve">Nadjet </t>
  </si>
  <si>
    <t>Hadjer</t>
  </si>
  <si>
    <t>Amel</t>
  </si>
  <si>
    <t>Soumia</t>
  </si>
  <si>
    <t>Hafida</t>
  </si>
  <si>
    <t>Fatiha</t>
  </si>
  <si>
    <t>karima</t>
  </si>
  <si>
    <t>Samira</t>
  </si>
  <si>
    <t>Dalila</t>
  </si>
  <si>
    <t xml:space="preserve">Linda </t>
  </si>
  <si>
    <t xml:space="preserve">Katia </t>
  </si>
  <si>
    <t>Zahida</t>
  </si>
  <si>
    <t>Remarque</t>
  </si>
  <si>
    <t>Soumia djate à 13h+ zahida djate à 14h</t>
  </si>
  <si>
    <t>Fatiha djat sans que je lui dise . Hafida djate en retard 09h</t>
  </si>
  <si>
    <t>Zehor est tombé malade et elle est sortie à 13h . Soumeya est venue à  midi malgré c'était prévu ma tedjich toute la journée</t>
  </si>
  <si>
    <t>Hafida est venue à 09h, Hadjer est venue à 12h</t>
  </si>
  <si>
    <t>zahida ra7et 3ane medecin et ma djatech tt la journéée</t>
  </si>
  <si>
    <t xml:space="preserve">elyoum il y'avait pas de travaille 9a3edou yeguesserou toute l'aprèsmidi </t>
  </si>
  <si>
    <t xml:space="preserve">hadjer ra7et à 10h30 we wellate à 13h kan 3anedeha examen . djate zehor à 08h25 bach fete7etelhom elbab, zahida est venue à 13hh  puisque kanet 3aned medecin </t>
  </si>
  <si>
    <t>elyoum kemelou bekeri kharedjetehom à 16h</t>
  </si>
  <si>
    <t>hafida djate en retard</t>
  </si>
  <si>
    <t xml:space="preserve">zahida djate à 13h ra7et tedir manicure 3aned Fulla lol </t>
  </si>
  <si>
    <t>zehor et hadjer kharedjou à 15h30 we madaretelich bezaf khefaf , samira djate en retard ma 3arefetch teri9 we kharedjet à 16h30</t>
  </si>
  <si>
    <t xml:space="preserve">samira djate à 10h ra7et à 16h30  karima djate ghasselet la vaissel ra7et a 13h welate à 15h30 mais zadet reweneteha machi elle a netoyer </t>
  </si>
  <si>
    <t>hafida djate en retard a 10h15, hadjer kan 3anedeha RDV 3aned gastro</t>
  </si>
  <si>
    <t xml:space="preserve">, </t>
  </si>
  <si>
    <t>15000 Da  prime de l'aid</t>
  </si>
  <si>
    <t>u</t>
  </si>
  <si>
    <t xml:space="preserve">Nom </t>
  </si>
  <si>
    <t>Avance</t>
  </si>
  <si>
    <t>1000+1000+6000</t>
  </si>
  <si>
    <t>1000+1000</t>
  </si>
  <si>
    <t>Nadjet</t>
  </si>
  <si>
    <t>5000+5000+2000</t>
  </si>
  <si>
    <t>Linda</t>
  </si>
  <si>
    <t>Katia</t>
  </si>
  <si>
    <t>2000+12000</t>
  </si>
  <si>
    <t>1200+13200</t>
  </si>
  <si>
    <t xml:space="preserve">Samira </t>
  </si>
  <si>
    <t>TOTAL</t>
  </si>
  <si>
    <t>Amel Dépenses  Mois de juin</t>
  </si>
  <si>
    <t>vetements</t>
  </si>
  <si>
    <t>Auto école</t>
  </si>
  <si>
    <t>réparation Pc</t>
  </si>
  <si>
    <t>Lunettes</t>
  </si>
  <si>
    <t>afficheur Note 8</t>
  </si>
  <si>
    <t>2 Fanouss</t>
  </si>
  <si>
    <t xml:space="preserve">dentisste +brossses </t>
  </si>
  <si>
    <t>storm</t>
  </si>
  <si>
    <t>Khalida</t>
  </si>
  <si>
    <t xml:space="preserve">auto école </t>
  </si>
  <si>
    <t>Maria vetements</t>
  </si>
  <si>
    <t>Islem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</si>
</sst>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.m"/>
  </numFmts>
  <fonts count="23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sz val="14.0"/>
      <color rgb="FF000000"/>
      <name val="Arial"/>
    </font>
    <font>
      <sz val="14.0"/>
      <color theme="1"/>
      <name val="Arial"/>
    </font>
    <font>
      <b/>
      <sz val="18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2.0"/>
      <color rgb="FF0000FF"/>
      <name val="Arial"/>
    </font>
    <font>
      <sz val="14.0"/>
      <color rgb="FFFFFF00"/>
      <name val="Arial"/>
      <scheme val="minor"/>
    </font>
    <font>
      <sz val="12.0"/>
      <color rgb="FF000000"/>
      <name val="Arial"/>
      <scheme val="minor"/>
    </font>
    <font>
      <sz val="12.0"/>
      <color rgb="FF00FF00"/>
      <name val="Arial"/>
      <scheme val="minor"/>
    </font>
    <font>
      <b/>
      <sz val="14.0"/>
      <color rgb="FF1C4587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8.0"/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vertical="bottom"/>
    </xf>
    <xf borderId="0" fillId="3" fontId="4" numFmtId="0" xfId="0" applyAlignment="1" applyFont="1">
      <alignment horizontal="center" vertical="bottom"/>
    </xf>
    <xf borderId="1" fillId="5" fontId="2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0" fillId="4" fontId="4" numFmtId="165" xfId="0" applyAlignment="1" applyFont="1" applyNumberFormat="1">
      <alignment horizontal="center" vertical="bottom"/>
    </xf>
    <xf borderId="1" fillId="6" fontId="3" numFmtId="165" xfId="0" applyAlignment="1" applyBorder="1" applyFill="1" applyFont="1" applyNumberFormat="1">
      <alignment horizontal="center" readingOrder="0" vertical="bottom"/>
    </xf>
    <xf borderId="0" fillId="7" fontId="4" numFmtId="165" xfId="0" applyAlignment="1" applyFill="1" applyFont="1" applyNumberFormat="1">
      <alignment horizontal="center" readingOrder="0" vertical="bottom"/>
    </xf>
    <xf borderId="1" fillId="7" fontId="2" numFmtId="0" xfId="0" applyAlignment="1" applyBorder="1" applyFon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1" fillId="7" fontId="3" numFmtId="165" xfId="0" applyAlignment="1" applyBorder="1" applyFont="1" applyNumberFormat="1">
      <alignment horizontal="center" readingOrder="0" vertical="bottom"/>
    </xf>
    <xf borderId="1" fillId="7" fontId="1" numFmtId="0" xfId="0" applyAlignment="1" applyBorder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0" fillId="8" fontId="4" numFmtId="0" xfId="0" applyAlignment="1" applyFill="1" applyFont="1">
      <alignment horizontal="center" vertical="bottom"/>
    </xf>
    <xf borderId="0" fillId="8" fontId="5" numFmtId="0" xfId="0" applyAlignment="1" applyFont="1">
      <alignment horizontal="center" readingOrder="0" shrinkToFit="0" vertical="bottom" wrapText="0"/>
    </xf>
    <xf borderId="0" fillId="7" fontId="4" numFmtId="165" xfId="0" applyAlignment="1" applyFont="1" applyNumberFormat="1">
      <alignment horizontal="center" vertical="bottom"/>
    </xf>
    <xf borderId="0" fillId="4" fontId="4" numFmtId="165" xfId="0" applyAlignment="1" applyFont="1" applyNumberFormat="1">
      <alignment horizontal="center" readingOrder="0" vertical="bottom"/>
    </xf>
    <xf borderId="0" fillId="5" fontId="3" numFmtId="165" xfId="0" applyAlignment="1" applyFont="1" applyNumberFormat="1">
      <alignment horizontal="center" vertical="bottom"/>
    </xf>
    <xf borderId="2" fillId="5" fontId="3" numFmtId="165" xfId="0" applyAlignment="1" applyBorder="1" applyFont="1" applyNumberFormat="1">
      <alignment horizontal="center" vertical="bottom"/>
    </xf>
    <xf borderId="0" fillId="9" fontId="6" numFmtId="0" xfId="0" applyAlignment="1" applyFill="1" applyFont="1">
      <alignment horizontal="center" vertical="bottom"/>
    </xf>
    <xf borderId="3" fillId="0" fontId="3" numFmtId="165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4" fillId="5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8" fontId="3" numFmtId="165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 vertical="bottom"/>
    </xf>
    <xf borderId="5" fillId="0" fontId="1" numFmtId="0" xfId="0" applyAlignment="1" applyBorder="1" applyFont="1">
      <alignment vertical="bottom"/>
    </xf>
    <xf borderId="3" fillId="9" fontId="3" numFmtId="165" xfId="0" applyAlignment="1" applyBorder="1" applyFont="1" applyNumberFormat="1">
      <alignment horizontal="center" readingOrder="0" vertical="bottom"/>
    </xf>
    <xf borderId="1" fillId="9" fontId="3" numFmtId="165" xfId="0" applyAlignment="1" applyBorder="1" applyFont="1" applyNumberFormat="1">
      <alignment horizontal="center" readingOrder="0" vertical="bottom"/>
    </xf>
    <xf borderId="1" fillId="5" fontId="3" numFmtId="164" xfId="0" applyAlignment="1" applyBorder="1" applyFont="1" applyNumberFormat="1">
      <alignment horizontal="center" vertical="bottom"/>
    </xf>
    <xf borderId="1" fillId="4" fontId="2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ont="1" applyNumberFormat="1">
      <alignment horizontal="center" vertical="bottom"/>
    </xf>
    <xf borderId="1" fillId="10" fontId="2" numFmtId="165" xfId="0" applyAlignment="1" applyBorder="1" applyFill="1" applyFont="1" applyNumberFormat="1">
      <alignment horizontal="center" vertical="bottom"/>
    </xf>
    <xf borderId="1" fillId="8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7" fontId="3" numFmtId="165" xfId="0" applyAlignment="1" applyBorder="1" applyFont="1" applyNumberFormat="1">
      <alignment horizontal="center" vertical="bottom"/>
    </xf>
    <xf borderId="0" fillId="5" fontId="7" numFmtId="0" xfId="0" applyAlignment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7" fontId="9" numFmtId="0" xfId="0" applyAlignment="1" applyBorder="1" applyFont="1">
      <alignment horizontal="center" vertical="bottom"/>
    </xf>
    <xf borderId="0" fillId="5" fontId="8" numFmtId="0" xfId="0" applyAlignment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8" numFmtId="165" xfId="0" applyAlignment="1" applyBorder="1" applyFont="1" applyNumberFormat="1">
      <alignment horizontal="center" vertical="bottom"/>
    </xf>
    <xf borderId="1" fillId="0" fontId="8" numFmtId="164" xfId="0" applyAlignment="1" applyBorder="1" applyFont="1" applyNumberFormat="1">
      <alignment horizontal="center" readingOrder="0" vertical="bottom"/>
    </xf>
    <xf borderId="1" fillId="5" fontId="8" numFmtId="0" xfId="0" applyAlignment="1" applyBorder="1" applyFont="1">
      <alignment horizontal="center" readingOrder="0" vertical="bottom"/>
    </xf>
    <xf borderId="1" fillId="5" fontId="8" numFmtId="165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0" fontId="8" numFmtId="0" xfId="0" applyAlignment="1" applyBorder="1" applyFont="1">
      <alignment horizontal="center" vertical="bottom"/>
    </xf>
    <xf borderId="1" fillId="0" fontId="8" numFmtId="165" xfId="0" applyAlignment="1" applyBorder="1" applyFont="1" applyNumberFormat="1">
      <alignment horizontal="center" vertical="bottom"/>
    </xf>
    <xf borderId="1" fillId="0" fontId="8" numFmtId="165" xfId="0" applyAlignment="1" applyBorder="1" applyFont="1" applyNumberFormat="1">
      <alignment horizontal="center" readingOrder="0" vertical="bottom"/>
    </xf>
    <xf borderId="1" fillId="8" fontId="8" numFmtId="0" xfId="0" applyAlignment="1" applyBorder="1" applyFont="1">
      <alignment horizontal="center" readingOrder="0" vertical="bottom"/>
    </xf>
    <xf borderId="1" fillId="8" fontId="8" numFmtId="165" xfId="0" applyAlignment="1" applyBorder="1" applyFont="1" applyNumberFormat="1">
      <alignment horizontal="center" readingOrder="0" vertical="bottom"/>
    </xf>
    <xf borderId="1" fillId="8" fontId="8" numFmtId="164" xfId="0" applyAlignment="1" applyBorder="1" applyFont="1" applyNumberFormat="1">
      <alignment horizontal="center" readingOrder="0" vertical="bottom"/>
    </xf>
    <xf borderId="1" fillId="9" fontId="8" numFmtId="0" xfId="0" applyAlignment="1" applyBorder="1" applyFont="1">
      <alignment horizontal="center" readingOrder="0" vertical="bottom"/>
    </xf>
    <xf borderId="1" fillId="9" fontId="8" numFmtId="0" xfId="0" applyAlignment="1" applyBorder="1" applyFont="1">
      <alignment horizontal="center" vertical="bottom"/>
    </xf>
    <xf borderId="1" fillId="9" fontId="8" numFmtId="165" xfId="0" applyAlignment="1" applyBorder="1" applyFont="1" applyNumberFormat="1">
      <alignment horizontal="center" vertical="bottom"/>
    </xf>
    <xf borderId="1" fillId="9" fontId="8" numFmtId="165" xfId="0" applyAlignment="1" applyBorder="1" applyFont="1" applyNumberFormat="1">
      <alignment horizontal="center" readingOrder="0" vertical="bottom"/>
    </xf>
    <xf borderId="1" fillId="9" fontId="8" numFmtId="164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0" fillId="0" fontId="11" numFmtId="0" xfId="0" applyFont="1"/>
    <xf borderId="1" fillId="0" fontId="11" numFmtId="0" xfId="0" applyAlignment="1" applyBorder="1" applyFont="1">
      <alignment horizontal="center" readingOrder="0"/>
    </xf>
    <xf borderId="1" fillId="0" fontId="11" numFmtId="165" xfId="0" applyAlignment="1" applyBorder="1" applyFont="1" applyNumberFormat="1">
      <alignment horizontal="center" readingOrder="0"/>
    </xf>
    <xf borderId="1" fillId="0" fontId="12" numFmtId="0" xfId="0" applyBorder="1" applyFont="1"/>
    <xf borderId="1" fillId="0" fontId="10" numFmtId="165" xfId="0" applyAlignment="1" applyBorder="1" applyFont="1" applyNumberFormat="1">
      <alignment horizontal="center"/>
    </xf>
    <xf borderId="1" fillId="0" fontId="8" numFmtId="166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readingOrder="0"/>
    </xf>
    <xf borderId="1" fillId="5" fontId="8" numFmtId="164" xfId="0" applyAlignment="1" applyBorder="1" applyFont="1" applyNumberFormat="1">
      <alignment horizontal="center" readingOrder="0" vertical="bottom"/>
    </xf>
    <xf borderId="0" fillId="0" fontId="12" numFmtId="165" xfId="0" applyAlignment="1" applyFont="1" applyNumberFormat="1">
      <alignment readingOrder="0"/>
    </xf>
    <xf borderId="0" fillId="0" fontId="12" numFmtId="165" xfId="0" applyFont="1" applyNumberFormat="1"/>
    <xf borderId="1" fillId="8" fontId="13" numFmtId="0" xfId="0" applyAlignment="1" applyBorder="1" applyFont="1">
      <alignment horizontal="center" vertical="bottom"/>
    </xf>
    <xf borderId="1" fillId="9" fontId="1" numFmtId="165" xfId="0" applyAlignment="1" applyBorder="1" applyFont="1" applyNumberFormat="1">
      <alignment vertical="bottom"/>
    </xf>
    <xf borderId="1" fillId="9" fontId="8" numFmtId="165" xfId="0" applyAlignment="1" applyBorder="1" applyFont="1" applyNumberFormat="1">
      <alignment horizontal="right" vertical="bottom"/>
    </xf>
    <xf borderId="1" fillId="4" fontId="1" numFmtId="165" xfId="0" applyAlignment="1" applyBorder="1" applyFont="1" applyNumberFormat="1">
      <alignment vertical="bottom"/>
    </xf>
    <xf borderId="1" fillId="4" fontId="8" numFmtId="165" xfId="0" applyAlignment="1" applyBorder="1" applyFont="1" applyNumberFormat="1">
      <alignment horizontal="right" vertical="bottom"/>
    </xf>
    <xf borderId="1" fillId="7" fontId="1" numFmtId="165" xfId="0" applyAlignment="1" applyBorder="1" applyFont="1" applyNumberFormat="1">
      <alignment vertical="bottom"/>
    </xf>
    <xf borderId="1" fillId="7" fontId="8" numFmtId="165" xfId="0" applyAlignment="1" applyBorder="1" applyFont="1" applyNumberFormat="1">
      <alignment horizontal="right" vertical="bottom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1" fillId="4" fontId="14" numFmtId="0" xfId="0" applyAlignment="1" applyBorder="1" applyFont="1">
      <alignment horizontal="center" vertical="bottom"/>
    </xf>
    <xf borderId="1" fillId="4" fontId="14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vertical="bottom"/>
    </xf>
    <xf borderId="1" fillId="9" fontId="15" numFmtId="0" xfId="0" applyAlignment="1" applyBorder="1" applyFont="1">
      <alignment readingOrder="0"/>
    </xf>
    <xf borderId="1" fillId="0" fontId="11" numFmtId="0" xfId="0" applyBorder="1" applyFont="1"/>
    <xf borderId="1" fillId="0" fontId="11" numFmtId="0" xfId="0" applyAlignment="1" applyBorder="1" applyFont="1">
      <alignment readingOrder="0"/>
    </xf>
    <xf borderId="1" fillId="7" fontId="11" numFmtId="0" xfId="0" applyAlignment="1" applyBorder="1" applyFont="1">
      <alignment readingOrder="0"/>
    </xf>
    <xf borderId="1" fillId="9" fontId="11" numFmtId="0" xfId="0" applyAlignment="1" applyBorder="1" applyFont="1">
      <alignment readingOrder="0"/>
    </xf>
    <xf borderId="1" fillId="0" fontId="16" numFmtId="0" xfId="0" applyAlignment="1" applyBorder="1" applyFont="1">
      <alignment readingOrder="0"/>
    </xf>
    <xf borderId="1" fillId="9" fontId="16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9" fontId="17" numFmtId="0" xfId="0" applyAlignment="1" applyBorder="1" applyFont="1">
      <alignment readingOrder="0"/>
    </xf>
    <xf borderId="0" fillId="7" fontId="5" numFmtId="0" xfId="0" applyAlignment="1" applyFont="1">
      <alignment horizontal="center" vertical="bottom"/>
    </xf>
    <xf borderId="1" fillId="7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center" vertical="bottom"/>
    </xf>
    <xf borderId="1" fillId="7" fontId="18" numFmtId="165" xfId="0" applyAlignment="1" applyBorder="1" applyFont="1" applyNumberFormat="1">
      <alignment horizontal="center" vertical="bottom"/>
    </xf>
    <xf borderId="1" fillId="9" fontId="4" numFmtId="165" xfId="0" applyAlignment="1" applyBorder="1" applyFont="1" applyNumberFormat="1">
      <alignment horizontal="center" vertical="bottom"/>
    </xf>
    <xf borderId="0" fillId="0" fontId="19" numFmtId="165" xfId="0" applyAlignment="1" applyFont="1" applyNumberFormat="1">
      <alignment readingOrder="0"/>
    </xf>
    <xf borderId="0" fillId="0" fontId="20" numFmtId="165" xfId="0" applyAlignment="1" applyFont="1" applyNumberFormat="1">
      <alignment horizontal="center"/>
    </xf>
    <xf borderId="0" fillId="0" fontId="11" numFmtId="0" xfId="0" applyAlignment="1" applyFont="1">
      <alignment readingOrder="0"/>
    </xf>
    <xf borderId="6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8" fontId="4" numFmtId="0" xfId="0" applyAlignment="1" applyBorder="1" applyFont="1">
      <alignment horizontal="center" vertical="bottom"/>
    </xf>
    <xf borderId="1" fillId="7" fontId="21" numFmtId="0" xfId="0" applyAlignment="1" applyBorder="1" applyFont="1">
      <alignment horizontal="center" vertical="bottom"/>
    </xf>
    <xf borderId="1" fillId="7" fontId="21" numFmtId="165" xfId="0" applyAlignment="1" applyBorder="1" applyFont="1" applyNumberFormat="1">
      <alignment horizontal="center" vertical="bottom"/>
    </xf>
    <xf borderId="0" fillId="9" fontId="21" numFmtId="165" xfId="0" applyAlignment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4" fontId="21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3" fillId="0" fontId="20" numFmtId="0" xfId="0" applyAlignment="1" applyBorder="1" applyFont="1">
      <alignment horizontal="center" readingOrder="0"/>
    </xf>
    <xf borderId="7" fillId="0" fontId="22" numFmtId="0" xfId="0" applyBorder="1" applyFont="1"/>
    <xf borderId="8" fillId="0" fontId="22" numFmtId="0" xfId="0" applyBorder="1" applyFont="1"/>
    <xf borderId="1" fillId="0" fontId="19" numFmtId="0" xfId="0" applyAlignment="1" applyBorder="1" applyFont="1">
      <alignment horizontal="center" readingOrder="0"/>
    </xf>
    <xf borderId="1" fillId="0" fontId="19" numFmtId="165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/>
    </xf>
    <xf borderId="1" fillId="0" fontId="19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13"/>
    <col customWidth="1" min="4" max="4" width="16.38"/>
    <col customWidth="1" min="10" max="10" width="16.25"/>
    <col customWidth="1" min="11" max="11" width="16.0"/>
    <col customWidth="1" min="13" max="13" width="26.25"/>
    <col customWidth="1" min="14" max="14" width="22.38"/>
    <col customWidth="1" min="16" max="16" width="16.75"/>
    <col customWidth="1" min="17" max="17" width="27.0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 t="s">
        <v>8</v>
      </c>
      <c r="K1" s="6" t="s">
        <v>9</v>
      </c>
      <c r="L1" s="7"/>
      <c r="M1" s="7"/>
      <c r="N1" s="8" t="s">
        <v>10</v>
      </c>
      <c r="O1" s="7"/>
      <c r="P1" s="7"/>
      <c r="Q1" s="7"/>
    </row>
    <row r="2">
      <c r="A2" s="9" t="s">
        <v>11</v>
      </c>
      <c r="B2" s="10">
        <v>44348.0</v>
      </c>
      <c r="C2" s="11">
        <v>21000.0</v>
      </c>
      <c r="D2" s="11">
        <v>27000.0</v>
      </c>
      <c r="E2" s="12"/>
      <c r="F2" s="12"/>
      <c r="G2" s="12"/>
      <c r="H2" s="12"/>
      <c r="I2" s="13">
        <v>1.0</v>
      </c>
      <c r="J2" s="14">
        <v>50000.0</v>
      </c>
      <c r="K2" s="15">
        <v>21000.0</v>
      </c>
      <c r="L2" s="7"/>
      <c r="M2" s="7"/>
      <c r="N2" s="16">
        <f>D32/I32</f>
        <v>32000</v>
      </c>
      <c r="O2" s="7"/>
      <c r="P2" s="7"/>
      <c r="Q2" s="7"/>
    </row>
    <row r="3">
      <c r="A3" s="9" t="s">
        <v>12</v>
      </c>
      <c r="B3" s="10">
        <v>44349.0</v>
      </c>
      <c r="C3" s="11">
        <v>34000.0</v>
      </c>
      <c r="D3" s="17">
        <v>18000.0</v>
      </c>
      <c r="E3" s="12"/>
      <c r="F3" s="12"/>
      <c r="G3" s="12"/>
      <c r="H3" s="12"/>
      <c r="I3" s="13">
        <v>1.0</v>
      </c>
      <c r="J3" s="14">
        <v>50000.0</v>
      </c>
      <c r="K3" s="15">
        <v>34000.0</v>
      </c>
      <c r="L3" s="7"/>
      <c r="M3" s="7"/>
      <c r="N3" s="7"/>
      <c r="O3" s="7"/>
      <c r="P3" s="7"/>
      <c r="Q3" s="7"/>
    </row>
    <row r="4">
      <c r="A4" s="9" t="s">
        <v>13</v>
      </c>
      <c r="B4" s="10">
        <v>44350.0</v>
      </c>
      <c r="C4" s="11">
        <v>35000.0</v>
      </c>
      <c r="D4" s="11">
        <v>36000.0</v>
      </c>
      <c r="E4" s="12"/>
      <c r="F4" s="12"/>
      <c r="G4" s="12"/>
      <c r="H4" s="12"/>
      <c r="I4" s="13">
        <v>1.0</v>
      </c>
      <c r="J4" s="14">
        <v>50000.0</v>
      </c>
      <c r="K4" s="15">
        <v>35000.0</v>
      </c>
      <c r="L4" s="7"/>
      <c r="M4" s="7"/>
      <c r="N4" s="18">
        <v>50000.0</v>
      </c>
      <c r="O4" s="7"/>
      <c r="P4" s="7"/>
      <c r="Q4" s="7"/>
    </row>
    <row r="5">
      <c r="A5" s="19" t="s">
        <v>14</v>
      </c>
      <c r="B5" s="20">
        <v>44351.0</v>
      </c>
      <c r="C5" s="21">
        <v>15000.0</v>
      </c>
      <c r="D5" s="21">
        <v>28000.0</v>
      </c>
      <c r="E5" s="22"/>
      <c r="F5" s="22"/>
      <c r="G5" s="22"/>
      <c r="H5" s="22"/>
      <c r="I5" s="23">
        <v>1.0</v>
      </c>
      <c r="J5" s="14">
        <v>50000.0</v>
      </c>
      <c r="K5" s="15">
        <v>15000.0</v>
      </c>
      <c r="L5" s="7"/>
      <c r="M5" s="7"/>
      <c r="N5" s="7"/>
      <c r="O5" s="7"/>
      <c r="P5" s="7"/>
      <c r="Q5" s="7"/>
    </row>
    <row r="6">
      <c r="A6" s="9" t="s">
        <v>15</v>
      </c>
      <c r="B6" s="10">
        <v>44352.0</v>
      </c>
      <c r="C6" s="11">
        <v>33000.0</v>
      </c>
      <c r="D6" s="11">
        <v>34000.0</v>
      </c>
      <c r="E6" s="12"/>
      <c r="F6" s="12"/>
      <c r="G6" s="12"/>
      <c r="H6" s="12"/>
      <c r="I6" s="13">
        <v>1.0</v>
      </c>
      <c r="J6" s="14">
        <v>50000.0</v>
      </c>
      <c r="K6" s="15">
        <v>33000.0</v>
      </c>
      <c r="L6" s="7"/>
      <c r="M6" s="7"/>
      <c r="N6" s="7"/>
      <c r="O6" s="7"/>
      <c r="P6" s="7"/>
      <c r="Q6" s="7"/>
    </row>
    <row r="7">
      <c r="A7" s="9" t="s">
        <v>16</v>
      </c>
      <c r="B7" s="10">
        <v>44353.0</v>
      </c>
      <c r="C7" s="11">
        <v>43000.0</v>
      </c>
      <c r="D7" s="11">
        <v>37000.0</v>
      </c>
      <c r="E7" s="12"/>
      <c r="F7" s="12"/>
      <c r="G7" s="12"/>
      <c r="H7" s="12"/>
      <c r="I7" s="13">
        <v>1.0</v>
      </c>
      <c r="J7" s="14">
        <v>50000.0</v>
      </c>
      <c r="K7" s="15">
        <v>43000.0</v>
      </c>
      <c r="L7" s="7"/>
      <c r="M7" s="7"/>
      <c r="N7" s="7"/>
      <c r="O7" s="7"/>
      <c r="P7" s="7"/>
      <c r="Q7" s="7"/>
    </row>
    <row r="8">
      <c r="A8" s="9" t="s">
        <v>17</v>
      </c>
      <c r="B8" s="10">
        <v>44354.0</v>
      </c>
      <c r="C8" s="11">
        <v>25000.0</v>
      </c>
      <c r="D8" s="11">
        <v>28000.0</v>
      </c>
      <c r="E8" s="12"/>
      <c r="F8" s="12"/>
      <c r="G8" s="12"/>
      <c r="H8" s="12"/>
      <c r="I8" s="13">
        <v>1.0</v>
      </c>
      <c r="J8" s="14">
        <v>50000.0</v>
      </c>
      <c r="K8" s="15">
        <v>25000.0</v>
      </c>
      <c r="L8" s="7"/>
      <c r="M8" s="7"/>
      <c r="N8" s="7"/>
      <c r="O8" s="7"/>
      <c r="P8" s="7"/>
      <c r="Q8" s="7"/>
    </row>
    <row r="9">
      <c r="A9" s="9" t="s">
        <v>11</v>
      </c>
      <c r="B9" s="10">
        <v>44355.0</v>
      </c>
      <c r="C9" s="11">
        <v>45000.0</v>
      </c>
      <c r="D9" s="11">
        <v>31000.0</v>
      </c>
      <c r="E9" s="12"/>
      <c r="F9" s="12"/>
      <c r="G9" s="12"/>
      <c r="H9" s="12"/>
      <c r="I9" s="13">
        <v>1.0</v>
      </c>
      <c r="J9" s="14">
        <v>50000.0</v>
      </c>
      <c r="K9" s="15">
        <v>45000.0</v>
      </c>
      <c r="L9" s="7"/>
      <c r="M9" s="7"/>
      <c r="N9" s="7"/>
      <c r="O9" s="7"/>
      <c r="P9" s="7"/>
      <c r="Q9" s="7"/>
    </row>
    <row r="10">
      <c r="A10" s="9" t="s">
        <v>12</v>
      </c>
      <c r="B10" s="10">
        <v>44356.0</v>
      </c>
      <c r="C10" s="11">
        <v>46000.0</v>
      </c>
      <c r="D10" s="11">
        <v>42000.0</v>
      </c>
      <c r="E10" s="12"/>
      <c r="F10" s="12"/>
      <c r="G10" s="12"/>
      <c r="H10" s="12"/>
      <c r="I10" s="13">
        <v>1.0</v>
      </c>
      <c r="J10" s="14">
        <v>50000.0</v>
      </c>
      <c r="K10" s="15">
        <v>46000.0</v>
      </c>
      <c r="L10" s="7"/>
      <c r="M10" s="7"/>
      <c r="N10" s="7"/>
      <c r="O10" s="7"/>
      <c r="P10" s="7"/>
      <c r="Q10" s="7"/>
    </row>
    <row r="11">
      <c r="A11" s="9" t="s">
        <v>13</v>
      </c>
      <c r="B11" s="10">
        <v>44357.0</v>
      </c>
      <c r="C11" s="11">
        <v>90000.0</v>
      </c>
      <c r="D11" s="11">
        <v>57000.0</v>
      </c>
      <c r="E11" s="12"/>
      <c r="F11" s="12"/>
      <c r="G11" s="12"/>
      <c r="H11" s="12"/>
      <c r="I11" s="13">
        <v>1.0</v>
      </c>
      <c r="J11" s="14">
        <v>50000.0</v>
      </c>
      <c r="K11" s="15">
        <v>90000.0</v>
      </c>
      <c r="L11" s="24"/>
      <c r="M11" s="25" t="s">
        <v>18</v>
      </c>
      <c r="N11" s="25" t="s">
        <v>19</v>
      </c>
      <c r="O11" s="7"/>
      <c r="P11" s="7"/>
      <c r="Q11" s="26" t="s">
        <v>20</v>
      </c>
    </row>
    <row r="12">
      <c r="A12" s="19" t="s">
        <v>14</v>
      </c>
      <c r="B12" s="20">
        <v>44358.0</v>
      </c>
      <c r="C12" s="21">
        <v>190000.0</v>
      </c>
      <c r="D12" s="21">
        <v>30000.0</v>
      </c>
      <c r="E12" s="22"/>
      <c r="F12" s="22"/>
      <c r="G12" s="22"/>
      <c r="H12" s="22"/>
      <c r="I12" s="23">
        <v>1.0</v>
      </c>
      <c r="J12" s="14">
        <v>50000.0</v>
      </c>
      <c r="K12" s="15">
        <v>190000.0</v>
      </c>
      <c r="L12" s="24"/>
      <c r="M12" s="27">
        <f>D32+'Charges '!G323-N12-'Charges '!G322-Salaires!K27</f>
        <v>378720</v>
      </c>
      <c r="N12" s="28">
        <v>31000.0</v>
      </c>
      <c r="O12" s="7"/>
      <c r="P12" s="7"/>
      <c r="Q12" s="29">
        <f>D32-C32</f>
        <v>-11000</v>
      </c>
    </row>
    <row r="13">
      <c r="A13" s="9" t="s">
        <v>15</v>
      </c>
      <c r="B13" s="10">
        <v>44359.0</v>
      </c>
      <c r="C13" s="11">
        <v>40000.0</v>
      </c>
      <c r="D13" s="11">
        <v>41000.0</v>
      </c>
      <c r="E13" s="12"/>
      <c r="F13" s="12"/>
      <c r="G13" s="12"/>
      <c r="H13" s="12"/>
      <c r="I13" s="13">
        <v>1.0</v>
      </c>
      <c r="J13" s="14">
        <v>50000.0</v>
      </c>
      <c r="K13" s="30">
        <v>40000.0</v>
      </c>
      <c r="L13" s="7"/>
      <c r="M13" s="7"/>
      <c r="N13" s="7"/>
      <c r="O13" s="7"/>
      <c r="P13" s="7"/>
      <c r="Q13" s="31" t="s">
        <v>21</v>
      </c>
    </row>
    <row r="14">
      <c r="A14" s="9" t="s">
        <v>16</v>
      </c>
      <c r="B14" s="10">
        <v>44360.0</v>
      </c>
      <c r="C14" s="11">
        <v>15000.0</v>
      </c>
      <c r="D14" s="17">
        <v>15000.0</v>
      </c>
      <c r="E14" s="12"/>
      <c r="F14" s="12"/>
      <c r="G14" s="12"/>
      <c r="H14" s="12"/>
      <c r="I14" s="13">
        <v>1.0</v>
      </c>
      <c r="J14" s="32">
        <v>50000.0</v>
      </c>
      <c r="K14" s="15">
        <v>15000.0</v>
      </c>
      <c r="L14" s="7"/>
      <c r="M14" s="7"/>
      <c r="N14" s="7"/>
      <c r="O14" s="7"/>
      <c r="P14" s="33" t="s">
        <v>22</v>
      </c>
      <c r="Q14" s="34">
        <f>D32-J32</f>
        <v>-540000</v>
      </c>
    </row>
    <row r="15">
      <c r="A15" s="9" t="s">
        <v>17</v>
      </c>
      <c r="B15" s="10">
        <v>44361.0</v>
      </c>
      <c r="C15" s="11">
        <v>32000.0</v>
      </c>
      <c r="D15" s="11">
        <v>42000.0</v>
      </c>
      <c r="E15" s="12"/>
      <c r="F15" s="12"/>
      <c r="G15" s="12"/>
      <c r="H15" s="12"/>
      <c r="I15" s="13">
        <v>1.0</v>
      </c>
      <c r="J15" s="14">
        <v>50000.0</v>
      </c>
      <c r="K15" s="35">
        <v>32000.0</v>
      </c>
      <c r="L15" s="7"/>
      <c r="M15" s="36">
        <v>10000.0</v>
      </c>
      <c r="N15" s="37" t="s">
        <v>23</v>
      </c>
      <c r="O15" s="7"/>
      <c r="P15" s="7"/>
      <c r="Q15" s="7"/>
    </row>
    <row r="16">
      <c r="A16" s="9" t="s">
        <v>11</v>
      </c>
      <c r="B16" s="10">
        <v>44362.0</v>
      </c>
      <c r="C16" s="11">
        <v>55000.0</v>
      </c>
      <c r="D16" s="11">
        <v>32000.0</v>
      </c>
      <c r="E16" s="12"/>
      <c r="F16" s="12"/>
      <c r="G16" s="12"/>
      <c r="H16" s="12"/>
      <c r="I16" s="13">
        <v>1.0</v>
      </c>
      <c r="J16" s="14">
        <v>50000.0</v>
      </c>
      <c r="K16" s="15">
        <v>55000.0</v>
      </c>
      <c r="L16" s="7"/>
      <c r="M16" s="34">
        <f>'Charges '!K93*1</f>
        <v>78800</v>
      </c>
      <c r="N16" s="37" t="s">
        <v>19</v>
      </c>
      <c r="O16" s="7"/>
      <c r="P16" s="7"/>
      <c r="Q16" s="7"/>
    </row>
    <row r="17">
      <c r="A17" s="9" t="s">
        <v>12</v>
      </c>
      <c r="B17" s="10">
        <v>44363.0</v>
      </c>
      <c r="C17" s="11">
        <v>35000.0</v>
      </c>
      <c r="D17" s="11">
        <v>24000.0</v>
      </c>
      <c r="E17" s="12"/>
      <c r="F17" s="12"/>
      <c r="G17" s="12"/>
      <c r="H17" s="12"/>
      <c r="I17" s="13">
        <v>1.0</v>
      </c>
      <c r="J17" s="14">
        <v>50000.0</v>
      </c>
      <c r="K17" s="15">
        <v>35000.0</v>
      </c>
      <c r="L17" s="7"/>
      <c r="M17" s="36">
        <v>3200.0</v>
      </c>
      <c r="N17" s="37" t="s">
        <v>24</v>
      </c>
      <c r="O17" s="7"/>
      <c r="P17" s="7"/>
      <c r="Q17" s="7"/>
    </row>
    <row r="18">
      <c r="A18" s="9" t="s">
        <v>13</v>
      </c>
      <c r="B18" s="10">
        <v>44364.0</v>
      </c>
      <c r="C18" s="11">
        <v>12000.0</v>
      </c>
      <c r="D18" s="11">
        <v>45000.0</v>
      </c>
      <c r="E18" s="12"/>
      <c r="F18" s="12"/>
      <c r="G18" s="12"/>
      <c r="H18" s="12"/>
      <c r="I18" s="13">
        <v>1.0</v>
      </c>
      <c r="J18" s="14">
        <v>50000.0</v>
      </c>
      <c r="K18" s="38">
        <v>12000.0</v>
      </c>
      <c r="L18" s="7"/>
      <c r="M18" s="36"/>
      <c r="N18" s="37"/>
      <c r="O18" s="7"/>
      <c r="P18" s="7"/>
      <c r="Q18" s="7"/>
    </row>
    <row r="19">
      <c r="A19" s="19" t="s">
        <v>14</v>
      </c>
      <c r="B19" s="20">
        <v>44365.0</v>
      </c>
      <c r="C19" s="21">
        <v>23000.0</v>
      </c>
      <c r="D19" s="21">
        <v>41000.0</v>
      </c>
      <c r="E19" s="22"/>
      <c r="F19" s="22"/>
      <c r="G19" s="22"/>
      <c r="H19" s="22"/>
      <c r="I19" s="23">
        <v>1.0</v>
      </c>
      <c r="J19" s="14">
        <v>50000.0</v>
      </c>
      <c r="K19" s="15">
        <v>23000.0</v>
      </c>
      <c r="L19" s="7"/>
      <c r="M19" s="36"/>
      <c r="N19" s="37"/>
      <c r="O19" s="7"/>
      <c r="P19" s="7"/>
      <c r="Q19" s="7"/>
    </row>
    <row r="20">
      <c r="A20" s="9" t="s">
        <v>15</v>
      </c>
      <c r="B20" s="10">
        <v>44366.0</v>
      </c>
      <c r="C20" s="11">
        <v>14000.0</v>
      </c>
      <c r="D20" s="11">
        <v>39000.0</v>
      </c>
      <c r="E20" s="12"/>
      <c r="F20" s="12"/>
      <c r="G20" s="12"/>
      <c r="H20" s="12"/>
      <c r="I20" s="13">
        <v>1.0</v>
      </c>
      <c r="J20" s="14">
        <v>50000.0</v>
      </c>
      <c r="K20" s="38">
        <v>14000.0</v>
      </c>
      <c r="L20" s="7"/>
      <c r="M20" s="7"/>
      <c r="N20" s="7"/>
      <c r="O20" s="7"/>
      <c r="P20" s="7"/>
      <c r="Q20" s="7"/>
    </row>
    <row r="21">
      <c r="A21" s="9" t="s">
        <v>16</v>
      </c>
      <c r="B21" s="10">
        <v>44367.0</v>
      </c>
      <c r="C21" s="11">
        <v>19000.0</v>
      </c>
      <c r="D21" s="11">
        <v>28000.0</v>
      </c>
      <c r="E21" s="39"/>
      <c r="F21" s="12"/>
      <c r="G21" s="12"/>
      <c r="H21" s="12"/>
      <c r="I21" s="13">
        <v>1.0</v>
      </c>
      <c r="J21" s="14">
        <v>50000.0</v>
      </c>
      <c r="K21" s="38">
        <v>19000.0</v>
      </c>
      <c r="L21" s="7"/>
      <c r="M21" s="7"/>
      <c r="N21" s="7"/>
      <c r="O21" s="7"/>
      <c r="P21" s="7"/>
      <c r="Q21" s="7"/>
    </row>
    <row r="22">
      <c r="A22" s="9" t="s">
        <v>17</v>
      </c>
      <c r="B22" s="10">
        <v>44368.0</v>
      </c>
      <c r="C22" s="11">
        <v>21000.0</v>
      </c>
      <c r="D22" s="11">
        <v>20000.0</v>
      </c>
      <c r="E22" s="12"/>
      <c r="F22" s="12"/>
      <c r="G22" s="12"/>
      <c r="H22" s="12"/>
      <c r="I22" s="13">
        <v>1.0</v>
      </c>
      <c r="J22" s="14">
        <v>50000.0</v>
      </c>
      <c r="K22" s="15">
        <v>21000.0</v>
      </c>
      <c r="L22" s="7"/>
      <c r="M22" s="7"/>
      <c r="N22" s="7"/>
      <c r="O22" s="7"/>
      <c r="P22" s="7"/>
      <c r="Q22" s="7"/>
    </row>
    <row r="23">
      <c r="A23" s="9" t="s">
        <v>11</v>
      </c>
      <c r="B23" s="10">
        <v>44369.0</v>
      </c>
      <c r="C23" s="11">
        <v>31000.0</v>
      </c>
      <c r="D23" s="11">
        <v>21000.0</v>
      </c>
      <c r="E23" s="40"/>
      <c r="F23" s="40"/>
      <c r="G23" s="40"/>
      <c r="H23" s="40"/>
      <c r="I23" s="13">
        <v>1.0</v>
      </c>
      <c r="J23" s="14">
        <v>50000.0</v>
      </c>
      <c r="K23" s="15">
        <v>31000.0</v>
      </c>
      <c r="L23" s="7"/>
      <c r="M23" s="7"/>
      <c r="N23" s="7"/>
      <c r="O23" s="7"/>
      <c r="P23" s="41" t="s">
        <v>25</v>
      </c>
      <c r="Q23" s="42">
        <f>M12-M15-M16-M17</f>
        <v>286720</v>
      </c>
    </row>
    <row r="24">
      <c r="A24" s="9" t="s">
        <v>12</v>
      </c>
      <c r="B24" s="10">
        <v>44370.0</v>
      </c>
      <c r="C24" s="11">
        <v>28000.0</v>
      </c>
      <c r="D24" s="11">
        <v>25000.0</v>
      </c>
      <c r="E24" s="40"/>
      <c r="F24" s="40"/>
      <c r="G24" s="40"/>
      <c r="H24" s="40"/>
      <c r="I24" s="13">
        <v>1.0</v>
      </c>
      <c r="J24" s="14">
        <v>50000.0</v>
      </c>
      <c r="K24" s="15">
        <v>28000.0</v>
      </c>
      <c r="L24" s="7"/>
      <c r="M24" s="7"/>
      <c r="N24" s="7"/>
      <c r="O24" s="7"/>
      <c r="P24" s="41" t="s">
        <v>26</v>
      </c>
      <c r="Q24" s="14">
        <v>32000.0</v>
      </c>
    </row>
    <row r="25">
      <c r="A25" s="9" t="s">
        <v>13</v>
      </c>
      <c r="B25" s="10">
        <v>44371.0</v>
      </c>
      <c r="C25" s="11">
        <v>27000.0</v>
      </c>
      <c r="D25" s="11">
        <v>30000.0</v>
      </c>
      <c r="E25" s="40"/>
      <c r="F25" s="40"/>
      <c r="G25" s="40"/>
      <c r="H25" s="40"/>
      <c r="I25" s="13">
        <v>1.0</v>
      </c>
      <c r="J25" s="14">
        <v>50000.0</v>
      </c>
      <c r="K25" s="15">
        <v>27000.0</v>
      </c>
      <c r="L25" s="7"/>
      <c r="M25" s="7"/>
      <c r="N25" s="7"/>
      <c r="O25" s="7"/>
      <c r="P25" s="41" t="s">
        <v>27</v>
      </c>
      <c r="Q25" s="14">
        <v>270000.0</v>
      </c>
    </row>
    <row r="26">
      <c r="A26" s="19" t="s">
        <v>14</v>
      </c>
      <c r="B26" s="20">
        <v>44372.0</v>
      </c>
      <c r="C26" s="21">
        <v>18000.0</v>
      </c>
      <c r="D26" s="21">
        <v>32000.0</v>
      </c>
      <c r="E26" s="22"/>
      <c r="F26" s="22"/>
      <c r="G26" s="22"/>
      <c r="H26" s="22"/>
      <c r="I26" s="23">
        <v>1.0</v>
      </c>
      <c r="J26" s="14">
        <v>50000.0</v>
      </c>
      <c r="K26" s="38">
        <v>18000.0</v>
      </c>
      <c r="L26" s="7"/>
      <c r="M26" s="7"/>
      <c r="N26" s="7"/>
      <c r="O26" s="7"/>
      <c r="P26" s="43" t="s">
        <v>28</v>
      </c>
      <c r="Q26" s="36">
        <v>250000.0</v>
      </c>
    </row>
    <row r="27">
      <c r="A27" s="9" t="s">
        <v>15</v>
      </c>
      <c r="B27" s="10">
        <v>44373.0</v>
      </c>
      <c r="C27" s="11">
        <v>12000.0</v>
      </c>
      <c r="D27" s="11">
        <v>29000.0</v>
      </c>
      <c r="E27" s="40"/>
      <c r="F27" s="40"/>
      <c r="G27" s="40"/>
      <c r="H27" s="40"/>
      <c r="I27" s="13">
        <v>1.0</v>
      </c>
      <c r="J27" s="14">
        <v>50000.0</v>
      </c>
      <c r="K27" s="38">
        <v>12000.0</v>
      </c>
      <c r="L27" s="7"/>
      <c r="M27" s="7"/>
      <c r="N27" s="7"/>
      <c r="O27" s="7"/>
      <c r="P27" s="33"/>
      <c r="Q27" s="42">
        <f>Q25+Q24-Q23-Q26</f>
        <v>-234720</v>
      </c>
    </row>
    <row r="28">
      <c r="A28" s="9" t="s">
        <v>16</v>
      </c>
      <c r="B28" s="10">
        <v>44374.0</v>
      </c>
      <c r="C28" s="11">
        <v>12000.0</v>
      </c>
      <c r="D28" s="11">
        <v>47000.0</v>
      </c>
      <c r="E28" s="12"/>
      <c r="F28" s="12"/>
      <c r="G28" s="12"/>
      <c r="H28" s="12"/>
      <c r="I28" s="13">
        <v>1.0</v>
      </c>
      <c r="J28" s="14">
        <v>50000.0</v>
      </c>
      <c r="K28" s="38">
        <v>12000.0</v>
      </c>
      <c r="L28" s="44"/>
      <c r="M28" s="7"/>
      <c r="N28" s="7"/>
      <c r="O28" s="7"/>
      <c r="P28" s="7"/>
      <c r="Q28" s="7"/>
    </row>
    <row r="29">
      <c r="A29" s="9" t="s">
        <v>17</v>
      </c>
      <c r="B29" s="10">
        <v>44375.0</v>
      </c>
      <c r="C29" s="11">
        <v>0.0</v>
      </c>
      <c r="D29" s="11">
        <v>26000.0</v>
      </c>
      <c r="E29" s="12"/>
      <c r="F29" s="12"/>
      <c r="G29" s="12"/>
      <c r="H29" s="12"/>
      <c r="I29" s="13">
        <v>1.0</v>
      </c>
      <c r="J29" s="14">
        <v>50000.0</v>
      </c>
      <c r="K29" s="45">
        <v>0.0</v>
      </c>
      <c r="L29" s="44" t="s">
        <v>29</v>
      </c>
      <c r="M29" s="7"/>
      <c r="N29" s="7"/>
      <c r="O29" s="7"/>
      <c r="P29" s="7"/>
      <c r="Q29" s="7"/>
    </row>
    <row r="30">
      <c r="A30" s="9" t="s">
        <v>11</v>
      </c>
      <c r="B30" s="10">
        <v>44376.0</v>
      </c>
      <c r="C30" s="11">
        <v>0.0</v>
      </c>
      <c r="D30" s="11">
        <v>31000.0</v>
      </c>
      <c r="E30" s="12"/>
      <c r="F30" s="12"/>
      <c r="G30" s="12"/>
      <c r="H30" s="12"/>
      <c r="I30" s="13">
        <v>1.0</v>
      </c>
      <c r="J30" s="14">
        <v>50000.0</v>
      </c>
      <c r="K30" s="46">
        <v>0.0</v>
      </c>
      <c r="L30" s="7"/>
      <c r="M30" s="7"/>
      <c r="N30" s="7"/>
      <c r="O30" s="7"/>
      <c r="P30" s="7"/>
      <c r="Q30" s="7"/>
    </row>
    <row r="31">
      <c r="A31" s="9" t="s">
        <v>12</v>
      </c>
      <c r="B31" s="10">
        <v>44377.0</v>
      </c>
      <c r="C31" s="11">
        <v>0.0</v>
      </c>
      <c r="D31" s="11">
        <v>24000.0</v>
      </c>
      <c r="E31" s="12"/>
      <c r="F31" s="12"/>
      <c r="G31" s="12"/>
      <c r="H31" s="12"/>
      <c r="I31" s="13">
        <v>1.0</v>
      </c>
      <c r="J31" s="14">
        <v>50000.0</v>
      </c>
      <c r="K31" s="46">
        <v>0.0</v>
      </c>
      <c r="L31" s="7"/>
      <c r="M31" s="7"/>
      <c r="N31" s="7"/>
      <c r="O31" s="7"/>
      <c r="P31" s="7"/>
      <c r="Q31" s="7"/>
    </row>
    <row r="32">
      <c r="A32" s="1"/>
      <c r="B32" s="47"/>
      <c r="C32" s="48">
        <f t="shared" ref="C32:D32" si="1">SUM(C2:C31)</f>
        <v>971000</v>
      </c>
      <c r="D32" s="49">
        <f t="shared" si="1"/>
        <v>960000</v>
      </c>
      <c r="E32" s="50">
        <f>'Charges '!G322*1</f>
        <v>485380</v>
      </c>
      <c r="F32" s="51">
        <f>Salaires!J27*1</f>
        <v>304537</v>
      </c>
      <c r="G32" s="52">
        <v>50000.0</v>
      </c>
      <c r="H32" s="48">
        <f>D32+'Charges '!G323-E32-F32-G32</f>
        <v>140083</v>
      </c>
      <c r="I32" s="53">
        <f t="shared" ref="I32:K32" si="2">SUM(I2:I31)</f>
        <v>30</v>
      </c>
      <c r="J32" s="54">
        <f t="shared" si="2"/>
        <v>1500000</v>
      </c>
      <c r="K32" s="55">
        <f t="shared" si="2"/>
        <v>971000</v>
      </c>
      <c r="L32" s="7"/>
      <c r="M32" s="7"/>
      <c r="N32" s="7"/>
      <c r="O32" s="7"/>
      <c r="P32" s="7"/>
      <c r="Q32" s="7"/>
    </row>
    <row r="33">
      <c r="A33" s="7"/>
      <c r="B33" s="7"/>
      <c r="C33" s="7"/>
      <c r="D33" s="7"/>
      <c r="E33" s="1"/>
      <c r="F33" s="1"/>
      <c r="G33" s="1"/>
      <c r="H33" s="1"/>
      <c r="I33" s="7"/>
      <c r="J33" s="7"/>
      <c r="K33" s="7"/>
      <c r="L33" s="7"/>
      <c r="M33" s="7"/>
      <c r="N33" s="7"/>
      <c r="O33" s="7"/>
      <c r="P33" s="7"/>
      <c r="Q33" s="7"/>
    </row>
    <row r="34">
      <c r="A34" s="7"/>
      <c r="B34" s="7"/>
      <c r="C34" s="56" t="s">
        <v>8</v>
      </c>
      <c r="D34" s="42">
        <v>1365000.0</v>
      </c>
      <c r="E34" s="42">
        <v>500000.0</v>
      </c>
      <c r="F34" s="42">
        <v>215000.0</v>
      </c>
      <c r="G34" s="42">
        <v>50000.0</v>
      </c>
      <c r="H34" s="42">
        <v>600000.0</v>
      </c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57" t="s">
        <v>30</v>
      </c>
      <c r="D35" s="58">
        <v>971000.0</v>
      </c>
      <c r="E35" s="46">
        <v>461000.0</v>
      </c>
      <c r="F35" s="59">
        <v>199000.0</v>
      </c>
      <c r="G35" s="38">
        <v>50000.0</v>
      </c>
      <c r="H35" s="60">
        <v>280000.0</v>
      </c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L38" s="7"/>
      <c r="M38" s="7"/>
      <c r="N38" s="7"/>
      <c r="O38" s="7"/>
      <c r="P38" s="7"/>
      <c r="Q38" s="7"/>
    </row>
    <row r="39">
      <c r="L39" s="7"/>
      <c r="M39" s="7"/>
      <c r="N39" s="7"/>
      <c r="O39" s="7"/>
      <c r="P39" s="7"/>
      <c r="Q39" s="7"/>
    </row>
    <row r="40">
      <c r="L40" s="7"/>
      <c r="M40" s="7"/>
      <c r="N40" s="7"/>
      <c r="O40" s="7"/>
      <c r="P40" s="7"/>
      <c r="Q4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9.38"/>
    <col customWidth="1" min="5" max="5" width="25.38"/>
    <col customWidth="1" min="6" max="6" width="25.63"/>
    <col customWidth="1" min="7" max="7" width="17.25"/>
    <col customWidth="1" min="8" max="8" width="35.63"/>
    <col customWidth="1" min="10" max="10" width="20.88"/>
  </cols>
  <sheetData>
    <row r="3">
      <c r="D3" s="61" t="s">
        <v>31</v>
      </c>
      <c r="E3" s="61" t="s">
        <v>32</v>
      </c>
      <c r="F3" s="61" t="s">
        <v>33</v>
      </c>
      <c r="G3" s="61" t="s">
        <v>34</v>
      </c>
      <c r="H3" s="61" t="s">
        <v>35</v>
      </c>
    </row>
    <row r="4">
      <c r="D4" s="62" t="s">
        <v>36</v>
      </c>
      <c r="E4" s="63">
        <v>1.0</v>
      </c>
      <c r="F4" s="64">
        <v>1500.0</v>
      </c>
      <c r="G4" s="64">
        <v>1500.0</v>
      </c>
      <c r="H4" s="65">
        <v>44348.0</v>
      </c>
    </row>
    <row r="5">
      <c r="D5" s="63" t="s">
        <v>37</v>
      </c>
      <c r="E5" s="66">
        <v>2.0</v>
      </c>
      <c r="F5" s="64">
        <v>3400.0</v>
      </c>
      <c r="G5" s="67">
        <v>6800.0</v>
      </c>
      <c r="H5" s="65">
        <v>44348.0</v>
      </c>
    </row>
    <row r="6">
      <c r="D6" s="63" t="s">
        <v>38</v>
      </c>
      <c r="E6" s="63">
        <v>2.0</v>
      </c>
      <c r="F6" s="64">
        <v>1950.0</v>
      </c>
      <c r="G6" s="64">
        <v>1950.0</v>
      </c>
      <c r="H6" s="65">
        <v>44348.0</v>
      </c>
    </row>
    <row r="7">
      <c r="D7" s="63" t="s">
        <v>39</v>
      </c>
      <c r="E7" s="63">
        <v>1.0</v>
      </c>
      <c r="F7" s="64">
        <v>700.0</v>
      </c>
      <c r="G7" s="64">
        <v>700.0</v>
      </c>
      <c r="H7" s="65">
        <v>44348.0</v>
      </c>
    </row>
    <row r="8">
      <c r="D8" s="63" t="s">
        <v>40</v>
      </c>
      <c r="E8" s="63">
        <v>1.0</v>
      </c>
      <c r="F8" s="64">
        <v>600.0</v>
      </c>
      <c r="G8" s="64">
        <v>600.0</v>
      </c>
      <c r="H8" s="65">
        <v>44348.0</v>
      </c>
    </row>
    <row r="9">
      <c r="D9" s="63" t="s">
        <v>41</v>
      </c>
      <c r="E9" s="63">
        <v>2.0</v>
      </c>
      <c r="F9" s="64">
        <v>1400.0</v>
      </c>
      <c r="G9" s="64">
        <v>2800.0</v>
      </c>
      <c r="H9" s="65">
        <v>44348.0</v>
      </c>
    </row>
    <row r="10">
      <c r="D10" s="63" t="s">
        <v>42</v>
      </c>
      <c r="E10" s="63">
        <v>2.0</v>
      </c>
      <c r="F10" s="64">
        <v>1000.0</v>
      </c>
      <c r="G10" s="64">
        <v>2000.0</v>
      </c>
      <c r="H10" s="65">
        <v>44348.0</v>
      </c>
    </row>
    <row r="11">
      <c r="D11" s="63" t="s">
        <v>43</v>
      </c>
      <c r="E11" s="63">
        <v>1.0</v>
      </c>
      <c r="F11" s="64">
        <v>1000.0</v>
      </c>
      <c r="G11" s="64">
        <v>1000.0</v>
      </c>
      <c r="H11" s="65">
        <v>44348.0</v>
      </c>
    </row>
    <row r="12">
      <c r="D12" s="63" t="s">
        <v>44</v>
      </c>
      <c r="E12" s="63">
        <v>1.0</v>
      </c>
      <c r="F12" s="64">
        <v>600.0</v>
      </c>
      <c r="G12" s="64">
        <v>600.0</v>
      </c>
      <c r="H12" s="65">
        <v>44348.0</v>
      </c>
    </row>
    <row r="13">
      <c r="D13" s="63" t="s">
        <v>45</v>
      </c>
      <c r="E13" s="63">
        <v>1.0</v>
      </c>
      <c r="F13" s="64">
        <v>250.0</v>
      </c>
      <c r="G13" s="64">
        <v>250.0</v>
      </c>
      <c r="H13" s="65">
        <v>44348.0</v>
      </c>
    </row>
    <row r="14">
      <c r="D14" s="63" t="s">
        <v>46</v>
      </c>
      <c r="E14" s="63">
        <v>2.0</v>
      </c>
      <c r="F14" s="64">
        <v>25.0</v>
      </c>
      <c r="G14" s="64">
        <v>50.0</v>
      </c>
      <c r="H14" s="65">
        <v>44348.0</v>
      </c>
    </row>
    <row r="15">
      <c r="D15" s="63" t="s">
        <v>47</v>
      </c>
      <c r="E15" s="12"/>
      <c r="F15" s="68"/>
      <c r="G15" s="64">
        <v>13700.0</v>
      </c>
      <c r="H15" s="65">
        <v>44348.0</v>
      </c>
    </row>
    <row r="16">
      <c r="D16" s="69" t="s">
        <v>48</v>
      </c>
      <c r="E16" s="69">
        <v>7.0</v>
      </c>
      <c r="F16" s="70">
        <v>1400.0</v>
      </c>
      <c r="G16" s="70">
        <v>9800.0</v>
      </c>
      <c r="H16" s="65">
        <v>44348.0</v>
      </c>
    </row>
    <row r="17">
      <c r="D17" s="69" t="s">
        <v>49</v>
      </c>
      <c r="E17" s="57">
        <v>4.0</v>
      </c>
      <c r="F17" s="71">
        <v>1100.0</v>
      </c>
      <c r="G17" s="71">
        <v>4400.0</v>
      </c>
      <c r="H17" s="65">
        <v>44348.0</v>
      </c>
    </row>
    <row r="18">
      <c r="D18" s="57" t="s">
        <v>50</v>
      </c>
      <c r="E18" s="57" t="s">
        <v>51</v>
      </c>
      <c r="F18" s="71">
        <v>72.0</v>
      </c>
      <c r="G18" s="71">
        <v>5400.0</v>
      </c>
      <c r="H18" s="65">
        <v>44348.0</v>
      </c>
    </row>
    <row r="19">
      <c r="D19" s="69" t="s">
        <v>52</v>
      </c>
      <c r="E19" s="57" t="s">
        <v>53</v>
      </c>
      <c r="F19" s="70">
        <v>450.0</v>
      </c>
      <c r="G19" s="71">
        <v>2700.0</v>
      </c>
      <c r="H19" s="65">
        <v>44348.0</v>
      </c>
    </row>
    <row r="20">
      <c r="D20" s="69" t="s">
        <v>54</v>
      </c>
      <c r="E20" s="57" t="s">
        <v>55</v>
      </c>
      <c r="F20" s="70">
        <v>1040.0</v>
      </c>
      <c r="G20" s="71">
        <v>2080.0</v>
      </c>
      <c r="H20" s="65">
        <v>44348.0</v>
      </c>
    </row>
    <row r="21">
      <c r="D21" s="69" t="s">
        <v>56</v>
      </c>
      <c r="E21" s="57" t="s">
        <v>57</v>
      </c>
      <c r="F21" s="70">
        <v>280.0</v>
      </c>
      <c r="G21" s="71">
        <v>2800.0</v>
      </c>
      <c r="H21" s="65">
        <v>44348.0</v>
      </c>
    </row>
    <row r="22">
      <c r="D22" s="57" t="s">
        <v>58</v>
      </c>
      <c r="E22" s="57" t="s">
        <v>59</v>
      </c>
      <c r="F22" s="71">
        <v>200.0</v>
      </c>
      <c r="G22" s="71">
        <v>5000.0</v>
      </c>
      <c r="H22" s="65">
        <v>44348.0</v>
      </c>
    </row>
    <row r="23">
      <c r="D23" s="57" t="s">
        <v>60</v>
      </c>
      <c r="E23" s="57" t="s">
        <v>61</v>
      </c>
      <c r="F23" s="71">
        <v>1100.0</v>
      </c>
      <c r="G23" s="71">
        <v>1100.0</v>
      </c>
      <c r="H23" s="65">
        <v>44348.0</v>
      </c>
    </row>
    <row r="24">
      <c r="D24" s="57" t="s">
        <v>62</v>
      </c>
      <c r="E24" s="57" t="s">
        <v>61</v>
      </c>
      <c r="F24" s="71">
        <v>1600.0</v>
      </c>
      <c r="G24" s="71">
        <v>1600.0</v>
      </c>
      <c r="H24" s="65">
        <v>44348.0</v>
      </c>
    </row>
    <row r="25">
      <c r="D25" s="57" t="s">
        <v>63</v>
      </c>
      <c r="E25" s="57" t="s">
        <v>64</v>
      </c>
      <c r="F25" s="71">
        <v>1400.0</v>
      </c>
      <c r="G25" s="71">
        <v>1400.0</v>
      </c>
      <c r="H25" s="65">
        <v>44348.0</v>
      </c>
    </row>
    <row r="26">
      <c r="D26" s="57" t="s">
        <v>65</v>
      </c>
      <c r="E26" s="57">
        <v>1.0</v>
      </c>
      <c r="F26" s="71">
        <v>950.0</v>
      </c>
      <c r="G26" s="71">
        <v>950.0</v>
      </c>
      <c r="H26" s="65">
        <v>44348.0</v>
      </c>
    </row>
    <row r="27">
      <c r="D27" s="57" t="s">
        <v>66</v>
      </c>
      <c r="E27" s="57">
        <v>1.0</v>
      </c>
      <c r="F27" s="71">
        <v>720.0</v>
      </c>
      <c r="G27" s="71">
        <v>720.0</v>
      </c>
      <c r="H27" s="65">
        <v>44348.0</v>
      </c>
    </row>
    <row r="28">
      <c r="D28" s="57" t="s">
        <v>67</v>
      </c>
      <c r="E28" s="57" t="s">
        <v>68</v>
      </c>
      <c r="F28" s="71">
        <v>1670.0</v>
      </c>
      <c r="G28" s="71">
        <v>8350.0</v>
      </c>
      <c r="H28" s="65">
        <v>44348.0</v>
      </c>
    </row>
    <row r="29">
      <c r="D29" s="57" t="s">
        <v>69</v>
      </c>
      <c r="E29" s="57">
        <v>2.0</v>
      </c>
      <c r="F29" s="71">
        <v>520.0</v>
      </c>
      <c r="G29" s="71">
        <v>1040.0</v>
      </c>
      <c r="H29" s="65">
        <v>44348.0</v>
      </c>
    </row>
    <row r="30">
      <c r="D30" s="57" t="s">
        <v>70</v>
      </c>
      <c r="E30" s="57">
        <v>1.0</v>
      </c>
      <c r="F30" s="71">
        <v>2040.0</v>
      </c>
      <c r="G30" s="71">
        <v>2040.0</v>
      </c>
      <c r="H30" s="65">
        <v>44348.0</v>
      </c>
    </row>
    <row r="31">
      <c r="D31" s="57" t="s">
        <v>71</v>
      </c>
      <c r="E31" s="57" t="s">
        <v>72</v>
      </c>
      <c r="F31" s="71">
        <v>650.0</v>
      </c>
      <c r="G31" s="71">
        <v>3250.0</v>
      </c>
      <c r="H31" s="65">
        <v>44348.0</v>
      </c>
    </row>
    <row r="32">
      <c r="D32" s="57" t="s">
        <v>73</v>
      </c>
      <c r="E32" s="57" t="s">
        <v>61</v>
      </c>
      <c r="F32" s="71">
        <v>2040.0</v>
      </c>
      <c r="G32" s="71">
        <v>2040.0</v>
      </c>
      <c r="H32" s="65">
        <v>44348.0</v>
      </c>
    </row>
    <row r="33">
      <c r="D33" s="57" t="s">
        <v>74</v>
      </c>
      <c r="E33" s="57">
        <v>4.0</v>
      </c>
      <c r="F33" s="71">
        <v>200.0</v>
      </c>
      <c r="G33" s="71">
        <v>800.0</v>
      </c>
      <c r="H33" s="65">
        <v>44348.0</v>
      </c>
    </row>
    <row r="34">
      <c r="D34" s="57" t="s">
        <v>75</v>
      </c>
      <c r="E34" s="57" t="s">
        <v>76</v>
      </c>
      <c r="F34" s="71">
        <v>700.0</v>
      </c>
      <c r="G34" s="71">
        <v>700.0</v>
      </c>
      <c r="H34" s="65">
        <v>44348.0</v>
      </c>
    </row>
    <row r="35">
      <c r="D35" s="57" t="s">
        <v>77</v>
      </c>
      <c r="E35" s="57" t="s">
        <v>78</v>
      </c>
      <c r="F35" s="71">
        <v>230.0</v>
      </c>
      <c r="G35" s="71">
        <v>2940.0</v>
      </c>
      <c r="H35" s="65">
        <v>44348.0</v>
      </c>
    </row>
    <row r="36">
      <c r="D36" s="72" t="s">
        <v>79</v>
      </c>
      <c r="E36" s="72">
        <v>700.0</v>
      </c>
      <c r="F36" s="73">
        <v>50.0</v>
      </c>
      <c r="G36" s="73">
        <v>35000.0</v>
      </c>
      <c r="H36" s="74">
        <v>44348.0</v>
      </c>
    </row>
    <row r="37">
      <c r="D37" s="57" t="s">
        <v>80</v>
      </c>
      <c r="E37" s="57">
        <v>1.0</v>
      </c>
      <c r="F37" s="71">
        <v>1000.0</v>
      </c>
      <c r="G37" s="71">
        <v>1000.0</v>
      </c>
      <c r="H37" s="65">
        <v>44348.0</v>
      </c>
    </row>
    <row r="38">
      <c r="D38" s="57" t="s">
        <v>81</v>
      </c>
      <c r="E38" s="57">
        <v>6.0</v>
      </c>
      <c r="F38" s="71">
        <v>155.0</v>
      </c>
      <c r="G38" s="71">
        <v>930.0</v>
      </c>
      <c r="H38" s="65">
        <v>44348.0</v>
      </c>
    </row>
    <row r="39">
      <c r="D39" s="57" t="s">
        <v>82</v>
      </c>
      <c r="E39" s="57">
        <v>6.0</v>
      </c>
      <c r="F39" s="71">
        <v>135.0</v>
      </c>
      <c r="G39" s="71">
        <v>810.0</v>
      </c>
      <c r="H39" s="65">
        <v>44348.0</v>
      </c>
    </row>
    <row r="40">
      <c r="D40" s="57" t="s">
        <v>83</v>
      </c>
      <c r="E40" s="57">
        <v>1.0</v>
      </c>
      <c r="F40" s="71">
        <v>1450.0</v>
      </c>
      <c r="G40" s="71">
        <v>1450.0</v>
      </c>
      <c r="H40" s="65">
        <v>44348.0</v>
      </c>
    </row>
    <row r="41">
      <c r="D41" s="57" t="s">
        <v>84</v>
      </c>
      <c r="E41" s="57">
        <v>4.0</v>
      </c>
      <c r="F41" s="71">
        <v>510.0</v>
      </c>
      <c r="G41" s="71">
        <v>2040.0</v>
      </c>
      <c r="H41" s="65">
        <v>44348.0</v>
      </c>
    </row>
    <row r="42">
      <c r="D42" s="57" t="s">
        <v>85</v>
      </c>
      <c r="E42" s="57">
        <v>1.0</v>
      </c>
      <c r="F42" s="71">
        <v>520.0</v>
      </c>
      <c r="G42" s="71">
        <v>520.0</v>
      </c>
      <c r="H42" s="65">
        <v>44348.0</v>
      </c>
    </row>
    <row r="43">
      <c r="D43" s="57" t="s">
        <v>86</v>
      </c>
      <c r="E43" s="57">
        <v>5.0</v>
      </c>
      <c r="F43" s="71">
        <v>380.0</v>
      </c>
      <c r="G43" s="71">
        <v>1900.0</v>
      </c>
      <c r="H43" s="65">
        <v>44348.0</v>
      </c>
    </row>
    <row r="44">
      <c r="D44" s="57" t="s">
        <v>87</v>
      </c>
      <c r="E44" s="57">
        <v>1.0</v>
      </c>
      <c r="F44" s="71">
        <v>400.0</v>
      </c>
      <c r="G44" s="71">
        <v>400.0</v>
      </c>
      <c r="H44" s="65">
        <v>44348.0</v>
      </c>
    </row>
    <row r="45">
      <c r="D45" s="57" t="s">
        <v>88</v>
      </c>
      <c r="E45" s="57">
        <v>1.0</v>
      </c>
      <c r="F45" s="71">
        <v>480.0</v>
      </c>
      <c r="G45" s="71">
        <v>480.0</v>
      </c>
      <c r="H45" s="65">
        <v>44348.0</v>
      </c>
    </row>
    <row r="46">
      <c r="D46" s="72" t="s">
        <v>89</v>
      </c>
      <c r="E46" s="72">
        <v>40.0</v>
      </c>
      <c r="F46" s="73">
        <v>590.0</v>
      </c>
      <c r="G46" s="73">
        <v>23600.0</v>
      </c>
      <c r="H46" s="74">
        <v>44348.0</v>
      </c>
    </row>
    <row r="47">
      <c r="D47" s="57" t="s">
        <v>90</v>
      </c>
      <c r="E47" s="57" t="s">
        <v>91</v>
      </c>
      <c r="F47" s="71">
        <v>105.0</v>
      </c>
      <c r="G47" s="71">
        <v>1050.0</v>
      </c>
      <c r="H47" s="65">
        <v>44349.0</v>
      </c>
    </row>
    <row r="48">
      <c r="D48" s="57" t="s">
        <v>92</v>
      </c>
      <c r="E48" s="57">
        <v>10.0</v>
      </c>
      <c r="F48" s="71">
        <v>120.0</v>
      </c>
      <c r="G48" s="71">
        <v>1200.0</v>
      </c>
      <c r="H48" s="65">
        <v>44349.0</v>
      </c>
    </row>
    <row r="49">
      <c r="D49" s="57" t="s">
        <v>93</v>
      </c>
      <c r="E49" s="57" t="s">
        <v>94</v>
      </c>
      <c r="F49" s="71">
        <v>600.0</v>
      </c>
      <c r="G49" s="71">
        <v>600.0</v>
      </c>
      <c r="H49" s="65">
        <v>44349.0</v>
      </c>
    </row>
    <row r="50">
      <c r="D50" s="57" t="s">
        <v>95</v>
      </c>
      <c r="E50" s="57" t="s">
        <v>96</v>
      </c>
      <c r="F50" s="71">
        <v>280.0</v>
      </c>
      <c r="G50" s="71">
        <v>1400.0</v>
      </c>
      <c r="H50" s="65">
        <v>44349.0</v>
      </c>
    </row>
    <row r="51">
      <c r="D51" s="57" t="s">
        <v>97</v>
      </c>
      <c r="E51" s="57">
        <v>9.0</v>
      </c>
      <c r="F51" s="71">
        <v>20.0</v>
      </c>
      <c r="G51" s="71">
        <v>180.0</v>
      </c>
      <c r="H51" s="65">
        <v>44349.0</v>
      </c>
    </row>
    <row r="52">
      <c r="D52" s="57" t="s">
        <v>98</v>
      </c>
      <c r="E52" s="57" t="s">
        <v>99</v>
      </c>
      <c r="F52" s="71">
        <v>300.0</v>
      </c>
      <c r="G52" s="71">
        <v>300.0</v>
      </c>
      <c r="H52" s="65">
        <v>44349.0</v>
      </c>
    </row>
    <row r="53">
      <c r="D53" s="57" t="s">
        <v>100</v>
      </c>
      <c r="E53" s="57" t="s">
        <v>101</v>
      </c>
      <c r="F53" s="71">
        <v>100.0</v>
      </c>
      <c r="G53" s="71">
        <v>100.0</v>
      </c>
      <c r="H53" s="65">
        <v>44349.0</v>
      </c>
    </row>
    <row r="54">
      <c r="D54" s="57" t="s">
        <v>102</v>
      </c>
      <c r="E54" s="69"/>
      <c r="F54" s="71">
        <v>1000.0</v>
      </c>
      <c r="G54" s="71">
        <v>1000.0</v>
      </c>
      <c r="H54" s="65">
        <v>44349.0</v>
      </c>
    </row>
    <row r="55">
      <c r="D55" s="57" t="s">
        <v>103</v>
      </c>
      <c r="E55" s="57">
        <v>10.0</v>
      </c>
      <c r="F55" s="71">
        <v>100.0</v>
      </c>
      <c r="G55" s="71">
        <v>1000.0</v>
      </c>
      <c r="H55" s="65">
        <v>44349.0</v>
      </c>
    </row>
    <row r="56">
      <c r="D56" s="57" t="s">
        <v>93</v>
      </c>
      <c r="E56" s="57" t="s">
        <v>104</v>
      </c>
      <c r="F56" s="71">
        <v>800.0</v>
      </c>
      <c r="G56" s="71">
        <v>800.0</v>
      </c>
      <c r="H56" s="65">
        <v>44349.0</v>
      </c>
    </row>
    <row r="57">
      <c r="D57" s="57" t="s">
        <v>105</v>
      </c>
      <c r="E57" s="57" t="s">
        <v>106</v>
      </c>
      <c r="F57" s="71">
        <v>200.0</v>
      </c>
      <c r="G57" s="71">
        <v>200.0</v>
      </c>
      <c r="H57" s="65">
        <v>44349.0</v>
      </c>
    </row>
    <row r="58">
      <c r="D58" s="57" t="s">
        <v>107</v>
      </c>
      <c r="E58" s="57">
        <v>7.0</v>
      </c>
      <c r="F58" s="71">
        <v>700.0</v>
      </c>
      <c r="G58" s="71">
        <v>700.0</v>
      </c>
      <c r="H58" s="65">
        <v>44349.0</v>
      </c>
    </row>
    <row r="59">
      <c r="D59" s="57" t="s">
        <v>108</v>
      </c>
      <c r="E59" s="57" t="s">
        <v>109</v>
      </c>
      <c r="F59" s="71" t="s">
        <v>106</v>
      </c>
      <c r="G59" s="71">
        <v>500.0</v>
      </c>
      <c r="H59" s="65">
        <v>44349.0</v>
      </c>
    </row>
    <row r="60">
      <c r="D60" s="57" t="s">
        <v>110</v>
      </c>
      <c r="E60" s="57" t="s">
        <v>111</v>
      </c>
      <c r="F60" s="71">
        <v>25.0</v>
      </c>
      <c r="G60" s="71">
        <v>500.0</v>
      </c>
      <c r="H60" s="65">
        <v>44350.0</v>
      </c>
    </row>
    <row r="61">
      <c r="D61" s="57" t="s">
        <v>112</v>
      </c>
      <c r="E61" s="57">
        <v>4.0</v>
      </c>
      <c r="F61" s="71">
        <v>145.0</v>
      </c>
      <c r="G61" s="71">
        <v>580.0</v>
      </c>
      <c r="H61" s="65">
        <v>44350.0</v>
      </c>
    </row>
    <row r="62">
      <c r="D62" s="57" t="s">
        <v>103</v>
      </c>
      <c r="E62" s="57">
        <v>10.0</v>
      </c>
      <c r="F62" s="71">
        <v>100.0</v>
      </c>
      <c r="G62" s="71">
        <v>1000.0</v>
      </c>
      <c r="H62" s="65">
        <v>44350.0</v>
      </c>
    </row>
    <row r="63">
      <c r="D63" s="57" t="s">
        <v>113</v>
      </c>
      <c r="E63" s="57">
        <v>5.0</v>
      </c>
      <c r="F63" s="71">
        <v>100.0</v>
      </c>
      <c r="G63" s="71">
        <v>500.0</v>
      </c>
      <c r="H63" s="65">
        <v>44350.0</v>
      </c>
    </row>
    <row r="64">
      <c r="D64" s="57" t="s">
        <v>114</v>
      </c>
      <c r="E64" s="57" t="s">
        <v>115</v>
      </c>
      <c r="F64" s="71">
        <v>100.0</v>
      </c>
      <c r="G64" s="71">
        <v>1500.0</v>
      </c>
      <c r="H64" s="65">
        <v>44350.0</v>
      </c>
    </row>
    <row r="65">
      <c r="D65" s="57" t="s">
        <v>116</v>
      </c>
      <c r="E65" s="57" t="s">
        <v>117</v>
      </c>
      <c r="F65" s="70"/>
      <c r="G65" s="70"/>
      <c r="H65" s="69"/>
    </row>
    <row r="66">
      <c r="D66" s="57" t="s">
        <v>89</v>
      </c>
      <c r="E66" s="57">
        <v>9.0</v>
      </c>
      <c r="F66" s="71">
        <v>580.0</v>
      </c>
      <c r="G66" s="71">
        <v>5200.0</v>
      </c>
      <c r="H66" s="57" t="s">
        <v>118</v>
      </c>
    </row>
    <row r="67">
      <c r="D67" s="57" t="s">
        <v>114</v>
      </c>
      <c r="E67" s="57" t="s">
        <v>91</v>
      </c>
      <c r="F67" s="71">
        <v>100.0</v>
      </c>
      <c r="G67" s="71">
        <v>1000.0</v>
      </c>
      <c r="H67" s="65">
        <v>44351.0</v>
      </c>
    </row>
    <row r="68">
      <c r="D68" s="57" t="s">
        <v>77</v>
      </c>
      <c r="E68" s="57">
        <v>2.0</v>
      </c>
      <c r="F68" s="71">
        <v>200.0</v>
      </c>
      <c r="G68" s="71">
        <v>300.0</v>
      </c>
      <c r="H68" s="65">
        <v>44351.0</v>
      </c>
    </row>
    <row r="69">
      <c r="D69" s="57" t="s">
        <v>119</v>
      </c>
      <c r="E69" s="57" t="s">
        <v>91</v>
      </c>
      <c r="F69" s="71">
        <v>100.0</v>
      </c>
      <c r="G69" s="71">
        <v>1000.0</v>
      </c>
      <c r="H69" s="65">
        <v>44352.0</v>
      </c>
    </row>
    <row r="70">
      <c r="D70" s="57" t="s">
        <v>120</v>
      </c>
      <c r="E70" s="57" t="s">
        <v>121</v>
      </c>
      <c r="F70" s="71" t="s">
        <v>106</v>
      </c>
      <c r="G70" s="71">
        <v>1300.0</v>
      </c>
      <c r="H70" s="65">
        <v>44352.0</v>
      </c>
    </row>
    <row r="71">
      <c r="D71" s="57" t="s">
        <v>93</v>
      </c>
      <c r="E71" s="57" t="s">
        <v>76</v>
      </c>
      <c r="F71" s="71">
        <v>750.0</v>
      </c>
      <c r="G71" s="71">
        <v>750.0</v>
      </c>
      <c r="H71" s="65">
        <v>44352.0</v>
      </c>
    </row>
    <row r="72">
      <c r="D72" s="57" t="s">
        <v>122</v>
      </c>
      <c r="E72" s="57">
        <v>1.0</v>
      </c>
      <c r="F72" s="71">
        <v>400.0</v>
      </c>
      <c r="G72" s="71">
        <v>400.0</v>
      </c>
      <c r="H72" s="65">
        <v>44352.0</v>
      </c>
    </row>
    <row r="73">
      <c r="D73" s="57" t="s">
        <v>103</v>
      </c>
      <c r="E73" s="57">
        <v>5.0</v>
      </c>
      <c r="F73" s="71">
        <v>120.0</v>
      </c>
      <c r="G73" s="71">
        <v>600.0</v>
      </c>
      <c r="H73" s="65">
        <v>44352.0</v>
      </c>
    </row>
    <row r="74">
      <c r="D74" s="57" t="s">
        <v>67</v>
      </c>
      <c r="E74" s="57" t="s">
        <v>68</v>
      </c>
      <c r="F74" s="71">
        <v>1750.0</v>
      </c>
      <c r="G74" s="71">
        <v>8750.0</v>
      </c>
      <c r="H74" s="65">
        <v>44352.0</v>
      </c>
    </row>
    <row r="75">
      <c r="D75" s="57" t="s">
        <v>123</v>
      </c>
      <c r="E75" s="57">
        <v>2.0</v>
      </c>
      <c r="F75" s="71">
        <v>1000.0</v>
      </c>
      <c r="G75" s="71">
        <v>2000.0</v>
      </c>
      <c r="H75" s="65">
        <v>44352.0</v>
      </c>
    </row>
    <row r="76">
      <c r="D76" s="72" t="s">
        <v>124</v>
      </c>
      <c r="E76" s="72"/>
      <c r="F76" s="73"/>
      <c r="G76" s="73">
        <v>10560.0</v>
      </c>
      <c r="H76" s="74">
        <v>44352.0</v>
      </c>
    </row>
    <row r="77">
      <c r="D77" s="75" t="s">
        <v>125</v>
      </c>
      <c r="E77" s="76"/>
      <c r="F77" s="77"/>
      <c r="G77" s="78">
        <v>22000.0</v>
      </c>
      <c r="H77" s="79">
        <v>44352.0</v>
      </c>
    </row>
    <row r="78">
      <c r="D78" s="57" t="s">
        <v>126</v>
      </c>
      <c r="E78" s="57">
        <v>2.0</v>
      </c>
      <c r="F78" s="71">
        <v>185.0</v>
      </c>
      <c r="G78" s="71">
        <v>370.0</v>
      </c>
      <c r="H78" s="65">
        <v>44353.0</v>
      </c>
    </row>
    <row r="79">
      <c r="D79" s="57" t="s">
        <v>127</v>
      </c>
      <c r="E79" s="57">
        <v>1.0</v>
      </c>
      <c r="F79" s="71">
        <v>100.0</v>
      </c>
      <c r="G79" s="71">
        <v>100.0</v>
      </c>
      <c r="H79" s="65">
        <v>44353.0</v>
      </c>
    </row>
    <row r="80">
      <c r="D80" s="57" t="s">
        <v>128</v>
      </c>
      <c r="E80" s="57" t="s">
        <v>129</v>
      </c>
      <c r="F80" s="71">
        <v>430.0</v>
      </c>
      <c r="G80" s="71">
        <v>430.0</v>
      </c>
      <c r="H80" s="65">
        <v>44353.0</v>
      </c>
      <c r="J80" s="80" t="s">
        <v>19</v>
      </c>
      <c r="K80" s="81"/>
    </row>
    <row r="81">
      <c r="D81" s="57" t="s">
        <v>130</v>
      </c>
      <c r="E81" s="57">
        <v>4.0</v>
      </c>
      <c r="F81" s="71">
        <v>240.0</v>
      </c>
      <c r="G81" s="71">
        <v>960.0</v>
      </c>
      <c r="H81" s="65">
        <v>44353.0</v>
      </c>
      <c r="J81" s="82" t="s">
        <v>131</v>
      </c>
      <c r="K81" s="83">
        <v>1500.0</v>
      </c>
    </row>
    <row r="82">
      <c r="D82" s="57" t="s">
        <v>132</v>
      </c>
      <c r="E82" s="57">
        <v>2.0</v>
      </c>
      <c r="F82" s="71">
        <v>20.0</v>
      </c>
      <c r="G82" s="71">
        <v>40.0</v>
      </c>
      <c r="H82" s="65">
        <v>44353.0</v>
      </c>
      <c r="J82" s="82" t="s">
        <v>133</v>
      </c>
      <c r="K82" s="83">
        <v>2500.0</v>
      </c>
    </row>
    <row r="83">
      <c r="D83" s="57" t="s">
        <v>134</v>
      </c>
      <c r="E83" s="57" t="s">
        <v>106</v>
      </c>
      <c r="F83" s="71">
        <v>330.0</v>
      </c>
      <c r="G83" s="71">
        <v>330.0</v>
      </c>
      <c r="H83" s="65">
        <v>44353.0</v>
      </c>
      <c r="J83" s="82" t="s">
        <v>135</v>
      </c>
      <c r="K83" s="83">
        <v>600.0</v>
      </c>
    </row>
    <row r="84">
      <c r="D84" s="57" t="s">
        <v>136</v>
      </c>
      <c r="E84" s="57">
        <v>3.0</v>
      </c>
      <c r="F84" s="71" t="s">
        <v>106</v>
      </c>
      <c r="G84" s="71">
        <v>480.0</v>
      </c>
      <c r="H84" s="65">
        <v>44353.0</v>
      </c>
      <c r="J84" s="82" t="s">
        <v>137</v>
      </c>
      <c r="K84" s="83">
        <v>1000.0</v>
      </c>
    </row>
    <row r="85">
      <c r="D85" s="57"/>
      <c r="E85" s="57" t="s">
        <v>138</v>
      </c>
      <c r="F85" s="70"/>
      <c r="G85" s="70"/>
      <c r="H85" s="69"/>
      <c r="J85" s="82" t="s">
        <v>139</v>
      </c>
      <c r="K85" s="83">
        <v>100.0</v>
      </c>
    </row>
    <row r="86">
      <c r="D86" s="57" t="s">
        <v>140</v>
      </c>
      <c r="E86" s="57" t="s">
        <v>141</v>
      </c>
      <c r="F86" s="71">
        <v>630.0</v>
      </c>
      <c r="G86" s="71">
        <v>630.0</v>
      </c>
      <c r="H86" s="65">
        <v>44354.0</v>
      </c>
      <c r="J86" s="82" t="s">
        <v>142</v>
      </c>
      <c r="K86" s="83">
        <v>6500.0</v>
      </c>
    </row>
    <row r="87">
      <c r="D87" s="57" t="s">
        <v>128</v>
      </c>
      <c r="E87" s="57">
        <v>1.0</v>
      </c>
      <c r="F87" s="71">
        <v>790.0</v>
      </c>
      <c r="G87" s="71">
        <v>790.0</v>
      </c>
      <c r="H87" s="65">
        <v>44354.0</v>
      </c>
      <c r="J87" s="82" t="s">
        <v>143</v>
      </c>
      <c r="K87" s="83">
        <v>1600.0</v>
      </c>
    </row>
    <row r="88">
      <c r="D88" s="57" t="s">
        <v>144</v>
      </c>
      <c r="E88" s="57">
        <v>2.0</v>
      </c>
      <c r="F88" s="71">
        <v>150.0</v>
      </c>
      <c r="G88" s="71">
        <v>300.0</v>
      </c>
      <c r="H88" s="65">
        <v>44354.0</v>
      </c>
      <c r="J88" s="82" t="s">
        <v>145</v>
      </c>
      <c r="K88" s="83">
        <v>5400.0</v>
      </c>
    </row>
    <row r="89">
      <c r="D89" s="57" t="s">
        <v>146</v>
      </c>
      <c r="E89" s="57">
        <v>3.0</v>
      </c>
      <c r="F89" s="71">
        <v>100.0</v>
      </c>
      <c r="G89" s="71">
        <v>300.0</v>
      </c>
      <c r="H89" s="65">
        <v>44354.0</v>
      </c>
      <c r="J89" s="82" t="s">
        <v>147</v>
      </c>
      <c r="K89" s="83">
        <v>12000.0</v>
      </c>
    </row>
    <row r="90">
      <c r="D90" s="57" t="s">
        <v>103</v>
      </c>
      <c r="E90" s="57">
        <v>20.0</v>
      </c>
      <c r="F90" s="71">
        <v>100.0</v>
      </c>
      <c r="G90" s="71">
        <v>2000.0</v>
      </c>
      <c r="H90" s="65">
        <v>44354.0</v>
      </c>
      <c r="J90" s="82" t="s">
        <v>148</v>
      </c>
      <c r="K90" s="83">
        <v>800.0</v>
      </c>
    </row>
    <row r="91">
      <c r="D91" s="57" t="s">
        <v>97</v>
      </c>
      <c r="E91" s="57">
        <v>6.0</v>
      </c>
      <c r="F91" s="71" t="s">
        <v>106</v>
      </c>
      <c r="G91" s="71">
        <v>200.0</v>
      </c>
      <c r="H91" s="65">
        <v>44354.0</v>
      </c>
      <c r="J91" s="82" t="s">
        <v>149</v>
      </c>
      <c r="K91" s="83">
        <v>1800.0</v>
      </c>
    </row>
    <row r="92">
      <c r="D92" s="57" t="s">
        <v>150</v>
      </c>
      <c r="E92" s="57">
        <v>9.0</v>
      </c>
      <c r="F92" s="71">
        <v>15.0</v>
      </c>
      <c r="G92" s="71">
        <v>150.0</v>
      </c>
      <c r="H92" s="65">
        <v>44354.0</v>
      </c>
      <c r="J92" s="82" t="s">
        <v>151</v>
      </c>
      <c r="K92" s="83">
        <v>45000.0</v>
      </c>
    </row>
    <row r="93">
      <c r="D93" s="57" t="s">
        <v>152</v>
      </c>
      <c r="E93" s="57">
        <v>1.0</v>
      </c>
      <c r="F93" s="71">
        <v>150.0</v>
      </c>
      <c r="G93" s="71">
        <v>150.0</v>
      </c>
      <c r="H93" s="65">
        <v>44354.0</v>
      </c>
      <c r="J93" s="84"/>
      <c r="K93" s="85">
        <f>SUM(K81:K92)</f>
        <v>78800</v>
      </c>
    </row>
    <row r="94">
      <c r="D94" s="57" t="s">
        <v>153</v>
      </c>
      <c r="E94" s="57">
        <v>1.0</v>
      </c>
      <c r="F94" s="71">
        <v>50.0</v>
      </c>
      <c r="G94" s="71">
        <v>50.0</v>
      </c>
      <c r="H94" s="65">
        <v>44354.0</v>
      </c>
    </row>
    <row r="95">
      <c r="D95" s="57" t="s">
        <v>154</v>
      </c>
      <c r="E95" s="57">
        <v>1.0</v>
      </c>
      <c r="F95" s="71">
        <v>80.0</v>
      </c>
      <c r="G95" s="71">
        <v>80.0</v>
      </c>
      <c r="H95" s="65">
        <v>44354.0</v>
      </c>
    </row>
    <row r="96">
      <c r="D96" s="57" t="s">
        <v>155</v>
      </c>
      <c r="E96" s="57" t="s">
        <v>156</v>
      </c>
      <c r="F96" s="71">
        <v>1400.0</v>
      </c>
      <c r="G96" s="71">
        <v>3155.0</v>
      </c>
      <c r="H96" s="65">
        <v>44354.0</v>
      </c>
    </row>
    <row r="97">
      <c r="D97" s="57" t="s">
        <v>144</v>
      </c>
      <c r="E97" s="57">
        <v>9.0</v>
      </c>
      <c r="F97" s="71">
        <v>165.0</v>
      </c>
      <c r="G97" s="71">
        <v>1485.0</v>
      </c>
      <c r="H97" s="65">
        <v>44354.0</v>
      </c>
    </row>
    <row r="98">
      <c r="D98" s="57" t="s">
        <v>157</v>
      </c>
      <c r="E98" s="57">
        <v>1.0</v>
      </c>
      <c r="F98" s="71">
        <v>540.0</v>
      </c>
      <c r="G98" s="71">
        <v>540.0</v>
      </c>
      <c r="H98" s="65">
        <v>44354.0</v>
      </c>
    </row>
    <row r="99">
      <c r="D99" s="57" t="s">
        <v>158</v>
      </c>
      <c r="E99" s="57">
        <v>1.0</v>
      </c>
      <c r="F99" s="71">
        <v>320.0</v>
      </c>
      <c r="G99" s="71">
        <v>320.0</v>
      </c>
      <c r="H99" s="65">
        <v>44354.0</v>
      </c>
    </row>
    <row r="100">
      <c r="D100" s="57" t="s">
        <v>159</v>
      </c>
      <c r="E100" s="57">
        <v>2.0</v>
      </c>
      <c r="F100" s="71">
        <v>1250.0</v>
      </c>
      <c r="G100" s="71">
        <v>2500.0</v>
      </c>
      <c r="H100" s="65">
        <v>44354.0</v>
      </c>
    </row>
    <row r="101">
      <c r="D101" s="57" t="s">
        <v>160</v>
      </c>
      <c r="E101" s="57">
        <v>1.0</v>
      </c>
      <c r="F101" s="71">
        <v>1300.0</v>
      </c>
      <c r="G101" s="71">
        <v>1300.0</v>
      </c>
      <c r="H101" s="65">
        <v>44354.0</v>
      </c>
    </row>
    <row r="102">
      <c r="D102" s="57" t="s">
        <v>161</v>
      </c>
      <c r="E102" s="57">
        <v>1.0</v>
      </c>
      <c r="F102" s="71">
        <v>1600.0</v>
      </c>
      <c r="G102" s="71">
        <v>1600.0</v>
      </c>
      <c r="H102" s="65">
        <v>44354.0</v>
      </c>
    </row>
    <row r="103">
      <c r="D103" s="57" t="s">
        <v>162</v>
      </c>
      <c r="E103" s="57">
        <v>1.0</v>
      </c>
      <c r="F103" s="71">
        <v>1920.0</v>
      </c>
      <c r="G103" s="71">
        <v>1920.0</v>
      </c>
      <c r="H103" s="65">
        <v>44354.0</v>
      </c>
    </row>
    <row r="104">
      <c r="D104" s="57" t="s">
        <v>43</v>
      </c>
      <c r="E104" s="57">
        <v>1.0</v>
      </c>
      <c r="F104" s="71">
        <v>1100.0</v>
      </c>
      <c r="G104" s="71">
        <v>1100.0</v>
      </c>
      <c r="H104" s="65">
        <v>44354.0</v>
      </c>
    </row>
    <row r="105">
      <c r="D105" s="57" t="s">
        <v>163</v>
      </c>
      <c r="E105" s="57">
        <v>1.0</v>
      </c>
      <c r="F105" s="71">
        <v>150.0</v>
      </c>
      <c r="G105" s="71">
        <v>150.0</v>
      </c>
      <c r="H105" s="65">
        <v>44354.0</v>
      </c>
    </row>
    <row r="106">
      <c r="D106" s="57" t="s">
        <v>164</v>
      </c>
      <c r="E106" s="57">
        <v>7.0</v>
      </c>
      <c r="F106" s="71">
        <v>1200.0</v>
      </c>
      <c r="G106" s="71">
        <v>8400.0</v>
      </c>
      <c r="H106" s="65">
        <v>44354.0</v>
      </c>
    </row>
    <row r="107">
      <c r="D107" s="57" t="s">
        <v>165</v>
      </c>
      <c r="E107" s="57">
        <v>9.0</v>
      </c>
      <c r="F107" s="71">
        <v>1100.0</v>
      </c>
      <c r="G107" s="71">
        <v>9900.0</v>
      </c>
      <c r="H107" s="65">
        <v>44354.0</v>
      </c>
    </row>
    <row r="108">
      <c r="D108" s="57" t="s">
        <v>93</v>
      </c>
      <c r="E108" s="57" t="s">
        <v>76</v>
      </c>
      <c r="F108" s="71">
        <v>600.0</v>
      </c>
      <c r="G108" s="71">
        <v>600.0</v>
      </c>
      <c r="H108" s="65">
        <v>44354.0</v>
      </c>
    </row>
    <row r="109">
      <c r="D109" s="57" t="s">
        <v>93</v>
      </c>
      <c r="E109" s="57" t="s">
        <v>76</v>
      </c>
      <c r="F109" s="71">
        <v>750.0</v>
      </c>
      <c r="G109" s="71">
        <v>750.0</v>
      </c>
      <c r="H109" s="65">
        <v>44354.0</v>
      </c>
    </row>
    <row r="110">
      <c r="D110" s="57" t="s">
        <v>166</v>
      </c>
      <c r="E110" s="57" t="s">
        <v>106</v>
      </c>
      <c r="F110" s="71" t="s">
        <v>106</v>
      </c>
      <c r="G110" s="71">
        <v>1300.0</v>
      </c>
      <c r="H110" s="65">
        <v>44354.0</v>
      </c>
    </row>
    <row r="111">
      <c r="D111" s="57" t="s">
        <v>167</v>
      </c>
      <c r="E111" s="57" t="s">
        <v>106</v>
      </c>
      <c r="F111" s="71" t="s">
        <v>106</v>
      </c>
      <c r="G111" s="71">
        <v>200.0</v>
      </c>
      <c r="H111" s="65">
        <v>44354.0</v>
      </c>
    </row>
    <row r="112">
      <c r="D112" s="57" t="s">
        <v>168</v>
      </c>
      <c r="E112" s="57" t="s">
        <v>169</v>
      </c>
      <c r="F112" s="71">
        <v>170.0</v>
      </c>
      <c r="G112" s="71">
        <v>2000.0</v>
      </c>
      <c r="H112" s="65">
        <v>44354.0</v>
      </c>
    </row>
    <row r="113">
      <c r="D113" s="57" t="s">
        <v>170</v>
      </c>
      <c r="E113" s="57" t="s">
        <v>171</v>
      </c>
      <c r="F113" s="71">
        <v>240.0</v>
      </c>
      <c r="G113" s="71">
        <v>480.0</v>
      </c>
      <c r="H113" s="65">
        <v>44354.0</v>
      </c>
    </row>
    <row r="114">
      <c r="D114" s="57" t="s">
        <v>90</v>
      </c>
      <c r="E114" s="57" t="s">
        <v>172</v>
      </c>
      <c r="F114" s="71">
        <v>100.0</v>
      </c>
      <c r="G114" s="71">
        <v>4000.0</v>
      </c>
      <c r="H114" s="65">
        <v>44355.0</v>
      </c>
    </row>
    <row r="115">
      <c r="D115" s="57" t="s">
        <v>173</v>
      </c>
      <c r="E115" s="57">
        <v>1.0</v>
      </c>
      <c r="F115" s="71">
        <v>500.0</v>
      </c>
      <c r="G115" s="71">
        <v>500.0</v>
      </c>
      <c r="H115" s="65">
        <v>44355.0</v>
      </c>
    </row>
    <row r="116">
      <c r="D116" s="57" t="s">
        <v>174</v>
      </c>
      <c r="E116" s="57">
        <v>1.0</v>
      </c>
      <c r="F116" s="71">
        <v>500.0</v>
      </c>
      <c r="G116" s="71">
        <v>500.0</v>
      </c>
      <c r="H116" s="65">
        <v>44355.0</v>
      </c>
    </row>
    <row r="117">
      <c r="D117" s="57" t="s">
        <v>103</v>
      </c>
      <c r="E117" s="57">
        <v>10.0</v>
      </c>
      <c r="F117" s="71">
        <v>120.0</v>
      </c>
      <c r="G117" s="71">
        <v>1200.0</v>
      </c>
      <c r="H117" s="65">
        <v>44357.0</v>
      </c>
    </row>
    <row r="118">
      <c r="D118" s="57" t="s">
        <v>93</v>
      </c>
      <c r="E118" s="57" t="s">
        <v>156</v>
      </c>
      <c r="F118" s="71">
        <v>600.0</v>
      </c>
      <c r="G118" s="71">
        <v>1200.0</v>
      </c>
      <c r="H118" s="65">
        <v>44357.0</v>
      </c>
    </row>
    <row r="119">
      <c r="D119" s="57" t="s">
        <v>175</v>
      </c>
      <c r="E119" s="57">
        <v>1.0</v>
      </c>
      <c r="F119" s="71">
        <v>400.0</v>
      </c>
      <c r="G119" s="71">
        <v>400.0</v>
      </c>
      <c r="H119" s="65">
        <v>44357.0</v>
      </c>
    </row>
    <row r="120">
      <c r="D120" s="57" t="s">
        <v>176</v>
      </c>
      <c r="E120" s="57">
        <v>2.0</v>
      </c>
      <c r="F120" s="71">
        <v>20.0</v>
      </c>
      <c r="G120" s="71">
        <v>40.0</v>
      </c>
      <c r="H120" s="65">
        <v>44357.0</v>
      </c>
    </row>
    <row r="121">
      <c r="D121" s="57" t="s">
        <v>105</v>
      </c>
      <c r="E121" s="57" t="s">
        <v>91</v>
      </c>
      <c r="F121" s="71">
        <v>40.0</v>
      </c>
      <c r="G121" s="71">
        <v>400.0</v>
      </c>
      <c r="H121" s="65">
        <v>44357.0</v>
      </c>
    </row>
    <row r="122">
      <c r="D122" s="57" t="s">
        <v>177</v>
      </c>
      <c r="E122" s="57" t="s">
        <v>94</v>
      </c>
      <c r="F122" s="71">
        <v>100.0</v>
      </c>
      <c r="G122" s="71">
        <v>100.0</v>
      </c>
      <c r="H122" s="65">
        <v>44357.0</v>
      </c>
    </row>
    <row r="123">
      <c r="D123" s="57" t="s">
        <v>100</v>
      </c>
      <c r="E123" s="57" t="s">
        <v>156</v>
      </c>
      <c r="F123" s="71">
        <v>100.0</v>
      </c>
      <c r="G123" s="71">
        <v>200.0</v>
      </c>
      <c r="H123" s="65">
        <v>44357.0</v>
      </c>
    </row>
    <row r="124">
      <c r="D124" s="57" t="s">
        <v>178</v>
      </c>
      <c r="E124" s="57" t="s">
        <v>179</v>
      </c>
      <c r="F124" s="71">
        <v>400.0</v>
      </c>
      <c r="G124" s="71">
        <v>1000.0</v>
      </c>
      <c r="H124" s="65">
        <v>44357.0</v>
      </c>
    </row>
    <row r="125">
      <c r="D125" s="57" t="s">
        <v>180</v>
      </c>
      <c r="E125" s="57" t="s">
        <v>76</v>
      </c>
      <c r="F125" s="71">
        <v>400.0</v>
      </c>
      <c r="G125" s="71">
        <v>400.0</v>
      </c>
      <c r="H125" s="65">
        <v>44357.0</v>
      </c>
    </row>
    <row r="126">
      <c r="D126" s="57" t="s">
        <v>105</v>
      </c>
      <c r="E126" s="57" t="s">
        <v>181</v>
      </c>
      <c r="F126" s="71">
        <v>55.0</v>
      </c>
      <c r="G126" s="71">
        <v>1800.0</v>
      </c>
      <c r="H126" s="65">
        <v>44357.0</v>
      </c>
    </row>
    <row r="127">
      <c r="D127" s="57" t="s">
        <v>110</v>
      </c>
      <c r="E127" s="57" t="s">
        <v>138</v>
      </c>
      <c r="F127" s="71">
        <v>30.0</v>
      </c>
      <c r="G127" s="71">
        <v>3000.0</v>
      </c>
      <c r="H127" s="65">
        <v>44357.0</v>
      </c>
    </row>
    <row r="128">
      <c r="D128" s="57" t="s">
        <v>182</v>
      </c>
      <c r="E128" s="57" t="s">
        <v>106</v>
      </c>
      <c r="F128" s="71">
        <v>490.0</v>
      </c>
      <c r="G128" s="71">
        <v>490.0</v>
      </c>
      <c r="H128" s="65">
        <v>44357.0</v>
      </c>
    </row>
    <row r="129">
      <c r="D129" s="57" t="s">
        <v>183</v>
      </c>
      <c r="E129" s="57">
        <v>2.0</v>
      </c>
      <c r="F129" s="71">
        <v>100.0</v>
      </c>
      <c r="G129" s="71">
        <v>300.0</v>
      </c>
      <c r="H129" s="65">
        <v>44357.0</v>
      </c>
    </row>
    <row r="130">
      <c r="D130" s="57" t="s">
        <v>184</v>
      </c>
      <c r="E130" s="57" t="s">
        <v>185</v>
      </c>
      <c r="F130" s="71">
        <v>750.0</v>
      </c>
      <c r="G130" s="71">
        <v>6750.0</v>
      </c>
      <c r="H130" s="65">
        <v>44357.0</v>
      </c>
    </row>
    <row r="131">
      <c r="D131" s="57" t="s">
        <v>186</v>
      </c>
      <c r="E131" s="57" t="s">
        <v>187</v>
      </c>
      <c r="F131" s="71">
        <v>1500.0</v>
      </c>
      <c r="G131" s="71">
        <v>6000.0</v>
      </c>
      <c r="H131" s="65">
        <v>44357.0</v>
      </c>
    </row>
    <row r="132">
      <c r="D132" s="57" t="s">
        <v>175</v>
      </c>
      <c r="E132" s="57">
        <v>1.0</v>
      </c>
      <c r="F132" s="71">
        <v>400.0</v>
      </c>
      <c r="G132" s="71">
        <v>400.0</v>
      </c>
      <c r="H132" s="65">
        <v>44357.0</v>
      </c>
    </row>
    <row r="133">
      <c r="D133" s="57" t="s">
        <v>188</v>
      </c>
      <c r="E133" s="57" t="s">
        <v>189</v>
      </c>
      <c r="F133" s="71">
        <v>145.0</v>
      </c>
      <c r="G133" s="71">
        <v>1450.0</v>
      </c>
      <c r="H133" s="65">
        <v>44357.0</v>
      </c>
    </row>
    <row r="134">
      <c r="D134" s="57" t="s">
        <v>190</v>
      </c>
      <c r="E134" s="57" t="s">
        <v>191</v>
      </c>
      <c r="F134" s="71">
        <v>160.0</v>
      </c>
      <c r="G134" s="71">
        <v>960.0</v>
      </c>
      <c r="H134" s="65">
        <v>44357.0</v>
      </c>
    </row>
    <row r="135">
      <c r="D135" s="57" t="s">
        <v>192</v>
      </c>
      <c r="E135" s="57">
        <v>1.0</v>
      </c>
      <c r="F135" s="71">
        <v>520.0</v>
      </c>
      <c r="G135" s="71">
        <v>520.0</v>
      </c>
      <c r="H135" s="65">
        <v>44357.0</v>
      </c>
    </row>
    <row r="136">
      <c r="D136" s="57" t="s">
        <v>193</v>
      </c>
      <c r="E136" s="57">
        <v>2.0</v>
      </c>
      <c r="F136" s="71">
        <v>1500.0</v>
      </c>
      <c r="G136" s="71">
        <v>3000.0</v>
      </c>
      <c r="H136" s="65">
        <v>44357.0</v>
      </c>
    </row>
    <row r="137">
      <c r="D137" s="57" t="s">
        <v>194</v>
      </c>
      <c r="E137" s="57">
        <v>1.0</v>
      </c>
      <c r="F137" s="71">
        <v>430.0</v>
      </c>
      <c r="G137" s="71">
        <v>430.0</v>
      </c>
      <c r="H137" s="65">
        <v>44357.0</v>
      </c>
    </row>
    <row r="138">
      <c r="D138" s="57" t="s">
        <v>86</v>
      </c>
      <c r="E138" s="57">
        <v>3.0</v>
      </c>
      <c r="F138" s="71">
        <v>380.0</v>
      </c>
      <c r="G138" s="71">
        <v>1140.0</v>
      </c>
      <c r="H138" s="65">
        <v>44357.0</v>
      </c>
    </row>
    <row r="139">
      <c r="D139" s="57" t="s">
        <v>195</v>
      </c>
      <c r="E139" s="57">
        <v>1.0</v>
      </c>
      <c r="F139" s="71">
        <v>520.0</v>
      </c>
      <c r="G139" s="71">
        <v>520.0</v>
      </c>
      <c r="H139" s="65">
        <v>44357.0</v>
      </c>
    </row>
    <row r="140">
      <c r="D140" s="57" t="s">
        <v>87</v>
      </c>
      <c r="E140" s="57">
        <v>2.0</v>
      </c>
      <c r="F140" s="71">
        <v>420.0</v>
      </c>
      <c r="G140" s="71">
        <v>840.0</v>
      </c>
      <c r="H140" s="65">
        <v>44357.0</v>
      </c>
    </row>
    <row r="141">
      <c r="D141" s="57" t="s">
        <v>186</v>
      </c>
      <c r="E141" s="57" t="s">
        <v>196</v>
      </c>
      <c r="F141" s="71">
        <v>1500.0</v>
      </c>
      <c r="G141" s="70"/>
      <c r="H141" s="65">
        <v>44357.0</v>
      </c>
    </row>
    <row r="142">
      <c r="D142" s="57" t="s">
        <v>197</v>
      </c>
      <c r="E142" s="57" t="s">
        <v>198</v>
      </c>
      <c r="F142" s="71">
        <v>1500.0</v>
      </c>
      <c r="G142" s="71">
        <v>1500.0</v>
      </c>
      <c r="H142" s="65">
        <v>44357.0</v>
      </c>
    </row>
    <row r="143">
      <c r="D143" s="57" t="s">
        <v>103</v>
      </c>
      <c r="E143" s="57">
        <v>10.0</v>
      </c>
      <c r="F143" s="71">
        <v>120.0</v>
      </c>
      <c r="G143" s="71">
        <v>1200.0</v>
      </c>
      <c r="H143" s="65">
        <v>44358.0</v>
      </c>
    </row>
    <row r="144">
      <c r="D144" s="57" t="s">
        <v>93</v>
      </c>
      <c r="E144" s="57" t="s">
        <v>76</v>
      </c>
      <c r="F144" s="71">
        <v>600.0</v>
      </c>
      <c r="G144" s="71">
        <v>600.0</v>
      </c>
      <c r="H144" s="65">
        <v>44358.0</v>
      </c>
    </row>
    <row r="145">
      <c r="D145" s="57" t="s">
        <v>114</v>
      </c>
      <c r="E145" s="57" t="s">
        <v>111</v>
      </c>
      <c r="F145" s="71">
        <v>100.0</v>
      </c>
      <c r="G145" s="71">
        <v>2000.0</v>
      </c>
      <c r="H145" s="65">
        <v>44358.0</v>
      </c>
    </row>
    <row r="146">
      <c r="D146" s="57" t="s">
        <v>173</v>
      </c>
      <c r="E146" s="57">
        <v>1.0</v>
      </c>
      <c r="F146" s="71">
        <v>900.0</v>
      </c>
      <c r="G146" s="71">
        <v>900.0</v>
      </c>
      <c r="H146" s="65">
        <v>44358.0</v>
      </c>
    </row>
    <row r="147">
      <c r="D147" s="57" t="s">
        <v>199</v>
      </c>
      <c r="E147" s="57" t="s">
        <v>106</v>
      </c>
      <c r="F147" s="71">
        <v>300.0</v>
      </c>
      <c r="G147" s="71">
        <v>300.0</v>
      </c>
      <c r="H147" s="65">
        <v>44358.0</v>
      </c>
    </row>
    <row r="148">
      <c r="D148" s="57" t="s">
        <v>200</v>
      </c>
      <c r="E148" s="57">
        <v>2.0</v>
      </c>
      <c r="F148" s="71">
        <v>1000.0</v>
      </c>
      <c r="G148" s="71">
        <v>2000.0</v>
      </c>
      <c r="H148" s="65">
        <v>44358.0</v>
      </c>
    </row>
    <row r="149">
      <c r="D149" s="57" t="s">
        <v>201</v>
      </c>
      <c r="E149" s="57" t="s">
        <v>111</v>
      </c>
      <c r="F149" s="71">
        <v>25.0</v>
      </c>
      <c r="G149" s="71">
        <v>500.0</v>
      </c>
      <c r="H149" s="65">
        <v>44359.0</v>
      </c>
    </row>
    <row r="150">
      <c r="D150" s="57" t="s">
        <v>176</v>
      </c>
      <c r="E150" s="57">
        <v>5.0</v>
      </c>
      <c r="F150" s="71">
        <v>20.0</v>
      </c>
      <c r="G150" s="71">
        <v>100.0</v>
      </c>
      <c r="H150" s="65">
        <v>44359.0</v>
      </c>
    </row>
    <row r="151">
      <c r="D151" s="57" t="s">
        <v>202</v>
      </c>
      <c r="E151" s="57" t="s">
        <v>203</v>
      </c>
      <c r="F151" s="71" t="s">
        <v>106</v>
      </c>
      <c r="G151" s="71">
        <v>790.0</v>
      </c>
      <c r="H151" s="65">
        <v>44359.0</v>
      </c>
    </row>
    <row r="152">
      <c r="D152" s="57" t="s">
        <v>204</v>
      </c>
      <c r="E152" s="57" t="s">
        <v>205</v>
      </c>
      <c r="F152" s="71">
        <v>2000.0</v>
      </c>
      <c r="G152" s="71">
        <v>500.0</v>
      </c>
      <c r="H152" s="65">
        <v>44359.0</v>
      </c>
    </row>
    <row r="153">
      <c r="D153" s="57" t="s">
        <v>93</v>
      </c>
      <c r="E153" s="57" t="s">
        <v>206</v>
      </c>
      <c r="F153" s="71">
        <v>600.0</v>
      </c>
      <c r="G153" s="71">
        <v>1800.0</v>
      </c>
      <c r="H153" s="65">
        <v>44359.0</v>
      </c>
    </row>
    <row r="154">
      <c r="D154" s="57" t="s">
        <v>207</v>
      </c>
      <c r="E154" s="57">
        <v>8.0</v>
      </c>
      <c r="F154" s="71">
        <v>95.0</v>
      </c>
      <c r="G154" s="71">
        <v>760.0</v>
      </c>
      <c r="H154" s="65">
        <v>44359.0</v>
      </c>
    </row>
    <row r="155">
      <c r="D155" s="57" t="s">
        <v>208</v>
      </c>
      <c r="E155" s="57">
        <v>4.0</v>
      </c>
      <c r="F155" s="71">
        <v>340.0</v>
      </c>
      <c r="G155" s="71">
        <v>1360.0</v>
      </c>
      <c r="H155" s="65">
        <v>44359.0</v>
      </c>
    </row>
    <row r="156">
      <c r="D156" s="57" t="s">
        <v>209</v>
      </c>
      <c r="E156" s="57">
        <v>2.0</v>
      </c>
      <c r="F156" s="71" t="s">
        <v>106</v>
      </c>
      <c r="G156" s="71">
        <v>80.0</v>
      </c>
      <c r="H156" s="65">
        <v>44359.0</v>
      </c>
    </row>
    <row r="157">
      <c r="D157" s="57" t="s">
        <v>210</v>
      </c>
      <c r="E157" s="57">
        <v>6.0</v>
      </c>
      <c r="F157" s="71">
        <v>85.0</v>
      </c>
      <c r="G157" s="71">
        <v>510.0</v>
      </c>
      <c r="H157" s="65">
        <v>44359.0</v>
      </c>
    </row>
    <row r="158">
      <c r="D158" s="57" t="s">
        <v>105</v>
      </c>
      <c r="E158" s="86">
        <v>44317.0</v>
      </c>
      <c r="F158" s="71">
        <v>125.0</v>
      </c>
      <c r="G158" s="71">
        <v>125.0</v>
      </c>
      <c r="H158" s="65">
        <v>44359.0</v>
      </c>
    </row>
    <row r="159">
      <c r="D159" s="57" t="s">
        <v>93</v>
      </c>
      <c r="E159" s="86">
        <v>44317.0</v>
      </c>
      <c r="F159" s="71" t="s">
        <v>106</v>
      </c>
      <c r="G159" s="71">
        <v>1000.0</v>
      </c>
      <c r="H159" s="65">
        <v>44360.0</v>
      </c>
    </row>
    <row r="160">
      <c r="D160" s="57" t="s">
        <v>211</v>
      </c>
      <c r="E160" s="57">
        <v>2.0</v>
      </c>
      <c r="F160" s="71">
        <v>240.0</v>
      </c>
      <c r="G160" s="71">
        <v>480.0</v>
      </c>
      <c r="H160" s="65">
        <v>44360.0</v>
      </c>
    </row>
    <row r="161">
      <c r="D161" s="57" t="s">
        <v>176</v>
      </c>
      <c r="E161" s="57">
        <v>2.0</v>
      </c>
      <c r="F161" s="71">
        <v>20.0</v>
      </c>
      <c r="G161" s="71">
        <v>40.0</v>
      </c>
      <c r="H161" s="65">
        <v>44360.0</v>
      </c>
    </row>
    <row r="162">
      <c r="D162" s="57" t="s">
        <v>212</v>
      </c>
      <c r="E162" s="57">
        <v>2.0</v>
      </c>
      <c r="F162" s="71" t="s">
        <v>106</v>
      </c>
      <c r="G162" s="71">
        <v>480.0</v>
      </c>
      <c r="H162" s="65">
        <v>44360.0</v>
      </c>
    </row>
    <row r="163">
      <c r="D163" s="57" t="s">
        <v>213</v>
      </c>
      <c r="E163" s="57">
        <v>1.0</v>
      </c>
      <c r="F163" s="71">
        <v>150.0</v>
      </c>
      <c r="G163" s="71">
        <v>150.0</v>
      </c>
      <c r="H163" s="65">
        <v>44360.0</v>
      </c>
    </row>
    <row r="164">
      <c r="D164" s="57" t="s">
        <v>214</v>
      </c>
      <c r="E164" s="57">
        <v>3.0</v>
      </c>
      <c r="F164" s="71">
        <v>180.0</v>
      </c>
      <c r="G164" s="71">
        <v>180.0</v>
      </c>
      <c r="H164" s="65">
        <v>44361.0</v>
      </c>
    </row>
    <row r="165">
      <c r="D165" s="57" t="s">
        <v>215</v>
      </c>
      <c r="E165" s="57">
        <v>1.0</v>
      </c>
      <c r="F165" s="71">
        <v>180.0</v>
      </c>
      <c r="G165" s="71">
        <v>180.0</v>
      </c>
      <c r="H165" s="65">
        <v>44361.0</v>
      </c>
    </row>
    <row r="166">
      <c r="D166" s="57" t="s">
        <v>216</v>
      </c>
      <c r="E166" s="57" t="s">
        <v>106</v>
      </c>
      <c r="F166" s="71">
        <v>200.0</v>
      </c>
      <c r="G166" s="71">
        <v>200.0</v>
      </c>
      <c r="H166" s="65">
        <v>44361.0</v>
      </c>
    </row>
    <row r="167">
      <c r="D167" s="57" t="s">
        <v>217</v>
      </c>
      <c r="E167" s="57" t="s">
        <v>106</v>
      </c>
      <c r="F167" s="71">
        <v>500.0</v>
      </c>
      <c r="G167" s="71">
        <v>500.0</v>
      </c>
      <c r="H167" s="65">
        <v>44363.0</v>
      </c>
    </row>
    <row r="168">
      <c r="D168" s="57" t="s">
        <v>93</v>
      </c>
      <c r="E168" s="57" t="s">
        <v>218</v>
      </c>
      <c r="F168" s="71">
        <v>750.0</v>
      </c>
      <c r="G168" s="71">
        <v>750.0</v>
      </c>
      <c r="H168" s="65">
        <v>44361.0</v>
      </c>
    </row>
    <row r="169">
      <c r="D169" s="57" t="s">
        <v>219</v>
      </c>
      <c r="E169" s="57">
        <v>1.0</v>
      </c>
      <c r="F169" s="71">
        <v>150.0</v>
      </c>
      <c r="G169" s="71">
        <v>150.0</v>
      </c>
      <c r="H169" s="65">
        <v>44361.0</v>
      </c>
    </row>
    <row r="170">
      <c r="D170" s="57" t="s">
        <v>220</v>
      </c>
      <c r="E170" s="57">
        <v>1.0</v>
      </c>
      <c r="F170" s="71">
        <v>350.0</v>
      </c>
      <c r="G170" s="71">
        <v>350.0</v>
      </c>
      <c r="H170" s="65">
        <v>44361.0</v>
      </c>
    </row>
    <row r="171">
      <c r="D171" s="57" t="s">
        <v>221</v>
      </c>
      <c r="E171" s="57">
        <v>5.0</v>
      </c>
      <c r="F171" s="71">
        <v>300.0</v>
      </c>
      <c r="G171" s="71">
        <v>1500.0</v>
      </c>
      <c r="H171" s="65">
        <v>44361.0</v>
      </c>
    </row>
    <row r="172">
      <c r="D172" s="57" t="s">
        <v>93</v>
      </c>
      <c r="E172" s="57" t="s">
        <v>94</v>
      </c>
      <c r="F172" s="71">
        <v>600.0</v>
      </c>
      <c r="G172" s="71">
        <v>700.0</v>
      </c>
      <c r="H172" s="65">
        <v>44361.0</v>
      </c>
    </row>
    <row r="173">
      <c r="D173" s="57" t="s">
        <v>110</v>
      </c>
      <c r="E173" s="57" t="s">
        <v>222</v>
      </c>
      <c r="F173" s="71">
        <v>25.0</v>
      </c>
      <c r="G173" s="71">
        <v>750.0</v>
      </c>
      <c r="H173" s="65">
        <v>44361.0</v>
      </c>
    </row>
    <row r="174">
      <c r="D174" s="57" t="s">
        <v>223</v>
      </c>
      <c r="E174" s="57" t="s">
        <v>106</v>
      </c>
      <c r="F174" s="71">
        <v>300.0</v>
      </c>
      <c r="G174" s="71">
        <v>300.0</v>
      </c>
      <c r="H174" s="65">
        <v>44361.0</v>
      </c>
    </row>
    <row r="175">
      <c r="D175" s="57" t="s">
        <v>103</v>
      </c>
      <c r="E175" s="57">
        <v>10.0</v>
      </c>
      <c r="F175" s="71">
        <v>120.0</v>
      </c>
      <c r="G175" s="71">
        <v>1200.0</v>
      </c>
      <c r="H175" s="65">
        <v>44361.0</v>
      </c>
    </row>
    <row r="176">
      <c r="D176" s="57" t="s">
        <v>93</v>
      </c>
      <c r="E176" s="57" t="s">
        <v>76</v>
      </c>
      <c r="F176" s="71">
        <v>600.0</v>
      </c>
      <c r="G176" s="71">
        <v>600.0</v>
      </c>
      <c r="H176" s="65">
        <v>44361.0</v>
      </c>
    </row>
    <row r="177">
      <c r="D177" s="57" t="s">
        <v>114</v>
      </c>
      <c r="E177" s="57" t="s">
        <v>206</v>
      </c>
      <c r="F177" s="71">
        <v>100.0</v>
      </c>
      <c r="G177" s="71">
        <v>300.0</v>
      </c>
      <c r="H177" s="65">
        <v>44361.0</v>
      </c>
    </row>
    <row r="178">
      <c r="D178" s="57" t="s">
        <v>224</v>
      </c>
      <c r="E178" s="57">
        <v>16.0</v>
      </c>
      <c r="F178" s="71">
        <v>15.0</v>
      </c>
      <c r="G178" s="71">
        <v>210.0</v>
      </c>
      <c r="H178" s="65">
        <v>44361.0</v>
      </c>
    </row>
    <row r="179">
      <c r="D179" s="57" t="s">
        <v>225</v>
      </c>
      <c r="E179" s="57">
        <v>1.0</v>
      </c>
      <c r="F179" s="71">
        <v>90.0</v>
      </c>
      <c r="G179" s="71">
        <v>90.0</v>
      </c>
      <c r="H179" s="65">
        <v>44361.0</v>
      </c>
    </row>
    <row r="180">
      <c r="D180" s="57" t="s">
        <v>226</v>
      </c>
      <c r="E180" s="57">
        <v>4.0</v>
      </c>
      <c r="F180" s="71">
        <v>120.0</v>
      </c>
      <c r="G180" s="71">
        <v>120.0</v>
      </c>
      <c r="H180" s="65">
        <v>44361.0</v>
      </c>
    </row>
    <row r="181">
      <c r="D181" s="57" t="s">
        <v>227</v>
      </c>
      <c r="E181" s="57">
        <v>3.0</v>
      </c>
      <c r="F181" s="71">
        <v>200.0</v>
      </c>
      <c r="G181" s="71">
        <v>600.0</v>
      </c>
      <c r="H181" s="65">
        <v>44361.0</v>
      </c>
    </row>
    <row r="182">
      <c r="D182" s="57" t="s">
        <v>217</v>
      </c>
      <c r="E182" s="57" t="s">
        <v>106</v>
      </c>
      <c r="F182" s="71">
        <v>1400.0</v>
      </c>
      <c r="G182" s="71">
        <v>1000.0</v>
      </c>
      <c r="H182" s="65">
        <v>44361.0</v>
      </c>
    </row>
    <row r="183">
      <c r="D183" s="57" t="s">
        <v>228</v>
      </c>
      <c r="E183" s="57">
        <v>2.0</v>
      </c>
      <c r="F183" s="71">
        <v>300.0</v>
      </c>
      <c r="G183" s="71">
        <v>600.0</v>
      </c>
      <c r="H183" s="65">
        <v>44361.0</v>
      </c>
    </row>
    <row r="184">
      <c r="D184" s="57" t="s">
        <v>229</v>
      </c>
      <c r="E184" s="57" t="s">
        <v>230</v>
      </c>
      <c r="F184" s="71" t="s">
        <v>106</v>
      </c>
      <c r="G184" s="71">
        <v>500.0</v>
      </c>
      <c r="H184" s="65">
        <v>44361.0</v>
      </c>
    </row>
    <row r="185">
      <c r="D185" s="57" t="s">
        <v>231</v>
      </c>
      <c r="E185" s="57" t="s">
        <v>76</v>
      </c>
      <c r="F185" s="71">
        <v>300.0</v>
      </c>
      <c r="G185" s="71">
        <v>300.0</v>
      </c>
      <c r="H185" s="65">
        <v>44361.0</v>
      </c>
    </row>
    <row r="186">
      <c r="D186" s="57" t="s">
        <v>232</v>
      </c>
      <c r="E186" s="57">
        <v>1.0</v>
      </c>
      <c r="F186" s="71">
        <v>80.0</v>
      </c>
      <c r="G186" s="71">
        <v>80.0</v>
      </c>
      <c r="H186" s="65">
        <v>44361.0</v>
      </c>
    </row>
    <row r="187">
      <c r="D187" s="57" t="s">
        <v>209</v>
      </c>
      <c r="E187" s="57" t="s">
        <v>156</v>
      </c>
      <c r="F187" s="71">
        <v>80.0</v>
      </c>
      <c r="G187" s="71">
        <v>160.0</v>
      </c>
      <c r="H187" s="65">
        <v>44361.0</v>
      </c>
    </row>
    <row r="188">
      <c r="D188" s="57" t="s">
        <v>93</v>
      </c>
      <c r="E188" s="57" t="s">
        <v>76</v>
      </c>
      <c r="F188" s="71">
        <v>750.0</v>
      </c>
      <c r="G188" s="71">
        <v>750.0</v>
      </c>
      <c r="H188" s="65">
        <v>44361.0</v>
      </c>
    </row>
    <row r="189">
      <c r="D189" s="57" t="s">
        <v>233</v>
      </c>
      <c r="E189" s="57">
        <v>4.0</v>
      </c>
      <c r="F189" s="71">
        <v>75.0</v>
      </c>
      <c r="G189" s="71">
        <v>300.0</v>
      </c>
      <c r="H189" s="65">
        <v>44361.0</v>
      </c>
    </row>
    <row r="190">
      <c r="D190" s="57" t="s">
        <v>234</v>
      </c>
      <c r="E190" s="57" t="s">
        <v>235</v>
      </c>
      <c r="F190" s="71" t="s">
        <v>236</v>
      </c>
      <c r="G190" s="71">
        <v>850.0</v>
      </c>
      <c r="H190" s="65">
        <v>44363.0</v>
      </c>
    </row>
    <row r="191">
      <c r="D191" s="57" t="s">
        <v>237</v>
      </c>
      <c r="E191" s="57" t="s">
        <v>238</v>
      </c>
      <c r="F191" s="71">
        <v>650.0</v>
      </c>
      <c r="G191" s="71">
        <v>650.0</v>
      </c>
      <c r="H191" s="65">
        <v>44363.0</v>
      </c>
    </row>
    <row r="192">
      <c r="D192" s="57" t="s">
        <v>239</v>
      </c>
      <c r="E192" s="57">
        <v>1.0</v>
      </c>
      <c r="F192" s="71">
        <v>500.0</v>
      </c>
      <c r="G192" s="71">
        <v>500.0</v>
      </c>
      <c r="H192" s="65">
        <v>44363.0</v>
      </c>
    </row>
    <row r="193">
      <c r="D193" s="57" t="s">
        <v>240</v>
      </c>
      <c r="E193" s="57" t="s">
        <v>196</v>
      </c>
      <c r="F193" s="71">
        <v>120.0</v>
      </c>
      <c r="G193" s="71">
        <v>60.0</v>
      </c>
      <c r="H193" s="65" t="s">
        <v>241</v>
      </c>
    </row>
    <row r="194">
      <c r="D194" s="57" t="s">
        <v>242</v>
      </c>
      <c r="E194" s="57" t="s">
        <v>156</v>
      </c>
      <c r="F194" s="71">
        <v>250.0</v>
      </c>
      <c r="G194" s="71">
        <v>500.0</v>
      </c>
      <c r="H194" s="65">
        <v>44363.0</v>
      </c>
    </row>
    <row r="195">
      <c r="D195" s="57" t="s">
        <v>97</v>
      </c>
      <c r="E195" s="57" t="s">
        <v>243</v>
      </c>
      <c r="F195" s="71">
        <v>300.0</v>
      </c>
      <c r="G195" s="71">
        <v>300.0</v>
      </c>
      <c r="H195" s="65">
        <v>44363.0</v>
      </c>
    </row>
    <row r="196">
      <c r="D196" s="57" t="s">
        <v>244</v>
      </c>
      <c r="E196" s="57">
        <v>2.0</v>
      </c>
      <c r="F196" s="71">
        <v>150.0</v>
      </c>
      <c r="G196" s="71">
        <v>300.0</v>
      </c>
      <c r="H196" s="65">
        <v>44363.0</v>
      </c>
    </row>
    <row r="197">
      <c r="D197" s="57" t="s">
        <v>202</v>
      </c>
      <c r="E197" s="57">
        <v>1.0</v>
      </c>
      <c r="F197" s="71">
        <v>650.0</v>
      </c>
      <c r="G197" s="71">
        <v>650.0</v>
      </c>
      <c r="H197" s="65">
        <v>44363.0</v>
      </c>
    </row>
    <row r="198">
      <c r="D198" s="57" t="s">
        <v>245</v>
      </c>
      <c r="E198" s="57" t="s">
        <v>64</v>
      </c>
      <c r="F198" s="71">
        <v>330.0</v>
      </c>
      <c r="G198" s="71">
        <v>330.0</v>
      </c>
      <c r="H198" s="65">
        <v>44363.0</v>
      </c>
    </row>
    <row r="199">
      <c r="D199" s="57" t="s">
        <v>246</v>
      </c>
      <c r="E199" s="57" t="s">
        <v>247</v>
      </c>
      <c r="F199" s="71">
        <v>165.0</v>
      </c>
      <c r="G199" s="71">
        <v>1980.0</v>
      </c>
      <c r="H199" s="65">
        <v>44363.0</v>
      </c>
    </row>
    <row r="200">
      <c r="D200" s="57" t="s">
        <v>248</v>
      </c>
      <c r="E200" s="57" t="s">
        <v>249</v>
      </c>
      <c r="F200" s="71">
        <v>95.0</v>
      </c>
      <c r="G200" s="71">
        <v>1140.0</v>
      </c>
      <c r="H200" s="65">
        <v>44363.0</v>
      </c>
    </row>
    <row r="201">
      <c r="D201" s="57" t="s">
        <v>250</v>
      </c>
      <c r="E201" s="57">
        <v>1.0</v>
      </c>
      <c r="F201" s="71">
        <v>480.0</v>
      </c>
      <c r="G201" s="71">
        <v>480.0</v>
      </c>
      <c r="H201" s="65">
        <v>44363.0</v>
      </c>
    </row>
    <row r="202">
      <c r="D202" s="57" t="s">
        <v>155</v>
      </c>
      <c r="E202" s="57" t="s">
        <v>156</v>
      </c>
      <c r="F202" s="71">
        <v>1220.0</v>
      </c>
      <c r="G202" s="71">
        <v>2640.0</v>
      </c>
      <c r="H202" s="65">
        <v>44363.0</v>
      </c>
    </row>
    <row r="203">
      <c r="D203" s="57" t="s">
        <v>219</v>
      </c>
      <c r="E203" s="57">
        <v>7.0</v>
      </c>
      <c r="F203" s="71">
        <v>125.0</v>
      </c>
      <c r="G203" s="71">
        <v>875.0</v>
      </c>
      <c r="H203" s="65">
        <v>44363.0</v>
      </c>
    </row>
    <row r="204">
      <c r="D204" s="57" t="s">
        <v>251</v>
      </c>
      <c r="E204" s="57" t="s">
        <v>252</v>
      </c>
      <c r="F204" s="71">
        <v>400.0</v>
      </c>
      <c r="G204" s="71">
        <v>800.0</v>
      </c>
      <c r="H204" s="65">
        <v>44363.0</v>
      </c>
    </row>
    <row r="205">
      <c r="D205" s="57" t="s">
        <v>253</v>
      </c>
      <c r="E205" s="57" t="s">
        <v>254</v>
      </c>
      <c r="F205" s="71">
        <v>600.0</v>
      </c>
      <c r="G205" s="71">
        <v>1200.0</v>
      </c>
      <c r="H205" s="65">
        <v>44363.0</v>
      </c>
    </row>
    <row r="206">
      <c r="D206" s="57" t="s">
        <v>255</v>
      </c>
      <c r="E206" s="57" t="s">
        <v>256</v>
      </c>
      <c r="F206" s="71">
        <v>1050.0</v>
      </c>
      <c r="G206" s="71">
        <v>2100.0</v>
      </c>
      <c r="H206" s="65">
        <v>44363.0</v>
      </c>
    </row>
    <row r="207">
      <c r="D207" s="57" t="s">
        <v>257</v>
      </c>
      <c r="E207" s="57">
        <v>1.0</v>
      </c>
      <c r="F207" s="71">
        <v>800.0</v>
      </c>
      <c r="G207" s="71">
        <v>800.0</v>
      </c>
      <c r="H207" s="65">
        <v>44363.0</v>
      </c>
    </row>
    <row r="208">
      <c r="D208" s="57" t="s">
        <v>258</v>
      </c>
      <c r="E208" s="57">
        <v>1.0</v>
      </c>
      <c r="F208" s="71">
        <v>100.0</v>
      </c>
      <c r="G208" s="71">
        <v>100.0</v>
      </c>
      <c r="H208" s="65">
        <v>44363.0</v>
      </c>
    </row>
    <row r="209">
      <c r="D209" s="57" t="s">
        <v>259</v>
      </c>
      <c r="E209" s="86">
        <v>44318.0</v>
      </c>
      <c r="F209" s="71">
        <v>700.0</v>
      </c>
      <c r="G209" s="71">
        <v>1600.0</v>
      </c>
      <c r="H209" s="65">
        <v>44364.0</v>
      </c>
    </row>
    <row r="210">
      <c r="D210" s="57" t="s">
        <v>260</v>
      </c>
      <c r="E210" s="57" t="s">
        <v>111</v>
      </c>
      <c r="F210" s="71">
        <v>25.0</v>
      </c>
      <c r="G210" s="71">
        <v>500.0</v>
      </c>
      <c r="H210" s="65">
        <v>44364.0</v>
      </c>
    </row>
    <row r="211">
      <c r="D211" s="57" t="s">
        <v>114</v>
      </c>
      <c r="E211" s="57" t="s">
        <v>91</v>
      </c>
      <c r="F211" s="71">
        <v>100.0</v>
      </c>
      <c r="G211" s="71">
        <v>1000.0</v>
      </c>
      <c r="H211" s="65">
        <v>44364.0</v>
      </c>
    </row>
    <row r="212">
      <c r="D212" s="57" t="s">
        <v>93</v>
      </c>
      <c r="E212" s="86">
        <v>44317.0</v>
      </c>
      <c r="F212" s="71">
        <v>600.0</v>
      </c>
      <c r="G212" s="71">
        <v>1000.0</v>
      </c>
      <c r="H212" s="65">
        <v>44364.0</v>
      </c>
    </row>
    <row r="213">
      <c r="D213" s="57" t="s">
        <v>261</v>
      </c>
      <c r="E213" s="57">
        <v>1.0</v>
      </c>
      <c r="F213" s="71">
        <v>400.0</v>
      </c>
      <c r="G213" s="71">
        <v>400.0</v>
      </c>
      <c r="H213" s="65">
        <v>44364.0</v>
      </c>
    </row>
    <row r="214">
      <c r="D214" s="57" t="s">
        <v>262</v>
      </c>
      <c r="E214" s="57">
        <v>5.0</v>
      </c>
      <c r="F214" s="71">
        <v>20.0</v>
      </c>
      <c r="G214" s="71">
        <v>100.0</v>
      </c>
      <c r="H214" s="65">
        <v>44364.0</v>
      </c>
    </row>
    <row r="215">
      <c r="D215" s="57" t="s">
        <v>214</v>
      </c>
      <c r="E215" s="57" t="s">
        <v>106</v>
      </c>
      <c r="F215" s="71">
        <v>300.0</v>
      </c>
      <c r="G215" s="71">
        <v>200.0</v>
      </c>
      <c r="H215" s="65">
        <v>44364.0</v>
      </c>
    </row>
    <row r="216">
      <c r="D216" s="57" t="s">
        <v>263</v>
      </c>
      <c r="E216" s="57" t="s">
        <v>91</v>
      </c>
      <c r="F216" s="71">
        <v>100.0</v>
      </c>
      <c r="G216" s="71">
        <v>1000.0</v>
      </c>
      <c r="H216" s="65">
        <v>44365.0</v>
      </c>
    </row>
    <row r="217">
      <c r="D217" s="57" t="s">
        <v>93</v>
      </c>
      <c r="E217" s="57" t="s">
        <v>76</v>
      </c>
      <c r="F217" s="71">
        <v>600.0</v>
      </c>
      <c r="G217" s="71">
        <v>600.0</v>
      </c>
      <c r="H217" s="65">
        <v>44365.0</v>
      </c>
    </row>
    <row r="218">
      <c r="D218" s="57" t="s">
        <v>264</v>
      </c>
      <c r="E218" s="57" t="s">
        <v>265</v>
      </c>
      <c r="F218" s="71">
        <v>600.0</v>
      </c>
      <c r="G218" s="71">
        <v>900.0</v>
      </c>
      <c r="H218" s="65">
        <v>44365.0</v>
      </c>
    </row>
    <row r="219">
      <c r="D219" s="57" t="s">
        <v>266</v>
      </c>
      <c r="E219" s="57" t="s">
        <v>206</v>
      </c>
      <c r="F219" s="71">
        <v>120.0</v>
      </c>
      <c r="G219" s="71">
        <v>360.0</v>
      </c>
      <c r="H219" s="65">
        <v>44365.0</v>
      </c>
    </row>
    <row r="220">
      <c r="D220" s="57" t="s">
        <v>267</v>
      </c>
      <c r="E220" s="57" t="s">
        <v>106</v>
      </c>
      <c r="F220" s="71">
        <v>1800.0</v>
      </c>
      <c r="G220" s="71">
        <v>200.0</v>
      </c>
      <c r="H220" s="65">
        <v>44365.0</v>
      </c>
    </row>
    <row r="221">
      <c r="D221" s="57" t="s">
        <v>268</v>
      </c>
      <c r="E221" s="57" t="s">
        <v>269</v>
      </c>
      <c r="F221" s="71">
        <v>200.0</v>
      </c>
      <c r="G221" s="71">
        <v>200.0</v>
      </c>
      <c r="H221" s="65">
        <v>44365.0</v>
      </c>
    </row>
    <row r="222">
      <c r="D222" s="57" t="s">
        <v>270</v>
      </c>
      <c r="E222" s="57">
        <v>80.0</v>
      </c>
      <c r="F222" s="71">
        <v>50.0</v>
      </c>
      <c r="G222" s="71">
        <v>4000.0</v>
      </c>
      <c r="H222" s="65">
        <v>44365.0</v>
      </c>
    </row>
    <row r="223">
      <c r="D223" s="57" t="s">
        <v>271</v>
      </c>
      <c r="E223" s="57">
        <v>250.0</v>
      </c>
      <c r="F223" s="71">
        <v>28.0</v>
      </c>
      <c r="G223" s="71">
        <v>7000.0</v>
      </c>
      <c r="H223" s="65">
        <v>44366.0</v>
      </c>
    </row>
    <row r="224">
      <c r="D224" s="57" t="s">
        <v>272</v>
      </c>
      <c r="E224" s="57">
        <v>1.0</v>
      </c>
      <c r="F224" s="71">
        <v>650.0</v>
      </c>
      <c r="G224" s="71">
        <v>650.0</v>
      </c>
      <c r="H224" s="65">
        <v>44366.0</v>
      </c>
    </row>
    <row r="225">
      <c r="D225" s="57" t="s">
        <v>93</v>
      </c>
      <c r="E225" s="57" t="s">
        <v>179</v>
      </c>
      <c r="F225" s="71">
        <v>600.0</v>
      </c>
      <c r="G225" s="71">
        <v>1500.0</v>
      </c>
      <c r="H225" s="65">
        <v>44366.0</v>
      </c>
    </row>
    <row r="226">
      <c r="D226" s="57" t="s">
        <v>273</v>
      </c>
      <c r="E226" s="57">
        <v>2.0</v>
      </c>
      <c r="F226" s="71">
        <v>1500.0</v>
      </c>
      <c r="G226" s="71">
        <v>3000.0</v>
      </c>
      <c r="H226" s="65">
        <v>44366.0</v>
      </c>
    </row>
    <row r="227">
      <c r="D227" s="57" t="s">
        <v>274</v>
      </c>
      <c r="E227" s="57">
        <v>17.0</v>
      </c>
      <c r="F227" s="71">
        <v>80.0</v>
      </c>
      <c r="G227" s="71">
        <v>1360.0</v>
      </c>
      <c r="H227" s="65">
        <v>44366.0</v>
      </c>
    </row>
    <row r="228">
      <c r="D228" s="57" t="s">
        <v>173</v>
      </c>
      <c r="E228" s="57" t="s">
        <v>275</v>
      </c>
      <c r="F228" s="71">
        <v>570.0</v>
      </c>
      <c r="G228" s="71">
        <v>570.0</v>
      </c>
      <c r="H228" s="65">
        <v>44366.0</v>
      </c>
    </row>
    <row r="229">
      <c r="D229" s="57" t="s">
        <v>208</v>
      </c>
      <c r="E229" s="57">
        <v>1.0</v>
      </c>
      <c r="F229" s="71">
        <v>360.0</v>
      </c>
      <c r="G229" s="71">
        <v>360.0</v>
      </c>
      <c r="H229" s="65">
        <v>44366.0</v>
      </c>
    </row>
    <row r="230">
      <c r="D230" s="57" t="s">
        <v>276</v>
      </c>
      <c r="E230" s="57">
        <v>5.0</v>
      </c>
      <c r="F230" s="71">
        <v>20.0</v>
      </c>
      <c r="G230" s="71">
        <v>100.0</v>
      </c>
      <c r="H230" s="65">
        <v>44366.0</v>
      </c>
    </row>
    <row r="231">
      <c r="D231" s="57" t="s">
        <v>277</v>
      </c>
      <c r="E231" s="57">
        <v>1.0</v>
      </c>
      <c r="F231" s="71">
        <v>320.0</v>
      </c>
      <c r="G231" s="71">
        <v>320.0</v>
      </c>
      <c r="H231" s="65">
        <v>44366.0</v>
      </c>
    </row>
    <row r="232">
      <c r="D232" s="57" t="s">
        <v>278</v>
      </c>
      <c r="E232" s="57" t="s">
        <v>179</v>
      </c>
      <c r="F232" s="71">
        <v>120.0</v>
      </c>
      <c r="G232" s="71">
        <v>300.0</v>
      </c>
      <c r="H232" s="65">
        <v>44366.0</v>
      </c>
    </row>
    <row r="233">
      <c r="D233" s="57" t="s">
        <v>279</v>
      </c>
      <c r="E233" s="57" t="s">
        <v>76</v>
      </c>
      <c r="F233" s="71">
        <v>100.0</v>
      </c>
      <c r="G233" s="71">
        <v>100.0</v>
      </c>
      <c r="H233" s="65">
        <v>44366.0</v>
      </c>
    </row>
    <row r="234">
      <c r="D234" s="57" t="s">
        <v>90</v>
      </c>
      <c r="E234" s="57" t="s">
        <v>91</v>
      </c>
      <c r="F234" s="71">
        <v>100.0</v>
      </c>
      <c r="G234" s="71">
        <v>1000.0</v>
      </c>
      <c r="H234" s="65">
        <v>44366.0</v>
      </c>
    </row>
    <row r="235">
      <c r="D235" s="57" t="s">
        <v>178</v>
      </c>
      <c r="E235" s="57" t="s">
        <v>76</v>
      </c>
      <c r="F235" s="71">
        <v>400.0</v>
      </c>
      <c r="G235" s="71">
        <v>400.0</v>
      </c>
      <c r="H235" s="65">
        <v>44366.0</v>
      </c>
    </row>
    <row r="236">
      <c r="D236" s="57" t="s">
        <v>173</v>
      </c>
      <c r="E236" s="57">
        <v>1.0</v>
      </c>
      <c r="F236" s="71">
        <v>950.0</v>
      </c>
      <c r="G236" s="71">
        <v>950.0</v>
      </c>
      <c r="H236" s="65">
        <v>44366.0</v>
      </c>
    </row>
    <row r="237">
      <c r="D237" s="57" t="s">
        <v>217</v>
      </c>
      <c r="E237" s="57" t="s">
        <v>76</v>
      </c>
      <c r="F237" s="71">
        <v>1500.0</v>
      </c>
      <c r="G237" s="71">
        <v>1500.0</v>
      </c>
      <c r="H237" s="65">
        <v>44366.0</v>
      </c>
    </row>
    <row r="238">
      <c r="D238" s="57" t="s">
        <v>280</v>
      </c>
      <c r="E238" s="57">
        <v>5.0</v>
      </c>
      <c r="F238" s="71">
        <v>20.0</v>
      </c>
      <c r="G238" s="71">
        <v>100.0</v>
      </c>
      <c r="H238" s="65">
        <v>44366.0</v>
      </c>
    </row>
    <row r="239">
      <c r="D239" s="57" t="s">
        <v>281</v>
      </c>
      <c r="E239" s="57" t="s">
        <v>282</v>
      </c>
      <c r="F239" s="71">
        <v>1.0</v>
      </c>
      <c r="G239" s="71">
        <v>19600.0</v>
      </c>
      <c r="H239" s="65">
        <v>44367.0</v>
      </c>
    </row>
    <row r="240">
      <c r="D240" s="57" t="s">
        <v>161</v>
      </c>
      <c r="E240" s="57">
        <v>2.0</v>
      </c>
      <c r="F240" s="71">
        <v>1600.0</v>
      </c>
      <c r="G240" s="71">
        <v>3200.0</v>
      </c>
      <c r="H240" s="65">
        <v>44367.0</v>
      </c>
    </row>
    <row r="241">
      <c r="D241" s="57" t="s">
        <v>283</v>
      </c>
      <c r="E241" s="57">
        <v>2.0</v>
      </c>
      <c r="F241" s="71">
        <v>700.0</v>
      </c>
      <c r="G241" s="71">
        <v>1400.0</v>
      </c>
      <c r="H241" s="65">
        <v>44367.0</v>
      </c>
    </row>
    <row r="242">
      <c r="D242" s="57" t="s">
        <v>284</v>
      </c>
      <c r="E242" s="57">
        <v>2.0</v>
      </c>
      <c r="F242" s="71">
        <v>600.0</v>
      </c>
      <c r="G242" s="71">
        <v>1200.0</v>
      </c>
      <c r="H242" s="65">
        <v>44367.0</v>
      </c>
    </row>
    <row r="243">
      <c r="D243" s="57" t="s">
        <v>285</v>
      </c>
      <c r="E243" s="57">
        <v>2.0</v>
      </c>
      <c r="F243" s="71">
        <v>550.0</v>
      </c>
      <c r="G243" s="71">
        <v>1100.0</v>
      </c>
      <c r="H243" s="65">
        <v>44367.0</v>
      </c>
    </row>
    <row r="244">
      <c r="D244" s="57" t="s">
        <v>286</v>
      </c>
      <c r="E244" s="57" t="s">
        <v>185</v>
      </c>
      <c r="F244" s="71">
        <v>3450.0</v>
      </c>
      <c r="G244" s="71">
        <v>6900.0</v>
      </c>
      <c r="H244" s="65">
        <v>44367.0</v>
      </c>
    </row>
    <row r="245">
      <c r="D245" s="57" t="s">
        <v>287</v>
      </c>
      <c r="E245" s="57" t="s">
        <v>288</v>
      </c>
      <c r="F245" s="71">
        <v>1350.0</v>
      </c>
      <c r="G245" s="71">
        <v>1350.0</v>
      </c>
      <c r="H245" s="65">
        <v>44367.0</v>
      </c>
    </row>
    <row r="246">
      <c r="D246" s="57" t="s">
        <v>274</v>
      </c>
      <c r="E246" s="57" t="s">
        <v>289</v>
      </c>
      <c r="F246" s="71">
        <v>6000.0</v>
      </c>
      <c r="G246" s="71">
        <v>3000.0</v>
      </c>
      <c r="H246" s="65">
        <v>44367.0</v>
      </c>
    </row>
    <row r="247">
      <c r="D247" s="57" t="s">
        <v>250</v>
      </c>
      <c r="E247" s="57">
        <v>1.0</v>
      </c>
      <c r="F247" s="71">
        <v>500.0</v>
      </c>
      <c r="G247" s="71">
        <v>500.0</v>
      </c>
      <c r="H247" s="65">
        <v>44367.0</v>
      </c>
    </row>
    <row r="248">
      <c r="D248" s="57" t="s">
        <v>290</v>
      </c>
      <c r="E248" s="57" t="s">
        <v>68</v>
      </c>
      <c r="F248" s="71">
        <v>180.0</v>
      </c>
      <c r="G248" s="71">
        <v>900.0</v>
      </c>
      <c r="H248" s="65">
        <v>44367.0</v>
      </c>
    </row>
    <row r="249">
      <c r="D249" s="57" t="s">
        <v>173</v>
      </c>
      <c r="E249" s="57" t="s">
        <v>156</v>
      </c>
      <c r="F249" s="71">
        <v>1480.0</v>
      </c>
      <c r="G249" s="71">
        <v>1480.0</v>
      </c>
      <c r="H249" s="65">
        <v>44367.0</v>
      </c>
    </row>
    <row r="250">
      <c r="D250" s="57" t="s">
        <v>162</v>
      </c>
      <c r="E250" s="57">
        <v>2.0</v>
      </c>
      <c r="F250" s="71">
        <v>1650.0</v>
      </c>
      <c r="G250" s="71">
        <v>3300.0</v>
      </c>
      <c r="H250" s="65">
        <v>44367.0</v>
      </c>
    </row>
    <row r="251">
      <c r="D251" s="57" t="s">
        <v>291</v>
      </c>
      <c r="E251" s="57" t="s">
        <v>292</v>
      </c>
      <c r="F251" s="71">
        <v>300.0</v>
      </c>
      <c r="G251" s="71">
        <v>300.0</v>
      </c>
      <c r="H251" s="65">
        <v>44367.0</v>
      </c>
    </row>
    <row r="252">
      <c r="D252" s="57" t="s">
        <v>293</v>
      </c>
      <c r="E252" s="57" t="s">
        <v>101</v>
      </c>
      <c r="F252" s="71" t="s">
        <v>106</v>
      </c>
      <c r="G252" s="71">
        <v>100.0</v>
      </c>
      <c r="H252" s="65">
        <v>44367.0</v>
      </c>
    </row>
    <row r="253">
      <c r="D253" s="57" t="s">
        <v>260</v>
      </c>
      <c r="E253" s="57" t="s">
        <v>294</v>
      </c>
      <c r="F253" s="71">
        <v>30.0</v>
      </c>
      <c r="G253" s="71">
        <v>1500.0</v>
      </c>
      <c r="H253" s="65">
        <v>44367.0</v>
      </c>
    </row>
    <row r="254">
      <c r="D254" s="57" t="s">
        <v>105</v>
      </c>
      <c r="E254" s="57" t="s">
        <v>111</v>
      </c>
      <c r="F254" s="71">
        <v>50.0</v>
      </c>
      <c r="G254" s="71">
        <v>1000.0</v>
      </c>
      <c r="H254" s="65">
        <v>44367.0</v>
      </c>
    </row>
    <row r="255">
      <c r="D255" s="57" t="s">
        <v>295</v>
      </c>
      <c r="E255" s="57" t="s">
        <v>156</v>
      </c>
      <c r="F255" s="71">
        <v>100.0</v>
      </c>
      <c r="G255" s="71">
        <v>200.0</v>
      </c>
      <c r="H255" s="65">
        <v>44367.0</v>
      </c>
    </row>
    <row r="256">
      <c r="D256" s="57" t="s">
        <v>296</v>
      </c>
      <c r="E256" s="57" t="s">
        <v>76</v>
      </c>
      <c r="F256" s="71">
        <v>100.0</v>
      </c>
      <c r="G256" s="71">
        <v>100.0</v>
      </c>
      <c r="H256" s="65">
        <v>44367.0</v>
      </c>
    </row>
    <row r="257">
      <c r="D257" s="57" t="s">
        <v>297</v>
      </c>
      <c r="E257" s="57">
        <v>2.0</v>
      </c>
      <c r="F257" s="71">
        <v>500.0</v>
      </c>
      <c r="G257" s="71">
        <v>1000.0</v>
      </c>
      <c r="H257" s="65">
        <v>44367.0</v>
      </c>
    </row>
    <row r="258">
      <c r="D258" s="57" t="s">
        <v>110</v>
      </c>
      <c r="E258" s="57" t="s">
        <v>138</v>
      </c>
      <c r="F258" s="71">
        <v>25.0</v>
      </c>
      <c r="G258" s="71">
        <v>2500.0</v>
      </c>
      <c r="H258" s="65">
        <v>44368.0</v>
      </c>
    </row>
    <row r="259">
      <c r="D259" s="57" t="s">
        <v>168</v>
      </c>
      <c r="E259" s="57" t="s">
        <v>222</v>
      </c>
      <c r="F259" s="71">
        <v>250.0</v>
      </c>
      <c r="G259" s="71">
        <v>7500.0</v>
      </c>
      <c r="H259" s="65">
        <v>44368.0</v>
      </c>
    </row>
    <row r="260">
      <c r="D260" s="57" t="s">
        <v>93</v>
      </c>
      <c r="E260" s="57" t="s">
        <v>156</v>
      </c>
      <c r="F260" s="71">
        <v>700.0</v>
      </c>
      <c r="G260" s="71">
        <v>1400.0</v>
      </c>
      <c r="H260" s="65">
        <v>44368.0</v>
      </c>
    </row>
    <row r="261">
      <c r="D261" s="57" t="s">
        <v>298</v>
      </c>
      <c r="E261" s="57" t="s">
        <v>76</v>
      </c>
      <c r="F261" s="71">
        <v>750.0</v>
      </c>
      <c r="G261" s="71">
        <v>750.0</v>
      </c>
      <c r="H261" s="65">
        <v>44368.0</v>
      </c>
    </row>
    <row r="262">
      <c r="D262" s="57" t="s">
        <v>299</v>
      </c>
      <c r="E262" s="57" t="s">
        <v>300</v>
      </c>
      <c r="F262" s="71">
        <v>1700.0</v>
      </c>
      <c r="G262" s="71">
        <v>170.0</v>
      </c>
      <c r="H262" s="65">
        <v>44368.0</v>
      </c>
    </row>
    <row r="263">
      <c r="D263" s="57" t="s">
        <v>301</v>
      </c>
      <c r="E263" s="57" t="s">
        <v>300</v>
      </c>
      <c r="F263" s="71">
        <v>2000.0</v>
      </c>
      <c r="G263" s="71">
        <v>200.0</v>
      </c>
      <c r="H263" s="65">
        <v>44368.0</v>
      </c>
    </row>
    <row r="264">
      <c r="D264" s="57" t="s">
        <v>302</v>
      </c>
      <c r="E264" s="57" t="s">
        <v>300</v>
      </c>
      <c r="F264" s="71">
        <v>3000.0</v>
      </c>
      <c r="G264" s="71">
        <v>300.0</v>
      </c>
      <c r="H264" s="65">
        <v>44368.0</v>
      </c>
    </row>
    <row r="265">
      <c r="D265" s="57" t="s">
        <v>303</v>
      </c>
      <c r="E265" s="57" t="s">
        <v>300</v>
      </c>
      <c r="F265" s="71">
        <v>4000.0</v>
      </c>
      <c r="G265" s="71">
        <v>400.0</v>
      </c>
      <c r="H265" s="65">
        <v>44368.0</v>
      </c>
    </row>
    <row r="266">
      <c r="D266" s="57" t="s">
        <v>304</v>
      </c>
      <c r="E266" s="57" t="s">
        <v>156</v>
      </c>
      <c r="F266" s="71">
        <v>100.0</v>
      </c>
      <c r="G266" s="71">
        <v>200.0</v>
      </c>
      <c r="H266" s="65">
        <v>44368.0</v>
      </c>
    </row>
    <row r="267">
      <c r="D267" s="57" t="s">
        <v>305</v>
      </c>
      <c r="E267" s="57">
        <v>5.0</v>
      </c>
      <c r="F267" s="71">
        <v>20.0</v>
      </c>
      <c r="G267" s="71">
        <v>100.0</v>
      </c>
      <c r="H267" s="65">
        <v>44368.0</v>
      </c>
    </row>
    <row r="268">
      <c r="D268" s="57" t="s">
        <v>306</v>
      </c>
      <c r="E268" s="57">
        <v>1.0</v>
      </c>
      <c r="F268" s="71">
        <v>200.0</v>
      </c>
      <c r="G268" s="71">
        <v>200.0</v>
      </c>
      <c r="H268" s="65">
        <v>44368.0</v>
      </c>
    </row>
    <row r="269">
      <c r="D269" s="57" t="s">
        <v>307</v>
      </c>
      <c r="E269" s="57">
        <v>5.0</v>
      </c>
      <c r="F269" s="71">
        <v>400.0</v>
      </c>
      <c r="G269" s="71">
        <v>2000.0</v>
      </c>
      <c r="H269" s="65">
        <v>44368.0</v>
      </c>
    </row>
    <row r="270">
      <c r="D270" s="57" t="s">
        <v>308</v>
      </c>
      <c r="E270" s="57">
        <v>1.0</v>
      </c>
      <c r="F270" s="71">
        <v>350.0</v>
      </c>
      <c r="G270" s="71">
        <v>350.0</v>
      </c>
      <c r="H270" s="65">
        <v>44368.0</v>
      </c>
    </row>
    <row r="271">
      <c r="D271" s="57" t="s">
        <v>309</v>
      </c>
      <c r="E271" s="57">
        <v>4.0</v>
      </c>
      <c r="F271" s="71">
        <v>1400.0</v>
      </c>
      <c r="G271" s="71">
        <v>5400.0</v>
      </c>
      <c r="H271" s="65">
        <v>44369.0</v>
      </c>
    </row>
    <row r="272">
      <c r="D272" s="57" t="s">
        <v>310</v>
      </c>
      <c r="E272" s="57" t="s">
        <v>288</v>
      </c>
      <c r="F272" s="71">
        <v>50.0</v>
      </c>
      <c r="G272" s="71">
        <v>1250.0</v>
      </c>
      <c r="H272" s="65">
        <v>44369.0</v>
      </c>
    </row>
    <row r="273">
      <c r="D273" s="57" t="s">
        <v>186</v>
      </c>
      <c r="E273" s="57" t="s">
        <v>265</v>
      </c>
      <c r="F273" s="71">
        <v>1500.0</v>
      </c>
      <c r="G273" s="71">
        <v>2250.0</v>
      </c>
      <c r="H273" s="65">
        <v>44369.0</v>
      </c>
    </row>
    <row r="274">
      <c r="D274" s="57" t="s">
        <v>93</v>
      </c>
      <c r="E274" s="57" t="s">
        <v>156</v>
      </c>
      <c r="F274" s="71">
        <v>800.0</v>
      </c>
      <c r="G274" s="71">
        <v>1600.0</v>
      </c>
      <c r="H274" s="65">
        <v>44369.0</v>
      </c>
    </row>
    <row r="275">
      <c r="D275" s="57" t="s">
        <v>180</v>
      </c>
      <c r="E275" s="57" t="s">
        <v>196</v>
      </c>
      <c r="F275" s="71">
        <v>400.0</v>
      </c>
      <c r="G275" s="71">
        <v>200.0</v>
      </c>
      <c r="H275" s="65">
        <v>44369.0</v>
      </c>
    </row>
    <row r="276">
      <c r="D276" s="57" t="s">
        <v>311</v>
      </c>
      <c r="E276" s="57">
        <v>1.0</v>
      </c>
      <c r="F276" s="71">
        <v>200.0</v>
      </c>
      <c r="G276" s="71">
        <v>200.0</v>
      </c>
      <c r="H276" s="65">
        <v>44371.0</v>
      </c>
    </row>
    <row r="277">
      <c r="D277" s="57" t="s">
        <v>312</v>
      </c>
      <c r="E277" s="57">
        <v>1.0</v>
      </c>
      <c r="F277" s="71">
        <v>100.0</v>
      </c>
      <c r="G277" s="71">
        <v>100.0</v>
      </c>
      <c r="H277" s="65">
        <v>44371.0</v>
      </c>
    </row>
    <row r="278">
      <c r="D278" s="57" t="s">
        <v>313</v>
      </c>
      <c r="E278" s="57">
        <v>3.0</v>
      </c>
      <c r="F278" s="71">
        <v>170.0</v>
      </c>
      <c r="G278" s="71">
        <v>510.0</v>
      </c>
      <c r="H278" s="65">
        <v>44371.0</v>
      </c>
    </row>
    <row r="279">
      <c r="D279" s="57" t="s">
        <v>314</v>
      </c>
      <c r="E279" s="57">
        <v>2.0</v>
      </c>
      <c r="F279" s="71">
        <v>200.0</v>
      </c>
      <c r="G279" s="71">
        <v>400.0</v>
      </c>
      <c r="H279" s="65">
        <v>44371.0</v>
      </c>
    </row>
    <row r="280">
      <c r="D280" s="57" t="s">
        <v>315</v>
      </c>
      <c r="E280" s="57">
        <v>4.0</v>
      </c>
      <c r="F280" s="71">
        <v>140.0</v>
      </c>
      <c r="G280" s="71">
        <v>560.0</v>
      </c>
      <c r="H280" s="65">
        <v>44371.0</v>
      </c>
      <c r="I280" s="87" t="s">
        <v>316</v>
      </c>
    </row>
    <row r="281">
      <c r="D281" s="57" t="s">
        <v>317</v>
      </c>
      <c r="E281" s="57">
        <v>1.0</v>
      </c>
      <c r="F281" s="71">
        <v>60.0</v>
      </c>
      <c r="G281" s="71">
        <v>60.0</v>
      </c>
      <c r="H281" s="65">
        <v>44371.0</v>
      </c>
      <c r="I281" s="87" t="s">
        <v>318</v>
      </c>
    </row>
    <row r="282">
      <c r="D282" s="57" t="s">
        <v>319</v>
      </c>
      <c r="E282" s="57">
        <v>1.0</v>
      </c>
      <c r="F282" s="71">
        <v>160.0</v>
      </c>
      <c r="G282" s="71">
        <v>160.0</v>
      </c>
      <c r="H282" s="65">
        <v>44371.0</v>
      </c>
      <c r="I282" s="87" t="s">
        <v>320</v>
      </c>
    </row>
    <row r="283">
      <c r="D283" s="57" t="s">
        <v>321</v>
      </c>
      <c r="E283" s="57" t="s">
        <v>322</v>
      </c>
      <c r="F283" s="71">
        <v>200.0</v>
      </c>
      <c r="G283" s="71">
        <v>200.0</v>
      </c>
      <c r="H283" s="65">
        <v>44371.0</v>
      </c>
    </row>
    <row r="284">
      <c r="D284" s="57" t="s">
        <v>323</v>
      </c>
      <c r="E284" s="57">
        <v>1.0</v>
      </c>
      <c r="F284" s="71">
        <v>200.0</v>
      </c>
      <c r="G284" s="71">
        <v>200.0</v>
      </c>
      <c r="H284" s="65">
        <v>44371.0</v>
      </c>
    </row>
    <row r="285">
      <c r="D285" s="57" t="s">
        <v>324</v>
      </c>
      <c r="E285" s="57">
        <v>1.0</v>
      </c>
      <c r="F285" s="71">
        <v>150.0</v>
      </c>
      <c r="G285" s="71">
        <v>150.0</v>
      </c>
      <c r="H285" s="65">
        <v>44371.0</v>
      </c>
    </row>
    <row r="286">
      <c r="D286" s="66" t="s">
        <v>325</v>
      </c>
      <c r="E286" s="66" t="s">
        <v>206</v>
      </c>
      <c r="F286" s="67">
        <v>750.0</v>
      </c>
      <c r="G286" s="67">
        <v>2250.0</v>
      </c>
      <c r="H286" s="88">
        <v>44371.0</v>
      </c>
    </row>
    <row r="287">
      <c r="D287" s="57" t="s">
        <v>178</v>
      </c>
      <c r="E287" s="57" t="s">
        <v>156</v>
      </c>
      <c r="F287" s="71">
        <v>400.0</v>
      </c>
      <c r="G287" s="71">
        <v>800.0</v>
      </c>
      <c r="H287" s="65">
        <v>44371.0</v>
      </c>
    </row>
    <row r="288">
      <c r="D288" s="57" t="s">
        <v>326</v>
      </c>
      <c r="E288" s="57" t="s">
        <v>76</v>
      </c>
      <c r="F288" s="71">
        <v>450.0</v>
      </c>
      <c r="G288" s="71">
        <v>450.0</v>
      </c>
      <c r="H288" s="65">
        <v>44371.0</v>
      </c>
    </row>
    <row r="289">
      <c r="D289" s="57" t="s">
        <v>327</v>
      </c>
      <c r="E289" s="57">
        <v>1.0</v>
      </c>
      <c r="F289" s="71">
        <v>100.0</v>
      </c>
      <c r="G289" s="71">
        <v>100.0</v>
      </c>
      <c r="H289" s="65">
        <v>45467.0</v>
      </c>
    </row>
    <row r="290">
      <c r="D290" s="57" t="s">
        <v>328</v>
      </c>
      <c r="E290" s="57" t="s">
        <v>196</v>
      </c>
      <c r="F290" s="71">
        <v>1500.0</v>
      </c>
      <c r="G290" s="71">
        <v>700.0</v>
      </c>
      <c r="H290" s="65">
        <v>44371.0</v>
      </c>
    </row>
    <row r="291">
      <c r="D291" s="57" t="s">
        <v>329</v>
      </c>
      <c r="E291" s="57">
        <v>1.0</v>
      </c>
      <c r="F291" s="71">
        <v>400.0</v>
      </c>
      <c r="G291" s="71">
        <v>750.0</v>
      </c>
      <c r="H291" s="65">
        <v>6618736.0</v>
      </c>
    </row>
    <row r="292">
      <c r="D292" s="57" t="s">
        <v>103</v>
      </c>
      <c r="E292" s="57">
        <v>10.0</v>
      </c>
      <c r="F292" s="71">
        <v>140.0</v>
      </c>
      <c r="G292" s="71">
        <v>1400.0</v>
      </c>
      <c r="H292" s="65">
        <v>44371.0</v>
      </c>
    </row>
    <row r="293">
      <c r="D293" s="57" t="s">
        <v>330</v>
      </c>
      <c r="E293" s="57">
        <v>5.0</v>
      </c>
      <c r="F293" s="71">
        <v>300.0</v>
      </c>
      <c r="G293" s="71">
        <v>1500.0</v>
      </c>
      <c r="H293" s="65">
        <v>44371.0</v>
      </c>
    </row>
    <row r="294">
      <c r="D294" s="57" t="s">
        <v>97</v>
      </c>
      <c r="E294" s="57" t="s">
        <v>106</v>
      </c>
      <c r="F294" s="71" t="s">
        <v>106</v>
      </c>
      <c r="G294" s="71">
        <v>300.0</v>
      </c>
      <c r="H294" s="65">
        <v>44371.0</v>
      </c>
    </row>
    <row r="295">
      <c r="D295" s="57" t="s">
        <v>308</v>
      </c>
      <c r="E295" s="57">
        <v>1.0</v>
      </c>
      <c r="F295" s="71">
        <v>350.0</v>
      </c>
      <c r="G295" s="71">
        <v>350.0</v>
      </c>
      <c r="H295" s="65">
        <v>44371.0</v>
      </c>
    </row>
    <row r="296">
      <c r="D296" s="57" t="s">
        <v>93</v>
      </c>
      <c r="E296" s="57" t="s">
        <v>76</v>
      </c>
      <c r="F296" s="71">
        <v>750.0</v>
      </c>
      <c r="G296" s="71">
        <v>750.0</v>
      </c>
      <c r="H296" s="65">
        <v>44372.0</v>
      </c>
    </row>
    <row r="297">
      <c r="D297" s="57" t="s">
        <v>186</v>
      </c>
      <c r="E297" s="57" t="s">
        <v>196</v>
      </c>
      <c r="F297" s="70"/>
      <c r="G297" s="70"/>
      <c r="H297" s="65">
        <v>44280.0</v>
      </c>
    </row>
    <row r="298">
      <c r="D298" s="57" t="s">
        <v>331</v>
      </c>
      <c r="E298" s="57" t="s">
        <v>76</v>
      </c>
      <c r="F298" s="70"/>
      <c r="G298" s="70"/>
      <c r="H298" s="65">
        <v>44372.0</v>
      </c>
    </row>
    <row r="299">
      <c r="D299" s="57" t="s">
        <v>103</v>
      </c>
      <c r="E299" s="57">
        <v>24.0</v>
      </c>
      <c r="F299" s="71">
        <v>100.0</v>
      </c>
      <c r="G299" s="71">
        <v>2400.0</v>
      </c>
      <c r="H299" s="65">
        <v>44373.0</v>
      </c>
      <c r="J299" s="87" t="s">
        <v>332</v>
      </c>
      <c r="K299" s="89">
        <v>1200.0</v>
      </c>
    </row>
    <row r="300">
      <c r="D300" s="57" t="s">
        <v>93</v>
      </c>
      <c r="E300" s="57" t="s">
        <v>156</v>
      </c>
      <c r="F300" s="71">
        <v>700.0</v>
      </c>
      <c r="G300" s="71">
        <v>1400.0</v>
      </c>
      <c r="H300" s="65">
        <v>44373.0</v>
      </c>
      <c r="J300" s="87" t="s">
        <v>333</v>
      </c>
      <c r="K300" s="89">
        <v>600.0</v>
      </c>
    </row>
    <row r="301">
      <c r="D301" s="57" t="s">
        <v>114</v>
      </c>
      <c r="E301" s="57" t="s">
        <v>334</v>
      </c>
      <c r="F301" s="71">
        <v>100.0</v>
      </c>
      <c r="G301" s="71">
        <v>1700.0</v>
      </c>
      <c r="H301" s="65">
        <v>44373.0</v>
      </c>
      <c r="K301" s="89">
        <v>900.0</v>
      </c>
    </row>
    <row r="302">
      <c r="D302" s="57" t="s">
        <v>335</v>
      </c>
      <c r="E302" s="57">
        <v>4.0</v>
      </c>
      <c r="F302" s="71">
        <v>400.0</v>
      </c>
      <c r="G302" s="71">
        <v>400.0</v>
      </c>
      <c r="H302" s="65">
        <v>44373.0</v>
      </c>
      <c r="J302" s="87" t="s">
        <v>336</v>
      </c>
      <c r="K302" s="89">
        <v>1200.0</v>
      </c>
    </row>
    <row r="303">
      <c r="D303" s="57" t="s">
        <v>337</v>
      </c>
      <c r="E303" s="57" t="s">
        <v>156</v>
      </c>
      <c r="F303" s="71">
        <v>50.0</v>
      </c>
      <c r="G303" s="71">
        <v>100.0</v>
      </c>
      <c r="H303" s="65">
        <v>44373.0</v>
      </c>
      <c r="J303" s="87" t="s">
        <v>338</v>
      </c>
      <c r="K303" s="89">
        <v>2800.0</v>
      </c>
    </row>
    <row r="304">
      <c r="D304" s="57" t="s">
        <v>209</v>
      </c>
      <c r="E304" s="57" t="s">
        <v>206</v>
      </c>
      <c r="F304" s="71">
        <v>100.0</v>
      </c>
      <c r="G304" s="71">
        <v>300.0</v>
      </c>
      <c r="H304" s="65">
        <v>44353.0</v>
      </c>
      <c r="K304" s="90">
        <f>SUM(K299:K303)</f>
        <v>6700</v>
      </c>
    </row>
    <row r="305">
      <c r="D305" s="57" t="s">
        <v>339</v>
      </c>
      <c r="E305" s="57" t="s">
        <v>206</v>
      </c>
      <c r="F305" s="71">
        <v>200.0</v>
      </c>
      <c r="G305" s="71">
        <v>600.0</v>
      </c>
      <c r="H305" s="65">
        <v>44373.0</v>
      </c>
    </row>
    <row r="306">
      <c r="D306" s="57" t="s">
        <v>105</v>
      </c>
      <c r="E306" s="57">
        <v>3.0</v>
      </c>
      <c r="F306" s="71">
        <v>35.0</v>
      </c>
      <c r="G306" s="71">
        <v>100.0</v>
      </c>
      <c r="H306" s="65">
        <v>44373.0</v>
      </c>
    </row>
    <row r="307">
      <c r="D307" s="57" t="s">
        <v>186</v>
      </c>
      <c r="E307" s="57" t="s">
        <v>196</v>
      </c>
      <c r="F307" s="71">
        <v>1900.0</v>
      </c>
      <c r="G307" s="71">
        <v>950.0</v>
      </c>
      <c r="H307" s="65">
        <v>44374.0</v>
      </c>
    </row>
    <row r="308">
      <c r="D308" s="57" t="s">
        <v>93</v>
      </c>
      <c r="E308" s="57" t="s">
        <v>196</v>
      </c>
      <c r="F308" s="71">
        <v>1000.0</v>
      </c>
      <c r="G308" s="71">
        <v>500.0</v>
      </c>
      <c r="H308" s="65">
        <v>44374.0</v>
      </c>
    </row>
    <row r="309">
      <c r="D309" s="57" t="s">
        <v>340</v>
      </c>
      <c r="E309" s="57">
        <v>2.0</v>
      </c>
      <c r="F309" s="71">
        <v>400.0</v>
      </c>
      <c r="G309" s="71">
        <v>800.0</v>
      </c>
      <c r="H309" s="65">
        <v>44374.0</v>
      </c>
    </row>
    <row r="310">
      <c r="D310" s="57" t="s">
        <v>341</v>
      </c>
      <c r="E310" s="57" t="s">
        <v>342</v>
      </c>
      <c r="F310" s="71">
        <v>150.0</v>
      </c>
      <c r="G310" s="71">
        <v>750.0</v>
      </c>
      <c r="H310" s="65">
        <v>44374.0</v>
      </c>
    </row>
    <row r="311">
      <c r="D311" s="57" t="s">
        <v>343</v>
      </c>
      <c r="E311" s="57" t="s">
        <v>344</v>
      </c>
      <c r="F311" s="71">
        <v>300.0</v>
      </c>
      <c r="G311" s="71">
        <v>300.0</v>
      </c>
      <c r="H311" s="65">
        <v>44374.0</v>
      </c>
    </row>
    <row r="312">
      <c r="D312" s="57" t="s">
        <v>345</v>
      </c>
      <c r="E312" s="69"/>
      <c r="F312" s="70"/>
      <c r="G312" s="70"/>
      <c r="H312" s="69"/>
    </row>
    <row r="313">
      <c r="D313" s="57" t="s">
        <v>346</v>
      </c>
      <c r="E313" s="57" t="s">
        <v>347</v>
      </c>
      <c r="F313" s="71" t="s">
        <v>106</v>
      </c>
      <c r="G313" s="71">
        <v>400.0</v>
      </c>
      <c r="H313" s="65">
        <v>44374.0</v>
      </c>
    </row>
    <row r="314">
      <c r="D314" s="57" t="s">
        <v>348</v>
      </c>
      <c r="E314" s="57" t="s">
        <v>156</v>
      </c>
      <c r="F314" s="71">
        <v>700.0</v>
      </c>
      <c r="G314" s="71">
        <v>1400.0</v>
      </c>
      <c r="H314" s="65">
        <v>44375.0</v>
      </c>
    </row>
    <row r="315">
      <c r="D315" s="57" t="s">
        <v>304</v>
      </c>
      <c r="E315" s="57" t="s">
        <v>196</v>
      </c>
      <c r="F315" s="71">
        <v>120.0</v>
      </c>
      <c r="G315" s="71">
        <v>60.0</v>
      </c>
      <c r="H315" s="65">
        <v>44377.0</v>
      </c>
    </row>
    <row r="316">
      <c r="D316" s="57" t="s">
        <v>186</v>
      </c>
      <c r="E316" s="57" t="s">
        <v>196</v>
      </c>
      <c r="F316" s="71">
        <v>1200.0</v>
      </c>
      <c r="G316" s="71">
        <v>600.0</v>
      </c>
      <c r="H316" s="65">
        <v>44377.0</v>
      </c>
    </row>
    <row r="317">
      <c r="D317" s="69"/>
      <c r="E317" s="69"/>
      <c r="F317" s="70"/>
      <c r="G317" s="70"/>
      <c r="H317" s="69"/>
    </row>
    <row r="318">
      <c r="D318" s="69"/>
      <c r="E318" s="69"/>
      <c r="F318" s="70"/>
      <c r="G318" s="70"/>
      <c r="H318" s="69"/>
    </row>
    <row r="319">
      <c r="D319" s="69"/>
      <c r="E319" s="69"/>
      <c r="F319" s="70"/>
      <c r="G319" s="70"/>
      <c r="H319" s="69"/>
    </row>
    <row r="320">
      <c r="D320" s="69"/>
      <c r="E320" s="69"/>
      <c r="F320" s="70"/>
      <c r="G320" s="70"/>
      <c r="H320" s="69"/>
    </row>
    <row r="321">
      <c r="D321" s="69"/>
      <c r="E321" s="69"/>
      <c r="F321" s="70"/>
      <c r="G321" s="70"/>
      <c r="H321" s="69"/>
    </row>
    <row r="322">
      <c r="D322" s="91" t="s">
        <v>349</v>
      </c>
      <c r="E322" s="1"/>
      <c r="F322" s="92"/>
      <c r="G322" s="93">
        <f>SUM(G4:G321)</f>
        <v>485380</v>
      </c>
      <c r="H322" s="1"/>
    </row>
    <row r="323">
      <c r="D323" s="91" t="s">
        <v>350</v>
      </c>
      <c r="E323" s="1"/>
      <c r="F323" s="94"/>
      <c r="G323" s="95">
        <v>20000.0</v>
      </c>
      <c r="H323" s="1"/>
    </row>
    <row r="324">
      <c r="D324" s="91" t="s">
        <v>351</v>
      </c>
      <c r="E324" s="1"/>
      <c r="F324" s="96"/>
      <c r="G324" s="97">
        <f>G323-G322</f>
        <v>-465380</v>
      </c>
      <c r="H324" s="1"/>
    </row>
    <row r="335">
      <c r="J335" s="98"/>
      <c r="K335" s="98"/>
    </row>
    <row r="336">
      <c r="J336" s="98"/>
      <c r="K336" s="98"/>
    </row>
    <row r="337">
      <c r="J337" s="98"/>
      <c r="K337" s="98"/>
    </row>
    <row r="338">
      <c r="J338" s="98"/>
      <c r="K338" s="99"/>
    </row>
    <row r="339">
      <c r="J339" s="98"/>
      <c r="K339" s="98"/>
    </row>
    <row r="340">
      <c r="J340" s="98"/>
      <c r="K340" s="9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37.0"/>
  </cols>
  <sheetData>
    <row r="1">
      <c r="A1" s="1"/>
      <c r="B1" s="2" t="s">
        <v>0</v>
      </c>
      <c r="C1" s="100" t="s">
        <v>352</v>
      </c>
      <c r="D1" s="101" t="s">
        <v>353</v>
      </c>
      <c r="E1" s="100" t="s">
        <v>354</v>
      </c>
      <c r="F1" s="100" t="s">
        <v>355</v>
      </c>
      <c r="G1" s="100" t="s">
        <v>356</v>
      </c>
      <c r="H1" s="100" t="s">
        <v>357</v>
      </c>
      <c r="I1" s="100" t="s">
        <v>358</v>
      </c>
      <c r="J1" s="100" t="s">
        <v>359</v>
      </c>
      <c r="K1" s="101" t="s">
        <v>360</v>
      </c>
      <c r="L1" s="101" t="s">
        <v>361</v>
      </c>
      <c r="M1" s="101" t="s">
        <v>362</v>
      </c>
      <c r="N1" s="101" t="s">
        <v>363</v>
      </c>
      <c r="O1" s="101" t="s">
        <v>364</v>
      </c>
      <c r="P1" s="100" t="s">
        <v>365</v>
      </c>
      <c r="Q1" s="102" t="s">
        <v>366</v>
      </c>
    </row>
    <row r="2">
      <c r="A2" s="9" t="s">
        <v>11</v>
      </c>
      <c r="B2" s="10">
        <v>44348.0</v>
      </c>
      <c r="C2" s="103">
        <v>3.0</v>
      </c>
      <c r="D2" s="103">
        <v>1.0</v>
      </c>
      <c r="E2" s="103">
        <v>0.0</v>
      </c>
      <c r="F2" s="103">
        <v>3.0</v>
      </c>
      <c r="G2" s="103">
        <v>3.0</v>
      </c>
      <c r="H2" s="103">
        <v>3.0</v>
      </c>
      <c r="I2" s="103">
        <v>3.0</v>
      </c>
      <c r="J2" s="103">
        <v>1.0</v>
      </c>
      <c r="K2" s="103">
        <v>1.0</v>
      </c>
      <c r="L2" s="103">
        <v>0.0</v>
      </c>
      <c r="M2" s="103">
        <v>0.0</v>
      </c>
      <c r="N2" s="103">
        <v>0.0</v>
      </c>
      <c r="O2" s="103">
        <v>0.0</v>
      </c>
      <c r="P2" s="103">
        <v>3.0</v>
      </c>
      <c r="Q2" s="104"/>
    </row>
    <row r="3">
      <c r="A3" s="9" t="s">
        <v>12</v>
      </c>
      <c r="B3" s="10">
        <v>44349.0</v>
      </c>
      <c r="C3" s="105">
        <v>1.0</v>
      </c>
      <c r="D3" s="105">
        <v>1.0</v>
      </c>
      <c r="E3" s="105">
        <v>0.0</v>
      </c>
      <c r="F3" s="105">
        <v>1.0</v>
      </c>
      <c r="G3" s="105">
        <v>1.0</v>
      </c>
      <c r="H3" s="105">
        <v>1.0</v>
      </c>
      <c r="I3" s="105">
        <v>1.0</v>
      </c>
      <c r="J3" s="105">
        <v>0.0</v>
      </c>
      <c r="K3" s="105">
        <v>1.0</v>
      </c>
      <c r="L3" s="105">
        <v>0.0</v>
      </c>
      <c r="M3" s="105">
        <v>0.0</v>
      </c>
      <c r="N3" s="105">
        <v>0.0</v>
      </c>
      <c r="O3" s="105">
        <v>0.0</v>
      </c>
      <c r="P3" s="105">
        <v>1.0</v>
      </c>
      <c r="Q3" s="104"/>
    </row>
    <row r="4">
      <c r="A4" s="9" t="s">
        <v>13</v>
      </c>
      <c r="B4" s="10">
        <v>44350.0</v>
      </c>
      <c r="C4" s="105">
        <v>1.0</v>
      </c>
      <c r="D4" s="105">
        <v>1.0</v>
      </c>
      <c r="E4" s="105">
        <v>0.0</v>
      </c>
      <c r="F4" s="105">
        <v>1.0</v>
      </c>
      <c r="G4" s="105">
        <v>1.0</v>
      </c>
      <c r="H4" s="105">
        <v>1.0</v>
      </c>
      <c r="I4" s="105">
        <v>1.0</v>
      </c>
      <c r="J4" s="105">
        <v>1.0</v>
      </c>
      <c r="K4" s="105">
        <v>1.0</v>
      </c>
      <c r="L4" s="105">
        <v>0.0</v>
      </c>
      <c r="M4" s="105">
        <v>0.0</v>
      </c>
      <c r="N4" s="105">
        <v>0.0</v>
      </c>
      <c r="O4" s="105">
        <v>0.0</v>
      </c>
      <c r="P4" s="105">
        <v>1.0</v>
      </c>
      <c r="Q4" s="104"/>
    </row>
    <row r="5">
      <c r="A5" s="19" t="s">
        <v>14</v>
      </c>
      <c r="B5" s="20">
        <v>44351.0</v>
      </c>
      <c r="C5" s="106">
        <v>1.0</v>
      </c>
      <c r="D5" s="106">
        <v>0.0</v>
      </c>
      <c r="E5" s="106">
        <v>0.0</v>
      </c>
      <c r="F5" s="106">
        <v>1.0</v>
      </c>
      <c r="G5" s="106">
        <v>0.0</v>
      </c>
      <c r="H5" s="106">
        <v>0.0</v>
      </c>
      <c r="I5" s="106">
        <v>1.0</v>
      </c>
      <c r="J5" s="106">
        <v>0.0</v>
      </c>
      <c r="K5" s="106">
        <v>0.0</v>
      </c>
      <c r="L5" s="106">
        <v>0.0</v>
      </c>
      <c r="M5" s="106">
        <v>0.0</v>
      </c>
      <c r="N5" s="106">
        <v>0.0</v>
      </c>
      <c r="O5" s="106">
        <v>0.0</v>
      </c>
      <c r="P5" s="106">
        <v>1.0</v>
      </c>
      <c r="Q5" s="104"/>
    </row>
    <row r="6">
      <c r="A6" s="9" t="s">
        <v>15</v>
      </c>
      <c r="B6" s="10">
        <v>44352.0</v>
      </c>
      <c r="C6" s="105">
        <v>1.0</v>
      </c>
      <c r="D6" s="105">
        <v>1.0</v>
      </c>
      <c r="E6" s="105">
        <v>1.0</v>
      </c>
      <c r="F6" s="105">
        <v>1.0</v>
      </c>
      <c r="G6" s="105">
        <v>1.0</v>
      </c>
      <c r="H6" s="105">
        <v>0.5</v>
      </c>
      <c r="I6" s="105">
        <v>0.0</v>
      </c>
      <c r="J6" s="105">
        <v>1.0</v>
      </c>
      <c r="K6" s="105">
        <v>1.0</v>
      </c>
      <c r="L6" s="105">
        <v>0.0</v>
      </c>
      <c r="M6" s="105">
        <v>0.0</v>
      </c>
      <c r="N6" s="105">
        <v>1.0</v>
      </c>
      <c r="O6" s="105">
        <v>0.0</v>
      </c>
      <c r="P6" s="105">
        <v>1.0</v>
      </c>
      <c r="Q6" s="105" t="s">
        <v>367</v>
      </c>
    </row>
    <row r="7">
      <c r="A7" s="9" t="s">
        <v>16</v>
      </c>
      <c r="B7" s="10">
        <v>44353.0</v>
      </c>
      <c r="C7" s="105">
        <v>1.0</v>
      </c>
      <c r="D7" s="105">
        <v>1.0</v>
      </c>
      <c r="E7" s="105">
        <v>0.0</v>
      </c>
      <c r="F7" s="105">
        <v>1.0</v>
      </c>
      <c r="G7" s="105">
        <v>1.0</v>
      </c>
      <c r="H7" s="105">
        <v>1.0</v>
      </c>
      <c r="I7" s="105">
        <v>1.0</v>
      </c>
      <c r="J7" s="105">
        <v>0.0</v>
      </c>
      <c r="K7" s="105">
        <v>1.0</v>
      </c>
      <c r="L7" s="105">
        <v>0.0</v>
      </c>
      <c r="M7" s="105">
        <v>0.0</v>
      </c>
      <c r="N7" s="105">
        <v>1.0</v>
      </c>
      <c r="O7" s="105">
        <v>1.0</v>
      </c>
      <c r="P7" s="105">
        <v>1.0</v>
      </c>
      <c r="Q7" s="104"/>
    </row>
    <row r="8">
      <c r="A8" s="9" t="s">
        <v>17</v>
      </c>
      <c r="B8" s="10">
        <v>44354.0</v>
      </c>
      <c r="C8" s="105">
        <v>1.0</v>
      </c>
      <c r="D8" s="105">
        <v>0.0</v>
      </c>
      <c r="E8" s="105">
        <v>0.0</v>
      </c>
      <c r="F8" s="105">
        <v>1.0</v>
      </c>
      <c r="G8" s="105">
        <v>1.0</v>
      </c>
      <c r="H8" s="105">
        <v>1.0</v>
      </c>
      <c r="I8" s="105">
        <v>1.0</v>
      </c>
      <c r="J8" s="105">
        <v>0.0</v>
      </c>
      <c r="K8" s="105">
        <v>1.0</v>
      </c>
      <c r="L8" s="105">
        <v>0.0</v>
      </c>
      <c r="M8" s="105">
        <v>0.0</v>
      </c>
      <c r="N8" s="105">
        <v>1.0</v>
      </c>
      <c r="O8" s="105">
        <v>1.0</v>
      </c>
      <c r="P8" s="105">
        <v>1.0</v>
      </c>
      <c r="Q8" s="104"/>
    </row>
    <row r="9">
      <c r="A9" s="9" t="s">
        <v>11</v>
      </c>
      <c r="B9" s="10">
        <v>44355.0</v>
      </c>
      <c r="C9" s="105">
        <v>0.0</v>
      </c>
      <c r="D9" s="105">
        <v>1.0</v>
      </c>
      <c r="E9" s="105">
        <v>1.0</v>
      </c>
      <c r="F9" s="105">
        <v>1.0</v>
      </c>
      <c r="G9" s="105">
        <v>1.0</v>
      </c>
      <c r="H9" s="105">
        <v>1.0</v>
      </c>
      <c r="I9" s="105">
        <v>1.0</v>
      </c>
      <c r="J9" s="105">
        <v>0.0</v>
      </c>
      <c r="K9" s="105">
        <v>1.0</v>
      </c>
      <c r="L9" s="105">
        <v>0.0</v>
      </c>
      <c r="M9" s="105">
        <v>0.0</v>
      </c>
      <c r="N9" s="105">
        <v>1.0</v>
      </c>
      <c r="O9" s="105">
        <v>1.0</v>
      </c>
      <c r="P9" s="105">
        <v>1.0</v>
      </c>
      <c r="Q9" s="104"/>
    </row>
    <row r="10">
      <c r="A10" s="9" t="s">
        <v>12</v>
      </c>
      <c r="B10" s="10">
        <v>44356.0</v>
      </c>
      <c r="C10" s="105">
        <v>1.0</v>
      </c>
      <c r="D10" s="105">
        <v>1.0</v>
      </c>
      <c r="E10" s="105">
        <v>1.0</v>
      </c>
      <c r="F10" s="105">
        <v>1.0</v>
      </c>
      <c r="G10" s="105">
        <v>1.0</v>
      </c>
      <c r="H10" s="105">
        <v>1.0</v>
      </c>
      <c r="I10" s="105">
        <v>1.0</v>
      </c>
      <c r="J10" s="105">
        <v>1.0</v>
      </c>
      <c r="K10" s="105">
        <v>1.0</v>
      </c>
      <c r="L10" s="105">
        <v>0.0</v>
      </c>
      <c r="M10" s="105">
        <v>0.0</v>
      </c>
      <c r="N10" s="105">
        <v>1.0</v>
      </c>
      <c r="O10" s="105">
        <v>1.0</v>
      </c>
      <c r="P10" s="105">
        <v>1.0</v>
      </c>
      <c r="Q10" s="105" t="s">
        <v>368</v>
      </c>
    </row>
    <row r="11">
      <c r="A11" s="9" t="s">
        <v>13</v>
      </c>
      <c r="B11" s="10">
        <v>44357.0</v>
      </c>
      <c r="C11" s="105">
        <v>1.0</v>
      </c>
      <c r="D11" s="105">
        <v>1.0</v>
      </c>
      <c r="E11" s="105">
        <v>0.0</v>
      </c>
      <c r="F11" s="105">
        <v>1.0</v>
      </c>
      <c r="G11" s="105">
        <v>1.0</v>
      </c>
      <c r="H11" s="105">
        <v>1.0</v>
      </c>
      <c r="I11" s="105">
        <v>1.0</v>
      </c>
      <c r="J11" s="105">
        <v>1.0</v>
      </c>
      <c r="K11" s="105">
        <v>1.0</v>
      </c>
      <c r="L11" s="105">
        <v>0.0</v>
      </c>
      <c r="M11" s="105">
        <v>0.0</v>
      </c>
      <c r="N11" s="105">
        <v>1.0</v>
      </c>
      <c r="O11" s="105">
        <v>1.0</v>
      </c>
      <c r="P11" s="105">
        <v>1.0</v>
      </c>
      <c r="Q11" s="104"/>
    </row>
    <row r="12">
      <c r="A12" s="19" t="s">
        <v>14</v>
      </c>
      <c r="B12" s="20">
        <v>44358.0</v>
      </c>
      <c r="C12" s="106">
        <v>1.0</v>
      </c>
      <c r="D12" s="106">
        <v>1.0</v>
      </c>
      <c r="E12" s="106">
        <v>0.0</v>
      </c>
      <c r="F12" s="106">
        <v>0.0</v>
      </c>
      <c r="G12" s="106">
        <v>0.0</v>
      </c>
      <c r="H12" s="106">
        <v>0.0</v>
      </c>
      <c r="I12" s="106">
        <v>1.0</v>
      </c>
      <c r="J12" s="106">
        <v>1.0</v>
      </c>
      <c r="K12" s="106">
        <v>0.0</v>
      </c>
      <c r="L12" s="106">
        <v>0.0</v>
      </c>
      <c r="M12" s="106">
        <v>0.0</v>
      </c>
      <c r="N12" s="106">
        <v>1.0</v>
      </c>
      <c r="O12" s="106">
        <v>1.0</v>
      </c>
      <c r="P12" s="106">
        <v>1.0</v>
      </c>
      <c r="Q12" s="104"/>
    </row>
    <row r="13">
      <c r="A13" s="9" t="s">
        <v>15</v>
      </c>
      <c r="B13" s="10">
        <v>44359.0</v>
      </c>
      <c r="C13" s="105">
        <v>1.0</v>
      </c>
      <c r="D13" s="105">
        <v>1.0</v>
      </c>
      <c r="E13" s="105">
        <v>1.0</v>
      </c>
      <c r="F13" s="105">
        <v>1.0</v>
      </c>
      <c r="G13" s="105">
        <v>1.0</v>
      </c>
      <c r="H13" s="105">
        <v>0.5</v>
      </c>
      <c r="I13" s="105">
        <v>0.0</v>
      </c>
      <c r="J13" s="105">
        <v>1.0</v>
      </c>
      <c r="K13" s="105">
        <v>1.0</v>
      </c>
      <c r="L13" s="105">
        <v>0.0</v>
      </c>
      <c r="M13" s="105">
        <v>1.0</v>
      </c>
      <c r="N13" s="105">
        <v>1.0</v>
      </c>
      <c r="O13" s="105">
        <v>1.0</v>
      </c>
      <c r="P13" s="105">
        <v>0.0</v>
      </c>
      <c r="Q13" s="105" t="s">
        <v>369</v>
      </c>
    </row>
    <row r="14">
      <c r="A14" s="9" t="s">
        <v>16</v>
      </c>
      <c r="B14" s="10">
        <v>44360.0</v>
      </c>
      <c r="C14" s="105">
        <v>0.0</v>
      </c>
      <c r="D14" s="105">
        <v>0.0</v>
      </c>
      <c r="E14" s="105">
        <v>1.0</v>
      </c>
      <c r="F14" s="105">
        <v>1.0</v>
      </c>
      <c r="G14" s="105">
        <v>1.0</v>
      </c>
      <c r="H14" s="105">
        <v>1.0</v>
      </c>
      <c r="I14" s="105">
        <v>1.0</v>
      </c>
      <c r="J14" s="105">
        <v>0.0</v>
      </c>
      <c r="K14" s="105">
        <v>1.0</v>
      </c>
      <c r="L14" s="105">
        <v>0.0</v>
      </c>
      <c r="M14" s="105">
        <v>1.0</v>
      </c>
      <c r="N14" s="105">
        <v>1.0</v>
      </c>
      <c r="O14" s="105">
        <v>1.0</v>
      </c>
      <c r="P14" s="105">
        <v>1.0</v>
      </c>
      <c r="Q14" s="104"/>
    </row>
    <row r="15">
      <c r="A15" s="9" t="s">
        <v>17</v>
      </c>
      <c r="B15" s="10">
        <v>44361.0</v>
      </c>
      <c r="C15" s="105">
        <v>1.0</v>
      </c>
      <c r="D15" s="105">
        <v>0.0</v>
      </c>
      <c r="E15" s="105">
        <v>1.0</v>
      </c>
      <c r="F15" s="105">
        <v>0.5</v>
      </c>
      <c r="G15" s="105">
        <v>1.0</v>
      </c>
      <c r="H15" s="105">
        <v>0.0</v>
      </c>
      <c r="I15" s="105">
        <v>1.0</v>
      </c>
      <c r="J15" s="105">
        <v>0.0</v>
      </c>
      <c r="K15" s="105">
        <v>1.0</v>
      </c>
      <c r="L15" s="105">
        <v>0.0</v>
      </c>
      <c r="M15" s="105">
        <v>1.0</v>
      </c>
      <c r="N15" s="105">
        <v>1.0</v>
      </c>
      <c r="O15" s="105">
        <v>1.0</v>
      </c>
      <c r="P15" s="105">
        <v>1.0</v>
      </c>
      <c r="Q15" s="105" t="s">
        <v>370</v>
      </c>
    </row>
    <row r="16">
      <c r="A16" s="9" t="s">
        <v>11</v>
      </c>
      <c r="B16" s="10">
        <v>44362.0</v>
      </c>
      <c r="C16" s="105">
        <v>1.0</v>
      </c>
      <c r="D16" s="105">
        <v>0.0</v>
      </c>
      <c r="E16" s="105">
        <v>1.0</v>
      </c>
      <c r="F16" s="105">
        <v>0.0</v>
      </c>
      <c r="G16" s="105">
        <v>1.0</v>
      </c>
      <c r="H16" s="105">
        <v>1.0</v>
      </c>
      <c r="I16" s="105">
        <v>1.0</v>
      </c>
      <c r="J16" s="105">
        <v>0.0</v>
      </c>
      <c r="K16" s="105">
        <v>1.0</v>
      </c>
      <c r="L16" s="105">
        <v>0.0</v>
      </c>
      <c r="M16" s="105">
        <v>1.0</v>
      </c>
      <c r="N16" s="105">
        <v>1.0</v>
      </c>
      <c r="O16" s="105">
        <v>1.0</v>
      </c>
      <c r="P16" s="105">
        <v>0.0</v>
      </c>
      <c r="Q16" s="105" t="s">
        <v>371</v>
      </c>
    </row>
    <row r="17">
      <c r="A17" s="9" t="s">
        <v>12</v>
      </c>
      <c r="B17" s="10">
        <v>44363.0</v>
      </c>
      <c r="C17" s="105">
        <v>1.0</v>
      </c>
      <c r="D17" s="105">
        <v>0.0</v>
      </c>
      <c r="E17" s="105">
        <v>1.0</v>
      </c>
      <c r="F17" s="105">
        <v>0.5</v>
      </c>
      <c r="G17" s="105">
        <v>1.0</v>
      </c>
      <c r="H17" s="105">
        <v>1.0</v>
      </c>
      <c r="I17" s="105">
        <v>1.0</v>
      </c>
      <c r="J17" s="105">
        <v>0.0</v>
      </c>
      <c r="K17" s="105">
        <v>1.0</v>
      </c>
      <c r="L17" s="105">
        <v>0.0</v>
      </c>
      <c r="M17" s="105">
        <v>1.0</v>
      </c>
      <c r="N17" s="105">
        <v>1.0</v>
      </c>
      <c r="O17" s="105">
        <v>1.0</v>
      </c>
      <c r="P17" s="105">
        <v>1.0</v>
      </c>
      <c r="Q17" s="105" t="s">
        <v>372</v>
      </c>
    </row>
    <row r="18">
      <c r="A18" s="9" t="s">
        <v>13</v>
      </c>
      <c r="B18" s="10">
        <v>44364.0</v>
      </c>
      <c r="C18" s="105">
        <v>1.0</v>
      </c>
      <c r="D18" s="105">
        <v>0.0</v>
      </c>
      <c r="E18" s="105">
        <v>1.0</v>
      </c>
      <c r="F18" s="105">
        <v>1.0</v>
      </c>
      <c r="G18" s="105">
        <v>1.0</v>
      </c>
      <c r="H18" s="105">
        <v>1.0</v>
      </c>
      <c r="I18" s="105">
        <v>1.0</v>
      </c>
      <c r="J18" s="105">
        <v>0.0</v>
      </c>
      <c r="K18" s="105">
        <v>1.0</v>
      </c>
      <c r="L18" s="105">
        <v>0.0</v>
      </c>
      <c r="M18" s="105">
        <v>1.0</v>
      </c>
      <c r="N18" s="105">
        <v>1.0</v>
      </c>
      <c r="O18" s="105">
        <v>1.0</v>
      </c>
      <c r="P18" s="105">
        <v>1.0</v>
      </c>
      <c r="Q18" s="105" t="s">
        <v>373</v>
      </c>
    </row>
    <row r="19">
      <c r="A19" s="19" t="s">
        <v>14</v>
      </c>
      <c r="B19" s="20">
        <v>44365.0</v>
      </c>
      <c r="C19" s="106">
        <v>0.0</v>
      </c>
      <c r="D19" s="106">
        <v>1.0</v>
      </c>
      <c r="E19" s="106">
        <v>0.0</v>
      </c>
      <c r="F19" s="106">
        <v>0.0</v>
      </c>
      <c r="G19" s="106">
        <v>0.0</v>
      </c>
      <c r="H19" s="107">
        <v>0.0</v>
      </c>
      <c r="I19" s="106">
        <v>1.0</v>
      </c>
      <c r="J19" s="106">
        <v>1.0</v>
      </c>
      <c r="K19" s="106">
        <v>0.0</v>
      </c>
      <c r="L19" s="106">
        <v>0.0</v>
      </c>
      <c r="M19" s="106">
        <v>0.0</v>
      </c>
      <c r="N19" s="106">
        <v>1.0</v>
      </c>
      <c r="O19" s="106">
        <v>0.0</v>
      </c>
      <c r="P19" s="106">
        <v>1.0</v>
      </c>
      <c r="Q19" s="104"/>
    </row>
    <row r="20">
      <c r="A20" s="9" t="s">
        <v>15</v>
      </c>
      <c r="B20" s="10">
        <v>44366.0</v>
      </c>
      <c r="C20" s="105">
        <v>1.0</v>
      </c>
      <c r="D20" s="105">
        <v>1.0</v>
      </c>
      <c r="E20" s="105">
        <v>1.0</v>
      </c>
      <c r="F20" s="105">
        <v>1.0</v>
      </c>
      <c r="G20" s="105">
        <v>1.0</v>
      </c>
      <c r="H20" s="107">
        <v>0.0</v>
      </c>
      <c r="I20" s="105">
        <v>0.0</v>
      </c>
      <c r="J20" s="105">
        <v>1.0</v>
      </c>
      <c r="K20" s="105">
        <v>1.0</v>
      </c>
      <c r="L20" s="105">
        <v>0.0</v>
      </c>
      <c r="M20" s="105">
        <v>1.0</v>
      </c>
      <c r="N20" s="105">
        <v>1.0</v>
      </c>
      <c r="O20" s="105">
        <v>1.0</v>
      </c>
      <c r="P20" s="105">
        <v>0.0</v>
      </c>
      <c r="Q20" s="105" t="s">
        <v>374</v>
      </c>
    </row>
    <row r="21">
      <c r="A21" s="9" t="s">
        <v>16</v>
      </c>
      <c r="B21" s="10">
        <v>44367.0</v>
      </c>
      <c r="C21" s="105">
        <v>1.0</v>
      </c>
      <c r="D21" s="105">
        <v>0.0</v>
      </c>
      <c r="E21" s="105">
        <v>0.0</v>
      </c>
      <c r="F21" s="105">
        <v>1.0</v>
      </c>
      <c r="G21" s="105">
        <v>1.0</v>
      </c>
      <c r="H21" s="107">
        <v>0.0</v>
      </c>
      <c r="I21" s="105">
        <v>1.0</v>
      </c>
      <c r="J21" s="105">
        <v>0.0</v>
      </c>
      <c r="K21" s="105">
        <v>1.0</v>
      </c>
      <c r="L21" s="105">
        <v>0.0</v>
      </c>
      <c r="M21" s="105">
        <v>1.0</v>
      </c>
      <c r="N21" s="105">
        <v>0.0</v>
      </c>
      <c r="O21" s="105">
        <v>1.0</v>
      </c>
      <c r="P21" s="105">
        <v>1.0</v>
      </c>
      <c r="Q21" s="105" t="s">
        <v>375</v>
      </c>
    </row>
    <row r="22">
      <c r="A22" s="9" t="s">
        <v>17</v>
      </c>
      <c r="B22" s="10">
        <v>44368.0</v>
      </c>
      <c r="C22" s="105">
        <v>1.0</v>
      </c>
      <c r="D22" s="105">
        <v>0.0</v>
      </c>
      <c r="E22" s="105">
        <v>0.0</v>
      </c>
      <c r="F22" s="105">
        <v>1.0</v>
      </c>
      <c r="G22" s="105">
        <v>1.0</v>
      </c>
      <c r="H22" s="107">
        <v>0.0</v>
      </c>
      <c r="I22" s="105">
        <v>1.0</v>
      </c>
      <c r="J22" s="105">
        <v>0.0</v>
      </c>
      <c r="K22" s="105">
        <v>1.0</v>
      </c>
      <c r="L22" s="105">
        <v>0.0</v>
      </c>
      <c r="M22" s="105">
        <v>1.0</v>
      </c>
      <c r="N22" s="105">
        <v>1.0</v>
      </c>
      <c r="O22" s="105">
        <v>1.0</v>
      </c>
      <c r="P22" s="105">
        <v>0.5</v>
      </c>
      <c r="Q22" s="105" t="s">
        <v>376</v>
      </c>
    </row>
    <row r="23">
      <c r="A23" s="9" t="s">
        <v>11</v>
      </c>
      <c r="B23" s="10">
        <v>44369.0</v>
      </c>
      <c r="C23" s="105">
        <v>1.0</v>
      </c>
      <c r="D23" s="105">
        <v>1.0</v>
      </c>
      <c r="E23" s="105">
        <v>0.0</v>
      </c>
      <c r="F23" s="105">
        <v>1.0</v>
      </c>
      <c r="G23" s="105">
        <v>1.0</v>
      </c>
      <c r="H23" s="107">
        <v>0.0</v>
      </c>
      <c r="I23" s="105">
        <v>1.0</v>
      </c>
      <c r="J23" s="105">
        <v>0.0</v>
      </c>
      <c r="K23" s="105">
        <v>0.0</v>
      </c>
      <c r="L23" s="105">
        <v>1.0</v>
      </c>
      <c r="M23" s="105">
        <v>1.0</v>
      </c>
      <c r="N23" s="105">
        <v>1.0</v>
      </c>
      <c r="O23" s="107">
        <v>0.0</v>
      </c>
      <c r="P23" s="105">
        <v>1.0</v>
      </c>
      <c r="Q23" s="105" t="s">
        <v>377</v>
      </c>
    </row>
    <row r="24">
      <c r="A24" s="9" t="s">
        <v>12</v>
      </c>
      <c r="B24" s="10">
        <v>44370.0</v>
      </c>
      <c r="C24" s="105">
        <v>1.0</v>
      </c>
      <c r="D24" s="105">
        <v>1.0</v>
      </c>
      <c r="E24" s="105">
        <v>0.0</v>
      </c>
      <c r="F24" s="105">
        <v>1.0</v>
      </c>
      <c r="G24" s="105">
        <v>1.0</v>
      </c>
      <c r="H24" s="107">
        <v>0.0</v>
      </c>
      <c r="I24" s="105">
        <v>1.0</v>
      </c>
      <c r="J24" s="105">
        <v>0.0</v>
      </c>
      <c r="K24" s="105">
        <v>1.0</v>
      </c>
      <c r="L24" s="105">
        <v>1.0</v>
      </c>
      <c r="M24" s="105">
        <v>1.0</v>
      </c>
      <c r="N24" s="105">
        <v>1.0</v>
      </c>
      <c r="O24" s="107">
        <v>0.0</v>
      </c>
      <c r="P24" s="105">
        <v>1.0</v>
      </c>
      <c r="Q24" s="105" t="s">
        <v>378</v>
      </c>
    </row>
    <row r="25">
      <c r="A25" s="9" t="s">
        <v>13</v>
      </c>
      <c r="B25" s="10">
        <v>44371.0</v>
      </c>
      <c r="C25" s="105">
        <v>1.0</v>
      </c>
      <c r="D25" s="105">
        <v>1.0</v>
      </c>
      <c r="E25" s="105">
        <v>0.0</v>
      </c>
      <c r="F25" s="105">
        <v>0.5</v>
      </c>
      <c r="G25" s="105">
        <v>1.0</v>
      </c>
      <c r="H25" s="107">
        <v>0.0</v>
      </c>
      <c r="I25" s="105">
        <v>1.0</v>
      </c>
      <c r="J25" s="105">
        <v>1.0</v>
      </c>
      <c r="K25" s="105">
        <v>1.0</v>
      </c>
      <c r="L25" s="105">
        <v>1.0</v>
      </c>
      <c r="M25" s="105">
        <v>1.0</v>
      </c>
      <c r="N25" s="105">
        <v>1.0</v>
      </c>
      <c r="O25" s="107">
        <v>0.0</v>
      </c>
      <c r="P25" s="105">
        <v>1.0</v>
      </c>
      <c r="Q25" s="105" t="s">
        <v>379</v>
      </c>
      <c r="R25" s="87" t="s">
        <v>380</v>
      </c>
    </row>
    <row r="26">
      <c r="A26" s="19" t="s">
        <v>14</v>
      </c>
      <c r="B26" s="20">
        <v>44372.0</v>
      </c>
      <c r="C26" s="106">
        <v>1.0</v>
      </c>
      <c r="D26" s="106">
        <v>1.0</v>
      </c>
      <c r="E26" s="106">
        <v>0.0</v>
      </c>
      <c r="F26" s="106">
        <v>1.0</v>
      </c>
      <c r="G26" s="106">
        <v>0.0</v>
      </c>
      <c r="H26" s="107">
        <v>0.0</v>
      </c>
      <c r="I26" s="106">
        <v>1.0</v>
      </c>
      <c r="J26" s="106">
        <v>1.0</v>
      </c>
      <c r="K26" s="107">
        <v>0.0</v>
      </c>
      <c r="L26" s="106">
        <v>0.0</v>
      </c>
      <c r="M26" s="106">
        <v>0.0</v>
      </c>
      <c r="N26" s="106">
        <v>1.0</v>
      </c>
      <c r="O26" s="107">
        <v>0.0</v>
      </c>
      <c r="P26" s="106">
        <v>1.0</v>
      </c>
      <c r="Q26" s="104"/>
    </row>
    <row r="27">
      <c r="A27" s="9" t="s">
        <v>15</v>
      </c>
      <c r="B27" s="10">
        <v>44373.0</v>
      </c>
      <c r="C27" s="105">
        <v>1.0</v>
      </c>
      <c r="D27" s="105">
        <v>1.0</v>
      </c>
      <c r="E27" s="105">
        <v>0.0</v>
      </c>
      <c r="F27" s="105">
        <v>1.0</v>
      </c>
      <c r="G27" s="105">
        <v>1.0</v>
      </c>
      <c r="H27" s="107">
        <v>0.0</v>
      </c>
      <c r="I27" s="105">
        <v>0.0</v>
      </c>
      <c r="J27" s="105">
        <v>1.0</v>
      </c>
      <c r="K27" s="107">
        <v>0.0</v>
      </c>
      <c r="L27" s="105">
        <v>1.0</v>
      </c>
      <c r="M27" s="105">
        <v>1.0</v>
      </c>
      <c r="N27" s="105">
        <v>1.0</v>
      </c>
      <c r="O27" s="107">
        <v>0.0</v>
      </c>
      <c r="P27" s="105">
        <v>0.5</v>
      </c>
      <c r="Q27" s="104"/>
    </row>
    <row r="28">
      <c r="A28" s="9" t="s">
        <v>16</v>
      </c>
      <c r="B28" s="10">
        <v>44374.0</v>
      </c>
      <c r="C28" s="105">
        <v>1.0</v>
      </c>
      <c r="D28" s="105">
        <v>1.0</v>
      </c>
      <c r="E28" s="105">
        <v>1.0</v>
      </c>
      <c r="F28" s="105">
        <v>0.0</v>
      </c>
      <c r="G28" s="105">
        <v>1.0</v>
      </c>
      <c r="H28" s="107">
        <v>0.0</v>
      </c>
      <c r="I28" s="105">
        <v>1.0</v>
      </c>
      <c r="J28" s="105">
        <v>0.0</v>
      </c>
      <c r="K28" s="107">
        <v>0.0</v>
      </c>
      <c r="L28" s="105">
        <v>1.0</v>
      </c>
      <c r="M28" s="105">
        <v>1.0</v>
      </c>
      <c r="N28" s="105">
        <v>1.0</v>
      </c>
      <c r="O28" s="107">
        <v>0.0</v>
      </c>
      <c r="P28" s="105">
        <v>1.0</v>
      </c>
      <c r="Q28" s="104"/>
    </row>
    <row r="29">
      <c r="A29" s="9" t="s">
        <v>17</v>
      </c>
      <c r="B29" s="10">
        <v>44375.0</v>
      </c>
      <c r="C29" s="108">
        <v>1.0</v>
      </c>
      <c r="D29" s="108">
        <v>1.0</v>
      </c>
      <c r="E29" s="108">
        <v>1.0</v>
      </c>
      <c r="F29" s="108">
        <v>0.0</v>
      </c>
      <c r="G29" s="108">
        <v>1.0</v>
      </c>
      <c r="H29" s="109">
        <v>0.0</v>
      </c>
      <c r="I29" s="108">
        <v>1.0</v>
      </c>
      <c r="J29" s="108">
        <v>0.0</v>
      </c>
      <c r="K29" s="109">
        <v>0.0</v>
      </c>
      <c r="L29" s="108">
        <v>1.0</v>
      </c>
      <c r="M29" s="108">
        <v>1.0</v>
      </c>
      <c r="N29" s="108">
        <v>1.0</v>
      </c>
      <c r="O29" s="109">
        <v>0.0</v>
      </c>
      <c r="P29" s="108">
        <v>1.0</v>
      </c>
      <c r="Q29" s="104"/>
    </row>
    <row r="30">
      <c r="A30" s="9" t="s">
        <v>11</v>
      </c>
      <c r="B30" s="10">
        <v>44376.0</v>
      </c>
      <c r="C30" s="108">
        <v>1.0</v>
      </c>
      <c r="D30" s="108">
        <v>1.0</v>
      </c>
      <c r="E30" s="108">
        <v>1.0</v>
      </c>
      <c r="F30" s="108">
        <v>0.0</v>
      </c>
      <c r="G30" s="108">
        <v>1.0</v>
      </c>
      <c r="H30" s="109">
        <v>0.0</v>
      </c>
      <c r="I30" s="108">
        <v>1.0</v>
      </c>
      <c r="J30" s="108">
        <v>0.0</v>
      </c>
      <c r="K30" s="109">
        <v>0.0</v>
      </c>
      <c r="L30" s="108">
        <v>1.0</v>
      </c>
      <c r="M30" s="108">
        <v>1.0</v>
      </c>
      <c r="N30" s="108">
        <v>1.0</v>
      </c>
      <c r="O30" s="109">
        <v>0.0</v>
      </c>
      <c r="P30" s="108">
        <v>1.0</v>
      </c>
      <c r="Q30" s="104"/>
    </row>
    <row r="31">
      <c r="A31" s="9" t="s">
        <v>12</v>
      </c>
      <c r="B31" s="10">
        <v>44377.0</v>
      </c>
      <c r="C31" s="110">
        <v>1.0</v>
      </c>
      <c r="D31" s="110">
        <v>1.0</v>
      </c>
      <c r="E31" s="110">
        <v>1.0</v>
      </c>
      <c r="F31" s="110">
        <v>0.0</v>
      </c>
      <c r="G31" s="110">
        <v>1.0</v>
      </c>
      <c r="H31" s="111">
        <v>0.0</v>
      </c>
      <c r="I31" s="110">
        <v>1.0</v>
      </c>
      <c r="J31" s="110">
        <v>0.0</v>
      </c>
      <c r="K31" s="111">
        <v>0.0</v>
      </c>
      <c r="L31" s="110">
        <v>1.0</v>
      </c>
      <c r="M31" s="110">
        <v>1.0</v>
      </c>
      <c r="N31" s="110">
        <v>1.0</v>
      </c>
      <c r="O31" s="111">
        <v>0.0</v>
      </c>
      <c r="P31" s="110">
        <v>1.0</v>
      </c>
      <c r="Q31" s="104"/>
    </row>
    <row r="32">
      <c r="C32" s="112">
        <f t="shared" ref="C32:K32" si="1">SUM(C1:C31)</f>
        <v>29</v>
      </c>
      <c r="D32" s="113">
        <f t="shared" si="1"/>
        <v>21</v>
      </c>
      <c r="E32" s="113">
        <f t="shared" si="1"/>
        <v>14</v>
      </c>
      <c r="F32" s="113">
        <f t="shared" si="1"/>
        <v>23.5</v>
      </c>
      <c r="G32" s="113">
        <f t="shared" si="1"/>
        <v>28</v>
      </c>
      <c r="H32" s="113">
        <f t="shared" si="1"/>
        <v>15</v>
      </c>
      <c r="I32" s="113">
        <f t="shared" si="1"/>
        <v>28</v>
      </c>
      <c r="J32" s="113">
        <f t="shared" si="1"/>
        <v>12</v>
      </c>
      <c r="K32" s="113">
        <f t="shared" si="1"/>
        <v>20</v>
      </c>
      <c r="L32" s="113">
        <f t="shared" ref="L32:O32" si="2">SUM(L2:L31)</f>
        <v>8</v>
      </c>
      <c r="M32" s="113">
        <f t="shared" si="2"/>
        <v>17</v>
      </c>
      <c r="N32" s="113">
        <f t="shared" si="2"/>
        <v>25</v>
      </c>
      <c r="O32" s="113">
        <f t="shared" si="2"/>
        <v>15</v>
      </c>
      <c r="P32" s="113">
        <f>SUM(P1:P31)</f>
        <v>28</v>
      </c>
      <c r="Q32" s="114"/>
    </row>
    <row r="33">
      <c r="C33" s="71">
        <v>1923.0</v>
      </c>
      <c r="D33" s="71">
        <v>600.0</v>
      </c>
      <c r="E33" s="70">
        <v>1000.0</v>
      </c>
      <c r="F33" s="70">
        <v>1000.0</v>
      </c>
      <c r="G33" s="71">
        <v>1154.0</v>
      </c>
      <c r="H33" s="71">
        <v>962.0</v>
      </c>
      <c r="I33" s="71">
        <v>962.0</v>
      </c>
      <c r="J33" s="70">
        <v>1200.0</v>
      </c>
      <c r="K33" s="71">
        <v>740.0</v>
      </c>
      <c r="L33" s="71">
        <v>962.0</v>
      </c>
      <c r="M33" s="71">
        <v>962.0</v>
      </c>
      <c r="N33" s="71">
        <v>1000.0</v>
      </c>
      <c r="O33" s="71">
        <v>962.0</v>
      </c>
      <c r="P33" s="71">
        <v>1154.0</v>
      </c>
      <c r="Q33" s="115">
        <f t="shared" ref="Q33:Q35" si="4">SUM(C33:P33)</f>
        <v>14581</v>
      </c>
    </row>
    <row r="34">
      <c r="C34" s="116">
        <f>C33*C32</f>
        <v>55767</v>
      </c>
      <c r="D34" s="116">
        <f>D32*D33</f>
        <v>12600</v>
      </c>
      <c r="E34" s="116">
        <f t="shared" ref="E34:O34" si="3">E33*E32</f>
        <v>14000</v>
      </c>
      <c r="F34" s="116">
        <f t="shared" si="3"/>
        <v>23500</v>
      </c>
      <c r="G34" s="116">
        <f t="shared" si="3"/>
        <v>32312</v>
      </c>
      <c r="H34" s="116">
        <f t="shared" si="3"/>
        <v>14430</v>
      </c>
      <c r="I34" s="116">
        <f t="shared" si="3"/>
        <v>26936</v>
      </c>
      <c r="J34" s="116">
        <f t="shared" si="3"/>
        <v>14400</v>
      </c>
      <c r="K34" s="116">
        <f t="shared" si="3"/>
        <v>14800</v>
      </c>
      <c r="L34" s="116">
        <f t="shared" si="3"/>
        <v>7696</v>
      </c>
      <c r="M34" s="116">
        <f t="shared" si="3"/>
        <v>16354</v>
      </c>
      <c r="N34" s="116">
        <f t="shared" si="3"/>
        <v>25000</v>
      </c>
      <c r="O34" s="116">
        <f t="shared" si="3"/>
        <v>14430</v>
      </c>
      <c r="P34" s="116">
        <f>P32*P33</f>
        <v>32312</v>
      </c>
      <c r="Q34" s="117">
        <f t="shared" si="4"/>
        <v>304537</v>
      </c>
    </row>
    <row r="35">
      <c r="C35" s="118">
        <v>56000.0</v>
      </c>
      <c r="D35" s="118">
        <v>12600.0</v>
      </c>
      <c r="E35" s="118">
        <v>14000.0</v>
      </c>
      <c r="F35" s="118">
        <v>23500.0</v>
      </c>
      <c r="G35" s="118">
        <v>32000.0</v>
      </c>
      <c r="H35" s="118">
        <v>15000.0</v>
      </c>
      <c r="I35" s="118">
        <v>27000.0</v>
      </c>
      <c r="J35" s="118">
        <v>14400.0</v>
      </c>
      <c r="K35" s="118">
        <v>15000.0</v>
      </c>
      <c r="L35" s="118">
        <v>8000.0</v>
      </c>
      <c r="M35" s="118">
        <v>16000.0</v>
      </c>
      <c r="N35" s="118">
        <v>25000.0</v>
      </c>
      <c r="O35" s="118">
        <v>14500.0</v>
      </c>
      <c r="P35" s="118">
        <v>32000.0</v>
      </c>
      <c r="Q35" s="119">
        <f t="shared" si="4"/>
        <v>305000</v>
      </c>
    </row>
    <row r="36">
      <c r="Q36" s="120" t="s">
        <v>381</v>
      </c>
    </row>
    <row r="50">
      <c r="O50" s="87" t="s">
        <v>382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38"/>
    <col customWidth="1" min="10" max="10" width="22.13"/>
    <col customWidth="1" min="11" max="11" width="17.63"/>
    <col customWidth="1" min="12" max="12" width="24.88"/>
  </cols>
  <sheetData>
    <row r="11">
      <c r="H11" s="121"/>
      <c r="I11" s="121"/>
      <c r="J11" s="121"/>
      <c r="K11" s="121"/>
    </row>
    <row r="12">
      <c r="H12" s="122"/>
      <c r="I12" s="123" t="s">
        <v>383</v>
      </c>
      <c r="J12" s="123" t="s">
        <v>4</v>
      </c>
      <c r="K12" s="123" t="s">
        <v>384</v>
      </c>
    </row>
    <row r="13">
      <c r="H13" s="69">
        <v>1.0</v>
      </c>
      <c r="I13" s="69" t="s">
        <v>352</v>
      </c>
      <c r="J13" s="70">
        <f>Pointage!C34*1</f>
        <v>55767</v>
      </c>
      <c r="K13" s="71">
        <v>1000.0</v>
      </c>
    </row>
    <row r="14">
      <c r="H14" s="69">
        <v>2.0</v>
      </c>
      <c r="I14" s="57" t="s">
        <v>353</v>
      </c>
      <c r="J14" s="70">
        <f>Pointage!D34*1</f>
        <v>12600</v>
      </c>
      <c r="K14" s="71">
        <v>8000.0</v>
      </c>
      <c r="L14" s="87" t="s">
        <v>385</v>
      </c>
    </row>
    <row r="15">
      <c r="H15" s="69">
        <v>3.0</v>
      </c>
      <c r="I15" s="69" t="s">
        <v>356</v>
      </c>
      <c r="J15" s="70">
        <f>Pointage!G34*1</f>
        <v>32312</v>
      </c>
      <c r="K15" s="71">
        <v>2000.0</v>
      </c>
      <c r="L15" s="87" t="s">
        <v>386</v>
      </c>
    </row>
    <row r="16">
      <c r="H16" s="69">
        <v>4.0</v>
      </c>
      <c r="I16" s="69" t="s">
        <v>387</v>
      </c>
      <c r="J16" s="70">
        <f>Pointage!E34*1</f>
        <v>14000</v>
      </c>
      <c r="K16" s="70"/>
    </row>
    <row r="17">
      <c r="H17" s="69">
        <v>5.0</v>
      </c>
      <c r="I17" s="69" t="s">
        <v>355</v>
      </c>
      <c r="J17" s="70">
        <f>Pointage!F34*1</f>
        <v>23500</v>
      </c>
      <c r="K17" s="70"/>
    </row>
    <row r="18">
      <c r="H18" s="69">
        <v>6.0</v>
      </c>
      <c r="I18" s="69" t="s">
        <v>358</v>
      </c>
      <c r="J18" s="70">
        <f>Pointage!I34*1</f>
        <v>26936</v>
      </c>
      <c r="K18" s="71">
        <v>12000.0</v>
      </c>
      <c r="L18" s="87" t="s">
        <v>388</v>
      </c>
    </row>
    <row r="19">
      <c r="H19" s="57">
        <v>7.0</v>
      </c>
      <c r="I19" s="57" t="s">
        <v>389</v>
      </c>
      <c r="J19" s="70">
        <f>Pointage!N34*1</f>
        <v>25000</v>
      </c>
      <c r="K19" s="71">
        <v>15000.0</v>
      </c>
    </row>
    <row r="20">
      <c r="H20" s="57">
        <v>8.0</v>
      </c>
      <c r="I20" s="57" t="s">
        <v>390</v>
      </c>
      <c r="J20" s="70">
        <f>Pointage!O34*1</f>
        <v>14430</v>
      </c>
      <c r="K20" s="71">
        <v>14500.0</v>
      </c>
    </row>
    <row r="21">
      <c r="H21" s="57">
        <v>9.0</v>
      </c>
      <c r="I21" s="69" t="s">
        <v>357</v>
      </c>
      <c r="J21" s="70">
        <f>Pointage!H34*1</f>
        <v>14430</v>
      </c>
      <c r="K21" s="71">
        <v>14000.0</v>
      </c>
      <c r="L21" s="87" t="s">
        <v>391</v>
      </c>
    </row>
    <row r="22">
      <c r="H22" s="57">
        <v>10.0</v>
      </c>
      <c r="I22" s="69" t="s">
        <v>359</v>
      </c>
      <c r="J22" s="70">
        <f>Pointage!J34*1</f>
        <v>14400</v>
      </c>
      <c r="K22" s="71">
        <v>14400.0</v>
      </c>
      <c r="L22" s="87" t="s">
        <v>392</v>
      </c>
    </row>
    <row r="23">
      <c r="H23" s="57">
        <v>11.0</v>
      </c>
      <c r="I23" s="57" t="s">
        <v>362</v>
      </c>
      <c r="J23" s="70">
        <f>Pointage!M34*1</f>
        <v>16354</v>
      </c>
      <c r="K23" s="71">
        <v>2000.0</v>
      </c>
      <c r="L23" s="87" t="s">
        <v>386</v>
      </c>
    </row>
    <row r="24">
      <c r="H24" s="57">
        <v>12.0</v>
      </c>
      <c r="I24" s="57" t="s">
        <v>360</v>
      </c>
      <c r="J24" s="70">
        <f>Pointage!K34*1</f>
        <v>14800</v>
      </c>
      <c r="K24" s="70"/>
    </row>
    <row r="25">
      <c r="H25" s="57">
        <v>13.0</v>
      </c>
      <c r="I25" s="57" t="s">
        <v>393</v>
      </c>
      <c r="J25" s="70">
        <f>Pointage!L34*1</f>
        <v>7696</v>
      </c>
      <c r="K25" s="71">
        <v>2000.0</v>
      </c>
    </row>
    <row r="26">
      <c r="H26" s="57">
        <v>14.0</v>
      </c>
      <c r="I26" s="69" t="s">
        <v>365</v>
      </c>
      <c r="J26" s="70">
        <f>Pointage!P34*1</f>
        <v>32312</v>
      </c>
      <c r="K26" s="70"/>
    </row>
    <row r="27">
      <c r="H27" s="1"/>
      <c r="I27" s="124" t="s">
        <v>394</v>
      </c>
      <c r="J27" s="125">
        <f t="shared" ref="J27:K27" si="1">SUM(J13:J26)</f>
        <v>304537</v>
      </c>
      <c r="K27" s="126">
        <f t="shared" si="1"/>
        <v>84900</v>
      </c>
    </row>
    <row r="28">
      <c r="H28" s="1"/>
      <c r="I28" s="127"/>
      <c r="J28" s="128">
        <f>J27-K27</f>
        <v>219637</v>
      </c>
      <c r="K28" s="1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13"/>
    <col customWidth="1" min="10" max="10" width="32.0"/>
    <col customWidth="1" min="11" max="11" width="21.0"/>
  </cols>
  <sheetData>
    <row r="6">
      <c r="I6" s="130" t="s">
        <v>395</v>
      </c>
      <c r="J6" s="131"/>
      <c r="K6" s="131"/>
      <c r="L6" s="132"/>
    </row>
    <row r="9">
      <c r="J9" s="133" t="s">
        <v>396</v>
      </c>
      <c r="K9" s="134">
        <v>14000.0</v>
      </c>
    </row>
    <row r="10">
      <c r="J10" s="133" t="s">
        <v>397</v>
      </c>
      <c r="K10" s="134">
        <v>5000.0</v>
      </c>
    </row>
    <row r="11">
      <c r="J11" s="133" t="s">
        <v>398</v>
      </c>
      <c r="K11" s="134">
        <v>2000.0</v>
      </c>
    </row>
    <row r="12">
      <c r="J12" s="133" t="s">
        <v>399</v>
      </c>
      <c r="K12" s="134">
        <v>26000.0</v>
      </c>
    </row>
    <row r="13">
      <c r="J13" s="133" t="s">
        <v>400</v>
      </c>
      <c r="K13" s="134">
        <v>25000.0</v>
      </c>
    </row>
    <row r="14">
      <c r="J14" s="133" t="s">
        <v>401</v>
      </c>
      <c r="K14" s="134">
        <v>4000.0</v>
      </c>
    </row>
    <row r="15">
      <c r="J15" s="133" t="s">
        <v>402</v>
      </c>
      <c r="K15" s="134">
        <v>6000.0</v>
      </c>
    </row>
    <row r="16">
      <c r="J16" s="133" t="s">
        <v>403</v>
      </c>
      <c r="K16" s="134">
        <v>2000.0</v>
      </c>
    </row>
    <row r="17">
      <c r="J17" s="133" t="s">
        <v>404</v>
      </c>
      <c r="K17" s="134">
        <v>10000.0</v>
      </c>
    </row>
    <row r="18">
      <c r="J18" s="133" t="s">
        <v>405</v>
      </c>
      <c r="K18" s="134">
        <v>10000.0</v>
      </c>
    </row>
    <row r="19">
      <c r="J19" s="133" t="s">
        <v>406</v>
      </c>
      <c r="K19" s="134">
        <v>3000.0</v>
      </c>
    </row>
    <row r="20">
      <c r="J20" s="133" t="s">
        <v>407</v>
      </c>
      <c r="K20" s="134">
        <v>1000.0</v>
      </c>
    </row>
    <row r="21">
      <c r="J21" s="135"/>
      <c r="K21" s="136"/>
    </row>
    <row r="22">
      <c r="J22" s="135"/>
      <c r="K22" s="136"/>
    </row>
    <row r="23">
      <c r="J23" s="135"/>
      <c r="K23" s="136"/>
    </row>
    <row r="24">
      <c r="J24" s="135"/>
      <c r="K24" s="136"/>
    </row>
    <row r="25">
      <c r="J25" s="135"/>
      <c r="K25" s="136">
        <f>SUM(K9:K24)</f>
        <v>108000</v>
      </c>
    </row>
  </sheetData>
  <mergeCells count="1">
    <mergeCell ref="I6:L6"/>
  </mergeCells>
  <drawing r:id="rId1"/>
</worksheet>
</file>