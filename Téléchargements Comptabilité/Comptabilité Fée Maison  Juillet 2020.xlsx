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Charges" sheetId="3" r:id="rId6"/>
    <sheet state="visible" name="Salaires" sheetId="4" r:id="rId7"/>
    <sheet state="visible" name="Feuille 5" sheetId="5" r:id="rId8"/>
    <sheet state="visible" name="Gateaux Souad " sheetId="6" r:id="rId9"/>
  </sheets>
  <definedNames/>
  <calcPr/>
</workbook>
</file>

<file path=xl/sharedStrings.xml><?xml version="1.0" encoding="utf-8"?>
<sst xmlns="http://schemas.openxmlformats.org/spreadsheetml/2006/main" count="397" uniqueCount="264">
  <si>
    <t>Date</t>
  </si>
  <si>
    <t>Recette</t>
  </si>
  <si>
    <t>Charges</t>
  </si>
  <si>
    <t>Salaire</t>
  </si>
  <si>
    <t>Loyer</t>
  </si>
  <si>
    <t>Net Profit</t>
  </si>
  <si>
    <t>Nb de jours</t>
  </si>
  <si>
    <t>mercredi</t>
  </si>
  <si>
    <t>jeudi</t>
  </si>
  <si>
    <t>vendredi</t>
  </si>
  <si>
    <t xml:space="preserve">Myenne </t>
  </si>
  <si>
    <t>samedi</t>
  </si>
  <si>
    <t>dimanche</t>
  </si>
  <si>
    <t>lundi</t>
  </si>
  <si>
    <t>mardi</t>
  </si>
  <si>
    <t xml:space="preserve">Cash restant </t>
  </si>
  <si>
    <t>Magasin</t>
  </si>
  <si>
    <t>Semid pr mois d'aout</t>
  </si>
  <si>
    <t>Samedi</t>
  </si>
  <si>
    <t>Dimanche</t>
  </si>
  <si>
    <t>Lundi</t>
  </si>
  <si>
    <t>Mardi</t>
  </si>
  <si>
    <t>Mercredi</t>
  </si>
  <si>
    <t>Jeudi</t>
  </si>
  <si>
    <t>Vendredi</t>
  </si>
  <si>
    <t>TOTAL</t>
  </si>
  <si>
    <t>TAUX</t>
  </si>
  <si>
    <t>Zehor</t>
  </si>
  <si>
    <t>Zoubida</t>
  </si>
  <si>
    <t>Amel</t>
  </si>
  <si>
    <t>Karima</t>
  </si>
  <si>
    <t>Nouara</t>
  </si>
  <si>
    <t>Zahida</t>
  </si>
  <si>
    <t>Remarque</t>
  </si>
  <si>
    <t>Dimenche</t>
  </si>
  <si>
    <t>Total</t>
  </si>
  <si>
    <t>Salaire/jour</t>
  </si>
  <si>
    <t>SALAIRES</t>
  </si>
  <si>
    <t>Produit</t>
  </si>
  <si>
    <t>Quantité</t>
  </si>
  <si>
    <t>Prix</t>
  </si>
  <si>
    <t>Date d'achat</t>
  </si>
  <si>
    <t>Boites 36/07</t>
  </si>
  <si>
    <t>1 carton</t>
  </si>
  <si>
    <t>Boites 36/10</t>
  </si>
  <si>
    <t>Boites 48/10</t>
  </si>
  <si>
    <t>2 cartons</t>
  </si>
  <si>
    <t>Rouiba</t>
  </si>
  <si>
    <t>1 fardeau</t>
  </si>
  <si>
    <t>Eau</t>
  </si>
  <si>
    <t>5 fardeaux</t>
  </si>
  <si>
    <t>Candia choco</t>
  </si>
  <si>
    <t xml:space="preserve">Coca cannette </t>
  </si>
  <si>
    <t>jus Ifruit</t>
  </si>
  <si>
    <t>Limonade Slim</t>
  </si>
  <si>
    <t>Semoule Fine Mama</t>
  </si>
  <si>
    <t>21*15kg</t>
  </si>
  <si>
    <t>01/07/0/2020</t>
  </si>
  <si>
    <t>Maa ezhar</t>
  </si>
  <si>
    <t xml:space="preserve">12 bouteills </t>
  </si>
  <si>
    <t>Semoule Moyenne Sim</t>
  </si>
  <si>
    <t xml:space="preserve">10kg </t>
  </si>
  <si>
    <t>Fromage spéciale pizza</t>
  </si>
  <si>
    <t>12.5kg</t>
  </si>
  <si>
    <t>Tomate Conserve</t>
  </si>
  <si>
    <t>12kg</t>
  </si>
  <si>
    <t>Semoule Moyenne Sim 2kg</t>
  </si>
  <si>
    <t>3akeri</t>
  </si>
  <si>
    <t>1kg</t>
  </si>
  <si>
    <t>Poivre Noir</t>
  </si>
  <si>
    <t>/</t>
  </si>
  <si>
    <t>Sanoudj</t>
  </si>
  <si>
    <t>500g</t>
  </si>
  <si>
    <t>Fromage Berber</t>
  </si>
  <si>
    <t>1 barre de 600g</t>
  </si>
  <si>
    <t>Vinegre</t>
  </si>
  <si>
    <t>Sel</t>
  </si>
  <si>
    <t xml:space="preserve"> 1 Fardeau</t>
  </si>
  <si>
    <t xml:space="preserve">Huile </t>
  </si>
  <si>
    <t>9 Bidons de 5 litres</t>
  </si>
  <si>
    <t>Semoule Fine Baraka 25kg</t>
  </si>
  <si>
    <t>5 sachets</t>
  </si>
  <si>
    <t>Semoule Extra Ben Hamadi Moyenne 25kg</t>
  </si>
  <si>
    <t>5 Sachets</t>
  </si>
  <si>
    <t>Semoule Moyenne Sim 10kg</t>
  </si>
  <si>
    <t xml:space="preserve">10 sachets </t>
  </si>
  <si>
    <t>Boites en plaqtiques pr Me9iret</t>
  </si>
  <si>
    <t xml:space="preserve">1 fardeau de 50 pièces </t>
  </si>
  <si>
    <t>Semoule Fine Mama 10kg</t>
  </si>
  <si>
    <t xml:space="preserve">5 sachets </t>
  </si>
  <si>
    <t>Semoule Fine Moula  10kg</t>
  </si>
  <si>
    <t>1 sachet</t>
  </si>
  <si>
    <t>Poulet Haché</t>
  </si>
  <si>
    <t>Viande hachée</t>
  </si>
  <si>
    <t xml:space="preserve">Transport semoule </t>
  </si>
  <si>
    <t>Bessel</t>
  </si>
  <si>
    <t>322 kg</t>
  </si>
  <si>
    <t xml:space="preserve">Alumette </t>
  </si>
  <si>
    <t xml:space="preserve">Semoule Fine Moula 10kg </t>
  </si>
  <si>
    <t xml:space="preserve">6 sachets </t>
  </si>
  <si>
    <t xml:space="preserve">4 sachets </t>
  </si>
  <si>
    <t>huile 5 litres</t>
  </si>
  <si>
    <t>Détergents</t>
  </si>
  <si>
    <t xml:space="preserve">Poulet  </t>
  </si>
  <si>
    <t>12 maurceaux blanc et cuisse</t>
  </si>
  <si>
    <t>courgette</t>
  </si>
  <si>
    <t>2.5kf</t>
  </si>
  <si>
    <t>carrote</t>
  </si>
  <si>
    <t>1.5kg</t>
  </si>
  <si>
    <t>pomme de terre</t>
  </si>
  <si>
    <t>poids chiche</t>
  </si>
  <si>
    <t>Tomate fraiche</t>
  </si>
  <si>
    <t>2 kg</t>
  </si>
  <si>
    <t xml:space="preserve">poivre  </t>
  </si>
  <si>
    <t>Poulet hachée</t>
  </si>
  <si>
    <t>fromage Gouda</t>
  </si>
  <si>
    <t>fromage portion</t>
  </si>
  <si>
    <t>1 boite de8</t>
  </si>
  <si>
    <t>ouef</t>
  </si>
  <si>
    <t xml:space="preserve">boites </t>
  </si>
  <si>
    <t xml:space="preserve">Recheta </t>
  </si>
  <si>
    <t>23kg</t>
  </si>
  <si>
    <t>7kg</t>
  </si>
  <si>
    <t>20kg</t>
  </si>
  <si>
    <t xml:space="preserve">Sachets de congélation </t>
  </si>
  <si>
    <t>test et eau de javel+Thon</t>
  </si>
  <si>
    <t>Ppier Aluminium</t>
  </si>
  <si>
    <t>180m</t>
  </si>
  <si>
    <t>Olive dénoyauté</t>
  </si>
  <si>
    <t>paté fromage</t>
  </si>
  <si>
    <t>curdent</t>
  </si>
  <si>
    <t xml:space="preserve">Transport  </t>
  </si>
  <si>
    <t>Gateaux Souad</t>
  </si>
  <si>
    <t>20/06-11/07</t>
  </si>
  <si>
    <t>miel</t>
  </si>
  <si>
    <t>5kg</t>
  </si>
  <si>
    <t>louche, poche a douille, kessekass</t>
  </si>
  <si>
    <t>Semoule fine Mama</t>
  </si>
  <si>
    <t>10sachets de 10kg</t>
  </si>
  <si>
    <t>Transport</t>
  </si>
  <si>
    <t>chocolat elwedjedane</t>
  </si>
  <si>
    <t>2 boites de 250g</t>
  </si>
  <si>
    <t>optella 700g</t>
  </si>
  <si>
    <t>1 boite</t>
  </si>
  <si>
    <t>Toffia caramel</t>
  </si>
  <si>
    <t>1boite</t>
  </si>
  <si>
    <t>fleurial 250g</t>
  </si>
  <si>
    <t>farine Sim</t>
  </si>
  <si>
    <t>gateau palmaru</t>
  </si>
  <si>
    <t>gofferette Bimo vanille</t>
  </si>
  <si>
    <t xml:space="preserve">Transport </t>
  </si>
  <si>
    <t xml:space="preserve">Fanta </t>
  </si>
  <si>
    <t>Ifruit jus</t>
  </si>
  <si>
    <t>2 fardeaux</t>
  </si>
  <si>
    <t xml:space="preserve">eau petit </t>
  </si>
  <si>
    <t>eau grand</t>
  </si>
  <si>
    <t>Boite 08/06</t>
  </si>
  <si>
    <t>Boite 18/07</t>
  </si>
  <si>
    <t>Boite 36/10</t>
  </si>
  <si>
    <t>1carton</t>
  </si>
  <si>
    <t>liquissetes</t>
  </si>
  <si>
    <t>vanille</t>
  </si>
  <si>
    <t xml:space="preserve">Sucre </t>
  </si>
  <si>
    <t>1 fardeau 10</t>
  </si>
  <si>
    <t>1 fardeau  10</t>
  </si>
  <si>
    <t xml:space="preserve">Semen Madina </t>
  </si>
  <si>
    <t>3 boites de 1.8kg</t>
  </si>
  <si>
    <t>Maizina</t>
  </si>
  <si>
    <t>2kg</t>
  </si>
  <si>
    <t>Levure chimique</t>
  </si>
  <si>
    <t xml:space="preserve">1 boite </t>
  </si>
  <si>
    <t>Harrissa</t>
  </si>
  <si>
    <t>un carton de 12 boites 1kg</t>
  </si>
  <si>
    <t xml:space="preserve">Margarine Mani </t>
  </si>
  <si>
    <t xml:space="preserve">1 carton de 24 boites </t>
  </si>
  <si>
    <t>Miel 5kg</t>
  </si>
  <si>
    <t>cousscouss</t>
  </si>
  <si>
    <t>speciale pizza</t>
  </si>
  <si>
    <t>barre Bereber</t>
  </si>
  <si>
    <t xml:space="preserve">Lave sol Amir </t>
  </si>
  <si>
    <t>poulet Haché</t>
  </si>
  <si>
    <t>cachir</t>
  </si>
  <si>
    <t>1 boudin</t>
  </si>
  <si>
    <t xml:space="preserve">curdent </t>
  </si>
  <si>
    <t>isis</t>
  </si>
  <si>
    <t xml:space="preserve">Rechta </t>
  </si>
  <si>
    <t>Semoule fine Moula</t>
  </si>
  <si>
    <t>2 sachets de 10kg</t>
  </si>
  <si>
    <t>Sachets en papier grand format</t>
  </si>
  <si>
    <t>Huile</t>
  </si>
  <si>
    <t>10 bidons de 5 litres</t>
  </si>
  <si>
    <t>80kg</t>
  </si>
  <si>
    <t xml:space="preserve">semoule fine </t>
  </si>
  <si>
    <t xml:space="preserve">1 sachet de 10kg </t>
  </si>
  <si>
    <t>électricité</t>
  </si>
  <si>
    <t>3 mois</t>
  </si>
  <si>
    <t>Serpière + chifon microfibres</t>
  </si>
  <si>
    <t xml:space="preserve">flexy modeme </t>
  </si>
  <si>
    <t>poulet</t>
  </si>
  <si>
    <t>2 moreaux</t>
  </si>
  <si>
    <t>légumes +herbes</t>
  </si>
  <si>
    <t>300g</t>
  </si>
  <si>
    <t>Poulet haché</t>
  </si>
  <si>
    <t>800g</t>
  </si>
  <si>
    <t>Barquettes pour les plats</t>
  </si>
  <si>
    <t xml:space="preserve">semoule </t>
  </si>
  <si>
    <t>10 sachets de 10 kg</t>
  </si>
  <si>
    <t>lait candia + teste</t>
  </si>
  <si>
    <t xml:space="preserve">102 pièces </t>
  </si>
  <si>
    <t>Viande hachée+ poulet haché</t>
  </si>
  <si>
    <t xml:space="preserve">Boites pour mekiret </t>
  </si>
  <si>
    <t xml:space="preserve">100 pièces </t>
  </si>
  <si>
    <t>margarine Fleuriale</t>
  </si>
  <si>
    <t>4 de 250g</t>
  </si>
  <si>
    <t>confiture</t>
  </si>
  <si>
    <t>1 boite 500g</t>
  </si>
  <si>
    <t>sucre glace</t>
  </si>
  <si>
    <t xml:space="preserve">palmary mega dream choco </t>
  </si>
  <si>
    <t>2 boites</t>
  </si>
  <si>
    <t>GAUFRETTES croustille  vanille</t>
  </si>
  <si>
    <t>ouefs</t>
  </si>
  <si>
    <t>miel 2kg</t>
  </si>
  <si>
    <t xml:space="preserve">2boites </t>
  </si>
  <si>
    <t>na3ena3</t>
  </si>
  <si>
    <t>persil moulu</t>
  </si>
  <si>
    <t>herbes</t>
  </si>
  <si>
    <t>tofia caramèl</t>
  </si>
  <si>
    <t>moul cilicon</t>
  </si>
  <si>
    <t>Rechta</t>
  </si>
  <si>
    <t>chocolat Dada</t>
  </si>
  <si>
    <t xml:space="preserve">4 boîtes </t>
  </si>
  <si>
    <t>huile</t>
  </si>
  <si>
    <t>1 bidon de 5 litres</t>
  </si>
  <si>
    <t>cuisse poulet</t>
  </si>
  <si>
    <t xml:space="preserve">légumes navet courgette carotte </t>
  </si>
  <si>
    <t xml:space="preserve">quissetes </t>
  </si>
  <si>
    <t>4 paquets</t>
  </si>
  <si>
    <t xml:space="preserve">Gâteaux Souad </t>
  </si>
  <si>
    <t>2 fois</t>
  </si>
  <si>
    <t>TOTALE</t>
  </si>
  <si>
    <t xml:space="preserve">Somme initiale </t>
  </si>
  <si>
    <t>Rest</t>
  </si>
  <si>
    <t xml:space="preserve">Nom </t>
  </si>
  <si>
    <t>Avance</t>
  </si>
  <si>
    <t>Nowara</t>
  </si>
  <si>
    <t xml:space="preserve">Dette </t>
  </si>
  <si>
    <t>Nadjet</t>
  </si>
  <si>
    <t>Islem</t>
  </si>
  <si>
    <t>cash</t>
  </si>
  <si>
    <t>Sofiane</t>
  </si>
  <si>
    <t>;</t>
  </si>
  <si>
    <t>Gateau</t>
  </si>
  <si>
    <t>Prix unitaire</t>
  </si>
  <si>
    <t>Totale</t>
  </si>
  <si>
    <t>7alewet taba3</t>
  </si>
  <si>
    <t>Na9ache</t>
  </si>
  <si>
    <t xml:space="preserve">les amandies </t>
  </si>
  <si>
    <t>7alwet taba3</t>
  </si>
  <si>
    <t>techarak</t>
  </si>
  <si>
    <t>ka3ek na9ach</t>
  </si>
  <si>
    <t xml:space="preserve">7alwet taba3 </t>
  </si>
  <si>
    <t>Makrout</t>
  </si>
  <si>
    <t>Versé</t>
  </si>
  <si>
    <t>Reste à payer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</si>
</sst>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#,##0.00\ [$€-1]"/>
  </numFmts>
  <fonts count="1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  <scheme val="minor"/>
    </font>
    <font>
      <sz val="12.0"/>
      <color theme="1"/>
      <name val="Arial"/>
    </font>
    <font>
      <b/>
      <sz val="14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b/>
      <sz val="12.0"/>
      <color rgb="FF0000FF"/>
      <name val="Arial"/>
    </font>
    <font>
      <b/>
      <sz val="14.0"/>
      <color theme="1"/>
      <name val="Arial"/>
    </font>
    <font>
      <sz val="12.0"/>
      <color rgb="FF000000"/>
      <name val="Arial"/>
    </font>
    <font>
      <b/>
      <sz val="14.0"/>
      <color rgb="FFFF0000"/>
      <name val="Arial"/>
    </font>
    <font>
      <b/>
      <sz val="12.0"/>
      <color rgb="FFFF0000"/>
      <name val="Arial"/>
    </font>
    <font>
      <b/>
      <sz val="14.0"/>
      <color rgb="FF1C4587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>
      <sz val="14.0"/>
      <color theme="1"/>
      <name val="Arial"/>
    </font>
    <font>
      <sz val="1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3" numFmtId="0" xfId="0" applyAlignment="1" applyBorder="1" applyFont="1">
      <alignment horizontal="center" readingOrder="0"/>
    </xf>
    <xf borderId="1" fillId="3" fontId="2" numFmtId="0" xfId="0" applyAlignment="1" applyBorder="1" applyFill="1" applyFont="1">
      <alignment horizontal="center" vertical="bottom"/>
    </xf>
    <xf borderId="1" fillId="3" fontId="4" numFmtId="164" xfId="0" applyAlignment="1" applyBorder="1" applyFont="1" applyNumberFormat="1">
      <alignment horizontal="right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readingOrder="0"/>
    </xf>
    <xf borderId="1" fillId="4" fontId="2" numFmtId="0" xfId="0" applyAlignment="1" applyBorder="1" applyFill="1" applyFont="1">
      <alignment horizontal="center" vertical="bottom"/>
    </xf>
    <xf borderId="1" fillId="4" fontId="4" numFmtId="164" xfId="0" applyAlignment="1" applyBorder="1" applyFont="1" applyNumberFormat="1">
      <alignment horizontal="right" readingOrder="0" vertical="bottom"/>
    </xf>
    <xf borderId="1" fillId="4" fontId="4" numFmtId="165" xfId="0" applyAlignment="1" applyBorder="1" applyFont="1" applyNumberFormat="1">
      <alignment horizontal="center" vertical="bottom"/>
    </xf>
    <xf borderId="1" fillId="4" fontId="4" numFmtId="165" xfId="0" applyAlignment="1" applyBorder="1" applyFont="1" applyNumberFormat="1">
      <alignment horizontal="right" vertical="bottom"/>
    </xf>
    <xf borderId="1" fillId="4" fontId="3" numFmtId="0" xfId="0" applyAlignment="1" applyBorder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6" fontId="5" numFmtId="165" xfId="0" applyAlignment="1" applyFill="1" applyFont="1" applyNumberFormat="1">
      <alignment horizontal="center"/>
    </xf>
    <xf borderId="0" fillId="4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7" fontId="5" numFmtId="165" xfId="0" applyAlignment="1" applyFill="1" applyFont="1" applyNumberFormat="1">
      <alignment horizontal="center"/>
    </xf>
    <xf borderId="0" fillId="0" fontId="5" numFmtId="165" xfId="0" applyAlignment="1" applyFont="1" applyNumberFormat="1">
      <alignment readingOrder="0"/>
    </xf>
    <xf borderId="0" fillId="0" fontId="5" numFmtId="165" xfId="0" applyAlignment="1" applyFont="1" applyNumberFormat="1">
      <alignment horizontal="center" readingOrder="0"/>
    </xf>
    <xf borderId="0" fillId="0" fontId="6" numFmtId="165" xfId="0" applyFont="1" applyNumberFormat="1"/>
    <xf borderId="0" fillId="0" fontId="3" numFmtId="165" xfId="0" applyAlignment="1" applyFont="1" applyNumberFormat="1">
      <alignment horizontal="center" readingOrder="0"/>
    </xf>
    <xf borderId="0" fillId="0" fontId="3" numFmtId="165" xfId="0" applyAlignment="1" applyFont="1" applyNumberFormat="1">
      <alignment readingOrder="0"/>
    </xf>
    <xf borderId="1" fillId="3" fontId="4" numFmtId="165" xfId="0" applyAlignment="1" applyBorder="1" applyFont="1" applyNumberFormat="1">
      <alignment vertical="bottom"/>
    </xf>
    <xf borderId="1" fillId="3" fontId="4" numFmtId="165" xfId="0" applyAlignment="1" applyBorder="1" applyFont="1" applyNumberForma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4" fontId="2" numFmtId="0" xfId="0" applyAlignment="1" applyBorder="1" applyFont="1">
      <alignment horizontal="center" readingOrder="0" vertical="bottom"/>
    </xf>
    <xf borderId="1" fillId="4" fontId="4" numFmtId="165" xfId="0" applyAlignment="1" applyBorder="1" applyFont="1" applyNumberFormat="1">
      <alignment readingOrder="0" vertical="bottom"/>
    </xf>
    <xf borderId="1" fillId="4" fontId="3" numFmtId="0" xfId="0" applyAlignment="1" applyBorder="1" applyFont="1">
      <alignment horizontal="center"/>
    </xf>
    <xf borderId="2" fillId="0" fontId="1" numFmtId="0" xfId="0" applyAlignment="1" applyBorder="1" applyFont="1">
      <alignment horizontal="center" vertical="bottom"/>
    </xf>
    <xf borderId="3" fillId="0" fontId="7" numFmtId="0" xfId="0" applyBorder="1" applyFont="1"/>
    <xf borderId="1" fillId="7" fontId="4" numFmtId="165" xfId="0" applyAlignment="1" applyBorder="1" applyFont="1" applyNumberFormat="1">
      <alignment horizontal="center" vertical="bottom"/>
    </xf>
    <xf borderId="1" fillId="8" fontId="4" numFmtId="165" xfId="0" applyAlignment="1" applyBorder="1" applyFill="1" applyFont="1" applyNumberFormat="1">
      <alignment horizontal="center" vertical="bottom"/>
    </xf>
    <xf borderId="1" fillId="9" fontId="4" numFmtId="165" xfId="0" applyAlignment="1" applyBorder="1" applyFill="1" applyFont="1" applyNumberFormat="1">
      <alignment horizontal="center" vertical="bottom"/>
    </xf>
    <xf borderId="1" fillId="6" fontId="4" numFmtId="165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center"/>
    </xf>
    <xf borderId="2" fillId="10" fontId="1" numFmtId="0" xfId="0" applyAlignment="1" applyBorder="1" applyFill="1" applyFont="1">
      <alignment horizontal="center" vertical="bottom"/>
    </xf>
    <xf borderId="1" fillId="11" fontId="8" numFmtId="9" xfId="0" applyAlignment="1" applyBorder="1" applyFill="1" applyFont="1" applyNumberFormat="1">
      <alignment horizontal="center" vertical="bottom"/>
    </xf>
    <xf borderId="1" fillId="12" fontId="8" numFmtId="10" xfId="0" applyAlignment="1" applyBorder="1" applyFill="1" applyFont="1" applyNumberFormat="1">
      <alignment horizontal="center" vertical="bottom"/>
    </xf>
    <xf borderId="0" fillId="0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1" fillId="6" fontId="2" numFmtId="0" xfId="0" applyAlignment="1" applyBorder="1" applyFont="1">
      <alignment horizontal="center" vertical="bottom"/>
    </xf>
    <xf borderId="1" fillId="6" fontId="9" numFmtId="0" xfId="0" applyAlignment="1" applyBorder="1" applyFont="1">
      <alignment horizontal="center" vertical="bottom"/>
    </xf>
    <xf borderId="1" fillId="7" fontId="10" numFmtId="0" xfId="0" applyAlignment="1" applyBorder="1" applyFont="1">
      <alignment horizontal="center" vertical="bottom"/>
    </xf>
    <xf borderId="1" fillId="3" fontId="11" numFmtId="0" xfId="0" applyAlignment="1" applyBorder="1" applyFont="1">
      <alignment horizontal="right" readingOrder="0" vertical="bottom"/>
    </xf>
    <xf borderId="1" fillId="3" fontId="4" numFmtId="0" xfId="0" applyAlignment="1" applyBorder="1" applyFont="1">
      <alignment horizontal="right" readingOrder="0" vertical="bottom"/>
    </xf>
    <xf borderId="1" fillId="4" fontId="4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/>
    </xf>
    <xf borderId="1" fillId="0" fontId="6" numFmtId="165" xfId="0" applyAlignment="1" applyBorder="1" applyFont="1" applyNumberFormat="1">
      <alignment readingOrder="0"/>
    </xf>
    <xf borderId="1" fillId="0" fontId="6" numFmtId="165" xfId="0" applyBorder="1" applyFont="1" applyNumberFormat="1"/>
    <xf borderId="1" fillId="4" fontId="4" numFmtId="0" xfId="0" applyAlignment="1" applyBorder="1" applyFont="1">
      <alignment horizontal="right" readingOrder="0" vertical="bottom"/>
    </xf>
    <xf borderId="0" fillId="0" fontId="6" numFmtId="165" xfId="0" applyAlignment="1" applyFont="1" applyNumberFormat="1">
      <alignment readingOrder="0"/>
    </xf>
    <xf borderId="1" fillId="3" fontId="1" numFmtId="0" xfId="0" applyAlignment="1" applyBorder="1" applyFont="1">
      <alignment horizontal="right" readingOrder="0" vertical="bottom"/>
    </xf>
    <xf borderId="1" fillId="4" fontId="11" numFmtId="0" xfId="0" applyAlignment="1" applyBorder="1" applyFont="1">
      <alignment horizontal="right" vertical="bottom"/>
    </xf>
    <xf borderId="1" fillId="4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readingOrder="0" vertical="bottom"/>
    </xf>
    <xf borderId="1" fillId="5" fontId="2" numFmtId="0" xfId="0" applyAlignment="1" applyBorder="1" applyFont="1">
      <alignment horizontal="center" readingOrder="0" vertical="bottom"/>
    </xf>
    <xf borderId="1" fillId="5" fontId="4" numFmtId="164" xfId="0" applyAlignment="1" applyBorder="1" applyFont="1" applyNumberFormat="1">
      <alignment horizontal="right" readingOrder="0" vertical="bottom"/>
    </xf>
    <xf borderId="1" fillId="5" fontId="1" numFmtId="0" xfId="0" applyAlignment="1" applyBorder="1" applyFont="1">
      <alignment readingOrder="0" vertical="bottom"/>
    </xf>
    <xf borderId="1" fillId="5" fontId="11" numFmtId="0" xfId="0" applyAlignment="1" applyBorder="1" applyFont="1">
      <alignment horizontal="right" readingOrder="0" vertical="bottom"/>
    </xf>
    <xf borderId="1" fillId="3" fontId="1" numFmtId="0" xfId="0" applyAlignment="1" applyBorder="1" applyFont="1">
      <alignment vertical="bottom"/>
    </xf>
    <xf borderId="1" fillId="7" fontId="12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bottom"/>
    </xf>
    <xf borderId="1" fillId="7" fontId="14" numFmtId="0" xfId="0" applyAlignment="1" applyBorder="1" applyFont="1">
      <alignment horizontal="center" vertical="bottom"/>
    </xf>
    <xf borderId="1" fillId="7" fontId="14" numFmtId="165" xfId="0" applyAlignment="1" applyBorder="1" applyFont="1" applyNumberFormat="1">
      <alignment horizontal="center" vertical="bottom"/>
    </xf>
    <xf borderId="1" fillId="8" fontId="10" numFmtId="165" xfId="0" applyAlignment="1" applyBorder="1" applyFont="1" applyNumberFormat="1">
      <alignment horizontal="center" vertical="bottom"/>
    </xf>
    <xf borderId="1" fillId="7" fontId="15" numFmtId="0" xfId="0" applyAlignment="1" applyBorder="1" applyFont="1">
      <alignment horizontal="center" vertical="bottom"/>
    </xf>
    <xf borderId="1" fillId="0" fontId="16" numFmtId="0" xfId="0" applyAlignment="1" applyBorder="1" applyFont="1">
      <alignment horizontal="center" readingOrder="0"/>
    </xf>
    <xf borderId="1" fillId="0" fontId="16" numFmtId="165" xfId="0" applyAlignment="1" applyBorder="1" applyFont="1" applyNumberFormat="1">
      <alignment horizontal="center" readingOrder="0"/>
    </xf>
    <xf borderId="1" fillId="0" fontId="16" numFmtId="164" xfId="0" applyAlignment="1" applyBorder="1" applyFont="1" applyNumberFormat="1">
      <alignment horizontal="center" readingOrder="0"/>
    </xf>
    <xf borderId="1" fillId="0" fontId="17" numFmtId="0" xfId="0" applyAlignment="1" applyBorder="1" applyFont="1">
      <alignment horizontal="center" readingOrder="0" vertical="bottom"/>
    </xf>
    <xf borderId="1" fillId="4" fontId="12" numFmtId="0" xfId="0" applyAlignment="1" applyBorder="1" applyFont="1">
      <alignment horizontal="center" vertical="bottom"/>
    </xf>
    <xf borderId="1" fillId="6" fontId="17" numFmtId="165" xfId="0" applyAlignment="1" applyBorder="1" applyFont="1" applyNumberFormat="1">
      <alignment horizontal="center" readingOrder="0" vertical="bottom"/>
    </xf>
    <xf borderId="1" fillId="7" fontId="10" numFmtId="165" xfId="0" applyAlignment="1" applyBorder="1" applyFont="1" applyNumberFormat="1">
      <alignment horizontal="center" vertical="bottom"/>
    </xf>
    <xf borderId="1" fillId="4" fontId="10" numFmtId="0" xfId="0" applyAlignment="1" applyBorder="1" applyFont="1">
      <alignment horizontal="center" vertical="bottom"/>
    </xf>
    <xf borderId="1" fillId="0" fontId="17" numFmtId="0" xfId="0" applyAlignment="1" applyBorder="1" applyFont="1">
      <alignment horizontal="right" vertical="bottom"/>
    </xf>
    <xf borderId="1" fillId="0" fontId="17" numFmtId="0" xfId="0" applyAlignment="1" applyBorder="1" applyFont="1">
      <alignment horizontal="center" vertical="bottom"/>
    </xf>
    <xf borderId="1" fillId="0" fontId="17" numFmtId="165" xfId="0" applyAlignment="1" applyBorder="1" applyFont="1" applyNumberFormat="1">
      <alignment horizontal="right" vertical="bottom"/>
    </xf>
    <xf borderId="1" fillId="0" fontId="17" numFmtId="165" xfId="0" applyAlignment="1" applyBorder="1" applyFont="1" applyNumberFormat="1">
      <alignment horizontal="right" readingOrder="0" vertical="bottom"/>
    </xf>
    <xf borderId="1" fillId="7" fontId="18" numFmtId="0" xfId="0" applyAlignment="1" applyBorder="1" applyFont="1">
      <alignment horizontal="center" vertical="bottom"/>
    </xf>
    <xf borderId="1" fillId="7" fontId="18" numFmtId="165" xfId="0" applyAlignment="1" applyBorder="1" applyFont="1" applyNumberFormat="1">
      <alignment horizontal="right" vertical="bottom"/>
    </xf>
    <xf borderId="0" fillId="8" fontId="18" numFmtId="165" xfId="0" applyAlignment="1" applyFont="1" applyNumberFormat="1">
      <alignment horizontal="right" vertical="bottom"/>
    </xf>
    <xf borderId="1" fillId="6" fontId="1" numFmtId="0" xfId="0" applyAlignment="1" applyBorder="1" applyFont="1">
      <alignment vertical="bottom"/>
    </xf>
    <xf borderId="1" fillId="6" fontId="18" numFmtId="165" xfId="0" applyAlignment="1" applyBorder="1" applyFont="1" applyNumberFormat="1">
      <alignment horizontal="right" vertical="bottom"/>
    </xf>
    <xf borderId="0" fillId="0" fontId="6" numFmtId="0" xfId="0" applyAlignment="1" applyFont="1">
      <alignment readingOrder="0"/>
    </xf>
    <xf borderId="1" fillId="0" fontId="16" numFmtId="0" xfId="0" applyAlignment="1" applyBorder="1" applyFont="1">
      <alignment horizontal="center"/>
    </xf>
    <xf borderId="1" fillId="0" fontId="16" numFmtId="165" xfId="0" applyAlignment="1" applyBorder="1" applyFont="1" applyNumberFormat="1">
      <alignment horizontal="center"/>
    </xf>
    <xf borderId="1" fillId="7" fontId="16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 textRotation="90"/>
    </xf>
    <xf borderId="5" fillId="0" fontId="7" numFmtId="0" xfId="0" applyBorder="1" applyFont="1"/>
    <xf borderId="6" fillId="0" fontId="7" numFmtId="0" xfId="0" applyBorder="1" applyFont="1"/>
    <xf borderId="1" fillId="6" fontId="16" numFmtId="0" xfId="0" applyAlignment="1" applyBorder="1" applyFont="1">
      <alignment horizontal="center" readingOrder="0"/>
    </xf>
    <xf borderId="1" fillId="8" fontId="16" numFmtId="165" xfId="0" applyAlignment="1" applyBorder="1" applyFont="1" applyNumberFormat="1">
      <alignment horizontal="center"/>
    </xf>
    <xf borderId="0" fillId="7" fontId="3" numFmtId="0" xfId="0" applyAlignment="1" applyFont="1">
      <alignment horizontal="center" readingOrder="0"/>
    </xf>
    <xf borderId="0" fillId="7" fontId="3" numFmtId="165" xfId="0" applyAlignment="1" applyFont="1" applyNumberFormat="1">
      <alignment readingOrder="0"/>
    </xf>
    <xf borderId="0" fillId="4" fontId="3" numFmtId="0" xfId="0" applyAlignment="1" applyFont="1">
      <alignment horizontal="center" readingOrder="0"/>
    </xf>
    <xf borderId="0" fillId="4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25.25"/>
    <col customWidth="1" min="14" max="14" width="27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>
      <c r="A2" s="4" t="s">
        <v>7</v>
      </c>
      <c r="B2" s="5">
        <v>44013.0</v>
      </c>
      <c r="C2" s="6">
        <v>19000.0</v>
      </c>
      <c r="D2" s="7"/>
      <c r="E2" s="7"/>
      <c r="F2" s="7"/>
      <c r="G2" s="7"/>
      <c r="H2" s="8">
        <v>1.0</v>
      </c>
    </row>
    <row r="3">
      <c r="A3" s="4" t="s">
        <v>8</v>
      </c>
      <c r="B3" s="5">
        <v>44014.0</v>
      </c>
      <c r="C3" s="6">
        <v>32000.0</v>
      </c>
      <c r="D3" s="7"/>
      <c r="E3" s="7"/>
      <c r="F3" s="7"/>
      <c r="G3" s="7"/>
      <c r="H3" s="8">
        <v>1.0</v>
      </c>
    </row>
    <row r="4">
      <c r="A4" s="9" t="s">
        <v>9</v>
      </c>
      <c r="B4" s="10">
        <v>44015.0</v>
      </c>
      <c r="C4" s="11">
        <v>0.0</v>
      </c>
      <c r="D4" s="12">
        <v>0.0</v>
      </c>
      <c r="E4" s="12">
        <v>0.0</v>
      </c>
      <c r="F4" s="12">
        <v>0.0</v>
      </c>
      <c r="G4" s="12">
        <v>0.0</v>
      </c>
      <c r="H4" s="13">
        <v>0.0</v>
      </c>
      <c r="L4" s="14" t="s">
        <v>10</v>
      </c>
    </row>
    <row r="5">
      <c r="A5" s="4" t="s">
        <v>11</v>
      </c>
      <c r="B5" s="5">
        <v>44016.0</v>
      </c>
      <c r="C5" s="6">
        <v>12000.0</v>
      </c>
      <c r="D5" s="7"/>
      <c r="E5" s="7"/>
      <c r="F5" s="7"/>
      <c r="G5" s="7"/>
      <c r="H5" s="8">
        <v>1.0</v>
      </c>
      <c r="L5" s="15">
        <f>C33/H33</f>
        <v>19615.38462</v>
      </c>
    </row>
    <row r="6">
      <c r="A6" s="4" t="s">
        <v>12</v>
      </c>
      <c r="B6" s="5">
        <v>44017.0</v>
      </c>
      <c r="C6" s="6">
        <v>10000.0</v>
      </c>
      <c r="D6" s="7"/>
      <c r="E6" s="7"/>
      <c r="F6" s="7"/>
      <c r="G6" s="7"/>
      <c r="H6" s="8">
        <v>1.0</v>
      </c>
    </row>
    <row r="7">
      <c r="A7" s="4" t="s">
        <v>13</v>
      </c>
      <c r="B7" s="5">
        <v>44018.0</v>
      </c>
      <c r="C7" s="6">
        <v>11000.0</v>
      </c>
      <c r="D7" s="7"/>
      <c r="E7" s="7"/>
      <c r="F7" s="7"/>
      <c r="G7" s="7"/>
      <c r="H7" s="8">
        <v>1.0</v>
      </c>
    </row>
    <row r="8">
      <c r="A8" s="4" t="s">
        <v>14</v>
      </c>
      <c r="B8" s="5">
        <v>44019.0</v>
      </c>
      <c r="C8" s="6">
        <v>12000.0</v>
      </c>
      <c r="D8" s="7"/>
      <c r="E8" s="7"/>
      <c r="F8" s="7"/>
      <c r="G8" s="7"/>
      <c r="H8" s="8">
        <v>1.0</v>
      </c>
    </row>
    <row r="9">
      <c r="A9" s="4" t="s">
        <v>7</v>
      </c>
      <c r="B9" s="5">
        <v>44020.0</v>
      </c>
      <c r="C9" s="6">
        <v>8000.0</v>
      </c>
      <c r="D9" s="7"/>
      <c r="E9" s="7"/>
      <c r="F9" s="7"/>
      <c r="G9" s="7"/>
      <c r="H9" s="8">
        <v>1.0</v>
      </c>
    </row>
    <row r="10">
      <c r="A10" s="4" t="s">
        <v>8</v>
      </c>
      <c r="B10" s="5">
        <v>44021.0</v>
      </c>
      <c r="C10" s="6">
        <v>16000.0</v>
      </c>
      <c r="D10" s="7"/>
      <c r="E10" s="7"/>
      <c r="F10" s="7"/>
      <c r="G10" s="7"/>
      <c r="H10" s="8">
        <v>1.0</v>
      </c>
    </row>
    <row r="11">
      <c r="A11" s="9" t="s">
        <v>9</v>
      </c>
      <c r="B11" s="10">
        <v>44022.0</v>
      </c>
      <c r="C11" s="11">
        <v>0.0</v>
      </c>
      <c r="D11" s="12">
        <v>0.0</v>
      </c>
      <c r="E11" s="12">
        <v>0.0</v>
      </c>
      <c r="F11" s="12">
        <v>0.0</v>
      </c>
      <c r="G11" s="12">
        <v>0.0</v>
      </c>
      <c r="H11" s="13">
        <v>0.0</v>
      </c>
    </row>
    <row r="12">
      <c r="A12" s="4" t="s">
        <v>11</v>
      </c>
      <c r="B12" s="5">
        <v>44023.0</v>
      </c>
      <c r="C12" s="6">
        <v>8000.0</v>
      </c>
      <c r="D12" s="7"/>
      <c r="E12" s="7"/>
      <c r="F12" s="7"/>
      <c r="G12" s="7"/>
      <c r="H12" s="8">
        <v>1.0</v>
      </c>
    </row>
    <row r="13">
      <c r="A13" s="4" t="s">
        <v>12</v>
      </c>
      <c r="B13" s="5">
        <v>44024.0</v>
      </c>
      <c r="C13" s="6">
        <v>11000.0</v>
      </c>
      <c r="D13" s="7"/>
      <c r="E13" s="7"/>
      <c r="F13" s="7"/>
      <c r="G13" s="7"/>
      <c r="H13" s="8">
        <v>1.0</v>
      </c>
    </row>
    <row r="14">
      <c r="A14" s="4" t="s">
        <v>13</v>
      </c>
      <c r="B14" s="5">
        <v>44025.0</v>
      </c>
      <c r="C14" s="6">
        <v>22000.0</v>
      </c>
      <c r="D14" s="7"/>
      <c r="E14" s="7"/>
      <c r="F14" s="7"/>
      <c r="G14" s="7"/>
      <c r="H14" s="8">
        <v>1.0</v>
      </c>
    </row>
    <row r="15">
      <c r="A15" s="4" t="s">
        <v>14</v>
      </c>
      <c r="B15" s="5">
        <v>44026.0</v>
      </c>
      <c r="C15" s="6">
        <v>17000.0</v>
      </c>
      <c r="D15" s="7"/>
      <c r="E15" s="7"/>
      <c r="F15" s="7"/>
      <c r="G15" s="7"/>
      <c r="H15" s="8">
        <v>1.0</v>
      </c>
      <c r="L15" s="16" t="s">
        <v>15</v>
      </c>
      <c r="M15" s="17" t="s">
        <v>16</v>
      </c>
      <c r="N15" s="17" t="s">
        <v>17</v>
      </c>
    </row>
    <row r="16">
      <c r="A16" s="4" t="s">
        <v>7</v>
      </c>
      <c r="B16" s="5">
        <v>44027.0</v>
      </c>
      <c r="C16" s="6">
        <v>27000.0</v>
      </c>
      <c r="D16" s="7"/>
      <c r="E16" s="7"/>
      <c r="F16" s="7"/>
      <c r="G16" s="7"/>
      <c r="H16" s="8">
        <v>1.0</v>
      </c>
      <c r="L16" s="18">
        <f>C33+Charges!H158-Charges!H157-Salaires!J22</f>
        <v>200355</v>
      </c>
      <c r="M16" s="19">
        <v>7000.0</v>
      </c>
      <c r="N16" s="20">
        <v>26200.0</v>
      </c>
      <c r="O16" s="21">
        <f>L16-L17-M16-N16</f>
        <v>30155</v>
      </c>
    </row>
    <row r="17">
      <c r="A17" s="4" t="s">
        <v>8</v>
      </c>
      <c r="B17" s="5">
        <v>44028.0</v>
      </c>
      <c r="C17" s="6">
        <v>17000.0</v>
      </c>
      <c r="D17" s="7"/>
      <c r="E17" s="7"/>
      <c r="F17" s="7"/>
      <c r="G17" s="7"/>
      <c r="H17" s="8">
        <v>1.0</v>
      </c>
      <c r="L17" s="22">
        <v>137000.0</v>
      </c>
      <c r="N17" s="23"/>
    </row>
    <row r="18">
      <c r="A18" s="9" t="s">
        <v>9</v>
      </c>
      <c r="B18" s="10">
        <v>44029.0</v>
      </c>
      <c r="C18" s="11">
        <v>0.0</v>
      </c>
      <c r="D18" s="12">
        <v>0.0</v>
      </c>
      <c r="E18" s="12">
        <v>0.0</v>
      </c>
      <c r="F18" s="12">
        <v>0.0</v>
      </c>
      <c r="G18" s="12">
        <v>0.0</v>
      </c>
      <c r="H18" s="13">
        <v>0.0</v>
      </c>
    </row>
    <row r="19">
      <c r="A19" s="4" t="s">
        <v>11</v>
      </c>
      <c r="B19" s="5">
        <v>44030.0</v>
      </c>
      <c r="C19" s="6">
        <v>27000.0</v>
      </c>
      <c r="D19" s="7"/>
      <c r="E19" s="7"/>
      <c r="F19" s="7"/>
      <c r="G19" s="7"/>
      <c r="H19" s="8">
        <v>1.0</v>
      </c>
    </row>
    <row r="20">
      <c r="A20" s="4" t="s">
        <v>12</v>
      </c>
      <c r="B20" s="5">
        <v>44031.0</v>
      </c>
      <c r="C20" s="6">
        <v>9000.0</v>
      </c>
      <c r="D20" s="7"/>
      <c r="E20" s="7"/>
      <c r="F20" s="7"/>
      <c r="G20" s="7"/>
      <c r="H20" s="8">
        <v>1.0</v>
      </c>
    </row>
    <row r="21">
      <c r="A21" s="4" t="s">
        <v>13</v>
      </c>
      <c r="B21" s="5">
        <v>44032.0</v>
      </c>
      <c r="C21" s="6">
        <v>13000.0</v>
      </c>
      <c r="D21" s="7"/>
      <c r="E21" s="7"/>
      <c r="F21" s="7"/>
      <c r="G21" s="7"/>
      <c r="H21" s="8">
        <v>1.0</v>
      </c>
    </row>
    <row r="22">
      <c r="A22" s="4" t="s">
        <v>14</v>
      </c>
      <c r="B22" s="5">
        <v>44033.0</v>
      </c>
      <c r="C22" s="6">
        <v>17000.0</v>
      </c>
      <c r="D22" s="7"/>
      <c r="E22" s="7"/>
      <c r="F22" s="7"/>
      <c r="G22" s="7"/>
      <c r="H22" s="8">
        <v>1.0</v>
      </c>
    </row>
    <row r="23">
      <c r="A23" s="4" t="s">
        <v>7</v>
      </c>
      <c r="B23" s="5">
        <v>44034.0</v>
      </c>
      <c r="C23" s="6">
        <v>17000.0</v>
      </c>
      <c r="D23" s="7"/>
      <c r="E23" s="7"/>
      <c r="F23" s="7"/>
      <c r="G23" s="7"/>
      <c r="H23" s="8">
        <v>1.0</v>
      </c>
    </row>
    <row r="24">
      <c r="A24" s="4" t="s">
        <v>8</v>
      </c>
      <c r="B24" s="5">
        <v>44035.0</v>
      </c>
      <c r="C24" s="6">
        <v>24000.0</v>
      </c>
      <c r="D24" s="7"/>
      <c r="E24" s="7"/>
      <c r="F24" s="7"/>
      <c r="G24" s="7"/>
      <c r="H24" s="8">
        <v>1.0</v>
      </c>
    </row>
    <row r="25">
      <c r="A25" s="9" t="s">
        <v>9</v>
      </c>
      <c r="B25" s="10">
        <v>44036.0</v>
      </c>
      <c r="C25" s="11">
        <v>0.0</v>
      </c>
      <c r="D25" s="12">
        <v>0.0</v>
      </c>
      <c r="E25" s="12">
        <v>0.0</v>
      </c>
      <c r="F25" s="12">
        <v>0.0</v>
      </c>
      <c r="G25" s="12">
        <v>0.0</v>
      </c>
      <c r="H25" s="13">
        <v>0.0</v>
      </c>
    </row>
    <row r="26">
      <c r="A26" s="4" t="s">
        <v>18</v>
      </c>
      <c r="B26" s="5">
        <v>44037.0</v>
      </c>
      <c r="C26" s="6">
        <v>18000.0</v>
      </c>
      <c r="D26" s="24"/>
      <c r="E26" s="24"/>
      <c r="F26" s="24"/>
      <c r="G26" s="24"/>
      <c r="H26" s="8">
        <v>1.0</v>
      </c>
    </row>
    <row r="27">
      <c r="A27" s="4" t="s">
        <v>19</v>
      </c>
      <c r="B27" s="5">
        <v>44038.0</v>
      </c>
      <c r="C27" s="6">
        <v>23000.0</v>
      </c>
      <c r="D27" s="24"/>
      <c r="E27" s="24"/>
      <c r="F27" s="24"/>
      <c r="G27" s="24"/>
      <c r="H27" s="8">
        <v>1.0</v>
      </c>
    </row>
    <row r="28">
      <c r="A28" s="4" t="s">
        <v>20</v>
      </c>
      <c r="B28" s="5">
        <v>44039.0</v>
      </c>
      <c r="C28" s="25">
        <v>16000.0</v>
      </c>
      <c r="D28" s="24"/>
      <c r="E28" s="24"/>
      <c r="F28" s="24"/>
      <c r="G28" s="24"/>
      <c r="H28" s="8">
        <v>1.0</v>
      </c>
    </row>
    <row r="29">
      <c r="A29" s="26" t="s">
        <v>21</v>
      </c>
      <c r="B29" s="5">
        <v>44040.0</v>
      </c>
      <c r="C29" s="25">
        <v>11000.0</v>
      </c>
      <c r="D29" s="24"/>
      <c r="E29" s="24"/>
      <c r="F29" s="24"/>
      <c r="G29" s="24"/>
      <c r="H29" s="8">
        <v>1.0</v>
      </c>
    </row>
    <row r="30">
      <c r="A30" s="26" t="s">
        <v>22</v>
      </c>
      <c r="B30" s="5">
        <v>44041.0</v>
      </c>
      <c r="C30" s="25">
        <v>50000.0</v>
      </c>
      <c r="D30" s="24"/>
      <c r="E30" s="24"/>
      <c r="F30" s="24"/>
      <c r="G30" s="24"/>
      <c r="H30" s="8">
        <v>1.0</v>
      </c>
    </row>
    <row r="31">
      <c r="A31" s="26" t="s">
        <v>23</v>
      </c>
      <c r="B31" s="5">
        <v>44042.0</v>
      </c>
      <c r="C31" s="25">
        <v>63000.0</v>
      </c>
      <c r="D31" s="24"/>
      <c r="E31" s="24"/>
      <c r="F31" s="24"/>
      <c r="G31" s="24"/>
      <c r="H31" s="8">
        <v>1.0</v>
      </c>
    </row>
    <row r="32">
      <c r="A32" s="27" t="s">
        <v>24</v>
      </c>
      <c r="B32" s="10">
        <v>44043.0</v>
      </c>
      <c r="C32" s="28">
        <v>0.0</v>
      </c>
      <c r="D32" s="28">
        <v>0.0</v>
      </c>
      <c r="E32" s="28">
        <v>0.0</v>
      </c>
      <c r="F32" s="28">
        <v>0.0</v>
      </c>
      <c r="G32" s="28">
        <v>0.0</v>
      </c>
      <c r="H32" s="29"/>
    </row>
    <row r="33">
      <c r="A33" s="30" t="s">
        <v>25</v>
      </c>
      <c r="B33" s="31"/>
      <c r="C33" s="32">
        <f>SUM(C2:C32)</f>
        <v>510000</v>
      </c>
      <c r="D33" s="33">
        <f>Charges!H157*1</f>
        <v>202845</v>
      </c>
      <c r="E33" s="34">
        <f>Salaires!I22*1</f>
        <v>146715</v>
      </c>
      <c r="F33" s="11">
        <v>77000.0</v>
      </c>
      <c r="G33" s="35">
        <f>C33-D33-E33-F33</f>
        <v>83440</v>
      </c>
      <c r="H33" s="36">
        <f>SUM(H2:H32)</f>
        <v>26</v>
      </c>
    </row>
    <row r="34">
      <c r="A34" s="37" t="s">
        <v>26</v>
      </c>
      <c r="B34" s="31"/>
      <c r="C34" s="38">
        <v>1.0</v>
      </c>
      <c r="D34" s="39">
        <f>D33/C33</f>
        <v>0.3977352941</v>
      </c>
      <c r="E34" s="39">
        <f>E33/C33</f>
        <v>0.2876764706</v>
      </c>
      <c r="F34" s="39">
        <f>F33/C33</f>
        <v>0.1509803922</v>
      </c>
      <c r="G34" s="39">
        <f>G33/C33</f>
        <v>0.1636078431</v>
      </c>
    </row>
    <row r="35">
      <c r="A35" s="40"/>
      <c r="B35" s="40"/>
      <c r="C35" s="40"/>
      <c r="D35" s="40"/>
      <c r="E35" s="40"/>
      <c r="F35" s="40"/>
      <c r="G35" s="40"/>
    </row>
  </sheetData>
  <mergeCells count="2">
    <mergeCell ref="A33:B33"/>
    <mergeCell ref="A34:B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/>
      <c r="B1" s="42" t="s">
        <v>0</v>
      </c>
      <c r="C1" s="43" t="s">
        <v>27</v>
      </c>
      <c r="D1" s="43" t="s">
        <v>28</v>
      </c>
      <c r="E1" s="43" t="s">
        <v>29</v>
      </c>
      <c r="F1" s="43" t="s">
        <v>30</v>
      </c>
      <c r="G1" s="43" t="s">
        <v>31</v>
      </c>
      <c r="H1" s="43" t="s">
        <v>32</v>
      </c>
      <c r="I1" s="44" t="s">
        <v>33</v>
      </c>
      <c r="J1" s="40"/>
    </row>
    <row r="2">
      <c r="A2" s="4" t="s">
        <v>22</v>
      </c>
      <c r="B2" s="5">
        <v>44013.0</v>
      </c>
      <c r="C2" s="45">
        <v>1.0</v>
      </c>
      <c r="D2" s="46">
        <v>1.0</v>
      </c>
      <c r="E2" s="46">
        <v>1.0</v>
      </c>
      <c r="F2" s="46">
        <v>1.0</v>
      </c>
      <c r="G2" s="46">
        <v>1.0</v>
      </c>
      <c r="H2" s="46">
        <v>1.0</v>
      </c>
      <c r="I2" s="41"/>
      <c r="J2" s="40"/>
    </row>
    <row r="3">
      <c r="A3" s="4" t="s">
        <v>23</v>
      </c>
      <c r="B3" s="5">
        <v>44014.0</v>
      </c>
      <c r="C3" s="45">
        <v>1.0</v>
      </c>
      <c r="D3" s="45">
        <v>1.0</v>
      </c>
      <c r="E3" s="45">
        <v>1.0</v>
      </c>
      <c r="F3" s="45">
        <v>1.0</v>
      </c>
      <c r="G3" s="45">
        <v>1.0</v>
      </c>
      <c r="H3" s="45">
        <v>1.0</v>
      </c>
      <c r="I3" s="41"/>
      <c r="J3" s="40"/>
    </row>
    <row r="4">
      <c r="A4" s="9" t="s">
        <v>24</v>
      </c>
      <c r="B4" s="10">
        <v>44015.0</v>
      </c>
      <c r="C4" s="47">
        <v>0.0</v>
      </c>
      <c r="D4" s="47">
        <v>0.0</v>
      </c>
      <c r="E4" s="47">
        <v>0.0</v>
      </c>
      <c r="F4" s="47">
        <v>0.0</v>
      </c>
      <c r="G4" s="47">
        <v>0.0</v>
      </c>
      <c r="H4" s="47">
        <v>0.0</v>
      </c>
      <c r="I4" s="41"/>
      <c r="J4" s="40"/>
    </row>
    <row r="5">
      <c r="A5" s="4" t="s">
        <v>18</v>
      </c>
      <c r="B5" s="5">
        <v>44016.0</v>
      </c>
      <c r="C5" s="46">
        <v>1.0</v>
      </c>
      <c r="D5" s="46">
        <v>1.0</v>
      </c>
      <c r="E5" s="46">
        <v>1.0</v>
      </c>
      <c r="F5" s="46">
        <v>1.0</v>
      </c>
      <c r="G5" s="46">
        <v>1.0</v>
      </c>
      <c r="H5" s="46">
        <v>1.0</v>
      </c>
      <c r="I5" s="41"/>
      <c r="J5" s="40"/>
    </row>
    <row r="6">
      <c r="A6" s="4" t="s">
        <v>19</v>
      </c>
      <c r="B6" s="5">
        <v>44017.0</v>
      </c>
      <c r="C6" s="46">
        <v>1.0</v>
      </c>
      <c r="D6" s="46">
        <v>1.0</v>
      </c>
      <c r="E6" s="46">
        <v>1.0</v>
      </c>
      <c r="F6" s="46">
        <v>1.0</v>
      </c>
      <c r="G6" s="46">
        <v>1.0</v>
      </c>
      <c r="H6" s="46">
        <v>1.0</v>
      </c>
      <c r="I6" s="41"/>
      <c r="J6" s="40"/>
    </row>
    <row r="7">
      <c r="A7" s="4" t="s">
        <v>20</v>
      </c>
      <c r="B7" s="5">
        <v>44018.0</v>
      </c>
      <c r="C7" s="46">
        <v>1.0</v>
      </c>
      <c r="D7" s="46">
        <v>1.0</v>
      </c>
      <c r="E7" s="46">
        <v>1.0</v>
      </c>
      <c r="F7" s="46">
        <v>1.0</v>
      </c>
      <c r="G7" s="46">
        <v>1.0</v>
      </c>
      <c r="H7" s="46">
        <v>1.0</v>
      </c>
      <c r="I7" s="41"/>
      <c r="J7" s="40"/>
    </row>
    <row r="8">
      <c r="A8" s="4" t="s">
        <v>21</v>
      </c>
      <c r="B8" s="5">
        <v>44019.0</v>
      </c>
      <c r="C8" s="46">
        <v>1.0</v>
      </c>
      <c r="D8" s="46">
        <v>1.0</v>
      </c>
      <c r="E8" s="46">
        <v>1.0</v>
      </c>
      <c r="F8" s="46">
        <v>1.0</v>
      </c>
      <c r="G8" s="46">
        <v>1.0</v>
      </c>
      <c r="H8" s="46">
        <v>1.0</v>
      </c>
      <c r="I8" s="41"/>
      <c r="J8" s="40"/>
    </row>
    <row r="9">
      <c r="A9" s="4" t="s">
        <v>22</v>
      </c>
      <c r="B9" s="5">
        <v>44020.0</v>
      </c>
      <c r="C9" s="46">
        <v>1.0</v>
      </c>
      <c r="D9" s="46">
        <v>1.0</v>
      </c>
      <c r="E9" s="46">
        <v>1.0</v>
      </c>
      <c r="F9" s="46">
        <v>1.0</v>
      </c>
      <c r="G9" s="46">
        <v>1.0</v>
      </c>
      <c r="H9" s="46">
        <v>1.0</v>
      </c>
      <c r="I9" s="41"/>
      <c r="J9" s="40"/>
    </row>
    <row r="10">
      <c r="A10" s="4" t="s">
        <v>23</v>
      </c>
      <c r="B10" s="5">
        <v>44021.0</v>
      </c>
      <c r="C10" s="45">
        <v>1.0</v>
      </c>
      <c r="D10" s="45">
        <v>1.0</v>
      </c>
      <c r="E10" s="45">
        <v>1.0</v>
      </c>
      <c r="F10" s="45">
        <v>1.0</v>
      </c>
      <c r="G10" s="45">
        <v>1.0</v>
      </c>
      <c r="H10" s="45">
        <v>1.0</v>
      </c>
      <c r="I10" s="41"/>
      <c r="J10" s="40"/>
    </row>
    <row r="11">
      <c r="A11" s="9" t="s">
        <v>24</v>
      </c>
      <c r="B11" s="10">
        <v>44022.0</v>
      </c>
      <c r="C11" s="47">
        <v>0.0</v>
      </c>
      <c r="D11" s="47">
        <v>0.0</v>
      </c>
      <c r="E11" s="47">
        <v>0.0</v>
      </c>
      <c r="F11" s="47">
        <v>0.0</v>
      </c>
      <c r="G11" s="47">
        <v>0.0</v>
      </c>
      <c r="H11" s="47">
        <v>0.0</v>
      </c>
      <c r="I11" s="41"/>
      <c r="J11" s="40"/>
    </row>
    <row r="12">
      <c r="A12" s="4" t="s">
        <v>18</v>
      </c>
      <c r="B12" s="5">
        <v>44023.0</v>
      </c>
      <c r="C12" s="46">
        <v>1.0</v>
      </c>
      <c r="D12" s="46">
        <v>0.0</v>
      </c>
      <c r="E12" s="46">
        <v>1.0</v>
      </c>
      <c r="F12" s="46">
        <v>1.0</v>
      </c>
      <c r="G12" s="46">
        <v>1.0</v>
      </c>
      <c r="H12" s="46">
        <v>1.0</v>
      </c>
      <c r="I12" s="41"/>
      <c r="J12" s="40"/>
    </row>
    <row r="13">
      <c r="A13" s="4" t="s">
        <v>19</v>
      </c>
      <c r="B13" s="5">
        <v>44024.0</v>
      </c>
      <c r="C13" s="46">
        <v>1.0</v>
      </c>
      <c r="D13" s="46">
        <v>0.0</v>
      </c>
      <c r="E13" s="46">
        <v>0.0</v>
      </c>
      <c r="F13" s="46">
        <v>1.0</v>
      </c>
      <c r="G13" s="46">
        <v>1.0</v>
      </c>
      <c r="H13" s="46">
        <v>1.0</v>
      </c>
      <c r="I13" s="41"/>
      <c r="J13" s="40"/>
    </row>
    <row r="14">
      <c r="A14" s="4" t="s">
        <v>20</v>
      </c>
      <c r="B14" s="5">
        <v>44025.0</v>
      </c>
      <c r="C14" s="46">
        <v>1.0</v>
      </c>
      <c r="D14" s="46">
        <v>0.0</v>
      </c>
      <c r="E14" s="46">
        <v>1.0</v>
      </c>
      <c r="F14" s="46">
        <v>1.0</v>
      </c>
      <c r="G14" s="46">
        <v>1.0</v>
      </c>
      <c r="H14" s="46">
        <v>0.0</v>
      </c>
      <c r="I14" s="41"/>
      <c r="J14" s="40"/>
      <c r="N14" s="43" t="s">
        <v>27</v>
      </c>
      <c r="O14" s="43" t="s">
        <v>28</v>
      </c>
      <c r="P14" s="43" t="s">
        <v>29</v>
      </c>
      <c r="Q14" s="43" t="s">
        <v>30</v>
      </c>
      <c r="R14" s="43" t="s">
        <v>31</v>
      </c>
      <c r="S14" s="43" t="s">
        <v>32</v>
      </c>
    </row>
    <row r="15">
      <c r="A15" s="4" t="s">
        <v>21</v>
      </c>
      <c r="B15" s="5">
        <v>44026.0</v>
      </c>
      <c r="C15" s="46">
        <v>0.0</v>
      </c>
      <c r="D15" s="46">
        <v>1.0</v>
      </c>
      <c r="E15" s="46">
        <v>1.0</v>
      </c>
      <c r="F15" s="46">
        <v>1.0</v>
      </c>
      <c r="G15" s="46">
        <v>0.0</v>
      </c>
      <c r="H15" s="46">
        <v>0.0</v>
      </c>
      <c r="I15" s="41"/>
      <c r="J15" s="40"/>
      <c r="N15" s="48">
        <v>24.0</v>
      </c>
      <c r="O15" s="48">
        <v>22.0</v>
      </c>
      <c r="P15" s="48">
        <v>25.0</v>
      </c>
      <c r="Q15" s="48">
        <v>26.0</v>
      </c>
      <c r="R15" s="48">
        <v>23.0</v>
      </c>
      <c r="S15" s="48">
        <v>11.0</v>
      </c>
    </row>
    <row r="16">
      <c r="A16" s="4" t="s">
        <v>22</v>
      </c>
      <c r="B16" s="5">
        <v>44027.0</v>
      </c>
      <c r="C16" s="46">
        <v>0.0</v>
      </c>
      <c r="D16" s="46">
        <v>1.0</v>
      </c>
      <c r="E16" s="46">
        <v>1.0</v>
      </c>
      <c r="F16" s="46">
        <v>1.0</v>
      </c>
      <c r="G16" s="46">
        <v>0.0</v>
      </c>
      <c r="H16" s="46">
        <v>0.0</v>
      </c>
      <c r="I16" s="41"/>
      <c r="J16" s="40"/>
      <c r="N16" s="49">
        <v>1923.0</v>
      </c>
      <c r="O16" s="49">
        <v>1153.0</v>
      </c>
      <c r="P16" s="49">
        <v>962.0</v>
      </c>
      <c r="Q16" s="50"/>
      <c r="R16" s="49">
        <v>962.0</v>
      </c>
      <c r="S16" s="49">
        <v>1153.0</v>
      </c>
    </row>
    <row r="17">
      <c r="A17" s="4" t="s">
        <v>23</v>
      </c>
      <c r="B17" s="5">
        <v>44028.0</v>
      </c>
      <c r="C17" s="45">
        <v>1.0</v>
      </c>
      <c r="D17" s="45">
        <v>0.0</v>
      </c>
      <c r="E17" s="45">
        <v>1.0</v>
      </c>
      <c r="F17" s="45">
        <v>1.0</v>
      </c>
      <c r="G17" s="45">
        <v>1.0</v>
      </c>
      <c r="H17" s="45">
        <v>0.0</v>
      </c>
      <c r="I17" s="41"/>
      <c r="J17" s="40"/>
      <c r="N17" s="50">
        <f t="shared" ref="N17:P17" si="1">N16*N15</f>
        <v>46152</v>
      </c>
      <c r="O17" s="50">
        <f t="shared" si="1"/>
        <v>25366</v>
      </c>
      <c r="P17" s="50">
        <f t="shared" si="1"/>
        <v>24050</v>
      </c>
      <c r="Q17" s="49">
        <v>15000.0</v>
      </c>
      <c r="R17" s="50">
        <f t="shared" ref="R17:S17" si="2">R16*R15</f>
        <v>22126</v>
      </c>
      <c r="S17" s="49">
        <f t="shared" si="2"/>
        <v>12683</v>
      </c>
      <c r="T17" s="21">
        <f t="shared" ref="T17:T18" si="3">SUM(N17:S17)</f>
        <v>145377</v>
      </c>
    </row>
    <row r="18">
      <c r="A18" s="9" t="s">
        <v>24</v>
      </c>
      <c r="B18" s="10">
        <v>44029.0</v>
      </c>
      <c r="C18" s="47">
        <v>0.0</v>
      </c>
      <c r="D18" s="47">
        <v>0.0</v>
      </c>
      <c r="E18" s="47">
        <v>0.0</v>
      </c>
      <c r="F18" s="51">
        <v>0.0</v>
      </c>
      <c r="G18" s="47">
        <v>0.0</v>
      </c>
      <c r="H18" s="47">
        <v>0.0</v>
      </c>
      <c r="I18" s="41"/>
      <c r="J18" s="40"/>
      <c r="N18" s="52">
        <v>46200.0</v>
      </c>
      <c r="O18" s="52">
        <v>25400.0</v>
      </c>
      <c r="P18" s="52">
        <v>24000.0</v>
      </c>
      <c r="Q18" s="52">
        <v>15000.0</v>
      </c>
      <c r="R18" s="52">
        <v>22200.0</v>
      </c>
      <c r="S18" s="52">
        <v>12700.0</v>
      </c>
      <c r="T18" s="21">
        <f t="shared" si="3"/>
        <v>145500</v>
      </c>
    </row>
    <row r="19">
      <c r="A19" s="4" t="s">
        <v>18</v>
      </c>
      <c r="B19" s="5">
        <v>44030.0</v>
      </c>
      <c r="C19" s="45">
        <v>1.0</v>
      </c>
      <c r="D19" s="45">
        <v>1.0</v>
      </c>
      <c r="E19" s="45">
        <v>1.0</v>
      </c>
      <c r="F19" s="45">
        <v>1.0</v>
      </c>
      <c r="G19" s="45">
        <v>1.0</v>
      </c>
      <c r="H19" s="45">
        <v>1.0</v>
      </c>
      <c r="I19" s="41"/>
      <c r="J19" s="40"/>
    </row>
    <row r="20">
      <c r="A20" s="4" t="s">
        <v>34</v>
      </c>
      <c r="B20" s="5">
        <v>44031.0</v>
      </c>
      <c r="C20" s="45">
        <v>1.0</v>
      </c>
      <c r="D20" s="53">
        <v>1.0</v>
      </c>
      <c r="E20" s="45">
        <v>1.0</v>
      </c>
      <c r="F20" s="45">
        <v>1.0</v>
      </c>
      <c r="G20" s="45">
        <v>0.0</v>
      </c>
      <c r="H20" s="45">
        <v>0.0</v>
      </c>
      <c r="I20" s="41"/>
      <c r="J20" s="40"/>
    </row>
    <row r="21">
      <c r="A21" s="4" t="s">
        <v>20</v>
      </c>
      <c r="B21" s="5">
        <v>44032.0</v>
      </c>
      <c r="C21" s="45">
        <v>1.0</v>
      </c>
      <c r="D21" s="45">
        <v>1.0</v>
      </c>
      <c r="E21" s="45">
        <v>1.0</v>
      </c>
      <c r="F21" s="45">
        <v>1.0</v>
      </c>
      <c r="G21" s="45">
        <v>1.0</v>
      </c>
      <c r="H21" s="45">
        <v>0.0</v>
      </c>
      <c r="I21" s="41"/>
      <c r="J21" s="40"/>
      <c r="N21" s="52">
        <v>48000.0</v>
      </c>
      <c r="O21" s="52">
        <v>26400.0</v>
      </c>
      <c r="P21" s="52">
        <v>24000.0</v>
      </c>
      <c r="Q21" s="52">
        <v>15000.0</v>
      </c>
      <c r="R21" s="52">
        <v>23000.0</v>
      </c>
      <c r="S21" s="52">
        <v>13200.0</v>
      </c>
      <c r="T21" s="21">
        <f>SUM(N21:S21)</f>
        <v>149600</v>
      </c>
    </row>
    <row r="22">
      <c r="A22" s="4" t="s">
        <v>21</v>
      </c>
      <c r="B22" s="5">
        <v>44033.0</v>
      </c>
      <c r="C22" s="45">
        <v>1.0</v>
      </c>
      <c r="D22" s="45">
        <v>1.0</v>
      </c>
      <c r="E22" s="45">
        <v>1.0</v>
      </c>
      <c r="F22" s="45">
        <v>1.0</v>
      </c>
      <c r="G22" s="45">
        <v>1.0</v>
      </c>
      <c r="H22" s="45">
        <v>0.0</v>
      </c>
      <c r="I22" s="41"/>
      <c r="J22" s="40"/>
    </row>
    <row r="23">
      <c r="A23" s="4" t="s">
        <v>22</v>
      </c>
      <c r="B23" s="5">
        <v>44034.0</v>
      </c>
      <c r="C23" s="45">
        <v>1.0</v>
      </c>
      <c r="D23" s="45">
        <v>1.0</v>
      </c>
      <c r="E23" s="45">
        <v>1.0</v>
      </c>
      <c r="F23" s="45">
        <v>1.0</v>
      </c>
      <c r="G23" s="45">
        <v>1.0</v>
      </c>
      <c r="H23" s="45">
        <v>0.0</v>
      </c>
      <c r="I23" s="41"/>
      <c r="J23" s="40"/>
    </row>
    <row r="24">
      <c r="A24" s="4" t="s">
        <v>23</v>
      </c>
      <c r="B24" s="5">
        <v>44035.0</v>
      </c>
      <c r="C24" s="45">
        <v>1.0</v>
      </c>
      <c r="D24" s="45">
        <v>1.0</v>
      </c>
      <c r="E24" s="45">
        <v>1.0</v>
      </c>
      <c r="F24" s="45">
        <v>1.0</v>
      </c>
      <c r="G24" s="45">
        <v>1.0</v>
      </c>
      <c r="H24" s="45">
        <v>0.0</v>
      </c>
      <c r="I24" s="41"/>
      <c r="J24" s="40"/>
    </row>
    <row r="25">
      <c r="A25" s="9" t="s">
        <v>24</v>
      </c>
      <c r="B25" s="10">
        <v>44036.0</v>
      </c>
      <c r="C25" s="54">
        <v>0.0</v>
      </c>
      <c r="D25" s="55">
        <v>0.0</v>
      </c>
      <c r="E25" s="54">
        <v>0.0</v>
      </c>
      <c r="F25" s="54">
        <v>0.0</v>
      </c>
      <c r="G25" s="54">
        <v>0.0</v>
      </c>
      <c r="H25" s="54">
        <v>0.0</v>
      </c>
      <c r="I25" s="41"/>
      <c r="J25" s="40"/>
    </row>
    <row r="26">
      <c r="A26" s="4" t="s">
        <v>18</v>
      </c>
      <c r="B26" s="5">
        <v>44037.0</v>
      </c>
      <c r="C26" s="45">
        <v>1.0</v>
      </c>
      <c r="D26" s="45">
        <v>1.0</v>
      </c>
      <c r="E26" s="45">
        <v>1.0</v>
      </c>
      <c r="F26" s="45">
        <v>1.0</v>
      </c>
      <c r="G26" s="45">
        <v>1.0</v>
      </c>
      <c r="H26" s="45">
        <v>0.0</v>
      </c>
      <c r="I26" s="41"/>
      <c r="J26" s="40"/>
    </row>
    <row r="27">
      <c r="A27" s="4" t="s">
        <v>19</v>
      </c>
      <c r="B27" s="5">
        <v>44038.0</v>
      </c>
      <c r="C27" s="45">
        <v>1.0</v>
      </c>
      <c r="D27" s="45">
        <v>1.0</v>
      </c>
      <c r="E27" s="45">
        <v>1.0</v>
      </c>
      <c r="F27" s="45">
        <v>1.0</v>
      </c>
      <c r="G27" s="45">
        <v>1.0</v>
      </c>
      <c r="H27" s="45">
        <v>0.0</v>
      </c>
      <c r="I27" s="41"/>
      <c r="J27" s="40"/>
    </row>
    <row r="28">
      <c r="A28" s="4" t="s">
        <v>20</v>
      </c>
      <c r="B28" s="5">
        <v>44039.0</v>
      </c>
      <c r="C28" s="56">
        <v>1.0</v>
      </c>
      <c r="D28" s="56">
        <v>1.0</v>
      </c>
      <c r="E28" s="45">
        <v>1.0</v>
      </c>
      <c r="F28" s="56">
        <v>1.0</v>
      </c>
      <c r="G28" s="56">
        <v>1.0</v>
      </c>
      <c r="H28" s="56">
        <v>0.0</v>
      </c>
      <c r="I28" s="41"/>
      <c r="J28" s="40"/>
    </row>
    <row r="29">
      <c r="A29" s="26" t="s">
        <v>21</v>
      </c>
      <c r="B29" s="5">
        <v>44040.0</v>
      </c>
      <c r="C29" s="56">
        <v>1.0</v>
      </c>
      <c r="D29" s="56">
        <v>1.0</v>
      </c>
      <c r="E29" s="45">
        <v>1.0</v>
      </c>
      <c r="F29" s="56">
        <v>1.0</v>
      </c>
      <c r="G29" s="56">
        <v>1.0</v>
      </c>
      <c r="H29" s="56">
        <v>0.0</v>
      </c>
      <c r="I29" s="41"/>
      <c r="J29" s="40"/>
    </row>
    <row r="30">
      <c r="A30" s="26" t="s">
        <v>22</v>
      </c>
      <c r="B30" s="5">
        <v>44041.0</v>
      </c>
      <c r="C30" s="56">
        <v>1.0</v>
      </c>
      <c r="D30" s="56">
        <v>1.0</v>
      </c>
      <c r="E30" s="45">
        <v>1.0</v>
      </c>
      <c r="F30" s="56">
        <v>1.0</v>
      </c>
      <c r="G30" s="56">
        <v>1.0</v>
      </c>
      <c r="H30" s="56">
        <v>1.0</v>
      </c>
      <c r="I30" s="41"/>
      <c r="J30" s="40"/>
    </row>
    <row r="31">
      <c r="A31" s="26" t="s">
        <v>23</v>
      </c>
      <c r="B31" s="5">
        <v>44042.0</v>
      </c>
      <c r="C31" s="56">
        <v>1.0</v>
      </c>
      <c r="D31" s="56">
        <v>1.0</v>
      </c>
      <c r="E31" s="45">
        <v>1.0</v>
      </c>
      <c r="F31" s="56">
        <v>0.0</v>
      </c>
      <c r="G31" s="56">
        <v>1.0</v>
      </c>
      <c r="H31" s="56">
        <v>0.0</v>
      </c>
      <c r="I31" s="41"/>
      <c r="J31" s="40"/>
    </row>
    <row r="32">
      <c r="A32" s="57" t="s">
        <v>24</v>
      </c>
      <c r="B32" s="58">
        <v>44043.0</v>
      </c>
      <c r="C32" s="59">
        <v>0.0</v>
      </c>
      <c r="D32" s="59">
        <v>0.0</v>
      </c>
      <c r="E32" s="60">
        <v>0.0</v>
      </c>
      <c r="F32" s="59">
        <v>0.0</v>
      </c>
      <c r="G32" s="59">
        <v>0.0</v>
      </c>
      <c r="H32" s="59">
        <v>0.0</v>
      </c>
      <c r="I32" s="61"/>
      <c r="J32" s="40"/>
    </row>
    <row r="33">
      <c r="A33" s="61"/>
      <c r="B33" s="62" t="s">
        <v>35</v>
      </c>
      <c r="C33" s="63">
        <f t="shared" ref="C33:H33" si="4">SUM(C2:C32)</f>
        <v>24</v>
      </c>
      <c r="D33" s="63">
        <f t="shared" si="4"/>
        <v>22</v>
      </c>
      <c r="E33" s="63">
        <f t="shared" si="4"/>
        <v>25</v>
      </c>
      <c r="F33" s="63">
        <f t="shared" si="4"/>
        <v>25</v>
      </c>
      <c r="G33" s="63">
        <f t="shared" si="4"/>
        <v>23</v>
      </c>
      <c r="H33" s="63">
        <f t="shared" si="4"/>
        <v>12</v>
      </c>
      <c r="I33" s="64"/>
      <c r="J33" s="40"/>
    </row>
    <row r="34">
      <c r="A34" s="61"/>
      <c r="B34" s="65" t="s">
        <v>36</v>
      </c>
      <c r="C34" s="66">
        <v>1925.0</v>
      </c>
      <c r="D34" s="66">
        <v>1155.0</v>
      </c>
      <c r="E34" s="66">
        <v>962.0</v>
      </c>
      <c r="F34" s="67">
        <v>600.0</v>
      </c>
      <c r="G34" s="66">
        <v>965.0</v>
      </c>
      <c r="H34" s="66">
        <v>1155.0</v>
      </c>
      <c r="I34" s="68">
        <f t="shared" ref="I34:I35" si="6">SUM(C34:H34)</f>
        <v>6762</v>
      </c>
      <c r="J34" s="40"/>
    </row>
    <row r="35">
      <c r="A35" s="61"/>
      <c r="B35" s="69" t="s">
        <v>37</v>
      </c>
      <c r="C35" s="70">
        <f t="shared" ref="C35:G35" si="5">C34*C33</f>
        <v>46200</v>
      </c>
      <c r="D35" s="70">
        <f t="shared" si="5"/>
        <v>25410</v>
      </c>
      <c r="E35" s="70">
        <f t="shared" si="5"/>
        <v>24050</v>
      </c>
      <c r="F35" s="70">
        <f t="shared" si="5"/>
        <v>15000</v>
      </c>
      <c r="G35" s="70">
        <f t="shared" si="5"/>
        <v>22195</v>
      </c>
      <c r="H35" s="70">
        <f>H33*H34</f>
        <v>13860</v>
      </c>
      <c r="I35" s="71">
        <f t="shared" si="6"/>
        <v>146715</v>
      </c>
      <c r="J35" s="4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6.0"/>
    <col customWidth="1" min="7" max="7" width="43.0"/>
    <col customWidth="1" min="8" max="8" width="18.5"/>
    <col customWidth="1" min="9" max="9" width="28.5"/>
  </cols>
  <sheetData>
    <row r="3">
      <c r="F3" s="72" t="s">
        <v>38</v>
      </c>
      <c r="G3" s="72" t="s">
        <v>39</v>
      </c>
      <c r="H3" s="72" t="s">
        <v>40</v>
      </c>
      <c r="I3" s="72" t="s">
        <v>41</v>
      </c>
    </row>
    <row r="4">
      <c r="F4" s="73" t="s">
        <v>42</v>
      </c>
      <c r="G4" s="73" t="s">
        <v>43</v>
      </c>
      <c r="H4" s="74">
        <v>850.0</v>
      </c>
      <c r="I4" s="75">
        <v>44013.0</v>
      </c>
    </row>
    <row r="5">
      <c r="F5" s="73" t="s">
        <v>44</v>
      </c>
      <c r="G5" s="73" t="s">
        <v>43</v>
      </c>
      <c r="H5" s="74">
        <v>1000.0</v>
      </c>
      <c r="I5" s="75">
        <v>44013.0</v>
      </c>
    </row>
    <row r="6">
      <c r="F6" s="73" t="s">
        <v>45</v>
      </c>
      <c r="G6" s="73" t="s">
        <v>46</v>
      </c>
      <c r="H6" s="74">
        <v>2900.0</v>
      </c>
      <c r="I6" s="75">
        <v>44013.0</v>
      </c>
    </row>
    <row r="7">
      <c r="F7" s="73" t="s">
        <v>47</v>
      </c>
      <c r="G7" s="73" t="s">
        <v>48</v>
      </c>
      <c r="H7" s="74">
        <v>520.0</v>
      </c>
      <c r="I7" s="75">
        <v>44013.0</v>
      </c>
    </row>
    <row r="8">
      <c r="F8" s="73" t="s">
        <v>49</v>
      </c>
      <c r="G8" s="73" t="s">
        <v>50</v>
      </c>
      <c r="H8" s="74">
        <v>775.0</v>
      </c>
      <c r="I8" s="75">
        <v>44013.0</v>
      </c>
    </row>
    <row r="9">
      <c r="F9" s="73" t="s">
        <v>51</v>
      </c>
      <c r="G9" s="73" t="s">
        <v>48</v>
      </c>
      <c r="H9" s="74">
        <v>630.0</v>
      </c>
      <c r="I9" s="75">
        <v>44013.0</v>
      </c>
    </row>
    <row r="10">
      <c r="F10" s="73" t="s">
        <v>52</v>
      </c>
      <c r="G10" s="73">
        <v>1.0</v>
      </c>
      <c r="H10" s="74">
        <v>1450.0</v>
      </c>
      <c r="I10" s="75">
        <v>44013.0</v>
      </c>
    </row>
    <row r="11">
      <c r="F11" s="73" t="s">
        <v>53</v>
      </c>
      <c r="G11" s="73">
        <v>2.0</v>
      </c>
      <c r="H11" s="74">
        <v>920.0</v>
      </c>
      <c r="I11" s="75">
        <v>44013.0</v>
      </c>
    </row>
    <row r="12">
      <c r="F12" s="73" t="s">
        <v>54</v>
      </c>
      <c r="G12" s="73">
        <v>4.0</v>
      </c>
      <c r="H12" s="74">
        <v>1400.0</v>
      </c>
      <c r="I12" s="75">
        <v>44013.0</v>
      </c>
    </row>
    <row r="13">
      <c r="F13" s="73" t="s">
        <v>55</v>
      </c>
      <c r="G13" s="73" t="s">
        <v>56</v>
      </c>
      <c r="H13" s="74">
        <v>6900.0</v>
      </c>
      <c r="I13" s="73" t="s">
        <v>57</v>
      </c>
    </row>
    <row r="14">
      <c r="F14" s="73" t="s">
        <v>58</v>
      </c>
      <c r="G14" s="73" t="s">
        <v>59</v>
      </c>
      <c r="H14" s="74">
        <v>660.0</v>
      </c>
      <c r="I14" s="75">
        <v>44013.0</v>
      </c>
    </row>
    <row r="15">
      <c r="F15" s="73" t="s">
        <v>60</v>
      </c>
      <c r="G15" s="73" t="s">
        <v>61</v>
      </c>
      <c r="H15" s="74">
        <v>480.0</v>
      </c>
      <c r="I15" s="75">
        <v>44013.0</v>
      </c>
    </row>
    <row r="16">
      <c r="F16" s="73" t="s">
        <v>62</v>
      </c>
      <c r="G16" s="73" t="s">
        <v>63</v>
      </c>
      <c r="H16" s="74">
        <v>2500.0</v>
      </c>
      <c r="I16" s="75">
        <v>44013.0</v>
      </c>
    </row>
    <row r="17">
      <c r="F17" s="73" t="s">
        <v>64</v>
      </c>
      <c r="G17" s="73" t="s">
        <v>65</v>
      </c>
      <c r="H17" s="74">
        <v>2800.0</v>
      </c>
      <c r="I17" s="75">
        <v>44013.0</v>
      </c>
    </row>
    <row r="18">
      <c r="F18" s="73" t="s">
        <v>66</v>
      </c>
      <c r="G18" s="73" t="s">
        <v>65</v>
      </c>
      <c r="H18" s="74">
        <v>1020.0</v>
      </c>
      <c r="I18" s="75">
        <v>44013.0</v>
      </c>
    </row>
    <row r="19">
      <c r="F19" s="73" t="s">
        <v>67</v>
      </c>
      <c r="G19" s="73" t="s">
        <v>68</v>
      </c>
      <c r="H19" s="74">
        <v>750.0</v>
      </c>
      <c r="I19" s="75">
        <v>44013.0</v>
      </c>
    </row>
    <row r="20">
      <c r="F20" s="73" t="s">
        <v>69</v>
      </c>
      <c r="G20" s="73" t="s">
        <v>70</v>
      </c>
      <c r="H20" s="74">
        <v>100.0</v>
      </c>
      <c r="I20" s="75">
        <v>44013.0</v>
      </c>
    </row>
    <row r="21">
      <c r="F21" s="73" t="s">
        <v>71</v>
      </c>
      <c r="G21" s="73" t="s">
        <v>72</v>
      </c>
      <c r="H21" s="74">
        <v>400.0</v>
      </c>
      <c r="I21" s="75">
        <v>44013.0</v>
      </c>
    </row>
    <row r="22">
      <c r="F22" s="73" t="s">
        <v>73</v>
      </c>
      <c r="G22" s="73" t="s">
        <v>74</v>
      </c>
      <c r="H22" s="74">
        <v>350.0</v>
      </c>
      <c r="I22" s="75">
        <v>44013.0</v>
      </c>
    </row>
    <row r="23">
      <c r="F23" s="73" t="s">
        <v>75</v>
      </c>
      <c r="G23" s="73">
        <v>1.0</v>
      </c>
      <c r="H23" s="74">
        <v>100.0</v>
      </c>
      <c r="I23" s="75">
        <v>44013.0</v>
      </c>
    </row>
    <row r="24">
      <c r="F24" s="73" t="s">
        <v>76</v>
      </c>
      <c r="G24" s="73" t="s">
        <v>77</v>
      </c>
      <c r="H24" s="74">
        <v>330.0</v>
      </c>
      <c r="I24" s="75">
        <v>44013.0</v>
      </c>
    </row>
    <row r="25">
      <c r="F25" s="73" t="s">
        <v>78</v>
      </c>
      <c r="G25" s="73" t="s">
        <v>79</v>
      </c>
      <c r="H25" s="74">
        <v>4815.0</v>
      </c>
      <c r="I25" s="75">
        <v>44013.0</v>
      </c>
    </row>
    <row r="26">
      <c r="F26" s="73" t="s">
        <v>80</v>
      </c>
      <c r="G26" s="73" t="s">
        <v>81</v>
      </c>
      <c r="H26" s="74">
        <v>6000.0</v>
      </c>
      <c r="I26" s="75">
        <v>44013.0</v>
      </c>
    </row>
    <row r="27">
      <c r="F27" s="76" t="s">
        <v>82</v>
      </c>
      <c r="G27" s="73" t="s">
        <v>83</v>
      </c>
      <c r="H27" s="74">
        <v>6750.0</v>
      </c>
      <c r="I27" s="75">
        <v>44013.0</v>
      </c>
    </row>
    <row r="28">
      <c r="F28" s="73" t="s">
        <v>84</v>
      </c>
      <c r="G28" s="73" t="s">
        <v>85</v>
      </c>
      <c r="H28" s="74">
        <v>4500.0</v>
      </c>
      <c r="I28" s="75">
        <v>44014.0</v>
      </c>
    </row>
    <row r="29">
      <c r="F29" s="73" t="s">
        <v>86</v>
      </c>
      <c r="G29" s="73" t="s">
        <v>87</v>
      </c>
      <c r="H29" s="74">
        <v>750.0</v>
      </c>
      <c r="I29" s="75">
        <v>44014.0</v>
      </c>
    </row>
    <row r="30">
      <c r="F30" s="73" t="s">
        <v>88</v>
      </c>
      <c r="G30" s="73" t="s">
        <v>89</v>
      </c>
      <c r="H30" s="74">
        <v>2750.0</v>
      </c>
      <c r="I30" s="75">
        <v>44016.0</v>
      </c>
    </row>
    <row r="31">
      <c r="F31" s="73" t="s">
        <v>90</v>
      </c>
      <c r="G31" s="73" t="s">
        <v>91</v>
      </c>
      <c r="H31" s="74">
        <v>500.0</v>
      </c>
      <c r="I31" s="75">
        <v>44016.0</v>
      </c>
    </row>
    <row r="32">
      <c r="F32" s="73" t="s">
        <v>92</v>
      </c>
      <c r="G32" s="73" t="s">
        <v>70</v>
      </c>
      <c r="H32" s="74">
        <v>500.0</v>
      </c>
      <c r="I32" s="75">
        <v>44016.0</v>
      </c>
    </row>
    <row r="33">
      <c r="F33" s="73" t="s">
        <v>93</v>
      </c>
      <c r="G33" s="73" t="s">
        <v>70</v>
      </c>
      <c r="H33" s="74">
        <v>500.0</v>
      </c>
      <c r="I33" s="75">
        <v>44016.0</v>
      </c>
    </row>
    <row r="34">
      <c r="F34" s="73" t="s">
        <v>94</v>
      </c>
      <c r="G34" s="73">
        <v>1.0</v>
      </c>
      <c r="H34" s="74">
        <v>500.0</v>
      </c>
      <c r="I34" s="75">
        <v>44016.0</v>
      </c>
    </row>
    <row r="35">
      <c r="F35" s="73" t="s">
        <v>95</v>
      </c>
      <c r="G35" s="73" t="s">
        <v>96</v>
      </c>
      <c r="H35" s="74">
        <v>8050.0</v>
      </c>
      <c r="I35" s="75">
        <v>44017.0</v>
      </c>
    </row>
    <row r="36">
      <c r="F36" s="73" t="s">
        <v>97</v>
      </c>
      <c r="G36" s="73">
        <v>1.0</v>
      </c>
      <c r="H36" s="74">
        <v>50.0</v>
      </c>
      <c r="I36" s="75">
        <v>44017.0</v>
      </c>
    </row>
    <row r="37">
      <c r="F37" s="73" t="s">
        <v>93</v>
      </c>
      <c r="G37" s="73" t="s">
        <v>70</v>
      </c>
      <c r="H37" s="74">
        <v>500.0</v>
      </c>
      <c r="I37" s="75">
        <v>44018.0</v>
      </c>
    </row>
    <row r="38">
      <c r="F38" s="73" t="s">
        <v>98</v>
      </c>
      <c r="G38" s="73" t="s">
        <v>99</v>
      </c>
      <c r="H38" s="74">
        <v>3000.0</v>
      </c>
      <c r="I38" s="75">
        <v>44019.0</v>
      </c>
    </row>
    <row r="39">
      <c r="F39" s="73" t="s">
        <v>88</v>
      </c>
      <c r="G39" s="73" t="s">
        <v>100</v>
      </c>
      <c r="H39" s="74">
        <v>2200.0</v>
      </c>
      <c r="I39" s="75">
        <v>44019.0</v>
      </c>
    </row>
    <row r="40">
      <c r="F40" s="73" t="s">
        <v>101</v>
      </c>
      <c r="G40" s="73">
        <v>10.0</v>
      </c>
      <c r="H40" s="74">
        <v>5300.0</v>
      </c>
      <c r="I40" s="75">
        <v>44020.0</v>
      </c>
    </row>
    <row r="41">
      <c r="F41" s="73" t="s">
        <v>102</v>
      </c>
      <c r="G41" s="73">
        <v>3.0</v>
      </c>
      <c r="H41" s="74">
        <v>500.0</v>
      </c>
      <c r="I41" s="75">
        <v>44023.0</v>
      </c>
    </row>
    <row r="42">
      <c r="F42" s="73" t="s">
        <v>103</v>
      </c>
      <c r="G42" s="73" t="s">
        <v>104</v>
      </c>
      <c r="H42" s="74">
        <v>1900.0</v>
      </c>
      <c r="I42" s="75">
        <v>44024.0</v>
      </c>
    </row>
    <row r="43">
      <c r="F43" s="73" t="s">
        <v>105</v>
      </c>
      <c r="G43" s="73" t="s">
        <v>106</v>
      </c>
      <c r="H43" s="74">
        <v>200.0</v>
      </c>
      <c r="I43" s="75">
        <v>44024.0</v>
      </c>
    </row>
    <row r="44">
      <c r="F44" s="73" t="s">
        <v>107</v>
      </c>
      <c r="G44" s="73" t="s">
        <v>108</v>
      </c>
      <c r="H44" s="74">
        <v>150.0</v>
      </c>
      <c r="I44" s="75">
        <v>44024.0</v>
      </c>
    </row>
    <row r="45">
      <c r="F45" s="73" t="s">
        <v>109</v>
      </c>
      <c r="G45" s="73" t="s">
        <v>108</v>
      </c>
      <c r="H45" s="74">
        <v>150.0</v>
      </c>
      <c r="I45" s="75">
        <v>44024.0</v>
      </c>
    </row>
    <row r="46">
      <c r="F46" s="73" t="s">
        <v>110</v>
      </c>
      <c r="G46" s="73" t="s">
        <v>68</v>
      </c>
      <c r="H46" s="74">
        <v>250.0</v>
      </c>
      <c r="I46" s="75">
        <v>44024.0</v>
      </c>
    </row>
    <row r="47">
      <c r="F47" s="73" t="s">
        <v>111</v>
      </c>
      <c r="G47" s="73" t="s">
        <v>112</v>
      </c>
      <c r="H47" s="74">
        <v>100.0</v>
      </c>
      <c r="I47" s="75">
        <v>44024.0</v>
      </c>
    </row>
    <row r="48">
      <c r="F48" s="73" t="s">
        <v>113</v>
      </c>
      <c r="G48" s="73" t="s">
        <v>72</v>
      </c>
      <c r="H48" s="74">
        <v>100.0</v>
      </c>
      <c r="I48" s="75">
        <v>44024.0</v>
      </c>
    </row>
    <row r="49">
      <c r="F49" s="73" t="s">
        <v>114</v>
      </c>
      <c r="G49" s="73" t="s">
        <v>70</v>
      </c>
      <c r="H49" s="74">
        <v>500.0</v>
      </c>
      <c r="I49" s="75">
        <v>44025.0</v>
      </c>
    </row>
    <row r="50">
      <c r="F50" s="73" t="s">
        <v>93</v>
      </c>
      <c r="G50" s="73" t="s">
        <v>70</v>
      </c>
      <c r="H50" s="74">
        <v>200.0</v>
      </c>
      <c r="I50" s="75">
        <v>44025.0</v>
      </c>
    </row>
    <row r="51">
      <c r="F51" s="73" t="s">
        <v>115</v>
      </c>
      <c r="G51" s="73" t="s">
        <v>72</v>
      </c>
      <c r="H51" s="74">
        <v>600.0</v>
      </c>
      <c r="I51" s="75">
        <v>44025.0</v>
      </c>
    </row>
    <row r="52">
      <c r="F52" s="73" t="s">
        <v>116</v>
      </c>
      <c r="G52" s="73" t="s">
        <v>117</v>
      </c>
      <c r="H52" s="74">
        <v>100.0</v>
      </c>
      <c r="I52" s="75">
        <v>44025.0</v>
      </c>
    </row>
    <row r="53">
      <c r="F53" s="73" t="s">
        <v>118</v>
      </c>
      <c r="G53" s="73">
        <v>10.0</v>
      </c>
      <c r="H53" s="74">
        <v>100.0</v>
      </c>
      <c r="I53" s="75">
        <v>44025.0</v>
      </c>
    </row>
    <row r="54">
      <c r="F54" s="73" t="s">
        <v>119</v>
      </c>
      <c r="G54" s="73">
        <v>5.0</v>
      </c>
      <c r="H54" s="74">
        <v>350.0</v>
      </c>
      <c r="I54" s="75">
        <v>44025.0</v>
      </c>
    </row>
    <row r="55">
      <c r="F55" s="73" t="s">
        <v>120</v>
      </c>
      <c r="G55" s="73" t="s">
        <v>121</v>
      </c>
      <c r="H55" s="74">
        <v>1900.0</v>
      </c>
      <c r="I55" s="75">
        <v>44025.0</v>
      </c>
    </row>
    <row r="56">
      <c r="F56" s="73" t="s">
        <v>95</v>
      </c>
      <c r="G56" s="73" t="s">
        <v>122</v>
      </c>
      <c r="H56" s="74">
        <v>350.0</v>
      </c>
      <c r="I56" s="75">
        <v>44025.0</v>
      </c>
    </row>
    <row r="57">
      <c r="F57" s="73" t="s">
        <v>95</v>
      </c>
      <c r="G57" s="73" t="s">
        <v>123</v>
      </c>
      <c r="H57" s="74">
        <v>500.0</v>
      </c>
      <c r="I57" s="75">
        <v>44025.0</v>
      </c>
    </row>
    <row r="58">
      <c r="F58" s="73" t="s">
        <v>124</v>
      </c>
      <c r="G58" s="73">
        <v>50.0</v>
      </c>
      <c r="H58" s="74">
        <v>50.0</v>
      </c>
      <c r="I58" s="75">
        <v>44025.0</v>
      </c>
    </row>
    <row r="59">
      <c r="F59" s="73" t="s">
        <v>114</v>
      </c>
      <c r="G59" s="73" t="s">
        <v>70</v>
      </c>
      <c r="H59" s="74">
        <v>500.0</v>
      </c>
      <c r="I59" s="75">
        <v>44026.0</v>
      </c>
    </row>
    <row r="60">
      <c r="F60" s="73" t="s">
        <v>93</v>
      </c>
      <c r="G60" s="73" t="s">
        <v>70</v>
      </c>
      <c r="H60" s="74">
        <v>500.0</v>
      </c>
      <c r="I60" s="75">
        <v>44026.0</v>
      </c>
    </row>
    <row r="61">
      <c r="F61" s="73" t="s">
        <v>125</v>
      </c>
      <c r="G61" s="73">
        <v>3.0</v>
      </c>
      <c r="H61" s="74">
        <v>450.0</v>
      </c>
      <c r="I61" s="75">
        <v>44026.0</v>
      </c>
    </row>
    <row r="62">
      <c r="F62" s="73" t="s">
        <v>97</v>
      </c>
      <c r="G62" s="73">
        <v>1.0</v>
      </c>
      <c r="H62" s="74">
        <v>50.0</v>
      </c>
      <c r="I62" s="75">
        <v>44026.0</v>
      </c>
    </row>
    <row r="63">
      <c r="F63" s="73" t="s">
        <v>126</v>
      </c>
      <c r="G63" s="73" t="s">
        <v>127</v>
      </c>
      <c r="H63" s="74">
        <v>1400.0</v>
      </c>
      <c r="I63" s="75">
        <v>44027.0</v>
      </c>
    </row>
    <row r="64">
      <c r="F64" s="73" t="s">
        <v>93</v>
      </c>
      <c r="G64" s="73" t="s">
        <v>70</v>
      </c>
      <c r="H64" s="74">
        <v>500.0</v>
      </c>
      <c r="I64" s="75">
        <v>44027.0</v>
      </c>
    </row>
    <row r="65">
      <c r="F65" s="73" t="s">
        <v>114</v>
      </c>
      <c r="G65" s="73" t="s">
        <v>70</v>
      </c>
      <c r="H65" s="74">
        <v>500.0</v>
      </c>
      <c r="I65" s="75">
        <v>44027.0</v>
      </c>
    </row>
    <row r="66">
      <c r="F66" s="73" t="s">
        <v>128</v>
      </c>
      <c r="G66" s="73" t="s">
        <v>70</v>
      </c>
      <c r="H66" s="74">
        <v>120.0</v>
      </c>
      <c r="I66" s="75">
        <v>44027.0</v>
      </c>
    </row>
    <row r="67">
      <c r="F67" s="73" t="s">
        <v>129</v>
      </c>
      <c r="G67" s="73" t="s">
        <v>70</v>
      </c>
      <c r="H67" s="74">
        <v>50.0</v>
      </c>
      <c r="I67" s="75">
        <v>44027.0</v>
      </c>
    </row>
    <row r="68">
      <c r="F68" s="73" t="s">
        <v>130</v>
      </c>
      <c r="G68" s="73">
        <v>1.0</v>
      </c>
      <c r="H68" s="74">
        <v>40.0</v>
      </c>
      <c r="I68" s="75">
        <v>44027.0</v>
      </c>
    </row>
    <row r="69">
      <c r="F69" s="73" t="s">
        <v>131</v>
      </c>
      <c r="G69" s="73">
        <v>1.0</v>
      </c>
      <c r="H69" s="74">
        <v>500.0</v>
      </c>
      <c r="I69" s="75">
        <v>44027.0</v>
      </c>
    </row>
    <row r="70">
      <c r="F70" s="73" t="s">
        <v>132</v>
      </c>
      <c r="G70" s="73" t="s">
        <v>133</v>
      </c>
      <c r="H70" s="74">
        <v>26000.0</v>
      </c>
      <c r="I70" s="75">
        <v>44028.0</v>
      </c>
    </row>
    <row r="71">
      <c r="F71" s="73" t="s">
        <v>134</v>
      </c>
      <c r="G71" s="73" t="s">
        <v>135</v>
      </c>
      <c r="H71" s="74">
        <v>600.0</v>
      </c>
      <c r="I71" s="75">
        <v>44028.0</v>
      </c>
    </row>
    <row r="72">
      <c r="F72" s="73" t="s">
        <v>136</v>
      </c>
      <c r="G72" s="73">
        <v>3.0</v>
      </c>
      <c r="H72" s="74">
        <v>1080.0</v>
      </c>
      <c r="I72" s="75">
        <v>44028.0</v>
      </c>
    </row>
    <row r="73">
      <c r="F73" s="73" t="s">
        <v>137</v>
      </c>
      <c r="G73" s="73" t="s">
        <v>138</v>
      </c>
      <c r="H73" s="74">
        <v>5000.0</v>
      </c>
      <c r="I73" s="75">
        <v>44028.0</v>
      </c>
    </row>
    <row r="74">
      <c r="F74" s="73" t="s">
        <v>139</v>
      </c>
      <c r="G74" s="73">
        <v>1.0</v>
      </c>
      <c r="H74" s="74">
        <v>500.0</v>
      </c>
      <c r="I74" s="75">
        <v>44028.0</v>
      </c>
    </row>
    <row r="75">
      <c r="F75" s="73" t="s">
        <v>140</v>
      </c>
      <c r="G75" s="73" t="s">
        <v>141</v>
      </c>
      <c r="H75" s="74">
        <v>340.0</v>
      </c>
      <c r="I75" s="75">
        <v>44029.0</v>
      </c>
    </row>
    <row r="76">
      <c r="F76" s="73" t="s">
        <v>142</v>
      </c>
      <c r="G76" s="73" t="s">
        <v>143</v>
      </c>
      <c r="H76" s="74">
        <v>280.0</v>
      </c>
      <c r="I76" s="75">
        <v>44029.0</v>
      </c>
    </row>
    <row r="77">
      <c r="F77" s="73" t="s">
        <v>144</v>
      </c>
      <c r="G77" s="73" t="s">
        <v>145</v>
      </c>
      <c r="H77" s="74">
        <v>200.0</v>
      </c>
      <c r="I77" s="75">
        <v>44029.0</v>
      </c>
    </row>
    <row r="78">
      <c r="F78" s="73" t="s">
        <v>146</v>
      </c>
      <c r="G78" s="73">
        <v>1.0</v>
      </c>
      <c r="H78" s="74">
        <v>65.0</v>
      </c>
      <c r="I78" s="75">
        <v>44029.0</v>
      </c>
    </row>
    <row r="79">
      <c r="F79" s="73" t="s">
        <v>147</v>
      </c>
      <c r="G79" s="73" t="s">
        <v>68</v>
      </c>
      <c r="H79" s="74">
        <v>80.0</v>
      </c>
      <c r="I79" s="75">
        <v>44029.0</v>
      </c>
    </row>
    <row r="80">
      <c r="F80" s="73" t="s">
        <v>148</v>
      </c>
      <c r="G80" s="73">
        <v>1.0</v>
      </c>
      <c r="H80" s="74">
        <v>85.0</v>
      </c>
      <c r="I80" s="75">
        <v>44029.0</v>
      </c>
    </row>
    <row r="81">
      <c r="F81" s="73" t="s">
        <v>149</v>
      </c>
      <c r="G81" s="73">
        <v>1.0</v>
      </c>
      <c r="H81" s="74">
        <v>90.0</v>
      </c>
      <c r="I81" s="75">
        <v>44029.0</v>
      </c>
    </row>
    <row r="82">
      <c r="F82" s="73" t="s">
        <v>150</v>
      </c>
      <c r="G82" s="73">
        <v>1.0</v>
      </c>
      <c r="H82" s="74">
        <v>500.0</v>
      </c>
      <c r="I82" s="75">
        <v>44030.0</v>
      </c>
    </row>
    <row r="83">
      <c r="F83" s="73" t="s">
        <v>151</v>
      </c>
      <c r="G83" s="73" t="s">
        <v>48</v>
      </c>
      <c r="H83" s="74">
        <v>500.0</v>
      </c>
      <c r="I83" s="75">
        <v>44030.0</v>
      </c>
    </row>
    <row r="84">
      <c r="F84" s="73" t="s">
        <v>152</v>
      </c>
      <c r="G84" s="73" t="s">
        <v>153</v>
      </c>
      <c r="H84" s="74">
        <v>920.0</v>
      </c>
      <c r="I84" s="75">
        <v>44030.0</v>
      </c>
    </row>
    <row r="85">
      <c r="F85" s="73" t="s">
        <v>52</v>
      </c>
      <c r="G85" s="73">
        <v>1.0</v>
      </c>
      <c r="H85" s="74">
        <v>1430.0</v>
      </c>
      <c r="I85" s="75">
        <v>44030.0</v>
      </c>
    </row>
    <row r="86">
      <c r="F86" s="73" t="s">
        <v>47</v>
      </c>
      <c r="G86" s="73" t="s">
        <v>48</v>
      </c>
      <c r="H86" s="74">
        <v>520.0</v>
      </c>
      <c r="I86" s="75">
        <v>44030.0</v>
      </c>
    </row>
    <row r="87">
      <c r="F87" s="73" t="s">
        <v>154</v>
      </c>
      <c r="G87" s="73" t="s">
        <v>50</v>
      </c>
      <c r="H87" s="74">
        <v>775.0</v>
      </c>
      <c r="I87" s="75">
        <v>44030.0</v>
      </c>
    </row>
    <row r="88">
      <c r="F88" s="73" t="s">
        <v>155</v>
      </c>
      <c r="G88" s="73">
        <v>10.0</v>
      </c>
      <c r="H88" s="74">
        <v>1350.0</v>
      </c>
      <c r="I88" s="75">
        <v>44030.0</v>
      </c>
    </row>
    <row r="89">
      <c r="F89" s="73" t="s">
        <v>156</v>
      </c>
      <c r="G89" s="73" t="s">
        <v>43</v>
      </c>
      <c r="H89" s="74">
        <v>850.0</v>
      </c>
      <c r="I89" s="75">
        <v>44030.0</v>
      </c>
    </row>
    <row r="90">
      <c r="F90" s="73" t="s">
        <v>157</v>
      </c>
      <c r="G90" s="73" t="s">
        <v>43</v>
      </c>
      <c r="H90" s="74">
        <v>1100.0</v>
      </c>
      <c r="I90" s="75">
        <v>44030.0</v>
      </c>
    </row>
    <row r="91">
      <c r="F91" s="73" t="s">
        <v>158</v>
      </c>
      <c r="G91" s="73" t="s">
        <v>159</v>
      </c>
      <c r="H91" s="74">
        <v>1100.0</v>
      </c>
      <c r="I91" s="75">
        <v>44030.0</v>
      </c>
    </row>
    <row r="92">
      <c r="F92" s="73" t="s">
        <v>160</v>
      </c>
      <c r="G92" s="73">
        <v>2.0</v>
      </c>
      <c r="H92" s="74">
        <v>100.0</v>
      </c>
      <c r="I92" s="75">
        <v>44030.0</v>
      </c>
    </row>
    <row r="93">
      <c r="F93" s="73" t="s">
        <v>161</v>
      </c>
      <c r="G93" s="73" t="s">
        <v>70</v>
      </c>
      <c r="H93" s="74">
        <v>200.0</v>
      </c>
      <c r="I93" s="75">
        <v>44030.0</v>
      </c>
    </row>
    <row r="94">
      <c r="F94" s="73" t="s">
        <v>162</v>
      </c>
      <c r="G94" s="73" t="s">
        <v>163</v>
      </c>
      <c r="H94" s="74">
        <v>700.0</v>
      </c>
      <c r="I94" s="75">
        <v>44030.0</v>
      </c>
    </row>
    <row r="95">
      <c r="F95" s="73" t="s">
        <v>147</v>
      </c>
      <c r="G95" s="73" t="s">
        <v>164</v>
      </c>
      <c r="H95" s="74">
        <v>580.0</v>
      </c>
      <c r="I95" s="75">
        <v>44030.0</v>
      </c>
    </row>
    <row r="96">
      <c r="F96" s="73" t="s">
        <v>165</v>
      </c>
      <c r="G96" s="73" t="s">
        <v>166</v>
      </c>
      <c r="H96" s="74">
        <v>1230.0</v>
      </c>
      <c r="I96" s="75">
        <v>44030.0</v>
      </c>
    </row>
    <row r="97">
      <c r="F97" s="73" t="s">
        <v>167</v>
      </c>
      <c r="G97" s="73" t="s">
        <v>168</v>
      </c>
      <c r="H97" s="74">
        <v>360.0</v>
      </c>
      <c r="I97" s="75">
        <v>44030.0</v>
      </c>
    </row>
    <row r="98">
      <c r="F98" s="73" t="s">
        <v>169</v>
      </c>
      <c r="G98" s="73" t="s">
        <v>170</v>
      </c>
      <c r="H98" s="74">
        <v>380.0</v>
      </c>
      <c r="I98" s="75">
        <v>44030.0</v>
      </c>
    </row>
    <row r="99">
      <c r="F99" s="73" t="s">
        <v>171</v>
      </c>
      <c r="G99" s="73" t="s">
        <v>172</v>
      </c>
      <c r="H99" s="74">
        <v>2460.0</v>
      </c>
      <c r="I99" s="75">
        <v>44030.0</v>
      </c>
    </row>
    <row r="100">
      <c r="F100" s="73" t="s">
        <v>173</v>
      </c>
      <c r="G100" s="73" t="s">
        <v>174</v>
      </c>
      <c r="H100" s="74">
        <v>1150.0</v>
      </c>
      <c r="I100" s="75">
        <v>44030.0</v>
      </c>
    </row>
    <row r="101">
      <c r="F101" s="73" t="s">
        <v>175</v>
      </c>
      <c r="G101" s="73">
        <v>1.0</v>
      </c>
      <c r="H101" s="74">
        <v>590.0</v>
      </c>
      <c r="I101" s="75">
        <v>44030.0</v>
      </c>
    </row>
    <row r="102">
      <c r="F102" s="73" t="s">
        <v>176</v>
      </c>
      <c r="G102" s="73" t="s">
        <v>68</v>
      </c>
      <c r="H102" s="74">
        <v>135.0</v>
      </c>
      <c r="I102" s="75">
        <v>44030.0</v>
      </c>
    </row>
    <row r="103">
      <c r="F103" s="73" t="s">
        <v>177</v>
      </c>
      <c r="G103" s="73" t="s">
        <v>65</v>
      </c>
      <c r="H103" s="74">
        <v>2400.0</v>
      </c>
      <c r="I103" s="75">
        <v>44030.0</v>
      </c>
    </row>
    <row r="104">
      <c r="F104" s="73" t="s">
        <v>178</v>
      </c>
      <c r="G104" s="73">
        <v>1.0</v>
      </c>
      <c r="H104" s="74">
        <v>780.0</v>
      </c>
      <c r="I104" s="75">
        <v>44030.0</v>
      </c>
    </row>
    <row r="105">
      <c r="F105" s="73" t="s">
        <v>179</v>
      </c>
      <c r="G105" s="73">
        <v>1.0</v>
      </c>
      <c r="H105" s="74">
        <v>150.0</v>
      </c>
      <c r="I105" s="75">
        <v>44030.0</v>
      </c>
    </row>
    <row r="106">
      <c r="F106" s="73" t="s">
        <v>180</v>
      </c>
      <c r="G106" s="73" t="s">
        <v>68</v>
      </c>
      <c r="H106" s="74">
        <v>500.0</v>
      </c>
      <c r="I106" s="75">
        <v>44030.0</v>
      </c>
    </row>
    <row r="107">
      <c r="F107" s="73" t="s">
        <v>93</v>
      </c>
      <c r="G107" s="73" t="s">
        <v>70</v>
      </c>
      <c r="H107" s="74">
        <v>500.0</v>
      </c>
      <c r="I107" s="75">
        <v>44030.0</v>
      </c>
    </row>
    <row r="108">
      <c r="F108" s="73" t="s">
        <v>128</v>
      </c>
      <c r="G108" s="73" t="s">
        <v>70</v>
      </c>
      <c r="H108" s="74">
        <v>200.0</v>
      </c>
      <c r="I108" s="75">
        <v>44030.0</v>
      </c>
    </row>
    <row r="109">
      <c r="F109" s="73" t="s">
        <v>129</v>
      </c>
      <c r="G109" s="73" t="s">
        <v>70</v>
      </c>
      <c r="H109" s="74">
        <v>100.0</v>
      </c>
      <c r="I109" s="75">
        <v>44030.0</v>
      </c>
    </row>
    <row r="110">
      <c r="F110" s="73" t="s">
        <v>181</v>
      </c>
      <c r="G110" s="73" t="s">
        <v>182</v>
      </c>
      <c r="H110" s="74">
        <v>100.0</v>
      </c>
      <c r="I110" s="75">
        <v>44030.0</v>
      </c>
    </row>
    <row r="111">
      <c r="F111" s="73" t="s">
        <v>183</v>
      </c>
      <c r="G111" s="73">
        <v>1.0</v>
      </c>
      <c r="H111" s="74">
        <v>50.0</v>
      </c>
      <c r="I111" s="75">
        <v>44030.0</v>
      </c>
    </row>
    <row r="112">
      <c r="F112" s="73" t="s">
        <v>184</v>
      </c>
      <c r="G112" s="73">
        <v>1.0</v>
      </c>
      <c r="H112" s="74">
        <v>150.0</v>
      </c>
      <c r="I112" s="75">
        <v>44030.0</v>
      </c>
    </row>
    <row r="113">
      <c r="F113" s="73" t="s">
        <v>185</v>
      </c>
      <c r="G113" s="73" t="s">
        <v>123</v>
      </c>
      <c r="H113" s="74">
        <v>1600.0</v>
      </c>
      <c r="I113" s="75">
        <v>44030.0</v>
      </c>
    </row>
    <row r="114">
      <c r="F114" s="73" t="s">
        <v>186</v>
      </c>
      <c r="G114" s="73" t="s">
        <v>187</v>
      </c>
      <c r="H114" s="74">
        <v>1100.0</v>
      </c>
      <c r="I114" s="75">
        <v>44030.0</v>
      </c>
    </row>
    <row r="115">
      <c r="F115" s="73" t="s">
        <v>188</v>
      </c>
      <c r="G115" s="73" t="s">
        <v>48</v>
      </c>
      <c r="H115" s="74">
        <v>1100.0</v>
      </c>
      <c r="I115" s="75">
        <v>44030.0</v>
      </c>
    </row>
    <row r="116">
      <c r="F116" s="73" t="s">
        <v>189</v>
      </c>
      <c r="G116" s="73" t="s">
        <v>190</v>
      </c>
      <c r="H116" s="74">
        <v>5300.0</v>
      </c>
      <c r="I116" s="75">
        <v>44031.0</v>
      </c>
    </row>
    <row r="117">
      <c r="F117" s="73" t="s">
        <v>139</v>
      </c>
      <c r="G117" s="73">
        <v>1.0</v>
      </c>
      <c r="H117" s="74">
        <v>500.0</v>
      </c>
      <c r="I117" s="75">
        <v>44031.0</v>
      </c>
    </row>
    <row r="118">
      <c r="F118" s="73" t="s">
        <v>95</v>
      </c>
      <c r="G118" s="73" t="s">
        <v>191</v>
      </c>
      <c r="H118" s="74">
        <v>2050.0</v>
      </c>
      <c r="I118" s="75">
        <v>44033.0</v>
      </c>
    </row>
    <row r="119">
      <c r="F119" s="73" t="s">
        <v>192</v>
      </c>
      <c r="G119" s="73" t="s">
        <v>193</v>
      </c>
      <c r="H119" s="74">
        <v>600.0</v>
      </c>
      <c r="I119" s="75">
        <v>44033.0</v>
      </c>
    </row>
    <row r="120">
      <c r="F120" s="73" t="s">
        <v>194</v>
      </c>
      <c r="G120" s="73" t="s">
        <v>195</v>
      </c>
      <c r="H120" s="74">
        <v>10000.0</v>
      </c>
      <c r="I120" s="75">
        <v>44033.0</v>
      </c>
    </row>
    <row r="121">
      <c r="F121" s="73" t="s">
        <v>196</v>
      </c>
      <c r="G121" s="73">
        <v>2.0</v>
      </c>
      <c r="H121" s="74">
        <v>260.0</v>
      </c>
      <c r="I121" s="75">
        <v>44034.0</v>
      </c>
    </row>
    <row r="122">
      <c r="F122" s="73" t="s">
        <v>197</v>
      </c>
      <c r="G122" s="73">
        <v>1.0</v>
      </c>
      <c r="H122" s="74">
        <v>1500.0</v>
      </c>
      <c r="I122" s="75">
        <v>44034.0</v>
      </c>
    </row>
    <row r="123">
      <c r="F123" s="73" t="s">
        <v>198</v>
      </c>
      <c r="G123" s="73" t="s">
        <v>199</v>
      </c>
      <c r="H123" s="74">
        <v>300.0</v>
      </c>
      <c r="I123" s="75">
        <v>44034.0</v>
      </c>
    </row>
    <row r="124">
      <c r="F124" s="73" t="s">
        <v>200</v>
      </c>
      <c r="G124" s="73">
        <v>10.0</v>
      </c>
      <c r="H124" s="74">
        <v>300.0</v>
      </c>
      <c r="I124" s="75">
        <v>44034.0</v>
      </c>
    </row>
    <row r="125">
      <c r="F125" s="73" t="s">
        <v>93</v>
      </c>
      <c r="G125" s="73" t="s">
        <v>201</v>
      </c>
      <c r="H125" s="74">
        <v>500.0</v>
      </c>
      <c r="I125" s="75">
        <v>44035.0</v>
      </c>
    </row>
    <row r="126">
      <c r="F126" s="73" t="s">
        <v>202</v>
      </c>
      <c r="G126" s="73" t="s">
        <v>203</v>
      </c>
      <c r="H126" s="74">
        <v>500.0</v>
      </c>
      <c r="I126" s="75">
        <v>44035.0</v>
      </c>
    </row>
    <row r="127">
      <c r="F127" s="73" t="s">
        <v>204</v>
      </c>
      <c r="G127" s="73">
        <v>10.0</v>
      </c>
      <c r="H127" s="74">
        <v>700.0</v>
      </c>
      <c r="I127" s="75">
        <v>44035.0</v>
      </c>
    </row>
    <row r="128">
      <c r="F128" s="73" t="s">
        <v>205</v>
      </c>
      <c r="G128" s="73" t="s">
        <v>206</v>
      </c>
      <c r="H128" s="74">
        <v>5500.0</v>
      </c>
      <c r="I128" s="75">
        <v>44035.0</v>
      </c>
    </row>
    <row r="129">
      <c r="F129" s="73" t="s">
        <v>207</v>
      </c>
      <c r="G129" s="73">
        <v>2.0</v>
      </c>
      <c r="H129" s="74">
        <v>220.0</v>
      </c>
      <c r="I129" s="75">
        <v>44037.0</v>
      </c>
    </row>
    <row r="130">
      <c r="F130" s="73" t="s">
        <v>132</v>
      </c>
      <c r="G130" s="73" t="s">
        <v>208</v>
      </c>
      <c r="H130" s="74">
        <v>4000.0</v>
      </c>
      <c r="I130" s="75">
        <v>44037.0</v>
      </c>
    </row>
    <row r="131">
      <c r="F131" s="73" t="s">
        <v>209</v>
      </c>
      <c r="G131" s="73" t="s">
        <v>70</v>
      </c>
      <c r="H131" s="74">
        <v>1000.0</v>
      </c>
      <c r="I131" s="75">
        <v>44038.0</v>
      </c>
    </row>
    <row r="132">
      <c r="F132" s="73" t="s">
        <v>210</v>
      </c>
      <c r="G132" s="73" t="s">
        <v>211</v>
      </c>
      <c r="H132" s="74">
        <v>1500.0</v>
      </c>
      <c r="I132" s="75">
        <v>44039.0</v>
      </c>
    </row>
    <row r="133">
      <c r="F133" s="73" t="s">
        <v>212</v>
      </c>
      <c r="G133" s="73" t="s">
        <v>213</v>
      </c>
      <c r="H133" s="74">
        <v>260.0</v>
      </c>
      <c r="I133" s="75">
        <v>44039.0</v>
      </c>
    </row>
    <row r="134">
      <c r="F134" s="73" t="s">
        <v>214</v>
      </c>
      <c r="G134" s="73" t="s">
        <v>215</v>
      </c>
      <c r="H134" s="74">
        <v>80.0</v>
      </c>
      <c r="I134" s="75">
        <v>44039.0</v>
      </c>
    </row>
    <row r="135">
      <c r="F135" s="73" t="s">
        <v>216</v>
      </c>
      <c r="G135" s="73" t="s">
        <v>68</v>
      </c>
      <c r="H135" s="74">
        <v>110.0</v>
      </c>
      <c r="I135" s="75">
        <v>44039.0</v>
      </c>
    </row>
    <row r="136">
      <c r="F136" s="73" t="s">
        <v>217</v>
      </c>
      <c r="G136" s="73" t="s">
        <v>218</v>
      </c>
      <c r="H136" s="74">
        <v>170.0</v>
      </c>
      <c r="I136" s="75">
        <v>44039.0</v>
      </c>
    </row>
    <row r="137">
      <c r="F137" s="73" t="s">
        <v>219</v>
      </c>
      <c r="G137" s="73" t="s">
        <v>218</v>
      </c>
      <c r="H137" s="74">
        <v>150.0</v>
      </c>
      <c r="I137" s="75">
        <v>44039.0</v>
      </c>
    </row>
    <row r="138">
      <c r="F138" s="73" t="s">
        <v>220</v>
      </c>
      <c r="G138" s="73">
        <v>15.0</v>
      </c>
      <c r="H138" s="74">
        <v>195.0</v>
      </c>
      <c r="I138" s="75">
        <v>44039.0</v>
      </c>
    </row>
    <row r="139">
      <c r="F139" s="73" t="s">
        <v>221</v>
      </c>
      <c r="G139" s="73" t="s">
        <v>222</v>
      </c>
      <c r="H139" s="74">
        <v>280.0</v>
      </c>
      <c r="I139" s="75">
        <v>44039.0</v>
      </c>
    </row>
    <row r="140">
      <c r="F140" s="73" t="s">
        <v>124</v>
      </c>
      <c r="G140" s="73">
        <v>1.0</v>
      </c>
      <c r="H140" s="74">
        <v>50.0</v>
      </c>
      <c r="I140" s="75">
        <v>44039.0</v>
      </c>
    </row>
    <row r="141">
      <c r="F141" s="73" t="s">
        <v>102</v>
      </c>
      <c r="G141" s="73">
        <v>5.0</v>
      </c>
      <c r="H141" s="74">
        <v>500.0</v>
      </c>
      <c r="I141" s="75">
        <v>44039.0</v>
      </c>
    </row>
    <row r="142">
      <c r="F142" s="73" t="s">
        <v>223</v>
      </c>
      <c r="G142" s="73" t="s">
        <v>68</v>
      </c>
      <c r="H142" s="74">
        <v>900.0</v>
      </c>
      <c r="I142" s="75">
        <v>44039.0</v>
      </c>
    </row>
    <row r="143">
      <c r="F143" s="73" t="s">
        <v>224</v>
      </c>
      <c r="G143" s="73" t="s">
        <v>72</v>
      </c>
      <c r="H143" s="74">
        <v>450.0</v>
      </c>
      <c r="I143" s="75">
        <v>44039.0</v>
      </c>
    </row>
    <row r="144">
      <c r="F144" s="73" t="s">
        <v>225</v>
      </c>
      <c r="G144" s="73">
        <v>6.0</v>
      </c>
      <c r="H144" s="74">
        <v>150.0</v>
      </c>
      <c r="I144" s="75">
        <v>44039.0</v>
      </c>
    </row>
    <row r="145">
      <c r="F145" s="73" t="s">
        <v>120</v>
      </c>
      <c r="G145" s="73" t="s">
        <v>168</v>
      </c>
      <c r="H145" s="74">
        <v>200.0</v>
      </c>
      <c r="I145" s="75">
        <v>44039.0</v>
      </c>
    </row>
    <row r="146">
      <c r="F146" s="73" t="s">
        <v>150</v>
      </c>
      <c r="G146" s="73">
        <v>1.0</v>
      </c>
      <c r="H146" s="74">
        <v>500.0</v>
      </c>
      <c r="I146" s="75">
        <v>44039.0</v>
      </c>
    </row>
    <row r="147">
      <c r="F147" s="73" t="s">
        <v>226</v>
      </c>
      <c r="G147" s="73" t="s">
        <v>143</v>
      </c>
      <c r="H147" s="74">
        <v>200.0</v>
      </c>
      <c r="I147" s="75">
        <v>44039.0</v>
      </c>
    </row>
    <row r="148">
      <c r="F148" s="73" t="s">
        <v>227</v>
      </c>
      <c r="G148" s="73">
        <v>1.0</v>
      </c>
      <c r="H148" s="74">
        <v>200.0</v>
      </c>
      <c r="I148" s="75">
        <v>44039.0</v>
      </c>
    </row>
    <row r="149">
      <c r="F149" s="73" t="s">
        <v>228</v>
      </c>
      <c r="G149" s="73" t="s">
        <v>123</v>
      </c>
      <c r="H149" s="74">
        <v>1600.0</v>
      </c>
      <c r="I149" s="75">
        <v>44041.0</v>
      </c>
    </row>
    <row r="150">
      <c r="F150" s="73" t="s">
        <v>229</v>
      </c>
      <c r="G150" s="73" t="s">
        <v>230</v>
      </c>
      <c r="H150" s="74">
        <v>800.0</v>
      </c>
      <c r="I150" s="75">
        <v>44041.0</v>
      </c>
    </row>
    <row r="151">
      <c r="F151" s="73" t="s">
        <v>231</v>
      </c>
      <c r="G151" s="73" t="s">
        <v>232</v>
      </c>
      <c r="H151" s="74">
        <v>580.0</v>
      </c>
      <c r="I151" s="75">
        <v>44042.0</v>
      </c>
    </row>
    <row r="152">
      <c r="F152" s="73" t="s">
        <v>233</v>
      </c>
      <c r="G152" s="73">
        <v>1.0</v>
      </c>
      <c r="H152" s="74">
        <v>150.0</v>
      </c>
      <c r="I152" s="75">
        <v>44042.0</v>
      </c>
    </row>
    <row r="153">
      <c r="F153" s="73" t="s">
        <v>234</v>
      </c>
      <c r="G153" s="73" t="s">
        <v>108</v>
      </c>
      <c r="H153" s="74">
        <v>100.0</v>
      </c>
      <c r="I153" s="75">
        <v>44042.0</v>
      </c>
    </row>
    <row r="154">
      <c r="F154" s="73" t="s">
        <v>235</v>
      </c>
      <c r="G154" s="73" t="s">
        <v>236</v>
      </c>
      <c r="H154" s="74">
        <v>400.0</v>
      </c>
      <c r="I154" s="75">
        <v>44042.0</v>
      </c>
    </row>
    <row r="155">
      <c r="F155" s="73" t="s">
        <v>237</v>
      </c>
      <c r="G155" s="73">
        <v>294.0</v>
      </c>
      <c r="H155" s="74">
        <v>13000.0</v>
      </c>
      <c r="I155" s="75">
        <v>44042.0</v>
      </c>
    </row>
    <row r="156">
      <c r="F156" s="73" t="s">
        <v>150</v>
      </c>
      <c r="G156" s="73" t="s">
        <v>238</v>
      </c>
      <c r="H156" s="74">
        <v>1000.0</v>
      </c>
      <c r="I156" s="75">
        <v>44042.0</v>
      </c>
    </row>
    <row r="157">
      <c r="F157" s="77" t="s">
        <v>239</v>
      </c>
      <c r="G157" s="64"/>
      <c r="H157" s="71">
        <f>SUM(H4:H156)</f>
        <v>202845</v>
      </c>
      <c r="I157" s="64"/>
    </row>
    <row r="158">
      <c r="F158" s="77" t="s">
        <v>240</v>
      </c>
      <c r="G158" s="64"/>
      <c r="H158" s="78">
        <v>40000.0</v>
      </c>
      <c r="I158" s="64"/>
    </row>
    <row r="159">
      <c r="F159" s="77" t="s">
        <v>241</v>
      </c>
      <c r="G159" s="64"/>
      <c r="H159" s="79">
        <f>H158-H157</f>
        <v>-162845</v>
      </c>
      <c r="I159" s="6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7.25"/>
    <col customWidth="1" min="10" max="10" width="18.0"/>
  </cols>
  <sheetData>
    <row r="14">
      <c r="G14" s="64"/>
      <c r="H14" s="64"/>
      <c r="I14" s="64"/>
      <c r="J14" s="64"/>
    </row>
    <row r="15">
      <c r="G15" s="64"/>
      <c r="H15" s="80" t="s">
        <v>242</v>
      </c>
      <c r="I15" s="80" t="s">
        <v>3</v>
      </c>
      <c r="J15" s="80" t="s">
        <v>243</v>
      </c>
    </row>
    <row r="16">
      <c r="G16" s="81">
        <v>1.0</v>
      </c>
      <c r="H16" s="82" t="s">
        <v>27</v>
      </c>
      <c r="I16" s="83">
        <f>Pointage!C35*1</f>
        <v>46200</v>
      </c>
      <c r="J16" s="84">
        <v>46200.0</v>
      </c>
    </row>
    <row r="17">
      <c r="G17" s="81">
        <v>2.0</v>
      </c>
      <c r="H17" s="82" t="s">
        <v>30</v>
      </c>
      <c r="I17" s="83">
        <f>Pointage!F35*1</f>
        <v>15000</v>
      </c>
      <c r="J17" s="84">
        <v>15000.0</v>
      </c>
    </row>
    <row r="18">
      <c r="G18" s="81">
        <v>3.0</v>
      </c>
      <c r="H18" s="82" t="s">
        <v>29</v>
      </c>
      <c r="I18" s="83">
        <f>Pointage!E35*1</f>
        <v>24050</v>
      </c>
      <c r="J18" s="84">
        <v>24000.0</v>
      </c>
    </row>
    <row r="19">
      <c r="G19" s="81">
        <v>4.0</v>
      </c>
      <c r="H19" s="82" t="s">
        <v>244</v>
      </c>
      <c r="I19" s="83">
        <f>Pointage!G35*1</f>
        <v>22195</v>
      </c>
      <c r="J19" s="84">
        <v>22200.0</v>
      </c>
    </row>
    <row r="20">
      <c r="G20" s="81">
        <v>5.0</v>
      </c>
      <c r="H20" s="82" t="s">
        <v>28</v>
      </c>
      <c r="I20" s="83">
        <f>Pointage!D35*1</f>
        <v>25410</v>
      </c>
      <c r="J20" s="84">
        <v>25400.0</v>
      </c>
    </row>
    <row r="21">
      <c r="G21" s="81">
        <v>6.0</v>
      </c>
      <c r="H21" s="82" t="s">
        <v>32</v>
      </c>
      <c r="I21" s="83">
        <f>Pointage!H35*1</f>
        <v>13860</v>
      </c>
      <c r="J21" s="84">
        <v>14000.0</v>
      </c>
    </row>
    <row r="22">
      <c r="G22" s="64"/>
      <c r="H22" s="85" t="s">
        <v>25</v>
      </c>
      <c r="I22" s="86">
        <f t="shared" ref="I22:J22" si="1">SUM(I16:I21)</f>
        <v>146715</v>
      </c>
      <c r="J22" s="87">
        <f t="shared" si="1"/>
        <v>146800</v>
      </c>
    </row>
    <row r="23">
      <c r="G23" s="64"/>
      <c r="H23" s="88"/>
      <c r="I23" s="89">
        <f>I22-J22</f>
        <v>-85</v>
      </c>
      <c r="J23" s="40"/>
    </row>
    <row r="24">
      <c r="G24" s="40"/>
      <c r="H24" s="40"/>
      <c r="I24" s="40"/>
      <c r="J24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M6" s="73" t="s">
        <v>245</v>
      </c>
      <c r="N6" s="74">
        <v>77000.0</v>
      </c>
    </row>
    <row r="7">
      <c r="M7" s="73" t="s">
        <v>246</v>
      </c>
      <c r="N7" s="74">
        <v>3000.0</v>
      </c>
    </row>
    <row r="8">
      <c r="J8" s="90">
        <v>4.0</v>
      </c>
      <c r="M8" s="73" t="s">
        <v>247</v>
      </c>
      <c r="N8" s="74">
        <v>3000.0</v>
      </c>
    </row>
    <row r="9">
      <c r="M9" s="73" t="s">
        <v>248</v>
      </c>
      <c r="N9" s="74">
        <v>73000.0</v>
      </c>
    </row>
    <row r="10">
      <c r="M10" s="73" t="s">
        <v>29</v>
      </c>
      <c r="N10" s="74">
        <f>N6-N7-N8-N9</f>
        <v>-2000</v>
      </c>
    </row>
    <row r="11">
      <c r="M11" s="73" t="s">
        <v>249</v>
      </c>
      <c r="N11" s="74">
        <v>73000.0</v>
      </c>
    </row>
    <row r="12">
      <c r="M12" s="91"/>
      <c r="N12" s="92"/>
    </row>
    <row r="16">
      <c r="I16" s="90" t="s">
        <v>250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5.63"/>
  </cols>
  <sheetData>
    <row r="4">
      <c r="H4" s="93" t="s">
        <v>0</v>
      </c>
      <c r="I4" s="93" t="s">
        <v>251</v>
      </c>
      <c r="J4" s="93" t="s">
        <v>39</v>
      </c>
      <c r="K4" s="93" t="s">
        <v>252</v>
      </c>
      <c r="L4" s="93" t="s">
        <v>253</v>
      </c>
    </row>
    <row r="5" ht="31.5" customHeight="1">
      <c r="H5" s="94">
        <v>44030.0</v>
      </c>
      <c r="I5" s="73" t="s">
        <v>254</v>
      </c>
      <c r="J5" s="73">
        <v>60.0</v>
      </c>
      <c r="K5" s="74">
        <v>25.0</v>
      </c>
      <c r="L5" s="92">
        <f t="shared" ref="L5:L7" si="1">K5*J5</f>
        <v>1500</v>
      </c>
    </row>
    <row r="6" ht="33.0" customHeight="1">
      <c r="H6" s="95"/>
      <c r="I6" s="73" t="s">
        <v>255</v>
      </c>
      <c r="J6" s="73">
        <v>45.0</v>
      </c>
      <c r="K6" s="74">
        <v>50.0</v>
      </c>
      <c r="L6" s="92">
        <f t="shared" si="1"/>
        <v>2250</v>
      </c>
    </row>
    <row r="7" ht="30.0" customHeight="1">
      <c r="H7" s="96"/>
      <c r="I7" s="73" t="s">
        <v>256</v>
      </c>
      <c r="J7" s="73">
        <v>40.0</v>
      </c>
      <c r="K7" s="74">
        <v>70.0</v>
      </c>
      <c r="L7" s="92">
        <f t="shared" si="1"/>
        <v>2800</v>
      </c>
    </row>
    <row r="8" ht="28.5" customHeight="1">
      <c r="H8" s="94">
        <v>44037.0</v>
      </c>
      <c r="I8" s="73" t="s">
        <v>257</v>
      </c>
      <c r="J8" s="73">
        <v>60.0</v>
      </c>
      <c r="K8" s="74">
        <v>25.0</v>
      </c>
      <c r="L8" s="74">
        <v>1500.0</v>
      </c>
    </row>
    <row r="9" ht="30.75" customHeight="1">
      <c r="H9" s="95"/>
      <c r="I9" s="73" t="s">
        <v>258</v>
      </c>
      <c r="J9" s="73">
        <v>44.0</v>
      </c>
      <c r="K9" s="74">
        <v>40.0</v>
      </c>
      <c r="L9" s="92">
        <f>K9*J9</f>
        <v>1760</v>
      </c>
    </row>
    <row r="10" ht="30.0" customHeight="1">
      <c r="H10" s="96"/>
      <c r="I10" s="73" t="s">
        <v>259</v>
      </c>
      <c r="J10" s="73">
        <v>44.0</v>
      </c>
      <c r="K10" s="74">
        <v>50.0</v>
      </c>
      <c r="L10" s="92">
        <f>J10*K10</f>
        <v>2200</v>
      </c>
    </row>
    <row r="11">
      <c r="H11" s="91"/>
      <c r="I11" s="73" t="s">
        <v>259</v>
      </c>
      <c r="J11" s="73">
        <v>60.0</v>
      </c>
      <c r="K11" s="74">
        <v>50.0</v>
      </c>
      <c r="L11" s="74">
        <v>3000.0</v>
      </c>
    </row>
    <row r="12">
      <c r="H12" s="91"/>
      <c r="I12" s="73" t="s">
        <v>260</v>
      </c>
      <c r="J12" s="73">
        <v>60.0</v>
      </c>
      <c r="K12" s="74">
        <v>25.0</v>
      </c>
      <c r="L12" s="74">
        <v>1500.0</v>
      </c>
    </row>
    <row r="13">
      <c r="H13" s="91"/>
      <c r="I13" s="73" t="s">
        <v>261</v>
      </c>
      <c r="J13" s="73">
        <v>30.0</v>
      </c>
      <c r="K13" s="74">
        <v>50.0</v>
      </c>
      <c r="L13" s="74">
        <v>1500.0</v>
      </c>
    </row>
    <row r="14">
      <c r="H14" s="91"/>
      <c r="I14" s="91"/>
      <c r="J14" s="91"/>
      <c r="K14" s="92"/>
      <c r="L14" s="92"/>
    </row>
    <row r="15">
      <c r="H15" s="91"/>
      <c r="I15" s="91"/>
      <c r="J15" s="91"/>
      <c r="K15" s="92"/>
      <c r="L15" s="92"/>
    </row>
    <row r="16">
      <c r="H16" s="91"/>
      <c r="I16" s="91"/>
      <c r="J16" s="91"/>
      <c r="K16" s="92"/>
      <c r="L16" s="92"/>
    </row>
    <row r="17">
      <c r="H17" s="91"/>
      <c r="I17" s="91"/>
      <c r="J17" s="91"/>
      <c r="K17" s="92"/>
      <c r="L17" s="92"/>
    </row>
    <row r="18">
      <c r="H18" s="91"/>
      <c r="I18" s="91"/>
      <c r="J18" s="91"/>
      <c r="K18" s="92"/>
      <c r="L18" s="92"/>
    </row>
    <row r="19">
      <c r="H19" s="91"/>
      <c r="I19" s="91"/>
      <c r="J19" s="91"/>
      <c r="K19" s="92"/>
      <c r="L19" s="92"/>
    </row>
    <row r="20">
      <c r="H20" s="91"/>
      <c r="I20" s="91"/>
      <c r="J20" s="91"/>
      <c r="K20" s="92"/>
      <c r="L20" s="92"/>
    </row>
    <row r="21">
      <c r="H21" s="91"/>
      <c r="I21" s="91"/>
      <c r="J21" s="91"/>
      <c r="K21" s="92"/>
      <c r="L21" s="92"/>
    </row>
    <row r="22">
      <c r="H22" s="91"/>
      <c r="I22" s="91"/>
      <c r="J22" s="91"/>
      <c r="K22" s="92"/>
      <c r="L22" s="92"/>
    </row>
    <row r="23">
      <c r="H23" s="91"/>
      <c r="I23" s="91"/>
      <c r="J23" s="91"/>
      <c r="K23" s="92"/>
      <c r="L23" s="92"/>
    </row>
    <row r="24">
      <c r="H24" s="91"/>
      <c r="I24" s="91"/>
      <c r="J24" s="91"/>
      <c r="K24" s="92"/>
      <c r="L24" s="92"/>
    </row>
    <row r="25">
      <c r="H25" s="91"/>
      <c r="I25" s="91"/>
      <c r="J25" s="91"/>
      <c r="K25" s="92"/>
      <c r="L25" s="92"/>
    </row>
    <row r="26">
      <c r="H26" s="97" t="s">
        <v>253</v>
      </c>
      <c r="I26" s="91"/>
      <c r="J26" s="91"/>
      <c r="K26" s="92"/>
      <c r="L26" s="98">
        <f>SUM(L5:L25)</f>
        <v>18010</v>
      </c>
    </row>
    <row r="27">
      <c r="H27" s="99" t="s">
        <v>262</v>
      </c>
      <c r="L27" s="100">
        <v>18000.0</v>
      </c>
    </row>
    <row r="28">
      <c r="H28" s="101" t="s">
        <v>263</v>
      </c>
      <c r="L28" s="102">
        <f>L26-L27</f>
        <v>10</v>
      </c>
    </row>
  </sheetData>
  <mergeCells count="2">
    <mergeCell ref="H5:H7"/>
    <mergeCell ref="H8:H10"/>
  </mergeCells>
  <drawing r:id="rId1"/>
</worksheet>
</file>