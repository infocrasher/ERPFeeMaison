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 " sheetId="3" r:id="rId6"/>
    <sheet state="visible" name="Les Salaires" sheetId="4" r:id="rId7"/>
    <sheet state="visible" name="Feuille 4" sheetId="5" r:id="rId8"/>
    <sheet state="visible" name="Feuille 5" sheetId="6" r:id="rId9"/>
  </sheets>
  <definedNames/>
  <calcPr/>
</workbook>
</file>

<file path=xl/sharedStrings.xml><?xml version="1.0" encoding="utf-8"?>
<sst xmlns="http://schemas.openxmlformats.org/spreadsheetml/2006/main" count="684" uniqueCount="380">
  <si>
    <t>Date</t>
  </si>
  <si>
    <t>Recette Juin 2024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</si>
  <si>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</si>
  <si>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</si>
  <si>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</si>
  <si>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</si>
  <si>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</si>
  <si>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</si>
  <si>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</si>
  <si>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Mois de Juin 2024</t>
  </si>
  <si>
    <t>Lundi</t>
  </si>
  <si>
    <t>mardi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</si>
  <si>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</si>
  <si>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</si>
  <si>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</si>
  <si>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</si>
  <si>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mercredi</t>
  </si>
  <si>
    <t>jeudi</t>
  </si>
  <si>
    <t>vendredi</t>
  </si>
  <si>
    <t xml:space="preserve">Moyenne des charges par jour </t>
  </si>
  <si>
    <t xml:space="preserve">Objectif </t>
  </si>
  <si>
    <t>samedi</t>
  </si>
  <si>
    <t>dimanche</t>
  </si>
  <si>
    <t>²</t>
  </si>
  <si>
    <t>lundi</t>
  </si>
  <si>
    <t xml:space="preserve">Cash restant </t>
  </si>
  <si>
    <t>Magasin</t>
  </si>
  <si>
    <t>Cash réel</t>
  </si>
  <si>
    <t>Mes dettes pour le magasin</t>
  </si>
  <si>
    <t xml:space="preserve">Fond de Roulement </t>
  </si>
  <si>
    <t xml:space="preserve">Ccp: 60000Da </t>
  </si>
  <si>
    <t xml:space="preserve">cash chez Kamel: 10000Da </t>
  </si>
  <si>
    <t xml:space="preserve">Différence mois de juin </t>
  </si>
  <si>
    <t>la vraie caisse:17000Da + 8000Da monnie</t>
  </si>
  <si>
    <t xml:space="preserve">Différence objectif </t>
  </si>
  <si>
    <t>réparation Tabouna</t>
  </si>
  <si>
    <t>Torchons</t>
  </si>
  <si>
    <t xml:space="preserve">Différence du Totale </t>
  </si>
  <si>
    <t>poelle</t>
  </si>
  <si>
    <t xml:space="preserve">Les vendredis </t>
  </si>
  <si>
    <t xml:space="preserve">Cash chez Sofiane </t>
  </si>
  <si>
    <t xml:space="preserve">Cash pour Amine </t>
  </si>
  <si>
    <t xml:space="preserve">Cash de la caisse </t>
  </si>
  <si>
    <t>Argent de poche</t>
  </si>
  <si>
    <t>Portable pour Houda</t>
  </si>
  <si>
    <t>rest à payer</t>
  </si>
  <si>
    <t xml:space="preserve">Cash pour vidange </t>
  </si>
  <si>
    <t xml:space="preserve">La commande de Mme Farida </t>
  </si>
  <si>
    <t xml:space="preserve">Complenet de salaires </t>
  </si>
  <si>
    <t>Cash pour Vacances</t>
  </si>
  <si>
    <t>-</t>
  </si>
  <si>
    <t xml:space="preserve">Lynda </t>
  </si>
  <si>
    <t xml:space="preserve">Hafida </t>
  </si>
  <si>
    <t>Yasmine Sidi Abd Allah</t>
  </si>
  <si>
    <t>Nawel</t>
  </si>
  <si>
    <t>Fouzia</t>
  </si>
  <si>
    <t>Nadjet</t>
  </si>
  <si>
    <t>Fatiha</t>
  </si>
  <si>
    <t>Samira</t>
  </si>
  <si>
    <t>Zohra</t>
  </si>
  <si>
    <t>Chiraz</t>
  </si>
  <si>
    <t>Sarah</t>
  </si>
  <si>
    <t>Saliha</t>
  </si>
  <si>
    <t>Romayessa</t>
  </si>
  <si>
    <t>Mouna</t>
  </si>
  <si>
    <t>Fatima/Insaf</t>
  </si>
  <si>
    <t>Nesrine</t>
  </si>
  <si>
    <t>Kenza</t>
  </si>
  <si>
    <t>Yasmine</t>
  </si>
  <si>
    <t xml:space="preserve">La comande de FAP et CNPM </t>
  </si>
  <si>
    <t>18h</t>
  </si>
  <si>
    <t>Produit</t>
  </si>
  <si>
    <t>Quantité</t>
  </si>
  <si>
    <t xml:space="preserve">Prix unitaire </t>
  </si>
  <si>
    <t>Prix</t>
  </si>
  <si>
    <t>Date d'achat</t>
  </si>
  <si>
    <t xml:space="preserve">Semoule Fine 25kg </t>
  </si>
  <si>
    <t xml:space="preserve">Livraison + manutention semoule </t>
  </si>
  <si>
    <t>Semoule Moyenne Sahel 25kg</t>
  </si>
  <si>
    <t>Khel</t>
  </si>
  <si>
    <t>Maiis</t>
  </si>
  <si>
    <t xml:space="preserve">Maa zehar zahia </t>
  </si>
  <si>
    <t>sucre cristalisé</t>
  </si>
  <si>
    <t>Levure Boulongère 750g</t>
  </si>
  <si>
    <t>Fromage Bidon 4kg</t>
  </si>
  <si>
    <t>Sucre Glace</t>
  </si>
  <si>
    <t>Coca canette</t>
  </si>
  <si>
    <t>Hamoude canette</t>
  </si>
  <si>
    <t>Hamoud Bouteille 33cl</t>
  </si>
  <si>
    <t xml:space="preserve">fromage slices </t>
  </si>
  <si>
    <t>poivron</t>
  </si>
  <si>
    <t>crème liquide 1 litre</t>
  </si>
  <si>
    <t xml:space="preserve">Huile Elio 5 litres </t>
  </si>
  <si>
    <t>Margarine Fleurial 500g</t>
  </si>
  <si>
    <t>Plateaux oeuf</t>
  </si>
  <si>
    <t>poulet haché</t>
  </si>
  <si>
    <t>blanc de poulet</t>
  </si>
  <si>
    <t>bessel</t>
  </si>
  <si>
    <t>Gherss</t>
  </si>
  <si>
    <t>aluminium</t>
  </si>
  <si>
    <t>olive noir</t>
  </si>
  <si>
    <t>olive dényauté</t>
  </si>
  <si>
    <t>Fromage spéciale pizza</t>
  </si>
  <si>
    <t>amande moulu</t>
  </si>
  <si>
    <t>amande blanc</t>
  </si>
  <si>
    <t>Miel 5 kg</t>
  </si>
  <si>
    <t>sac poubelle</t>
  </si>
  <si>
    <t xml:space="preserve">Colorant </t>
  </si>
  <si>
    <t>djeldjelan</t>
  </si>
  <si>
    <t>noix</t>
  </si>
  <si>
    <t>Confiture 1 kg</t>
  </si>
  <si>
    <t>levure chimique</t>
  </si>
  <si>
    <t>Lait en poudre</t>
  </si>
  <si>
    <t>Chocolat wedjedane Noir</t>
  </si>
  <si>
    <t>Chocolat wedjedane au lait</t>
  </si>
  <si>
    <t>chocolat wedjedane noisette</t>
  </si>
  <si>
    <t xml:space="preserve">chocolat wedjdane Blanc </t>
  </si>
  <si>
    <t>Cheddar</t>
  </si>
  <si>
    <t>Farine SIM 1Kg</t>
  </si>
  <si>
    <t>Harissa</t>
  </si>
  <si>
    <t>Sanoudj</t>
  </si>
  <si>
    <t>sachets transparent</t>
  </si>
  <si>
    <t>Tofia 3kg</t>
  </si>
  <si>
    <t>vanille Baraka</t>
  </si>
  <si>
    <t>3akeri</t>
  </si>
  <si>
    <t>thon</t>
  </si>
  <si>
    <t>Maa Zehar  me9ater</t>
  </si>
  <si>
    <t xml:space="preserve">serviette </t>
  </si>
  <si>
    <t>pate d'arome citron</t>
  </si>
  <si>
    <t>sac croissant 18</t>
  </si>
  <si>
    <t>sac croissant 23</t>
  </si>
  <si>
    <t>Canette Tchina Pepes</t>
  </si>
  <si>
    <t>Jus Tchina 33 cl</t>
  </si>
  <si>
    <t>Sel</t>
  </si>
  <si>
    <t>habet 7alawa</t>
  </si>
  <si>
    <t>Chocolat à tartiné</t>
  </si>
  <si>
    <t>maiizina</t>
  </si>
  <si>
    <t>Goblet sorbet</t>
  </si>
  <si>
    <t>Eau miniral 1,5 litres</t>
  </si>
  <si>
    <t>pate à filo</t>
  </si>
  <si>
    <t>Quissetes blanc num 8</t>
  </si>
  <si>
    <t>Quissette num 10</t>
  </si>
  <si>
    <t>sachets blanc 5kg</t>
  </si>
  <si>
    <t>dentelle</t>
  </si>
  <si>
    <t>papier film</t>
  </si>
  <si>
    <t>javel moussant</t>
  </si>
  <si>
    <t>lave sol 5 litres</t>
  </si>
  <si>
    <t>décapant</t>
  </si>
  <si>
    <t>gants</t>
  </si>
  <si>
    <t>Semoule grosse moula 10kg</t>
  </si>
  <si>
    <t>Hamissa</t>
  </si>
  <si>
    <t>viande morceaux</t>
  </si>
  <si>
    <t xml:space="preserve">cuisse de poulet </t>
  </si>
  <si>
    <t>rechta</t>
  </si>
  <si>
    <t>barquette</t>
  </si>
  <si>
    <t>boite leben + livraison</t>
  </si>
  <si>
    <t>Salade</t>
  </si>
  <si>
    <t>légumes</t>
  </si>
  <si>
    <t>Tomate conserve</t>
  </si>
  <si>
    <t>épice</t>
  </si>
  <si>
    <t>isis</t>
  </si>
  <si>
    <t>néttoyage vitres</t>
  </si>
  <si>
    <t>réparation vitres</t>
  </si>
  <si>
    <t>tomate fraiche</t>
  </si>
  <si>
    <t>viande hachée</t>
  </si>
  <si>
    <t>deyoul</t>
  </si>
  <si>
    <t>eau de javel</t>
  </si>
  <si>
    <t>omo</t>
  </si>
  <si>
    <t>navet</t>
  </si>
  <si>
    <t>boites</t>
  </si>
  <si>
    <t>boite</t>
  </si>
  <si>
    <t xml:space="preserve">fleurs de décoration </t>
  </si>
  <si>
    <t>noisttes</t>
  </si>
  <si>
    <t>ferik</t>
  </si>
  <si>
    <t>épice choreba</t>
  </si>
  <si>
    <t>olive</t>
  </si>
  <si>
    <t>carotte</t>
  </si>
  <si>
    <t xml:space="preserve">coriandre </t>
  </si>
  <si>
    <t>hym</t>
  </si>
  <si>
    <t>épinards</t>
  </si>
  <si>
    <t>boites leben</t>
  </si>
  <si>
    <t>hamissa</t>
  </si>
  <si>
    <t>sel</t>
  </si>
  <si>
    <t>fromage</t>
  </si>
  <si>
    <t>farine sousimie 10kg</t>
  </si>
  <si>
    <t>Maa zehar</t>
  </si>
  <si>
    <t>Harrissa</t>
  </si>
  <si>
    <t>Crème liquide 500ml</t>
  </si>
  <si>
    <t xml:space="preserve">Fomage slices </t>
  </si>
  <si>
    <t>Riz</t>
  </si>
  <si>
    <t>Noix</t>
  </si>
  <si>
    <t>Chocolat wedjedane noir</t>
  </si>
  <si>
    <t>curdent</t>
  </si>
  <si>
    <t>Maiizina</t>
  </si>
  <si>
    <t xml:space="preserve">sac poubelle </t>
  </si>
  <si>
    <t>dentelle blanc</t>
  </si>
  <si>
    <t>colorant blanc</t>
  </si>
  <si>
    <t>boites 500ccl</t>
  </si>
  <si>
    <t>lahessen livraison + poubelle</t>
  </si>
  <si>
    <t>Pomme de terre</t>
  </si>
  <si>
    <t>concombre</t>
  </si>
  <si>
    <t>mélange olive</t>
  </si>
  <si>
    <t>steak viande</t>
  </si>
  <si>
    <t>cuisses</t>
  </si>
  <si>
    <t>pate feuilltée</t>
  </si>
  <si>
    <t>éscalope</t>
  </si>
  <si>
    <t>salade</t>
  </si>
  <si>
    <t>tomate cerise</t>
  </si>
  <si>
    <t>barquette 1185+fourchette + cuillière+ cauteaux</t>
  </si>
  <si>
    <t>banane</t>
  </si>
  <si>
    <t>complément de salaires mois de juin</t>
  </si>
  <si>
    <t>Crème fraiche</t>
  </si>
  <si>
    <t>metelou3</t>
  </si>
  <si>
    <t>demie cuisses</t>
  </si>
  <si>
    <t>sachet blanc 5kg</t>
  </si>
  <si>
    <t>sachet transparent</t>
  </si>
  <si>
    <t xml:space="preserve">cuisses de poulet </t>
  </si>
  <si>
    <t>couscous</t>
  </si>
  <si>
    <t>navet + courgette</t>
  </si>
  <si>
    <t>légumes + banane</t>
  </si>
  <si>
    <t>jisis</t>
  </si>
  <si>
    <t>pain tacos</t>
  </si>
  <si>
    <t>canelle</t>
  </si>
  <si>
    <t>escalope</t>
  </si>
  <si>
    <t>TERIDA</t>
  </si>
  <si>
    <t xml:space="preserve">persil </t>
  </si>
  <si>
    <t xml:space="preserve">légumes pomme de terre + navet + corgette + carotte </t>
  </si>
  <si>
    <t>TOMATE Fraiche</t>
  </si>
  <si>
    <t>Tomate fraiche dure</t>
  </si>
  <si>
    <t>poivre noir</t>
  </si>
  <si>
    <t>ail moulu</t>
  </si>
  <si>
    <t>épice poulet</t>
  </si>
  <si>
    <t>felefel deriss</t>
  </si>
  <si>
    <t>épice harira</t>
  </si>
  <si>
    <t>épice chakhechoukha</t>
  </si>
  <si>
    <t>carrotte</t>
  </si>
  <si>
    <t>courgette</t>
  </si>
  <si>
    <t>Navet</t>
  </si>
  <si>
    <t xml:space="preserve">poivre  </t>
  </si>
  <si>
    <t>Décapant Brilex</t>
  </si>
  <si>
    <t>lavette</t>
  </si>
  <si>
    <t>Deyoul</t>
  </si>
  <si>
    <t>thym</t>
  </si>
  <si>
    <t>Semoule grosse moula 2kg</t>
  </si>
  <si>
    <t>Djeldjelan</t>
  </si>
  <si>
    <t>Boite 48/07</t>
  </si>
  <si>
    <t>Boite 36</t>
  </si>
  <si>
    <t>Semoule blé complet</t>
  </si>
  <si>
    <t>grain de sésame</t>
  </si>
  <si>
    <t>Semoule Fine 10kg</t>
  </si>
  <si>
    <t>Boite 48/10</t>
  </si>
  <si>
    <t>Fourchette</t>
  </si>
  <si>
    <t>Boite 500CC</t>
  </si>
  <si>
    <t>Barquettes 1120</t>
  </si>
  <si>
    <t>Boites Plateau 40/60</t>
  </si>
  <si>
    <t xml:space="preserve">Papier Aluminium </t>
  </si>
  <si>
    <t>Sucre sachets</t>
  </si>
  <si>
    <t>Vingrette Sachets</t>
  </si>
  <si>
    <t>Courgette</t>
  </si>
  <si>
    <t>Bessel</t>
  </si>
  <si>
    <t>Feuilletine</t>
  </si>
  <si>
    <t>Manchons</t>
  </si>
  <si>
    <t>Citron</t>
  </si>
  <si>
    <t>Terida</t>
  </si>
  <si>
    <t>Tomate Fraiche</t>
  </si>
  <si>
    <t>Tomate fraiche</t>
  </si>
  <si>
    <t>Olive noir et Verts</t>
  </si>
  <si>
    <t>Fromage spécial pizza Napoli</t>
  </si>
  <si>
    <t>Rechta</t>
  </si>
  <si>
    <t xml:space="preserve">Noix de Cajou </t>
  </si>
  <si>
    <t>Louz</t>
  </si>
  <si>
    <t>Topy 205g</t>
  </si>
  <si>
    <t>Chantilly</t>
  </si>
  <si>
    <t>Feuille d'or</t>
  </si>
  <si>
    <t>Storm modème locale</t>
  </si>
  <si>
    <t>Fromage portion + camembert</t>
  </si>
  <si>
    <t>transport personnel</t>
  </si>
  <si>
    <t>Thé</t>
  </si>
  <si>
    <t>Café</t>
  </si>
  <si>
    <t>Nectarine</t>
  </si>
  <si>
    <t>Patisserie</t>
  </si>
  <si>
    <t>les goblets</t>
  </si>
  <si>
    <t>cuillère</t>
  </si>
  <si>
    <t>cheddar</t>
  </si>
  <si>
    <t>Livraison CommandeInstitue  Pasteur</t>
  </si>
  <si>
    <t>blanc de poulet + poulet haché</t>
  </si>
  <si>
    <t>dattes</t>
  </si>
  <si>
    <t>15/07/2024</t>
  </si>
  <si>
    <t>Margarine Mani 500g</t>
  </si>
  <si>
    <t>navet + carotte</t>
  </si>
  <si>
    <t>Semoule fine 25kg</t>
  </si>
  <si>
    <t>livraison + manitention semoule</t>
  </si>
  <si>
    <t>idir feleur de décoration + sucre glace</t>
  </si>
  <si>
    <t>netoyage vitre</t>
  </si>
  <si>
    <t>lynda achats</t>
  </si>
  <si>
    <t>salade+ épinards+thym</t>
  </si>
  <si>
    <t>viande de veau</t>
  </si>
  <si>
    <t>viande d'agneau</t>
  </si>
  <si>
    <t>légumes chakhechoukha</t>
  </si>
  <si>
    <t>semen</t>
  </si>
  <si>
    <t xml:space="preserve">poches à douille </t>
  </si>
  <si>
    <t>boites 48/10</t>
  </si>
  <si>
    <t>boites 48/07</t>
  </si>
  <si>
    <t>boite 36</t>
  </si>
  <si>
    <t>poulet haché + blanc de poulet</t>
  </si>
  <si>
    <t>fromage bidon  Monte d'or 3.8kg</t>
  </si>
  <si>
    <t>attaches</t>
  </si>
  <si>
    <t>citron</t>
  </si>
  <si>
    <t>fromage barre</t>
  </si>
  <si>
    <t>idir crème fraiche + rechta</t>
  </si>
  <si>
    <t>nétoyage vitre</t>
  </si>
  <si>
    <t>feurial</t>
  </si>
  <si>
    <t>eau minirale 33 cl</t>
  </si>
  <si>
    <t>transport marchandise</t>
  </si>
  <si>
    <t>23/07/2024</t>
  </si>
  <si>
    <t>Divers achats</t>
  </si>
  <si>
    <t>fromage slices</t>
  </si>
  <si>
    <t>terida</t>
  </si>
  <si>
    <t>lahessen livraison+ idir</t>
  </si>
  <si>
    <t>tomate conserve</t>
  </si>
  <si>
    <t>cuisses entière</t>
  </si>
  <si>
    <t>viande hachée+ viande morceau</t>
  </si>
  <si>
    <t>teliteli</t>
  </si>
  <si>
    <t>djefena</t>
  </si>
  <si>
    <t>Transport marchandise marché</t>
  </si>
  <si>
    <t>coca canette</t>
  </si>
  <si>
    <t>izem canette</t>
  </si>
  <si>
    <t>izem bouteille</t>
  </si>
  <si>
    <t>canette Hamoud + shwepess</t>
  </si>
  <si>
    <t>Fromage Tip top</t>
  </si>
  <si>
    <t>des coursses</t>
  </si>
  <si>
    <t>quissetes baklawa</t>
  </si>
  <si>
    <t>semoule Moula moyen + grosse 10kg</t>
  </si>
  <si>
    <t>margarine de feuilltage salha</t>
  </si>
  <si>
    <t>poulet haché+ blanc de poulet</t>
  </si>
  <si>
    <t>storm modème magasin t"l"phone locale</t>
  </si>
  <si>
    <t>registre</t>
  </si>
  <si>
    <t>Curdent</t>
  </si>
  <si>
    <t xml:space="preserve">salade </t>
  </si>
  <si>
    <t>Fromage slices</t>
  </si>
  <si>
    <t xml:space="preserve">Farine SIM 1kg </t>
  </si>
  <si>
    <t xml:space="preserve">Chocolat wedjedane </t>
  </si>
  <si>
    <t>Maizina</t>
  </si>
  <si>
    <t>Sac Poubelle</t>
  </si>
  <si>
    <t>Huile Elio 5 litres</t>
  </si>
  <si>
    <t>Crème Fraiche</t>
  </si>
  <si>
    <t>Sucre cristalisé 1kg</t>
  </si>
  <si>
    <t>Baghrir</t>
  </si>
  <si>
    <t>Ka3ek Naakach</t>
  </si>
  <si>
    <t>Boite 24</t>
  </si>
  <si>
    <t>Boites 18</t>
  </si>
  <si>
    <t>Boite 08</t>
  </si>
  <si>
    <t>Boites 12</t>
  </si>
  <si>
    <t>Grand thermo</t>
  </si>
  <si>
    <t>SOS Cafards</t>
  </si>
  <si>
    <t>Facture éléctricité Locale</t>
  </si>
  <si>
    <t>Totale</t>
  </si>
  <si>
    <t xml:space="preserve">Nom </t>
  </si>
  <si>
    <t>Avance</t>
  </si>
  <si>
    <t xml:space="preserve">Salaire à payer </t>
  </si>
  <si>
    <t xml:space="preserve">Sofiane </t>
  </si>
  <si>
    <t>13000+17000</t>
  </si>
  <si>
    <t>Amel</t>
  </si>
  <si>
    <t>Lynda</t>
  </si>
  <si>
    <t>1000+12000</t>
  </si>
  <si>
    <t>1000+1000+1000</t>
  </si>
  <si>
    <t xml:space="preserve">Yasmine  </t>
  </si>
  <si>
    <t xml:space="preserve">Saliha </t>
  </si>
  <si>
    <t>Fatima/ Insaf</t>
  </si>
  <si>
    <t>TOTAL</t>
  </si>
  <si>
    <t xml:space="preserve">Mois de Janvier </t>
  </si>
  <si>
    <t xml:space="preserve">Mois de Février </t>
  </si>
  <si>
    <t>Mois de Mars</t>
  </si>
  <si>
    <t>Mois d'Avril</t>
  </si>
  <si>
    <t>Mois de Mai</t>
  </si>
  <si>
    <t xml:space="preserve">Mois de Jiun </t>
  </si>
  <si>
    <t>Mois de Juillet</t>
  </si>
  <si>
    <t xml:space="preserve">Mois de Juillet 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</si>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</sst>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mm/dd/yyyy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22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b/>
      <sz val="20.0"/>
      <color theme="1"/>
      <name val="Arial"/>
    </font>
    <font>
      <sz val="16.0"/>
      <color theme="1"/>
      <name val="Arial"/>
    </font>
    <font>
      <sz val="18.0"/>
      <color rgb="FF434343"/>
      <name val="Arial"/>
    </font>
    <font>
      <sz val="18.0"/>
      <color rgb="FF00FF00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sz val="20.0"/>
      <color theme="1"/>
      <name val="Arial"/>
    </font>
    <font>
      <sz val="23.0"/>
      <color theme="1"/>
      <name val="Arial"/>
    </font>
    <font>
      <b/>
      <sz val="24.0"/>
      <color theme="1"/>
      <name val="Arial"/>
    </font>
    <font>
      <sz val="18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vertical="bottom"/>
    </xf>
    <xf borderId="1" fillId="5" fontId="3" numFmtId="164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readingOrder="0" vertical="bottom"/>
    </xf>
    <xf borderId="1" fillId="5" fontId="1" numFmtId="0" xfId="0" applyAlignment="1" applyBorder="1" applyFon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5" xfId="0" applyAlignment="1" applyBorder="1" applyFont="1" applyNumberFormat="1">
      <alignment vertical="bottom"/>
    </xf>
    <xf borderId="1" fillId="5" fontId="3" numFmtId="165" xfId="0" applyAlignment="1" applyBorder="1" applyFont="1" applyNumberFormat="1">
      <alignment horizontal="center"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8" fontId="3" numFmtId="165" xfId="0" applyAlignment="1" applyBorder="1" applyFill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borderId="1" fillId="0" fontId="1" numFmtId="165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5" fontId="1" numFmtId="165" xfId="0" applyAlignment="1" applyFont="1" applyNumberFormat="1">
      <alignment vertical="bottom"/>
    </xf>
    <xf borderId="4" fillId="0" fontId="1" numFmtId="165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4" fillId="6" fontId="6" numFmtId="165" xfId="0" applyAlignment="1" applyBorder="1" applyFont="1" applyNumberFormat="1">
      <alignment horizontal="center" vertical="bottom"/>
    </xf>
    <xf borderId="0" fillId="0" fontId="4" numFmtId="165" xfId="0" applyAlignment="1" applyFont="1" applyNumberFormat="1">
      <alignment horizontal="right" readingOrder="0" vertical="bottom"/>
    </xf>
    <xf borderId="1" fillId="9" fontId="7" numFmtId="0" xfId="0" applyAlignment="1" applyBorder="1" applyFill="1" applyFont="1">
      <alignment horizontal="center" vertical="bottom"/>
    </xf>
    <xf borderId="5" fillId="0" fontId="1" numFmtId="165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5" fontId="1" numFmtId="165" xfId="0" applyAlignment="1" applyBorder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1" fillId="0" fontId="2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1" fillId="9" fontId="3" numFmtId="0" xfId="0" applyAlignment="1" applyBorder="1" applyFont="1">
      <alignment horizontal="center" vertical="bottom"/>
    </xf>
    <xf borderId="1" fillId="5" fontId="1" numFmtId="164" xfId="0" applyAlignment="1" applyBorder="1" applyFont="1" applyNumberFormat="1">
      <alignment vertical="bottom"/>
    </xf>
    <xf borderId="1" fillId="5" fontId="2" numFmtId="165" xfId="0" applyAlignment="1" applyBorder="1" applyFont="1" applyNumberFormat="1">
      <alignment horizontal="right" vertical="bottom"/>
    </xf>
    <xf borderId="1" fillId="5" fontId="2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10" fontId="3" numFmtId="165" xfId="0" applyAlignment="1" applyBorder="1" applyFill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1" fillId="0" fontId="8" numFmtId="165" xfId="0" applyAlignment="1" applyBorder="1" applyFont="1" applyNumberFormat="1">
      <alignment horizontal="right" vertical="bottom"/>
    </xf>
    <xf borderId="3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5" fontId="3" numFmtId="0" xfId="0" applyAlignment="1" applyBorder="1" applyFont="1">
      <alignment horizontal="center" readingOrder="0" vertical="bottom"/>
    </xf>
    <xf borderId="4" fillId="5" fontId="1" numFmtId="0" xfId="0" applyAlignment="1" applyBorder="1" applyFont="1">
      <alignment vertical="bottom"/>
    </xf>
    <xf borderId="3" fillId="8" fontId="3" numFmtId="0" xfId="0" applyAlignment="1" applyBorder="1" applyFont="1">
      <alignment horizontal="center" vertical="bottom"/>
    </xf>
    <xf borderId="1" fillId="8" fontId="3" numFmtId="164" xfId="0" applyAlignment="1" applyBorder="1" applyFont="1" applyNumberFormat="1">
      <alignment horizontal="center" vertical="bottom"/>
    </xf>
    <xf borderId="3" fillId="8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9" fontId="3" numFmtId="0" xfId="0" applyAlignment="1" applyBorder="1" applyFont="1">
      <alignment horizontal="center" readingOrder="0" vertical="bottom"/>
    </xf>
    <xf borderId="1" fillId="5" fontId="9" numFmtId="0" xfId="0" applyAlignment="1" applyBorder="1" applyFont="1">
      <alignment readingOrder="0" vertical="bottom"/>
    </xf>
    <xf borderId="3" fillId="5" fontId="10" numFmtId="0" xfId="0" applyAlignment="1" applyBorder="1" applyFont="1">
      <alignment horizontal="center" readingOrder="0" vertical="bottom"/>
    </xf>
    <xf borderId="1" fillId="5" fontId="10" numFmtId="0" xfId="0" applyAlignment="1" applyBorder="1" applyFont="1">
      <alignment horizontal="center" readingOrder="0" vertical="bottom"/>
    </xf>
    <xf borderId="1" fillId="9" fontId="10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readingOrder="0" vertical="bottom"/>
    </xf>
    <xf borderId="1" fillId="8" fontId="9" numFmtId="0" xfId="0" applyAlignment="1" applyBorder="1" applyFont="1">
      <alignment vertical="bottom"/>
    </xf>
    <xf borderId="1" fillId="4" fontId="11" numFmtId="0" xfId="0" applyAlignment="1" applyBorder="1" applyFont="1">
      <alignment horizontal="center" readingOrder="0" vertical="bottom"/>
    </xf>
    <xf borderId="3" fillId="5" fontId="12" numFmtId="0" xfId="0" applyAlignment="1" applyBorder="1" applyFont="1">
      <alignment horizontal="center" readingOrder="0" vertical="bottom"/>
    </xf>
    <xf borderId="3" fillId="5" fontId="8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right" vertical="bottom"/>
    </xf>
    <xf borderId="1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right" vertical="bottom"/>
    </xf>
    <xf borderId="5" fillId="5" fontId="12" numFmtId="165" xfId="0" applyAlignment="1" applyBorder="1" applyFont="1" applyNumberFormat="1">
      <alignment horizontal="center" readingOrder="0" vertical="bottom"/>
    </xf>
    <xf borderId="1" fillId="5" fontId="12" numFmtId="165" xfId="0" applyAlignment="1" applyBorder="1" applyFont="1" applyNumberFormat="1">
      <alignment horizontal="center" readingOrder="0" vertical="bottom"/>
    </xf>
    <xf borderId="1" fillId="5" fontId="8" numFmtId="165" xfId="0" applyAlignment="1" applyBorder="1" applyFont="1" applyNumberFormat="1">
      <alignment horizontal="center" readingOrder="0" vertical="bottom"/>
    </xf>
    <xf borderId="1" fillId="5" fontId="8" numFmtId="165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10" fontId="13" numFmtId="165" xfId="0" applyAlignment="1" applyBorder="1" applyFont="1" applyNumberFormat="1">
      <alignment horizontal="center" vertical="bottom"/>
    </xf>
    <xf borderId="1" fillId="10" fontId="8" numFmtId="165" xfId="0" applyAlignment="1" applyBorder="1" applyFont="1" applyNumberFormat="1">
      <alignment horizontal="right" vertical="bottom"/>
    </xf>
    <xf borderId="1" fillId="10" fontId="4" numFmtId="165" xfId="0" applyAlignment="1" applyBorder="1" applyFont="1" applyNumberFormat="1">
      <alignment horizontal="right" vertical="bottom"/>
    </xf>
    <xf borderId="1" fillId="10" fontId="14" numFmtId="165" xfId="0" applyAlignment="1" applyBorder="1" applyFont="1" applyNumberFormat="1">
      <alignment horizontal="right" readingOrder="0" vertical="bottom"/>
    </xf>
    <xf borderId="1" fillId="10" fontId="14" numFmtId="165" xfId="0" applyAlignment="1" applyBorder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4" fillId="0" fontId="15" numFmtId="165" xfId="0" applyAlignment="1" applyBorder="1" applyFont="1" applyNumberFormat="1">
      <alignment horizontal="right" vertical="bottom"/>
    </xf>
    <xf borderId="4" fillId="0" fontId="16" numFmtId="165" xfId="0" applyAlignment="1" applyBorder="1" applyFont="1" applyNumberFormat="1">
      <alignment horizontal="right" vertical="bottom"/>
    </xf>
    <xf borderId="1" fillId="0" fontId="15" numFmtId="165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10" fontId="17" numFmtId="0" xfId="0" applyAlignment="1" applyBorder="1" applyFont="1">
      <alignment horizontal="center" vertical="bottom"/>
    </xf>
    <xf borderId="2" fillId="10" fontId="17" numFmtId="0" xfId="0" applyAlignment="1" applyBorder="1" applyFont="1">
      <alignment horizontal="center" vertical="bottom"/>
    </xf>
    <xf borderId="6" fillId="5" fontId="3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center" readingOrder="0" vertical="bottom"/>
    </xf>
    <xf borderId="2" fillId="5" fontId="3" numFmtId="165" xfId="0" applyAlignment="1" applyBorder="1" applyFont="1" applyNumberFormat="1">
      <alignment horizontal="center" readingOrder="0" vertical="bottom"/>
    </xf>
    <xf borderId="2" fillId="5" fontId="3" numFmtId="165" xfId="0" applyAlignment="1" applyBorder="1" applyFont="1" applyNumberFormat="1">
      <alignment horizontal="center" vertical="bottom"/>
    </xf>
    <xf borderId="2" fillId="5" fontId="1" numFmtId="0" xfId="0" applyAlignment="1" applyBorder="1" applyFont="1">
      <alignment vertical="bottom"/>
    </xf>
    <xf borderId="1" fillId="5" fontId="3" numFmtId="0" xfId="0" applyAlignment="1" applyBorder="1" applyFont="1">
      <alignment horizontal="center" vertical="bottom"/>
    </xf>
    <xf borderId="6" fillId="5" fontId="3" numFmtId="0" xfId="0" applyAlignment="1" applyBorder="1" applyFont="1">
      <alignment horizontal="center" vertical="bottom"/>
    </xf>
    <xf borderId="3" fillId="11" fontId="3" numFmtId="0" xfId="0" applyAlignment="1" applyBorder="1" applyFill="1" applyFont="1">
      <alignment horizontal="center" vertical="bottom"/>
    </xf>
    <xf borderId="1" fillId="11" fontId="3" numFmtId="0" xfId="0" applyAlignment="1" applyBorder="1" applyFont="1">
      <alignment horizontal="center" readingOrder="0" vertical="bottom"/>
    </xf>
    <xf borderId="1" fillId="11" fontId="3" numFmtId="165" xfId="0" applyAlignment="1" applyBorder="1" applyFont="1" applyNumberFormat="1">
      <alignment horizontal="center" vertical="bottom"/>
    </xf>
    <xf borderId="2" fillId="5" fontId="3" numFmtId="0" xfId="0" applyAlignment="1" applyBorder="1" applyFont="1">
      <alignment horizontal="center" vertical="bottom"/>
    </xf>
    <xf borderId="1" fillId="5" fontId="3" numFmtId="164" xfId="0" applyAlignment="1" applyBorder="1" applyFont="1" applyNumberFormat="1">
      <alignment readingOrder="0" vertical="bottom"/>
    </xf>
    <xf borderId="1" fillId="5" fontId="3" numFmtId="0" xfId="0" applyAlignment="1" applyBorder="1" applyFont="1">
      <alignment vertical="bottom"/>
    </xf>
    <xf borderId="1" fillId="5" fontId="1" numFmtId="164" xfId="0" applyAlignment="1" applyBorder="1" applyFont="1" applyNumberFormat="1">
      <alignment readingOrder="0" vertical="bottom"/>
    </xf>
    <xf borderId="1" fillId="5" fontId="3" numFmtId="166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readingOrder="0" vertical="bottom"/>
    </xf>
    <xf borderId="1" fillId="5" fontId="4" numFmtId="164" xfId="0" applyAlignment="1" applyBorder="1" applyFont="1" applyNumberFormat="1">
      <alignment readingOrder="0" vertical="bottom"/>
    </xf>
    <xf borderId="1" fillId="5" fontId="4" numFmtId="0" xfId="0" applyAlignment="1" applyBorder="1" applyFont="1">
      <alignment vertical="bottom"/>
    </xf>
    <xf borderId="3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readingOrder="0" vertical="bottom"/>
    </xf>
    <xf borderId="1" fillId="4" fontId="3" numFmtId="165" xfId="0" applyAlignment="1" applyBorder="1" applyFont="1" applyNumberFormat="1">
      <alignment readingOrder="0" vertical="bottom"/>
    </xf>
    <xf borderId="2" fillId="4" fontId="3" numFmtId="165" xfId="0" applyAlignment="1" applyBorder="1" applyFont="1" applyNumberFormat="1">
      <alignment horizontal="center" vertical="bottom"/>
    </xf>
    <xf borderId="2" fillId="5" fontId="3" numFmtId="0" xfId="0" applyAlignment="1" applyBorder="1" applyFont="1">
      <alignment vertical="bottom"/>
    </xf>
    <xf borderId="1" fillId="5" fontId="3" numFmtId="164" xfId="0" applyAlignment="1" applyBorder="1" applyFont="1" applyNumberFormat="1">
      <alignment horizontal="center" readingOrder="0" vertical="bottom"/>
    </xf>
    <xf borderId="2" fillId="5" fontId="3" numFmtId="164" xfId="0" applyAlignment="1" applyBorder="1" applyFont="1" applyNumberFormat="1">
      <alignment horizontal="right" vertical="bottom"/>
    </xf>
    <xf borderId="3" fillId="12" fontId="3" numFmtId="0" xfId="0" applyAlignment="1" applyBorder="1" applyFill="1" applyFont="1">
      <alignment horizontal="center" readingOrder="0" vertical="bottom"/>
    </xf>
    <xf borderId="1" fillId="12" fontId="3" numFmtId="0" xfId="0" applyAlignment="1" applyBorder="1" applyFont="1">
      <alignment horizontal="center" readingOrder="0" vertical="bottom"/>
    </xf>
    <xf borderId="1" fillId="12" fontId="3" numFmtId="165" xfId="0" applyAlignment="1" applyBorder="1" applyFont="1" applyNumberFormat="1">
      <alignment horizontal="center" readingOrder="0" vertical="bottom"/>
    </xf>
    <xf borderId="2" fillId="12" fontId="3" numFmtId="165" xfId="0" applyAlignment="1" applyBorder="1" applyFont="1" applyNumberFormat="1">
      <alignment horizontal="center" vertical="bottom"/>
    </xf>
    <xf borderId="1" fillId="12" fontId="1" numFmtId="0" xfId="0" applyAlignment="1" applyBorder="1" applyFont="1">
      <alignment vertical="bottom"/>
    </xf>
    <xf borderId="2" fillId="5" fontId="4" numFmtId="0" xfId="0" applyAlignment="1" applyBorder="1" applyFont="1">
      <alignment vertical="bottom"/>
    </xf>
    <xf borderId="6" fillId="0" fontId="17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5" xfId="0" applyAlignment="1" applyBorder="1" applyFont="1" applyNumberFormat="1">
      <alignment vertical="bottom"/>
    </xf>
    <xf borderId="2" fillId="0" fontId="17" numFmtId="165" xfId="0" applyAlignment="1" applyBorder="1" applyFont="1" applyNumberFormat="1">
      <alignment horizontal="center" vertical="bottom"/>
    </xf>
    <xf borderId="2" fillId="0" fontId="1" numFmtId="164" xfId="0" applyAlignment="1" applyBorder="1" applyFont="1" applyNumberFormat="1">
      <alignment vertical="bottom"/>
    </xf>
    <xf borderId="1" fillId="4" fontId="2" numFmtId="0" xfId="0" applyAlignment="1" applyBorder="1" applyFont="1">
      <alignment horizontal="center" vertical="bottom"/>
    </xf>
    <xf borderId="4" fillId="6" fontId="2" numFmtId="0" xfId="0" applyAlignment="1" applyBorder="1" applyFont="1">
      <alignment horizontal="center" vertical="bottom"/>
    </xf>
    <xf borderId="1" fillId="5" fontId="2" numFmtId="165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  <xf borderId="0" fillId="0" fontId="18" numFmtId="165" xfId="0" applyAlignment="1" applyFont="1" applyNumberFormat="1">
      <alignment readingOrder="0"/>
    </xf>
    <xf borderId="1" fillId="0" fontId="3" numFmtId="0" xfId="0" applyAlignment="1" applyBorder="1" applyFon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4" fontId="1" numFmtId="165" xfId="0" applyAlignment="1" applyBorder="1" applyFont="1" applyNumberFormat="1">
      <alignment vertical="bottom"/>
    </xf>
    <xf borderId="1" fillId="10" fontId="2" numFmtId="0" xfId="0" applyAlignment="1" applyBorder="1" applyFont="1">
      <alignment horizontal="center" vertical="bottom"/>
    </xf>
    <xf borderId="6" fillId="10" fontId="2" numFmtId="0" xfId="0" applyAlignment="1" applyBorder="1" applyFont="1">
      <alignment horizontal="center" vertical="bottom"/>
    </xf>
    <xf borderId="6" fillId="10" fontId="2" numFmtId="0" xfId="0" applyAlignment="1" applyBorder="1" applyFont="1">
      <alignment horizontal="center" readingOrder="0" vertical="bottom"/>
    </xf>
    <xf borderId="1" fillId="10" fontId="2" numFmtId="0" xfId="0" applyAlignment="1" applyBorder="1" applyFont="1">
      <alignment horizontal="center" readingOrder="0" vertical="bottom"/>
    </xf>
    <xf borderId="1" fillId="13" fontId="2" numFmtId="0" xfId="0" applyAlignment="1" applyBorder="1" applyFill="1" applyFont="1">
      <alignment horizontal="center" vertical="bottom"/>
    </xf>
    <xf borderId="6" fillId="0" fontId="3" numFmtId="165" xfId="0" applyAlignment="1" applyBorder="1" applyFont="1" applyNumberFormat="1">
      <alignment horizontal="center" readingOrder="0" vertical="bottom"/>
    </xf>
    <xf borderId="6" fillId="0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3" width="25.38"/>
    <col customWidth="1" min="4" max="4" width="25.63"/>
    <col customWidth="1" min="5" max="5" width="25.38"/>
    <col customWidth="1" min="6" max="6" width="24.88"/>
    <col customWidth="1" min="7" max="7" width="25.13"/>
    <col customWidth="1" min="8" max="8" width="25.63"/>
    <col customWidth="1" min="9" max="9" width="26.13"/>
    <col customWidth="1" min="11" max="11" width="26.63"/>
    <col customWidth="1" min="12" max="12" width="34.88"/>
    <col customWidth="1" min="13" max="13" width="50.13"/>
    <col customWidth="1" min="14" max="14" width="38.38"/>
    <col customWidth="1" min="15" max="15" width="43.38"/>
    <col customWidth="1" min="16" max="16" width="99.88"/>
    <col customWidth="1" min="17" max="17" width="43.13"/>
    <col customWidth="1" min="18" max="18" width="35.6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6" t="s">
        <v>8</v>
      </c>
      <c r="L1" s="7" t="s">
        <v>9</v>
      </c>
      <c r="M1" s="5"/>
      <c r="N1" s="5"/>
      <c r="O1" s="5"/>
      <c r="P1" s="5"/>
      <c r="Q1" s="5"/>
      <c r="R1" s="5"/>
      <c r="S1" s="5"/>
    </row>
    <row r="2">
      <c r="A2" s="8" t="s">
        <v>10</v>
      </c>
      <c r="B2" s="9">
        <v>45474.0</v>
      </c>
      <c r="C2" s="10">
        <v>70000.0</v>
      </c>
      <c r="D2" s="11">
        <v>41000.0</v>
      </c>
      <c r="E2" s="12"/>
      <c r="F2" s="12"/>
      <c r="G2" s="12"/>
      <c r="H2" s="12"/>
      <c r="I2" s="13">
        <v>1.0</v>
      </c>
      <c r="J2" s="14"/>
      <c r="K2" s="15"/>
      <c r="L2" s="16">
        <v>70000.0</v>
      </c>
      <c r="M2" s="5"/>
      <c r="N2" s="5"/>
      <c r="O2" s="5"/>
      <c r="P2" s="5"/>
      <c r="Q2" s="5"/>
      <c r="R2" s="5"/>
      <c r="S2" s="5"/>
    </row>
    <row r="3">
      <c r="A3" s="8" t="s">
        <v>11</v>
      </c>
      <c r="B3" s="9">
        <v>45475.0</v>
      </c>
      <c r="C3" s="10">
        <v>38000.0</v>
      </c>
      <c r="D3" s="11">
        <v>37000.0</v>
      </c>
      <c r="E3" s="12"/>
      <c r="F3" s="12"/>
      <c r="G3" s="12"/>
      <c r="H3" s="12"/>
      <c r="I3" s="13">
        <v>1.0</v>
      </c>
      <c r="J3" s="14"/>
      <c r="K3" s="15"/>
      <c r="L3" s="16">
        <v>38000.0</v>
      </c>
      <c r="M3" s="17" t="s">
        <v>12</v>
      </c>
      <c r="N3" s="17" t="s">
        <v>13</v>
      </c>
      <c r="O3" s="18" t="s">
        <v>14</v>
      </c>
      <c r="P3" s="19" t="s">
        <v>15</v>
      </c>
      <c r="Q3" s="5"/>
      <c r="R3" s="5"/>
      <c r="S3" s="5"/>
    </row>
    <row r="4">
      <c r="A4" s="8" t="s">
        <v>16</v>
      </c>
      <c r="B4" s="9">
        <v>45476.0</v>
      </c>
      <c r="C4" s="10">
        <v>30000.0</v>
      </c>
      <c r="D4" s="11">
        <v>47000.0</v>
      </c>
      <c r="E4" s="12"/>
      <c r="F4" s="12"/>
      <c r="G4" s="12"/>
      <c r="H4" s="12"/>
      <c r="I4" s="13">
        <v>1.0</v>
      </c>
      <c r="J4" s="14"/>
      <c r="K4" s="15"/>
      <c r="L4" s="16">
        <v>30000.0</v>
      </c>
      <c r="M4" s="20">
        <f>H33/I33</f>
        <v>24001.84753</v>
      </c>
      <c r="N4" s="20">
        <f>D33/I33</f>
        <v>75333.33333</v>
      </c>
      <c r="O4" s="21"/>
      <c r="P4" s="22">
        <f>O4/N4</f>
        <v>0</v>
      </c>
      <c r="Q4" s="5"/>
      <c r="R4" s="5"/>
      <c r="S4" s="5"/>
    </row>
    <row r="5">
      <c r="A5" s="8" t="s">
        <v>17</v>
      </c>
      <c r="B5" s="9">
        <v>45477.0</v>
      </c>
      <c r="C5" s="10">
        <v>50000.0</v>
      </c>
      <c r="D5" s="11">
        <v>130000.0</v>
      </c>
      <c r="E5" s="12"/>
      <c r="F5" s="12"/>
      <c r="G5" s="12"/>
      <c r="H5" s="12"/>
      <c r="I5" s="13">
        <v>1.0</v>
      </c>
      <c r="J5" s="14"/>
      <c r="K5" s="15"/>
      <c r="L5" s="16">
        <v>50000.0</v>
      </c>
      <c r="M5" s="1"/>
      <c r="N5" s="1"/>
      <c r="O5" s="5"/>
      <c r="P5" s="23"/>
      <c r="Q5" s="5"/>
      <c r="R5" s="5"/>
      <c r="S5" s="5"/>
    </row>
    <row r="6">
      <c r="A6" s="8" t="s">
        <v>18</v>
      </c>
      <c r="B6" s="9">
        <v>45478.0</v>
      </c>
      <c r="C6" s="10">
        <v>52000.0</v>
      </c>
      <c r="D6" s="11">
        <v>40000.0</v>
      </c>
      <c r="E6" s="12"/>
      <c r="F6" s="12"/>
      <c r="G6" s="12"/>
      <c r="H6" s="12"/>
      <c r="I6" s="13">
        <v>1.0</v>
      </c>
      <c r="J6" s="14"/>
      <c r="K6" s="15"/>
      <c r="L6" s="16">
        <v>52000.0</v>
      </c>
      <c r="M6" s="24" t="s">
        <v>19</v>
      </c>
      <c r="N6" s="25" t="s">
        <v>20</v>
      </c>
      <c r="O6" s="5"/>
      <c r="P6" s="1"/>
      <c r="Q6" s="5"/>
      <c r="R6" s="5"/>
      <c r="S6" s="5"/>
    </row>
    <row r="7">
      <c r="A7" s="8" t="s">
        <v>21</v>
      </c>
      <c r="B7" s="9">
        <v>45479.0</v>
      </c>
      <c r="C7" s="10">
        <v>43000.0</v>
      </c>
      <c r="D7" s="11">
        <v>117000.0</v>
      </c>
      <c r="E7" s="12"/>
      <c r="F7" s="12"/>
      <c r="G7" s="12"/>
      <c r="H7" s="12"/>
      <c r="I7" s="13">
        <v>1.0</v>
      </c>
      <c r="J7" s="14"/>
      <c r="K7" s="15"/>
      <c r="L7" s="16">
        <v>43000.0</v>
      </c>
      <c r="M7" s="26">
        <f>E33/I33</f>
        <v>31922.7</v>
      </c>
      <c r="N7" s="26">
        <v>100000.0</v>
      </c>
      <c r="O7" s="1"/>
      <c r="P7" s="1"/>
      <c r="Q7" s="5"/>
      <c r="R7" s="5"/>
      <c r="S7" s="5"/>
    </row>
    <row r="8">
      <c r="A8" s="8" t="s">
        <v>22</v>
      </c>
      <c r="B8" s="9">
        <v>45480.0</v>
      </c>
      <c r="C8" s="10">
        <v>45000.0</v>
      </c>
      <c r="D8" s="11">
        <v>90000.0</v>
      </c>
      <c r="E8" s="12"/>
      <c r="F8" s="12"/>
      <c r="G8" s="12"/>
      <c r="H8" s="12"/>
      <c r="I8" s="13">
        <v>1.0</v>
      </c>
      <c r="J8" s="14"/>
      <c r="K8" s="15"/>
      <c r="L8" s="27">
        <v>45000.0</v>
      </c>
      <c r="M8" s="1" t="s">
        <v>23</v>
      </c>
      <c r="N8" s="1"/>
      <c r="O8" s="1"/>
      <c r="P8" s="1"/>
      <c r="Q8" s="5"/>
      <c r="R8" s="5"/>
      <c r="S8" s="5"/>
    </row>
    <row r="9">
      <c r="A9" s="8" t="s">
        <v>24</v>
      </c>
      <c r="B9" s="9">
        <v>45481.0</v>
      </c>
      <c r="C9" s="10">
        <v>46000.0</v>
      </c>
      <c r="D9" s="11">
        <v>60000.0</v>
      </c>
      <c r="E9" s="12"/>
      <c r="F9" s="12"/>
      <c r="G9" s="12"/>
      <c r="H9" s="12"/>
      <c r="I9" s="13">
        <v>1.0</v>
      </c>
      <c r="J9" s="14"/>
      <c r="K9" s="15"/>
      <c r="L9" s="16">
        <v>46000.0</v>
      </c>
      <c r="M9" s="1"/>
      <c r="N9" s="1"/>
      <c r="O9" s="1"/>
      <c r="P9" s="1"/>
      <c r="Q9" s="5"/>
      <c r="R9" s="5"/>
      <c r="S9" s="5"/>
    </row>
    <row r="10">
      <c r="A10" s="8" t="s">
        <v>11</v>
      </c>
      <c r="B10" s="9">
        <v>45482.0</v>
      </c>
      <c r="C10" s="10">
        <v>45000.0</v>
      </c>
      <c r="D10" s="11">
        <v>50000.0</v>
      </c>
      <c r="E10" s="12"/>
      <c r="F10" s="12"/>
      <c r="G10" s="12"/>
      <c r="H10" s="12"/>
      <c r="I10" s="13">
        <v>1.0</v>
      </c>
      <c r="J10" s="14"/>
      <c r="K10" s="15"/>
      <c r="L10" s="16">
        <v>45000.0</v>
      </c>
      <c r="M10" s="28" t="s">
        <v>25</v>
      </c>
      <c r="N10" s="28" t="s">
        <v>26</v>
      </c>
      <c r="O10" s="29" t="s">
        <v>27</v>
      </c>
      <c r="P10" s="30" t="s">
        <v>28</v>
      </c>
      <c r="Q10" s="5"/>
      <c r="R10" s="5"/>
      <c r="S10" s="5"/>
    </row>
    <row r="11">
      <c r="A11" s="8" t="s">
        <v>16</v>
      </c>
      <c r="B11" s="9">
        <v>45483.0</v>
      </c>
      <c r="C11" s="10">
        <v>48000.0</v>
      </c>
      <c r="D11" s="11">
        <v>60000.0</v>
      </c>
      <c r="E11" s="12"/>
      <c r="F11" s="12"/>
      <c r="G11" s="12"/>
      <c r="H11" s="12"/>
      <c r="I11" s="13">
        <v>1.0</v>
      </c>
      <c r="J11" s="14"/>
      <c r="K11" s="15"/>
      <c r="L11" s="16">
        <v>48000.0</v>
      </c>
      <c r="M11" s="16">
        <f>M14+D33-E33-'Les Salaires'!K32-N11-P34</f>
        <v>923819</v>
      </c>
      <c r="N11" s="31">
        <v>25000.0</v>
      </c>
      <c r="O11" s="32">
        <v>1005000.0</v>
      </c>
      <c r="P11" s="26">
        <f>M11-O11</f>
        <v>-81181</v>
      </c>
      <c r="Q11" s="5"/>
      <c r="R11" s="5"/>
      <c r="S11" s="5"/>
    </row>
    <row r="12">
      <c r="A12" s="8" t="s">
        <v>17</v>
      </c>
      <c r="B12" s="9">
        <v>45484.0</v>
      </c>
      <c r="C12" s="10">
        <v>26000.0</v>
      </c>
      <c r="D12" s="11">
        <v>67000.0</v>
      </c>
      <c r="E12" s="12"/>
      <c r="F12" s="12"/>
      <c r="G12" s="12"/>
      <c r="H12" s="12"/>
      <c r="I12" s="13">
        <v>1.0</v>
      </c>
      <c r="J12" s="14"/>
      <c r="K12" s="15"/>
      <c r="L12" s="16">
        <v>26000.0</v>
      </c>
      <c r="M12" s="1"/>
      <c r="N12" s="1"/>
      <c r="O12" s="33"/>
      <c r="P12" s="33"/>
      <c r="Q12" s="5"/>
      <c r="R12" s="5"/>
      <c r="S12" s="5"/>
    </row>
    <row r="13">
      <c r="A13" s="8" t="s">
        <v>18</v>
      </c>
      <c r="B13" s="9">
        <v>45485.0</v>
      </c>
      <c r="C13" s="10">
        <v>70000.0</v>
      </c>
      <c r="D13" s="11">
        <v>65000.0</v>
      </c>
      <c r="E13" s="12"/>
      <c r="F13" s="12"/>
      <c r="G13" s="12"/>
      <c r="H13" s="12"/>
      <c r="I13" s="13">
        <v>1.0</v>
      </c>
      <c r="J13" s="14"/>
      <c r="K13" s="15"/>
      <c r="L13" s="16">
        <v>70000.0</v>
      </c>
      <c r="M13" s="29" t="s">
        <v>29</v>
      </c>
      <c r="N13" s="33"/>
      <c r="O13" s="5"/>
      <c r="P13" s="33"/>
      <c r="Q13" s="5"/>
      <c r="R13" s="5"/>
      <c r="S13" s="14"/>
    </row>
    <row r="14">
      <c r="A14" s="8" t="s">
        <v>21</v>
      </c>
      <c r="B14" s="9">
        <v>45486.0</v>
      </c>
      <c r="C14" s="10">
        <v>69000.0</v>
      </c>
      <c r="D14" s="11">
        <v>470000.0</v>
      </c>
      <c r="E14" s="12"/>
      <c r="F14" s="12"/>
      <c r="G14" s="12"/>
      <c r="H14" s="12"/>
      <c r="I14" s="13">
        <v>1.0</v>
      </c>
      <c r="J14" s="14"/>
      <c r="K14" s="15"/>
      <c r="L14" s="16">
        <v>69000.0</v>
      </c>
      <c r="M14" s="34">
        <v>330000.0</v>
      </c>
      <c r="N14" s="33"/>
      <c r="O14" s="5"/>
      <c r="P14" s="35" t="s">
        <v>30</v>
      </c>
      <c r="Q14" s="5"/>
      <c r="R14" s="5"/>
      <c r="S14" s="14"/>
    </row>
    <row r="15">
      <c r="A15" s="8" t="s">
        <v>22</v>
      </c>
      <c r="B15" s="9">
        <v>45487.0</v>
      </c>
      <c r="C15" s="10">
        <v>172000.0</v>
      </c>
      <c r="D15" s="11">
        <v>52000.0</v>
      </c>
      <c r="E15" s="12"/>
      <c r="F15" s="12"/>
      <c r="G15" s="12"/>
      <c r="H15" s="12"/>
      <c r="I15" s="13">
        <v>1.0</v>
      </c>
      <c r="J15" s="14"/>
      <c r="K15" s="15"/>
      <c r="L15" s="27">
        <v>172000.0</v>
      </c>
      <c r="M15" s="21"/>
      <c r="N15" s="21"/>
      <c r="O15" s="14"/>
      <c r="P15" s="36"/>
      <c r="Q15" s="5"/>
      <c r="R15" s="5"/>
      <c r="S15" s="14"/>
    </row>
    <row r="16">
      <c r="A16" s="8" t="s">
        <v>24</v>
      </c>
      <c r="B16" s="9">
        <v>45488.0</v>
      </c>
      <c r="C16" s="10">
        <v>220000.0</v>
      </c>
      <c r="D16" s="11">
        <v>80000.0</v>
      </c>
      <c r="E16" s="12"/>
      <c r="F16" s="12"/>
      <c r="G16" s="12"/>
      <c r="H16" s="12"/>
      <c r="I16" s="13">
        <v>1.0</v>
      </c>
      <c r="J16" s="14"/>
      <c r="K16" s="15"/>
      <c r="L16" s="16">
        <v>220000.0</v>
      </c>
      <c r="M16" s="21"/>
      <c r="N16" s="21"/>
      <c r="O16" s="21"/>
      <c r="P16" s="36"/>
      <c r="Q16" s="5"/>
      <c r="R16" s="5"/>
      <c r="S16" s="14"/>
    </row>
    <row r="17">
      <c r="A17" s="8" t="s">
        <v>11</v>
      </c>
      <c r="B17" s="9">
        <v>45489.0</v>
      </c>
      <c r="C17" s="10">
        <v>0.0</v>
      </c>
      <c r="D17" s="11">
        <v>70000.0</v>
      </c>
      <c r="E17" s="12"/>
      <c r="F17" s="12"/>
      <c r="G17" s="12"/>
      <c r="H17" s="12"/>
      <c r="I17" s="13">
        <v>1.0</v>
      </c>
      <c r="J17" s="14"/>
      <c r="K17" s="15"/>
      <c r="L17" s="16">
        <v>0.0</v>
      </c>
      <c r="M17" s="37"/>
      <c r="N17" s="21"/>
      <c r="O17" s="21"/>
      <c r="P17" s="35" t="s">
        <v>31</v>
      </c>
      <c r="Q17" s="19"/>
      <c r="R17" s="5"/>
      <c r="S17" s="14"/>
    </row>
    <row r="18">
      <c r="A18" s="8" t="s">
        <v>16</v>
      </c>
      <c r="B18" s="9">
        <v>45490.0</v>
      </c>
      <c r="C18" s="10">
        <v>0.0</v>
      </c>
      <c r="D18" s="11">
        <v>60000.0</v>
      </c>
      <c r="E18" s="12"/>
      <c r="F18" s="12"/>
      <c r="G18" s="12"/>
      <c r="H18" s="12"/>
      <c r="I18" s="13">
        <v>1.0</v>
      </c>
      <c r="J18" s="14"/>
      <c r="K18" s="15"/>
      <c r="L18" s="16">
        <v>0.0</v>
      </c>
      <c r="M18" s="38"/>
      <c r="N18" s="21"/>
      <c r="O18" s="37"/>
      <c r="P18" s="35"/>
      <c r="Q18" s="39"/>
      <c r="R18" s="5"/>
      <c r="S18" s="14"/>
    </row>
    <row r="19">
      <c r="A19" s="8" t="s">
        <v>17</v>
      </c>
      <c r="B19" s="9">
        <v>45491.0</v>
      </c>
      <c r="C19" s="10">
        <v>0.0</v>
      </c>
      <c r="D19" s="11">
        <v>43000.0</v>
      </c>
      <c r="E19" s="12"/>
      <c r="F19" s="12"/>
      <c r="G19" s="12"/>
      <c r="H19" s="12"/>
      <c r="I19" s="13">
        <v>1.0</v>
      </c>
      <c r="J19" s="14"/>
      <c r="K19" s="15"/>
      <c r="L19" s="16">
        <v>0.0</v>
      </c>
      <c r="M19" s="40" t="s">
        <v>32</v>
      </c>
      <c r="N19" s="21"/>
      <c r="O19" s="21"/>
      <c r="P19" s="41" t="s">
        <v>33</v>
      </c>
      <c r="Q19" s="5"/>
      <c r="R19" s="5"/>
      <c r="S19" s="14"/>
    </row>
    <row r="20">
      <c r="A20" s="8" t="s">
        <v>18</v>
      </c>
      <c r="B20" s="9">
        <v>45492.0</v>
      </c>
      <c r="C20" s="10">
        <v>55000.0</v>
      </c>
      <c r="D20" s="11">
        <v>34000.0</v>
      </c>
      <c r="E20" s="12"/>
      <c r="F20" s="12"/>
      <c r="G20" s="12"/>
      <c r="H20" s="12"/>
      <c r="I20" s="13">
        <v>1.0</v>
      </c>
      <c r="J20" s="14"/>
      <c r="K20" s="15"/>
      <c r="L20" s="16">
        <v>55000.0</v>
      </c>
      <c r="M20" s="16">
        <f>D33-C33</f>
        <v>500000</v>
      </c>
      <c r="N20" s="21"/>
      <c r="O20" s="5"/>
      <c r="P20" s="37"/>
      <c r="Q20" s="5"/>
      <c r="R20" s="5"/>
      <c r="S20" s="14"/>
    </row>
    <row r="21">
      <c r="A21" s="8" t="s">
        <v>21</v>
      </c>
      <c r="B21" s="9">
        <v>45493.0</v>
      </c>
      <c r="C21" s="10">
        <v>150000.0</v>
      </c>
      <c r="D21" s="11">
        <v>100000.0</v>
      </c>
      <c r="E21" s="12"/>
      <c r="F21" s="12"/>
      <c r="G21" s="12"/>
      <c r="H21" s="12"/>
      <c r="I21" s="13">
        <v>1.0</v>
      </c>
      <c r="J21" s="14"/>
      <c r="K21" s="15"/>
      <c r="L21" s="16">
        <v>150000.0</v>
      </c>
      <c r="M21" s="42" t="s">
        <v>34</v>
      </c>
      <c r="N21" s="43"/>
      <c r="O21" s="44" t="s">
        <v>35</v>
      </c>
      <c r="P21" s="16">
        <v>1.0</v>
      </c>
      <c r="Q21" s="16">
        <v>8800.0</v>
      </c>
      <c r="R21" s="16">
        <f>P21*Q21</f>
        <v>8800</v>
      </c>
      <c r="S21" s="14"/>
    </row>
    <row r="22">
      <c r="A22" s="8" t="s">
        <v>22</v>
      </c>
      <c r="B22" s="9">
        <v>45494.0</v>
      </c>
      <c r="C22" s="10">
        <v>70000.0</v>
      </c>
      <c r="D22" s="11">
        <v>28000.0</v>
      </c>
      <c r="E22" s="12"/>
      <c r="F22" s="12"/>
      <c r="G22" s="12"/>
      <c r="H22" s="12"/>
      <c r="I22" s="13">
        <v>1.0</v>
      </c>
      <c r="J22" s="14"/>
      <c r="K22" s="15"/>
      <c r="L22" s="27">
        <v>70000.0</v>
      </c>
      <c r="M22" s="26">
        <f>K36-E36</f>
        <v>0</v>
      </c>
      <c r="N22" s="43"/>
      <c r="O22" s="44" t="s">
        <v>36</v>
      </c>
      <c r="P22" s="16">
        <v>4.0</v>
      </c>
      <c r="Q22" s="16">
        <v>400.0</v>
      </c>
      <c r="R22" s="16">
        <v>600.0</v>
      </c>
      <c r="S22" s="14"/>
    </row>
    <row r="23">
      <c r="A23" s="8" t="s">
        <v>24</v>
      </c>
      <c r="B23" s="9">
        <v>45495.0</v>
      </c>
      <c r="C23" s="10">
        <v>44000.0</v>
      </c>
      <c r="D23" s="11">
        <v>74000.0</v>
      </c>
      <c r="E23" s="12"/>
      <c r="F23" s="12"/>
      <c r="G23" s="12"/>
      <c r="H23" s="12"/>
      <c r="I23" s="13">
        <v>1.0</v>
      </c>
      <c r="J23" s="14"/>
      <c r="K23" s="15"/>
      <c r="L23" s="16">
        <v>44000.0</v>
      </c>
      <c r="M23" s="45" t="s">
        <v>37</v>
      </c>
      <c r="N23" s="43"/>
      <c r="O23" s="44" t="s">
        <v>38</v>
      </c>
      <c r="P23" s="16">
        <v>1.0</v>
      </c>
      <c r="Q23" s="16">
        <v>2800.0</v>
      </c>
      <c r="R23" s="16">
        <f>P23*Q23</f>
        <v>2800</v>
      </c>
      <c r="S23" s="14"/>
    </row>
    <row r="24">
      <c r="A24" s="8" t="s">
        <v>11</v>
      </c>
      <c r="B24" s="9">
        <v>45496.0</v>
      </c>
      <c r="C24" s="10">
        <v>57000.0</v>
      </c>
      <c r="D24" s="11">
        <v>49000.0</v>
      </c>
      <c r="E24" s="12"/>
      <c r="F24" s="12"/>
      <c r="G24" s="12"/>
      <c r="H24" s="12"/>
      <c r="I24" s="13">
        <v>1.0</v>
      </c>
      <c r="J24" s="14"/>
      <c r="K24" s="15"/>
      <c r="L24" s="16">
        <v>57000.0</v>
      </c>
      <c r="M24" s="34">
        <f>D33-C33</f>
        <v>500000</v>
      </c>
      <c r="N24" s="21"/>
      <c r="O24" s="46"/>
      <c r="P24" s="47"/>
      <c r="Q24" s="5"/>
      <c r="R24" s="48">
        <f>SUM(R21:R23)</f>
        <v>12200</v>
      </c>
      <c r="S24" s="14"/>
    </row>
    <row r="25">
      <c r="A25" s="8" t="s">
        <v>16</v>
      </c>
      <c r="B25" s="9">
        <v>45497.0</v>
      </c>
      <c r="C25" s="10">
        <v>49000.0</v>
      </c>
      <c r="D25" s="11">
        <v>52000.0</v>
      </c>
      <c r="E25" s="12"/>
      <c r="F25" s="12"/>
      <c r="G25" s="12"/>
      <c r="H25" s="12"/>
      <c r="I25" s="13">
        <v>1.0</v>
      </c>
      <c r="J25" s="14"/>
      <c r="K25" s="15"/>
      <c r="L25" s="16">
        <v>49000.0</v>
      </c>
      <c r="M25" s="29" t="s">
        <v>39</v>
      </c>
      <c r="N25" s="43"/>
      <c r="O25" s="49" t="s">
        <v>40</v>
      </c>
      <c r="P25" s="33"/>
      <c r="Q25" s="5"/>
      <c r="R25" s="5"/>
      <c r="S25" s="14"/>
    </row>
    <row r="26">
      <c r="A26" s="8" t="s">
        <v>17</v>
      </c>
      <c r="B26" s="9">
        <v>45498.0</v>
      </c>
      <c r="C26" s="10">
        <v>38000.0</v>
      </c>
      <c r="D26" s="11">
        <v>73000.0</v>
      </c>
      <c r="E26" s="12"/>
      <c r="F26" s="12"/>
      <c r="G26" s="12"/>
      <c r="H26" s="12"/>
      <c r="I26" s="13">
        <v>1.0</v>
      </c>
      <c r="J26" s="14"/>
      <c r="K26" s="15"/>
      <c r="L26" s="16">
        <v>38000.0</v>
      </c>
      <c r="M26" s="26">
        <f>D9+D16+D23+D30</f>
        <v>248000</v>
      </c>
      <c r="N26" s="50"/>
      <c r="O26" s="13" t="s">
        <v>41</v>
      </c>
      <c r="P26" s="10">
        <v>70000.0</v>
      </c>
      <c r="Q26" s="5"/>
      <c r="R26" s="5"/>
      <c r="S26" s="5"/>
    </row>
    <row r="27">
      <c r="A27" s="8" t="s">
        <v>18</v>
      </c>
      <c r="B27" s="9">
        <v>45499.0</v>
      </c>
      <c r="C27" s="10">
        <v>60000.0</v>
      </c>
      <c r="D27" s="11">
        <v>24000.0</v>
      </c>
      <c r="E27" s="12"/>
      <c r="F27" s="12"/>
      <c r="G27" s="12"/>
      <c r="H27" s="12"/>
      <c r="I27" s="13">
        <v>1.0</v>
      </c>
      <c r="J27" s="14"/>
      <c r="K27" s="15"/>
      <c r="L27" s="16">
        <v>60000.0</v>
      </c>
      <c r="M27" s="33"/>
      <c r="N27" s="50"/>
      <c r="O27" s="13" t="s">
        <v>42</v>
      </c>
      <c r="P27" s="10">
        <v>5000.0</v>
      </c>
      <c r="Q27" s="5"/>
      <c r="R27" s="5"/>
      <c r="S27" s="5"/>
    </row>
    <row r="28">
      <c r="A28" s="8" t="s">
        <v>21</v>
      </c>
      <c r="B28" s="9">
        <v>45500.0</v>
      </c>
      <c r="C28" s="10">
        <v>70000.0</v>
      </c>
      <c r="D28" s="11">
        <v>73000.0</v>
      </c>
      <c r="E28" s="12"/>
      <c r="F28" s="12"/>
      <c r="G28" s="12"/>
      <c r="H28" s="12"/>
      <c r="I28" s="13">
        <v>1.0</v>
      </c>
      <c r="J28" s="14"/>
      <c r="K28" s="15"/>
      <c r="L28" s="16">
        <v>70000.0</v>
      </c>
      <c r="M28" s="24" t="s">
        <v>27</v>
      </c>
      <c r="N28" s="50"/>
      <c r="O28" s="13" t="s">
        <v>43</v>
      </c>
      <c r="P28" s="10">
        <v>10000.0</v>
      </c>
      <c r="Q28" s="5"/>
      <c r="R28" s="5"/>
      <c r="S28" s="5"/>
    </row>
    <row r="29">
      <c r="A29" s="8" t="s">
        <v>22</v>
      </c>
      <c r="B29" s="9">
        <v>45501.0</v>
      </c>
      <c r="C29" s="10">
        <v>38000.0</v>
      </c>
      <c r="D29" s="11">
        <v>35000.0</v>
      </c>
      <c r="E29" s="12"/>
      <c r="F29" s="12"/>
      <c r="G29" s="12"/>
      <c r="H29" s="12"/>
      <c r="I29" s="13">
        <v>1.0</v>
      </c>
      <c r="J29" s="14"/>
      <c r="K29" s="15"/>
      <c r="L29" s="27">
        <v>38000.0</v>
      </c>
      <c r="M29" s="26">
        <v>51000.0</v>
      </c>
      <c r="N29" s="43"/>
      <c r="O29" s="13" t="s">
        <v>44</v>
      </c>
      <c r="P29" s="10">
        <v>85000.0</v>
      </c>
      <c r="Q29" s="5"/>
      <c r="R29" s="5"/>
      <c r="S29" s="5"/>
    </row>
    <row r="30">
      <c r="A30" s="8" t="s">
        <v>24</v>
      </c>
      <c r="B30" s="9">
        <v>45502.0</v>
      </c>
      <c r="C30" s="10">
        <v>60000.0</v>
      </c>
      <c r="D30" s="11">
        <v>34000.0</v>
      </c>
      <c r="E30" s="12"/>
      <c r="F30" s="12"/>
      <c r="G30" s="12"/>
      <c r="H30" s="12"/>
      <c r="I30" s="13">
        <v>1.0</v>
      </c>
      <c r="J30" s="14"/>
      <c r="K30" s="15"/>
      <c r="L30" s="16">
        <v>60000.0</v>
      </c>
      <c r="M30" s="51" t="s">
        <v>45</v>
      </c>
      <c r="N30" s="50"/>
      <c r="O30" s="13" t="s">
        <v>46</v>
      </c>
      <c r="P30" s="10">
        <v>20000.0</v>
      </c>
      <c r="Q30" s="5"/>
      <c r="R30" s="5"/>
      <c r="S30" s="5"/>
    </row>
    <row r="31">
      <c r="A31" s="8" t="s">
        <v>11</v>
      </c>
      <c r="B31" s="9">
        <v>45503.0</v>
      </c>
      <c r="C31" s="10">
        <v>45000.0</v>
      </c>
      <c r="D31" s="11">
        <v>50000.0</v>
      </c>
      <c r="E31" s="12"/>
      <c r="F31" s="12"/>
      <c r="G31" s="12"/>
      <c r="H31" s="12"/>
      <c r="I31" s="13">
        <v>1.0</v>
      </c>
      <c r="J31" s="14"/>
      <c r="K31" s="15"/>
      <c r="L31" s="16">
        <v>45000.0</v>
      </c>
      <c r="M31" s="33"/>
      <c r="N31" s="50"/>
      <c r="O31" s="10" t="s">
        <v>47</v>
      </c>
      <c r="P31" s="10">
        <v>8000.0</v>
      </c>
      <c r="Q31" s="5"/>
      <c r="R31" s="5"/>
      <c r="S31" s="5"/>
    </row>
    <row r="32">
      <c r="A32" s="8" t="s">
        <v>16</v>
      </c>
      <c r="B32" s="9">
        <v>45504.0</v>
      </c>
      <c r="C32" s="10">
        <v>0.0</v>
      </c>
      <c r="D32" s="11">
        <v>55000.0</v>
      </c>
      <c r="E32" s="12"/>
      <c r="F32" s="12"/>
      <c r="G32" s="12"/>
      <c r="H32" s="12"/>
      <c r="I32" s="44"/>
      <c r="J32" s="14"/>
      <c r="K32" s="15"/>
      <c r="L32" s="16">
        <v>0.0</v>
      </c>
      <c r="M32" s="33"/>
      <c r="N32" s="50"/>
      <c r="O32" s="10" t="s">
        <v>48</v>
      </c>
      <c r="P32" s="10">
        <v>4000.0</v>
      </c>
      <c r="Q32" s="5"/>
      <c r="R32" s="5"/>
      <c r="S32" s="5"/>
    </row>
    <row r="33">
      <c r="A33" s="5"/>
      <c r="B33" s="52"/>
      <c r="C33" s="53">
        <f t="shared" ref="C33:D33" si="1">SUM(C2:C32)</f>
        <v>1760000</v>
      </c>
      <c r="D33" s="54">
        <f t="shared" si="1"/>
        <v>2260000</v>
      </c>
      <c r="E33" s="53">
        <f>'Les charges '!E479</f>
        <v>957681</v>
      </c>
      <c r="F33" s="53">
        <f>'Les Salaires'!J32</f>
        <v>432263.5742</v>
      </c>
      <c r="G33" s="53">
        <v>150000.0</v>
      </c>
      <c r="H33" s="53">
        <f>D33-E33-F33-G33</f>
        <v>720055.4258</v>
      </c>
      <c r="I33" s="55">
        <f>SUM(I2:I32)</f>
        <v>30</v>
      </c>
      <c r="J33" s="5"/>
      <c r="K33" s="15"/>
      <c r="L33" s="56">
        <f>SUM(L2:L32)</f>
        <v>1760000</v>
      </c>
      <c r="M33" s="33"/>
      <c r="N33" s="21"/>
      <c r="O33" s="10" t="s">
        <v>49</v>
      </c>
      <c r="P33" s="10">
        <v>45000.0</v>
      </c>
      <c r="Q33" s="5"/>
      <c r="R33" s="5"/>
      <c r="S33" s="5"/>
    </row>
    <row r="34">
      <c r="A34" s="5"/>
      <c r="B34" s="57"/>
      <c r="C34" s="21"/>
      <c r="D34" s="21"/>
      <c r="E34" s="5"/>
      <c r="F34" s="5"/>
      <c r="G34" s="5"/>
      <c r="H34" s="5"/>
      <c r="I34" s="5"/>
      <c r="J34" s="5"/>
      <c r="K34" s="21"/>
      <c r="L34" s="21"/>
      <c r="M34" s="33"/>
      <c r="N34" s="21"/>
      <c r="O34" s="33"/>
      <c r="P34" s="58">
        <f>SUM(P26:P33)</f>
        <v>247000</v>
      </c>
      <c r="Q34" s="5"/>
      <c r="R34" s="5"/>
      <c r="S34" s="5"/>
    </row>
    <row r="35">
      <c r="A35" s="5"/>
      <c r="B35" s="57"/>
      <c r="C35" s="21"/>
      <c r="D35" s="21"/>
      <c r="E35" s="21"/>
      <c r="F35" s="21"/>
      <c r="G35" s="21"/>
      <c r="H35" s="21"/>
      <c r="I35" s="5"/>
      <c r="J35" s="5"/>
      <c r="K35" s="21"/>
      <c r="L35" s="21"/>
      <c r="M35" s="26">
        <f>M11-M29-M34</f>
        <v>872819</v>
      </c>
      <c r="N35" s="5"/>
      <c r="O35" s="21"/>
      <c r="P35" s="21"/>
      <c r="Q35" s="5"/>
      <c r="R35" s="5"/>
      <c r="S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21"/>
      <c r="P36" s="5"/>
      <c r="Q36" s="5"/>
      <c r="R36" s="5"/>
      <c r="S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21"/>
      <c r="P37" s="5"/>
      <c r="Q37" s="5"/>
      <c r="R37" s="5"/>
      <c r="S37" s="5"/>
    </row>
    <row r="38">
      <c r="A38" s="5"/>
      <c r="B38" s="5"/>
      <c r="C38" s="5"/>
      <c r="D38" s="5" t="s">
        <v>50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5"/>
      <c r="B43" s="5"/>
      <c r="C43" s="5"/>
      <c r="D43" s="5"/>
      <c r="E43" s="5"/>
      <c r="F43" s="5"/>
      <c r="G43" s="5"/>
      <c r="H43" s="5"/>
      <c r="I43" s="5"/>
      <c r="O43" s="5"/>
      <c r="P43" s="5"/>
    </row>
    <row r="44">
      <c r="A44" s="5"/>
      <c r="B44" s="5"/>
      <c r="C44" s="5"/>
      <c r="D44" s="5"/>
      <c r="E44" s="5"/>
      <c r="F44" s="5"/>
      <c r="G44" s="5"/>
      <c r="H44" s="5"/>
      <c r="I44" s="5"/>
      <c r="O44" s="5"/>
      <c r="P44" s="5"/>
    </row>
    <row r="45">
      <c r="A45" s="5"/>
      <c r="B45" s="5"/>
      <c r="C45" s="5"/>
      <c r="D45" s="5"/>
      <c r="E45" s="5"/>
      <c r="F45" s="5"/>
      <c r="G45" s="5"/>
      <c r="H45" s="5"/>
      <c r="I4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5.63"/>
    <col customWidth="1" min="3" max="3" width="25.13"/>
    <col customWidth="1" min="4" max="4" width="23.38"/>
    <col customWidth="1" min="5" max="5" width="21.63"/>
    <col customWidth="1" min="6" max="6" width="20.88"/>
    <col customWidth="1" min="7" max="7" width="24.63"/>
    <col customWidth="1" min="8" max="8" width="22.13"/>
    <col customWidth="1" min="9" max="9" width="20.38"/>
    <col customWidth="1" min="10" max="10" width="22.13"/>
    <col customWidth="1" min="11" max="11" width="21.88"/>
    <col customWidth="1" min="12" max="12" width="24.88"/>
    <col customWidth="1" min="13" max="13" width="23.63"/>
    <col customWidth="1" min="14" max="14" width="23.13"/>
    <col customWidth="1" min="15" max="15" width="22.38"/>
    <col customWidth="1" min="16" max="16" width="21.13"/>
    <col customWidth="1" min="17" max="20" width="22.13"/>
    <col customWidth="1" min="21" max="21" width="86.13"/>
  </cols>
  <sheetData>
    <row r="1">
      <c r="A1" s="1"/>
      <c r="B1" s="2" t="s">
        <v>0</v>
      </c>
      <c r="C1" s="59" t="s">
        <v>51</v>
      </c>
      <c r="D1" s="60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  <c r="O1" s="4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4" t="s">
        <v>68</v>
      </c>
      <c r="U1" s="61"/>
      <c r="V1" s="5"/>
    </row>
    <row r="2">
      <c r="A2" s="8" t="s">
        <v>10</v>
      </c>
      <c r="B2" s="9">
        <v>45474.0</v>
      </c>
      <c r="C2" s="62">
        <v>1.0</v>
      </c>
      <c r="D2" s="13">
        <v>1.0</v>
      </c>
      <c r="E2" s="13">
        <v>1.0</v>
      </c>
      <c r="F2" s="13">
        <v>1.0</v>
      </c>
      <c r="G2" s="13">
        <v>1.0</v>
      </c>
      <c r="H2" s="13">
        <v>0.0</v>
      </c>
      <c r="I2" s="13">
        <v>1.0</v>
      </c>
      <c r="J2" s="13">
        <v>1.0</v>
      </c>
      <c r="K2" s="13">
        <v>0.0</v>
      </c>
      <c r="L2" s="13">
        <v>1.0</v>
      </c>
      <c r="M2" s="13">
        <v>1.0</v>
      </c>
      <c r="N2" s="13">
        <v>1.0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2"/>
      <c r="V2" s="14"/>
    </row>
    <row r="3">
      <c r="A3" s="8" t="s">
        <v>11</v>
      </c>
      <c r="B3" s="9">
        <v>45475.0</v>
      </c>
      <c r="C3" s="62">
        <v>1.0</v>
      </c>
      <c r="D3" s="13">
        <v>1.0</v>
      </c>
      <c r="E3" s="13">
        <v>0.0</v>
      </c>
      <c r="F3" s="13">
        <v>0.0</v>
      </c>
      <c r="G3" s="13">
        <v>1.0</v>
      </c>
      <c r="H3" s="13">
        <v>0.0</v>
      </c>
      <c r="I3" s="13">
        <v>1.0</v>
      </c>
      <c r="J3" s="13">
        <v>1.0</v>
      </c>
      <c r="K3" s="13">
        <v>1.0</v>
      </c>
      <c r="L3" s="13">
        <v>0.0</v>
      </c>
      <c r="M3" s="13">
        <v>1.0</v>
      </c>
      <c r="N3" s="13">
        <v>1.0</v>
      </c>
      <c r="O3" s="13">
        <v>1.0</v>
      </c>
      <c r="P3" s="13">
        <v>0.0</v>
      </c>
      <c r="Q3" s="13">
        <v>0.0</v>
      </c>
      <c r="R3" s="13">
        <v>0.0</v>
      </c>
      <c r="S3" s="13">
        <v>0.0</v>
      </c>
      <c r="T3" s="13">
        <v>1.0</v>
      </c>
      <c r="U3" s="12"/>
      <c r="V3" s="14"/>
    </row>
    <row r="4">
      <c r="A4" s="8" t="s">
        <v>16</v>
      </c>
      <c r="B4" s="9">
        <v>45476.0</v>
      </c>
      <c r="C4" s="62">
        <v>1.0</v>
      </c>
      <c r="D4" s="13">
        <v>1.0</v>
      </c>
      <c r="E4" s="13">
        <v>1.0</v>
      </c>
      <c r="F4" s="13">
        <v>0.0</v>
      </c>
      <c r="G4" s="13">
        <v>1.0</v>
      </c>
      <c r="H4" s="13">
        <v>0.0</v>
      </c>
      <c r="I4" s="13">
        <v>1.0</v>
      </c>
      <c r="J4" s="13">
        <v>1.0</v>
      </c>
      <c r="K4" s="13">
        <v>0.0</v>
      </c>
      <c r="L4" s="13">
        <v>1.0</v>
      </c>
      <c r="M4" s="13">
        <v>1.0</v>
      </c>
      <c r="N4" s="13">
        <v>1.0</v>
      </c>
      <c r="O4" s="13">
        <v>1.0</v>
      </c>
      <c r="P4" s="13">
        <v>0.0</v>
      </c>
      <c r="Q4" s="13">
        <v>0.0</v>
      </c>
      <c r="R4" s="13">
        <v>0.0</v>
      </c>
      <c r="S4" s="13">
        <v>0.0</v>
      </c>
      <c r="T4" s="13">
        <v>1.0</v>
      </c>
      <c r="U4" s="63"/>
      <c r="V4" s="14"/>
    </row>
    <row r="5">
      <c r="A5" s="8" t="s">
        <v>17</v>
      </c>
      <c r="B5" s="9">
        <v>45477.0</v>
      </c>
      <c r="C5" s="62">
        <v>1.0</v>
      </c>
      <c r="D5" s="13">
        <v>1.0</v>
      </c>
      <c r="E5" s="13">
        <v>1.0</v>
      </c>
      <c r="F5" s="13">
        <v>0.0</v>
      </c>
      <c r="G5" s="13">
        <v>0.5</v>
      </c>
      <c r="H5" s="13">
        <v>0.0</v>
      </c>
      <c r="I5" s="13">
        <v>1.0</v>
      </c>
      <c r="J5" s="13">
        <v>2.0</v>
      </c>
      <c r="K5" s="13">
        <v>0.0</v>
      </c>
      <c r="L5" s="13">
        <v>1.0</v>
      </c>
      <c r="M5" s="13">
        <v>1.0</v>
      </c>
      <c r="N5" s="13">
        <v>1.0</v>
      </c>
      <c r="O5" s="13">
        <v>1.0</v>
      </c>
      <c r="P5" s="13">
        <v>0.0</v>
      </c>
      <c r="Q5" s="13">
        <v>0.0</v>
      </c>
      <c r="R5" s="13">
        <v>0.0</v>
      </c>
      <c r="S5" s="13">
        <v>0.0</v>
      </c>
      <c r="T5" s="13">
        <v>2.0</v>
      </c>
      <c r="U5" s="12"/>
      <c r="V5" s="14"/>
    </row>
    <row r="6">
      <c r="A6" s="64" t="s">
        <v>18</v>
      </c>
      <c r="B6" s="65">
        <v>45478.0</v>
      </c>
      <c r="C6" s="66">
        <v>0.5</v>
      </c>
      <c r="D6" s="67">
        <v>1.0</v>
      </c>
      <c r="E6" s="67">
        <v>1.0</v>
      </c>
      <c r="F6" s="67">
        <v>0.0</v>
      </c>
      <c r="G6" s="67">
        <v>0.0</v>
      </c>
      <c r="H6" s="67">
        <v>0.0</v>
      </c>
      <c r="I6" s="67">
        <v>0.0</v>
      </c>
      <c r="J6" s="67">
        <v>1.0</v>
      </c>
      <c r="K6" s="67">
        <v>1.0</v>
      </c>
      <c r="L6" s="67">
        <v>0.5</v>
      </c>
      <c r="M6" s="67">
        <v>0.0</v>
      </c>
      <c r="N6" s="67">
        <v>0.0</v>
      </c>
      <c r="O6" s="67">
        <v>1.0</v>
      </c>
      <c r="P6" s="67">
        <v>0.0</v>
      </c>
      <c r="Q6" s="67">
        <v>0.0</v>
      </c>
      <c r="R6" s="67">
        <v>0.0</v>
      </c>
      <c r="S6" s="67">
        <v>0.0</v>
      </c>
      <c r="T6" s="67">
        <v>1.0</v>
      </c>
      <c r="U6" s="68"/>
      <c r="V6" s="14"/>
    </row>
    <row r="7">
      <c r="A7" s="8" t="s">
        <v>21</v>
      </c>
      <c r="B7" s="9">
        <v>45479.0</v>
      </c>
      <c r="C7" s="62">
        <v>1.25</v>
      </c>
      <c r="D7" s="13">
        <v>1.25</v>
      </c>
      <c r="E7" s="13">
        <v>1.25</v>
      </c>
      <c r="F7" s="13">
        <v>1.25</v>
      </c>
      <c r="G7" s="13">
        <v>1.25</v>
      </c>
      <c r="H7" s="13">
        <v>1.0</v>
      </c>
      <c r="I7" s="13">
        <v>1.0</v>
      </c>
      <c r="J7" s="13">
        <v>1.25</v>
      </c>
      <c r="K7" s="13">
        <v>1.0</v>
      </c>
      <c r="L7" s="13">
        <v>1.25</v>
      </c>
      <c r="M7" s="13">
        <v>1.0</v>
      </c>
      <c r="N7" s="13">
        <v>1.25</v>
      </c>
      <c r="O7" s="13">
        <v>1.25</v>
      </c>
      <c r="P7" s="13">
        <v>0.0</v>
      </c>
      <c r="Q7" s="13">
        <v>0.0</v>
      </c>
      <c r="R7" s="13">
        <v>0.0</v>
      </c>
      <c r="S7" s="13">
        <v>0.0</v>
      </c>
      <c r="T7" s="13">
        <v>1.25</v>
      </c>
      <c r="U7" s="12"/>
      <c r="V7" s="14"/>
    </row>
    <row r="8">
      <c r="A8" s="8" t="s">
        <v>22</v>
      </c>
      <c r="B8" s="9">
        <v>45480.0</v>
      </c>
      <c r="C8" s="62">
        <v>1.0</v>
      </c>
      <c r="D8" s="13">
        <v>1.0</v>
      </c>
      <c r="E8" s="13">
        <v>1.0</v>
      </c>
      <c r="F8" s="13">
        <v>1.0</v>
      </c>
      <c r="G8" s="13">
        <v>1.0</v>
      </c>
      <c r="H8" s="13">
        <v>0.0</v>
      </c>
      <c r="I8" s="13">
        <v>1.0</v>
      </c>
      <c r="J8" s="13">
        <v>1.0</v>
      </c>
      <c r="K8" s="13">
        <v>1.0</v>
      </c>
      <c r="L8" s="13">
        <v>1.0</v>
      </c>
      <c r="M8" s="13">
        <v>1.0</v>
      </c>
      <c r="N8" s="13">
        <v>1.0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1.0</v>
      </c>
      <c r="U8" s="12"/>
      <c r="V8" s="14"/>
    </row>
    <row r="9">
      <c r="A9" s="8" t="s">
        <v>24</v>
      </c>
      <c r="B9" s="9">
        <v>45481.0</v>
      </c>
      <c r="C9" s="62">
        <v>1.0</v>
      </c>
      <c r="D9" s="13">
        <v>1.0</v>
      </c>
      <c r="E9" s="13">
        <v>1.0</v>
      </c>
      <c r="F9" s="13">
        <v>1.0</v>
      </c>
      <c r="G9" s="13">
        <v>1.0</v>
      </c>
      <c r="H9" s="13">
        <v>0.0</v>
      </c>
      <c r="I9" s="13">
        <v>1.0</v>
      </c>
      <c r="J9" s="13">
        <v>0.0</v>
      </c>
      <c r="K9" s="13">
        <v>0.0</v>
      </c>
      <c r="L9" s="13">
        <v>1.0</v>
      </c>
      <c r="M9" s="13">
        <v>1.0</v>
      </c>
      <c r="N9" s="13">
        <v>1.0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1.0</v>
      </c>
      <c r="U9" s="12"/>
      <c r="V9" s="14"/>
    </row>
    <row r="10">
      <c r="A10" s="8" t="s">
        <v>11</v>
      </c>
      <c r="B10" s="9">
        <v>45482.0</v>
      </c>
      <c r="C10" s="62">
        <v>1.0</v>
      </c>
      <c r="D10" s="13">
        <v>1.0</v>
      </c>
      <c r="E10" s="13">
        <v>0.0</v>
      </c>
      <c r="F10" s="13">
        <v>1.0</v>
      </c>
      <c r="G10" s="13">
        <v>0.0</v>
      </c>
      <c r="H10" s="13">
        <v>0.0</v>
      </c>
      <c r="I10" s="13">
        <v>1.0</v>
      </c>
      <c r="J10" s="13">
        <v>1.0</v>
      </c>
      <c r="K10" s="13">
        <v>0.0</v>
      </c>
      <c r="L10" s="13">
        <v>0.0</v>
      </c>
      <c r="M10" s="13">
        <v>1.0</v>
      </c>
      <c r="N10" s="13">
        <v>1.0</v>
      </c>
      <c r="O10" s="13">
        <v>1.0</v>
      </c>
      <c r="P10" s="13">
        <v>1.0</v>
      </c>
      <c r="Q10" s="13">
        <v>0.0</v>
      </c>
      <c r="R10" s="13">
        <v>0.0</v>
      </c>
      <c r="S10" s="13">
        <v>0.0</v>
      </c>
      <c r="T10" s="13">
        <v>1.0</v>
      </c>
      <c r="U10" s="12"/>
      <c r="V10" s="14"/>
    </row>
    <row r="11">
      <c r="A11" s="8" t="s">
        <v>16</v>
      </c>
      <c r="B11" s="9">
        <v>45483.0</v>
      </c>
      <c r="C11" s="62">
        <v>1.0</v>
      </c>
      <c r="D11" s="13">
        <v>0.0</v>
      </c>
      <c r="E11" s="13">
        <v>0.0</v>
      </c>
      <c r="F11" s="13">
        <v>1.0</v>
      </c>
      <c r="G11" s="13">
        <v>1.0</v>
      </c>
      <c r="H11" s="13">
        <v>0.0</v>
      </c>
      <c r="I11" s="69">
        <v>0.0</v>
      </c>
      <c r="J11" s="13">
        <v>1.0</v>
      </c>
      <c r="K11" s="13">
        <v>0.0</v>
      </c>
      <c r="L11" s="13">
        <v>1.0</v>
      </c>
      <c r="M11" s="13">
        <v>1.0</v>
      </c>
      <c r="N11" s="13">
        <v>1.0</v>
      </c>
      <c r="O11" s="13">
        <v>1.0</v>
      </c>
      <c r="P11" s="13">
        <v>1.0</v>
      </c>
      <c r="Q11" s="13">
        <v>0.0</v>
      </c>
      <c r="R11" s="13">
        <v>0.0</v>
      </c>
      <c r="S11" s="13">
        <v>0.0</v>
      </c>
      <c r="T11" s="13">
        <v>1.0</v>
      </c>
      <c r="U11" s="44"/>
      <c r="V11" s="14"/>
    </row>
    <row r="12">
      <c r="A12" s="8" t="s">
        <v>17</v>
      </c>
      <c r="B12" s="9">
        <v>45484.0</v>
      </c>
      <c r="C12" s="62">
        <v>1.0</v>
      </c>
      <c r="D12" s="13">
        <v>1.25</v>
      </c>
      <c r="E12" s="13">
        <v>1.0</v>
      </c>
      <c r="F12" s="13">
        <v>1.0</v>
      </c>
      <c r="G12" s="69">
        <v>0.0</v>
      </c>
      <c r="H12" s="13">
        <v>0.0</v>
      </c>
      <c r="I12" s="69">
        <v>0.0</v>
      </c>
      <c r="J12" s="13">
        <v>1.0</v>
      </c>
      <c r="K12" s="13">
        <v>1.0</v>
      </c>
      <c r="L12" s="13">
        <v>1.0</v>
      </c>
      <c r="M12" s="13">
        <v>1.0</v>
      </c>
      <c r="N12" s="13">
        <v>1.0</v>
      </c>
      <c r="O12" s="13">
        <v>1.25</v>
      </c>
      <c r="P12" s="13">
        <v>1.0</v>
      </c>
      <c r="Q12" s="13">
        <v>0.0</v>
      </c>
      <c r="R12" s="13">
        <v>0.0</v>
      </c>
      <c r="S12" s="13">
        <v>0.0</v>
      </c>
      <c r="T12" s="13">
        <v>0.0</v>
      </c>
      <c r="U12" s="12"/>
      <c r="V12" s="14"/>
    </row>
    <row r="13">
      <c r="A13" s="64" t="s">
        <v>18</v>
      </c>
      <c r="B13" s="65">
        <v>45485.0</v>
      </c>
      <c r="C13" s="66">
        <v>2.0</v>
      </c>
      <c r="D13" s="67">
        <v>1.0</v>
      </c>
      <c r="E13" s="67">
        <v>1.0</v>
      </c>
      <c r="F13" s="67">
        <v>0.0</v>
      </c>
      <c r="G13" s="69">
        <v>0.0</v>
      </c>
      <c r="H13" s="67">
        <v>0.0</v>
      </c>
      <c r="I13" s="69">
        <v>0.0</v>
      </c>
      <c r="J13" s="67">
        <v>1.0</v>
      </c>
      <c r="K13" s="67">
        <v>0.0</v>
      </c>
      <c r="L13" s="67">
        <v>1.5</v>
      </c>
      <c r="M13" s="67">
        <v>1.25</v>
      </c>
      <c r="N13" s="67">
        <v>0.0</v>
      </c>
      <c r="O13" s="67">
        <v>1.0</v>
      </c>
      <c r="P13" s="67">
        <v>1.0</v>
      </c>
      <c r="Q13" s="67">
        <v>0.0</v>
      </c>
      <c r="R13" s="67">
        <v>0.0</v>
      </c>
      <c r="S13" s="67">
        <v>0.0</v>
      </c>
      <c r="T13" s="67">
        <v>1.0</v>
      </c>
      <c r="U13" s="68"/>
      <c r="V13" s="14"/>
    </row>
    <row r="14">
      <c r="A14" s="8" t="s">
        <v>21</v>
      </c>
      <c r="B14" s="9">
        <v>45486.0</v>
      </c>
      <c r="C14" s="62">
        <v>2.0</v>
      </c>
      <c r="D14" s="13">
        <v>1.5</v>
      </c>
      <c r="E14" s="13">
        <v>1.0</v>
      </c>
      <c r="F14" s="13">
        <v>2.0</v>
      </c>
      <c r="G14" s="69">
        <v>0.0</v>
      </c>
      <c r="H14" s="13">
        <v>0.5</v>
      </c>
      <c r="I14" s="69">
        <v>0.0</v>
      </c>
      <c r="J14" s="13">
        <v>1.5</v>
      </c>
      <c r="K14" s="13">
        <v>1.25</v>
      </c>
      <c r="L14" s="13">
        <v>2.0</v>
      </c>
      <c r="M14" s="13">
        <v>2.0</v>
      </c>
      <c r="N14" s="13">
        <v>0.0</v>
      </c>
      <c r="O14" s="13">
        <v>1.5</v>
      </c>
      <c r="P14" s="69">
        <v>0.0</v>
      </c>
      <c r="Q14" s="13">
        <v>0.0</v>
      </c>
      <c r="R14" s="13">
        <v>0.0</v>
      </c>
      <c r="S14" s="13">
        <v>0.0</v>
      </c>
      <c r="T14" s="13">
        <v>2.0</v>
      </c>
      <c r="U14" s="70" t="s">
        <v>69</v>
      </c>
      <c r="V14" s="14"/>
    </row>
    <row r="15">
      <c r="A15" s="8" t="s">
        <v>22</v>
      </c>
      <c r="B15" s="9">
        <v>45487.0</v>
      </c>
      <c r="C15" s="62">
        <v>1.0</v>
      </c>
      <c r="D15" s="13">
        <v>1.25</v>
      </c>
      <c r="E15" s="13">
        <v>1.0</v>
      </c>
      <c r="F15" s="13">
        <v>1.0</v>
      </c>
      <c r="G15" s="69">
        <v>0.0</v>
      </c>
      <c r="H15" s="13">
        <v>0.0</v>
      </c>
      <c r="I15" s="69">
        <v>0.0</v>
      </c>
      <c r="J15" s="13">
        <v>1.0</v>
      </c>
      <c r="K15" s="13">
        <v>0.0</v>
      </c>
      <c r="L15" s="13">
        <v>1.0</v>
      </c>
      <c r="M15" s="13">
        <v>0.0</v>
      </c>
      <c r="N15" s="13">
        <v>0.0</v>
      </c>
      <c r="O15" s="13">
        <v>0.75</v>
      </c>
      <c r="P15" s="69">
        <v>0.0</v>
      </c>
      <c r="Q15" s="13">
        <v>1.2</v>
      </c>
      <c r="R15" s="13">
        <v>0.0</v>
      </c>
      <c r="S15" s="13">
        <v>0.0</v>
      </c>
      <c r="T15" s="13">
        <v>1.25</v>
      </c>
      <c r="U15" s="12"/>
      <c r="V15" s="14"/>
    </row>
    <row r="16">
      <c r="A16" s="8" t="s">
        <v>24</v>
      </c>
      <c r="B16" s="9">
        <v>45488.0</v>
      </c>
      <c r="C16" s="71">
        <v>1.15</v>
      </c>
      <c r="D16" s="72">
        <v>1.25</v>
      </c>
      <c r="E16" s="72">
        <v>1.15</v>
      </c>
      <c r="F16" s="72">
        <v>1.0</v>
      </c>
      <c r="G16" s="73">
        <v>0.0</v>
      </c>
      <c r="H16" s="72">
        <v>1.0</v>
      </c>
      <c r="I16" s="69">
        <v>0.0</v>
      </c>
      <c r="J16" s="72">
        <v>1.0</v>
      </c>
      <c r="K16" s="13">
        <v>1.25</v>
      </c>
      <c r="L16" s="13">
        <v>1.0</v>
      </c>
      <c r="M16" s="13">
        <v>1.0</v>
      </c>
      <c r="N16" s="13">
        <v>0.0</v>
      </c>
      <c r="O16" s="13">
        <v>1.25</v>
      </c>
      <c r="P16" s="69">
        <v>0.0</v>
      </c>
      <c r="Q16" s="13">
        <v>1.2</v>
      </c>
      <c r="R16" s="13">
        <v>0.0</v>
      </c>
      <c r="S16" s="13">
        <v>0.0</v>
      </c>
      <c r="T16" s="13">
        <v>1.25</v>
      </c>
      <c r="U16" s="12"/>
      <c r="V16" s="14"/>
    </row>
    <row r="17">
      <c r="A17" s="8" t="s">
        <v>11</v>
      </c>
      <c r="B17" s="9">
        <v>45489.0</v>
      </c>
      <c r="C17" s="62">
        <v>1.0</v>
      </c>
      <c r="D17" s="13">
        <v>1.1</v>
      </c>
      <c r="E17" s="13">
        <v>1.0</v>
      </c>
      <c r="F17" s="13">
        <v>1.0</v>
      </c>
      <c r="G17" s="69">
        <v>0.0</v>
      </c>
      <c r="H17" s="13">
        <v>0.0</v>
      </c>
      <c r="I17" s="69">
        <v>0.0</v>
      </c>
      <c r="J17" s="13">
        <v>0.0</v>
      </c>
      <c r="K17" s="13">
        <v>0.0</v>
      </c>
      <c r="L17" s="13">
        <v>1.0</v>
      </c>
      <c r="M17" s="13">
        <v>1.0</v>
      </c>
      <c r="N17" s="13">
        <v>0.0</v>
      </c>
      <c r="O17" s="13">
        <v>1.1</v>
      </c>
      <c r="P17" s="69">
        <v>0.0</v>
      </c>
      <c r="Q17" s="13">
        <v>1.1</v>
      </c>
      <c r="R17" s="13">
        <v>0.0</v>
      </c>
      <c r="S17" s="13">
        <v>0.0</v>
      </c>
      <c r="T17" s="13">
        <v>0.0</v>
      </c>
      <c r="U17" s="74" t="s">
        <v>70</v>
      </c>
      <c r="V17" s="14"/>
    </row>
    <row r="18">
      <c r="A18" s="8" t="s">
        <v>16</v>
      </c>
      <c r="B18" s="9">
        <v>45490.0</v>
      </c>
      <c r="C18" s="62">
        <v>1.0</v>
      </c>
      <c r="D18" s="13">
        <v>1.2</v>
      </c>
      <c r="E18" s="13">
        <v>1.0</v>
      </c>
      <c r="F18" s="13">
        <v>1.0</v>
      </c>
      <c r="G18" s="69">
        <v>0.0</v>
      </c>
      <c r="H18" s="13">
        <v>0.0</v>
      </c>
      <c r="I18" s="69">
        <v>0.0</v>
      </c>
      <c r="J18" s="13">
        <v>1.0</v>
      </c>
      <c r="K18" s="13">
        <v>0.0</v>
      </c>
      <c r="L18" s="13">
        <v>1.0</v>
      </c>
      <c r="M18" s="13">
        <v>1.0</v>
      </c>
      <c r="N18" s="13">
        <v>0.0</v>
      </c>
      <c r="O18" s="13">
        <v>1.0</v>
      </c>
      <c r="P18" s="69">
        <v>0.0</v>
      </c>
      <c r="Q18" s="69">
        <v>0.0</v>
      </c>
      <c r="R18" s="13">
        <v>0.0</v>
      </c>
      <c r="S18" s="13">
        <v>0.0</v>
      </c>
      <c r="T18" s="13">
        <v>0.0</v>
      </c>
      <c r="U18" s="12"/>
      <c r="V18" s="14"/>
    </row>
    <row r="19">
      <c r="A19" s="8" t="s">
        <v>17</v>
      </c>
      <c r="B19" s="9">
        <v>45491.0</v>
      </c>
      <c r="C19" s="62">
        <v>1.0</v>
      </c>
      <c r="D19" s="13">
        <v>1.0</v>
      </c>
      <c r="E19" s="13">
        <v>0.0</v>
      </c>
      <c r="F19" s="13">
        <v>1.0</v>
      </c>
      <c r="G19" s="69">
        <v>0.0</v>
      </c>
      <c r="H19" s="13">
        <v>0.0</v>
      </c>
      <c r="I19" s="69">
        <v>0.0</v>
      </c>
      <c r="J19" s="13">
        <v>1.0</v>
      </c>
      <c r="K19" s="13">
        <v>1.0</v>
      </c>
      <c r="L19" s="13">
        <v>1.0</v>
      </c>
      <c r="M19" s="13">
        <v>1.0</v>
      </c>
      <c r="N19" s="13">
        <v>0.0</v>
      </c>
      <c r="O19" s="13">
        <v>1.1</v>
      </c>
      <c r="P19" s="69">
        <v>0.0</v>
      </c>
      <c r="Q19" s="69">
        <v>0.0</v>
      </c>
      <c r="R19" s="13">
        <v>0.0</v>
      </c>
      <c r="S19" s="13">
        <v>0.0</v>
      </c>
      <c r="T19" s="13">
        <v>0.0</v>
      </c>
      <c r="U19" s="12"/>
      <c r="V19" s="14"/>
    </row>
    <row r="20">
      <c r="A20" s="64" t="s">
        <v>18</v>
      </c>
      <c r="B20" s="65">
        <v>45492.0</v>
      </c>
      <c r="C20" s="66">
        <v>0.0</v>
      </c>
      <c r="D20" s="67">
        <v>2.0</v>
      </c>
      <c r="E20" s="67">
        <v>1.0</v>
      </c>
      <c r="F20" s="67">
        <v>0.0</v>
      </c>
      <c r="G20" s="69">
        <v>0.0</v>
      </c>
      <c r="H20" s="67">
        <v>0.0</v>
      </c>
      <c r="I20" s="69">
        <v>0.0</v>
      </c>
      <c r="J20" s="67">
        <v>1.0</v>
      </c>
      <c r="K20" s="67">
        <v>0.0</v>
      </c>
      <c r="L20" s="67">
        <v>1.0</v>
      </c>
      <c r="M20" s="67">
        <v>0.0</v>
      </c>
      <c r="N20" s="67">
        <v>0.0</v>
      </c>
      <c r="O20" s="67">
        <v>0.0</v>
      </c>
      <c r="P20" s="69">
        <v>0.0</v>
      </c>
      <c r="Q20" s="69">
        <v>0.0</v>
      </c>
      <c r="R20" s="67">
        <v>0.0</v>
      </c>
      <c r="S20" s="67">
        <v>0.0</v>
      </c>
      <c r="T20" s="67">
        <v>0.0</v>
      </c>
      <c r="U20" s="75"/>
      <c r="V20" s="14"/>
    </row>
    <row r="21">
      <c r="A21" s="8" t="s">
        <v>21</v>
      </c>
      <c r="B21" s="9">
        <v>45493.0</v>
      </c>
      <c r="C21" s="62">
        <v>0.0</v>
      </c>
      <c r="D21" s="13">
        <v>1.25</v>
      </c>
      <c r="E21" s="13">
        <v>1.0</v>
      </c>
      <c r="F21" s="13">
        <v>1.5</v>
      </c>
      <c r="G21" s="69">
        <v>0.0</v>
      </c>
      <c r="H21" s="13">
        <v>1.5</v>
      </c>
      <c r="I21" s="69">
        <v>0.0</v>
      </c>
      <c r="J21" s="13">
        <v>1.2</v>
      </c>
      <c r="K21" s="13">
        <v>0.0</v>
      </c>
      <c r="L21" s="69">
        <v>0.0</v>
      </c>
      <c r="M21" s="13">
        <v>0.0</v>
      </c>
      <c r="N21" s="13">
        <v>0.0</v>
      </c>
      <c r="O21" s="13">
        <v>1.5</v>
      </c>
      <c r="P21" s="69">
        <v>0.0</v>
      </c>
      <c r="Q21" s="69">
        <v>0.0</v>
      </c>
      <c r="R21" s="13">
        <v>1.5</v>
      </c>
      <c r="S21" s="13">
        <v>0.0</v>
      </c>
      <c r="T21" s="13">
        <v>0.0</v>
      </c>
      <c r="U21" s="12"/>
      <c r="V21" s="14"/>
    </row>
    <row r="22">
      <c r="A22" s="8" t="s">
        <v>22</v>
      </c>
      <c r="B22" s="9">
        <v>45494.0</v>
      </c>
      <c r="C22" s="62">
        <v>0.0</v>
      </c>
      <c r="D22" s="13">
        <v>1.0</v>
      </c>
      <c r="E22" s="13">
        <v>1.0</v>
      </c>
      <c r="F22" s="13">
        <v>1.0</v>
      </c>
      <c r="G22" s="69">
        <v>0.0</v>
      </c>
      <c r="H22" s="13">
        <v>0.75</v>
      </c>
      <c r="I22" s="69">
        <v>0.0</v>
      </c>
      <c r="J22" s="13">
        <v>0.0</v>
      </c>
      <c r="K22" s="13">
        <v>1.0</v>
      </c>
      <c r="L22" s="69">
        <v>0.0</v>
      </c>
      <c r="M22" s="13">
        <v>1.0</v>
      </c>
      <c r="N22" s="13">
        <v>0.0</v>
      </c>
      <c r="O22" s="13">
        <v>1.0</v>
      </c>
      <c r="P22" s="69">
        <v>0.0</v>
      </c>
      <c r="Q22" s="69">
        <v>0.0</v>
      </c>
      <c r="R22" s="13">
        <v>1.0</v>
      </c>
      <c r="S22" s="13">
        <v>0.0</v>
      </c>
      <c r="T22" s="13">
        <v>1.0</v>
      </c>
      <c r="U22" s="12"/>
      <c r="V22" s="14"/>
    </row>
    <row r="23">
      <c r="A23" s="8" t="s">
        <v>24</v>
      </c>
      <c r="B23" s="9">
        <v>45495.0</v>
      </c>
      <c r="C23" s="62">
        <v>0.0</v>
      </c>
      <c r="D23" s="13">
        <v>1.0</v>
      </c>
      <c r="E23" s="13">
        <v>1.0</v>
      </c>
      <c r="F23" s="13">
        <v>1.0</v>
      </c>
      <c r="G23" s="69">
        <v>0.0</v>
      </c>
      <c r="H23" s="13">
        <v>0.0</v>
      </c>
      <c r="I23" s="69">
        <v>0.0</v>
      </c>
      <c r="J23" s="13">
        <v>1.2</v>
      </c>
      <c r="K23" s="13">
        <v>0.0</v>
      </c>
      <c r="L23" s="69">
        <v>0.0</v>
      </c>
      <c r="M23" s="13">
        <v>1.0</v>
      </c>
      <c r="N23" s="13">
        <v>0.0</v>
      </c>
      <c r="O23" s="13">
        <v>0.0</v>
      </c>
      <c r="P23" s="69">
        <v>0.0</v>
      </c>
      <c r="Q23" s="69">
        <v>0.0</v>
      </c>
      <c r="R23" s="13">
        <v>1.0</v>
      </c>
      <c r="S23" s="13">
        <v>1.0</v>
      </c>
      <c r="T23" s="13">
        <v>1.0</v>
      </c>
      <c r="U23" s="12"/>
      <c r="V23" s="14"/>
    </row>
    <row r="24">
      <c r="A24" s="8" t="s">
        <v>11</v>
      </c>
      <c r="B24" s="9">
        <v>45496.0</v>
      </c>
      <c r="C24" s="62">
        <v>0.0</v>
      </c>
      <c r="D24" s="13">
        <v>1.0</v>
      </c>
      <c r="E24" s="13">
        <v>0.0</v>
      </c>
      <c r="F24" s="13">
        <v>1.0</v>
      </c>
      <c r="G24" s="69">
        <v>0.0</v>
      </c>
      <c r="H24" s="13">
        <v>0.0</v>
      </c>
      <c r="I24" s="69">
        <v>0.0</v>
      </c>
      <c r="J24" s="13">
        <v>1.2</v>
      </c>
      <c r="K24" s="13">
        <v>1.0</v>
      </c>
      <c r="L24" s="69">
        <v>0.0</v>
      </c>
      <c r="M24" s="13">
        <v>1.0</v>
      </c>
      <c r="N24" s="13">
        <v>0.0</v>
      </c>
      <c r="O24" s="13">
        <v>1.0</v>
      </c>
      <c r="P24" s="69">
        <v>0.0</v>
      </c>
      <c r="Q24" s="69">
        <v>0.0</v>
      </c>
      <c r="R24" s="13">
        <v>1.0</v>
      </c>
      <c r="S24" s="13">
        <v>1.0</v>
      </c>
      <c r="T24" s="13">
        <v>1.0</v>
      </c>
      <c r="U24" s="12"/>
      <c r="V24" s="14"/>
    </row>
    <row r="25">
      <c r="A25" s="8" t="s">
        <v>16</v>
      </c>
      <c r="B25" s="9">
        <v>45497.0</v>
      </c>
      <c r="C25" s="71">
        <v>0.0</v>
      </c>
      <c r="D25" s="72">
        <v>1.0</v>
      </c>
      <c r="E25" s="72">
        <v>1.0</v>
      </c>
      <c r="F25" s="72">
        <v>1.0</v>
      </c>
      <c r="G25" s="73">
        <v>0.0</v>
      </c>
      <c r="H25" s="72">
        <v>0.0</v>
      </c>
      <c r="I25" s="73">
        <v>0.0</v>
      </c>
      <c r="J25" s="72">
        <v>1.0</v>
      </c>
      <c r="K25" s="72">
        <v>0.0</v>
      </c>
      <c r="L25" s="73">
        <v>0.0</v>
      </c>
      <c r="M25" s="72">
        <v>1.0</v>
      </c>
      <c r="N25" s="72">
        <v>0.0</v>
      </c>
      <c r="O25" s="72">
        <v>1.0</v>
      </c>
      <c r="P25" s="73">
        <v>0.0</v>
      </c>
      <c r="Q25" s="73">
        <v>0.0</v>
      </c>
      <c r="R25" s="72">
        <v>1.0</v>
      </c>
      <c r="S25" s="72">
        <v>1.0</v>
      </c>
      <c r="T25" s="72">
        <v>0.0</v>
      </c>
      <c r="U25" s="12"/>
      <c r="V25" s="14"/>
    </row>
    <row r="26">
      <c r="A26" s="8" t="s">
        <v>17</v>
      </c>
      <c r="B26" s="9">
        <v>45498.0</v>
      </c>
      <c r="C26" s="62">
        <v>0.0</v>
      </c>
      <c r="D26" s="13">
        <v>1.5</v>
      </c>
      <c r="E26" s="13">
        <v>1.5</v>
      </c>
      <c r="F26" s="13">
        <v>1.1</v>
      </c>
      <c r="G26" s="69">
        <v>0.0</v>
      </c>
      <c r="H26" s="13">
        <v>0.0</v>
      </c>
      <c r="I26" s="69">
        <v>0.0</v>
      </c>
      <c r="J26" s="13">
        <v>1.1</v>
      </c>
      <c r="K26" s="13">
        <v>0.0</v>
      </c>
      <c r="L26" s="69">
        <v>0.0</v>
      </c>
      <c r="M26" s="13">
        <v>1.0</v>
      </c>
      <c r="N26" s="13">
        <v>0.0</v>
      </c>
      <c r="O26" s="13">
        <v>1.5</v>
      </c>
      <c r="P26" s="69">
        <v>0.0</v>
      </c>
      <c r="Q26" s="69">
        <v>0.0</v>
      </c>
      <c r="R26" s="13">
        <v>1.0</v>
      </c>
      <c r="S26" s="13">
        <v>1.0</v>
      </c>
      <c r="T26" s="13">
        <v>0.0</v>
      </c>
      <c r="U26" s="12"/>
      <c r="V26" s="14"/>
    </row>
    <row r="27">
      <c r="A27" s="64" t="s">
        <v>18</v>
      </c>
      <c r="B27" s="65">
        <v>45499.0</v>
      </c>
      <c r="C27" s="66">
        <v>0.0</v>
      </c>
      <c r="D27" s="67">
        <v>1.0</v>
      </c>
      <c r="E27" s="67">
        <v>1.0</v>
      </c>
      <c r="F27" s="67">
        <v>0.0</v>
      </c>
      <c r="G27" s="69">
        <v>0.0</v>
      </c>
      <c r="H27" s="67">
        <v>0.0</v>
      </c>
      <c r="I27" s="69">
        <v>0.0</v>
      </c>
      <c r="J27" s="67">
        <v>1.0</v>
      </c>
      <c r="K27" s="67">
        <v>0.0</v>
      </c>
      <c r="L27" s="69">
        <v>0.0</v>
      </c>
      <c r="M27" s="67">
        <v>0.0</v>
      </c>
      <c r="N27" s="67">
        <v>0.0</v>
      </c>
      <c r="O27" s="67">
        <v>1.0</v>
      </c>
      <c r="P27" s="69">
        <v>0.0</v>
      </c>
      <c r="Q27" s="69">
        <v>0.0</v>
      </c>
      <c r="R27" s="67">
        <v>0.0</v>
      </c>
      <c r="S27" s="67">
        <v>1.0</v>
      </c>
      <c r="T27" s="67">
        <v>0.0</v>
      </c>
      <c r="U27" s="68"/>
      <c r="V27" s="14"/>
    </row>
    <row r="28">
      <c r="A28" s="8" t="s">
        <v>21</v>
      </c>
      <c r="B28" s="9">
        <v>45500.0</v>
      </c>
      <c r="C28" s="62">
        <v>0.0</v>
      </c>
      <c r="D28" s="76">
        <v>1.0</v>
      </c>
      <c r="E28" s="13">
        <v>1.0</v>
      </c>
      <c r="F28" s="13">
        <v>1.0</v>
      </c>
      <c r="G28" s="69">
        <v>0.0</v>
      </c>
      <c r="H28" s="13">
        <v>0.0</v>
      </c>
      <c r="I28" s="69">
        <v>0.0</v>
      </c>
      <c r="J28" s="13">
        <v>1.0</v>
      </c>
      <c r="K28" s="13">
        <v>0.0</v>
      </c>
      <c r="L28" s="69">
        <v>0.0</v>
      </c>
      <c r="M28" s="13">
        <v>1.0</v>
      </c>
      <c r="N28" s="13">
        <v>0.0</v>
      </c>
      <c r="O28" s="13">
        <v>1.5</v>
      </c>
      <c r="P28" s="69">
        <v>0.0</v>
      </c>
      <c r="Q28" s="69">
        <v>0.0</v>
      </c>
      <c r="R28" s="13">
        <v>1.0</v>
      </c>
      <c r="S28" s="13">
        <v>0.0</v>
      </c>
      <c r="T28" s="13">
        <v>0.0</v>
      </c>
      <c r="U28" s="12"/>
      <c r="V28" s="14"/>
    </row>
    <row r="29">
      <c r="A29" s="8" t="s">
        <v>22</v>
      </c>
      <c r="B29" s="9">
        <v>45501.0</v>
      </c>
      <c r="C29" s="62">
        <v>0.0</v>
      </c>
      <c r="D29" s="76">
        <v>1.0</v>
      </c>
      <c r="E29" s="13">
        <v>1.0</v>
      </c>
      <c r="F29" s="13">
        <v>1.0</v>
      </c>
      <c r="G29" s="69">
        <v>0.0</v>
      </c>
      <c r="H29" s="13">
        <v>1.5</v>
      </c>
      <c r="I29" s="69">
        <v>0.0</v>
      </c>
      <c r="J29" s="13">
        <v>1.2</v>
      </c>
      <c r="K29" s="13">
        <v>1.0</v>
      </c>
      <c r="L29" s="69">
        <v>0.0</v>
      </c>
      <c r="M29" s="13">
        <v>1.0</v>
      </c>
      <c r="N29" s="13">
        <v>0.0</v>
      </c>
      <c r="O29" s="13">
        <v>0.0</v>
      </c>
      <c r="P29" s="69">
        <v>0.0</v>
      </c>
      <c r="Q29" s="69">
        <v>0.0</v>
      </c>
      <c r="R29" s="13">
        <v>1.0</v>
      </c>
      <c r="S29" s="13">
        <v>1.0</v>
      </c>
      <c r="T29" s="13">
        <v>0.0</v>
      </c>
      <c r="U29" s="12"/>
      <c r="V29" s="14"/>
    </row>
    <row r="30">
      <c r="A30" s="8" t="s">
        <v>24</v>
      </c>
      <c r="B30" s="9">
        <v>45502.0</v>
      </c>
      <c r="C30" s="71">
        <v>0.0</v>
      </c>
      <c r="D30" s="76">
        <v>1.0</v>
      </c>
      <c r="E30" s="72">
        <v>1.0</v>
      </c>
      <c r="F30" s="72">
        <v>1.0</v>
      </c>
      <c r="G30" s="73">
        <v>0.0</v>
      </c>
      <c r="H30" s="72">
        <v>1.0</v>
      </c>
      <c r="I30" s="73">
        <v>0.0</v>
      </c>
      <c r="J30" s="72">
        <v>1.0</v>
      </c>
      <c r="K30" s="72">
        <v>0.0</v>
      </c>
      <c r="L30" s="73">
        <v>0.0</v>
      </c>
      <c r="M30" s="72">
        <v>1.0</v>
      </c>
      <c r="N30" s="72">
        <v>0.0</v>
      </c>
      <c r="O30" s="72">
        <v>1.0</v>
      </c>
      <c r="P30" s="73">
        <v>0.0</v>
      </c>
      <c r="Q30" s="73">
        <v>0.0</v>
      </c>
      <c r="R30" s="72">
        <v>1.0</v>
      </c>
      <c r="S30" s="72">
        <v>1.0</v>
      </c>
      <c r="T30" s="72">
        <v>1.2</v>
      </c>
      <c r="U30" s="12"/>
      <c r="V30" s="14"/>
    </row>
    <row r="31">
      <c r="A31" s="8" t="s">
        <v>11</v>
      </c>
      <c r="B31" s="9">
        <v>45503.0</v>
      </c>
      <c r="C31" s="77">
        <v>0.0</v>
      </c>
      <c r="D31" s="76">
        <v>1.0</v>
      </c>
      <c r="E31" s="72">
        <v>0.0</v>
      </c>
      <c r="F31" s="72">
        <v>1.0</v>
      </c>
      <c r="G31" s="73">
        <v>0.0</v>
      </c>
      <c r="H31" s="72">
        <v>1.5</v>
      </c>
      <c r="I31" s="73">
        <v>0.0</v>
      </c>
      <c r="J31" s="72">
        <v>1.0</v>
      </c>
      <c r="K31" s="72">
        <v>0.0</v>
      </c>
      <c r="L31" s="73">
        <v>0.0</v>
      </c>
      <c r="M31" s="72">
        <v>1.0</v>
      </c>
      <c r="N31" s="72">
        <v>0.0</v>
      </c>
      <c r="O31" s="72">
        <v>1.5</v>
      </c>
      <c r="P31" s="73">
        <v>0.0</v>
      </c>
      <c r="Q31" s="73">
        <v>0.0</v>
      </c>
      <c r="R31" s="72">
        <v>1.0</v>
      </c>
      <c r="S31" s="72">
        <v>1.0</v>
      </c>
      <c r="T31" s="72">
        <v>1.0</v>
      </c>
      <c r="U31" s="12"/>
      <c r="V31" s="14"/>
    </row>
    <row r="32">
      <c r="A32" s="8" t="s">
        <v>16</v>
      </c>
      <c r="B32" s="9">
        <v>45504.0</v>
      </c>
      <c r="C32" s="77">
        <v>0.0</v>
      </c>
      <c r="D32" s="76">
        <v>1.0</v>
      </c>
      <c r="E32" s="72">
        <v>1.0</v>
      </c>
      <c r="F32" s="72">
        <v>1.0</v>
      </c>
      <c r="G32" s="73">
        <v>0.0</v>
      </c>
      <c r="H32" s="72">
        <v>1.5</v>
      </c>
      <c r="I32" s="73">
        <v>0.0</v>
      </c>
      <c r="J32" s="72">
        <v>1.0</v>
      </c>
      <c r="K32" s="72">
        <v>1.0</v>
      </c>
      <c r="L32" s="73">
        <v>0.0</v>
      </c>
      <c r="M32" s="72">
        <v>1.2</v>
      </c>
      <c r="N32" s="72">
        <v>0.0</v>
      </c>
      <c r="O32" s="72">
        <v>1.5</v>
      </c>
      <c r="P32" s="73">
        <v>0.0</v>
      </c>
      <c r="Q32" s="73">
        <v>0.0</v>
      </c>
      <c r="R32" s="72">
        <v>1.0</v>
      </c>
      <c r="S32" s="72">
        <v>0.5</v>
      </c>
      <c r="T32" s="72">
        <v>0.0</v>
      </c>
      <c r="U32" s="12"/>
      <c r="V32" s="5"/>
    </row>
    <row r="33">
      <c r="A33" s="5"/>
      <c r="B33" s="5"/>
      <c r="C33" s="78">
        <f t="shared" ref="C33:T33" si="1">SUM(C2:C32)</f>
        <v>19.9</v>
      </c>
      <c r="D33" s="79">
        <f t="shared" si="1"/>
        <v>33.55</v>
      </c>
      <c r="E33" s="79">
        <f t="shared" si="1"/>
        <v>25.9</v>
      </c>
      <c r="F33" s="79">
        <f t="shared" si="1"/>
        <v>25.85</v>
      </c>
      <c r="G33" s="79">
        <f t="shared" si="1"/>
        <v>7.75</v>
      </c>
      <c r="H33" s="79">
        <f t="shared" si="1"/>
        <v>10.25</v>
      </c>
      <c r="I33" s="79">
        <f t="shared" si="1"/>
        <v>8</v>
      </c>
      <c r="J33" s="79">
        <f t="shared" si="1"/>
        <v>30.65</v>
      </c>
      <c r="K33" s="44">
        <f t="shared" si="1"/>
        <v>12.5</v>
      </c>
      <c r="L33" s="80">
        <f t="shared" si="1"/>
        <v>18.25</v>
      </c>
      <c r="M33" s="81">
        <f t="shared" si="1"/>
        <v>27.45</v>
      </c>
      <c r="N33" s="81">
        <f t="shared" si="1"/>
        <v>10.25</v>
      </c>
      <c r="O33" s="81">
        <f t="shared" si="1"/>
        <v>28.7</v>
      </c>
      <c r="P33" s="81">
        <f t="shared" si="1"/>
        <v>4</v>
      </c>
      <c r="Q33" s="81">
        <f t="shared" si="1"/>
        <v>3.5</v>
      </c>
      <c r="R33" s="81">
        <f t="shared" si="1"/>
        <v>11.5</v>
      </c>
      <c r="S33" s="81">
        <f t="shared" si="1"/>
        <v>8.5</v>
      </c>
      <c r="T33" s="81">
        <f t="shared" si="1"/>
        <v>20.95</v>
      </c>
      <c r="U33" s="12"/>
      <c r="V33" s="5"/>
    </row>
    <row r="34">
      <c r="A34" s="5"/>
      <c r="B34" s="5"/>
      <c r="C34" s="82">
        <v>1333.33</v>
      </c>
      <c r="D34" s="83">
        <v>1481.481</v>
      </c>
      <c r="E34" s="83">
        <v>1111.11</v>
      </c>
      <c r="F34" s="83">
        <v>1111.11</v>
      </c>
      <c r="G34" s="84">
        <v>1333.33</v>
      </c>
      <c r="H34" s="85">
        <v>1500.0</v>
      </c>
      <c r="I34" s="84">
        <v>1037.037</v>
      </c>
      <c r="J34" s="84">
        <v>1111.11</v>
      </c>
      <c r="K34" s="26">
        <v>1200.0</v>
      </c>
      <c r="L34" s="86">
        <v>1111.11</v>
      </c>
      <c r="M34" s="86">
        <v>1037.037</v>
      </c>
      <c r="N34" s="86">
        <v>1111.11</v>
      </c>
      <c r="O34" s="86">
        <v>1111.11</v>
      </c>
      <c r="P34" s="86">
        <v>1111.11</v>
      </c>
      <c r="Q34" s="86">
        <v>1000.0</v>
      </c>
      <c r="R34" s="86">
        <v>1111.11</v>
      </c>
      <c r="S34" s="86">
        <v>1111.11</v>
      </c>
      <c r="T34" s="86">
        <v>1111.11</v>
      </c>
      <c r="U34" s="5"/>
      <c r="V34" s="5"/>
    </row>
    <row r="35">
      <c r="A35" s="5"/>
      <c r="B35" s="5"/>
      <c r="C35" s="87">
        <f>C33*C34</f>
        <v>26533.267</v>
      </c>
      <c r="D35" s="87">
        <f t="shared" ref="D35:E35" si="2">D34*D33</f>
        <v>49703.68755</v>
      </c>
      <c r="E35" s="87">
        <f t="shared" si="2"/>
        <v>28777.749</v>
      </c>
      <c r="F35" s="87">
        <f t="shared" ref="F35:I35" si="3">F33*F34</f>
        <v>28722.1935</v>
      </c>
      <c r="G35" s="88">
        <f t="shared" si="3"/>
        <v>10333.3075</v>
      </c>
      <c r="H35" s="88">
        <f t="shared" si="3"/>
        <v>15375</v>
      </c>
      <c r="I35" s="88">
        <f t="shared" si="3"/>
        <v>8296.296</v>
      </c>
      <c r="J35" s="88">
        <f t="shared" ref="J35:K35" si="4">J34*J33</f>
        <v>34055.5215</v>
      </c>
      <c r="K35" s="56">
        <f t="shared" si="4"/>
        <v>15000</v>
      </c>
      <c r="L35" s="89">
        <f t="shared" ref="L35:P35" si="5">L33*L34</f>
        <v>20277.7575</v>
      </c>
      <c r="M35" s="90">
        <f t="shared" si="5"/>
        <v>28466.66565</v>
      </c>
      <c r="N35" s="91">
        <f t="shared" si="5"/>
        <v>11388.8775</v>
      </c>
      <c r="O35" s="91">
        <f t="shared" si="5"/>
        <v>31888.857</v>
      </c>
      <c r="P35" s="91">
        <f t="shared" si="5"/>
        <v>4444.44</v>
      </c>
      <c r="Q35" s="91">
        <f t="shared" ref="Q35:R35" si="6">Q34*Q33</f>
        <v>3500</v>
      </c>
      <c r="R35" s="91">
        <f t="shared" si="6"/>
        <v>12777.765</v>
      </c>
      <c r="S35" s="91">
        <f t="shared" ref="S35:T35" si="7">S33*S34</f>
        <v>9444.435</v>
      </c>
      <c r="T35" s="91">
        <f t="shared" si="7"/>
        <v>23277.7545</v>
      </c>
      <c r="U35" s="92" t="str">
        <f>SUM(#REF!)</f>
        <v>#REF!</v>
      </c>
      <c r="V35" s="5"/>
    </row>
    <row r="36">
      <c r="A36" s="5"/>
      <c r="B36" s="5"/>
      <c r="C36" s="93">
        <v>36000.0</v>
      </c>
      <c r="D36" s="93">
        <v>40000.0</v>
      </c>
      <c r="E36" s="93">
        <v>30000.0</v>
      </c>
      <c r="F36" s="93">
        <v>30000.0</v>
      </c>
      <c r="G36" s="93">
        <v>36000.0</v>
      </c>
      <c r="H36" s="38"/>
      <c r="I36" s="94">
        <v>28000.0</v>
      </c>
      <c r="J36" s="95">
        <v>30000.0</v>
      </c>
      <c r="K36" s="33"/>
      <c r="L36" s="96">
        <v>30000.0</v>
      </c>
      <c r="M36" s="97">
        <v>28000.0</v>
      </c>
      <c r="N36" s="98">
        <v>30000.0</v>
      </c>
      <c r="O36" s="99">
        <v>30000.0</v>
      </c>
      <c r="P36" s="100">
        <v>30000.0</v>
      </c>
      <c r="Q36" s="100"/>
      <c r="R36" s="100"/>
      <c r="S36" s="100"/>
      <c r="T36" s="100">
        <v>30000.0</v>
      </c>
      <c r="U36" s="5"/>
      <c r="V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4.63"/>
    <col customWidth="1" min="3" max="3" width="26.38"/>
    <col customWidth="1" min="4" max="4" width="26.13"/>
    <col customWidth="1" min="5" max="5" width="25.63"/>
    <col customWidth="1" min="6" max="6" width="29.63"/>
  </cols>
  <sheetData>
    <row r="1">
      <c r="A1" s="5"/>
      <c r="B1" s="5"/>
      <c r="C1" s="5"/>
      <c r="D1" s="5"/>
      <c r="E1" s="5"/>
      <c r="F1" s="5"/>
      <c r="G1" s="5"/>
    </row>
    <row r="2">
      <c r="A2" s="5"/>
      <c r="B2" s="101" t="s">
        <v>71</v>
      </c>
      <c r="C2" s="102" t="s">
        <v>72</v>
      </c>
      <c r="D2" s="102" t="s">
        <v>73</v>
      </c>
      <c r="E2" s="102" t="s">
        <v>74</v>
      </c>
      <c r="F2" s="102" t="s">
        <v>75</v>
      </c>
      <c r="G2" s="5"/>
    </row>
    <row r="3">
      <c r="A3" s="5"/>
      <c r="B3" s="103" t="s">
        <v>76</v>
      </c>
      <c r="C3" s="104">
        <v>27.0</v>
      </c>
      <c r="D3" s="105">
        <v>1000.0</v>
      </c>
      <c r="E3" s="106">
        <f t="shared" ref="E3:E478" si="1">C3*D3</f>
        <v>27000</v>
      </c>
      <c r="F3" s="107"/>
      <c r="G3" s="5"/>
    </row>
    <row r="4">
      <c r="A4" s="5"/>
      <c r="B4" s="8" t="s">
        <v>77</v>
      </c>
      <c r="C4" s="13">
        <v>1.0</v>
      </c>
      <c r="D4" s="16">
        <v>1500.0</v>
      </c>
      <c r="E4" s="16">
        <f t="shared" si="1"/>
        <v>1500</v>
      </c>
      <c r="F4" s="12"/>
      <c r="G4" s="5"/>
    </row>
    <row r="5">
      <c r="A5" s="5"/>
      <c r="B5" s="8" t="s">
        <v>78</v>
      </c>
      <c r="C5" s="108">
        <v>8.0</v>
      </c>
      <c r="D5" s="16">
        <v>1000.0</v>
      </c>
      <c r="E5" s="16">
        <f t="shared" si="1"/>
        <v>8000</v>
      </c>
      <c r="F5" s="12"/>
      <c r="G5" s="5"/>
    </row>
    <row r="6">
      <c r="A6" s="5"/>
      <c r="B6" s="109" t="s">
        <v>79</v>
      </c>
      <c r="C6" s="104">
        <v>3.0</v>
      </c>
      <c r="D6" s="106">
        <v>85.0</v>
      </c>
      <c r="E6" s="106">
        <f t="shared" si="1"/>
        <v>255</v>
      </c>
      <c r="F6" s="12"/>
      <c r="G6" s="5"/>
    </row>
    <row r="7">
      <c r="A7" s="5"/>
      <c r="B7" s="8" t="s">
        <v>80</v>
      </c>
      <c r="C7" s="13">
        <v>2.0</v>
      </c>
      <c r="D7" s="16">
        <v>250.0</v>
      </c>
      <c r="E7" s="16">
        <f t="shared" si="1"/>
        <v>500</v>
      </c>
      <c r="F7" s="12"/>
      <c r="G7" s="5"/>
    </row>
    <row r="8">
      <c r="A8" s="5"/>
      <c r="B8" s="109" t="s">
        <v>81</v>
      </c>
      <c r="C8" s="104">
        <v>4.0</v>
      </c>
      <c r="D8" s="106">
        <v>65.0</v>
      </c>
      <c r="E8" s="106">
        <f t="shared" si="1"/>
        <v>260</v>
      </c>
      <c r="F8" s="12"/>
      <c r="G8" s="5"/>
    </row>
    <row r="9">
      <c r="A9" s="5"/>
      <c r="B9" s="109" t="s">
        <v>82</v>
      </c>
      <c r="C9" s="104">
        <v>24.0</v>
      </c>
      <c r="D9" s="106">
        <v>95.0</v>
      </c>
      <c r="E9" s="106">
        <f t="shared" si="1"/>
        <v>2280</v>
      </c>
      <c r="F9" s="12"/>
      <c r="G9" s="5"/>
    </row>
    <row r="10">
      <c r="A10" s="5"/>
      <c r="B10" s="109" t="s">
        <v>83</v>
      </c>
      <c r="C10" s="104">
        <v>6.0</v>
      </c>
      <c r="D10" s="106">
        <v>780.0</v>
      </c>
      <c r="E10" s="106">
        <f t="shared" si="1"/>
        <v>4680</v>
      </c>
      <c r="F10" s="12"/>
      <c r="G10" s="5"/>
    </row>
    <row r="11">
      <c r="A11" s="5"/>
      <c r="B11" s="8" t="s">
        <v>84</v>
      </c>
      <c r="C11" s="13">
        <v>3.0</v>
      </c>
      <c r="D11" s="16">
        <v>1300.0</v>
      </c>
      <c r="E11" s="16">
        <f t="shared" si="1"/>
        <v>3900</v>
      </c>
      <c r="F11" s="12"/>
      <c r="G11" s="5"/>
    </row>
    <row r="12">
      <c r="A12" s="5"/>
      <c r="B12" s="110" t="s">
        <v>85</v>
      </c>
      <c r="C12" s="111">
        <v>14.0</v>
      </c>
      <c r="D12" s="112">
        <v>115.0</v>
      </c>
      <c r="E12" s="112">
        <f t="shared" si="1"/>
        <v>1610</v>
      </c>
      <c r="F12" s="12"/>
      <c r="G12" s="5"/>
    </row>
    <row r="13">
      <c r="A13" s="5"/>
      <c r="B13" s="8" t="s">
        <v>86</v>
      </c>
      <c r="C13" s="44">
        <v>24.0</v>
      </c>
      <c r="D13" s="16">
        <v>70.0</v>
      </c>
      <c r="E13" s="16">
        <f t="shared" si="1"/>
        <v>1680</v>
      </c>
      <c r="F13" s="12"/>
      <c r="G13" s="5"/>
    </row>
    <row r="14">
      <c r="A14" s="5"/>
      <c r="B14" s="8" t="s">
        <v>87</v>
      </c>
      <c r="C14" s="44">
        <v>24.0</v>
      </c>
      <c r="D14" s="16">
        <v>80.0</v>
      </c>
      <c r="E14" s="16">
        <f t="shared" si="1"/>
        <v>1920</v>
      </c>
      <c r="F14" s="12"/>
      <c r="G14" s="5"/>
    </row>
    <row r="15">
      <c r="A15" s="5"/>
      <c r="B15" s="8" t="s">
        <v>88</v>
      </c>
      <c r="C15" s="44">
        <v>48.0</v>
      </c>
      <c r="D15" s="16">
        <v>46.0</v>
      </c>
      <c r="E15" s="16">
        <f t="shared" si="1"/>
        <v>2208</v>
      </c>
      <c r="F15" s="12"/>
      <c r="G15" s="5"/>
    </row>
    <row r="16">
      <c r="A16" s="5"/>
      <c r="B16" s="8" t="s">
        <v>89</v>
      </c>
      <c r="C16" s="44">
        <v>2.0</v>
      </c>
      <c r="D16" s="16">
        <v>250.0</v>
      </c>
      <c r="E16" s="16">
        <f t="shared" si="1"/>
        <v>500</v>
      </c>
      <c r="F16" s="12"/>
      <c r="G16" s="5"/>
    </row>
    <row r="17">
      <c r="A17" s="5"/>
      <c r="B17" s="8" t="s">
        <v>90</v>
      </c>
      <c r="C17" s="44">
        <v>1.0</v>
      </c>
      <c r="D17" s="16">
        <v>250.0</v>
      </c>
      <c r="E17" s="16">
        <f t="shared" si="1"/>
        <v>250</v>
      </c>
      <c r="F17" s="12"/>
      <c r="G17" s="5"/>
    </row>
    <row r="18">
      <c r="A18" s="5"/>
      <c r="B18" s="8" t="s">
        <v>91</v>
      </c>
      <c r="C18" s="44">
        <v>4.0</v>
      </c>
      <c r="D18" s="16">
        <v>450.0</v>
      </c>
      <c r="E18" s="16">
        <f t="shared" si="1"/>
        <v>1800</v>
      </c>
      <c r="F18" s="12"/>
      <c r="G18" s="5"/>
    </row>
    <row r="19">
      <c r="A19" s="5"/>
      <c r="B19" s="8" t="s">
        <v>92</v>
      </c>
      <c r="C19" s="13">
        <v>12.0</v>
      </c>
      <c r="D19" s="16">
        <v>600.0</v>
      </c>
      <c r="E19" s="16">
        <f t="shared" si="1"/>
        <v>7200</v>
      </c>
      <c r="F19" s="52"/>
      <c r="G19" s="5"/>
    </row>
    <row r="20">
      <c r="A20" s="5"/>
      <c r="B20" s="8" t="s">
        <v>93</v>
      </c>
      <c r="C20" s="13">
        <v>41.0</v>
      </c>
      <c r="D20" s="16">
        <v>190.0</v>
      </c>
      <c r="E20" s="16">
        <f t="shared" si="1"/>
        <v>7790</v>
      </c>
      <c r="F20" s="12"/>
      <c r="G20" s="5"/>
    </row>
    <row r="21">
      <c r="A21" s="5"/>
      <c r="B21" s="8" t="s">
        <v>94</v>
      </c>
      <c r="C21" s="13">
        <v>2.0</v>
      </c>
      <c r="D21" s="16">
        <v>400.0</v>
      </c>
      <c r="E21" s="16">
        <f t="shared" si="1"/>
        <v>800</v>
      </c>
      <c r="F21" s="12"/>
      <c r="G21" s="5"/>
    </row>
    <row r="22">
      <c r="A22" s="5"/>
      <c r="B22" s="8" t="s">
        <v>95</v>
      </c>
      <c r="C22" s="13">
        <v>1.0</v>
      </c>
      <c r="D22" s="16">
        <v>500.0</v>
      </c>
      <c r="E22" s="16">
        <f t="shared" si="1"/>
        <v>500</v>
      </c>
      <c r="F22" s="12"/>
      <c r="G22" s="5"/>
    </row>
    <row r="23">
      <c r="A23" s="5"/>
      <c r="B23" s="8" t="s">
        <v>96</v>
      </c>
      <c r="C23" s="13">
        <v>1.5</v>
      </c>
      <c r="D23" s="16">
        <v>800.0</v>
      </c>
      <c r="E23" s="16">
        <f t="shared" si="1"/>
        <v>1200</v>
      </c>
      <c r="F23" s="12"/>
      <c r="G23" s="5"/>
    </row>
    <row r="24">
      <c r="A24" s="5"/>
      <c r="B24" s="8" t="s">
        <v>97</v>
      </c>
      <c r="C24" s="13">
        <v>30.0</v>
      </c>
      <c r="D24" s="16">
        <v>45.0</v>
      </c>
      <c r="E24" s="16">
        <f t="shared" si="1"/>
        <v>1350</v>
      </c>
      <c r="F24" s="52"/>
      <c r="G24" s="5"/>
    </row>
    <row r="25">
      <c r="A25" s="5"/>
      <c r="B25" s="8" t="s">
        <v>98</v>
      </c>
      <c r="C25" s="13">
        <v>10.0</v>
      </c>
      <c r="D25" s="16">
        <v>190.0</v>
      </c>
      <c r="E25" s="16">
        <f t="shared" si="1"/>
        <v>1900</v>
      </c>
      <c r="F25" s="12"/>
      <c r="G25" s="5"/>
    </row>
    <row r="26">
      <c r="A26" s="5"/>
      <c r="B26" s="8" t="s">
        <v>99</v>
      </c>
      <c r="C26" s="44">
        <v>2.0</v>
      </c>
      <c r="D26" s="16">
        <v>1320.0</v>
      </c>
      <c r="E26" s="16">
        <f t="shared" si="1"/>
        <v>2640</v>
      </c>
      <c r="F26" s="12"/>
      <c r="G26" s="5"/>
    </row>
    <row r="27">
      <c r="A27" s="5"/>
      <c r="B27" s="8" t="s">
        <v>100</v>
      </c>
      <c r="C27" s="44">
        <v>0.5</v>
      </c>
      <c r="D27" s="16">
        <v>400.0</v>
      </c>
      <c r="E27" s="16">
        <f t="shared" si="1"/>
        <v>200</v>
      </c>
      <c r="F27" s="12"/>
      <c r="G27" s="5"/>
    </row>
    <row r="28">
      <c r="A28" s="5"/>
      <c r="B28" s="8" t="s">
        <v>101</v>
      </c>
      <c r="C28" s="44">
        <v>0.5</v>
      </c>
      <c r="D28" s="16">
        <v>600.0</v>
      </c>
      <c r="E28" s="16">
        <f t="shared" si="1"/>
        <v>300</v>
      </c>
      <c r="F28" s="107"/>
      <c r="G28" s="5"/>
    </row>
    <row r="29">
      <c r="A29" s="5"/>
      <c r="B29" s="8" t="s">
        <v>102</v>
      </c>
      <c r="C29" s="13">
        <v>8.0</v>
      </c>
      <c r="D29" s="16">
        <v>350.0</v>
      </c>
      <c r="E29" s="16">
        <f t="shared" si="1"/>
        <v>2800</v>
      </c>
      <c r="F29" s="107"/>
      <c r="G29" s="5"/>
    </row>
    <row r="30">
      <c r="A30" s="5"/>
      <c r="B30" s="8" t="s">
        <v>103</v>
      </c>
      <c r="C30" s="13">
        <v>12.0</v>
      </c>
      <c r="D30" s="16">
        <v>1250.0</v>
      </c>
      <c r="E30" s="16">
        <f t="shared" si="1"/>
        <v>15000</v>
      </c>
      <c r="F30" s="12"/>
      <c r="G30" s="5"/>
    </row>
    <row r="31">
      <c r="A31" s="5"/>
      <c r="B31" s="103" t="s">
        <v>104</v>
      </c>
      <c r="C31" s="104">
        <v>13.0</v>
      </c>
      <c r="D31" s="105">
        <v>1650.0</v>
      </c>
      <c r="E31" s="106">
        <f t="shared" si="1"/>
        <v>21450</v>
      </c>
      <c r="F31" s="12"/>
      <c r="G31" s="5"/>
    </row>
    <row r="32">
      <c r="A32" s="5"/>
      <c r="B32" s="8" t="s">
        <v>105</v>
      </c>
      <c r="C32" s="44">
        <v>3.0</v>
      </c>
      <c r="D32" s="16">
        <v>830.0</v>
      </c>
      <c r="E32" s="16">
        <f t="shared" si="1"/>
        <v>2490</v>
      </c>
      <c r="F32" s="12"/>
      <c r="G32" s="5"/>
    </row>
    <row r="33">
      <c r="A33" s="5"/>
      <c r="B33" s="8" t="s">
        <v>106</v>
      </c>
      <c r="C33" s="44">
        <v>1.0</v>
      </c>
      <c r="D33" s="16">
        <v>350.0</v>
      </c>
      <c r="E33" s="16">
        <f t="shared" si="1"/>
        <v>350</v>
      </c>
      <c r="F33" s="12"/>
      <c r="G33" s="5"/>
    </row>
    <row r="34">
      <c r="A34" s="5"/>
      <c r="B34" s="8" t="s">
        <v>107</v>
      </c>
      <c r="C34" s="44">
        <v>1.0</v>
      </c>
      <c r="D34" s="16">
        <v>130.0</v>
      </c>
      <c r="E34" s="16">
        <f t="shared" si="1"/>
        <v>130</v>
      </c>
      <c r="F34" s="12"/>
      <c r="G34" s="5"/>
    </row>
    <row r="35">
      <c r="A35" s="5"/>
      <c r="B35" s="8" t="s">
        <v>108</v>
      </c>
      <c r="C35" s="44">
        <v>1.0</v>
      </c>
      <c r="D35" s="16">
        <v>800.0</v>
      </c>
      <c r="E35" s="16">
        <f t="shared" si="1"/>
        <v>800</v>
      </c>
      <c r="F35" s="12"/>
      <c r="G35" s="5"/>
    </row>
    <row r="36">
      <c r="A36" s="5"/>
      <c r="B36" s="8" t="s">
        <v>109</v>
      </c>
      <c r="C36" s="44">
        <v>1.0</v>
      </c>
      <c r="D36" s="16">
        <v>1400.0</v>
      </c>
      <c r="E36" s="16">
        <f t="shared" si="1"/>
        <v>1400</v>
      </c>
      <c r="F36" s="12"/>
      <c r="G36" s="5"/>
    </row>
    <row r="37">
      <c r="A37" s="5"/>
      <c r="B37" s="8" t="s">
        <v>110</v>
      </c>
      <c r="C37" s="13">
        <v>10.0</v>
      </c>
      <c r="D37" s="16">
        <v>240.0</v>
      </c>
      <c r="E37" s="16">
        <f t="shared" si="1"/>
        <v>2400</v>
      </c>
      <c r="F37" s="12"/>
      <c r="G37" s="5"/>
    </row>
    <row r="38">
      <c r="A38" s="5"/>
      <c r="B38" s="8" t="s">
        <v>111</v>
      </c>
      <c r="C38" s="44">
        <v>100.0</v>
      </c>
      <c r="D38" s="16">
        <v>6.3</v>
      </c>
      <c r="E38" s="16">
        <f t="shared" si="1"/>
        <v>630</v>
      </c>
      <c r="F38" s="12"/>
      <c r="G38" s="5"/>
    </row>
    <row r="39">
      <c r="A39" s="5"/>
      <c r="B39" s="8" t="s">
        <v>112</v>
      </c>
      <c r="C39" s="13">
        <v>0.0</v>
      </c>
      <c r="D39" s="16">
        <v>450.0</v>
      </c>
      <c r="E39" s="16">
        <f t="shared" si="1"/>
        <v>0</v>
      </c>
      <c r="F39" s="12"/>
      <c r="G39" s="5"/>
    </row>
    <row r="40">
      <c r="A40" s="5"/>
      <c r="B40" s="8" t="s">
        <v>113</v>
      </c>
      <c r="C40" s="13">
        <v>9.0</v>
      </c>
      <c r="D40" s="16">
        <v>230.0</v>
      </c>
      <c r="E40" s="16">
        <f t="shared" si="1"/>
        <v>2070</v>
      </c>
      <c r="F40" s="12"/>
      <c r="G40" s="5"/>
    </row>
    <row r="41">
      <c r="A41" s="5"/>
      <c r="B41" s="8" t="s">
        <v>114</v>
      </c>
      <c r="C41" s="13">
        <v>12.0</v>
      </c>
      <c r="D41" s="16">
        <v>230.0</v>
      </c>
      <c r="E41" s="16">
        <f t="shared" si="1"/>
        <v>2760</v>
      </c>
      <c r="F41" s="107"/>
      <c r="G41" s="5"/>
    </row>
    <row r="42">
      <c r="A42" s="5"/>
      <c r="B42" s="8" t="s">
        <v>115</v>
      </c>
      <c r="C42" s="13">
        <v>4.0</v>
      </c>
      <c r="D42" s="16">
        <v>250.0</v>
      </c>
      <c r="E42" s="16">
        <f t="shared" si="1"/>
        <v>1000</v>
      </c>
      <c r="F42" s="12"/>
      <c r="G42" s="5"/>
    </row>
    <row r="43">
      <c r="A43" s="5"/>
      <c r="B43" s="8" t="s">
        <v>116</v>
      </c>
      <c r="C43" s="13">
        <v>9.0</v>
      </c>
      <c r="D43" s="16">
        <v>230.0</v>
      </c>
      <c r="E43" s="16">
        <f t="shared" si="1"/>
        <v>2070</v>
      </c>
      <c r="F43" s="12"/>
      <c r="G43" s="5"/>
    </row>
    <row r="44">
      <c r="A44" s="5"/>
      <c r="B44" s="8" t="s">
        <v>117</v>
      </c>
      <c r="C44" s="13">
        <v>1.5</v>
      </c>
      <c r="D44" s="16">
        <v>2050.0</v>
      </c>
      <c r="E44" s="16">
        <f t="shared" si="1"/>
        <v>3075</v>
      </c>
      <c r="F44" s="12"/>
      <c r="G44" s="5"/>
    </row>
    <row r="45">
      <c r="A45" s="5"/>
      <c r="B45" s="8" t="s">
        <v>118</v>
      </c>
      <c r="C45" s="13">
        <v>18.0</v>
      </c>
      <c r="D45" s="16">
        <v>82.0</v>
      </c>
      <c r="E45" s="16">
        <f t="shared" si="1"/>
        <v>1476</v>
      </c>
      <c r="F45" s="12"/>
      <c r="G45" s="5"/>
    </row>
    <row r="46">
      <c r="A46" s="5"/>
      <c r="B46" s="8" t="s">
        <v>119</v>
      </c>
      <c r="C46" s="13">
        <v>3.0</v>
      </c>
      <c r="D46" s="16">
        <v>260.0</v>
      </c>
      <c r="E46" s="16">
        <f t="shared" si="1"/>
        <v>780</v>
      </c>
      <c r="F46" s="12"/>
      <c r="G46" s="5"/>
    </row>
    <row r="47">
      <c r="A47" s="5"/>
      <c r="B47" s="8" t="s">
        <v>120</v>
      </c>
      <c r="C47" s="44">
        <v>1.0</v>
      </c>
      <c r="D47" s="16">
        <v>550.0</v>
      </c>
      <c r="E47" s="16">
        <f t="shared" si="1"/>
        <v>550</v>
      </c>
      <c r="F47" s="12"/>
      <c r="G47" s="5"/>
    </row>
    <row r="48">
      <c r="A48" s="5"/>
      <c r="B48" s="8" t="s">
        <v>121</v>
      </c>
      <c r="C48" s="44">
        <v>1.0</v>
      </c>
      <c r="D48" s="16">
        <v>880.0</v>
      </c>
      <c r="E48" s="16">
        <f t="shared" si="1"/>
        <v>880</v>
      </c>
      <c r="F48" s="52"/>
      <c r="G48" s="5"/>
    </row>
    <row r="49">
      <c r="A49" s="5"/>
      <c r="B49" s="8" t="s">
        <v>122</v>
      </c>
      <c r="C49" s="13">
        <v>2.0</v>
      </c>
      <c r="D49" s="16">
        <v>970.0</v>
      </c>
      <c r="E49" s="16">
        <f t="shared" si="1"/>
        <v>1940</v>
      </c>
      <c r="F49" s="12"/>
      <c r="G49" s="5"/>
    </row>
    <row r="50">
      <c r="A50" s="5"/>
      <c r="B50" s="8" t="s">
        <v>123</v>
      </c>
      <c r="C50" s="13">
        <v>0.5</v>
      </c>
      <c r="D50" s="10">
        <v>2000.0</v>
      </c>
      <c r="E50" s="16">
        <f t="shared" si="1"/>
        <v>1000</v>
      </c>
      <c r="F50" s="107"/>
      <c r="G50" s="5"/>
    </row>
    <row r="51">
      <c r="A51" s="5"/>
      <c r="B51" s="8" t="s">
        <v>124</v>
      </c>
      <c r="C51" s="44">
        <v>1.0</v>
      </c>
      <c r="D51" s="16">
        <v>1500.0</v>
      </c>
      <c r="E51" s="16">
        <f t="shared" si="1"/>
        <v>1500</v>
      </c>
      <c r="F51" s="52"/>
      <c r="G51" s="5"/>
    </row>
    <row r="52">
      <c r="A52" s="5"/>
      <c r="B52" s="8" t="s">
        <v>125</v>
      </c>
      <c r="C52" s="44">
        <v>1.0</v>
      </c>
      <c r="D52" s="16">
        <v>1100.0</v>
      </c>
      <c r="E52" s="16">
        <f t="shared" si="1"/>
        <v>1100</v>
      </c>
      <c r="F52" s="107"/>
      <c r="G52" s="5"/>
    </row>
    <row r="53">
      <c r="A53" s="5"/>
      <c r="B53" s="62" t="s">
        <v>126</v>
      </c>
      <c r="C53" s="44">
        <v>2.0</v>
      </c>
      <c r="D53" s="16">
        <v>300.0</v>
      </c>
      <c r="E53" s="16">
        <f t="shared" si="1"/>
        <v>600</v>
      </c>
      <c r="F53" s="12"/>
      <c r="G53" s="5"/>
    </row>
    <row r="54">
      <c r="A54" s="5"/>
      <c r="B54" s="8" t="s">
        <v>127</v>
      </c>
      <c r="C54" s="13">
        <v>0.5</v>
      </c>
      <c r="D54" s="16">
        <v>1000.0</v>
      </c>
      <c r="E54" s="16">
        <f t="shared" si="1"/>
        <v>500</v>
      </c>
      <c r="F54" s="12"/>
      <c r="G54" s="5"/>
    </row>
    <row r="55">
      <c r="A55" s="5"/>
      <c r="B55" s="8" t="s">
        <v>128</v>
      </c>
      <c r="C55" s="44">
        <v>1.0</v>
      </c>
      <c r="D55" s="16">
        <v>780.0</v>
      </c>
      <c r="E55" s="16">
        <f t="shared" si="1"/>
        <v>780</v>
      </c>
      <c r="F55" s="12"/>
      <c r="G55" s="5"/>
    </row>
    <row r="56">
      <c r="A56" s="5"/>
      <c r="B56" s="8" t="s">
        <v>129</v>
      </c>
      <c r="C56" s="44">
        <v>1.0</v>
      </c>
      <c r="D56" s="16">
        <v>600.0</v>
      </c>
      <c r="E56" s="16">
        <f t="shared" si="1"/>
        <v>600</v>
      </c>
      <c r="F56" s="12"/>
      <c r="G56" s="5"/>
    </row>
    <row r="57">
      <c r="A57" s="5"/>
      <c r="B57" s="8" t="s">
        <v>130</v>
      </c>
      <c r="C57" s="44">
        <v>1.0</v>
      </c>
      <c r="D57" s="16">
        <v>800.0</v>
      </c>
      <c r="E57" s="16">
        <f t="shared" si="1"/>
        <v>800</v>
      </c>
      <c r="F57" s="12"/>
      <c r="G57" s="5"/>
    </row>
    <row r="58">
      <c r="A58" s="5"/>
      <c r="B58" s="8" t="s">
        <v>131</v>
      </c>
      <c r="C58" s="13">
        <v>72.0</v>
      </c>
      <c r="D58" s="16">
        <v>50.0</v>
      </c>
      <c r="E58" s="16">
        <f t="shared" si="1"/>
        <v>3600</v>
      </c>
      <c r="F58" s="12"/>
      <c r="G58" s="5"/>
    </row>
    <row r="59">
      <c r="A59" s="5"/>
      <c r="B59" s="8" t="s">
        <v>132</v>
      </c>
      <c r="C59" s="13">
        <v>60.0</v>
      </c>
      <c r="D59" s="16">
        <v>42.0</v>
      </c>
      <c r="E59" s="16">
        <f t="shared" si="1"/>
        <v>2520</v>
      </c>
      <c r="F59" s="12"/>
      <c r="G59" s="5"/>
    </row>
    <row r="60">
      <c r="A60" s="5"/>
      <c r="B60" s="109" t="s">
        <v>133</v>
      </c>
      <c r="C60" s="104">
        <v>4.0</v>
      </c>
      <c r="D60" s="106">
        <v>27.0</v>
      </c>
      <c r="E60" s="106">
        <f t="shared" si="1"/>
        <v>108</v>
      </c>
      <c r="F60" s="9"/>
      <c r="G60" s="5"/>
    </row>
    <row r="61">
      <c r="A61" s="5"/>
      <c r="B61" s="109" t="s">
        <v>134</v>
      </c>
      <c r="C61" s="104">
        <v>1.0</v>
      </c>
      <c r="D61" s="106">
        <v>1300.0</v>
      </c>
      <c r="E61" s="106">
        <f t="shared" si="1"/>
        <v>1300</v>
      </c>
      <c r="F61" s="12"/>
      <c r="G61" s="5"/>
    </row>
    <row r="62">
      <c r="A62" s="5"/>
      <c r="B62" s="109" t="s">
        <v>135</v>
      </c>
      <c r="C62" s="113">
        <v>1.0</v>
      </c>
      <c r="D62" s="105">
        <v>2000.0</v>
      </c>
      <c r="E62" s="106">
        <f t="shared" si="1"/>
        <v>2000</v>
      </c>
      <c r="F62" s="12"/>
      <c r="G62" s="5"/>
    </row>
    <row r="63">
      <c r="A63" s="5"/>
      <c r="B63" s="8" t="s">
        <v>136</v>
      </c>
      <c r="C63" s="44">
        <v>5.0</v>
      </c>
      <c r="D63" s="16">
        <v>200.0</v>
      </c>
      <c r="E63" s="16">
        <f t="shared" si="1"/>
        <v>1000</v>
      </c>
      <c r="F63" s="12"/>
      <c r="G63" s="5"/>
    </row>
    <row r="64">
      <c r="A64" s="5"/>
      <c r="B64" s="109" t="s">
        <v>137</v>
      </c>
      <c r="C64" s="113">
        <v>5.0</v>
      </c>
      <c r="D64" s="106">
        <v>350.0</v>
      </c>
      <c r="E64" s="106">
        <f t="shared" si="1"/>
        <v>1750</v>
      </c>
      <c r="F64" s="12"/>
      <c r="G64" s="5"/>
    </row>
    <row r="65">
      <c r="A65" s="5"/>
      <c r="B65" s="109" t="s">
        <v>138</v>
      </c>
      <c r="C65" s="104">
        <v>24.0</v>
      </c>
      <c r="D65" s="106">
        <v>34.0</v>
      </c>
      <c r="E65" s="106">
        <f t="shared" si="1"/>
        <v>816</v>
      </c>
      <c r="F65" s="44"/>
      <c r="G65" s="5"/>
    </row>
    <row r="66">
      <c r="A66" s="5"/>
      <c r="B66" s="8" t="s">
        <v>139</v>
      </c>
      <c r="C66" s="44">
        <v>1.0</v>
      </c>
      <c r="D66" s="16">
        <v>450.0</v>
      </c>
      <c r="E66" s="16">
        <f t="shared" si="1"/>
        <v>450</v>
      </c>
      <c r="F66" s="12"/>
      <c r="G66" s="5"/>
    </row>
    <row r="67">
      <c r="A67" s="5"/>
      <c r="B67" s="109" t="s">
        <v>140</v>
      </c>
      <c r="C67" s="113">
        <v>1.0</v>
      </c>
      <c r="D67" s="106">
        <v>960.0</v>
      </c>
      <c r="E67" s="106">
        <f t="shared" si="1"/>
        <v>960</v>
      </c>
      <c r="F67" s="12"/>
      <c r="G67" s="5"/>
    </row>
    <row r="68">
      <c r="A68" s="5"/>
      <c r="B68" s="109" t="s">
        <v>141</v>
      </c>
      <c r="C68" s="113">
        <v>1.0</v>
      </c>
      <c r="D68" s="106">
        <v>1220.0</v>
      </c>
      <c r="E68" s="106">
        <f t="shared" si="1"/>
        <v>1220</v>
      </c>
      <c r="F68" s="12"/>
      <c r="G68" s="5"/>
    </row>
    <row r="69">
      <c r="A69" s="5"/>
      <c r="B69" s="8" t="s">
        <v>142</v>
      </c>
      <c r="C69" s="44">
        <v>1.0</v>
      </c>
      <c r="D69" s="16">
        <v>1350.0</v>
      </c>
      <c r="E69" s="16">
        <f t="shared" si="1"/>
        <v>1350</v>
      </c>
      <c r="F69" s="52"/>
      <c r="G69" s="5"/>
    </row>
    <row r="70">
      <c r="A70" s="5"/>
      <c r="B70" s="8" t="s">
        <v>143</v>
      </c>
      <c r="C70" s="44">
        <v>5.0</v>
      </c>
      <c r="D70" s="16">
        <v>120.0</v>
      </c>
      <c r="E70" s="16">
        <f t="shared" si="1"/>
        <v>600</v>
      </c>
      <c r="F70" s="12"/>
      <c r="G70" s="5"/>
    </row>
    <row r="71">
      <c r="A71" s="5"/>
      <c r="B71" s="8" t="s">
        <v>144</v>
      </c>
      <c r="C71" s="44">
        <v>1.0</v>
      </c>
      <c r="D71" s="16">
        <v>650.0</v>
      </c>
      <c r="E71" s="16">
        <f t="shared" si="1"/>
        <v>650</v>
      </c>
      <c r="F71" s="12"/>
      <c r="G71" s="5"/>
    </row>
    <row r="72">
      <c r="A72" s="5"/>
      <c r="B72" s="8" t="s">
        <v>145</v>
      </c>
      <c r="C72" s="44">
        <v>1.0</v>
      </c>
      <c r="D72" s="16">
        <v>400.0</v>
      </c>
      <c r="E72" s="16">
        <f t="shared" si="1"/>
        <v>400</v>
      </c>
      <c r="F72" s="9"/>
      <c r="G72" s="5"/>
    </row>
    <row r="73">
      <c r="A73" s="5"/>
      <c r="B73" s="8" t="s">
        <v>146</v>
      </c>
      <c r="C73" s="44">
        <v>1.0</v>
      </c>
      <c r="D73" s="16">
        <v>400.0</v>
      </c>
      <c r="E73" s="16">
        <f t="shared" si="1"/>
        <v>400</v>
      </c>
      <c r="F73" s="12"/>
      <c r="G73" s="5"/>
    </row>
    <row r="74">
      <c r="A74" s="5"/>
      <c r="B74" s="8" t="s">
        <v>147</v>
      </c>
      <c r="C74" s="44">
        <v>5.0</v>
      </c>
      <c r="D74" s="16">
        <v>150.0</v>
      </c>
      <c r="E74" s="16">
        <f t="shared" si="1"/>
        <v>750</v>
      </c>
      <c r="F74" s="12"/>
      <c r="G74" s="5"/>
    </row>
    <row r="75">
      <c r="A75" s="5"/>
      <c r="B75" s="8" t="s">
        <v>148</v>
      </c>
      <c r="C75" s="44">
        <v>1.0</v>
      </c>
      <c r="D75" s="16">
        <v>1100.0</v>
      </c>
      <c r="E75" s="16">
        <f t="shared" si="1"/>
        <v>1100</v>
      </c>
      <c r="F75" s="12"/>
      <c r="G75" s="5"/>
    </row>
    <row r="76">
      <c r="A76" s="5"/>
      <c r="B76" s="8" t="s">
        <v>149</v>
      </c>
      <c r="C76" s="44">
        <v>3.0</v>
      </c>
      <c r="D76" s="10">
        <v>1000.0</v>
      </c>
      <c r="E76" s="16">
        <f t="shared" si="1"/>
        <v>3000</v>
      </c>
      <c r="F76" s="12"/>
      <c r="G76" s="5"/>
    </row>
    <row r="77">
      <c r="A77" s="5"/>
      <c r="B77" s="109" t="s">
        <v>124</v>
      </c>
      <c r="C77" s="113">
        <v>1.0</v>
      </c>
      <c r="D77" s="106">
        <v>1500.0</v>
      </c>
      <c r="E77" s="106">
        <f t="shared" si="1"/>
        <v>1500</v>
      </c>
      <c r="F77" s="9"/>
      <c r="G77" s="5"/>
    </row>
    <row r="78">
      <c r="A78" s="5"/>
      <c r="B78" s="62" t="s">
        <v>150</v>
      </c>
      <c r="C78" s="13">
        <v>1.0</v>
      </c>
      <c r="D78" s="10">
        <v>220.0</v>
      </c>
      <c r="E78" s="106">
        <f t="shared" si="1"/>
        <v>220</v>
      </c>
      <c r="F78" s="114">
        <v>45474.0</v>
      </c>
      <c r="G78" s="5"/>
    </row>
    <row r="79">
      <c r="A79" s="5"/>
      <c r="B79" s="62" t="s">
        <v>151</v>
      </c>
      <c r="C79" s="13">
        <v>3.0</v>
      </c>
      <c r="D79" s="10">
        <v>400.0</v>
      </c>
      <c r="E79" s="106">
        <f t="shared" si="1"/>
        <v>1200</v>
      </c>
      <c r="F79" s="115"/>
      <c r="G79" s="5"/>
    </row>
    <row r="80">
      <c r="A80" s="5"/>
      <c r="B80" s="62" t="s">
        <v>152</v>
      </c>
      <c r="C80" s="13">
        <v>3.0</v>
      </c>
      <c r="D80" s="10">
        <v>150.0</v>
      </c>
      <c r="E80" s="106">
        <f t="shared" si="1"/>
        <v>450</v>
      </c>
      <c r="F80" s="115"/>
      <c r="G80" s="5"/>
    </row>
    <row r="81">
      <c r="A81" s="5"/>
      <c r="B81" s="62" t="s">
        <v>153</v>
      </c>
      <c r="C81" s="13">
        <v>2.0</v>
      </c>
      <c r="D81" s="10">
        <v>100.0</v>
      </c>
      <c r="E81" s="106">
        <f t="shared" si="1"/>
        <v>200</v>
      </c>
      <c r="F81" s="115"/>
      <c r="G81" s="5"/>
    </row>
    <row r="82">
      <c r="A82" s="5"/>
      <c r="B82" s="62" t="s">
        <v>154</v>
      </c>
      <c r="C82" s="13">
        <v>1.0</v>
      </c>
      <c r="D82" s="10">
        <v>80.0</v>
      </c>
      <c r="E82" s="106">
        <f t="shared" si="1"/>
        <v>80</v>
      </c>
      <c r="F82" s="115"/>
      <c r="G82" s="5"/>
    </row>
    <row r="83">
      <c r="A83" s="5"/>
      <c r="B83" s="62" t="s">
        <v>155</v>
      </c>
      <c r="C83" s="13">
        <v>1.0</v>
      </c>
      <c r="D83" s="10">
        <v>450.0</v>
      </c>
      <c r="E83" s="106">
        <f t="shared" si="1"/>
        <v>450</v>
      </c>
      <c r="F83" s="115"/>
      <c r="G83" s="5"/>
    </row>
    <row r="84">
      <c r="A84" s="5"/>
      <c r="B84" s="62" t="s">
        <v>156</v>
      </c>
      <c r="C84" s="13">
        <v>1.0</v>
      </c>
      <c r="D84" s="10">
        <v>80.0</v>
      </c>
      <c r="E84" s="106">
        <f t="shared" si="1"/>
        <v>80</v>
      </c>
      <c r="F84" s="115"/>
      <c r="G84" s="5"/>
    </row>
    <row r="85">
      <c r="A85" s="5"/>
      <c r="B85" s="62" t="s">
        <v>97</v>
      </c>
      <c r="C85" s="13">
        <v>20.0</v>
      </c>
      <c r="D85" s="10">
        <v>40.0</v>
      </c>
      <c r="E85" s="106">
        <f t="shared" si="1"/>
        <v>800</v>
      </c>
      <c r="F85" s="115"/>
      <c r="G85" s="5"/>
    </row>
    <row r="86">
      <c r="A86" s="5"/>
      <c r="B86" s="62" t="s">
        <v>157</v>
      </c>
      <c r="C86" s="13">
        <v>1.0</v>
      </c>
      <c r="D86" s="10">
        <v>450.0</v>
      </c>
      <c r="E86" s="106">
        <f t="shared" si="1"/>
        <v>450</v>
      </c>
      <c r="F86" s="115"/>
      <c r="G86" s="5"/>
    </row>
    <row r="87">
      <c r="A87" s="5"/>
      <c r="B87" s="62" t="s">
        <v>158</v>
      </c>
      <c r="C87" s="13">
        <v>3.0</v>
      </c>
      <c r="D87" s="10">
        <v>400.0</v>
      </c>
      <c r="E87" s="106">
        <f t="shared" si="1"/>
        <v>1200</v>
      </c>
      <c r="F87" s="115"/>
      <c r="G87" s="5"/>
    </row>
    <row r="88">
      <c r="A88" s="5"/>
      <c r="B88" s="62" t="s">
        <v>159</v>
      </c>
      <c r="C88" s="13">
        <v>2.0</v>
      </c>
      <c r="D88" s="10">
        <v>60.0</v>
      </c>
      <c r="E88" s="106">
        <f t="shared" si="1"/>
        <v>120</v>
      </c>
      <c r="F88" s="115"/>
      <c r="G88" s="5"/>
    </row>
    <row r="89">
      <c r="A89" s="5"/>
      <c r="B89" s="62" t="s">
        <v>160</v>
      </c>
      <c r="C89" s="13">
        <v>1.0</v>
      </c>
      <c r="D89" s="10">
        <v>180.0</v>
      </c>
      <c r="E89" s="106">
        <f t="shared" si="1"/>
        <v>180</v>
      </c>
      <c r="F89" s="115"/>
      <c r="G89" s="5"/>
    </row>
    <row r="90">
      <c r="A90" s="5"/>
      <c r="B90" s="62" t="s">
        <v>161</v>
      </c>
      <c r="C90" s="13">
        <v>1.0</v>
      </c>
      <c r="D90" s="10">
        <v>1000.0</v>
      </c>
      <c r="E90" s="106">
        <f t="shared" si="1"/>
        <v>1000</v>
      </c>
      <c r="F90" s="115"/>
      <c r="G90" s="5"/>
    </row>
    <row r="91">
      <c r="A91" s="5"/>
      <c r="B91" s="62" t="s">
        <v>162</v>
      </c>
      <c r="C91" s="13">
        <v>1.0</v>
      </c>
      <c r="D91" s="10">
        <v>3500.0</v>
      </c>
      <c r="E91" s="106">
        <f t="shared" si="1"/>
        <v>3500</v>
      </c>
      <c r="F91" s="115"/>
      <c r="G91" s="5"/>
    </row>
    <row r="92">
      <c r="A92" s="5"/>
      <c r="B92" s="62" t="s">
        <v>97</v>
      </c>
      <c r="C92" s="13">
        <v>90.0</v>
      </c>
      <c r="D92" s="10">
        <v>40.0</v>
      </c>
      <c r="E92" s="106">
        <f t="shared" si="1"/>
        <v>3600</v>
      </c>
      <c r="F92" s="114">
        <v>45475.0</v>
      </c>
      <c r="G92" s="5"/>
    </row>
    <row r="93">
      <c r="A93" s="5"/>
      <c r="B93" s="62" t="s">
        <v>163</v>
      </c>
      <c r="C93" s="13">
        <v>4.0</v>
      </c>
      <c r="D93" s="10">
        <v>50.0</v>
      </c>
      <c r="E93" s="106">
        <f t="shared" si="1"/>
        <v>200</v>
      </c>
      <c r="F93" s="115"/>
      <c r="G93" s="5"/>
    </row>
    <row r="94">
      <c r="A94" s="5"/>
      <c r="B94" s="62" t="s">
        <v>157</v>
      </c>
      <c r="C94" s="13">
        <v>1.0</v>
      </c>
      <c r="D94" s="10">
        <v>500.0</v>
      </c>
      <c r="E94" s="106">
        <f t="shared" si="1"/>
        <v>500</v>
      </c>
      <c r="F94" s="12"/>
      <c r="G94" s="5"/>
    </row>
    <row r="95">
      <c r="A95" s="5"/>
      <c r="B95" s="62" t="s">
        <v>153</v>
      </c>
      <c r="C95" s="13">
        <v>10.0</v>
      </c>
      <c r="D95" s="10">
        <v>100.0</v>
      </c>
      <c r="E95" s="106">
        <f t="shared" si="1"/>
        <v>1000</v>
      </c>
      <c r="F95" s="12"/>
      <c r="G95" s="5"/>
    </row>
    <row r="96">
      <c r="A96" s="5"/>
      <c r="B96" s="62" t="s">
        <v>96</v>
      </c>
      <c r="C96" s="13">
        <v>1.5</v>
      </c>
      <c r="D96" s="10">
        <v>800.0</v>
      </c>
      <c r="E96" s="106">
        <f t="shared" si="1"/>
        <v>1200</v>
      </c>
      <c r="F96" s="12"/>
      <c r="G96" s="5"/>
    </row>
    <row r="97">
      <c r="A97" s="5"/>
      <c r="B97" s="62" t="s">
        <v>95</v>
      </c>
      <c r="C97" s="13">
        <v>4.0</v>
      </c>
      <c r="D97" s="10">
        <v>550.0</v>
      </c>
      <c r="E97" s="106">
        <f t="shared" si="1"/>
        <v>2200</v>
      </c>
      <c r="F97" s="12"/>
      <c r="G97" s="5"/>
    </row>
    <row r="98">
      <c r="A98" s="5"/>
      <c r="B98" s="62" t="s">
        <v>164</v>
      </c>
      <c r="C98" s="13">
        <v>1.0</v>
      </c>
      <c r="D98" s="10">
        <v>1350.0</v>
      </c>
      <c r="E98" s="106">
        <f t="shared" si="1"/>
        <v>1350</v>
      </c>
      <c r="F98" s="12"/>
      <c r="G98" s="5"/>
    </row>
    <row r="99">
      <c r="A99" s="5"/>
      <c r="B99" s="62" t="s">
        <v>165</v>
      </c>
      <c r="C99" s="13">
        <v>2.0</v>
      </c>
      <c r="D99" s="10">
        <v>100.0</v>
      </c>
      <c r="E99" s="106">
        <f t="shared" si="1"/>
        <v>200</v>
      </c>
      <c r="F99" s="12"/>
      <c r="G99" s="5"/>
    </row>
    <row r="100">
      <c r="A100" s="5"/>
      <c r="B100" s="62" t="s">
        <v>166</v>
      </c>
      <c r="C100" s="13">
        <v>1.0</v>
      </c>
      <c r="D100" s="10">
        <v>250.0</v>
      </c>
      <c r="E100" s="106">
        <f t="shared" si="1"/>
        <v>250</v>
      </c>
      <c r="F100" s="12"/>
      <c r="G100" s="5"/>
    </row>
    <row r="101">
      <c r="A101" s="5"/>
      <c r="B101" s="62" t="s">
        <v>167</v>
      </c>
      <c r="C101" s="13">
        <v>1.0</v>
      </c>
      <c r="D101" s="10">
        <v>250.0</v>
      </c>
      <c r="E101" s="106">
        <f t="shared" si="1"/>
        <v>250</v>
      </c>
      <c r="F101" s="12"/>
      <c r="G101" s="5"/>
    </row>
    <row r="102">
      <c r="A102" s="5"/>
      <c r="B102" s="62" t="s">
        <v>152</v>
      </c>
      <c r="C102" s="13">
        <v>14.0</v>
      </c>
      <c r="D102" s="10">
        <v>160.0</v>
      </c>
      <c r="E102" s="106">
        <f t="shared" si="1"/>
        <v>2240</v>
      </c>
      <c r="F102" s="12"/>
      <c r="G102" s="5"/>
    </row>
    <row r="103">
      <c r="A103" s="5"/>
      <c r="B103" s="62" t="s">
        <v>95</v>
      </c>
      <c r="C103" s="13">
        <v>2.0</v>
      </c>
      <c r="D103" s="10">
        <v>550.0</v>
      </c>
      <c r="E103" s="106">
        <f t="shared" si="1"/>
        <v>1100</v>
      </c>
      <c r="F103" s="12"/>
      <c r="G103" s="5"/>
    </row>
    <row r="104">
      <c r="A104" s="5"/>
      <c r="B104" s="62" t="s">
        <v>156</v>
      </c>
      <c r="C104" s="13">
        <v>1.0</v>
      </c>
      <c r="D104" s="10">
        <v>100.0</v>
      </c>
      <c r="E104" s="106">
        <f t="shared" si="1"/>
        <v>100</v>
      </c>
      <c r="F104" s="12"/>
      <c r="G104" s="5"/>
    </row>
    <row r="105">
      <c r="A105" s="5"/>
      <c r="B105" s="62" t="s">
        <v>168</v>
      </c>
      <c r="C105" s="13">
        <v>1.0</v>
      </c>
      <c r="D105" s="10">
        <v>350.0</v>
      </c>
      <c r="E105" s="106">
        <f t="shared" si="1"/>
        <v>350</v>
      </c>
      <c r="F105" s="12"/>
      <c r="G105" s="5"/>
    </row>
    <row r="106">
      <c r="A106" s="5"/>
      <c r="B106" s="62" t="s">
        <v>169</v>
      </c>
      <c r="C106" s="13">
        <v>2.0</v>
      </c>
      <c r="D106" s="10">
        <v>150.0</v>
      </c>
      <c r="E106" s="106">
        <f t="shared" si="1"/>
        <v>300</v>
      </c>
      <c r="F106" s="12"/>
      <c r="G106" s="5"/>
    </row>
    <row r="107">
      <c r="A107" s="5"/>
      <c r="B107" s="62" t="s">
        <v>170</v>
      </c>
      <c r="C107" s="13">
        <v>1.0</v>
      </c>
      <c r="D107" s="10">
        <v>400.0</v>
      </c>
      <c r="E107" s="106">
        <f t="shared" si="1"/>
        <v>400</v>
      </c>
      <c r="F107" s="12"/>
      <c r="G107" s="5"/>
    </row>
    <row r="108">
      <c r="A108" s="5"/>
      <c r="B108" s="62" t="s">
        <v>171</v>
      </c>
      <c r="C108" s="13">
        <v>5.0</v>
      </c>
      <c r="D108" s="10">
        <v>200.0</v>
      </c>
      <c r="E108" s="106">
        <f t="shared" si="1"/>
        <v>1000</v>
      </c>
      <c r="F108" s="12"/>
      <c r="G108" s="5"/>
    </row>
    <row r="109">
      <c r="A109" s="5"/>
      <c r="B109" s="62" t="s">
        <v>91</v>
      </c>
      <c r="C109" s="13">
        <v>2.0</v>
      </c>
      <c r="D109" s="10">
        <v>450.0</v>
      </c>
      <c r="E109" s="106">
        <f t="shared" si="1"/>
        <v>900</v>
      </c>
      <c r="F109" s="12"/>
      <c r="G109" s="5"/>
    </row>
    <row r="110">
      <c r="A110" s="5"/>
      <c r="B110" s="62" t="s">
        <v>89</v>
      </c>
      <c r="C110" s="13">
        <v>7.0</v>
      </c>
      <c r="D110" s="10">
        <v>200.0</v>
      </c>
      <c r="E110" s="106">
        <f t="shared" si="1"/>
        <v>1400</v>
      </c>
      <c r="F110" s="12"/>
      <c r="G110" s="5"/>
    </row>
    <row r="111">
      <c r="A111" s="5"/>
      <c r="B111" s="62" t="s">
        <v>94</v>
      </c>
      <c r="C111" s="13">
        <v>2.0</v>
      </c>
      <c r="D111" s="10">
        <v>400.0</v>
      </c>
      <c r="E111" s="106">
        <f t="shared" si="1"/>
        <v>800</v>
      </c>
      <c r="F111" s="12"/>
      <c r="G111" s="5"/>
    </row>
    <row r="112">
      <c r="A112" s="5"/>
      <c r="B112" s="62" t="s">
        <v>172</v>
      </c>
      <c r="C112" s="13">
        <v>0.25</v>
      </c>
      <c r="D112" s="10">
        <v>2800.0</v>
      </c>
      <c r="E112" s="106">
        <f t="shared" si="1"/>
        <v>700</v>
      </c>
      <c r="F112" s="12"/>
      <c r="G112" s="5"/>
    </row>
    <row r="113">
      <c r="A113" s="5"/>
      <c r="B113" s="62" t="s">
        <v>96</v>
      </c>
      <c r="C113" s="13">
        <v>1.0</v>
      </c>
      <c r="D113" s="10">
        <v>500.0</v>
      </c>
      <c r="E113" s="106">
        <f t="shared" si="1"/>
        <v>500</v>
      </c>
      <c r="F113" s="12"/>
      <c r="G113" s="5"/>
    </row>
    <row r="114">
      <c r="A114" s="5"/>
      <c r="B114" s="62" t="s">
        <v>173</v>
      </c>
      <c r="C114" s="13">
        <v>1.0</v>
      </c>
      <c r="D114" s="10">
        <v>400.0</v>
      </c>
      <c r="E114" s="106">
        <f t="shared" si="1"/>
        <v>400</v>
      </c>
      <c r="F114" s="12"/>
      <c r="G114" s="5"/>
    </row>
    <row r="115">
      <c r="A115" s="5"/>
      <c r="B115" s="62" t="s">
        <v>174</v>
      </c>
      <c r="C115" s="13">
        <v>1.0</v>
      </c>
      <c r="D115" s="10">
        <v>300.0</v>
      </c>
      <c r="E115" s="106">
        <f t="shared" si="1"/>
        <v>300</v>
      </c>
      <c r="F115" s="12"/>
      <c r="G115" s="5"/>
    </row>
    <row r="116">
      <c r="A116" s="5"/>
      <c r="B116" s="62" t="s">
        <v>175</v>
      </c>
      <c r="C116" s="13">
        <v>0.5</v>
      </c>
      <c r="D116" s="10">
        <v>600.0</v>
      </c>
      <c r="E116" s="106">
        <f t="shared" si="1"/>
        <v>300</v>
      </c>
      <c r="F116" s="12"/>
      <c r="G116" s="5"/>
    </row>
    <row r="117">
      <c r="A117" s="5"/>
      <c r="B117" s="62" t="s">
        <v>176</v>
      </c>
      <c r="C117" s="13">
        <v>1.0</v>
      </c>
      <c r="D117" s="10">
        <v>100.0</v>
      </c>
      <c r="E117" s="106">
        <f t="shared" si="1"/>
        <v>100</v>
      </c>
      <c r="F117" s="12"/>
      <c r="G117" s="5"/>
    </row>
    <row r="118">
      <c r="A118" s="5"/>
      <c r="B118" s="62" t="s">
        <v>177</v>
      </c>
      <c r="C118" s="13">
        <v>2.0</v>
      </c>
      <c r="D118" s="10">
        <v>300.0</v>
      </c>
      <c r="E118" s="106">
        <f t="shared" si="1"/>
        <v>600</v>
      </c>
      <c r="F118" s="12"/>
      <c r="G118" s="5"/>
    </row>
    <row r="119">
      <c r="A119" s="5"/>
      <c r="B119" s="62" t="s">
        <v>178</v>
      </c>
      <c r="C119" s="13">
        <v>2.0</v>
      </c>
      <c r="D119" s="10">
        <v>50.0</v>
      </c>
      <c r="E119" s="106">
        <f t="shared" si="1"/>
        <v>100</v>
      </c>
      <c r="F119" s="12"/>
      <c r="G119" s="5"/>
    </row>
    <row r="120">
      <c r="A120" s="5"/>
      <c r="B120" s="62" t="s">
        <v>179</v>
      </c>
      <c r="C120" s="13">
        <v>5.0</v>
      </c>
      <c r="D120" s="10">
        <v>40.0</v>
      </c>
      <c r="E120" s="106">
        <f t="shared" si="1"/>
        <v>200</v>
      </c>
      <c r="F120" s="9"/>
      <c r="G120" s="5"/>
    </row>
    <row r="121">
      <c r="A121" s="5"/>
      <c r="B121" s="62" t="s">
        <v>154</v>
      </c>
      <c r="C121" s="13">
        <v>2.0</v>
      </c>
      <c r="D121" s="10">
        <v>800.0</v>
      </c>
      <c r="E121" s="106">
        <f t="shared" si="1"/>
        <v>1600</v>
      </c>
      <c r="F121" s="12"/>
      <c r="G121" s="5"/>
    </row>
    <row r="122">
      <c r="A122" s="5"/>
      <c r="B122" s="62" t="s">
        <v>180</v>
      </c>
      <c r="C122" s="13">
        <v>70.0</v>
      </c>
      <c r="D122" s="10">
        <v>11.5</v>
      </c>
      <c r="E122" s="106">
        <f t="shared" si="1"/>
        <v>805</v>
      </c>
      <c r="F122" s="12"/>
      <c r="G122" s="5"/>
    </row>
    <row r="123">
      <c r="A123" s="5"/>
      <c r="B123" s="62" t="s">
        <v>151</v>
      </c>
      <c r="C123" s="13">
        <v>3.0</v>
      </c>
      <c r="D123" s="10">
        <v>400.0</v>
      </c>
      <c r="E123" s="106">
        <f t="shared" si="1"/>
        <v>1200</v>
      </c>
      <c r="F123" s="9"/>
      <c r="G123" s="5"/>
    </row>
    <row r="124">
      <c r="A124" s="5"/>
      <c r="B124" s="62" t="s">
        <v>181</v>
      </c>
      <c r="C124" s="13">
        <v>1.0</v>
      </c>
      <c r="D124" s="10">
        <v>220.0</v>
      </c>
      <c r="E124" s="106">
        <f t="shared" si="1"/>
        <v>220</v>
      </c>
      <c r="F124" s="12"/>
      <c r="G124" s="5"/>
    </row>
    <row r="125">
      <c r="A125" s="5"/>
      <c r="B125" s="62" t="s">
        <v>182</v>
      </c>
      <c r="C125" s="13">
        <v>4.0</v>
      </c>
      <c r="D125" s="10">
        <v>30.0</v>
      </c>
      <c r="E125" s="106">
        <f t="shared" si="1"/>
        <v>120</v>
      </c>
      <c r="F125" s="12"/>
      <c r="G125" s="5"/>
    </row>
    <row r="126">
      <c r="A126" s="5"/>
      <c r="B126" s="62" t="s">
        <v>183</v>
      </c>
      <c r="C126" s="13">
        <v>1.0</v>
      </c>
      <c r="D126" s="10">
        <v>280.0</v>
      </c>
      <c r="E126" s="106">
        <f t="shared" si="1"/>
        <v>280</v>
      </c>
      <c r="F126" s="12"/>
      <c r="G126" s="5"/>
    </row>
    <row r="127">
      <c r="A127" s="5"/>
      <c r="B127" s="62" t="s">
        <v>92</v>
      </c>
      <c r="C127" s="13">
        <v>20.0</v>
      </c>
      <c r="D127" s="10">
        <v>600.0</v>
      </c>
      <c r="E127" s="106">
        <f t="shared" si="1"/>
        <v>12000</v>
      </c>
      <c r="F127" s="12"/>
      <c r="G127" s="5"/>
    </row>
    <row r="128">
      <c r="A128" s="5"/>
      <c r="B128" s="62" t="s">
        <v>184</v>
      </c>
      <c r="C128" s="13">
        <v>8.0</v>
      </c>
      <c r="D128" s="10">
        <v>580.0</v>
      </c>
      <c r="E128" s="106">
        <f t="shared" si="1"/>
        <v>4640</v>
      </c>
      <c r="F128" s="12"/>
      <c r="G128" s="5"/>
    </row>
    <row r="129">
      <c r="A129" s="5"/>
      <c r="B129" s="62" t="s">
        <v>93</v>
      </c>
      <c r="C129" s="13">
        <v>16.0</v>
      </c>
      <c r="D129" s="10">
        <v>190.0</v>
      </c>
      <c r="E129" s="106">
        <f t="shared" si="1"/>
        <v>3040</v>
      </c>
      <c r="F129" s="12"/>
      <c r="G129" s="5"/>
    </row>
    <row r="130">
      <c r="A130" s="5"/>
      <c r="B130" s="62" t="s">
        <v>105</v>
      </c>
      <c r="C130" s="13">
        <v>5.0</v>
      </c>
      <c r="D130" s="10">
        <v>680.0</v>
      </c>
      <c r="E130" s="106">
        <f t="shared" si="1"/>
        <v>3400</v>
      </c>
      <c r="F130" s="12"/>
      <c r="G130" s="5"/>
    </row>
    <row r="131">
      <c r="A131" s="5"/>
      <c r="B131" s="62" t="s">
        <v>118</v>
      </c>
      <c r="C131" s="13">
        <v>45.0</v>
      </c>
      <c r="D131" s="10">
        <v>84.0</v>
      </c>
      <c r="E131" s="106">
        <f t="shared" si="1"/>
        <v>3780</v>
      </c>
      <c r="F131" s="116">
        <v>45476.0</v>
      </c>
      <c r="G131" s="5"/>
    </row>
    <row r="132">
      <c r="A132" s="5"/>
      <c r="B132" s="62" t="s">
        <v>117</v>
      </c>
      <c r="C132" s="13">
        <v>4.2</v>
      </c>
      <c r="D132" s="10">
        <v>1800.0</v>
      </c>
      <c r="E132" s="106">
        <f t="shared" si="1"/>
        <v>7560</v>
      </c>
      <c r="F132" s="12"/>
      <c r="G132" s="5"/>
    </row>
    <row r="133">
      <c r="A133" s="5"/>
      <c r="B133" s="62" t="s">
        <v>185</v>
      </c>
      <c r="C133" s="13">
        <v>12.0</v>
      </c>
      <c r="D133" s="10">
        <v>65.0</v>
      </c>
      <c r="E133" s="106">
        <f t="shared" si="1"/>
        <v>780</v>
      </c>
      <c r="F133" s="117"/>
      <c r="G133" s="5"/>
    </row>
    <row r="134">
      <c r="A134" s="5"/>
      <c r="B134" s="62" t="s">
        <v>186</v>
      </c>
      <c r="C134" s="13">
        <v>9.0</v>
      </c>
      <c r="D134" s="10">
        <v>260.0</v>
      </c>
      <c r="E134" s="106">
        <f t="shared" si="1"/>
        <v>2340</v>
      </c>
      <c r="F134" s="12"/>
      <c r="G134" s="5"/>
    </row>
    <row r="135">
      <c r="A135" s="5"/>
      <c r="B135" s="62" t="s">
        <v>158</v>
      </c>
      <c r="C135" s="13">
        <v>12.0</v>
      </c>
      <c r="D135" s="10">
        <v>325.0</v>
      </c>
      <c r="E135" s="106">
        <f t="shared" si="1"/>
        <v>3900</v>
      </c>
      <c r="F135" s="12"/>
      <c r="G135" s="5"/>
    </row>
    <row r="136">
      <c r="A136" s="5"/>
      <c r="B136" s="62" t="s">
        <v>98</v>
      </c>
      <c r="C136" s="13">
        <v>16.0</v>
      </c>
      <c r="D136" s="10">
        <v>210.0</v>
      </c>
      <c r="E136" s="106">
        <f t="shared" si="1"/>
        <v>3360</v>
      </c>
      <c r="F136" s="12"/>
      <c r="G136" s="5"/>
    </row>
    <row r="137">
      <c r="A137" s="5"/>
      <c r="B137" s="62" t="s">
        <v>187</v>
      </c>
      <c r="C137" s="13">
        <v>24.0</v>
      </c>
      <c r="D137" s="10">
        <v>215.0</v>
      </c>
      <c r="E137" s="106">
        <f t="shared" si="1"/>
        <v>5160</v>
      </c>
      <c r="F137" s="12"/>
      <c r="G137" s="5"/>
    </row>
    <row r="138">
      <c r="A138" s="5"/>
      <c r="B138" s="62" t="s">
        <v>188</v>
      </c>
      <c r="C138" s="13">
        <v>14.0</v>
      </c>
      <c r="D138" s="10">
        <v>200.0</v>
      </c>
      <c r="E138" s="106">
        <f t="shared" si="1"/>
        <v>2800</v>
      </c>
      <c r="F138" s="12"/>
      <c r="G138" s="5"/>
    </row>
    <row r="139">
      <c r="A139" s="5"/>
      <c r="B139" s="62" t="s">
        <v>189</v>
      </c>
      <c r="C139" s="13">
        <v>3.0</v>
      </c>
      <c r="D139" s="10">
        <v>370.0</v>
      </c>
      <c r="E139" s="106">
        <f t="shared" si="1"/>
        <v>1110</v>
      </c>
      <c r="F139" s="12"/>
      <c r="G139" s="5"/>
    </row>
    <row r="140">
      <c r="A140" s="5"/>
      <c r="B140" s="62" t="s">
        <v>94</v>
      </c>
      <c r="C140" s="13">
        <v>5.0</v>
      </c>
      <c r="D140" s="10">
        <v>380.0</v>
      </c>
      <c r="E140" s="106">
        <f t="shared" si="1"/>
        <v>1900</v>
      </c>
      <c r="F140" s="12"/>
      <c r="G140" s="5"/>
    </row>
    <row r="141">
      <c r="A141" s="5"/>
      <c r="B141" s="62" t="s">
        <v>182</v>
      </c>
      <c r="C141" s="13">
        <v>32.0</v>
      </c>
      <c r="D141" s="10">
        <v>25.0</v>
      </c>
      <c r="E141" s="106">
        <f t="shared" si="1"/>
        <v>800</v>
      </c>
      <c r="F141" s="12"/>
      <c r="G141" s="5"/>
    </row>
    <row r="142">
      <c r="A142" s="5"/>
      <c r="B142" s="62" t="s">
        <v>124</v>
      </c>
      <c r="C142" s="13">
        <v>1.0</v>
      </c>
      <c r="D142" s="10">
        <v>1100.0</v>
      </c>
      <c r="E142" s="106">
        <f t="shared" si="1"/>
        <v>1100</v>
      </c>
      <c r="F142" s="12"/>
      <c r="G142" s="5"/>
    </row>
    <row r="143">
      <c r="A143" s="5"/>
      <c r="B143" s="62" t="s">
        <v>190</v>
      </c>
      <c r="C143" s="13">
        <v>1.0</v>
      </c>
      <c r="D143" s="10">
        <v>1350.0</v>
      </c>
      <c r="E143" s="106">
        <f t="shared" si="1"/>
        <v>1350</v>
      </c>
      <c r="F143" s="12"/>
      <c r="G143" s="5"/>
    </row>
    <row r="144">
      <c r="A144" s="5"/>
      <c r="B144" s="62" t="s">
        <v>191</v>
      </c>
      <c r="C144" s="13">
        <v>16.0</v>
      </c>
      <c r="D144" s="10">
        <v>225.0</v>
      </c>
      <c r="E144" s="106">
        <f t="shared" si="1"/>
        <v>3600</v>
      </c>
      <c r="F144" s="12"/>
      <c r="G144" s="5"/>
    </row>
    <row r="145">
      <c r="A145" s="5"/>
      <c r="B145" s="62" t="s">
        <v>192</v>
      </c>
      <c r="C145" s="13">
        <v>12.0</v>
      </c>
      <c r="D145" s="10">
        <v>50.0</v>
      </c>
      <c r="E145" s="106">
        <f t="shared" si="1"/>
        <v>600</v>
      </c>
      <c r="F145" s="12"/>
      <c r="G145" s="5"/>
    </row>
    <row r="146">
      <c r="A146" s="5"/>
      <c r="B146" s="62" t="s">
        <v>193</v>
      </c>
      <c r="C146" s="13">
        <v>5.0</v>
      </c>
      <c r="D146" s="10">
        <v>160.0</v>
      </c>
      <c r="E146" s="106">
        <f t="shared" si="1"/>
        <v>800</v>
      </c>
      <c r="F146" s="12"/>
      <c r="G146" s="5"/>
    </row>
    <row r="147">
      <c r="A147" s="5"/>
      <c r="B147" s="62" t="s">
        <v>111</v>
      </c>
      <c r="C147" s="13">
        <v>80.0</v>
      </c>
      <c r="D147" s="10">
        <v>6.3</v>
      </c>
      <c r="E147" s="106">
        <f t="shared" si="1"/>
        <v>504</v>
      </c>
      <c r="F147" s="12"/>
      <c r="G147" s="5"/>
    </row>
    <row r="148">
      <c r="A148" s="5"/>
      <c r="B148" s="62" t="s">
        <v>194</v>
      </c>
      <c r="C148" s="13">
        <v>1.0</v>
      </c>
      <c r="D148" s="10">
        <v>300.0</v>
      </c>
      <c r="E148" s="106">
        <f t="shared" si="1"/>
        <v>300</v>
      </c>
      <c r="F148" s="12"/>
      <c r="G148" s="5"/>
    </row>
    <row r="149">
      <c r="A149" s="5"/>
      <c r="B149" s="62" t="s">
        <v>171</v>
      </c>
      <c r="C149" s="13">
        <v>8.0</v>
      </c>
      <c r="D149" s="10">
        <v>150.0</v>
      </c>
      <c r="E149" s="106">
        <f t="shared" si="1"/>
        <v>1200</v>
      </c>
      <c r="F149" s="12"/>
      <c r="G149" s="5"/>
    </row>
    <row r="150">
      <c r="A150" s="5"/>
      <c r="B150" s="62" t="s">
        <v>195</v>
      </c>
      <c r="C150" s="13">
        <v>15.0</v>
      </c>
      <c r="D150" s="10">
        <v>120.0</v>
      </c>
      <c r="E150" s="106">
        <f t="shared" si="1"/>
        <v>1800</v>
      </c>
      <c r="F150" s="9"/>
      <c r="G150" s="5"/>
    </row>
    <row r="151">
      <c r="A151" s="5"/>
      <c r="B151" s="62" t="s">
        <v>196</v>
      </c>
      <c r="C151" s="13">
        <v>3.0</v>
      </c>
      <c r="D151" s="10">
        <v>120.0</v>
      </c>
      <c r="E151" s="106">
        <f t="shared" si="1"/>
        <v>360</v>
      </c>
      <c r="F151" s="12"/>
      <c r="G151" s="5"/>
    </row>
    <row r="152">
      <c r="A152" s="5"/>
      <c r="B152" s="62" t="s">
        <v>197</v>
      </c>
      <c r="C152" s="13">
        <v>100.0</v>
      </c>
      <c r="D152" s="10">
        <v>12.5</v>
      </c>
      <c r="E152" s="106">
        <f t="shared" si="1"/>
        <v>1250</v>
      </c>
      <c r="F152" s="12"/>
      <c r="G152" s="5"/>
    </row>
    <row r="153">
      <c r="A153" s="5"/>
      <c r="B153" s="62" t="s">
        <v>198</v>
      </c>
      <c r="C153" s="13">
        <v>1.0</v>
      </c>
      <c r="D153" s="10">
        <v>960.0</v>
      </c>
      <c r="E153" s="106">
        <f t="shared" si="1"/>
        <v>960</v>
      </c>
      <c r="F153" s="118">
        <v>45477.0</v>
      </c>
      <c r="G153" s="5"/>
    </row>
    <row r="154">
      <c r="A154" s="5"/>
      <c r="B154" s="62" t="s">
        <v>199</v>
      </c>
      <c r="C154" s="13">
        <v>7.0</v>
      </c>
      <c r="D154" s="10">
        <v>100.0</v>
      </c>
      <c r="E154" s="106">
        <f t="shared" si="1"/>
        <v>700</v>
      </c>
      <c r="F154" s="12"/>
      <c r="G154" s="5"/>
    </row>
    <row r="155">
      <c r="A155" s="5"/>
      <c r="B155" s="62" t="s">
        <v>157</v>
      </c>
      <c r="C155" s="13">
        <v>1.0</v>
      </c>
      <c r="D155" s="10">
        <v>100.0</v>
      </c>
      <c r="E155" s="106">
        <f t="shared" si="1"/>
        <v>100</v>
      </c>
      <c r="F155" s="12"/>
      <c r="G155" s="5"/>
    </row>
    <row r="156">
      <c r="A156" s="5"/>
      <c r="B156" s="62" t="s">
        <v>90</v>
      </c>
      <c r="C156" s="13">
        <v>2.0</v>
      </c>
      <c r="D156" s="10">
        <v>150.0</v>
      </c>
      <c r="E156" s="106">
        <f t="shared" si="1"/>
        <v>300</v>
      </c>
      <c r="F156" s="12"/>
      <c r="G156" s="5"/>
    </row>
    <row r="157">
      <c r="A157" s="5"/>
      <c r="B157" s="62" t="s">
        <v>200</v>
      </c>
      <c r="C157" s="13">
        <v>1.0</v>
      </c>
      <c r="D157" s="10">
        <v>100.0</v>
      </c>
      <c r="E157" s="106">
        <f t="shared" si="1"/>
        <v>100</v>
      </c>
      <c r="F157" s="12"/>
      <c r="G157" s="5"/>
    </row>
    <row r="158">
      <c r="A158" s="5"/>
      <c r="B158" s="62" t="s">
        <v>101</v>
      </c>
      <c r="C158" s="13">
        <v>0.5</v>
      </c>
      <c r="D158" s="10">
        <v>600.0</v>
      </c>
      <c r="E158" s="106">
        <f t="shared" si="1"/>
        <v>300</v>
      </c>
      <c r="F158" s="12"/>
      <c r="G158" s="5"/>
    </row>
    <row r="159">
      <c r="A159" s="5"/>
      <c r="B159" s="62" t="s">
        <v>100</v>
      </c>
      <c r="C159" s="13">
        <v>0.5</v>
      </c>
      <c r="D159" s="10">
        <v>400.0</v>
      </c>
      <c r="E159" s="106">
        <f t="shared" si="1"/>
        <v>200</v>
      </c>
      <c r="F159" s="12"/>
      <c r="G159" s="5"/>
    </row>
    <row r="160">
      <c r="A160" s="5"/>
      <c r="B160" s="62" t="s">
        <v>201</v>
      </c>
      <c r="C160" s="13">
        <v>1.0</v>
      </c>
      <c r="D160" s="10">
        <v>200.0</v>
      </c>
      <c r="E160" s="106">
        <f t="shared" si="1"/>
        <v>200</v>
      </c>
      <c r="F160" s="12"/>
      <c r="G160" s="5"/>
    </row>
    <row r="161">
      <c r="A161" s="5"/>
      <c r="B161" s="62" t="s">
        <v>165</v>
      </c>
      <c r="C161" s="13">
        <v>3.0</v>
      </c>
      <c r="D161" s="10">
        <v>100.0</v>
      </c>
      <c r="E161" s="106">
        <f t="shared" si="1"/>
        <v>300</v>
      </c>
      <c r="F161" s="12"/>
      <c r="G161" s="5"/>
    </row>
    <row r="162">
      <c r="A162" s="5"/>
      <c r="B162" s="62" t="s">
        <v>202</v>
      </c>
      <c r="C162" s="13">
        <v>12.0</v>
      </c>
      <c r="D162" s="10">
        <v>250.0</v>
      </c>
      <c r="E162" s="106">
        <f t="shared" si="1"/>
        <v>3000</v>
      </c>
      <c r="F162" s="12"/>
      <c r="G162" s="5"/>
    </row>
    <row r="163">
      <c r="A163" s="5"/>
      <c r="B163" s="62" t="s">
        <v>203</v>
      </c>
      <c r="C163" s="13">
        <v>4.0</v>
      </c>
      <c r="D163" s="10">
        <v>150.0</v>
      </c>
      <c r="E163" s="106">
        <f t="shared" si="1"/>
        <v>600</v>
      </c>
      <c r="F163" s="12"/>
      <c r="G163" s="5"/>
    </row>
    <row r="164">
      <c r="A164" s="5"/>
      <c r="B164" s="62" t="s">
        <v>153</v>
      </c>
      <c r="C164" s="13">
        <v>20.0</v>
      </c>
      <c r="D164" s="10">
        <v>100.0</v>
      </c>
      <c r="E164" s="106">
        <f t="shared" si="1"/>
        <v>2000</v>
      </c>
      <c r="F164" s="12"/>
      <c r="G164" s="5"/>
    </row>
    <row r="165">
      <c r="A165" s="5"/>
      <c r="B165" s="62" t="s">
        <v>204</v>
      </c>
      <c r="C165" s="13">
        <v>2.0</v>
      </c>
      <c r="D165" s="10">
        <v>400.0</v>
      </c>
      <c r="E165" s="106">
        <f t="shared" si="1"/>
        <v>800</v>
      </c>
      <c r="F165" s="12"/>
      <c r="G165" s="5"/>
    </row>
    <row r="166">
      <c r="A166" s="5"/>
      <c r="B166" s="62" t="s">
        <v>181</v>
      </c>
      <c r="C166" s="13">
        <v>1.0</v>
      </c>
      <c r="D166" s="10">
        <v>220.0</v>
      </c>
      <c r="E166" s="106">
        <f t="shared" si="1"/>
        <v>220</v>
      </c>
      <c r="F166" s="12"/>
      <c r="G166" s="5"/>
    </row>
    <row r="167">
      <c r="A167" s="5"/>
      <c r="B167" s="62" t="s">
        <v>205</v>
      </c>
      <c r="C167" s="13">
        <v>1.5</v>
      </c>
      <c r="D167" s="10">
        <v>750.0</v>
      </c>
      <c r="E167" s="106">
        <f t="shared" si="1"/>
        <v>1125</v>
      </c>
      <c r="F167" s="12"/>
      <c r="G167" s="5"/>
    </row>
    <row r="168">
      <c r="A168" s="5"/>
      <c r="B168" s="62" t="s">
        <v>206</v>
      </c>
      <c r="C168" s="13">
        <v>2.0</v>
      </c>
      <c r="D168" s="10">
        <v>100.0</v>
      </c>
      <c r="E168" s="106">
        <f t="shared" si="1"/>
        <v>200</v>
      </c>
      <c r="F168" s="12"/>
      <c r="G168" s="5"/>
    </row>
    <row r="169">
      <c r="A169" s="5"/>
      <c r="B169" s="62" t="s">
        <v>207</v>
      </c>
      <c r="C169" s="13">
        <v>2.0</v>
      </c>
      <c r="D169" s="10">
        <v>200.0</v>
      </c>
      <c r="E169" s="106">
        <f t="shared" si="1"/>
        <v>400</v>
      </c>
      <c r="F169" s="12"/>
      <c r="G169" s="5"/>
    </row>
    <row r="170">
      <c r="A170" s="5"/>
      <c r="B170" s="62" t="s">
        <v>208</v>
      </c>
      <c r="C170" s="13">
        <v>1.0</v>
      </c>
      <c r="D170" s="10">
        <v>2700.0</v>
      </c>
      <c r="E170" s="106">
        <f t="shared" si="1"/>
        <v>2700</v>
      </c>
      <c r="F170" s="12"/>
      <c r="G170" s="5"/>
    </row>
    <row r="171">
      <c r="A171" s="5"/>
      <c r="B171" s="62" t="s">
        <v>153</v>
      </c>
      <c r="C171" s="13">
        <v>15.0</v>
      </c>
      <c r="D171" s="10">
        <v>100.0</v>
      </c>
      <c r="E171" s="106">
        <f t="shared" si="1"/>
        <v>1500</v>
      </c>
      <c r="F171" s="116">
        <v>45478.0</v>
      </c>
      <c r="G171" s="5"/>
    </row>
    <row r="172">
      <c r="A172" s="5"/>
      <c r="B172" s="62" t="s">
        <v>96</v>
      </c>
      <c r="C172" s="13">
        <v>0.5</v>
      </c>
      <c r="D172" s="10">
        <v>800.0</v>
      </c>
      <c r="E172" s="106">
        <f t="shared" si="1"/>
        <v>400</v>
      </c>
      <c r="F172" s="12"/>
      <c r="G172" s="5"/>
    </row>
    <row r="173">
      <c r="A173" s="5"/>
      <c r="B173" s="62" t="s">
        <v>97</v>
      </c>
      <c r="C173" s="13">
        <v>22.0</v>
      </c>
      <c r="D173" s="10">
        <v>45.0</v>
      </c>
      <c r="E173" s="106">
        <f t="shared" si="1"/>
        <v>990</v>
      </c>
      <c r="F173" s="12"/>
      <c r="G173" s="5"/>
    </row>
    <row r="174">
      <c r="A174" s="5"/>
      <c r="B174" s="62" t="s">
        <v>209</v>
      </c>
      <c r="C174" s="13">
        <v>3.0</v>
      </c>
      <c r="D174" s="10">
        <v>380.0</v>
      </c>
      <c r="E174" s="106">
        <f t="shared" si="1"/>
        <v>1140</v>
      </c>
      <c r="F174" s="12"/>
      <c r="G174" s="5"/>
    </row>
    <row r="175">
      <c r="A175" s="5"/>
      <c r="B175" s="62" t="s">
        <v>210</v>
      </c>
      <c r="C175" s="13">
        <v>1.0</v>
      </c>
      <c r="D175" s="10">
        <v>3000.0</v>
      </c>
      <c r="E175" s="106">
        <f t="shared" si="1"/>
        <v>3000</v>
      </c>
      <c r="F175" s="12"/>
      <c r="G175" s="5"/>
    </row>
    <row r="176">
      <c r="A176" s="5"/>
      <c r="B176" s="62" t="s">
        <v>164</v>
      </c>
      <c r="C176" s="13">
        <v>1.0</v>
      </c>
      <c r="D176" s="10">
        <v>1300.0</v>
      </c>
      <c r="E176" s="106">
        <f t="shared" si="1"/>
        <v>1300</v>
      </c>
      <c r="F176" s="9"/>
      <c r="G176" s="5"/>
    </row>
    <row r="177">
      <c r="A177" s="5"/>
      <c r="B177" s="62" t="s">
        <v>211</v>
      </c>
      <c r="C177" s="13">
        <v>2.0</v>
      </c>
      <c r="D177" s="10">
        <v>450.0</v>
      </c>
      <c r="E177" s="106">
        <f t="shared" si="1"/>
        <v>900</v>
      </c>
      <c r="F177" s="12"/>
      <c r="G177" s="5"/>
    </row>
    <row r="178">
      <c r="A178" s="5"/>
      <c r="B178" s="62" t="s">
        <v>212</v>
      </c>
      <c r="C178" s="13">
        <v>20.0</v>
      </c>
      <c r="D178" s="10">
        <v>35.0</v>
      </c>
      <c r="E178" s="106">
        <f t="shared" si="1"/>
        <v>700</v>
      </c>
      <c r="F178" s="114">
        <v>45479.0</v>
      </c>
      <c r="G178" s="5"/>
    </row>
    <row r="179">
      <c r="A179" s="5"/>
      <c r="B179" s="62" t="s">
        <v>213</v>
      </c>
      <c r="C179" s="13">
        <v>8.0</v>
      </c>
      <c r="D179" s="10">
        <v>100.0</v>
      </c>
      <c r="E179" s="106">
        <f t="shared" si="1"/>
        <v>800</v>
      </c>
      <c r="F179" s="115"/>
      <c r="G179" s="5"/>
    </row>
    <row r="180">
      <c r="A180" s="5"/>
      <c r="B180" s="62" t="s">
        <v>181</v>
      </c>
      <c r="C180" s="13">
        <v>1.0</v>
      </c>
      <c r="D180" s="10">
        <v>220.0</v>
      </c>
      <c r="E180" s="106">
        <f t="shared" si="1"/>
        <v>220</v>
      </c>
      <c r="F180" s="115"/>
      <c r="G180" s="5"/>
    </row>
    <row r="181">
      <c r="A181" s="5"/>
      <c r="B181" s="62" t="s">
        <v>214</v>
      </c>
      <c r="C181" s="13">
        <v>1.0</v>
      </c>
      <c r="D181" s="10">
        <v>1300.0</v>
      </c>
      <c r="E181" s="106">
        <f t="shared" si="1"/>
        <v>1300</v>
      </c>
      <c r="F181" s="115"/>
      <c r="G181" s="5"/>
    </row>
    <row r="182">
      <c r="A182" s="5"/>
      <c r="B182" s="62" t="s">
        <v>215</v>
      </c>
      <c r="C182" s="13">
        <v>1.0</v>
      </c>
      <c r="D182" s="10">
        <v>1100.0</v>
      </c>
      <c r="E182" s="106">
        <f t="shared" si="1"/>
        <v>1100</v>
      </c>
      <c r="F182" s="115"/>
      <c r="G182" s="5"/>
    </row>
    <row r="183">
      <c r="A183" s="5"/>
      <c r="B183" s="62" t="s">
        <v>96</v>
      </c>
      <c r="C183" s="13">
        <v>1.25</v>
      </c>
      <c r="D183" s="10">
        <v>850.0</v>
      </c>
      <c r="E183" s="106">
        <f t="shared" si="1"/>
        <v>1062.5</v>
      </c>
      <c r="F183" s="114">
        <v>45480.0</v>
      </c>
      <c r="G183" s="5"/>
    </row>
    <row r="184">
      <c r="A184" s="5"/>
      <c r="B184" s="62" t="s">
        <v>216</v>
      </c>
      <c r="C184" s="13">
        <v>15.0</v>
      </c>
      <c r="D184" s="10">
        <v>200.0</v>
      </c>
      <c r="E184" s="106">
        <f t="shared" si="1"/>
        <v>3000</v>
      </c>
      <c r="F184" s="115"/>
      <c r="G184" s="5"/>
    </row>
    <row r="185">
      <c r="A185" s="5"/>
      <c r="B185" s="62" t="s">
        <v>96</v>
      </c>
      <c r="C185" s="13">
        <v>2.0</v>
      </c>
      <c r="D185" s="10">
        <v>550.0</v>
      </c>
      <c r="E185" s="106">
        <f t="shared" si="1"/>
        <v>1100</v>
      </c>
      <c r="F185" s="115"/>
      <c r="G185" s="5"/>
    </row>
    <row r="186">
      <c r="A186" s="5"/>
      <c r="B186" s="62" t="s">
        <v>153</v>
      </c>
      <c r="C186" s="13">
        <v>10.0</v>
      </c>
      <c r="D186" s="10">
        <v>120.0</v>
      </c>
      <c r="E186" s="106">
        <f t="shared" si="1"/>
        <v>1200</v>
      </c>
      <c r="F186" s="115"/>
      <c r="G186" s="5"/>
    </row>
    <row r="187">
      <c r="A187" s="5"/>
      <c r="B187" s="62" t="s">
        <v>217</v>
      </c>
      <c r="C187" s="13">
        <v>1.0</v>
      </c>
      <c r="D187" s="10">
        <v>150.0</v>
      </c>
      <c r="E187" s="106">
        <f t="shared" si="1"/>
        <v>150</v>
      </c>
      <c r="F187" s="12"/>
      <c r="G187" s="5"/>
    </row>
    <row r="188">
      <c r="A188" s="5"/>
      <c r="B188" s="62" t="s">
        <v>218</v>
      </c>
      <c r="C188" s="13">
        <v>1.0</v>
      </c>
      <c r="D188" s="10">
        <v>400.0</v>
      </c>
      <c r="E188" s="106">
        <f t="shared" si="1"/>
        <v>400</v>
      </c>
      <c r="F188" s="12"/>
      <c r="G188" s="5"/>
    </row>
    <row r="189">
      <c r="A189" s="5"/>
      <c r="B189" s="62" t="s">
        <v>219</v>
      </c>
      <c r="C189" s="13">
        <v>1.0</v>
      </c>
      <c r="D189" s="10">
        <v>2300.0</v>
      </c>
      <c r="E189" s="106">
        <f t="shared" si="1"/>
        <v>2300</v>
      </c>
      <c r="F189" s="12"/>
      <c r="G189" s="5"/>
    </row>
    <row r="190">
      <c r="A190" s="5"/>
      <c r="B190" s="62" t="s">
        <v>150</v>
      </c>
      <c r="C190" s="13">
        <v>3.0</v>
      </c>
      <c r="D190" s="10">
        <v>220.0</v>
      </c>
      <c r="E190" s="106">
        <f t="shared" si="1"/>
        <v>660</v>
      </c>
      <c r="F190" s="12"/>
      <c r="G190" s="5"/>
    </row>
    <row r="191">
      <c r="A191" s="5"/>
      <c r="B191" s="62" t="s">
        <v>165</v>
      </c>
      <c r="C191" s="13">
        <v>4.0</v>
      </c>
      <c r="D191" s="10">
        <v>100.0</v>
      </c>
      <c r="E191" s="106">
        <f t="shared" si="1"/>
        <v>400</v>
      </c>
      <c r="F191" s="12"/>
      <c r="G191" s="5"/>
    </row>
    <row r="192">
      <c r="A192" s="5"/>
      <c r="B192" s="62" t="s">
        <v>220</v>
      </c>
      <c r="C192" s="13">
        <v>1.0</v>
      </c>
      <c r="D192" s="10">
        <v>300.0</v>
      </c>
      <c r="E192" s="106">
        <f t="shared" si="1"/>
        <v>300</v>
      </c>
      <c r="F192" s="12"/>
      <c r="G192" s="5"/>
    </row>
    <row r="193">
      <c r="A193" s="5"/>
      <c r="B193" s="62" t="s">
        <v>167</v>
      </c>
      <c r="C193" s="13">
        <v>1.0</v>
      </c>
      <c r="D193" s="10">
        <v>350.0</v>
      </c>
      <c r="E193" s="106">
        <f t="shared" si="1"/>
        <v>350</v>
      </c>
      <c r="F193" s="44"/>
      <c r="G193" s="5"/>
    </row>
    <row r="194">
      <c r="A194" s="5"/>
      <c r="B194" s="62" t="s">
        <v>221</v>
      </c>
      <c r="C194" s="13">
        <v>3.0</v>
      </c>
      <c r="D194" s="10">
        <v>440.0</v>
      </c>
      <c r="E194" s="106">
        <f t="shared" si="1"/>
        <v>1320</v>
      </c>
      <c r="F194" s="12"/>
      <c r="G194" s="5"/>
    </row>
    <row r="195">
      <c r="A195" s="5"/>
      <c r="B195" s="62" t="s">
        <v>157</v>
      </c>
      <c r="C195" s="13">
        <v>1.0</v>
      </c>
      <c r="D195" s="10">
        <v>400.0</v>
      </c>
      <c r="E195" s="106">
        <f t="shared" si="1"/>
        <v>400</v>
      </c>
      <c r="F195" s="12"/>
      <c r="G195" s="5"/>
    </row>
    <row r="196">
      <c r="A196" s="5"/>
      <c r="B196" s="62" t="s">
        <v>222</v>
      </c>
      <c r="C196" s="13">
        <v>1.0</v>
      </c>
      <c r="D196" s="10">
        <v>60.0</v>
      </c>
      <c r="E196" s="106">
        <f t="shared" si="1"/>
        <v>60</v>
      </c>
      <c r="F196" s="12"/>
      <c r="G196" s="5"/>
    </row>
    <row r="197">
      <c r="A197" s="5"/>
      <c r="B197" s="62" t="s">
        <v>153</v>
      </c>
      <c r="C197" s="13">
        <v>20.0</v>
      </c>
      <c r="D197" s="10">
        <v>10.0</v>
      </c>
      <c r="E197" s="106">
        <f t="shared" si="1"/>
        <v>200</v>
      </c>
      <c r="F197" s="114">
        <v>45481.0</v>
      </c>
      <c r="G197" s="5"/>
    </row>
    <row r="198">
      <c r="A198" s="5"/>
      <c r="B198" s="62" t="s">
        <v>223</v>
      </c>
      <c r="C198" s="13">
        <v>4.0</v>
      </c>
      <c r="D198" s="10">
        <v>750.0</v>
      </c>
      <c r="E198" s="106">
        <f t="shared" si="1"/>
        <v>3000</v>
      </c>
      <c r="F198" s="12"/>
      <c r="G198" s="5"/>
    </row>
    <row r="199">
      <c r="A199" s="5"/>
      <c r="B199" s="62" t="s">
        <v>153</v>
      </c>
      <c r="C199" s="13">
        <v>30.0</v>
      </c>
      <c r="D199" s="10">
        <v>120.0</v>
      </c>
      <c r="E199" s="106">
        <f t="shared" si="1"/>
        <v>3600</v>
      </c>
      <c r="F199" s="12"/>
      <c r="G199" s="5"/>
    </row>
    <row r="200">
      <c r="A200" s="5"/>
      <c r="B200" s="62" t="s">
        <v>224</v>
      </c>
      <c r="C200" s="13">
        <v>1.0</v>
      </c>
      <c r="D200" s="10">
        <v>350.0</v>
      </c>
      <c r="E200" s="106">
        <f t="shared" si="1"/>
        <v>350</v>
      </c>
      <c r="F200" s="12"/>
      <c r="G200" s="5"/>
    </row>
    <row r="201">
      <c r="A201" s="5"/>
      <c r="B201" s="62" t="s">
        <v>95</v>
      </c>
      <c r="C201" s="13">
        <v>1.75</v>
      </c>
      <c r="D201" s="10">
        <v>600.0</v>
      </c>
      <c r="E201" s="106">
        <f t="shared" si="1"/>
        <v>1050</v>
      </c>
      <c r="F201" s="12"/>
      <c r="G201" s="5"/>
    </row>
    <row r="202">
      <c r="A202" s="5"/>
      <c r="B202" s="62" t="s">
        <v>223</v>
      </c>
      <c r="C202" s="13">
        <v>2.75</v>
      </c>
      <c r="D202" s="10">
        <v>750.0</v>
      </c>
      <c r="E202" s="106">
        <f t="shared" si="1"/>
        <v>2062.5</v>
      </c>
      <c r="F202" s="12"/>
      <c r="G202" s="5"/>
    </row>
    <row r="203">
      <c r="A203" s="5"/>
      <c r="B203" s="62" t="s">
        <v>95</v>
      </c>
      <c r="C203" s="13">
        <v>4.0</v>
      </c>
      <c r="D203" s="10">
        <v>600.0</v>
      </c>
      <c r="E203" s="106">
        <f t="shared" si="1"/>
        <v>2400</v>
      </c>
      <c r="F203" s="12"/>
      <c r="G203" s="5"/>
    </row>
    <row r="204">
      <c r="A204" s="5"/>
      <c r="B204" s="62" t="s">
        <v>206</v>
      </c>
      <c r="C204" s="13">
        <v>1.0</v>
      </c>
      <c r="D204" s="10">
        <v>150.0</v>
      </c>
      <c r="E204" s="106">
        <f t="shared" si="1"/>
        <v>150</v>
      </c>
      <c r="F204" s="12"/>
      <c r="G204" s="5"/>
    </row>
    <row r="205">
      <c r="A205" s="5"/>
      <c r="B205" s="62" t="s">
        <v>179</v>
      </c>
      <c r="C205" s="13">
        <v>5.0</v>
      </c>
      <c r="D205" s="10">
        <v>40.0</v>
      </c>
      <c r="E205" s="106">
        <f t="shared" si="1"/>
        <v>200</v>
      </c>
      <c r="F205" s="12"/>
      <c r="G205" s="5"/>
    </row>
    <row r="206">
      <c r="A206" s="5"/>
      <c r="B206" s="62" t="s">
        <v>225</v>
      </c>
      <c r="C206" s="13">
        <v>1.0</v>
      </c>
      <c r="D206" s="10">
        <v>30.0</v>
      </c>
      <c r="E206" s="106">
        <f t="shared" si="1"/>
        <v>30</v>
      </c>
      <c r="F206" s="12"/>
      <c r="G206" s="5"/>
    </row>
    <row r="207">
      <c r="A207" s="5"/>
      <c r="B207" s="62" t="s">
        <v>97</v>
      </c>
      <c r="C207" s="13">
        <v>50.0</v>
      </c>
      <c r="D207" s="10">
        <v>40.0</v>
      </c>
      <c r="E207" s="106">
        <f t="shared" si="1"/>
        <v>2000</v>
      </c>
      <c r="F207" s="9"/>
      <c r="G207" s="5"/>
    </row>
    <row r="208">
      <c r="A208" s="5"/>
      <c r="B208" s="62" t="s">
        <v>226</v>
      </c>
      <c r="C208" s="13">
        <v>1.0</v>
      </c>
      <c r="D208" s="10">
        <v>1000.0</v>
      </c>
      <c r="E208" s="106">
        <f t="shared" si="1"/>
        <v>1000</v>
      </c>
      <c r="F208" s="12"/>
      <c r="G208" s="5"/>
    </row>
    <row r="209">
      <c r="A209" s="5"/>
      <c r="B209" s="62" t="s">
        <v>227</v>
      </c>
      <c r="C209" s="13">
        <v>3.5</v>
      </c>
      <c r="D209" s="10">
        <v>60.0</v>
      </c>
      <c r="E209" s="106">
        <f t="shared" si="1"/>
        <v>210</v>
      </c>
      <c r="F209" s="119">
        <v>45482.0</v>
      </c>
      <c r="G209" s="5"/>
    </row>
    <row r="210">
      <c r="A210" s="5"/>
      <c r="B210" s="62" t="s">
        <v>228</v>
      </c>
      <c r="C210" s="13">
        <v>1.0</v>
      </c>
      <c r="D210" s="10">
        <v>100.0</v>
      </c>
      <c r="E210" s="106">
        <f t="shared" si="1"/>
        <v>100</v>
      </c>
      <c r="F210" s="120"/>
      <c r="G210" s="5"/>
    </row>
    <row r="211">
      <c r="A211" s="5"/>
      <c r="B211" s="62" t="s">
        <v>229</v>
      </c>
      <c r="C211" s="13">
        <v>1.0</v>
      </c>
      <c r="D211" s="10">
        <v>200.0</v>
      </c>
      <c r="E211" s="106">
        <f t="shared" si="1"/>
        <v>200</v>
      </c>
      <c r="F211" s="120"/>
      <c r="G211" s="5"/>
    </row>
    <row r="212">
      <c r="A212" s="5"/>
      <c r="B212" s="62" t="s">
        <v>230</v>
      </c>
      <c r="C212" s="13">
        <v>1.0</v>
      </c>
      <c r="D212" s="10">
        <v>300.0</v>
      </c>
      <c r="E212" s="106">
        <f t="shared" si="1"/>
        <v>300</v>
      </c>
      <c r="F212" s="120"/>
      <c r="G212" s="5"/>
    </row>
    <row r="213">
      <c r="A213" s="5"/>
      <c r="B213" s="62" t="s">
        <v>231</v>
      </c>
      <c r="C213" s="13">
        <v>1.0</v>
      </c>
      <c r="D213" s="10">
        <v>500.0</v>
      </c>
      <c r="E213" s="106">
        <f t="shared" si="1"/>
        <v>500</v>
      </c>
      <c r="F213" s="120"/>
      <c r="G213" s="5"/>
    </row>
    <row r="214">
      <c r="A214" s="5"/>
      <c r="B214" s="62" t="s">
        <v>153</v>
      </c>
      <c r="C214" s="13">
        <v>10.0</v>
      </c>
      <c r="D214" s="10">
        <v>100.0</v>
      </c>
      <c r="E214" s="106">
        <f t="shared" si="1"/>
        <v>1000</v>
      </c>
      <c r="F214" s="120"/>
      <c r="G214" s="5"/>
    </row>
    <row r="215">
      <c r="A215" s="5"/>
      <c r="B215" s="62" t="s">
        <v>232</v>
      </c>
      <c r="C215" s="13">
        <v>1.0</v>
      </c>
      <c r="D215" s="10">
        <v>1000.0</v>
      </c>
      <c r="E215" s="106">
        <f t="shared" si="1"/>
        <v>1000</v>
      </c>
      <c r="F215" s="119">
        <v>45483.0</v>
      </c>
      <c r="G215" s="5"/>
    </row>
    <row r="216">
      <c r="A216" s="5"/>
      <c r="B216" s="62" t="s">
        <v>124</v>
      </c>
      <c r="C216" s="13">
        <v>1.0</v>
      </c>
      <c r="D216" s="10">
        <v>1300.0</v>
      </c>
      <c r="E216" s="106">
        <f t="shared" si="1"/>
        <v>1300</v>
      </c>
      <c r="F216" s="12"/>
      <c r="G216" s="5"/>
    </row>
    <row r="217">
      <c r="A217" s="5"/>
      <c r="B217" s="62" t="s">
        <v>217</v>
      </c>
      <c r="C217" s="13">
        <v>0.75</v>
      </c>
      <c r="D217" s="10">
        <v>150.0</v>
      </c>
      <c r="E217" s="106">
        <f t="shared" si="1"/>
        <v>112.5</v>
      </c>
      <c r="F217" s="12"/>
      <c r="G217" s="5"/>
    </row>
    <row r="218">
      <c r="A218" s="5"/>
      <c r="B218" s="62" t="s">
        <v>233</v>
      </c>
      <c r="C218" s="13">
        <v>1.0</v>
      </c>
      <c r="D218" s="10">
        <v>100.0</v>
      </c>
      <c r="E218" s="106">
        <f t="shared" si="1"/>
        <v>100</v>
      </c>
      <c r="F218" s="12"/>
      <c r="G218" s="5"/>
    </row>
    <row r="219">
      <c r="A219" s="5"/>
      <c r="B219" s="62" t="s">
        <v>234</v>
      </c>
      <c r="C219" s="13">
        <v>1.0</v>
      </c>
      <c r="D219" s="10">
        <v>200.0</v>
      </c>
      <c r="E219" s="106">
        <f t="shared" si="1"/>
        <v>200</v>
      </c>
      <c r="F219" s="12"/>
      <c r="G219" s="5"/>
    </row>
    <row r="220">
      <c r="A220" s="5"/>
      <c r="B220" s="62" t="s">
        <v>150</v>
      </c>
      <c r="C220" s="13">
        <v>1.0</v>
      </c>
      <c r="D220" s="10">
        <v>220.0</v>
      </c>
      <c r="E220" s="106">
        <f t="shared" si="1"/>
        <v>220</v>
      </c>
      <c r="F220" s="12"/>
      <c r="G220" s="5"/>
    </row>
    <row r="221">
      <c r="A221" s="5"/>
      <c r="B221" s="62" t="s">
        <v>235</v>
      </c>
      <c r="C221" s="13">
        <v>1.0</v>
      </c>
      <c r="D221" s="10">
        <v>70.0</v>
      </c>
      <c r="E221" s="106">
        <f t="shared" si="1"/>
        <v>70</v>
      </c>
      <c r="F221" s="12"/>
      <c r="G221" s="5"/>
    </row>
    <row r="222">
      <c r="A222" s="5"/>
      <c r="B222" s="62" t="s">
        <v>236</v>
      </c>
      <c r="C222" s="13">
        <v>1.0</v>
      </c>
      <c r="D222" s="10">
        <v>80.0</v>
      </c>
      <c r="E222" s="106">
        <f t="shared" si="1"/>
        <v>80</v>
      </c>
      <c r="F222" s="12"/>
      <c r="G222" s="5"/>
    </row>
    <row r="223">
      <c r="A223" s="5"/>
      <c r="B223" s="62" t="s">
        <v>237</v>
      </c>
      <c r="C223" s="13">
        <v>1.0</v>
      </c>
      <c r="D223" s="10">
        <v>450.0</v>
      </c>
      <c r="E223" s="106">
        <f t="shared" si="1"/>
        <v>450</v>
      </c>
      <c r="F223" s="12"/>
      <c r="G223" s="5"/>
    </row>
    <row r="224">
      <c r="A224" s="5"/>
      <c r="B224" s="62" t="s">
        <v>199</v>
      </c>
      <c r="C224" s="13">
        <v>1.0</v>
      </c>
      <c r="D224" s="10">
        <v>110.0</v>
      </c>
      <c r="E224" s="106">
        <f t="shared" si="1"/>
        <v>110</v>
      </c>
      <c r="F224" s="12"/>
      <c r="G224" s="5"/>
    </row>
    <row r="225">
      <c r="A225" s="5"/>
      <c r="B225" s="62" t="s">
        <v>97</v>
      </c>
      <c r="C225" s="13">
        <v>50.0</v>
      </c>
      <c r="D225" s="10">
        <v>40.0</v>
      </c>
      <c r="E225" s="106">
        <f t="shared" si="1"/>
        <v>2000</v>
      </c>
      <c r="F225" s="12"/>
      <c r="G225" s="5"/>
    </row>
    <row r="226">
      <c r="A226" s="5"/>
      <c r="B226" s="62" t="s">
        <v>238</v>
      </c>
      <c r="C226" s="13">
        <v>1.0</v>
      </c>
      <c r="D226" s="10">
        <v>150.0</v>
      </c>
      <c r="E226" s="106">
        <f t="shared" si="1"/>
        <v>150</v>
      </c>
      <c r="F226" s="12"/>
      <c r="G226" s="5"/>
    </row>
    <row r="227">
      <c r="A227" s="5"/>
      <c r="B227" s="62" t="s">
        <v>239</v>
      </c>
      <c r="C227" s="13">
        <v>2.0</v>
      </c>
      <c r="D227" s="10">
        <v>350.0</v>
      </c>
      <c r="E227" s="106">
        <f t="shared" si="1"/>
        <v>700</v>
      </c>
      <c r="F227" s="12"/>
      <c r="G227" s="5"/>
    </row>
    <row r="228">
      <c r="A228" s="5"/>
      <c r="B228" s="62" t="s">
        <v>160</v>
      </c>
      <c r="C228" s="13">
        <v>2.0</v>
      </c>
      <c r="D228" s="10">
        <v>320.0</v>
      </c>
      <c r="E228" s="106">
        <f t="shared" si="1"/>
        <v>640</v>
      </c>
      <c r="F228" s="12"/>
      <c r="G228" s="5"/>
    </row>
    <row r="229">
      <c r="A229" s="5"/>
      <c r="B229" s="62" t="s">
        <v>240</v>
      </c>
      <c r="C229" s="13">
        <v>4.0</v>
      </c>
      <c r="D229" s="10">
        <v>100.0</v>
      </c>
      <c r="E229" s="106">
        <f t="shared" si="1"/>
        <v>400</v>
      </c>
      <c r="F229" s="12"/>
      <c r="G229" s="5"/>
    </row>
    <row r="230">
      <c r="A230" s="5"/>
      <c r="B230" s="62" t="s">
        <v>166</v>
      </c>
      <c r="C230" s="13">
        <v>1.0</v>
      </c>
      <c r="D230" s="10">
        <v>280.0</v>
      </c>
      <c r="E230" s="106">
        <f t="shared" si="1"/>
        <v>280</v>
      </c>
      <c r="F230" s="12"/>
      <c r="G230" s="5"/>
    </row>
    <row r="231">
      <c r="A231" s="5"/>
      <c r="B231" s="62" t="s">
        <v>241</v>
      </c>
      <c r="C231" s="13">
        <v>2.0</v>
      </c>
      <c r="D231" s="10">
        <v>120.0</v>
      </c>
      <c r="E231" s="106">
        <f t="shared" si="1"/>
        <v>240</v>
      </c>
      <c r="F231" s="12"/>
      <c r="G231" s="5"/>
    </row>
    <row r="232">
      <c r="A232" s="5"/>
      <c r="B232" s="62" t="s">
        <v>156</v>
      </c>
      <c r="C232" s="13">
        <v>1.0</v>
      </c>
      <c r="D232" s="10">
        <v>100.0</v>
      </c>
      <c r="E232" s="106">
        <f t="shared" si="1"/>
        <v>100</v>
      </c>
      <c r="F232" s="12"/>
      <c r="G232" s="5"/>
    </row>
    <row r="233">
      <c r="A233" s="5"/>
      <c r="B233" s="62" t="s">
        <v>177</v>
      </c>
      <c r="C233" s="13">
        <v>1.0</v>
      </c>
      <c r="D233" s="10">
        <v>30.0</v>
      </c>
      <c r="E233" s="106">
        <f t="shared" si="1"/>
        <v>30</v>
      </c>
      <c r="F233" s="12"/>
      <c r="G233" s="5"/>
    </row>
    <row r="234">
      <c r="A234" s="5"/>
      <c r="B234" s="62" t="s">
        <v>242</v>
      </c>
      <c r="C234" s="13">
        <v>5.0</v>
      </c>
      <c r="D234" s="10">
        <v>50.0</v>
      </c>
      <c r="E234" s="106">
        <f t="shared" si="1"/>
        <v>250</v>
      </c>
      <c r="F234" s="12"/>
      <c r="G234" s="5"/>
    </row>
    <row r="235">
      <c r="A235" s="5"/>
      <c r="B235" s="62" t="s">
        <v>96</v>
      </c>
      <c r="C235" s="13">
        <v>2.0</v>
      </c>
      <c r="D235" s="10">
        <v>750.0</v>
      </c>
      <c r="E235" s="106">
        <f t="shared" si="1"/>
        <v>1500</v>
      </c>
      <c r="F235" s="12"/>
      <c r="G235" s="5"/>
    </row>
    <row r="236">
      <c r="A236" s="5"/>
      <c r="B236" s="62" t="s">
        <v>95</v>
      </c>
      <c r="C236" s="13">
        <v>1.75</v>
      </c>
      <c r="D236" s="10">
        <v>600.0</v>
      </c>
      <c r="E236" s="106">
        <f t="shared" si="1"/>
        <v>1050</v>
      </c>
      <c r="F236" s="12"/>
      <c r="G236" s="5"/>
    </row>
    <row r="237">
      <c r="A237" s="5"/>
      <c r="B237" s="62" t="s">
        <v>216</v>
      </c>
      <c r="C237" s="13">
        <v>5.0</v>
      </c>
      <c r="D237" s="10">
        <v>120.0</v>
      </c>
      <c r="E237" s="106">
        <f t="shared" si="1"/>
        <v>600</v>
      </c>
      <c r="F237" s="12"/>
      <c r="G237" s="5"/>
    </row>
    <row r="238">
      <c r="A238" s="5"/>
      <c r="B238" s="62" t="s">
        <v>149</v>
      </c>
      <c r="C238" s="13">
        <v>2.0</v>
      </c>
      <c r="D238" s="10">
        <v>950.0</v>
      </c>
      <c r="E238" s="106">
        <f t="shared" si="1"/>
        <v>1900</v>
      </c>
      <c r="F238" s="12"/>
      <c r="G238" s="5"/>
    </row>
    <row r="239">
      <c r="A239" s="5"/>
      <c r="B239" s="62" t="s">
        <v>243</v>
      </c>
      <c r="C239" s="13">
        <v>5.0</v>
      </c>
      <c r="D239" s="10">
        <v>280.0</v>
      </c>
      <c r="E239" s="106">
        <f t="shared" si="1"/>
        <v>1400</v>
      </c>
      <c r="F239" s="12"/>
      <c r="G239" s="5"/>
    </row>
    <row r="240">
      <c r="A240" s="5"/>
      <c r="B240" s="62" t="s">
        <v>244</v>
      </c>
      <c r="C240" s="13">
        <v>1.0</v>
      </c>
      <c r="D240" s="10">
        <v>900.0</v>
      </c>
      <c r="E240" s="106">
        <f t="shared" si="1"/>
        <v>900</v>
      </c>
      <c r="F240" s="12"/>
      <c r="G240" s="5"/>
    </row>
    <row r="241">
      <c r="A241" s="5"/>
      <c r="B241" s="62" t="s">
        <v>245</v>
      </c>
      <c r="C241" s="13">
        <v>2.0</v>
      </c>
      <c r="D241" s="10">
        <v>1350.0</v>
      </c>
      <c r="E241" s="106">
        <f t="shared" si="1"/>
        <v>2700</v>
      </c>
      <c r="F241" s="12"/>
      <c r="G241" s="5"/>
    </row>
    <row r="242">
      <c r="A242" s="5"/>
      <c r="B242" s="62" t="s">
        <v>246</v>
      </c>
      <c r="C242" s="13">
        <v>2.0</v>
      </c>
      <c r="D242" s="10">
        <v>1050.0</v>
      </c>
      <c r="E242" s="106">
        <f t="shared" si="1"/>
        <v>2100</v>
      </c>
      <c r="F242" s="12"/>
      <c r="G242" s="5"/>
    </row>
    <row r="243">
      <c r="A243" s="5"/>
      <c r="B243" s="62" t="s">
        <v>247</v>
      </c>
      <c r="C243" s="13">
        <v>5.0</v>
      </c>
      <c r="D243" s="10">
        <v>150.0</v>
      </c>
      <c r="E243" s="106">
        <f t="shared" si="1"/>
        <v>750</v>
      </c>
      <c r="F243" s="114">
        <v>45484.0</v>
      </c>
      <c r="G243" s="5"/>
    </row>
    <row r="244">
      <c r="A244" s="5"/>
      <c r="B244" s="62" t="s">
        <v>153</v>
      </c>
      <c r="C244" s="13">
        <v>15.0</v>
      </c>
      <c r="D244" s="11">
        <v>100.0</v>
      </c>
      <c r="E244" s="106">
        <f t="shared" si="1"/>
        <v>1500</v>
      </c>
      <c r="F244" s="12"/>
      <c r="G244" s="5"/>
    </row>
    <row r="245">
      <c r="A245" s="5"/>
      <c r="B245" s="62" t="s">
        <v>94</v>
      </c>
      <c r="C245" s="13">
        <v>3.0</v>
      </c>
      <c r="D245" s="10">
        <v>400.0</v>
      </c>
      <c r="E245" s="106">
        <f t="shared" si="1"/>
        <v>1200</v>
      </c>
      <c r="F245" s="12"/>
      <c r="G245" s="5"/>
    </row>
    <row r="246">
      <c r="A246" s="5"/>
      <c r="B246" s="62" t="s">
        <v>248</v>
      </c>
      <c r="C246" s="13">
        <v>1.0</v>
      </c>
      <c r="D246" s="10">
        <v>900.0</v>
      </c>
      <c r="E246" s="106">
        <f t="shared" si="1"/>
        <v>900</v>
      </c>
      <c r="F246" s="12"/>
      <c r="G246" s="5"/>
    </row>
    <row r="247">
      <c r="A247" s="5"/>
      <c r="B247" s="62" t="s">
        <v>205</v>
      </c>
      <c r="C247" s="13">
        <v>2.5</v>
      </c>
      <c r="D247" s="10">
        <v>800.0</v>
      </c>
      <c r="E247" s="106">
        <f t="shared" si="1"/>
        <v>2000</v>
      </c>
      <c r="F247" s="12"/>
      <c r="G247" s="5"/>
    </row>
    <row r="248">
      <c r="A248" s="5"/>
      <c r="B248" s="62" t="s">
        <v>132</v>
      </c>
      <c r="C248" s="13">
        <v>240.0</v>
      </c>
      <c r="D248" s="10">
        <v>43.0</v>
      </c>
      <c r="E248" s="106">
        <f t="shared" si="1"/>
        <v>10320</v>
      </c>
      <c r="F248" s="12"/>
      <c r="G248" s="5"/>
    </row>
    <row r="249">
      <c r="A249" s="5"/>
      <c r="B249" s="62" t="s">
        <v>92</v>
      </c>
      <c r="C249" s="13">
        <v>30.0</v>
      </c>
      <c r="D249" s="10">
        <v>600.0</v>
      </c>
      <c r="E249" s="106">
        <f t="shared" si="1"/>
        <v>18000</v>
      </c>
      <c r="F249" s="12"/>
      <c r="G249" s="5"/>
    </row>
    <row r="250">
      <c r="A250" s="5"/>
      <c r="B250" s="62" t="s">
        <v>249</v>
      </c>
      <c r="C250" s="13">
        <v>6.0</v>
      </c>
      <c r="D250" s="10">
        <v>370.0</v>
      </c>
      <c r="E250" s="106">
        <f t="shared" si="1"/>
        <v>2220</v>
      </c>
      <c r="F250" s="12"/>
      <c r="G250" s="5"/>
    </row>
    <row r="251">
      <c r="A251" s="5"/>
      <c r="B251" s="62" t="s">
        <v>250</v>
      </c>
      <c r="C251" s="13">
        <v>7.0</v>
      </c>
      <c r="D251" s="10">
        <v>1650.0</v>
      </c>
      <c r="E251" s="106">
        <f t="shared" si="1"/>
        <v>11550</v>
      </c>
      <c r="F251" s="12"/>
      <c r="G251" s="5"/>
    </row>
    <row r="252">
      <c r="A252" s="5"/>
      <c r="B252" s="62" t="s">
        <v>251</v>
      </c>
      <c r="C252" s="13">
        <v>7.0</v>
      </c>
      <c r="D252" s="10">
        <v>80.0</v>
      </c>
      <c r="E252" s="106">
        <f t="shared" si="1"/>
        <v>560</v>
      </c>
      <c r="F252" s="12"/>
      <c r="G252" s="5"/>
    </row>
    <row r="253">
      <c r="A253" s="5"/>
      <c r="B253" s="62" t="s">
        <v>252</v>
      </c>
      <c r="C253" s="13">
        <v>200.0</v>
      </c>
      <c r="D253" s="10">
        <v>11.5</v>
      </c>
      <c r="E253" s="106">
        <f t="shared" si="1"/>
        <v>2300</v>
      </c>
      <c r="F253" s="12"/>
      <c r="G253" s="5"/>
    </row>
    <row r="254">
      <c r="A254" s="5"/>
      <c r="B254" s="62" t="s">
        <v>253</v>
      </c>
      <c r="C254" s="13">
        <v>250.0</v>
      </c>
      <c r="D254" s="10">
        <v>25.0</v>
      </c>
      <c r="E254" s="106">
        <f t="shared" si="1"/>
        <v>6250</v>
      </c>
      <c r="F254" s="12"/>
      <c r="G254" s="5"/>
    </row>
    <row r="255">
      <c r="A255" s="5"/>
      <c r="B255" s="62" t="s">
        <v>254</v>
      </c>
      <c r="C255" s="13">
        <v>20.0</v>
      </c>
      <c r="D255" s="10">
        <v>100.0</v>
      </c>
      <c r="E255" s="106">
        <f t="shared" si="1"/>
        <v>2000</v>
      </c>
      <c r="F255" s="12"/>
      <c r="G255" s="5"/>
    </row>
    <row r="256">
      <c r="A256" s="5"/>
      <c r="B256" s="62" t="s">
        <v>255</v>
      </c>
      <c r="C256" s="13">
        <v>1.0</v>
      </c>
      <c r="D256" s="10">
        <v>1200.0</v>
      </c>
      <c r="E256" s="106">
        <f t="shared" si="1"/>
        <v>1200</v>
      </c>
      <c r="F256" s="12"/>
      <c r="G256" s="5"/>
    </row>
    <row r="257">
      <c r="A257" s="5"/>
      <c r="B257" s="62" t="s">
        <v>256</v>
      </c>
      <c r="C257" s="13">
        <v>4.0</v>
      </c>
      <c r="D257" s="10">
        <v>250.0</v>
      </c>
      <c r="E257" s="106">
        <f t="shared" si="1"/>
        <v>1000</v>
      </c>
      <c r="F257" s="12"/>
      <c r="G257" s="5"/>
    </row>
    <row r="258">
      <c r="A258" s="5"/>
      <c r="B258" s="62" t="s">
        <v>257</v>
      </c>
      <c r="C258" s="13">
        <v>1.0</v>
      </c>
      <c r="D258" s="10">
        <v>850.0</v>
      </c>
      <c r="E258" s="106">
        <f t="shared" si="1"/>
        <v>850</v>
      </c>
      <c r="F258" s="12"/>
      <c r="G258" s="5"/>
    </row>
    <row r="259">
      <c r="A259" s="5"/>
      <c r="B259" s="62" t="s">
        <v>237</v>
      </c>
      <c r="C259" s="13">
        <v>25.0</v>
      </c>
      <c r="D259" s="10">
        <v>350.0</v>
      </c>
      <c r="E259" s="106">
        <f t="shared" si="1"/>
        <v>8750</v>
      </c>
      <c r="F259" s="12"/>
      <c r="G259" s="5"/>
    </row>
    <row r="260">
      <c r="A260" s="5"/>
      <c r="B260" s="62" t="s">
        <v>258</v>
      </c>
      <c r="C260" s="13">
        <v>25.0</v>
      </c>
      <c r="D260" s="10">
        <v>70.0</v>
      </c>
      <c r="E260" s="106">
        <f t="shared" si="1"/>
        <v>1750</v>
      </c>
      <c r="F260" s="12"/>
      <c r="G260" s="5"/>
    </row>
    <row r="261">
      <c r="A261" s="5"/>
      <c r="B261" s="62" t="s">
        <v>259</v>
      </c>
      <c r="C261" s="13">
        <v>100.0</v>
      </c>
      <c r="D261" s="10">
        <v>40.0</v>
      </c>
      <c r="E261" s="106">
        <f t="shared" si="1"/>
        <v>4000</v>
      </c>
      <c r="F261" s="12"/>
      <c r="G261" s="5"/>
    </row>
    <row r="262">
      <c r="A262" s="5"/>
      <c r="B262" s="62" t="s">
        <v>206</v>
      </c>
      <c r="C262" s="13">
        <v>18.0</v>
      </c>
      <c r="D262" s="10">
        <v>80.0</v>
      </c>
      <c r="E262" s="106">
        <f t="shared" si="1"/>
        <v>1440</v>
      </c>
      <c r="F262" s="12"/>
      <c r="G262" s="5"/>
    </row>
    <row r="263">
      <c r="A263" s="5"/>
      <c r="B263" s="62" t="s">
        <v>203</v>
      </c>
      <c r="C263" s="13">
        <v>190.0</v>
      </c>
      <c r="D263" s="10">
        <v>125.0</v>
      </c>
      <c r="E263" s="106">
        <f t="shared" si="1"/>
        <v>23750</v>
      </c>
      <c r="F263" s="12"/>
      <c r="G263" s="5"/>
    </row>
    <row r="264">
      <c r="A264" s="5"/>
      <c r="B264" s="62" t="s">
        <v>203</v>
      </c>
      <c r="C264" s="13">
        <v>100.0</v>
      </c>
      <c r="D264" s="10">
        <v>130.0</v>
      </c>
      <c r="E264" s="106">
        <f t="shared" si="1"/>
        <v>13000</v>
      </c>
      <c r="F264" s="12"/>
      <c r="G264" s="5"/>
    </row>
    <row r="265">
      <c r="A265" s="5"/>
      <c r="B265" s="62" t="s">
        <v>95</v>
      </c>
      <c r="C265" s="13">
        <v>4.0</v>
      </c>
      <c r="D265" s="10">
        <v>550.0</v>
      </c>
      <c r="E265" s="106">
        <f t="shared" si="1"/>
        <v>2200</v>
      </c>
      <c r="F265" s="9"/>
      <c r="G265" s="5"/>
    </row>
    <row r="266">
      <c r="A266" s="5"/>
      <c r="B266" s="62" t="s">
        <v>205</v>
      </c>
      <c r="C266" s="13">
        <v>3.0</v>
      </c>
      <c r="D266" s="10">
        <v>700.0</v>
      </c>
      <c r="E266" s="106">
        <f t="shared" si="1"/>
        <v>2100</v>
      </c>
      <c r="F266" s="12"/>
      <c r="G266" s="5"/>
    </row>
    <row r="267">
      <c r="A267" s="5"/>
      <c r="B267" s="62" t="s">
        <v>94</v>
      </c>
      <c r="C267" s="13">
        <v>5.0</v>
      </c>
      <c r="D267" s="10">
        <v>370.0</v>
      </c>
      <c r="E267" s="106">
        <f t="shared" si="1"/>
        <v>1850</v>
      </c>
      <c r="F267" s="12"/>
      <c r="G267" s="5"/>
    </row>
    <row r="268">
      <c r="A268" s="5"/>
      <c r="B268" s="62" t="s">
        <v>190</v>
      </c>
      <c r="C268" s="13">
        <v>2.5</v>
      </c>
      <c r="D268" s="10">
        <v>1300.0</v>
      </c>
      <c r="E268" s="106">
        <f t="shared" si="1"/>
        <v>3250</v>
      </c>
      <c r="F268" s="12"/>
      <c r="G268" s="5"/>
    </row>
    <row r="269">
      <c r="A269" s="5"/>
      <c r="B269" s="62" t="s">
        <v>260</v>
      </c>
      <c r="C269" s="13">
        <v>1.0</v>
      </c>
      <c r="D269" s="10">
        <v>1800.0</v>
      </c>
      <c r="E269" s="106">
        <f t="shared" si="1"/>
        <v>1800</v>
      </c>
      <c r="F269" s="12"/>
      <c r="G269" s="5"/>
    </row>
    <row r="270">
      <c r="A270" s="5"/>
      <c r="B270" s="62" t="s">
        <v>261</v>
      </c>
      <c r="C270" s="13">
        <v>60.0</v>
      </c>
      <c r="D270" s="10">
        <v>30.0</v>
      </c>
      <c r="E270" s="106">
        <f t="shared" si="1"/>
        <v>1800</v>
      </c>
      <c r="F270" s="12"/>
      <c r="G270" s="5"/>
    </row>
    <row r="271">
      <c r="A271" s="5"/>
      <c r="B271" s="62" t="s">
        <v>262</v>
      </c>
      <c r="C271" s="13">
        <v>2.0</v>
      </c>
      <c r="D271" s="10">
        <v>100.0</v>
      </c>
      <c r="E271" s="106">
        <f t="shared" si="1"/>
        <v>200</v>
      </c>
      <c r="F271" s="12"/>
      <c r="G271" s="5"/>
    </row>
    <row r="272">
      <c r="A272" s="5"/>
      <c r="B272" s="62" t="s">
        <v>263</v>
      </c>
      <c r="C272" s="13">
        <v>3.0</v>
      </c>
      <c r="D272" s="10">
        <v>180.0</v>
      </c>
      <c r="E272" s="106">
        <f t="shared" si="1"/>
        <v>540</v>
      </c>
      <c r="F272" s="12"/>
      <c r="G272" s="5"/>
    </row>
    <row r="273">
      <c r="A273" s="5"/>
      <c r="B273" s="62" t="s">
        <v>150</v>
      </c>
      <c r="C273" s="13">
        <v>2.5</v>
      </c>
      <c r="D273" s="10">
        <v>400.0</v>
      </c>
      <c r="E273" s="106">
        <f t="shared" si="1"/>
        <v>1000</v>
      </c>
      <c r="F273" s="12"/>
      <c r="G273" s="5"/>
    </row>
    <row r="274">
      <c r="A274" s="5"/>
      <c r="B274" s="62" t="s">
        <v>222</v>
      </c>
      <c r="C274" s="13">
        <v>0.1</v>
      </c>
      <c r="D274" s="10">
        <v>2500.0</v>
      </c>
      <c r="E274" s="106">
        <f t="shared" si="1"/>
        <v>250</v>
      </c>
      <c r="F274" s="12"/>
      <c r="G274" s="5"/>
    </row>
    <row r="275">
      <c r="A275" s="5"/>
      <c r="B275" s="62" t="s">
        <v>264</v>
      </c>
      <c r="C275" s="13">
        <v>2.0</v>
      </c>
      <c r="D275" s="10">
        <v>120.0</v>
      </c>
      <c r="E275" s="106">
        <f t="shared" si="1"/>
        <v>240</v>
      </c>
      <c r="F275" s="12"/>
      <c r="G275" s="5"/>
    </row>
    <row r="276">
      <c r="A276" s="5"/>
      <c r="B276" s="62" t="s">
        <v>265</v>
      </c>
      <c r="C276" s="13">
        <v>3.0</v>
      </c>
      <c r="D276" s="10">
        <v>60.0</v>
      </c>
      <c r="E276" s="106">
        <f t="shared" si="1"/>
        <v>180</v>
      </c>
      <c r="F276" s="12"/>
      <c r="G276" s="5"/>
    </row>
    <row r="277">
      <c r="A277" s="5"/>
      <c r="B277" s="62" t="s">
        <v>266</v>
      </c>
      <c r="C277" s="13">
        <v>4.0</v>
      </c>
      <c r="D277" s="10">
        <v>400.0</v>
      </c>
      <c r="E277" s="106">
        <f t="shared" si="1"/>
        <v>1600</v>
      </c>
      <c r="F277" s="12"/>
      <c r="G277" s="5"/>
    </row>
    <row r="278">
      <c r="A278" s="5"/>
      <c r="B278" s="62" t="s">
        <v>101</v>
      </c>
      <c r="C278" s="13">
        <v>0.5</v>
      </c>
      <c r="D278" s="10">
        <v>600.0</v>
      </c>
      <c r="E278" s="106">
        <f t="shared" si="1"/>
        <v>300</v>
      </c>
      <c r="F278" s="12"/>
      <c r="G278" s="5"/>
    </row>
    <row r="279">
      <c r="A279" s="5"/>
      <c r="B279" s="62" t="s">
        <v>267</v>
      </c>
      <c r="C279" s="13">
        <v>10.0</v>
      </c>
      <c r="D279" s="10">
        <v>350.0</v>
      </c>
      <c r="E279" s="106">
        <f t="shared" si="1"/>
        <v>3500</v>
      </c>
      <c r="F279" s="12"/>
      <c r="G279" s="5"/>
    </row>
    <row r="280">
      <c r="A280" s="5"/>
      <c r="B280" s="62" t="s">
        <v>268</v>
      </c>
      <c r="C280" s="13">
        <v>40.0</v>
      </c>
      <c r="D280" s="10">
        <v>100.0</v>
      </c>
      <c r="E280" s="106">
        <f t="shared" si="1"/>
        <v>4000</v>
      </c>
      <c r="F280" s="12"/>
      <c r="G280" s="5"/>
    </row>
    <row r="281">
      <c r="A281" s="5"/>
      <c r="B281" s="62" t="s">
        <v>269</v>
      </c>
      <c r="C281" s="13">
        <v>0.5</v>
      </c>
      <c r="D281" s="10">
        <v>1100.0</v>
      </c>
      <c r="E281" s="106">
        <f t="shared" si="1"/>
        <v>550</v>
      </c>
      <c r="F281" s="12"/>
      <c r="G281" s="5"/>
    </row>
    <row r="282">
      <c r="A282" s="5"/>
      <c r="B282" s="62" t="s">
        <v>270</v>
      </c>
      <c r="C282" s="13">
        <v>0.5</v>
      </c>
      <c r="D282" s="10">
        <v>1600.0</v>
      </c>
      <c r="E282" s="106">
        <f t="shared" si="1"/>
        <v>800</v>
      </c>
      <c r="F282" s="12"/>
      <c r="G282" s="5"/>
    </row>
    <row r="283">
      <c r="A283" s="5"/>
      <c r="B283" s="62" t="s">
        <v>271</v>
      </c>
      <c r="C283" s="13">
        <v>5.0</v>
      </c>
      <c r="D283" s="10">
        <v>270.0</v>
      </c>
      <c r="E283" s="106">
        <f t="shared" si="1"/>
        <v>1350</v>
      </c>
      <c r="F283" s="12"/>
      <c r="G283" s="5"/>
    </row>
    <row r="284">
      <c r="A284" s="5"/>
      <c r="B284" s="62" t="s">
        <v>272</v>
      </c>
      <c r="C284" s="13">
        <v>1.0</v>
      </c>
      <c r="D284" s="10">
        <v>1000.0</v>
      </c>
      <c r="E284" s="106">
        <f t="shared" si="1"/>
        <v>1000</v>
      </c>
      <c r="F284" s="12"/>
      <c r="G284" s="5"/>
    </row>
    <row r="285">
      <c r="A285" s="5"/>
      <c r="B285" s="62" t="s">
        <v>273</v>
      </c>
      <c r="C285" s="13">
        <v>7.0</v>
      </c>
      <c r="D285" s="10">
        <v>70.0</v>
      </c>
      <c r="E285" s="106">
        <f t="shared" si="1"/>
        <v>490</v>
      </c>
      <c r="F285" s="12"/>
      <c r="G285" s="5"/>
    </row>
    <row r="286">
      <c r="A286" s="5"/>
      <c r="B286" s="62" t="s">
        <v>274</v>
      </c>
      <c r="C286" s="13">
        <v>1.0</v>
      </c>
      <c r="D286" s="10">
        <v>1500.0</v>
      </c>
      <c r="E286" s="106">
        <f t="shared" si="1"/>
        <v>1500</v>
      </c>
      <c r="F286" s="12"/>
      <c r="G286" s="5"/>
    </row>
    <row r="287">
      <c r="A287" s="5"/>
      <c r="B287" s="62" t="s">
        <v>275</v>
      </c>
      <c r="C287" s="13">
        <v>1.0</v>
      </c>
      <c r="D287" s="10">
        <v>1000.0</v>
      </c>
      <c r="E287" s="106">
        <f t="shared" si="1"/>
        <v>1000</v>
      </c>
      <c r="F287" s="9"/>
      <c r="G287" s="5"/>
    </row>
    <row r="288">
      <c r="A288" s="5"/>
      <c r="B288" s="62" t="s">
        <v>198</v>
      </c>
      <c r="C288" s="13">
        <v>2.0</v>
      </c>
      <c r="D288" s="10">
        <v>300.0</v>
      </c>
      <c r="E288" s="106">
        <f t="shared" si="1"/>
        <v>600</v>
      </c>
      <c r="F288" s="12"/>
      <c r="G288" s="5"/>
    </row>
    <row r="289">
      <c r="A289" s="5"/>
      <c r="B289" s="62" t="s">
        <v>276</v>
      </c>
      <c r="C289" s="13">
        <v>2.0</v>
      </c>
      <c r="D289" s="10">
        <v>500.0</v>
      </c>
      <c r="E289" s="106">
        <f t="shared" si="1"/>
        <v>1000</v>
      </c>
      <c r="F289" s="12"/>
      <c r="G289" s="5"/>
    </row>
    <row r="290">
      <c r="A290" s="5"/>
      <c r="B290" s="62" t="s">
        <v>277</v>
      </c>
      <c r="C290" s="13">
        <v>9.0</v>
      </c>
      <c r="D290" s="10">
        <v>200.0</v>
      </c>
      <c r="E290" s="106">
        <f t="shared" si="1"/>
        <v>1800</v>
      </c>
      <c r="F290" s="114">
        <v>45486.0</v>
      </c>
      <c r="G290" s="5"/>
    </row>
    <row r="291">
      <c r="A291" s="5"/>
      <c r="B291" s="62" t="s">
        <v>278</v>
      </c>
      <c r="C291" s="13">
        <v>3.0</v>
      </c>
      <c r="D291" s="10">
        <v>340.0</v>
      </c>
      <c r="E291" s="106">
        <f t="shared" si="1"/>
        <v>1020</v>
      </c>
      <c r="F291" s="9"/>
      <c r="G291" s="5"/>
    </row>
    <row r="292">
      <c r="A292" s="5"/>
      <c r="B292" s="62" t="s">
        <v>279</v>
      </c>
      <c r="C292" s="13">
        <v>26.0</v>
      </c>
      <c r="D292" s="10">
        <v>250.0</v>
      </c>
      <c r="E292" s="106">
        <f t="shared" si="1"/>
        <v>6500</v>
      </c>
      <c r="F292" s="12"/>
      <c r="G292" s="5"/>
    </row>
    <row r="293">
      <c r="A293" s="5"/>
      <c r="B293" s="62" t="s">
        <v>280</v>
      </c>
      <c r="C293" s="13">
        <v>240.0</v>
      </c>
      <c r="D293" s="10">
        <v>50.0</v>
      </c>
      <c r="E293" s="106">
        <f t="shared" si="1"/>
        <v>12000</v>
      </c>
      <c r="F293" s="12"/>
      <c r="G293" s="5"/>
    </row>
    <row r="294">
      <c r="A294" s="5"/>
      <c r="B294" s="62" t="s">
        <v>281</v>
      </c>
      <c r="C294" s="13">
        <v>7.0</v>
      </c>
      <c r="D294" s="10">
        <v>70.0</v>
      </c>
      <c r="E294" s="106">
        <f t="shared" si="1"/>
        <v>490</v>
      </c>
      <c r="F294" s="12"/>
      <c r="G294" s="5"/>
    </row>
    <row r="295">
      <c r="A295" s="5"/>
      <c r="B295" s="62" t="s">
        <v>282</v>
      </c>
      <c r="C295" s="13">
        <v>7.0</v>
      </c>
      <c r="D295" s="10">
        <v>100.0</v>
      </c>
      <c r="E295" s="106">
        <f t="shared" si="1"/>
        <v>700</v>
      </c>
      <c r="F295" s="12"/>
      <c r="G295" s="5"/>
    </row>
    <row r="296">
      <c r="A296" s="5"/>
      <c r="B296" s="62" t="s">
        <v>272</v>
      </c>
      <c r="C296" s="13">
        <v>0.5</v>
      </c>
      <c r="D296" s="10">
        <v>1000.0</v>
      </c>
      <c r="E296" s="106">
        <f t="shared" si="1"/>
        <v>500</v>
      </c>
      <c r="F296" s="12"/>
      <c r="G296" s="5"/>
    </row>
    <row r="297">
      <c r="A297" s="5"/>
      <c r="B297" s="62" t="s">
        <v>283</v>
      </c>
      <c r="C297" s="13">
        <v>0.25</v>
      </c>
      <c r="D297" s="10">
        <v>2000.0</v>
      </c>
      <c r="E297" s="106">
        <f t="shared" si="1"/>
        <v>500</v>
      </c>
      <c r="F297" s="12"/>
      <c r="G297" s="5"/>
    </row>
    <row r="298">
      <c r="A298" s="5"/>
      <c r="B298" s="62" t="s">
        <v>279</v>
      </c>
      <c r="C298" s="13">
        <v>4.0</v>
      </c>
      <c r="D298" s="10">
        <v>450.0</v>
      </c>
      <c r="E298" s="106">
        <f t="shared" si="1"/>
        <v>1800</v>
      </c>
      <c r="F298" s="12"/>
      <c r="G298" s="5"/>
    </row>
    <row r="299">
      <c r="A299" s="5"/>
      <c r="B299" s="62" t="s">
        <v>284</v>
      </c>
      <c r="C299" s="13">
        <v>1.0</v>
      </c>
      <c r="D299" s="10">
        <v>2000.0</v>
      </c>
      <c r="E299" s="106">
        <f t="shared" si="1"/>
        <v>2000</v>
      </c>
      <c r="F299" s="12"/>
      <c r="G299" s="5"/>
    </row>
    <row r="300">
      <c r="A300" s="5"/>
      <c r="B300" s="62" t="s">
        <v>153</v>
      </c>
      <c r="C300" s="13">
        <v>10.0</v>
      </c>
      <c r="D300" s="10">
        <v>120.0</v>
      </c>
      <c r="E300" s="106">
        <f t="shared" si="1"/>
        <v>1200</v>
      </c>
      <c r="F300" s="12"/>
      <c r="G300" s="5"/>
    </row>
    <row r="301">
      <c r="A301" s="5"/>
      <c r="B301" s="62" t="s">
        <v>268</v>
      </c>
      <c r="C301" s="13">
        <v>10.0</v>
      </c>
      <c r="D301" s="10">
        <v>120.0</v>
      </c>
      <c r="E301" s="106">
        <f t="shared" si="1"/>
        <v>1200</v>
      </c>
      <c r="F301" s="114">
        <v>45487.0</v>
      </c>
      <c r="G301" s="5"/>
    </row>
    <row r="302">
      <c r="A302" s="5"/>
      <c r="B302" s="62" t="s">
        <v>285</v>
      </c>
      <c r="C302" s="13">
        <v>2.5</v>
      </c>
      <c r="D302" s="10">
        <v>800.0</v>
      </c>
      <c r="E302" s="106">
        <f t="shared" si="1"/>
        <v>2000</v>
      </c>
      <c r="F302" s="12"/>
      <c r="G302" s="5"/>
    </row>
    <row r="303">
      <c r="A303" s="5"/>
      <c r="B303" s="62" t="s">
        <v>221</v>
      </c>
      <c r="C303" s="13">
        <v>2.0</v>
      </c>
      <c r="D303" s="10">
        <v>460.0</v>
      </c>
      <c r="E303" s="106">
        <f t="shared" si="1"/>
        <v>920</v>
      </c>
      <c r="F303" s="12"/>
      <c r="G303" s="5"/>
    </row>
    <row r="304">
      <c r="A304" s="5"/>
      <c r="B304" s="62" t="s">
        <v>283</v>
      </c>
      <c r="C304" s="13">
        <v>0.4</v>
      </c>
      <c r="D304" s="10">
        <v>2700.0</v>
      </c>
      <c r="E304" s="106">
        <f t="shared" si="1"/>
        <v>1080</v>
      </c>
      <c r="F304" s="52"/>
      <c r="G304" s="5"/>
    </row>
    <row r="305">
      <c r="A305" s="5"/>
      <c r="B305" s="62" t="s">
        <v>229</v>
      </c>
      <c r="C305" s="13">
        <v>0.25</v>
      </c>
      <c r="D305" s="10">
        <v>2400.0</v>
      </c>
      <c r="E305" s="106">
        <f t="shared" si="1"/>
        <v>600</v>
      </c>
      <c r="F305" s="12"/>
      <c r="G305" s="5"/>
    </row>
    <row r="306">
      <c r="A306" s="5"/>
      <c r="B306" s="62" t="s">
        <v>286</v>
      </c>
      <c r="C306" s="13">
        <v>1.0</v>
      </c>
      <c r="D306" s="10">
        <v>300.0</v>
      </c>
      <c r="E306" s="106">
        <f t="shared" si="1"/>
        <v>300</v>
      </c>
      <c r="F306" s="9"/>
      <c r="G306" s="5"/>
    </row>
    <row r="307">
      <c r="A307" s="5"/>
      <c r="B307" s="62" t="s">
        <v>153</v>
      </c>
      <c r="C307" s="13">
        <v>40.0</v>
      </c>
      <c r="D307" s="10">
        <v>120.0</v>
      </c>
      <c r="E307" s="106">
        <f t="shared" si="1"/>
        <v>4800</v>
      </c>
      <c r="F307" s="74" t="s">
        <v>287</v>
      </c>
      <c r="G307" s="5"/>
    </row>
    <row r="308">
      <c r="A308" s="5"/>
      <c r="B308" s="62" t="s">
        <v>95</v>
      </c>
      <c r="C308" s="13">
        <v>1.25</v>
      </c>
      <c r="D308" s="10">
        <v>800.0</v>
      </c>
      <c r="E308" s="106">
        <f t="shared" si="1"/>
        <v>1000</v>
      </c>
      <c r="F308" s="12"/>
      <c r="G308" s="5"/>
    </row>
    <row r="309">
      <c r="A309" s="5"/>
      <c r="B309" s="62" t="s">
        <v>151</v>
      </c>
      <c r="C309" s="13">
        <v>1.0</v>
      </c>
      <c r="D309" s="10">
        <v>1200.0</v>
      </c>
      <c r="E309" s="106">
        <f t="shared" si="1"/>
        <v>1200</v>
      </c>
      <c r="F309" s="12"/>
      <c r="G309" s="5"/>
    </row>
    <row r="310">
      <c r="A310" s="5"/>
      <c r="B310" s="62" t="s">
        <v>283</v>
      </c>
      <c r="C310" s="13">
        <v>3.8</v>
      </c>
      <c r="D310" s="10">
        <v>1900.0</v>
      </c>
      <c r="E310" s="106">
        <f t="shared" si="1"/>
        <v>7220</v>
      </c>
      <c r="F310" s="9"/>
      <c r="G310" s="5"/>
    </row>
    <row r="311">
      <c r="A311" s="5"/>
      <c r="B311" s="62" t="s">
        <v>288</v>
      </c>
      <c r="C311" s="13">
        <v>5.0</v>
      </c>
      <c r="D311" s="10">
        <v>240.0</v>
      </c>
      <c r="E311" s="106">
        <f t="shared" si="1"/>
        <v>1200</v>
      </c>
      <c r="F311" s="12"/>
      <c r="G311" s="5"/>
    </row>
    <row r="312">
      <c r="A312" s="5"/>
      <c r="B312" s="62" t="s">
        <v>94</v>
      </c>
      <c r="C312" s="13">
        <v>2.0</v>
      </c>
      <c r="D312" s="10">
        <v>500.0</v>
      </c>
      <c r="E312" s="106">
        <f t="shared" si="1"/>
        <v>1000</v>
      </c>
      <c r="F312" s="12"/>
      <c r="G312" s="5"/>
    </row>
    <row r="313">
      <c r="A313" s="5"/>
      <c r="B313" s="62" t="s">
        <v>265</v>
      </c>
      <c r="C313" s="13">
        <v>15.0</v>
      </c>
      <c r="D313" s="10">
        <v>60.0</v>
      </c>
      <c r="E313" s="106">
        <f t="shared" si="1"/>
        <v>900</v>
      </c>
      <c r="F313" s="12"/>
      <c r="G313" s="5"/>
    </row>
    <row r="314">
      <c r="A314" s="5"/>
      <c r="B314" s="62" t="s">
        <v>289</v>
      </c>
      <c r="C314" s="13">
        <v>1.0</v>
      </c>
      <c r="D314" s="10">
        <v>110.0</v>
      </c>
      <c r="E314" s="106">
        <f t="shared" si="1"/>
        <v>110</v>
      </c>
      <c r="F314" s="12"/>
      <c r="G314" s="5"/>
    </row>
    <row r="315">
      <c r="A315" s="5"/>
      <c r="B315" s="62" t="s">
        <v>95</v>
      </c>
      <c r="C315" s="13">
        <v>1.5</v>
      </c>
      <c r="D315" s="10">
        <v>800.0</v>
      </c>
      <c r="E315" s="106">
        <f t="shared" si="1"/>
        <v>1200</v>
      </c>
      <c r="F315" s="114">
        <v>45489.0</v>
      </c>
      <c r="G315" s="5"/>
    </row>
    <row r="316">
      <c r="A316" s="5"/>
      <c r="B316" s="62" t="s">
        <v>181</v>
      </c>
      <c r="C316" s="13">
        <v>1.0</v>
      </c>
      <c r="D316" s="10">
        <v>550.0</v>
      </c>
      <c r="E316" s="106">
        <f t="shared" si="1"/>
        <v>550</v>
      </c>
      <c r="F316" s="12"/>
      <c r="G316" s="5"/>
    </row>
    <row r="317">
      <c r="A317" s="5"/>
      <c r="B317" s="62" t="s">
        <v>124</v>
      </c>
      <c r="C317" s="13">
        <v>1.0</v>
      </c>
      <c r="D317" s="10">
        <v>1400.0</v>
      </c>
      <c r="E317" s="106">
        <f t="shared" si="1"/>
        <v>1400</v>
      </c>
      <c r="F317" s="12"/>
      <c r="G317" s="5"/>
    </row>
    <row r="318">
      <c r="A318" s="5"/>
      <c r="B318" s="62" t="s">
        <v>203</v>
      </c>
      <c r="C318" s="13">
        <v>8.0</v>
      </c>
      <c r="D318" s="10">
        <v>150.0</v>
      </c>
      <c r="E318" s="106">
        <f t="shared" si="1"/>
        <v>1200</v>
      </c>
      <c r="F318" s="12"/>
      <c r="G318" s="5"/>
    </row>
    <row r="319">
      <c r="A319" s="5"/>
      <c r="B319" s="62" t="s">
        <v>165</v>
      </c>
      <c r="C319" s="13">
        <v>2.0</v>
      </c>
      <c r="D319" s="10">
        <v>120.0</v>
      </c>
      <c r="E319" s="106">
        <f t="shared" si="1"/>
        <v>240</v>
      </c>
      <c r="F319" s="12"/>
      <c r="G319" s="5"/>
    </row>
    <row r="320">
      <c r="A320" s="5"/>
      <c r="B320" s="62" t="s">
        <v>151</v>
      </c>
      <c r="C320" s="13">
        <v>2.0</v>
      </c>
      <c r="D320" s="10">
        <v>400.0</v>
      </c>
      <c r="E320" s="106">
        <f t="shared" si="1"/>
        <v>800</v>
      </c>
      <c r="F320" s="12"/>
      <c r="G320" s="5"/>
    </row>
    <row r="321">
      <c r="A321" s="5"/>
      <c r="B321" s="62" t="s">
        <v>157</v>
      </c>
      <c r="C321" s="13">
        <v>1.0</v>
      </c>
      <c r="D321" s="10">
        <v>1000.0</v>
      </c>
      <c r="E321" s="106">
        <f t="shared" si="1"/>
        <v>1000</v>
      </c>
      <c r="F321" s="9"/>
      <c r="G321" s="5"/>
    </row>
    <row r="322">
      <c r="A322" s="5"/>
      <c r="B322" s="62" t="s">
        <v>181</v>
      </c>
      <c r="C322" s="13">
        <v>1.0</v>
      </c>
      <c r="D322" s="10">
        <v>220.0</v>
      </c>
      <c r="E322" s="106">
        <f t="shared" si="1"/>
        <v>220</v>
      </c>
      <c r="F322" s="12"/>
      <c r="G322" s="5"/>
    </row>
    <row r="323">
      <c r="A323" s="5"/>
      <c r="B323" s="62" t="s">
        <v>94</v>
      </c>
      <c r="C323" s="13">
        <v>5.0</v>
      </c>
      <c r="D323" s="10">
        <v>380.0</v>
      </c>
      <c r="E323" s="106">
        <f t="shared" si="1"/>
        <v>1900</v>
      </c>
      <c r="F323" s="12"/>
      <c r="G323" s="5"/>
    </row>
    <row r="324">
      <c r="A324" s="5"/>
      <c r="B324" s="62" t="s">
        <v>290</v>
      </c>
      <c r="C324" s="13">
        <v>21.0</v>
      </c>
      <c r="D324" s="10">
        <v>1000.0</v>
      </c>
      <c r="E324" s="106">
        <f t="shared" si="1"/>
        <v>21000</v>
      </c>
      <c r="F324" s="12"/>
      <c r="G324" s="5"/>
    </row>
    <row r="325">
      <c r="A325" s="5"/>
      <c r="B325" s="62" t="s">
        <v>291</v>
      </c>
      <c r="C325" s="13">
        <v>1.0</v>
      </c>
      <c r="D325" s="10">
        <v>2000.0</v>
      </c>
      <c r="E325" s="106">
        <f t="shared" si="1"/>
        <v>2000</v>
      </c>
      <c r="F325" s="12"/>
      <c r="G325" s="5"/>
    </row>
    <row r="326">
      <c r="A326" s="5"/>
      <c r="B326" s="62" t="s">
        <v>204</v>
      </c>
      <c r="C326" s="13">
        <v>5.0</v>
      </c>
      <c r="D326" s="10">
        <v>400.0</v>
      </c>
      <c r="E326" s="106">
        <f t="shared" si="1"/>
        <v>2000</v>
      </c>
      <c r="F326" s="12"/>
      <c r="G326" s="5"/>
    </row>
    <row r="327">
      <c r="A327" s="5"/>
      <c r="B327" s="62" t="s">
        <v>95</v>
      </c>
      <c r="C327" s="74">
        <v>1.5</v>
      </c>
      <c r="D327" s="11">
        <v>800.0</v>
      </c>
      <c r="E327" s="106">
        <f t="shared" si="1"/>
        <v>1200</v>
      </c>
      <c r="F327" s="115"/>
      <c r="G327" s="5"/>
    </row>
    <row r="328">
      <c r="A328" s="5"/>
      <c r="B328" s="62" t="s">
        <v>96</v>
      </c>
      <c r="C328" s="74">
        <v>3.0</v>
      </c>
      <c r="D328" s="11">
        <v>800.0</v>
      </c>
      <c r="E328" s="106">
        <f t="shared" si="1"/>
        <v>2400</v>
      </c>
      <c r="F328" s="115"/>
      <c r="G328" s="5"/>
    </row>
    <row r="329">
      <c r="A329" s="5"/>
      <c r="B329" s="62" t="s">
        <v>153</v>
      </c>
      <c r="C329" s="74">
        <v>3.0</v>
      </c>
      <c r="D329" s="11">
        <v>100.0</v>
      </c>
      <c r="E329" s="106">
        <f t="shared" si="1"/>
        <v>300</v>
      </c>
      <c r="F329" s="115"/>
      <c r="G329" s="5"/>
    </row>
    <row r="330">
      <c r="A330" s="5"/>
      <c r="B330" s="62" t="s">
        <v>292</v>
      </c>
      <c r="C330" s="74">
        <v>1.0</v>
      </c>
      <c r="D330" s="11">
        <v>1850.0</v>
      </c>
      <c r="E330" s="106">
        <f t="shared" si="1"/>
        <v>1850</v>
      </c>
      <c r="F330" s="115"/>
      <c r="G330" s="5"/>
    </row>
    <row r="331">
      <c r="A331" s="5"/>
      <c r="B331" s="62" t="s">
        <v>293</v>
      </c>
      <c r="C331" s="74">
        <v>1.0</v>
      </c>
      <c r="D331" s="11">
        <v>1000.0</v>
      </c>
      <c r="E331" s="106">
        <f t="shared" si="1"/>
        <v>1000</v>
      </c>
      <c r="F331" s="115"/>
      <c r="G331" s="5"/>
    </row>
    <row r="332">
      <c r="A332" s="5"/>
      <c r="B332" s="62" t="s">
        <v>294</v>
      </c>
      <c r="C332" s="74">
        <v>1.0</v>
      </c>
      <c r="D332" s="11">
        <v>7000.0</v>
      </c>
      <c r="E332" s="106">
        <f t="shared" si="1"/>
        <v>7000</v>
      </c>
      <c r="F332" s="115"/>
      <c r="G332" s="5"/>
    </row>
    <row r="333">
      <c r="A333" s="5"/>
      <c r="B333" s="62" t="s">
        <v>295</v>
      </c>
      <c r="C333" s="74">
        <v>1.0</v>
      </c>
      <c r="D333" s="11">
        <v>500.0</v>
      </c>
      <c r="E333" s="106">
        <f t="shared" si="1"/>
        <v>500</v>
      </c>
      <c r="F333" s="115"/>
      <c r="G333" s="5"/>
    </row>
    <row r="334">
      <c r="A334" s="5"/>
      <c r="B334" s="62" t="s">
        <v>296</v>
      </c>
      <c r="C334" s="74">
        <v>3.0</v>
      </c>
      <c r="D334" s="11">
        <v>1200.0</v>
      </c>
      <c r="E334" s="106">
        <f t="shared" si="1"/>
        <v>3600</v>
      </c>
      <c r="F334" s="115"/>
      <c r="G334" s="5"/>
    </row>
    <row r="335">
      <c r="A335" s="5"/>
      <c r="B335" s="62" t="s">
        <v>297</v>
      </c>
      <c r="C335" s="74">
        <v>1.0</v>
      </c>
      <c r="D335" s="11">
        <v>2500.0</v>
      </c>
      <c r="E335" s="106">
        <f t="shared" si="1"/>
        <v>2500</v>
      </c>
      <c r="F335" s="115"/>
      <c r="G335" s="5"/>
    </row>
    <row r="336">
      <c r="A336" s="5"/>
      <c r="B336" s="62" t="s">
        <v>298</v>
      </c>
      <c r="C336" s="74">
        <v>1.0</v>
      </c>
      <c r="D336" s="11">
        <v>150.0</v>
      </c>
      <c r="E336" s="106">
        <f t="shared" si="1"/>
        <v>150</v>
      </c>
      <c r="F336" s="114">
        <v>45491.0</v>
      </c>
      <c r="G336" s="5"/>
    </row>
    <row r="337">
      <c r="A337" s="5"/>
      <c r="B337" s="62" t="s">
        <v>299</v>
      </c>
      <c r="C337" s="74">
        <v>1.0</v>
      </c>
      <c r="D337" s="11">
        <v>890.0</v>
      </c>
      <c r="E337" s="106">
        <f t="shared" si="1"/>
        <v>890</v>
      </c>
      <c r="F337" s="115"/>
      <c r="G337" s="5"/>
    </row>
    <row r="338">
      <c r="A338" s="5"/>
      <c r="B338" s="62" t="s">
        <v>300</v>
      </c>
      <c r="C338" s="74">
        <v>1.0</v>
      </c>
      <c r="D338" s="11">
        <v>650.0</v>
      </c>
      <c r="E338" s="106">
        <f t="shared" si="1"/>
        <v>650</v>
      </c>
      <c r="F338" s="115"/>
      <c r="G338" s="5"/>
    </row>
    <row r="339">
      <c r="A339" s="5"/>
      <c r="B339" s="62" t="s">
        <v>301</v>
      </c>
      <c r="C339" s="74">
        <v>2.0</v>
      </c>
      <c r="D339" s="11">
        <v>1650.0</v>
      </c>
      <c r="E339" s="106">
        <f t="shared" si="1"/>
        <v>3300</v>
      </c>
      <c r="F339" s="115"/>
      <c r="G339" s="5"/>
    </row>
    <row r="340">
      <c r="A340" s="5"/>
      <c r="B340" s="62" t="s">
        <v>302</v>
      </c>
      <c r="C340" s="74">
        <v>2.0</v>
      </c>
      <c r="D340" s="11">
        <v>1350.0</v>
      </c>
      <c r="E340" s="106">
        <f t="shared" si="1"/>
        <v>2700</v>
      </c>
      <c r="F340" s="115"/>
      <c r="G340" s="5"/>
    </row>
    <row r="341">
      <c r="A341" s="5"/>
      <c r="B341" s="62" t="s">
        <v>303</v>
      </c>
      <c r="C341" s="74">
        <v>1.0</v>
      </c>
      <c r="D341" s="11">
        <v>1100.0</v>
      </c>
      <c r="E341" s="106">
        <f t="shared" si="1"/>
        <v>1100</v>
      </c>
      <c r="F341" s="115"/>
      <c r="G341" s="5"/>
    </row>
    <row r="342">
      <c r="A342" s="5"/>
      <c r="B342" s="62" t="s">
        <v>304</v>
      </c>
      <c r="C342" s="74">
        <v>14.0</v>
      </c>
      <c r="D342" s="11">
        <v>750.0</v>
      </c>
      <c r="E342" s="106">
        <f t="shared" si="1"/>
        <v>10500</v>
      </c>
      <c r="F342" s="115"/>
      <c r="G342" s="5"/>
    </row>
    <row r="343">
      <c r="A343" s="5"/>
      <c r="B343" s="62" t="s">
        <v>100</v>
      </c>
      <c r="C343" s="74">
        <v>1.0</v>
      </c>
      <c r="D343" s="11">
        <v>400.0</v>
      </c>
      <c r="E343" s="106">
        <f t="shared" si="1"/>
        <v>400</v>
      </c>
      <c r="F343" s="115"/>
      <c r="G343" s="5"/>
    </row>
    <row r="344">
      <c r="A344" s="5"/>
      <c r="B344" s="62" t="s">
        <v>101</v>
      </c>
      <c r="C344" s="74">
        <v>1.0</v>
      </c>
      <c r="D344" s="11">
        <v>600.0</v>
      </c>
      <c r="E344" s="106">
        <f t="shared" si="1"/>
        <v>600</v>
      </c>
      <c r="F344" s="115"/>
      <c r="G344" s="5"/>
    </row>
    <row r="345">
      <c r="A345" s="5"/>
      <c r="B345" s="62" t="s">
        <v>305</v>
      </c>
      <c r="C345" s="74">
        <v>4.0</v>
      </c>
      <c r="D345" s="11">
        <v>1400.0</v>
      </c>
      <c r="E345" s="106">
        <f t="shared" si="1"/>
        <v>5600</v>
      </c>
      <c r="F345" s="115"/>
      <c r="G345" s="5"/>
    </row>
    <row r="346">
      <c r="A346" s="5"/>
      <c r="B346" s="62" t="s">
        <v>130</v>
      </c>
      <c r="C346" s="74">
        <v>1.0</v>
      </c>
      <c r="D346" s="11">
        <v>800.0</v>
      </c>
      <c r="E346" s="106">
        <f t="shared" si="1"/>
        <v>800</v>
      </c>
      <c r="F346" s="115"/>
      <c r="G346" s="5"/>
    </row>
    <row r="347">
      <c r="A347" s="5"/>
      <c r="B347" s="62" t="s">
        <v>306</v>
      </c>
      <c r="C347" s="74">
        <v>10.0</v>
      </c>
      <c r="D347" s="11">
        <v>30.0</v>
      </c>
      <c r="E347" s="106">
        <f t="shared" si="1"/>
        <v>300</v>
      </c>
      <c r="F347" s="115"/>
      <c r="G347" s="5"/>
    </row>
    <row r="348">
      <c r="A348" s="5"/>
      <c r="B348" s="62" t="s">
        <v>97</v>
      </c>
      <c r="C348" s="74">
        <v>20.0</v>
      </c>
      <c r="D348" s="11">
        <v>60.0</v>
      </c>
      <c r="E348" s="106">
        <f t="shared" si="1"/>
        <v>1200</v>
      </c>
      <c r="F348" s="115"/>
      <c r="G348" s="5"/>
    </row>
    <row r="349">
      <c r="A349" s="5"/>
      <c r="B349" s="62" t="s">
        <v>179</v>
      </c>
      <c r="C349" s="74">
        <v>4.0</v>
      </c>
      <c r="D349" s="11">
        <v>30.0</v>
      </c>
      <c r="E349" s="106">
        <f t="shared" si="1"/>
        <v>120</v>
      </c>
      <c r="F349" s="115"/>
      <c r="G349" s="5"/>
    </row>
    <row r="350">
      <c r="A350" s="5"/>
      <c r="B350" s="62" t="s">
        <v>198</v>
      </c>
      <c r="C350" s="74">
        <v>10.0</v>
      </c>
      <c r="D350" s="11">
        <v>300.0</v>
      </c>
      <c r="E350" s="106">
        <f t="shared" si="1"/>
        <v>3000</v>
      </c>
      <c r="F350" s="115"/>
      <c r="G350" s="5"/>
    </row>
    <row r="351">
      <c r="A351" s="5"/>
      <c r="B351" s="62" t="s">
        <v>206</v>
      </c>
      <c r="C351" s="74">
        <v>1.0</v>
      </c>
      <c r="D351" s="11">
        <v>100.0</v>
      </c>
      <c r="E351" s="106">
        <f t="shared" si="1"/>
        <v>100</v>
      </c>
      <c r="F351" s="115"/>
      <c r="G351" s="5"/>
    </row>
    <row r="352">
      <c r="A352" s="5"/>
      <c r="B352" s="62" t="s">
        <v>307</v>
      </c>
      <c r="C352" s="74">
        <v>1.0</v>
      </c>
      <c r="D352" s="11">
        <v>400.0</v>
      </c>
      <c r="E352" s="106">
        <f t="shared" si="1"/>
        <v>400</v>
      </c>
      <c r="F352" s="115"/>
      <c r="G352" s="5"/>
    </row>
    <row r="353">
      <c r="A353" s="5"/>
      <c r="B353" s="62" t="s">
        <v>230</v>
      </c>
      <c r="C353" s="74">
        <v>1.0</v>
      </c>
      <c r="D353" s="11">
        <v>500.0</v>
      </c>
      <c r="E353" s="106">
        <f t="shared" si="1"/>
        <v>500</v>
      </c>
      <c r="F353" s="115"/>
      <c r="G353" s="5"/>
    </row>
    <row r="354">
      <c r="A354" s="5"/>
      <c r="B354" s="62" t="s">
        <v>234</v>
      </c>
      <c r="C354" s="74">
        <v>1.0</v>
      </c>
      <c r="D354" s="11">
        <v>200.0</v>
      </c>
      <c r="E354" s="106">
        <f t="shared" si="1"/>
        <v>200</v>
      </c>
      <c r="F354" s="115"/>
      <c r="G354" s="5"/>
    </row>
    <row r="355">
      <c r="A355" s="5"/>
      <c r="B355" s="62" t="s">
        <v>229</v>
      </c>
      <c r="C355" s="74">
        <v>1.0</v>
      </c>
      <c r="D355" s="11">
        <v>500.0</v>
      </c>
      <c r="E355" s="106">
        <f t="shared" si="1"/>
        <v>500</v>
      </c>
      <c r="F355" s="115"/>
      <c r="G355" s="5"/>
    </row>
    <row r="356">
      <c r="A356" s="5"/>
      <c r="B356" s="62" t="s">
        <v>153</v>
      </c>
      <c r="C356" s="74">
        <v>20.0</v>
      </c>
      <c r="D356" s="11">
        <v>100.0</v>
      </c>
      <c r="E356" s="106">
        <f t="shared" si="1"/>
        <v>2000</v>
      </c>
      <c r="F356" s="115"/>
      <c r="G356" s="5"/>
    </row>
    <row r="357">
      <c r="A357" s="5"/>
      <c r="B357" s="62" t="s">
        <v>308</v>
      </c>
      <c r="C357" s="74">
        <v>1.0</v>
      </c>
      <c r="D357" s="11">
        <v>650.0</v>
      </c>
      <c r="E357" s="106">
        <f t="shared" si="1"/>
        <v>650</v>
      </c>
      <c r="F357" s="115"/>
      <c r="G357" s="5"/>
    </row>
    <row r="358">
      <c r="A358" s="5"/>
      <c r="B358" s="62" t="s">
        <v>151</v>
      </c>
      <c r="C358" s="74">
        <v>4.0</v>
      </c>
      <c r="D358" s="11">
        <v>400.0</v>
      </c>
      <c r="E358" s="106">
        <f t="shared" si="1"/>
        <v>1600</v>
      </c>
      <c r="F358" s="115"/>
      <c r="G358" s="5"/>
    </row>
    <row r="359">
      <c r="A359" s="5"/>
      <c r="B359" s="62" t="s">
        <v>164</v>
      </c>
      <c r="C359" s="74">
        <v>1.0</v>
      </c>
      <c r="D359" s="11">
        <v>1000.0</v>
      </c>
      <c r="E359" s="106">
        <f t="shared" si="1"/>
        <v>1000</v>
      </c>
      <c r="F359" s="115"/>
      <c r="G359" s="5"/>
    </row>
    <row r="360">
      <c r="A360" s="5"/>
      <c r="B360" s="62" t="s">
        <v>309</v>
      </c>
      <c r="C360" s="74">
        <v>1.0</v>
      </c>
      <c r="D360" s="11">
        <v>1450.0</v>
      </c>
      <c r="E360" s="106">
        <f t="shared" si="1"/>
        <v>1450</v>
      </c>
      <c r="F360" s="115"/>
      <c r="G360" s="5"/>
    </row>
    <row r="361">
      <c r="A361" s="5"/>
      <c r="B361" s="62" t="s">
        <v>310</v>
      </c>
      <c r="C361" s="74">
        <v>1.0</v>
      </c>
      <c r="D361" s="11">
        <v>1000.0</v>
      </c>
      <c r="E361" s="106">
        <f t="shared" si="1"/>
        <v>1000</v>
      </c>
      <c r="F361" s="115"/>
      <c r="G361" s="5"/>
    </row>
    <row r="362">
      <c r="A362" s="5"/>
      <c r="B362" s="62" t="s">
        <v>311</v>
      </c>
      <c r="C362" s="74">
        <v>5.0</v>
      </c>
      <c r="D362" s="11">
        <v>230.0</v>
      </c>
      <c r="E362" s="106">
        <f t="shared" si="1"/>
        <v>1150</v>
      </c>
      <c r="F362" s="115"/>
      <c r="G362" s="5"/>
    </row>
    <row r="363">
      <c r="A363" s="5"/>
      <c r="B363" s="62" t="s">
        <v>93</v>
      </c>
      <c r="C363" s="74">
        <v>64.0</v>
      </c>
      <c r="D363" s="11">
        <v>195.0</v>
      </c>
      <c r="E363" s="106">
        <f t="shared" si="1"/>
        <v>12480</v>
      </c>
      <c r="F363" s="115"/>
      <c r="G363" s="5"/>
    </row>
    <row r="364">
      <c r="A364" s="5"/>
      <c r="B364" s="62" t="s">
        <v>132</v>
      </c>
      <c r="C364" s="74">
        <v>12.0</v>
      </c>
      <c r="D364" s="11">
        <v>60.0</v>
      </c>
      <c r="E364" s="106">
        <f t="shared" si="1"/>
        <v>720</v>
      </c>
      <c r="F364" s="115"/>
      <c r="G364" s="5"/>
    </row>
    <row r="365">
      <c r="A365" s="5"/>
      <c r="B365" s="121" t="s">
        <v>312</v>
      </c>
      <c r="C365" s="122">
        <v>48.0</v>
      </c>
      <c r="D365" s="123">
        <v>17.0</v>
      </c>
      <c r="E365" s="124">
        <f t="shared" si="1"/>
        <v>816</v>
      </c>
      <c r="F365" s="115"/>
      <c r="G365" s="5"/>
    </row>
    <row r="366">
      <c r="A366" s="5"/>
      <c r="B366" s="62" t="s">
        <v>94</v>
      </c>
      <c r="C366" s="74">
        <v>6.0</v>
      </c>
      <c r="D366" s="11">
        <v>400.0</v>
      </c>
      <c r="E366" s="106">
        <f t="shared" si="1"/>
        <v>2400</v>
      </c>
      <c r="F366" s="115"/>
      <c r="G366" s="5"/>
    </row>
    <row r="367">
      <c r="A367" s="5"/>
      <c r="B367" s="62" t="s">
        <v>263</v>
      </c>
      <c r="C367" s="13">
        <v>2.0</v>
      </c>
      <c r="D367" s="10">
        <v>250.0</v>
      </c>
      <c r="E367" s="106">
        <f t="shared" si="1"/>
        <v>500</v>
      </c>
      <c r="F367" s="115"/>
      <c r="G367" s="5"/>
    </row>
    <row r="368">
      <c r="A368" s="5"/>
      <c r="B368" s="62" t="s">
        <v>98</v>
      </c>
      <c r="C368" s="13">
        <v>20.0</v>
      </c>
      <c r="D368" s="10">
        <v>160.0</v>
      </c>
      <c r="E368" s="106">
        <f t="shared" si="1"/>
        <v>3200</v>
      </c>
      <c r="F368" s="115"/>
      <c r="G368" s="5"/>
    </row>
    <row r="369">
      <c r="A369" s="5"/>
      <c r="B369" s="62" t="s">
        <v>313</v>
      </c>
      <c r="C369" s="13">
        <v>5.0</v>
      </c>
      <c r="D369" s="10">
        <v>650.0</v>
      </c>
      <c r="E369" s="106">
        <f t="shared" si="1"/>
        <v>3250</v>
      </c>
      <c r="F369" s="9"/>
      <c r="G369" s="5"/>
    </row>
    <row r="370">
      <c r="A370" s="5"/>
      <c r="B370" s="62" t="s">
        <v>313</v>
      </c>
      <c r="C370" s="13">
        <v>1.0</v>
      </c>
      <c r="D370" s="10">
        <v>1000.0</v>
      </c>
      <c r="E370" s="106">
        <f t="shared" si="1"/>
        <v>1000</v>
      </c>
      <c r="F370" s="74" t="s">
        <v>314</v>
      </c>
      <c r="G370" s="5"/>
    </row>
    <row r="371">
      <c r="A371" s="5"/>
      <c r="B371" s="62" t="s">
        <v>204</v>
      </c>
      <c r="C371" s="13">
        <v>0.5</v>
      </c>
      <c r="D371" s="10">
        <v>400.0</v>
      </c>
      <c r="E371" s="106">
        <f t="shared" si="1"/>
        <v>200</v>
      </c>
      <c r="F371" s="115"/>
      <c r="G371" s="5"/>
    </row>
    <row r="372">
      <c r="A372" s="5"/>
      <c r="B372" s="62" t="s">
        <v>153</v>
      </c>
      <c r="C372" s="13">
        <v>2.0</v>
      </c>
      <c r="D372" s="10">
        <v>120.0</v>
      </c>
      <c r="E372" s="106">
        <f t="shared" si="1"/>
        <v>240</v>
      </c>
      <c r="F372" s="115"/>
      <c r="G372" s="5"/>
    </row>
    <row r="373">
      <c r="A373" s="5"/>
      <c r="B373" s="62" t="s">
        <v>94</v>
      </c>
      <c r="C373" s="13">
        <v>3.0</v>
      </c>
      <c r="D373" s="10">
        <v>400.0</v>
      </c>
      <c r="E373" s="106">
        <f t="shared" si="1"/>
        <v>1200</v>
      </c>
      <c r="F373" s="115"/>
      <c r="G373" s="5"/>
    </row>
    <row r="374">
      <c r="A374" s="5"/>
      <c r="B374" s="62" t="s">
        <v>315</v>
      </c>
      <c r="C374" s="13">
        <v>1.0</v>
      </c>
      <c r="D374" s="10">
        <v>29000.0</v>
      </c>
      <c r="E374" s="106">
        <f t="shared" si="1"/>
        <v>29000</v>
      </c>
      <c r="F374" s="115"/>
      <c r="G374" s="5"/>
    </row>
    <row r="375">
      <c r="A375" s="5"/>
      <c r="B375" s="62" t="s">
        <v>97</v>
      </c>
      <c r="C375" s="13">
        <v>20.0</v>
      </c>
      <c r="D375" s="10">
        <v>40.0</v>
      </c>
      <c r="E375" s="106">
        <f t="shared" si="1"/>
        <v>800</v>
      </c>
      <c r="F375" s="114">
        <v>45497.0</v>
      </c>
      <c r="G375" s="5"/>
    </row>
    <row r="376">
      <c r="A376" s="5"/>
      <c r="B376" s="62" t="s">
        <v>163</v>
      </c>
      <c r="C376" s="13">
        <v>4.0</v>
      </c>
      <c r="D376" s="10">
        <v>50.0</v>
      </c>
      <c r="E376" s="106">
        <f t="shared" si="1"/>
        <v>200</v>
      </c>
      <c r="F376" s="115"/>
      <c r="G376" s="5"/>
    </row>
    <row r="377">
      <c r="A377" s="5"/>
      <c r="B377" s="62" t="s">
        <v>165</v>
      </c>
      <c r="C377" s="13">
        <v>8.0</v>
      </c>
      <c r="D377" s="10">
        <v>120.0</v>
      </c>
      <c r="E377" s="106">
        <f t="shared" si="1"/>
        <v>960</v>
      </c>
      <c r="F377" s="115"/>
      <c r="G377" s="5"/>
    </row>
    <row r="378">
      <c r="A378" s="5"/>
      <c r="B378" s="62" t="s">
        <v>316</v>
      </c>
      <c r="C378" s="13">
        <v>7.0</v>
      </c>
      <c r="D378" s="10">
        <v>200.0</v>
      </c>
      <c r="E378" s="106">
        <f t="shared" si="1"/>
        <v>1400</v>
      </c>
      <c r="F378" s="115"/>
      <c r="G378" s="5"/>
    </row>
    <row r="379">
      <c r="A379" s="5"/>
      <c r="B379" s="62" t="s">
        <v>100</v>
      </c>
      <c r="C379" s="13">
        <v>1.0</v>
      </c>
      <c r="D379" s="10">
        <v>400.0</v>
      </c>
      <c r="E379" s="106">
        <f t="shared" si="1"/>
        <v>400</v>
      </c>
      <c r="F379" s="115"/>
      <c r="G379" s="5"/>
    </row>
    <row r="380">
      <c r="A380" s="5"/>
      <c r="B380" s="62" t="s">
        <v>101</v>
      </c>
      <c r="C380" s="13">
        <v>1.0</v>
      </c>
      <c r="D380" s="10">
        <v>600.0</v>
      </c>
      <c r="E380" s="106">
        <f t="shared" si="1"/>
        <v>600</v>
      </c>
      <c r="F380" s="115"/>
      <c r="G380" s="5"/>
    </row>
    <row r="381">
      <c r="A381" s="5"/>
      <c r="B381" s="62" t="s">
        <v>164</v>
      </c>
      <c r="C381" s="13">
        <v>1.0</v>
      </c>
      <c r="D381" s="10">
        <v>500.0</v>
      </c>
      <c r="E381" s="106">
        <f t="shared" si="1"/>
        <v>500</v>
      </c>
      <c r="F381" s="115"/>
      <c r="G381" s="5"/>
    </row>
    <row r="382">
      <c r="A382" s="5"/>
      <c r="B382" s="62" t="s">
        <v>153</v>
      </c>
      <c r="C382" s="13">
        <v>5.0</v>
      </c>
      <c r="D382" s="10">
        <v>120.0</v>
      </c>
      <c r="E382" s="106">
        <f t="shared" si="1"/>
        <v>600</v>
      </c>
      <c r="F382" s="115"/>
      <c r="G382" s="5"/>
    </row>
    <row r="383">
      <c r="A383" s="5"/>
      <c r="B383" s="62" t="s">
        <v>317</v>
      </c>
      <c r="C383" s="13">
        <v>2.0</v>
      </c>
      <c r="D383" s="10">
        <v>200.0</v>
      </c>
      <c r="E383" s="106">
        <f t="shared" si="1"/>
        <v>400</v>
      </c>
      <c r="F383" s="115"/>
      <c r="G383" s="5"/>
    </row>
    <row r="384">
      <c r="A384" s="5"/>
      <c r="B384" s="103" t="s">
        <v>206</v>
      </c>
      <c r="C384" s="104">
        <v>1.0</v>
      </c>
      <c r="D384" s="105">
        <v>100.0</v>
      </c>
      <c r="E384" s="106">
        <f t="shared" si="1"/>
        <v>100</v>
      </c>
      <c r="F384" s="125"/>
      <c r="G384" s="5"/>
    </row>
    <row r="385">
      <c r="A385" s="5"/>
      <c r="B385" s="62" t="s">
        <v>96</v>
      </c>
      <c r="C385" s="13">
        <v>2.0</v>
      </c>
      <c r="D385" s="10">
        <v>800.0</v>
      </c>
      <c r="E385" s="106">
        <f t="shared" si="1"/>
        <v>1600</v>
      </c>
      <c r="F385" s="115"/>
      <c r="G385" s="5"/>
    </row>
    <row r="386">
      <c r="A386" s="5"/>
      <c r="B386" s="62" t="s">
        <v>95</v>
      </c>
      <c r="C386" s="13">
        <v>2.5</v>
      </c>
      <c r="D386" s="10">
        <v>600.0</v>
      </c>
      <c r="E386" s="106">
        <f t="shared" si="1"/>
        <v>1500</v>
      </c>
      <c r="F386" s="9"/>
      <c r="G386" s="5"/>
    </row>
    <row r="387">
      <c r="A387" s="5"/>
      <c r="B387" s="62" t="s">
        <v>313</v>
      </c>
      <c r="C387" s="13">
        <v>1.0</v>
      </c>
      <c r="D387" s="10">
        <v>600.0</v>
      </c>
      <c r="E387" s="106">
        <f t="shared" si="1"/>
        <v>600</v>
      </c>
      <c r="F387" s="44"/>
      <c r="G387" s="5"/>
    </row>
    <row r="388">
      <c r="A388" s="5"/>
      <c r="B388" s="62" t="s">
        <v>318</v>
      </c>
      <c r="C388" s="13">
        <v>2.0</v>
      </c>
      <c r="D388" s="10">
        <v>300.0</v>
      </c>
      <c r="E388" s="106">
        <f t="shared" si="1"/>
        <v>600</v>
      </c>
      <c r="F388" s="9"/>
      <c r="G388" s="5"/>
    </row>
    <row r="389">
      <c r="A389" s="5"/>
      <c r="B389" s="62" t="s">
        <v>319</v>
      </c>
      <c r="C389" s="13">
        <v>1.0</v>
      </c>
      <c r="D389" s="10">
        <v>300.0</v>
      </c>
      <c r="E389" s="106">
        <f t="shared" si="1"/>
        <v>300</v>
      </c>
      <c r="F389" s="9"/>
      <c r="G389" s="5"/>
    </row>
    <row r="390">
      <c r="A390" s="5"/>
      <c r="B390" s="62" t="s">
        <v>153</v>
      </c>
      <c r="C390" s="13">
        <v>14.0</v>
      </c>
      <c r="D390" s="10">
        <v>100.0</v>
      </c>
      <c r="E390" s="106">
        <f t="shared" si="1"/>
        <v>1400</v>
      </c>
      <c r="F390" s="126">
        <v>45498.0</v>
      </c>
      <c r="G390" s="5"/>
    </row>
    <row r="391">
      <c r="A391" s="5"/>
      <c r="B391" s="62" t="s">
        <v>320</v>
      </c>
      <c r="C391" s="13">
        <v>10.0</v>
      </c>
      <c r="D391" s="10">
        <v>160.0</v>
      </c>
      <c r="E391" s="106">
        <f t="shared" si="1"/>
        <v>1600</v>
      </c>
      <c r="F391" s="9"/>
      <c r="G391" s="5"/>
    </row>
    <row r="392">
      <c r="A392" s="5"/>
      <c r="B392" s="62" t="s">
        <v>321</v>
      </c>
      <c r="C392" s="13">
        <v>0.75</v>
      </c>
      <c r="D392" s="10">
        <v>1400.0</v>
      </c>
      <c r="E392" s="106">
        <f t="shared" si="1"/>
        <v>1050</v>
      </c>
      <c r="F392" s="9"/>
      <c r="G392" s="5"/>
    </row>
    <row r="393">
      <c r="A393" s="5"/>
      <c r="B393" s="62" t="s">
        <v>157</v>
      </c>
      <c r="C393" s="13">
        <v>1.0</v>
      </c>
      <c r="D393" s="10">
        <v>400.0</v>
      </c>
      <c r="E393" s="106">
        <f t="shared" si="1"/>
        <v>400</v>
      </c>
      <c r="F393" s="9"/>
      <c r="G393" s="5"/>
    </row>
    <row r="394">
      <c r="A394" s="5"/>
      <c r="B394" s="62" t="s">
        <v>97</v>
      </c>
      <c r="C394" s="13">
        <v>50.0</v>
      </c>
      <c r="D394" s="10">
        <v>40.0</v>
      </c>
      <c r="E394" s="106">
        <f t="shared" si="1"/>
        <v>2000</v>
      </c>
      <c r="F394" s="9"/>
      <c r="G394" s="5"/>
    </row>
    <row r="395">
      <c r="A395" s="5"/>
      <c r="B395" s="62" t="s">
        <v>322</v>
      </c>
      <c r="C395" s="13">
        <v>2.0</v>
      </c>
      <c r="D395" s="10">
        <v>200.0</v>
      </c>
      <c r="E395" s="106">
        <f t="shared" si="1"/>
        <v>400</v>
      </c>
      <c r="F395" s="9"/>
      <c r="G395" s="5"/>
    </row>
    <row r="396">
      <c r="A396" s="5"/>
      <c r="B396" s="62" t="s">
        <v>323</v>
      </c>
      <c r="C396" s="13">
        <v>1.0</v>
      </c>
      <c r="D396" s="10">
        <v>1200.0</v>
      </c>
      <c r="E396" s="106">
        <f t="shared" si="1"/>
        <v>1200</v>
      </c>
      <c r="F396" s="9"/>
      <c r="G396" s="5"/>
    </row>
    <row r="397">
      <c r="A397" s="5"/>
      <c r="B397" s="62" t="s">
        <v>94</v>
      </c>
      <c r="C397" s="13">
        <v>3.0</v>
      </c>
      <c r="D397" s="10">
        <v>380.0</v>
      </c>
      <c r="E397" s="106">
        <f t="shared" si="1"/>
        <v>1140</v>
      </c>
      <c r="F397" s="9"/>
      <c r="G397" s="5"/>
    </row>
    <row r="398">
      <c r="A398" s="5"/>
      <c r="B398" s="62" t="s">
        <v>324</v>
      </c>
      <c r="C398" s="13">
        <v>2.0</v>
      </c>
      <c r="D398" s="10">
        <v>600.0</v>
      </c>
      <c r="E398" s="106">
        <f t="shared" si="1"/>
        <v>1200</v>
      </c>
      <c r="F398" s="9"/>
      <c r="G398" s="5"/>
    </row>
    <row r="399">
      <c r="A399" s="5"/>
      <c r="B399" s="62" t="s">
        <v>325</v>
      </c>
      <c r="C399" s="13">
        <v>24.0</v>
      </c>
      <c r="D399" s="10">
        <v>70.0</v>
      </c>
      <c r="E399" s="106">
        <f t="shared" si="1"/>
        <v>1680</v>
      </c>
      <c r="F399" s="9"/>
      <c r="G399" s="5"/>
    </row>
    <row r="400">
      <c r="A400" s="5"/>
      <c r="B400" s="62" t="s">
        <v>326</v>
      </c>
      <c r="C400" s="13">
        <v>12.0</v>
      </c>
      <c r="D400" s="10">
        <v>100.0</v>
      </c>
      <c r="E400" s="106">
        <f t="shared" si="1"/>
        <v>1200</v>
      </c>
      <c r="F400" s="9"/>
      <c r="G400" s="5"/>
    </row>
    <row r="401">
      <c r="A401" s="5"/>
      <c r="B401" s="62" t="s">
        <v>327</v>
      </c>
      <c r="C401" s="13">
        <v>2.0</v>
      </c>
      <c r="D401" s="10">
        <v>90.0</v>
      </c>
      <c r="E401" s="106">
        <f t="shared" si="1"/>
        <v>180</v>
      </c>
      <c r="F401" s="9"/>
      <c r="G401" s="5"/>
    </row>
    <row r="402">
      <c r="A402" s="5"/>
      <c r="B402" s="62" t="s">
        <v>328</v>
      </c>
      <c r="C402" s="13">
        <v>26.0</v>
      </c>
      <c r="D402" s="10">
        <v>80.0</v>
      </c>
      <c r="E402" s="106">
        <f t="shared" si="1"/>
        <v>2080</v>
      </c>
      <c r="F402" s="9"/>
      <c r="G402" s="5"/>
    </row>
    <row r="403">
      <c r="A403" s="5"/>
      <c r="B403" s="62" t="s">
        <v>288</v>
      </c>
      <c r="C403" s="13">
        <v>4.0</v>
      </c>
      <c r="D403" s="10">
        <v>240.0</v>
      </c>
      <c r="E403" s="106">
        <f t="shared" si="1"/>
        <v>960</v>
      </c>
      <c r="F403" s="9"/>
      <c r="G403" s="5"/>
    </row>
    <row r="404">
      <c r="A404" s="5"/>
      <c r="B404" s="62" t="s">
        <v>150</v>
      </c>
      <c r="C404" s="13">
        <v>1.0</v>
      </c>
      <c r="D404" s="10">
        <v>220.0</v>
      </c>
      <c r="E404" s="106">
        <f t="shared" si="1"/>
        <v>220</v>
      </c>
      <c r="F404" s="9"/>
      <c r="G404" s="5"/>
    </row>
    <row r="405">
      <c r="A405" s="5"/>
      <c r="B405" s="62" t="s">
        <v>329</v>
      </c>
      <c r="C405" s="13">
        <v>1.0</v>
      </c>
      <c r="D405" s="10">
        <v>280.0</v>
      </c>
      <c r="E405" s="106">
        <f t="shared" si="1"/>
        <v>280</v>
      </c>
      <c r="F405" s="9"/>
      <c r="G405" s="5"/>
    </row>
    <row r="406">
      <c r="A406" s="5"/>
      <c r="B406" s="62" t="s">
        <v>330</v>
      </c>
      <c r="C406" s="13">
        <v>1.0</v>
      </c>
      <c r="D406" s="10">
        <v>5000.0</v>
      </c>
      <c r="E406" s="106">
        <f t="shared" si="1"/>
        <v>5000</v>
      </c>
      <c r="F406" s="126">
        <v>45499.0</v>
      </c>
      <c r="G406" s="5"/>
    </row>
    <row r="407">
      <c r="A407" s="5"/>
      <c r="B407" s="62" t="s">
        <v>304</v>
      </c>
      <c r="C407" s="13">
        <v>2.5</v>
      </c>
      <c r="D407" s="10">
        <v>800.0</v>
      </c>
      <c r="E407" s="106">
        <f t="shared" si="1"/>
        <v>2000</v>
      </c>
      <c r="F407" s="9"/>
      <c r="G407" s="5"/>
    </row>
    <row r="408">
      <c r="A408" s="5"/>
      <c r="B408" s="62" t="s">
        <v>179</v>
      </c>
      <c r="C408" s="13">
        <v>5.0</v>
      </c>
      <c r="D408" s="10">
        <v>30.0</v>
      </c>
      <c r="E408" s="106">
        <f t="shared" si="1"/>
        <v>150</v>
      </c>
      <c r="F408" s="9"/>
      <c r="G408" s="5"/>
    </row>
    <row r="409">
      <c r="A409" s="5"/>
      <c r="B409" s="62" t="s">
        <v>206</v>
      </c>
      <c r="C409" s="13">
        <v>1.0</v>
      </c>
      <c r="D409" s="10">
        <v>100.0</v>
      </c>
      <c r="E409" s="106">
        <f t="shared" si="1"/>
        <v>100</v>
      </c>
      <c r="F409" s="9"/>
      <c r="G409" s="5"/>
    </row>
    <row r="410">
      <c r="A410" s="5"/>
      <c r="B410" s="62" t="s">
        <v>153</v>
      </c>
      <c r="C410" s="13">
        <v>6.0</v>
      </c>
      <c r="D410" s="10">
        <v>120.0</v>
      </c>
      <c r="E410" s="106">
        <f t="shared" si="1"/>
        <v>720</v>
      </c>
      <c r="F410" s="9"/>
      <c r="G410" s="5"/>
    </row>
    <row r="411">
      <c r="A411" s="5"/>
      <c r="B411" s="62" t="s">
        <v>324</v>
      </c>
      <c r="C411" s="13">
        <v>1.0</v>
      </c>
      <c r="D411" s="10">
        <v>500.0</v>
      </c>
      <c r="E411" s="106">
        <f t="shared" si="1"/>
        <v>500</v>
      </c>
      <c r="F411" s="9"/>
      <c r="G411" s="5"/>
    </row>
    <row r="412">
      <c r="A412" s="5"/>
      <c r="B412" s="62" t="s">
        <v>304</v>
      </c>
      <c r="C412" s="13">
        <v>2.5</v>
      </c>
      <c r="D412" s="10">
        <v>800.0</v>
      </c>
      <c r="E412" s="106">
        <f t="shared" si="1"/>
        <v>2000</v>
      </c>
      <c r="F412" s="126">
        <v>45500.0</v>
      </c>
      <c r="G412" s="5"/>
    </row>
    <row r="413">
      <c r="A413" s="5"/>
      <c r="B413" s="62" t="s">
        <v>331</v>
      </c>
      <c r="C413" s="13">
        <v>5.0</v>
      </c>
      <c r="D413" s="10">
        <v>250.0</v>
      </c>
      <c r="E413" s="106">
        <f t="shared" si="1"/>
        <v>1250</v>
      </c>
      <c r="F413" s="9"/>
      <c r="G413" s="5"/>
    </row>
    <row r="414">
      <c r="A414" s="5"/>
      <c r="B414" s="62" t="s">
        <v>332</v>
      </c>
      <c r="C414" s="13">
        <v>2.0</v>
      </c>
      <c r="D414" s="10">
        <v>950.0</v>
      </c>
      <c r="E414" s="106">
        <f t="shared" si="1"/>
        <v>1900</v>
      </c>
      <c r="F414" s="9"/>
      <c r="G414" s="5"/>
    </row>
    <row r="415">
      <c r="A415" s="5"/>
      <c r="B415" s="62" t="s">
        <v>267</v>
      </c>
      <c r="C415" s="13">
        <v>2.0</v>
      </c>
      <c r="D415" s="10">
        <v>350.0</v>
      </c>
      <c r="E415" s="106">
        <f t="shared" si="1"/>
        <v>700</v>
      </c>
      <c r="F415" s="9"/>
      <c r="G415" s="5"/>
    </row>
    <row r="416">
      <c r="A416" s="5"/>
      <c r="B416" s="62" t="s">
        <v>153</v>
      </c>
      <c r="C416" s="13">
        <v>5.0</v>
      </c>
      <c r="D416" s="10">
        <v>100.0</v>
      </c>
      <c r="E416" s="106">
        <f t="shared" si="1"/>
        <v>500</v>
      </c>
      <c r="F416" s="9"/>
      <c r="G416" s="5"/>
    </row>
    <row r="417">
      <c r="A417" s="5"/>
      <c r="B417" s="62" t="s">
        <v>320</v>
      </c>
      <c r="C417" s="13">
        <v>4.0</v>
      </c>
      <c r="D417" s="10">
        <v>200.0</v>
      </c>
      <c r="E417" s="106">
        <f t="shared" si="1"/>
        <v>800</v>
      </c>
      <c r="F417" s="9"/>
      <c r="G417" s="5"/>
    </row>
    <row r="418">
      <c r="A418" s="5"/>
      <c r="B418" s="62" t="s">
        <v>157</v>
      </c>
      <c r="C418" s="13">
        <v>2.0</v>
      </c>
      <c r="D418" s="10">
        <v>100.0</v>
      </c>
      <c r="E418" s="106">
        <f t="shared" si="1"/>
        <v>200</v>
      </c>
      <c r="F418" s="9"/>
      <c r="G418" s="5"/>
    </row>
    <row r="419">
      <c r="A419" s="5"/>
      <c r="B419" s="62" t="s">
        <v>163</v>
      </c>
      <c r="C419" s="13">
        <v>2.0</v>
      </c>
      <c r="D419" s="10">
        <v>100.0</v>
      </c>
      <c r="E419" s="106">
        <f t="shared" si="1"/>
        <v>200</v>
      </c>
      <c r="F419" s="9"/>
      <c r="G419" s="5"/>
    </row>
    <row r="420">
      <c r="A420" s="5"/>
      <c r="B420" s="62" t="s">
        <v>333</v>
      </c>
      <c r="C420" s="13">
        <v>1.0</v>
      </c>
      <c r="D420" s="10">
        <v>170.0</v>
      </c>
      <c r="E420" s="106">
        <f t="shared" si="1"/>
        <v>170</v>
      </c>
      <c r="F420" s="9"/>
      <c r="G420" s="5"/>
    </row>
    <row r="421">
      <c r="A421" s="5"/>
      <c r="B421" s="62" t="s">
        <v>313</v>
      </c>
      <c r="C421" s="13">
        <v>1.0</v>
      </c>
      <c r="D421" s="10">
        <v>500.0</v>
      </c>
      <c r="E421" s="106">
        <f t="shared" si="1"/>
        <v>500</v>
      </c>
      <c r="F421" s="9"/>
      <c r="G421" s="5"/>
    </row>
    <row r="422">
      <c r="A422" s="5"/>
      <c r="B422" s="62" t="s">
        <v>98</v>
      </c>
      <c r="C422" s="13">
        <v>6.0</v>
      </c>
      <c r="D422" s="10">
        <v>160.0</v>
      </c>
      <c r="E422" s="106">
        <f t="shared" si="1"/>
        <v>960</v>
      </c>
      <c r="F422" s="126">
        <v>45501.0</v>
      </c>
      <c r="G422" s="5"/>
    </row>
    <row r="423">
      <c r="A423" s="5"/>
      <c r="B423" s="62" t="s">
        <v>100</v>
      </c>
      <c r="C423" s="13">
        <v>0.5</v>
      </c>
      <c r="D423" s="10">
        <v>400.0</v>
      </c>
      <c r="E423" s="106">
        <f t="shared" si="1"/>
        <v>200</v>
      </c>
      <c r="F423" s="9"/>
      <c r="G423" s="5"/>
    </row>
    <row r="424">
      <c r="A424" s="5"/>
      <c r="B424" s="62" t="s">
        <v>95</v>
      </c>
      <c r="C424" s="13">
        <v>1.0</v>
      </c>
      <c r="D424" s="10">
        <v>800.0</v>
      </c>
      <c r="E424" s="106">
        <f t="shared" si="1"/>
        <v>800</v>
      </c>
      <c r="F424" s="9"/>
      <c r="G424" s="5"/>
    </row>
    <row r="425">
      <c r="A425" s="5"/>
      <c r="B425" s="62" t="s">
        <v>165</v>
      </c>
      <c r="C425" s="13">
        <v>2.0</v>
      </c>
      <c r="D425" s="10">
        <v>120.0</v>
      </c>
      <c r="E425" s="106">
        <f t="shared" si="1"/>
        <v>240</v>
      </c>
      <c r="F425" s="9"/>
      <c r="G425" s="5"/>
    </row>
    <row r="426">
      <c r="A426" s="5"/>
      <c r="B426" s="62" t="s">
        <v>241</v>
      </c>
      <c r="C426" s="13">
        <v>7.0</v>
      </c>
      <c r="D426" s="10">
        <v>100.0</v>
      </c>
      <c r="E426" s="106">
        <f t="shared" si="1"/>
        <v>700</v>
      </c>
      <c r="F426" s="126">
        <v>45502.0</v>
      </c>
      <c r="G426" s="5"/>
    </row>
    <row r="427">
      <c r="A427" s="5"/>
      <c r="B427" s="62" t="s">
        <v>334</v>
      </c>
      <c r="C427" s="13">
        <v>5.0</v>
      </c>
      <c r="D427" s="10">
        <v>800.0</v>
      </c>
      <c r="E427" s="106">
        <f t="shared" si="1"/>
        <v>4000</v>
      </c>
      <c r="F427" s="9"/>
      <c r="G427" s="5"/>
    </row>
    <row r="428">
      <c r="A428" s="5"/>
      <c r="B428" s="62" t="s">
        <v>94</v>
      </c>
      <c r="C428" s="13">
        <v>2.0</v>
      </c>
      <c r="D428" s="10">
        <v>380.0</v>
      </c>
      <c r="E428" s="106">
        <f t="shared" si="1"/>
        <v>760</v>
      </c>
      <c r="F428" s="9"/>
      <c r="G428" s="5"/>
    </row>
    <row r="429">
      <c r="A429" s="5"/>
      <c r="B429" s="62" t="s">
        <v>97</v>
      </c>
      <c r="C429" s="13">
        <v>20.0</v>
      </c>
      <c r="D429" s="10">
        <v>40.0</v>
      </c>
      <c r="E429" s="106">
        <f t="shared" si="1"/>
        <v>800</v>
      </c>
      <c r="F429" s="9"/>
      <c r="G429" s="5"/>
    </row>
    <row r="430">
      <c r="A430" s="5"/>
      <c r="B430" s="62" t="s">
        <v>206</v>
      </c>
      <c r="C430" s="13">
        <v>1.0</v>
      </c>
      <c r="D430" s="10">
        <v>100.0</v>
      </c>
      <c r="E430" s="106">
        <f t="shared" si="1"/>
        <v>100</v>
      </c>
      <c r="F430" s="9"/>
      <c r="G430" s="5"/>
    </row>
    <row r="431">
      <c r="A431" s="5"/>
      <c r="B431" s="62" t="s">
        <v>153</v>
      </c>
      <c r="C431" s="13">
        <v>5.0</v>
      </c>
      <c r="D431" s="10">
        <v>100.0</v>
      </c>
      <c r="E431" s="106">
        <f t="shared" si="1"/>
        <v>500</v>
      </c>
      <c r="F431" s="9"/>
      <c r="G431" s="5"/>
    </row>
    <row r="432">
      <c r="A432" s="5"/>
      <c r="B432" s="62" t="s">
        <v>283</v>
      </c>
      <c r="C432" s="13">
        <v>1.0</v>
      </c>
      <c r="D432" s="10">
        <v>650.0</v>
      </c>
      <c r="E432" s="106">
        <f t="shared" si="1"/>
        <v>650</v>
      </c>
      <c r="F432" s="9"/>
      <c r="G432" s="5"/>
    </row>
    <row r="433">
      <c r="A433" s="5"/>
      <c r="B433" s="62" t="s">
        <v>335</v>
      </c>
      <c r="C433" s="13">
        <v>1.0</v>
      </c>
      <c r="D433" s="10">
        <v>14000.0</v>
      </c>
      <c r="E433" s="106">
        <f t="shared" si="1"/>
        <v>14000</v>
      </c>
      <c r="F433" s="9"/>
      <c r="G433" s="5"/>
    </row>
    <row r="434">
      <c r="A434" s="5"/>
      <c r="B434" s="62" t="s">
        <v>336</v>
      </c>
      <c r="C434" s="13">
        <v>1.0</v>
      </c>
      <c r="D434" s="10">
        <v>600.0</v>
      </c>
      <c r="E434" s="106">
        <f t="shared" si="1"/>
        <v>600</v>
      </c>
      <c r="F434" s="9"/>
      <c r="G434" s="5"/>
    </row>
    <row r="435">
      <c r="A435" s="5"/>
      <c r="B435" s="62" t="s">
        <v>117</v>
      </c>
      <c r="C435" s="13">
        <v>1.65</v>
      </c>
      <c r="D435" s="10">
        <v>1850.0</v>
      </c>
      <c r="E435" s="106">
        <f t="shared" si="1"/>
        <v>3052.5</v>
      </c>
      <c r="F435" s="126">
        <v>45503.0</v>
      </c>
      <c r="G435" s="5"/>
    </row>
    <row r="436">
      <c r="A436" s="5"/>
      <c r="B436" s="62" t="s">
        <v>316</v>
      </c>
      <c r="C436" s="13">
        <v>3.0</v>
      </c>
      <c r="D436" s="10">
        <v>200.0</v>
      </c>
      <c r="E436" s="106">
        <f t="shared" si="1"/>
        <v>600</v>
      </c>
      <c r="F436" s="9"/>
      <c r="G436" s="5"/>
    </row>
    <row r="437">
      <c r="A437" s="5"/>
      <c r="B437" s="62" t="s">
        <v>267</v>
      </c>
      <c r="C437" s="13">
        <v>1.0</v>
      </c>
      <c r="D437" s="10">
        <v>350.0</v>
      </c>
      <c r="E437" s="106">
        <f t="shared" si="1"/>
        <v>350</v>
      </c>
      <c r="F437" s="9"/>
      <c r="G437" s="5"/>
    </row>
    <row r="438">
      <c r="A438" s="5"/>
      <c r="B438" s="62" t="s">
        <v>95</v>
      </c>
      <c r="C438" s="13">
        <v>1.5</v>
      </c>
      <c r="D438" s="10">
        <v>800.0</v>
      </c>
      <c r="E438" s="106">
        <f t="shared" si="1"/>
        <v>1200</v>
      </c>
      <c r="F438" s="9"/>
      <c r="G438" s="5"/>
    </row>
    <row r="439">
      <c r="A439" s="5"/>
      <c r="B439" s="62" t="s">
        <v>337</v>
      </c>
      <c r="C439" s="13">
        <v>4.0</v>
      </c>
      <c r="D439" s="10">
        <v>150.0</v>
      </c>
      <c r="E439" s="106">
        <f t="shared" si="1"/>
        <v>600</v>
      </c>
      <c r="F439" s="9"/>
      <c r="G439" s="5"/>
    </row>
    <row r="440">
      <c r="A440" s="5"/>
      <c r="B440" s="62" t="s">
        <v>265</v>
      </c>
      <c r="C440" s="13">
        <v>3.0</v>
      </c>
      <c r="D440" s="10">
        <v>65.0</v>
      </c>
      <c r="E440" s="106">
        <f t="shared" si="1"/>
        <v>195</v>
      </c>
      <c r="F440" s="9"/>
      <c r="G440" s="5"/>
    </row>
    <row r="441">
      <c r="A441" s="5"/>
      <c r="B441" s="62" t="s">
        <v>338</v>
      </c>
      <c r="C441" s="13">
        <v>1.0</v>
      </c>
      <c r="D441" s="10">
        <v>100.0</v>
      </c>
      <c r="E441" s="106">
        <f t="shared" si="1"/>
        <v>100</v>
      </c>
      <c r="F441" s="9"/>
      <c r="G441" s="5"/>
    </row>
    <row r="442">
      <c r="A442" s="5"/>
      <c r="B442" s="62" t="s">
        <v>179</v>
      </c>
      <c r="C442" s="13">
        <v>3.0</v>
      </c>
      <c r="D442" s="10">
        <v>30.0</v>
      </c>
      <c r="E442" s="106">
        <f t="shared" si="1"/>
        <v>90</v>
      </c>
      <c r="F442" s="9"/>
      <c r="G442" s="5"/>
    </row>
    <row r="443">
      <c r="A443" s="5"/>
      <c r="B443" s="62" t="s">
        <v>242</v>
      </c>
      <c r="C443" s="13">
        <v>3.0</v>
      </c>
      <c r="D443" s="10">
        <v>50.0</v>
      </c>
      <c r="E443" s="106">
        <f t="shared" si="1"/>
        <v>150</v>
      </c>
      <c r="F443" s="9"/>
      <c r="G443" s="5"/>
    </row>
    <row r="444">
      <c r="A444" s="5"/>
      <c r="B444" s="62" t="s">
        <v>80</v>
      </c>
      <c r="C444" s="13">
        <v>24.0</v>
      </c>
      <c r="D444" s="10">
        <v>215.0</v>
      </c>
      <c r="E444" s="106">
        <f t="shared" si="1"/>
        <v>5160</v>
      </c>
      <c r="F444" s="9"/>
      <c r="G444" s="5"/>
    </row>
    <row r="445">
      <c r="A445" s="5"/>
      <c r="B445" s="62" t="s">
        <v>339</v>
      </c>
      <c r="C445" s="13">
        <v>14.0</v>
      </c>
      <c r="D445" s="10">
        <v>200.0</v>
      </c>
      <c r="E445" s="106">
        <f t="shared" si="1"/>
        <v>2800</v>
      </c>
      <c r="F445" s="9"/>
      <c r="G445" s="5"/>
    </row>
    <row r="446">
      <c r="A446" s="5"/>
      <c r="B446" s="62" t="s">
        <v>340</v>
      </c>
      <c r="C446" s="13">
        <v>27.0</v>
      </c>
      <c r="D446" s="10">
        <v>84.0</v>
      </c>
      <c r="E446" s="106">
        <f t="shared" si="1"/>
        <v>2268</v>
      </c>
      <c r="F446" s="9"/>
      <c r="G446" s="5"/>
    </row>
    <row r="447">
      <c r="A447" s="5"/>
      <c r="B447" s="62" t="s">
        <v>189</v>
      </c>
      <c r="C447" s="13">
        <v>3.0</v>
      </c>
      <c r="D447" s="10">
        <v>370.0</v>
      </c>
      <c r="E447" s="106">
        <f t="shared" si="1"/>
        <v>1110</v>
      </c>
      <c r="F447" s="9"/>
      <c r="G447" s="5"/>
    </row>
    <row r="448">
      <c r="A448" s="5"/>
      <c r="B448" s="62" t="s">
        <v>94</v>
      </c>
      <c r="C448" s="13">
        <v>5.0</v>
      </c>
      <c r="D448" s="10">
        <v>380.0</v>
      </c>
      <c r="E448" s="106">
        <f t="shared" si="1"/>
        <v>1900</v>
      </c>
      <c r="F448" s="9"/>
      <c r="G448" s="5"/>
    </row>
    <row r="449">
      <c r="A449" s="5"/>
      <c r="B449" s="62" t="s">
        <v>133</v>
      </c>
      <c r="C449" s="13">
        <v>26.0</v>
      </c>
      <c r="D449" s="10">
        <v>25.0</v>
      </c>
      <c r="E449" s="106">
        <f t="shared" si="1"/>
        <v>650</v>
      </c>
      <c r="F449" s="9"/>
      <c r="G449" s="5"/>
    </row>
    <row r="450">
      <c r="A450" s="5"/>
      <c r="B450" s="62" t="s">
        <v>124</v>
      </c>
      <c r="C450" s="13">
        <v>0.0</v>
      </c>
      <c r="D450" s="10">
        <v>1100.0</v>
      </c>
      <c r="E450" s="106">
        <f t="shared" si="1"/>
        <v>0</v>
      </c>
      <c r="F450" s="9"/>
      <c r="G450" s="5"/>
    </row>
    <row r="451">
      <c r="A451" s="5"/>
      <c r="B451" s="62" t="s">
        <v>190</v>
      </c>
      <c r="C451" s="13">
        <v>1.0</v>
      </c>
      <c r="D451" s="10">
        <v>1350.0</v>
      </c>
      <c r="E451" s="106">
        <f t="shared" si="1"/>
        <v>1350</v>
      </c>
      <c r="F451" s="9"/>
      <c r="G451" s="5"/>
    </row>
    <row r="452">
      <c r="A452" s="5"/>
      <c r="B452" s="62" t="s">
        <v>341</v>
      </c>
      <c r="C452" s="13">
        <v>16.0</v>
      </c>
      <c r="D452" s="10">
        <v>225.0</v>
      </c>
      <c r="E452" s="106">
        <f t="shared" si="1"/>
        <v>3600</v>
      </c>
      <c r="F452" s="9"/>
      <c r="G452" s="5"/>
    </row>
    <row r="453">
      <c r="A453" s="5"/>
      <c r="B453" s="62" t="s">
        <v>342</v>
      </c>
      <c r="C453" s="13">
        <v>5.0</v>
      </c>
      <c r="D453" s="10">
        <v>160.0</v>
      </c>
      <c r="E453" s="106">
        <f t="shared" si="1"/>
        <v>800</v>
      </c>
      <c r="F453" s="9"/>
      <c r="G453" s="5"/>
    </row>
    <row r="454">
      <c r="A454" s="5"/>
      <c r="B454" s="62" t="s">
        <v>343</v>
      </c>
      <c r="C454" s="13">
        <v>1.0</v>
      </c>
      <c r="D454" s="10">
        <v>300.0</v>
      </c>
      <c r="E454" s="106">
        <f t="shared" si="1"/>
        <v>300</v>
      </c>
      <c r="F454" s="9"/>
      <c r="G454" s="5"/>
    </row>
    <row r="455">
      <c r="A455" s="5"/>
      <c r="B455" s="62" t="s">
        <v>117</v>
      </c>
      <c r="C455" s="13">
        <v>0.0</v>
      </c>
      <c r="D455" s="10">
        <v>1800.0</v>
      </c>
      <c r="E455" s="106">
        <f t="shared" si="1"/>
        <v>0</v>
      </c>
      <c r="F455" s="9"/>
      <c r="G455" s="5"/>
    </row>
    <row r="456">
      <c r="A456" s="5"/>
      <c r="B456" s="62" t="s">
        <v>158</v>
      </c>
      <c r="C456" s="13">
        <v>4.0</v>
      </c>
      <c r="D456" s="10">
        <v>330.0</v>
      </c>
      <c r="E456" s="106">
        <f t="shared" si="1"/>
        <v>1320</v>
      </c>
      <c r="F456" s="9"/>
      <c r="G456" s="5"/>
    </row>
    <row r="457">
      <c r="A457" s="5"/>
      <c r="B457" s="62" t="s">
        <v>186</v>
      </c>
      <c r="C457" s="13">
        <v>0.0</v>
      </c>
      <c r="D457" s="10">
        <v>260.0</v>
      </c>
      <c r="E457" s="106">
        <f t="shared" si="1"/>
        <v>0</v>
      </c>
      <c r="F457" s="9"/>
      <c r="G457" s="5"/>
    </row>
    <row r="458">
      <c r="A458" s="5"/>
      <c r="B458" s="62" t="s">
        <v>344</v>
      </c>
      <c r="C458" s="13">
        <v>4.0</v>
      </c>
      <c r="D458" s="10">
        <v>630.0</v>
      </c>
      <c r="E458" s="106">
        <f t="shared" si="1"/>
        <v>2520</v>
      </c>
      <c r="F458" s="9"/>
      <c r="G458" s="5"/>
    </row>
    <row r="459">
      <c r="A459" s="5"/>
      <c r="B459" s="62" t="s">
        <v>345</v>
      </c>
      <c r="C459" s="13">
        <v>12.0</v>
      </c>
      <c r="D459" s="10">
        <v>220.0</v>
      </c>
      <c r="E459" s="106">
        <f t="shared" si="1"/>
        <v>2640</v>
      </c>
      <c r="F459" s="9"/>
      <c r="G459" s="5"/>
    </row>
    <row r="460">
      <c r="A460" s="5"/>
      <c r="B460" s="62" t="s">
        <v>346</v>
      </c>
      <c r="C460" s="13">
        <v>5.0</v>
      </c>
      <c r="D460" s="10">
        <v>90.0</v>
      </c>
      <c r="E460" s="106">
        <f t="shared" si="1"/>
        <v>450</v>
      </c>
      <c r="F460" s="115"/>
      <c r="G460" s="5"/>
    </row>
    <row r="461">
      <c r="A461" s="5"/>
      <c r="B461" s="62" t="s">
        <v>164</v>
      </c>
      <c r="C461" s="13">
        <v>1.0</v>
      </c>
      <c r="D461" s="10">
        <v>1600.0</v>
      </c>
      <c r="E461" s="106">
        <f t="shared" si="1"/>
        <v>1600</v>
      </c>
      <c r="F461" s="117"/>
      <c r="G461" s="5"/>
    </row>
    <row r="462">
      <c r="A462" s="5"/>
      <c r="B462" s="8"/>
      <c r="C462" s="44"/>
      <c r="D462" s="16"/>
      <c r="E462" s="106">
        <f t="shared" si="1"/>
        <v>0</v>
      </c>
      <c r="F462" s="117"/>
      <c r="G462" s="5"/>
    </row>
    <row r="463">
      <c r="A463" s="5"/>
      <c r="B463" s="8"/>
      <c r="C463" s="44"/>
      <c r="D463" s="16"/>
      <c r="E463" s="106">
        <f t="shared" si="1"/>
        <v>0</v>
      </c>
      <c r="F463" s="117"/>
      <c r="G463" s="5"/>
    </row>
    <row r="464">
      <c r="A464" s="5"/>
      <c r="B464" s="8"/>
      <c r="C464" s="44"/>
      <c r="D464" s="16"/>
      <c r="E464" s="106">
        <f t="shared" si="1"/>
        <v>0</v>
      </c>
      <c r="F464" s="117"/>
      <c r="G464" s="5"/>
    </row>
    <row r="465">
      <c r="A465" s="5"/>
      <c r="B465" s="109"/>
      <c r="C465" s="113"/>
      <c r="D465" s="106"/>
      <c r="E465" s="106">
        <f t="shared" si="1"/>
        <v>0</v>
      </c>
      <c r="F465" s="127"/>
      <c r="G465" s="5"/>
    </row>
    <row r="466">
      <c r="A466" s="5"/>
      <c r="B466" s="103" t="s">
        <v>347</v>
      </c>
      <c r="C466" s="104">
        <v>1.0</v>
      </c>
      <c r="D466" s="105">
        <v>33000.0</v>
      </c>
      <c r="E466" s="106">
        <f t="shared" si="1"/>
        <v>33000</v>
      </c>
      <c r="F466" s="115"/>
      <c r="G466" s="5"/>
    </row>
    <row r="467">
      <c r="A467" s="5"/>
      <c r="B467" s="103" t="s">
        <v>348</v>
      </c>
      <c r="C467" s="104">
        <v>835.0</v>
      </c>
      <c r="D467" s="105">
        <v>60.0</v>
      </c>
      <c r="E467" s="106">
        <f t="shared" si="1"/>
        <v>50100</v>
      </c>
      <c r="F467" s="12"/>
      <c r="G467" s="5"/>
    </row>
    <row r="468">
      <c r="A468" s="5"/>
      <c r="B468" s="8" t="s">
        <v>246</v>
      </c>
      <c r="C468" s="13">
        <v>1.0</v>
      </c>
      <c r="D468" s="16">
        <v>1200.0</v>
      </c>
      <c r="E468" s="106">
        <f t="shared" si="1"/>
        <v>1200</v>
      </c>
      <c r="F468" s="12"/>
      <c r="G468" s="5"/>
    </row>
    <row r="469">
      <c r="A469" s="5"/>
      <c r="B469" s="8" t="s">
        <v>349</v>
      </c>
      <c r="C469" s="13">
        <v>0.0</v>
      </c>
      <c r="D469" s="16">
        <v>1100.0</v>
      </c>
      <c r="E469" s="106">
        <f t="shared" si="1"/>
        <v>0</v>
      </c>
      <c r="F469" s="12"/>
      <c r="G469" s="5"/>
    </row>
    <row r="470">
      <c r="A470" s="5"/>
      <c r="B470" s="8" t="s">
        <v>350</v>
      </c>
      <c r="C470" s="44">
        <v>2.0</v>
      </c>
      <c r="D470" s="16">
        <v>1370.0</v>
      </c>
      <c r="E470" s="106">
        <f t="shared" si="1"/>
        <v>2740</v>
      </c>
      <c r="F470" s="12"/>
      <c r="G470" s="5"/>
    </row>
    <row r="471">
      <c r="A471" s="5"/>
      <c r="B471" s="8" t="s">
        <v>351</v>
      </c>
      <c r="C471" s="13">
        <v>1.0</v>
      </c>
      <c r="D471" s="16">
        <v>900.0</v>
      </c>
      <c r="E471" s="106">
        <f t="shared" si="1"/>
        <v>900</v>
      </c>
      <c r="F471" s="12"/>
      <c r="G471" s="5"/>
    </row>
    <row r="472">
      <c r="A472" s="5"/>
      <c r="B472" s="8" t="s">
        <v>352</v>
      </c>
      <c r="C472" s="13">
        <v>1.0</v>
      </c>
      <c r="D472" s="16">
        <v>1280.0</v>
      </c>
      <c r="E472" s="106">
        <f t="shared" si="1"/>
        <v>1280</v>
      </c>
      <c r="F472" s="12"/>
      <c r="G472" s="5"/>
    </row>
    <row r="473">
      <c r="A473" s="5"/>
      <c r="B473" s="62" t="s">
        <v>130</v>
      </c>
      <c r="C473" s="13">
        <v>0.0</v>
      </c>
      <c r="D473" s="10">
        <v>800.0</v>
      </c>
      <c r="E473" s="106">
        <f t="shared" si="1"/>
        <v>0</v>
      </c>
      <c r="F473" s="12"/>
      <c r="G473" s="5"/>
    </row>
    <row r="474">
      <c r="A474" s="5"/>
      <c r="B474" s="109"/>
      <c r="C474" s="113"/>
      <c r="D474" s="106"/>
      <c r="E474" s="106">
        <f t="shared" si="1"/>
        <v>0</v>
      </c>
      <c r="F474" s="107"/>
      <c r="G474" s="5"/>
    </row>
    <row r="475">
      <c r="A475" s="5"/>
      <c r="B475" s="8"/>
      <c r="C475" s="44"/>
      <c r="D475" s="16"/>
      <c r="E475" s="106">
        <f t="shared" si="1"/>
        <v>0</v>
      </c>
      <c r="F475" s="52"/>
      <c r="G475" s="5"/>
    </row>
    <row r="476">
      <c r="A476" s="5"/>
      <c r="B476" s="62" t="s">
        <v>353</v>
      </c>
      <c r="C476" s="13">
        <v>2.0</v>
      </c>
      <c r="D476" s="10">
        <v>9500.0</v>
      </c>
      <c r="E476" s="106">
        <f t="shared" si="1"/>
        <v>19000</v>
      </c>
      <c r="F476" s="12"/>
      <c r="G476" s="5"/>
    </row>
    <row r="477">
      <c r="A477" s="5"/>
      <c r="B477" s="128" t="s">
        <v>354</v>
      </c>
      <c r="C477" s="129">
        <v>1.0</v>
      </c>
      <c r="D477" s="130">
        <v>15000.0</v>
      </c>
      <c r="E477" s="131">
        <f t="shared" si="1"/>
        <v>15000</v>
      </c>
      <c r="F477" s="132"/>
      <c r="G477" s="5"/>
    </row>
    <row r="478">
      <c r="A478" s="5"/>
      <c r="B478" s="103" t="s">
        <v>355</v>
      </c>
      <c r="C478" s="104">
        <v>1.0</v>
      </c>
      <c r="D478" s="105">
        <v>16000.0</v>
      </c>
      <c r="E478" s="106">
        <f t="shared" si="1"/>
        <v>16000</v>
      </c>
      <c r="F478" s="133"/>
      <c r="G478" s="5"/>
    </row>
    <row r="479">
      <c r="A479" s="5"/>
      <c r="B479" s="134" t="s">
        <v>356</v>
      </c>
      <c r="C479" s="135"/>
      <c r="D479" s="136"/>
      <c r="E479" s="137">
        <f>SUM(E3:E478)</f>
        <v>957681</v>
      </c>
      <c r="F479" s="138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3.38"/>
    <col customWidth="1" min="9" max="9" width="38.13"/>
    <col customWidth="1" min="10" max="10" width="37.63"/>
    <col customWidth="1" min="11" max="11" width="35.38"/>
    <col customWidth="1" min="12" max="12" width="36.38"/>
    <col customWidth="1" min="13" max="13" width="26.13"/>
    <col customWidth="1" min="14" max="14" width="25.88"/>
  </cols>
  <sheetData>
    <row r="10">
      <c r="G10" s="5"/>
      <c r="H10" s="46"/>
      <c r="I10" s="46"/>
      <c r="J10" s="46"/>
      <c r="K10" s="46"/>
      <c r="L10" s="46"/>
      <c r="M10" s="5"/>
    </row>
    <row r="11">
      <c r="G11" s="50"/>
      <c r="H11" s="1"/>
      <c r="I11" s="139" t="s">
        <v>357</v>
      </c>
      <c r="J11" s="139" t="s">
        <v>4</v>
      </c>
      <c r="K11" s="139" t="s">
        <v>358</v>
      </c>
      <c r="L11" s="140" t="s">
        <v>359</v>
      </c>
      <c r="M11" s="5"/>
    </row>
    <row r="12">
      <c r="G12" s="50"/>
      <c r="H12" s="1"/>
      <c r="I12" s="29" t="s">
        <v>360</v>
      </c>
      <c r="J12" s="16">
        <v>30000.0</v>
      </c>
      <c r="K12" s="141">
        <v>30000.0</v>
      </c>
      <c r="L12" s="16">
        <f t="shared" ref="L12:L33" si="1">J12-K12</f>
        <v>0</v>
      </c>
      <c r="M12" s="142" t="s">
        <v>361</v>
      </c>
    </row>
    <row r="13">
      <c r="G13" s="50"/>
      <c r="H13" s="1"/>
      <c r="I13" s="29" t="s">
        <v>362</v>
      </c>
      <c r="J13" s="16">
        <v>30000.0</v>
      </c>
      <c r="K13" s="141">
        <v>30000.0</v>
      </c>
      <c r="L13" s="16">
        <f t="shared" si="1"/>
        <v>0</v>
      </c>
      <c r="M13" s="5"/>
    </row>
    <row r="14">
      <c r="G14" s="50"/>
      <c r="H14" s="29">
        <v>1.0</v>
      </c>
      <c r="I14" s="29" t="s">
        <v>363</v>
      </c>
      <c r="J14" s="16">
        <f>Pointage!C35</f>
        <v>26533.267</v>
      </c>
      <c r="K14" s="10">
        <v>27000.0</v>
      </c>
      <c r="L14" s="16">
        <f t="shared" si="1"/>
        <v>-466.733</v>
      </c>
      <c r="M14" s="5"/>
    </row>
    <row r="15">
      <c r="G15" s="50"/>
      <c r="H15" s="29">
        <v>2.0</v>
      </c>
      <c r="I15" s="29" t="s">
        <v>52</v>
      </c>
      <c r="J15" s="16">
        <f>Pointage!D35</f>
        <v>49703.68755</v>
      </c>
      <c r="K15" s="10">
        <v>50000.0</v>
      </c>
      <c r="L15" s="16">
        <f t="shared" si="1"/>
        <v>-296.31245</v>
      </c>
      <c r="M15" s="5"/>
    </row>
    <row r="16">
      <c r="G16" s="50"/>
      <c r="H16" s="29">
        <v>3.0</v>
      </c>
      <c r="I16" s="29" t="s">
        <v>53</v>
      </c>
      <c r="J16" s="16">
        <f>M16+N16</f>
        <v>38777.749</v>
      </c>
      <c r="K16" s="10">
        <v>39000.0</v>
      </c>
      <c r="L16" s="16">
        <f t="shared" si="1"/>
        <v>-222.251</v>
      </c>
      <c r="M16" s="143">
        <f>Pointage!E35</f>
        <v>28777.749</v>
      </c>
      <c r="N16" s="144">
        <v>10000.0</v>
      </c>
    </row>
    <row r="17">
      <c r="G17" s="50"/>
      <c r="H17" s="29">
        <v>4.0</v>
      </c>
      <c r="I17" s="29" t="s">
        <v>54</v>
      </c>
      <c r="J17" s="16">
        <f>Pointage!F35</f>
        <v>28722.1935</v>
      </c>
      <c r="K17" s="10">
        <v>29000.0</v>
      </c>
      <c r="L17" s="16">
        <f t="shared" si="1"/>
        <v>-277.8065</v>
      </c>
      <c r="M17" s="5"/>
    </row>
    <row r="18">
      <c r="G18" s="50"/>
      <c r="H18" s="145">
        <v>5.0</v>
      </c>
      <c r="I18" s="29" t="s">
        <v>55</v>
      </c>
      <c r="J18" s="16">
        <f>Pointage!G35</f>
        <v>10333.3075</v>
      </c>
      <c r="K18" s="10">
        <v>11000.0</v>
      </c>
      <c r="L18" s="16">
        <f t="shared" si="1"/>
        <v>-666.6925</v>
      </c>
      <c r="M18" s="5"/>
    </row>
    <row r="19">
      <c r="G19" s="50"/>
      <c r="H19" s="145">
        <v>6.0</v>
      </c>
      <c r="I19" s="29" t="s">
        <v>56</v>
      </c>
      <c r="J19" s="16">
        <f>Pointage!H35</f>
        <v>15375</v>
      </c>
      <c r="K19" s="10">
        <v>15500.0</v>
      </c>
      <c r="L19" s="16">
        <f t="shared" si="1"/>
        <v>-125</v>
      </c>
      <c r="M19" s="142" t="s">
        <v>364</v>
      </c>
    </row>
    <row r="20">
      <c r="G20" s="50"/>
      <c r="H20" s="145">
        <v>7.0</v>
      </c>
      <c r="I20" s="29" t="s">
        <v>57</v>
      </c>
      <c r="J20" s="16">
        <f>Pointage!I35</f>
        <v>8296.296</v>
      </c>
      <c r="K20" s="10">
        <v>8500.0</v>
      </c>
      <c r="L20" s="16">
        <f t="shared" si="1"/>
        <v>-203.704</v>
      </c>
      <c r="M20" s="5"/>
    </row>
    <row r="21">
      <c r="G21" s="50"/>
      <c r="H21" s="145">
        <v>8.0</v>
      </c>
      <c r="I21" s="29" t="s">
        <v>58</v>
      </c>
      <c r="J21" s="16">
        <f>Pointage!J35</f>
        <v>34055.5215</v>
      </c>
      <c r="K21" s="10">
        <v>34000.0</v>
      </c>
      <c r="L21" s="16">
        <f t="shared" si="1"/>
        <v>55.5215</v>
      </c>
      <c r="M21" s="36" t="s">
        <v>365</v>
      </c>
    </row>
    <row r="22">
      <c r="G22" s="50"/>
      <c r="H22" s="145">
        <v>9.0</v>
      </c>
      <c r="I22" s="29" t="s">
        <v>59</v>
      </c>
      <c r="J22" s="16">
        <f>Pointage!K35</f>
        <v>15000</v>
      </c>
      <c r="K22" s="10">
        <v>15000.0</v>
      </c>
      <c r="L22" s="16">
        <f t="shared" si="1"/>
        <v>0</v>
      </c>
      <c r="M22" s="5"/>
    </row>
    <row r="23">
      <c r="G23" s="50"/>
      <c r="H23" s="145">
        <v>10.0</v>
      </c>
      <c r="I23" s="29" t="s">
        <v>60</v>
      </c>
      <c r="J23" s="16">
        <f>Pointage!L35</f>
        <v>20277.7575</v>
      </c>
      <c r="K23" s="10">
        <v>21000.0</v>
      </c>
      <c r="L23" s="16">
        <f t="shared" si="1"/>
        <v>-722.2425</v>
      </c>
      <c r="M23" s="5"/>
    </row>
    <row r="24">
      <c r="G24" s="50"/>
      <c r="H24" s="145">
        <v>11.0</v>
      </c>
      <c r="I24" s="29" t="s">
        <v>366</v>
      </c>
      <c r="J24" s="16">
        <f>Pointage!T35</f>
        <v>23277.7545</v>
      </c>
      <c r="K24" s="10">
        <v>23500.0</v>
      </c>
      <c r="L24" s="16">
        <f t="shared" si="1"/>
        <v>-222.2455</v>
      </c>
      <c r="M24" s="5"/>
    </row>
    <row r="25">
      <c r="G25" s="50"/>
      <c r="H25" s="145">
        <v>12.0</v>
      </c>
      <c r="I25" s="29" t="s">
        <v>61</v>
      </c>
      <c r="J25" s="16">
        <f>Pointage!M35</f>
        <v>28466.66565</v>
      </c>
      <c r="K25" s="10">
        <v>29000.0</v>
      </c>
      <c r="L25" s="16">
        <f t="shared" si="1"/>
        <v>-533.33435</v>
      </c>
      <c r="M25" s="5"/>
    </row>
    <row r="26">
      <c r="G26" s="50"/>
      <c r="H26" s="145">
        <v>13.0</v>
      </c>
      <c r="I26" s="29" t="s">
        <v>367</v>
      </c>
      <c r="J26" s="16">
        <f>Pointage!N35</f>
        <v>11388.8775</v>
      </c>
      <c r="K26" s="10">
        <v>11500.0</v>
      </c>
      <c r="L26" s="16">
        <f t="shared" si="1"/>
        <v>-111.1225</v>
      </c>
      <c r="M26" s="5"/>
    </row>
    <row r="27">
      <c r="G27" s="50"/>
      <c r="H27" s="145">
        <v>14.0</v>
      </c>
      <c r="I27" s="145" t="s">
        <v>67</v>
      </c>
      <c r="J27" s="16">
        <f>Pointage!S35</f>
        <v>9444.435</v>
      </c>
      <c r="K27" s="10">
        <v>9500.0</v>
      </c>
      <c r="L27" s="16">
        <f t="shared" si="1"/>
        <v>-55.565</v>
      </c>
      <c r="M27" s="5"/>
    </row>
    <row r="28">
      <c r="G28" s="50"/>
      <c r="H28" s="145">
        <v>15.0</v>
      </c>
      <c r="I28" s="145" t="s">
        <v>66</v>
      </c>
      <c r="J28" s="16">
        <f>Pointage!R35</f>
        <v>12777.765</v>
      </c>
      <c r="K28" s="10">
        <v>13000.0</v>
      </c>
      <c r="L28" s="16">
        <f t="shared" si="1"/>
        <v>-222.235</v>
      </c>
      <c r="M28" s="5"/>
    </row>
    <row r="29">
      <c r="G29" s="50"/>
      <c r="H29" s="145">
        <v>16.0</v>
      </c>
      <c r="I29" s="145" t="s">
        <v>368</v>
      </c>
      <c r="J29" s="16">
        <f>Pointage!Q35</f>
        <v>3500</v>
      </c>
      <c r="K29" s="10">
        <v>3500.0</v>
      </c>
      <c r="L29" s="16">
        <f t="shared" si="1"/>
        <v>0</v>
      </c>
      <c r="M29" s="5"/>
    </row>
    <row r="30">
      <c r="G30" s="50"/>
      <c r="H30" s="145">
        <v>17.0</v>
      </c>
      <c r="I30" s="29" t="s">
        <v>63</v>
      </c>
      <c r="J30" s="16">
        <f>Pointage!O35</f>
        <v>31888.857</v>
      </c>
      <c r="K30" s="10">
        <v>32000.0</v>
      </c>
      <c r="L30" s="16">
        <f t="shared" si="1"/>
        <v>-111.143</v>
      </c>
      <c r="M30" s="5"/>
    </row>
    <row r="31">
      <c r="G31" s="50"/>
      <c r="H31" s="145">
        <v>18.0</v>
      </c>
      <c r="I31" s="145" t="s">
        <v>64</v>
      </c>
      <c r="J31" s="16">
        <f>Pointage!P35</f>
        <v>4444.44</v>
      </c>
      <c r="K31" s="10">
        <v>4500.0</v>
      </c>
      <c r="L31" s="16">
        <f t="shared" si="1"/>
        <v>-55.56</v>
      </c>
      <c r="M31" s="5"/>
    </row>
    <row r="32">
      <c r="G32" s="50"/>
      <c r="H32" s="1"/>
      <c r="I32" s="24" t="s">
        <v>369</v>
      </c>
      <c r="J32" s="26">
        <f t="shared" ref="J32:K32" si="2">SUM(J12:J31)</f>
        <v>432263.5742</v>
      </c>
      <c r="K32" s="146">
        <f t="shared" si="2"/>
        <v>436500</v>
      </c>
      <c r="L32" s="147">
        <f t="shared" si="1"/>
        <v>-4236.4258</v>
      </c>
      <c r="M32" s="5"/>
    </row>
    <row r="33">
      <c r="G33" s="50"/>
      <c r="H33" s="1"/>
      <c r="I33" s="148"/>
      <c r="J33" s="1"/>
      <c r="K33" s="1"/>
      <c r="L33" s="25">
        <f t="shared" si="1"/>
        <v>0</v>
      </c>
      <c r="M33" s="5"/>
    </row>
    <row r="34">
      <c r="G34" s="5"/>
      <c r="H34" s="5"/>
      <c r="I34" s="5"/>
      <c r="J34" s="5"/>
      <c r="K34" s="5"/>
      <c r="L34" s="5"/>
      <c r="M34" s="5"/>
    </row>
    <row r="35">
      <c r="G35" s="5"/>
      <c r="H35" s="5"/>
      <c r="I35" s="5"/>
      <c r="J35" s="5"/>
      <c r="K35" s="5"/>
      <c r="L35" s="5"/>
      <c r="M35" s="5"/>
    </row>
    <row r="36">
      <c r="G36" s="5"/>
      <c r="H36" s="5"/>
      <c r="I36" s="5"/>
      <c r="J36" s="5"/>
      <c r="K36" s="5"/>
      <c r="L36" s="5"/>
      <c r="M36" s="5"/>
    </row>
    <row r="37">
      <c r="G37" s="5"/>
      <c r="H37" s="5"/>
      <c r="I37" s="5"/>
      <c r="J37" s="5"/>
      <c r="K37" s="5"/>
      <c r="L37" s="5"/>
      <c r="M37" s="5"/>
    </row>
    <row r="38">
      <c r="G38" s="5"/>
      <c r="H38" s="5"/>
      <c r="I38" s="5"/>
      <c r="J38" s="5"/>
      <c r="K38" s="5"/>
      <c r="L38" s="5"/>
      <c r="M38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63"/>
    <col customWidth="1" min="5" max="5" width="26.13"/>
    <col customWidth="1" min="6" max="6" width="25.38"/>
    <col customWidth="1" min="7" max="7" width="26.38"/>
    <col customWidth="1" min="8" max="8" width="24.88"/>
    <col customWidth="1" min="9" max="9" width="26.38"/>
    <col customWidth="1" min="10" max="10" width="25.38"/>
    <col customWidth="1" min="11" max="11" width="25.88"/>
    <col customWidth="1" min="13" max="13" width="26.13"/>
    <col customWidth="1" min="14" max="14" width="25.63"/>
  </cols>
  <sheetData>
    <row r="1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>
      <c r="C16" s="5"/>
      <c r="D16" s="46"/>
      <c r="E16" s="46"/>
      <c r="F16" s="46"/>
      <c r="G16" s="46"/>
      <c r="H16" s="46"/>
      <c r="I16" s="46"/>
      <c r="J16" s="5"/>
      <c r="K16" s="5"/>
      <c r="L16" s="5"/>
      <c r="M16" s="5"/>
      <c r="N16" s="46"/>
      <c r="O16" s="5"/>
    </row>
    <row r="17">
      <c r="C17" s="5"/>
      <c r="D17" s="46"/>
      <c r="E17" s="149" t="s">
        <v>370</v>
      </c>
      <c r="F17" s="149" t="s">
        <v>371</v>
      </c>
      <c r="G17" s="149" t="s">
        <v>372</v>
      </c>
      <c r="H17" s="149" t="s">
        <v>373</v>
      </c>
      <c r="I17" s="149" t="s">
        <v>374</v>
      </c>
      <c r="J17" s="150" t="s">
        <v>375</v>
      </c>
      <c r="K17" s="151" t="s">
        <v>376</v>
      </c>
      <c r="L17" s="5"/>
      <c r="M17" s="1"/>
      <c r="N17" s="152" t="s">
        <v>377</v>
      </c>
      <c r="O17" s="5"/>
    </row>
    <row r="18">
      <c r="C18" s="5"/>
      <c r="D18" s="153" t="s">
        <v>2</v>
      </c>
      <c r="E18" s="26">
        <v>1756000.0</v>
      </c>
      <c r="F18" s="26">
        <v>2274000.0</v>
      </c>
      <c r="G18" s="26">
        <v>1984000.0</v>
      </c>
      <c r="H18" s="26">
        <v>1910000.0</v>
      </c>
      <c r="I18" s="26">
        <v>1342000.0</v>
      </c>
      <c r="J18" s="154">
        <v>1760000.0</v>
      </c>
      <c r="K18" s="155">
        <f>RECAP!D33</f>
        <v>2260000</v>
      </c>
      <c r="L18" s="50"/>
      <c r="M18" s="153" t="s">
        <v>2</v>
      </c>
      <c r="N18" s="26">
        <f>K18</f>
        <v>2260000</v>
      </c>
      <c r="O18" s="5"/>
    </row>
    <row r="19">
      <c r="C19" s="5"/>
      <c r="D19" s="153" t="s">
        <v>3</v>
      </c>
      <c r="E19" s="26">
        <v>920000.0</v>
      </c>
      <c r="F19" s="26">
        <v>914000.0</v>
      </c>
      <c r="G19" s="26">
        <v>928000.0</v>
      </c>
      <c r="H19" s="26">
        <v>744000.0</v>
      </c>
      <c r="I19" s="26">
        <v>646000.0</v>
      </c>
      <c r="J19" s="154">
        <v>804000.0</v>
      </c>
      <c r="K19" s="155">
        <f>RECAP!E33</f>
        <v>957681</v>
      </c>
      <c r="L19" s="50"/>
      <c r="M19" s="153" t="s">
        <v>3</v>
      </c>
      <c r="N19" s="156">
        <v>958000.0</v>
      </c>
      <c r="O19" s="5"/>
    </row>
    <row r="20">
      <c r="C20" s="5"/>
      <c r="D20" s="153" t="s">
        <v>378</v>
      </c>
      <c r="E20" s="26">
        <v>349000.0</v>
      </c>
      <c r="F20" s="26">
        <v>410000.0</v>
      </c>
      <c r="G20" s="26">
        <v>406000.0</v>
      </c>
      <c r="H20" s="26">
        <v>344000.0</v>
      </c>
      <c r="I20" s="26">
        <v>436000.0</v>
      </c>
      <c r="J20" s="154">
        <v>396000.0</v>
      </c>
      <c r="K20" s="155">
        <f>RECAP!F33</f>
        <v>432263.5742</v>
      </c>
      <c r="L20" s="50"/>
      <c r="M20" s="153" t="s">
        <v>378</v>
      </c>
      <c r="N20" s="156">
        <v>432000.0</v>
      </c>
      <c r="O20" s="5"/>
    </row>
    <row r="21">
      <c r="C21" s="5"/>
      <c r="D21" s="153" t="s">
        <v>5</v>
      </c>
      <c r="E21" s="26">
        <v>140000.0</v>
      </c>
      <c r="F21" s="26">
        <v>140000.0</v>
      </c>
      <c r="G21" s="26">
        <v>140000.0</v>
      </c>
      <c r="H21" s="26">
        <v>140000.0</v>
      </c>
      <c r="I21" s="26">
        <v>140000.0</v>
      </c>
      <c r="J21" s="155">
        <v>140000.0</v>
      </c>
      <c r="K21" s="154">
        <v>150000.0</v>
      </c>
      <c r="L21" s="50"/>
      <c r="M21" s="153" t="s">
        <v>5</v>
      </c>
      <c r="N21" s="156">
        <v>150000.0</v>
      </c>
      <c r="O21" s="5"/>
    </row>
    <row r="22">
      <c r="C22" s="5"/>
      <c r="D22" s="153" t="s">
        <v>379</v>
      </c>
      <c r="E22" s="26">
        <f t="shared" ref="E22:G22" si="1">E18-E19-E20-E21</f>
        <v>347000</v>
      </c>
      <c r="F22" s="26">
        <f t="shared" si="1"/>
        <v>810000</v>
      </c>
      <c r="G22" s="26">
        <f t="shared" si="1"/>
        <v>510000</v>
      </c>
      <c r="H22" s="26">
        <v>680000.0</v>
      </c>
      <c r="I22" s="26">
        <f>I18-I19-I20-I21</f>
        <v>120000</v>
      </c>
      <c r="J22" s="154">
        <v>420000.0</v>
      </c>
      <c r="K22" s="155">
        <f>K18-K19-K20-K21</f>
        <v>720055.4258</v>
      </c>
      <c r="L22" s="50"/>
      <c r="M22" s="153" t="s">
        <v>379</v>
      </c>
      <c r="N22" s="156">
        <v>720000.0</v>
      </c>
      <c r="O22" s="5"/>
    </row>
    <row r="23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38"/>
    <col customWidth="1" min="7" max="7" width="26.63"/>
    <col customWidth="1" min="8" max="8" width="27.88"/>
  </cols>
  <sheetData>
    <row r="7">
      <c r="F7" s="1"/>
      <c r="G7" s="2" t="s">
        <v>0</v>
      </c>
      <c r="H7" s="4" t="s">
        <v>54</v>
      </c>
    </row>
    <row r="8">
      <c r="F8" s="8" t="s">
        <v>10</v>
      </c>
      <c r="G8" s="9">
        <v>45474.0</v>
      </c>
      <c r="H8" s="13">
        <v>1.0</v>
      </c>
    </row>
    <row r="9">
      <c r="F9" s="8" t="s">
        <v>11</v>
      </c>
      <c r="G9" s="9">
        <v>45475.0</v>
      </c>
      <c r="H9" s="13">
        <v>0.0</v>
      </c>
    </row>
    <row r="10">
      <c r="F10" s="8" t="s">
        <v>16</v>
      </c>
      <c r="G10" s="9">
        <v>45476.0</v>
      </c>
      <c r="H10" s="13">
        <v>0.0</v>
      </c>
    </row>
    <row r="11">
      <c r="F11" s="8" t="s">
        <v>17</v>
      </c>
      <c r="G11" s="9">
        <v>45477.0</v>
      </c>
      <c r="H11" s="13">
        <v>0.0</v>
      </c>
    </row>
    <row r="12">
      <c r="F12" s="64" t="s">
        <v>18</v>
      </c>
      <c r="G12" s="65">
        <v>45478.0</v>
      </c>
      <c r="H12" s="67">
        <v>0.0</v>
      </c>
    </row>
    <row r="13">
      <c r="F13" s="8" t="s">
        <v>21</v>
      </c>
      <c r="G13" s="9">
        <v>45479.0</v>
      </c>
      <c r="H13" s="13">
        <v>1.25</v>
      </c>
    </row>
    <row r="14">
      <c r="F14" s="8" t="s">
        <v>22</v>
      </c>
      <c r="G14" s="9">
        <v>45480.0</v>
      </c>
      <c r="H14" s="13">
        <v>1.0</v>
      </c>
    </row>
    <row r="15">
      <c r="F15" s="8" t="s">
        <v>24</v>
      </c>
      <c r="G15" s="9">
        <v>45481.0</v>
      </c>
      <c r="H15" s="13">
        <v>1.0</v>
      </c>
    </row>
    <row r="16">
      <c r="F16" s="8" t="s">
        <v>11</v>
      </c>
      <c r="G16" s="9">
        <v>45482.0</v>
      </c>
      <c r="H16" s="13">
        <v>1.0</v>
      </c>
    </row>
    <row r="17">
      <c r="F17" s="8" t="s">
        <v>16</v>
      </c>
      <c r="G17" s="9">
        <v>45483.0</v>
      </c>
      <c r="H17" s="13">
        <v>1.0</v>
      </c>
    </row>
    <row r="18">
      <c r="F18" s="8" t="s">
        <v>17</v>
      </c>
      <c r="G18" s="9">
        <v>45484.0</v>
      </c>
      <c r="H18" s="13">
        <v>1.0</v>
      </c>
    </row>
    <row r="19">
      <c r="F19" s="64" t="s">
        <v>18</v>
      </c>
      <c r="G19" s="65">
        <v>45485.0</v>
      </c>
      <c r="H19" s="67">
        <v>0.0</v>
      </c>
    </row>
    <row r="20">
      <c r="F20" s="8" t="s">
        <v>21</v>
      </c>
      <c r="G20" s="9">
        <v>45486.0</v>
      </c>
      <c r="H20" s="13">
        <v>2.0</v>
      </c>
    </row>
    <row r="21">
      <c r="F21" s="8" t="s">
        <v>22</v>
      </c>
      <c r="G21" s="9">
        <v>45487.0</v>
      </c>
      <c r="H21" s="13">
        <v>1.0</v>
      </c>
    </row>
    <row r="22">
      <c r="F22" s="8" t="s">
        <v>24</v>
      </c>
      <c r="G22" s="9">
        <v>45488.0</v>
      </c>
      <c r="H22" s="72">
        <v>1.0</v>
      </c>
    </row>
    <row r="23">
      <c r="F23" s="8" t="s">
        <v>11</v>
      </c>
      <c r="G23" s="9">
        <v>45489.0</v>
      </c>
      <c r="H23" s="13">
        <v>1.0</v>
      </c>
    </row>
    <row r="24">
      <c r="F24" s="8" t="s">
        <v>16</v>
      </c>
      <c r="G24" s="9">
        <v>45490.0</v>
      </c>
      <c r="H24" s="13">
        <v>1.0</v>
      </c>
    </row>
    <row r="25">
      <c r="F25" s="8" t="s">
        <v>17</v>
      </c>
      <c r="G25" s="9">
        <v>45491.0</v>
      </c>
      <c r="H25" s="13">
        <v>1.0</v>
      </c>
    </row>
    <row r="26">
      <c r="F26" s="64" t="s">
        <v>18</v>
      </c>
      <c r="G26" s="65">
        <v>45492.0</v>
      </c>
      <c r="H26" s="67">
        <v>0.0</v>
      </c>
    </row>
    <row r="27">
      <c r="F27" s="8" t="s">
        <v>21</v>
      </c>
      <c r="G27" s="9">
        <v>45493.0</v>
      </c>
      <c r="H27" s="13">
        <v>1.5</v>
      </c>
    </row>
    <row r="28">
      <c r="F28" s="8" t="s">
        <v>22</v>
      </c>
      <c r="G28" s="9">
        <v>45494.0</v>
      </c>
      <c r="H28" s="13">
        <v>1.0</v>
      </c>
    </row>
    <row r="29">
      <c r="F29" s="8" t="s">
        <v>24</v>
      </c>
      <c r="G29" s="9">
        <v>45495.0</v>
      </c>
      <c r="H29" s="13">
        <v>1.0</v>
      </c>
    </row>
    <row r="30">
      <c r="F30" s="8" t="s">
        <v>11</v>
      </c>
      <c r="G30" s="9">
        <v>45496.0</v>
      </c>
      <c r="H30" s="13">
        <v>1.0</v>
      </c>
    </row>
    <row r="31">
      <c r="F31" s="8" t="s">
        <v>16</v>
      </c>
      <c r="G31" s="9">
        <v>45497.0</v>
      </c>
      <c r="H31" s="72">
        <v>1.0</v>
      </c>
    </row>
    <row r="32">
      <c r="F32" s="8" t="s">
        <v>17</v>
      </c>
      <c r="G32" s="9">
        <v>45498.0</v>
      </c>
      <c r="H32" s="13">
        <v>1.1</v>
      </c>
    </row>
    <row r="33">
      <c r="F33" s="64" t="s">
        <v>18</v>
      </c>
      <c r="G33" s="65">
        <v>45499.0</v>
      </c>
      <c r="H33" s="67">
        <v>0.0</v>
      </c>
    </row>
    <row r="34">
      <c r="F34" s="8" t="s">
        <v>21</v>
      </c>
      <c r="G34" s="9">
        <v>45500.0</v>
      </c>
      <c r="H34" s="13">
        <v>1.0</v>
      </c>
    </row>
    <row r="35">
      <c r="F35" s="8" t="s">
        <v>22</v>
      </c>
      <c r="G35" s="9">
        <v>45501.0</v>
      </c>
      <c r="H35" s="13">
        <v>1.0</v>
      </c>
    </row>
    <row r="36">
      <c r="F36" s="8" t="s">
        <v>24</v>
      </c>
      <c r="G36" s="9">
        <v>45502.0</v>
      </c>
      <c r="H36" s="72">
        <v>1.0</v>
      </c>
    </row>
    <row r="37">
      <c r="F37" s="8" t="s">
        <v>11</v>
      </c>
      <c r="G37" s="9">
        <v>45503.0</v>
      </c>
      <c r="H37" s="72">
        <v>1.0</v>
      </c>
    </row>
    <row r="38">
      <c r="F38" s="8" t="s">
        <v>16</v>
      </c>
      <c r="G38" s="9">
        <v>45504.0</v>
      </c>
      <c r="H38" s="72">
        <v>1.0</v>
      </c>
    </row>
    <row r="39">
      <c r="H39" s="79">
        <f>SUM(H8:H38)</f>
        <v>25.85</v>
      </c>
    </row>
    <row r="40">
      <c r="H40" s="83">
        <v>1111.11</v>
      </c>
    </row>
    <row r="41">
      <c r="H41" s="87">
        <f>H39*H40</f>
        <v>28722.1935</v>
      </c>
    </row>
    <row r="42">
      <c r="H42" s="93">
        <v>30000.0</v>
      </c>
    </row>
    <row r="43">
      <c r="H43" s="5"/>
    </row>
  </sheetData>
  <drawing r:id="rId1"/>
</worksheet>
</file>