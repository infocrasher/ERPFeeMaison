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Charges " sheetId="2" r:id="rId5"/>
    <sheet state="visible" name="Pointage" sheetId="3" r:id="rId6"/>
    <sheet state="visible" name="Salaires" sheetId="4" r:id="rId7"/>
  </sheets>
  <definedNames/>
  <calcPr/>
</workbook>
</file>

<file path=xl/sharedStrings.xml><?xml version="1.0" encoding="utf-8"?>
<sst xmlns="http://schemas.openxmlformats.org/spreadsheetml/2006/main" count="337" uniqueCount="200">
  <si>
    <t>Date</t>
  </si>
  <si>
    <t xml:space="preserve">Recette mois d'Octobre </t>
  </si>
  <si>
    <t xml:space="preserve">Recette </t>
  </si>
  <si>
    <t>Charges</t>
  </si>
  <si>
    <t>Salaire</t>
  </si>
  <si>
    <t>Loyer</t>
  </si>
  <si>
    <t>Net Profit</t>
  </si>
  <si>
    <t>Nb de jours</t>
  </si>
  <si>
    <t>Dimanche</t>
  </si>
  <si>
    <t xml:space="preserve">Moyenne </t>
  </si>
  <si>
    <t>Lundi</t>
  </si>
  <si>
    <t xml:space="preserve">Sofiane </t>
  </si>
  <si>
    <t>Amel</t>
  </si>
  <si>
    <t>Mardi</t>
  </si>
  <si>
    <t>Mercredi</t>
  </si>
  <si>
    <t>Jeudi</t>
  </si>
  <si>
    <t>Vendredi</t>
  </si>
  <si>
    <t>Samedi</t>
  </si>
  <si>
    <t>Mecredi</t>
  </si>
  <si>
    <t xml:space="preserve">Cash restant </t>
  </si>
  <si>
    <t>Magasin</t>
  </si>
  <si>
    <t>Différence</t>
  </si>
  <si>
    <t>Sofiane</t>
  </si>
  <si>
    <t>TOTAL</t>
  </si>
  <si>
    <t>TAUX</t>
  </si>
  <si>
    <t>Produit</t>
  </si>
  <si>
    <t>Quantité</t>
  </si>
  <si>
    <t>Prix</t>
  </si>
  <si>
    <t>Date d'achat</t>
  </si>
  <si>
    <t>étagères</t>
  </si>
  <si>
    <t xml:space="preserve">mois de septembre </t>
  </si>
  <si>
    <t>Semoule</t>
  </si>
  <si>
    <t>40 sachets de 10kg</t>
  </si>
  <si>
    <t>huile</t>
  </si>
  <si>
    <t xml:space="preserve">20 bidons de 5 litres </t>
  </si>
  <si>
    <t>amandes</t>
  </si>
  <si>
    <t>1kg</t>
  </si>
  <si>
    <t>margarine</t>
  </si>
  <si>
    <t>1 carton de 24 boites 250g</t>
  </si>
  <si>
    <t xml:space="preserve">levure de bière </t>
  </si>
  <si>
    <t>20 de 500g</t>
  </si>
  <si>
    <t>Détergents</t>
  </si>
  <si>
    <t xml:space="preserve">pièces pour la plaque chauffante </t>
  </si>
  <si>
    <t>bessel</t>
  </si>
  <si>
    <t>20kg</t>
  </si>
  <si>
    <t>tomate</t>
  </si>
  <si>
    <t>5kg</t>
  </si>
  <si>
    <t>épices</t>
  </si>
  <si>
    <t>/</t>
  </si>
  <si>
    <t>viande hachéé</t>
  </si>
  <si>
    <t>500g</t>
  </si>
  <si>
    <t>eau d'oranger</t>
  </si>
  <si>
    <t>coriandre</t>
  </si>
  <si>
    <t>semoule moyenne Sim</t>
  </si>
  <si>
    <t>6 sachets de 10kg</t>
  </si>
  <si>
    <t>Tomate conserve kigtome</t>
  </si>
  <si>
    <t xml:space="preserve">1 carton </t>
  </si>
  <si>
    <t>yaourt</t>
  </si>
  <si>
    <t>farine</t>
  </si>
  <si>
    <t>plats 40/60</t>
  </si>
  <si>
    <t>Maizina</t>
  </si>
  <si>
    <t>2kg</t>
  </si>
  <si>
    <t>farine Mama</t>
  </si>
  <si>
    <t>semen Madina</t>
  </si>
  <si>
    <t>4*2kg</t>
  </si>
  <si>
    <t>sucre glace</t>
  </si>
  <si>
    <t>12kg</t>
  </si>
  <si>
    <t>Margarine Mani</t>
  </si>
  <si>
    <t xml:space="preserve">2 cartons de 24 boites </t>
  </si>
  <si>
    <t>levure chimique</t>
  </si>
  <si>
    <t>1 boite</t>
  </si>
  <si>
    <t>miel de 5kg</t>
  </si>
  <si>
    <t>Faine Mama</t>
  </si>
  <si>
    <t>3 fardeaux</t>
  </si>
  <si>
    <t>Harrissa</t>
  </si>
  <si>
    <t>1 carton de 12kg</t>
  </si>
  <si>
    <t>sel</t>
  </si>
  <si>
    <t>fardeau de 15kg</t>
  </si>
  <si>
    <t>Confiture</t>
  </si>
  <si>
    <t>fromage speciale pizza</t>
  </si>
  <si>
    <t xml:space="preserve">Amandes </t>
  </si>
  <si>
    <t xml:space="preserve">arome de citron </t>
  </si>
  <si>
    <t xml:space="preserve">vanille </t>
  </si>
  <si>
    <t xml:space="preserve">boites de mekiret </t>
  </si>
  <si>
    <t>2 fardeaux</t>
  </si>
  <si>
    <t xml:space="preserve">serviette en papier </t>
  </si>
  <si>
    <t>chocolat optella</t>
  </si>
  <si>
    <t>2 bidons de 3kg</t>
  </si>
  <si>
    <t xml:space="preserve">les quissettes + dentelle </t>
  </si>
  <si>
    <t>boissons Rafik</t>
  </si>
  <si>
    <t xml:space="preserve">oeuf et autres achats </t>
  </si>
  <si>
    <t xml:space="preserve">semoule Mama fine </t>
  </si>
  <si>
    <t>7 sachets de 10kg</t>
  </si>
  <si>
    <t>bahar</t>
  </si>
  <si>
    <t>20 sachets den 10 kg</t>
  </si>
  <si>
    <t>5 sachets de 10kg</t>
  </si>
  <si>
    <t>05 sachets de 10kg</t>
  </si>
  <si>
    <t>boites 48/10 36/10 36/7 12/07 08/07</t>
  </si>
  <si>
    <t>lait candia</t>
  </si>
  <si>
    <t>flexy internet</t>
  </si>
  <si>
    <t>1 mois</t>
  </si>
  <si>
    <t>Rechta</t>
  </si>
  <si>
    <t>100kg</t>
  </si>
  <si>
    <t>semoule temina</t>
  </si>
  <si>
    <t>herebes</t>
  </si>
  <si>
    <t>rechta</t>
  </si>
  <si>
    <t>200kg</t>
  </si>
  <si>
    <t>poulet hachée</t>
  </si>
  <si>
    <t>citron</t>
  </si>
  <si>
    <t>ciseaux</t>
  </si>
  <si>
    <t>lave main</t>
  </si>
  <si>
    <t>trasport heech :(</t>
  </si>
  <si>
    <t>transport zehor</t>
  </si>
  <si>
    <t xml:space="preserve">poivre tomate fraiche </t>
  </si>
  <si>
    <t>viande hachéé, poulet hachée</t>
  </si>
  <si>
    <t>ouefs</t>
  </si>
  <si>
    <t>1 plateau</t>
  </si>
  <si>
    <t xml:space="preserve">rechta </t>
  </si>
  <si>
    <t>10kg</t>
  </si>
  <si>
    <t>transport heech</t>
  </si>
  <si>
    <t>habet 7alawa</t>
  </si>
  <si>
    <t>coriandre: menth, thyme</t>
  </si>
  <si>
    <t xml:space="preserve">20 boîtes </t>
  </si>
  <si>
    <t>détergents +bali+thon +3akeri</t>
  </si>
  <si>
    <t>sucre cristalisé</t>
  </si>
  <si>
    <t>1 fardeau</t>
  </si>
  <si>
    <t>lait en poudre</t>
  </si>
  <si>
    <t>13kg</t>
  </si>
  <si>
    <t xml:space="preserve">boites 48/10    </t>
  </si>
  <si>
    <t>boites 36/7</t>
  </si>
  <si>
    <t>sachets 5kg</t>
  </si>
  <si>
    <t>1 faredau</t>
  </si>
  <si>
    <t>3akeri</t>
  </si>
  <si>
    <t>herbes</t>
  </si>
  <si>
    <t>achats ; isis , viande hachée, thon</t>
  </si>
  <si>
    <t>transport +bessel</t>
  </si>
  <si>
    <t>Transport Zehor vendredi</t>
  </si>
  <si>
    <t>Gobelet sorbet</t>
  </si>
  <si>
    <t>boits 36/07</t>
  </si>
  <si>
    <t>boites 36/10</t>
  </si>
  <si>
    <t>eau petites bouteilles</t>
  </si>
  <si>
    <t>5 fardeaux</t>
  </si>
  <si>
    <t>isis</t>
  </si>
  <si>
    <t>sac poubelle</t>
  </si>
  <si>
    <t>papier aluminium</t>
  </si>
  <si>
    <t>cotex</t>
  </si>
  <si>
    <t>25kg</t>
  </si>
  <si>
    <t>storm</t>
  </si>
  <si>
    <t>semoule 5 étoiles</t>
  </si>
  <si>
    <t>1 kg</t>
  </si>
  <si>
    <t>dentelle</t>
  </si>
  <si>
    <t xml:space="preserve">4 boites </t>
  </si>
  <si>
    <t>transport</t>
  </si>
  <si>
    <t>75kg</t>
  </si>
  <si>
    <t xml:space="preserve">viande hachée </t>
  </si>
  <si>
    <t>thon</t>
  </si>
  <si>
    <t>fromage fondu</t>
  </si>
  <si>
    <t>lait</t>
  </si>
  <si>
    <t>ail</t>
  </si>
  <si>
    <t>boites 36/07</t>
  </si>
  <si>
    <t>1 carton</t>
  </si>
  <si>
    <t>gheress</t>
  </si>
  <si>
    <t>zebib</t>
  </si>
  <si>
    <t>ka3ek nakach</t>
  </si>
  <si>
    <t>80 pièces</t>
  </si>
  <si>
    <t>transport zoubida</t>
  </si>
  <si>
    <t>plastique</t>
  </si>
  <si>
    <t>2m</t>
  </si>
  <si>
    <t xml:space="preserve">oeuf    </t>
  </si>
  <si>
    <t>ftour</t>
  </si>
  <si>
    <t>légums</t>
  </si>
  <si>
    <t>1.7kg</t>
  </si>
  <si>
    <t>baghrir</t>
  </si>
  <si>
    <t xml:space="preserve">20 jours </t>
  </si>
  <si>
    <t xml:space="preserve">transport </t>
  </si>
  <si>
    <t>700g</t>
  </si>
  <si>
    <t>transport Zehor</t>
  </si>
  <si>
    <t>200 pièces</t>
  </si>
  <si>
    <t>Baghrir</t>
  </si>
  <si>
    <t xml:space="preserve">10 jours </t>
  </si>
  <si>
    <t>TOTALE</t>
  </si>
  <si>
    <t xml:space="preserve">Somme initiale </t>
  </si>
  <si>
    <t>Rest</t>
  </si>
  <si>
    <t>Zehor</t>
  </si>
  <si>
    <t>Zoubida</t>
  </si>
  <si>
    <t xml:space="preserve">Nadjet </t>
  </si>
  <si>
    <t>Hadjer</t>
  </si>
  <si>
    <t>Karima</t>
  </si>
  <si>
    <t>Nouara</t>
  </si>
  <si>
    <t>Zahida</t>
  </si>
  <si>
    <t>Remarque</t>
  </si>
  <si>
    <t>Total</t>
  </si>
  <si>
    <t>Salaire/jour</t>
  </si>
  <si>
    <t>SALAIRES</t>
  </si>
  <si>
    <t xml:space="preserve">Nom </t>
  </si>
  <si>
    <t>Avance</t>
  </si>
  <si>
    <t>Nowara</t>
  </si>
  <si>
    <t>karima</t>
  </si>
  <si>
    <t>Nadjet</t>
  </si>
  <si>
    <t xml:space="preserve">salaire de septembre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</si>
</sst>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#,##0.00\ [$€-1]"/>
    <numFmt numFmtId="166" formatCode="d/m/yyyy"/>
  </numFmts>
  <fonts count="21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4.0"/>
      <color rgb="FF0000FF"/>
      <name val="Arial"/>
    </font>
    <font>
      <b/>
      <sz val="14.0"/>
      <color rgb="FFFF0000"/>
      <name val="Arial"/>
    </font>
    <font>
      <b/>
      <sz val="12.0"/>
      <color rgb="FFFF0000"/>
      <name val="Arial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/>
    <font>
      <b/>
      <color theme="1"/>
      <name val="Arial"/>
    </font>
    <font>
      <b/>
      <sz val="18.0"/>
      <color theme="1"/>
      <name val="Arial"/>
    </font>
    <font>
      <sz val="14.0"/>
      <color theme="1"/>
      <name val="Arial"/>
      <scheme val="minor"/>
    </font>
    <font>
      <sz val="14.0"/>
      <color theme="1"/>
      <name val="Arial"/>
    </font>
    <font>
      <b/>
      <sz val="12.0"/>
      <color rgb="FF0000FF"/>
      <name val="Arial"/>
    </font>
    <font>
      <color rgb="FF000000"/>
      <name val="Arial"/>
      <scheme val="minor"/>
    </font>
    <font>
      <color rgb="FF434343"/>
      <name val="Arial"/>
      <scheme val="minor"/>
    </font>
    <font>
      <b/>
      <sz val="14.0"/>
      <color rgb="FF1C4587"/>
      <name val="Arial"/>
    </font>
    <font>
      <sz val="18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3C78D8"/>
        <bgColor rgb="FF3C78D8"/>
      </patternFill>
    </fill>
    <fill>
      <patternFill patternType="solid">
        <fgColor rgb="FF34A853"/>
        <bgColor rgb="FF34A853"/>
      </patternFill>
    </fill>
    <fill>
      <patternFill patternType="solid">
        <fgColor rgb="FF6AA84F"/>
        <bgColor rgb="FF6AA84F"/>
      </patternFill>
    </fill>
    <fill>
      <patternFill patternType="solid">
        <fgColor rgb="FFEA4335"/>
        <bgColor rgb="FFEA4335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vertical="bottom"/>
    </xf>
    <xf borderId="1" fillId="3" fontId="2" numFmtId="0" xfId="0" applyAlignment="1" applyBorder="1" applyFill="1" applyFon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4" fontId="3" numFmtId="165" xfId="0" applyAlignment="1" applyBorder="1" applyFill="1" applyFont="1" applyNumberFormat="1">
      <alignment horizontal="center" vertical="bottom"/>
    </xf>
    <xf borderId="1" fillId="3" fontId="3" numFmtId="165" xfId="0" applyAlignment="1" applyBorder="1" applyFont="1" applyNumberFormat="1">
      <alignment horizontal="center" readingOrder="0" vertical="bottom"/>
    </xf>
    <xf borderId="1" fillId="3" fontId="1" numFmtId="165" xfId="0" applyAlignment="1" applyBorder="1" applyFont="1" applyNumberFormat="1">
      <alignment vertical="bottom"/>
    </xf>
    <xf borderId="1" fillId="3" fontId="3" numFmtId="0" xfId="0" applyAlignment="1" applyBorder="1" applyFont="1">
      <alignment horizontal="center" vertical="bottom"/>
    </xf>
    <xf borderId="0" fillId="5" fontId="4" numFmtId="0" xfId="0" applyAlignment="1" applyFill="1" applyFont="1">
      <alignment horizontal="center" vertical="bottom"/>
    </xf>
    <xf borderId="1" fillId="3" fontId="3" numFmtId="165" xfId="0" applyAlignment="1" applyBorder="1" applyFont="1" applyNumberFormat="1">
      <alignment horizontal="right" vertical="bottom"/>
    </xf>
    <xf borderId="1" fillId="3" fontId="3" numFmtId="0" xfId="0" applyAlignment="1" applyBorder="1" applyFont="1">
      <alignment horizontal="center" readingOrder="0" vertical="bottom"/>
    </xf>
    <xf borderId="0" fillId="4" fontId="4" numFmtId="165" xfId="0" applyAlignment="1" applyFont="1" applyNumberFormat="1">
      <alignment horizontal="center" vertical="bottom"/>
    </xf>
    <xf borderId="1" fillId="6" fontId="5" numFmtId="0" xfId="0" applyAlignment="1" applyBorder="1" applyFill="1" applyFont="1">
      <alignment horizontal="center" vertical="bottom"/>
    </xf>
    <xf borderId="1" fillId="6" fontId="6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1" fillId="0" fontId="4" numFmtId="165" xfId="0" applyAlignment="1" applyBorder="1" applyFont="1" applyNumberFormat="1">
      <alignment horizontal="center" readingOrder="0" vertical="bottom"/>
    </xf>
    <xf borderId="1" fillId="0" fontId="4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center" readingOrder="0" vertical="bottom"/>
    </xf>
    <xf borderId="0" fillId="7" fontId="4" numFmtId="165" xfId="0" applyAlignment="1" applyFill="1" applyFont="1" applyNumberFormat="1">
      <alignment horizontal="center" vertical="bottom"/>
    </xf>
    <xf borderId="1" fillId="7" fontId="3" numFmtId="165" xfId="0" applyAlignment="1" applyBorder="1" applyFont="1" applyNumberFormat="1">
      <alignment horizontal="center" readingOrder="0" vertical="bottom"/>
    </xf>
    <xf borderId="0" fillId="6" fontId="4" numFmtId="0" xfId="0" applyAlignment="1" applyFont="1">
      <alignment horizontal="center" vertical="bottom"/>
    </xf>
    <xf borderId="1" fillId="6" fontId="4" numFmtId="0" xfId="0" applyAlignment="1" applyBorder="1" applyFont="1">
      <alignment horizontal="center" vertical="bottom"/>
    </xf>
    <xf borderId="0" fillId="6" fontId="7" numFmtId="0" xfId="0" applyAlignment="1" applyFont="1">
      <alignment horizontal="center" vertical="bottom"/>
    </xf>
    <xf borderId="1" fillId="7" fontId="4" numFmtId="165" xfId="0" applyAlignment="1" applyBorder="1" applyFont="1" applyNumberFormat="1">
      <alignment horizontal="center" readingOrder="0" vertical="bottom"/>
    </xf>
    <xf borderId="1" fillId="4" fontId="4" numFmtId="165" xfId="0" applyAlignment="1" applyBorder="1" applyFont="1" applyNumberFormat="1">
      <alignment horizontal="center" readingOrder="0" vertical="bottom"/>
    </xf>
    <xf borderId="1" fillId="8" fontId="3" numFmtId="165" xfId="0" applyAlignment="1" applyBorder="1" applyFill="1" applyFont="1" applyNumberFormat="1">
      <alignment horizontal="center" vertical="bottom"/>
    </xf>
    <xf borderId="0" fillId="0" fontId="8" numFmtId="165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readingOrder="0"/>
    </xf>
    <xf borderId="0" fillId="0" fontId="10" numFmtId="165" xfId="0" applyFont="1" applyNumberFormat="1"/>
    <xf borderId="0" fillId="0" fontId="10" numFmtId="165" xfId="0" applyAlignment="1" applyFont="1" applyNumberFormat="1">
      <alignment readingOrder="0"/>
    </xf>
    <xf borderId="0" fillId="0" fontId="8" numFmtId="0" xfId="0" applyAlignment="1" applyFont="1">
      <alignment horizontal="center" readingOrder="0"/>
    </xf>
    <xf borderId="1" fillId="3" fontId="1" numFmtId="0" xfId="0" applyAlignment="1" applyBorder="1" applyFont="1">
      <alignment horizontal="center" readingOrder="0" vertical="bottom"/>
    </xf>
    <xf borderId="1" fillId="0" fontId="1" numFmtId="0" xfId="0" applyAlignment="1" applyBorder="1" applyFont="1">
      <alignment horizontal="center" vertical="bottom"/>
    </xf>
    <xf borderId="1" fillId="3" fontId="3" numFmtId="164" xfId="0" applyAlignment="1" applyBorder="1" applyFont="1" applyNumberFormat="1">
      <alignment horizontal="right" readingOrder="0" vertical="bottom"/>
    </xf>
    <xf borderId="1" fillId="7" fontId="3" numFmtId="165" xfId="0" applyAlignment="1" applyBorder="1" applyFont="1" applyNumberFormat="1">
      <alignment horizontal="center" vertical="bottom"/>
    </xf>
    <xf borderId="1" fillId="9" fontId="3" numFmtId="165" xfId="0" applyAlignment="1" applyBorder="1" applyFill="1" applyFont="1" applyNumberFormat="1">
      <alignment horizontal="center" vertical="bottom"/>
    </xf>
    <xf borderId="1" fillId="6" fontId="3" numFmtId="165" xfId="0" applyAlignment="1" applyBorder="1" applyFont="1" applyNumberFormat="1">
      <alignment horizontal="center" vertical="bottom"/>
    </xf>
    <xf borderId="1" fillId="4" fontId="3" numFmtId="165" xfId="0" applyAlignment="1" applyBorder="1" applyFont="1" applyNumberFormat="1">
      <alignment horizontal="right" vertical="bottom"/>
    </xf>
    <xf borderId="1" fillId="5" fontId="3" numFmtId="0" xfId="0" applyAlignment="1" applyBorder="1" applyFont="1">
      <alignment horizontal="center" vertical="bottom"/>
    </xf>
    <xf borderId="2" fillId="10" fontId="1" numFmtId="0" xfId="0" applyAlignment="1" applyBorder="1" applyFill="1" applyFont="1">
      <alignment horizontal="center" vertical="bottom"/>
    </xf>
    <xf borderId="3" fillId="0" fontId="11" numFmtId="0" xfId="0" applyBorder="1" applyFont="1"/>
    <xf borderId="1" fillId="3" fontId="12" numFmtId="9" xfId="0" applyAlignment="1" applyBorder="1" applyFont="1" applyNumberFormat="1">
      <alignment horizontal="center" readingOrder="0" vertical="bottom"/>
    </xf>
    <xf borderId="1" fillId="11" fontId="12" numFmtId="9" xfId="0" applyAlignment="1" applyBorder="1" applyFill="1" applyFont="1" applyNumberFormat="1">
      <alignment horizontal="center" vertical="bottom"/>
    </xf>
    <xf borderId="1" fillId="12" fontId="12" numFmtId="10" xfId="0" applyAlignment="1" applyBorder="1" applyFill="1" applyFont="1" applyNumberFormat="1">
      <alignment horizontal="center" vertical="bottom"/>
    </xf>
    <xf borderId="0" fillId="0" fontId="8" numFmtId="165" xfId="0" applyAlignment="1" applyFont="1" applyNumberFormat="1">
      <alignment readingOrder="0"/>
    </xf>
    <xf borderId="1" fillId="7" fontId="13" numFmtId="0" xfId="0" applyAlignment="1" applyBorder="1" applyFont="1">
      <alignment horizontal="center" vertical="bottom"/>
    </xf>
    <xf borderId="1" fillId="5" fontId="14" numFmtId="0" xfId="0" applyAlignment="1" applyBorder="1" applyFont="1">
      <alignment horizontal="center" readingOrder="0"/>
    </xf>
    <xf borderId="1" fillId="5" fontId="14" numFmtId="165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 readingOrder="0"/>
    </xf>
    <xf borderId="1" fillId="0" fontId="14" numFmtId="165" xfId="0" applyAlignment="1" applyBorder="1" applyFont="1" applyNumberFormat="1">
      <alignment horizontal="center" readingOrder="0"/>
    </xf>
    <xf borderId="1" fillId="0" fontId="14" numFmtId="164" xfId="0" applyAlignment="1" applyBorder="1" applyFont="1" applyNumberFormat="1">
      <alignment horizontal="center" readingOrder="0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horizontal="center" readingOrder="0" vertical="bottom"/>
    </xf>
    <xf borderId="1" fillId="0" fontId="15" numFmtId="165" xfId="0" applyAlignment="1" applyBorder="1" applyFont="1" applyNumberFormat="1">
      <alignment horizontal="center" vertical="bottom"/>
    </xf>
    <xf borderId="1" fillId="0" fontId="15" numFmtId="164" xfId="0" applyAlignment="1" applyBorder="1" applyFont="1" applyNumberFormat="1">
      <alignment horizontal="center" readingOrder="0" vertical="bottom"/>
    </xf>
    <xf borderId="1" fillId="0" fontId="15" numFmtId="165" xfId="0" applyAlignment="1" applyBorder="1" applyFont="1" applyNumberFormat="1">
      <alignment horizontal="center" readingOrder="0" vertical="bottom"/>
    </xf>
    <xf borderId="1" fillId="0" fontId="15" numFmtId="166" xfId="0" applyAlignment="1" applyBorder="1" applyFont="1" applyNumberFormat="1">
      <alignment horizontal="center" readingOrder="0" vertical="bottom"/>
    </xf>
    <xf borderId="1" fillId="0" fontId="14" numFmtId="166" xfId="0" applyAlignment="1" applyBorder="1" applyFont="1" applyNumberFormat="1">
      <alignment horizontal="center" readingOrder="0"/>
    </xf>
    <xf borderId="1" fillId="0" fontId="14" numFmtId="0" xfId="0" applyAlignment="1" applyBorder="1" applyFont="1">
      <alignment horizontal="center"/>
    </xf>
    <xf borderId="1" fillId="6" fontId="14" numFmtId="0" xfId="0" applyAlignment="1" applyBorder="1" applyFont="1">
      <alignment horizontal="center" readingOrder="0"/>
    </xf>
    <xf borderId="1" fillId="6" fontId="14" numFmtId="165" xfId="0" applyAlignment="1" applyBorder="1" applyFont="1" applyNumberFormat="1">
      <alignment horizontal="center" readingOrder="0"/>
    </xf>
    <xf borderId="1" fillId="6" fontId="14" numFmtId="166" xfId="0" applyAlignment="1" applyBorder="1" applyFont="1" applyNumberFormat="1">
      <alignment horizontal="center" readingOrder="0"/>
    </xf>
    <xf borderId="1" fillId="0" fontId="14" numFmtId="165" xfId="0" applyAlignment="1" applyBorder="1" applyFont="1" applyNumberFormat="1">
      <alignment horizontal="center"/>
    </xf>
    <xf borderId="0" fillId="6" fontId="6" numFmtId="0" xfId="0" applyAlignment="1" applyFont="1">
      <alignment horizontal="center" vertical="bottom"/>
    </xf>
    <xf borderId="1" fillId="0" fontId="1" numFmtId="0" xfId="0" applyAlignment="1" applyBorder="1" applyFont="1">
      <alignment vertical="bottom"/>
    </xf>
    <xf borderId="1" fillId="8" fontId="4" numFmtId="165" xfId="0" applyAlignment="1" applyBorder="1" applyFont="1" applyNumberFormat="1">
      <alignment horizontal="center" vertical="bottom"/>
    </xf>
    <xf borderId="1" fillId="4" fontId="15" numFmtId="165" xfId="0" applyAlignment="1" applyBorder="1" applyFont="1" applyNumberFormat="1">
      <alignment horizontal="center" vertical="bottom"/>
    </xf>
    <xf borderId="1" fillId="7" fontId="4" numFmtId="165" xfId="0" applyAlignment="1" applyBorder="1" applyFont="1" applyNumberFormat="1">
      <alignment horizontal="center" vertical="bottom"/>
    </xf>
    <xf borderId="1" fillId="4" fontId="16" numFmtId="0" xfId="0" applyAlignment="1" applyBorder="1" applyFont="1">
      <alignment horizontal="center" vertical="bottom"/>
    </xf>
    <xf borderId="1" fillId="7" fontId="4" numFmtId="0" xfId="0" applyAlignment="1" applyBorder="1" applyFont="1">
      <alignment horizontal="center" vertical="bottom"/>
    </xf>
    <xf borderId="1" fillId="0" fontId="10" numFmtId="0" xfId="0" applyAlignment="1" applyBorder="1" applyFont="1">
      <alignment readingOrder="0"/>
    </xf>
    <xf borderId="1" fillId="0" fontId="10" numFmtId="0" xfId="0" applyBorder="1" applyFont="1"/>
    <xf borderId="1" fillId="6" fontId="2" numFmtId="0" xfId="0" applyAlignment="1" applyBorder="1" applyFont="1">
      <alignment horizontal="center" readingOrder="0" vertical="bottom"/>
    </xf>
    <xf borderId="1" fillId="6" fontId="3" numFmtId="164" xfId="0" applyAlignment="1" applyBorder="1" applyFont="1" applyNumberFormat="1">
      <alignment horizontal="right" readingOrder="0" vertical="bottom"/>
    </xf>
    <xf borderId="1" fillId="6" fontId="10" numFmtId="0" xfId="0" applyAlignment="1" applyBorder="1" applyFont="1">
      <alignment readingOrder="0"/>
    </xf>
    <xf borderId="1" fillId="0" fontId="17" numFmtId="0" xfId="0" applyAlignment="1" applyBorder="1" applyFont="1">
      <alignment readingOrder="0"/>
    </xf>
    <xf borderId="1" fillId="6" fontId="17" numFmtId="0" xfId="0" applyAlignment="1" applyBorder="1" applyFont="1">
      <alignment readingOrder="0"/>
    </xf>
    <xf borderId="1" fillId="0" fontId="18" numFmtId="0" xfId="0" applyAlignment="1" applyBorder="1" applyFont="1">
      <alignment readingOrder="0"/>
    </xf>
    <xf borderId="1" fillId="7" fontId="6" numFmtId="0" xfId="0" applyAlignment="1" applyBorder="1" applyFont="1">
      <alignment horizontal="center" vertical="bottom"/>
    </xf>
    <xf borderId="1" fillId="7" fontId="7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vertical="bottom"/>
    </xf>
    <xf borderId="1" fillId="7" fontId="19" numFmtId="0" xfId="0" applyAlignment="1" applyBorder="1" applyFont="1">
      <alignment horizontal="center" vertical="bottom"/>
    </xf>
    <xf borderId="1" fillId="8" fontId="4" numFmtId="0" xfId="0" applyAlignment="1" applyBorder="1" applyFont="1">
      <alignment horizontal="center" vertical="bottom"/>
    </xf>
    <xf borderId="0" fillId="0" fontId="14" numFmtId="0" xfId="0" applyAlignment="1" applyFont="1">
      <alignment readingOrder="0"/>
    </xf>
    <xf borderId="1" fillId="0" fontId="1" numFmtId="165" xfId="0" applyAlignment="1" applyBorder="1" applyFont="1" applyNumberFormat="1">
      <alignment vertical="bottom"/>
    </xf>
    <xf borderId="0" fillId="0" fontId="14" numFmtId="0" xfId="0" applyFont="1"/>
    <xf borderId="1" fillId="0" fontId="3" numFmtId="0" xfId="0" applyAlignment="1" applyBorder="1" applyFont="1">
      <alignment vertical="bottom"/>
    </xf>
    <xf borderId="1" fillId="3" fontId="4" numFmtId="165" xfId="0" applyAlignment="1" applyBorder="1" applyFont="1" applyNumberFormat="1">
      <alignment horizontal="center" readingOrder="0" vertical="bottom"/>
    </xf>
    <xf borderId="1" fillId="3" fontId="4" numFmtId="165" xfId="0" applyAlignment="1" applyBorder="1" applyFont="1" applyNumberFormat="1">
      <alignment horizontal="center" vertical="bottom"/>
    </xf>
    <xf borderId="1" fillId="7" fontId="20" numFmtId="0" xfId="0" applyAlignment="1" applyBorder="1" applyFont="1">
      <alignment horizontal="center" vertical="bottom"/>
    </xf>
    <xf borderId="1" fillId="7" fontId="20" numFmtId="165" xfId="0" applyAlignment="1" applyBorder="1" applyFont="1" applyNumberFormat="1">
      <alignment horizontal="center" vertical="bottom"/>
    </xf>
    <xf borderId="0" fillId="8" fontId="20" numFmtId="165" xfId="0" applyAlignment="1" applyFont="1" applyNumberFormat="1">
      <alignment horizontal="center" vertical="bottom"/>
    </xf>
    <xf borderId="1" fillId="4" fontId="1" numFmtId="0" xfId="0" applyAlignment="1" applyBorder="1" applyFont="1">
      <alignment vertical="bottom"/>
    </xf>
    <xf borderId="1" fillId="4" fontId="20" numFmtId="165" xfId="0" applyAlignment="1" applyBorder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75"/>
    <col customWidth="1" min="3" max="3" width="24.75"/>
    <col customWidth="1" min="4" max="4" width="15.38"/>
    <col customWidth="1" min="12" max="12" width="22.75"/>
    <col customWidth="1" min="14" max="14" width="15.25"/>
    <col customWidth="1" min="15" max="15" width="15.38"/>
  </cols>
  <sheetData>
    <row r="1">
      <c r="A1" s="1"/>
      <c r="B1" s="2" t="s">
        <v>0</v>
      </c>
      <c r="C1" s="3" t="s">
        <v>1</v>
      </c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</row>
    <row r="2">
      <c r="A2" s="5" t="s">
        <v>8</v>
      </c>
      <c r="B2" s="6">
        <v>44136.0</v>
      </c>
      <c r="C2" s="7">
        <v>53000.0</v>
      </c>
      <c r="D2" s="8">
        <v>23000.0</v>
      </c>
      <c r="E2" s="9"/>
      <c r="F2" s="9"/>
      <c r="G2" s="9"/>
      <c r="H2" s="9"/>
      <c r="I2" s="10">
        <v>1.0</v>
      </c>
      <c r="L2" s="11" t="s">
        <v>9</v>
      </c>
    </row>
    <row r="3">
      <c r="A3" s="5" t="s">
        <v>10</v>
      </c>
      <c r="B3" s="6">
        <v>44137.0</v>
      </c>
      <c r="C3" s="7">
        <v>0.0</v>
      </c>
      <c r="D3" s="8">
        <v>20000.0</v>
      </c>
      <c r="E3" s="12">
        <v>0.0</v>
      </c>
      <c r="F3" s="12">
        <v>0.0</v>
      </c>
      <c r="G3" s="12">
        <v>0.0</v>
      </c>
      <c r="H3" s="12">
        <v>0.0</v>
      </c>
      <c r="I3" s="13">
        <v>1.0</v>
      </c>
      <c r="L3" s="14">
        <f>D32/I32</f>
        <v>24600</v>
      </c>
      <c r="N3" s="15" t="s">
        <v>11</v>
      </c>
      <c r="O3" s="16" t="s">
        <v>12</v>
      </c>
    </row>
    <row r="4">
      <c r="A4" s="5" t="s">
        <v>13</v>
      </c>
      <c r="B4" s="6">
        <v>44138.0</v>
      </c>
      <c r="C4" s="7">
        <v>20000.0</v>
      </c>
      <c r="D4" s="8">
        <v>22000.0</v>
      </c>
      <c r="E4" s="9"/>
      <c r="F4" s="9"/>
      <c r="G4" s="9"/>
      <c r="H4" s="9"/>
      <c r="I4" s="13">
        <v>1.0</v>
      </c>
      <c r="L4" s="17"/>
      <c r="N4" s="18">
        <v>40000.0</v>
      </c>
      <c r="O4" s="19">
        <v>31000.0</v>
      </c>
    </row>
    <row r="5">
      <c r="A5" s="5" t="s">
        <v>14</v>
      </c>
      <c r="B5" s="6">
        <v>44139.0</v>
      </c>
      <c r="C5" s="20">
        <v>20000.0</v>
      </c>
      <c r="D5" s="8">
        <v>27000.0</v>
      </c>
      <c r="E5" s="9"/>
      <c r="F5" s="9"/>
      <c r="G5" s="9"/>
      <c r="H5" s="9"/>
      <c r="I5" s="13">
        <v>1.0</v>
      </c>
      <c r="L5" s="21">
        <v>30000.0</v>
      </c>
    </row>
    <row r="6">
      <c r="A6" s="5" t="s">
        <v>15</v>
      </c>
      <c r="B6" s="6">
        <v>44140.0</v>
      </c>
      <c r="C6" s="20">
        <v>21000.0</v>
      </c>
      <c r="D6" s="8">
        <v>37000.0</v>
      </c>
      <c r="E6" s="9"/>
      <c r="F6" s="9"/>
      <c r="G6" s="9"/>
      <c r="H6" s="9"/>
      <c r="I6" s="13">
        <v>1.0</v>
      </c>
    </row>
    <row r="7">
      <c r="A7" s="5" t="s">
        <v>16</v>
      </c>
      <c r="B7" s="6">
        <v>44141.0</v>
      </c>
      <c r="C7" s="20">
        <v>20000.0</v>
      </c>
      <c r="D7" s="22">
        <v>26000.0</v>
      </c>
      <c r="E7" s="9"/>
      <c r="F7" s="9"/>
      <c r="G7" s="9"/>
      <c r="H7" s="9"/>
      <c r="I7" s="13">
        <v>1.0</v>
      </c>
    </row>
    <row r="8">
      <c r="A8" s="5" t="s">
        <v>17</v>
      </c>
      <c r="B8" s="6">
        <v>44142.0</v>
      </c>
      <c r="C8" s="20">
        <v>34000.0</v>
      </c>
      <c r="D8" s="8">
        <v>12000.0</v>
      </c>
      <c r="E8" s="9"/>
      <c r="F8" s="9"/>
      <c r="G8" s="9"/>
      <c r="H8" s="9"/>
      <c r="I8" s="13">
        <v>1.0</v>
      </c>
    </row>
    <row r="9">
      <c r="A9" s="5" t="s">
        <v>8</v>
      </c>
      <c r="B9" s="6">
        <v>44143.0</v>
      </c>
      <c r="C9" s="20">
        <v>33000.0</v>
      </c>
      <c r="D9" s="8">
        <v>22000.0</v>
      </c>
      <c r="E9" s="9"/>
      <c r="F9" s="9"/>
      <c r="G9" s="9"/>
      <c r="H9" s="9"/>
      <c r="I9" s="13">
        <v>1.0</v>
      </c>
    </row>
    <row r="10">
      <c r="A10" s="5" t="s">
        <v>10</v>
      </c>
      <c r="B10" s="6">
        <v>44144.0</v>
      </c>
      <c r="C10" s="20">
        <v>0.0</v>
      </c>
      <c r="D10" s="8">
        <v>16000.0</v>
      </c>
      <c r="E10" s="12">
        <v>0.0</v>
      </c>
      <c r="F10" s="12">
        <v>0.0</v>
      </c>
      <c r="G10" s="12">
        <v>0.0</v>
      </c>
      <c r="H10" s="12">
        <v>0.0</v>
      </c>
      <c r="I10" s="13">
        <v>1.0</v>
      </c>
    </row>
    <row r="11">
      <c r="A11" s="5" t="s">
        <v>13</v>
      </c>
      <c r="B11" s="6">
        <v>44145.0</v>
      </c>
      <c r="C11" s="20">
        <v>29000.0</v>
      </c>
      <c r="D11" s="8">
        <v>18000.0</v>
      </c>
      <c r="E11" s="9"/>
      <c r="F11" s="9"/>
      <c r="G11" s="9"/>
      <c r="H11" s="9"/>
      <c r="I11" s="13">
        <v>1.0</v>
      </c>
    </row>
    <row r="12">
      <c r="A12" s="5" t="s">
        <v>18</v>
      </c>
      <c r="B12" s="6">
        <v>44146.0</v>
      </c>
      <c r="C12" s="20">
        <v>26000.0</v>
      </c>
      <c r="D12" s="8">
        <v>24000.0</v>
      </c>
      <c r="E12" s="9"/>
      <c r="F12" s="9"/>
      <c r="G12" s="9"/>
      <c r="H12" s="9"/>
      <c r="I12" s="13">
        <v>1.0</v>
      </c>
      <c r="L12" s="23" t="s">
        <v>19</v>
      </c>
      <c r="M12" s="24" t="s">
        <v>20</v>
      </c>
      <c r="P12" s="25" t="s">
        <v>21</v>
      </c>
    </row>
    <row r="13">
      <c r="A13" s="5" t="s">
        <v>15</v>
      </c>
      <c r="B13" s="6">
        <v>44147.0</v>
      </c>
      <c r="C13" s="20">
        <v>27000.0</v>
      </c>
      <c r="D13" s="8">
        <v>34000.0</v>
      </c>
      <c r="E13" s="9"/>
      <c r="F13" s="9"/>
      <c r="G13" s="9"/>
      <c r="H13" s="9"/>
      <c r="I13" s="13">
        <v>1.0</v>
      </c>
      <c r="L13" s="26">
        <f>D32+'Charges '!G145-M13-E32-Salaires!J22-L16-P21</f>
        <v>448605</v>
      </c>
      <c r="M13" s="27">
        <v>30000.0</v>
      </c>
      <c r="P13" s="28">
        <f>D32-C32</f>
        <v>-301000</v>
      </c>
    </row>
    <row r="14">
      <c r="A14" s="5" t="s">
        <v>16</v>
      </c>
      <c r="B14" s="6">
        <v>44148.0</v>
      </c>
      <c r="C14" s="20">
        <v>29000.0</v>
      </c>
      <c r="D14" s="22">
        <v>16000.0</v>
      </c>
      <c r="E14" s="9"/>
      <c r="F14" s="9"/>
      <c r="G14" s="9"/>
      <c r="H14" s="9"/>
      <c r="I14" s="13">
        <v>1.0</v>
      </c>
    </row>
    <row r="15">
      <c r="A15" s="5" t="s">
        <v>17</v>
      </c>
      <c r="B15" s="6">
        <v>44149.0</v>
      </c>
      <c r="C15" s="20">
        <v>32000.0</v>
      </c>
      <c r="D15" s="8">
        <v>19000.0</v>
      </c>
      <c r="E15" s="9"/>
      <c r="F15" s="9"/>
      <c r="G15" s="9"/>
      <c r="H15" s="9"/>
      <c r="I15" s="13">
        <v>1.0</v>
      </c>
      <c r="L15" s="29">
        <v>320000.0</v>
      </c>
    </row>
    <row r="16">
      <c r="A16" s="5" t="s">
        <v>8</v>
      </c>
      <c r="B16" s="6">
        <v>44150.0</v>
      </c>
      <c r="C16" s="20">
        <v>40000.0</v>
      </c>
      <c r="D16" s="8">
        <v>17000.0</v>
      </c>
      <c r="E16" s="9"/>
      <c r="F16" s="9"/>
      <c r="G16" s="9"/>
      <c r="H16" s="9"/>
      <c r="I16" s="13">
        <v>1.0</v>
      </c>
      <c r="L16" s="29">
        <v>21000.0</v>
      </c>
      <c r="M16" s="30" t="s">
        <v>22</v>
      </c>
      <c r="N16" s="31">
        <v>15000.0</v>
      </c>
      <c r="O16" s="31">
        <v>6000.0</v>
      </c>
    </row>
    <row r="17">
      <c r="A17" s="5" t="s">
        <v>10</v>
      </c>
      <c r="B17" s="6">
        <v>44151.0</v>
      </c>
      <c r="C17" s="20">
        <v>35000.0</v>
      </c>
      <c r="D17" s="8">
        <v>22000.0</v>
      </c>
      <c r="E17" s="12">
        <v>0.0</v>
      </c>
      <c r="F17" s="12">
        <v>0.0</v>
      </c>
      <c r="G17" s="12">
        <v>0.0</v>
      </c>
      <c r="H17" s="12">
        <v>0.0</v>
      </c>
      <c r="I17" s="13">
        <v>1.0</v>
      </c>
    </row>
    <row r="18">
      <c r="A18" s="5" t="s">
        <v>13</v>
      </c>
      <c r="B18" s="6">
        <v>44152.0</v>
      </c>
      <c r="C18" s="20">
        <v>33000.0</v>
      </c>
      <c r="D18" s="8">
        <v>20000.0</v>
      </c>
      <c r="E18" s="9"/>
      <c r="F18" s="9"/>
      <c r="G18" s="9"/>
      <c r="H18" s="9"/>
      <c r="I18" s="13">
        <v>1.0</v>
      </c>
      <c r="L18" s="32">
        <f>L13-L15</f>
        <v>128605</v>
      </c>
    </row>
    <row r="19">
      <c r="A19" s="5" t="s">
        <v>14</v>
      </c>
      <c r="B19" s="6">
        <v>44153.0</v>
      </c>
      <c r="C19" s="20">
        <v>43000.0</v>
      </c>
      <c r="D19" s="8">
        <v>24000.0</v>
      </c>
      <c r="E19" s="9"/>
      <c r="F19" s="9"/>
      <c r="G19" s="9"/>
      <c r="H19" s="9"/>
      <c r="I19" s="13">
        <v>1.0</v>
      </c>
      <c r="L19" s="33">
        <v>75000.0</v>
      </c>
    </row>
    <row r="20">
      <c r="A20" s="5" t="s">
        <v>15</v>
      </c>
      <c r="B20" s="6">
        <v>44154.0</v>
      </c>
      <c r="C20" s="20">
        <v>32000.0</v>
      </c>
      <c r="D20" s="8">
        <v>52000.0</v>
      </c>
      <c r="E20" s="9"/>
      <c r="F20" s="9"/>
      <c r="G20" s="9"/>
      <c r="H20" s="9"/>
      <c r="I20" s="13">
        <v>1.0</v>
      </c>
      <c r="L20" s="32">
        <f>L18-L19</f>
        <v>53605</v>
      </c>
      <c r="P20" s="34"/>
    </row>
    <row r="21">
      <c r="A21" s="5" t="s">
        <v>16</v>
      </c>
      <c r="B21" s="6">
        <v>44155.0</v>
      </c>
      <c r="C21" s="20">
        <v>33000.0</v>
      </c>
      <c r="D21" s="22">
        <v>30000.0</v>
      </c>
      <c r="E21" s="9"/>
      <c r="F21" s="9"/>
      <c r="G21" s="9"/>
      <c r="H21" s="9"/>
      <c r="I21" s="13">
        <v>1.0</v>
      </c>
      <c r="P21" s="29"/>
    </row>
    <row r="22">
      <c r="A22" s="5" t="s">
        <v>17</v>
      </c>
      <c r="B22" s="6">
        <v>44156.0</v>
      </c>
      <c r="C22" s="20">
        <v>49000.0</v>
      </c>
      <c r="D22" s="8">
        <v>27000.0</v>
      </c>
      <c r="E22" s="9"/>
      <c r="F22" s="9"/>
      <c r="G22" s="9"/>
      <c r="H22" s="9"/>
      <c r="I22" s="13">
        <v>1.0</v>
      </c>
    </row>
    <row r="23">
      <c r="A23" s="5" t="s">
        <v>8</v>
      </c>
      <c r="B23" s="6">
        <v>44157.0</v>
      </c>
      <c r="C23" s="20">
        <v>35000.0</v>
      </c>
      <c r="D23" s="8">
        <v>19000.0</v>
      </c>
      <c r="E23" s="9"/>
      <c r="F23" s="9"/>
      <c r="G23" s="9"/>
      <c r="H23" s="9"/>
      <c r="I23" s="13">
        <v>1.0</v>
      </c>
    </row>
    <row r="24">
      <c r="A24" s="5" t="s">
        <v>10</v>
      </c>
      <c r="B24" s="6">
        <v>44158.0</v>
      </c>
      <c r="C24" s="20">
        <v>30000.0</v>
      </c>
      <c r="D24" s="8">
        <v>30000.0</v>
      </c>
      <c r="E24" s="12">
        <v>0.0</v>
      </c>
      <c r="F24" s="12">
        <v>0.0</v>
      </c>
      <c r="G24" s="12">
        <v>0.0</v>
      </c>
      <c r="H24" s="12">
        <v>0.0</v>
      </c>
      <c r="I24" s="13">
        <v>1.0</v>
      </c>
    </row>
    <row r="25">
      <c r="A25" s="5" t="s">
        <v>13</v>
      </c>
      <c r="B25" s="6">
        <v>44159.0</v>
      </c>
      <c r="C25" s="20">
        <v>48000.0</v>
      </c>
      <c r="D25" s="8">
        <v>29000.0</v>
      </c>
      <c r="E25" s="9"/>
      <c r="F25" s="9"/>
      <c r="G25" s="9"/>
      <c r="H25" s="9"/>
      <c r="I25" s="13">
        <v>1.0</v>
      </c>
    </row>
    <row r="26">
      <c r="A26" s="5" t="s">
        <v>14</v>
      </c>
      <c r="B26" s="6">
        <v>44160.0</v>
      </c>
      <c r="C26" s="20">
        <v>52000.0</v>
      </c>
      <c r="D26" s="8">
        <v>26000.0</v>
      </c>
      <c r="E26" s="9"/>
      <c r="F26" s="9"/>
      <c r="G26" s="9"/>
      <c r="H26" s="9"/>
      <c r="I26" s="13">
        <v>1.0</v>
      </c>
    </row>
    <row r="27">
      <c r="A27" s="5" t="s">
        <v>15</v>
      </c>
      <c r="B27" s="6">
        <v>44161.0</v>
      </c>
      <c r="C27" s="20">
        <v>55000.0</v>
      </c>
      <c r="D27" s="8">
        <v>30000.0</v>
      </c>
      <c r="E27" s="9"/>
      <c r="F27" s="9"/>
      <c r="G27" s="9"/>
      <c r="H27" s="9"/>
      <c r="I27" s="13">
        <v>1.0</v>
      </c>
    </row>
    <row r="28">
      <c r="A28" s="5" t="s">
        <v>16</v>
      </c>
      <c r="B28" s="6">
        <v>44162.0</v>
      </c>
      <c r="C28" s="20">
        <v>66000.0</v>
      </c>
      <c r="D28" s="22">
        <v>20000.0</v>
      </c>
      <c r="E28" s="9"/>
      <c r="F28" s="9"/>
      <c r="G28" s="9"/>
      <c r="H28" s="9"/>
      <c r="I28" s="13">
        <v>1.0</v>
      </c>
    </row>
    <row r="29">
      <c r="A29" s="5" t="s">
        <v>17</v>
      </c>
      <c r="B29" s="6">
        <v>44163.0</v>
      </c>
      <c r="C29" s="20">
        <v>80000.0</v>
      </c>
      <c r="D29" s="8">
        <v>28000.0</v>
      </c>
      <c r="E29" s="9"/>
      <c r="F29" s="9"/>
      <c r="G29" s="9"/>
      <c r="H29" s="9"/>
      <c r="I29" s="13">
        <v>1.0</v>
      </c>
    </row>
    <row r="30">
      <c r="A30" s="5" t="s">
        <v>8</v>
      </c>
      <c r="B30" s="6">
        <v>44164.0</v>
      </c>
      <c r="C30" s="20">
        <v>40000.0</v>
      </c>
      <c r="D30" s="8">
        <v>24000.0</v>
      </c>
      <c r="E30" s="9"/>
      <c r="F30" s="9"/>
      <c r="G30" s="9"/>
      <c r="H30" s="9"/>
      <c r="I30" s="13">
        <v>1.0</v>
      </c>
    </row>
    <row r="31">
      <c r="A31" s="5" t="s">
        <v>10</v>
      </c>
      <c r="B31" s="6">
        <v>44165.0</v>
      </c>
      <c r="C31" s="20">
        <v>24000.0</v>
      </c>
      <c r="D31" s="8">
        <v>24000.0</v>
      </c>
      <c r="E31" s="9"/>
      <c r="F31" s="9"/>
      <c r="G31" s="9"/>
      <c r="H31" s="9"/>
      <c r="I31" s="35">
        <v>1.0</v>
      </c>
    </row>
    <row r="32">
      <c r="A32" s="36" t="s">
        <v>23</v>
      </c>
      <c r="B32" s="37"/>
      <c r="C32" s="7">
        <f t="shared" ref="C32:D32" si="1">SUM(C2:C31)</f>
        <v>1039000</v>
      </c>
      <c r="D32" s="38">
        <f t="shared" si="1"/>
        <v>738000</v>
      </c>
      <c r="E32" s="28">
        <f>'Charges '!G144*1</f>
        <v>271895</v>
      </c>
      <c r="F32" s="39">
        <f>Salaires!I22*1</f>
        <v>189100</v>
      </c>
      <c r="G32" s="40">
        <v>77000.0</v>
      </c>
      <c r="H32" s="41">
        <f>D32+'Charges '!G145-E32-F32-G32</f>
        <v>240005</v>
      </c>
      <c r="I32" s="42">
        <f>SUM(I2:I31)</f>
        <v>30</v>
      </c>
    </row>
    <row r="33">
      <c r="A33" s="43" t="s">
        <v>24</v>
      </c>
      <c r="B33" s="44"/>
      <c r="C33" s="45"/>
      <c r="D33" s="46">
        <v>1.0</v>
      </c>
      <c r="E33" s="47">
        <f>E32/C32</f>
        <v>0.2616891242</v>
      </c>
      <c r="F33" s="47">
        <f>F32/C32</f>
        <v>0.1820019249</v>
      </c>
      <c r="G33" s="47">
        <f>G32/C32</f>
        <v>0.07410972089</v>
      </c>
      <c r="H33" s="47">
        <f>H32/C32</f>
        <v>0.2309961501</v>
      </c>
      <c r="I33" s="17"/>
    </row>
    <row r="34">
      <c r="A34" s="17"/>
      <c r="B34" s="17"/>
      <c r="C34" s="17"/>
      <c r="D34" s="17"/>
      <c r="E34" s="17"/>
      <c r="F34" s="17"/>
      <c r="G34" s="17"/>
      <c r="H34" s="17"/>
      <c r="I34" s="17"/>
    </row>
    <row r="35">
      <c r="E35" s="48">
        <v>357000.0</v>
      </c>
      <c r="F35" s="48">
        <v>210000.0</v>
      </c>
    </row>
  </sheetData>
  <mergeCells count="1">
    <mergeCell ref="A33:B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5.0"/>
    <col customWidth="1" min="6" max="6" width="29.75"/>
    <col customWidth="1" min="7" max="7" width="14.5"/>
    <col customWidth="1" min="8" max="8" width="25.88"/>
  </cols>
  <sheetData>
    <row r="4">
      <c r="E4" s="49" t="s">
        <v>25</v>
      </c>
      <c r="F4" s="49" t="s">
        <v>26</v>
      </c>
      <c r="G4" s="49" t="s">
        <v>27</v>
      </c>
      <c r="H4" s="49" t="s">
        <v>28</v>
      </c>
    </row>
    <row r="5">
      <c r="E5" s="50" t="s">
        <v>29</v>
      </c>
      <c r="F5" s="50">
        <v>1.0</v>
      </c>
      <c r="G5" s="51">
        <v>15000.0</v>
      </c>
      <c r="H5" s="50" t="s">
        <v>30</v>
      </c>
    </row>
    <row r="6">
      <c r="E6" s="52" t="s">
        <v>31</v>
      </c>
      <c r="F6" s="52" t="s">
        <v>32</v>
      </c>
      <c r="G6" s="53">
        <v>24800.0</v>
      </c>
      <c r="H6" s="54">
        <v>44136.0</v>
      </c>
    </row>
    <row r="7">
      <c r="E7" s="52" t="s">
        <v>33</v>
      </c>
      <c r="F7" s="52" t="s">
        <v>34</v>
      </c>
      <c r="G7" s="53">
        <v>11000.0</v>
      </c>
      <c r="H7" s="54">
        <v>44136.0</v>
      </c>
    </row>
    <row r="8">
      <c r="E8" s="52" t="s">
        <v>35</v>
      </c>
      <c r="F8" s="52" t="s">
        <v>36</v>
      </c>
      <c r="G8" s="53">
        <v>1700.0</v>
      </c>
      <c r="H8" s="54">
        <v>44136.0</v>
      </c>
    </row>
    <row r="9">
      <c r="E9" s="55" t="s">
        <v>37</v>
      </c>
      <c r="F9" s="56" t="s">
        <v>38</v>
      </c>
      <c r="G9" s="57">
        <v>2760.0</v>
      </c>
      <c r="H9" s="58">
        <v>44136.0</v>
      </c>
    </row>
    <row r="10">
      <c r="E10" s="55" t="s">
        <v>39</v>
      </c>
      <c r="F10" s="55" t="s">
        <v>40</v>
      </c>
      <c r="G10" s="57">
        <v>5000.0</v>
      </c>
      <c r="H10" s="58">
        <v>44136.0</v>
      </c>
    </row>
    <row r="11">
      <c r="E11" s="52" t="s">
        <v>41</v>
      </c>
      <c r="F11" s="52">
        <v>3.0</v>
      </c>
      <c r="G11" s="53">
        <v>400.0</v>
      </c>
      <c r="H11" s="54">
        <v>44136.0</v>
      </c>
    </row>
    <row r="12">
      <c r="E12" s="52" t="s">
        <v>42</v>
      </c>
      <c r="F12" s="52">
        <v>3.0</v>
      </c>
      <c r="G12" s="53">
        <v>1300.0</v>
      </c>
      <c r="H12" s="54">
        <v>44136.0</v>
      </c>
    </row>
    <row r="13">
      <c r="E13" s="52" t="s">
        <v>43</v>
      </c>
      <c r="F13" s="52" t="s">
        <v>44</v>
      </c>
      <c r="G13" s="53">
        <v>700.0</v>
      </c>
      <c r="H13" s="54">
        <v>44136.0</v>
      </c>
    </row>
    <row r="14">
      <c r="E14" s="52" t="s">
        <v>43</v>
      </c>
      <c r="F14" s="52" t="s">
        <v>44</v>
      </c>
      <c r="G14" s="53">
        <v>400.0</v>
      </c>
      <c r="H14" s="54">
        <v>44136.0</v>
      </c>
    </row>
    <row r="15">
      <c r="E15" s="52" t="s">
        <v>45</v>
      </c>
      <c r="F15" s="52" t="s">
        <v>46</v>
      </c>
      <c r="G15" s="53">
        <v>300.0</v>
      </c>
      <c r="H15" s="54">
        <v>44136.0</v>
      </c>
    </row>
    <row r="16">
      <c r="E16" s="52" t="s">
        <v>47</v>
      </c>
      <c r="F16" s="52" t="s">
        <v>48</v>
      </c>
      <c r="G16" s="53">
        <v>200.0</v>
      </c>
      <c r="H16" s="54">
        <v>44136.0</v>
      </c>
    </row>
    <row r="17">
      <c r="E17" s="52" t="s">
        <v>49</v>
      </c>
      <c r="F17" s="52" t="s">
        <v>50</v>
      </c>
      <c r="G17" s="53">
        <v>800.0</v>
      </c>
      <c r="H17" s="54">
        <v>44136.0</v>
      </c>
    </row>
    <row r="18">
      <c r="E18" s="52" t="s">
        <v>51</v>
      </c>
      <c r="F18" s="52">
        <v>2.0</v>
      </c>
      <c r="G18" s="53">
        <v>170.0</v>
      </c>
      <c r="H18" s="54">
        <v>44136.0</v>
      </c>
    </row>
    <row r="19">
      <c r="E19" s="52" t="s">
        <v>52</v>
      </c>
      <c r="F19" s="52">
        <v>3.0</v>
      </c>
      <c r="G19" s="53">
        <v>60.0</v>
      </c>
      <c r="H19" s="54">
        <v>44136.0</v>
      </c>
    </row>
    <row r="20">
      <c r="E20" s="55" t="s">
        <v>53</v>
      </c>
      <c r="F20" s="56" t="s">
        <v>54</v>
      </c>
      <c r="G20" s="59">
        <v>3000.0</v>
      </c>
      <c r="H20" s="60">
        <v>44136.0</v>
      </c>
    </row>
    <row r="21">
      <c r="E21" s="55" t="s">
        <v>55</v>
      </c>
      <c r="F21" s="55" t="s">
        <v>56</v>
      </c>
      <c r="G21" s="57">
        <v>2640.0</v>
      </c>
      <c r="H21" s="58">
        <v>44136.0</v>
      </c>
    </row>
    <row r="22">
      <c r="E22" s="52" t="s">
        <v>57</v>
      </c>
      <c r="F22" s="52">
        <v>5.0</v>
      </c>
      <c r="G22" s="53">
        <v>50.0</v>
      </c>
      <c r="H22" s="54">
        <v>44136.0</v>
      </c>
    </row>
    <row r="23">
      <c r="E23" s="52" t="s">
        <v>58</v>
      </c>
      <c r="F23" s="52" t="s">
        <v>36</v>
      </c>
      <c r="G23" s="53">
        <v>85.0</v>
      </c>
      <c r="H23" s="54">
        <v>44136.0</v>
      </c>
    </row>
    <row r="24">
      <c r="E24" s="52" t="s">
        <v>59</v>
      </c>
      <c r="F24" s="52">
        <v>3.0</v>
      </c>
      <c r="G24" s="53">
        <v>1050.0</v>
      </c>
      <c r="H24" s="54">
        <v>44136.0</v>
      </c>
    </row>
    <row r="25">
      <c r="E25" s="52" t="s">
        <v>60</v>
      </c>
      <c r="F25" s="52" t="s">
        <v>61</v>
      </c>
      <c r="G25" s="53">
        <v>300.0</v>
      </c>
      <c r="H25" s="54">
        <v>44136.0</v>
      </c>
    </row>
    <row r="26">
      <c r="E26" s="52" t="s">
        <v>62</v>
      </c>
      <c r="F26" s="52" t="s">
        <v>46</v>
      </c>
      <c r="G26" s="53">
        <v>425.0</v>
      </c>
      <c r="H26" s="54">
        <v>44136.0</v>
      </c>
    </row>
    <row r="27">
      <c r="E27" s="52" t="s">
        <v>63</v>
      </c>
      <c r="F27" s="52" t="s">
        <v>64</v>
      </c>
      <c r="G27" s="53">
        <v>1680.0</v>
      </c>
      <c r="H27" s="54">
        <v>44136.0</v>
      </c>
    </row>
    <row r="28">
      <c r="E28" s="52" t="s">
        <v>65</v>
      </c>
      <c r="F28" s="52" t="s">
        <v>66</v>
      </c>
      <c r="G28" s="53">
        <v>1080.0</v>
      </c>
      <c r="H28" s="54">
        <v>44136.0</v>
      </c>
    </row>
    <row r="29">
      <c r="E29" s="52" t="s">
        <v>67</v>
      </c>
      <c r="F29" s="52" t="s">
        <v>68</v>
      </c>
      <c r="G29" s="53">
        <v>5520.0</v>
      </c>
      <c r="H29" s="54">
        <v>44136.0</v>
      </c>
    </row>
    <row r="30">
      <c r="E30" s="52" t="s">
        <v>69</v>
      </c>
      <c r="F30" s="52" t="s">
        <v>70</v>
      </c>
      <c r="G30" s="53">
        <v>450.0</v>
      </c>
      <c r="H30" s="54">
        <v>44136.0</v>
      </c>
    </row>
    <row r="31">
      <c r="E31" s="52" t="s">
        <v>71</v>
      </c>
      <c r="F31" s="52">
        <v>3.0</v>
      </c>
      <c r="G31" s="53">
        <v>1770.0</v>
      </c>
      <c r="H31" s="54">
        <v>44136.0</v>
      </c>
    </row>
    <row r="32">
      <c r="E32" s="52" t="s">
        <v>72</v>
      </c>
      <c r="F32" s="52" t="s">
        <v>73</v>
      </c>
      <c r="G32" s="53">
        <v>2040.0</v>
      </c>
      <c r="H32" s="54">
        <v>44136.0</v>
      </c>
    </row>
    <row r="33">
      <c r="E33" s="52" t="s">
        <v>74</v>
      </c>
      <c r="F33" s="52" t="s">
        <v>75</v>
      </c>
      <c r="G33" s="53">
        <v>2460.0</v>
      </c>
      <c r="H33" s="54">
        <v>44136.0</v>
      </c>
    </row>
    <row r="34">
      <c r="E34" s="52" t="s">
        <v>76</v>
      </c>
      <c r="F34" s="52" t="s">
        <v>77</v>
      </c>
      <c r="G34" s="53">
        <v>330.0</v>
      </c>
      <c r="H34" s="54">
        <v>44136.0</v>
      </c>
    </row>
    <row r="35">
      <c r="E35" s="52" t="s">
        <v>78</v>
      </c>
      <c r="F35" s="52" t="s">
        <v>75</v>
      </c>
      <c r="G35" s="53">
        <v>1620.0</v>
      </c>
      <c r="H35" s="54">
        <v>44136.0</v>
      </c>
    </row>
    <row r="36">
      <c r="E36" s="52" t="s">
        <v>51</v>
      </c>
      <c r="F36" s="52">
        <v>12.0</v>
      </c>
      <c r="G36" s="53">
        <v>660.0</v>
      </c>
      <c r="H36" s="54">
        <v>44136.0</v>
      </c>
    </row>
    <row r="37">
      <c r="E37" s="52" t="s">
        <v>79</v>
      </c>
      <c r="F37" s="52" t="s">
        <v>66</v>
      </c>
      <c r="G37" s="53">
        <v>2400.0</v>
      </c>
      <c r="H37" s="54">
        <v>44136.0</v>
      </c>
    </row>
    <row r="38">
      <c r="E38" s="52" t="s">
        <v>80</v>
      </c>
      <c r="F38" s="52" t="s">
        <v>61</v>
      </c>
      <c r="G38" s="53">
        <v>3300.0</v>
      </c>
      <c r="H38" s="54">
        <v>44136.0</v>
      </c>
    </row>
    <row r="39">
      <c r="E39" s="52" t="s">
        <v>81</v>
      </c>
      <c r="F39" s="52">
        <v>1.0</v>
      </c>
      <c r="G39" s="53">
        <v>750.0</v>
      </c>
      <c r="H39" s="54">
        <v>44136.0</v>
      </c>
    </row>
    <row r="40">
      <c r="E40" s="52" t="s">
        <v>82</v>
      </c>
      <c r="F40" s="52" t="s">
        <v>48</v>
      </c>
      <c r="G40" s="53">
        <v>200.0</v>
      </c>
      <c r="H40" s="54">
        <v>44136.0</v>
      </c>
    </row>
    <row r="41">
      <c r="E41" s="52" t="s">
        <v>83</v>
      </c>
      <c r="F41" s="52" t="s">
        <v>84</v>
      </c>
      <c r="G41" s="53">
        <v>1500.0</v>
      </c>
      <c r="H41" s="54">
        <v>44136.0</v>
      </c>
    </row>
    <row r="42">
      <c r="E42" s="52" t="s">
        <v>85</v>
      </c>
      <c r="F42" s="52">
        <v>1.0</v>
      </c>
      <c r="G42" s="53">
        <v>55.0</v>
      </c>
      <c r="H42" s="54">
        <v>44136.0</v>
      </c>
    </row>
    <row r="43">
      <c r="E43" s="52" t="s">
        <v>86</v>
      </c>
      <c r="F43" s="52" t="s">
        <v>87</v>
      </c>
      <c r="G43" s="53">
        <v>1620.0</v>
      </c>
      <c r="H43" s="54">
        <v>44136.0</v>
      </c>
    </row>
    <row r="44">
      <c r="E44" s="52" t="s">
        <v>88</v>
      </c>
      <c r="F44" s="52">
        <v>2.0</v>
      </c>
      <c r="G44" s="53">
        <v>200.0</v>
      </c>
      <c r="H44" s="54">
        <v>44136.0</v>
      </c>
    </row>
    <row r="45">
      <c r="E45" s="52" t="s">
        <v>49</v>
      </c>
      <c r="F45" s="52" t="s">
        <v>48</v>
      </c>
      <c r="G45" s="53">
        <v>500.0</v>
      </c>
      <c r="H45" s="54">
        <v>44136.0</v>
      </c>
    </row>
    <row r="46">
      <c r="E46" s="52" t="s">
        <v>89</v>
      </c>
      <c r="F46" s="52">
        <v>8.0</v>
      </c>
      <c r="G46" s="53">
        <v>7000.0</v>
      </c>
      <c r="H46" s="54">
        <v>44137.0</v>
      </c>
    </row>
    <row r="47">
      <c r="E47" s="52" t="s">
        <v>90</v>
      </c>
      <c r="F47" s="52">
        <v>3.0</v>
      </c>
      <c r="G47" s="53">
        <v>500.0</v>
      </c>
      <c r="H47" s="54">
        <v>44137.0</v>
      </c>
    </row>
    <row r="48">
      <c r="E48" s="52" t="s">
        <v>91</v>
      </c>
      <c r="F48" s="52" t="s">
        <v>92</v>
      </c>
      <c r="G48" s="53">
        <v>3850.0</v>
      </c>
      <c r="H48" s="54">
        <v>44137.0</v>
      </c>
    </row>
    <row r="49">
      <c r="E49" s="52" t="s">
        <v>93</v>
      </c>
      <c r="F49" s="52">
        <v>1.0</v>
      </c>
      <c r="G49" s="53">
        <v>500.0</v>
      </c>
      <c r="H49" s="54">
        <v>44137.0</v>
      </c>
    </row>
    <row r="50">
      <c r="E50" s="52" t="s">
        <v>91</v>
      </c>
      <c r="F50" s="52" t="s">
        <v>94</v>
      </c>
      <c r="G50" s="53">
        <v>12600.0</v>
      </c>
      <c r="H50" s="54">
        <v>44137.0</v>
      </c>
    </row>
    <row r="51">
      <c r="E51" s="52" t="s">
        <v>91</v>
      </c>
      <c r="F51" s="52" t="s">
        <v>95</v>
      </c>
      <c r="G51" s="53">
        <v>2750.0</v>
      </c>
      <c r="H51" s="54">
        <v>44137.0</v>
      </c>
    </row>
    <row r="52">
      <c r="E52" s="52" t="s">
        <v>91</v>
      </c>
      <c r="F52" s="52" t="s">
        <v>96</v>
      </c>
      <c r="G52" s="53">
        <v>3150.0</v>
      </c>
      <c r="H52" s="54">
        <v>44138.0</v>
      </c>
    </row>
    <row r="53">
      <c r="E53" s="52" t="s">
        <v>97</v>
      </c>
      <c r="F53" s="52">
        <v>5.0</v>
      </c>
      <c r="G53" s="53">
        <v>5250.0</v>
      </c>
      <c r="H53" s="54">
        <v>44137.0</v>
      </c>
    </row>
    <row r="54">
      <c r="E54" s="52" t="s">
        <v>98</v>
      </c>
      <c r="F54" s="52">
        <v>1.0</v>
      </c>
      <c r="G54" s="53">
        <v>100.0</v>
      </c>
      <c r="H54" s="54">
        <v>44137.0</v>
      </c>
    </row>
    <row r="55">
      <c r="E55" s="52" t="s">
        <v>99</v>
      </c>
      <c r="F55" s="52" t="s">
        <v>100</v>
      </c>
      <c r="G55" s="53">
        <v>1500.0</v>
      </c>
      <c r="H55" s="54">
        <v>44137.0</v>
      </c>
    </row>
    <row r="56">
      <c r="E56" s="52" t="s">
        <v>101</v>
      </c>
      <c r="F56" s="52" t="s">
        <v>102</v>
      </c>
      <c r="G56" s="53">
        <v>1000.0</v>
      </c>
      <c r="H56" s="54">
        <v>44138.0</v>
      </c>
    </row>
    <row r="57">
      <c r="E57" s="52" t="s">
        <v>103</v>
      </c>
      <c r="F57" s="52" t="s">
        <v>36</v>
      </c>
      <c r="G57" s="53">
        <v>100.0</v>
      </c>
      <c r="H57" s="54">
        <v>44139.0</v>
      </c>
    </row>
    <row r="58">
      <c r="E58" s="52" t="s">
        <v>104</v>
      </c>
      <c r="F58" s="52">
        <v>11.0</v>
      </c>
      <c r="G58" s="53">
        <v>220.0</v>
      </c>
      <c r="H58" s="54">
        <v>44139.0</v>
      </c>
    </row>
    <row r="59">
      <c r="E59" s="52" t="s">
        <v>105</v>
      </c>
      <c r="F59" s="52" t="s">
        <v>106</v>
      </c>
      <c r="G59" s="53">
        <v>2000.0</v>
      </c>
      <c r="H59" s="54">
        <v>44139.0</v>
      </c>
    </row>
    <row r="60">
      <c r="E60" s="52" t="s">
        <v>107</v>
      </c>
      <c r="F60" s="52" t="s">
        <v>48</v>
      </c>
      <c r="G60" s="53">
        <v>500.0</v>
      </c>
      <c r="H60" s="54">
        <v>44140.0</v>
      </c>
    </row>
    <row r="61">
      <c r="E61" s="52" t="s">
        <v>108</v>
      </c>
      <c r="F61" s="52">
        <v>3.0</v>
      </c>
      <c r="G61" s="53">
        <v>100.0</v>
      </c>
      <c r="H61" s="54">
        <v>44140.0</v>
      </c>
    </row>
    <row r="62">
      <c r="E62" s="52" t="s">
        <v>109</v>
      </c>
      <c r="F62" s="52">
        <v>1.0</v>
      </c>
      <c r="G62" s="53">
        <v>100.0</v>
      </c>
      <c r="H62" s="54">
        <v>44140.0</v>
      </c>
    </row>
    <row r="63">
      <c r="E63" s="52" t="s">
        <v>105</v>
      </c>
      <c r="F63" s="52" t="s">
        <v>106</v>
      </c>
      <c r="G63" s="53">
        <v>2000.0</v>
      </c>
      <c r="H63" s="54">
        <v>44140.0</v>
      </c>
    </row>
    <row r="64">
      <c r="E64" s="52" t="s">
        <v>110</v>
      </c>
      <c r="F64" s="52">
        <v>1.0</v>
      </c>
      <c r="G64" s="53">
        <v>100.0</v>
      </c>
      <c r="H64" s="54">
        <v>44140.0</v>
      </c>
    </row>
    <row r="65">
      <c r="E65" s="52" t="s">
        <v>49</v>
      </c>
      <c r="F65" s="52" t="s">
        <v>48</v>
      </c>
      <c r="G65" s="53">
        <v>500.0</v>
      </c>
      <c r="H65" s="54">
        <v>44141.0</v>
      </c>
    </row>
    <row r="66">
      <c r="E66" s="52" t="s">
        <v>111</v>
      </c>
      <c r="F66" s="52">
        <v>1.0</v>
      </c>
      <c r="G66" s="53">
        <v>500.0</v>
      </c>
      <c r="H66" s="54">
        <v>44141.0</v>
      </c>
    </row>
    <row r="67">
      <c r="E67" s="52" t="s">
        <v>101</v>
      </c>
      <c r="F67" s="52" t="s">
        <v>102</v>
      </c>
      <c r="G67" s="53">
        <v>1000.0</v>
      </c>
      <c r="H67" s="54">
        <v>44141.0</v>
      </c>
    </row>
    <row r="68">
      <c r="E68" s="52" t="s">
        <v>112</v>
      </c>
      <c r="F68" s="52">
        <v>1.0</v>
      </c>
      <c r="G68" s="53">
        <v>750.0</v>
      </c>
      <c r="H68" s="54">
        <v>44141.0</v>
      </c>
    </row>
    <row r="69">
      <c r="E69" s="52" t="s">
        <v>113</v>
      </c>
      <c r="F69" s="52" t="s">
        <v>61</v>
      </c>
      <c r="G69" s="53">
        <v>300.0</v>
      </c>
      <c r="H69" s="54">
        <v>44141.0</v>
      </c>
    </row>
    <row r="70">
      <c r="E70" s="52" t="s">
        <v>43</v>
      </c>
      <c r="F70" s="52" t="s">
        <v>102</v>
      </c>
      <c r="G70" s="53">
        <v>4000.0</v>
      </c>
      <c r="H70" s="54">
        <v>44143.0</v>
      </c>
    </row>
    <row r="71">
      <c r="E71" s="52" t="s">
        <v>33</v>
      </c>
      <c r="F71" s="52">
        <v>30.0</v>
      </c>
      <c r="G71" s="53">
        <v>15600.0</v>
      </c>
      <c r="H71" s="54">
        <v>44143.0</v>
      </c>
    </row>
    <row r="72">
      <c r="E72" s="52" t="s">
        <v>114</v>
      </c>
      <c r="F72" s="52">
        <v>2.0</v>
      </c>
      <c r="G72" s="53">
        <v>1000.0</v>
      </c>
      <c r="H72" s="54">
        <v>44144.0</v>
      </c>
    </row>
    <row r="73">
      <c r="E73" s="52" t="s">
        <v>115</v>
      </c>
      <c r="F73" s="52" t="s">
        <v>116</v>
      </c>
      <c r="G73" s="53">
        <v>380.0</v>
      </c>
      <c r="H73" s="54">
        <v>44144.0</v>
      </c>
    </row>
    <row r="74">
      <c r="E74" s="52" t="s">
        <v>57</v>
      </c>
      <c r="F74" s="52">
        <v>2.0</v>
      </c>
      <c r="G74" s="53">
        <v>30.0</v>
      </c>
      <c r="H74" s="54">
        <v>44144.0</v>
      </c>
    </row>
    <row r="75">
      <c r="E75" s="52" t="s">
        <v>117</v>
      </c>
      <c r="F75" s="52" t="s">
        <v>118</v>
      </c>
      <c r="G75" s="53">
        <v>1000.0</v>
      </c>
      <c r="H75" s="54">
        <v>44144.0</v>
      </c>
    </row>
    <row r="76">
      <c r="E76" s="52" t="s">
        <v>119</v>
      </c>
      <c r="F76" s="52">
        <v>1.0</v>
      </c>
      <c r="G76" s="53">
        <v>500.0</v>
      </c>
      <c r="H76" s="54">
        <v>44144.0</v>
      </c>
    </row>
    <row r="77">
      <c r="E77" s="52" t="s">
        <v>120</v>
      </c>
      <c r="F77" s="52" t="s">
        <v>36</v>
      </c>
      <c r="G77" s="53">
        <v>1000.0</v>
      </c>
      <c r="H77" s="61">
        <v>44145.0</v>
      </c>
    </row>
    <row r="78">
      <c r="E78" s="52" t="s">
        <v>121</v>
      </c>
      <c r="F78" s="52">
        <v>7.0</v>
      </c>
      <c r="G78" s="53">
        <v>200.0</v>
      </c>
      <c r="H78" s="61">
        <v>44145.0</v>
      </c>
    </row>
    <row r="79">
      <c r="E79" s="52" t="s">
        <v>101</v>
      </c>
      <c r="F79" s="52" t="s">
        <v>118</v>
      </c>
      <c r="G79" s="53">
        <v>1000.0</v>
      </c>
      <c r="H79" s="61">
        <v>44145.0</v>
      </c>
    </row>
    <row r="80">
      <c r="E80" s="52" t="s">
        <v>57</v>
      </c>
      <c r="F80" s="52" t="s">
        <v>122</v>
      </c>
      <c r="G80" s="53">
        <v>200.0</v>
      </c>
      <c r="H80" s="61">
        <v>44145.0</v>
      </c>
    </row>
    <row r="81">
      <c r="E81" s="52" t="s">
        <v>35</v>
      </c>
      <c r="F81" s="52" t="s">
        <v>36</v>
      </c>
      <c r="G81" s="53">
        <v>1600.0</v>
      </c>
      <c r="H81" s="61">
        <v>44146.0</v>
      </c>
    </row>
    <row r="82">
      <c r="E82" s="52" t="s">
        <v>123</v>
      </c>
      <c r="F82" s="62"/>
      <c r="G82" s="53">
        <v>1450.0</v>
      </c>
      <c r="H82" s="61">
        <v>44146.0</v>
      </c>
    </row>
    <row r="83">
      <c r="E83" s="52" t="s">
        <v>62</v>
      </c>
      <c r="F83" s="52" t="s">
        <v>73</v>
      </c>
      <c r="G83" s="53">
        <v>2100.0</v>
      </c>
      <c r="H83" s="61">
        <v>44147.0</v>
      </c>
    </row>
    <row r="84">
      <c r="E84" s="52" t="s">
        <v>124</v>
      </c>
      <c r="F84" s="52" t="s">
        <v>125</v>
      </c>
      <c r="G84" s="53">
        <v>750.0</v>
      </c>
      <c r="H84" s="61">
        <v>44147.0</v>
      </c>
    </row>
    <row r="85">
      <c r="E85" s="52" t="s">
        <v>126</v>
      </c>
      <c r="F85" s="52" t="s">
        <v>61</v>
      </c>
      <c r="G85" s="53">
        <v>1480.0</v>
      </c>
      <c r="H85" s="61">
        <v>44147.0</v>
      </c>
    </row>
    <row r="86">
      <c r="E86" s="52" t="s">
        <v>79</v>
      </c>
      <c r="F86" s="52" t="s">
        <v>127</v>
      </c>
      <c r="G86" s="53">
        <v>2600.0</v>
      </c>
      <c r="H86" s="61">
        <v>44147.0</v>
      </c>
    </row>
    <row r="87">
      <c r="E87" s="52" t="s">
        <v>128</v>
      </c>
      <c r="F87" s="52">
        <v>1.0</v>
      </c>
      <c r="G87" s="53">
        <v>1300.0</v>
      </c>
      <c r="H87" s="61">
        <v>44147.0</v>
      </c>
    </row>
    <row r="88">
      <c r="E88" s="52" t="s">
        <v>129</v>
      </c>
      <c r="F88" s="52">
        <v>1.0</v>
      </c>
      <c r="G88" s="53">
        <v>750.0</v>
      </c>
      <c r="H88" s="61">
        <v>44147.0</v>
      </c>
    </row>
    <row r="89">
      <c r="E89" s="52" t="s">
        <v>130</v>
      </c>
      <c r="F89" s="52" t="s">
        <v>131</v>
      </c>
      <c r="G89" s="53">
        <v>1250.0</v>
      </c>
      <c r="H89" s="61">
        <v>44147.0</v>
      </c>
    </row>
    <row r="90">
      <c r="E90" s="52" t="s">
        <v>132</v>
      </c>
      <c r="F90" s="52" t="s">
        <v>36</v>
      </c>
      <c r="G90" s="53">
        <v>800.0</v>
      </c>
      <c r="H90" s="61">
        <v>44147.0</v>
      </c>
    </row>
    <row r="91">
      <c r="E91" s="52" t="s">
        <v>133</v>
      </c>
      <c r="F91" s="52">
        <v>5.0</v>
      </c>
      <c r="G91" s="53">
        <v>100.0</v>
      </c>
      <c r="H91" s="61">
        <v>44147.0</v>
      </c>
    </row>
    <row r="92">
      <c r="E92" s="52" t="s">
        <v>134</v>
      </c>
      <c r="F92" s="62"/>
      <c r="G92" s="53">
        <v>1000.0</v>
      </c>
      <c r="H92" s="61">
        <v>44148.0</v>
      </c>
    </row>
    <row r="93">
      <c r="E93" s="52" t="s">
        <v>135</v>
      </c>
      <c r="F93" s="52">
        <v>3.0</v>
      </c>
      <c r="G93" s="53">
        <v>1500.0</v>
      </c>
      <c r="H93" s="61">
        <v>44149.0</v>
      </c>
    </row>
    <row r="94">
      <c r="E94" s="52" t="s">
        <v>136</v>
      </c>
      <c r="F94" s="52">
        <v>2.0</v>
      </c>
      <c r="G94" s="53">
        <v>2000.0</v>
      </c>
      <c r="H94" s="61">
        <v>44148.0</v>
      </c>
    </row>
    <row r="95">
      <c r="E95" s="52" t="s">
        <v>137</v>
      </c>
      <c r="F95" s="52">
        <v>100.0</v>
      </c>
      <c r="G95" s="53">
        <v>1650.0</v>
      </c>
      <c r="H95" s="61">
        <v>44150.0</v>
      </c>
    </row>
    <row r="96">
      <c r="E96" s="52" t="s">
        <v>138</v>
      </c>
      <c r="F96" s="52">
        <v>1.0</v>
      </c>
      <c r="G96" s="53">
        <v>850.0</v>
      </c>
      <c r="H96" s="61">
        <v>44150.0</v>
      </c>
    </row>
    <row r="97">
      <c r="E97" s="52" t="s">
        <v>139</v>
      </c>
      <c r="F97" s="52">
        <v>1.0</v>
      </c>
      <c r="G97" s="53">
        <v>1100.0</v>
      </c>
      <c r="H97" s="61">
        <v>44150.0</v>
      </c>
    </row>
    <row r="98">
      <c r="E98" s="52" t="s">
        <v>140</v>
      </c>
      <c r="F98" s="52" t="s">
        <v>141</v>
      </c>
      <c r="G98" s="53">
        <v>900.0</v>
      </c>
      <c r="H98" s="61">
        <v>44150.0</v>
      </c>
    </row>
    <row r="99">
      <c r="E99" s="52" t="s">
        <v>85</v>
      </c>
      <c r="F99" s="52">
        <v>5.0</v>
      </c>
      <c r="G99" s="53">
        <v>250.0</v>
      </c>
      <c r="H99" s="61">
        <v>44150.0</v>
      </c>
    </row>
    <row r="100">
      <c r="E100" s="52" t="s">
        <v>142</v>
      </c>
      <c r="F100" s="52">
        <v>1.0</v>
      </c>
      <c r="G100" s="53">
        <v>260.0</v>
      </c>
      <c r="H100" s="61">
        <v>44150.0</v>
      </c>
    </row>
    <row r="101">
      <c r="E101" s="52" t="s">
        <v>143</v>
      </c>
      <c r="F101" s="52">
        <v>1.0</v>
      </c>
      <c r="G101" s="53">
        <v>260.0</v>
      </c>
      <c r="H101" s="61">
        <v>44150.0</v>
      </c>
    </row>
    <row r="102">
      <c r="E102" s="52" t="s">
        <v>144</v>
      </c>
      <c r="F102" s="52">
        <v>1.0</v>
      </c>
      <c r="G102" s="53">
        <v>1350.0</v>
      </c>
      <c r="H102" s="61">
        <v>44150.0</v>
      </c>
    </row>
    <row r="103">
      <c r="E103" s="52" t="s">
        <v>145</v>
      </c>
      <c r="F103" s="52">
        <v>1.0</v>
      </c>
      <c r="G103" s="53">
        <v>250.0</v>
      </c>
      <c r="H103" s="61">
        <v>44150.0</v>
      </c>
    </row>
    <row r="104">
      <c r="E104" s="52" t="s">
        <v>43</v>
      </c>
      <c r="F104" s="52" t="s">
        <v>146</v>
      </c>
      <c r="G104" s="53">
        <v>1000.0</v>
      </c>
      <c r="H104" s="61">
        <v>44150.0</v>
      </c>
    </row>
    <row r="105">
      <c r="E105" s="52" t="s">
        <v>147</v>
      </c>
      <c r="F105" s="52">
        <v>1.0</v>
      </c>
      <c r="G105" s="53">
        <v>2000.0</v>
      </c>
      <c r="H105" s="61">
        <v>44151.0</v>
      </c>
    </row>
    <row r="106">
      <c r="E106" s="52" t="s">
        <v>148</v>
      </c>
      <c r="F106" s="52" t="s">
        <v>46</v>
      </c>
      <c r="G106" s="53">
        <v>400.0</v>
      </c>
      <c r="H106" s="61">
        <v>44151.0</v>
      </c>
    </row>
    <row r="107">
      <c r="E107" s="52" t="s">
        <v>133</v>
      </c>
      <c r="F107" s="52">
        <v>8.0</v>
      </c>
      <c r="G107" s="53">
        <v>200.0</v>
      </c>
      <c r="H107" s="61">
        <v>44151.0</v>
      </c>
    </row>
    <row r="108">
      <c r="E108" s="52" t="s">
        <v>101</v>
      </c>
      <c r="F108" s="52" t="s">
        <v>44</v>
      </c>
      <c r="G108" s="53">
        <v>2000.0</v>
      </c>
      <c r="H108" s="61">
        <v>44152.0</v>
      </c>
    </row>
    <row r="109">
      <c r="E109" s="52" t="s">
        <v>107</v>
      </c>
      <c r="F109" s="52" t="s">
        <v>149</v>
      </c>
      <c r="G109" s="53">
        <v>550.0</v>
      </c>
      <c r="H109" s="61">
        <v>44152.0</v>
      </c>
    </row>
    <row r="110">
      <c r="E110" s="52" t="s">
        <v>35</v>
      </c>
      <c r="F110" s="52" t="s">
        <v>61</v>
      </c>
      <c r="G110" s="53">
        <v>3100.0</v>
      </c>
      <c r="H110" s="61">
        <v>44152.0</v>
      </c>
    </row>
    <row r="111">
      <c r="E111" s="52" t="s">
        <v>150</v>
      </c>
      <c r="F111" s="52" t="s">
        <v>151</v>
      </c>
      <c r="G111" s="53">
        <v>700.0</v>
      </c>
      <c r="H111" s="61">
        <v>44152.0</v>
      </c>
    </row>
    <row r="112">
      <c r="E112" s="52" t="s">
        <v>152</v>
      </c>
      <c r="F112" s="52">
        <v>1.0</v>
      </c>
      <c r="G112" s="53">
        <v>500.0</v>
      </c>
      <c r="H112" s="61">
        <v>44152.0</v>
      </c>
    </row>
    <row r="113">
      <c r="E113" s="52" t="s">
        <v>43</v>
      </c>
      <c r="F113" s="52" t="s">
        <v>153</v>
      </c>
      <c r="G113" s="53">
        <v>3000.0</v>
      </c>
      <c r="H113" s="61">
        <v>44152.0</v>
      </c>
    </row>
    <row r="114">
      <c r="E114" s="52" t="s">
        <v>154</v>
      </c>
      <c r="F114" s="62"/>
      <c r="G114" s="53">
        <v>500.0</v>
      </c>
      <c r="H114" s="61">
        <v>44154.0</v>
      </c>
    </row>
    <row r="115">
      <c r="E115" s="52" t="s">
        <v>155</v>
      </c>
      <c r="F115" s="52">
        <v>1.0</v>
      </c>
      <c r="G115" s="53">
        <v>200.0</v>
      </c>
      <c r="H115" s="61">
        <v>44154.0</v>
      </c>
    </row>
    <row r="116">
      <c r="E116" s="52" t="s">
        <v>156</v>
      </c>
      <c r="F116" s="52">
        <v>1.0</v>
      </c>
      <c r="G116" s="53">
        <v>235.0</v>
      </c>
      <c r="H116" s="61">
        <v>44154.0</v>
      </c>
    </row>
    <row r="117">
      <c r="E117" s="52" t="s">
        <v>157</v>
      </c>
      <c r="F117" s="52">
        <v>1.0</v>
      </c>
      <c r="G117" s="53">
        <v>75.0</v>
      </c>
      <c r="H117" s="61">
        <v>44154.0</v>
      </c>
    </row>
    <row r="118">
      <c r="E118" s="52" t="s">
        <v>112</v>
      </c>
      <c r="F118" s="52">
        <v>2.0</v>
      </c>
      <c r="G118" s="53">
        <v>1750.0</v>
      </c>
      <c r="H118" s="61">
        <v>44155.0</v>
      </c>
    </row>
    <row r="119">
      <c r="E119" s="52" t="s">
        <v>62</v>
      </c>
      <c r="F119" s="52" t="s">
        <v>125</v>
      </c>
      <c r="G119" s="53">
        <v>700.0</v>
      </c>
      <c r="H119" s="61">
        <v>44156.0</v>
      </c>
    </row>
    <row r="120">
      <c r="E120" s="52" t="s">
        <v>158</v>
      </c>
      <c r="F120" s="52" t="s">
        <v>48</v>
      </c>
      <c r="G120" s="53">
        <v>200.0</v>
      </c>
      <c r="H120" s="61">
        <v>44156.0</v>
      </c>
    </row>
    <row r="121">
      <c r="E121" s="52" t="s">
        <v>159</v>
      </c>
      <c r="F121" s="52" t="s">
        <v>160</v>
      </c>
      <c r="G121" s="53">
        <v>950.0</v>
      </c>
      <c r="H121" s="61">
        <v>44156.0</v>
      </c>
    </row>
    <row r="122">
      <c r="E122" s="52" t="s">
        <v>161</v>
      </c>
      <c r="F122" s="52" t="s">
        <v>118</v>
      </c>
      <c r="G122" s="53">
        <v>1500.0</v>
      </c>
      <c r="H122" s="61">
        <v>44156.0</v>
      </c>
    </row>
    <row r="123">
      <c r="E123" s="52" t="s">
        <v>162</v>
      </c>
      <c r="F123" s="52" t="s">
        <v>48</v>
      </c>
      <c r="G123" s="53">
        <v>200.0</v>
      </c>
      <c r="H123" s="61">
        <v>44156.0</v>
      </c>
    </row>
    <row r="124">
      <c r="E124" s="63" t="s">
        <v>163</v>
      </c>
      <c r="F124" s="63" t="s">
        <v>164</v>
      </c>
      <c r="G124" s="64">
        <v>4000.0</v>
      </c>
      <c r="H124" s="65">
        <v>44156.0</v>
      </c>
    </row>
    <row r="125">
      <c r="E125" s="52" t="s">
        <v>165</v>
      </c>
      <c r="F125" s="52">
        <v>1.0</v>
      </c>
      <c r="G125" s="53">
        <v>500.0</v>
      </c>
      <c r="H125" s="61">
        <v>44156.0</v>
      </c>
    </row>
    <row r="126">
      <c r="E126" s="52" t="s">
        <v>43</v>
      </c>
      <c r="F126" s="52" t="s">
        <v>102</v>
      </c>
      <c r="G126" s="53">
        <v>4000.0</v>
      </c>
      <c r="H126" s="61">
        <v>44157.0</v>
      </c>
    </row>
    <row r="127">
      <c r="E127" s="52" t="s">
        <v>166</v>
      </c>
      <c r="F127" s="52" t="s">
        <v>167</v>
      </c>
      <c r="G127" s="53">
        <v>300.0</v>
      </c>
      <c r="H127" s="61">
        <v>44157.0</v>
      </c>
    </row>
    <row r="128">
      <c r="E128" s="52" t="s">
        <v>168</v>
      </c>
      <c r="F128" s="52" t="s">
        <v>116</v>
      </c>
      <c r="G128" s="53">
        <v>400.0</v>
      </c>
      <c r="H128" s="61">
        <v>44157.0</v>
      </c>
    </row>
    <row r="129">
      <c r="E129" s="52" t="s">
        <v>169</v>
      </c>
      <c r="F129" s="52">
        <v>3.0</v>
      </c>
      <c r="G129" s="53">
        <v>2000.0</v>
      </c>
      <c r="H129" s="61">
        <v>44157.0</v>
      </c>
    </row>
    <row r="130">
      <c r="E130" s="52" t="s">
        <v>170</v>
      </c>
      <c r="F130" s="52">
        <v>5.0</v>
      </c>
      <c r="G130" s="53">
        <v>150.0</v>
      </c>
      <c r="H130" s="61">
        <v>44158.0</v>
      </c>
    </row>
    <row r="131">
      <c r="E131" s="52" t="s">
        <v>107</v>
      </c>
      <c r="F131" s="52" t="s">
        <v>171</v>
      </c>
      <c r="G131" s="53">
        <v>1030.0</v>
      </c>
      <c r="H131" s="61">
        <v>44158.0</v>
      </c>
    </row>
    <row r="132">
      <c r="E132" s="52" t="s">
        <v>154</v>
      </c>
      <c r="F132" s="52" t="s">
        <v>48</v>
      </c>
      <c r="G132" s="53">
        <v>500.0</v>
      </c>
      <c r="H132" s="61">
        <v>44158.0</v>
      </c>
    </row>
    <row r="133">
      <c r="E133" s="52" t="s">
        <v>133</v>
      </c>
      <c r="F133" s="52">
        <v>14.0</v>
      </c>
      <c r="G133" s="53">
        <v>250.0</v>
      </c>
      <c r="H133" s="61">
        <v>44158.0</v>
      </c>
    </row>
    <row r="134">
      <c r="E134" s="52" t="s">
        <v>105</v>
      </c>
      <c r="F134" s="52" t="s">
        <v>118</v>
      </c>
      <c r="G134" s="53">
        <v>1000.0</v>
      </c>
      <c r="H134" s="61">
        <v>44158.0</v>
      </c>
    </row>
    <row r="135">
      <c r="E135" s="52" t="s">
        <v>172</v>
      </c>
      <c r="F135" s="52" t="s">
        <v>173</v>
      </c>
      <c r="G135" s="53">
        <v>16000.0</v>
      </c>
      <c r="H135" s="61">
        <v>44159.0</v>
      </c>
    </row>
    <row r="136">
      <c r="E136" s="52" t="s">
        <v>174</v>
      </c>
      <c r="F136" s="52">
        <v>1.0</v>
      </c>
      <c r="G136" s="53">
        <v>500.0</v>
      </c>
      <c r="H136" s="61">
        <v>44159.0</v>
      </c>
    </row>
    <row r="137">
      <c r="E137" s="52" t="s">
        <v>35</v>
      </c>
      <c r="F137" s="52" t="s">
        <v>175</v>
      </c>
      <c r="G137" s="53">
        <v>1200.0</v>
      </c>
      <c r="H137" s="61">
        <v>44160.0</v>
      </c>
    </row>
    <row r="138">
      <c r="E138" s="52" t="s">
        <v>174</v>
      </c>
      <c r="F138" s="52">
        <v>2.0</v>
      </c>
      <c r="G138" s="53">
        <v>1000.0</v>
      </c>
      <c r="H138" s="61">
        <v>44160.0</v>
      </c>
    </row>
    <row r="139">
      <c r="E139" s="52" t="s">
        <v>105</v>
      </c>
      <c r="F139" s="52" t="s">
        <v>61</v>
      </c>
      <c r="G139" s="53">
        <v>200.0</v>
      </c>
      <c r="H139" s="61">
        <v>44162.0</v>
      </c>
    </row>
    <row r="140">
      <c r="E140" s="52" t="s">
        <v>176</v>
      </c>
      <c r="F140" s="52">
        <v>2.0</v>
      </c>
      <c r="G140" s="53">
        <v>2000.0</v>
      </c>
      <c r="H140" s="61">
        <v>44162.0</v>
      </c>
    </row>
    <row r="141">
      <c r="E141" s="63" t="s">
        <v>163</v>
      </c>
      <c r="F141" s="63" t="s">
        <v>177</v>
      </c>
      <c r="G141" s="64">
        <v>10000.0</v>
      </c>
      <c r="H141" s="65">
        <v>44164.0</v>
      </c>
    </row>
    <row r="142">
      <c r="E142" s="52" t="s">
        <v>178</v>
      </c>
      <c r="F142" s="52" t="s">
        <v>179</v>
      </c>
      <c r="G142" s="53">
        <v>10000.0</v>
      </c>
      <c r="H142" s="61">
        <v>44164.0</v>
      </c>
    </row>
    <row r="143">
      <c r="E143" s="62"/>
      <c r="F143" s="62"/>
      <c r="G143" s="66"/>
      <c r="H143" s="62"/>
    </row>
    <row r="144">
      <c r="E144" s="67" t="s">
        <v>180</v>
      </c>
      <c r="F144" s="68"/>
      <c r="G144" s="69">
        <f>SUM(G5:G143)</f>
        <v>271895</v>
      </c>
      <c r="H144" s="68"/>
    </row>
    <row r="145">
      <c r="E145" s="16" t="s">
        <v>181</v>
      </c>
      <c r="F145" s="68"/>
      <c r="G145" s="70">
        <v>40000.0</v>
      </c>
      <c r="H145" s="68"/>
    </row>
    <row r="146">
      <c r="E146" s="16" t="s">
        <v>182</v>
      </c>
      <c r="F146" s="68"/>
      <c r="G146" s="71">
        <f>G145-G144</f>
        <v>-231895</v>
      </c>
      <c r="H146" s="6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8"/>
      <c r="B1" s="2" t="s">
        <v>0</v>
      </c>
      <c r="C1" s="72" t="s">
        <v>183</v>
      </c>
      <c r="D1" s="72" t="s">
        <v>184</v>
      </c>
      <c r="E1" s="72" t="s">
        <v>185</v>
      </c>
      <c r="F1" s="72" t="s">
        <v>186</v>
      </c>
      <c r="G1" s="72" t="s">
        <v>12</v>
      </c>
      <c r="H1" s="72" t="s">
        <v>187</v>
      </c>
      <c r="I1" s="72" t="s">
        <v>188</v>
      </c>
      <c r="J1" s="72" t="s">
        <v>189</v>
      </c>
      <c r="K1" s="73" t="s">
        <v>190</v>
      </c>
    </row>
    <row r="2">
      <c r="A2" s="5" t="s">
        <v>8</v>
      </c>
      <c r="B2" s="37">
        <v>44136.0</v>
      </c>
      <c r="C2" s="74">
        <v>1.0</v>
      </c>
      <c r="D2" s="74">
        <v>1.0</v>
      </c>
      <c r="E2" s="74">
        <v>0.0</v>
      </c>
      <c r="F2" s="74">
        <v>0.5</v>
      </c>
      <c r="G2" s="74">
        <v>1.0</v>
      </c>
      <c r="H2" s="74">
        <v>1.0</v>
      </c>
      <c r="I2" s="74">
        <v>1.0</v>
      </c>
      <c r="J2" s="74">
        <v>0.0</v>
      </c>
      <c r="K2" s="75"/>
    </row>
    <row r="3">
      <c r="A3" s="5" t="s">
        <v>10</v>
      </c>
      <c r="B3" s="37">
        <v>44137.0</v>
      </c>
      <c r="C3" s="74">
        <v>1.0</v>
      </c>
      <c r="D3" s="74">
        <v>1.0</v>
      </c>
      <c r="E3" s="74">
        <v>0.0</v>
      </c>
      <c r="F3" s="74">
        <v>0.0</v>
      </c>
      <c r="G3" s="74">
        <v>1.0</v>
      </c>
      <c r="H3" s="74">
        <v>1.0</v>
      </c>
      <c r="I3" s="74">
        <v>1.0</v>
      </c>
      <c r="J3" s="74">
        <v>1.0</v>
      </c>
      <c r="K3" s="75"/>
    </row>
    <row r="4">
      <c r="A4" s="5" t="s">
        <v>13</v>
      </c>
      <c r="B4" s="37">
        <v>44138.0</v>
      </c>
      <c r="C4" s="74">
        <v>1.0</v>
      </c>
      <c r="D4" s="74">
        <v>1.0</v>
      </c>
      <c r="E4" s="74">
        <v>0.0</v>
      </c>
      <c r="F4" s="74">
        <v>0.0</v>
      </c>
      <c r="G4" s="74">
        <v>1.0</v>
      </c>
      <c r="H4" s="74">
        <v>1.0</v>
      </c>
      <c r="I4" s="74">
        <v>1.0</v>
      </c>
      <c r="J4" s="74">
        <v>0.0</v>
      </c>
      <c r="K4" s="75"/>
    </row>
    <row r="5">
      <c r="A5" s="5" t="s">
        <v>14</v>
      </c>
      <c r="B5" s="37">
        <v>44139.0</v>
      </c>
      <c r="C5" s="74">
        <v>1.0</v>
      </c>
      <c r="D5" s="74">
        <v>1.0</v>
      </c>
      <c r="E5" s="74">
        <v>0.0</v>
      </c>
      <c r="F5" s="74">
        <v>1.0</v>
      </c>
      <c r="G5" s="74">
        <v>1.0</v>
      </c>
      <c r="H5" s="74">
        <v>1.0</v>
      </c>
      <c r="I5" s="74">
        <v>1.0</v>
      </c>
      <c r="J5" s="74">
        <v>0.0</v>
      </c>
      <c r="K5" s="75"/>
    </row>
    <row r="6">
      <c r="A6" s="5" t="s">
        <v>15</v>
      </c>
      <c r="B6" s="37">
        <v>44140.0</v>
      </c>
      <c r="C6" s="74">
        <v>1.0</v>
      </c>
      <c r="D6" s="74">
        <v>1.0</v>
      </c>
      <c r="E6" s="74">
        <v>0.0</v>
      </c>
      <c r="F6" s="74">
        <v>0.0</v>
      </c>
      <c r="G6" s="74">
        <v>1.0</v>
      </c>
      <c r="H6" s="74">
        <v>1.0</v>
      </c>
      <c r="I6" s="74">
        <v>1.0</v>
      </c>
      <c r="J6" s="74">
        <v>0.0</v>
      </c>
      <c r="K6" s="75"/>
    </row>
    <row r="7">
      <c r="A7" s="76" t="s">
        <v>16</v>
      </c>
      <c r="B7" s="77">
        <v>44141.0</v>
      </c>
      <c r="C7" s="78">
        <v>1.0</v>
      </c>
      <c r="D7" s="78">
        <v>0.0</v>
      </c>
      <c r="E7" s="78">
        <v>0.0</v>
      </c>
      <c r="F7" s="78">
        <v>0.0</v>
      </c>
      <c r="G7" s="78">
        <v>0.0</v>
      </c>
      <c r="H7" s="78">
        <v>1.0</v>
      </c>
      <c r="I7" s="78">
        <v>1.0</v>
      </c>
      <c r="J7" s="78">
        <v>1.0</v>
      </c>
      <c r="K7" s="75"/>
    </row>
    <row r="8">
      <c r="A8" s="5" t="s">
        <v>17</v>
      </c>
      <c r="B8" s="37">
        <v>44142.0</v>
      </c>
      <c r="C8" s="74">
        <v>0.0</v>
      </c>
      <c r="D8" s="74">
        <v>1.0</v>
      </c>
      <c r="E8" s="74">
        <v>0.0</v>
      </c>
      <c r="F8" s="74">
        <v>0.0</v>
      </c>
      <c r="G8" s="74">
        <v>1.0</v>
      </c>
      <c r="H8" s="74">
        <v>1.0</v>
      </c>
      <c r="I8" s="74">
        <v>1.0</v>
      </c>
      <c r="J8" s="74">
        <v>1.0</v>
      </c>
      <c r="K8" s="75"/>
    </row>
    <row r="9">
      <c r="A9" s="5" t="s">
        <v>8</v>
      </c>
      <c r="B9" s="37">
        <v>44143.0</v>
      </c>
      <c r="C9" s="74">
        <v>0.0</v>
      </c>
      <c r="D9" s="74">
        <v>1.0</v>
      </c>
      <c r="E9" s="74">
        <v>0.0</v>
      </c>
      <c r="F9" s="74">
        <v>0.0</v>
      </c>
      <c r="G9" s="74">
        <v>1.0</v>
      </c>
      <c r="H9" s="74">
        <v>1.0</v>
      </c>
      <c r="I9" s="74">
        <v>1.0</v>
      </c>
      <c r="J9" s="74">
        <v>1.0</v>
      </c>
      <c r="K9" s="75"/>
    </row>
    <row r="10">
      <c r="A10" s="5" t="s">
        <v>10</v>
      </c>
      <c r="B10" s="37">
        <v>44144.0</v>
      </c>
      <c r="C10" s="74">
        <v>1.0</v>
      </c>
      <c r="D10" s="74">
        <v>1.0</v>
      </c>
      <c r="E10" s="74">
        <v>0.0</v>
      </c>
      <c r="F10" s="74">
        <v>0.0</v>
      </c>
      <c r="G10" s="74">
        <v>1.0</v>
      </c>
      <c r="H10" s="74">
        <v>1.0</v>
      </c>
      <c r="I10" s="74">
        <v>1.0</v>
      </c>
      <c r="J10" s="74">
        <v>1.0</v>
      </c>
      <c r="K10" s="75"/>
    </row>
    <row r="11">
      <c r="A11" s="5" t="s">
        <v>13</v>
      </c>
      <c r="B11" s="37">
        <v>44145.0</v>
      </c>
      <c r="C11" s="74">
        <v>1.0</v>
      </c>
      <c r="D11" s="74">
        <v>1.0</v>
      </c>
      <c r="E11" s="74">
        <v>0.0</v>
      </c>
      <c r="F11" s="74">
        <v>0.0</v>
      </c>
      <c r="G11" s="74">
        <v>1.0</v>
      </c>
      <c r="H11" s="74">
        <v>1.0</v>
      </c>
      <c r="I11" s="74">
        <v>0.0</v>
      </c>
      <c r="J11" s="74">
        <v>1.0</v>
      </c>
      <c r="K11" s="75"/>
    </row>
    <row r="12">
      <c r="A12" s="5" t="s">
        <v>18</v>
      </c>
      <c r="B12" s="37">
        <v>44146.0</v>
      </c>
      <c r="C12" s="74">
        <v>0.0</v>
      </c>
      <c r="D12" s="74">
        <v>1.0</v>
      </c>
      <c r="E12" s="74">
        <v>0.0</v>
      </c>
      <c r="F12" s="74">
        <v>0.0</v>
      </c>
      <c r="G12" s="74">
        <v>1.0</v>
      </c>
      <c r="H12" s="74">
        <v>1.0</v>
      </c>
      <c r="I12" s="74">
        <v>1.0</v>
      </c>
      <c r="J12" s="74">
        <v>1.0</v>
      </c>
      <c r="K12" s="75"/>
    </row>
    <row r="13">
      <c r="A13" s="5" t="s">
        <v>15</v>
      </c>
      <c r="B13" s="37">
        <v>44147.0</v>
      </c>
      <c r="C13" s="74">
        <v>1.0</v>
      </c>
      <c r="D13" s="74">
        <v>1.0</v>
      </c>
      <c r="E13" s="74">
        <v>0.0</v>
      </c>
      <c r="F13" s="74">
        <v>0.0</v>
      </c>
      <c r="G13" s="74">
        <v>1.0</v>
      </c>
      <c r="H13" s="74">
        <v>1.0</v>
      </c>
      <c r="I13" s="74">
        <v>1.0</v>
      </c>
      <c r="J13" s="74">
        <v>1.0</v>
      </c>
      <c r="K13" s="75"/>
    </row>
    <row r="14">
      <c r="A14" s="76" t="s">
        <v>16</v>
      </c>
      <c r="B14" s="77">
        <v>44148.0</v>
      </c>
      <c r="C14" s="78">
        <v>1.0</v>
      </c>
      <c r="D14" s="78">
        <v>0.0</v>
      </c>
      <c r="E14" s="78">
        <v>0.0</v>
      </c>
      <c r="F14" s="78">
        <v>1.0</v>
      </c>
      <c r="G14" s="78">
        <v>0.0</v>
      </c>
      <c r="H14" s="78">
        <v>0.0</v>
      </c>
      <c r="I14" s="78">
        <v>1.0</v>
      </c>
      <c r="J14" s="78">
        <v>1.0</v>
      </c>
      <c r="K14" s="75"/>
    </row>
    <row r="15">
      <c r="A15" s="5" t="s">
        <v>17</v>
      </c>
      <c r="B15" s="37">
        <v>44149.0</v>
      </c>
      <c r="C15" s="74">
        <v>0.0</v>
      </c>
      <c r="D15" s="74">
        <v>1.0</v>
      </c>
      <c r="E15" s="74">
        <v>0.0</v>
      </c>
      <c r="F15" s="74">
        <v>0.0</v>
      </c>
      <c r="G15" s="74">
        <v>1.0</v>
      </c>
      <c r="H15" s="74">
        <v>1.0</v>
      </c>
      <c r="I15" s="74">
        <v>1.0</v>
      </c>
      <c r="J15" s="74">
        <v>1.0</v>
      </c>
      <c r="K15" s="75"/>
    </row>
    <row r="16">
      <c r="A16" s="5" t="s">
        <v>8</v>
      </c>
      <c r="B16" s="37">
        <v>44150.0</v>
      </c>
      <c r="C16" s="74">
        <v>1.0</v>
      </c>
      <c r="D16" s="74">
        <v>1.0</v>
      </c>
      <c r="E16" s="74">
        <v>0.0</v>
      </c>
      <c r="F16" s="74">
        <v>0.0</v>
      </c>
      <c r="G16" s="74">
        <v>1.0</v>
      </c>
      <c r="H16" s="74">
        <v>1.0</v>
      </c>
      <c r="I16" s="74">
        <v>1.0</v>
      </c>
      <c r="J16" s="74">
        <v>1.0</v>
      </c>
      <c r="K16" s="75"/>
    </row>
    <row r="17">
      <c r="A17" s="5" t="s">
        <v>10</v>
      </c>
      <c r="B17" s="37">
        <v>44151.0</v>
      </c>
      <c r="C17" s="74">
        <v>1.0</v>
      </c>
      <c r="D17" s="74">
        <v>1.0</v>
      </c>
      <c r="E17" s="74">
        <v>0.0</v>
      </c>
      <c r="F17" s="74">
        <v>0.0</v>
      </c>
      <c r="G17" s="74">
        <v>1.0</v>
      </c>
      <c r="H17" s="74">
        <v>1.0</v>
      </c>
      <c r="I17" s="74">
        <v>1.0</v>
      </c>
      <c r="J17" s="74">
        <v>1.0</v>
      </c>
      <c r="K17" s="75"/>
    </row>
    <row r="18">
      <c r="A18" s="5" t="s">
        <v>13</v>
      </c>
      <c r="B18" s="37">
        <v>44152.0</v>
      </c>
      <c r="C18" s="74">
        <v>1.0</v>
      </c>
      <c r="D18" s="74">
        <v>1.0</v>
      </c>
      <c r="E18" s="74">
        <v>0.0</v>
      </c>
      <c r="F18" s="74">
        <v>0.0</v>
      </c>
      <c r="G18" s="74">
        <v>1.0</v>
      </c>
      <c r="H18" s="74">
        <v>1.0</v>
      </c>
      <c r="I18" s="74">
        <v>1.0</v>
      </c>
      <c r="J18" s="74">
        <v>1.0</v>
      </c>
      <c r="K18" s="75"/>
    </row>
    <row r="19">
      <c r="A19" s="5" t="s">
        <v>14</v>
      </c>
      <c r="B19" s="37">
        <v>44153.0</v>
      </c>
      <c r="C19" s="74">
        <v>1.0</v>
      </c>
      <c r="D19" s="74">
        <v>1.0</v>
      </c>
      <c r="E19" s="74">
        <v>0.0</v>
      </c>
      <c r="F19" s="74">
        <v>0.0</v>
      </c>
      <c r="G19" s="74">
        <v>1.0</v>
      </c>
      <c r="H19" s="74">
        <v>1.0</v>
      </c>
      <c r="I19" s="74">
        <v>1.0</v>
      </c>
      <c r="J19" s="74">
        <v>1.0</v>
      </c>
      <c r="K19" s="75"/>
    </row>
    <row r="20">
      <c r="A20" s="5" t="s">
        <v>15</v>
      </c>
      <c r="B20" s="37">
        <v>44154.0</v>
      </c>
      <c r="C20" s="74">
        <v>1.0</v>
      </c>
      <c r="D20" s="74">
        <v>1.0</v>
      </c>
      <c r="E20" s="74">
        <v>0.0</v>
      </c>
      <c r="F20" s="74">
        <v>0.0</v>
      </c>
      <c r="G20" s="74">
        <v>1.0</v>
      </c>
      <c r="H20" s="74">
        <v>1.0</v>
      </c>
      <c r="I20" s="74">
        <v>1.0</v>
      </c>
      <c r="J20" s="74">
        <v>1.0</v>
      </c>
      <c r="K20" s="75"/>
    </row>
    <row r="21">
      <c r="A21" s="76" t="s">
        <v>16</v>
      </c>
      <c r="B21" s="77">
        <v>44155.0</v>
      </c>
      <c r="C21" s="78">
        <v>1.0</v>
      </c>
      <c r="D21" s="78">
        <v>0.0</v>
      </c>
      <c r="E21" s="78">
        <v>0.0</v>
      </c>
      <c r="F21" s="78">
        <v>0.0</v>
      </c>
      <c r="G21" s="78">
        <v>1.0</v>
      </c>
      <c r="H21" s="78">
        <v>1.0</v>
      </c>
      <c r="I21" s="78">
        <v>1.0</v>
      </c>
      <c r="J21" s="78">
        <v>1.5</v>
      </c>
      <c r="K21" s="75"/>
    </row>
    <row r="22">
      <c r="A22" s="5" t="s">
        <v>17</v>
      </c>
      <c r="B22" s="37">
        <v>44156.0</v>
      </c>
      <c r="C22" s="74">
        <v>1.0</v>
      </c>
      <c r="D22" s="74">
        <v>1.0</v>
      </c>
      <c r="E22" s="74">
        <v>0.0</v>
      </c>
      <c r="F22" s="74">
        <v>0.0</v>
      </c>
      <c r="G22" s="74">
        <v>0.0</v>
      </c>
      <c r="H22" s="74">
        <v>1.0</v>
      </c>
      <c r="I22" s="74">
        <v>1.0</v>
      </c>
      <c r="J22" s="74">
        <v>1.0</v>
      </c>
      <c r="K22" s="75"/>
    </row>
    <row r="23">
      <c r="A23" s="5" t="s">
        <v>8</v>
      </c>
      <c r="B23" s="37">
        <v>44157.0</v>
      </c>
      <c r="C23" s="74">
        <v>1.0</v>
      </c>
      <c r="D23" s="74">
        <v>1.0</v>
      </c>
      <c r="E23" s="74">
        <v>0.0</v>
      </c>
      <c r="F23" s="74">
        <v>1.0</v>
      </c>
      <c r="G23" s="74">
        <v>1.0</v>
      </c>
      <c r="H23" s="74">
        <v>1.0</v>
      </c>
      <c r="I23" s="74">
        <v>1.0</v>
      </c>
      <c r="J23" s="74">
        <v>1.0</v>
      </c>
      <c r="K23" s="75"/>
    </row>
    <row r="24">
      <c r="A24" s="5" t="s">
        <v>10</v>
      </c>
      <c r="B24" s="37">
        <v>44158.0</v>
      </c>
      <c r="C24" s="79">
        <v>1.0</v>
      </c>
      <c r="D24" s="79">
        <v>1.0</v>
      </c>
      <c r="E24" s="79">
        <v>0.0</v>
      </c>
      <c r="F24" s="79">
        <v>0.0</v>
      </c>
      <c r="G24" s="79">
        <v>1.0</v>
      </c>
      <c r="H24" s="79">
        <v>1.0</v>
      </c>
      <c r="I24" s="79">
        <v>1.0</v>
      </c>
      <c r="J24" s="79">
        <v>1.0</v>
      </c>
      <c r="K24" s="75"/>
    </row>
    <row r="25">
      <c r="A25" s="5" t="s">
        <v>13</v>
      </c>
      <c r="B25" s="37">
        <v>44159.0</v>
      </c>
      <c r="C25" s="79">
        <v>1.0</v>
      </c>
      <c r="D25" s="79">
        <v>1.0</v>
      </c>
      <c r="E25" s="79">
        <v>0.0</v>
      </c>
      <c r="F25" s="79">
        <v>0.0</v>
      </c>
      <c r="G25" s="79">
        <v>1.0</v>
      </c>
      <c r="H25" s="79">
        <v>1.0</v>
      </c>
      <c r="I25" s="79">
        <v>1.0</v>
      </c>
      <c r="J25" s="79">
        <v>1.0</v>
      </c>
      <c r="K25" s="75"/>
    </row>
    <row r="26">
      <c r="A26" s="5" t="s">
        <v>14</v>
      </c>
      <c r="B26" s="37">
        <v>44160.0</v>
      </c>
      <c r="C26" s="79">
        <v>0.0</v>
      </c>
      <c r="D26" s="79">
        <v>1.0</v>
      </c>
      <c r="E26" s="79">
        <v>0.0</v>
      </c>
      <c r="F26" s="79">
        <v>1.0</v>
      </c>
      <c r="G26" s="79">
        <v>1.0</v>
      </c>
      <c r="H26" s="79">
        <v>1.0</v>
      </c>
      <c r="I26" s="79">
        <v>1.0</v>
      </c>
      <c r="J26" s="79">
        <v>1.0</v>
      </c>
      <c r="K26" s="75"/>
    </row>
    <row r="27">
      <c r="A27" s="5" t="s">
        <v>15</v>
      </c>
      <c r="B27" s="37">
        <v>44161.0</v>
      </c>
      <c r="C27" s="79">
        <v>1.0</v>
      </c>
      <c r="D27" s="79">
        <v>1.0</v>
      </c>
      <c r="E27" s="79">
        <v>0.0</v>
      </c>
      <c r="F27" s="79">
        <v>0.0</v>
      </c>
      <c r="G27" s="79">
        <v>1.0</v>
      </c>
      <c r="H27" s="79">
        <v>1.0</v>
      </c>
      <c r="I27" s="79">
        <v>1.0</v>
      </c>
      <c r="J27" s="79">
        <v>1.0</v>
      </c>
      <c r="K27" s="75"/>
    </row>
    <row r="28">
      <c r="A28" s="76" t="s">
        <v>16</v>
      </c>
      <c r="B28" s="77">
        <v>44162.0</v>
      </c>
      <c r="C28" s="80">
        <v>1.0</v>
      </c>
      <c r="D28" s="80">
        <v>0.0</v>
      </c>
      <c r="E28" s="80">
        <v>0.0</v>
      </c>
      <c r="F28" s="80">
        <v>1.0</v>
      </c>
      <c r="G28" s="80">
        <v>0.0</v>
      </c>
      <c r="H28" s="80">
        <v>1.0</v>
      </c>
      <c r="I28" s="80">
        <v>1.0</v>
      </c>
      <c r="J28" s="80">
        <v>1.0</v>
      </c>
      <c r="K28" s="75"/>
    </row>
    <row r="29">
      <c r="A29" s="5" t="s">
        <v>17</v>
      </c>
      <c r="B29" s="37">
        <v>44163.0</v>
      </c>
      <c r="C29" s="79">
        <v>0.0</v>
      </c>
      <c r="D29" s="79">
        <v>1.0</v>
      </c>
      <c r="E29" s="79">
        <v>0.0</v>
      </c>
      <c r="F29" s="79">
        <v>0.0</v>
      </c>
      <c r="G29" s="79">
        <v>1.0</v>
      </c>
      <c r="H29" s="79">
        <v>1.0</v>
      </c>
      <c r="I29" s="79">
        <v>0.0</v>
      </c>
      <c r="J29" s="79">
        <v>0.0</v>
      </c>
      <c r="K29" s="75"/>
    </row>
    <row r="30">
      <c r="A30" s="5" t="s">
        <v>8</v>
      </c>
      <c r="B30" s="37">
        <v>44164.0</v>
      </c>
      <c r="C30" s="81">
        <v>1.0</v>
      </c>
      <c r="D30" s="81">
        <v>1.0</v>
      </c>
      <c r="E30" s="81">
        <v>0.0</v>
      </c>
      <c r="F30" s="81">
        <v>0.0</v>
      </c>
      <c r="G30" s="81">
        <v>1.0</v>
      </c>
      <c r="H30" s="81">
        <v>1.0</v>
      </c>
      <c r="I30" s="81">
        <v>1.0</v>
      </c>
      <c r="J30" s="81">
        <v>1.0</v>
      </c>
      <c r="K30" s="75"/>
    </row>
    <row r="31">
      <c r="A31" s="5" t="s">
        <v>10</v>
      </c>
      <c r="B31" s="37">
        <v>44165.0</v>
      </c>
      <c r="C31" s="81">
        <v>1.0</v>
      </c>
      <c r="D31" s="81">
        <v>1.0</v>
      </c>
      <c r="E31" s="81">
        <v>0.0</v>
      </c>
      <c r="F31" s="81">
        <v>0.0</v>
      </c>
      <c r="G31" s="81">
        <v>1.0</v>
      </c>
      <c r="H31" s="81">
        <v>1.0</v>
      </c>
      <c r="I31" s="81">
        <v>1.0</v>
      </c>
      <c r="J31" s="81">
        <v>1.0</v>
      </c>
      <c r="K31" s="75"/>
    </row>
    <row r="32">
      <c r="B32" s="82" t="s">
        <v>191</v>
      </c>
      <c r="C32" s="83">
        <f t="shared" ref="C32:J32" si="1">SUM(C2:C31)</f>
        <v>24</v>
      </c>
      <c r="D32" s="83">
        <f t="shared" si="1"/>
        <v>26</v>
      </c>
      <c r="E32" s="83">
        <f t="shared" si="1"/>
        <v>0</v>
      </c>
      <c r="F32" s="83">
        <f t="shared" si="1"/>
        <v>5.5</v>
      </c>
      <c r="G32" s="83">
        <f t="shared" si="1"/>
        <v>26</v>
      </c>
      <c r="H32" s="83">
        <f t="shared" si="1"/>
        <v>29</v>
      </c>
      <c r="I32" s="83">
        <f t="shared" si="1"/>
        <v>28</v>
      </c>
      <c r="J32" s="83">
        <f t="shared" si="1"/>
        <v>25.5</v>
      </c>
      <c r="K32" s="68"/>
    </row>
    <row r="33">
      <c r="B33" s="84" t="s">
        <v>192</v>
      </c>
      <c r="C33" s="85">
        <v>2000.0</v>
      </c>
      <c r="D33" s="85">
        <v>1200.0</v>
      </c>
      <c r="E33" s="84">
        <v>1000.0</v>
      </c>
      <c r="F33" s="84">
        <v>1000.0</v>
      </c>
      <c r="G33" s="85">
        <v>1000.0</v>
      </c>
      <c r="H33" s="84">
        <v>600.0</v>
      </c>
      <c r="I33" s="85">
        <v>1000.0</v>
      </c>
      <c r="J33" s="85">
        <v>1200.0</v>
      </c>
      <c r="K33" s="86">
        <f t="shared" ref="K33:K34" si="3">SUM(C33:J33)</f>
        <v>9000</v>
      </c>
    </row>
    <row r="34">
      <c r="B34" s="87" t="s">
        <v>193</v>
      </c>
      <c r="C34" s="87">
        <f t="shared" ref="C34:I34" si="2">C33*C32</f>
        <v>48000</v>
      </c>
      <c r="D34" s="87">
        <f t="shared" si="2"/>
        <v>31200</v>
      </c>
      <c r="E34" s="87">
        <f t="shared" si="2"/>
        <v>0</v>
      </c>
      <c r="F34" s="87">
        <f t="shared" si="2"/>
        <v>5500</v>
      </c>
      <c r="G34" s="87">
        <f t="shared" si="2"/>
        <v>26000</v>
      </c>
      <c r="H34" s="87">
        <f t="shared" si="2"/>
        <v>17400</v>
      </c>
      <c r="I34" s="87">
        <f t="shared" si="2"/>
        <v>28000</v>
      </c>
      <c r="J34" s="87">
        <f>J32*J33</f>
        <v>30600</v>
      </c>
      <c r="K34" s="88">
        <f t="shared" si="3"/>
        <v>186700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8.13"/>
    <col customWidth="1" min="8" max="8" width="25.88"/>
    <col customWidth="1" min="9" max="9" width="21.5"/>
    <col customWidth="1" min="10" max="10" width="15.38"/>
  </cols>
  <sheetData>
    <row r="12">
      <c r="G12" s="68"/>
      <c r="H12" s="24" t="s">
        <v>194</v>
      </c>
      <c r="I12" s="24" t="s">
        <v>4</v>
      </c>
      <c r="J12" s="24" t="s">
        <v>195</v>
      </c>
    </row>
    <row r="13">
      <c r="G13" s="55">
        <v>1.0</v>
      </c>
      <c r="H13" s="55" t="s">
        <v>183</v>
      </c>
      <c r="I13" s="57">
        <f>Pointage!C34*1</f>
        <v>48000</v>
      </c>
      <c r="J13" s="19"/>
      <c r="K13" s="89"/>
      <c r="L13" s="55" t="s">
        <v>183</v>
      </c>
      <c r="M13" s="89">
        <v>48000.0</v>
      </c>
    </row>
    <row r="14">
      <c r="G14" s="55">
        <v>2.0</v>
      </c>
      <c r="H14" s="55" t="s">
        <v>12</v>
      </c>
      <c r="I14" s="57">
        <f>Pointage!G34*1</f>
        <v>26000</v>
      </c>
      <c r="J14" s="18">
        <v>3000.0</v>
      </c>
      <c r="K14" s="89"/>
      <c r="L14" s="55" t="s">
        <v>12</v>
      </c>
      <c r="M14" s="89">
        <v>22000.0</v>
      </c>
    </row>
    <row r="15">
      <c r="G15" s="55">
        <v>3.0</v>
      </c>
      <c r="H15" s="55" t="s">
        <v>196</v>
      </c>
      <c r="I15" s="57">
        <f>Pointage!I34*1</f>
        <v>28000</v>
      </c>
      <c r="J15" s="90"/>
      <c r="K15" s="89"/>
      <c r="L15" s="55" t="s">
        <v>196</v>
      </c>
      <c r="M15" s="89">
        <v>27000.0</v>
      </c>
    </row>
    <row r="16">
      <c r="G16" s="55">
        <v>4.0</v>
      </c>
      <c r="H16" s="55" t="s">
        <v>197</v>
      </c>
      <c r="I16" s="57">
        <f>Pointage!H34*1</f>
        <v>17400</v>
      </c>
      <c r="J16" s="19"/>
      <c r="K16" s="89"/>
      <c r="L16" s="55" t="s">
        <v>197</v>
      </c>
      <c r="M16" s="89">
        <v>20000.0</v>
      </c>
    </row>
    <row r="17">
      <c r="G17" s="56">
        <v>5.0</v>
      </c>
      <c r="H17" s="55" t="s">
        <v>198</v>
      </c>
      <c r="I17" s="57">
        <f>Pointage!E34*1</f>
        <v>0</v>
      </c>
      <c r="J17" s="19"/>
      <c r="K17" s="91"/>
      <c r="L17" s="55" t="s">
        <v>198</v>
      </c>
      <c r="M17" s="91"/>
    </row>
    <row r="18">
      <c r="G18" s="56">
        <v>6.0</v>
      </c>
      <c r="H18" s="55" t="s">
        <v>186</v>
      </c>
      <c r="I18" s="57">
        <f>Pointage!F34*1</f>
        <v>5500</v>
      </c>
      <c r="J18" s="18">
        <v>1500.0</v>
      </c>
      <c r="K18" s="89"/>
      <c r="L18" s="55" t="s">
        <v>186</v>
      </c>
      <c r="M18" s="89">
        <v>4000.0</v>
      </c>
    </row>
    <row r="19">
      <c r="G19" s="56">
        <v>7.0</v>
      </c>
      <c r="H19" s="55" t="s">
        <v>184</v>
      </c>
      <c r="I19" s="57">
        <f>Pointage!D34*1</f>
        <v>31200</v>
      </c>
      <c r="J19" s="90"/>
      <c r="K19" s="89"/>
      <c r="L19" s="55" t="s">
        <v>184</v>
      </c>
      <c r="M19" s="89">
        <v>30000.0</v>
      </c>
    </row>
    <row r="20">
      <c r="G20" s="56">
        <v>8.0</v>
      </c>
      <c r="H20" s="55" t="s">
        <v>189</v>
      </c>
      <c r="I20" s="57">
        <f>Pointage!J34*1</f>
        <v>30600</v>
      </c>
      <c r="J20" s="18">
        <v>2000.0</v>
      </c>
      <c r="K20" s="89"/>
      <c r="L20" s="55" t="s">
        <v>189</v>
      </c>
      <c r="M20" s="89">
        <v>30000.0</v>
      </c>
    </row>
    <row r="21">
      <c r="G21" s="92"/>
      <c r="H21" s="5" t="s">
        <v>199</v>
      </c>
      <c r="I21" s="93">
        <v>2400.0</v>
      </c>
      <c r="J21" s="94"/>
      <c r="K21" s="91"/>
      <c r="L21" s="91"/>
      <c r="M21" s="91">
        <f>SUM(M13:M20)</f>
        <v>181000</v>
      </c>
    </row>
    <row r="22">
      <c r="G22" s="68"/>
      <c r="H22" s="95" t="s">
        <v>23</v>
      </c>
      <c r="I22" s="96">
        <f>SUM(I13:I21)</f>
        <v>189100</v>
      </c>
      <c r="J22" s="97">
        <f>SUM(J13:J20)</f>
        <v>6500</v>
      </c>
    </row>
    <row r="23">
      <c r="G23" s="68"/>
      <c r="H23" s="98"/>
      <c r="I23" s="99">
        <f>I22-J22</f>
        <v>182600</v>
      </c>
      <c r="J23" s="100"/>
    </row>
  </sheetData>
  <drawing r:id="rId1"/>
</worksheet>
</file>