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 " sheetId="3" r:id="rId6"/>
    <sheet state="visible" name="salaires" sheetId="4" r:id="rId7"/>
    <sheet state="visible" name="Bénéfice de juin" sheetId="5" r:id="rId8"/>
  </sheets>
  <definedNames/>
  <calcPr/>
</workbook>
</file>

<file path=xl/sharedStrings.xml><?xml version="1.0" encoding="utf-8"?>
<sst xmlns="http://schemas.openxmlformats.org/spreadsheetml/2006/main" count="932" uniqueCount="474">
  <si>
    <t>Date</t>
  </si>
  <si>
    <t>Recette de JUIN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</si>
  <si>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</si>
  <si>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</si>
  <si>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</si>
  <si>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</si>
  <si>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</si>
  <si>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</si>
  <si>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</si>
  <si>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Juin</t>
  </si>
  <si>
    <t>Bénéfice Moyen par jour</t>
  </si>
  <si>
    <t xml:space="preserve">Moyenne </t>
  </si>
  <si>
    <t>Vendredi</t>
  </si>
  <si>
    <t>Samedi</t>
  </si>
  <si>
    <t>Dimanche</t>
  </si>
  <si>
    <t xml:space="preserve">Moyenne des charges par jour </t>
  </si>
  <si>
    <t xml:space="preserve">Objectif </t>
  </si>
  <si>
    <t>Lundi</t>
  </si>
  <si>
    <t>Mardi</t>
  </si>
  <si>
    <t>²</t>
  </si>
  <si>
    <t>Mercredi</t>
  </si>
  <si>
    <t>Jeudi</t>
  </si>
  <si>
    <t xml:space="preserve">Cash restant </t>
  </si>
  <si>
    <t>Magasin</t>
  </si>
  <si>
    <t xml:space="preserve">caisse </t>
  </si>
  <si>
    <t>cash en attente pour le récupérer =Dettes éxterieurs</t>
  </si>
  <si>
    <t xml:space="preserve"> </t>
  </si>
  <si>
    <t>loyer</t>
  </si>
  <si>
    <t>pétrin+ four</t>
  </si>
  <si>
    <t>Lingoworld  17850+17900+18150+18000+18000</t>
  </si>
  <si>
    <t>75000+145000</t>
  </si>
  <si>
    <t>89900-20000</t>
  </si>
  <si>
    <t>12200+</t>
  </si>
  <si>
    <t>Différence mois de juin</t>
  </si>
  <si>
    <t xml:space="preserve">Différence objectif </t>
  </si>
  <si>
    <t xml:space="preserve">Les vendredis </t>
  </si>
  <si>
    <t>Cash réel</t>
  </si>
  <si>
    <t>rest à payer</t>
  </si>
  <si>
    <t xml:space="preserve">Mois de Juin </t>
  </si>
  <si>
    <t xml:space="preserve">La différence </t>
  </si>
  <si>
    <t>-(</t>
  </si>
  <si>
    <t>Produit</t>
  </si>
  <si>
    <t>Quantité</t>
  </si>
  <si>
    <t xml:space="preserve">Prix unitaire </t>
  </si>
  <si>
    <t>Prix</t>
  </si>
  <si>
    <t>Date d'achat</t>
  </si>
  <si>
    <t>crème fraiche</t>
  </si>
  <si>
    <t xml:space="preserve">bessel </t>
  </si>
  <si>
    <t>25kg</t>
  </si>
  <si>
    <t>3akeri</t>
  </si>
  <si>
    <t>Chocolat à tartier Boudjedir</t>
  </si>
  <si>
    <t xml:space="preserve">Maiizina </t>
  </si>
  <si>
    <t>Lait en Poudre</t>
  </si>
  <si>
    <t xml:space="preserve">1 sachet de 25kg/5kg </t>
  </si>
  <si>
    <t xml:space="preserve">Pate d'arome Maa zehar </t>
  </si>
  <si>
    <t xml:space="preserve">Sucre glace </t>
  </si>
  <si>
    <t xml:space="preserve">1 fardeau </t>
  </si>
  <si>
    <t xml:space="preserve">boites  blanches </t>
  </si>
  <si>
    <t>1 fardeau</t>
  </si>
  <si>
    <t xml:space="preserve">Tofia </t>
  </si>
  <si>
    <t xml:space="preserve">Amande </t>
  </si>
  <si>
    <t>100g</t>
  </si>
  <si>
    <t>pistache</t>
  </si>
  <si>
    <t>Noix de Kajou</t>
  </si>
  <si>
    <t xml:space="preserve">quissetes </t>
  </si>
  <si>
    <t xml:space="preserve">Margarine Salha </t>
  </si>
  <si>
    <t xml:space="preserve">Fromage Slices </t>
  </si>
  <si>
    <t xml:space="preserve">rechta </t>
  </si>
  <si>
    <t>20kg</t>
  </si>
  <si>
    <t xml:space="preserve">blanc de poulet </t>
  </si>
  <si>
    <t>3kg</t>
  </si>
  <si>
    <t>pomme de terre</t>
  </si>
  <si>
    <t>7.5kg</t>
  </si>
  <si>
    <t>sel</t>
  </si>
  <si>
    <t>poivron noir</t>
  </si>
  <si>
    <t>/</t>
  </si>
  <si>
    <t>poichiche</t>
  </si>
  <si>
    <t>1kg</t>
  </si>
  <si>
    <t>Souad ka3ek nakach</t>
  </si>
  <si>
    <t>Boites 48/10</t>
  </si>
  <si>
    <t>semoule fine Sa7el 10kg</t>
  </si>
  <si>
    <t>Quissettes dorée N10</t>
  </si>
  <si>
    <t>1 fardeau de 80</t>
  </si>
  <si>
    <t>Quissettes blanc N12</t>
  </si>
  <si>
    <t>1 fardeau de 40</t>
  </si>
  <si>
    <t>Quissetes blanc N 10</t>
  </si>
  <si>
    <t>1 fardeau de 36</t>
  </si>
  <si>
    <t>Quissettes blanc N8</t>
  </si>
  <si>
    <t>1 fardeau de 110</t>
  </si>
  <si>
    <t>fleur artificièlle</t>
  </si>
  <si>
    <t>Mayonnaise 1kg</t>
  </si>
  <si>
    <t xml:space="preserve">5 Bouteille </t>
  </si>
  <si>
    <t>Vinaigre 1 litre</t>
  </si>
  <si>
    <t>Levure Chimique 100 Sachets /Boite</t>
  </si>
  <si>
    <t>gherss</t>
  </si>
  <si>
    <t>pate à filo</t>
  </si>
  <si>
    <t>boites raib</t>
  </si>
  <si>
    <t>fourchette</t>
  </si>
  <si>
    <t>barquettes1165</t>
  </si>
  <si>
    <t>sac croissant 14</t>
  </si>
  <si>
    <t>huile Elio 2 litres</t>
  </si>
  <si>
    <t>Fromage Bidon 3.8kg</t>
  </si>
  <si>
    <t xml:space="preserve">balance </t>
  </si>
  <si>
    <t>betiya</t>
  </si>
  <si>
    <t>boites amballage</t>
  </si>
  <si>
    <t>eau d'oranger</t>
  </si>
  <si>
    <t>pipites de chocolat</t>
  </si>
  <si>
    <t>miel 5kg</t>
  </si>
  <si>
    <t>papier aluminium Afrah</t>
  </si>
  <si>
    <t>sac croissant 23</t>
  </si>
  <si>
    <t>sac transparent</t>
  </si>
  <si>
    <t>fromage bidon ELA 2.4kg</t>
  </si>
  <si>
    <t>sauce tomate ELA 3.8kg</t>
  </si>
  <si>
    <t>fromage spécial pizza</t>
  </si>
  <si>
    <t>10.29kg</t>
  </si>
  <si>
    <t>harrissa CAB 1kg</t>
  </si>
  <si>
    <t>Techekechouka LALAHOM</t>
  </si>
  <si>
    <t>Thon grande boite</t>
  </si>
  <si>
    <t xml:space="preserve">tomate conserve </t>
  </si>
  <si>
    <t>Harrissa</t>
  </si>
  <si>
    <t xml:space="preserve">amandes blanc </t>
  </si>
  <si>
    <t>5kg</t>
  </si>
  <si>
    <t xml:space="preserve">goblets </t>
  </si>
  <si>
    <t>1+3</t>
  </si>
  <si>
    <t>300+100</t>
  </si>
  <si>
    <t xml:space="preserve">les gants </t>
  </si>
  <si>
    <t>Sachet GM</t>
  </si>
  <si>
    <t>Sachet PM</t>
  </si>
  <si>
    <t xml:space="preserve">les quissetes </t>
  </si>
  <si>
    <t xml:space="preserve">les fleures </t>
  </si>
  <si>
    <t>les felures pm</t>
  </si>
  <si>
    <t>les felures NM</t>
  </si>
  <si>
    <t xml:space="preserve">décapant </t>
  </si>
  <si>
    <t>semoule Amor Ben Amor 10kg</t>
  </si>
  <si>
    <t>Semoul SIM 10Kg</t>
  </si>
  <si>
    <t>Farine SIM 1kg</t>
  </si>
  <si>
    <t>farine agrodive 5kg</t>
  </si>
  <si>
    <t xml:space="preserve">Fromage blanc </t>
  </si>
  <si>
    <t>Maiis</t>
  </si>
  <si>
    <t>Boite carton Num 8</t>
  </si>
  <si>
    <t>Boite carton Num 12</t>
  </si>
  <si>
    <t>Boite carton Num 24</t>
  </si>
  <si>
    <t>Boite Patisserie 36/07</t>
  </si>
  <si>
    <t xml:space="preserve">Sachet blanc pyramid </t>
  </si>
  <si>
    <t xml:space="preserve">King plateau </t>
  </si>
  <si>
    <t xml:space="preserve">vanille baraka </t>
  </si>
  <si>
    <t>sachet 5 kg blanc</t>
  </si>
  <si>
    <t>boite plastique 375cc</t>
  </si>
  <si>
    <t>noix</t>
  </si>
  <si>
    <t xml:space="preserve">chocolat au lait widjedane </t>
  </si>
  <si>
    <t xml:space="preserve">chcolat noisette widjedane </t>
  </si>
  <si>
    <t xml:space="preserve">nappage </t>
  </si>
  <si>
    <t>9kg</t>
  </si>
  <si>
    <t>cheddar</t>
  </si>
  <si>
    <t>boites rouges 48/10</t>
  </si>
  <si>
    <t xml:space="preserve">huile Elio 5 litres </t>
  </si>
  <si>
    <t>margarine fleurial 500g barquette</t>
  </si>
  <si>
    <t>margarine fleurial 250g</t>
  </si>
  <si>
    <t>Semen Madina 1,8kg</t>
  </si>
  <si>
    <t>choco Dada blanc</t>
  </si>
  <si>
    <t>chantillé</t>
  </si>
  <si>
    <t>2kg</t>
  </si>
  <si>
    <t>ail</t>
  </si>
  <si>
    <t>50kg</t>
  </si>
  <si>
    <t xml:space="preserve">confiture </t>
  </si>
  <si>
    <t>semoule demie gross Amour 1kg</t>
  </si>
  <si>
    <t xml:space="preserve">cerise </t>
  </si>
  <si>
    <t xml:space="preserve">serviette en papier </t>
  </si>
  <si>
    <t>Soda Hamoud cannette</t>
  </si>
  <si>
    <t>Soda Slim 33cl</t>
  </si>
  <si>
    <t xml:space="preserve">papier aluminium wafa </t>
  </si>
  <si>
    <t>sacs en papier 23</t>
  </si>
  <si>
    <t>chocolat au lait widjedane</t>
  </si>
  <si>
    <t xml:space="preserve">Amina Baghrir </t>
  </si>
  <si>
    <t>01/03-01/06</t>
  </si>
  <si>
    <t>Barquette alluminium /2</t>
  </si>
  <si>
    <t>amande rouge</t>
  </si>
  <si>
    <t>amande éfilet</t>
  </si>
  <si>
    <t>500g</t>
  </si>
  <si>
    <t xml:space="preserve">semoule Mama </t>
  </si>
  <si>
    <t>4 fardeaux</t>
  </si>
  <si>
    <t xml:space="preserve">Semoule Mama </t>
  </si>
  <si>
    <t>3 fardeaux</t>
  </si>
  <si>
    <t>Chocolat wedjedan noir 250g</t>
  </si>
  <si>
    <t xml:space="preserve">chocolat wedjedan blanc </t>
  </si>
  <si>
    <t>Djedjelan</t>
  </si>
  <si>
    <t>30806/2022</t>
  </si>
  <si>
    <t>30kg</t>
  </si>
  <si>
    <t>légumes</t>
  </si>
  <si>
    <t>1+1+1+2</t>
  </si>
  <si>
    <t>épices</t>
  </si>
  <si>
    <t>Poulet haché</t>
  </si>
  <si>
    <t>pain tacos</t>
  </si>
  <si>
    <t xml:space="preserve">éscalope de dinde </t>
  </si>
  <si>
    <t>400g</t>
  </si>
  <si>
    <t xml:space="preserve">légumes </t>
  </si>
  <si>
    <t>viande morceaux</t>
  </si>
  <si>
    <t xml:space="preserve">sardines </t>
  </si>
  <si>
    <t>salade</t>
  </si>
  <si>
    <t>01/0/2022</t>
  </si>
  <si>
    <t>tomate fraiche</t>
  </si>
  <si>
    <t>couscous</t>
  </si>
  <si>
    <t>olive</t>
  </si>
  <si>
    <t xml:space="preserve">olive </t>
  </si>
  <si>
    <t>haricot vert</t>
  </si>
  <si>
    <t xml:space="preserve">barquettes avec des assiettes </t>
  </si>
  <si>
    <t>125+50</t>
  </si>
  <si>
    <t>isis+ javel moussant</t>
  </si>
  <si>
    <t xml:space="preserve">kheyar </t>
  </si>
  <si>
    <t xml:space="preserve">les légumes </t>
  </si>
  <si>
    <t xml:space="preserve">demie cuisses </t>
  </si>
  <si>
    <t>plateaux d'oeuf</t>
  </si>
  <si>
    <t xml:space="preserve">boites transparent pour salade </t>
  </si>
  <si>
    <t xml:space="preserve">boites ketchup + Mayonnaise + Harissa </t>
  </si>
  <si>
    <t>1+1+1</t>
  </si>
  <si>
    <t xml:space="preserve">vinigrette </t>
  </si>
  <si>
    <t xml:space="preserve">Nectarine </t>
  </si>
  <si>
    <t>10kg</t>
  </si>
  <si>
    <t>poulet rotis</t>
  </si>
  <si>
    <t>2.5kg</t>
  </si>
  <si>
    <t xml:space="preserve">OMO + Isis </t>
  </si>
  <si>
    <t>1+1</t>
  </si>
  <si>
    <t xml:space="preserve">jus ifruit </t>
  </si>
  <si>
    <t>coca Fanta et Sprite cannete</t>
  </si>
  <si>
    <t xml:space="preserve">fourchettes + cuillère </t>
  </si>
  <si>
    <t xml:space="preserve">huile d'olive </t>
  </si>
  <si>
    <t>olive noir</t>
  </si>
  <si>
    <t>poulet haché</t>
  </si>
  <si>
    <t xml:space="preserve">cuisses de poulet </t>
  </si>
  <si>
    <t>poulet entier</t>
  </si>
  <si>
    <t>9 kg</t>
  </si>
  <si>
    <t xml:space="preserve">légumes : courgette , carotte , navet , tomate , poivre , poivron </t>
  </si>
  <si>
    <t xml:space="preserve">sardinr </t>
  </si>
  <si>
    <t>4kg</t>
  </si>
  <si>
    <t xml:space="preserve">salade </t>
  </si>
  <si>
    <t>semoule sahel 25kg</t>
  </si>
  <si>
    <t>barquette alluminium 1185</t>
  </si>
  <si>
    <t>oeuf</t>
  </si>
  <si>
    <t>3 plateaux</t>
  </si>
  <si>
    <t>viande hachée</t>
  </si>
  <si>
    <t xml:space="preserve">beurre </t>
  </si>
  <si>
    <t>croissant</t>
  </si>
  <si>
    <t xml:space="preserve">fromage burgers </t>
  </si>
  <si>
    <t>boites plateaux rouge</t>
  </si>
  <si>
    <t>messassek</t>
  </si>
  <si>
    <t>tiges burgers</t>
  </si>
  <si>
    <t xml:space="preserve">Rechta </t>
  </si>
  <si>
    <t>banane</t>
  </si>
  <si>
    <t>semoule gross Mama</t>
  </si>
  <si>
    <t>lahcene</t>
  </si>
  <si>
    <t>eau Lala khedidja 1.5litres</t>
  </si>
  <si>
    <t>eau Lala Khedidja 0.5 litres</t>
  </si>
  <si>
    <t xml:space="preserve">tomate </t>
  </si>
  <si>
    <t>menth + persil</t>
  </si>
  <si>
    <t>citron</t>
  </si>
  <si>
    <t xml:space="preserve">achats multiples </t>
  </si>
  <si>
    <t>07/20200</t>
  </si>
  <si>
    <t>Nakach</t>
  </si>
  <si>
    <t>dinde haché</t>
  </si>
  <si>
    <t>les pilons de poulet</t>
  </si>
  <si>
    <t xml:space="preserve">Sofiane achats Aiid </t>
  </si>
  <si>
    <t>légumes + poischiche</t>
  </si>
  <si>
    <t xml:space="preserve">les épices </t>
  </si>
  <si>
    <t>sac poubelle + cristeaux</t>
  </si>
  <si>
    <t>Boites 36/10</t>
  </si>
  <si>
    <t xml:space="preserve">Fourchette </t>
  </si>
  <si>
    <t>Barque alluminum 1024</t>
  </si>
  <si>
    <t>Boisson Selecto/Pet/Orange/Citron/Ananas/Cola/</t>
  </si>
  <si>
    <t>Booisson Pulp/mojito</t>
  </si>
  <si>
    <t>Boite plastique ronde</t>
  </si>
  <si>
    <t xml:space="preserve">Tomate </t>
  </si>
  <si>
    <t>Ognion</t>
  </si>
  <si>
    <t>Salade</t>
  </si>
  <si>
    <t>Pain</t>
  </si>
  <si>
    <t>Hmissa</t>
  </si>
  <si>
    <t xml:space="preserve">chocolat wejden </t>
  </si>
  <si>
    <t>Sucre glace</t>
  </si>
  <si>
    <t>Cacaouhete</t>
  </si>
  <si>
    <t>Gherss</t>
  </si>
  <si>
    <t>Fromage speciale pizza</t>
  </si>
  <si>
    <t>Ma Zhar</t>
  </si>
  <si>
    <t>Boite polystere</t>
  </si>
  <si>
    <t>Carotte</t>
  </si>
  <si>
    <t>Olive noire</t>
  </si>
  <si>
    <t xml:space="preserve">Pomme de terre </t>
  </si>
  <si>
    <t>Cuisse de poulet</t>
  </si>
  <si>
    <t>Feuilles de tacos</t>
  </si>
  <si>
    <t xml:space="preserve">Pain </t>
  </si>
  <si>
    <t>Fromage Slices</t>
  </si>
  <si>
    <t xml:space="preserve">Plateau Oeuf </t>
  </si>
  <si>
    <t>Amandes</t>
  </si>
  <si>
    <t>Mais</t>
  </si>
  <si>
    <t>Isis 5 L</t>
  </si>
  <si>
    <t>Javel 5L</t>
  </si>
  <si>
    <t>Creme fraiche le printe</t>
  </si>
  <si>
    <t>Confiture</t>
  </si>
  <si>
    <t>Chedarr</t>
  </si>
  <si>
    <t>Sac poubelle</t>
  </si>
  <si>
    <t>Boite a salade</t>
  </si>
  <si>
    <t>Fourchette</t>
  </si>
  <si>
    <t>Dentel makroute</t>
  </si>
  <si>
    <t>Boite 48/10</t>
  </si>
  <si>
    <t xml:space="preserve">Dette Morad </t>
  </si>
  <si>
    <t xml:space="preserve">Salade verte </t>
  </si>
  <si>
    <t>Bssal</t>
  </si>
  <si>
    <t>Epinards</t>
  </si>
  <si>
    <t>Slices</t>
  </si>
  <si>
    <t>Olive vert</t>
  </si>
  <si>
    <t>Boite 36/10</t>
  </si>
  <si>
    <t>Courgette</t>
  </si>
  <si>
    <t>Navet</t>
  </si>
  <si>
    <t>Tomate</t>
  </si>
  <si>
    <t>Concombre</t>
  </si>
  <si>
    <t>Viande</t>
  </si>
  <si>
    <t>Blanc de poulet</t>
  </si>
  <si>
    <t>Fouzia livraison</t>
  </si>
  <si>
    <t>Bssel</t>
  </si>
  <si>
    <t>Heetch</t>
  </si>
  <si>
    <t>blanc de poulet</t>
  </si>
  <si>
    <t>pillons</t>
  </si>
  <si>
    <t>chawarema</t>
  </si>
  <si>
    <t>épinard+ persil+ tym</t>
  </si>
  <si>
    <t>bessel</t>
  </si>
  <si>
    <t>olive dényauté</t>
  </si>
  <si>
    <t xml:space="preserve">crème liquide </t>
  </si>
  <si>
    <t>djelebana</t>
  </si>
  <si>
    <t>isis + lavette</t>
  </si>
  <si>
    <t>Djeldjlane</t>
  </si>
  <si>
    <t>Cacaou</t>
  </si>
  <si>
    <t>Thons</t>
  </si>
  <si>
    <t>amor ben amer semoule</t>
  </si>
  <si>
    <t>wissem</t>
  </si>
  <si>
    <t>Riz</t>
  </si>
  <si>
    <t>Polyster grand</t>
  </si>
  <si>
    <t xml:space="preserve">Polyster petit </t>
  </si>
  <si>
    <t>ooeufs</t>
  </si>
  <si>
    <t>pisstache</t>
  </si>
  <si>
    <t>600g</t>
  </si>
  <si>
    <t>colorant blanc</t>
  </si>
  <si>
    <t xml:space="preserve">pomme de terre </t>
  </si>
  <si>
    <t>épinards+ poivre +thym</t>
  </si>
  <si>
    <t>Sofiane autres charges</t>
  </si>
  <si>
    <t>rechta</t>
  </si>
  <si>
    <t>18/007/2022</t>
  </si>
  <si>
    <t>facture eau</t>
  </si>
  <si>
    <t>fromage Gouda</t>
  </si>
  <si>
    <t>Boites 48/7</t>
  </si>
  <si>
    <t>carrote</t>
  </si>
  <si>
    <t>semoule Mama 2kg</t>
  </si>
  <si>
    <t xml:space="preserve">Tomate fraiche </t>
  </si>
  <si>
    <t xml:space="preserve">carrotte </t>
  </si>
  <si>
    <t>tomate</t>
  </si>
  <si>
    <t>frik</t>
  </si>
  <si>
    <t>persil coriandre et thym</t>
  </si>
  <si>
    <t>Lahcen ; transport+ farine + fromage + eau + semoule ...</t>
  </si>
  <si>
    <t>boites en polystères grand format</t>
  </si>
  <si>
    <t xml:space="preserve">boites petis en polystères </t>
  </si>
  <si>
    <t>barquettes aluminium 1065</t>
  </si>
  <si>
    <t xml:space="preserve">boites rondes </t>
  </si>
  <si>
    <t xml:space="preserve">Douara </t>
  </si>
  <si>
    <t>blanc de poulet + poulet haché</t>
  </si>
  <si>
    <t xml:space="preserve">pates </t>
  </si>
  <si>
    <t xml:space="preserve">transport marchandises + livraison lingo world </t>
  </si>
  <si>
    <t>morceaux de viande</t>
  </si>
  <si>
    <t xml:space="preserve">pouel haché + blanc de poulet </t>
  </si>
  <si>
    <t>deyoul</t>
  </si>
  <si>
    <t>sardine</t>
  </si>
  <si>
    <t>courgette</t>
  </si>
  <si>
    <t>hamissa+ crème liquide</t>
  </si>
  <si>
    <t xml:space="preserve">poivre+ tomate+haricot vert + carotte </t>
  </si>
  <si>
    <t xml:space="preserve">poulet haché +blanc de poulet </t>
  </si>
  <si>
    <t xml:space="preserve">fromage </t>
  </si>
  <si>
    <t xml:space="preserve">fromage slices </t>
  </si>
  <si>
    <t>vinigrette</t>
  </si>
  <si>
    <t>huile 2 lites</t>
  </si>
  <si>
    <t>épinard</t>
  </si>
  <si>
    <t>détergents</t>
  </si>
  <si>
    <t>viande</t>
  </si>
  <si>
    <t xml:space="preserve">Ka3ek nakach </t>
  </si>
  <si>
    <t>poichiche+</t>
  </si>
  <si>
    <t>fromage slices</t>
  </si>
  <si>
    <t>fromage blanc</t>
  </si>
  <si>
    <t>isis+javel</t>
  </si>
  <si>
    <t xml:space="preserve">chakhechoukhet dhefer </t>
  </si>
  <si>
    <t xml:space="preserve">cème liquide </t>
  </si>
  <si>
    <t>concombre</t>
  </si>
  <si>
    <t>poivre + poivron</t>
  </si>
  <si>
    <t>détergets</t>
  </si>
  <si>
    <t>les boites en aluminium</t>
  </si>
  <si>
    <t>les quisstes blanc 12</t>
  </si>
  <si>
    <t>eau</t>
  </si>
  <si>
    <t>fourchettes</t>
  </si>
  <si>
    <t>Poulet hachée</t>
  </si>
  <si>
    <t>Oeuf</t>
  </si>
  <si>
    <t>barquettes aluminium 1185</t>
  </si>
  <si>
    <t>Poid chiche</t>
  </si>
  <si>
    <t>isis / javel</t>
  </si>
  <si>
    <t xml:space="preserve">Haricot vert </t>
  </si>
  <si>
    <t>Poivre</t>
  </si>
  <si>
    <t>Poivron</t>
  </si>
  <si>
    <t>betterave</t>
  </si>
  <si>
    <t>Pilon</t>
  </si>
  <si>
    <t>Cuisse entiere</t>
  </si>
  <si>
    <t>Rechta</t>
  </si>
  <si>
    <t>Choux</t>
  </si>
  <si>
    <t>Viande hachée</t>
  </si>
  <si>
    <t>Prune</t>
  </si>
  <si>
    <t>200g</t>
  </si>
  <si>
    <t>Abricot</t>
  </si>
  <si>
    <t>Raisins</t>
  </si>
  <si>
    <t>Epice</t>
  </si>
  <si>
    <t>Polysterene boite</t>
  </si>
  <si>
    <t>tacos pain</t>
  </si>
  <si>
    <t>besel</t>
  </si>
  <si>
    <t>rehta</t>
  </si>
  <si>
    <t xml:space="preserve">dettes avant laid pilon +blanc de poulet + rechta </t>
  </si>
  <si>
    <t>29 et 30/07/2022</t>
  </si>
  <si>
    <t>felefel+ courgette+ navet</t>
  </si>
  <si>
    <t>30/072022</t>
  </si>
  <si>
    <t xml:space="preserve">épinard </t>
  </si>
  <si>
    <t>poulet</t>
  </si>
  <si>
    <t>31/04/2022</t>
  </si>
  <si>
    <t>Tomates fraiches</t>
  </si>
  <si>
    <t>cheezy slices</t>
  </si>
  <si>
    <t>persil</t>
  </si>
  <si>
    <t>Zehor</t>
  </si>
  <si>
    <t>Soumia</t>
  </si>
  <si>
    <t xml:space="preserve">Nadjet </t>
  </si>
  <si>
    <t>Hadjer</t>
  </si>
  <si>
    <t>djamila</t>
  </si>
  <si>
    <t>Farida</t>
  </si>
  <si>
    <t>Yousera</t>
  </si>
  <si>
    <t>Lynda</t>
  </si>
  <si>
    <t xml:space="preserve">Samira </t>
  </si>
  <si>
    <t>Hafidha</t>
  </si>
  <si>
    <t xml:space="preserve">Yasmine </t>
  </si>
  <si>
    <t>Fouzia</t>
  </si>
  <si>
    <t xml:space="preserve">Wahiba </t>
  </si>
  <si>
    <t>Zahida</t>
  </si>
  <si>
    <t>Remarque</t>
  </si>
  <si>
    <t xml:space="preserve">Nom </t>
  </si>
  <si>
    <t>Avance</t>
  </si>
  <si>
    <t xml:space="preserve">Salaire à payer </t>
  </si>
  <si>
    <t>2000+1000</t>
  </si>
  <si>
    <t>Nadjet</t>
  </si>
  <si>
    <t>Djamila</t>
  </si>
  <si>
    <t xml:space="preserve">Fouzia </t>
  </si>
  <si>
    <t>Hafida</t>
  </si>
  <si>
    <r>
      <rPr>
        <rFont val="Arial"/>
        <color theme="1"/>
        <sz val="14.0"/>
      </rPr>
      <t>2000+2000+</t>
    </r>
    <r>
      <rPr>
        <rFont val="Arial"/>
        <color rgb="FF0000FF"/>
        <sz val="14.0"/>
      </rPr>
      <t>1000+</t>
    </r>
    <r>
      <rPr>
        <rFont val="Arial"/>
        <color theme="1"/>
        <sz val="14.0"/>
      </rPr>
      <t>2000</t>
    </r>
  </si>
  <si>
    <t>Samira</t>
  </si>
  <si>
    <t>Youssera</t>
  </si>
  <si>
    <t>1000+2500</t>
  </si>
  <si>
    <t xml:space="preserve">Farida </t>
  </si>
  <si>
    <t>Wahiba</t>
  </si>
  <si>
    <t xml:space="preserve">Zahida </t>
  </si>
  <si>
    <t>4000+25000+15000</t>
  </si>
  <si>
    <t>TOTAL</t>
  </si>
  <si>
    <t xml:space="preserve">Bénéfice Mois de Juin </t>
  </si>
  <si>
    <t xml:space="preserve">Avocat 2 ème partie </t>
  </si>
  <si>
    <t xml:space="preserve">Sofiane </t>
  </si>
  <si>
    <t>Chèque Fouzi</t>
  </si>
  <si>
    <t xml:space="preserve">reste du Bénifice du Mois de Juin </t>
  </si>
  <si>
    <t>Sofiane  14000+4000+ 2000+10000+50000+88000+27000</t>
  </si>
  <si>
    <t xml:space="preserve">messerouf + balance + storm +messserouf+ vetements + chèque+restes du bénéfice </t>
  </si>
  <si>
    <t>Hotel bay diab 46000+46000+46000-50000-88000</t>
  </si>
  <si>
    <t xml:space="preserve">Mois de Janvier </t>
  </si>
  <si>
    <t>Mois de Février</t>
  </si>
  <si>
    <t>Mois de Mars</t>
  </si>
  <si>
    <t>Mois d'Avril</t>
  </si>
  <si>
    <t xml:space="preserve">Mois de Mai </t>
  </si>
  <si>
    <t>Mois de Juin</t>
  </si>
  <si>
    <t>Mois de Juillet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</si>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</sst>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.m"/>
    <numFmt numFmtId="167" formatCode="dd/mm/yy"/>
  </numFmts>
  <fonts count="17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</font>
    <font>
      <sz val="14.0"/>
      <color theme="1"/>
      <name val="Arial"/>
      <scheme val="minor"/>
    </font>
    <font>
      <sz val="14.0"/>
      <color rgb="FF000000"/>
      <name val="Arial"/>
    </font>
    <font>
      <sz val="18.0"/>
      <color theme="1"/>
      <name val="Arial"/>
    </font>
    <font>
      <sz val="14.0"/>
      <color rgb="FFFF00FF"/>
      <name val="Arial"/>
    </font>
    <font>
      <sz val="12.0"/>
      <color theme="1"/>
      <name val="Arial"/>
    </font>
    <font>
      <sz val="14.0"/>
      <color theme="4"/>
      <name val="Arial"/>
    </font>
    <font>
      <sz val="14.0"/>
      <color rgb="FF434343"/>
      <name val="Arial"/>
    </font>
    <font>
      <b/>
      <sz val="14.0"/>
      <color rgb="FF1C458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5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1" fillId="8" fontId="3" numFmtId="165" xfId="0" applyAlignment="1" applyBorder="1" applyFill="1" applyFont="1" applyNumberFormat="1">
      <alignment horizontal="center" readingOrder="0" vertical="bottom"/>
    </xf>
    <xf borderId="0" fillId="3" fontId="1" numFmtId="165" xfId="0" applyAlignment="1" applyFont="1" applyNumberFormat="1">
      <alignment vertical="bottom"/>
    </xf>
    <xf borderId="0" fillId="6" fontId="4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9" fontId="5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readingOrder="0" vertical="bottom"/>
    </xf>
    <xf borderId="1" fillId="9" fontId="3" numFmtId="0" xfId="0" applyAlignment="1" applyBorder="1" applyFon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10" fontId="2" numFmtId="165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/>
    </xf>
    <xf quotePrefix="1" borderId="0" fillId="0" fontId="7" numFmtId="0" xfId="0" applyAlignment="1" applyFont="1">
      <alignment readingOrder="0"/>
    </xf>
    <xf borderId="0" fillId="7" fontId="8" numFmtId="0" xfId="0" applyAlignment="1" applyFont="1">
      <alignment horizontal="center" vertical="bottom"/>
    </xf>
    <xf borderId="1" fillId="7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0" fillId="6" fontId="3" numFmtId="0" xfId="0" applyAlignment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9" numFmtId="164" xfId="0" applyAlignment="1" applyBorder="1" applyFont="1" applyNumberFormat="1">
      <alignment horizontal="center" readingOrder="0"/>
    </xf>
    <xf borderId="1" fillId="6" fontId="9" numFmtId="0" xfId="0" applyAlignment="1" applyBorder="1" applyFont="1">
      <alignment horizontal="center" readingOrder="0"/>
    </xf>
    <xf borderId="1" fillId="5" fontId="9" numFmtId="0" xfId="0" applyAlignment="1" applyBorder="1" applyFont="1">
      <alignment horizontal="center" readingOrder="0"/>
    </xf>
    <xf borderId="1" fillId="5" fontId="9" numFmtId="164" xfId="0" applyAlignment="1" applyBorder="1" applyFont="1" applyNumberFormat="1">
      <alignment horizontal="center" readingOrder="0"/>
    </xf>
    <xf borderId="0" fillId="5" fontId="3" numFmtId="0" xfId="0" applyAlignment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166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center" vertical="bottom"/>
    </xf>
    <xf borderId="0" fillId="0" fontId="7" numFmtId="165" xfId="0" applyFont="1" applyNumberFormat="1"/>
    <xf borderId="1" fillId="6" fontId="3" numFmtId="164" xfId="0" applyAlignment="1" applyBorder="1" applyFont="1" applyNumberFormat="1">
      <alignment horizontal="center" readingOrder="0" vertical="bottom"/>
    </xf>
    <xf borderId="0" fillId="3" fontId="10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167" xfId="0" applyAlignment="1" applyBorder="1" applyFont="1" applyNumberFormat="1">
      <alignment horizontal="center" readingOrder="0" vertical="bottom"/>
    </xf>
    <xf borderId="1" fillId="0" fontId="11" numFmtId="165" xfId="0" applyAlignment="1" applyBorder="1" applyFont="1" applyNumberFormat="1">
      <alignment horizontal="right" vertical="bottom"/>
    </xf>
    <xf borderId="0" fillId="0" fontId="9" numFmtId="165" xfId="0" applyFont="1" applyNumberFormat="1"/>
    <xf borderId="0" fillId="2" fontId="2" numFmtId="0" xfId="0" applyAlignment="1" applyFont="1">
      <alignment horizontal="center"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12" numFmtId="0" xfId="0" applyAlignment="1" applyBorder="1" applyFont="1">
      <alignment horizontal="center" readingOrder="0" vertical="bottom"/>
    </xf>
    <xf borderId="1" fillId="8" fontId="13" numFmtId="0" xfId="0" applyAlignment="1" applyBorder="1" applyFont="1">
      <alignment vertical="bottom"/>
    </xf>
    <xf borderId="1" fillId="9" fontId="3" numFmtId="0" xfId="0" applyAlignment="1" applyBorder="1" applyFont="1">
      <alignment horizontal="center" readingOrder="0" vertical="bottom"/>
    </xf>
    <xf borderId="1" fillId="8" fontId="14" numFmtId="0" xfId="0" applyAlignment="1" applyBorder="1" applyFont="1">
      <alignment horizontal="center" readingOrder="0" vertical="bottom"/>
    </xf>
    <xf borderId="1" fillId="8" fontId="10" numFmtId="0" xfId="0" applyAlignment="1" applyBorder="1" applyFont="1">
      <alignment horizontal="center" readingOrder="0" vertical="bottom"/>
    </xf>
    <xf borderId="1" fillId="9" fontId="10" numFmtId="0" xfId="0" applyAlignment="1" applyBorder="1" applyFont="1">
      <alignment horizontal="center" readingOrder="0" vertical="bottom"/>
    </xf>
    <xf borderId="1" fillId="6" fontId="10" numFmtId="0" xfId="0" applyAlignment="1" applyBorder="1" applyFont="1">
      <alignment horizontal="center" readingOrder="0" vertical="bottom"/>
    </xf>
    <xf borderId="1" fillId="8" fontId="1" numFmtId="165" xfId="0" applyAlignment="1" applyBorder="1" applyFont="1" applyNumberFormat="1">
      <alignment vertical="bottom"/>
    </xf>
    <xf borderId="1" fillId="8" fontId="10" numFmtId="165" xfId="0" applyAlignment="1" applyBorder="1" applyFont="1" applyNumberFormat="1">
      <alignment horizontal="center" readingOrder="0" vertical="bottom"/>
    </xf>
    <xf borderId="1" fillId="9" fontId="10" numFmtId="165" xfId="0" applyAlignment="1" applyBorder="1" applyFont="1" applyNumberFormat="1">
      <alignment horizontal="center" readingOrder="0" vertical="bottom"/>
    </xf>
    <xf borderId="1" fillId="6" fontId="10" numFmtId="165" xfId="0" applyAlignment="1" applyBorder="1" applyFont="1" applyNumberFormat="1">
      <alignment horizontal="center" readingOrder="0" vertical="bottom"/>
    </xf>
    <xf borderId="1" fillId="3" fontId="15" numFmtId="165" xfId="0" applyAlignment="1" applyBorder="1" applyFont="1" applyNumberFormat="1">
      <alignment horizontal="center" vertical="bottom"/>
    </xf>
    <xf borderId="1" fillId="3" fontId="15" numFmtId="165" xfId="0" applyAlignment="1" applyBorder="1" applyFont="1" applyNumberFormat="1">
      <alignment horizontal="center" readingOrder="0" vertical="bottom"/>
    </xf>
    <xf borderId="1" fillId="7" fontId="16" numFmtId="165" xfId="0" applyAlignment="1" applyBorder="1" applyFont="1" applyNumberFormat="1">
      <alignment horizontal="center" vertical="bottom"/>
    </xf>
    <xf borderId="0" fillId="7" fontId="3" numFmtId="0" xfId="0" applyAlignment="1" applyFont="1">
      <alignment horizontal="center" readingOrder="0" vertical="bottom"/>
    </xf>
    <xf borderId="0" fillId="8" fontId="3" numFmtId="0" xfId="0" applyAlignment="1" applyFont="1">
      <alignment horizontal="center" readingOrder="0" vertical="bottom"/>
    </xf>
    <xf borderId="0" fillId="8" fontId="3" numFmtId="0" xfId="0" applyAlignment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8" fontId="15" numFmtId="165" xfId="0" applyAlignment="1" applyFont="1" applyNumberFormat="1">
      <alignment horizontal="center" vertical="bottom"/>
    </xf>
    <xf borderId="0" fillId="3" fontId="15" numFmtId="165" xfId="0" applyAlignment="1" applyFont="1" applyNumberForma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8" fontId="15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1" fillId="7" fontId="11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7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1114425</xdr:colOff>
      <xdr:row>28</xdr:row>
      <xdr:rowOff>114300</xdr:rowOff>
    </xdr:from>
    <xdr:ext cx="4895850" cy="203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9.63"/>
    <col customWidth="1" min="4" max="5" width="18.25"/>
    <col customWidth="1" min="6" max="6" width="18.13"/>
    <col customWidth="1" min="7" max="7" width="16.75"/>
    <col customWidth="1" min="8" max="8" width="16.13"/>
    <col customWidth="1" min="9" max="9" width="15.75"/>
    <col customWidth="1" min="11" max="11" width="16.5"/>
    <col customWidth="1" min="12" max="12" width="18.25"/>
    <col customWidth="1" min="13" max="13" width="40.0"/>
    <col customWidth="1" min="14" max="14" width="21.88"/>
    <col customWidth="1" min="15" max="15" width="32.0"/>
    <col customWidth="1" min="16" max="16" width="65.88"/>
    <col customWidth="1" min="17" max="17" width="71.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/>
      <c r="P1" s="9"/>
      <c r="Q1" s="9"/>
    </row>
    <row r="2">
      <c r="A2" s="10" t="s">
        <v>12</v>
      </c>
      <c r="B2" s="11">
        <v>44743.0</v>
      </c>
      <c r="C2" s="12">
        <v>70000.0</v>
      </c>
      <c r="D2" s="12">
        <v>32000.0</v>
      </c>
      <c r="E2" s="5"/>
      <c r="F2" s="5"/>
      <c r="G2" s="5"/>
      <c r="H2" s="5"/>
      <c r="I2" s="13">
        <v>1.0</v>
      </c>
      <c r="J2" s="14"/>
      <c r="K2" s="15">
        <v>70000.0</v>
      </c>
      <c r="L2" s="16">
        <v>70000.0</v>
      </c>
      <c r="M2" s="17">
        <f>H33/I33</f>
        <v>27588.57233</v>
      </c>
      <c r="N2" s="17">
        <f>D33/I33</f>
        <v>76896.55172</v>
      </c>
      <c r="O2" s="9"/>
      <c r="P2" s="9"/>
      <c r="Q2" s="9"/>
    </row>
    <row r="3">
      <c r="A3" s="10" t="s">
        <v>13</v>
      </c>
      <c r="B3" s="11">
        <v>44744.0</v>
      </c>
      <c r="C3" s="12">
        <v>70000.0</v>
      </c>
      <c r="D3" s="12">
        <v>44000.0</v>
      </c>
      <c r="E3" s="5"/>
      <c r="F3" s="5"/>
      <c r="G3" s="5"/>
      <c r="H3" s="5"/>
      <c r="I3" s="13">
        <v>1.0</v>
      </c>
      <c r="J3" s="14"/>
      <c r="K3" s="15">
        <v>70000.0</v>
      </c>
      <c r="L3" s="15">
        <v>70000.0</v>
      </c>
      <c r="M3" s="9"/>
      <c r="N3" s="9"/>
      <c r="O3" s="9"/>
      <c r="P3" s="9"/>
      <c r="Q3" s="9"/>
    </row>
    <row r="4">
      <c r="A4" s="10" t="s">
        <v>14</v>
      </c>
      <c r="B4" s="11">
        <v>44745.0</v>
      </c>
      <c r="C4" s="12">
        <v>20000.0</v>
      </c>
      <c r="D4" s="12">
        <v>110000.0</v>
      </c>
      <c r="E4" s="5"/>
      <c r="F4" s="5"/>
      <c r="G4" s="5"/>
      <c r="H4" s="5"/>
      <c r="I4" s="13">
        <v>1.0</v>
      </c>
      <c r="J4" s="14"/>
      <c r="K4" s="15">
        <v>70000.0</v>
      </c>
      <c r="L4" s="15">
        <v>20000.0</v>
      </c>
      <c r="M4" s="18" t="s">
        <v>15</v>
      </c>
      <c r="N4" s="19" t="s">
        <v>16</v>
      </c>
      <c r="O4" s="9"/>
      <c r="P4" s="9"/>
      <c r="Q4" s="9"/>
    </row>
    <row r="5">
      <c r="A5" s="10" t="s">
        <v>17</v>
      </c>
      <c r="B5" s="11">
        <v>44746.0</v>
      </c>
      <c r="C5" s="12">
        <v>60000.0</v>
      </c>
      <c r="D5" s="12">
        <v>114000.0</v>
      </c>
      <c r="E5" s="5"/>
      <c r="F5" s="5"/>
      <c r="G5" s="5"/>
      <c r="H5" s="5"/>
      <c r="I5" s="13">
        <v>1.0</v>
      </c>
      <c r="J5" s="14"/>
      <c r="K5" s="12">
        <v>70000.0</v>
      </c>
      <c r="L5" s="15">
        <v>60000.0</v>
      </c>
      <c r="M5" s="20"/>
      <c r="N5" s="20">
        <v>70000.0</v>
      </c>
      <c r="O5" s="9"/>
      <c r="P5" s="9"/>
      <c r="Q5" s="9"/>
    </row>
    <row r="6">
      <c r="A6" s="10" t="s">
        <v>18</v>
      </c>
      <c r="B6" s="11">
        <v>44747.0</v>
      </c>
      <c r="C6" s="12">
        <v>40000.0</v>
      </c>
      <c r="D6" s="12">
        <v>120000.0</v>
      </c>
      <c r="E6" s="5"/>
      <c r="F6" s="5"/>
      <c r="G6" s="5"/>
      <c r="H6" s="5"/>
      <c r="I6" s="13">
        <v>1.0</v>
      </c>
      <c r="J6" s="14"/>
      <c r="K6" s="12">
        <v>70000.0</v>
      </c>
      <c r="L6" s="15">
        <v>40000.0</v>
      </c>
      <c r="M6" s="21" t="s">
        <v>19</v>
      </c>
      <c r="N6" s="21"/>
      <c r="O6" s="9"/>
      <c r="P6" s="9"/>
      <c r="Q6" s="21"/>
    </row>
    <row r="7">
      <c r="A7" s="10" t="s">
        <v>20</v>
      </c>
      <c r="B7" s="11">
        <v>44748.0</v>
      </c>
      <c r="C7" s="12">
        <v>40000.0</v>
      </c>
      <c r="D7" s="12">
        <v>100000.0</v>
      </c>
      <c r="E7" s="5"/>
      <c r="F7" s="5"/>
      <c r="G7" s="5"/>
      <c r="H7" s="5"/>
      <c r="I7" s="13">
        <v>1.0</v>
      </c>
      <c r="J7" s="14"/>
      <c r="K7" s="12">
        <v>70000.0</v>
      </c>
      <c r="L7" s="15">
        <v>40000.0</v>
      </c>
      <c r="M7" s="21"/>
      <c r="N7" s="21"/>
      <c r="O7" s="9"/>
      <c r="P7" s="21"/>
      <c r="Q7" s="21"/>
    </row>
    <row r="8">
      <c r="A8" s="10" t="s">
        <v>21</v>
      </c>
      <c r="B8" s="11">
        <v>44749.0</v>
      </c>
      <c r="C8" s="12">
        <v>36000.0</v>
      </c>
      <c r="D8" s="12">
        <v>200000.0</v>
      </c>
      <c r="E8" s="5"/>
      <c r="F8" s="5"/>
      <c r="G8" s="5"/>
      <c r="H8" s="5"/>
      <c r="I8" s="13">
        <v>1.0</v>
      </c>
      <c r="J8" s="14"/>
      <c r="K8" s="12">
        <v>70000.0</v>
      </c>
      <c r="L8" s="15">
        <v>36000.0</v>
      </c>
      <c r="M8" s="22" t="s">
        <v>22</v>
      </c>
      <c r="N8" s="22" t="s">
        <v>23</v>
      </c>
      <c r="O8" s="23" t="s">
        <v>24</v>
      </c>
      <c r="P8" s="24" t="s">
        <v>25</v>
      </c>
      <c r="Q8" s="21"/>
    </row>
    <row r="9">
      <c r="A9" s="10" t="s">
        <v>12</v>
      </c>
      <c r="B9" s="11">
        <v>44750.0</v>
      </c>
      <c r="C9" s="12">
        <v>50000.0</v>
      </c>
      <c r="D9" s="12">
        <v>96000.0</v>
      </c>
      <c r="E9" s="5"/>
      <c r="F9" s="5"/>
      <c r="G9" s="5"/>
      <c r="H9" s="5"/>
      <c r="I9" s="13">
        <v>1.0</v>
      </c>
      <c r="J9" s="14"/>
      <c r="K9" s="12">
        <v>70000.0</v>
      </c>
      <c r="L9" s="15">
        <v>50000.0</v>
      </c>
      <c r="M9" s="19">
        <f>D33+N11-N12-E33-salaires!I29-N9</f>
        <v>1414900</v>
      </c>
      <c r="N9" s="25">
        <f>O9+P9</f>
        <v>0</v>
      </c>
      <c r="O9" s="26"/>
      <c r="P9" s="26"/>
      <c r="Q9" s="27"/>
    </row>
    <row r="10">
      <c r="A10" s="10" t="s">
        <v>13</v>
      </c>
      <c r="B10" s="11">
        <v>44751.0</v>
      </c>
      <c r="C10" s="12">
        <v>65000.0</v>
      </c>
      <c r="D10" s="12">
        <v>0.0</v>
      </c>
      <c r="E10" s="5"/>
      <c r="F10" s="5"/>
      <c r="G10" s="5"/>
      <c r="H10" s="5"/>
      <c r="I10" s="13">
        <v>0.0</v>
      </c>
      <c r="J10" s="14"/>
      <c r="K10" s="12">
        <v>0.0</v>
      </c>
      <c r="L10" s="15">
        <v>65000.0</v>
      </c>
      <c r="M10" s="21"/>
      <c r="N10" s="21" t="s">
        <v>26</v>
      </c>
      <c r="O10" s="27"/>
      <c r="P10" s="28"/>
      <c r="Q10" s="9"/>
    </row>
    <row r="11">
      <c r="A11" s="10" t="s">
        <v>14</v>
      </c>
      <c r="B11" s="11">
        <v>44752.0</v>
      </c>
      <c r="C11" s="12">
        <v>30000.0</v>
      </c>
      <c r="D11" s="12">
        <v>0.0</v>
      </c>
      <c r="E11" s="5"/>
      <c r="F11" s="5"/>
      <c r="G11" s="5"/>
      <c r="H11" s="5"/>
      <c r="I11" s="13">
        <v>0.0</v>
      </c>
      <c r="J11" s="14"/>
      <c r="K11" s="12">
        <v>0.0</v>
      </c>
      <c r="L11" s="15">
        <v>30000.0</v>
      </c>
      <c r="M11" s="29" t="s">
        <v>27</v>
      </c>
      <c r="N11" s="30">
        <v>690000.0</v>
      </c>
      <c r="O11" s="27"/>
      <c r="P11" s="26"/>
      <c r="Q11" s="31"/>
    </row>
    <row r="12">
      <c r="A12" s="10" t="s">
        <v>17</v>
      </c>
      <c r="B12" s="11">
        <v>44753.0</v>
      </c>
      <c r="C12" s="12">
        <v>30000.0</v>
      </c>
      <c r="D12" s="12">
        <v>54000.0</v>
      </c>
      <c r="E12" s="5"/>
      <c r="F12" s="5"/>
      <c r="G12" s="5"/>
      <c r="H12" s="5"/>
      <c r="I12" s="13">
        <v>1.0</v>
      </c>
      <c r="J12" s="14"/>
      <c r="K12" s="12">
        <v>70000.0</v>
      </c>
      <c r="L12" s="15">
        <v>30000.0</v>
      </c>
      <c r="M12" s="20" t="s">
        <v>28</v>
      </c>
      <c r="N12" s="20">
        <v>220000.0</v>
      </c>
      <c r="O12" s="9"/>
      <c r="P12" s="32" t="s">
        <v>29</v>
      </c>
      <c r="Q12" s="33">
        <v>117300.0</v>
      </c>
    </row>
    <row r="13">
      <c r="A13" s="10" t="s">
        <v>18</v>
      </c>
      <c r="B13" s="11">
        <v>44754.0</v>
      </c>
      <c r="C13" s="12">
        <v>70000.0</v>
      </c>
      <c r="D13" s="12">
        <v>65000.0</v>
      </c>
      <c r="E13" s="5"/>
      <c r="F13" s="5"/>
      <c r="G13" s="5"/>
      <c r="H13" s="5"/>
      <c r="I13" s="13">
        <v>1.0</v>
      </c>
      <c r="J13" s="14"/>
      <c r="K13" s="12">
        <v>70000.0</v>
      </c>
      <c r="L13" s="15">
        <v>70000.0</v>
      </c>
      <c r="M13" s="27"/>
      <c r="N13" s="34" t="s">
        <v>30</v>
      </c>
      <c r="O13" s="35"/>
      <c r="P13" s="32" t="s">
        <v>31</v>
      </c>
      <c r="Q13" s="28"/>
    </row>
    <row r="14">
      <c r="A14" s="10" t="s">
        <v>20</v>
      </c>
      <c r="B14" s="11">
        <v>44755.0</v>
      </c>
      <c r="C14" s="36">
        <v>25000.0</v>
      </c>
      <c r="D14" s="12">
        <v>70000.0</v>
      </c>
      <c r="E14" s="5"/>
      <c r="F14" s="5"/>
      <c r="G14" s="5"/>
      <c r="H14" s="5"/>
      <c r="I14" s="13">
        <v>1.0</v>
      </c>
      <c r="J14" s="14"/>
      <c r="K14" s="12">
        <v>70000.0</v>
      </c>
      <c r="L14" s="15">
        <v>25000.0</v>
      </c>
      <c r="M14" s="27"/>
      <c r="N14" s="34"/>
      <c r="O14" s="9"/>
      <c r="P14" s="32" t="s">
        <v>32</v>
      </c>
      <c r="Q14" s="9"/>
    </row>
    <row r="15">
      <c r="A15" s="10" t="s">
        <v>21</v>
      </c>
      <c r="B15" s="11">
        <v>44756.0</v>
      </c>
      <c r="C15" s="36">
        <v>25000.0</v>
      </c>
      <c r="D15" s="12">
        <v>124000.0</v>
      </c>
      <c r="E15" s="5"/>
      <c r="F15" s="5"/>
      <c r="G15" s="5"/>
      <c r="H15" s="5"/>
      <c r="I15" s="13">
        <v>1.0</v>
      </c>
      <c r="J15" s="14"/>
      <c r="K15" s="12">
        <v>70000.0</v>
      </c>
      <c r="L15" s="15">
        <v>25000.0</v>
      </c>
      <c r="M15" s="37"/>
      <c r="N15" s="9"/>
      <c r="O15" s="9"/>
      <c r="P15" s="32"/>
      <c r="Q15" s="9"/>
    </row>
    <row r="16">
      <c r="A16" s="10" t="s">
        <v>12</v>
      </c>
      <c r="B16" s="11">
        <v>44757.0</v>
      </c>
      <c r="C16" s="36">
        <v>50000.0</v>
      </c>
      <c r="D16" s="12">
        <v>42000.0</v>
      </c>
      <c r="E16" s="5"/>
      <c r="F16" s="5"/>
      <c r="G16" s="5"/>
      <c r="H16" s="5"/>
      <c r="I16" s="13">
        <v>1.0</v>
      </c>
      <c r="J16" s="14"/>
      <c r="K16" s="12">
        <v>70000.0</v>
      </c>
      <c r="L16" s="15">
        <v>50000.0</v>
      </c>
      <c r="M16" s="27"/>
      <c r="N16" s="34"/>
      <c r="O16" s="9"/>
      <c r="P16" s="9"/>
      <c r="Q16" s="9"/>
    </row>
    <row r="17">
      <c r="A17" s="10" t="s">
        <v>13</v>
      </c>
      <c r="B17" s="11">
        <v>44758.0</v>
      </c>
      <c r="C17" s="12">
        <v>62000.0</v>
      </c>
      <c r="D17" s="12">
        <v>45000.0</v>
      </c>
      <c r="E17" s="5"/>
      <c r="F17" s="5"/>
      <c r="G17" s="5"/>
      <c r="H17" s="5"/>
      <c r="I17" s="13">
        <v>1.0</v>
      </c>
      <c r="J17" s="14"/>
      <c r="K17" s="12">
        <v>70000.0</v>
      </c>
      <c r="L17" s="15">
        <v>62000.0</v>
      </c>
      <c r="M17" s="38" t="s">
        <v>33</v>
      </c>
      <c r="N17" s="34"/>
      <c r="O17" s="9"/>
      <c r="P17" s="9"/>
      <c r="Q17" s="9"/>
    </row>
    <row r="18">
      <c r="A18" s="10" t="s">
        <v>14</v>
      </c>
      <c r="B18" s="11">
        <v>44759.0</v>
      </c>
      <c r="C18" s="36">
        <v>55000.0</v>
      </c>
      <c r="D18" s="12">
        <v>44000.0</v>
      </c>
      <c r="E18" s="5"/>
      <c r="F18" s="5"/>
      <c r="G18" s="5"/>
      <c r="H18" s="5"/>
      <c r="I18" s="13">
        <v>1.0</v>
      </c>
      <c r="J18" s="14"/>
      <c r="K18" s="12">
        <v>70000.0</v>
      </c>
      <c r="L18" s="15">
        <v>55000.0</v>
      </c>
      <c r="M18" s="16">
        <f>D33-C33</f>
        <v>820000</v>
      </c>
      <c r="N18" s="33"/>
      <c r="O18" s="39"/>
      <c r="P18" s="9"/>
      <c r="Q18" s="9"/>
    </row>
    <row r="19">
      <c r="A19" s="10" t="s">
        <v>17</v>
      </c>
      <c r="B19" s="11">
        <v>44760.0</v>
      </c>
      <c r="C19" s="12">
        <v>25000.0</v>
      </c>
      <c r="D19" s="12">
        <v>41000.0</v>
      </c>
      <c r="E19" s="5"/>
      <c r="F19" s="5"/>
      <c r="G19" s="5"/>
      <c r="H19" s="5"/>
      <c r="I19" s="13">
        <v>1.0</v>
      </c>
      <c r="J19" s="14"/>
      <c r="K19" s="12">
        <v>70000.0</v>
      </c>
      <c r="L19" s="15">
        <v>25000.0</v>
      </c>
      <c r="M19" s="40" t="s">
        <v>34</v>
      </c>
      <c r="N19" s="33"/>
      <c r="O19" s="39"/>
      <c r="P19" s="9"/>
      <c r="Q19" s="9"/>
    </row>
    <row r="20">
      <c r="A20" s="10" t="s">
        <v>18</v>
      </c>
      <c r="B20" s="11">
        <v>44761.0</v>
      </c>
      <c r="C20" s="12">
        <v>47000.0</v>
      </c>
      <c r="D20" s="12">
        <v>94000.0</v>
      </c>
      <c r="E20" s="5"/>
      <c r="F20" s="5"/>
      <c r="G20" s="5"/>
      <c r="H20" s="5"/>
      <c r="I20" s="13">
        <v>1.0</v>
      </c>
      <c r="J20" s="14"/>
      <c r="K20" s="12">
        <v>70000.0</v>
      </c>
      <c r="L20" s="15">
        <v>47000.0</v>
      </c>
      <c r="M20" s="20">
        <f>D33-K33</f>
        <v>200000</v>
      </c>
      <c r="N20" s="33"/>
      <c r="O20" s="39"/>
      <c r="P20" s="9"/>
      <c r="Q20" s="9"/>
    </row>
    <row r="21">
      <c r="A21" s="10" t="s">
        <v>20</v>
      </c>
      <c r="B21" s="11">
        <v>44762.0</v>
      </c>
      <c r="C21" s="12">
        <v>46000.0</v>
      </c>
      <c r="D21" s="12">
        <v>92000.0</v>
      </c>
      <c r="E21" s="5"/>
      <c r="F21" s="5"/>
      <c r="G21" s="5"/>
      <c r="H21" s="5"/>
      <c r="I21" s="13">
        <v>1.0</v>
      </c>
      <c r="J21" s="14"/>
      <c r="K21" s="12">
        <v>70000.0</v>
      </c>
      <c r="L21" s="15">
        <v>46000.0</v>
      </c>
      <c r="M21" s="21"/>
      <c r="N21" s="33"/>
      <c r="O21" s="32"/>
      <c r="P21" s="9"/>
      <c r="Q21" s="9"/>
    </row>
    <row r="22">
      <c r="A22" s="10" t="s">
        <v>21</v>
      </c>
      <c r="B22" s="11">
        <v>44763.0</v>
      </c>
      <c r="C22" s="12">
        <v>41000.0</v>
      </c>
      <c r="D22" s="12">
        <v>70000.0</v>
      </c>
      <c r="E22" s="5"/>
      <c r="F22" s="5"/>
      <c r="G22" s="5"/>
      <c r="H22" s="5"/>
      <c r="I22" s="13">
        <v>1.0</v>
      </c>
      <c r="J22" s="14"/>
      <c r="K22" s="12">
        <v>70000.0</v>
      </c>
      <c r="L22" s="15">
        <v>41000.0</v>
      </c>
      <c r="M22" s="21"/>
      <c r="N22" s="34"/>
      <c r="O22" s="39"/>
      <c r="P22" s="9"/>
      <c r="Q22" s="9"/>
    </row>
    <row r="23">
      <c r="A23" s="10" t="s">
        <v>12</v>
      </c>
      <c r="B23" s="11">
        <v>44764.0</v>
      </c>
      <c r="C23" s="12">
        <v>55000.0</v>
      </c>
      <c r="D23" s="12">
        <v>40000.0</v>
      </c>
      <c r="E23" s="5"/>
      <c r="F23" s="5"/>
      <c r="G23" s="5"/>
      <c r="H23" s="5"/>
      <c r="I23" s="13">
        <v>1.0</v>
      </c>
      <c r="J23" s="14"/>
      <c r="K23" s="12">
        <v>70000.0</v>
      </c>
      <c r="L23" s="15">
        <v>55000.0</v>
      </c>
      <c r="M23" s="29" t="s">
        <v>35</v>
      </c>
      <c r="N23" s="34"/>
      <c r="O23" s="41"/>
      <c r="P23" s="9"/>
      <c r="Q23" s="9"/>
    </row>
    <row r="24">
      <c r="A24" s="10" t="s">
        <v>13</v>
      </c>
      <c r="B24" s="11">
        <v>44765.0</v>
      </c>
      <c r="C24" s="12">
        <v>70000.0</v>
      </c>
      <c r="D24" s="12">
        <v>60000.0</v>
      </c>
      <c r="E24" s="5"/>
      <c r="F24" s="5"/>
      <c r="G24" s="5"/>
      <c r="H24" s="5"/>
      <c r="I24" s="13">
        <v>1.0</v>
      </c>
      <c r="J24" s="14"/>
      <c r="K24" s="12">
        <v>70000.0</v>
      </c>
      <c r="L24" s="15">
        <v>70000.0</v>
      </c>
      <c r="M24" s="20">
        <f>D2+D9+D16+D23+D30</f>
        <v>270000</v>
      </c>
      <c r="N24" s="9"/>
      <c r="O24" s="9"/>
      <c r="P24" s="9"/>
      <c r="Q24" s="9"/>
    </row>
    <row r="25">
      <c r="A25" s="10" t="s">
        <v>14</v>
      </c>
      <c r="B25" s="11">
        <v>44766.0</v>
      </c>
      <c r="C25" s="12">
        <v>35000.0</v>
      </c>
      <c r="D25" s="12">
        <v>66000.0</v>
      </c>
      <c r="E25" s="5"/>
      <c r="F25" s="5"/>
      <c r="G25" s="5"/>
      <c r="H25" s="5"/>
      <c r="I25" s="13">
        <v>1.0</v>
      </c>
      <c r="J25" s="14"/>
      <c r="K25" s="12">
        <v>70000.0</v>
      </c>
      <c r="L25" s="15">
        <v>35000.0</v>
      </c>
      <c r="M25" s="20">
        <f>L9+L16+L23+L30</f>
        <v>204000</v>
      </c>
      <c r="N25" s="9"/>
      <c r="O25" s="9"/>
      <c r="P25" s="9"/>
      <c r="Q25" s="9"/>
    </row>
    <row r="26">
      <c r="A26" s="10" t="s">
        <v>17</v>
      </c>
      <c r="B26" s="11">
        <v>44767.0</v>
      </c>
      <c r="C26" s="12">
        <v>28000.0</v>
      </c>
      <c r="D26" s="12">
        <v>80000.0</v>
      </c>
      <c r="E26" s="5"/>
      <c r="F26" s="5"/>
      <c r="G26" s="5"/>
      <c r="H26" s="5"/>
      <c r="I26" s="13">
        <v>1.0</v>
      </c>
      <c r="J26" s="14"/>
      <c r="K26" s="12">
        <v>70000.0</v>
      </c>
      <c r="L26" s="15">
        <v>28000.0</v>
      </c>
      <c r="M26" s="42" t="s">
        <v>36</v>
      </c>
      <c r="N26" s="9"/>
      <c r="O26" s="9"/>
      <c r="P26" s="9"/>
      <c r="Q26" s="9"/>
    </row>
    <row r="27">
      <c r="A27" s="10" t="s">
        <v>18</v>
      </c>
      <c r="B27" s="11">
        <v>44768.0</v>
      </c>
      <c r="C27" s="12">
        <v>45000.0</v>
      </c>
      <c r="D27" s="12">
        <v>60000.0</v>
      </c>
      <c r="E27" s="5"/>
      <c r="F27" s="5"/>
      <c r="G27" s="5"/>
      <c r="H27" s="5"/>
      <c r="I27" s="13">
        <v>1.0</v>
      </c>
      <c r="J27" s="14"/>
      <c r="K27" s="12">
        <v>70000.0</v>
      </c>
      <c r="L27" s="15">
        <v>45000.0</v>
      </c>
      <c r="M27" s="30">
        <v>850000.0</v>
      </c>
      <c r="N27" s="43"/>
      <c r="O27" s="43"/>
      <c r="P27" s="9"/>
      <c r="Q27" s="9"/>
    </row>
    <row r="28">
      <c r="A28" s="10" t="s">
        <v>20</v>
      </c>
      <c r="B28" s="11">
        <v>44769.0</v>
      </c>
      <c r="C28" s="12">
        <v>45000.0</v>
      </c>
      <c r="D28" s="12">
        <v>64000.0</v>
      </c>
      <c r="E28" s="5"/>
      <c r="F28" s="5"/>
      <c r="G28" s="5"/>
      <c r="H28" s="5"/>
      <c r="I28" s="13">
        <v>1.0</v>
      </c>
      <c r="J28" s="14"/>
      <c r="K28" s="12">
        <v>70000.0</v>
      </c>
      <c r="L28" s="15">
        <v>45000.0</v>
      </c>
      <c r="M28" s="44" t="s">
        <v>37</v>
      </c>
      <c r="N28" s="32"/>
      <c r="O28" s="43"/>
      <c r="P28" s="9"/>
      <c r="Q28" s="9"/>
    </row>
    <row r="29">
      <c r="A29" s="10" t="s">
        <v>21</v>
      </c>
      <c r="B29" s="11">
        <v>44770.0</v>
      </c>
      <c r="C29" s="12">
        <v>66000.0</v>
      </c>
      <c r="D29" s="12">
        <v>83000.0</v>
      </c>
      <c r="E29" s="5"/>
      <c r="F29" s="5"/>
      <c r="G29" s="5"/>
      <c r="H29" s="5"/>
      <c r="I29" s="13">
        <v>1.0</v>
      </c>
      <c r="J29" s="14"/>
      <c r="K29" s="12">
        <v>70000.0</v>
      </c>
      <c r="L29" s="15">
        <v>66000.0</v>
      </c>
      <c r="M29" s="20">
        <f>M9-M27</f>
        <v>564900</v>
      </c>
      <c r="N29" s="32"/>
      <c r="O29" s="43"/>
      <c r="P29" s="9"/>
      <c r="Q29" s="9"/>
    </row>
    <row r="30">
      <c r="A30" s="10" t="s">
        <v>12</v>
      </c>
      <c r="B30" s="11">
        <v>44771.0</v>
      </c>
      <c r="C30" s="12">
        <v>49000.0</v>
      </c>
      <c r="D30" s="12">
        <v>60000.0</v>
      </c>
      <c r="E30" s="5"/>
      <c r="F30" s="5"/>
      <c r="G30" s="5"/>
      <c r="H30" s="5"/>
      <c r="I30" s="13">
        <v>1.0</v>
      </c>
      <c r="J30" s="14"/>
      <c r="K30" s="12">
        <v>70000.0</v>
      </c>
      <c r="L30" s="15">
        <v>49000.0</v>
      </c>
      <c r="M30" s="9"/>
      <c r="N30" s="9"/>
      <c r="O30" s="9"/>
      <c r="P30" s="9"/>
      <c r="Q30" s="9"/>
    </row>
    <row r="31">
      <c r="A31" s="10" t="s">
        <v>13</v>
      </c>
      <c r="B31" s="11">
        <v>44772.0</v>
      </c>
      <c r="C31" s="12">
        <v>60000.0</v>
      </c>
      <c r="D31" s="12">
        <v>100000.0</v>
      </c>
      <c r="E31" s="5"/>
      <c r="F31" s="5"/>
      <c r="G31" s="5"/>
      <c r="H31" s="5"/>
      <c r="I31" s="13">
        <v>1.0</v>
      </c>
      <c r="J31" s="14"/>
      <c r="K31" s="12">
        <v>70000.0</v>
      </c>
      <c r="L31" s="15">
        <v>60000.0</v>
      </c>
      <c r="M31" s="9"/>
      <c r="N31" s="9"/>
      <c r="O31" s="9"/>
      <c r="P31" s="9"/>
      <c r="Q31" s="9"/>
    </row>
    <row r="32">
      <c r="A32" s="10" t="s">
        <v>14</v>
      </c>
      <c r="B32" s="11">
        <v>44773.0</v>
      </c>
      <c r="C32" s="12">
        <v>0.0</v>
      </c>
      <c r="D32" s="12">
        <v>60000.0</v>
      </c>
      <c r="E32" s="5"/>
      <c r="F32" s="5"/>
      <c r="G32" s="5"/>
      <c r="H32" s="5"/>
      <c r="I32" s="13">
        <v>1.0</v>
      </c>
      <c r="J32" s="14"/>
      <c r="K32" s="12">
        <v>70000.0</v>
      </c>
      <c r="L32" s="12">
        <v>0.0</v>
      </c>
      <c r="M32" s="9"/>
      <c r="N32" s="9"/>
      <c r="O32" s="9"/>
      <c r="P32" s="9"/>
      <c r="Q32" s="9"/>
    </row>
    <row r="33">
      <c r="A33" s="21"/>
      <c r="B33" s="21"/>
      <c r="C33" s="25">
        <f t="shared" ref="C33:D33" si="1">SUM(C2:C32)</f>
        <v>1410000</v>
      </c>
      <c r="D33" s="19">
        <f t="shared" si="1"/>
        <v>2230000</v>
      </c>
      <c r="E33" s="45">
        <f>'les Charges '!F471*1</f>
        <v>990000</v>
      </c>
      <c r="F33" s="46">
        <f>'Pointage '!Q35*1</f>
        <v>329931.4025</v>
      </c>
      <c r="G33" s="47">
        <v>110000.0</v>
      </c>
      <c r="H33" s="25">
        <f>D33-G33-F33-E33</f>
        <v>800068.5975</v>
      </c>
      <c r="I33" s="6">
        <f>SUM(I2:I32)</f>
        <v>29</v>
      </c>
      <c r="J33" s="21"/>
      <c r="K33" s="20">
        <f>SUM(K2:K32)</f>
        <v>2030000</v>
      </c>
      <c r="L33" s="14"/>
      <c r="M33" s="9"/>
      <c r="N33" s="9"/>
      <c r="O33" s="9"/>
      <c r="P33" s="9"/>
      <c r="Q33" s="9"/>
    </row>
    <row r="34">
      <c r="A34" s="21"/>
      <c r="B34" s="21"/>
      <c r="C34" s="21"/>
      <c r="D34" s="21"/>
      <c r="E34" s="21"/>
      <c r="F34" s="21"/>
      <c r="G34" s="21"/>
      <c r="H34" s="21"/>
      <c r="I34" s="9"/>
      <c r="J34" s="9"/>
      <c r="K34" s="9"/>
      <c r="L34" s="28">
        <f>SUM(L2:L33)</f>
        <v>1410000</v>
      </c>
      <c r="M34" s="9"/>
      <c r="N34" s="9"/>
      <c r="O34" s="9"/>
      <c r="P34" s="9"/>
      <c r="Q34" s="9"/>
    </row>
    <row r="35">
      <c r="C35" s="48" t="s">
        <v>8</v>
      </c>
      <c r="D35" s="49">
        <v>2030000.0</v>
      </c>
      <c r="E35" s="49">
        <v>800000.0</v>
      </c>
      <c r="F35" s="49">
        <v>380000.0</v>
      </c>
      <c r="G35" s="50">
        <v>110000.0</v>
      </c>
      <c r="H35" s="50">
        <f>D35-E35-F35-G35</f>
        <v>740000</v>
      </c>
    </row>
    <row r="36">
      <c r="C36" s="51" t="s">
        <v>38</v>
      </c>
      <c r="D36" s="52">
        <v>1410000.0</v>
      </c>
      <c r="E36" s="53">
        <v>717246.0</v>
      </c>
      <c r="F36" s="54">
        <v>321402.0</v>
      </c>
      <c r="G36" s="47">
        <v>110000.0</v>
      </c>
      <c r="H36" s="55">
        <v>260000.0</v>
      </c>
    </row>
    <row r="39">
      <c r="C39" s="56" t="s">
        <v>39</v>
      </c>
      <c r="D39" s="57">
        <f t="shared" ref="D39:H39" si="2">D33-D36</f>
        <v>820000</v>
      </c>
      <c r="E39" s="57">
        <f t="shared" si="2"/>
        <v>272754</v>
      </c>
      <c r="F39" s="57">
        <f t="shared" si="2"/>
        <v>8529.4025</v>
      </c>
      <c r="G39" s="57">
        <f t="shared" si="2"/>
        <v>0</v>
      </c>
      <c r="H39" s="57">
        <f t="shared" si="2"/>
        <v>540068.5975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8.75"/>
    <col customWidth="1" min="4" max="4" width="29.38"/>
    <col customWidth="1" min="5" max="5" width="25.25"/>
    <col customWidth="1" min="6" max="6" width="25.63"/>
    <col customWidth="1" min="7" max="7" width="33.63"/>
  </cols>
  <sheetData>
    <row r="1">
      <c r="B1" s="58" t="s">
        <v>40</v>
      </c>
    </row>
    <row r="2">
      <c r="C2" s="59" t="s">
        <v>41</v>
      </c>
      <c r="D2" s="60" t="s">
        <v>42</v>
      </c>
      <c r="E2" s="60" t="s">
        <v>43</v>
      </c>
      <c r="F2" s="60" t="s">
        <v>44</v>
      </c>
      <c r="G2" s="60" t="s">
        <v>45</v>
      </c>
    </row>
    <row r="3">
      <c r="C3" s="61" t="s">
        <v>46</v>
      </c>
      <c r="D3" s="61">
        <v>6.0</v>
      </c>
      <c r="E3" s="61">
        <v>250.0</v>
      </c>
      <c r="F3" s="61">
        <v>1500.0</v>
      </c>
      <c r="G3" s="62">
        <v>44743.0</v>
      </c>
    </row>
    <row r="4">
      <c r="C4" s="61" t="s">
        <v>47</v>
      </c>
      <c r="D4" s="61" t="s">
        <v>48</v>
      </c>
      <c r="E4" s="61">
        <v>40.0</v>
      </c>
      <c r="F4" s="61">
        <v>1000.0</v>
      </c>
      <c r="G4" s="62">
        <v>44743.0</v>
      </c>
    </row>
    <row r="5">
      <c r="C5" s="63" t="s">
        <v>49</v>
      </c>
      <c r="D5" s="64">
        <v>1.0</v>
      </c>
      <c r="E5" s="65">
        <v>850.0</v>
      </c>
      <c r="F5" s="66">
        <v>850.0</v>
      </c>
      <c r="G5" s="67">
        <v>44743.0</v>
      </c>
    </row>
    <row r="6">
      <c r="C6" s="68" t="s">
        <v>50</v>
      </c>
      <c r="D6" s="68">
        <v>0.5</v>
      </c>
      <c r="E6" s="68">
        <v>4800.0</v>
      </c>
      <c r="F6" s="68">
        <f>D6*E6</f>
        <v>2400</v>
      </c>
      <c r="G6" s="67">
        <v>44743.0</v>
      </c>
    </row>
    <row r="7">
      <c r="C7" s="69" t="s">
        <v>51</v>
      </c>
      <c r="D7" s="69" t="s">
        <v>48</v>
      </c>
      <c r="E7" s="69">
        <v>4750.0</v>
      </c>
      <c r="F7" s="69">
        <v>4750.0</v>
      </c>
      <c r="G7" s="70">
        <v>44743.0</v>
      </c>
    </row>
    <row r="8">
      <c r="C8" s="71" t="s">
        <v>52</v>
      </c>
      <c r="D8" s="72" t="s">
        <v>53</v>
      </c>
      <c r="E8" s="73">
        <v>565.0</v>
      </c>
      <c r="F8" s="74">
        <v>2825.0</v>
      </c>
      <c r="G8" s="75">
        <v>44501.0</v>
      </c>
    </row>
    <row r="9">
      <c r="C9" s="61" t="s">
        <v>54</v>
      </c>
      <c r="D9" s="61">
        <v>1.0</v>
      </c>
      <c r="E9" s="61">
        <v>780.0</v>
      </c>
      <c r="F9" s="61">
        <v>780.0</v>
      </c>
      <c r="G9" s="62">
        <v>44743.0</v>
      </c>
    </row>
    <row r="10">
      <c r="C10" s="61" t="s">
        <v>55</v>
      </c>
      <c r="D10" s="61" t="s">
        <v>56</v>
      </c>
      <c r="E10" s="61">
        <v>1680.0</v>
      </c>
      <c r="F10" s="61">
        <v>1680.0</v>
      </c>
      <c r="G10" s="62">
        <v>44743.0</v>
      </c>
    </row>
    <row r="11">
      <c r="C11" s="61" t="s">
        <v>57</v>
      </c>
      <c r="D11" s="61" t="s">
        <v>58</v>
      </c>
      <c r="E11" s="61">
        <v>1650.0</v>
      </c>
      <c r="F11" s="61">
        <v>1650.0</v>
      </c>
      <c r="G11" s="62">
        <v>44743.0</v>
      </c>
    </row>
    <row r="12">
      <c r="C12" s="61" t="s">
        <v>59</v>
      </c>
      <c r="D12" s="61">
        <v>3.0</v>
      </c>
      <c r="E12" s="61">
        <v>270.0</v>
      </c>
      <c r="F12" s="61">
        <v>810.0</v>
      </c>
      <c r="G12" s="62">
        <v>44743.0</v>
      </c>
    </row>
    <row r="13">
      <c r="C13" s="61" t="s">
        <v>60</v>
      </c>
      <c r="D13" s="61" t="s">
        <v>61</v>
      </c>
      <c r="E13" s="61">
        <v>1900.0</v>
      </c>
      <c r="F13" s="61">
        <v>190.0</v>
      </c>
      <c r="G13" s="62">
        <v>44743.0</v>
      </c>
    </row>
    <row r="14">
      <c r="C14" s="61" t="s">
        <v>62</v>
      </c>
      <c r="D14" s="61" t="s">
        <v>61</v>
      </c>
      <c r="E14" s="61">
        <v>4000.0</v>
      </c>
      <c r="F14" s="61">
        <v>400.0</v>
      </c>
      <c r="G14" s="62">
        <v>44743.0</v>
      </c>
    </row>
    <row r="15">
      <c r="C15" s="61" t="s">
        <v>63</v>
      </c>
      <c r="D15" s="61" t="s">
        <v>61</v>
      </c>
      <c r="E15" s="61">
        <v>2500.0</v>
      </c>
      <c r="F15" s="61">
        <v>250.0</v>
      </c>
      <c r="G15" s="62">
        <v>44743.0</v>
      </c>
    </row>
    <row r="16">
      <c r="C16" s="61" t="s">
        <v>64</v>
      </c>
      <c r="D16" s="61">
        <v>4.0</v>
      </c>
      <c r="E16" s="61">
        <v>520.0</v>
      </c>
      <c r="F16" s="61">
        <v>520.0</v>
      </c>
      <c r="G16" s="62">
        <v>44743.0</v>
      </c>
    </row>
    <row r="17">
      <c r="C17" s="61" t="s">
        <v>65</v>
      </c>
      <c r="D17" s="61">
        <v>1.0</v>
      </c>
      <c r="E17" s="61">
        <v>210.0</v>
      </c>
      <c r="F17" s="61">
        <v>210.0</v>
      </c>
      <c r="G17" s="62">
        <v>44743.0</v>
      </c>
    </row>
    <row r="18">
      <c r="C18" s="61" t="s">
        <v>66</v>
      </c>
      <c r="D18" s="61">
        <v>10.0</v>
      </c>
      <c r="E18" s="61">
        <v>210.0</v>
      </c>
      <c r="F18" s="61">
        <v>2100.0</v>
      </c>
      <c r="G18" s="62">
        <v>44743.0</v>
      </c>
    </row>
    <row r="19">
      <c r="C19" s="61" t="s">
        <v>67</v>
      </c>
      <c r="D19" s="61" t="s">
        <v>68</v>
      </c>
      <c r="E19" s="61">
        <v>120.0</v>
      </c>
      <c r="F19" s="61">
        <v>2400.0</v>
      </c>
      <c r="G19" s="62">
        <v>44743.0</v>
      </c>
    </row>
    <row r="20">
      <c r="C20" s="61" t="s">
        <v>69</v>
      </c>
      <c r="D20" s="61" t="s">
        <v>70</v>
      </c>
      <c r="E20" s="61">
        <v>700.0</v>
      </c>
      <c r="F20" s="61">
        <v>2100.0</v>
      </c>
      <c r="G20" s="62">
        <v>44743.0</v>
      </c>
    </row>
    <row r="21">
      <c r="C21" s="61" t="s">
        <v>71</v>
      </c>
      <c r="D21" s="61" t="s">
        <v>72</v>
      </c>
      <c r="E21" s="61">
        <v>80.0</v>
      </c>
      <c r="F21" s="61">
        <v>600.0</v>
      </c>
      <c r="G21" s="62">
        <v>44743.0</v>
      </c>
    </row>
    <row r="22">
      <c r="C22" s="61" t="s">
        <v>73</v>
      </c>
      <c r="D22" s="61">
        <v>4.0</v>
      </c>
      <c r="E22" s="61">
        <v>25.0</v>
      </c>
      <c r="F22" s="61">
        <v>100.0</v>
      </c>
      <c r="G22" s="62">
        <v>44743.0</v>
      </c>
    </row>
    <row r="23">
      <c r="C23" s="61" t="s">
        <v>74</v>
      </c>
      <c r="D23" s="61" t="s">
        <v>75</v>
      </c>
      <c r="E23" s="61" t="s">
        <v>75</v>
      </c>
      <c r="F23" s="61">
        <v>100.0</v>
      </c>
      <c r="G23" s="62">
        <v>44743.0</v>
      </c>
    </row>
    <row r="24">
      <c r="C24" s="61" t="s">
        <v>76</v>
      </c>
      <c r="D24" s="61" t="s">
        <v>77</v>
      </c>
      <c r="E24" s="61">
        <v>400.0</v>
      </c>
      <c r="F24" s="61">
        <v>400.0</v>
      </c>
      <c r="G24" s="62">
        <v>44743.0</v>
      </c>
    </row>
    <row r="25">
      <c r="C25" s="41" t="s">
        <v>78</v>
      </c>
      <c r="D25" s="29">
        <v>450.0</v>
      </c>
      <c r="E25" s="20">
        <v>50.0</v>
      </c>
      <c r="F25" s="20">
        <v>22500.0</v>
      </c>
      <c r="G25" s="76">
        <v>44743.0</v>
      </c>
    </row>
    <row r="26">
      <c r="C26" s="77" t="s">
        <v>79</v>
      </c>
      <c r="D26" s="13">
        <v>7.0</v>
      </c>
      <c r="E26" s="15">
        <v>2700.0</v>
      </c>
      <c r="F26" s="15">
        <f>D26*E26</f>
        <v>18900</v>
      </c>
      <c r="G26" s="78">
        <v>44641.0</v>
      </c>
    </row>
    <row r="27">
      <c r="C27" s="63" t="s">
        <v>80</v>
      </c>
      <c r="D27" s="64">
        <v>10.0</v>
      </c>
      <c r="E27" s="65">
        <v>650.0</v>
      </c>
      <c r="F27" s="65">
        <f>E27*D27</f>
        <v>6500</v>
      </c>
      <c r="G27" s="79">
        <v>44672.0</v>
      </c>
    </row>
    <row r="28">
      <c r="C28" s="77" t="s">
        <v>81</v>
      </c>
      <c r="D28" s="80" t="s">
        <v>82</v>
      </c>
      <c r="E28" s="15">
        <v>30.0</v>
      </c>
      <c r="F28" s="15">
        <v>2400.0</v>
      </c>
      <c r="G28" s="78">
        <v>44641.0</v>
      </c>
    </row>
    <row r="29">
      <c r="C29" s="80" t="s">
        <v>83</v>
      </c>
      <c r="D29" s="80" t="s">
        <v>84</v>
      </c>
      <c r="E29" s="15">
        <v>30.0</v>
      </c>
      <c r="F29" s="15">
        <v>1200.0</v>
      </c>
      <c r="G29" s="78">
        <v>44641.0</v>
      </c>
    </row>
    <row r="30">
      <c r="C30" s="80" t="s">
        <v>85</v>
      </c>
      <c r="D30" s="80" t="s">
        <v>86</v>
      </c>
      <c r="E30" s="15">
        <v>25.0</v>
      </c>
      <c r="F30" s="15">
        <v>900.0</v>
      </c>
      <c r="G30" s="78">
        <v>44641.0</v>
      </c>
    </row>
    <row r="31">
      <c r="C31" s="80" t="s">
        <v>87</v>
      </c>
      <c r="D31" s="80" t="s">
        <v>88</v>
      </c>
      <c r="E31" s="81">
        <v>44689.0</v>
      </c>
      <c r="F31" s="15">
        <v>935.0</v>
      </c>
      <c r="G31" s="78">
        <v>44641.0</v>
      </c>
    </row>
    <row r="32">
      <c r="C32" s="77" t="s">
        <v>89</v>
      </c>
      <c r="D32" s="80">
        <v>36.0</v>
      </c>
      <c r="E32" s="15">
        <v>70.0</v>
      </c>
      <c r="F32" s="15">
        <v>2520.0</v>
      </c>
      <c r="G32" s="78">
        <v>44629.0</v>
      </c>
    </row>
    <row r="33">
      <c r="C33" s="80" t="s">
        <v>90</v>
      </c>
      <c r="D33" s="80" t="s">
        <v>91</v>
      </c>
      <c r="E33" s="15">
        <v>160.0</v>
      </c>
      <c r="F33" s="15">
        <v>800.0</v>
      </c>
      <c r="G33" s="78">
        <v>44593.0</v>
      </c>
    </row>
    <row r="34">
      <c r="C34" s="80" t="s">
        <v>92</v>
      </c>
      <c r="D34" s="80">
        <v>6.0</v>
      </c>
      <c r="E34" s="15">
        <v>60.0</v>
      </c>
      <c r="F34" s="15">
        <v>360.0</v>
      </c>
      <c r="G34" s="78">
        <v>44593.0</v>
      </c>
    </row>
    <row r="35">
      <c r="C35" s="80" t="s">
        <v>93</v>
      </c>
      <c r="D35" s="13">
        <v>4.0</v>
      </c>
      <c r="E35" s="15">
        <v>375.0</v>
      </c>
      <c r="F35" s="15">
        <f t="shared" ref="F35:F36" si="1">D35*E35</f>
        <v>1500</v>
      </c>
      <c r="G35" s="78">
        <v>44562.0</v>
      </c>
    </row>
    <row r="36">
      <c r="C36" s="82" t="s">
        <v>94</v>
      </c>
      <c r="D36" s="64">
        <v>10.0</v>
      </c>
      <c r="E36" s="65">
        <v>150.0</v>
      </c>
      <c r="F36" s="65">
        <f t="shared" si="1"/>
        <v>1500</v>
      </c>
      <c r="G36" s="79">
        <v>44636.0</v>
      </c>
    </row>
    <row r="37">
      <c r="C37" s="41" t="s">
        <v>95</v>
      </c>
      <c r="D37" s="29">
        <v>1.0</v>
      </c>
      <c r="E37" s="20">
        <v>300.0</v>
      </c>
      <c r="F37" s="20">
        <v>300.0</v>
      </c>
      <c r="G37" s="83">
        <v>44739.0</v>
      </c>
    </row>
    <row r="38">
      <c r="C38" s="41" t="s">
        <v>96</v>
      </c>
      <c r="D38" s="29">
        <v>1.0</v>
      </c>
      <c r="E38" s="20">
        <v>1100.0</v>
      </c>
      <c r="F38" s="20">
        <v>1100.0</v>
      </c>
      <c r="G38" s="83">
        <v>44739.0</v>
      </c>
    </row>
    <row r="39">
      <c r="C39" s="29" t="s">
        <v>97</v>
      </c>
      <c r="D39" s="29">
        <v>6.0</v>
      </c>
      <c r="E39" s="20">
        <v>150.0</v>
      </c>
      <c r="F39" s="20">
        <v>900.0</v>
      </c>
      <c r="G39" s="83">
        <v>44739.0</v>
      </c>
    </row>
    <row r="40">
      <c r="C40" s="29" t="s">
        <v>98</v>
      </c>
      <c r="D40" s="29">
        <v>10.0</v>
      </c>
      <c r="E40" s="20">
        <v>75.0</v>
      </c>
      <c r="F40" s="20">
        <v>750.0</v>
      </c>
      <c r="G40" s="83">
        <v>44739.0</v>
      </c>
    </row>
    <row r="41">
      <c r="C41" s="29" t="s">
        <v>99</v>
      </c>
      <c r="D41" s="29">
        <v>2.0</v>
      </c>
      <c r="E41" s="20">
        <v>780.0</v>
      </c>
      <c r="F41" s="20">
        <v>1560.0</v>
      </c>
      <c r="G41" s="83">
        <v>44739.0</v>
      </c>
    </row>
    <row r="42">
      <c r="C42" s="41" t="s">
        <v>100</v>
      </c>
      <c r="D42" s="84">
        <v>35.0</v>
      </c>
      <c r="E42" s="20">
        <v>1416.0</v>
      </c>
      <c r="F42" s="20">
        <f>D42*E42</f>
        <v>49560</v>
      </c>
      <c r="G42" s="83">
        <v>44735.0</v>
      </c>
    </row>
    <row r="43">
      <c r="C43" s="41" t="s">
        <v>101</v>
      </c>
      <c r="D43" s="84">
        <v>2.0</v>
      </c>
      <c r="E43" s="20">
        <v>1300.0</v>
      </c>
      <c r="F43" s="20">
        <f>E43*D43</f>
        <v>2600</v>
      </c>
      <c r="G43" s="83">
        <v>44760.0</v>
      </c>
    </row>
    <row r="44">
      <c r="C44" s="41" t="s">
        <v>102</v>
      </c>
      <c r="D44" s="29">
        <v>1.0</v>
      </c>
      <c r="E44" s="20">
        <v>700.0</v>
      </c>
      <c r="F44" s="20">
        <v>700.0</v>
      </c>
      <c r="G44" s="83">
        <v>44737.0</v>
      </c>
    </row>
    <row r="45">
      <c r="C45" s="41" t="s">
        <v>103</v>
      </c>
      <c r="D45" s="29">
        <v>1.0</v>
      </c>
      <c r="E45" s="20">
        <v>2200.0</v>
      </c>
      <c r="F45" s="20">
        <v>2200.0</v>
      </c>
      <c r="G45" s="83">
        <v>44735.0</v>
      </c>
    </row>
    <row r="46">
      <c r="C46" s="41" t="s">
        <v>104</v>
      </c>
      <c r="D46" s="29">
        <v>1.0</v>
      </c>
      <c r="E46" s="20">
        <v>1650.0</v>
      </c>
      <c r="F46" s="20">
        <v>1650.0</v>
      </c>
      <c r="G46" s="83">
        <v>44734.0</v>
      </c>
    </row>
    <row r="47">
      <c r="C47" s="41" t="s">
        <v>105</v>
      </c>
      <c r="D47" s="29">
        <v>12.0</v>
      </c>
      <c r="E47" s="20">
        <v>60.0</v>
      </c>
      <c r="F47" s="20">
        <v>720.0</v>
      </c>
      <c r="G47" s="83">
        <v>44734.0</v>
      </c>
    </row>
    <row r="48">
      <c r="C48" s="29" t="s">
        <v>106</v>
      </c>
      <c r="D48" s="29">
        <v>1.0</v>
      </c>
      <c r="E48" s="20">
        <v>950.0</v>
      </c>
      <c r="F48" s="20">
        <v>950.0</v>
      </c>
      <c r="G48" s="83">
        <v>44734.0</v>
      </c>
    </row>
    <row r="49">
      <c r="C49" s="29" t="s">
        <v>107</v>
      </c>
      <c r="D49" s="29">
        <v>4.0</v>
      </c>
      <c r="E49" s="20">
        <v>780.0</v>
      </c>
      <c r="F49" s="20">
        <v>3120.0</v>
      </c>
      <c r="G49" s="83">
        <v>44734.0</v>
      </c>
    </row>
    <row r="50">
      <c r="C50" s="29" t="s">
        <v>108</v>
      </c>
      <c r="D50" s="84">
        <v>1.0</v>
      </c>
      <c r="E50" s="20">
        <v>1930.0</v>
      </c>
      <c r="F50" s="20">
        <v>11580.0</v>
      </c>
      <c r="G50" s="83">
        <v>44734.0</v>
      </c>
    </row>
    <row r="51">
      <c r="C51" s="29" t="s">
        <v>109</v>
      </c>
      <c r="D51" s="29">
        <v>1.0</v>
      </c>
      <c r="E51" s="20">
        <v>1250.0</v>
      </c>
      <c r="F51" s="20">
        <v>1250.0</v>
      </c>
      <c r="G51" s="83">
        <v>44734.0</v>
      </c>
    </row>
    <row r="52">
      <c r="C52" s="29" t="s">
        <v>110</v>
      </c>
      <c r="D52" s="84">
        <v>2.0</v>
      </c>
      <c r="E52" s="20">
        <v>1200.0</v>
      </c>
      <c r="F52" s="20">
        <f>D52*E52</f>
        <v>2400</v>
      </c>
      <c r="G52" s="83">
        <v>44734.0</v>
      </c>
    </row>
    <row r="53">
      <c r="C53" s="29" t="s">
        <v>111</v>
      </c>
      <c r="D53" s="29">
        <v>10.0</v>
      </c>
      <c r="E53" s="20">
        <v>640.0</v>
      </c>
      <c r="F53" s="20">
        <v>6400.0</v>
      </c>
      <c r="G53" s="83">
        <v>44734.0</v>
      </c>
    </row>
    <row r="54">
      <c r="C54" s="29" t="s">
        <v>112</v>
      </c>
      <c r="D54" s="29">
        <v>5.0</v>
      </c>
      <c r="E54" s="20">
        <v>470.0</v>
      </c>
      <c r="F54" s="20">
        <v>2350.0</v>
      </c>
      <c r="G54" s="83">
        <v>44734.0</v>
      </c>
    </row>
    <row r="55">
      <c r="C55" s="29" t="s">
        <v>113</v>
      </c>
      <c r="D55" s="29" t="s">
        <v>114</v>
      </c>
      <c r="E55" s="20">
        <v>305.0</v>
      </c>
      <c r="F55" s="20">
        <v>3140.0</v>
      </c>
      <c r="G55" s="83">
        <v>44734.0</v>
      </c>
    </row>
    <row r="56">
      <c r="C56" s="29" t="s">
        <v>115</v>
      </c>
      <c r="D56" s="29">
        <v>12.0</v>
      </c>
      <c r="E56" s="20">
        <v>190.0</v>
      </c>
      <c r="F56" s="20">
        <v>2280.0</v>
      </c>
      <c r="G56" s="83">
        <v>44734.0</v>
      </c>
    </row>
    <row r="57">
      <c r="C57" s="29" t="s">
        <v>116</v>
      </c>
      <c r="D57" s="29">
        <v>1.0</v>
      </c>
      <c r="E57" s="20">
        <v>410.0</v>
      </c>
      <c r="F57" s="20">
        <v>410.0</v>
      </c>
      <c r="G57" s="83">
        <v>44734.0</v>
      </c>
    </row>
    <row r="58">
      <c r="C58" s="29" t="s">
        <v>117</v>
      </c>
      <c r="D58" s="29">
        <v>1.0</v>
      </c>
      <c r="E58" s="20">
        <v>1830.0</v>
      </c>
      <c r="F58" s="20">
        <v>1830.0</v>
      </c>
      <c r="G58" s="83">
        <v>44734.0</v>
      </c>
    </row>
    <row r="59">
      <c r="C59" s="41" t="s">
        <v>118</v>
      </c>
      <c r="D59" s="84">
        <v>5.0</v>
      </c>
      <c r="E59" s="20">
        <v>200.0</v>
      </c>
      <c r="F59" s="20">
        <f t="shared" ref="F59:F60" si="2">D59*E59</f>
        <v>1000</v>
      </c>
      <c r="G59" s="83">
        <v>44732.0</v>
      </c>
    </row>
    <row r="60">
      <c r="C60" s="29" t="s">
        <v>119</v>
      </c>
      <c r="D60" s="84">
        <v>5.0</v>
      </c>
      <c r="E60" s="20">
        <v>200.0</v>
      </c>
      <c r="F60" s="20">
        <f t="shared" si="2"/>
        <v>1000</v>
      </c>
      <c r="G60" s="83">
        <v>44732.0</v>
      </c>
    </row>
    <row r="61">
      <c r="C61" s="41" t="s">
        <v>120</v>
      </c>
      <c r="D61" s="29" t="s">
        <v>121</v>
      </c>
      <c r="E61" s="20">
        <v>2000.0</v>
      </c>
      <c r="F61" s="20">
        <v>10000.0</v>
      </c>
      <c r="G61" s="83">
        <v>44730.0</v>
      </c>
    </row>
    <row r="62">
      <c r="C62" s="41" t="s">
        <v>97</v>
      </c>
      <c r="D62" s="29">
        <v>3.0</v>
      </c>
      <c r="E62" s="20">
        <v>150.0</v>
      </c>
      <c r="F62" s="20">
        <v>450.0</v>
      </c>
      <c r="G62" s="83">
        <v>44727.0</v>
      </c>
    </row>
    <row r="63">
      <c r="C63" s="29" t="s">
        <v>122</v>
      </c>
      <c r="D63" s="29" t="s">
        <v>123</v>
      </c>
      <c r="E63" s="20" t="s">
        <v>124</v>
      </c>
      <c r="F63" s="20">
        <v>600.0</v>
      </c>
      <c r="G63" s="83">
        <v>44727.0</v>
      </c>
    </row>
    <row r="64">
      <c r="C64" s="41" t="s">
        <v>125</v>
      </c>
      <c r="D64" s="29">
        <v>1.0</v>
      </c>
      <c r="E64" s="20">
        <v>1450.0</v>
      </c>
      <c r="F64" s="20">
        <v>1450.0</v>
      </c>
      <c r="G64" s="83">
        <v>44727.0</v>
      </c>
    </row>
    <row r="65">
      <c r="C65" s="41" t="s">
        <v>126</v>
      </c>
      <c r="D65" s="29">
        <v>1.0</v>
      </c>
      <c r="E65" s="20">
        <v>600.0</v>
      </c>
      <c r="F65" s="20">
        <v>600.0</v>
      </c>
      <c r="G65" s="83">
        <v>44723.0</v>
      </c>
    </row>
    <row r="66">
      <c r="C66" s="29" t="s">
        <v>127</v>
      </c>
      <c r="D66" s="29">
        <v>1.0</v>
      </c>
      <c r="E66" s="20">
        <v>350.0</v>
      </c>
      <c r="F66" s="20">
        <v>350.0</v>
      </c>
      <c r="G66" s="83">
        <v>44723.0</v>
      </c>
    </row>
    <row r="67">
      <c r="C67" s="29" t="s">
        <v>128</v>
      </c>
      <c r="D67" s="29">
        <v>2.0</v>
      </c>
      <c r="E67" s="20">
        <v>150.0</v>
      </c>
      <c r="F67" s="20">
        <v>300.0</v>
      </c>
      <c r="G67" s="83">
        <v>44723.0</v>
      </c>
    </row>
    <row r="68">
      <c r="C68" s="29" t="s">
        <v>128</v>
      </c>
      <c r="D68" s="29">
        <v>2.0</v>
      </c>
      <c r="E68" s="20">
        <v>70.0</v>
      </c>
      <c r="F68" s="20">
        <v>140.0</v>
      </c>
      <c r="G68" s="83">
        <v>44723.0</v>
      </c>
    </row>
    <row r="69">
      <c r="C69" s="29" t="s">
        <v>129</v>
      </c>
      <c r="D69" s="29">
        <v>4.0</v>
      </c>
      <c r="E69" s="20">
        <v>230.0</v>
      </c>
      <c r="F69" s="20">
        <v>720.0</v>
      </c>
      <c r="G69" s="83">
        <v>44723.0</v>
      </c>
    </row>
    <row r="70">
      <c r="C70" s="29" t="s">
        <v>130</v>
      </c>
      <c r="D70" s="29">
        <v>2.0</v>
      </c>
      <c r="E70" s="20">
        <v>150.0</v>
      </c>
      <c r="F70" s="20">
        <v>300.0</v>
      </c>
      <c r="G70" s="83">
        <v>44723.0</v>
      </c>
    </row>
    <row r="71">
      <c r="C71" s="29" t="s">
        <v>131</v>
      </c>
      <c r="D71" s="29">
        <v>2.0</v>
      </c>
      <c r="E71" s="85"/>
      <c r="F71" s="20">
        <v>550.0</v>
      </c>
      <c r="G71" s="83">
        <v>44723.0</v>
      </c>
    </row>
    <row r="72">
      <c r="C72" s="41" t="s">
        <v>132</v>
      </c>
      <c r="D72" s="29">
        <v>6.0</v>
      </c>
      <c r="E72" s="20">
        <v>150.0</v>
      </c>
      <c r="F72" s="20">
        <v>900.0</v>
      </c>
      <c r="G72" s="83">
        <v>44723.0</v>
      </c>
    </row>
    <row r="73">
      <c r="C73" s="41" t="s">
        <v>133</v>
      </c>
      <c r="D73" s="84">
        <v>10.0</v>
      </c>
      <c r="E73" s="20">
        <v>700.0</v>
      </c>
      <c r="F73" s="20">
        <f t="shared" ref="F73:F75" si="3">D73*E73</f>
        <v>7000</v>
      </c>
      <c r="G73" s="83">
        <v>44721.0</v>
      </c>
    </row>
    <row r="74">
      <c r="C74" s="29" t="s">
        <v>134</v>
      </c>
      <c r="D74" s="84">
        <v>14.0</v>
      </c>
      <c r="E74" s="20">
        <v>680.0</v>
      </c>
      <c r="F74" s="20">
        <f t="shared" si="3"/>
        <v>9520</v>
      </c>
      <c r="G74" s="83">
        <v>44721.0</v>
      </c>
    </row>
    <row r="75">
      <c r="C75" s="29" t="s">
        <v>135</v>
      </c>
      <c r="D75" s="84">
        <v>2.0</v>
      </c>
      <c r="E75" s="20">
        <v>680.0</v>
      </c>
      <c r="F75" s="20">
        <f t="shared" si="3"/>
        <v>1360</v>
      </c>
      <c r="G75" s="83">
        <v>44721.0</v>
      </c>
    </row>
    <row r="76">
      <c r="C76" s="29" t="s">
        <v>136</v>
      </c>
      <c r="D76" s="29">
        <v>10.0</v>
      </c>
      <c r="E76" s="20">
        <v>250.0</v>
      </c>
      <c r="F76" s="20">
        <v>2500.0</v>
      </c>
      <c r="G76" s="83">
        <v>44721.0</v>
      </c>
    </row>
    <row r="77">
      <c r="C77" s="41" t="s">
        <v>137</v>
      </c>
      <c r="D77" s="84">
        <v>1.0</v>
      </c>
      <c r="E77" s="20">
        <v>850.0</v>
      </c>
      <c r="F77" s="30">
        <v>850.0</v>
      </c>
      <c r="G77" s="83">
        <v>44721.0</v>
      </c>
    </row>
    <row r="78">
      <c r="C78" s="29" t="s">
        <v>138</v>
      </c>
      <c r="D78" s="84">
        <v>6.0</v>
      </c>
      <c r="E78" s="20">
        <v>350.0</v>
      </c>
      <c r="F78" s="30">
        <v>2100.0</v>
      </c>
      <c r="G78" s="83">
        <v>44721.0</v>
      </c>
    </row>
    <row r="79">
      <c r="C79" s="41" t="s">
        <v>139</v>
      </c>
      <c r="D79" s="29">
        <v>2.0</v>
      </c>
      <c r="E79" s="20">
        <v>1450.0</v>
      </c>
      <c r="F79" s="20">
        <v>2900.0</v>
      </c>
      <c r="G79" s="83">
        <v>44721.0</v>
      </c>
    </row>
    <row r="80">
      <c r="C80" s="29" t="s">
        <v>140</v>
      </c>
      <c r="D80" s="29">
        <v>2.0</v>
      </c>
      <c r="E80" s="20">
        <v>1550.0</v>
      </c>
      <c r="F80" s="20">
        <v>3100.0</v>
      </c>
      <c r="G80" s="83">
        <v>44721.0</v>
      </c>
    </row>
    <row r="81">
      <c r="C81" s="29" t="s">
        <v>141</v>
      </c>
      <c r="D81" s="29">
        <v>2.0</v>
      </c>
      <c r="E81" s="20">
        <v>1300.0</v>
      </c>
      <c r="F81" s="20">
        <v>2600.0</v>
      </c>
      <c r="G81" s="83">
        <v>44721.0</v>
      </c>
    </row>
    <row r="82">
      <c r="C82" s="29" t="s">
        <v>142</v>
      </c>
      <c r="D82" s="29">
        <v>2.0</v>
      </c>
      <c r="E82" s="20">
        <v>1800.0</v>
      </c>
      <c r="F82" s="20">
        <v>3600.0</v>
      </c>
      <c r="G82" s="83">
        <v>44721.0</v>
      </c>
    </row>
    <row r="83">
      <c r="C83" s="29" t="s">
        <v>143</v>
      </c>
      <c r="D83" s="29">
        <v>1.0</v>
      </c>
      <c r="E83" s="20">
        <v>1130.0</v>
      </c>
      <c r="F83" s="20">
        <v>1130.0</v>
      </c>
      <c r="G83" s="83">
        <v>44721.0</v>
      </c>
    </row>
    <row r="84">
      <c r="C84" s="29" t="s">
        <v>144</v>
      </c>
      <c r="D84" s="84">
        <v>5.0</v>
      </c>
      <c r="E84" s="20">
        <v>130.0</v>
      </c>
      <c r="F84" s="20">
        <f>D84*E84</f>
        <v>650</v>
      </c>
      <c r="G84" s="83">
        <v>44721.0</v>
      </c>
    </row>
    <row r="85">
      <c r="C85" s="41" t="s">
        <v>145</v>
      </c>
      <c r="D85" s="84">
        <v>3.0</v>
      </c>
      <c r="E85" s="20">
        <v>600.0</v>
      </c>
      <c r="F85" s="30">
        <v>1800.0</v>
      </c>
      <c r="G85" s="83">
        <v>44713.0</v>
      </c>
    </row>
    <row r="86">
      <c r="C86" s="41" t="s">
        <v>146</v>
      </c>
      <c r="D86" s="84">
        <v>2.0</v>
      </c>
      <c r="E86" s="20">
        <v>1300.0</v>
      </c>
      <c r="F86" s="30">
        <v>2600.0</v>
      </c>
      <c r="G86" s="83">
        <v>44713.0</v>
      </c>
    </row>
    <row r="87">
      <c r="C87" s="41" t="s">
        <v>147</v>
      </c>
      <c r="D87" s="29">
        <v>100.0</v>
      </c>
      <c r="E87" s="86">
        <v>44784.0</v>
      </c>
      <c r="F87" s="20">
        <v>1180.0</v>
      </c>
      <c r="G87" s="83">
        <v>44711.0</v>
      </c>
    </row>
    <row r="88">
      <c r="C88" s="82" t="s">
        <v>148</v>
      </c>
      <c r="D88" s="64">
        <v>3.0</v>
      </c>
      <c r="E88" s="65">
        <v>1380.0</v>
      </c>
      <c r="F88" s="65">
        <f t="shared" ref="F88:F90" si="4">D88*E88</f>
        <v>4140</v>
      </c>
      <c r="G88" s="79">
        <v>44641.0</v>
      </c>
    </row>
    <row r="89">
      <c r="C89" s="41" t="s">
        <v>149</v>
      </c>
      <c r="D89" s="29">
        <v>8.0</v>
      </c>
      <c r="E89" s="20">
        <v>235.0</v>
      </c>
      <c r="F89" s="20">
        <f t="shared" si="4"/>
        <v>1880</v>
      </c>
      <c r="G89" s="83">
        <v>44693.0</v>
      </c>
    </row>
    <row r="90">
      <c r="C90" s="29" t="s">
        <v>150</v>
      </c>
      <c r="D90" s="84">
        <v>3.0</v>
      </c>
      <c r="E90" s="20">
        <v>255.0</v>
      </c>
      <c r="F90" s="20">
        <f t="shared" si="4"/>
        <v>765</v>
      </c>
      <c r="G90" s="83">
        <v>44693.0</v>
      </c>
    </row>
    <row r="91">
      <c r="C91" s="29" t="s">
        <v>151</v>
      </c>
      <c r="D91" s="29" t="s">
        <v>152</v>
      </c>
      <c r="E91" s="20">
        <v>134.0</v>
      </c>
      <c r="F91" s="20">
        <v>1200.0</v>
      </c>
      <c r="G91" s="83">
        <v>44693.0</v>
      </c>
    </row>
    <row r="92">
      <c r="C92" s="29" t="s">
        <v>153</v>
      </c>
      <c r="D92" s="84">
        <v>5.0</v>
      </c>
      <c r="E92" s="20">
        <v>2450.0</v>
      </c>
      <c r="F92" s="20">
        <f>D92*E92</f>
        <v>12250</v>
      </c>
      <c r="G92" s="83">
        <v>44692.0</v>
      </c>
    </row>
    <row r="93">
      <c r="C93" s="41" t="s">
        <v>154</v>
      </c>
      <c r="D93" s="29">
        <v>2.0</v>
      </c>
      <c r="E93" s="20">
        <v>2850.0</v>
      </c>
      <c r="F93" s="20">
        <v>5700.0</v>
      </c>
      <c r="G93" s="83">
        <v>44702.0</v>
      </c>
    </row>
    <row r="94">
      <c r="C94" s="29" t="s">
        <v>155</v>
      </c>
      <c r="D94" s="84">
        <v>1.0</v>
      </c>
      <c r="E94" s="30">
        <v>592.0</v>
      </c>
      <c r="F94" s="20">
        <f t="shared" ref="F94:F97" si="5">E94*D94</f>
        <v>592</v>
      </c>
      <c r="G94" s="83">
        <v>44700.0</v>
      </c>
    </row>
    <row r="95">
      <c r="C95" s="82" t="s">
        <v>156</v>
      </c>
      <c r="D95" s="64">
        <v>1.0</v>
      </c>
      <c r="E95" s="65">
        <v>3112.0</v>
      </c>
      <c r="F95" s="65">
        <f t="shared" si="5"/>
        <v>3112</v>
      </c>
      <c r="G95" s="79">
        <v>44700.0</v>
      </c>
    </row>
    <row r="96">
      <c r="C96" s="82" t="s">
        <v>157</v>
      </c>
      <c r="D96" s="64">
        <v>1.0</v>
      </c>
      <c r="E96" s="65">
        <v>3440.0</v>
      </c>
      <c r="F96" s="65">
        <f t="shared" si="5"/>
        <v>3440</v>
      </c>
      <c r="G96" s="79">
        <v>44700.0</v>
      </c>
    </row>
    <row r="97">
      <c r="C97" s="82" t="s">
        <v>158</v>
      </c>
      <c r="D97" s="64">
        <v>1.0</v>
      </c>
      <c r="E97" s="65">
        <v>2988.0</v>
      </c>
      <c r="F97" s="65">
        <f t="shared" si="5"/>
        <v>2988</v>
      </c>
      <c r="G97" s="79">
        <v>44700.0</v>
      </c>
    </row>
    <row r="98">
      <c r="C98" s="41" t="s">
        <v>159</v>
      </c>
      <c r="D98" s="29" t="s">
        <v>121</v>
      </c>
      <c r="E98" s="85"/>
      <c r="F98" s="20">
        <v>4900.0</v>
      </c>
      <c r="G98" s="83">
        <v>44706.0</v>
      </c>
    </row>
    <row r="99">
      <c r="C99" s="41" t="s">
        <v>160</v>
      </c>
      <c r="D99" s="29" t="s">
        <v>161</v>
      </c>
      <c r="E99" s="20">
        <v>725.0</v>
      </c>
      <c r="F99" s="20">
        <v>1450.0</v>
      </c>
      <c r="G99" s="83">
        <v>44706.0</v>
      </c>
    </row>
    <row r="100">
      <c r="C100" s="41" t="s">
        <v>162</v>
      </c>
      <c r="D100" s="29" t="s">
        <v>163</v>
      </c>
      <c r="E100" s="20">
        <v>140.0</v>
      </c>
      <c r="F100" s="20">
        <v>7000.0</v>
      </c>
      <c r="G100" s="83">
        <v>44708.0</v>
      </c>
    </row>
    <row r="101">
      <c r="C101" s="29" t="s">
        <v>164</v>
      </c>
      <c r="D101" s="29">
        <v>10.0</v>
      </c>
      <c r="E101" s="20">
        <v>200.0</v>
      </c>
      <c r="F101" s="20">
        <v>20000.0</v>
      </c>
      <c r="G101" s="83">
        <v>44706.0</v>
      </c>
    </row>
    <row r="102">
      <c r="C102" s="77" t="s">
        <v>165</v>
      </c>
      <c r="D102" s="80">
        <v>18.0</v>
      </c>
      <c r="E102" s="15">
        <v>12.0</v>
      </c>
      <c r="F102" s="15">
        <v>2160.0</v>
      </c>
      <c r="G102" s="78">
        <v>44633.0</v>
      </c>
    </row>
    <row r="103">
      <c r="C103" s="41" t="s">
        <v>166</v>
      </c>
      <c r="D103" s="29">
        <v>1.0</v>
      </c>
      <c r="E103" s="20">
        <v>1450.0</v>
      </c>
      <c r="F103" s="20">
        <v>1450.0</v>
      </c>
      <c r="G103" s="83">
        <v>44711.0</v>
      </c>
    </row>
    <row r="104">
      <c r="C104" s="41" t="s">
        <v>167</v>
      </c>
      <c r="D104" s="29" t="s">
        <v>58</v>
      </c>
      <c r="E104" s="20">
        <v>1000.0</v>
      </c>
      <c r="F104" s="20">
        <v>1000.0</v>
      </c>
      <c r="G104" s="83">
        <v>44716.0</v>
      </c>
    </row>
    <row r="105">
      <c r="C105" s="41" t="s">
        <v>168</v>
      </c>
      <c r="D105" s="29">
        <v>12.0</v>
      </c>
      <c r="E105" s="20">
        <v>720.0</v>
      </c>
      <c r="F105" s="20">
        <f>E105*D105</f>
        <v>8640</v>
      </c>
      <c r="G105" s="83">
        <v>44720.0</v>
      </c>
    </row>
    <row r="106">
      <c r="C106" s="29" t="s">
        <v>169</v>
      </c>
      <c r="D106" s="29">
        <v>14.0</v>
      </c>
      <c r="E106" s="20">
        <v>420.0</v>
      </c>
      <c r="F106" s="20">
        <f>D106*E106</f>
        <v>5880</v>
      </c>
      <c r="G106" s="83">
        <v>44720.0</v>
      </c>
    </row>
    <row r="107">
      <c r="C107" s="41" t="s">
        <v>170</v>
      </c>
      <c r="D107" s="29">
        <v>1.0</v>
      </c>
      <c r="E107" s="20">
        <v>3000.0</v>
      </c>
      <c r="F107" s="20">
        <v>3000.0</v>
      </c>
      <c r="G107" s="83">
        <v>44726.0</v>
      </c>
    </row>
    <row r="108">
      <c r="C108" s="41" t="s">
        <v>171</v>
      </c>
      <c r="D108" s="29">
        <v>1.0</v>
      </c>
      <c r="E108" s="20">
        <v>1650.0</v>
      </c>
      <c r="F108" s="20">
        <v>1650.0</v>
      </c>
      <c r="G108" s="21"/>
    </row>
    <row r="109">
      <c r="C109" s="41" t="s">
        <v>172</v>
      </c>
      <c r="D109" s="29">
        <v>16.0</v>
      </c>
      <c r="E109" s="20">
        <v>240.0</v>
      </c>
      <c r="F109" s="20">
        <v>3760.0</v>
      </c>
      <c r="G109" s="83">
        <v>44734.0</v>
      </c>
    </row>
    <row r="110">
      <c r="C110" s="41" t="s">
        <v>173</v>
      </c>
      <c r="D110" s="29" t="s">
        <v>174</v>
      </c>
      <c r="E110" s="20" t="s">
        <v>75</v>
      </c>
      <c r="F110" s="20">
        <v>50000.0</v>
      </c>
      <c r="G110" s="76">
        <v>44743.0</v>
      </c>
    </row>
    <row r="111">
      <c r="C111" s="41" t="s">
        <v>175</v>
      </c>
      <c r="D111" s="29">
        <v>100.0</v>
      </c>
      <c r="E111" s="20">
        <v>40.0</v>
      </c>
      <c r="F111" s="20">
        <v>4000.0</v>
      </c>
      <c r="G111" s="83">
        <v>44711.0</v>
      </c>
    </row>
    <row r="112">
      <c r="C112" s="41" t="s">
        <v>62</v>
      </c>
      <c r="D112" s="29" t="s">
        <v>75</v>
      </c>
      <c r="E112" s="20">
        <v>1000.0</v>
      </c>
      <c r="F112" s="20">
        <v>1000.0</v>
      </c>
      <c r="G112" s="83">
        <v>44711.0</v>
      </c>
    </row>
    <row r="113">
      <c r="C113" s="29" t="s">
        <v>176</v>
      </c>
      <c r="D113" s="29" t="s">
        <v>77</v>
      </c>
      <c r="E113" s="20">
        <v>1920.0</v>
      </c>
      <c r="F113" s="20">
        <v>1920.0</v>
      </c>
      <c r="G113" s="83">
        <v>44711.0</v>
      </c>
    </row>
    <row r="114">
      <c r="C114" s="29" t="s">
        <v>177</v>
      </c>
      <c r="D114" s="29" t="s">
        <v>178</v>
      </c>
      <c r="E114" s="20">
        <v>2100.0</v>
      </c>
      <c r="F114" s="20">
        <v>1050.0</v>
      </c>
      <c r="G114" s="83">
        <v>44711.0</v>
      </c>
    </row>
    <row r="115">
      <c r="C115" s="84" t="s">
        <v>118</v>
      </c>
      <c r="D115" s="84">
        <v>12.0</v>
      </c>
      <c r="E115" s="84">
        <v>195.0</v>
      </c>
      <c r="F115" s="30">
        <v>2340.0</v>
      </c>
      <c r="G115" s="76">
        <v>44742.0</v>
      </c>
    </row>
    <row r="116">
      <c r="C116" s="84" t="s">
        <v>179</v>
      </c>
      <c r="D116" s="84" t="s">
        <v>180</v>
      </c>
      <c r="E116" s="84">
        <v>1500.0</v>
      </c>
      <c r="F116" s="30">
        <v>6000.0</v>
      </c>
      <c r="G116" s="76">
        <v>44742.0</v>
      </c>
    </row>
    <row r="117">
      <c r="C117" s="84" t="s">
        <v>181</v>
      </c>
      <c r="D117" s="84">
        <v>10.0</v>
      </c>
      <c r="E117" s="84">
        <v>300.0</v>
      </c>
      <c r="F117" s="30">
        <v>3000.0</v>
      </c>
      <c r="G117" s="76">
        <v>44742.0</v>
      </c>
    </row>
    <row r="118">
      <c r="C118" s="84" t="s">
        <v>73</v>
      </c>
      <c r="D118" s="84" t="s">
        <v>182</v>
      </c>
      <c r="E118" s="84">
        <v>400.0</v>
      </c>
      <c r="F118" s="30">
        <v>1200.0</v>
      </c>
      <c r="G118" s="76">
        <v>44742.0</v>
      </c>
    </row>
    <row r="119">
      <c r="C119" s="84" t="s">
        <v>135</v>
      </c>
      <c r="D119" s="84">
        <v>2.0</v>
      </c>
      <c r="E119" s="84">
        <v>630.0</v>
      </c>
      <c r="F119" s="30">
        <v>1260.0</v>
      </c>
      <c r="G119" s="76">
        <v>44742.0</v>
      </c>
    </row>
    <row r="120">
      <c r="C120" s="84" t="s">
        <v>183</v>
      </c>
      <c r="D120" s="84">
        <v>18.0</v>
      </c>
      <c r="E120" s="84">
        <v>235.0</v>
      </c>
      <c r="F120" s="30">
        <v>4230.0</v>
      </c>
      <c r="G120" s="76">
        <v>44742.0</v>
      </c>
    </row>
    <row r="121">
      <c r="C121" s="84" t="s">
        <v>184</v>
      </c>
      <c r="D121" s="84">
        <v>18.0</v>
      </c>
      <c r="E121" s="84">
        <v>235.0</v>
      </c>
      <c r="F121" s="30">
        <v>4230.0</v>
      </c>
      <c r="G121" s="76">
        <v>44742.0</v>
      </c>
    </row>
    <row r="122">
      <c r="C122" s="84" t="s">
        <v>185</v>
      </c>
      <c r="D122" s="84" t="s">
        <v>77</v>
      </c>
      <c r="E122" s="84">
        <v>700.0</v>
      </c>
      <c r="F122" s="30">
        <v>700.0</v>
      </c>
      <c r="G122" s="84" t="s">
        <v>186</v>
      </c>
    </row>
    <row r="123">
      <c r="C123" s="84" t="s">
        <v>67</v>
      </c>
      <c r="D123" s="84" t="s">
        <v>187</v>
      </c>
      <c r="E123" s="84">
        <v>120.0</v>
      </c>
      <c r="F123" s="30">
        <v>3600.0</v>
      </c>
      <c r="G123" s="76">
        <v>44742.0</v>
      </c>
    </row>
    <row r="124">
      <c r="C124" s="84" t="s">
        <v>47</v>
      </c>
      <c r="D124" s="84" t="s">
        <v>163</v>
      </c>
      <c r="E124" s="84">
        <v>40.0</v>
      </c>
      <c r="F124" s="30">
        <v>2000.0</v>
      </c>
      <c r="G124" s="76">
        <v>44742.0</v>
      </c>
    </row>
    <row r="125">
      <c r="C125" s="84" t="s">
        <v>188</v>
      </c>
      <c r="D125" s="84" t="s">
        <v>189</v>
      </c>
      <c r="E125" s="29"/>
      <c r="F125" s="30">
        <v>1000.0</v>
      </c>
      <c r="G125" s="76">
        <v>44742.0</v>
      </c>
    </row>
    <row r="126">
      <c r="C126" s="84" t="s">
        <v>190</v>
      </c>
      <c r="D126" s="84">
        <v>2.0</v>
      </c>
      <c r="E126" s="84">
        <v>500.0</v>
      </c>
      <c r="F126" s="30">
        <v>1000.0</v>
      </c>
      <c r="G126" s="76">
        <v>44742.0</v>
      </c>
    </row>
    <row r="127">
      <c r="C127" s="84" t="s">
        <v>191</v>
      </c>
      <c r="D127" s="84" t="s">
        <v>77</v>
      </c>
      <c r="E127" s="84">
        <v>700.0</v>
      </c>
      <c r="F127" s="30">
        <v>700.0</v>
      </c>
      <c r="G127" s="76">
        <v>44742.0</v>
      </c>
    </row>
    <row r="128">
      <c r="C128" s="84" t="s">
        <v>192</v>
      </c>
      <c r="D128" s="84">
        <v>2.0</v>
      </c>
      <c r="E128" s="84">
        <v>300.0</v>
      </c>
      <c r="F128" s="30">
        <v>600.0</v>
      </c>
      <c r="G128" s="76">
        <v>44742.0</v>
      </c>
    </row>
    <row r="129">
      <c r="C129" s="84" t="s">
        <v>193</v>
      </c>
      <c r="D129" s="84" t="s">
        <v>194</v>
      </c>
      <c r="E129" s="84" t="s">
        <v>75</v>
      </c>
      <c r="F129" s="30">
        <v>350.0</v>
      </c>
      <c r="G129" s="76">
        <v>44743.0</v>
      </c>
    </row>
    <row r="130">
      <c r="C130" s="84" t="s">
        <v>195</v>
      </c>
      <c r="D130" s="84" t="s">
        <v>75</v>
      </c>
      <c r="E130" s="84" t="s">
        <v>75</v>
      </c>
      <c r="F130" s="30">
        <v>700.0</v>
      </c>
      <c r="G130" s="76">
        <v>44743.0</v>
      </c>
    </row>
    <row r="131">
      <c r="C131" s="84" t="s">
        <v>196</v>
      </c>
      <c r="D131" s="84">
        <v>3.0</v>
      </c>
      <c r="E131" s="84">
        <v>400.0</v>
      </c>
      <c r="F131" s="30">
        <v>1200.0</v>
      </c>
      <c r="G131" s="76">
        <v>44743.0</v>
      </c>
    </row>
    <row r="132">
      <c r="C132" s="84" t="s">
        <v>197</v>
      </c>
      <c r="D132" s="84" t="s">
        <v>161</v>
      </c>
      <c r="E132" s="84">
        <v>700.0</v>
      </c>
      <c r="F132" s="30">
        <v>1400.0</v>
      </c>
      <c r="G132" s="76">
        <v>44743.0</v>
      </c>
    </row>
    <row r="133">
      <c r="C133" s="84" t="s">
        <v>198</v>
      </c>
      <c r="D133" s="84">
        <v>1.0</v>
      </c>
      <c r="E133" s="84">
        <v>100.0</v>
      </c>
      <c r="F133" s="30">
        <v>100.0</v>
      </c>
      <c r="G133" s="84" t="s">
        <v>199</v>
      </c>
    </row>
    <row r="134">
      <c r="C134" s="84" t="s">
        <v>200</v>
      </c>
      <c r="D134" s="84" t="s">
        <v>70</v>
      </c>
      <c r="E134" s="84">
        <v>70.0</v>
      </c>
      <c r="F134" s="30">
        <v>200.0</v>
      </c>
      <c r="G134" s="76">
        <v>44743.0</v>
      </c>
    </row>
    <row r="135">
      <c r="C135" s="84" t="s">
        <v>76</v>
      </c>
      <c r="D135" s="84" t="s">
        <v>77</v>
      </c>
      <c r="E135" s="84">
        <v>400.0</v>
      </c>
      <c r="F135" s="30">
        <v>400.0</v>
      </c>
      <c r="G135" s="76">
        <v>44652.0</v>
      </c>
    </row>
    <row r="136">
      <c r="C136" s="84" t="s">
        <v>201</v>
      </c>
      <c r="D136" s="84" t="s">
        <v>161</v>
      </c>
      <c r="E136" s="84">
        <v>200.0</v>
      </c>
      <c r="F136" s="30">
        <v>400.0</v>
      </c>
      <c r="G136" s="76">
        <v>44743.0</v>
      </c>
    </row>
    <row r="137">
      <c r="C137" s="84" t="s">
        <v>202</v>
      </c>
      <c r="D137" s="84" t="s">
        <v>75</v>
      </c>
      <c r="E137" s="84">
        <v>450.0</v>
      </c>
      <c r="F137" s="30">
        <v>100.0</v>
      </c>
      <c r="G137" s="76">
        <v>44743.0</v>
      </c>
    </row>
    <row r="138">
      <c r="C138" s="84" t="s">
        <v>203</v>
      </c>
      <c r="D138" s="84" t="s">
        <v>178</v>
      </c>
      <c r="E138" s="84">
        <v>500.0</v>
      </c>
      <c r="F138" s="30">
        <v>250.0</v>
      </c>
      <c r="G138" s="76">
        <v>44744.0</v>
      </c>
    </row>
    <row r="139">
      <c r="C139" s="84" t="s">
        <v>67</v>
      </c>
      <c r="D139" s="84" t="s">
        <v>68</v>
      </c>
      <c r="E139" s="84">
        <v>120.0</v>
      </c>
      <c r="F139" s="30">
        <v>2400.0</v>
      </c>
      <c r="G139" s="76">
        <v>44744.0</v>
      </c>
    </row>
    <row r="140">
      <c r="C140" s="84" t="s">
        <v>69</v>
      </c>
      <c r="D140" s="84" t="s">
        <v>70</v>
      </c>
      <c r="E140" s="84">
        <v>700.0</v>
      </c>
      <c r="F140" s="30">
        <v>2100.0</v>
      </c>
      <c r="G140" s="76">
        <v>44744.0</v>
      </c>
    </row>
    <row r="141">
      <c r="C141" s="84" t="s">
        <v>198</v>
      </c>
      <c r="D141" s="84">
        <v>2.0</v>
      </c>
      <c r="E141" s="84">
        <v>180.0</v>
      </c>
      <c r="F141" s="30">
        <v>140.0</v>
      </c>
      <c r="G141" s="76">
        <v>44744.0</v>
      </c>
    </row>
    <row r="142">
      <c r="C142" s="84" t="s">
        <v>204</v>
      </c>
      <c r="D142" s="84">
        <v>500.0</v>
      </c>
      <c r="E142" s="84">
        <v>200.0</v>
      </c>
      <c r="F142" s="30">
        <v>100.0</v>
      </c>
      <c r="G142" s="76">
        <v>44744.0</v>
      </c>
    </row>
    <row r="143">
      <c r="C143" s="84" t="s">
        <v>205</v>
      </c>
      <c r="D143" s="84" t="s">
        <v>206</v>
      </c>
      <c r="E143" s="29"/>
      <c r="F143" s="30">
        <v>3400.0</v>
      </c>
      <c r="G143" s="76">
        <v>44744.0</v>
      </c>
    </row>
    <row r="144">
      <c r="C144" s="84" t="s">
        <v>207</v>
      </c>
      <c r="D144" s="84">
        <v>2.0</v>
      </c>
      <c r="E144" s="84">
        <v>150.0</v>
      </c>
      <c r="F144" s="30">
        <v>300.0</v>
      </c>
      <c r="G144" s="76">
        <v>44744.0</v>
      </c>
    </row>
    <row r="145">
      <c r="C145" s="84" t="s">
        <v>208</v>
      </c>
      <c r="D145" s="84">
        <v>3.0</v>
      </c>
      <c r="E145" s="84">
        <v>100.0</v>
      </c>
      <c r="F145" s="30">
        <v>100.0</v>
      </c>
      <c r="G145" s="76">
        <v>44744.0</v>
      </c>
    </row>
    <row r="146">
      <c r="C146" s="84" t="s">
        <v>209</v>
      </c>
      <c r="D146" s="84" t="s">
        <v>75</v>
      </c>
      <c r="E146" s="84" t="s">
        <v>75</v>
      </c>
      <c r="F146" s="30">
        <v>2000.0</v>
      </c>
      <c r="G146" s="76">
        <v>44745.0</v>
      </c>
    </row>
    <row r="147">
      <c r="C147" s="84" t="s">
        <v>210</v>
      </c>
      <c r="D147" s="84">
        <v>35.0</v>
      </c>
      <c r="E147" s="84">
        <v>80.0</v>
      </c>
      <c r="F147" s="20">
        <f>D147*E147</f>
        <v>2800</v>
      </c>
      <c r="G147" s="76">
        <v>44745.0</v>
      </c>
    </row>
    <row r="148">
      <c r="C148" s="84" t="s">
        <v>211</v>
      </c>
      <c r="D148" s="84">
        <v>4.0</v>
      </c>
      <c r="E148" s="84">
        <v>500.0</v>
      </c>
      <c r="F148" s="30">
        <v>2000.0</v>
      </c>
      <c r="G148" s="76">
        <v>44745.0</v>
      </c>
    </row>
    <row r="149">
      <c r="C149" s="84" t="s">
        <v>191</v>
      </c>
      <c r="D149" s="84" t="s">
        <v>77</v>
      </c>
      <c r="E149" s="84">
        <v>600.0</v>
      </c>
      <c r="F149" s="30">
        <v>600.0</v>
      </c>
      <c r="G149" s="76">
        <v>44654.0</v>
      </c>
    </row>
    <row r="150">
      <c r="C150" s="84" t="s">
        <v>201</v>
      </c>
      <c r="D150" s="84">
        <v>1.0</v>
      </c>
      <c r="E150" s="84">
        <v>190.0</v>
      </c>
      <c r="F150" s="30">
        <v>190.0</v>
      </c>
      <c r="G150" s="76">
        <v>44745.0</v>
      </c>
    </row>
    <row r="151">
      <c r="C151" s="84" t="s">
        <v>212</v>
      </c>
      <c r="D151" s="84">
        <v>1.0</v>
      </c>
      <c r="E151" s="84">
        <v>1850.0</v>
      </c>
      <c r="F151" s="30">
        <v>1850.0</v>
      </c>
      <c r="G151" s="76">
        <v>44745.0</v>
      </c>
    </row>
    <row r="152">
      <c r="C152" s="84" t="s">
        <v>213</v>
      </c>
      <c r="D152" s="84" t="s">
        <v>214</v>
      </c>
      <c r="E152" s="84">
        <v>750.0</v>
      </c>
      <c r="F152" s="30">
        <v>2150.0</v>
      </c>
      <c r="G152" s="76">
        <v>44745.0</v>
      </c>
    </row>
    <row r="153">
      <c r="C153" s="84" t="s">
        <v>215</v>
      </c>
      <c r="D153" s="84">
        <v>2.0</v>
      </c>
      <c r="E153" s="84">
        <v>280.0</v>
      </c>
      <c r="F153" s="30">
        <v>560.0</v>
      </c>
      <c r="G153" s="76">
        <v>44745.0</v>
      </c>
    </row>
    <row r="154">
      <c r="C154" s="84" t="s">
        <v>216</v>
      </c>
      <c r="D154" s="84" t="s">
        <v>70</v>
      </c>
      <c r="E154" s="84">
        <v>180.0</v>
      </c>
      <c r="F154" s="30">
        <v>500.0</v>
      </c>
      <c r="G154" s="76">
        <v>44745.0</v>
      </c>
    </row>
    <row r="155">
      <c r="C155" s="84" t="s">
        <v>47</v>
      </c>
      <c r="D155" s="84" t="s">
        <v>48</v>
      </c>
      <c r="E155" s="84">
        <v>40.0</v>
      </c>
      <c r="F155" s="30">
        <v>1000.0</v>
      </c>
      <c r="G155" s="76">
        <v>44745.0</v>
      </c>
    </row>
    <row r="156">
      <c r="C156" s="84" t="s">
        <v>71</v>
      </c>
      <c r="D156" s="84" t="s">
        <v>217</v>
      </c>
      <c r="E156" s="84">
        <v>70.0</v>
      </c>
      <c r="F156" s="30">
        <v>700.0</v>
      </c>
      <c r="G156" s="76">
        <v>44745.0</v>
      </c>
    </row>
    <row r="157">
      <c r="C157" s="84" t="s">
        <v>181</v>
      </c>
      <c r="D157" s="84">
        <v>2.0</v>
      </c>
      <c r="E157" s="84">
        <v>1450.0</v>
      </c>
      <c r="F157" s="30">
        <v>2900.0</v>
      </c>
      <c r="G157" s="76">
        <v>44745.0</v>
      </c>
    </row>
    <row r="158">
      <c r="C158" s="84" t="s">
        <v>218</v>
      </c>
      <c r="D158" s="84">
        <v>6.0</v>
      </c>
      <c r="E158" s="84">
        <v>900.0</v>
      </c>
      <c r="F158" s="20">
        <f>D158*E158</f>
        <v>5400</v>
      </c>
      <c r="G158" s="76">
        <v>44745.0</v>
      </c>
    </row>
    <row r="159">
      <c r="C159" s="84" t="s">
        <v>120</v>
      </c>
      <c r="D159" s="84" t="s">
        <v>217</v>
      </c>
      <c r="E159" s="84">
        <v>1920.0</v>
      </c>
      <c r="F159" s="30">
        <v>19200.0</v>
      </c>
      <c r="G159" s="76">
        <v>44745.0</v>
      </c>
    </row>
    <row r="160">
      <c r="C160" s="84" t="s">
        <v>200</v>
      </c>
      <c r="D160" s="84" t="s">
        <v>219</v>
      </c>
      <c r="E160" s="84">
        <v>40.0</v>
      </c>
      <c r="F160" s="30">
        <v>100.0</v>
      </c>
      <c r="G160" s="76">
        <v>44745.0</v>
      </c>
    </row>
    <row r="161">
      <c r="C161" s="84" t="s">
        <v>220</v>
      </c>
      <c r="D161" s="84" t="s">
        <v>221</v>
      </c>
      <c r="E161" s="84" t="s">
        <v>75</v>
      </c>
      <c r="F161" s="30">
        <v>500.0</v>
      </c>
      <c r="G161" s="76">
        <v>44745.0</v>
      </c>
    </row>
    <row r="162">
      <c r="C162" s="84" t="s">
        <v>222</v>
      </c>
      <c r="D162" s="84">
        <v>6.0</v>
      </c>
      <c r="E162" s="84">
        <v>505.0</v>
      </c>
      <c r="F162" s="20">
        <f t="shared" ref="F162:F163" si="6">D162*E162</f>
        <v>3030</v>
      </c>
      <c r="G162" s="76">
        <v>44745.0</v>
      </c>
    </row>
    <row r="163">
      <c r="C163" s="84" t="s">
        <v>223</v>
      </c>
      <c r="D163" s="84">
        <v>5.0</v>
      </c>
      <c r="E163" s="84">
        <v>1038.6</v>
      </c>
      <c r="F163" s="20">
        <f t="shared" si="6"/>
        <v>5193</v>
      </c>
      <c r="G163" s="76">
        <v>44745.0</v>
      </c>
    </row>
    <row r="164">
      <c r="C164" s="84" t="s">
        <v>224</v>
      </c>
      <c r="D164" s="84">
        <v>4.0</v>
      </c>
      <c r="E164" s="84">
        <v>125.0</v>
      </c>
      <c r="F164" s="30">
        <v>500.0</v>
      </c>
      <c r="G164" s="76">
        <v>44745.0</v>
      </c>
    </row>
    <row r="165">
      <c r="C165" s="84" t="s">
        <v>225</v>
      </c>
      <c r="D165" s="84">
        <v>1.0</v>
      </c>
      <c r="E165" s="84">
        <v>850.0</v>
      </c>
      <c r="F165" s="30">
        <v>850.0</v>
      </c>
      <c r="G165" s="76">
        <v>44746.0</v>
      </c>
    </row>
    <row r="166">
      <c r="C166" s="84" t="s">
        <v>226</v>
      </c>
      <c r="D166" s="84" t="s">
        <v>77</v>
      </c>
      <c r="E166" s="84">
        <v>400.0</v>
      </c>
      <c r="F166" s="30">
        <v>400.0</v>
      </c>
      <c r="G166" s="76">
        <v>44746.0</v>
      </c>
      <c r="K166" s="87">
        <f>F227+F228+F229+F230+F231+F232+F233+F234+F235+F236+F237+F238+F239+F240+F241+F242+F244+F245+F246+F247+F248+F249+F250+F251+F252+F253+F254+F255+F256+F257+F258+F259+F260+F261+F262+F263+F264+F266+F265+F267+F268+F269+F270+F271+F272+F273+F274+F275+F276+F277+F278+F279+F280+F281+F282+F283+F284+F285+F286+F287+F288+F289+F290+F291+F292</f>
        <v>94236</v>
      </c>
    </row>
    <row r="167">
      <c r="C167" s="84" t="s">
        <v>67</v>
      </c>
      <c r="D167" s="84" t="s">
        <v>68</v>
      </c>
      <c r="E167" s="84">
        <v>120.0</v>
      </c>
      <c r="F167" s="30">
        <v>2400.0</v>
      </c>
      <c r="G167" s="76">
        <v>44746.0</v>
      </c>
    </row>
    <row r="168">
      <c r="C168" s="84" t="s">
        <v>227</v>
      </c>
      <c r="D168" s="84" t="s">
        <v>70</v>
      </c>
      <c r="E168" s="84">
        <v>600.0</v>
      </c>
      <c r="F168" s="30">
        <v>1800.0</v>
      </c>
      <c r="G168" s="76">
        <v>44746.0</v>
      </c>
    </row>
    <row r="169">
      <c r="C169" s="84" t="s">
        <v>69</v>
      </c>
      <c r="D169" s="84" t="s">
        <v>161</v>
      </c>
      <c r="E169" s="84">
        <v>600.0</v>
      </c>
      <c r="F169" s="30">
        <v>1200.0</v>
      </c>
      <c r="G169" s="76">
        <v>44746.0</v>
      </c>
    </row>
    <row r="170">
      <c r="C170" s="84" t="s">
        <v>228</v>
      </c>
      <c r="D170" s="84">
        <v>20.0</v>
      </c>
      <c r="E170" s="84">
        <v>150.0</v>
      </c>
      <c r="F170" s="30">
        <v>300.0</v>
      </c>
      <c r="G170" s="76">
        <v>44746.0</v>
      </c>
    </row>
    <row r="171">
      <c r="C171" s="84" t="s">
        <v>229</v>
      </c>
      <c r="D171" s="84" t="s">
        <v>230</v>
      </c>
      <c r="E171" s="84">
        <v>200.0</v>
      </c>
      <c r="F171" s="30">
        <v>1820.0</v>
      </c>
      <c r="G171" s="76">
        <v>44747.0</v>
      </c>
    </row>
    <row r="172">
      <c r="C172" s="84" t="s">
        <v>67</v>
      </c>
      <c r="D172" s="84" t="s">
        <v>217</v>
      </c>
      <c r="E172" s="84">
        <v>120.0</v>
      </c>
      <c r="F172" s="30">
        <v>1200.0</v>
      </c>
      <c r="G172" s="76">
        <v>44747.0</v>
      </c>
    </row>
    <row r="173">
      <c r="C173" s="84" t="s">
        <v>228</v>
      </c>
      <c r="D173" s="84">
        <v>35.0</v>
      </c>
      <c r="E173" s="84">
        <v>100.0</v>
      </c>
      <c r="F173" s="30">
        <v>3500.0</v>
      </c>
      <c r="G173" s="76">
        <v>44747.0</v>
      </c>
    </row>
    <row r="174">
      <c r="C174" s="84" t="s">
        <v>231</v>
      </c>
      <c r="D174" s="29"/>
      <c r="E174" s="29"/>
      <c r="F174" s="30">
        <v>2200.0</v>
      </c>
      <c r="G174" s="76">
        <v>44747.0</v>
      </c>
    </row>
    <row r="175">
      <c r="C175" s="84" t="s">
        <v>232</v>
      </c>
      <c r="D175" s="84" t="s">
        <v>233</v>
      </c>
      <c r="E175" s="84">
        <v>600.0</v>
      </c>
      <c r="F175" s="30">
        <v>2400.0</v>
      </c>
      <c r="G175" s="76">
        <v>44747.0</v>
      </c>
    </row>
    <row r="176">
      <c r="C176" s="84" t="s">
        <v>234</v>
      </c>
      <c r="D176" s="84">
        <v>3.0</v>
      </c>
      <c r="E176" s="84">
        <v>100.0</v>
      </c>
      <c r="F176" s="30">
        <v>300.0</v>
      </c>
      <c r="G176" s="76">
        <v>44747.0</v>
      </c>
    </row>
    <row r="177">
      <c r="C177" s="84" t="s">
        <v>67</v>
      </c>
      <c r="D177" s="84" t="s">
        <v>121</v>
      </c>
      <c r="E177" s="84">
        <v>100.0</v>
      </c>
      <c r="F177" s="30">
        <v>500.0</v>
      </c>
      <c r="G177" s="76">
        <v>44747.0</v>
      </c>
    </row>
    <row r="178">
      <c r="C178" s="84" t="s">
        <v>166</v>
      </c>
      <c r="D178" s="84" t="s">
        <v>161</v>
      </c>
      <c r="E178" s="84">
        <v>600.0</v>
      </c>
      <c r="F178" s="30">
        <v>1200.0</v>
      </c>
      <c r="G178" s="76">
        <v>44747.0</v>
      </c>
    </row>
    <row r="179">
      <c r="C179" s="84" t="s">
        <v>47</v>
      </c>
      <c r="D179" s="84" t="s">
        <v>163</v>
      </c>
      <c r="E179" s="84">
        <v>40.0</v>
      </c>
      <c r="F179" s="30">
        <v>2000.0</v>
      </c>
      <c r="G179" s="76">
        <v>44747.0</v>
      </c>
    </row>
    <row r="180">
      <c r="C180" s="84" t="s">
        <v>200</v>
      </c>
      <c r="D180" s="84" t="s">
        <v>70</v>
      </c>
      <c r="E180" s="84">
        <v>100.0</v>
      </c>
      <c r="F180" s="30">
        <v>300.0</v>
      </c>
      <c r="G180" s="76">
        <v>44747.0</v>
      </c>
    </row>
    <row r="181">
      <c r="C181" s="64" t="s">
        <v>235</v>
      </c>
      <c r="D181" s="64">
        <v>10.0</v>
      </c>
      <c r="E181" s="64">
        <v>1100.0</v>
      </c>
      <c r="F181" s="66">
        <f>D181*E181</f>
        <v>11000</v>
      </c>
      <c r="G181" s="88">
        <v>44746.0</v>
      </c>
    </row>
    <row r="182">
      <c r="C182" s="84" t="s">
        <v>236</v>
      </c>
      <c r="D182" s="84">
        <v>100.0</v>
      </c>
      <c r="E182" s="84">
        <v>45.0</v>
      </c>
      <c r="F182" s="30">
        <v>4500.0</v>
      </c>
      <c r="G182" s="76">
        <v>44746.0</v>
      </c>
    </row>
    <row r="183">
      <c r="C183" s="84" t="s">
        <v>237</v>
      </c>
      <c r="D183" s="84" t="s">
        <v>238</v>
      </c>
      <c r="E183" s="84">
        <v>450.0</v>
      </c>
      <c r="F183" s="30">
        <v>1350.0</v>
      </c>
      <c r="G183" s="76">
        <v>44746.0</v>
      </c>
    </row>
    <row r="184">
      <c r="C184" s="84" t="s">
        <v>69</v>
      </c>
      <c r="D184" s="84">
        <v>14.0</v>
      </c>
      <c r="E184" s="84">
        <v>600.0</v>
      </c>
      <c r="F184" s="30">
        <f t="shared" ref="F184:F185" si="7">D184*E184</f>
        <v>8400</v>
      </c>
      <c r="G184" s="76">
        <v>44748.0</v>
      </c>
    </row>
    <row r="185">
      <c r="C185" s="84" t="s">
        <v>239</v>
      </c>
      <c r="D185" s="84">
        <v>2.5</v>
      </c>
      <c r="E185" s="84">
        <v>1800.0</v>
      </c>
      <c r="F185" s="20">
        <f t="shared" si="7"/>
        <v>4500</v>
      </c>
      <c r="G185" s="76">
        <v>44748.0</v>
      </c>
    </row>
    <row r="186">
      <c r="C186" s="84" t="s">
        <v>240</v>
      </c>
      <c r="D186" s="84">
        <v>1.0</v>
      </c>
      <c r="E186" s="84">
        <v>500.0</v>
      </c>
      <c r="F186" s="30">
        <v>500.0</v>
      </c>
      <c r="G186" s="76">
        <v>44748.0</v>
      </c>
    </row>
    <row r="187">
      <c r="C187" s="84" t="s">
        <v>241</v>
      </c>
      <c r="D187" s="84">
        <v>50.0</v>
      </c>
      <c r="E187" s="84">
        <v>25.0</v>
      </c>
      <c r="F187" s="20">
        <f>D187*E187</f>
        <v>1250</v>
      </c>
      <c r="G187" s="76">
        <v>44748.0</v>
      </c>
    </row>
    <row r="188">
      <c r="C188" s="84" t="s">
        <v>192</v>
      </c>
      <c r="D188" s="84">
        <v>10.0</v>
      </c>
      <c r="E188" s="84">
        <v>490.0</v>
      </c>
      <c r="F188" s="30">
        <v>4900.0</v>
      </c>
      <c r="G188" s="76">
        <v>44748.0</v>
      </c>
    </row>
    <row r="189">
      <c r="C189" s="84" t="s">
        <v>242</v>
      </c>
      <c r="D189" s="84">
        <v>7.0</v>
      </c>
      <c r="E189" s="84">
        <v>180.0</v>
      </c>
      <c r="F189" s="20">
        <f t="shared" ref="F189:F190" si="8">D189*E189</f>
        <v>1260</v>
      </c>
      <c r="G189" s="76">
        <v>44748.0</v>
      </c>
    </row>
    <row r="190">
      <c r="C190" s="84" t="s">
        <v>243</v>
      </c>
      <c r="D190" s="84">
        <v>32.0</v>
      </c>
      <c r="E190" s="84">
        <v>140.0</v>
      </c>
      <c r="F190" s="20">
        <f t="shared" si="8"/>
        <v>4480</v>
      </c>
      <c r="G190" s="76">
        <v>44748.0</v>
      </c>
    </row>
    <row r="191">
      <c r="C191" s="84" t="s">
        <v>244</v>
      </c>
      <c r="D191" s="84">
        <v>10.0</v>
      </c>
      <c r="E191" s="84">
        <v>300.0</v>
      </c>
      <c r="F191" s="30">
        <v>3000.0</v>
      </c>
      <c r="G191" s="76">
        <v>44748.0</v>
      </c>
    </row>
    <row r="192">
      <c r="C192" s="84" t="s">
        <v>245</v>
      </c>
      <c r="D192" s="84">
        <v>10.0</v>
      </c>
      <c r="E192" s="84">
        <v>300.0</v>
      </c>
      <c r="F192" s="30">
        <v>3000.0</v>
      </c>
      <c r="G192" s="76">
        <v>44748.0</v>
      </c>
    </row>
    <row r="193">
      <c r="C193" s="84" t="s">
        <v>246</v>
      </c>
      <c r="D193" s="84">
        <v>40.0</v>
      </c>
      <c r="E193" s="84">
        <v>120.0</v>
      </c>
      <c r="F193" s="20">
        <f>D193*E193</f>
        <v>4800</v>
      </c>
      <c r="G193" s="76">
        <v>44748.0</v>
      </c>
    </row>
    <row r="194">
      <c r="C194" s="84" t="s">
        <v>197</v>
      </c>
      <c r="D194" s="84" t="s">
        <v>70</v>
      </c>
      <c r="E194" s="84">
        <v>600.0</v>
      </c>
      <c r="F194" s="30">
        <v>1800.0</v>
      </c>
      <c r="G194" s="76">
        <v>44748.0</v>
      </c>
    </row>
    <row r="195">
      <c r="C195" s="84" t="s">
        <v>198</v>
      </c>
      <c r="D195" s="84">
        <v>4.0</v>
      </c>
      <c r="E195" s="84">
        <v>100.0</v>
      </c>
      <c r="F195" s="30">
        <v>400.0</v>
      </c>
      <c r="G195" s="76">
        <v>44748.0</v>
      </c>
    </row>
    <row r="196">
      <c r="C196" s="84" t="s">
        <v>247</v>
      </c>
      <c r="D196" s="84" t="s">
        <v>70</v>
      </c>
      <c r="E196" s="84">
        <v>550.0</v>
      </c>
      <c r="F196" s="30">
        <v>1650.0</v>
      </c>
      <c r="G196" s="76">
        <v>44748.0</v>
      </c>
    </row>
    <row r="197">
      <c r="C197" s="84" t="s">
        <v>248</v>
      </c>
      <c r="D197" s="84">
        <v>12.0</v>
      </c>
      <c r="E197" s="84">
        <v>125.0</v>
      </c>
      <c r="F197" s="30">
        <v>1500.0</v>
      </c>
      <c r="G197" s="76">
        <v>44748.0</v>
      </c>
    </row>
    <row r="198">
      <c r="C198" s="84" t="s">
        <v>94</v>
      </c>
      <c r="D198" s="84">
        <v>3.0</v>
      </c>
      <c r="E198" s="84">
        <v>160.0</v>
      </c>
      <c r="F198" s="30">
        <v>480.0</v>
      </c>
      <c r="G198" s="76">
        <v>44748.0</v>
      </c>
    </row>
    <row r="199">
      <c r="C199" s="84" t="s">
        <v>249</v>
      </c>
      <c r="D199" s="29"/>
      <c r="E199" s="29"/>
      <c r="F199" s="30">
        <v>3000.0</v>
      </c>
      <c r="G199" s="76">
        <v>44748.0</v>
      </c>
    </row>
    <row r="200">
      <c r="C200" s="84" t="s">
        <v>76</v>
      </c>
      <c r="D200" s="84">
        <v>3.0</v>
      </c>
      <c r="E200" s="84">
        <v>150.0</v>
      </c>
      <c r="F200" s="30">
        <v>450.0</v>
      </c>
      <c r="G200" s="76">
        <v>44748.0</v>
      </c>
    </row>
    <row r="201">
      <c r="C201" s="84" t="s">
        <v>250</v>
      </c>
      <c r="D201" s="84">
        <v>14.0</v>
      </c>
      <c r="E201" s="84">
        <v>190.0</v>
      </c>
      <c r="F201" s="30">
        <f>D201*E201</f>
        <v>2660</v>
      </c>
      <c r="G201" s="76">
        <v>44749.0</v>
      </c>
    </row>
    <row r="202">
      <c r="C202" s="84" t="s">
        <v>251</v>
      </c>
      <c r="D202" s="84">
        <v>20.0</v>
      </c>
      <c r="E202" s="84">
        <v>200.0</v>
      </c>
      <c r="F202" s="30">
        <v>4000.0</v>
      </c>
      <c r="G202" s="76">
        <v>44749.0</v>
      </c>
    </row>
    <row r="203">
      <c r="C203" s="84" t="s">
        <v>246</v>
      </c>
      <c r="D203" s="84" t="s">
        <v>163</v>
      </c>
      <c r="E203" s="84">
        <v>120.0</v>
      </c>
      <c r="F203" s="30">
        <v>6000.0</v>
      </c>
      <c r="G203" s="76">
        <v>44749.0</v>
      </c>
    </row>
    <row r="204">
      <c r="C204" s="84" t="s">
        <v>71</v>
      </c>
      <c r="D204" s="84">
        <v>30.0</v>
      </c>
      <c r="E204" s="84">
        <v>70.0</v>
      </c>
      <c r="F204" s="30">
        <v>2100.0</v>
      </c>
      <c r="G204" s="76">
        <v>44749.0</v>
      </c>
    </row>
    <row r="205">
      <c r="C205" s="84" t="s">
        <v>237</v>
      </c>
      <c r="D205" s="84">
        <v>5.0</v>
      </c>
      <c r="E205" s="84">
        <v>500.0</v>
      </c>
      <c r="F205" s="30">
        <v>2500.0</v>
      </c>
      <c r="G205" s="76">
        <v>44749.0</v>
      </c>
    </row>
    <row r="206">
      <c r="C206" s="84" t="s">
        <v>69</v>
      </c>
      <c r="D206" s="84" t="s">
        <v>121</v>
      </c>
      <c r="E206" s="84">
        <v>600.0</v>
      </c>
      <c r="F206" s="30">
        <v>3000.0</v>
      </c>
      <c r="G206" s="76">
        <v>44749.0</v>
      </c>
    </row>
    <row r="207">
      <c r="C207" s="84" t="s">
        <v>198</v>
      </c>
      <c r="D207" s="84">
        <v>3.0</v>
      </c>
      <c r="E207" s="84">
        <v>100.0</v>
      </c>
      <c r="F207" s="30">
        <v>300.0</v>
      </c>
      <c r="G207" s="76">
        <v>44749.0</v>
      </c>
    </row>
    <row r="208">
      <c r="C208" s="84" t="s">
        <v>252</v>
      </c>
      <c r="D208" s="84" t="s">
        <v>217</v>
      </c>
      <c r="E208" s="84">
        <v>50.0</v>
      </c>
      <c r="F208" s="30">
        <v>500.0</v>
      </c>
      <c r="G208" s="76">
        <v>44749.0</v>
      </c>
    </row>
    <row r="209">
      <c r="C209" s="84" t="s">
        <v>253</v>
      </c>
      <c r="D209" s="84">
        <v>5.0</v>
      </c>
      <c r="E209" s="84">
        <v>20.0</v>
      </c>
      <c r="F209" s="30">
        <v>100.0</v>
      </c>
      <c r="G209" s="76">
        <v>44749.0</v>
      </c>
    </row>
    <row r="210">
      <c r="C210" s="84" t="s">
        <v>254</v>
      </c>
      <c r="D210" s="84" t="s">
        <v>77</v>
      </c>
      <c r="E210" s="84">
        <v>500.0</v>
      </c>
      <c r="F210" s="30">
        <v>500.0</v>
      </c>
      <c r="G210" s="76">
        <v>44749.0</v>
      </c>
    </row>
    <row r="211">
      <c r="C211" s="84" t="s">
        <v>255</v>
      </c>
      <c r="D211" s="84" t="s">
        <v>75</v>
      </c>
      <c r="E211" s="84">
        <v>10000.0</v>
      </c>
      <c r="F211" s="30">
        <v>10000.0</v>
      </c>
      <c r="G211" s="84" t="s">
        <v>256</v>
      </c>
    </row>
    <row r="212">
      <c r="C212" s="84" t="s">
        <v>257</v>
      </c>
      <c r="D212" s="84">
        <v>260.0</v>
      </c>
      <c r="E212" s="84">
        <v>50.0</v>
      </c>
      <c r="F212" s="30">
        <v>13000.0</v>
      </c>
      <c r="G212" s="76">
        <v>44749.0</v>
      </c>
    </row>
    <row r="213">
      <c r="C213" s="84" t="s">
        <v>239</v>
      </c>
      <c r="D213" s="84">
        <v>1.5</v>
      </c>
      <c r="E213" s="84">
        <v>1800.0</v>
      </c>
      <c r="F213" s="30">
        <v>2700.0</v>
      </c>
      <c r="G213" s="76">
        <v>44749.0</v>
      </c>
    </row>
    <row r="214">
      <c r="C214" s="84" t="s">
        <v>196</v>
      </c>
      <c r="D214" s="84">
        <v>3.0</v>
      </c>
      <c r="E214" s="84">
        <v>300.0</v>
      </c>
      <c r="F214" s="30">
        <v>900.0</v>
      </c>
      <c r="G214" s="76">
        <v>44749.0</v>
      </c>
    </row>
    <row r="215">
      <c r="C215" s="84" t="s">
        <v>258</v>
      </c>
      <c r="D215" s="84" t="s">
        <v>178</v>
      </c>
      <c r="E215" s="84">
        <v>1000.0</v>
      </c>
      <c r="F215" s="30">
        <v>500.0</v>
      </c>
      <c r="G215" s="76">
        <v>44749.0</v>
      </c>
    </row>
    <row r="216">
      <c r="C216" s="84" t="s">
        <v>227</v>
      </c>
      <c r="D216" s="84">
        <v>2.0</v>
      </c>
      <c r="E216" s="84">
        <v>600.0</v>
      </c>
      <c r="F216" s="30">
        <v>1200.0</v>
      </c>
      <c r="G216" s="76">
        <v>44749.0</v>
      </c>
    </row>
    <row r="217">
      <c r="C217" s="84" t="s">
        <v>259</v>
      </c>
      <c r="D217" s="84">
        <v>20.0</v>
      </c>
      <c r="E217" s="84">
        <v>70.0</v>
      </c>
      <c r="F217" s="30">
        <v>1400.0</v>
      </c>
      <c r="G217" s="76">
        <v>44750.0</v>
      </c>
    </row>
    <row r="218">
      <c r="C218" s="84" t="s">
        <v>227</v>
      </c>
      <c r="D218" s="84" t="s">
        <v>233</v>
      </c>
      <c r="E218" s="84">
        <v>600.0</v>
      </c>
      <c r="F218" s="30">
        <v>2400.0</v>
      </c>
      <c r="G218" s="76">
        <v>44750.0</v>
      </c>
    </row>
    <row r="219">
      <c r="C219" s="84" t="s">
        <v>71</v>
      </c>
      <c r="D219" s="84" t="s">
        <v>217</v>
      </c>
      <c r="E219" s="84">
        <v>60.0</v>
      </c>
      <c r="F219" s="30">
        <v>600.0</v>
      </c>
      <c r="G219" s="76">
        <v>44750.0</v>
      </c>
    </row>
    <row r="220">
      <c r="C220" s="84" t="s">
        <v>260</v>
      </c>
      <c r="D220" s="84" t="s">
        <v>75</v>
      </c>
      <c r="E220" s="84" t="s">
        <v>75</v>
      </c>
      <c r="F220" s="30">
        <v>4000.0</v>
      </c>
      <c r="G220" s="76">
        <v>44750.0</v>
      </c>
    </row>
    <row r="221">
      <c r="C221" s="84" t="s">
        <v>196</v>
      </c>
      <c r="D221" s="84">
        <v>3.0</v>
      </c>
      <c r="E221" s="84">
        <v>300.0</v>
      </c>
      <c r="F221" s="30">
        <v>900.0</v>
      </c>
      <c r="G221" s="76">
        <v>44750.0</v>
      </c>
    </row>
    <row r="222">
      <c r="C222" s="84" t="s">
        <v>261</v>
      </c>
      <c r="D222" s="84" t="s">
        <v>75</v>
      </c>
      <c r="E222" s="84" t="s">
        <v>75</v>
      </c>
      <c r="F222" s="30">
        <v>400.0</v>
      </c>
      <c r="G222" s="76">
        <v>44750.0</v>
      </c>
    </row>
    <row r="223">
      <c r="C223" s="84" t="s">
        <v>94</v>
      </c>
      <c r="D223" s="84">
        <v>5.0</v>
      </c>
      <c r="E223" s="84">
        <v>180.0</v>
      </c>
      <c r="F223" s="30">
        <v>900.0</v>
      </c>
      <c r="G223" s="76">
        <v>44750.0</v>
      </c>
    </row>
    <row r="224">
      <c r="C224" s="84" t="s">
        <v>201</v>
      </c>
      <c r="D224" s="84" t="s">
        <v>77</v>
      </c>
      <c r="E224" s="84">
        <v>190.0</v>
      </c>
      <c r="F224" s="30">
        <v>190.0</v>
      </c>
      <c r="G224" s="76">
        <v>44750.0</v>
      </c>
    </row>
    <row r="225">
      <c r="C225" s="84" t="s">
        <v>262</v>
      </c>
      <c r="D225" s="84">
        <v>2.0</v>
      </c>
      <c r="E225" s="84">
        <v>100.0</v>
      </c>
      <c r="F225" s="30">
        <v>200.0</v>
      </c>
      <c r="G225" s="76">
        <v>44750.0</v>
      </c>
    </row>
    <row r="226">
      <c r="C226" s="84" t="s">
        <v>263</v>
      </c>
      <c r="D226" s="84">
        <v>2.0</v>
      </c>
      <c r="E226" s="84">
        <v>400.0</v>
      </c>
      <c r="F226" s="30">
        <v>800.0</v>
      </c>
      <c r="G226" s="76">
        <v>44750.0</v>
      </c>
    </row>
    <row r="227">
      <c r="C227" s="84" t="s">
        <v>79</v>
      </c>
      <c r="D227" s="84">
        <v>1.0</v>
      </c>
      <c r="E227" s="84">
        <v>2850.0</v>
      </c>
      <c r="F227" s="20">
        <f t="shared" ref="F227:F238" si="9">E227*D227</f>
        <v>2850</v>
      </c>
      <c r="G227" s="76">
        <v>44753.0</v>
      </c>
    </row>
    <row r="228">
      <c r="C228" s="84" t="s">
        <v>264</v>
      </c>
      <c r="D228" s="84">
        <v>2.0</v>
      </c>
      <c r="E228" s="84">
        <v>1175.0</v>
      </c>
      <c r="F228" s="20">
        <f t="shared" si="9"/>
        <v>2350</v>
      </c>
      <c r="G228" s="89">
        <v>44753.0</v>
      </c>
    </row>
    <row r="229">
      <c r="C229" s="84" t="s">
        <v>136</v>
      </c>
      <c r="D229" s="84">
        <v>10.0</v>
      </c>
      <c r="E229" s="84">
        <v>195.0</v>
      </c>
      <c r="F229" s="20">
        <f t="shared" si="9"/>
        <v>1950</v>
      </c>
      <c r="G229" s="89">
        <v>44753.0</v>
      </c>
    </row>
    <row r="230">
      <c r="C230" s="84" t="s">
        <v>135</v>
      </c>
      <c r="D230" s="84">
        <v>5.0</v>
      </c>
      <c r="E230" s="84">
        <v>630.0</v>
      </c>
      <c r="F230" s="20">
        <f t="shared" si="9"/>
        <v>3150</v>
      </c>
      <c r="G230" s="89">
        <v>44753.0</v>
      </c>
    </row>
    <row r="231">
      <c r="C231" s="84" t="s">
        <v>265</v>
      </c>
      <c r="D231" s="84">
        <v>3.0</v>
      </c>
      <c r="E231" s="84">
        <v>100.0</v>
      </c>
      <c r="F231" s="20">
        <f t="shared" si="9"/>
        <v>300</v>
      </c>
      <c r="G231" s="89">
        <v>44753.0</v>
      </c>
    </row>
    <row r="232">
      <c r="C232" s="84" t="s">
        <v>266</v>
      </c>
      <c r="D232" s="84">
        <v>1.0</v>
      </c>
      <c r="E232" s="84">
        <v>1550.0</v>
      </c>
      <c r="F232" s="20">
        <f t="shared" si="9"/>
        <v>1550</v>
      </c>
      <c r="G232" s="89">
        <v>44753.0</v>
      </c>
    </row>
    <row r="233">
      <c r="C233" s="84" t="s">
        <v>267</v>
      </c>
      <c r="D233" s="84">
        <v>6.0</v>
      </c>
      <c r="E233" s="84">
        <v>420.0</v>
      </c>
      <c r="F233" s="20">
        <f t="shared" si="9"/>
        <v>2520</v>
      </c>
      <c r="G233" s="89">
        <v>44753.0</v>
      </c>
    </row>
    <row r="234">
      <c r="C234" s="84" t="s">
        <v>268</v>
      </c>
      <c r="D234" s="84">
        <v>2.0</v>
      </c>
      <c r="E234" s="84">
        <v>588.0</v>
      </c>
      <c r="F234" s="20">
        <f t="shared" si="9"/>
        <v>1176</v>
      </c>
      <c r="G234" s="89">
        <v>44753.0</v>
      </c>
    </row>
    <row r="235">
      <c r="C235" s="84" t="s">
        <v>269</v>
      </c>
      <c r="D235" s="84">
        <v>1.0</v>
      </c>
      <c r="E235" s="84">
        <v>350.0</v>
      </c>
      <c r="F235" s="20">
        <f t="shared" si="9"/>
        <v>350</v>
      </c>
      <c r="G235" s="89">
        <v>44753.0</v>
      </c>
    </row>
    <row r="236">
      <c r="C236" s="84" t="s">
        <v>71</v>
      </c>
      <c r="D236" s="84">
        <v>11.0</v>
      </c>
      <c r="E236" s="84">
        <v>80.0</v>
      </c>
      <c r="F236" s="20">
        <f t="shared" si="9"/>
        <v>880</v>
      </c>
      <c r="G236" s="89">
        <v>44753.0</v>
      </c>
    </row>
    <row r="237">
      <c r="C237" s="84" t="s">
        <v>270</v>
      </c>
      <c r="D237" s="84">
        <v>5.0</v>
      </c>
      <c r="E237" s="84">
        <v>90.0</v>
      </c>
      <c r="F237" s="20">
        <f t="shared" si="9"/>
        <v>450</v>
      </c>
      <c r="G237" s="89">
        <v>44753.0</v>
      </c>
    </row>
    <row r="238">
      <c r="C238" s="84" t="s">
        <v>271</v>
      </c>
      <c r="D238" s="84">
        <v>20.0</v>
      </c>
      <c r="E238" s="84">
        <v>60.0</v>
      </c>
      <c r="F238" s="20">
        <f t="shared" si="9"/>
        <v>1200</v>
      </c>
      <c r="G238" s="89">
        <v>44753.0</v>
      </c>
    </row>
    <row r="239">
      <c r="C239" s="84" t="s">
        <v>272</v>
      </c>
      <c r="D239" s="29"/>
      <c r="E239" s="84">
        <v>510.0</v>
      </c>
      <c r="F239" s="30">
        <v>510.0</v>
      </c>
      <c r="G239" s="89">
        <v>44753.0</v>
      </c>
    </row>
    <row r="240">
      <c r="C240" s="84" t="s">
        <v>273</v>
      </c>
      <c r="D240" s="84"/>
      <c r="E240" s="84">
        <v>300.0</v>
      </c>
      <c r="F240" s="30">
        <v>300.0</v>
      </c>
      <c r="G240" s="89">
        <v>44753.0</v>
      </c>
    </row>
    <row r="241">
      <c r="C241" s="84" t="s">
        <v>274</v>
      </c>
      <c r="D241" s="84">
        <v>1.0</v>
      </c>
      <c r="E241" s="84">
        <v>140.0</v>
      </c>
      <c r="F241" s="20">
        <f t="shared" ref="F241:F302" si="10">E241*D241</f>
        <v>140</v>
      </c>
      <c r="G241" s="89">
        <v>44753.0</v>
      </c>
    </row>
    <row r="242">
      <c r="C242" s="84" t="s">
        <v>275</v>
      </c>
      <c r="D242" s="84">
        <v>9.0</v>
      </c>
      <c r="E242" s="84">
        <v>230.0</v>
      </c>
      <c r="F242" s="20">
        <f t="shared" si="10"/>
        <v>2070</v>
      </c>
      <c r="G242" s="76">
        <v>44754.0</v>
      </c>
    </row>
    <row r="243">
      <c r="C243" s="41" t="s">
        <v>138</v>
      </c>
      <c r="D243" s="84">
        <v>9.0</v>
      </c>
      <c r="E243" s="90">
        <v>350.0</v>
      </c>
      <c r="F243" s="20">
        <f t="shared" si="10"/>
        <v>3150</v>
      </c>
      <c r="G243" s="83">
        <v>44759.0</v>
      </c>
    </row>
    <row r="244">
      <c r="C244" s="29"/>
      <c r="D244" s="84">
        <v>3.0</v>
      </c>
      <c r="E244" s="84">
        <v>260.0</v>
      </c>
      <c r="F244" s="20">
        <f t="shared" si="10"/>
        <v>780</v>
      </c>
      <c r="G244" s="76">
        <v>44754.0</v>
      </c>
    </row>
    <row r="245">
      <c r="C245" s="84" t="s">
        <v>276</v>
      </c>
      <c r="D245" s="84">
        <v>4.0</v>
      </c>
      <c r="E245" s="84">
        <v>115.0</v>
      </c>
      <c r="F245" s="20">
        <f t="shared" si="10"/>
        <v>460</v>
      </c>
      <c r="G245" s="76">
        <v>44754.0</v>
      </c>
    </row>
    <row r="246">
      <c r="C246" s="84" t="s">
        <v>277</v>
      </c>
      <c r="D246" s="84">
        <v>2.0</v>
      </c>
      <c r="E246" s="84">
        <v>380.0</v>
      </c>
      <c r="F246" s="20">
        <f t="shared" si="10"/>
        <v>760</v>
      </c>
      <c r="G246" s="76">
        <v>44754.0</v>
      </c>
    </row>
    <row r="247">
      <c r="C247" s="84" t="s">
        <v>278</v>
      </c>
      <c r="D247" s="84">
        <v>3.0</v>
      </c>
      <c r="E247" s="84">
        <v>140.0</v>
      </c>
      <c r="F247" s="20">
        <f t="shared" si="10"/>
        <v>420</v>
      </c>
      <c r="G247" s="76">
        <v>44754.0</v>
      </c>
    </row>
    <row r="248">
      <c r="C248" s="84" t="s">
        <v>279</v>
      </c>
      <c r="D248" s="84">
        <v>1.0</v>
      </c>
      <c r="E248" s="84">
        <v>625.0</v>
      </c>
      <c r="F248" s="20">
        <f t="shared" si="10"/>
        <v>625</v>
      </c>
      <c r="G248" s="76">
        <v>44754.0</v>
      </c>
    </row>
    <row r="249">
      <c r="C249" s="84" t="s">
        <v>280</v>
      </c>
      <c r="D249" s="84">
        <v>1.0</v>
      </c>
      <c r="E249" s="84">
        <v>750.0</v>
      </c>
      <c r="F249" s="20">
        <f t="shared" si="10"/>
        <v>750</v>
      </c>
      <c r="G249" s="76">
        <v>44754.0</v>
      </c>
    </row>
    <row r="250">
      <c r="C250" s="84" t="s">
        <v>281</v>
      </c>
      <c r="D250" s="84">
        <v>1.0</v>
      </c>
      <c r="E250" s="84">
        <v>1450.0</v>
      </c>
      <c r="F250" s="20">
        <f t="shared" si="10"/>
        <v>1450</v>
      </c>
      <c r="G250" s="76">
        <v>44754.0</v>
      </c>
    </row>
    <row r="251">
      <c r="C251" s="84" t="s">
        <v>282</v>
      </c>
      <c r="D251" s="84">
        <v>2.0</v>
      </c>
      <c r="E251" s="84">
        <v>200.0</v>
      </c>
      <c r="F251" s="20">
        <f t="shared" si="10"/>
        <v>400</v>
      </c>
      <c r="G251" s="76">
        <v>44754.0</v>
      </c>
    </row>
    <row r="252">
      <c r="C252" s="84" t="s">
        <v>283</v>
      </c>
      <c r="D252" s="84">
        <v>1.0</v>
      </c>
      <c r="E252" s="84">
        <v>150.0</v>
      </c>
      <c r="F252" s="20">
        <f t="shared" si="10"/>
        <v>150</v>
      </c>
      <c r="G252" s="76">
        <v>44754.0</v>
      </c>
    </row>
    <row r="253">
      <c r="C253" s="84" t="s">
        <v>284</v>
      </c>
      <c r="D253" s="84">
        <v>20.0</v>
      </c>
      <c r="E253" s="84">
        <v>70.0</v>
      </c>
      <c r="F253" s="20">
        <f t="shared" si="10"/>
        <v>1400</v>
      </c>
      <c r="G253" s="76">
        <v>44754.0</v>
      </c>
    </row>
    <row r="254">
      <c r="C254" s="84" t="s">
        <v>191</v>
      </c>
      <c r="D254" s="84">
        <v>5.0</v>
      </c>
      <c r="E254" s="84">
        <v>900.0</v>
      </c>
      <c r="F254" s="20">
        <f t="shared" si="10"/>
        <v>4500</v>
      </c>
      <c r="G254" s="76">
        <v>44754.0</v>
      </c>
    </row>
    <row r="255">
      <c r="C255" s="84" t="s">
        <v>285</v>
      </c>
      <c r="D255" s="84">
        <v>12.0</v>
      </c>
      <c r="E255" s="84">
        <v>200.0</v>
      </c>
      <c r="F255" s="20">
        <f t="shared" si="10"/>
        <v>2400</v>
      </c>
      <c r="G255" s="76">
        <v>44754.0</v>
      </c>
    </row>
    <row r="256">
      <c r="C256" s="84" t="s">
        <v>286</v>
      </c>
      <c r="D256" s="84">
        <v>5.0</v>
      </c>
      <c r="E256" s="84">
        <v>400.0</v>
      </c>
      <c r="F256" s="20">
        <f t="shared" si="10"/>
        <v>2000</v>
      </c>
      <c r="G256" s="76">
        <v>44754.0</v>
      </c>
    </row>
    <row r="257">
      <c r="C257" s="84" t="s">
        <v>287</v>
      </c>
      <c r="D257" s="84">
        <v>20.0</v>
      </c>
      <c r="E257" s="84">
        <v>10.0</v>
      </c>
      <c r="F257" s="20">
        <f t="shared" si="10"/>
        <v>200</v>
      </c>
      <c r="G257" s="76">
        <v>44754.0</v>
      </c>
    </row>
    <row r="258">
      <c r="C258" s="84" t="s">
        <v>288</v>
      </c>
      <c r="D258" s="84">
        <v>1.0</v>
      </c>
      <c r="E258" s="84">
        <v>450.0</v>
      </c>
      <c r="F258" s="20">
        <f t="shared" si="10"/>
        <v>450</v>
      </c>
      <c r="G258" s="76">
        <v>44754.0</v>
      </c>
    </row>
    <row r="259">
      <c r="C259" s="84" t="s">
        <v>289</v>
      </c>
      <c r="D259" s="84">
        <v>1.0</v>
      </c>
      <c r="E259" s="84">
        <v>500.0</v>
      </c>
      <c r="F259" s="20">
        <f t="shared" si="10"/>
        <v>500</v>
      </c>
      <c r="G259" s="76">
        <v>44754.0</v>
      </c>
    </row>
    <row r="260">
      <c r="C260" s="84" t="s">
        <v>290</v>
      </c>
      <c r="D260" s="84">
        <v>4.0</v>
      </c>
      <c r="E260" s="84">
        <v>900.0</v>
      </c>
      <c r="F260" s="20">
        <f t="shared" si="10"/>
        <v>3600</v>
      </c>
      <c r="G260" s="76">
        <v>44755.0</v>
      </c>
    </row>
    <row r="261">
      <c r="C261" s="84" t="s">
        <v>291</v>
      </c>
      <c r="D261" s="84">
        <v>2.0</v>
      </c>
      <c r="E261" s="84">
        <v>350.0</v>
      </c>
      <c r="F261" s="20">
        <f t="shared" si="10"/>
        <v>700</v>
      </c>
      <c r="G261" s="76">
        <v>44755.0</v>
      </c>
    </row>
    <row r="262">
      <c r="C262" s="84" t="s">
        <v>292</v>
      </c>
      <c r="D262" s="84">
        <v>1.0</v>
      </c>
      <c r="E262" s="84">
        <v>350.0</v>
      </c>
      <c r="F262" s="20">
        <f t="shared" si="10"/>
        <v>350</v>
      </c>
      <c r="G262" s="76">
        <v>44755.0</v>
      </c>
    </row>
    <row r="263">
      <c r="C263" s="84" t="s">
        <v>293</v>
      </c>
      <c r="D263" s="84">
        <v>1.0</v>
      </c>
      <c r="E263" s="84">
        <v>200.0</v>
      </c>
      <c r="F263" s="20">
        <f t="shared" si="10"/>
        <v>200</v>
      </c>
      <c r="G263" s="76">
        <v>44755.0</v>
      </c>
    </row>
    <row r="264">
      <c r="C264" s="84" t="s">
        <v>294</v>
      </c>
      <c r="D264" s="84">
        <v>1.0</v>
      </c>
      <c r="E264" s="84">
        <v>340.0</v>
      </c>
      <c r="F264" s="20">
        <f t="shared" si="10"/>
        <v>340</v>
      </c>
      <c r="G264" s="76">
        <v>44755.0</v>
      </c>
    </row>
    <row r="265">
      <c r="C265" s="84" t="s">
        <v>295</v>
      </c>
      <c r="D265" s="84">
        <v>2.0</v>
      </c>
      <c r="E265" s="84">
        <v>210.0</v>
      </c>
      <c r="F265" s="20">
        <f t="shared" si="10"/>
        <v>420</v>
      </c>
      <c r="G265" s="76">
        <v>44755.0</v>
      </c>
    </row>
    <row r="266">
      <c r="C266" s="84" t="s">
        <v>296</v>
      </c>
      <c r="D266" s="84">
        <v>1.0</v>
      </c>
      <c r="E266" s="84">
        <v>530.0</v>
      </c>
      <c r="F266" s="20">
        <f t="shared" si="10"/>
        <v>530</v>
      </c>
      <c r="G266" s="76">
        <v>44755.0</v>
      </c>
    </row>
    <row r="267">
      <c r="C267" s="84" t="s">
        <v>297</v>
      </c>
      <c r="D267" s="84">
        <v>1.0</v>
      </c>
      <c r="E267" s="84">
        <v>250.0</v>
      </c>
      <c r="F267" s="20">
        <f t="shared" si="10"/>
        <v>250</v>
      </c>
      <c r="G267" s="76">
        <v>44755.0</v>
      </c>
    </row>
    <row r="268">
      <c r="C268" s="84" t="s">
        <v>298</v>
      </c>
      <c r="D268" s="84">
        <v>1.0</v>
      </c>
      <c r="E268" s="84">
        <v>1800.0</v>
      </c>
      <c r="F268" s="20">
        <f t="shared" si="10"/>
        <v>1800</v>
      </c>
      <c r="G268" s="76">
        <v>44755.0</v>
      </c>
    </row>
    <row r="269">
      <c r="C269" s="84" t="s">
        <v>299</v>
      </c>
      <c r="D269" s="84">
        <v>4.0</v>
      </c>
      <c r="E269" s="84">
        <v>120.0</v>
      </c>
      <c r="F269" s="20">
        <f t="shared" si="10"/>
        <v>480</v>
      </c>
      <c r="G269" s="76">
        <v>44755.0</v>
      </c>
    </row>
    <row r="270">
      <c r="C270" s="84" t="s">
        <v>300</v>
      </c>
      <c r="D270" s="84">
        <v>3.0</v>
      </c>
      <c r="E270" s="84">
        <v>120.0</v>
      </c>
      <c r="F270" s="20">
        <f t="shared" si="10"/>
        <v>360</v>
      </c>
      <c r="G270" s="76">
        <v>44755.0</v>
      </c>
    </row>
    <row r="271">
      <c r="C271" s="84" t="s">
        <v>301</v>
      </c>
      <c r="D271" s="84">
        <v>2.0</v>
      </c>
      <c r="E271" s="84">
        <v>2950.0</v>
      </c>
      <c r="F271" s="20">
        <f t="shared" si="10"/>
        <v>5900</v>
      </c>
      <c r="G271" s="76">
        <v>44755.0</v>
      </c>
    </row>
    <row r="272">
      <c r="C272" s="84" t="s">
        <v>302</v>
      </c>
      <c r="D272" s="84">
        <v>1.0</v>
      </c>
      <c r="E272" s="84">
        <v>2080.0</v>
      </c>
      <c r="F272" s="20">
        <f t="shared" si="10"/>
        <v>2080</v>
      </c>
      <c r="G272" s="76">
        <v>44755.0</v>
      </c>
    </row>
    <row r="273">
      <c r="C273" s="84" t="s">
        <v>303</v>
      </c>
      <c r="D273" s="84">
        <v>1.0</v>
      </c>
      <c r="E273" s="84">
        <v>800.0</v>
      </c>
      <c r="F273" s="20">
        <f t="shared" si="10"/>
        <v>800</v>
      </c>
      <c r="G273" s="76">
        <v>44755.0</v>
      </c>
    </row>
    <row r="274">
      <c r="C274" s="84" t="s">
        <v>304</v>
      </c>
      <c r="D274" s="84">
        <v>40.0</v>
      </c>
      <c r="E274" s="84">
        <v>55.0</v>
      </c>
      <c r="F274" s="20">
        <f t="shared" si="10"/>
        <v>2200</v>
      </c>
      <c r="G274" s="76">
        <v>44755.0</v>
      </c>
    </row>
    <row r="275">
      <c r="C275" s="84" t="s">
        <v>305</v>
      </c>
      <c r="D275" s="84">
        <v>1.0</v>
      </c>
      <c r="E275" s="84">
        <v>100.0</v>
      </c>
      <c r="F275" s="20">
        <f t="shared" si="10"/>
        <v>100</v>
      </c>
      <c r="G275" s="76">
        <v>44755.0</v>
      </c>
    </row>
    <row r="276">
      <c r="C276" s="84" t="s">
        <v>306</v>
      </c>
      <c r="D276" s="84">
        <v>5.0</v>
      </c>
      <c r="E276" s="84">
        <v>336.0</v>
      </c>
      <c r="F276" s="20">
        <f t="shared" si="10"/>
        <v>1680</v>
      </c>
      <c r="G276" s="76">
        <v>44755.0</v>
      </c>
    </row>
    <row r="277">
      <c r="C277" s="84" t="s">
        <v>307</v>
      </c>
      <c r="D277" s="84">
        <v>1.0</v>
      </c>
      <c r="E277" s="84">
        <v>270.0</v>
      </c>
      <c r="F277" s="20">
        <f t="shared" si="10"/>
        <v>270</v>
      </c>
      <c r="G277" s="76">
        <v>44755.0</v>
      </c>
    </row>
    <row r="278">
      <c r="C278" s="84" t="s">
        <v>308</v>
      </c>
      <c r="D278" s="84">
        <v>1.0</v>
      </c>
      <c r="E278" s="84">
        <v>2600.0</v>
      </c>
      <c r="F278" s="20">
        <f t="shared" si="10"/>
        <v>2600</v>
      </c>
      <c r="G278" s="76">
        <v>44755.0</v>
      </c>
    </row>
    <row r="279">
      <c r="C279" s="84" t="s">
        <v>281</v>
      </c>
      <c r="D279" s="84">
        <v>1.0</v>
      </c>
      <c r="E279" s="84">
        <v>1450.0</v>
      </c>
      <c r="F279" s="20">
        <f t="shared" si="10"/>
        <v>1450</v>
      </c>
      <c r="G279" s="76">
        <v>44755.0</v>
      </c>
    </row>
    <row r="280">
      <c r="C280" s="84" t="s">
        <v>282</v>
      </c>
      <c r="D280" s="84">
        <v>10.0</v>
      </c>
      <c r="E280" s="84">
        <v>150.0</v>
      </c>
      <c r="F280" s="20">
        <f t="shared" si="10"/>
        <v>1500</v>
      </c>
      <c r="G280" s="76">
        <v>44755.0</v>
      </c>
    </row>
    <row r="281">
      <c r="C281" s="84" t="s">
        <v>309</v>
      </c>
      <c r="D281" s="84">
        <v>10.0</v>
      </c>
      <c r="E281" s="84">
        <v>60.0</v>
      </c>
      <c r="F281" s="20">
        <f t="shared" si="10"/>
        <v>600</v>
      </c>
      <c r="G281" s="76">
        <v>44755.0</v>
      </c>
    </row>
    <row r="282">
      <c r="C282" s="84" t="s">
        <v>310</v>
      </c>
      <c r="D282" s="84">
        <v>10.0</v>
      </c>
      <c r="E282" s="84">
        <v>120.0</v>
      </c>
      <c r="F282" s="20">
        <f t="shared" si="10"/>
        <v>1200</v>
      </c>
      <c r="G282" s="76">
        <v>44755.0</v>
      </c>
    </row>
    <row r="283">
      <c r="C283" s="84" t="s">
        <v>285</v>
      </c>
      <c r="D283" s="84">
        <v>25.0</v>
      </c>
      <c r="E283" s="84">
        <v>130.0</v>
      </c>
      <c r="F283" s="20">
        <f t="shared" si="10"/>
        <v>3250</v>
      </c>
      <c r="G283" s="76">
        <v>44755.0</v>
      </c>
    </row>
    <row r="284">
      <c r="C284" s="84" t="s">
        <v>311</v>
      </c>
      <c r="D284" s="84">
        <v>2.0</v>
      </c>
      <c r="E284" s="84">
        <v>60.0</v>
      </c>
      <c r="F284" s="20">
        <f t="shared" si="10"/>
        <v>120</v>
      </c>
      <c r="G284" s="76">
        <v>44755.0</v>
      </c>
    </row>
    <row r="285">
      <c r="C285" s="84" t="s">
        <v>312</v>
      </c>
      <c r="D285" s="84">
        <v>2.0</v>
      </c>
      <c r="E285" s="84">
        <v>75.0</v>
      </c>
      <c r="F285" s="20">
        <f t="shared" si="10"/>
        <v>150</v>
      </c>
      <c r="G285" s="76">
        <v>44755.0</v>
      </c>
    </row>
    <row r="286">
      <c r="C286" s="84" t="s">
        <v>274</v>
      </c>
      <c r="D286" s="84">
        <v>1.0</v>
      </c>
      <c r="E286" s="84">
        <v>350.0</v>
      </c>
      <c r="F286" s="20">
        <f t="shared" si="10"/>
        <v>350</v>
      </c>
      <c r="G286" s="76">
        <v>44755.0</v>
      </c>
    </row>
    <row r="287">
      <c r="C287" s="84" t="s">
        <v>313</v>
      </c>
      <c r="D287" s="84">
        <v>1.0</v>
      </c>
      <c r="E287" s="84">
        <v>8900.0</v>
      </c>
      <c r="F287" s="20">
        <f t="shared" si="10"/>
        <v>8900</v>
      </c>
      <c r="G287" s="76">
        <v>44755.0</v>
      </c>
    </row>
    <row r="288">
      <c r="C288" s="84" t="s">
        <v>314</v>
      </c>
      <c r="D288" s="84">
        <v>5.3</v>
      </c>
      <c r="E288" s="84">
        <v>850.0</v>
      </c>
      <c r="F288" s="20">
        <f t="shared" si="10"/>
        <v>4505</v>
      </c>
      <c r="G288" s="76">
        <v>44755.0</v>
      </c>
    </row>
    <row r="289">
      <c r="C289" s="84" t="s">
        <v>315</v>
      </c>
      <c r="D289" s="84">
        <v>4.0</v>
      </c>
      <c r="E289" s="84">
        <v>300.0</v>
      </c>
      <c r="F289" s="20">
        <f t="shared" si="10"/>
        <v>1200</v>
      </c>
      <c r="G289" s="76">
        <v>44756.0</v>
      </c>
    </row>
    <row r="290">
      <c r="C290" s="84" t="s">
        <v>316</v>
      </c>
      <c r="D290" s="84">
        <v>20.0</v>
      </c>
      <c r="E290" s="84">
        <v>45.0</v>
      </c>
      <c r="F290" s="20">
        <f t="shared" si="10"/>
        <v>900</v>
      </c>
      <c r="G290" s="76">
        <v>44757.0</v>
      </c>
    </row>
    <row r="291">
      <c r="C291" s="84" t="s">
        <v>317</v>
      </c>
      <c r="D291" s="84">
        <v>1.0</v>
      </c>
      <c r="E291" s="84">
        <v>1000.0</v>
      </c>
      <c r="F291" s="20">
        <f t="shared" si="10"/>
        <v>1000</v>
      </c>
      <c r="G291" s="76">
        <v>44757.0</v>
      </c>
    </row>
    <row r="292">
      <c r="C292" s="84" t="s">
        <v>318</v>
      </c>
      <c r="D292" s="84">
        <v>7.0</v>
      </c>
      <c r="E292" s="84">
        <v>780.0</v>
      </c>
      <c r="F292" s="20">
        <f t="shared" si="10"/>
        <v>5460</v>
      </c>
      <c r="G292" s="76">
        <v>44758.0</v>
      </c>
    </row>
    <row r="293">
      <c r="C293" s="84" t="s">
        <v>319</v>
      </c>
      <c r="D293" s="84">
        <v>60.0</v>
      </c>
      <c r="E293" s="84">
        <v>55.0</v>
      </c>
      <c r="F293" s="20">
        <f t="shared" si="10"/>
        <v>3300</v>
      </c>
      <c r="G293" s="76">
        <v>44758.0</v>
      </c>
    </row>
    <row r="294">
      <c r="C294" s="84" t="s">
        <v>229</v>
      </c>
      <c r="D294" s="84">
        <v>1.0</v>
      </c>
      <c r="E294" s="84">
        <v>550.0</v>
      </c>
      <c r="F294" s="20">
        <f t="shared" si="10"/>
        <v>550</v>
      </c>
      <c r="G294" s="91">
        <v>44758.0</v>
      </c>
    </row>
    <row r="295">
      <c r="C295" s="84" t="s">
        <v>320</v>
      </c>
      <c r="D295" s="84">
        <v>5.0</v>
      </c>
      <c r="E295" s="84">
        <v>500.0</v>
      </c>
      <c r="F295" s="20">
        <f t="shared" si="10"/>
        <v>2500</v>
      </c>
      <c r="G295" s="76">
        <v>44758.0</v>
      </c>
    </row>
    <row r="296">
      <c r="C296" s="84" t="s">
        <v>252</v>
      </c>
      <c r="D296" s="84">
        <v>2.5</v>
      </c>
      <c r="E296" s="84">
        <v>40.0</v>
      </c>
      <c r="F296" s="20">
        <f t="shared" si="10"/>
        <v>100</v>
      </c>
      <c r="G296" s="76">
        <v>44758.0</v>
      </c>
    </row>
    <row r="297">
      <c r="C297" s="84" t="s">
        <v>303</v>
      </c>
      <c r="D297" s="84">
        <v>3.0</v>
      </c>
      <c r="E297" s="84">
        <v>80.0</v>
      </c>
      <c r="F297" s="20">
        <f t="shared" si="10"/>
        <v>240</v>
      </c>
      <c r="G297" s="76">
        <v>44758.0</v>
      </c>
    </row>
    <row r="298">
      <c r="C298" s="84" t="s">
        <v>321</v>
      </c>
      <c r="D298" s="84">
        <v>8.0</v>
      </c>
      <c r="E298" s="84">
        <v>30.0</v>
      </c>
      <c r="F298" s="20">
        <f t="shared" si="10"/>
        <v>240</v>
      </c>
      <c r="G298" s="76">
        <v>44758.0</v>
      </c>
    </row>
    <row r="299">
      <c r="C299" s="84" t="s">
        <v>284</v>
      </c>
      <c r="D299" s="84">
        <v>20.0</v>
      </c>
      <c r="E299" s="84">
        <v>65.0</v>
      </c>
      <c r="F299" s="20">
        <f t="shared" si="10"/>
        <v>1300</v>
      </c>
      <c r="G299" s="76">
        <v>44758.0</v>
      </c>
    </row>
    <row r="300">
      <c r="C300" s="84" t="s">
        <v>322</v>
      </c>
      <c r="D300" s="84">
        <v>20.0</v>
      </c>
      <c r="E300" s="84">
        <v>50.0</v>
      </c>
      <c r="F300" s="20">
        <f t="shared" si="10"/>
        <v>1000</v>
      </c>
      <c r="G300" s="76">
        <v>44758.0</v>
      </c>
    </row>
    <row r="301">
      <c r="C301" s="84" t="s">
        <v>323</v>
      </c>
      <c r="D301" s="84">
        <v>1.0</v>
      </c>
      <c r="E301" s="84">
        <v>500.0</v>
      </c>
      <c r="F301" s="20">
        <f t="shared" si="10"/>
        <v>500</v>
      </c>
      <c r="G301" s="76">
        <v>44759.0</v>
      </c>
    </row>
    <row r="302">
      <c r="C302" s="84" t="s">
        <v>324</v>
      </c>
      <c r="D302" s="84">
        <v>1.0</v>
      </c>
      <c r="E302" s="84">
        <v>250.0</v>
      </c>
      <c r="F302" s="20">
        <f t="shared" si="10"/>
        <v>250</v>
      </c>
      <c r="G302" s="76">
        <v>44759.0</v>
      </c>
    </row>
    <row r="303">
      <c r="C303" s="84" t="s">
        <v>325</v>
      </c>
      <c r="D303" s="84">
        <v>1.0</v>
      </c>
      <c r="E303" s="84">
        <v>200.0</v>
      </c>
      <c r="F303" s="30">
        <v>200.0</v>
      </c>
      <c r="G303" s="76">
        <v>44759.0</v>
      </c>
    </row>
    <row r="304">
      <c r="C304" s="84" t="s">
        <v>326</v>
      </c>
      <c r="D304" s="84">
        <v>1.0</v>
      </c>
      <c r="E304" s="84">
        <v>300.0</v>
      </c>
      <c r="F304" s="20">
        <f t="shared" ref="F304:F315" si="11">E304*D304</f>
        <v>300</v>
      </c>
      <c r="G304" s="76">
        <v>44759.0</v>
      </c>
    </row>
    <row r="305">
      <c r="C305" s="84" t="s">
        <v>327</v>
      </c>
      <c r="D305" s="84">
        <v>2.0</v>
      </c>
      <c r="E305" s="84">
        <v>650.0</v>
      </c>
      <c r="F305" s="20">
        <f t="shared" si="11"/>
        <v>1300</v>
      </c>
      <c r="G305" s="76">
        <v>44759.0</v>
      </c>
    </row>
    <row r="306">
      <c r="C306" s="84" t="s">
        <v>328</v>
      </c>
      <c r="D306" s="84">
        <v>1.0</v>
      </c>
      <c r="E306" s="84">
        <v>600.0</v>
      </c>
      <c r="F306" s="20">
        <f t="shared" si="11"/>
        <v>600</v>
      </c>
      <c r="G306" s="76">
        <v>44759.0</v>
      </c>
    </row>
    <row r="307">
      <c r="C307" s="84" t="s">
        <v>278</v>
      </c>
      <c r="D307" s="84">
        <v>6.0</v>
      </c>
      <c r="E307" s="84">
        <v>140.0</v>
      </c>
      <c r="F307" s="20">
        <f t="shared" si="11"/>
        <v>840</v>
      </c>
      <c r="G307" s="76">
        <v>44759.0</v>
      </c>
    </row>
    <row r="308">
      <c r="C308" s="84" t="s">
        <v>329</v>
      </c>
      <c r="D308" s="84">
        <v>2.0</v>
      </c>
      <c r="E308" s="84">
        <v>2000.0</v>
      </c>
      <c r="F308" s="20">
        <f t="shared" si="11"/>
        <v>4000</v>
      </c>
      <c r="G308" s="76">
        <v>44759.0</v>
      </c>
    </row>
    <row r="309">
      <c r="C309" s="84" t="s">
        <v>330</v>
      </c>
      <c r="D309" s="84">
        <v>5.0</v>
      </c>
      <c r="E309" s="84">
        <v>350.0</v>
      </c>
      <c r="F309" s="20">
        <f t="shared" si="11"/>
        <v>1750</v>
      </c>
      <c r="G309" s="76">
        <v>44759.0</v>
      </c>
    </row>
    <row r="310">
      <c r="C310" s="84" t="s">
        <v>331</v>
      </c>
      <c r="D310" s="84">
        <v>1.0</v>
      </c>
      <c r="E310" s="84">
        <v>400.0</v>
      </c>
      <c r="F310" s="20">
        <f t="shared" si="11"/>
        <v>400</v>
      </c>
      <c r="G310" s="76">
        <v>44759.0</v>
      </c>
    </row>
    <row r="311">
      <c r="C311" s="84" t="s">
        <v>332</v>
      </c>
      <c r="D311" s="84">
        <v>5.0</v>
      </c>
      <c r="E311" s="84">
        <v>190.0</v>
      </c>
      <c r="F311" s="20">
        <f t="shared" si="11"/>
        <v>950</v>
      </c>
      <c r="G311" s="76">
        <v>44759.0</v>
      </c>
    </row>
    <row r="312">
      <c r="C312" s="84" t="s">
        <v>333</v>
      </c>
      <c r="D312" s="84">
        <v>1.0</v>
      </c>
      <c r="E312" s="84">
        <v>1450.0</v>
      </c>
      <c r="F312" s="20">
        <f t="shared" si="11"/>
        <v>1450</v>
      </c>
      <c r="G312" s="76">
        <v>44759.0</v>
      </c>
    </row>
    <row r="313">
      <c r="C313" s="84" t="s">
        <v>334</v>
      </c>
      <c r="D313" s="84">
        <v>1.0</v>
      </c>
      <c r="E313" s="84">
        <v>700.0</v>
      </c>
      <c r="F313" s="20">
        <f t="shared" si="11"/>
        <v>700</v>
      </c>
      <c r="G313" s="76">
        <v>44759.0</v>
      </c>
    </row>
    <row r="314">
      <c r="C314" s="84" t="s">
        <v>335</v>
      </c>
      <c r="D314" s="84">
        <v>5.0</v>
      </c>
      <c r="E314" s="84">
        <v>400.0</v>
      </c>
      <c r="F314" s="20">
        <f t="shared" si="11"/>
        <v>2000</v>
      </c>
      <c r="G314" s="76">
        <v>44759.0</v>
      </c>
    </row>
    <row r="315">
      <c r="C315" s="84" t="s">
        <v>290</v>
      </c>
      <c r="D315" s="84">
        <v>5.0</v>
      </c>
      <c r="E315" s="84">
        <v>1880.0</v>
      </c>
      <c r="F315" s="20">
        <f t="shared" si="11"/>
        <v>9400</v>
      </c>
      <c r="G315" s="76">
        <v>44759.0</v>
      </c>
    </row>
    <row r="316">
      <c r="C316" s="84" t="s">
        <v>336</v>
      </c>
      <c r="D316" s="84" t="s">
        <v>337</v>
      </c>
      <c r="E316" s="84">
        <v>2000.0</v>
      </c>
      <c r="F316" s="30">
        <v>2000.0</v>
      </c>
      <c r="G316" s="76">
        <v>44759.0</v>
      </c>
    </row>
    <row r="317">
      <c r="C317" s="84" t="s">
        <v>338</v>
      </c>
      <c r="D317" s="84">
        <v>1.0</v>
      </c>
      <c r="E317" s="84">
        <v>100.0</v>
      </c>
      <c r="F317" s="20">
        <f t="shared" ref="F317:F336" si="12">E317*D317</f>
        <v>100</v>
      </c>
      <c r="G317" s="76">
        <v>44759.0</v>
      </c>
    </row>
    <row r="318">
      <c r="C318" s="84" t="s">
        <v>319</v>
      </c>
      <c r="D318" s="84">
        <v>24.0</v>
      </c>
      <c r="E318" s="84">
        <v>60.0</v>
      </c>
      <c r="F318" s="20">
        <f t="shared" si="12"/>
        <v>1440</v>
      </c>
      <c r="G318" s="76">
        <v>44760.0</v>
      </c>
    </row>
    <row r="319">
      <c r="C319" s="84" t="s">
        <v>227</v>
      </c>
      <c r="D319" s="84">
        <v>1.0</v>
      </c>
      <c r="E319" s="84">
        <v>600.0</v>
      </c>
      <c r="F319" s="20">
        <f t="shared" si="12"/>
        <v>600</v>
      </c>
      <c r="G319" s="76">
        <v>44760.0</v>
      </c>
    </row>
    <row r="320">
      <c r="C320" s="84" t="s">
        <v>339</v>
      </c>
      <c r="D320" s="84">
        <v>10.0</v>
      </c>
      <c r="E320" s="84">
        <v>70.0</v>
      </c>
      <c r="F320" s="20">
        <f t="shared" si="12"/>
        <v>700</v>
      </c>
      <c r="G320" s="76">
        <v>44760.0</v>
      </c>
    </row>
    <row r="321">
      <c r="C321" s="84" t="s">
        <v>340</v>
      </c>
      <c r="D321" s="84">
        <v>10.0</v>
      </c>
      <c r="E321" s="84">
        <v>50.0</v>
      </c>
      <c r="F321" s="20">
        <f t="shared" si="12"/>
        <v>500</v>
      </c>
      <c r="G321" s="76">
        <v>44760.0</v>
      </c>
    </row>
    <row r="322">
      <c r="C322" s="84" t="s">
        <v>341</v>
      </c>
      <c r="D322" s="84">
        <v>1.0</v>
      </c>
      <c r="E322" s="84">
        <v>12700.0</v>
      </c>
      <c r="F322" s="20">
        <f t="shared" si="12"/>
        <v>12700</v>
      </c>
      <c r="G322" s="76">
        <v>44753.0</v>
      </c>
    </row>
    <row r="323">
      <c r="C323" s="84" t="s">
        <v>342</v>
      </c>
      <c r="D323" s="84">
        <v>10.0</v>
      </c>
      <c r="E323" s="84">
        <v>100.0</v>
      </c>
      <c r="F323" s="20">
        <f t="shared" si="12"/>
        <v>1000</v>
      </c>
      <c r="G323" s="76">
        <v>44760.0</v>
      </c>
    </row>
    <row r="324">
      <c r="C324" s="84" t="s">
        <v>322</v>
      </c>
      <c r="D324" s="84">
        <v>10.0</v>
      </c>
      <c r="E324" s="84">
        <v>50.0</v>
      </c>
      <c r="F324" s="20">
        <f t="shared" si="12"/>
        <v>500</v>
      </c>
      <c r="G324" s="84" t="s">
        <v>343</v>
      </c>
    </row>
    <row r="325">
      <c r="C325" s="84" t="s">
        <v>287</v>
      </c>
      <c r="D325" s="84">
        <v>15.0</v>
      </c>
      <c r="E325" s="84">
        <v>30.0</v>
      </c>
      <c r="F325" s="20">
        <f t="shared" si="12"/>
        <v>450</v>
      </c>
      <c r="G325" s="76">
        <v>44760.0</v>
      </c>
    </row>
    <row r="326">
      <c r="C326" s="84" t="s">
        <v>344</v>
      </c>
      <c r="D326" s="84">
        <v>1.0</v>
      </c>
      <c r="E326" s="84">
        <v>3050.0</v>
      </c>
      <c r="F326" s="20">
        <f t="shared" si="12"/>
        <v>3050</v>
      </c>
      <c r="G326" s="76">
        <v>44760.0</v>
      </c>
    </row>
    <row r="327">
      <c r="C327" s="84" t="s">
        <v>345</v>
      </c>
      <c r="D327" s="84">
        <v>1.0</v>
      </c>
      <c r="E327" s="84">
        <v>1800.0</v>
      </c>
      <c r="F327" s="20">
        <f t="shared" si="12"/>
        <v>1800</v>
      </c>
      <c r="G327" s="76">
        <v>44760.0</v>
      </c>
    </row>
    <row r="328">
      <c r="C328" s="84" t="s">
        <v>279</v>
      </c>
      <c r="D328" s="84">
        <v>3.0</v>
      </c>
      <c r="E328" s="84">
        <v>315.0</v>
      </c>
      <c r="F328" s="20">
        <f t="shared" si="12"/>
        <v>945</v>
      </c>
      <c r="G328" s="76">
        <v>44760.0</v>
      </c>
    </row>
    <row r="329">
      <c r="C329" s="84" t="s">
        <v>153</v>
      </c>
      <c r="D329" s="84">
        <v>0.7</v>
      </c>
      <c r="E329" s="84">
        <v>2200.0</v>
      </c>
      <c r="F329" s="20">
        <f t="shared" si="12"/>
        <v>1540</v>
      </c>
      <c r="G329" s="76">
        <v>44760.0</v>
      </c>
    </row>
    <row r="330">
      <c r="C330" s="84" t="s">
        <v>346</v>
      </c>
      <c r="D330" s="84">
        <v>1.0</v>
      </c>
      <c r="E330" s="84">
        <v>1800.0</v>
      </c>
      <c r="F330" s="20">
        <f t="shared" si="12"/>
        <v>1800</v>
      </c>
      <c r="G330" s="76">
        <v>44760.0</v>
      </c>
    </row>
    <row r="331">
      <c r="C331" s="84" t="s">
        <v>339</v>
      </c>
      <c r="D331" s="84">
        <v>10.0</v>
      </c>
      <c r="E331" s="84">
        <v>65.0</v>
      </c>
      <c r="F331" s="20">
        <f t="shared" si="12"/>
        <v>650</v>
      </c>
      <c r="G331" s="76">
        <v>44761.0</v>
      </c>
    </row>
    <row r="332">
      <c r="C332" s="84" t="s">
        <v>347</v>
      </c>
      <c r="D332" s="84">
        <v>1.0</v>
      </c>
      <c r="E332" s="84">
        <v>100.0</v>
      </c>
      <c r="F332" s="20">
        <f t="shared" si="12"/>
        <v>100</v>
      </c>
      <c r="G332" s="76">
        <v>44761.0</v>
      </c>
    </row>
    <row r="333">
      <c r="C333" s="84" t="s">
        <v>322</v>
      </c>
      <c r="D333" s="84">
        <v>30.0</v>
      </c>
      <c r="E333" s="84">
        <v>50.0</v>
      </c>
      <c r="F333" s="20">
        <f t="shared" si="12"/>
        <v>1500</v>
      </c>
      <c r="G333" s="76">
        <v>44761.0</v>
      </c>
    </row>
    <row r="334">
      <c r="C334" s="84" t="s">
        <v>342</v>
      </c>
      <c r="D334" s="84">
        <v>10.0</v>
      </c>
      <c r="E334" s="84">
        <v>100.0</v>
      </c>
      <c r="F334" s="20">
        <f t="shared" si="12"/>
        <v>1000</v>
      </c>
      <c r="G334" s="76">
        <v>44761.0</v>
      </c>
    </row>
    <row r="335">
      <c r="C335" s="84" t="s">
        <v>348</v>
      </c>
      <c r="D335" s="84">
        <v>7.0</v>
      </c>
      <c r="E335" s="84">
        <v>260.0</v>
      </c>
      <c r="F335" s="20">
        <f t="shared" si="12"/>
        <v>1820</v>
      </c>
      <c r="G335" s="76">
        <v>44761.0</v>
      </c>
    </row>
    <row r="336">
      <c r="C336" s="84" t="s">
        <v>349</v>
      </c>
      <c r="D336" s="84">
        <v>1.0</v>
      </c>
      <c r="E336" s="84">
        <v>100.0</v>
      </c>
      <c r="F336" s="20">
        <f t="shared" si="12"/>
        <v>100</v>
      </c>
      <c r="G336" s="76">
        <v>44761.0</v>
      </c>
    </row>
    <row r="337">
      <c r="C337" s="84" t="s">
        <v>303</v>
      </c>
      <c r="D337" s="84">
        <v>1.0</v>
      </c>
      <c r="E337" s="84">
        <v>100.0</v>
      </c>
      <c r="F337" s="30">
        <v>100.0</v>
      </c>
      <c r="G337" s="76">
        <v>44761.0</v>
      </c>
    </row>
    <row r="338">
      <c r="C338" s="84" t="s">
        <v>287</v>
      </c>
      <c r="D338" s="84">
        <v>15.0</v>
      </c>
      <c r="E338" s="84">
        <v>15.0</v>
      </c>
      <c r="F338" s="20">
        <f t="shared" ref="F338:F376" si="13">E338*D338</f>
        <v>225</v>
      </c>
      <c r="G338" s="76">
        <v>44761.0</v>
      </c>
    </row>
    <row r="339">
      <c r="C339" s="84" t="s">
        <v>322</v>
      </c>
      <c r="D339" s="84">
        <v>20.0</v>
      </c>
      <c r="E339" s="84">
        <v>55.0</v>
      </c>
      <c r="F339" s="20">
        <f t="shared" si="13"/>
        <v>1100</v>
      </c>
      <c r="G339" s="76">
        <v>44761.0</v>
      </c>
    </row>
    <row r="340">
      <c r="C340" s="84" t="s">
        <v>350</v>
      </c>
      <c r="D340" s="84">
        <v>1.0</v>
      </c>
      <c r="E340" s="84">
        <v>100.0</v>
      </c>
      <c r="F340" s="20">
        <f t="shared" si="13"/>
        <v>100</v>
      </c>
      <c r="G340" s="76">
        <v>44761.0</v>
      </c>
    </row>
    <row r="341">
      <c r="C341" s="84" t="s">
        <v>351</v>
      </c>
      <c r="D341" s="84">
        <v>1.0</v>
      </c>
      <c r="E341" s="84">
        <v>100.0</v>
      </c>
      <c r="F341" s="20">
        <f t="shared" si="13"/>
        <v>100</v>
      </c>
      <c r="G341" s="76">
        <v>44761.0</v>
      </c>
    </row>
    <row r="342">
      <c r="C342" s="84" t="s">
        <v>76</v>
      </c>
      <c r="D342" s="84">
        <v>2.0</v>
      </c>
      <c r="E342" s="84">
        <v>150.0</v>
      </c>
      <c r="F342" s="20">
        <f t="shared" si="13"/>
        <v>300</v>
      </c>
      <c r="G342" s="76">
        <v>44761.0</v>
      </c>
    </row>
    <row r="343">
      <c r="C343" s="84" t="s">
        <v>352</v>
      </c>
      <c r="D343" s="84">
        <v>1.0</v>
      </c>
      <c r="E343" s="84">
        <v>350.0</v>
      </c>
      <c r="F343" s="20">
        <f t="shared" si="13"/>
        <v>350</v>
      </c>
      <c r="G343" s="76">
        <v>44761.0</v>
      </c>
    </row>
    <row r="344">
      <c r="C344" s="84" t="s">
        <v>353</v>
      </c>
      <c r="D344" s="84">
        <v>4.0</v>
      </c>
      <c r="E344" s="84">
        <v>30.0</v>
      </c>
      <c r="F344" s="20">
        <f t="shared" si="13"/>
        <v>120</v>
      </c>
      <c r="G344" s="76">
        <v>44761.0</v>
      </c>
    </row>
    <row r="345">
      <c r="C345" s="84" t="s">
        <v>354</v>
      </c>
      <c r="D345" s="84">
        <v>1.0</v>
      </c>
      <c r="E345" s="84">
        <v>5500.0</v>
      </c>
      <c r="F345" s="20">
        <f t="shared" si="13"/>
        <v>5500</v>
      </c>
      <c r="G345" s="76">
        <v>44761.0</v>
      </c>
    </row>
    <row r="346">
      <c r="C346" s="84" t="s">
        <v>355</v>
      </c>
      <c r="D346" s="84">
        <v>1.0</v>
      </c>
      <c r="E346" s="84">
        <v>1750.0</v>
      </c>
      <c r="F346" s="20">
        <f t="shared" si="13"/>
        <v>1750</v>
      </c>
      <c r="G346" s="76">
        <v>44761.0</v>
      </c>
    </row>
    <row r="347">
      <c r="C347" s="84" t="s">
        <v>356</v>
      </c>
      <c r="D347" s="84">
        <v>1.0</v>
      </c>
      <c r="E347" s="84">
        <v>750.0</v>
      </c>
      <c r="F347" s="20">
        <f t="shared" si="13"/>
        <v>750</v>
      </c>
      <c r="G347" s="76">
        <v>44761.0</v>
      </c>
    </row>
    <row r="348">
      <c r="C348" s="84" t="s">
        <v>357</v>
      </c>
      <c r="D348" s="84">
        <v>1.0</v>
      </c>
      <c r="E348" s="84">
        <v>2400.0</v>
      </c>
      <c r="F348" s="20">
        <f t="shared" si="13"/>
        <v>2400</v>
      </c>
      <c r="G348" s="76">
        <v>44761.0</v>
      </c>
    </row>
    <row r="349">
      <c r="C349" s="84" t="s">
        <v>358</v>
      </c>
      <c r="D349" s="84">
        <v>5.0</v>
      </c>
      <c r="E349" s="84">
        <v>70.0</v>
      </c>
      <c r="F349" s="20">
        <f t="shared" si="13"/>
        <v>350</v>
      </c>
      <c r="G349" s="76">
        <v>44761.0</v>
      </c>
    </row>
    <row r="350">
      <c r="C350" s="84" t="s">
        <v>359</v>
      </c>
      <c r="D350" s="84">
        <v>1.0</v>
      </c>
      <c r="E350" s="84">
        <v>350.0</v>
      </c>
      <c r="F350" s="20">
        <f t="shared" si="13"/>
        <v>350</v>
      </c>
      <c r="G350" s="76">
        <v>44761.0</v>
      </c>
    </row>
    <row r="351">
      <c r="C351" s="84" t="s">
        <v>360</v>
      </c>
      <c r="D351" s="84">
        <v>3.0</v>
      </c>
      <c r="E351" s="84">
        <v>700.0</v>
      </c>
      <c r="F351" s="20">
        <f t="shared" si="13"/>
        <v>2100</v>
      </c>
      <c r="G351" s="76">
        <v>44761.0</v>
      </c>
    </row>
    <row r="352">
      <c r="C352" s="84" t="s">
        <v>361</v>
      </c>
      <c r="D352" s="84">
        <v>1.0</v>
      </c>
      <c r="E352" s="84">
        <v>100.0</v>
      </c>
      <c r="F352" s="20">
        <f t="shared" si="13"/>
        <v>100</v>
      </c>
      <c r="G352" s="76">
        <v>44761.0</v>
      </c>
    </row>
    <row r="353">
      <c r="C353" s="84" t="s">
        <v>262</v>
      </c>
      <c r="D353" s="84">
        <v>3.0</v>
      </c>
      <c r="E353" s="84">
        <v>160.0</v>
      </c>
      <c r="F353" s="20">
        <f t="shared" si="13"/>
        <v>480</v>
      </c>
      <c r="G353" s="76">
        <v>44761.0</v>
      </c>
    </row>
    <row r="354">
      <c r="C354" s="84" t="s">
        <v>362</v>
      </c>
      <c r="D354" s="84">
        <v>1.0</v>
      </c>
      <c r="E354" s="84">
        <v>700.0</v>
      </c>
      <c r="F354" s="20">
        <f t="shared" si="13"/>
        <v>700</v>
      </c>
      <c r="G354" s="76">
        <v>44761.0</v>
      </c>
    </row>
    <row r="355">
      <c r="C355" s="84" t="s">
        <v>363</v>
      </c>
      <c r="D355" s="84">
        <v>4.0</v>
      </c>
      <c r="E355" s="84">
        <v>350.0</v>
      </c>
      <c r="F355" s="20">
        <f t="shared" si="13"/>
        <v>1400</v>
      </c>
      <c r="G355" s="76">
        <v>44761.0</v>
      </c>
    </row>
    <row r="356">
      <c r="C356" s="84" t="s">
        <v>318</v>
      </c>
      <c r="D356" s="84">
        <v>1.5</v>
      </c>
      <c r="E356" s="84">
        <v>700.0</v>
      </c>
      <c r="F356" s="20">
        <f t="shared" si="13"/>
        <v>1050</v>
      </c>
      <c r="G356" s="76">
        <v>44761.0</v>
      </c>
    </row>
    <row r="357">
      <c r="C357" s="84" t="s">
        <v>332</v>
      </c>
      <c r="D357" s="84">
        <v>2.0</v>
      </c>
      <c r="E357" s="84">
        <v>170.0</v>
      </c>
      <c r="F357" s="20">
        <f t="shared" si="13"/>
        <v>340</v>
      </c>
      <c r="G357" s="76">
        <v>44762.0</v>
      </c>
    </row>
    <row r="358">
      <c r="C358" s="84" t="s">
        <v>364</v>
      </c>
      <c r="D358" s="84">
        <v>3.0</v>
      </c>
      <c r="E358" s="84">
        <v>750.0</v>
      </c>
      <c r="F358" s="20">
        <f t="shared" si="13"/>
        <v>2250</v>
      </c>
      <c r="G358" s="76">
        <v>44762.0</v>
      </c>
    </row>
    <row r="359">
      <c r="C359" s="84" t="s">
        <v>319</v>
      </c>
      <c r="D359" s="84">
        <v>15.0</v>
      </c>
      <c r="E359" s="84">
        <v>70.0</v>
      </c>
      <c r="F359" s="20">
        <f t="shared" si="13"/>
        <v>1050</v>
      </c>
      <c r="G359" s="76">
        <v>44762.0</v>
      </c>
    </row>
    <row r="360">
      <c r="C360" s="84" t="s">
        <v>365</v>
      </c>
      <c r="D360" s="84">
        <v>5.0</v>
      </c>
      <c r="E360" s="84">
        <v>100.0</v>
      </c>
      <c r="F360" s="20">
        <f t="shared" si="13"/>
        <v>500</v>
      </c>
      <c r="G360" s="76">
        <v>44762.0</v>
      </c>
    </row>
    <row r="361">
      <c r="C361" s="84" t="s">
        <v>366</v>
      </c>
      <c r="D361" s="84">
        <v>1.0</v>
      </c>
      <c r="E361" s="84">
        <v>600.0</v>
      </c>
      <c r="F361" s="20">
        <f t="shared" si="13"/>
        <v>600</v>
      </c>
      <c r="G361" s="76">
        <v>44762.0</v>
      </c>
    </row>
    <row r="362">
      <c r="C362" s="84" t="s">
        <v>367</v>
      </c>
      <c r="D362" s="84">
        <v>1.0</v>
      </c>
      <c r="E362" s="84">
        <v>30.0</v>
      </c>
      <c r="F362" s="20">
        <f t="shared" si="13"/>
        <v>30</v>
      </c>
      <c r="G362" s="76">
        <v>44762.0</v>
      </c>
    </row>
    <row r="363">
      <c r="C363" s="84" t="s">
        <v>368</v>
      </c>
      <c r="D363" s="84">
        <v>2.0</v>
      </c>
      <c r="E363" s="84">
        <v>270.0</v>
      </c>
      <c r="F363" s="20">
        <f t="shared" si="13"/>
        <v>540</v>
      </c>
      <c r="G363" s="76">
        <v>44762.0</v>
      </c>
    </row>
    <row r="364">
      <c r="C364" s="84" t="s">
        <v>342</v>
      </c>
      <c r="D364" s="84">
        <v>25.0</v>
      </c>
      <c r="E364" s="84">
        <v>120.0</v>
      </c>
      <c r="F364" s="20">
        <f t="shared" si="13"/>
        <v>3000</v>
      </c>
      <c r="G364" s="76">
        <v>44762.0</v>
      </c>
    </row>
    <row r="365">
      <c r="C365" s="84" t="s">
        <v>359</v>
      </c>
      <c r="D365" s="84">
        <v>1.0</v>
      </c>
      <c r="E365" s="84">
        <v>350.0</v>
      </c>
      <c r="F365" s="20">
        <f t="shared" si="13"/>
        <v>350</v>
      </c>
      <c r="G365" s="76">
        <v>44762.0</v>
      </c>
    </row>
    <row r="366">
      <c r="C366" s="84" t="s">
        <v>318</v>
      </c>
      <c r="D366" s="84">
        <v>1.5</v>
      </c>
      <c r="E366" s="84">
        <v>700.0</v>
      </c>
      <c r="F366" s="20">
        <f t="shared" si="13"/>
        <v>1050</v>
      </c>
      <c r="G366" s="76">
        <v>44762.0</v>
      </c>
    </row>
    <row r="367">
      <c r="C367" s="84" t="s">
        <v>369</v>
      </c>
      <c r="D367" s="84">
        <v>4.0</v>
      </c>
      <c r="E367" s="84">
        <v>100.0</v>
      </c>
      <c r="F367" s="20">
        <f t="shared" si="13"/>
        <v>400</v>
      </c>
      <c r="G367" s="76">
        <v>44762.0</v>
      </c>
    </row>
    <row r="368">
      <c r="C368" s="84" t="s">
        <v>370</v>
      </c>
      <c r="D368" s="84">
        <v>5.0</v>
      </c>
      <c r="E368" s="84">
        <v>700.0</v>
      </c>
      <c r="F368" s="20">
        <f t="shared" si="13"/>
        <v>3500</v>
      </c>
      <c r="G368" s="76">
        <v>44763.0</v>
      </c>
    </row>
    <row r="369">
      <c r="C369" s="84" t="s">
        <v>371</v>
      </c>
      <c r="D369" s="84">
        <v>1.0</v>
      </c>
      <c r="E369" s="84">
        <v>70.0</v>
      </c>
      <c r="F369" s="20">
        <f t="shared" si="13"/>
        <v>70</v>
      </c>
      <c r="G369" s="76">
        <v>44763.0</v>
      </c>
    </row>
    <row r="370">
      <c r="C370" s="84" t="s">
        <v>372</v>
      </c>
      <c r="D370" s="84">
        <v>1.0</v>
      </c>
      <c r="E370" s="84">
        <v>200.0</v>
      </c>
      <c r="F370" s="20">
        <f t="shared" si="13"/>
        <v>200</v>
      </c>
      <c r="G370" s="76">
        <v>44763.0</v>
      </c>
    </row>
    <row r="371">
      <c r="C371" s="84" t="s">
        <v>324</v>
      </c>
      <c r="D371" s="84">
        <v>2.0</v>
      </c>
      <c r="E371" s="84">
        <v>260.0</v>
      </c>
      <c r="F371" s="20">
        <f t="shared" si="13"/>
        <v>520</v>
      </c>
      <c r="G371" s="76">
        <v>44763.0</v>
      </c>
    </row>
    <row r="372">
      <c r="C372" s="84" t="s">
        <v>373</v>
      </c>
      <c r="D372" s="84">
        <v>2.0</v>
      </c>
      <c r="E372" s="84">
        <v>250.0</v>
      </c>
      <c r="F372" s="20">
        <f t="shared" si="13"/>
        <v>500</v>
      </c>
      <c r="G372" s="76">
        <v>44763.0</v>
      </c>
    </row>
    <row r="373">
      <c r="C373" s="84" t="s">
        <v>287</v>
      </c>
      <c r="D373" s="84">
        <v>15.0</v>
      </c>
      <c r="E373" s="84">
        <v>15.0</v>
      </c>
      <c r="F373" s="20">
        <f t="shared" si="13"/>
        <v>225</v>
      </c>
      <c r="G373" s="76">
        <v>44763.0</v>
      </c>
    </row>
    <row r="374">
      <c r="C374" s="84" t="s">
        <v>374</v>
      </c>
      <c r="D374" s="84">
        <v>10.0</v>
      </c>
      <c r="E374" s="84">
        <v>1416.0</v>
      </c>
      <c r="F374" s="20">
        <f t="shared" si="13"/>
        <v>14160</v>
      </c>
      <c r="G374" s="76">
        <v>44763.0</v>
      </c>
    </row>
    <row r="375">
      <c r="C375" s="84" t="s">
        <v>375</v>
      </c>
      <c r="D375" s="84">
        <v>10.0</v>
      </c>
      <c r="E375" s="84">
        <v>30.0</v>
      </c>
      <c r="F375" s="20">
        <f t="shared" si="13"/>
        <v>300</v>
      </c>
      <c r="G375" s="76">
        <v>44763.0</v>
      </c>
    </row>
    <row r="376">
      <c r="C376" s="84" t="s">
        <v>376</v>
      </c>
      <c r="D376" s="84">
        <v>2.0</v>
      </c>
      <c r="E376" s="84">
        <v>250.0</v>
      </c>
      <c r="F376" s="20">
        <f t="shared" si="13"/>
        <v>500</v>
      </c>
      <c r="G376" s="76">
        <v>44763.0</v>
      </c>
    </row>
    <row r="377">
      <c r="C377" s="84"/>
      <c r="D377" s="84"/>
      <c r="E377" s="84"/>
      <c r="F377" s="20"/>
      <c r="G377" s="76"/>
    </row>
    <row r="378">
      <c r="C378" s="84" t="s">
        <v>322</v>
      </c>
      <c r="D378" s="84">
        <v>25.0</v>
      </c>
      <c r="E378" s="84">
        <v>40.0</v>
      </c>
      <c r="F378" s="20">
        <f t="shared" ref="F378:F426" si="14">E378*D378</f>
        <v>1000</v>
      </c>
      <c r="G378" s="76">
        <v>44763.0</v>
      </c>
    </row>
    <row r="379">
      <c r="C379" s="84" t="s">
        <v>322</v>
      </c>
      <c r="D379" s="84">
        <v>30.0</v>
      </c>
      <c r="E379" s="84">
        <v>50.0</v>
      </c>
      <c r="F379" s="20">
        <f t="shared" si="14"/>
        <v>1500</v>
      </c>
      <c r="G379" s="76">
        <v>44764.0</v>
      </c>
    </row>
    <row r="380">
      <c r="C380" s="84" t="s">
        <v>377</v>
      </c>
      <c r="D380" s="84">
        <v>4.0</v>
      </c>
      <c r="E380" s="84">
        <v>350.0</v>
      </c>
      <c r="F380" s="20">
        <f t="shared" si="14"/>
        <v>1400</v>
      </c>
      <c r="G380" s="76">
        <v>44764.0</v>
      </c>
    </row>
    <row r="381">
      <c r="C381" s="84" t="s">
        <v>285</v>
      </c>
      <c r="D381" s="84">
        <v>3.0</v>
      </c>
      <c r="E381" s="84">
        <v>130.0</v>
      </c>
      <c r="F381" s="20">
        <f t="shared" si="14"/>
        <v>390</v>
      </c>
      <c r="G381" s="76">
        <v>44764.0</v>
      </c>
    </row>
    <row r="382">
      <c r="C382" s="84" t="s">
        <v>188</v>
      </c>
      <c r="D382" s="84">
        <v>5.0</v>
      </c>
      <c r="E382" s="84">
        <v>60.0</v>
      </c>
      <c r="F382" s="20">
        <f t="shared" si="14"/>
        <v>300</v>
      </c>
      <c r="G382" s="76">
        <v>44764.0</v>
      </c>
    </row>
    <row r="383">
      <c r="C383" s="84" t="s">
        <v>342</v>
      </c>
      <c r="D383" s="84">
        <v>30.0</v>
      </c>
      <c r="E383" s="84">
        <v>120.0</v>
      </c>
      <c r="F383" s="20">
        <f t="shared" si="14"/>
        <v>3600</v>
      </c>
      <c r="G383" s="76">
        <v>44764.0</v>
      </c>
    </row>
    <row r="384">
      <c r="C384" s="84" t="s">
        <v>378</v>
      </c>
      <c r="D384" s="84">
        <v>600.0</v>
      </c>
      <c r="E384" s="84">
        <v>50.0</v>
      </c>
      <c r="F384" s="20">
        <f t="shared" si="14"/>
        <v>30000</v>
      </c>
      <c r="G384" s="76">
        <v>44764.0</v>
      </c>
    </row>
    <row r="385">
      <c r="C385" s="84" t="s">
        <v>379</v>
      </c>
      <c r="D385" s="84">
        <v>1.0</v>
      </c>
      <c r="E385" s="84">
        <v>200.0</v>
      </c>
      <c r="F385" s="20">
        <f t="shared" si="14"/>
        <v>200</v>
      </c>
      <c r="G385" s="76">
        <v>44764.0</v>
      </c>
    </row>
    <row r="386">
      <c r="C386" s="84" t="s">
        <v>380</v>
      </c>
      <c r="D386" s="84">
        <v>5.0</v>
      </c>
      <c r="E386" s="84">
        <v>200.0</v>
      </c>
      <c r="F386" s="20">
        <f t="shared" si="14"/>
        <v>1000</v>
      </c>
      <c r="G386" s="76">
        <v>44764.0</v>
      </c>
    </row>
    <row r="387">
      <c r="C387" s="84" t="s">
        <v>381</v>
      </c>
      <c r="D387" s="84">
        <v>4.0</v>
      </c>
      <c r="E387" s="84">
        <v>100.0</v>
      </c>
      <c r="F387" s="20">
        <f t="shared" si="14"/>
        <v>400</v>
      </c>
      <c r="G387" s="76">
        <v>44764.0</v>
      </c>
    </row>
    <row r="388">
      <c r="C388" s="84" t="s">
        <v>382</v>
      </c>
      <c r="D388" s="84">
        <v>4.0</v>
      </c>
      <c r="E388" s="84">
        <v>250.0</v>
      </c>
      <c r="F388" s="20">
        <f t="shared" si="14"/>
        <v>1000</v>
      </c>
      <c r="G388" s="76">
        <v>44764.0</v>
      </c>
    </row>
    <row r="389">
      <c r="C389" s="84" t="s">
        <v>342</v>
      </c>
      <c r="D389" s="84">
        <v>10.0</v>
      </c>
      <c r="E389" s="84">
        <v>120.0</v>
      </c>
      <c r="F389" s="20">
        <f t="shared" si="14"/>
        <v>1200</v>
      </c>
      <c r="G389" s="76">
        <v>44764.0</v>
      </c>
    </row>
    <row r="390">
      <c r="C390" s="84" t="s">
        <v>339</v>
      </c>
      <c r="D390" s="84">
        <v>15.0</v>
      </c>
      <c r="E390" s="84">
        <v>70.0</v>
      </c>
      <c r="F390" s="20">
        <f t="shared" si="14"/>
        <v>1050</v>
      </c>
      <c r="G390" s="76">
        <v>44765.0</v>
      </c>
    </row>
    <row r="391">
      <c r="C391" s="84" t="s">
        <v>201</v>
      </c>
      <c r="D391" s="84">
        <v>10.0</v>
      </c>
      <c r="E391" s="84">
        <v>150.0</v>
      </c>
      <c r="F391" s="20">
        <f t="shared" si="14"/>
        <v>1500</v>
      </c>
      <c r="G391" s="76">
        <v>44765.0</v>
      </c>
    </row>
    <row r="392">
      <c r="C392" s="84" t="s">
        <v>383</v>
      </c>
      <c r="D392" s="84">
        <v>5.0</v>
      </c>
      <c r="E392" s="84">
        <v>250.0</v>
      </c>
      <c r="F392" s="20">
        <f t="shared" si="14"/>
        <v>1250</v>
      </c>
      <c r="G392" s="76">
        <v>44765.0</v>
      </c>
    </row>
    <row r="393">
      <c r="C393" s="84" t="s">
        <v>227</v>
      </c>
      <c r="D393" s="84">
        <v>1.0</v>
      </c>
      <c r="E393" s="84">
        <v>800.0</v>
      </c>
      <c r="F393" s="20">
        <f t="shared" si="14"/>
        <v>800</v>
      </c>
      <c r="G393" s="76">
        <v>44765.0</v>
      </c>
    </row>
    <row r="394">
      <c r="C394" s="84" t="s">
        <v>375</v>
      </c>
      <c r="D394" s="84">
        <v>5.0</v>
      </c>
      <c r="E394" s="84">
        <v>25.0</v>
      </c>
      <c r="F394" s="20">
        <f t="shared" si="14"/>
        <v>125</v>
      </c>
      <c r="G394" s="76">
        <v>44765.0</v>
      </c>
    </row>
    <row r="395">
      <c r="C395" s="84" t="s">
        <v>252</v>
      </c>
      <c r="D395" s="84">
        <v>1.0</v>
      </c>
      <c r="E395" s="84">
        <v>100.0</v>
      </c>
      <c r="F395" s="20">
        <f t="shared" si="14"/>
        <v>100</v>
      </c>
      <c r="G395" s="76">
        <v>44765.0</v>
      </c>
    </row>
    <row r="396">
      <c r="C396" s="84" t="s">
        <v>384</v>
      </c>
      <c r="D396" s="84">
        <v>2.0</v>
      </c>
      <c r="E396" s="84">
        <v>250.0</v>
      </c>
      <c r="F396" s="20">
        <f t="shared" si="14"/>
        <v>500</v>
      </c>
      <c r="G396" s="76">
        <v>44765.0</v>
      </c>
    </row>
    <row r="397">
      <c r="C397" s="84" t="s">
        <v>385</v>
      </c>
      <c r="D397" s="84">
        <v>3.0</v>
      </c>
      <c r="E397" s="84">
        <v>70.0</v>
      </c>
      <c r="F397" s="20">
        <f t="shared" si="14"/>
        <v>210</v>
      </c>
      <c r="G397" s="76">
        <v>44766.0</v>
      </c>
    </row>
    <row r="398">
      <c r="C398" s="84" t="s">
        <v>367</v>
      </c>
      <c r="D398" s="84">
        <v>2.5</v>
      </c>
      <c r="E398" s="84">
        <v>80.0</v>
      </c>
      <c r="F398" s="20">
        <f t="shared" si="14"/>
        <v>200</v>
      </c>
      <c r="G398" s="76">
        <v>44766.0</v>
      </c>
    </row>
    <row r="399">
      <c r="C399" s="84" t="s">
        <v>339</v>
      </c>
      <c r="D399" s="84">
        <v>5.0</v>
      </c>
      <c r="E399" s="84">
        <v>60.0</v>
      </c>
      <c r="F399" s="20">
        <f t="shared" si="14"/>
        <v>300</v>
      </c>
      <c r="G399" s="76">
        <v>44766.0</v>
      </c>
    </row>
    <row r="400">
      <c r="C400" s="84" t="s">
        <v>239</v>
      </c>
      <c r="D400" s="84">
        <v>2.5</v>
      </c>
      <c r="E400" s="84">
        <v>1700.0</v>
      </c>
      <c r="F400" s="20">
        <f t="shared" si="14"/>
        <v>4250</v>
      </c>
      <c r="G400" s="76">
        <v>44766.0</v>
      </c>
    </row>
    <row r="401">
      <c r="C401" s="84" t="s">
        <v>227</v>
      </c>
      <c r="D401" s="84">
        <v>3.0</v>
      </c>
      <c r="E401" s="84">
        <v>700.0</v>
      </c>
      <c r="F401" s="20">
        <f t="shared" si="14"/>
        <v>2100</v>
      </c>
      <c r="G401" s="76">
        <v>44766.0</v>
      </c>
    </row>
    <row r="402">
      <c r="C402" s="84" t="s">
        <v>349</v>
      </c>
      <c r="D402" s="84">
        <v>3.0</v>
      </c>
      <c r="E402" s="84">
        <v>70.0</v>
      </c>
      <c r="F402" s="20">
        <f t="shared" si="14"/>
        <v>210</v>
      </c>
      <c r="G402" s="76">
        <v>44766.0</v>
      </c>
    </row>
    <row r="403">
      <c r="C403" s="84" t="s">
        <v>365</v>
      </c>
      <c r="D403" s="84">
        <v>4.0</v>
      </c>
      <c r="E403" s="84">
        <v>100.0</v>
      </c>
      <c r="F403" s="20">
        <f t="shared" si="14"/>
        <v>400</v>
      </c>
      <c r="G403" s="76">
        <v>44766.0</v>
      </c>
    </row>
    <row r="404">
      <c r="C404" s="84" t="s">
        <v>386</v>
      </c>
      <c r="D404" s="84">
        <v>3.0</v>
      </c>
      <c r="E404" s="84">
        <v>110.0</v>
      </c>
      <c r="F404" s="20">
        <f t="shared" si="14"/>
        <v>330</v>
      </c>
      <c r="G404" s="76">
        <v>44766.0</v>
      </c>
    </row>
    <row r="405">
      <c r="C405" s="84" t="s">
        <v>387</v>
      </c>
      <c r="D405" s="84">
        <v>3.0</v>
      </c>
      <c r="E405" s="84">
        <v>300.0</v>
      </c>
      <c r="F405" s="20">
        <f t="shared" si="14"/>
        <v>900</v>
      </c>
      <c r="G405" s="76">
        <v>44766.0</v>
      </c>
    </row>
    <row r="406">
      <c r="C406" s="84" t="s">
        <v>388</v>
      </c>
      <c r="D406" s="84">
        <v>8.0</v>
      </c>
      <c r="E406" s="84">
        <v>100.0</v>
      </c>
      <c r="F406" s="20">
        <f t="shared" si="14"/>
        <v>800</v>
      </c>
      <c r="G406" s="76">
        <v>44766.0</v>
      </c>
    </row>
    <row r="407">
      <c r="C407" s="84" t="s">
        <v>389</v>
      </c>
      <c r="D407" s="84">
        <v>5.0</v>
      </c>
      <c r="E407" s="84">
        <v>70.0</v>
      </c>
      <c r="F407" s="20">
        <f t="shared" si="14"/>
        <v>350</v>
      </c>
      <c r="G407" s="76">
        <v>44766.0</v>
      </c>
    </row>
    <row r="408">
      <c r="C408" s="84" t="s">
        <v>287</v>
      </c>
      <c r="D408" s="84">
        <v>10.0</v>
      </c>
      <c r="E408" s="84">
        <v>15.0</v>
      </c>
      <c r="F408" s="20">
        <f t="shared" si="14"/>
        <v>150</v>
      </c>
      <c r="G408" s="76">
        <v>44766.0</v>
      </c>
    </row>
    <row r="409">
      <c r="C409" s="84" t="s">
        <v>342</v>
      </c>
      <c r="D409" s="84">
        <v>10.0</v>
      </c>
      <c r="E409" s="84">
        <v>120.0</v>
      </c>
      <c r="F409" s="20">
        <f t="shared" si="14"/>
        <v>1200</v>
      </c>
      <c r="G409" s="76">
        <v>44766.0</v>
      </c>
    </row>
    <row r="410">
      <c r="C410" s="84" t="s">
        <v>324</v>
      </c>
      <c r="D410" s="84">
        <v>3.0</v>
      </c>
      <c r="E410" s="84">
        <v>250.0</v>
      </c>
      <c r="F410" s="20">
        <f t="shared" si="14"/>
        <v>750</v>
      </c>
      <c r="G410" s="76">
        <v>44766.0</v>
      </c>
    </row>
    <row r="411">
      <c r="C411" s="84" t="s">
        <v>196</v>
      </c>
      <c r="D411" s="84">
        <v>5.0</v>
      </c>
      <c r="E411" s="84">
        <v>350.0</v>
      </c>
      <c r="F411" s="20">
        <f t="shared" si="14"/>
        <v>1750</v>
      </c>
      <c r="G411" s="76">
        <v>44766.0</v>
      </c>
    </row>
    <row r="412">
      <c r="C412" s="84" t="s">
        <v>390</v>
      </c>
      <c r="D412" s="84">
        <v>6.0</v>
      </c>
      <c r="E412" s="84">
        <v>85.0</v>
      </c>
      <c r="F412" s="20">
        <f t="shared" si="14"/>
        <v>510</v>
      </c>
      <c r="G412" s="76">
        <v>44766.0</v>
      </c>
    </row>
    <row r="413">
      <c r="C413" s="84" t="s">
        <v>332</v>
      </c>
      <c r="D413" s="84">
        <v>1.0</v>
      </c>
      <c r="E413" s="84">
        <v>200.0</v>
      </c>
      <c r="F413" s="20">
        <f t="shared" si="14"/>
        <v>200</v>
      </c>
      <c r="G413" s="76">
        <v>44766.0</v>
      </c>
    </row>
    <row r="414">
      <c r="C414" s="84" t="s">
        <v>391</v>
      </c>
      <c r="D414" s="84">
        <v>1.0</v>
      </c>
      <c r="E414" s="84">
        <v>150.0</v>
      </c>
      <c r="F414" s="20">
        <f t="shared" si="14"/>
        <v>150</v>
      </c>
      <c r="G414" s="76">
        <v>44766.0</v>
      </c>
    </row>
    <row r="415">
      <c r="C415" s="84" t="s">
        <v>316</v>
      </c>
      <c r="D415" s="84">
        <v>34.0</v>
      </c>
      <c r="E415" s="84">
        <v>45.0</v>
      </c>
      <c r="F415" s="20">
        <f t="shared" si="14"/>
        <v>1530</v>
      </c>
      <c r="G415" s="29"/>
    </row>
    <row r="416">
      <c r="C416" s="84" t="s">
        <v>392</v>
      </c>
      <c r="D416" s="84">
        <v>2.0</v>
      </c>
      <c r="E416" s="84">
        <v>800.0</v>
      </c>
      <c r="F416" s="20">
        <f t="shared" si="14"/>
        <v>1600</v>
      </c>
      <c r="G416" s="29"/>
    </row>
    <row r="417">
      <c r="C417" s="84" t="s">
        <v>393</v>
      </c>
      <c r="D417" s="84">
        <v>1.0</v>
      </c>
      <c r="E417" s="84">
        <v>400.0</v>
      </c>
      <c r="F417" s="20">
        <f t="shared" si="14"/>
        <v>400</v>
      </c>
      <c r="G417" s="29"/>
    </row>
    <row r="418">
      <c r="C418" s="84" t="s">
        <v>239</v>
      </c>
      <c r="D418" s="84">
        <v>0.5</v>
      </c>
      <c r="E418" s="84">
        <v>1800.0</v>
      </c>
      <c r="F418" s="20">
        <f t="shared" si="14"/>
        <v>900</v>
      </c>
      <c r="G418" s="29"/>
    </row>
    <row r="419">
      <c r="C419" s="84" t="s">
        <v>349</v>
      </c>
      <c r="D419" s="84">
        <v>3.0</v>
      </c>
      <c r="E419" s="84">
        <v>70.0</v>
      </c>
      <c r="F419" s="20">
        <f t="shared" si="14"/>
        <v>210</v>
      </c>
      <c r="G419" s="29"/>
    </row>
    <row r="420">
      <c r="C420" s="84" t="s">
        <v>305</v>
      </c>
      <c r="D420" s="84">
        <v>10.0</v>
      </c>
      <c r="E420" s="84">
        <v>20.0</v>
      </c>
      <c r="F420" s="20">
        <f t="shared" si="14"/>
        <v>200</v>
      </c>
      <c r="G420" s="29"/>
    </row>
    <row r="421">
      <c r="C421" s="84" t="s">
        <v>394</v>
      </c>
      <c r="D421" s="84">
        <v>5.0</v>
      </c>
      <c r="E421" s="84">
        <v>45.0</v>
      </c>
      <c r="F421" s="20">
        <f t="shared" si="14"/>
        <v>225</v>
      </c>
      <c r="G421" s="29"/>
    </row>
    <row r="422">
      <c r="C422" s="84" t="s">
        <v>303</v>
      </c>
      <c r="D422" s="84">
        <v>1.0</v>
      </c>
      <c r="E422" s="84">
        <v>100.0</v>
      </c>
      <c r="F422" s="20">
        <f t="shared" si="14"/>
        <v>100</v>
      </c>
      <c r="G422" s="29"/>
    </row>
    <row r="423">
      <c r="C423" s="84" t="s">
        <v>395</v>
      </c>
      <c r="D423" s="84">
        <v>1.0</v>
      </c>
      <c r="E423" s="84">
        <v>200.0</v>
      </c>
      <c r="F423" s="20">
        <f t="shared" si="14"/>
        <v>200</v>
      </c>
      <c r="G423" s="29"/>
    </row>
    <row r="424">
      <c r="C424" s="84" t="s">
        <v>396</v>
      </c>
      <c r="D424" s="84">
        <v>4.0</v>
      </c>
      <c r="E424" s="84">
        <v>150.0</v>
      </c>
      <c r="F424" s="20">
        <f t="shared" si="14"/>
        <v>600</v>
      </c>
      <c r="G424" s="29"/>
    </row>
    <row r="425">
      <c r="C425" s="84" t="s">
        <v>367</v>
      </c>
      <c r="D425" s="84">
        <v>5.0</v>
      </c>
      <c r="E425" s="84">
        <v>250.0</v>
      </c>
      <c r="F425" s="20">
        <f t="shared" si="14"/>
        <v>1250</v>
      </c>
      <c r="G425" s="29"/>
    </row>
    <row r="426">
      <c r="C426" s="84" t="s">
        <v>282</v>
      </c>
      <c r="D426" s="84">
        <v>5.0</v>
      </c>
      <c r="E426" s="84">
        <v>400.0</v>
      </c>
      <c r="F426" s="20">
        <f t="shared" si="14"/>
        <v>2000</v>
      </c>
      <c r="G426" s="29"/>
    </row>
    <row r="427">
      <c r="C427" s="84" t="s">
        <v>310</v>
      </c>
      <c r="D427" s="84" t="s">
        <v>178</v>
      </c>
      <c r="E427" s="84">
        <v>50.0</v>
      </c>
      <c r="F427" s="30">
        <v>50.0</v>
      </c>
      <c r="G427" s="29"/>
    </row>
    <row r="428">
      <c r="C428" s="84" t="s">
        <v>397</v>
      </c>
      <c r="D428" s="84">
        <v>2.5</v>
      </c>
      <c r="E428" s="84">
        <v>300.0</v>
      </c>
      <c r="F428" s="30">
        <v>300.0</v>
      </c>
      <c r="G428" s="29"/>
    </row>
    <row r="429">
      <c r="C429" s="84" t="s">
        <v>339</v>
      </c>
      <c r="D429" s="84">
        <v>6.0</v>
      </c>
      <c r="E429" s="84">
        <v>50.0</v>
      </c>
      <c r="F429" s="20">
        <f t="shared" ref="F429:F434" si="15">E429*D429</f>
        <v>300</v>
      </c>
      <c r="G429" s="29"/>
    </row>
    <row r="430">
      <c r="C430" s="84" t="s">
        <v>398</v>
      </c>
      <c r="D430" s="84">
        <v>1.5</v>
      </c>
      <c r="E430" s="84">
        <v>66.0</v>
      </c>
      <c r="F430" s="20">
        <f t="shared" si="15"/>
        <v>99</v>
      </c>
      <c r="G430" s="29"/>
    </row>
    <row r="431">
      <c r="C431" s="84" t="s">
        <v>399</v>
      </c>
      <c r="D431" s="84">
        <v>0.5</v>
      </c>
      <c r="E431" s="84">
        <v>100.0</v>
      </c>
      <c r="F431" s="20">
        <f t="shared" si="15"/>
        <v>50</v>
      </c>
      <c r="G431" s="29"/>
    </row>
    <row r="432">
      <c r="C432" s="84" t="s">
        <v>311</v>
      </c>
      <c r="D432" s="84">
        <v>2.5</v>
      </c>
      <c r="E432" s="84">
        <v>40.0</v>
      </c>
      <c r="F432" s="20">
        <f t="shared" si="15"/>
        <v>100</v>
      </c>
      <c r="G432" s="29"/>
    </row>
    <row r="433">
      <c r="C433" s="84" t="s">
        <v>400</v>
      </c>
      <c r="D433" s="84">
        <v>2.5</v>
      </c>
      <c r="E433" s="84">
        <v>80.0</v>
      </c>
      <c r="F433" s="20">
        <f t="shared" si="15"/>
        <v>200</v>
      </c>
      <c r="G433" s="29"/>
    </row>
    <row r="434">
      <c r="C434" s="84" t="s">
        <v>401</v>
      </c>
      <c r="D434" s="84">
        <v>40.0</v>
      </c>
      <c r="E434" s="84">
        <v>75.0</v>
      </c>
      <c r="F434" s="20">
        <f t="shared" si="15"/>
        <v>3000</v>
      </c>
      <c r="G434" s="29"/>
    </row>
    <row r="435">
      <c r="C435" s="84" t="s">
        <v>402</v>
      </c>
      <c r="D435" s="84">
        <v>3.0</v>
      </c>
      <c r="E435" s="84">
        <v>140.0</v>
      </c>
      <c r="F435" s="30">
        <v>400.0</v>
      </c>
      <c r="G435" s="29"/>
    </row>
    <row r="436">
      <c r="C436" s="84" t="s">
        <v>403</v>
      </c>
      <c r="D436" s="84" t="s">
        <v>68</v>
      </c>
      <c r="E436" s="84">
        <v>120.0</v>
      </c>
      <c r="F436" s="30">
        <v>2400.0</v>
      </c>
      <c r="G436" s="29"/>
    </row>
    <row r="437">
      <c r="C437" s="84" t="s">
        <v>404</v>
      </c>
      <c r="D437" s="84">
        <v>1.0</v>
      </c>
      <c r="E437" s="84">
        <v>200.0</v>
      </c>
      <c r="F437" s="30">
        <v>250.0</v>
      </c>
      <c r="G437" s="29"/>
    </row>
    <row r="438">
      <c r="C438" s="84" t="s">
        <v>405</v>
      </c>
      <c r="D438" s="84" t="s">
        <v>178</v>
      </c>
      <c r="E438" s="84">
        <v>2000.0</v>
      </c>
      <c r="F438" s="30">
        <v>1000.0</v>
      </c>
      <c r="G438" s="29"/>
    </row>
    <row r="439">
      <c r="C439" s="84" t="s">
        <v>196</v>
      </c>
      <c r="D439" s="84">
        <v>1.0</v>
      </c>
      <c r="E439" s="84">
        <v>200.0</v>
      </c>
      <c r="F439" s="30">
        <v>200.0</v>
      </c>
      <c r="G439" s="29"/>
    </row>
    <row r="440">
      <c r="C440" s="84" t="s">
        <v>406</v>
      </c>
      <c r="D440" s="84" t="s">
        <v>407</v>
      </c>
      <c r="E440" s="84">
        <v>2000.0</v>
      </c>
      <c r="F440" s="30">
        <v>400.0</v>
      </c>
      <c r="G440" s="29"/>
    </row>
    <row r="441">
      <c r="C441" s="84" t="s">
        <v>408</v>
      </c>
      <c r="D441" s="84" t="s">
        <v>407</v>
      </c>
      <c r="E441" s="84">
        <v>2500.0</v>
      </c>
      <c r="F441" s="30">
        <v>500.0</v>
      </c>
      <c r="G441" s="29"/>
    </row>
    <row r="442">
      <c r="C442" s="84" t="s">
        <v>409</v>
      </c>
      <c r="D442" s="84" t="s">
        <v>407</v>
      </c>
      <c r="E442" s="84">
        <v>1000.0</v>
      </c>
      <c r="F442" s="30">
        <v>200.0</v>
      </c>
      <c r="G442" s="29"/>
    </row>
    <row r="443">
      <c r="C443" s="84" t="s">
        <v>410</v>
      </c>
      <c r="D443" s="84">
        <v>3.0</v>
      </c>
      <c r="E443" s="84">
        <v>200.0</v>
      </c>
      <c r="F443" s="20">
        <f t="shared" ref="F443:F470" si="16">E443*D443</f>
        <v>600</v>
      </c>
      <c r="G443" s="29"/>
    </row>
    <row r="444">
      <c r="C444" s="84" t="s">
        <v>411</v>
      </c>
      <c r="D444" s="84">
        <v>1.0</v>
      </c>
      <c r="E444" s="84">
        <v>1650.0</v>
      </c>
      <c r="F444" s="20">
        <f t="shared" si="16"/>
        <v>1650</v>
      </c>
      <c r="G444" s="29"/>
    </row>
    <row r="445">
      <c r="C445" s="84" t="s">
        <v>339</v>
      </c>
      <c r="D445" s="84">
        <v>10.0</v>
      </c>
      <c r="E445" s="84">
        <v>600.0</v>
      </c>
      <c r="F445" s="20">
        <f t="shared" si="16"/>
        <v>6000</v>
      </c>
      <c r="G445" s="29"/>
    </row>
    <row r="446">
      <c r="C446" s="84" t="s">
        <v>412</v>
      </c>
      <c r="D446" s="84">
        <v>6.0</v>
      </c>
      <c r="E446" s="84">
        <v>150.0</v>
      </c>
      <c r="F446" s="20">
        <f t="shared" si="16"/>
        <v>900</v>
      </c>
      <c r="G446" s="76">
        <v>44769.0</v>
      </c>
    </row>
    <row r="447">
      <c r="C447" s="84" t="s">
        <v>413</v>
      </c>
      <c r="D447" s="84">
        <v>20.0</v>
      </c>
      <c r="E447" s="84">
        <v>45.0</v>
      </c>
      <c r="F447" s="20">
        <f t="shared" si="16"/>
        <v>900</v>
      </c>
      <c r="G447" s="76">
        <v>44769.0</v>
      </c>
    </row>
    <row r="448">
      <c r="C448" s="84" t="s">
        <v>414</v>
      </c>
      <c r="D448" s="84">
        <v>20.0</v>
      </c>
      <c r="E448" s="84">
        <v>120.0</v>
      </c>
      <c r="F448" s="20">
        <f t="shared" si="16"/>
        <v>2400</v>
      </c>
      <c r="G448" s="76">
        <v>44769.0</v>
      </c>
    </row>
    <row r="449">
      <c r="C449" s="84" t="s">
        <v>370</v>
      </c>
      <c r="D449" s="84">
        <v>2.0</v>
      </c>
      <c r="E449" s="84">
        <v>800.0</v>
      </c>
      <c r="F449" s="20">
        <f t="shared" si="16"/>
        <v>1600</v>
      </c>
      <c r="G449" s="76">
        <v>44769.0</v>
      </c>
    </row>
    <row r="450">
      <c r="C450" s="84" t="s">
        <v>227</v>
      </c>
      <c r="D450" s="84">
        <v>6.0</v>
      </c>
      <c r="E450" s="84">
        <v>750.0</v>
      </c>
      <c r="F450" s="20">
        <f t="shared" si="16"/>
        <v>4500</v>
      </c>
      <c r="G450" s="84" t="s">
        <v>75</v>
      </c>
    </row>
    <row r="451">
      <c r="C451" s="84" t="s">
        <v>342</v>
      </c>
      <c r="D451" s="84">
        <v>65.0</v>
      </c>
      <c r="E451" s="84">
        <v>120.0</v>
      </c>
      <c r="F451" s="20">
        <f t="shared" si="16"/>
        <v>7800</v>
      </c>
      <c r="G451" s="84" t="s">
        <v>75</v>
      </c>
    </row>
    <row r="452">
      <c r="C452" s="84" t="s">
        <v>415</v>
      </c>
      <c r="D452" s="29"/>
      <c r="E452" s="29"/>
      <c r="F452" s="20">
        <f t="shared" si="16"/>
        <v>0</v>
      </c>
      <c r="G452" s="84" t="s">
        <v>75</v>
      </c>
    </row>
    <row r="453">
      <c r="C453" s="84" t="s">
        <v>67</v>
      </c>
      <c r="D453" s="84">
        <v>10.0</v>
      </c>
      <c r="E453" s="84">
        <v>120.0</v>
      </c>
      <c r="F453" s="20">
        <f t="shared" si="16"/>
        <v>1200</v>
      </c>
      <c r="G453" s="29"/>
    </row>
    <row r="454">
      <c r="C454" s="84" t="s">
        <v>67</v>
      </c>
      <c r="D454" s="84">
        <v>30.0</v>
      </c>
      <c r="E454" s="84">
        <v>120.0</v>
      </c>
      <c r="F454" s="20">
        <f t="shared" si="16"/>
        <v>3600</v>
      </c>
      <c r="G454" s="84" t="s">
        <v>416</v>
      </c>
    </row>
    <row r="455">
      <c r="C455" s="84" t="s">
        <v>417</v>
      </c>
      <c r="D455" s="84">
        <v>5.0</v>
      </c>
      <c r="E455" s="84">
        <v>100.0</v>
      </c>
      <c r="F455" s="20">
        <f t="shared" si="16"/>
        <v>500</v>
      </c>
      <c r="G455" s="76">
        <v>44772.0</v>
      </c>
    </row>
    <row r="456">
      <c r="C456" s="84" t="s">
        <v>360</v>
      </c>
      <c r="D456" s="84">
        <v>3.0</v>
      </c>
      <c r="E456" s="84">
        <v>800.0</v>
      </c>
      <c r="F456" s="20">
        <f t="shared" si="16"/>
        <v>2400</v>
      </c>
      <c r="G456" s="76">
        <v>44772.0</v>
      </c>
    </row>
    <row r="457">
      <c r="C457" s="84" t="s">
        <v>351</v>
      </c>
      <c r="D457" s="84">
        <v>4.0</v>
      </c>
      <c r="E457" s="84">
        <v>100.0</v>
      </c>
      <c r="F457" s="20">
        <f t="shared" si="16"/>
        <v>400</v>
      </c>
      <c r="G457" s="84" t="s">
        <v>418</v>
      </c>
    </row>
    <row r="458">
      <c r="C458" s="84" t="s">
        <v>419</v>
      </c>
      <c r="D458" s="84">
        <v>10.0</v>
      </c>
      <c r="E458" s="84">
        <v>30.0</v>
      </c>
      <c r="F458" s="20">
        <f t="shared" si="16"/>
        <v>300</v>
      </c>
      <c r="G458" s="76">
        <v>44772.0</v>
      </c>
    </row>
    <row r="459">
      <c r="C459" s="84" t="s">
        <v>196</v>
      </c>
      <c r="D459" s="84">
        <v>2.0</v>
      </c>
      <c r="E459" s="84">
        <v>400.0</v>
      </c>
      <c r="F459" s="20">
        <f t="shared" si="16"/>
        <v>800</v>
      </c>
      <c r="G459" s="76">
        <v>44772.0</v>
      </c>
    </row>
    <row r="460">
      <c r="C460" s="84" t="s">
        <v>47</v>
      </c>
      <c r="D460" s="84">
        <v>20.0</v>
      </c>
      <c r="E460" s="84">
        <v>45.0</v>
      </c>
      <c r="F460" s="20">
        <f t="shared" si="16"/>
        <v>900</v>
      </c>
      <c r="G460" s="76">
        <v>44772.0</v>
      </c>
    </row>
    <row r="461">
      <c r="C461" s="84" t="s">
        <v>360</v>
      </c>
      <c r="D461" s="84">
        <v>4.0</v>
      </c>
      <c r="E461" s="84">
        <v>800.0</v>
      </c>
      <c r="F461" s="20">
        <f t="shared" si="16"/>
        <v>3200</v>
      </c>
      <c r="G461" s="76">
        <v>44773.0</v>
      </c>
    </row>
    <row r="462">
      <c r="C462" s="84" t="s">
        <v>342</v>
      </c>
      <c r="D462" s="84">
        <v>9.0</v>
      </c>
      <c r="E462" s="84">
        <v>120.0</v>
      </c>
      <c r="F462" s="20">
        <f t="shared" si="16"/>
        <v>1080</v>
      </c>
      <c r="G462" s="76">
        <v>44773.0</v>
      </c>
    </row>
    <row r="463">
      <c r="C463" s="84" t="s">
        <v>420</v>
      </c>
      <c r="D463" s="84">
        <v>1.0</v>
      </c>
      <c r="E463" s="84">
        <v>1100.0</v>
      </c>
      <c r="F463" s="20">
        <f t="shared" si="16"/>
        <v>1100</v>
      </c>
      <c r="G463" s="76">
        <v>44773.0</v>
      </c>
    </row>
    <row r="464">
      <c r="C464" s="84" t="s">
        <v>322</v>
      </c>
      <c r="D464" s="84">
        <v>40.0</v>
      </c>
      <c r="E464" s="84">
        <v>55.0</v>
      </c>
      <c r="F464" s="20">
        <f t="shared" si="16"/>
        <v>2200</v>
      </c>
      <c r="G464" s="84" t="s">
        <v>421</v>
      </c>
    </row>
    <row r="465">
      <c r="C465" s="84" t="s">
        <v>192</v>
      </c>
      <c r="D465" s="84">
        <v>8.0</v>
      </c>
      <c r="E465" s="84">
        <v>450.0</v>
      </c>
      <c r="F465" s="20">
        <f t="shared" si="16"/>
        <v>3600</v>
      </c>
      <c r="G465" s="76">
        <v>44773.0</v>
      </c>
    </row>
    <row r="466">
      <c r="C466" s="84" t="s">
        <v>324</v>
      </c>
      <c r="D466" s="84">
        <v>3.0</v>
      </c>
      <c r="E466" s="84">
        <v>220.0</v>
      </c>
      <c r="F466" s="20">
        <f t="shared" si="16"/>
        <v>660</v>
      </c>
      <c r="G466" s="76">
        <v>44773.0</v>
      </c>
    </row>
    <row r="467">
      <c r="C467" s="84" t="s">
        <v>422</v>
      </c>
      <c r="D467" s="84">
        <v>3.0</v>
      </c>
      <c r="E467" s="84">
        <v>100.0</v>
      </c>
      <c r="F467" s="20">
        <f t="shared" si="16"/>
        <v>300</v>
      </c>
      <c r="G467" s="76">
        <v>44773.0</v>
      </c>
    </row>
    <row r="468">
      <c r="C468" s="84" t="s">
        <v>375</v>
      </c>
      <c r="D468" s="84">
        <v>10.0</v>
      </c>
      <c r="E468" s="84">
        <v>30.0</v>
      </c>
      <c r="F468" s="20">
        <f t="shared" si="16"/>
        <v>300</v>
      </c>
      <c r="G468" s="76">
        <v>44773.0</v>
      </c>
    </row>
    <row r="469">
      <c r="C469" s="84" t="s">
        <v>423</v>
      </c>
      <c r="D469" s="84">
        <v>4.0</v>
      </c>
      <c r="E469" s="84">
        <v>185.0</v>
      </c>
      <c r="F469" s="20">
        <f t="shared" si="16"/>
        <v>740</v>
      </c>
      <c r="G469" s="76">
        <v>44773.0</v>
      </c>
    </row>
    <row r="470">
      <c r="C470" s="84" t="s">
        <v>424</v>
      </c>
      <c r="D470" s="84">
        <v>5.0</v>
      </c>
      <c r="E470" s="84">
        <v>20.0</v>
      </c>
      <c r="F470" s="20">
        <f t="shared" si="16"/>
        <v>100</v>
      </c>
      <c r="G470" s="76">
        <v>44773.0</v>
      </c>
    </row>
    <row r="471">
      <c r="C471" s="84"/>
      <c r="D471" s="21"/>
      <c r="E471" s="21"/>
      <c r="F471" s="92">
        <f>SUM(F3:F470)</f>
        <v>990000</v>
      </c>
      <c r="G471" s="21"/>
    </row>
    <row r="504">
      <c r="L504" s="84" t="s">
        <v>79</v>
      </c>
      <c r="M504" s="84">
        <v>1.0</v>
      </c>
      <c r="N504" s="84">
        <v>2850.0</v>
      </c>
      <c r="O504" s="20">
        <f t="shared" ref="O504:O515" si="17">N504*M504</f>
        <v>2850</v>
      </c>
      <c r="P504" s="76">
        <v>44753.0</v>
      </c>
    </row>
    <row r="505">
      <c r="L505" s="84" t="s">
        <v>264</v>
      </c>
      <c r="M505" s="84">
        <v>2.0</v>
      </c>
      <c r="N505" s="84">
        <v>1175.0</v>
      </c>
      <c r="O505" s="20">
        <f t="shared" si="17"/>
        <v>2350</v>
      </c>
      <c r="P505" s="89">
        <v>44753.0</v>
      </c>
    </row>
    <row r="506">
      <c r="L506" s="84" t="s">
        <v>136</v>
      </c>
      <c r="M506" s="84">
        <v>10.0</v>
      </c>
      <c r="N506" s="84">
        <v>195.0</v>
      </c>
      <c r="O506" s="20">
        <f t="shared" si="17"/>
        <v>1950</v>
      </c>
      <c r="P506" s="89">
        <v>44753.0</v>
      </c>
    </row>
    <row r="507">
      <c r="L507" s="84" t="s">
        <v>135</v>
      </c>
      <c r="M507" s="84">
        <v>5.0</v>
      </c>
      <c r="N507" s="84">
        <v>630.0</v>
      </c>
      <c r="O507" s="20">
        <f t="shared" si="17"/>
        <v>3150</v>
      </c>
      <c r="P507" s="89">
        <v>44753.0</v>
      </c>
    </row>
    <row r="508">
      <c r="L508" s="84" t="s">
        <v>265</v>
      </c>
      <c r="M508" s="84">
        <v>3.0</v>
      </c>
      <c r="N508" s="84">
        <v>100.0</v>
      </c>
      <c r="O508" s="20">
        <f t="shared" si="17"/>
        <v>300</v>
      </c>
      <c r="P508" s="89">
        <v>44753.0</v>
      </c>
    </row>
    <row r="509">
      <c r="L509" s="84" t="s">
        <v>266</v>
      </c>
      <c r="M509" s="84">
        <v>1.0</v>
      </c>
      <c r="N509" s="84">
        <v>1550.0</v>
      </c>
      <c r="O509" s="20">
        <f t="shared" si="17"/>
        <v>1550</v>
      </c>
      <c r="P509" s="89">
        <v>44753.0</v>
      </c>
    </row>
    <row r="510">
      <c r="L510" s="84" t="s">
        <v>267</v>
      </c>
      <c r="M510" s="84">
        <v>6.0</v>
      </c>
      <c r="N510" s="84">
        <v>420.0</v>
      </c>
      <c r="O510" s="20">
        <f t="shared" si="17"/>
        <v>2520</v>
      </c>
      <c r="P510" s="89">
        <v>44753.0</v>
      </c>
    </row>
    <row r="511">
      <c r="L511" s="84" t="s">
        <v>268</v>
      </c>
      <c r="M511" s="84">
        <v>2.0</v>
      </c>
      <c r="N511" s="84">
        <v>588.0</v>
      </c>
      <c r="O511" s="20">
        <f t="shared" si="17"/>
        <v>1176</v>
      </c>
      <c r="P511" s="89">
        <v>44753.0</v>
      </c>
    </row>
    <row r="512">
      <c r="L512" s="84" t="s">
        <v>269</v>
      </c>
      <c r="M512" s="84">
        <v>1.0</v>
      </c>
      <c r="N512" s="84">
        <v>350.0</v>
      </c>
      <c r="O512" s="20">
        <f t="shared" si="17"/>
        <v>350</v>
      </c>
      <c r="P512" s="89">
        <v>44753.0</v>
      </c>
    </row>
    <row r="513">
      <c r="L513" s="84" t="s">
        <v>71</v>
      </c>
      <c r="M513" s="84">
        <v>11.0</v>
      </c>
      <c r="N513" s="84">
        <v>80.0</v>
      </c>
      <c r="O513" s="20">
        <f t="shared" si="17"/>
        <v>880</v>
      </c>
      <c r="P513" s="89">
        <v>44753.0</v>
      </c>
    </row>
    <row r="514">
      <c r="L514" s="84" t="s">
        <v>270</v>
      </c>
      <c r="M514" s="84">
        <v>5.0</v>
      </c>
      <c r="N514" s="84">
        <v>90.0</v>
      </c>
      <c r="O514" s="20">
        <f t="shared" si="17"/>
        <v>450</v>
      </c>
      <c r="P514" s="89">
        <v>44753.0</v>
      </c>
    </row>
    <row r="515">
      <c r="L515" s="84" t="s">
        <v>271</v>
      </c>
      <c r="M515" s="84">
        <v>20.0</v>
      </c>
      <c r="N515" s="84">
        <v>60.0</v>
      </c>
      <c r="O515" s="20">
        <f t="shared" si="17"/>
        <v>1200</v>
      </c>
      <c r="P515" s="89">
        <v>44753.0</v>
      </c>
    </row>
    <row r="516">
      <c r="L516" s="84" t="s">
        <v>272</v>
      </c>
      <c r="M516" s="29"/>
      <c r="N516" s="84">
        <v>510.0</v>
      </c>
      <c r="O516" s="30">
        <v>510.0</v>
      </c>
      <c r="P516" s="89">
        <v>44753.0</v>
      </c>
    </row>
    <row r="517">
      <c r="L517" s="84" t="s">
        <v>273</v>
      </c>
      <c r="M517" s="84"/>
      <c r="N517" s="84">
        <v>300.0</v>
      </c>
      <c r="O517" s="30">
        <v>300.0</v>
      </c>
      <c r="P517" s="89">
        <v>44753.0</v>
      </c>
    </row>
    <row r="518">
      <c r="L518" s="84" t="s">
        <v>274</v>
      </c>
      <c r="M518" s="84">
        <v>1.0</v>
      </c>
      <c r="N518" s="84">
        <v>140.0</v>
      </c>
      <c r="O518" s="20">
        <f t="shared" ref="O518:O567" si="18">N518*M518</f>
        <v>140</v>
      </c>
      <c r="P518" s="89">
        <v>44753.0</v>
      </c>
    </row>
    <row r="519">
      <c r="L519" s="84" t="s">
        <v>275</v>
      </c>
      <c r="M519" s="84">
        <v>9.0</v>
      </c>
      <c r="N519" s="84">
        <v>230.0</v>
      </c>
      <c r="O519" s="20">
        <f t="shared" si="18"/>
        <v>2070</v>
      </c>
      <c r="P519" s="76">
        <v>44754.0</v>
      </c>
    </row>
    <row r="520">
      <c r="L520" s="29"/>
      <c r="M520" s="84">
        <v>3.0</v>
      </c>
      <c r="N520" s="84">
        <v>260.0</v>
      </c>
      <c r="O520" s="20">
        <f t="shared" si="18"/>
        <v>780</v>
      </c>
      <c r="P520" s="76">
        <v>44754.0</v>
      </c>
    </row>
    <row r="521">
      <c r="L521" s="84" t="s">
        <v>276</v>
      </c>
      <c r="M521" s="84">
        <v>4.0</v>
      </c>
      <c r="N521" s="84">
        <v>115.0</v>
      </c>
      <c r="O521" s="20">
        <f t="shared" si="18"/>
        <v>460</v>
      </c>
      <c r="P521" s="76">
        <v>44754.0</v>
      </c>
    </row>
    <row r="522">
      <c r="L522" s="84" t="s">
        <v>277</v>
      </c>
      <c r="M522" s="84">
        <v>2.0</v>
      </c>
      <c r="N522" s="84">
        <v>380.0</v>
      </c>
      <c r="O522" s="20">
        <f t="shared" si="18"/>
        <v>760</v>
      </c>
      <c r="P522" s="76">
        <v>44754.0</v>
      </c>
    </row>
    <row r="523">
      <c r="L523" s="84" t="s">
        <v>278</v>
      </c>
      <c r="M523" s="84">
        <v>3.0</v>
      </c>
      <c r="N523" s="84">
        <v>140.0</v>
      </c>
      <c r="O523" s="20">
        <f t="shared" si="18"/>
        <v>420</v>
      </c>
      <c r="P523" s="76">
        <v>44754.0</v>
      </c>
    </row>
    <row r="524">
      <c r="L524" s="84" t="s">
        <v>279</v>
      </c>
      <c r="M524" s="84">
        <v>1.0</v>
      </c>
      <c r="N524" s="84">
        <v>625.0</v>
      </c>
      <c r="O524" s="20">
        <f t="shared" si="18"/>
        <v>625</v>
      </c>
      <c r="P524" s="76">
        <v>44754.0</v>
      </c>
    </row>
    <row r="525">
      <c r="L525" s="84" t="s">
        <v>280</v>
      </c>
      <c r="M525" s="84">
        <v>1.0</v>
      </c>
      <c r="N525" s="84">
        <v>750.0</v>
      </c>
      <c r="O525" s="20">
        <f t="shared" si="18"/>
        <v>750</v>
      </c>
      <c r="P525" s="76">
        <v>44754.0</v>
      </c>
    </row>
    <row r="526">
      <c r="L526" s="84" t="s">
        <v>281</v>
      </c>
      <c r="M526" s="84">
        <v>1.0</v>
      </c>
      <c r="N526" s="84">
        <v>1450.0</v>
      </c>
      <c r="O526" s="20">
        <f t="shared" si="18"/>
        <v>1450</v>
      </c>
      <c r="P526" s="76">
        <v>44754.0</v>
      </c>
    </row>
    <row r="527">
      <c r="L527" s="84" t="s">
        <v>282</v>
      </c>
      <c r="M527" s="84">
        <v>2.0</v>
      </c>
      <c r="N527" s="84">
        <v>200.0</v>
      </c>
      <c r="O527" s="20">
        <f t="shared" si="18"/>
        <v>400</v>
      </c>
      <c r="P527" s="76">
        <v>44754.0</v>
      </c>
    </row>
    <row r="528">
      <c r="L528" s="84" t="s">
        <v>283</v>
      </c>
      <c r="M528" s="84">
        <v>1.0</v>
      </c>
      <c r="N528" s="84">
        <v>150.0</v>
      </c>
      <c r="O528" s="20">
        <f t="shared" si="18"/>
        <v>150</v>
      </c>
      <c r="P528" s="76">
        <v>44754.0</v>
      </c>
    </row>
    <row r="529">
      <c r="L529" s="84" t="s">
        <v>284</v>
      </c>
      <c r="M529" s="84">
        <v>20.0</v>
      </c>
      <c r="N529" s="84">
        <v>70.0</v>
      </c>
      <c r="O529" s="20">
        <f t="shared" si="18"/>
        <v>1400</v>
      </c>
      <c r="P529" s="76">
        <v>44754.0</v>
      </c>
    </row>
    <row r="530">
      <c r="L530" s="84" t="s">
        <v>191</v>
      </c>
      <c r="M530" s="84">
        <v>5.0</v>
      </c>
      <c r="N530" s="84">
        <v>900.0</v>
      </c>
      <c r="O530" s="20">
        <f t="shared" si="18"/>
        <v>4500</v>
      </c>
      <c r="P530" s="76">
        <v>44754.0</v>
      </c>
    </row>
    <row r="531">
      <c r="L531" s="84" t="s">
        <v>285</v>
      </c>
      <c r="M531" s="84">
        <v>12.0</v>
      </c>
      <c r="N531" s="84">
        <v>200.0</v>
      </c>
      <c r="O531" s="20">
        <f t="shared" si="18"/>
        <v>2400</v>
      </c>
      <c r="P531" s="76">
        <v>44754.0</v>
      </c>
    </row>
    <row r="532">
      <c r="L532" s="84" t="s">
        <v>286</v>
      </c>
      <c r="M532" s="84">
        <v>5.0</v>
      </c>
      <c r="N532" s="84">
        <v>400.0</v>
      </c>
      <c r="O532" s="20">
        <f t="shared" si="18"/>
        <v>2000</v>
      </c>
      <c r="P532" s="76">
        <v>44754.0</v>
      </c>
    </row>
    <row r="533">
      <c r="L533" s="84" t="s">
        <v>287</v>
      </c>
      <c r="M533" s="84">
        <v>20.0</v>
      </c>
      <c r="N533" s="84">
        <v>10.0</v>
      </c>
      <c r="O533" s="20">
        <f t="shared" si="18"/>
        <v>200</v>
      </c>
      <c r="P533" s="76">
        <v>44754.0</v>
      </c>
    </row>
    <row r="534">
      <c r="L534" s="84" t="s">
        <v>288</v>
      </c>
      <c r="M534" s="84">
        <v>1.0</v>
      </c>
      <c r="N534" s="84">
        <v>450.0</v>
      </c>
      <c r="O534" s="20">
        <f t="shared" si="18"/>
        <v>450</v>
      </c>
      <c r="P534" s="76">
        <v>44754.0</v>
      </c>
    </row>
    <row r="535">
      <c r="L535" s="84" t="s">
        <v>289</v>
      </c>
      <c r="M535" s="84">
        <v>1.0</v>
      </c>
      <c r="N535" s="84">
        <v>500.0</v>
      </c>
      <c r="O535" s="20">
        <f t="shared" si="18"/>
        <v>500</v>
      </c>
      <c r="P535" s="76">
        <v>44754.0</v>
      </c>
    </row>
    <row r="536">
      <c r="L536" s="84" t="s">
        <v>290</v>
      </c>
      <c r="M536" s="84">
        <v>4.0</v>
      </c>
      <c r="N536" s="84">
        <v>900.0</v>
      </c>
      <c r="O536" s="20">
        <f t="shared" si="18"/>
        <v>3600</v>
      </c>
      <c r="P536" s="76">
        <v>44755.0</v>
      </c>
    </row>
    <row r="537">
      <c r="L537" s="84" t="s">
        <v>291</v>
      </c>
      <c r="M537" s="84">
        <v>2.0</v>
      </c>
      <c r="N537" s="84">
        <v>350.0</v>
      </c>
      <c r="O537" s="20">
        <f t="shared" si="18"/>
        <v>700</v>
      </c>
      <c r="P537" s="76">
        <v>44755.0</v>
      </c>
    </row>
    <row r="538">
      <c r="L538" s="84" t="s">
        <v>292</v>
      </c>
      <c r="M538" s="84">
        <v>1.0</v>
      </c>
      <c r="N538" s="84">
        <v>350.0</v>
      </c>
      <c r="O538" s="20">
        <f t="shared" si="18"/>
        <v>350</v>
      </c>
      <c r="P538" s="76">
        <v>44755.0</v>
      </c>
    </row>
    <row r="539">
      <c r="L539" s="84" t="s">
        <v>293</v>
      </c>
      <c r="M539" s="84">
        <v>1.0</v>
      </c>
      <c r="N539" s="84">
        <v>200.0</v>
      </c>
      <c r="O539" s="20">
        <f t="shared" si="18"/>
        <v>200</v>
      </c>
      <c r="P539" s="76">
        <v>44755.0</v>
      </c>
    </row>
    <row r="540">
      <c r="L540" s="84" t="s">
        <v>294</v>
      </c>
      <c r="M540" s="84">
        <v>1.0</v>
      </c>
      <c r="N540" s="84">
        <v>340.0</v>
      </c>
      <c r="O540" s="20">
        <f t="shared" si="18"/>
        <v>340</v>
      </c>
      <c r="P540" s="76">
        <v>44755.0</v>
      </c>
    </row>
    <row r="541">
      <c r="L541" s="84" t="s">
        <v>295</v>
      </c>
      <c r="M541" s="84">
        <v>2.0</v>
      </c>
      <c r="N541" s="84">
        <v>210.0</v>
      </c>
      <c r="O541" s="20">
        <f t="shared" si="18"/>
        <v>420</v>
      </c>
      <c r="P541" s="76">
        <v>44755.0</v>
      </c>
    </row>
    <row r="542">
      <c r="L542" s="84" t="s">
        <v>296</v>
      </c>
      <c r="M542" s="84">
        <v>1.0</v>
      </c>
      <c r="N542" s="84">
        <v>530.0</v>
      </c>
      <c r="O542" s="20">
        <f t="shared" si="18"/>
        <v>530</v>
      </c>
      <c r="P542" s="76">
        <v>44755.0</v>
      </c>
    </row>
    <row r="543">
      <c r="L543" s="84" t="s">
        <v>297</v>
      </c>
      <c r="M543" s="84">
        <v>1.0</v>
      </c>
      <c r="N543" s="84">
        <v>250.0</v>
      </c>
      <c r="O543" s="20">
        <f t="shared" si="18"/>
        <v>250</v>
      </c>
      <c r="P543" s="76">
        <v>44755.0</v>
      </c>
    </row>
    <row r="544">
      <c r="L544" s="84" t="s">
        <v>298</v>
      </c>
      <c r="M544" s="84">
        <v>1.0</v>
      </c>
      <c r="N544" s="84">
        <v>1800.0</v>
      </c>
      <c r="O544" s="20">
        <f t="shared" si="18"/>
        <v>1800</v>
      </c>
      <c r="P544" s="76">
        <v>44755.0</v>
      </c>
    </row>
    <row r="545">
      <c r="L545" s="84" t="s">
        <v>299</v>
      </c>
      <c r="M545" s="84">
        <v>4.0</v>
      </c>
      <c r="N545" s="84">
        <v>120.0</v>
      </c>
      <c r="O545" s="20">
        <f t="shared" si="18"/>
        <v>480</v>
      </c>
      <c r="P545" s="76">
        <v>44755.0</v>
      </c>
    </row>
    <row r="546">
      <c r="L546" s="84" t="s">
        <v>300</v>
      </c>
      <c r="M546" s="84">
        <v>3.0</v>
      </c>
      <c r="N546" s="84">
        <v>120.0</v>
      </c>
      <c r="O546" s="20">
        <f t="shared" si="18"/>
        <v>360</v>
      </c>
      <c r="P546" s="76">
        <v>44755.0</v>
      </c>
    </row>
    <row r="547">
      <c r="L547" s="84" t="s">
        <v>301</v>
      </c>
      <c r="M547" s="84">
        <v>2.0</v>
      </c>
      <c r="N547" s="84">
        <v>2950.0</v>
      </c>
      <c r="O547" s="20">
        <f t="shared" si="18"/>
        <v>5900</v>
      </c>
      <c r="P547" s="76">
        <v>44755.0</v>
      </c>
    </row>
    <row r="548">
      <c r="L548" s="84" t="s">
        <v>302</v>
      </c>
      <c r="M548" s="84">
        <v>1.0</v>
      </c>
      <c r="N548" s="84">
        <v>2080.0</v>
      </c>
      <c r="O548" s="20">
        <f t="shared" si="18"/>
        <v>2080</v>
      </c>
      <c r="P548" s="76">
        <v>44755.0</v>
      </c>
    </row>
    <row r="549">
      <c r="L549" s="84" t="s">
        <v>303</v>
      </c>
      <c r="M549" s="84">
        <v>1.0</v>
      </c>
      <c r="N549" s="84">
        <v>800.0</v>
      </c>
      <c r="O549" s="20">
        <f t="shared" si="18"/>
        <v>800</v>
      </c>
      <c r="P549" s="76">
        <v>44755.0</v>
      </c>
    </row>
    <row r="550">
      <c r="L550" s="84" t="s">
        <v>304</v>
      </c>
      <c r="M550" s="84">
        <v>40.0</v>
      </c>
      <c r="N550" s="84">
        <v>55.0</v>
      </c>
      <c r="O550" s="20">
        <f t="shared" si="18"/>
        <v>2200</v>
      </c>
      <c r="P550" s="76">
        <v>44755.0</v>
      </c>
    </row>
    <row r="551">
      <c r="L551" s="84" t="s">
        <v>305</v>
      </c>
      <c r="M551" s="84">
        <v>1.0</v>
      </c>
      <c r="N551" s="84">
        <v>100.0</v>
      </c>
      <c r="O551" s="20">
        <f t="shared" si="18"/>
        <v>100</v>
      </c>
      <c r="P551" s="76">
        <v>44755.0</v>
      </c>
    </row>
    <row r="552">
      <c r="L552" s="84" t="s">
        <v>306</v>
      </c>
      <c r="M552" s="84">
        <v>5.0</v>
      </c>
      <c r="N552" s="84">
        <v>336.0</v>
      </c>
      <c r="O552" s="20">
        <f t="shared" si="18"/>
        <v>1680</v>
      </c>
      <c r="P552" s="76">
        <v>44755.0</v>
      </c>
    </row>
    <row r="553">
      <c r="L553" s="84" t="s">
        <v>307</v>
      </c>
      <c r="M553" s="84">
        <v>1.0</v>
      </c>
      <c r="N553" s="84">
        <v>270.0</v>
      </c>
      <c r="O553" s="20">
        <f t="shared" si="18"/>
        <v>270</v>
      </c>
      <c r="P553" s="76">
        <v>44755.0</v>
      </c>
    </row>
    <row r="554">
      <c r="L554" s="84" t="s">
        <v>308</v>
      </c>
      <c r="M554" s="84">
        <v>1.0</v>
      </c>
      <c r="N554" s="84">
        <v>2600.0</v>
      </c>
      <c r="O554" s="20">
        <f t="shared" si="18"/>
        <v>2600</v>
      </c>
      <c r="P554" s="76">
        <v>44755.0</v>
      </c>
    </row>
    <row r="555">
      <c r="L555" s="84" t="s">
        <v>281</v>
      </c>
      <c r="M555" s="84">
        <v>1.0</v>
      </c>
      <c r="N555" s="84">
        <v>1450.0</v>
      </c>
      <c r="O555" s="20">
        <f t="shared" si="18"/>
        <v>1450</v>
      </c>
      <c r="P555" s="76">
        <v>44755.0</v>
      </c>
    </row>
    <row r="556">
      <c r="L556" s="84" t="s">
        <v>282</v>
      </c>
      <c r="M556" s="84">
        <v>10.0</v>
      </c>
      <c r="N556" s="84">
        <v>150.0</v>
      </c>
      <c r="O556" s="20">
        <f t="shared" si="18"/>
        <v>1500</v>
      </c>
      <c r="P556" s="76">
        <v>44755.0</v>
      </c>
    </row>
    <row r="557">
      <c r="L557" s="84" t="s">
        <v>309</v>
      </c>
      <c r="M557" s="84">
        <v>10.0</v>
      </c>
      <c r="N557" s="84">
        <v>60.0</v>
      </c>
      <c r="O557" s="20">
        <f t="shared" si="18"/>
        <v>600</v>
      </c>
      <c r="P557" s="76">
        <v>44755.0</v>
      </c>
    </row>
    <row r="558">
      <c r="L558" s="84" t="s">
        <v>310</v>
      </c>
      <c r="M558" s="84">
        <v>10.0</v>
      </c>
      <c r="N558" s="84">
        <v>120.0</v>
      </c>
      <c r="O558" s="20">
        <f t="shared" si="18"/>
        <v>1200</v>
      </c>
      <c r="P558" s="76">
        <v>44755.0</v>
      </c>
    </row>
    <row r="559">
      <c r="L559" s="84" t="s">
        <v>285</v>
      </c>
      <c r="M559" s="84">
        <v>25.0</v>
      </c>
      <c r="N559" s="84">
        <v>130.0</v>
      </c>
      <c r="O559" s="20">
        <f t="shared" si="18"/>
        <v>3250</v>
      </c>
      <c r="P559" s="76">
        <v>44755.0</v>
      </c>
    </row>
    <row r="560">
      <c r="L560" s="84" t="s">
        <v>311</v>
      </c>
      <c r="M560" s="84">
        <v>2.0</v>
      </c>
      <c r="N560" s="84">
        <v>60.0</v>
      </c>
      <c r="O560" s="20">
        <f t="shared" si="18"/>
        <v>120</v>
      </c>
      <c r="P560" s="76">
        <v>44755.0</v>
      </c>
    </row>
    <row r="561">
      <c r="L561" s="84" t="s">
        <v>312</v>
      </c>
      <c r="M561" s="84">
        <v>2.0</v>
      </c>
      <c r="N561" s="84">
        <v>75.0</v>
      </c>
      <c r="O561" s="20">
        <f t="shared" si="18"/>
        <v>150</v>
      </c>
      <c r="P561" s="76">
        <v>44755.0</v>
      </c>
    </row>
    <row r="562">
      <c r="L562" s="84" t="s">
        <v>274</v>
      </c>
      <c r="M562" s="84">
        <v>1.0</v>
      </c>
      <c r="N562" s="84">
        <v>350.0</v>
      </c>
      <c r="O562" s="20">
        <f t="shared" si="18"/>
        <v>350</v>
      </c>
      <c r="P562" s="76">
        <v>44755.0</v>
      </c>
    </row>
    <row r="563">
      <c r="L563" s="84" t="s">
        <v>313</v>
      </c>
      <c r="M563" s="84">
        <v>1.0</v>
      </c>
      <c r="N563" s="84">
        <v>8900.0</v>
      </c>
      <c r="O563" s="20">
        <f t="shared" si="18"/>
        <v>8900</v>
      </c>
      <c r="P563" s="76">
        <v>44755.0</v>
      </c>
    </row>
    <row r="564">
      <c r="L564" s="84" t="s">
        <v>314</v>
      </c>
      <c r="M564" s="84">
        <v>5.3</v>
      </c>
      <c r="N564" s="84">
        <v>850.0</v>
      </c>
      <c r="O564" s="20">
        <f t="shared" si="18"/>
        <v>4505</v>
      </c>
      <c r="P564" s="76">
        <v>44755.0</v>
      </c>
    </row>
    <row r="565">
      <c r="L565" s="84" t="s">
        <v>315</v>
      </c>
      <c r="M565" s="84">
        <v>4.0</v>
      </c>
      <c r="N565" s="84">
        <v>300.0</v>
      </c>
      <c r="O565" s="20">
        <f t="shared" si="18"/>
        <v>1200</v>
      </c>
      <c r="P565" s="76">
        <v>44756.0</v>
      </c>
    </row>
    <row r="566">
      <c r="L566" s="84" t="s">
        <v>316</v>
      </c>
      <c r="M566" s="84">
        <v>20.0</v>
      </c>
      <c r="N566" s="84">
        <v>45.0</v>
      </c>
      <c r="O566" s="20">
        <f t="shared" si="18"/>
        <v>900</v>
      </c>
      <c r="P566" s="76">
        <v>44757.0</v>
      </c>
    </row>
    <row r="567">
      <c r="L567" s="84" t="s">
        <v>317</v>
      </c>
      <c r="M567" s="84">
        <v>1.0</v>
      </c>
      <c r="N567" s="84">
        <v>1000.0</v>
      </c>
      <c r="O567" s="20">
        <f t="shared" si="18"/>
        <v>1000</v>
      </c>
      <c r="P567" s="76">
        <v>44757.0</v>
      </c>
    </row>
    <row r="568">
      <c r="O568" s="93">
        <f>SUM(O504:O567)</f>
        <v>88776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38"/>
    <col customWidth="1" min="17" max="17" width="50.75"/>
  </cols>
  <sheetData>
    <row r="1">
      <c r="A1" s="9"/>
      <c r="B1" s="2" t="s">
        <v>0</v>
      </c>
      <c r="C1" s="94" t="s">
        <v>425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  <c r="I1" s="2" t="s">
        <v>431</v>
      </c>
      <c r="J1" s="3" t="s">
        <v>432</v>
      </c>
      <c r="K1" s="2" t="s">
        <v>433</v>
      </c>
      <c r="L1" s="2" t="s">
        <v>434</v>
      </c>
      <c r="M1" s="3" t="s">
        <v>435</v>
      </c>
      <c r="N1" s="2" t="s">
        <v>436</v>
      </c>
      <c r="O1" s="2" t="s">
        <v>437</v>
      </c>
      <c r="P1" s="2" t="s">
        <v>438</v>
      </c>
      <c r="Q1" s="2" t="s">
        <v>439</v>
      </c>
    </row>
    <row r="2">
      <c r="A2" s="95" t="s">
        <v>12</v>
      </c>
      <c r="B2" s="96">
        <v>44743.0</v>
      </c>
      <c r="C2" s="97">
        <v>0.0</v>
      </c>
      <c r="D2" s="97">
        <v>0.0</v>
      </c>
      <c r="E2" s="97">
        <v>0.0</v>
      </c>
      <c r="F2" s="97">
        <v>0.0</v>
      </c>
      <c r="G2" s="97">
        <v>1.0</v>
      </c>
      <c r="H2" s="97">
        <v>0.0</v>
      </c>
      <c r="I2" s="97">
        <v>0.0</v>
      </c>
      <c r="J2" s="97">
        <v>1.0</v>
      </c>
      <c r="K2" s="97">
        <v>0.0</v>
      </c>
      <c r="L2" s="97">
        <v>1.0</v>
      </c>
      <c r="M2" s="97">
        <v>0.0</v>
      </c>
      <c r="N2" s="97">
        <v>1.0</v>
      </c>
      <c r="O2" s="97">
        <v>1.0</v>
      </c>
      <c r="P2" s="97">
        <v>1.0</v>
      </c>
      <c r="Q2" s="98"/>
    </row>
    <row r="3">
      <c r="A3" s="10" t="s">
        <v>13</v>
      </c>
      <c r="B3" s="11">
        <v>44744.0</v>
      </c>
      <c r="C3" s="99">
        <v>0.0</v>
      </c>
      <c r="D3" s="99">
        <v>1.0</v>
      </c>
      <c r="E3" s="100">
        <v>1.0</v>
      </c>
      <c r="F3" s="99">
        <v>0.0</v>
      </c>
      <c r="G3" s="99">
        <v>1.0</v>
      </c>
      <c r="H3" s="99">
        <v>0.0</v>
      </c>
      <c r="I3" s="99">
        <v>1.0</v>
      </c>
      <c r="J3" s="99">
        <v>1.0</v>
      </c>
      <c r="K3" s="99">
        <v>1.0</v>
      </c>
      <c r="L3" s="99">
        <v>1.0</v>
      </c>
      <c r="M3" s="99">
        <v>0.0</v>
      </c>
      <c r="N3" s="99">
        <v>1.0</v>
      </c>
      <c r="O3" s="99">
        <v>0.0</v>
      </c>
      <c r="P3" s="99">
        <v>1.0</v>
      </c>
      <c r="Q3" s="101"/>
    </row>
    <row r="4">
      <c r="A4" s="10" t="s">
        <v>14</v>
      </c>
      <c r="B4" s="11">
        <v>44745.0</v>
      </c>
      <c r="C4" s="99">
        <v>1.0</v>
      </c>
      <c r="D4" s="99">
        <v>1.0</v>
      </c>
      <c r="E4" s="99">
        <v>1.0</v>
      </c>
      <c r="F4" s="99">
        <v>0.0</v>
      </c>
      <c r="G4" s="99">
        <v>1.0</v>
      </c>
      <c r="H4" s="99">
        <v>0.0</v>
      </c>
      <c r="I4" s="99">
        <v>1.0</v>
      </c>
      <c r="J4" s="99">
        <v>1.0</v>
      </c>
      <c r="K4" s="99">
        <v>1.0</v>
      </c>
      <c r="L4" s="99">
        <v>1.0</v>
      </c>
      <c r="M4" s="99">
        <v>0.0</v>
      </c>
      <c r="N4" s="99">
        <v>0.5</v>
      </c>
      <c r="O4" s="99">
        <v>1.0</v>
      </c>
      <c r="P4" s="99">
        <v>1.0</v>
      </c>
      <c r="Q4" s="101"/>
    </row>
    <row r="5">
      <c r="A5" s="10" t="s">
        <v>17</v>
      </c>
      <c r="B5" s="11">
        <v>44746.0</v>
      </c>
      <c r="C5" s="99">
        <v>1.0</v>
      </c>
      <c r="D5" s="99">
        <v>1.0</v>
      </c>
      <c r="E5" s="99">
        <v>1.0</v>
      </c>
      <c r="F5" s="99">
        <v>1.0</v>
      </c>
      <c r="G5" s="99">
        <v>1.0</v>
      </c>
      <c r="H5" s="99">
        <v>1.0</v>
      </c>
      <c r="I5" s="99">
        <v>1.0</v>
      </c>
      <c r="J5" s="99">
        <v>1.0</v>
      </c>
      <c r="K5" s="99">
        <v>1.0</v>
      </c>
      <c r="L5" s="99">
        <v>1.0</v>
      </c>
      <c r="M5" s="99">
        <v>0.0</v>
      </c>
      <c r="N5" s="99">
        <v>1.0</v>
      </c>
      <c r="O5" s="99">
        <v>1.0</v>
      </c>
      <c r="P5" s="99">
        <v>1.0</v>
      </c>
      <c r="Q5" s="101"/>
    </row>
    <row r="6">
      <c r="A6" s="10" t="s">
        <v>18</v>
      </c>
      <c r="B6" s="11">
        <v>44747.0</v>
      </c>
      <c r="C6" s="99">
        <v>1.0</v>
      </c>
      <c r="D6" s="99">
        <v>0.5</v>
      </c>
      <c r="E6" s="99">
        <v>2.0</v>
      </c>
      <c r="F6" s="99">
        <v>0.0</v>
      </c>
      <c r="G6" s="99">
        <v>1.0</v>
      </c>
      <c r="H6" s="99">
        <v>1.0</v>
      </c>
      <c r="I6" s="99">
        <v>1.0</v>
      </c>
      <c r="J6" s="99">
        <v>1.0</v>
      </c>
      <c r="K6" s="99">
        <v>1.0</v>
      </c>
      <c r="L6" s="99">
        <v>0.0</v>
      </c>
      <c r="M6" s="99">
        <v>0.0</v>
      </c>
      <c r="N6" s="99">
        <v>1.0</v>
      </c>
      <c r="O6" s="99">
        <v>1.0</v>
      </c>
      <c r="P6" s="99">
        <v>0.0</v>
      </c>
      <c r="Q6" s="101"/>
    </row>
    <row r="7">
      <c r="A7" s="10" t="s">
        <v>20</v>
      </c>
      <c r="B7" s="11">
        <v>44748.0</v>
      </c>
      <c r="C7" s="99">
        <v>1.0</v>
      </c>
      <c r="D7" s="99">
        <v>1.0</v>
      </c>
      <c r="E7" s="99">
        <v>1.0</v>
      </c>
      <c r="F7" s="99">
        <v>1.0</v>
      </c>
      <c r="G7" s="99">
        <v>1.0</v>
      </c>
      <c r="H7" s="99">
        <v>1.0</v>
      </c>
      <c r="I7" s="99">
        <v>1.0</v>
      </c>
      <c r="J7" s="99">
        <v>1.0</v>
      </c>
      <c r="K7" s="99">
        <v>0.0</v>
      </c>
      <c r="L7" s="99">
        <v>1.0</v>
      </c>
      <c r="M7" s="99">
        <v>0.0</v>
      </c>
      <c r="N7" s="99">
        <v>1.0</v>
      </c>
      <c r="O7" s="99">
        <v>2.0</v>
      </c>
      <c r="P7" s="99">
        <v>2.0</v>
      </c>
      <c r="Q7" s="101"/>
    </row>
    <row r="8">
      <c r="A8" s="10" t="s">
        <v>21</v>
      </c>
      <c r="B8" s="11">
        <v>44749.0</v>
      </c>
      <c r="C8" s="99">
        <v>1.0</v>
      </c>
      <c r="D8" s="99">
        <v>2.0</v>
      </c>
      <c r="E8" s="99">
        <v>2.0</v>
      </c>
      <c r="F8" s="99">
        <v>1.0</v>
      </c>
      <c r="G8" s="99">
        <v>1.0</v>
      </c>
      <c r="H8" s="99">
        <v>1.0</v>
      </c>
      <c r="I8" s="99">
        <v>2.0</v>
      </c>
      <c r="J8" s="99">
        <v>2.0</v>
      </c>
      <c r="K8" s="99">
        <v>1.0</v>
      </c>
      <c r="L8" s="99">
        <v>1.0</v>
      </c>
      <c r="M8" s="99">
        <v>0.0</v>
      </c>
      <c r="N8" s="99">
        <v>1.0</v>
      </c>
      <c r="O8" s="99">
        <v>2.0</v>
      </c>
      <c r="P8" s="99">
        <v>2.0</v>
      </c>
      <c r="Q8" s="101"/>
    </row>
    <row r="9">
      <c r="A9" s="95" t="s">
        <v>12</v>
      </c>
      <c r="B9" s="96">
        <v>44750.0</v>
      </c>
      <c r="C9" s="97">
        <v>1.0</v>
      </c>
      <c r="D9" s="97">
        <v>0.0</v>
      </c>
      <c r="E9" s="97">
        <v>1.0</v>
      </c>
      <c r="F9" s="97">
        <v>1.0</v>
      </c>
      <c r="G9" s="97">
        <v>1.0</v>
      </c>
      <c r="H9" s="97">
        <v>1.0</v>
      </c>
      <c r="I9" s="97">
        <v>0.0</v>
      </c>
      <c r="J9" s="97">
        <v>1.0</v>
      </c>
      <c r="K9" s="97">
        <v>1.0</v>
      </c>
      <c r="L9" s="97">
        <v>1.0</v>
      </c>
      <c r="M9" s="97">
        <v>0.0</v>
      </c>
      <c r="N9" s="97">
        <v>1.0</v>
      </c>
      <c r="O9" s="97">
        <v>1.0</v>
      </c>
      <c r="P9" s="97">
        <v>2.0</v>
      </c>
      <c r="Q9" s="98"/>
    </row>
    <row r="10">
      <c r="A10" s="10" t="s">
        <v>13</v>
      </c>
      <c r="B10" s="11">
        <v>44751.0</v>
      </c>
      <c r="C10" s="99">
        <v>0.0</v>
      </c>
      <c r="D10" s="99">
        <v>0.0</v>
      </c>
      <c r="E10" s="99">
        <v>0.0</v>
      </c>
      <c r="F10" s="99">
        <v>0.0</v>
      </c>
      <c r="G10" s="99">
        <v>0.0</v>
      </c>
      <c r="H10" s="99">
        <v>0.0</v>
      </c>
      <c r="I10" s="99">
        <v>0.0</v>
      </c>
      <c r="J10" s="99">
        <v>0.0</v>
      </c>
      <c r="K10" s="99">
        <v>0.0</v>
      </c>
      <c r="L10" s="99">
        <v>0.0</v>
      </c>
      <c r="M10" s="99">
        <v>0.0</v>
      </c>
      <c r="N10" s="99">
        <v>0.0</v>
      </c>
      <c r="O10" s="99">
        <v>0.0</v>
      </c>
      <c r="P10" s="99">
        <v>0.0</v>
      </c>
      <c r="Q10" s="101"/>
    </row>
    <row r="11">
      <c r="A11" s="10" t="s">
        <v>14</v>
      </c>
      <c r="B11" s="11">
        <v>44752.0</v>
      </c>
      <c r="C11" s="99">
        <v>0.0</v>
      </c>
      <c r="D11" s="99">
        <v>0.0</v>
      </c>
      <c r="E11" s="99">
        <v>0.0</v>
      </c>
      <c r="F11" s="99">
        <v>0.0</v>
      </c>
      <c r="G11" s="99">
        <v>0.0</v>
      </c>
      <c r="H11" s="99">
        <v>0.0</v>
      </c>
      <c r="I11" s="99">
        <v>0.0</v>
      </c>
      <c r="J11" s="99">
        <v>0.0</v>
      </c>
      <c r="K11" s="99">
        <v>0.0</v>
      </c>
      <c r="L11" s="99">
        <v>0.0</v>
      </c>
      <c r="M11" s="99">
        <v>0.0</v>
      </c>
      <c r="N11" s="99">
        <v>0.0</v>
      </c>
      <c r="O11" s="99">
        <v>0.0</v>
      </c>
      <c r="P11" s="99">
        <v>0.0</v>
      </c>
      <c r="Q11" s="101"/>
    </row>
    <row r="12">
      <c r="A12" s="10" t="s">
        <v>17</v>
      </c>
      <c r="B12" s="11">
        <v>44753.0</v>
      </c>
      <c r="C12" s="99">
        <v>1.0</v>
      </c>
      <c r="D12" s="99">
        <v>1.0</v>
      </c>
      <c r="E12" s="99">
        <v>1.0</v>
      </c>
      <c r="F12" s="99">
        <v>1.0</v>
      </c>
      <c r="G12" s="99">
        <v>0.0</v>
      </c>
      <c r="H12" s="99">
        <v>1.0</v>
      </c>
      <c r="I12" s="99">
        <v>0.0</v>
      </c>
      <c r="J12" s="99">
        <v>1.0</v>
      </c>
      <c r="K12" s="99">
        <v>0.0</v>
      </c>
      <c r="L12" s="99">
        <v>1.0</v>
      </c>
      <c r="M12" s="99">
        <v>0.0</v>
      </c>
      <c r="N12" s="99">
        <v>1.0</v>
      </c>
      <c r="O12" s="99">
        <v>1.0</v>
      </c>
      <c r="P12" s="99">
        <v>1.0</v>
      </c>
      <c r="Q12" s="101"/>
    </row>
    <row r="13">
      <c r="A13" s="10" t="s">
        <v>18</v>
      </c>
      <c r="B13" s="11">
        <v>44754.0</v>
      </c>
      <c r="C13" s="99">
        <v>0.0</v>
      </c>
      <c r="D13" s="99">
        <v>1.0</v>
      </c>
      <c r="E13" s="102">
        <v>0.0</v>
      </c>
      <c r="F13" s="99">
        <v>1.0</v>
      </c>
      <c r="G13" s="99">
        <v>0.0</v>
      </c>
      <c r="H13" s="99">
        <v>0.0</v>
      </c>
      <c r="I13" s="99">
        <v>1.0</v>
      </c>
      <c r="J13" s="99">
        <v>1.0</v>
      </c>
      <c r="K13" s="99">
        <v>1.0</v>
      </c>
      <c r="L13" s="99">
        <v>1.0</v>
      </c>
      <c r="M13" s="99">
        <v>0.0</v>
      </c>
      <c r="N13" s="99">
        <v>1.0</v>
      </c>
      <c r="O13" s="99">
        <v>1.0</v>
      </c>
      <c r="P13" s="99">
        <v>1.0</v>
      </c>
      <c r="Q13" s="103"/>
    </row>
    <row r="14">
      <c r="A14" s="10" t="s">
        <v>20</v>
      </c>
      <c r="B14" s="11">
        <v>44755.0</v>
      </c>
      <c r="C14" s="99">
        <v>1.0</v>
      </c>
      <c r="D14" s="99">
        <v>1.0</v>
      </c>
      <c r="E14" s="99">
        <v>0.0</v>
      </c>
      <c r="F14" s="99">
        <v>1.0</v>
      </c>
      <c r="G14" s="99">
        <v>0.0</v>
      </c>
      <c r="H14" s="99">
        <v>1.0</v>
      </c>
      <c r="I14" s="99">
        <v>1.0</v>
      </c>
      <c r="J14" s="99">
        <v>1.0</v>
      </c>
      <c r="K14" s="99">
        <v>1.0</v>
      </c>
      <c r="L14" s="99">
        <v>1.0</v>
      </c>
      <c r="M14" s="99">
        <v>0.0</v>
      </c>
      <c r="N14" s="99">
        <v>1.0</v>
      </c>
      <c r="O14" s="99">
        <v>1.0</v>
      </c>
      <c r="P14" s="99">
        <v>1.0</v>
      </c>
      <c r="Q14" s="101"/>
    </row>
    <row r="15">
      <c r="A15" s="10" t="s">
        <v>21</v>
      </c>
      <c r="B15" s="11">
        <v>44756.0</v>
      </c>
      <c r="C15" s="99">
        <v>1.0</v>
      </c>
      <c r="D15" s="99">
        <v>0.0</v>
      </c>
      <c r="E15" s="99">
        <v>1.0</v>
      </c>
      <c r="F15" s="99">
        <v>1.0</v>
      </c>
      <c r="G15" s="99">
        <v>0.0</v>
      </c>
      <c r="H15" s="99">
        <v>1.0</v>
      </c>
      <c r="I15" s="99">
        <v>1.0</v>
      </c>
      <c r="J15" s="99">
        <v>1.0</v>
      </c>
      <c r="K15" s="99">
        <v>1.0</v>
      </c>
      <c r="L15" s="99">
        <v>1.0</v>
      </c>
      <c r="M15" s="99">
        <v>0.0</v>
      </c>
      <c r="N15" s="99">
        <v>1.0</v>
      </c>
      <c r="O15" s="99">
        <v>1.0</v>
      </c>
      <c r="P15" s="99">
        <v>1.0</v>
      </c>
      <c r="Q15" s="101"/>
    </row>
    <row r="16">
      <c r="A16" s="95" t="s">
        <v>12</v>
      </c>
      <c r="B16" s="96">
        <v>44757.0</v>
      </c>
      <c r="C16" s="97">
        <v>1.0</v>
      </c>
      <c r="D16" s="97">
        <v>0.0</v>
      </c>
      <c r="E16" s="97">
        <v>0.0</v>
      </c>
      <c r="F16" s="97">
        <v>1.0</v>
      </c>
      <c r="G16" s="97">
        <v>1.0</v>
      </c>
      <c r="H16" s="97">
        <v>1.0</v>
      </c>
      <c r="I16" s="97">
        <v>0.0</v>
      </c>
      <c r="J16" s="97">
        <v>1.0</v>
      </c>
      <c r="K16" s="97">
        <v>0.0</v>
      </c>
      <c r="L16" s="97">
        <v>0.0</v>
      </c>
      <c r="M16" s="97">
        <v>0.0</v>
      </c>
      <c r="N16" s="97">
        <v>0.0</v>
      </c>
      <c r="O16" s="97">
        <v>0.0</v>
      </c>
      <c r="P16" s="97">
        <v>0.0</v>
      </c>
      <c r="Q16" s="98"/>
    </row>
    <row r="17">
      <c r="A17" s="10" t="s">
        <v>13</v>
      </c>
      <c r="B17" s="11">
        <v>44758.0</v>
      </c>
      <c r="C17" s="100">
        <v>1.0</v>
      </c>
      <c r="D17" s="99">
        <v>1.0</v>
      </c>
      <c r="E17" s="100">
        <v>1.0</v>
      </c>
      <c r="F17" s="99">
        <v>1.0</v>
      </c>
      <c r="G17" s="100">
        <v>0.0</v>
      </c>
      <c r="H17" s="100">
        <v>0.0</v>
      </c>
      <c r="I17" s="100">
        <v>0.0</v>
      </c>
      <c r="J17" s="99">
        <v>1.0</v>
      </c>
      <c r="K17" s="99">
        <v>0.0</v>
      </c>
      <c r="L17" s="99">
        <v>1.0</v>
      </c>
      <c r="M17" s="100">
        <v>0.0</v>
      </c>
      <c r="N17" s="100">
        <v>1.0</v>
      </c>
      <c r="O17" s="100">
        <v>0.0</v>
      </c>
      <c r="P17" s="100">
        <v>1.0</v>
      </c>
      <c r="Q17" s="101"/>
    </row>
    <row r="18">
      <c r="A18" s="10" t="s">
        <v>14</v>
      </c>
      <c r="B18" s="11">
        <v>44759.0</v>
      </c>
      <c r="C18" s="99">
        <v>1.0</v>
      </c>
      <c r="D18" s="99">
        <v>1.0</v>
      </c>
      <c r="E18" s="99">
        <v>1.0</v>
      </c>
      <c r="F18" s="99">
        <v>1.0</v>
      </c>
      <c r="G18" s="99">
        <v>0.0</v>
      </c>
      <c r="H18" s="99">
        <v>0.0</v>
      </c>
      <c r="I18" s="99">
        <v>1.0</v>
      </c>
      <c r="J18" s="99">
        <v>1.0</v>
      </c>
      <c r="K18" s="99">
        <v>1.0</v>
      </c>
      <c r="L18" s="99">
        <v>1.0</v>
      </c>
      <c r="M18" s="99">
        <v>0.0</v>
      </c>
      <c r="N18" s="99">
        <v>1.0</v>
      </c>
      <c r="O18" s="99">
        <v>1.0</v>
      </c>
      <c r="P18" s="99">
        <v>1.0</v>
      </c>
      <c r="Q18" s="101"/>
    </row>
    <row r="19">
      <c r="A19" s="10" t="s">
        <v>17</v>
      </c>
      <c r="B19" s="11">
        <v>44760.0</v>
      </c>
      <c r="C19" s="100">
        <v>1.0</v>
      </c>
      <c r="D19" s="99">
        <v>1.0</v>
      </c>
      <c r="E19" s="99">
        <v>1.0</v>
      </c>
      <c r="F19" s="99">
        <v>1.0</v>
      </c>
      <c r="G19" s="99">
        <v>0.0</v>
      </c>
      <c r="H19" s="99">
        <v>0.5</v>
      </c>
      <c r="I19" s="99">
        <v>0.75</v>
      </c>
      <c r="J19" s="99">
        <v>1.0</v>
      </c>
      <c r="K19" s="99">
        <v>1.0</v>
      </c>
      <c r="L19" s="99">
        <v>1.0</v>
      </c>
      <c r="M19" s="100">
        <v>0.0</v>
      </c>
      <c r="N19" s="100">
        <v>0.0</v>
      </c>
      <c r="O19" s="100">
        <v>1.0</v>
      </c>
      <c r="P19" s="100">
        <v>1.0</v>
      </c>
      <c r="Q19" s="101"/>
    </row>
    <row r="20">
      <c r="A20" s="10" t="s">
        <v>18</v>
      </c>
      <c r="B20" s="11">
        <v>44761.0</v>
      </c>
      <c r="C20" s="99">
        <v>1.0</v>
      </c>
      <c r="D20" s="99">
        <v>0.0</v>
      </c>
      <c r="E20" s="99">
        <v>1.0</v>
      </c>
      <c r="F20" s="104">
        <v>0.0</v>
      </c>
      <c r="G20" s="99">
        <v>0.0</v>
      </c>
      <c r="H20" s="99">
        <v>0.0</v>
      </c>
      <c r="I20" s="99">
        <v>1.0</v>
      </c>
      <c r="J20" s="99">
        <v>1.0</v>
      </c>
      <c r="K20" s="99">
        <v>1.0</v>
      </c>
      <c r="L20" s="99">
        <v>1.0</v>
      </c>
      <c r="M20" s="99">
        <v>0.0</v>
      </c>
      <c r="N20" s="99">
        <v>0.0</v>
      </c>
      <c r="O20" s="99">
        <v>1.0</v>
      </c>
      <c r="P20" s="99">
        <v>1.0</v>
      </c>
      <c r="Q20" s="101"/>
    </row>
    <row r="21">
      <c r="A21" s="10" t="s">
        <v>20</v>
      </c>
      <c r="B21" s="11">
        <v>44762.0</v>
      </c>
      <c r="C21" s="99">
        <v>1.0</v>
      </c>
      <c r="D21" s="99">
        <v>1.0</v>
      </c>
      <c r="E21" s="99">
        <v>1.0</v>
      </c>
      <c r="F21" s="104">
        <v>0.0</v>
      </c>
      <c r="G21" s="99">
        <v>0.0</v>
      </c>
      <c r="H21" s="99">
        <v>1.0</v>
      </c>
      <c r="I21" s="99">
        <v>0.5</v>
      </c>
      <c r="J21" s="99">
        <v>1.0</v>
      </c>
      <c r="K21" s="99">
        <v>1.0</v>
      </c>
      <c r="L21" s="99">
        <v>1.0</v>
      </c>
      <c r="M21" s="99">
        <v>0.0</v>
      </c>
      <c r="N21" s="99">
        <v>0.5</v>
      </c>
      <c r="O21" s="99">
        <v>1.0</v>
      </c>
      <c r="P21" s="99">
        <v>1.0</v>
      </c>
      <c r="Q21" s="101"/>
    </row>
    <row r="22">
      <c r="A22" s="10" t="s">
        <v>21</v>
      </c>
      <c r="B22" s="11">
        <v>44763.0</v>
      </c>
      <c r="C22" s="99">
        <v>1.0</v>
      </c>
      <c r="D22" s="99">
        <v>1.0</v>
      </c>
      <c r="E22" s="99">
        <v>1.0</v>
      </c>
      <c r="F22" s="104">
        <v>0.0</v>
      </c>
      <c r="G22" s="99">
        <v>0.0</v>
      </c>
      <c r="H22" s="99">
        <v>1.0</v>
      </c>
      <c r="I22" s="99">
        <v>1.0</v>
      </c>
      <c r="J22" s="99">
        <v>1.5</v>
      </c>
      <c r="K22" s="99">
        <v>1.0</v>
      </c>
      <c r="L22" s="99">
        <v>1.0</v>
      </c>
      <c r="M22" s="99">
        <v>0.0</v>
      </c>
      <c r="N22" s="99">
        <v>0.0</v>
      </c>
      <c r="O22" s="99">
        <v>2.0</v>
      </c>
      <c r="P22" s="99">
        <v>0.0</v>
      </c>
      <c r="Q22" s="101"/>
    </row>
    <row r="23">
      <c r="A23" s="95" t="s">
        <v>12</v>
      </c>
      <c r="B23" s="96">
        <v>44764.0</v>
      </c>
      <c r="C23" s="97">
        <v>1.0</v>
      </c>
      <c r="D23" s="97">
        <v>0.0</v>
      </c>
      <c r="E23" s="97">
        <v>0.0</v>
      </c>
      <c r="F23" s="104">
        <v>0.0</v>
      </c>
      <c r="G23" s="97">
        <v>0.0</v>
      </c>
      <c r="H23" s="97">
        <v>1.0</v>
      </c>
      <c r="I23" s="97">
        <v>0.0</v>
      </c>
      <c r="J23" s="97">
        <v>2.0</v>
      </c>
      <c r="K23" s="97">
        <v>0.0</v>
      </c>
      <c r="L23" s="97">
        <v>0.0</v>
      </c>
      <c r="M23" s="97">
        <v>0.0</v>
      </c>
      <c r="N23" s="97">
        <v>1.0</v>
      </c>
      <c r="O23" s="97">
        <v>0.0</v>
      </c>
      <c r="P23" s="97">
        <v>1.0</v>
      </c>
      <c r="Q23" s="98"/>
    </row>
    <row r="24">
      <c r="A24" s="10" t="s">
        <v>13</v>
      </c>
      <c r="B24" s="11">
        <v>44765.0</v>
      </c>
      <c r="C24" s="99">
        <v>1.0</v>
      </c>
      <c r="D24" s="99">
        <v>0.25</v>
      </c>
      <c r="E24" s="99">
        <v>1.0</v>
      </c>
      <c r="F24" s="104">
        <v>0.0</v>
      </c>
      <c r="G24" s="99">
        <v>0.0</v>
      </c>
      <c r="H24" s="99">
        <v>1.0</v>
      </c>
      <c r="I24" s="99">
        <v>1.0</v>
      </c>
      <c r="J24" s="99">
        <v>1.0</v>
      </c>
      <c r="K24" s="99">
        <v>1.0</v>
      </c>
      <c r="L24" s="99">
        <v>1.0</v>
      </c>
      <c r="M24" s="99">
        <v>0.0</v>
      </c>
      <c r="N24" s="99">
        <v>1.0</v>
      </c>
      <c r="O24" s="99">
        <v>1.0</v>
      </c>
      <c r="P24" s="99">
        <v>1.0</v>
      </c>
      <c r="Q24" s="101"/>
    </row>
    <row r="25">
      <c r="A25" s="10" t="s">
        <v>14</v>
      </c>
      <c r="B25" s="11">
        <v>44766.0</v>
      </c>
      <c r="C25" s="99">
        <v>1.0</v>
      </c>
      <c r="D25" s="99">
        <v>1.0</v>
      </c>
      <c r="E25" s="99">
        <v>1.0</v>
      </c>
      <c r="F25" s="104">
        <v>0.0</v>
      </c>
      <c r="G25" s="99">
        <v>0.0</v>
      </c>
      <c r="H25" s="99">
        <v>1.0</v>
      </c>
      <c r="I25" s="99">
        <v>1.0</v>
      </c>
      <c r="J25" s="99">
        <v>1.0</v>
      </c>
      <c r="K25" s="99">
        <v>1.0</v>
      </c>
      <c r="L25" s="99">
        <v>1.0</v>
      </c>
      <c r="M25" s="99">
        <v>0.0</v>
      </c>
      <c r="N25" s="99">
        <v>1.0</v>
      </c>
      <c r="O25" s="99">
        <v>1.0</v>
      </c>
      <c r="P25" s="99">
        <v>1.0</v>
      </c>
      <c r="Q25" s="101"/>
    </row>
    <row r="26">
      <c r="A26" s="10" t="s">
        <v>17</v>
      </c>
      <c r="B26" s="11">
        <v>44767.0</v>
      </c>
      <c r="C26" s="99">
        <v>1.0</v>
      </c>
      <c r="D26" s="99">
        <v>1.0</v>
      </c>
      <c r="E26" s="99">
        <v>1.0</v>
      </c>
      <c r="F26" s="104">
        <v>0.0</v>
      </c>
      <c r="G26" s="99">
        <v>1.0</v>
      </c>
      <c r="H26" s="99">
        <v>1.0</v>
      </c>
      <c r="I26" s="99">
        <v>1.0</v>
      </c>
      <c r="J26" s="99">
        <v>1.0</v>
      </c>
      <c r="K26" s="104">
        <v>0.0</v>
      </c>
      <c r="L26" s="99">
        <v>1.0</v>
      </c>
      <c r="M26" s="99">
        <v>0.0</v>
      </c>
      <c r="N26" s="99">
        <v>1.0</v>
      </c>
      <c r="O26" s="99">
        <v>1.0</v>
      </c>
      <c r="P26" s="64">
        <v>0.0</v>
      </c>
      <c r="Q26" s="101"/>
    </row>
    <row r="27">
      <c r="A27" s="10" t="s">
        <v>18</v>
      </c>
      <c r="B27" s="11">
        <v>44768.0</v>
      </c>
      <c r="C27" s="99">
        <v>1.0</v>
      </c>
      <c r="D27" s="99">
        <v>1.0</v>
      </c>
      <c r="E27" s="105">
        <v>1.0</v>
      </c>
      <c r="F27" s="104">
        <v>0.0</v>
      </c>
      <c r="G27" s="99">
        <v>1.0</v>
      </c>
      <c r="H27" s="99">
        <v>1.0</v>
      </c>
      <c r="I27" s="99">
        <v>1.0</v>
      </c>
      <c r="J27" s="99">
        <v>1.0</v>
      </c>
      <c r="K27" s="104">
        <v>0.0</v>
      </c>
      <c r="L27" s="99">
        <v>1.0</v>
      </c>
      <c r="M27" s="99">
        <v>1.0</v>
      </c>
      <c r="N27" s="99">
        <v>1.0</v>
      </c>
      <c r="O27" s="99">
        <v>1.0</v>
      </c>
      <c r="P27" s="64">
        <v>0.0</v>
      </c>
      <c r="Q27" s="101"/>
    </row>
    <row r="28">
      <c r="A28" s="10" t="s">
        <v>20</v>
      </c>
      <c r="B28" s="11">
        <v>44769.0</v>
      </c>
      <c r="C28" s="99">
        <v>1.0</v>
      </c>
      <c r="D28" s="99">
        <v>1.0</v>
      </c>
      <c r="E28" s="105">
        <v>1.0</v>
      </c>
      <c r="F28" s="104">
        <v>0.0</v>
      </c>
      <c r="G28" s="99">
        <v>1.0</v>
      </c>
      <c r="H28" s="99">
        <v>1.0</v>
      </c>
      <c r="I28" s="99">
        <v>1.0</v>
      </c>
      <c r="J28" s="99">
        <v>1.0</v>
      </c>
      <c r="K28" s="104">
        <v>0.0</v>
      </c>
      <c r="L28" s="99">
        <v>1.0</v>
      </c>
      <c r="M28" s="99">
        <v>0.5</v>
      </c>
      <c r="N28" s="99">
        <v>0.0</v>
      </c>
      <c r="O28" s="99">
        <v>1.0</v>
      </c>
      <c r="P28" s="64">
        <v>0.0</v>
      </c>
      <c r="Q28" s="101"/>
    </row>
    <row r="29">
      <c r="A29" s="10" t="s">
        <v>21</v>
      </c>
      <c r="B29" s="11">
        <v>44770.0</v>
      </c>
      <c r="C29" s="106">
        <v>1.0</v>
      </c>
      <c r="D29" s="106">
        <v>1.0</v>
      </c>
      <c r="E29" s="106">
        <v>0.0</v>
      </c>
      <c r="F29" s="107">
        <v>0.0</v>
      </c>
      <c r="G29" s="106">
        <v>1.0</v>
      </c>
      <c r="H29" s="106">
        <v>1.0</v>
      </c>
      <c r="I29" s="106">
        <v>0.5</v>
      </c>
      <c r="J29" s="106">
        <v>1.0</v>
      </c>
      <c r="K29" s="107">
        <v>0.0</v>
      </c>
      <c r="L29" s="106">
        <v>1.0</v>
      </c>
      <c r="M29" s="106">
        <v>1.0</v>
      </c>
      <c r="N29" s="106">
        <v>1.0</v>
      </c>
      <c r="O29" s="106">
        <v>1.0</v>
      </c>
      <c r="P29" s="108">
        <v>0.0</v>
      </c>
      <c r="Q29" s="101"/>
    </row>
    <row r="30">
      <c r="A30" s="95" t="s">
        <v>12</v>
      </c>
      <c r="B30" s="96">
        <v>44771.0</v>
      </c>
      <c r="C30" s="97">
        <v>0.0</v>
      </c>
      <c r="D30" s="97">
        <v>0.0</v>
      </c>
      <c r="E30" s="97">
        <v>0.0</v>
      </c>
      <c r="F30" s="104">
        <v>0.0</v>
      </c>
      <c r="G30" s="97">
        <v>1.0</v>
      </c>
      <c r="H30" s="97">
        <v>1.0</v>
      </c>
      <c r="I30" s="97">
        <v>0.0</v>
      </c>
      <c r="J30" s="97">
        <v>1.0</v>
      </c>
      <c r="K30" s="104">
        <v>0.0</v>
      </c>
      <c r="L30" s="97">
        <v>1.0</v>
      </c>
      <c r="M30" s="97">
        <v>1.0</v>
      </c>
      <c r="N30" s="97">
        <v>2.0</v>
      </c>
      <c r="O30" s="97">
        <v>0.0</v>
      </c>
      <c r="P30" s="64">
        <v>0.0</v>
      </c>
      <c r="Q30" s="98"/>
    </row>
    <row r="31">
      <c r="A31" s="10" t="s">
        <v>13</v>
      </c>
      <c r="B31" s="11">
        <v>44772.0</v>
      </c>
      <c r="C31" s="99">
        <v>1.0</v>
      </c>
      <c r="D31" s="99">
        <v>1.0</v>
      </c>
      <c r="E31" s="99">
        <v>0.0</v>
      </c>
      <c r="F31" s="104">
        <v>0.0</v>
      </c>
      <c r="G31" s="99">
        <v>1.0</v>
      </c>
      <c r="H31" s="99">
        <v>1.0</v>
      </c>
      <c r="I31" s="99">
        <v>1.0</v>
      </c>
      <c r="J31" s="99">
        <v>1.0</v>
      </c>
      <c r="K31" s="104">
        <v>0.0</v>
      </c>
      <c r="L31" s="99">
        <v>1.0</v>
      </c>
      <c r="M31" s="99">
        <v>1.0</v>
      </c>
      <c r="N31" s="99">
        <v>1.0</v>
      </c>
      <c r="O31" s="99">
        <v>0.0</v>
      </c>
      <c r="P31" s="64">
        <v>0.0</v>
      </c>
      <c r="Q31" s="109"/>
    </row>
    <row r="32">
      <c r="A32" s="10" t="s">
        <v>14</v>
      </c>
      <c r="B32" s="11">
        <v>44773.0</v>
      </c>
      <c r="C32" s="110">
        <v>1.0</v>
      </c>
      <c r="D32" s="110">
        <v>1.0</v>
      </c>
      <c r="E32" s="110">
        <v>1.0</v>
      </c>
      <c r="F32" s="111">
        <v>0.0</v>
      </c>
      <c r="G32" s="110">
        <v>1.0</v>
      </c>
      <c r="H32" s="110">
        <v>1.0</v>
      </c>
      <c r="I32" s="110">
        <v>0.0</v>
      </c>
      <c r="J32" s="110">
        <v>1.0</v>
      </c>
      <c r="K32" s="111">
        <v>0.0</v>
      </c>
      <c r="L32" s="110">
        <v>1.0</v>
      </c>
      <c r="M32" s="110">
        <v>0.5</v>
      </c>
      <c r="N32" s="110">
        <v>1.0</v>
      </c>
      <c r="O32" s="110">
        <v>1.0</v>
      </c>
      <c r="P32" s="112">
        <v>0.0</v>
      </c>
      <c r="Q32" s="109"/>
    </row>
    <row r="33">
      <c r="C33" s="113">
        <f t="shared" ref="C33:P33" si="1">SUM(C2:C32)</f>
        <v>25</v>
      </c>
      <c r="D33" s="113">
        <f t="shared" si="1"/>
        <v>21.75</v>
      </c>
      <c r="E33" s="113">
        <f t="shared" si="1"/>
        <v>23</v>
      </c>
      <c r="F33" s="113">
        <f t="shared" si="1"/>
        <v>12</v>
      </c>
      <c r="G33" s="113">
        <f t="shared" si="1"/>
        <v>16</v>
      </c>
      <c r="H33" s="113">
        <f t="shared" si="1"/>
        <v>21.5</v>
      </c>
      <c r="I33" s="113">
        <f t="shared" si="1"/>
        <v>20.75</v>
      </c>
      <c r="J33" s="113">
        <f t="shared" si="1"/>
        <v>31.5</v>
      </c>
      <c r="K33" s="113">
        <f t="shared" si="1"/>
        <v>16</v>
      </c>
      <c r="L33" s="113">
        <f t="shared" si="1"/>
        <v>26</v>
      </c>
      <c r="M33" s="113">
        <f t="shared" si="1"/>
        <v>5</v>
      </c>
      <c r="N33" s="113">
        <f t="shared" si="1"/>
        <v>24</v>
      </c>
      <c r="O33" s="113">
        <f t="shared" si="1"/>
        <v>26</v>
      </c>
      <c r="P33" s="113">
        <f t="shared" si="1"/>
        <v>22</v>
      </c>
      <c r="Q33" s="14"/>
    </row>
    <row r="34">
      <c r="C34" s="113">
        <v>1923.0</v>
      </c>
      <c r="D34" s="113">
        <v>1153.85</v>
      </c>
      <c r="E34" s="113">
        <v>1153.85</v>
      </c>
      <c r="F34" s="113">
        <v>1153.85</v>
      </c>
      <c r="G34" s="113">
        <v>1000.0</v>
      </c>
      <c r="H34" s="113">
        <v>961.54</v>
      </c>
      <c r="I34" s="113">
        <v>961.54</v>
      </c>
      <c r="J34" s="113">
        <v>961.54</v>
      </c>
      <c r="K34" s="113">
        <v>961.54</v>
      </c>
      <c r="L34" s="113">
        <v>1153.85</v>
      </c>
      <c r="M34" s="113">
        <v>1000.0</v>
      </c>
      <c r="N34" s="114">
        <v>1153.85</v>
      </c>
      <c r="O34" s="114">
        <v>1000.0</v>
      </c>
      <c r="P34" s="113">
        <v>1153.85</v>
      </c>
      <c r="Q34" s="14"/>
    </row>
    <row r="35">
      <c r="C35" s="115">
        <f t="shared" ref="C35:O35" si="2">C34*C33</f>
        <v>48075</v>
      </c>
      <c r="D35" s="115">
        <f t="shared" si="2"/>
        <v>25096.2375</v>
      </c>
      <c r="E35" s="115">
        <f t="shared" si="2"/>
        <v>26538.55</v>
      </c>
      <c r="F35" s="115">
        <f t="shared" si="2"/>
        <v>13846.2</v>
      </c>
      <c r="G35" s="115">
        <f t="shared" si="2"/>
        <v>16000</v>
      </c>
      <c r="H35" s="115">
        <f t="shared" si="2"/>
        <v>20673.11</v>
      </c>
      <c r="I35" s="115">
        <f t="shared" si="2"/>
        <v>19951.955</v>
      </c>
      <c r="J35" s="115">
        <f t="shared" si="2"/>
        <v>30288.51</v>
      </c>
      <c r="K35" s="115">
        <f t="shared" si="2"/>
        <v>15384.64</v>
      </c>
      <c r="L35" s="115">
        <f t="shared" si="2"/>
        <v>30000.1</v>
      </c>
      <c r="M35" s="115">
        <f t="shared" si="2"/>
        <v>5000</v>
      </c>
      <c r="N35" s="115">
        <f t="shared" si="2"/>
        <v>27692.4</v>
      </c>
      <c r="O35" s="115">
        <f t="shared" si="2"/>
        <v>26000</v>
      </c>
      <c r="P35" s="115">
        <f>P33*P34</f>
        <v>25384.7</v>
      </c>
      <c r="Q35" s="45">
        <f>SUM(C35:P35)</f>
        <v>329931.4025</v>
      </c>
    </row>
    <row r="40">
      <c r="Y40" s="95" t="s">
        <v>12</v>
      </c>
      <c r="Z40" s="96">
        <v>44743.0</v>
      </c>
      <c r="AA40" s="97">
        <v>1.0</v>
      </c>
      <c r="AY40" s="9"/>
      <c r="AZ40" s="2" t="s">
        <v>0</v>
      </c>
      <c r="BA40" s="94"/>
    </row>
    <row r="41">
      <c r="Y41" s="10" t="s">
        <v>13</v>
      </c>
      <c r="Z41" s="11">
        <v>44744.0</v>
      </c>
      <c r="AA41" s="99">
        <v>1.0</v>
      </c>
      <c r="AY41" s="95" t="s">
        <v>12</v>
      </c>
      <c r="AZ41" s="96">
        <v>44743.0</v>
      </c>
      <c r="BA41" s="116"/>
    </row>
    <row r="42">
      <c r="Y42" s="10" t="s">
        <v>14</v>
      </c>
      <c r="Z42" s="11">
        <v>44745.0</v>
      </c>
      <c r="AA42" s="99">
        <v>1.0</v>
      </c>
      <c r="AY42" s="10" t="s">
        <v>13</v>
      </c>
      <c r="AZ42" s="11">
        <v>44744.0</v>
      </c>
      <c r="BA42" s="117"/>
    </row>
    <row r="43">
      <c r="Y43" s="10" t="s">
        <v>17</v>
      </c>
      <c r="Z43" s="11">
        <v>44746.0</v>
      </c>
      <c r="AA43" s="99">
        <v>1.0</v>
      </c>
      <c r="AY43" s="10" t="s">
        <v>14</v>
      </c>
      <c r="AZ43" s="11">
        <v>44745.0</v>
      </c>
      <c r="BA43" s="117"/>
    </row>
    <row r="44">
      <c r="Y44" s="10" t="s">
        <v>18</v>
      </c>
      <c r="Z44" s="11">
        <v>44747.0</v>
      </c>
      <c r="AA44" s="99">
        <v>0.0</v>
      </c>
      <c r="AY44" s="10" t="s">
        <v>17</v>
      </c>
      <c r="AZ44" s="11">
        <v>44746.0</v>
      </c>
      <c r="BA44" s="117"/>
    </row>
    <row r="45">
      <c r="Y45" s="10" t="s">
        <v>20</v>
      </c>
      <c r="Z45" s="11">
        <v>44748.0</v>
      </c>
      <c r="AA45" s="99">
        <v>2.0</v>
      </c>
      <c r="AY45" s="10" t="s">
        <v>18</v>
      </c>
      <c r="AZ45" s="11">
        <v>44747.0</v>
      </c>
      <c r="BA45" s="117"/>
    </row>
    <row r="46">
      <c r="Y46" s="10" t="s">
        <v>21</v>
      </c>
      <c r="Z46" s="11">
        <v>44749.0</v>
      </c>
      <c r="AA46" s="99">
        <v>2.0</v>
      </c>
      <c r="AY46" s="10" t="s">
        <v>20</v>
      </c>
      <c r="AZ46" s="11">
        <v>44748.0</v>
      </c>
      <c r="BA46" s="117"/>
    </row>
    <row r="47">
      <c r="Y47" s="95" t="s">
        <v>12</v>
      </c>
      <c r="Z47" s="96">
        <v>44750.0</v>
      </c>
      <c r="AA47" s="97">
        <v>2.0</v>
      </c>
      <c r="AY47" s="10" t="s">
        <v>21</v>
      </c>
      <c r="AZ47" s="11">
        <v>44749.0</v>
      </c>
      <c r="BA47" s="117"/>
    </row>
    <row r="48">
      <c r="Y48" s="10" t="s">
        <v>13</v>
      </c>
      <c r="Z48" s="11">
        <v>44751.0</v>
      </c>
      <c r="AA48" s="99">
        <v>0.0</v>
      </c>
      <c r="AY48" s="95" t="s">
        <v>12</v>
      </c>
      <c r="AZ48" s="96">
        <v>44750.0</v>
      </c>
      <c r="BA48" s="116"/>
    </row>
    <row r="49">
      <c r="Y49" s="10" t="s">
        <v>14</v>
      </c>
      <c r="Z49" s="11">
        <v>44752.0</v>
      </c>
      <c r="AA49" s="99">
        <v>0.0</v>
      </c>
      <c r="AY49" s="10" t="s">
        <v>13</v>
      </c>
      <c r="AZ49" s="11">
        <v>44751.0</v>
      </c>
      <c r="BA49" s="117"/>
    </row>
    <row r="50">
      <c r="Y50" s="10" t="s">
        <v>17</v>
      </c>
      <c r="Z50" s="11">
        <v>44753.0</v>
      </c>
      <c r="AA50" s="99">
        <v>1.0</v>
      </c>
      <c r="AY50" s="10" t="s">
        <v>14</v>
      </c>
      <c r="AZ50" s="11">
        <v>44752.0</v>
      </c>
      <c r="BA50" s="117"/>
    </row>
    <row r="51">
      <c r="Y51" s="10" t="s">
        <v>18</v>
      </c>
      <c r="Z51" s="11">
        <v>44754.0</v>
      </c>
      <c r="AA51" s="99">
        <v>1.0</v>
      </c>
      <c r="AY51" s="10" t="s">
        <v>17</v>
      </c>
      <c r="AZ51" s="11">
        <v>44753.0</v>
      </c>
      <c r="BA51" s="117"/>
    </row>
    <row r="52">
      <c r="Y52" s="10" t="s">
        <v>20</v>
      </c>
      <c r="Z52" s="11">
        <v>44755.0</v>
      </c>
      <c r="AA52" s="99">
        <v>1.0</v>
      </c>
      <c r="AY52" s="10" t="s">
        <v>18</v>
      </c>
      <c r="AZ52" s="11">
        <v>44754.0</v>
      </c>
      <c r="BA52" s="117"/>
    </row>
    <row r="53">
      <c r="Y53" s="10" t="s">
        <v>21</v>
      </c>
      <c r="Z53" s="11">
        <v>44756.0</v>
      </c>
      <c r="AA53" s="99">
        <v>1.0</v>
      </c>
      <c r="AY53" s="10" t="s">
        <v>20</v>
      </c>
      <c r="AZ53" s="11">
        <v>44755.0</v>
      </c>
      <c r="BA53" s="117"/>
    </row>
    <row r="54">
      <c r="Y54" s="95" t="s">
        <v>12</v>
      </c>
      <c r="Z54" s="96">
        <v>44757.0</v>
      </c>
      <c r="AA54" s="97">
        <v>0.0</v>
      </c>
      <c r="AY54" s="10" t="s">
        <v>21</v>
      </c>
      <c r="AZ54" s="11">
        <v>44756.0</v>
      </c>
      <c r="BA54" s="117"/>
    </row>
    <row r="55">
      <c r="Y55" s="10" t="s">
        <v>13</v>
      </c>
      <c r="Z55" s="11">
        <v>44758.0</v>
      </c>
      <c r="AA55" s="100">
        <v>1.0</v>
      </c>
      <c r="AY55" s="95" t="s">
        <v>12</v>
      </c>
      <c r="AZ55" s="96">
        <v>44757.0</v>
      </c>
      <c r="BA55" s="116"/>
    </row>
    <row r="56">
      <c r="Y56" s="10" t="s">
        <v>14</v>
      </c>
      <c r="Z56" s="11">
        <v>44759.0</v>
      </c>
      <c r="AA56" s="99">
        <v>1.0</v>
      </c>
      <c r="AY56" s="10" t="s">
        <v>13</v>
      </c>
      <c r="AZ56" s="11">
        <v>44758.0</v>
      </c>
      <c r="BA56" s="117"/>
    </row>
    <row r="57">
      <c r="Y57" s="10" t="s">
        <v>17</v>
      </c>
      <c r="Z57" s="11">
        <v>44760.0</v>
      </c>
      <c r="AA57" s="100">
        <v>1.0</v>
      </c>
      <c r="AY57" s="10" t="s">
        <v>14</v>
      </c>
      <c r="AZ57" s="11">
        <v>44759.0</v>
      </c>
      <c r="BA57" s="117"/>
    </row>
    <row r="58">
      <c r="Y58" s="10" t="s">
        <v>18</v>
      </c>
      <c r="Z58" s="11">
        <v>44761.0</v>
      </c>
      <c r="AA58" s="99">
        <v>1.0</v>
      </c>
      <c r="AY58" s="10" t="s">
        <v>17</v>
      </c>
      <c r="AZ58" s="11">
        <v>44760.0</v>
      </c>
      <c r="BA58" s="117"/>
    </row>
    <row r="59">
      <c r="Y59" s="10" t="s">
        <v>20</v>
      </c>
      <c r="Z59" s="11">
        <v>44762.0</v>
      </c>
      <c r="AA59" s="99">
        <v>1.0</v>
      </c>
      <c r="AY59" s="10" t="s">
        <v>18</v>
      </c>
      <c r="AZ59" s="11">
        <v>44761.0</v>
      </c>
      <c r="BA59" s="118"/>
    </row>
    <row r="60">
      <c r="Y60" s="10" t="s">
        <v>21</v>
      </c>
      <c r="Z60" s="11">
        <v>44763.0</v>
      </c>
      <c r="AA60" s="99">
        <v>0.0</v>
      </c>
      <c r="AY60" s="10" t="s">
        <v>20</v>
      </c>
      <c r="AZ60" s="11">
        <v>44762.0</v>
      </c>
      <c r="BA60" s="118"/>
    </row>
    <row r="61">
      <c r="Y61" s="95" t="s">
        <v>12</v>
      </c>
      <c r="Z61" s="96">
        <v>44764.0</v>
      </c>
      <c r="AA61" s="97">
        <v>1.0</v>
      </c>
      <c r="AY61" s="10" t="s">
        <v>21</v>
      </c>
      <c r="AZ61" s="11">
        <v>44763.0</v>
      </c>
      <c r="BA61" s="118"/>
    </row>
    <row r="62">
      <c r="Y62" s="10" t="s">
        <v>13</v>
      </c>
      <c r="Z62" s="11">
        <v>44765.0</v>
      </c>
      <c r="AA62" s="99">
        <v>1.0</v>
      </c>
      <c r="AY62" s="95" t="s">
        <v>12</v>
      </c>
      <c r="AZ62" s="96">
        <v>44764.0</v>
      </c>
      <c r="BA62" s="119"/>
    </row>
    <row r="63">
      <c r="Y63" s="10" t="s">
        <v>14</v>
      </c>
      <c r="Z63" s="11">
        <v>44766.0</v>
      </c>
      <c r="AA63" s="99">
        <v>1.0</v>
      </c>
      <c r="AY63" s="10" t="s">
        <v>13</v>
      </c>
      <c r="AZ63" s="11">
        <v>44765.0</v>
      </c>
      <c r="BA63" s="118"/>
    </row>
    <row r="64">
      <c r="Y64" s="10" t="s">
        <v>17</v>
      </c>
      <c r="Z64" s="11">
        <v>44767.0</v>
      </c>
      <c r="AA64" s="64">
        <v>0.0</v>
      </c>
      <c r="AY64" s="10" t="s">
        <v>14</v>
      </c>
      <c r="AZ64" s="11">
        <v>44766.0</v>
      </c>
      <c r="BA64" s="118"/>
    </row>
    <row r="65">
      <c r="Y65" s="10" t="s">
        <v>18</v>
      </c>
      <c r="Z65" s="11">
        <v>44768.0</v>
      </c>
      <c r="AA65" s="64">
        <v>0.0</v>
      </c>
      <c r="AY65" s="10" t="s">
        <v>17</v>
      </c>
      <c r="AZ65" s="11">
        <v>44767.0</v>
      </c>
      <c r="BA65" s="118"/>
    </row>
    <row r="66">
      <c r="Y66" s="10" t="s">
        <v>20</v>
      </c>
      <c r="Z66" s="11">
        <v>44769.0</v>
      </c>
      <c r="AA66" s="64">
        <v>0.0</v>
      </c>
      <c r="AY66" s="10" t="s">
        <v>18</v>
      </c>
      <c r="AZ66" s="11">
        <v>44768.0</v>
      </c>
      <c r="BA66" s="118"/>
    </row>
    <row r="67">
      <c r="Y67" s="10" t="s">
        <v>21</v>
      </c>
      <c r="Z67" s="11">
        <v>44770.0</v>
      </c>
      <c r="AA67" s="108">
        <v>0.0</v>
      </c>
      <c r="AY67" s="10" t="s">
        <v>20</v>
      </c>
      <c r="AZ67" s="11">
        <v>44769.0</v>
      </c>
      <c r="BA67" s="118"/>
    </row>
    <row r="68">
      <c r="Y68" s="95" t="s">
        <v>12</v>
      </c>
      <c r="Z68" s="96">
        <v>44771.0</v>
      </c>
      <c r="AA68" s="64">
        <v>0.0</v>
      </c>
      <c r="AY68" s="10" t="s">
        <v>21</v>
      </c>
      <c r="AZ68" s="11">
        <v>44770.0</v>
      </c>
      <c r="BA68" s="118"/>
    </row>
    <row r="69">
      <c r="Y69" s="10" t="s">
        <v>13</v>
      </c>
      <c r="Z69" s="11">
        <v>44772.0</v>
      </c>
      <c r="AA69" s="64">
        <v>0.0</v>
      </c>
      <c r="AY69" s="95" t="s">
        <v>12</v>
      </c>
      <c r="AZ69" s="96">
        <v>44771.0</v>
      </c>
      <c r="BA69" s="119"/>
    </row>
    <row r="70">
      <c r="Y70" s="10" t="s">
        <v>14</v>
      </c>
      <c r="Z70" s="11">
        <v>44773.0</v>
      </c>
      <c r="AA70" s="112">
        <v>0.0</v>
      </c>
      <c r="AY70" s="10" t="s">
        <v>13</v>
      </c>
      <c r="AZ70" s="11">
        <v>44772.0</v>
      </c>
      <c r="BA70" s="118"/>
    </row>
    <row r="71">
      <c r="AA71" s="113">
        <f>SUM(AA40:AA70)</f>
        <v>22</v>
      </c>
      <c r="AY71" s="10" t="s">
        <v>14</v>
      </c>
      <c r="AZ71" s="11">
        <v>44773.0</v>
      </c>
      <c r="BA71" s="120"/>
    </row>
    <row r="72">
      <c r="BA72" s="121"/>
    </row>
    <row r="75">
      <c r="AY75" s="9"/>
      <c r="AZ75" s="2" t="s">
        <v>0</v>
      </c>
      <c r="BA75" s="2" t="s">
        <v>436</v>
      </c>
    </row>
    <row r="76">
      <c r="AY76" s="95" t="s">
        <v>12</v>
      </c>
      <c r="AZ76" s="96">
        <v>44743.0</v>
      </c>
      <c r="BA76" s="97">
        <v>1.0</v>
      </c>
    </row>
    <row r="77">
      <c r="AY77" s="10" t="s">
        <v>13</v>
      </c>
      <c r="AZ77" s="11">
        <v>44744.0</v>
      </c>
      <c r="BA77" s="99">
        <v>1.0</v>
      </c>
    </row>
    <row r="78">
      <c r="AY78" s="10" t="s">
        <v>14</v>
      </c>
      <c r="AZ78" s="11">
        <v>44745.0</v>
      </c>
      <c r="BA78" s="99">
        <v>0.5</v>
      </c>
    </row>
    <row r="79">
      <c r="AY79" s="10" t="s">
        <v>17</v>
      </c>
      <c r="AZ79" s="11">
        <v>44746.0</v>
      </c>
      <c r="BA79" s="99">
        <v>1.0</v>
      </c>
    </row>
    <row r="80">
      <c r="AY80" s="10" t="s">
        <v>18</v>
      </c>
      <c r="AZ80" s="11">
        <v>44747.0</v>
      </c>
      <c r="BA80" s="99">
        <v>1.0</v>
      </c>
    </row>
    <row r="81">
      <c r="AY81" s="10" t="s">
        <v>20</v>
      </c>
      <c r="AZ81" s="11">
        <v>44748.0</v>
      </c>
      <c r="BA81" s="99">
        <v>1.0</v>
      </c>
    </row>
    <row r="82">
      <c r="AY82" s="10" t="s">
        <v>21</v>
      </c>
      <c r="AZ82" s="11">
        <v>44749.0</v>
      </c>
      <c r="BA82" s="99">
        <v>1.0</v>
      </c>
    </row>
    <row r="83">
      <c r="AY83" s="95" t="s">
        <v>12</v>
      </c>
      <c r="AZ83" s="96">
        <v>44750.0</v>
      </c>
      <c r="BA83" s="97">
        <v>1.0</v>
      </c>
    </row>
    <row r="84">
      <c r="AY84" s="10" t="s">
        <v>13</v>
      </c>
      <c r="AZ84" s="11">
        <v>44751.0</v>
      </c>
      <c r="BA84" s="99">
        <v>0.0</v>
      </c>
    </row>
    <row r="85">
      <c r="AY85" s="10" t="s">
        <v>14</v>
      </c>
      <c r="AZ85" s="11">
        <v>44752.0</v>
      </c>
      <c r="BA85" s="99">
        <v>0.0</v>
      </c>
    </row>
    <row r="86">
      <c r="AY86" s="10" t="s">
        <v>17</v>
      </c>
      <c r="AZ86" s="11">
        <v>44753.0</v>
      </c>
      <c r="BA86" s="99">
        <v>1.0</v>
      </c>
    </row>
    <row r="87">
      <c r="AY87" s="10" t="s">
        <v>18</v>
      </c>
      <c r="AZ87" s="11">
        <v>44754.0</v>
      </c>
      <c r="BA87" s="99">
        <v>1.0</v>
      </c>
    </row>
    <row r="88">
      <c r="AY88" s="10" t="s">
        <v>20</v>
      </c>
      <c r="AZ88" s="11">
        <v>44755.0</v>
      </c>
      <c r="BA88" s="99">
        <v>1.0</v>
      </c>
    </row>
    <row r="89">
      <c r="AY89" s="10" t="s">
        <v>21</v>
      </c>
      <c r="AZ89" s="11">
        <v>44756.0</v>
      </c>
      <c r="BA89" s="99">
        <v>1.0</v>
      </c>
    </row>
    <row r="90">
      <c r="AY90" s="95" t="s">
        <v>12</v>
      </c>
      <c r="AZ90" s="96">
        <v>44757.0</v>
      </c>
      <c r="BA90" s="97">
        <v>0.0</v>
      </c>
    </row>
    <row r="91">
      <c r="AY91" s="10" t="s">
        <v>13</v>
      </c>
      <c r="AZ91" s="11">
        <v>44758.0</v>
      </c>
      <c r="BA91" s="100">
        <v>1.0</v>
      </c>
    </row>
    <row r="92">
      <c r="AY92" s="10" t="s">
        <v>14</v>
      </c>
      <c r="AZ92" s="11">
        <v>44759.0</v>
      </c>
      <c r="BA92" s="99">
        <v>1.0</v>
      </c>
    </row>
    <row r="93">
      <c r="AY93" s="10" t="s">
        <v>17</v>
      </c>
      <c r="AZ93" s="11">
        <v>44760.0</v>
      </c>
      <c r="BA93" s="100">
        <v>0.0</v>
      </c>
    </row>
    <row r="94">
      <c r="AY94" s="10" t="s">
        <v>18</v>
      </c>
      <c r="AZ94" s="11">
        <v>44761.0</v>
      </c>
      <c r="BA94" s="99">
        <v>0.0</v>
      </c>
    </row>
    <row r="95">
      <c r="AY95" s="10" t="s">
        <v>20</v>
      </c>
      <c r="AZ95" s="11">
        <v>44762.0</v>
      </c>
      <c r="BA95" s="99">
        <v>0.5</v>
      </c>
    </row>
    <row r="96">
      <c r="AY96" s="10" t="s">
        <v>21</v>
      </c>
      <c r="AZ96" s="11">
        <v>44763.0</v>
      </c>
      <c r="BA96" s="99">
        <v>0.0</v>
      </c>
    </row>
    <row r="97">
      <c r="AY97" s="95" t="s">
        <v>12</v>
      </c>
      <c r="AZ97" s="96">
        <v>44764.0</v>
      </c>
      <c r="BA97" s="97">
        <v>1.0</v>
      </c>
    </row>
    <row r="98">
      <c r="AY98" s="10" t="s">
        <v>13</v>
      </c>
      <c r="AZ98" s="11">
        <v>44765.0</v>
      </c>
      <c r="BA98" s="99">
        <v>1.0</v>
      </c>
    </row>
    <row r="99">
      <c r="AY99" s="10" t="s">
        <v>14</v>
      </c>
      <c r="AZ99" s="11">
        <v>44766.0</v>
      </c>
      <c r="BA99" s="99">
        <v>1.0</v>
      </c>
    </row>
    <row r="100">
      <c r="AY100" s="10" t="s">
        <v>17</v>
      </c>
      <c r="AZ100" s="11">
        <v>44767.0</v>
      </c>
      <c r="BA100" s="99">
        <v>1.0</v>
      </c>
    </row>
    <row r="101">
      <c r="AY101" s="10" t="s">
        <v>18</v>
      </c>
      <c r="AZ101" s="11">
        <v>44768.0</v>
      </c>
      <c r="BA101" s="99">
        <v>1.0</v>
      </c>
    </row>
    <row r="102">
      <c r="AY102" s="10" t="s">
        <v>20</v>
      </c>
      <c r="AZ102" s="11">
        <v>44769.0</v>
      </c>
      <c r="BA102" s="122"/>
    </row>
    <row r="103">
      <c r="AY103" s="10" t="s">
        <v>21</v>
      </c>
      <c r="AZ103" s="11">
        <v>44770.0</v>
      </c>
      <c r="BA103" s="122"/>
    </row>
    <row r="104">
      <c r="AY104" s="95" t="s">
        <v>12</v>
      </c>
      <c r="AZ104" s="96">
        <v>44771.0</v>
      </c>
      <c r="BA104" s="42"/>
    </row>
    <row r="105">
      <c r="AY105" s="10" t="s">
        <v>13</v>
      </c>
      <c r="AZ105" s="11">
        <v>44772.0</v>
      </c>
      <c r="BA105" s="122"/>
    </row>
    <row r="106">
      <c r="AY106" s="10" t="s">
        <v>14</v>
      </c>
      <c r="AZ106" s="11">
        <v>44773.0</v>
      </c>
      <c r="BA106" s="123"/>
    </row>
    <row r="107">
      <c r="BA107" s="113">
        <f>SUM(BA76:BA106)</f>
        <v>19</v>
      </c>
    </row>
    <row r="108">
      <c r="BA108" s="114">
        <v>1153.85</v>
      </c>
    </row>
    <row r="109">
      <c r="BA109" s="115">
        <f>BA108*BA107</f>
        <v>21923.15</v>
      </c>
    </row>
    <row r="112">
      <c r="AT112" s="9"/>
      <c r="AU112" s="2" t="s">
        <v>0</v>
      </c>
      <c r="AV112" s="2" t="s">
        <v>436</v>
      </c>
    </row>
    <row r="113">
      <c r="AT113" s="95" t="s">
        <v>12</v>
      </c>
      <c r="AU113" s="96">
        <v>44743.0</v>
      </c>
      <c r="AV113" s="97">
        <v>1.0</v>
      </c>
    </row>
    <row r="114">
      <c r="AT114" s="10" t="s">
        <v>13</v>
      </c>
      <c r="AU114" s="11">
        <v>44744.0</v>
      </c>
      <c r="AV114" s="99">
        <v>1.0</v>
      </c>
    </row>
    <row r="115">
      <c r="AT115" s="10" t="s">
        <v>14</v>
      </c>
      <c r="AU115" s="11">
        <v>44745.0</v>
      </c>
      <c r="AV115" s="99">
        <v>0.5</v>
      </c>
    </row>
    <row r="116">
      <c r="AT116" s="10" t="s">
        <v>17</v>
      </c>
      <c r="AU116" s="11">
        <v>44746.0</v>
      </c>
      <c r="AV116" s="99">
        <v>1.0</v>
      </c>
    </row>
    <row r="117">
      <c r="AT117" s="10" t="s">
        <v>18</v>
      </c>
      <c r="AU117" s="11">
        <v>44747.0</v>
      </c>
      <c r="AV117" s="99">
        <v>1.0</v>
      </c>
    </row>
    <row r="118">
      <c r="AT118" s="10" t="s">
        <v>20</v>
      </c>
      <c r="AU118" s="11">
        <v>44748.0</v>
      </c>
      <c r="AV118" s="99">
        <v>1.0</v>
      </c>
    </row>
    <row r="119">
      <c r="AT119" s="10" t="s">
        <v>21</v>
      </c>
      <c r="AU119" s="11">
        <v>44749.0</v>
      </c>
      <c r="AV119" s="99">
        <v>1.0</v>
      </c>
    </row>
    <row r="120">
      <c r="AT120" s="95" t="s">
        <v>12</v>
      </c>
      <c r="AU120" s="96">
        <v>44750.0</v>
      </c>
      <c r="AV120" s="97">
        <v>1.0</v>
      </c>
    </row>
    <row r="121">
      <c r="AT121" s="10" t="s">
        <v>13</v>
      </c>
      <c r="AU121" s="11">
        <v>44751.0</v>
      </c>
      <c r="AV121" s="99">
        <v>0.0</v>
      </c>
    </row>
    <row r="122">
      <c r="AT122" s="10" t="s">
        <v>14</v>
      </c>
      <c r="AU122" s="11">
        <v>44752.0</v>
      </c>
      <c r="AV122" s="99">
        <v>0.0</v>
      </c>
    </row>
    <row r="123">
      <c r="AT123" s="10" t="s">
        <v>17</v>
      </c>
      <c r="AU123" s="11">
        <v>44753.0</v>
      </c>
      <c r="AV123" s="99">
        <v>1.0</v>
      </c>
    </row>
    <row r="124">
      <c r="AT124" s="10" t="s">
        <v>18</v>
      </c>
      <c r="AU124" s="11">
        <v>44754.0</v>
      </c>
      <c r="AV124" s="99">
        <v>1.0</v>
      </c>
    </row>
    <row r="125">
      <c r="AT125" s="10" t="s">
        <v>20</v>
      </c>
      <c r="AU125" s="11">
        <v>44755.0</v>
      </c>
      <c r="AV125" s="99">
        <v>1.0</v>
      </c>
    </row>
    <row r="126">
      <c r="AT126" s="10" t="s">
        <v>21</v>
      </c>
      <c r="AU126" s="11">
        <v>44756.0</v>
      </c>
      <c r="AV126" s="99">
        <v>1.0</v>
      </c>
    </row>
    <row r="127">
      <c r="AT127" s="95" t="s">
        <v>12</v>
      </c>
      <c r="AU127" s="96">
        <v>44757.0</v>
      </c>
      <c r="AV127" s="97">
        <v>0.0</v>
      </c>
    </row>
    <row r="128">
      <c r="AT128" s="10" t="s">
        <v>13</v>
      </c>
      <c r="AU128" s="11">
        <v>44758.0</v>
      </c>
      <c r="AV128" s="100">
        <v>1.0</v>
      </c>
    </row>
    <row r="129">
      <c r="AT129" s="10" t="s">
        <v>14</v>
      </c>
      <c r="AU129" s="11">
        <v>44759.0</v>
      </c>
      <c r="AV129" s="99">
        <v>1.0</v>
      </c>
    </row>
    <row r="130">
      <c r="AT130" s="10" t="s">
        <v>17</v>
      </c>
      <c r="AU130" s="11">
        <v>44760.0</v>
      </c>
      <c r="AV130" s="100">
        <v>0.0</v>
      </c>
    </row>
    <row r="131">
      <c r="AT131" s="10" t="s">
        <v>18</v>
      </c>
      <c r="AU131" s="11">
        <v>44761.0</v>
      </c>
      <c r="AV131" s="99">
        <v>0.0</v>
      </c>
    </row>
    <row r="132">
      <c r="AT132" s="10" t="s">
        <v>20</v>
      </c>
      <c r="AU132" s="11">
        <v>44762.0</v>
      </c>
      <c r="AV132" s="99">
        <v>0.5</v>
      </c>
    </row>
    <row r="133">
      <c r="AT133" s="10" t="s">
        <v>21</v>
      </c>
      <c r="AU133" s="11">
        <v>44763.0</v>
      </c>
      <c r="AV133" s="99">
        <v>0.0</v>
      </c>
    </row>
    <row r="134">
      <c r="AT134" s="95" t="s">
        <v>12</v>
      </c>
      <c r="AU134" s="96">
        <v>44764.0</v>
      </c>
      <c r="AV134" s="97">
        <v>1.0</v>
      </c>
    </row>
    <row r="135">
      <c r="AT135" s="10" t="s">
        <v>13</v>
      </c>
      <c r="AU135" s="11">
        <v>44765.0</v>
      </c>
      <c r="AV135" s="99">
        <v>1.0</v>
      </c>
    </row>
    <row r="136">
      <c r="AT136" s="10" t="s">
        <v>14</v>
      </c>
      <c r="AU136" s="11">
        <v>44766.0</v>
      </c>
      <c r="AV136" s="99">
        <v>1.0</v>
      </c>
    </row>
    <row r="137">
      <c r="AT137" s="10" t="s">
        <v>17</v>
      </c>
      <c r="AU137" s="11">
        <v>44767.0</v>
      </c>
      <c r="AV137" s="99">
        <v>1.0</v>
      </c>
    </row>
    <row r="138">
      <c r="AT138" s="10" t="s">
        <v>18</v>
      </c>
      <c r="AU138" s="11">
        <v>44768.0</v>
      </c>
      <c r="AV138" s="99">
        <v>1.0</v>
      </c>
    </row>
    <row r="139">
      <c r="AT139" s="10" t="s">
        <v>20</v>
      </c>
      <c r="AU139" s="11">
        <v>44769.0</v>
      </c>
      <c r="AV139" s="122"/>
    </row>
    <row r="140">
      <c r="AT140" s="10" t="s">
        <v>21</v>
      </c>
      <c r="AU140" s="11">
        <v>44770.0</v>
      </c>
      <c r="AV140" s="122"/>
    </row>
    <row r="141">
      <c r="AT141" s="95" t="s">
        <v>12</v>
      </c>
      <c r="AU141" s="96">
        <v>44771.0</v>
      </c>
      <c r="AV141" s="42"/>
    </row>
    <row r="142">
      <c r="AT142" s="10" t="s">
        <v>13</v>
      </c>
      <c r="AU142" s="11">
        <v>44772.0</v>
      </c>
      <c r="AV142" s="122"/>
    </row>
    <row r="143">
      <c r="AT143" s="10" t="s">
        <v>14</v>
      </c>
      <c r="AU143" s="11">
        <v>44773.0</v>
      </c>
      <c r="AV143" s="123"/>
    </row>
    <row r="144">
      <c r="AV144" s="113">
        <f>SUM(AV113:AV143)</f>
        <v>19</v>
      </c>
    </row>
    <row r="145">
      <c r="AV145" s="114">
        <v>1153.85</v>
      </c>
    </row>
    <row r="146">
      <c r="AV146" s="115">
        <f>AV145*AV144</f>
        <v>21923.15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75"/>
    <col customWidth="1" min="8" max="8" width="26.38"/>
    <col customWidth="1" min="9" max="9" width="20.75"/>
    <col customWidth="1" min="10" max="10" width="66.5"/>
    <col customWidth="1" min="11" max="11" width="33.38"/>
  </cols>
  <sheetData>
    <row r="13">
      <c r="F13" s="9"/>
      <c r="G13" s="9"/>
      <c r="H13" s="9"/>
      <c r="I13" s="9"/>
      <c r="J13" s="9"/>
      <c r="K13" s="9"/>
    </row>
    <row r="14">
      <c r="F14" s="9"/>
      <c r="G14" s="9"/>
      <c r="H14" s="9"/>
      <c r="I14" s="9"/>
      <c r="J14" s="9"/>
      <c r="K14" s="9"/>
    </row>
    <row r="15">
      <c r="F15" s="9"/>
      <c r="G15" s="21"/>
      <c r="H15" s="21"/>
      <c r="I15" s="21"/>
      <c r="J15" s="21"/>
      <c r="K15" s="9"/>
    </row>
    <row r="16">
      <c r="F16" s="21"/>
      <c r="G16" s="124" t="s">
        <v>440</v>
      </c>
      <c r="H16" s="124" t="s">
        <v>4</v>
      </c>
      <c r="I16" s="124" t="s">
        <v>441</v>
      </c>
      <c r="J16" s="22" t="s">
        <v>442</v>
      </c>
      <c r="K16" s="9"/>
    </row>
    <row r="17">
      <c r="F17" s="29">
        <v>1.0</v>
      </c>
      <c r="G17" s="29" t="s">
        <v>425</v>
      </c>
      <c r="H17" s="15">
        <f>'Pointage '!C35*1</f>
        <v>48075</v>
      </c>
      <c r="I17" s="12">
        <v>48000.0</v>
      </c>
      <c r="J17" s="15">
        <f t="shared" ref="J17:J28" si="1">H17-I17</f>
        <v>75</v>
      </c>
      <c r="K17" s="9"/>
    </row>
    <row r="18">
      <c r="F18" s="29">
        <v>2.0</v>
      </c>
      <c r="G18" s="29" t="s">
        <v>426</v>
      </c>
      <c r="H18" s="15">
        <f>'Pointage '!D35*1</f>
        <v>25096.2375</v>
      </c>
      <c r="I18" s="12">
        <v>25000.0</v>
      </c>
      <c r="J18" s="15">
        <f t="shared" si="1"/>
        <v>96.2375</v>
      </c>
      <c r="K18" s="32" t="s">
        <v>443</v>
      </c>
    </row>
    <row r="19">
      <c r="F19" s="29">
        <v>3.0</v>
      </c>
      <c r="G19" s="29" t="s">
        <v>444</v>
      </c>
      <c r="H19" s="15">
        <f>'Pointage '!E35*1</f>
        <v>26538.55</v>
      </c>
      <c r="I19" s="12">
        <v>26600.0</v>
      </c>
      <c r="J19" s="15">
        <f t="shared" si="1"/>
        <v>-61.45</v>
      </c>
      <c r="K19" s="35"/>
    </row>
    <row r="20">
      <c r="F20" s="29">
        <v>4.0</v>
      </c>
      <c r="G20" s="29" t="s">
        <v>428</v>
      </c>
      <c r="H20" s="15">
        <f>'Pointage '!F35*1</f>
        <v>13846.2</v>
      </c>
      <c r="I20" s="12">
        <v>14000.0</v>
      </c>
      <c r="J20" s="15">
        <f t="shared" si="1"/>
        <v>-153.8</v>
      </c>
      <c r="K20" s="35"/>
    </row>
    <row r="21">
      <c r="F21" s="29">
        <v>5.0</v>
      </c>
      <c r="G21" s="29" t="s">
        <v>445</v>
      </c>
      <c r="H21" s="15">
        <f>'Pointage '!G35*1</f>
        <v>16000</v>
      </c>
      <c r="I21" s="12">
        <v>16000.0</v>
      </c>
      <c r="J21" s="15">
        <f t="shared" si="1"/>
        <v>0</v>
      </c>
      <c r="K21" s="35"/>
    </row>
    <row r="22">
      <c r="F22" s="29">
        <v>6.0</v>
      </c>
      <c r="G22" s="29" t="s">
        <v>446</v>
      </c>
      <c r="H22" s="15">
        <f>'Pointage '!N35*1</f>
        <v>27692.4</v>
      </c>
      <c r="I22" s="12">
        <v>28000.0</v>
      </c>
      <c r="J22" s="15">
        <f t="shared" si="1"/>
        <v>-307.6</v>
      </c>
      <c r="K22" s="35"/>
    </row>
    <row r="23">
      <c r="F23" s="84">
        <v>7.0</v>
      </c>
      <c r="G23" s="29" t="s">
        <v>447</v>
      </c>
      <c r="H23" s="15">
        <f>'Pointage '!L35*1</f>
        <v>30000.1</v>
      </c>
      <c r="I23" s="12">
        <v>30000.0</v>
      </c>
      <c r="J23" s="15">
        <f t="shared" si="1"/>
        <v>0.1</v>
      </c>
      <c r="K23" s="32" t="s">
        <v>448</v>
      </c>
    </row>
    <row r="24">
      <c r="F24" s="84">
        <v>8.0</v>
      </c>
      <c r="G24" s="29" t="s">
        <v>449</v>
      </c>
      <c r="H24" s="15">
        <f>'Pointage '!K35*1</f>
        <v>15384.64</v>
      </c>
      <c r="I24" s="12">
        <v>15500.0</v>
      </c>
      <c r="J24" s="15">
        <f t="shared" si="1"/>
        <v>-115.36</v>
      </c>
      <c r="K24" s="125"/>
    </row>
    <row r="25">
      <c r="F25" s="84">
        <v>9.0</v>
      </c>
      <c r="G25" s="29" t="s">
        <v>450</v>
      </c>
      <c r="H25" s="15">
        <f>'Pointage '!I35*1</f>
        <v>19951.955</v>
      </c>
      <c r="I25" s="12">
        <v>20000.0</v>
      </c>
      <c r="J25" s="15">
        <f t="shared" si="1"/>
        <v>-48.045</v>
      </c>
      <c r="K25" s="32" t="s">
        <v>451</v>
      </c>
    </row>
    <row r="26">
      <c r="F26" s="84">
        <v>10.0</v>
      </c>
      <c r="G26" s="29" t="s">
        <v>452</v>
      </c>
      <c r="H26" s="15">
        <f>'Pointage '!H35*1</f>
        <v>20673.11</v>
      </c>
      <c r="I26" s="12">
        <v>21000.0</v>
      </c>
      <c r="J26" s="15">
        <f t="shared" si="1"/>
        <v>-326.89</v>
      </c>
      <c r="K26" s="35"/>
    </row>
    <row r="27">
      <c r="F27" s="84">
        <v>11.0</v>
      </c>
      <c r="G27" s="29" t="s">
        <v>453</v>
      </c>
      <c r="H27" s="15">
        <f>'Pointage '!O35*1</f>
        <v>26000</v>
      </c>
      <c r="I27" s="12">
        <v>26000.0</v>
      </c>
      <c r="J27" s="15">
        <f t="shared" si="1"/>
        <v>0</v>
      </c>
      <c r="K27" s="35"/>
    </row>
    <row r="28">
      <c r="F28" s="84">
        <v>12.0</v>
      </c>
      <c r="G28" s="29" t="s">
        <v>454</v>
      </c>
      <c r="H28" s="15">
        <f>'Pointage '!P35*1</f>
        <v>25384.7</v>
      </c>
      <c r="I28" s="12">
        <v>25000.0</v>
      </c>
      <c r="J28" s="15">
        <f t="shared" si="1"/>
        <v>384.7</v>
      </c>
      <c r="K28" s="32" t="s">
        <v>455</v>
      </c>
    </row>
    <row r="29">
      <c r="F29" s="21"/>
      <c r="G29" s="126" t="s">
        <v>456</v>
      </c>
      <c r="H29" s="20">
        <f t="shared" ref="H29:J29" si="2">SUM(H17:H28)</f>
        <v>294642.8925</v>
      </c>
      <c r="I29" s="127">
        <f t="shared" si="2"/>
        <v>295100</v>
      </c>
      <c r="J29" s="19">
        <f t="shared" si="2"/>
        <v>-457.1075</v>
      </c>
      <c r="K29" s="9"/>
    </row>
    <row r="30">
      <c r="F30" s="21"/>
      <c r="G30" s="25">
        <f>H29-I29</f>
        <v>-457.1075</v>
      </c>
      <c r="H30" s="21"/>
      <c r="I30" s="128"/>
      <c r="J30" s="129">
        <f>H30-I30</f>
        <v>0</v>
      </c>
      <c r="K30" s="9"/>
    </row>
    <row r="31">
      <c r="F31" s="9"/>
      <c r="G31" s="9"/>
      <c r="H31" s="9"/>
      <c r="I31" s="9"/>
      <c r="J31" s="9"/>
      <c r="K31" s="9"/>
    </row>
    <row r="32">
      <c r="F32" s="9"/>
      <c r="G32" s="9"/>
      <c r="H32" s="9"/>
      <c r="I32" s="9"/>
      <c r="J32" s="9"/>
      <c r="K32" s="9"/>
    </row>
    <row r="33">
      <c r="F33" s="9"/>
      <c r="G33" s="9"/>
      <c r="H33" s="9"/>
      <c r="I33" s="9"/>
      <c r="J33" s="9"/>
      <c r="K33" s="9"/>
    </row>
    <row r="34">
      <c r="F34" s="9"/>
      <c r="G34" s="9"/>
      <c r="H34" s="9"/>
      <c r="I34" s="9"/>
      <c r="J34" s="9"/>
      <c r="K3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37.5"/>
    <col customWidth="1" min="4" max="4" width="87.75"/>
    <col customWidth="1" min="5" max="5" width="102.75"/>
    <col customWidth="1" min="6" max="6" width="20.25"/>
    <col customWidth="1" min="7" max="7" width="20.75"/>
    <col customWidth="1" min="8" max="8" width="21.25"/>
    <col customWidth="1" min="10" max="10" width="20.75"/>
    <col customWidth="1" min="11" max="11" width="22.0"/>
    <col customWidth="1" min="12" max="12" width="19.88"/>
    <col customWidth="1" min="13" max="13" width="19.75"/>
    <col customWidth="1" min="14" max="14" width="21.5"/>
    <col customWidth="1" min="15" max="15" width="20.75"/>
    <col customWidth="1" min="16" max="16" width="21.5"/>
    <col customWidth="1" min="17" max="17" width="25.0"/>
  </cols>
  <sheetData>
    <row r="6">
      <c r="B6" s="33">
        <v>260000.0</v>
      </c>
      <c r="C6" s="39" t="s">
        <v>457</v>
      </c>
    </row>
    <row r="7">
      <c r="B7" s="33">
        <v>40000.0</v>
      </c>
      <c r="C7" s="39" t="s">
        <v>458</v>
      </c>
    </row>
    <row r="8">
      <c r="B8" s="33">
        <v>195000.0</v>
      </c>
      <c r="C8" s="39" t="s">
        <v>459</v>
      </c>
    </row>
    <row r="9">
      <c r="B9" s="33">
        <v>25000.0</v>
      </c>
      <c r="C9" s="32" t="s">
        <v>460</v>
      </c>
    </row>
    <row r="10">
      <c r="B10" s="34">
        <f>B6-B7-B8-B9</f>
        <v>0</v>
      </c>
      <c r="C10" s="39" t="s">
        <v>461</v>
      </c>
    </row>
    <row r="13">
      <c r="D13" s="26" t="s">
        <v>462</v>
      </c>
      <c r="E13" s="31" t="s">
        <v>463</v>
      </c>
    </row>
    <row r="15">
      <c r="D15" s="32" t="s">
        <v>464</v>
      </c>
    </row>
    <row r="16">
      <c r="J16" s="9"/>
      <c r="K16" s="18" t="s">
        <v>465</v>
      </c>
      <c r="L16" s="18" t="s">
        <v>466</v>
      </c>
      <c r="M16" s="18" t="s">
        <v>467</v>
      </c>
      <c r="N16" s="18" t="s">
        <v>468</v>
      </c>
      <c r="O16" s="22" t="s">
        <v>469</v>
      </c>
      <c r="P16" s="95" t="s">
        <v>470</v>
      </c>
      <c r="Q16" s="95" t="s">
        <v>471</v>
      </c>
    </row>
    <row r="17">
      <c r="J17" s="22" t="s">
        <v>2</v>
      </c>
      <c r="K17" s="20">
        <v>1051000.0</v>
      </c>
      <c r="L17" s="20">
        <v>1300000.0</v>
      </c>
      <c r="M17" s="20">
        <v>700000.0</v>
      </c>
      <c r="N17" s="20">
        <v>2197000.0</v>
      </c>
      <c r="O17" s="20">
        <v>1186000.0</v>
      </c>
      <c r="P17" s="30">
        <v>1410000.0</v>
      </c>
      <c r="Q17" s="30">
        <v>2230000.0</v>
      </c>
    </row>
    <row r="18">
      <c r="J18" s="22" t="s">
        <v>3</v>
      </c>
      <c r="K18" s="20">
        <v>435000.0</v>
      </c>
      <c r="L18" s="20">
        <v>462400.0</v>
      </c>
      <c r="M18" s="20">
        <v>690000.0</v>
      </c>
      <c r="N18" s="20">
        <v>1033000.0</v>
      </c>
      <c r="O18" s="20">
        <v>639000.0</v>
      </c>
      <c r="P18" s="30">
        <v>717000.0</v>
      </c>
      <c r="Q18" s="30">
        <v>990000.0</v>
      </c>
    </row>
    <row r="19">
      <c r="J19" s="22" t="s">
        <v>472</v>
      </c>
      <c r="K19" s="20">
        <v>226000.0</v>
      </c>
      <c r="L19" s="20">
        <v>277600.0</v>
      </c>
      <c r="M19" s="20">
        <v>300000.0</v>
      </c>
      <c r="N19" s="20">
        <v>331500.0</v>
      </c>
      <c r="O19" s="20">
        <v>257000.0</v>
      </c>
      <c r="P19" s="30">
        <v>321000.0</v>
      </c>
      <c r="Q19" s="30">
        <v>330000.0</v>
      </c>
    </row>
    <row r="20">
      <c r="J20" s="22" t="s">
        <v>5</v>
      </c>
      <c r="K20" s="20">
        <v>90000.0</v>
      </c>
      <c r="L20" s="20">
        <v>90000.0</v>
      </c>
      <c r="M20" s="20">
        <v>110000.0</v>
      </c>
      <c r="N20" s="20">
        <v>110000.0</v>
      </c>
      <c r="O20" s="20">
        <v>110000.0</v>
      </c>
      <c r="P20" s="30">
        <v>110000.0</v>
      </c>
      <c r="Q20" s="30">
        <v>110000.0</v>
      </c>
    </row>
    <row r="21">
      <c r="J21" s="22" t="s">
        <v>473</v>
      </c>
      <c r="K21" s="20">
        <v>300000.0</v>
      </c>
      <c r="L21" s="20">
        <v>470000.0</v>
      </c>
      <c r="M21" s="20">
        <v>600000.0</v>
      </c>
      <c r="N21" s="20">
        <v>720000.0</v>
      </c>
      <c r="O21" s="20">
        <v>180000.0</v>
      </c>
      <c r="P21" s="30">
        <v>260000.0</v>
      </c>
      <c r="Q21" s="30">
        <v>800000.0</v>
      </c>
    </row>
    <row r="22">
      <c r="J22" s="9"/>
      <c r="K22" s="9"/>
      <c r="L22" s="9"/>
      <c r="M22" s="9"/>
      <c r="N22" s="9"/>
      <c r="O22" s="9"/>
      <c r="P22" s="9"/>
      <c r="Q22" s="9"/>
    </row>
    <row r="25">
      <c r="F25" s="9"/>
      <c r="G25" s="95" t="s">
        <v>470</v>
      </c>
      <c r="H25" s="95" t="s">
        <v>471</v>
      </c>
    </row>
    <row r="26">
      <c r="F26" s="22" t="s">
        <v>2</v>
      </c>
      <c r="G26" s="30">
        <v>1410000.0</v>
      </c>
      <c r="H26" s="30">
        <v>2230000.0</v>
      </c>
    </row>
    <row r="27">
      <c r="F27" s="22" t="s">
        <v>3</v>
      </c>
      <c r="G27" s="30">
        <v>717000.0</v>
      </c>
      <c r="H27" s="30">
        <v>990000.0</v>
      </c>
    </row>
    <row r="28">
      <c r="F28" s="22" t="s">
        <v>472</v>
      </c>
      <c r="G28" s="30">
        <v>321000.0</v>
      </c>
      <c r="H28" s="30">
        <v>330000.0</v>
      </c>
    </row>
    <row r="29">
      <c r="F29" s="22" t="s">
        <v>5</v>
      </c>
      <c r="G29" s="30">
        <v>110000.0</v>
      </c>
      <c r="H29" s="30">
        <v>110000.0</v>
      </c>
    </row>
    <row r="30">
      <c r="F30" s="22" t="s">
        <v>473</v>
      </c>
      <c r="G30" s="30">
        <v>260000.0</v>
      </c>
      <c r="H30" s="30">
        <v>800000.0</v>
      </c>
    </row>
  </sheetData>
  <drawing r:id="rId1"/>
</worksheet>
</file>