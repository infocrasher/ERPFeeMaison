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<sst xmlns="http://schemas.openxmlformats.org/spreadsheetml/2006/main" count="621" uniqueCount="366">
  <si>
    <t>Date</t>
  </si>
  <si>
    <t xml:space="preserve">Recette  de Septembre 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</si>
  <si>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</si>
  <si>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</si>
  <si>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</si>
  <si>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</si>
  <si>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</si>
  <si>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</si>
  <si>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</si>
  <si>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Septembre </t>
  </si>
  <si>
    <t xml:space="preserve">Moyenne </t>
  </si>
  <si>
    <t>Vendredi</t>
  </si>
  <si>
    <t>Samedi</t>
  </si>
  <si>
    <t>Dimanche</t>
  </si>
  <si>
    <t>Lundi</t>
  </si>
  <si>
    <t>Mardi</t>
  </si>
  <si>
    <t>Mercredi</t>
  </si>
  <si>
    <t>Jeudi</t>
  </si>
  <si>
    <t xml:space="preserve">Cash restant </t>
  </si>
  <si>
    <t>Magasin</t>
  </si>
  <si>
    <t xml:space="preserve">Différence mois de Septembre </t>
  </si>
  <si>
    <t xml:space="preserve">Différence objectif </t>
  </si>
  <si>
    <t>ciyeux</t>
  </si>
  <si>
    <t>.</t>
  </si>
  <si>
    <t>amortisseur</t>
  </si>
  <si>
    <t>batterie</t>
  </si>
  <si>
    <t>Sofiane</t>
  </si>
  <si>
    <t>Mois d'Aout</t>
  </si>
  <si>
    <t>Produit</t>
  </si>
  <si>
    <t>Quantité</t>
  </si>
  <si>
    <t xml:space="preserve">Prix unitaire </t>
  </si>
  <si>
    <t>Prix</t>
  </si>
  <si>
    <t>Date d'achat</t>
  </si>
  <si>
    <t>semoule Moula 10kg</t>
  </si>
  <si>
    <t>Farine Maria 1kg</t>
  </si>
  <si>
    <t>100kg</t>
  </si>
  <si>
    <t>Transport Semmar</t>
  </si>
  <si>
    <t>Tomate conserve 1kg</t>
  </si>
  <si>
    <t>Harrissa</t>
  </si>
  <si>
    <t>cheddar</t>
  </si>
  <si>
    <t>2kg</t>
  </si>
  <si>
    <t xml:space="preserve">margarine </t>
  </si>
  <si>
    <t>24 de 500g</t>
  </si>
  <si>
    <t xml:space="preserve">fromage sandwiche </t>
  </si>
  <si>
    <t>boites 12/08</t>
  </si>
  <si>
    <t>-</t>
  </si>
  <si>
    <t>Boites 36/10</t>
  </si>
  <si>
    <t>Boites 48/10</t>
  </si>
  <si>
    <t>Aluminium</t>
  </si>
  <si>
    <t>quissetes N10</t>
  </si>
  <si>
    <t>sachets transparents</t>
  </si>
  <si>
    <t>Ton 1kg</t>
  </si>
  <si>
    <t xml:space="preserve">bessel </t>
  </si>
  <si>
    <t>30kg</t>
  </si>
  <si>
    <t>gherss</t>
  </si>
  <si>
    <t>7kg</t>
  </si>
  <si>
    <t>isis+javel moussant</t>
  </si>
  <si>
    <t>5litres+ 1.5litres</t>
  </si>
  <si>
    <t>400+150</t>
  </si>
  <si>
    <t xml:space="preserve">huile fridor 10litres </t>
  </si>
  <si>
    <t>semoul Moula 25kg</t>
  </si>
  <si>
    <t xml:space="preserve">Amor Ben Amor 25kg moyenne </t>
  </si>
  <si>
    <t>oeufs</t>
  </si>
  <si>
    <t>5 plateaux</t>
  </si>
  <si>
    <t>serpière</t>
  </si>
  <si>
    <t>lavette carée</t>
  </si>
  <si>
    <t>eau 1.5 litre</t>
  </si>
  <si>
    <t>Rouiba 33 cl</t>
  </si>
  <si>
    <t>Hamoud 33 cl</t>
  </si>
  <si>
    <t xml:space="preserve">djeldjelane </t>
  </si>
  <si>
    <t xml:space="preserve">crème liquide </t>
  </si>
  <si>
    <t>viande hachéée</t>
  </si>
  <si>
    <t>1kg</t>
  </si>
  <si>
    <t xml:space="preserve">olive noir et dénoyauté </t>
  </si>
  <si>
    <t>deyoul</t>
  </si>
  <si>
    <t xml:space="preserve">tomate fraiche </t>
  </si>
  <si>
    <t>4kg</t>
  </si>
  <si>
    <t>fleurial 250g</t>
  </si>
  <si>
    <t xml:space="preserve">cafardcide </t>
  </si>
  <si>
    <t>1.5 boite</t>
  </si>
  <si>
    <t>chiffon</t>
  </si>
  <si>
    <t>semen Madina 1.8kg</t>
  </si>
  <si>
    <t xml:space="preserve">Maizina </t>
  </si>
  <si>
    <t>extrait de l'eau d'oranger</t>
  </si>
  <si>
    <t>Maiis</t>
  </si>
  <si>
    <t xml:space="preserve">tomate conserve </t>
  </si>
  <si>
    <t xml:space="preserve">Harrissa </t>
  </si>
  <si>
    <t>levure de bière</t>
  </si>
  <si>
    <t>Farine SIM 1kg</t>
  </si>
  <si>
    <t xml:space="preserve">amandes </t>
  </si>
  <si>
    <t>3 kg</t>
  </si>
  <si>
    <t>Boites 12/07</t>
  </si>
  <si>
    <t>Boites 08/07/</t>
  </si>
  <si>
    <t>cousscouss Ameur Ben Amor</t>
  </si>
  <si>
    <t>Teliteli 500g le paquet</t>
  </si>
  <si>
    <t>Confiture</t>
  </si>
  <si>
    <t>Semoule Sim moyenne 2kg</t>
  </si>
  <si>
    <t>margarine fleurial 500g</t>
  </si>
  <si>
    <t>poulet haché</t>
  </si>
  <si>
    <t>1.2kg</t>
  </si>
  <si>
    <t>10kg</t>
  </si>
  <si>
    <t>6 kg</t>
  </si>
  <si>
    <t>briquet</t>
  </si>
  <si>
    <t>nutella</t>
  </si>
  <si>
    <t xml:space="preserve">transport marchandise </t>
  </si>
  <si>
    <t>beurre</t>
  </si>
  <si>
    <t>herbes</t>
  </si>
  <si>
    <t>viande hachée</t>
  </si>
  <si>
    <t>/</t>
  </si>
  <si>
    <t>22.5kg</t>
  </si>
  <si>
    <t>navet+courgette</t>
  </si>
  <si>
    <t>20kg</t>
  </si>
  <si>
    <t>14 kg</t>
  </si>
  <si>
    <t>3.3kg</t>
  </si>
  <si>
    <t>poches + nakach</t>
  </si>
  <si>
    <t>1+2</t>
  </si>
  <si>
    <t>viande</t>
  </si>
  <si>
    <t>2 morceaux</t>
  </si>
  <si>
    <t>légumes</t>
  </si>
  <si>
    <t>rechta</t>
  </si>
  <si>
    <t>5kg</t>
  </si>
  <si>
    <t>sele9</t>
  </si>
  <si>
    <t>margarine fleurial 250g</t>
  </si>
  <si>
    <t>goblet</t>
  </si>
  <si>
    <t>Thon 1.8kg</t>
  </si>
  <si>
    <t>Fromage blanc la barre cheezy 1.8kg</t>
  </si>
  <si>
    <t>2.98kg</t>
  </si>
  <si>
    <t>Maiis 3kg</t>
  </si>
  <si>
    <t>amandes blanc</t>
  </si>
  <si>
    <t>chocolat widjedane 250g</t>
  </si>
  <si>
    <t>Halwet Turque</t>
  </si>
  <si>
    <t xml:space="preserve">boite sayga ppour les dattes </t>
  </si>
  <si>
    <t>boite rondes 113</t>
  </si>
  <si>
    <t>gaz</t>
  </si>
  <si>
    <t>assiette coeur</t>
  </si>
  <si>
    <t>boite de temina carée</t>
  </si>
  <si>
    <t xml:space="preserve">boite de temina ronde </t>
  </si>
  <si>
    <t>boite PVC</t>
  </si>
  <si>
    <t>Moules silicon</t>
  </si>
  <si>
    <t>sacs croissants Num 18</t>
  </si>
  <si>
    <t>sacs de pain transparent</t>
  </si>
  <si>
    <t>confiture abricot telloise 1kg 12/ carton</t>
  </si>
  <si>
    <t>Thon viva 1kg  12/carton</t>
  </si>
  <si>
    <t>3 paquets de 2kg</t>
  </si>
  <si>
    <t xml:space="preserve">semoule moula fine 2kg </t>
  </si>
  <si>
    <t>9 fardaux de 12kg</t>
  </si>
  <si>
    <t xml:space="preserve">semoule fine Boussbia 25kg </t>
  </si>
  <si>
    <t xml:space="preserve">Dahra tomate 1kg </t>
  </si>
  <si>
    <t>1 cartons de 12kg</t>
  </si>
  <si>
    <t>Harrissa SIM 1kg</t>
  </si>
  <si>
    <t>1.5kg</t>
  </si>
  <si>
    <t>25kg</t>
  </si>
  <si>
    <t>olive dénoyauté + éfflet</t>
  </si>
  <si>
    <t xml:space="preserve">salade </t>
  </si>
  <si>
    <t>épinard</t>
  </si>
  <si>
    <t>cuisses de poulet</t>
  </si>
  <si>
    <t>Margarine fleurial 250g 40/carton</t>
  </si>
  <si>
    <t>30 barquettes</t>
  </si>
  <si>
    <t>Sucre cristalisé 25kg</t>
  </si>
  <si>
    <t>15kg</t>
  </si>
  <si>
    <t xml:space="preserve">Fridor 5 litres </t>
  </si>
  <si>
    <t>semen Madina 1.8kg 4boites/cartons</t>
  </si>
  <si>
    <t>7 boites</t>
  </si>
  <si>
    <t>35kg</t>
  </si>
  <si>
    <t>500g</t>
  </si>
  <si>
    <t>detergents bidon sacs poubelle briquet</t>
  </si>
  <si>
    <t>epinards</t>
  </si>
  <si>
    <t>3akeri</t>
  </si>
  <si>
    <t>semoule Bousmail 25kg</t>
  </si>
  <si>
    <t>Ka3ek nakach</t>
  </si>
  <si>
    <t>Baghrir</t>
  </si>
  <si>
    <t>épice poulet</t>
  </si>
  <si>
    <t>chantilly</t>
  </si>
  <si>
    <t>persil thym et épinard</t>
  </si>
  <si>
    <t>300g</t>
  </si>
  <si>
    <t>tomate</t>
  </si>
  <si>
    <t>3.8kg</t>
  </si>
  <si>
    <t xml:space="preserve">isis </t>
  </si>
  <si>
    <t>candia</t>
  </si>
  <si>
    <t>peche conserve</t>
  </si>
  <si>
    <t>chantily</t>
  </si>
  <si>
    <t xml:space="preserve">nappage </t>
  </si>
  <si>
    <t>Boites 36/07</t>
  </si>
  <si>
    <t>Sachets blanc 5kg</t>
  </si>
  <si>
    <t>1 fardeau</t>
  </si>
  <si>
    <t>sachets 24</t>
  </si>
  <si>
    <t xml:space="preserve">pomme de terre </t>
  </si>
  <si>
    <t xml:space="preserve">courgette+carrottes </t>
  </si>
  <si>
    <t>1kjg</t>
  </si>
  <si>
    <t xml:space="preserve">oeufs </t>
  </si>
  <si>
    <t>tomates fraiche</t>
  </si>
  <si>
    <t>poulethaché</t>
  </si>
  <si>
    <t>louz</t>
  </si>
  <si>
    <t>les quissetes</t>
  </si>
  <si>
    <t>salade +herebes+ citron</t>
  </si>
  <si>
    <t>semoule fine Sim 10kg</t>
  </si>
  <si>
    <t>dattes</t>
  </si>
  <si>
    <t>Storm + flexy internet</t>
  </si>
  <si>
    <t>boissons rafik</t>
  </si>
  <si>
    <t>300 kg</t>
  </si>
  <si>
    <t xml:space="preserve">blanc de poulet </t>
  </si>
  <si>
    <t>70kg</t>
  </si>
  <si>
    <t>beurre 250g</t>
  </si>
  <si>
    <t xml:space="preserve">courgette </t>
  </si>
  <si>
    <t xml:space="preserve">navet </t>
  </si>
  <si>
    <t>poivron</t>
  </si>
  <si>
    <t>poivre</t>
  </si>
  <si>
    <t>Thym</t>
  </si>
  <si>
    <t>oeuf</t>
  </si>
  <si>
    <t>1 plateau</t>
  </si>
  <si>
    <t>viande morceaux</t>
  </si>
  <si>
    <t>transport zehor 2 vendrredi + 3 samedi dimanche et lundi</t>
  </si>
  <si>
    <t>zebib</t>
  </si>
  <si>
    <t>40 morceaux</t>
  </si>
  <si>
    <t>bessel</t>
  </si>
  <si>
    <t xml:space="preserve">tomate </t>
  </si>
  <si>
    <t>2.5kg</t>
  </si>
  <si>
    <t xml:space="preserve">olive </t>
  </si>
  <si>
    <t>colorants</t>
  </si>
  <si>
    <t>décoration</t>
  </si>
  <si>
    <t xml:space="preserve">dentelle </t>
  </si>
  <si>
    <t xml:space="preserve">huile 2 litres </t>
  </si>
  <si>
    <t xml:space="preserve">flexy internet+ ooredoo </t>
  </si>
  <si>
    <t>Fromage blan djezzy 1.8kg</t>
  </si>
  <si>
    <t xml:space="preserve">fromage djezzy slices boite de 7 paquets de 10 slices </t>
  </si>
  <si>
    <t>Frine Sim</t>
  </si>
  <si>
    <t>5 fardeaux de 9kg</t>
  </si>
  <si>
    <t>lait en poudre</t>
  </si>
  <si>
    <t xml:space="preserve">4 kg </t>
  </si>
  <si>
    <t>1 plateaux</t>
  </si>
  <si>
    <t>60kg</t>
  </si>
  <si>
    <t>7.5kg</t>
  </si>
  <si>
    <t xml:space="preserve">huile elio 5 litres </t>
  </si>
  <si>
    <t>16 bidons</t>
  </si>
  <si>
    <t>semoule fine 25kg</t>
  </si>
  <si>
    <t xml:space="preserve">semoule fine 25kg Safina </t>
  </si>
  <si>
    <t>transport Semoule Billel</t>
  </si>
  <si>
    <t>350g</t>
  </si>
  <si>
    <t>les herbes</t>
  </si>
  <si>
    <t xml:space="preserve">salade verte </t>
  </si>
  <si>
    <t>cousscouss Ameur Ben Amor 1kg</t>
  </si>
  <si>
    <t xml:space="preserve">boites en plastique 22 litres </t>
  </si>
  <si>
    <t>ail + herbes</t>
  </si>
  <si>
    <t>2+3</t>
  </si>
  <si>
    <t>Javel + isis</t>
  </si>
  <si>
    <t>1+1</t>
  </si>
  <si>
    <t>25kkg</t>
  </si>
  <si>
    <t>épinard + persil</t>
  </si>
  <si>
    <t>5+5</t>
  </si>
  <si>
    <t>sanibon</t>
  </si>
  <si>
    <t>savon liquide</t>
  </si>
  <si>
    <t xml:space="preserve">Tomate fraiche </t>
  </si>
  <si>
    <t>Boites 08/07</t>
  </si>
  <si>
    <t>Fromage blanc cheezy 1.8kg</t>
  </si>
  <si>
    <t xml:space="preserve">Fromage sandwiche bidon de 2.5kg </t>
  </si>
  <si>
    <t xml:space="preserve">semoule Fine Mama 2kg </t>
  </si>
  <si>
    <t>Couscouss moyen Amor Ben Amor 1kg</t>
  </si>
  <si>
    <t xml:space="preserve">Farine Maria T45 1kg </t>
  </si>
  <si>
    <t>Farine Maria T55 1kg</t>
  </si>
  <si>
    <t xml:space="preserve">Semoule Fine Safina 10kg </t>
  </si>
  <si>
    <t>2 sachets</t>
  </si>
  <si>
    <t xml:space="preserve">jus CHINA 33 cl </t>
  </si>
  <si>
    <t xml:space="preserve">10 fardeaux </t>
  </si>
  <si>
    <t>Eau miniral LALA Khedidja 1.5 litres</t>
  </si>
  <si>
    <t xml:space="preserve">3 fardeaux </t>
  </si>
  <si>
    <t>Eau miniral Lala Khedidja 33cl</t>
  </si>
  <si>
    <t xml:space="preserve">1 fardeaux </t>
  </si>
  <si>
    <t xml:space="preserve">viande mourceaux 1450Da le kg </t>
  </si>
  <si>
    <t>épinard+persil</t>
  </si>
  <si>
    <t>Poulet Haché</t>
  </si>
  <si>
    <t>1.3kg</t>
  </si>
  <si>
    <t>0.3kg</t>
  </si>
  <si>
    <t>TOTALE</t>
  </si>
  <si>
    <t xml:space="preserve">Somme initiale </t>
  </si>
  <si>
    <t>Rest</t>
  </si>
  <si>
    <t>Charges Magasin</t>
  </si>
  <si>
    <t>quantité</t>
  </si>
  <si>
    <t xml:space="preserve">prix unitaire </t>
  </si>
  <si>
    <t xml:space="preserve">Somme </t>
  </si>
  <si>
    <t>chaise</t>
  </si>
  <si>
    <t>balance</t>
  </si>
  <si>
    <t xml:space="preserve">achoir </t>
  </si>
  <si>
    <t xml:space="preserve">tuyeau </t>
  </si>
  <si>
    <t xml:space="preserve">3 metres </t>
  </si>
  <si>
    <t>clois</t>
  </si>
  <si>
    <t>T</t>
  </si>
  <si>
    <t>cartes visite</t>
  </si>
  <si>
    <t xml:space="preserve">les girlandes </t>
  </si>
  <si>
    <t>boite en plastique 22 litres</t>
  </si>
  <si>
    <t>Zehor</t>
  </si>
  <si>
    <t>Yossera</t>
  </si>
  <si>
    <t>Soumia</t>
  </si>
  <si>
    <t xml:space="preserve">Nadjet </t>
  </si>
  <si>
    <t>Hadjer</t>
  </si>
  <si>
    <t>Amel</t>
  </si>
  <si>
    <t>Fatima</t>
  </si>
  <si>
    <t>Marwa</t>
  </si>
  <si>
    <t>djamila</t>
  </si>
  <si>
    <t>Imene</t>
  </si>
  <si>
    <t>Radia</t>
  </si>
  <si>
    <t xml:space="preserve">Wahiba houma </t>
  </si>
  <si>
    <t>Houda</t>
  </si>
  <si>
    <t>Hafidha</t>
  </si>
  <si>
    <t>Sabah</t>
  </si>
  <si>
    <t>Zahida</t>
  </si>
  <si>
    <t>Remarque</t>
  </si>
  <si>
    <t xml:space="preserve">Nadjet djate à midi </t>
  </si>
  <si>
    <t>Houda retard 12h 30</t>
  </si>
  <si>
    <t>Radia inscription la fac</t>
  </si>
  <si>
    <t>Hadjer retard 10h30-16h/ Radia la fac</t>
  </si>
  <si>
    <t xml:space="preserve">Mardi </t>
  </si>
  <si>
    <t>hadjer djate à 12h</t>
  </si>
  <si>
    <t>Radia djate à 13h</t>
  </si>
  <si>
    <t xml:space="preserve">Vendredi </t>
  </si>
  <si>
    <t xml:space="preserve">zahida djate à midi et Zehor et Nadjet kharedjou bekeri </t>
  </si>
  <si>
    <t xml:space="preserve">Dimanche </t>
  </si>
  <si>
    <t xml:space="preserve">Nom </t>
  </si>
  <si>
    <t>Avance</t>
  </si>
  <si>
    <t xml:space="preserve">Salaire à payer </t>
  </si>
  <si>
    <t>12000+3000</t>
  </si>
  <si>
    <t>Djamila</t>
  </si>
  <si>
    <t>Nadjet</t>
  </si>
  <si>
    <t>Whiba</t>
  </si>
  <si>
    <t>Hafida</t>
  </si>
  <si>
    <t>2000+5000</t>
  </si>
  <si>
    <t>TOTAL</t>
  </si>
  <si>
    <t>Mois d'Octobre</t>
  </si>
  <si>
    <t xml:space="preserve">Mois de Septembre </t>
  </si>
  <si>
    <t>prix unitaire</t>
  </si>
  <si>
    <t>Ka3ek Nakache</t>
  </si>
  <si>
    <t>Batbout</t>
  </si>
  <si>
    <t>Tcharak el3aryan</t>
  </si>
  <si>
    <t>Berger</t>
  </si>
  <si>
    <t>Salaires</t>
  </si>
  <si>
    <t>Griweche</t>
  </si>
  <si>
    <t xml:space="preserve">souflet et croissant fromage </t>
  </si>
  <si>
    <t>Sablés</t>
  </si>
  <si>
    <t>Mini pizza</t>
  </si>
  <si>
    <t xml:space="preserve">Profit Net </t>
  </si>
  <si>
    <t xml:space="preserve">POP cakes </t>
  </si>
  <si>
    <t>Souflet et croissant Thon</t>
  </si>
  <si>
    <t>cup cakes</t>
  </si>
  <si>
    <t>Souflet et croissant poulet</t>
  </si>
  <si>
    <t>Sablés Chocolat</t>
  </si>
  <si>
    <t xml:space="preserve">Beignets </t>
  </si>
  <si>
    <t>Amandines</t>
  </si>
  <si>
    <t>Quiches</t>
  </si>
  <si>
    <t>Les Ruses</t>
  </si>
  <si>
    <t>Hamiss</t>
  </si>
  <si>
    <t>Basboussa</t>
  </si>
  <si>
    <t>Galette Farcie</t>
  </si>
  <si>
    <t>Bastila</t>
  </si>
  <si>
    <t xml:space="preserve">pizza couverte </t>
  </si>
  <si>
    <t xml:space="preserve">Mini Tarte chocolat </t>
  </si>
  <si>
    <t>burgers vides</t>
  </si>
  <si>
    <t>Dattes fourées</t>
  </si>
  <si>
    <t>Temina</t>
  </si>
  <si>
    <t>ésquimaux</t>
  </si>
  <si>
    <t>Khachkhache</t>
  </si>
  <si>
    <t>Halwet Taba3</t>
  </si>
  <si>
    <t>Bourak</t>
  </si>
  <si>
    <t>Gherybia</t>
  </si>
  <si>
    <t xml:space="preserve">Ke3ike3ate messekerine </t>
  </si>
  <si>
    <t>Totale</t>
  </si>
  <si>
    <t>Salaires du 2 ème Locale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</si>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</sst>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4.0"/>
      <color rgb="FF000000"/>
      <name val="Arial"/>
    </font>
    <font>
      <sz val="12.0"/>
      <color theme="1"/>
      <name val="Arial"/>
    </font>
    <font>
      <b/>
      <sz val="14.0"/>
      <color rgb="FF0000FF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b/>
      <sz val="14.0"/>
      <color rgb="FFFF0000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2.0"/>
      <color rgb="FF434343"/>
      <name val="Arial"/>
    </font>
    <font>
      <b/>
      <sz val="12.0"/>
      <color rgb="FF434343"/>
      <name val="Arial"/>
    </font>
    <font>
      <sz val="12.0"/>
      <color rgb="FFFF00FF"/>
      <name val="Arial"/>
    </font>
    <font>
      <sz val="14.0"/>
      <color rgb="FF434343"/>
      <name val="Arial"/>
    </font>
    <font>
      <b/>
      <sz val="14.0"/>
      <color rgb="FF1C4587"/>
      <name val="Arial"/>
    </font>
    <font>
      <b/>
      <sz val="14.0"/>
      <color theme="1"/>
      <name val="Arial"/>
      <scheme val="minor"/>
    </font>
    <font>
      <sz val="1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readingOrder="0" vertical="bottom"/>
    </xf>
    <xf borderId="1" fillId="3" fontId="6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6" numFmtId="165" xfId="0" applyAlignment="1" applyBorder="1" applyFont="1" applyNumberFormat="1">
      <alignment horizontal="center" readingOrder="0" vertical="bottom"/>
    </xf>
    <xf borderId="0" fillId="5" fontId="2" numFmtId="165" xfId="0" applyAlignment="1" applyFont="1" applyNumberFormat="1">
      <alignment horizontal="center" vertical="bottom"/>
    </xf>
    <xf borderId="0" fillId="6" fontId="2" numFmtId="165" xfId="0" applyAlignment="1" applyFill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vertical="bottom"/>
    </xf>
    <xf borderId="0" fillId="7" fontId="2" numFmtId="0" xfId="0" applyAlignment="1" applyFill="1" applyFon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center" readingOrder="0" vertical="bottom"/>
    </xf>
    <xf borderId="1" fillId="5" fontId="7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8" fontId="6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5" fontId="4" numFmtId="165" xfId="0" applyAlignment="1" applyBorder="1" applyFont="1" applyNumberFormat="1">
      <alignment horizontal="center" vertical="bottom"/>
    </xf>
    <xf borderId="0" fillId="7" fontId="8" numFmtId="165" xfId="0" applyAlignment="1" applyFont="1" applyNumberFormat="1">
      <alignment horizontal="center" readingOrder="0" vertical="bottom"/>
    </xf>
    <xf borderId="0" fillId="3" fontId="6" numFmtId="165" xfId="0" applyAlignment="1" applyFont="1" applyNumberFormat="1">
      <alignment horizontal="center" vertical="bottom"/>
    </xf>
    <xf borderId="0" fillId="9" fontId="9" numFmtId="0" xfId="0" applyAlignment="1" applyFill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3" fontId="1" numFmtId="164" xfId="0" applyAlignment="1" applyBorder="1" applyFont="1" applyNumberFormat="1">
      <alignment vertical="bottom"/>
    </xf>
    <xf borderId="1" fillId="6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6" fontId="2" numFmtId="165" xfId="0" applyAlignment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7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6" fontId="10" numFmtId="0" xfId="0" applyAlignment="1" applyFont="1">
      <alignment horizontal="center" vertical="bottom"/>
    </xf>
    <xf borderId="1" fillId="6" fontId="10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11" fontId="3" numFmtId="0" xfId="0" applyAlignment="1" applyBorder="1" applyFill="1" applyFon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1" fillId="11" fontId="3" numFmtId="164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vertical="bottom"/>
    </xf>
    <xf borderId="1" fillId="5" fontId="3" numFmtId="164" xfId="0" applyAlignment="1" applyBorder="1" applyFont="1" applyNumberFormat="1">
      <alignment horizontal="center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vertical="bottom"/>
    </xf>
    <xf borderId="1" fillId="9" fontId="1" numFmtId="165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vertical="bottom"/>
    </xf>
    <xf borderId="1" fillId="6" fontId="1" numFmtId="165" xfId="0" applyAlignment="1" applyBorder="1" applyFont="1" applyNumberFormat="1">
      <alignment vertical="bottom"/>
    </xf>
    <xf borderId="1" fillId="6" fontId="3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6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0" fontId="11" numFmtId="166" xfId="0" applyAlignment="1" applyBorder="1" applyFont="1" applyNumberFormat="1">
      <alignment horizontal="center" readingOrder="0"/>
    </xf>
    <xf borderId="1" fillId="0" fontId="13" numFmtId="0" xfId="0" applyBorder="1" applyFont="1"/>
    <xf borderId="1" fillId="0" fontId="13" numFmtId="165" xfId="0" applyBorder="1" applyFont="1" applyNumberFormat="1"/>
    <xf borderId="1" fillId="2" fontId="14" numFmtId="0" xfId="0" applyAlignment="1" applyBorder="1" applyFont="1">
      <alignment horizontal="center" vertical="bottom"/>
    </xf>
    <xf borderId="0" fillId="2" fontId="14" numFmtId="0" xfId="0" applyAlignment="1" applyFont="1">
      <alignment horizontal="center" vertical="bottom"/>
    </xf>
    <xf borderId="1" fillId="2" fontId="14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3" fontId="15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" fillId="3" fontId="16" numFmtId="0" xfId="0" applyAlignment="1" applyBorder="1" applyFont="1">
      <alignment horizontal="center" readingOrder="0" vertical="bottom"/>
    </xf>
    <xf borderId="1" fillId="3" fontId="17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3" fontId="18" numFmtId="165" xfId="0" applyAlignment="1" applyBorder="1" applyFont="1" applyNumberFormat="1">
      <alignment horizontal="center" readingOrder="0" vertical="bottom"/>
    </xf>
    <xf borderId="1" fillId="3" fontId="18" numFmtId="165" xfId="0" applyAlignment="1" applyBorder="1" applyFont="1" applyNumberFormat="1">
      <alignment horizontal="center" vertical="bottom"/>
    </xf>
    <xf borderId="1" fillId="6" fontId="19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readingOrder="0"/>
    </xf>
    <xf borderId="1" fillId="7" fontId="20" numFmtId="0" xfId="0" applyAlignment="1" applyBorder="1" applyFont="1">
      <alignment horizontal="center" readingOrder="0"/>
    </xf>
    <xf borderId="1" fillId="3" fontId="11" numFmtId="165" xfId="0" applyAlignment="1" applyBorder="1" applyFont="1" applyNumberFormat="1">
      <alignment horizontal="center" readingOrder="0"/>
    </xf>
    <xf borderId="0" fillId="0" fontId="13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12" fontId="11" numFmtId="165" xfId="0" applyAlignment="1" applyBorder="1" applyFill="1" applyFont="1" applyNumberFormat="1">
      <alignment horizontal="center" readingOrder="0"/>
    </xf>
    <xf borderId="1" fillId="6" fontId="11" numFmtId="165" xfId="0" applyAlignment="1" applyBorder="1" applyFont="1" applyNumberFormat="1">
      <alignment horizontal="center" readingOrder="0"/>
    </xf>
    <xf borderId="1" fillId="6" fontId="21" numFmtId="0" xfId="0" applyAlignment="1" applyBorder="1" applyFont="1">
      <alignment horizontal="center" vertical="bottom"/>
    </xf>
    <xf borderId="1" fillId="0" fontId="11" numFmtId="165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6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0" fontId="11" numFmtId="165" xfId="0" applyAlignment="1" applyBorder="1" applyFont="1" applyNumberFormat="1">
      <alignment horizontal="center" readingOrder="0"/>
    </xf>
    <xf borderId="1" fillId="0" fontId="11" numFmtId="165" xfId="0" applyBorder="1" applyFont="1" applyNumberFormat="1"/>
    <xf borderId="0" fillId="0" fontId="11" numFmtId="0" xfId="0" applyAlignment="1" applyFont="1">
      <alignment readingOrder="0"/>
    </xf>
    <xf borderId="0" fillId="0" fontId="11" numFmtId="0" xfId="0" applyFont="1"/>
    <xf borderId="1" fillId="0" fontId="20" numFmtId="0" xfId="0" applyAlignment="1" applyBorder="1" applyFont="1">
      <alignment horizontal="center"/>
    </xf>
    <xf borderId="1" fillId="6" fontId="20" numFmtId="165" xfId="0" applyBorder="1" applyFont="1" applyNumberFormat="1"/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  <col customWidth="1" min="4" max="4" width="18.88"/>
    <col customWidth="1" min="5" max="5" width="17.5"/>
    <col customWidth="1" min="6" max="6" width="20.5"/>
    <col customWidth="1" min="7" max="7" width="17.5"/>
    <col customWidth="1" min="8" max="8" width="21.75"/>
    <col customWidth="1" min="11" max="11" width="20.25"/>
    <col customWidth="1" min="12" max="12" width="21.38"/>
    <col customWidth="1" min="14" max="14" width="34.75"/>
    <col customWidth="1" min="15" max="15" width="16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/>
      <c r="N1" s="8"/>
      <c r="O1" s="9" t="s">
        <v>10</v>
      </c>
    </row>
    <row r="2">
      <c r="A2" s="10" t="s">
        <v>11</v>
      </c>
      <c r="B2" s="11">
        <v>44470.0</v>
      </c>
      <c r="C2" s="12">
        <v>0.0</v>
      </c>
      <c r="D2" s="13">
        <v>0.0</v>
      </c>
      <c r="E2" s="5"/>
      <c r="F2" s="5"/>
      <c r="G2" s="5"/>
      <c r="H2" s="5"/>
      <c r="I2" s="14"/>
      <c r="J2" s="15"/>
      <c r="K2" s="16">
        <v>0.0</v>
      </c>
      <c r="L2" s="12">
        <v>0.0</v>
      </c>
      <c r="M2" s="8"/>
      <c r="N2" s="8"/>
      <c r="O2" s="17">
        <f>D33/I33</f>
        <v>46692.30769</v>
      </c>
    </row>
    <row r="3">
      <c r="A3" s="10" t="s">
        <v>12</v>
      </c>
      <c r="B3" s="11">
        <v>44471.0</v>
      </c>
      <c r="C3" s="12">
        <v>0.0</v>
      </c>
      <c r="D3" s="13">
        <v>50000.0</v>
      </c>
      <c r="E3" s="5"/>
      <c r="F3" s="5"/>
      <c r="G3" s="5"/>
      <c r="H3" s="5"/>
      <c r="I3" s="14">
        <v>1.0</v>
      </c>
      <c r="J3" s="15"/>
      <c r="K3" s="16">
        <v>0.0</v>
      </c>
      <c r="L3" s="12">
        <v>0.0</v>
      </c>
      <c r="M3" s="8"/>
      <c r="N3" s="8"/>
      <c r="O3" s="8"/>
    </row>
    <row r="4">
      <c r="A4" s="10" t="s">
        <v>13</v>
      </c>
      <c r="B4" s="11">
        <v>44472.0</v>
      </c>
      <c r="C4" s="12">
        <v>0.0</v>
      </c>
      <c r="D4" s="13">
        <v>26000.0</v>
      </c>
      <c r="E4" s="5"/>
      <c r="F4" s="5"/>
      <c r="G4" s="5"/>
      <c r="H4" s="5"/>
      <c r="I4" s="14">
        <v>1.0</v>
      </c>
      <c r="J4" s="15"/>
      <c r="K4" s="16">
        <v>0.0</v>
      </c>
      <c r="L4" s="12">
        <v>0.0</v>
      </c>
      <c r="M4" s="8"/>
      <c r="N4" s="8"/>
      <c r="O4" s="18">
        <v>60000.0</v>
      </c>
    </row>
    <row r="5">
      <c r="A5" s="10" t="s">
        <v>14</v>
      </c>
      <c r="B5" s="11">
        <v>44473.0</v>
      </c>
      <c r="C5" s="12">
        <v>50000.0</v>
      </c>
      <c r="D5" s="13">
        <v>30000.0</v>
      </c>
      <c r="E5" s="5"/>
      <c r="F5" s="5"/>
      <c r="G5" s="5"/>
      <c r="H5" s="5"/>
      <c r="I5" s="14">
        <v>1.0</v>
      </c>
      <c r="J5" s="15"/>
      <c r="K5" s="16">
        <v>60000.0</v>
      </c>
      <c r="L5" s="12">
        <v>50000.0</v>
      </c>
      <c r="M5" s="8"/>
      <c r="N5" s="8"/>
      <c r="O5" s="8"/>
    </row>
    <row r="6">
      <c r="A6" s="10" t="s">
        <v>15</v>
      </c>
      <c r="B6" s="11">
        <v>44474.0</v>
      </c>
      <c r="C6" s="19">
        <v>42000.0</v>
      </c>
      <c r="D6" s="13">
        <v>28000.0</v>
      </c>
      <c r="E6" s="5"/>
      <c r="F6" s="5"/>
      <c r="G6" s="5"/>
      <c r="H6" s="5"/>
      <c r="I6" s="14">
        <v>1.0</v>
      </c>
      <c r="J6" s="15"/>
      <c r="K6" s="16">
        <v>60000.0</v>
      </c>
      <c r="L6" s="19">
        <v>42000.0</v>
      </c>
      <c r="M6" s="8"/>
      <c r="N6" s="8"/>
      <c r="O6" s="8"/>
    </row>
    <row r="7">
      <c r="A7" s="10" t="s">
        <v>16</v>
      </c>
      <c r="B7" s="11">
        <v>44475.0</v>
      </c>
      <c r="C7" s="12">
        <v>58000.0</v>
      </c>
      <c r="D7" s="13">
        <v>25000.0</v>
      </c>
      <c r="E7" s="5"/>
      <c r="F7" s="5"/>
      <c r="G7" s="5"/>
      <c r="H7" s="5"/>
      <c r="I7" s="14">
        <v>1.0</v>
      </c>
      <c r="J7" s="15"/>
      <c r="K7" s="20">
        <v>60000.0</v>
      </c>
      <c r="L7" s="12">
        <v>58000.0</v>
      </c>
      <c r="M7" s="8"/>
      <c r="N7" s="8"/>
      <c r="O7" s="8"/>
    </row>
    <row r="8">
      <c r="A8" s="10" t="s">
        <v>17</v>
      </c>
      <c r="B8" s="11">
        <v>44476.0</v>
      </c>
      <c r="C8" s="19">
        <v>41000.0</v>
      </c>
      <c r="D8" s="13">
        <v>80000.0</v>
      </c>
      <c r="E8" s="5"/>
      <c r="F8" s="5"/>
      <c r="G8" s="5"/>
      <c r="H8" s="5"/>
      <c r="I8" s="14">
        <v>1.0</v>
      </c>
      <c r="J8" s="15"/>
      <c r="K8" s="20">
        <v>60000.0</v>
      </c>
      <c r="L8" s="19">
        <v>41000.0</v>
      </c>
      <c r="M8" s="21"/>
      <c r="N8" s="22" t="s">
        <v>18</v>
      </c>
      <c r="O8" s="22" t="s">
        <v>19</v>
      </c>
    </row>
    <row r="9">
      <c r="A9" s="10" t="s">
        <v>11</v>
      </c>
      <c r="B9" s="11">
        <v>44477.0</v>
      </c>
      <c r="C9" s="23">
        <v>38000.0</v>
      </c>
      <c r="D9" s="13">
        <v>0.0</v>
      </c>
      <c r="E9" s="5"/>
      <c r="F9" s="5"/>
      <c r="G9" s="5"/>
      <c r="H9" s="5"/>
      <c r="I9" s="14">
        <v>0.0</v>
      </c>
      <c r="J9" s="15"/>
      <c r="K9" s="20">
        <v>60000.0</v>
      </c>
      <c r="L9" s="23">
        <v>38000.0</v>
      </c>
      <c r="M9" s="21"/>
      <c r="N9" s="18" t="str">
        <f>D33+charges!F267-O9-E33-#REF!</f>
        <v>#REF!</v>
      </c>
      <c r="O9" s="24">
        <v>5000.0</v>
      </c>
    </row>
    <row r="10">
      <c r="A10" s="10" t="s">
        <v>12</v>
      </c>
      <c r="B10" s="11">
        <v>44478.0</v>
      </c>
      <c r="C10" s="25">
        <v>60000.0</v>
      </c>
      <c r="D10" s="13">
        <v>25000.0</v>
      </c>
      <c r="E10" s="5"/>
      <c r="F10" s="5"/>
      <c r="G10" s="5"/>
      <c r="H10" s="5"/>
      <c r="I10" s="14">
        <v>1.0</v>
      </c>
      <c r="J10" s="15"/>
      <c r="K10" s="20">
        <v>60000.0</v>
      </c>
      <c r="L10" s="25">
        <v>60000.0</v>
      </c>
      <c r="M10" s="8"/>
      <c r="N10" s="8"/>
      <c r="O10" s="8"/>
    </row>
    <row r="11">
      <c r="A11" s="10" t="s">
        <v>13</v>
      </c>
      <c r="B11" s="11">
        <v>44479.0</v>
      </c>
      <c r="C11" s="26">
        <v>0.0</v>
      </c>
      <c r="D11" s="13">
        <v>25000.0</v>
      </c>
      <c r="E11" s="5"/>
      <c r="F11" s="5"/>
      <c r="G11" s="5"/>
      <c r="H11" s="5"/>
      <c r="I11" s="14">
        <v>1.0</v>
      </c>
      <c r="J11" s="15"/>
      <c r="K11" s="20">
        <v>0.0</v>
      </c>
      <c r="L11" s="26">
        <v>0.0</v>
      </c>
      <c r="M11" s="8"/>
      <c r="N11" s="8"/>
      <c r="O11" s="8"/>
    </row>
    <row r="12">
      <c r="A12" s="10" t="s">
        <v>14</v>
      </c>
      <c r="B12" s="11">
        <v>44480.0</v>
      </c>
      <c r="C12" s="25">
        <v>61000.0</v>
      </c>
      <c r="D12" s="13">
        <v>40000.0</v>
      </c>
      <c r="E12" s="5"/>
      <c r="F12" s="5"/>
      <c r="G12" s="5"/>
      <c r="H12" s="5"/>
      <c r="I12" s="14">
        <v>1.0</v>
      </c>
      <c r="J12" s="15"/>
      <c r="K12" s="20">
        <v>60000.0</v>
      </c>
      <c r="L12" s="25">
        <v>61000.0</v>
      </c>
      <c r="M12" s="8"/>
      <c r="N12" s="27"/>
      <c r="O12" s="8"/>
    </row>
    <row r="13">
      <c r="A13" s="10" t="s">
        <v>15</v>
      </c>
      <c r="B13" s="11">
        <v>44481.0</v>
      </c>
      <c r="C13" s="28">
        <v>24000.0</v>
      </c>
      <c r="D13" s="13">
        <v>30000.0</v>
      </c>
      <c r="E13" s="5"/>
      <c r="F13" s="5"/>
      <c r="G13" s="5"/>
      <c r="H13" s="5"/>
      <c r="I13" s="14">
        <v>1.0</v>
      </c>
      <c r="J13" s="15"/>
      <c r="K13" s="20">
        <v>60000.0</v>
      </c>
      <c r="L13" s="29">
        <v>24000.0</v>
      </c>
      <c r="M13" s="27"/>
      <c r="N13" s="27"/>
      <c r="O13" s="8"/>
    </row>
    <row r="14">
      <c r="A14" s="10" t="s">
        <v>16</v>
      </c>
      <c r="B14" s="11">
        <v>44482.0</v>
      </c>
      <c r="C14" s="23">
        <v>38000.0</v>
      </c>
      <c r="D14" s="13">
        <v>44000.0</v>
      </c>
      <c r="E14" s="5"/>
      <c r="F14" s="5"/>
      <c r="G14" s="5"/>
      <c r="H14" s="5"/>
      <c r="I14" s="14">
        <v>1.0</v>
      </c>
      <c r="J14" s="15"/>
      <c r="K14" s="20">
        <v>60000.0</v>
      </c>
      <c r="L14" s="26">
        <v>38000.0</v>
      </c>
      <c r="M14" s="27"/>
      <c r="N14" s="27"/>
      <c r="O14" s="8"/>
    </row>
    <row r="15">
      <c r="A15" s="10" t="s">
        <v>17</v>
      </c>
      <c r="B15" s="11">
        <v>44483.0</v>
      </c>
      <c r="C15" s="30">
        <v>28000.0</v>
      </c>
      <c r="D15" s="13">
        <v>70000.0</v>
      </c>
      <c r="E15" s="5"/>
      <c r="F15" s="5"/>
      <c r="G15" s="5"/>
      <c r="H15" s="5"/>
      <c r="I15" s="14">
        <v>1.0</v>
      </c>
      <c r="J15" s="15"/>
      <c r="K15" s="20">
        <v>60000.0</v>
      </c>
      <c r="L15" s="31">
        <v>28000.0</v>
      </c>
      <c r="M15" s="27"/>
      <c r="N15" s="27"/>
      <c r="O15" s="8"/>
    </row>
    <row r="16">
      <c r="A16" s="10" t="s">
        <v>11</v>
      </c>
      <c r="B16" s="11">
        <v>44484.0</v>
      </c>
      <c r="C16" s="32">
        <v>50000.0</v>
      </c>
      <c r="D16" s="13">
        <v>0.0</v>
      </c>
      <c r="E16" s="5"/>
      <c r="F16" s="5"/>
      <c r="G16" s="5"/>
      <c r="H16" s="5"/>
      <c r="I16" s="14">
        <v>0.0</v>
      </c>
      <c r="J16" s="15"/>
      <c r="K16" s="20">
        <v>60000.0</v>
      </c>
      <c r="L16" s="33">
        <v>50000.0</v>
      </c>
      <c r="M16" s="8"/>
      <c r="N16" s="8"/>
      <c r="O16" s="8"/>
    </row>
    <row r="17">
      <c r="A17" s="10" t="s">
        <v>12</v>
      </c>
      <c r="B17" s="11">
        <v>44485.0</v>
      </c>
      <c r="C17" s="28">
        <v>26000.0</v>
      </c>
      <c r="D17" s="13">
        <v>77000.0</v>
      </c>
      <c r="E17" s="5"/>
      <c r="F17" s="5"/>
      <c r="G17" s="5"/>
      <c r="H17" s="5"/>
      <c r="I17" s="14">
        <v>1.0</v>
      </c>
      <c r="J17" s="15"/>
      <c r="K17" s="20">
        <v>60000.0</v>
      </c>
      <c r="L17" s="28">
        <v>26000.0</v>
      </c>
      <c r="M17" s="8"/>
      <c r="N17" s="34" t="s">
        <v>20</v>
      </c>
      <c r="O17" s="8"/>
    </row>
    <row r="18">
      <c r="A18" s="10" t="s">
        <v>13</v>
      </c>
      <c r="B18" s="11">
        <v>44486.0</v>
      </c>
      <c r="C18" s="23">
        <v>0.0</v>
      </c>
      <c r="D18" s="13">
        <v>90000.0</v>
      </c>
      <c r="E18" s="5"/>
      <c r="F18" s="5"/>
      <c r="G18" s="5"/>
      <c r="H18" s="5"/>
      <c r="I18" s="14">
        <v>1.0</v>
      </c>
      <c r="J18" s="15"/>
      <c r="K18" s="20">
        <v>0.0</v>
      </c>
      <c r="L18" s="23">
        <v>0.0</v>
      </c>
      <c r="M18" s="8"/>
      <c r="N18" s="35">
        <f>D33-C33</f>
        <v>213000</v>
      </c>
      <c r="O18" s="8"/>
    </row>
    <row r="19">
      <c r="A19" s="10" t="s">
        <v>14</v>
      </c>
      <c r="B19" s="11">
        <v>44487.0</v>
      </c>
      <c r="C19" s="28">
        <v>25000.0</v>
      </c>
      <c r="D19" s="13">
        <v>100000.0</v>
      </c>
      <c r="E19" s="5"/>
      <c r="F19" s="5"/>
      <c r="G19" s="5"/>
      <c r="H19" s="5"/>
      <c r="I19" s="14">
        <v>1.0</v>
      </c>
      <c r="J19" s="15"/>
      <c r="K19" s="20">
        <v>60000.0</v>
      </c>
      <c r="L19" s="28">
        <v>25000.0</v>
      </c>
      <c r="M19" s="8"/>
      <c r="N19" s="36" t="s">
        <v>21</v>
      </c>
      <c r="O19" s="8"/>
    </row>
    <row r="20">
      <c r="A20" s="10" t="s">
        <v>15</v>
      </c>
      <c r="B20" s="11">
        <v>44488.0</v>
      </c>
      <c r="C20" s="28">
        <v>26000.0</v>
      </c>
      <c r="D20" s="13">
        <v>28000.0</v>
      </c>
      <c r="E20" s="5"/>
      <c r="F20" s="5"/>
      <c r="G20" s="5"/>
      <c r="H20" s="5"/>
      <c r="I20" s="14">
        <v>1.0</v>
      </c>
      <c r="J20" s="15"/>
      <c r="K20" s="20">
        <v>60000.0</v>
      </c>
      <c r="L20" s="28">
        <v>26000.0</v>
      </c>
      <c r="M20" s="8"/>
      <c r="N20" s="37">
        <f>D33-K33</f>
        <v>-286000</v>
      </c>
      <c r="O20" s="8"/>
    </row>
    <row r="21">
      <c r="A21" s="10" t="s">
        <v>16</v>
      </c>
      <c r="B21" s="11">
        <v>44489.0</v>
      </c>
      <c r="C21" s="23">
        <v>36000.0</v>
      </c>
      <c r="D21" s="13">
        <v>34000.0</v>
      </c>
      <c r="E21" s="5"/>
      <c r="F21" s="5"/>
      <c r="G21" s="5"/>
      <c r="H21" s="5"/>
      <c r="I21" s="14">
        <v>1.0</v>
      </c>
      <c r="J21" s="15"/>
      <c r="K21" s="20">
        <v>60000.0</v>
      </c>
      <c r="L21" s="23">
        <v>36000.0</v>
      </c>
      <c r="M21" s="8"/>
      <c r="N21" s="8"/>
      <c r="O21" s="8"/>
    </row>
    <row r="22">
      <c r="A22" s="10" t="s">
        <v>17</v>
      </c>
      <c r="B22" s="11">
        <v>44490.0</v>
      </c>
      <c r="C22" s="19">
        <v>44000.0</v>
      </c>
      <c r="D22" s="13">
        <v>80000.0</v>
      </c>
      <c r="E22" s="5"/>
      <c r="F22" s="5"/>
      <c r="G22" s="5"/>
      <c r="H22" s="5"/>
      <c r="I22" s="14">
        <v>1.0</v>
      </c>
      <c r="J22" s="15"/>
      <c r="K22" s="20">
        <v>60000.0</v>
      </c>
      <c r="L22" s="19">
        <v>44000.0</v>
      </c>
      <c r="M22" s="8"/>
      <c r="N22" s="8"/>
      <c r="O22" s="8"/>
    </row>
    <row r="23">
      <c r="A23" s="10" t="s">
        <v>11</v>
      </c>
      <c r="B23" s="11">
        <v>44491.0</v>
      </c>
      <c r="C23" s="19">
        <v>45000.0</v>
      </c>
      <c r="D23" s="13">
        <v>5000.0</v>
      </c>
      <c r="E23" s="5"/>
      <c r="F23" s="5"/>
      <c r="G23" s="5"/>
      <c r="H23" s="5"/>
      <c r="I23" s="14">
        <v>0.0</v>
      </c>
      <c r="J23" s="15"/>
      <c r="K23" s="20">
        <v>60000.0</v>
      </c>
      <c r="L23" s="19">
        <v>45000.0</v>
      </c>
      <c r="M23" s="8"/>
      <c r="N23" s="8"/>
      <c r="O23" s="8"/>
    </row>
    <row r="24">
      <c r="A24" s="10" t="s">
        <v>12</v>
      </c>
      <c r="B24" s="11">
        <v>44492.0</v>
      </c>
      <c r="C24" s="19">
        <v>46000.0</v>
      </c>
      <c r="D24" s="13">
        <v>45000.0</v>
      </c>
      <c r="E24" s="5"/>
      <c r="F24" s="5"/>
      <c r="G24" s="5"/>
      <c r="H24" s="5"/>
      <c r="I24" s="14">
        <v>1.0</v>
      </c>
      <c r="J24" s="15"/>
      <c r="K24" s="20">
        <v>60000.0</v>
      </c>
      <c r="L24" s="19">
        <v>46000.0</v>
      </c>
      <c r="M24" s="8"/>
      <c r="N24" s="8"/>
      <c r="O24" s="8"/>
    </row>
    <row r="25">
      <c r="A25" s="10" t="s">
        <v>13</v>
      </c>
      <c r="B25" s="11">
        <v>44493.0</v>
      </c>
      <c r="C25" s="23">
        <v>1000.0</v>
      </c>
      <c r="D25" s="13">
        <v>34000.0</v>
      </c>
      <c r="E25" s="5"/>
      <c r="F25" s="5"/>
      <c r="G25" s="5"/>
      <c r="H25" s="5"/>
      <c r="I25" s="14">
        <v>1.0</v>
      </c>
      <c r="J25" s="15"/>
      <c r="K25" s="20">
        <v>60000.0</v>
      </c>
      <c r="L25" s="23">
        <v>1000.0</v>
      </c>
      <c r="M25" s="8"/>
      <c r="N25" s="38" t="s">
        <v>22</v>
      </c>
      <c r="O25" s="38">
        <v>25000.0</v>
      </c>
    </row>
    <row r="26">
      <c r="A26" s="10" t="s">
        <v>14</v>
      </c>
      <c r="B26" s="11">
        <v>44494.0</v>
      </c>
      <c r="C26" s="12">
        <v>52000.0</v>
      </c>
      <c r="D26" s="13">
        <v>45000.0</v>
      </c>
      <c r="E26" s="5"/>
      <c r="F26" s="5"/>
      <c r="G26" s="5"/>
      <c r="H26" s="5"/>
      <c r="I26" s="14">
        <v>1.0</v>
      </c>
      <c r="J26" s="15"/>
      <c r="K26" s="20">
        <v>60000.0</v>
      </c>
      <c r="L26" s="23">
        <v>52000.0</v>
      </c>
      <c r="M26" s="8" t="s">
        <v>23</v>
      </c>
      <c r="N26" s="38" t="s">
        <v>24</v>
      </c>
      <c r="O26" s="38">
        <v>7000.0</v>
      </c>
    </row>
    <row r="27">
      <c r="A27" s="10" t="s">
        <v>15</v>
      </c>
      <c r="B27" s="11">
        <v>44495.0</v>
      </c>
      <c r="C27" s="23">
        <v>30000.0</v>
      </c>
      <c r="D27" s="13">
        <v>29000.0</v>
      </c>
      <c r="E27" s="5"/>
      <c r="F27" s="5"/>
      <c r="G27" s="5"/>
      <c r="H27" s="5"/>
      <c r="I27" s="14">
        <v>1.0</v>
      </c>
      <c r="J27" s="15"/>
      <c r="K27" s="20">
        <v>60000.0</v>
      </c>
      <c r="L27" s="23">
        <v>30000.0</v>
      </c>
      <c r="M27" s="8"/>
      <c r="N27" s="38" t="s">
        <v>25</v>
      </c>
      <c r="O27" s="38">
        <v>8000.0</v>
      </c>
    </row>
    <row r="28">
      <c r="A28" s="10" t="s">
        <v>16</v>
      </c>
      <c r="B28" s="11">
        <v>44496.0</v>
      </c>
      <c r="C28" s="20">
        <v>30000.0</v>
      </c>
      <c r="D28" s="13">
        <v>52000.0</v>
      </c>
      <c r="E28" s="5"/>
      <c r="F28" s="5"/>
      <c r="G28" s="5"/>
      <c r="H28" s="5"/>
      <c r="I28" s="14">
        <v>1.0</v>
      </c>
      <c r="J28" s="15"/>
      <c r="K28" s="20">
        <v>60000.0</v>
      </c>
      <c r="L28" s="20">
        <v>30000.0</v>
      </c>
      <c r="M28" s="8"/>
      <c r="N28" s="38" t="s">
        <v>26</v>
      </c>
      <c r="O28" s="38">
        <v>15000.0</v>
      </c>
    </row>
    <row r="29">
      <c r="A29" s="10" t="s">
        <v>17</v>
      </c>
      <c r="B29" s="11">
        <v>44497.0</v>
      </c>
      <c r="C29" s="39">
        <v>42000.0</v>
      </c>
      <c r="D29" s="13">
        <v>60000.0</v>
      </c>
      <c r="E29" s="5"/>
      <c r="F29" s="5"/>
      <c r="G29" s="5"/>
      <c r="H29" s="5"/>
      <c r="I29" s="14">
        <v>1.0</v>
      </c>
      <c r="J29" s="15"/>
      <c r="K29" s="20">
        <v>60000.0</v>
      </c>
      <c r="L29" s="20">
        <v>42000.0</v>
      </c>
      <c r="M29" s="8"/>
      <c r="N29" s="8"/>
      <c r="O29" s="38">
        <v>12500.0</v>
      </c>
    </row>
    <row r="30">
      <c r="A30" s="10" t="s">
        <v>11</v>
      </c>
      <c r="B30" s="11">
        <v>44498.0</v>
      </c>
      <c r="C30" s="20">
        <v>38000.0</v>
      </c>
      <c r="D30" s="13">
        <v>0.0</v>
      </c>
      <c r="E30" s="5"/>
      <c r="F30" s="5"/>
      <c r="G30" s="5"/>
      <c r="H30" s="5"/>
      <c r="I30" s="14">
        <v>0.0</v>
      </c>
      <c r="J30" s="15"/>
      <c r="K30" s="20">
        <v>60000.0</v>
      </c>
      <c r="L30" s="20">
        <v>38000.0</v>
      </c>
      <c r="M30" s="8"/>
      <c r="N30" s="8"/>
      <c r="O30" s="38"/>
    </row>
    <row r="31">
      <c r="A31" s="10" t="s">
        <v>12</v>
      </c>
      <c r="B31" s="11">
        <v>44499.0</v>
      </c>
      <c r="C31" s="40">
        <v>70000.0</v>
      </c>
      <c r="D31" s="13">
        <v>28000.0</v>
      </c>
      <c r="E31" s="5"/>
      <c r="F31" s="5"/>
      <c r="G31" s="5"/>
      <c r="H31" s="5"/>
      <c r="I31" s="14">
        <v>1.0</v>
      </c>
      <c r="J31" s="15"/>
      <c r="K31" s="20">
        <v>0.0</v>
      </c>
      <c r="L31" s="20">
        <v>70000.0</v>
      </c>
      <c r="M31" s="8"/>
      <c r="N31" s="8"/>
      <c r="O31" s="8"/>
    </row>
    <row r="32">
      <c r="A32" s="10" t="s">
        <v>13</v>
      </c>
      <c r="B32" s="11">
        <v>44500.0</v>
      </c>
      <c r="C32" s="20">
        <v>0.0</v>
      </c>
      <c r="D32" s="13">
        <v>34000.0</v>
      </c>
      <c r="E32" s="5"/>
      <c r="F32" s="5"/>
      <c r="G32" s="5"/>
      <c r="H32" s="5"/>
      <c r="I32" s="14">
        <v>1.0</v>
      </c>
      <c r="J32" s="15"/>
      <c r="K32" s="20">
        <v>60000.0</v>
      </c>
      <c r="L32" s="20">
        <v>0.0</v>
      </c>
      <c r="M32" s="8"/>
      <c r="N32" s="8"/>
      <c r="O32" s="8"/>
    </row>
    <row r="33">
      <c r="A33" s="1"/>
      <c r="B33" s="41"/>
      <c r="C33" s="32">
        <f t="shared" ref="C33:D33" si="1">SUM(C2:C32)</f>
        <v>1001000</v>
      </c>
      <c r="D33" s="42">
        <f t="shared" si="1"/>
        <v>1214000</v>
      </c>
      <c r="E33" s="43">
        <f>charges!F266</f>
        <v>510753.5</v>
      </c>
      <c r="F33" s="44">
        <f>Salaires!I29*1</f>
        <v>272573</v>
      </c>
      <c r="G33" s="45">
        <v>90000.0</v>
      </c>
      <c r="H33" s="32">
        <f>D33+charges!F267-charges!F266-G33-F33</f>
        <v>360673.5</v>
      </c>
      <c r="I33" s="6">
        <f>SUM(I2:I32)</f>
        <v>26</v>
      </c>
      <c r="J33" s="15"/>
      <c r="K33" s="46">
        <f t="shared" ref="K33:L33" si="2">SUM(K2:K32)</f>
        <v>1500000</v>
      </c>
      <c r="L33" s="19">
        <f t="shared" si="2"/>
        <v>1001000</v>
      </c>
      <c r="M33" s="8"/>
      <c r="N33" s="8"/>
      <c r="O33" s="8"/>
    </row>
    <row r="34">
      <c r="A34" s="1"/>
      <c r="B34" s="1"/>
      <c r="C34" s="1"/>
      <c r="D34" s="1"/>
      <c r="E34" s="1"/>
      <c r="F34" s="1"/>
      <c r="G34" s="1"/>
      <c r="H34" s="1"/>
      <c r="I34" s="8"/>
      <c r="J34" s="8"/>
      <c r="K34" s="8"/>
      <c r="L34" s="8"/>
      <c r="M34" s="8"/>
      <c r="N34" s="8"/>
      <c r="O34" s="8"/>
    </row>
    <row r="35">
      <c r="A35" s="1"/>
      <c r="B35" s="1"/>
      <c r="C35" s="47" t="s">
        <v>8</v>
      </c>
      <c r="D35" s="48">
        <v>1750000.0</v>
      </c>
      <c r="E35" s="48">
        <v>500000.0</v>
      </c>
      <c r="F35" s="48">
        <v>280000.0</v>
      </c>
      <c r="G35" s="48">
        <v>90000.0</v>
      </c>
      <c r="H35" s="49">
        <v>880000.0</v>
      </c>
      <c r="I35" s="8"/>
      <c r="J35" s="8"/>
      <c r="K35" s="8"/>
      <c r="L35" s="8"/>
      <c r="M35" s="8"/>
      <c r="N35" s="8"/>
      <c r="O35" s="8"/>
    </row>
    <row r="36">
      <c r="A36" s="1"/>
      <c r="B36" s="1"/>
      <c r="C36" s="50" t="s">
        <v>27</v>
      </c>
      <c r="D36" s="51">
        <v>1001000.0</v>
      </c>
      <c r="E36" s="52">
        <v>460000.0</v>
      </c>
      <c r="F36" s="53">
        <v>225300.0</v>
      </c>
      <c r="G36" s="54">
        <v>50000.0</v>
      </c>
      <c r="H36" s="55">
        <v>286000.0</v>
      </c>
      <c r="I36" s="8"/>
      <c r="J36" s="8"/>
      <c r="K36" s="8"/>
      <c r="L36" s="8"/>
      <c r="M36" s="8"/>
      <c r="N36" s="8"/>
      <c r="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0"/>
    <col customWidth="1" min="4" max="4" width="32.63"/>
    <col customWidth="1" min="5" max="5" width="25.38"/>
    <col customWidth="1" min="6" max="6" width="25.25"/>
    <col customWidth="1" min="7" max="7" width="25.88"/>
  </cols>
  <sheetData>
    <row r="3">
      <c r="C3" s="56" t="s">
        <v>28</v>
      </c>
      <c r="D3" s="57" t="s">
        <v>29</v>
      </c>
      <c r="E3" s="57" t="s">
        <v>30</v>
      </c>
      <c r="F3" s="57" t="s">
        <v>31</v>
      </c>
      <c r="G3" s="57" t="s">
        <v>32</v>
      </c>
    </row>
    <row r="4">
      <c r="C4" s="58" t="s">
        <v>33</v>
      </c>
      <c r="D4" s="58">
        <v>10.0</v>
      </c>
      <c r="E4" s="20">
        <v>480.0</v>
      </c>
      <c r="F4" s="20">
        <v>4800.0</v>
      </c>
      <c r="G4" s="11">
        <v>44470.0</v>
      </c>
    </row>
    <row r="5">
      <c r="C5" s="58" t="s">
        <v>34</v>
      </c>
      <c r="D5" s="58" t="s">
        <v>35</v>
      </c>
      <c r="E5" s="20">
        <v>50.0</v>
      </c>
      <c r="F5" s="20">
        <v>5000.0</v>
      </c>
      <c r="G5" s="11">
        <v>44470.0</v>
      </c>
    </row>
    <row r="6">
      <c r="C6" s="58" t="s">
        <v>36</v>
      </c>
      <c r="D6" s="58">
        <v>1.0</v>
      </c>
      <c r="E6" s="20">
        <v>700.0</v>
      </c>
      <c r="F6" s="20">
        <v>700.0</v>
      </c>
      <c r="G6" s="11">
        <v>44470.0</v>
      </c>
    </row>
    <row r="7">
      <c r="C7" s="58" t="s">
        <v>37</v>
      </c>
      <c r="D7" s="58">
        <v>7.0</v>
      </c>
      <c r="E7" s="20">
        <v>185.0</v>
      </c>
      <c r="F7" s="20">
        <v>1295.0</v>
      </c>
      <c r="G7" s="11">
        <v>44470.0</v>
      </c>
    </row>
    <row r="8">
      <c r="C8" s="58" t="s">
        <v>38</v>
      </c>
      <c r="D8" s="58">
        <v>7.0</v>
      </c>
      <c r="E8" s="20">
        <v>180.0</v>
      </c>
      <c r="F8" s="20">
        <v>1260.0</v>
      </c>
      <c r="G8" s="11">
        <v>44470.0</v>
      </c>
    </row>
    <row r="9">
      <c r="C9" s="58" t="s">
        <v>39</v>
      </c>
      <c r="D9" s="58" t="s">
        <v>40</v>
      </c>
      <c r="E9" s="20">
        <v>1330.0</v>
      </c>
      <c r="F9" s="20">
        <v>2660.0</v>
      </c>
      <c r="G9" s="11">
        <v>44470.0</v>
      </c>
    </row>
    <row r="10">
      <c r="C10" s="58" t="s">
        <v>41</v>
      </c>
      <c r="D10" s="58" t="s">
        <v>42</v>
      </c>
      <c r="E10" s="20">
        <v>325.0</v>
      </c>
      <c r="F10" s="20">
        <v>7800.0</v>
      </c>
      <c r="G10" s="11">
        <v>44470.0</v>
      </c>
    </row>
    <row r="11">
      <c r="C11" s="58" t="s">
        <v>43</v>
      </c>
      <c r="D11" s="58">
        <v>2.0</v>
      </c>
      <c r="E11" s="20">
        <v>670.0</v>
      </c>
      <c r="F11" s="20">
        <v>1340.0</v>
      </c>
      <c r="G11" s="11">
        <v>44470.0</v>
      </c>
    </row>
    <row r="12">
      <c r="C12" s="58" t="s">
        <v>44</v>
      </c>
      <c r="D12" s="58">
        <v>2.0</v>
      </c>
      <c r="E12" s="20">
        <v>1300.0</v>
      </c>
      <c r="F12" s="20">
        <v>2600.0</v>
      </c>
      <c r="G12" s="11">
        <v>44470.0</v>
      </c>
    </row>
    <row r="13">
      <c r="C13" s="58" t="s">
        <v>45</v>
      </c>
      <c r="D13" s="58">
        <v>2.0</v>
      </c>
      <c r="E13" s="20">
        <v>1050.0</v>
      </c>
      <c r="F13" s="20">
        <v>2100.0</v>
      </c>
      <c r="G13" s="11">
        <v>44470.0</v>
      </c>
    </row>
    <row r="14">
      <c r="C14" s="58" t="s">
        <v>46</v>
      </c>
      <c r="D14" s="58">
        <v>2.0</v>
      </c>
      <c r="E14" s="20">
        <v>1600.0</v>
      </c>
      <c r="F14" s="20">
        <v>3200.0</v>
      </c>
      <c r="G14" s="11">
        <v>44470.0</v>
      </c>
    </row>
    <row r="15">
      <c r="C15" s="58" t="s">
        <v>47</v>
      </c>
      <c r="D15" s="58">
        <v>2.0</v>
      </c>
      <c r="E15" s="20">
        <v>1920.0</v>
      </c>
      <c r="F15" s="20">
        <v>3840.0</v>
      </c>
      <c r="G15" s="11">
        <v>44470.0</v>
      </c>
    </row>
    <row r="16">
      <c r="C16" s="58" t="s">
        <v>48</v>
      </c>
      <c r="D16" s="58">
        <v>2.0</v>
      </c>
      <c r="E16" s="20">
        <v>1150.0</v>
      </c>
      <c r="F16" s="20">
        <v>2300.0</v>
      </c>
      <c r="G16" s="11">
        <v>44470.0</v>
      </c>
    </row>
    <row r="17">
      <c r="C17" s="58" t="s">
        <v>49</v>
      </c>
      <c r="D17" s="58">
        <v>1.0</v>
      </c>
      <c r="E17" s="20">
        <v>1670.0</v>
      </c>
      <c r="F17" s="20">
        <v>1670.0</v>
      </c>
      <c r="G17" s="11">
        <v>44470.0</v>
      </c>
    </row>
    <row r="18">
      <c r="C18" s="58" t="s">
        <v>50</v>
      </c>
      <c r="D18" s="58">
        <v>1.0</v>
      </c>
      <c r="E18" s="20">
        <v>1200.0</v>
      </c>
      <c r="F18" s="20">
        <v>1200.0</v>
      </c>
      <c r="G18" s="11">
        <v>44470.0</v>
      </c>
    </row>
    <row r="19">
      <c r="C19" s="58" t="s">
        <v>51</v>
      </c>
      <c r="D19" s="58">
        <v>5.0</v>
      </c>
      <c r="E19" s="20">
        <v>750.0</v>
      </c>
      <c r="F19" s="20">
        <v>3750.0</v>
      </c>
      <c r="G19" s="11">
        <v>44470.0</v>
      </c>
    </row>
    <row r="20">
      <c r="C20" s="58" t="s">
        <v>52</v>
      </c>
      <c r="D20" s="58" t="s">
        <v>53</v>
      </c>
      <c r="E20" s="20">
        <v>35.0</v>
      </c>
      <c r="F20" s="20">
        <v>1050.0</v>
      </c>
      <c r="G20" s="11">
        <v>44470.0</v>
      </c>
    </row>
    <row r="21">
      <c r="C21" s="58" t="s">
        <v>54</v>
      </c>
      <c r="D21" s="58" t="s">
        <v>55</v>
      </c>
      <c r="E21" s="20">
        <v>200.0</v>
      </c>
      <c r="F21" s="20">
        <v>1400.0</v>
      </c>
      <c r="G21" s="11">
        <v>44470.0</v>
      </c>
    </row>
    <row r="22">
      <c r="C22" s="58" t="s">
        <v>56</v>
      </c>
      <c r="D22" s="58" t="s">
        <v>57</v>
      </c>
      <c r="E22" s="20" t="s">
        <v>58</v>
      </c>
      <c r="F22" s="20">
        <v>550.0</v>
      </c>
      <c r="G22" s="11">
        <v>44470.0</v>
      </c>
    </row>
    <row r="23">
      <c r="C23" s="47" t="s">
        <v>59</v>
      </c>
      <c r="D23" s="58">
        <v>10.0</v>
      </c>
      <c r="E23" s="23">
        <v>1100.0</v>
      </c>
      <c r="F23" s="20">
        <v>11000.0</v>
      </c>
      <c r="G23" s="11">
        <v>44470.0</v>
      </c>
    </row>
    <row r="24">
      <c r="C24" s="59" t="s">
        <v>60</v>
      </c>
      <c r="D24" s="60">
        <v>5.0</v>
      </c>
      <c r="E24" s="19">
        <v>1100.0</v>
      </c>
      <c r="F24" s="39">
        <v>5500.0</v>
      </c>
      <c r="G24" s="61">
        <v>44470.0</v>
      </c>
    </row>
    <row r="25">
      <c r="C25" s="62" t="s">
        <v>61</v>
      </c>
      <c r="D25" s="63">
        <v>2.0</v>
      </c>
      <c r="E25" s="12">
        <v>1260.0</v>
      </c>
      <c r="F25" s="64">
        <v>2520.0</v>
      </c>
      <c r="G25" s="65">
        <v>44470.0</v>
      </c>
    </row>
    <row r="26">
      <c r="C26" s="66" t="s">
        <v>62</v>
      </c>
      <c r="D26" s="66" t="s">
        <v>63</v>
      </c>
      <c r="E26" s="67">
        <v>400.0</v>
      </c>
      <c r="F26" s="67">
        <v>2000.0</v>
      </c>
      <c r="G26" s="68">
        <v>44470.0</v>
      </c>
    </row>
    <row r="27">
      <c r="C27" s="58" t="s">
        <v>64</v>
      </c>
      <c r="D27" s="58">
        <v>3.0</v>
      </c>
      <c r="E27" s="20">
        <v>110.0</v>
      </c>
      <c r="F27" s="20">
        <v>110.0</v>
      </c>
      <c r="G27" s="11">
        <v>44470.0</v>
      </c>
    </row>
    <row r="28">
      <c r="C28" s="58" t="s">
        <v>65</v>
      </c>
      <c r="D28" s="58">
        <v>4.0</v>
      </c>
      <c r="E28" s="20">
        <v>20.0</v>
      </c>
      <c r="F28" s="20">
        <v>80.0</v>
      </c>
      <c r="G28" s="11">
        <v>44470.0</v>
      </c>
    </row>
    <row r="29">
      <c r="C29" s="58" t="s">
        <v>66</v>
      </c>
      <c r="D29" s="58">
        <v>10.0</v>
      </c>
      <c r="E29" s="20">
        <v>160.0</v>
      </c>
      <c r="F29" s="20">
        <v>1600.0</v>
      </c>
      <c r="G29" s="11">
        <v>44470.0</v>
      </c>
    </row>
    <row r="30">
      <c r="C30" s="58" t="s">
        <v>67</v>
      </c>
      <c r="D30" s="58">
        <v>3.0</v>
      </c>
      <c r="E30" s="20">
        <v>430.0</v>
      </c>
      <c r="F30" s="20">
        <v>430.0</v>
      </c>
      <c r="G30" s="11">
        <v>44470.0</v>
      </c>
    </row>
    <row r="31">
      <c r="C31" s="58" t="s">
        <v>68</v>
      </c>
      <c r="D31" s="58">
        <v>3.0</v>
      </c>
      <c r="E31" s="20">
        <v>390.0</v>
      </c>
      <c r="F31" s="20">
        <v>1170.0</v>
      </c>
      <c r="G31" s="11">
        <v>44470.0</v>
      </c>
    </row>
    <row r="32">
      <c r="C32" s="58" t="s">
        <v>69</v>
      </c>
      <c r="D32" s="58">
        <v>3.0</v>
      </c>
      <c r="E32" s="20">
        <v>60.0</v>
      </c>
      <c r="F32" s="20">
        <v>180.0</v>
      </c>
      <c r="G32" s="11">
        <v>44470.0</v>
      </c>
    </row>
    <row r="33">
      <c r="C33" s="58" t="s">
        <v>70</v>
      </c>
      <c r="D33" s="58">
        <v>2.0</v>
      </c>
      <c r="E33" s="20">
        <v>180.0</v>
      </c>
      <c r="F33" s="20">
        <v>360.0</v>
      </c>
      <c r="G33" s="11">
        <v>44470.0</v>
      </c>
    </row>
    <row r="34">
      <c r="C34" s="58" t="s">
        <v>71</v>
      </c>
      <c r="D34" s="58" t="s">
        <v>72</v>
      </c>
      <c r="E34" s="20">
        <v>1500.0</v>
      </c>
      <c r="F34" s="20">
        <v>1500.0</v>
      </c>
      <c r="G34" s="11">
        <v>44470.0</v>
      </c>
    </row>
    <row r="35">
      <c r="C35" s="58" t="s">
        <v>73</v>
      </c>
      <c r="D35" s="58" t="s">
        <v>40</v>
      </c>
      <c r="E35" s="20">
        <v>400.0</v>
      </c>
      <c r="F35" s="20">
        <v>800.0</v>
      </c>
      <c r="G35" s="11">
        <v>44470.0</v>
      </c>
    </row>
    <row r="36">
      <c r="C36" s="58" t="s">
        <v>74</v>
      </c>
      <c r="D36" s="58">
        <v>5.0</v>
      </c>
      <c r="E36" s="20">
        <v>80.0</v>
      </c>
      <c r="F36" s="20">
        <v>400.0</v>
      </c>
      <c r="G36" s="11">
        <v>44470.0</v>
      </c>
    </row>
    <row r="37">
      <c r="C37" s="58" t="s">
        <v>75</v>
      </c>
      <c r="D37" s="58" t="s">
        <v>76</v>
      </c>
      <c r="E37" s="20">
        <v>50.0</v>
      </c>
      <c r="F37" s="20">
        <v>200.0</v>
      </c>
      <c r="G37" s="11">
        <v>44470.0</v>
      </c>
    </row>
    <row r="38">
      <c r="C38" s="58" t="s">
        <v>77</v>
      </c>
      <c r="D38" s="58">
        <v>5.0</v>
      </c>
      <c r="E38" s="20">
        <v>85.0</v>
      </c>
      <c r="F38" s="20">
        <v>425.0</v>
      </c>
      <c r="G38" s="11">
        <v>44470.0</v>
      </c>
    </row>
    <row r="39">
      <c r="C39" s="58" t="s">
        <v>78</v>
      </c>
      <c r="D39" s="58" t="s">
        <v>79</v>
      </c>
      <c r="E39" s="20">
        <v>20.0</v>
      </c>
      <c r="F39" s="20">
        <v>1500.0</v>
      </c>
      <c r="G39" s="11">
        <v>44470.0</v>
      </c>
    </row>
    <row r="40">
      <c r="C40" s="58" t="s">
        <v>64</v>
      </c>
      <c r="D40" s="58">
        <v>2.0</v>
      </c>
      <c r="E40" s="20">
        <v>110.0</v>
      </c>
      <c r="F40" s="20">
        <v>220.0</v>
      </c>
      <c r="G40" s="11">
        <v>44470.0</v>
      </c>
    </row>
    <row r="41">
      <c r="C41" s="58" t="s">
        <v>80</v>
      </c>
      <c r="D41" s="58">
        <v>1.0</v>
      </c>
      <c r="E41" s="20">
        <v>200.0</v>
      </c>
      <c r="F41" s="20">
        <v>200.0</v>
      </c>
      <c r="G41" s="11">
        <v>44470.0</v>
      </c>
    </row>
    <row r="42">
      <c r="C42" s="47" t="s">
        <v>81</v>
      </c>
      <c r="D42" s="47">
        <v>4.0</v>
      </c>
      <c r="E42" s="20">
        <v>700.0</v>
      </c>
      <c r="F42" s="20">
        <v>2800.0</v>
      </c>
      <c r="G42" s="69">
        <v>44440.0</v>
      </c>
    </row>
    <row r="43">
      <c r="C43" s="47" t="s">
        <v>82</v>
      </c>
      <c r="D43" s="47" t="s">
        <v>40</v>
      </c>
      <c r="E43" s="23">
        <v>180.0</v>
      </c>
      <c r="F43" s="23">
        <v>360.0</v>
      </c>
      <c r="G43" s="69">
        <v>44440.0</v>
      </c>
    </row>
    <row r="44">
      <c r="C44" s="47" t="s">
        <v>83</v>
      </c>
      <c r="D44" s="47">
        <v>1.0</v>
      </c>
      <c r="E44" s="23">
        <v>1000.0</v>
      </c>
      <c r="F44" s="23">
        <v>1000.0</v>
      </c>
      <c r="G44" s="69">
        <v>44460.0</v>
      </c>
    </row>
    <row r="45">
      <c r="C45" s="62" t="s">
        <v>84</v>
      </c>
      <c r="D45" s="58">
        <v>3.0</v>
      </c>
      <c r="E45" s="23">
        <v>310.0</v>
      </c>
      <c r="F45" s="20">
        <v>930.0</v>
      </c>
      <c r="G45" s="69">
        <v>44456.0</v>
      </c>
    </row>
    <row r="46">
      <c r="C46" s="47" t="s">
        <v>85</v>
      </c>
      <c r="D46" s="58">
        <v>7.0</v>
      </c>
      <c r="E46" s="20">
        <v>200.0</v>
      </c>
      <c r="F46" s="20">
        <v>1400.0</v>
      </c>
      <c r="G46" s="69">
        <v>44441.0</v>
      </c>
    </row>
    <row r="47">
      <c r="C47" s="47" t="s">
        <v>86</v>
      </c>
      <c r="D47" s="58">
        <v>6.0</v>
      </c>
      <c r="E47" s="20">
        <v>200.0</v>
      </c>
      <c r="F47" s="20">
        <v>1200.0</v>
      </c>
      <c r="G47" s="69">
        <v>44441.0</v>
      </c>
    </row>
    <row r="48">
      <c r="C48" s="62" t="s">
        <v>87</v>
      </c>
      <c r="D48" s="63">
        <v>7.0</v>
      </c>
      <c r="E48" s="12">
        <v>285.0</v>
      </c>
      <c r="F48" s="64">
        <v>1995.0</v>
      </c>
      <c r="G48" s="70">
        <v>44441.0</v>
      </c>
    </row>
    <row r="49">
      <c r="C49" s="63" t="s">
        <v>88</v>
      </c>
      <c r="D49" s="63">
        <v>1.0</v>
      </c>
      <c r="E49" s="12">
        <v>780.0</v>
      </c>
      <c r="F49" s="64">
        <v>780.0</v>
      </c>
      <c r="G49" s="70">
        <v>44462.0</v>
      </c>
    </row>
    <row r="50">
      <c r="C50" s="47" t="s">
        <v>89</v>
      </c>
      <c r="D50" s="58" t="s">
        <v>90</v>
      </c>
      <c r="E50" s="23">
        <v>1600.0</v>
      </c>
      <c r="F50" s="20">
        <v>4800.0</v>
      </c>
      <c r="G50" s="69">
        <v>44456.0</v>
      </c>
    </row>
    <row r="51">
      <c r="C51" s="47" t="s">
        <v>91</v>
      </c>
      <c r="D51" s="47">
        <v>2.0</v>
      </c>
      <c r="E51" s="23">
        <v>1300.0</v>
      </c>
      <c r="F51" s="23">
        <v>2600.0</v>
      </c>
      <c r="G51" s="69">
        <v>44441.0</v>
      </c>
    </row>
    <row r="52">
      <c r="C52" s="47" t="s">
        <v>92</v>
      </c>
      <c r="D52" s="47">
        <v>2.0</v>
      </c>
      <c r="E52" s="23">
        <v>1250.0</v>
      </c>
      <c r="F52" s="23">
        <v>2500.0</v>
      </c>
      <c r="G52" s="69">
        <v>44441.0</v>
      </c>
    </row>
    <row r="53">
      <c r="C53" s="47" t="s">
        <v>93</v>
      </c>
      <c r="D53" s="47">
        <v>12.0</v>
      </c>
      <c r="E53" s="23">
        <v>165.0</v>
      </c>
      <c r="F53" s="23">
        <v>1980.0</v>
      </c>
      <c r="G53" s="69">
        <v>44441.0</v>
      </c>
    </row>
    <row r="54">
      <c r="C54" s="58" t="s">
        <v>94</v>
      </c>
      <c r="D54" s="58">
        <v>14.0</v>
      </c>
      <c r="E54" s="23">
        <v>80.0</v>
      </c>
      <c r="F54" s="20">
        <v>1120.0</v>
      </c>
      <c r="G54" s="69">
        <v>44441.0</v>
      </c>
    </row>
    <row r="55">
      <c r="C55" s="47" t="s">
        <v>95</v>
      </c>
      <c r="D55" s="58">
        <v>8.0</v>
      </c>
      <c r="E55" s="23">
        <v>175.0</v>
      </c>
      <c r="F55" s="20">
        <v>1400.0</v>
      </c>
      <c r="G55" s="69">
        <v>44441.0</v>
      </c>
    </row>
    <row r="56">
      <c r="C56" s="47" t="s">
        <v>96</v>
      </c>
      <c r="D56" s="58">
        <v>3.0</v>
      </c>
      <c r="E56" s="23">
        <v>1020.0</v>
      </c>
      <c r="F56" s="20">
        <v>3060.0</v>
      </c>
      <c r="G56" s="69">
        <v>44441.0</v>
      </c>
    </row>
    <row r="57">
      <c r="C57" s="62" t="s">
        <v>97</v>
      </c>
      <c r="D57" s="63">
        <v>12.0</v>
      </c>
      <c r="E57" s="12">
        <v>155.0</v>
      </c>
      <c r="F57" s="64">
        <v>1860.0</v>
      </c>
      <c r="G57" s="70">
        <v>44440.0</v>
      </c>
    </row>
    <row r="58">
      <c r="C58" s="58" t="s">
        <v>98</v>
      </c>
      <c r="D58" s="58" t="s">
        <v>99</v>
      </c>
      <c r="E58" s="20">
        <v>880.0</v>
      </c>
      <c r="F58" s="20">
        <v>1000.0</v>
      </c>
      <c r="G58" s="11">
        <v>44471.0</v>
      </c>
    </row>
    <row r="59">
      <c r="C59" s="58" t="s">
        <v>52</v>
      </c>
      <c r="D59" s="58" t="s">
        <v>100</v>
      </c>
      <c r="E59" s="20">
        <v>35.0</v>
      </c>
      <c r="F59" s="20">
        <v>350.0</v>
      </c>
      <c r="G59" s="11">
        <v>44471.0</v>
      </c>
    </row>
    <row r="60">
      <c r="C60" s="58" t="s">
        <v>75</v>
      </c>
      <c r="D60" s="58" t="s">
        <v>101</v>
      </c>
      <c r="E60" s="20">
        <v>70.0</v>
      </c>
      <c r="F60" s="20">
        <v>400.0</v>
      </c>
      <c r="G60" s="11">
        <v>44471.0</v>
      </c>
    </row>
    <row r="61">
      <c r="C61" s="58" t="s">
        <v>102</v>
      </c>
      <c r="D61" s="58">
        <v>1.0</v>
      </c>
      <c r="E61" s="20">
        <v>100.0</v>
      </c>
      <c r="F61" s="20">
        <v>100.0</v>
      </c>
      <c r="G61" s="11">
        <v>44471.0</v>
      </c>
    </row>
    <row r="62">
      <c r="C62" s="58" t="s">
        <v>103</v>
      </c>
      <c r="D62" s="58">
        <v>1.0</v>
      </c>
      <c r="E62" s="20">
        <v>800.0</v>
      </c>
      <c r="F62" s="20">
        <v>800.0</v>
      </c>
      <c r="G62" s="11">
        <v>44471.0</v>
      </c>
    </row>
    <row r="63">
      <c r="C63" s="58" t="s">
        <v>104</v>
      </c>
      <c r="D63" s="58">
        <v>1.0</v>
      </c>
      <c r="E63" s="20">
        <v>500.0</v>
      </c>
      <c r="F63" s="20">
        <v>500.0</v>
      </c>
      <c r="G63" s="11">
        <v>44471.0</v>
      </c>
    </row>
    <row r="64">
      <c r="C64" s="58" t="s">
        <v>52</v>
      </c>
      <c r="D64" s="58" t="s">
        <v>100</v>
      </c>
      <c r="E64" s="20">
        <v>60.0</v>
      </c>
      <c r="F64" s="20">
        <v>600.0</v>
      </c>
      <c r="G64" s="11">
        <v>44472.0</v>
      </c>
    </row>
    <row r="65">
      <c r="C65" s="58" t="s">
        <v>105</v>
      </c>
      <c r="D65" s="58">
        <v>1.0</v>
      </c>
      <c r="E65" s="20">
        <v>300.0</v>
      </c>
      <c r="F65" s="20">
        <v>300.0</v>
      </c>
      <c r="G65" s="11">
        <v>44472.0</v>
      </c>
    </row>
    <row r="66">
      <c r="C66" s="58" t="s">
        <v>106</v>
      </c>
      <c r="D66" s="58">
        <v>5.0</v>
      </c>
      <c r="E66" s="20">
        <v>20.0</v>
      </c>
      <c r="F66" s="20">
        <v>100.0</v>
      </c>
      <c r="G66" s="11">
        <v>44472.0</v>
      </c>
    </row>
    <row r="67">
      <c r="C67" s="58" t="s">
        <v>98</v>
      </c>
      <c r="D67" s="58" t="s">
        <v>72</v>
      </c>
      <c r="E67" s="20">
        <v>880.0</v>
      </c>
      <c r="F67" s="20">
        <v>1000.0</v>
      </c>
      <c r="G67" s="11">
        <v>44473.0</v>
      </c>
    </row>
    <row r="68">
      <c r="C68" s="58" t="s">
        <v>107</v>
      </c>
      <c r="D68" s="58" t="s">
        <v>108</v>
      </c>
      <c r="E68" s="20">
        <v>1500.0</v>
      </c>
      <c r="F68" s="20">
        <v>500.0</v>
      </c>
      <c r="G68" s="11">
        <v>44473.0</v>
      </c>
    </row>
    <row r="69">
      <c r="C69" s="58" t="s">
        <v>52</v>
      </c>
      <c r="D69" s="58" t="s">
        <v>109</v>
      </c>
      <c r="E69" s="20">
        <v>40.0</v>
      </c>
      <c r="F69" s="20">
        <v>500.0</v>
      </c>
      <c r="G69" s="11">
        <v>44473.0</v>
      </c>
    </row>
    <row r="70">
      <c r="C70" s="58" t="s">
        <v>104</v>
      </c>
      <c r="D70" s="58">
        <v>1.0</v>
      </c>
      <c r="E70" s="20">
        <v>500.0</v>
      </c>
      <c r="F70" s="20">
        <v>500.0</v>
      </c>
      <c r="G70" s="11">
        <v>44473.0</v>
      </c>
    </row>
    <row r="71">
      <c r="C71" s="58" t="s">
        <v>110</v>
      </c>
      <c r="D71" s="58">
        <v>4.0</v>
      </c>
      <c r="E71" s="20" t="s">
        <v>108</v>
      </c>
      <c r="F71" s="20">
        <v>80.0</v>
      </c>
      <c r="G71" s="11">
        <v>44473.0</v>
      </c>
    </row>
    <row r="72">
      <c r="C72" s="58" t="s">
        <v>52</v>
      </c>
      <c r="D72" s="58" t="s">
        <v>111</v>
      </c>
      <c r="E72" s="20">
        <v>40.0</v>
      </c>
      <c r="F72" s="20">
        <v>800.0</v>
      </c>
      <c r="G72" s="11">
        <v>44473.0</v>
      </c>
    </row>
    <row r="73">
      <c r="C73" s="58" t="s">
        <v>54</v>
      </c>
      <c r="D73" s="58" t="s">
        <v>112</v>
      </c>
      <c r="E73" s="20">
        <v>200.0</v>
      </c>
      <c r="F73" s="20">
        <v>2800.0</v>
      </c>
      <c r="G73" s="11">
        <v>44473.0</v>
      </c>
    </row>
    <row r="74">
      <c r="C74" s="58" t="s">
        <v>75</v>
      </c>
      <c r="D74" s="58" t="s">
        <v>113</v>
      </c>
      <c r="E74" s="20">
        <v>60.0</v>
      </c>
      <c r="F74" s="20">
        <v>200.0</v>
      </c>
      <c r="G74" s="11">
        <v>44473.0</v>
      </c>
    </row>
    <row r="75">
      <c r="C75" s="58" t="s">
        <v>114</v>
      </c>
      <c r="D75" s="58" t="s">
        <v>115</v>
      </c>
      <c r="E75" s="20">
        <v>600.0</v>
      </c>
      <c r="F75" s="20">
        <v>600.0</v>
      </c>
      <c r="G75" s="11">
        <v>44473.0</v>
      </c>
    </row>
    <row r="76">
      <c r="C76" s="58" t="s">
        <v>116</v>
      </c>
      <c r="D76" s="58" t="s">
        <v>117</v>
      </c>
      <c r="E76" s="20">
        <v>450.0</v>
      </c>
      <c r="F76" s="20">
        <v>900.0</v>
      </c>
      <c r="G76" s="11">
        <v>44473.0</v>
      </c>
    </row>
    <row r="77">
      <c r="C77" s="58" t="s">
        <v>118</v>
      </c>
      <c r="D77" s="58" t="s">
        <v>108</v>
      </c>
      <c r="E77" s="20" t="s">
        <v>108</v>
      </c>
      <c r="F77" s="20">
        <v>300.0</v>
      </c>
      <c r="G77" s="11">
        <v>44473.0</v>
      </c>
    </row>
    <row r="78">
      <c r="C78" s="58" t="s">
        <v>119</v>
      </c>
      <c r="D78" s="58" t="s">
        <v>120</v>
      </c>
      <c r="E78" s="20">
        <v>100.0</v>
      </c>
      <c r="F78" s="20">
        <v>500.0</v>
      </c>
      <c r="G78" s="11">
        <v>44474.0</v>
      </c>
    </row>
    <row r="79">
      <c r="C79" s="58" t="s">
        <v>121</v>
      </c>
      <c r="D79" s="58">
        <v>5.0</v>
      </c>
      <c r="E79" s="20">
        <v>30.0</v>
      </c>
      <c r="F79" s="20">
        <v>150.0</v>
      </c>
      <c r="G79" s="11">
        <v>44474.0</v>
      </c>
    </row>
    <row r="80">
      <c r="C80" s="58" t="s">
        <v>39</v>
      </c>
      <c r="D80" s="58" t="s">
        <v>108</v>
      </c>
      <c r="E80" s="20" t="s">
        <v>108</v>
      </c>
      <c r="F80" s="20">
        <v>500.0</v>
      </c>
      <c r="G80" s="11">
        <v>44474.0</v>
      </c>
    </row>
    <row r="81">
      <c r="C81" s="58" t="s">
        <v>122</v>
      </c>
      <c r="D81" s="58">
        <v>5.0</v>
      </c>
      <c r="E81" s="20">
        <v>80.0</v>
      </c>
      <c r="F81" s="20">
        <v>400.0</v>
      </c>
      <c r="G81" s="11">
        <v>44474.0</v>
      </c>
    </row>
    <row r="82">
      <c r="C82" s="58" t="s">
        <v>52</v>
      </c>
      <c r="D82" s="58" t="s">
        <v>100</v>
      </c>
      <c r="E82" s="20">
        <v>40.0</v>
      </c>
      <c r="F82" s="20">
        <v>400.0</v>
      </c>
      <c r="G82" s="11">
        <v>44474.0</v>
      </c>
    </row>
    <row r="83">
      <c r="C83" s="58" t="s">
        <v>123</v>
      </c>
      <c r="D83" s="58">
        <v>1.0</v>
      </c>
      <c r="E83" s="20">
        <v>925.0</v>
      </c>
      <c r="F83" s="20">
        <v>925.0</v>
      </c>
      <c r="G83" s="11">
        <v>44474.0</v>
      </c>
    </row>
    <row r="84">
      <c r="C84" s="58" t="s">
        <v>124</v>
      </c>
      <c r="D84" s="58">
        <v>3.0</v>
      </c>
      <c r="E84" s="20">
        <v>1450.0</v>
      </c>
      <c r="F84" s="20">
        <v>4350.0</v>
      </c>
      <c r="G84" s="11">
        <v>44474.0</v>
      </c>
    </row>
    <row r="85">
      <c r="C85" s="58" t="s">
        <v>125</v>
      </c>
      <c r="D85" s="58">
        <v>2.0</v>
      </c>
      <c r="E85" s="20">
        <v>780.0</v>
      </c>
      <c r="F85" s="20">
        <v>1560.0</v>
      </c>
      <c r="G85" s="11">
        <v>44474.0</v>
      </c>
    </row>
    <row r="86">
      <c r="C86" s="58" t="s">
        <v>39</v>
      </c>
      <c r="D86" s="58" t="s">
        <v>126</v>
      </c>
      <c r="E86" s="20">
        <v>1300.0</v>
      </c>
      <c r="F86" s="20">
        <v>3870.0</v>
      </c>
      <c r="G86" s="11">
        <v>44474.0</v>
      </c>
    </row>
    <row r="87">
      <c r="C87" s="58" t="s">
        <v>43</v>
      </c>
      <c r="D87" s="58">
        <v>7.0</v>
      </c>
      <c r="E87" s="20">
        <v>660.0</v>
      </c>
      <c r="F87" s="20">
        <v>4640.0</v>
      </c>
      <c r="G87" s="11">
        <v>44474.0</v>
      </c>
    </row>
    <row r="88">
      <c r="C88" s="58" t="s">
        <v>127</v>
      </c>
      <c r="D88" s="58">
        <v>1.0</v>
      </c>
      <c r="E88" s="20">
        <v>880.0</v>
      </c>
      <c r="F88" s="20">
        <v>880.0</v>
      </c>
      <c r="G88" s="11">
        <v>44474.0</v>
      </c>
    </row>
    <row r="89">
      <c r="C89" s="58" t="s">
        <v>89</v>
      </c>
      <c r="D89" s="58" t="s">
        <v>100</v>
      </c>
      <c r="E89" s="20">
        <v>1530.0</v>
      </c>
      <c r="F89" s="20">
        <v>15300.0</v>
      </c>
      <c r="G89" s="11">
        <v>44474.0</v>
      </c>
    </row>
    <row r="90">
      <c r="C90" s="58" t="s">
        <v>128</v>
      </c>
      <c r="D90" s="58" t="s">
        <v>72</v>
      </c>
      <c r="E90" s="20">
        <v>1680.0</v>
      </c>
      <c r="F90" s="20">
        <v>1680.0</v>
      </c>
      <c r="G90" s="11">
        <v>44474.0</v>
      </c>
    </row>
    <row r="91">
      <c r="C91" s="58" t="s">
        <v>129</v>
      </c>
      <c r="D91" s="58">
        <v>10.0</v>
      </c>
      <c r="E91" s="20">
        <v>160.0</v>
      </c>
      <c r="F91" s="20">
        <v>1600.0</v>
      </c>
      <c r="G91" s="11">
        <v>44474.0</v>
      </c>
    </row>
    <row r="92">
      <c r="C92" s="58" t="s">
        <v>69</v>
      </c>
      <c r="D92" s="58" t="s">
        <v>72</v>
      </c>
      <c r="E92" s="20">
        <v>500.0</v>
      </c>
      <c r="F92" s="20">
        <v>500.0</v>
      </c>
      <c r="G92" s="11">
        <v>44474.0</v>
      </c>
    </row>
    <row r="93">
      <c r="C93" s="58" t="s">
        <v>130</v>
      </c>
      <c r="D93" s="58" t="s">
        <v>72</v>
      </c>
      <c r="E93" s="20">
        <v>550.0</v>
      </c>
      <c r="F93" s="20">
        <v>550.0</v>
      </c>
      <c r="G93" s="11">
        <v>44474.0</v>
      </c>
    </row>
    <row r="94">
      <c r="C94" s="58" t="s">
        <v>131</v>
      </c>
      <c r="D94" s="58">
        <v>20.0</v>
      </c>
      <c r="E94" s="20">
        <v>35.0</v>
      </c>
      <c r="F94" s="20">
        <v>700.0</v>
      </c>
      <c r="G94" s="11">
        <v>44474.0</v>
      </c>
    </row>
    <row r="95">
      <c r="C95" s="58" t="s">
        <v>132</v>
      </c>
      <c r="D95" s="58">
        <v>20.0</v>
      </c>
      <c r="E95" s="20">
        <v>60.0</v>
      </c>
      <c r="F95" s="20">
        <v>1200.0</v>
      </c>
      <c r="G95" s="11">
        <v>44474.0</v>
      </c>
    </row>
    <row r="96">
      <c r="C96" s="58" t="s">
        <v>133</v>
      </c>
      <c r="D96" s="58">
        <v>1.0</v>
      </c>
      <c r="E96" s="20">
        <v>150.0</v>
      </c>
      <c r="F96" s="20">
        <v>150.0</v>
      </c>
      <c r="G96" s="11">
        <v>44474.0</v>
      </c>
    </row>
    <row r="97">
      <c r="C97" s="58" t="s">
        <v>134</v>
      </c>
      <c r="D97" s="58">
        <v>5.0</v>
      </c>
      <c r="E97" s="20">
        <v>180.0</v>
      </c>
      <c r="F97" s="20">
        <v>900.0</v>
      </c>
      <c r="G97" s="11">
        <v>44474.0</v>
      </c>
    </row>
    <row r="98">
      <c r="C98" s="58" t="s">
        <v>135</v>
      </c>
      <c r="D98" s="58">
        <v>2.0</v>
      </c>
      <c r="E98" s="20">
        <v>320.0</v>
      </c>
      <c r="F98" s="20">
        <v>640.0</v>
      </c>
      <c r="G98" s="11">
        <v>44474.0</v>
      </c>
    </row>
    <row r="99">
      <c r="C99" s="58" t="s">
        <v>136</v>
      </c>
      <c r="D99" s="58">
        <v>2.0</v>
      </c>
      <c r="E99" s="20">
        <v>300.0</v>
      </c>
      <c r="F99" s="20">
        <v>600.0</v>
      </c>
      <c r="G99" s="11">
        <v>44474.0</v>
      </c>
    </row>
    <row r="100">
      <c r="C100" s="58" t="s">
        <v>137</v>
      </c>
      <c r="D100" s="58">
        <v>2.0</v>
      </c>
      <c r="E100" s="20">
        <v>350.0</v>
      </c>
      <c r="F100" s="20">
        <v>700.0</v>
      </c>
      <c r="G100" s="11">
        <v>44474.0</v>
      </c>
    </row>
    <row r="101">
      <c r="C101" s="58" t="s">
        <v>138</v>
      </c>
      <c r="D101" s="58">
        <v>2.0</v>
      </c>
      <c r="E101" s="20">
        <v>220.0</v>
      </c>
      <c r="F101" s="20">
        <v>440.0</v>
      </c>
      <c r="G101" s="11">
        <v>44474.0</v>
      </c>
    </row>
    <row r="102">
      <c r="C102" s="58" t="s">
        <v>104</v>
      </c>
      <c r="D102" s="58">
        <v>1.0</v>
      </c>
      <c r="E102" s="20">
        <v>500.0</v>
      </c>
      <c r="F102" s="20">
        <v>500.0</v>
      </c>
      <c r="G102" s="11">
        <v>44474.0</v>
      </c>
    </row>
    <row r="103">
      <c r="C103" s="58" t="s">
        <v>139</v>
      </c>
      <c r="D103" s="58">
        <v>2.0</v>
      </c>
      <c r="E103" s="20">
        <v>480.0</v>
      </c>
      <c r="F103" s="20">
        <v>960.0</v>
      </c>
      <c r="G103" s="11">
        <v>44475.0</v>
      </c>
    </row>
    <row r="104">
      <c r="C104" s="58" t="s">
        <v>140</v>
      </c>
      <c r="D104" s="58">
        <v>2.0</v>
      </c>
      <c r="E104" s="20">
        <v>1000.0</v>
      </c>
      <c r="F104" s="20">
        <v>2000.0</v>
      </c>
      <c r="G104" s="11">
        <v>44475.0</v>
      </c>
    </row>
    <row r="105">
      <c r="C105" s="63" t="s">
        <v>141</v>
      </c>
      <c r="D105" s="63">
        <v>8.0</v>
      </c>
      <c r="E105" s="64">
        <v>162.0</v>
      </c>
      <c r="F105" s="64">
        <v>1280.0</v>
      </c>
      <c r="G105" s="65">
        <v>44475.0</v>
      </c>
    </row>
    <row r="106">
      <c r="C106" s="63" t="s">
        <v>142</v>
      </c>
      <c r="D106" s="58">
        <v>13.0</v>
      </c>
      <c r="E106" s="20">
        <v>770.0</v>
      </c>
      <c r="F106" s="20">
        <v>10010.0</v>
      </c>
      <c r="G106" s="11">
        <v>44475.0</v>
      </c>
    </row>
    <row r="107">
      <c r="C107" s="63" t="s">
        <v>96</v>
      </c>
      <c r="D107" s="63" t="s">
        <v>143</v>
      </c>
      <c r="E107" s="64">
        <v>145.0</v>
      </c>
      <c r="F107" s="64">
        <v>435.0</v>
      </c>
      <c r="G107" s="65">
        <v>44475.0</v>
      </c>
    </row>
    <row r="108">
      <c r="C108" s="63" t="s">
        <v>144</v>
      </c>
      <c r="D108" s="63" t="s">
        <v>145</v>
      </c>
      <c r="E108" s="64">
        <v>890.0</v>
      </c>
      <c r="F108" s="64">
        <v>8010.0</v>
      </c>
      <c r="G108" s="65">
        <v>44475.0</v>
      </c>
    </row>
    <row r="109">
      <c r="C109" s="58" t="s">
        <v>146</v>
      </c>
      <c r="D109" s="58">
        <v>15.0</v>
      </c>
      <c r="E109" s="20">
        <v>1330.0</v>
      </c>
      <c r="F109" s="20">
        <v>19950.0</v>
      </c>
      <c r="G109" s="11">
        <v>44475.0</v>
      </c>
    </row>
    <row r="110">
      <c r="C110" s="58" t="s">
        <v>147</v>
      </c>
      <c r="D110" s="58" t="s">
        <v>148</v>
      </c>
      <c r="E110" s="20">
        <v>175.0</v>
      </c>
      <c r="F110" s="20">
        <v>2100.0</v>
      </c>
      <c r="G110" s="11">
        <v>44475.0</v>
      </c>
    </row>
    <row r="111">
      <c r="C111" s="63" t="s">
        <v>149</v>
      </c>
      <c r="D111" s="63" t="s">
        <v>148</v>
      </c>
      <c r="E111" s="64">
        <v>175.0</v>
      </c>
      <c r="F111" s="64">
        <v>2100.0</v>
      </c>
      <c r="G111" s="65">
        <v>44475.0</v>
      </c>
    </row>
    <row r="112">
      <c r="C112" s="58" t="s">
        <v>36</v>
      </c>
      <c r="D112" s="58">
        <v>1.0</v>
      </c>
      <c r="E112" s="20">
        <v>2500.0</v>
      </c>
      <c r="F112" s="20">
        <v>2500.0</v>
      </c>
      <c r="G112" s="11">
        <v>44475.0</v>
      </c>
    </row>
    <row r="113">
      <c r="C113" s="58" t="s">
        <v>98</v>
      </c>
      <c r="D113" s="58" t="s">
        <v>150</v>
      </c>
      <c r="E113" s="20">
        <v>850.0</v>
      </c>
      <c r="F113" s="20">
        <v>1000.0</v>
      </c>
      <c r="G113" s="11">
        <v>44475.0</v>
      </c>
    </row>
    <row r="114">
      <c r="C114" s="58" t="s">
        <v>75</v>
      </c>
      <c r="D114" s="58" t="s">
        <v>120</v>
      </c>
      <c r="E114" s="20">
        <v>60.0</v>
      </c>
      <c r="F114" s="20">
        <v>300.0</v>
      </c>
      <c r="G114" s="11">
        <v>44475.0</v>
      </c>
    </row>
    <row r="115">
      <c r="C115" s="58" t="s">
        <v>52</v>
      </c>
      <c r="D115" s="58" t="s">
        <v>151</v>
      </c>
      <c r="E115" s="20">
        <v>40.0</v>
      </c>
      <c r="F115" s="20">
        <v>1000.0</v>
      </c>
      <c r="G115" s="11">
        <v>44475.0</v>
      </c>
    </row>
    <row r="116">
      <c r="C116" s="58" t="s">
        <v>152</v>
      </c>
      <c r="D116" s="58" t="s">
        <v>40</v>
      </c>
      <c r="E116" s="20">
        <v>450.0</v>
      </c>
      <c r="F116" s="20">
        <v>900.0</v>
      </c>
      <c r="G116" s="11">
        <v>44475.0</v>
      </c>
    </row>
    <row r="117">
      <c r="C117" s="58" t="s">
        <v>153</v>
      </c>
      <c r="D117" s="58">
        <v>1.0</v>
      </c>
      <c r="E117" s="20">
        <v>150.0</v>
      </c>
      <c r="F117" s="20">
        <v>50.0</v>
      </c>
      <c r="G117" s="11">
        <v>44475.0</v>
      </c>
    </row>
    <row r="118">
      <c r="C118" s="58" t="s">
        <v>154</v>
      </c>
      <c r="D118" s="58">
        <v>5.0</v>
      </c>
      <c r="E118" s="20">
        <v>30.0</v>
      </c>
      <c r="F118" s="20">
        <v>150.0</v>
      </c>
      <c r="G118" s="11">
        <v>44475.0</v>
      </c>
    </row>
    <row r="119">
      <c r="C119" s="63" t="s">
        <v>155</v>
      </c>
      <c r="D119" s="63">
        <v>10.0</v>
      </c>
      <c r="E119" s="64">
        <v>140.0</v>
      </c>
      <c r="F119" s="64">
        <v>1400.0</v>
      </c>
      <c r="G119" s="65">
        <v>44475.0</v>
      </c>
    </row>
    <row r="120">
      <c r="C120" s="63" t="s">
        <v>156</v>
      </c>
      <c r="D120" s="63" t="s">
        <v>157</v>
      </c>
      <c r="E120" s="64">
        <v>76.0</v>
      </c>
      <c r="F120" s="64">
        <v>2280.0</v>
      </c>
      <c r="G120" s="65">
        <v>44475.0</v>
      </c>
    </row>
    <row r="121">
      <c r="C121" s="58" t="s">
        <v>158</v>
      </c>
      <c r="D121" s="58" t="s">
        <v>159</v>
      </c>
      <c r="E121" s="20">
        <v>77.5</v>
      </c>
      <c r="F121" s="20">
        <v>1162.5</v>
      </c>
      <c r="G121" s="11">
        <v>44475.0</v>
      </c>
    </row>
    <row r="122">
      <c r="C122" s="58" t="s">
        <v>160</v>
      </c>
      <c r="D122" s="58">
        <v>40.0</v>
      </c>
      <c r="E122" s="20">
        <v>580.0</v>
      </c>
      <c r="F122" s="20">
        <v>23200.0</v>
      </c>
      <c r="G122" s="11">
        <v>44475.0</v>
      </c>
    </row>
    <row r="123">
      <c r="C123" s="63" t="s">
        <v>161</v>
      </c>
      <c r="D123" s="58" t="s">
        <v>162</v>
      </c>
      <c r="E123" s="20">
        <v>643.0</v>
      </c>
      <c r="F123" s="20">
        <v>4501.0</v>
      </c>
      <c r="G123" s="11">
        <v>44475.0</v>
      </c>
    </row>
    <row r="124">
      <c r="C124" s="58" t="s">
        <v>119</v>
      </c>
      <c r="D124" s="58" t="s">
        <v>163</v>
      </c>
      <c r="E124" s="20">
        <v>100.0</v>
      </c>
      <c r="F124" s="20">
        <v>3500.0</v>
      </c>
      <c r="G124" s="11">
        <v>44477.0</v>
      </c>
    </row>
    <row r="125">
      <c r="C125" s="58" t="s">
        <v>98</v>
      </c>
      <c r="D125" s="58" t="s">
        <v>40</v>
      </c>
      <c r="E125" s="20">
        <v>850.0</v>
      </c>
      <c r="F125" s="20">
        <v>1700.0</v>
      </c>
      <c r="G125" s="11">
        <v>44476.0</v>
      </c>
    </row>
    <row r="126">
      <c r="C126" s="58" t="s">
        <v>98</v>
      </c>
      <c r="D126" s="58" t="s">
        <v>164</v>
      </c>
      <c r="E126" s="20">
        <v>900.0</v>
      </c>
      <c r="F126" s="20">
        <v>450.0</v>
      </c>
      <c r="G126" s="11">
        <v>44476.0</v>
      </c>
    </row>
    <row r="127">
      <c r="C127" s="58" t="s">
        <v>165</v>
      </c>
      <c r="D127" s="47"/>
      <c r="E127" s="20" t="s">
        <v>108</v>
      </c>
      <c r="F127" s="20">
        <v>2000.0</v>
      </c>
      <c r="G127" s="11">
        <v>44477.0</v>
      </c>
    </row>
    <row r="128">
      <c r="C128" s="58" t="s">
        <v>166</v>
      </c>
      <c r="D128" s="58">
        <v>5.0</v>
      </c>
      <c r="E128" s="20">
        <v>30.0</v>
      </c>
      <c r="F128" s="20">
        <v>150.0</v>
      </c>
      <c r="G128" s="11">
        <v>44477.0</v>
      </c>
    </row>
    <row r="129">
      <c r="C129" s="58" t="s">
        <v>167</v>
      </c>
      <c r="D129" s="58" t="s">
        <v>164</v>
      </c>
      <c r="E129" s="20">
        <v>1000.0</v>
      </c>
      <c r="F129" s="20">
        <v>500.0</v>
      </c>
      <c r="G129" s="11">
        <v>44477.0</v>
      </c>
    </row>
    <row r="130">
      <c r="C130" s="58" t="s">
        <v>168</v>
      </c>
      <c r="D130" s="58">
        <v>4.0</v>
      </c>
      <c r="E130" s="20">
        <v>1250.0</v>
      </c>
      <c r="F130" s="20">
        <v>5000.0</v>
      </c>
      <c r="G130" s="11">
        <v>44477.0</v>
      </c>
    </row>
    <row r="131">
      <c r="C131" s="58" t="s">
        <v>169</v>
      </c>
      <c r="D131" s="58">
        <v>440.0</v>
      </c>
      <c r="E131" s="20">
        <v>50.0</v>
      </c>
      <c r="F131" s="20">
        <v>22000.0</v>
      </c>
      <c r="G131" s="11">
        <v>44477.0</v>
      </c>
    </row>
    <row r="132">
      <c r="C132" s="58" t="s">
        <v>170</v>
      </c>
      <c r="D132" s="58" t="s">
        <v>108</v>
      </c>
      <c r="E132" s="23"/>
      <c r="F132" s="20">
        <v>25700.0</v>
      </c>
      <c r="G132" s="11">
        <v>44478.0</v>
      </c>
    </row>
    <row r="133">
      <c r="C133" s="58" t="s">
        <v>171</v>
      </c>
      <c r="D133" s="58">
        <v>2.0</v>
      </c>
      <c r="E133" s="20">
        <v>200.0</v>
      </c>
      <c r="F133" s="20">
        <v>400.0</v>
      </c>
      <c r="G133" s="71">
        <v>44480.0</v>
      </c>
    </row>
    <row r="134">
      <c r="C134" s="63" t="s">
        <v>167</v>
      </c>
      <c r="D134" s="58" t="s">
        <v>72</v>
      </c>
      <c r="E134" s="20">
        <v>850.0</v>
      </c>
      <c r="F134" s="20">
        <v>850.0</v>
      </c>
      <c r="G134" s="71">
        <v>44480.0</v>
      </c>
    </row>
    <row r="135">
      <c r="C135" s="58" t="s">
        <v>172</v>
      </c>
      <c r="D135" s="58" t="s">
        <v>72</v>
      </c>
      <c r="E135" s="20">
        <v>650.0</v>
      </c>
      <c r="F135" s="20">
        <v>650.0</v>
      </c>
      <c r="G135" s="71">
        <v>44480.0</v>
      </c>
    </row>
    <row r="136">
      <c r="C136" s="58" t="s">
        <v>98</v>
      </c>
      <c r="D136" s="58" t="s">
        <v>72</v>
      </c>
      <c r="E136" s="20">
        <v>750.0</v>
      </c>
      <c r="F136" s="20">
        <v>750.0</v>
      </c>
      <c r="G136" s="71">
        <v>44480.0</v>
      </c>
    </row>
    <row r="137">
      <c r="C137" s="58" t="s">
        <v>173</v>
      </c>
      <c r="D137" s="58">
        <v>5.0</v>
      </c>
      <c r="E137" s="20">
        <v>30.0</v>
      </c>
      <c r="F137" s="20">
        <v>150.0</v>
      </c>
      <c r="G137" s="71">
        <v>44480.0</v>
      </c>
    </row>
    <row r="138">
      <c r="C138" s="58" t="s">
        <v>75</v>
      </c>
      <c r="D138" s="58" t="s">
        <v>40</v>
      </c>
      <c r="E138" s="20">
        <v>50.0</v>
      </c>
      <c r="F138" s="20">
        <v>100.0</v>
      </c>
      <c r="G138" s="71">
        <v>44480.0</v>
      </c>
    </row>
    <row r="139">
      <c r="C139" s="58" t="s">
        <v>119</v>
      </c>
      <c r="D139" s="58" t="s">
        <v>111</v>
      </c>
      <c r="E139" s="20">
        <v>100.0</v>
      </c>
      <c r="F139" s="20">
        <v>2000.0</v>
      </c>
      <c r="G139" s="71">
        <v>44480.0</v>
      </c>
    </row>
    <row r="140">
      <c r="C140" s="58" t="s">
        <v>104</v>
      </c>
      <c r="D140" s="58">
        <v>1.0</v>
      </c>
      <c r="E140" s="20">
        <v>500.0</v>
      </c>
      <c r="F140" s="20">
        <v>500.0</v>
      </c>
      <c r="G140" s="71">
        <v>44480.0</v>
      </c>
    </row>
    <row r="141">
      <c r="C141" s="58" t="s">
        <v>119</v>
      </c>
      <c r="D141" s="58" t="s">
        <v>111</v>
      </c>
      <c r="E141" s="20">
        <v>100.0</v>
      </c>
      <c r="F141" s="20">
        <v>2000.0</v>
      </c>
      <c r="G141" s="71">
        <v>44482.0</v>
      </c>
    </row>
    <row r="142">
      <c r="C142" s="58" t="s">
        <v>52</v>
      </c>
      <c r="D142" s="58" t="s">
        <v>111</v>
      </c>
      <c r="E142" s="20">
        <v>40.0</v>
      </c>
      <c r="F142" s="20">
        <v>800.0</v>
      </c>
      <c r="G142" s="71">
        <v>44482.0</v>
      </c>
    </row>
    <row r="143">
      <c r="C143" s="58" t="s">
        <v>107</v>
      </c>
      <c r="D143" s="58" t="s">
        <v>174</v>
      </c>
      <c r="E143" s="20">
        <v>1500.0</v>
      </c>
      <c r="F143" s="20">
        <v>500.0</v>
      </c>
      <c r="G143" s="71">
        <v>44482.0</v>
      </c>
    </row>
    <row r="144">
      <c r="C144" s="58" t="s">
        <v>98</v>
      </c>
      <c r="D144" s="58" t="s">
        <v>72</v>
      </c>
      <c r="E144" s="20">
        <v>750.0</v>
      </c>
      <c r="F144" s="20">
        <v>750.0</v>
      </c>
      <c r="G144" s="71">
        <v>44482.0</v>
      </c>
    </row>
    <row r="145">
      <c r="C145" s="58" t="s">
        <v>98</v>
      </c>
      <c r="D145" s="58" t="s">
        <v>164</v>
      </c>
      <c r="E145" s="20">
        <v>1000.0</v>
      </c>
      <c r="F145" s="20">
        <v>500.0</v>
      </c>
      <c r="G145" s="71">
        <v>44482.0</v>
      </c>
    </row>
    <row r="146">
      <c r="C146" s="58" t="s">
        <v>175</v>
      </c>
      <c r="D146" s="58" t="s">
        <v>40</v>
      </c>
      <c r="E146" s="20">
        <v>100.0</v>
      </c>
      <c r="F146" s="20">
        <v>200.0</v>
      </c>
      <c r="G146" s="71">
        <v>44482.0</v>
      </c>
    </row>
    <row r="147">
      <c r="C147" s="58" t="s">
        <v>104</v>
      </c>
      <c r="D147" s="58">
        <v>1.0</v>
      </c>
      <c r="E147" s="20">
        <v>500.0</v>
      </c>
      <c r="F147" s="20">
        <v>500.0</v>
      </c>
      <c r="G147" s="71">
        <v>44482.0</v>
      </c>
    </row>
    <row r="148">
      <c r="C148" s="58" t="s">
        <v>125</v>
      </c>
      <c r="D148" s="58">
        <v>3.0</v>
      </c>
      <c r="E148" s="20">
        <v>790.0</v>
      </c>
      <c r="F148" s="20">
        <v>2370.0</v>
      </c>
      <c r="G148" s="71">
        <v>44483.0</v>
      </c>
    </row>
    <row r="149">
      <c r="C149" s="58" t="s">
        <v>39</v>
      </c>
      <c r="D149" s="58" t="s">
        <v>176</v>
      </c>
      <c r="E149" s="20">
        <v>1380.0</v>
      </c>
      <c r="F149" s="20">
        <v>4800.0</v>
      </c>
      <c r="G149" s="71">
        <v>44483.0</v>
      </c>
    </row>
    <row r="150">
      <c r="C150" s="58" t="s">
        <v>177</v>
      </c>
      <c r="D150" s="58">
        <v>1.0</v>
      </c>
      <c r="E150" s="20">
        <v>250.0</v>
      </c>
      <c r="F150" s="20">
        <v>250.0</v>
      </c>
      <c r="G150" s="71">
        <v>44483.0</v>
      </c>
    </row>
    <row r="151">
      <c r="C151" s="58" t="s">
        <v>178</v>
      </c>
      <c r="D151" s="58">
        <v>2.0</v>
      </c>
      <c r="E151" s="20">
        <v>105.0</v>
      </c>
      <c r="F151" s="20">
        <v>105.0</v>
      </c>
      <c r="G151" s="71">
        <v>44483.0</v>
      </c>
    </row>
    <row r="152">
      <c r="C152" s="58" t="s">
        <v>179</v>
      </c>
      <c r="D152" s="58">
        <v>1.0</v>
      </c>
      <c r="E152" s="20">
        <v>420.0</v>
      </c>
      <c r="F152" s="20">
        <v>420.0</v>
      </c>
      <c r="G152" s="71">
        <v>44483.0</v>
      </c>
    </row>
    <row r="153">
      <c r="C153" s="58" t="s">
        <v>180</v>
      </c>
      <c r="D153" s="58" t="s">
        <v>72</v>
      </c>
      <c r="E153" s="20">
        <v>700.0</v>
      </c>
      <c r="F153" s="20">
        <v>700.0</v>
      </c>
      <c r="G153" s="71">
        <v>44483.0</v>
      </c>
    </row>
    <row r="154">
      <c r="C154" s="58" t="s">
        <v>181</v>
      </c>
      <c r="D154" s="58">
        <v>2.0</v>
      </c>
      <c r="E154" s="20">
        <v>120.0</v>
      </c>
      <c r="F154" s="20">
        <v>240.0</v>
      </c>
      <c r="G154" s="71">
        <v>44483.0</v>
      </c>
    </row>
    <row r="155">
      <c r="C155" s="58" t="s">
        <v>129</v>
      </c>
      <c r="D155" s="58">
        <v>3.0</v>
      </c>
      <c r="E155" s="20">
        <v>180.0</v>
      </c>
      <c r="F155" s="20">
        <v>540.0</v>
      </c>
      <c r="G155" s="71">
        <v>44483.0</v>
      </c>
    </row>
    <row r="156">
      <c r="C156" s="58" t="s">
        <v>182</v>
      </c>
      <c r="D156" s="58">
        <v>2.0</v>
      </c>
      <c r="E156" s="20">
        <v>1150.0</v>
      </c>
      <c r="F156" s="20">
        <v>2300.0</v>
      </c>
      <c r="G156" s="71">
        <v>44483.0</v>
      </c>
    </row>
    <row r="157">
      <c r="C157" s="58" t="s">
        <v>46</v>
      </c>
      <c r="D157" s="58">
        <v>2.0</v>
      </c>
      <c r="E157" s="20">
        <v>1700.0</v>
      </c>
      <c r="F157" s="20">
        <v>3400.0</v>
      </c>
      <c r="G157" s="71">
        <v>44483.0</v>
      </c>
    </row>
    <row r="158">
      <c r="C158" s="58" t="s">
        <v>183</v>
      </c>
      <c r="D158" s="58" t="s">
        <v>184</v>
      </c>
      <c r="E158" s="20">
        <v>1250.0</v>
      </c>
      <c r="F158" s="20">
        <v>1250.0</v>
      </c>
      <c r="G158" s="71">
        <v>44483.0</v>
      </c>
    </row>
    <row r="159">
      <c r="C159" s="58" t="s">
        <v>182</v>
      </c>
      <c r="D159" s="58">
        <v>1.0</v>
      </c>
      <c r="E159" s="20">
        <v>1150.0</v>
      </c>
      <c r="F159" s="20">
        <v>2300.0</v>
      </c>
      <c r="G159" s="71">
        <v>44481.0</v>
      </c>
    </row>
    <row r="160">
      <c r="C160" s="58" t="s">
        <v>185</v>
      </c>
      <c r="D160" s="58">
        <v>1.0</v>
      </c>
      <c r="E160" s="23"/>
      <c r="F160" s="23"/>
      <c r="G160" s="71">
        <v>44481.0</v>
      </c>
    </row>
    <row r="161">
      <c r="C161" s="58" t="s">
        <v>186</v>
      </c>
      <c r="D161" s="58" t="s">
        <v>164</v>
      </c>
      <c r="E161" s="20">
        <v>100.0</v>
      </c>
      <c r="F161" s="20">
        <v>50.0</v>
      </c>
      <c r="G161" s="71">
        <v>44483.0</v>
      </c>
    </row>
    <row r="162">
      <c r="C162" s="58" t="s">
        <v>187</v>
      </c>
      <c r="D162" s="58" t="s">
        <v>188</v>
      </c>
      <c r="E162" s="20">
        <v>100.0</v>
      </c>
      <c r="F162" s="20">
        <v>100.0</v>
      </c>
      <c r="G162" s="71">
        <v>44483.0</v>
      </c>
    </row>
    <row r="163">
      <c r="C163" s="58" t="s">
        <v>189</v>
      </c>
      <c r="D163" s="58">
        <v>2.0</v>
      </c>
      <c r="E163" s="20">
        <v>430.0</v>
      </c>
      <c r="F163" s="20">
        <v>860.0</v>
      </c>
      <c r="G163" s="71">
        <v>44483.0</v>
      </c>
    </row>
    <row r="164">
      <c r="C164" s="58" t="s">
        <v>190</v>
      </c>
      <c r="D164" s="58">
        <v>5.0</v>
      </c>
      <c r="E164" s="20">
        <v>100.0</v>
      </c>
      <c r="F164" s="20">
        <v>500.0</v>
      </c>
      <c r="G164" s="71">
        <v>44483.0</v>
      </c>
    </row>
    <row r="165">
      <c r="C165" s="58" t="s">
        <v>191</v>
      </c>
      <c r="D165" s="58" t="s">
        <v>108</v>
      </c>
      <c r="E165" s="20">
        <v>750.0</v>
      </c>
      <c r="F165" s="20">
        <v>1000.0</v>
      </c>
      <c r="G165" s="71">
        <v>44485.0</v>
      </c>
    </row>
    <row r="166">
      <c r="C166" s="58" t="s">
        <v>192</v>
      </c>
      <c r="D166" s="58" t="s">
        <v>72</v>
      </c>
      <c r="E166" s="20">
        <v>1800.0</v>
      </c>
      <c r="F166" s="20">
        <v>1800.0</v>
      </c>
      <c r="G166" s="71">
        <v>44485.0</v>
      </c>
    </row>
    <row r="167">
      <c r="C167" s="58" t="s">
        <v>193</v>
      </c>
      <c r="D167" s="58" t="s">
        <v>108</v>
      </c>
      <c r="E167" s="20">
        <v>200.0</v>
      </c>
      <c r="F167" s="20">
        <v>200.0</v>
      </c>
      <c r="G167" s="71">
        <v>44485.0</v>
      </c>
    </row>
    <row r="168">
      <c r="C168" s="58" t="s">
        <v>194</v>
      </c>
      <c r="D168" s="58" t="s">
        <v>108</v>
      </c>
      <c r="E168" s="20">
        <v>500.0</v>
      </c>
      <c r="F168" s="20">
        <v>500.0</v>
      </c>
      <c r="G168" s="71">
        <v>44485.0</v>
      </c>
    </row>
    <row r="169">
      <c r="C169" s="58" t="s">
        <v>74</v>
      </c>
      <c r="D169" s="58">
        <v>4.0</v>
      </c>
      <c r="E169" s="20">
        <v>100.0</v>
      </c>
      <c r="F169" s="20">
        <v>400.0</v>
      </c>
      <c r="G169" s="71">
        <v>44485.0</v>
      </c>
    </row>
    <row r="170">
      <c r="C170" s="58" t="s">
        <v>195</v>
      </c>
      <c r="D170" s="58">
        <v>6.0</v>
      </c>
      <c r="E170" s="20">
        <v>480.0</v>
      </c>
      <c r="F170" s="20">
        <v>2880.0</v>
      </c>
      <c r="G170" s="71">
        <v>44485.0</v>
      </c>
    </row>
    <row r="171">
      <c r="C171" s="58" t="s">
        <v>62</v>
      </c>
      <c r="D171" s="58">
        <v>3.0</v>
      </c>
      <c r="E171" s="20">
        <v>450.0</v>
      </c>
      <c r="F171" s="20">
        <v>1350.0</v>
      </c>
      <c r="G171" s="71">
        <v>44485.0</v>
      </c>
    </row>
    <row r="172">
      <c r="C172" s="58" t="s">
        <v>196</v>
      </c>
      <c r="D172" s="58" t="s">
        <v>72</v>
      </c>
      <c r="E172" s="20">
        <v>350.0</v>
      </c>
      <c r="F172" s="20">
        <v>350.0</v>
      </c>
      <c r="G172" s="71">
        <v>44485.0</v>
      </c>
    </row>
    <row r="173">
      <c r="C173" s="58" t="s">
        <v>104</v>
      </c>
      <c r="D173" s="58">
        <v>1.0</v>
      </c>
      <c r="E173" s="20">
        <v>500.0</v>
      </c>
      <c r="F173" s="20">
        <v>500.0</v>
      </c>
      <c r="G173" s="71">
        <v>44485.0</v>
      </c>
    </row>
    <row r="174">
      <c r="C174" s="58" t="s">
        <v>197</v>
      </c>
      <c r="D174" s="58">
        <v>2.0</v>
      </c>
      <c r="E174" s="20">
        <v>2500.0</v>
      </c>
      <c r="F174" s="20">
        <v>2500.0</v>
      </c>
      <c r="G174" s="71">
        <v>44486.0</v>
      </c>
    </row>
    <row r="175">
      <c r="C175" s="58" t="s">
        <v>198</v>
      </c>
      <c r="D175" s="47"/>
      <c r="E175" s="23"/>
      <c r="F175" s="20">
        <v>17000.0</v>
      </c>
      <c r="G175" s="71">
        <v>44486.0</v>
      </c>
    </row>
    <row r="176">
      <c r="C176" s="58" t="s">
        <v>119</v>
      </c>
      <c r="D176" s="58" t="s">
        <v>199</v>
      </c>
      <c r="E176" s="20">
        <v>80.0</v>
      </c>
      <c r="F176" s="20">
        <v>24000.0</v>
      </c>
      <c r="G176" s="71">
        <v>44486.0</v>
      </c>
    </row>
    <row r="177">
      <c r="C177" s="58" t="s">
        <v>98</v>
      </c>
      <c r="D177" s="58" t="s">
        <v>72</v>
      </c>
      <c r="E177" s="20">
        <v>750.0</v>
      </c>
      <c r="F177" s="20">
        <v>750.0</v>
      </c>
      <c r="G177" s="71">
        <v>44486.0</v>
      </c>
    </row>
    <row r="178">
      <c r="C178" s="58" t="s">
        <v>200</v>
      </c>
      <c r="D178" s="58" t="s">
        <v>72</v>
      </c>
      <c r="E178" s="20">
        <v>900.0</v>
      </c>
      <c r="F178" s="20">
        <v>900.0</v>
      </c>
      <c r="G178" s="71">
        <v>44487.0</v>
      </c>
    </row>
    <row r="179">
      <c r="C179" s="58" t="s">
        <v>155</v>
      </c>
      <c r="D179" s="58">
        <v>10.0</v>
      </c>
      <c r="E179" s="20">
        <v>150.0</v>
      </c>
      <c r="F179" s="20">
        <v>1500.0</v>
      </c>
      <c r="G179" s="71">
        <v>44487.0</v>
      </c>
    </row>
    <row r="180">
      <c r="C180" s="58" t="s">
        <v>119</v>
      </c>
      <c r="D180" s="58" t="s">
        <v>201</v>
      </c>
      <c r="E180" s="20">
        <v>100.0</v>
      </c>
      <c r="F180" s="20">
        <v>7000.0</v>
      </c>
      <c r="G180" s="71">
        <v>44487.0</v>
      </c>
    </row>
    <row r="181">
      <c r="C181" s="63" t="s">
        <v>74</v>
      </c>
      <c r="D181" s="63">
        <v>9.0</v>
      </c>
      <c r="E181" s="64">
        <v>100.0</v>
      </c>
      <c r="F181" s="64">
        <v>900.0</v>
      </c>
      <c r="G181" s="72">
        <v>44487.0</v>
      </c>
    </row>
    <row r="182">
      <c r="C182" s="63" t="s">
        <v>202</v>
      </c>
      <c r="D182" s="63">
        <v>1.0</v>
      </c>
      <c r="E182" s="64">
        <v>500.0</v>
      </c>
      <c r="F182" s="64">
        <v>500.0</v>
      </c>
      <c r="G182" s="72">
        <v>44487.0</v>
      </c>
    </row>
    <row r="183">
      <c r="C183" s="58" t="s">
        <v>203</v>
      </c>
      <c r="D183" s="58" t="s">
        <v>150</v>
      </c>
      <c r="E183" s="20">
        <v>200.0</v>
      </c>
      <c r="F183" s="20">
        <v>300.0</v>
      </c>
      <c r="G183" s="71">
        <v>44487.0</v>
      </c>
    </row>
    <row r="184">
      <c r="C184" s="58" t="s">
        <v>204</v>
      </c>
      <c r="D184" s="58" t="s">
        <v>40</v>
      </c>
      <c r="E184" s="20">
        <v>100.0</v>
      </c>
      <c r="F184" s="20">
        <v>200.0</v>
      </c>
      <c r="G184" s="71">
        <v>44487.0</v>
      </c>
    </row>
    <row r="185">
      <c r="C185" s="58" t="s">
        <v>205</v>
      </c>
      <c r="D185" s="58" t="s">
        <v>72</v>
      </c>
      <c r="E185" s="20">
        <v>200.0</v>
      </c>
      <c r="F185" s="20">
        <v>200.0</v>
      </c>
      <c r="G185" s="71">
        <v>44487.0</v>
      </c>
    </row>
    <row r="186">
      <c r="C186" s="58" t="s">
        <v>206</v>
      </c>
      <c r="D186" s="58" t="s">
        <v>40</v>
      </c>
      <c r="E186" s="20">
        <v>150.0</v>
      </c>
      <c r="F186" s="20">
        <v>300.0</v>
      </c>
      <c r="G186" s="71">
        <v>44487.0</v>
      </c>
    </row>
    <row r="187">
      <c r="C187" s="58" t="s">
        <v>207</v>
      </c>
      <c r="D187" s="58">
        <v>3.0</v>
      </c>
      <c r="E187" s="20">
        <v>35.0</v>
      </c>
      <c r="F187" s="20">
        <v>105.0</v>
      </c>
      <c r="G187" s="71">
        <v>44487.0</v>
      </c>
    </row>
    <row r="188">
      <c r="C188" s="58" t="s">
        <v>208</v>
      </c>
      <c r="D188" s="58" t="s">
        <v>209</v>
      </c>
      <c r="E188" s="20">
        <v>450.0</v>
      </c>
      <c r="F188" s="20">
        <v>450.0</v>
      </c>
      <c r="G188" s="71">
        <v>44487.0</v>
      </c>
    </row>
    <row r="189">
      <c r="C189" s="58" t="s">
        <v>210</v>
      </c>
      <c r="D189" s="58">
        <v>3.0</v>
      </c>
      <c r="E189" s="20">
        <v>400.0</v>
      </c>
      <c r="F189" s="20">
        <v>1200.0</v>
      </c>
      <c r="G189" s="71">
        <v>44487.0</v>
      </c>
    </row>
    <row r="190">
      <c r="C190" s="58" t="s">
        <v>54</v>
      </c>
      <c r="D190" s="58" t="s">
        <v>100</v>
      </c>
      <c r="E190" s="20">
        <v>200.0</v>
      </c>
      <c r="F190" s="20">
        <v>2000.0</v>
      </c>
      <c r="G190" s="71">
        <v>44487.0</v>
      </c>
    </row>
    <row r="191">
      <c r="C191" s="58" t="s">
        <v>104</v>
      </c>
      <c r="D191" s="58">
        <v>1.0</v>
      </c>
      <c r="E191" s="20">
        <v>500.0</v>
      </c>
      <c r="F191" s="20">
        <v>500.0</v>
      </c>
      <c r="G191" s="71">
        <v>44487.0</v>
      </c>
    </row>
    <row r="192">
      <c r="C192" s="58" t="s">
        <v>211</v>
      </c>
      <c r="D192" s="58">
        <v>5.0</v>
      </c>
      <c r="E192" s="20">
        <v>1000.0</v>
      </c>
      <c r="F192" s="20">
        <v>5000.0</v>
      </c>
      <c r="G192" s="71">
        <v>44487.0</v>
      </c>
    </row>
    <row r="193">
      <c r="C193" s="58" t="s">
        <v>212</v>
      </c>
      <c r="D193" s="58" t="s">
        <v>108</v>
      </c>
      <c r="E193" s="20" t="s">
        <v>108</v>
      </c>
      <c r="F193" s="20">
        <v>200.0</v>
      </c>
      <c r="G193" s="71">
        <v>44487.0</v>
      </c>
    </row>
    <row r="194">
      <c r="C194" s="58" t="s">
        <v>107</v>
      </c>
      <c r="D194" s="58" t="s">
        <v>164</v>
      </c>
      <c r="E194" s="20">
        <v>1500.0</v>
      </c>
      <c r="F194" s="20">
        <v>750.0</v>
      </c>
      <c r="G194" s="71">
        <v>44487.0</v>
      </c>
    </row>
    <row r="195">
      <c r="C195" s="58" t="s">
        <v>210</v>
      </c>
      <c r="D195" s="58" t="s">
        <v>213</v>
      </c>
      <c r="E195" s="20" t="s">
        <v>108</v>
      </c>
      <c r="F195" s="20">
        <v>10080.0</v>
      </c>
      <c r="G195" s="71">
        <v>44490.0</v>
      </c>
    </row>
    <row r="196">
      <c r="C196" s="58" t="s">
        <v>98</v>
      </c>
      <c r="D196" s="58" t="s">
        <v>164</v>
      </c>
      <c r="E196" s="20">
        <v>800.0</v>
      </c>
      <c r="F196" s="20">
        <v>400.0</v>
      </c>
      <c r="G196" s="71">
        <v>44489.0</v>
      </c>
    </row>
    <row r="197">
      <c r="C197" s="58" t="s">
        <v>214</v>
      </c>
      <c r="D197" s="58" t="s">
        <v>111</v>
      </c>
      <c r="E197" s="20">
        <v>40.0</v>
      </c>
      <c r="F197" s="20">
        <v>800.0</v>
      </c>
      <c r="G197" s="71">
        <v>44489.0</v>
      </c>
    </row>
    <row r="198">
      <c r="C198" s="58" t="s">
        <v>215</v>
      </c>
      <c r="D198" s="58" t="s">
        <v>216</v>
      </c>
      <c r="E198" s="20">
        <v>80.0</v>
      </c>
      <c r="F198" s="20">
        <v>200.0</v>
      </c>
      <c r="G198" s="71">
        <v>44489.0</v>
      </c>
    </row>
    <row r="199">
      <c r="C199" s="58" t="s">
        <v>119</v>
      </c>
      <c r="D199" s="58" t="s">
        <v>120</v>
      </c>
      <c r="E199" s="20">
        <v>100.0</v>
      </c>
      <c r="F199" s="20">
        <v>500.0</v>
      </c>
      <c r="G199" s="71">
        <v>44489.0</v>
      </c>
    </row>
    <row r="200">
      <c r="C200" s="58" t="s">
        <v>217</v>
      </c>
      <c r="D200" s="58" t="s">
        <v>72</v>
      </c>
      <c r="E200" s="20">
        <v>400.0</v>
      </c>
      <c r="F200" s="20">
        <v>400.0</v>
      </c>
      <c r="G200" s="71">
        <v>44489.0</v>
      </c>
    </row>
    <row r="201">
      <c r="C201" s="73" t="s">
        <v>218</v>
      </c>
      <c r="D201" s="58">
        <v>5.0</v>
      </c>
      <c r="E201" s="20">
        <v>150.0</v>
      </c>
      <c r="F201" s="20">
        <v>750.0</v>
      </c>
      <c r="G201" s="71">
        <v>44489.0</v>
      </c>
    </row>
    <row r="202">
      <c r="C202" s="73" t="s">
        <v>219</v>
      </c>
      <c r="D202" s="58">
        <v>3.0</v>
      </c>
      <c r="E202" s="20" t="s">
        <v>108</v>
      </c>
      <c r="F202" s="20">
        <v>250.0</v>
      </c>
      <c r="G202" s="71">
        <v>44489.0</v>
      </c>
    </row>
    <row r="203">
      <c r="C203" s="73" t="s">
        <v>220</v>
      </c>
      <c r="D203" s="58">
        <v>6.0</v>
      </c>
      <c r="E203" s="20">
        <v>60.0</v>
      </c>
      <c r="F203" s="20">
        <v>360.0</v>
      </c>
      <c r="G203" s="71">
        <v>44489.0</v>
      </c>
    </row>
    <row r="204">
      <c r="C204" s="74" t="s">
        <v>221</v>
      </c>
      <c r="D204" s="63">
        <v>4.0</v>
      </c>
      <c r="E204" s="64">
        <v>250.0</v>
      </c>
      <c r="F204" s="64">
        <v>1000.0</v>
      </c>
      <c r="G204" s="72">
        <v>44489.0</v>
      </c>
    </row>
    <row r="205">
      <c r="C205" s="73" t="s">
        <v>222</v>
      </c>
      <c r="D205" s="58">
        <v>2.0</v>
      </c>
      <c r="E205" s="20">
        <v>2500.0</v>
      </c>
      <c r="F205" s="20">
        <v>2500.0</v>
      </c>
      <c r="G205" s="71">
        <v>44492.0</v>
      </c>
    </row>
    <row r="206">
      <c r="C206" s="73" t="s">
        <v>223</v>
      </c>
      <c r="D206" s="58">
        <v>1.0</v>
      </c>
      <c r="E206" s="20">
        <v>790.0</v>
      </c>
      <c r="F206" s="20">
        <v>790.0</v>
      </c>
      <c r="G206" s="71">
        <v>44492.0</v>
      </c>
    </row>
    <row r="207">
      <c r="C207" s="73" t="s">
        <v>224</v>
      </c>
      <c r="D207" s="58">
        <v>1.0</v>
      </c>
      <c r="E207" s="20">
        <v>910.0</v>
      </c>
      <c r="F207" s="20">
        <v>910.0</v>
      </c>
      <c r="G207" s="71">
        <v>44492.0</v>
      </c>
    </row>
    <row r="208">
      <c r="C208" s="58" t="s">
        <v>225</v>
      </c>
      <c r="D208" s="58" t="s">
        <v>226</v>
      </c>
      <c r="E208" s="20">
        <v>750.0</v>
      </c>
      <c r="F208" s="20">
        <v>3750.0</v>
      </c>
      <c r="G208" s="71">
        <v>44492.0</v>
      </c>
    </row>
    <row r="209">
      <c r="C209" s="63" t="s">
        <v>227</v>
      </c>
      <c r="D209" s="63" t="s">
        <v>228</v>
      </c>
      <c r="E209" s="64">
        <v>630.0</v>
      </c>
      <c r="F209" s="64">
        <v>2520.0</v>
      </c>
      <c r="G209" s="72">
        <v>44492.0</v>
      </c>
    </row>
    <row r="210">
      <c r="C210" s="58" t="s">
        <v>208</v>
      </c>
      <c r="D210" s="58" t="s">
        <v>229</v>
      </c>
      <c r="E210" s="20">
        <v>420.0</v>
      </c>
      <c r="F210" s="20">
        <v>420.0</v>
      </c>
      <c r="G210" s="71">
        <v>44492.0</v>
      </c>
    </row>
    <row r="211">
      <c r="C211" s="58" t="s">
        <v>214</v>
      </c>
      <c r="D211" s="58" t="s">
        <v>230</v>
      </c>
      <c r="E211" s="20">
        <v>35.0</v>
      </c>
      <c r="F211" s="20">
        <v>2100.0</v>
      </c>
      <c r="G211" s="71">
        <v>44492.0</v>
      </c>
    </row>
    <row r="212">
      <c r="C212" s="58" t="s">
        <v>75</v>
      </c>
      <c r="D212" s="58" t="s">
        <v>231</v>
      </c>
      <c r="E212" s="20">
        <v>80.0</v>
      </c>
      <c r="F212" s="20">
        <v>600.0</v>
      </c>
      <c r="G212" s="71">
        <v>44492.0</v>
      </c>
    </row>
    <row r="213">
      <c r="C213" s="58" t="s">
        <v>232</v>
      </c>
      <c r="D213" s="58">
        <v>4.0</v>
      </c>
      <c r="E213" s="20">
        <v>650.0</v>
      </c>
      <c r="F213" s="20">
        <v>2600.0</v>
      </c>
      <c r="G213" s="71">
        <v>44492.0</v>
      </c>
    </row>
    <row r="214">
      <c r="C214" s="63" t="s">
        <v>232</v>
      </c>
      <c r="D214" s="63" t="s">
        <v>233</v>
      </c>
      <c r="E214" s="64">
        <v>580.0</v>
      </c>
      <c r="F214" s="64">
        <v>9280.0</v>
      </c>
      <c r="G214" s="72">
        <v>44492.0</v>
      </c>
    </row>
    <row r="215">
      <c r="C215" s="58" t="s">
        <v>234</v>
      </c>
      <c r="D215" s="58">
        <v>5.0</v>
      </c>
      <c r="E215" s="20">
        <v>1400.0</v>
      </c>
      <c r="F215" s="20">
        <v>7000.0</v>
      </c>
      <c r="G215" s="71">
        <v>44490.0</v>
      </c>
    </row>
    <row r="216">
      <c r="C216" s="63" t="s">
        <v>235</v>
      </c>
      <c r="D216" s="63">
        <v>5.0</v>
      </c>
      <c r="E216" s="64">
        <v>1400.0</v>
      </c>
      <c r="F216" s="64">
        <v>7000.0</v>
      </c>
      <c r="G216" s="72">
        <v>44492.0</v>
      </c>
    </row>
    <row r="217">
      <c r="C217" s="58" t="s">
        <v>236</v>
      </c>
      <c r="D217" s="58">
        <v>1.0</v>
      </c>
      <c r="E217" s="20">
        <v>1200.0</v>
      </c>
      <c r="F217" s="20">
        <v>1200.0</v>
      </c>
      <c r="G217" s="71">
        <v>44492.0</v>
      </c>
    </row>
    <row r="218">
      <c r="C218" s="58" t="s">
        <v>107</v>
      </c>
      <c r="D218" s="58" t="s">
        <v>237</v>
      </c>
      <c r="E218" s="20">
        <v>1500.0</v>
      </c>
      <c r="F218" s="20">
        <v>500.0</v>
      </c>
      <c r="G218" s="71">
        <v>44492.0</v>
      </c>
    </row>
    <row r="219">
      <c r="C219" s="58" t="s">
        <v>98</v>
      </c>
      <c r="D219" s="58" t="s">
        <v>150</v>
      </c>
      <c r="E219" s="20">
        <v>1000.0</v>
      </c>
      <c r="F219" s="20">
        <v>1500.0</v>
      </c>
      <c r="G219" s="71">
        <v>44492.0</v>
      </c>
    </row>
    <row r="220">
      <c r="C220" s="58" t="s">
        <v>238</v>
      </c>
      <c r="D220" s="58">
        <v>5.0</v>
      </c>
      <c r="E220" s="20">
        <v>20.0</v>
      </c>
      <c r="F220" s="20">
        <v>100.0</v>
      </c>
      <c r="G220" s="71">
        <v>44492.0</v>
      </c>
    </row>
    <row r="221">
      <c r="C221" s="58" t="s">
        <v>239</v>
      </c>
      <c r="D221" s="58" t="s">
        <v>164</v>
      </c>
      <c r="E221" s="20">
        <v>200.0</v>
      </c>
      <c r="F221" s="20">
        <v>100.0</v>
      </c>
      <c r="G221" s="71">
        <v>44492.0</v>
      </c>
    </row>
    <row r="222">
      <c r="C222" s="58" t="s">
        <v>240</v>
      </c>
      <c r="D222" s="58">
        <v>10.0</v>
      </c>
      <c r="E222" s="20">
        <v>180.0</v>
      </c>
      <c r="F222" s="20">
        <v>1800.0</v>
      </c>
      <c r="G222" s="71">
        <v>44492.0</v>
      </c>
    </row>
    <row r="223">
      <c r="C223" s="58" t="s">
        <v>118</v>
      </c>
      <c r="D223" s="58" t="s">
        <v>108</v>
      </c>
      <c r="E223" s="20" t="s">
        <v>108</v>
      </c>
      <c r="F223" s="20">
        <v>1800.0</v>
      </c>
      <c r="G223" s="71">
        <v>44492.0</v>
      </c>
    </row>
    <row r="224">
      <c r="C224" s="58" t="s">
        <v>241</v>
      </c>
      <c r="D224" s="58">
        <v>3.0</v>
      </c>
      <c r="E224" s="20">
        <v>600.0</v>
      </c>
      <c r="F224" s="20">
        <v>1800.0</v>
      </c>
      <c r="G224" s="71">
        <v>44492.0</v>
      </c>
    </row>
    <row r="225">
      <c r="C225" s="58" t="s">
        <v>242</v>
      </c>
      <c r="D225" s="58" t="s">
        <v>243</v>
      </c>
      <c r="E225" s="23"/>
      <c r="F225" s="20">
        <v>300.0</v>
      </c>
      <c r="G225" s="71">
        <v>44492.0</v>
      </c>
    </row>
    <row r="226">
      <c r="C226" s="58" t="s">
        <v>244</v>
      </c>
      <c r="D226" s="58" t="s">
        <v>245</v>
      </c>
      <c r="E226" s="20">
        <v>240.0</v>
      </c>
      <c r="F226" s="20">
        <v>240.0</v>
      </c>
      <c r="G226" s="71">
        <v>44492.0</v>
      </c>
    </row>
    <row r="227">
      <c r="C227" s="58" t="s">
        <v>208</v>
      </c>
      <c r="D227" s="58">
        <v>10.0</v>
      </c>
      <c r="E227" s="20">
        <v>15.0</v>
      </c>
      <c r="F227" s="20">
        <v>150.0</v>
      </c>
      <c r="G227" s="71">
        <v>44492.0</v>
      </c>
    </row>
    <row r="228">
      <c r="C228" s="58" t="s">
        <v>214</v>
      </c>
      <c r="D228" s="58" t="s">
        <v>246</v>
      </c>
      <c r="E228" s="20">
        <v>40.0</v>
      </c>
      <c r="F228" s="20">
        <v>1000.0</v>
      </c>
      <c r="G228" s="71">
        <v>44494.0</v>
      </c>
    </row>
    <row r="229">
      <c r="C229" s="58" t="s">
        <v>75</v>
      </c>
      <c r="D229" s="58" t="s">
        <v>120</v>
      </c>
      <c r="E229" s="20">
        <v>100.0</v>
      </c>
      <c r="F229" s="20">
        <v>500.0</v>
      </c>
      <c r="G229" s="71">
        <v>44494.0</v>
      </c>
    </row>
    <row r="230">
      <c r="C230" s="58" t="s">
        <v>107</v>
      </c>
      <c r="D230" s="58">
        <v>350.0</v>
      </c>
      <c r="E230" s="20">
        <v>1500.0</v>
      </c>
      <c r="F230" s="20">
        <v>500.0</v>
      </c>
      <c r="G230" s="71">
        <v>44494.0</v>
      </c>
    </row>
    <row r="231">
      <c r="C231" s="58" t="s">
        <v>247</v>
      </c>
      <c r="D231" s="58" t="s">
        <v>248</v>
      </c>
      <c r="E231" s="20">
        <v>20.0</v>
      </c>
      <c r="F231" s="20">
        <v>200.0</v>
      </c>
      <c r="G231" s="71">
        <v>44494.0</v>
      </c>
    </row>
    <row r="232">
      <c r="C232" s="58" t="s">
        <v>98</v>
      </c>
      <c r="D232" s="58" t="s">
        <v>164</v>
      </c>
      <c r="E232" s="20">
        <v>1000.0</v>
      </c>
      <c r="F232" s="20">
        <v>500.0</v>
      </c>
      <c r="G232" s="71">
        <v>44494.0</v>
      </c>
    </row>
    <row r="233">
      <c r="C233" s="58" t="s">
        <v>98</v>
      </c>
      <c r="D233" s="58" t="s">
        <v>72</v>
      </c>
      <c r="E233" s="20">
        <v>1000.0</v>
      </c>
      <c r="F233" s="20">
        <v>1000.0</v>
      </c>
      <c r="G233" s="71">
        <v>44495.0</v>
      </c>
    </row>
    <row r="234">
      <c r="C234" s="58" t="s">
        <v>249</v>
      </c>
      <c r="D234" s="58">
        <v>1.0</v>
      </c>
      <c r="E234" s="20">
        <v>150.0</v>
      </c>
      <c r="F234" s="20">
        <v>150.0</v>
      </c>
      <c r="G234" s="71">
        <v>44495.0</v>
      </c>
    </row>
    <row r="235">
      <c r="C235" s="58" t="s">
        <v>250</v>
      </c>
      <c r="D235" s="58">
        <v>1.0</v>
      </c>
      <c r="E235" s="20">
        <v>150.0</v>
      </c>
      <c r="F235" s="20">
        <v>150.0</v>
      </c>
      <c r="G235" s="71">
        <v>44495.0</v>
      </c>
    </row>
    <row r="236">
      <c r="C236" s="58" t="s">
        <v>107</v>
      </c>
      <c r="D236" s="58" t="s">
        <v>72</v>
      </c>
      <c r="E236" s="20">
        <v>1500.0</v>
      </c>
      <c r="F236" s="20">
        <v>1500.0</v>
      </c>
      <c r="G236" s="71">
        <v>44495.0</v>
      </c>
    </row>
    <row r="237">
      <c r="C237" s="58" t="s">
        <v>251</v>
      </c>
      <c r="D237" s="58" t="s">
        <v>40</v>
      </c>
      <c r="E237" s="20">
        <v>100.0</v>
      </c>
      <c r="F237" s="20">
        <v>200.0</v>
      </c>
      <c r="G237" s="71">
        <v>44495.0</v>
      </c>
    </row>
    <row r="238">
      <c r="C238" s="58" t="s">
        <v>252</v>
      </c>
      <c r="D238" s="58">
        <v>1.0</v>
      </c>
      <c r="E238" s="20">
        <v>1350.0</v>
      </c>
      <c r="F238" s="20">
        <v>1350.0</v>
      </c>
      <c r="G238" s="71">
        <v>44496.0</v>
      </c>
    </row>
    <row r="239">
      <c r="C239" s="58" t="s">
        <v>91</v>
      </c>
      <c r="D239" s="58">
        <v>1.0</v>
      </c>
      <c r="E239" s="20">
        <v>1500.0</v>
      </c>
      <c r="F239" s="20">
        <v>1500.0</v>
      </c>
      <c r="G239" s="71">
        <v>44496.0</v>
      </c>
    </row>
    <row r="240">
      <c r="C240" s="58" t="s">
        <v>182</v>
      </c>
      <c r="D240" s="58">
        <v>1.0</v>
      </c>
      <c r="E240" s="20">
        <v>1150.0</v>
      </c>
      <c r="F240" s="20">
        <v>1150.0</v>
      </c>
      <c r="G240" s="71">
        <v>44496.0</v>
      </c>
    </row>
    <row r="241">
      <c r="C241" s="58" t="s">
        <v>46</v>
      </c>
      <c r="D241" s="58">
        <v>1.0</v>
      </c>
      <c r="E241" s="20">
        <v>1700.0</v>
      </c>
      <c r="F241" s="20">
        <v>1700.0</v>
      </c>
      <c r="G241" s="71">
        <v>44496.0</v>
      </c>
    </row>
    <row r="242">
      <c r="C242" s="58" t="s">
        <v>47</v>
      </c>
      <c r="D242" s="58">
        <v>1.0</v>
      </c>
      <c r="E242" s="20">
        <v>1930.0</v>
      </c>
      <c r="F242" s="20">
        <v>1930.0</v>
      </c>
      <c r="G242" s="71">
        <v>44496.0</v>
      </c>
    </row>
    <row r="243">
      <c r="C243" s="63" t="s">
        <v>253</v>
      </c>
      <c r="D243" s="63">
        <v>1.0</v>
      </c>
      <c r="E243" s="64">
        <v>790.0</v>
      </c>
      <c r="F243" s="64">
        <v>790.0</v>
      </c>
      <c r="G243" s="72">
        <v>44496.0</v>
      </c>
    </row>
    <row r="244">
      <c r="C244" s="63" t="s">
        <v>254</v>
      </c>
      <c r="D244" s="63">
        <v>2.0</v>
      </c>
      <c r="E244" s="64">
        <v>680.0</v>
      </c>
      <c r="F244" s="64">
        <v>1360.0</v>
      </c>
      <c r="G244" s="72">
        <v>44496.0</v>
      </c>
    </row>
    <row r="245">
      <c r="C245" s="58" t="s">
        <v>255</v>
      </c>
      <c r="D245" s="58">
        <v>6.0</v>
      </c>
      <c r="E245" s="20">
        <v>250.0</v>
      </c>
      <c r="F245" s="20">
        <v>1500.0</v>
      </c>
      <c r="G245" s="71">
        <v>44496.0</v>
      </c>
    </row>
    <row r="246">
      <c r="C246" s="58" t="s">
        <v>256</v>
      </c>
      <c r="D246" s="58">
        <v>5.0</v>
      </c>
      <c r="E246" s="20">
        <v>185.0</v>
      </c>
      <c r="F246" s="20">
        <v>925.0</v>
      </c>
      <c r="G246" s="71">
        <v>44496.0</v>
      </c>
    </row>
    <row r="247">
      <c r="C247" s="63" t="s">
        <v>257</v>
      </c>
      <c r="D247" s="63">
        <v>5.0</v>
      </c>
      <c r="E247" s="64">
        <v>50.0</v>
      </c>
      <c r="F247" s="64">
        <v>250.0</v>
      </c>
      <c r="G247" s="72">
        <v>44496.0</v>
      </c>
    </row>
    <row r="248">
      <c r="C248" s="63" t="s">
        <v>258</v>
      </c>
      <c r="D248" s="63">
        <v>5.0</v>
      </c>
      <c r="E248" s="64">
        <v>45.0</v>
      </c>
      <c r="F248" s="64">
        <v>225.0</v>
      </c>
      <c r="G248" s="72">
        <v>44496.0</v>
      </c>
    </row>
    <row r="249">
      <c r="C249" s="63" t="s">
        <v>259</v>
      </c>
      <c r="D249" s="63" t="s">
        <v>260</v>
      </c>
      <c r="E249" s="64">
        <v>425.0</v>
      </c>
      <c r="F249" s="64">
        <v>850.0</v>
      </c>
      <c r="G249" s="72">
        <v>44496.0</v>
      </c>
    </row>
    <row r="250">
      <c r="C250" s="58" t="s">
        <v>261</v>
      </c>
      <c r="D250" s="58" t="s">
        <v>262</v>
      </c>
      <c r="E250" s="20">
        <v>432.0</v>
      </c>
      <c r="F250" s="20">
        <v>4320.0</v>
      </c>
      <c r="G250" s="71">
        <v>44496.0</v>
      </c>
    </row>
    <row r="251">
      <c r="C251" s="58" t="s">
        <v>263</v>
      </c>
      <c r="D251" s="58" t="s">
        <v>264</v>
      </c>
      <c r="E251" s="20">
        <v>175.0</v>
      </c>
      <c r="F251" s="20">
        <v>525.0</v>
      </c>
      <c r="G251" s="71">
        <v>44496.0</v>
      </c>
    </row>
    <row r="252">
      <c r="C252" s="58" t="s">
        <v>265</v>
      </c>
      <c r="D252" s="58" t="s">
        <v>266</v>
      </c>
      <c r="E252" s="20">
        <v>170.0</v>
      </c>
      <c r="F252" s="20">
        <v>170.0</v>
      </c>
      <c r="G252" s="71">
        <v>44496.0</v>
      </c>
    </row>
    <row r="253">
      <c r="C253" s="58" t="s">
        <v>98</v>
      </c>
      <c r="D253" s="58" t="s">
        <v>150</v>
      </c>
      <c r="E253" s="20">
        <v>1000.0</v>
      </c>
      <c r="F253" s="20">
        <v>1500.0</v>
      </c>
      <c r="G253" s="71">
        <v>44496.0</v>
      </c>
    </row>
    <row r="254">
      <c r="C254" s="58" t="s">
        <v>267</v>
      </c>
      <c r="D254" s="58">
        <v>2.0</v>
      </c>
      <c r="E254" s="20">
        <v>420.0</v>
      </c>
      <c r="F254" s="20">
        <v>840.0</v>
      </c>
      <c r="G254" s="71">
        <v>44496.0</v>
      </c>
    </row>
    <row r="255">
      <c r="C255" s="58" t="s">
        <v>268</v>
      </c>
      <c r="D255" s="58">
        <v>5.0</v>
      </c>
      <c r="E255" s="20">
        <v>20.0</v>
      </c>
      <c r="F255" s="20">
        <v>100.0</v>
      </c>
      <c r="G255" s="71">
        <v>44497.0</v>
      </c>
    </row>
    <row r="256">
      <c r="C256" s="58" t="s">
        <v>98</v>
      </c>
      <c r="D256" s="58" t="s">
        <v>150</v>
      </c>
      <c r="E256" s="20">
        <v>700.0</v>
      </c>
      <c r="F256" s="20">
        <v>1050.0</v>
      </c>
      <c r="G256" s="71">
        <v>44497.0</v>
      </c>
    </row>
    <row r="257">
      <c r="C257" s="58" t="s">
        <v>269</v>
      </c>
      <c r="D257" s="58" t="s">
        <v>270</v>
      </c>
      <c r="E257" s="20">
        <v>750.0</v>
      </c>
      <c r="F257" s="20">
        <v>1000.0</v>
      </c>
      <c r="G257" s="71">
        <v>44499.0</v>
      </c>
    </row>
    <row r="258">
      <c r="C258" s="58" t="s">
        <v>107</v>
      </c>
      <c r="D258" s="58" t="s">
        <v>271</v>
      </c>
      <c r="E258" s="20">
        <v>1500.0</v>
      </c>
      <c r="F258" s="20">
        <v>500.0</v>
      </c>
      <c r="G258" s="71">
        <v>44499.0</v>
      </c>
    </row>
    <row r="259">
      <c r="C259" s="58" t="s">
        <v>214</v>
      </c>
      <c r="D259" s="58" t="s">
        <v>151</v>
      </c>
      <c r="E259" s="20">
        <v>40.0</v>
      </c>
      <c r="F259" s="20">
        <v>1000.0</v>
      </c>
      <c r="G259" s="71">
        <v>44499.0</v>
      </c>
    </row>
    <row r="260">
      <c r="C260" s="58"/>
      <c r="D260" s="58"/>
      <c r="E260" s="20"/>
      <c r="F260" s="20"/>
      <c r="G260" s="71"/>
    </row>
    <row r="261">
      <c r="C261" s="47"/>
      <c r="D261" s="47"/>
      <c r="E261" s="23"/>
      <c r="F261" s="23"/>
      <c r="G261" s="58"/>
    </row>
    <row r="262">
      <c r="C262" s="47"/>
      <c r="D262" s="47"/>
      <c r="E262" s="23"/>
      <c r="F262" s="23"/>
      <c r="G262" s="58"/>
    </row>
    <row r="263">
      <c r="C263" s="47"/>
      <c r="D263" s="47"/>
      <c r="E263" s="23"/>
      <c r="F263" s="23"/>
      <c r="G263" s="58"/>
    </row>
    <row r="264">
      <c r="C264" s="47"/>
      <c r="D264" s="47"/>
      <c r="E264" s="23"/>
      <c r="F264" s="23"/>
      <c r="G264" s="58"/>
    </row>
    <row r="265">
      <c r="C265" s="47"/>
      <c r="D265" s="47"/>
      <c r="E265" s="23"/>
      <c r="F265" s="23"/>
      <c r="G265" s="47"/>
    </row>
    <row r="266">
      <c r="C266" s="75" t="s">
        <v>272</v>
      </c>
      <c r="D266" s="1"/>
      <c r="E266" s="76"/>
      <c r="F266" s="77">
        <f>SUM(F4:F265)</f>
        <v>510753.5</v>
      </c>
      <c r="G266" s="1"/>
    </row>
    <row r="267">
      <c r="C267" s="75" t="s">
        <v>273</v>
      </c>
      <c r="D267" s="1"/>
      <c r="E267" s="78"/>
      <c r="F267" s="46">
        <v>20000.0</v>
      </c>
      <c r="G267" s="1"/>
    </row>
    <row r="268">
      <c r="C268" s="75" t="s">
        <v>274</v>
      </c>
      <c r="D268" s="1"/>
      <c r="E268" s="79"/>
      <c r="F268" s="80">
        <f>F267-F266</f>
        <v>-490753.5</v>
      </c>
      <c r="G268" s="1"/>
    </row>
    <row r="273">
      <c r="C273" s="6" t="s">
        <v>275</v>
      </c>
      <c r="D273" s="81" t="s">
        <v>276</v>
      </c>
      <c r="E273" s="81" t="s">
        <v>277</v>
      </c>
      <c r="F273" s="81" t="s">
        <v>278</v>
      </c>
      <c r="G273" s="81" t="s">
        <v>0</v>
      </c>
    </row>
    <row r="274">
      <c r="C274" s="82" t="s">
        <v>279</v>
      </c>
      <c r="D274" s="82">
        <v>1.0</v>
      </c>
      <c r="E274" s="40">
        <v>400.0</v>
      </c>
      <c r="F274" s="40">
        <v>400.0</v>
      </c>
      <c r="G274" s="83">
        <v>44495.0</v>
      </c>
    </row>
    <row r="275">
      <c r="C275" s="82" t="s">
        <v>280</v>
      </c>
      <c r="D275" s="82">
        <v>1.0</v>
      </c>
      <c r="E275" s="40">
        <v>650.0</v>
      </c>
      <c r="F275" s="40">
        <v>650.0</v>
      </c>
      <c r="G275" s="83">
        <v>44495.0</v>
      </c>
    </row>
    <row r="276">
      <c r="C276" s="60" t="s">
        <v>281</v>
      </c>
      <c r="D276" s="60">
        <v>1.0</v>
      </c>
      <c r="E276" s="39">
        <v>2500.0</v>
      </c>
      <c r="F276" s="39">
        <v>2500.0</v>
      </c>
      <c r="G276" s="84">
        <v>44480.0</v>
      </c>
    </row>
    <row r="277">
      <c r="C277" s="60" t="s">
        <v>282</v>
      </c>
      <c r="D277" s="60" t="s">
        <v>283</v>
      </c>
      <c r="E277" s="39">
        <v>120.0</v>
      </c>
      <c r="F277" s="39">
        <v>360.0</v>
      </c>
      <c r="G277" s="84">
        <v>44480.0</v>
      </c>
    </row>
    <row r="278">
      <c r="C278" s="60" t="s">
        <v>284</v>
      </c>
      <c r="D278" s="60">
        <v>3.0</v>
      </c>
      <c r="E278" s="39">
        <v>50.0</v>
      </c>
      <c r="F278" s="39">
        <v>150.0</v>
      </c>
      <c r="G278" s="84">
        <v>44480.0</v>
      </c>
    </row>
    <row r="279">
      <c r="C279" s="60" t="s">
        <v>285</v>
      </c>
      <c r="D279" s="60">
        <v>1.0</v>
      </c>
      <c r="E279" s="39">
        <v>150.0</v>
      </c>
      <c r="F279" s="39">
        <v>150.0</v>
      </c>
      <c r="G279" s="84">
        <v>44480.0</v>
      </c>
    </row>
    <row r="280">
      <c r="C280" s="60" t="s">
        <v>286</v>
      </c>
      <c r="D280" s="60">
        <v>1000.0</v>
      </c>
      <c r="E280" s="39">
        <v>7.0</v>
      </c>
      <c r="F280" s="39">
        <v>7000.0</v>
      </c>
      <c r="G280" s="61">
        <v>44477.0</v>
      </c>
    </row>
    <row r="281">
      <c r="C281" s="60" t="s">
        <v>287</v>
      </c>
      <c r="D281" s="60">
        <v>3.0</v>
      </c>
      <c r="E281" s="39">
        <v>900.0</v>
      </c>
      <c r="F281" s="39">
        <v>2700.0</v>
      </c>
      <c r="G281" s="61">
        <v>44474.0</v>
      </c>
    </row>
    <row r="282">
      <c r="C282" s="73" t="s">
        <v>288</v>
      </c>
      <c r="D282" s="73">
        <v>2.0</v>
      </c>
      <c r="E282" s="73">
        <v>600.0</v>
      </c>
      <c r="F282" s="73">
        <v>1200.0</v>
      </c>
      <c r="G282" s="85">
        <v>44496.0</v>
      </c>
    </row>
    <row r="283">
      <c r="C283" s="86"/>
      <c r="D283" s="86"/>
      <c r="E283" s="86"/>
      <c r="F283" s="87">
        <f>SUM(F274:F282)</f>
        <v>15110</v>
      </c>
      <c r="G283" s="8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4" width="17.75"/>
    <col customWidth="1" min="19" max="19" width="53.5"/>
  </cols>
  <sheetData>
    <row r="1">
      <c r="A1" s="1"/>
      <c r="B1" s="88" t="s">
        <v>0</v>
      </c>
      <c r="C1" s="89" t="s">
        <v>289</v>
      </c>
      <c r="D1" s="88" t="s">
        <v>290</v>
      </c>
      <c r="E1" s="88" t="s">
        <v>291</v>
      </c>
      <c r="F1" s="88" t="s">
        <v>292</v>
      </c>
      <c r="G1" s="88" t="s">
        <v>293</v>
      </c>
      <c r="H1" s="88" t="s">
        <v>294</v>
      </c>
      <c r="I1" s="90" t="s">
        <v>295</v>
      </c>
      <c r="J1" s="90" t="s">
        <v>296</v>
      </c>
      <c r="K1" s="90" t="s">
        <v>297</v>
      </c>
      <c r="L1" s="90" t="s">
        <v>298</v>
      </c>
      <c r="M1" s="90" t="s">
        <v>299</v>
      </c>
      <c r="N1" s="90" t="s">
        <v>300</v>
      </c>
      <c r="O1" s="88" t="s">
        <v>301</v>
      </c>
      <c r="P1" s="90" t="s">
        <v>302</v>
      </c>
      <c r="Q1" s="90" t="s">
        <v>303</v>
      </c>
      <c r="R1" s="88" t="s">
        <v>304</v>
      </c>
      <c r="S1" s="88" t="s">
        <v>305</v>
      </c>
    </row>
    <row r="2">
      <c r="A2" s="91" t="s">
        <v>11</v>
      </c>
      <c r="B2" s="61">
        <v>44470.0</v>
      </c>
      <c r="C2" s="92">
        <v>0.0</v>
      </c>
      <c r="D2" s="92">
        <v>0.0</v>
      </c>
      <c r="E2" s="93">
        <v>0.0</v>
      </c>
      <c r="F2" s="92">
        <v>0.0</v>
      </c>
      <c r="G2" s="93">
        <v>0.0</v>
      </c>
      <c r="H2" s="92">
        <v>0.0</v>
      </c>
      <c r="I2" s="92">
        <v>0.0</v>
      </c>
      <c r="J2" s="92">
        <v>0.0</v>
      </c>
      <c r="K2" s="92">
        <v>0.0</v>
      </c>
      <c r="L2" s="92">
        <v>0.0</v>
      </c>
      <c r="M2" s="92">
        <v>0.0</v>
      </c>
      <c r="N2" s="92">
        <v>0.0</v>
      </c>
      <c r="O2" s="92">
        <v>0.0</v>
      </c>
      <c r="P2" s="92">
        <v>0.0</v>
      </c>
      <c r="Q2" s="92">
        <v>0.0</v>
      </c>
      <c r="R2" s="92">
        <v>0.0</v>
      </c>
      <c r="S2" s="94"/>
    </row>
    <row r="3">
      <c r="A3" s="10" t="s">
        <v>12</v>
      </c>
      <c r="B3" s="11">
        <v>44471.0</v>
      </c>
      <c r="C3" s="95">
        <v>1.0</v>
      </c>
      <c r="D3" s="95">
        <v>0.0</v>
      </c>
      <c r="E3" s="95">
        <v>0.0</v>
      </c>
      <c r="F3" s="95">
        <v>1.0</v>
      </c>
      <c r="G3" s="95">
        <v>0.0</v>
      </c>
      <c r="H3" s="95">
        <v>1.0</v>
      </c>
      <c r="I3" s="95">
        <v>1.0</v>
      </c>
      <c r="J3" s="95">
        <v>0.0</v>
      </c>
      <c r="K3" s="95">
        <v>0.0</v>
      </c>
      <c r="L3" s="95">
        <v>0.0</v>
      </c>
      <c r="M3" s="95">
        <v>0.0</v>
      </c>
      <c r="N3" s="95">
        <v>0.0</v>
      </c>
      <c r="O3" s="95">
        <v>1.0</v>
      </c>
      <c r="P3" s="95">
        <v>0.0</v>
      </c>
      <c r="Q3" s="95">
        <v>1.0</v>
      </c>
      <c r="R3" s="95">
        <v>1.0</v>
      </c>
      <c r="S3" s="94"/>
    </row>
    <row r="4">
      <c r="A4" s="10" t="s">
        <v>13</v>
      </c>
      <c r="B4" s="11">
        <v>44472.0</v>
      </c>
      <c r="C4" s="95">
        <v>1.0</v>
      </c>
      <c r="D4" s="95">
        <v>1.0</v>
      </c>
      <c r="E4" s="95">
        <v>0.0</v>
      </c>
      <c r="F4" s="95">
        <v>0.5</v>
      </c>
      <c r="G4" s="95">
        <v>1.0</v>
      </c>
      <c r="H4" s="95">
        <v>0.0</v>
      </c>
      <c r="I4" s="95">
        <v>1.0</v>
      </c>
      <c r="J4" s="95">
        <v>0.0</v>
      </c>
      <c r="K4" s="95">
        <v>0.0</v>
      </c>
      <c r="L4" s="95">
        <v>0.0</v>
      </c>
      <c r="M4" s="95">
        <v>0.0</v>
      </c>
      <c r="N4" s="95">
        <v>1.0</v>
      </c>
      <c r="O4" s="95">
        <v>1.0</v>
      </c>
      <c r="P4" s="95">
        <v>0.0</v>
      </c>
      <c r="Q4" s="95">
        <v>0.0</v>
      </c>
      <c r="R4" s="95">
        <v>1.0</v>
      </c>
      <c r="S4" s="96" t="s">
        <v>306</v>
      </c>
    </row>
    <row r="5">
      <c r="A5" s="10" t="s">
        <v>14</v>
      </c>
      <c r="B5" s="11">
        <v>44473.0</v>
      </c>
      <c r="C5" s="95">
        <v>1.0</v>
      </c>
      <c r="D5" s="95">
        <v>0.5</v>
      </c>
      <c r="E5" s="95">
        <v>0.0</v>
      </c>
      <c r="F5" s="95">
        <v>1.0</v>
      </c>
      <c r="G5" s="95">
        <v>1.0</v>
      </c>
      <c r="H5" s="95">
        <v>1.0</v>
      </c>
      <c r="I5" s="95">
        <v>1.0</v>
      </c>
      <c r="J5" s="95">
        <v>0.0</v>
      </c>
      <c r="K5" s="95">
        <v>0.0</v>
      </c>
      <c r="L5" s="95">
        <v>0.0</v>
      </c>
      <c r="M5" s="95">
        <v>0.0</v>
      </c>
      <c r="N5" s="95">
        <v>1.0</v>
      </c>
      <c r="O5" s="95">
        <v>1.0</v>
      </c>
      <c r="P5" s="95">
        <v>0.0</v>
      </c>
      <c r="Q5" s="95">
        <v>0.0</v>
      </c>
      <c r="R5" s="95">
        <v>1.0</v>
      </c>
      <c r="S5" s="94"/>
    </row>
    <row r="6">
      <c r="A6" s="10" t="s">
        <v>15</v>
      </c>
      <c r="B6" s="11">
        <v>44474.0</v>
      </c>
      <c r="C6" s="95">
        <v>1.0</v>
      </c>
      <c r="D6" s="95">
        <v>1.0</v>
      </c>
      <c r="E6" s="95">
        <v>0.0</v>
      </c>
      <c r="F6" s="95">
        <v>1.0</v>
      </c>
      <c r="G6" s="95">
        <v>1.0</v>
      </c>
      <c r="H6" s="95">
        <v>0.0</v>
      </c>
      <c r="I6" s="95">
        <v>1.0</v>
      </c>
      <c r="J6" s="95">
        <v>0.0</v>
      </c>
      <c r="K6" s="95">
        <v>0.0</v>
      </c>
      <c r="L6" s="95">
        <v>0.0</v>
      </c>
      <c r="M6" s="95">
        <v>0.0</v>
      </c>
      <c r="N6" s="95">
        <v>1.0</v>
      </c>
      <c r="O6" s="95">
        <v>1.0</v>
      </c>
      <c r="P6" s="95">
        <v>0.0</v>
      </c>
      <c r="Q6" s="95">
        <v>0.0</v>
      </c>
      <c r="R6" s="95">
        <v>1.0</v>
      </c>
      <c r="S6" s="94"/>
    </row>
    <row r="7">
      <c r="A7" s="10" t="s">
        <v>16</v>
      </c>
      <c r="B7" s="11">
        <v>44475.0</v>
      </c>
      <c r="C7" s="95">
        <v>1.0</v>
      </c>
      <c r="D7" s="95">
        <v>1.0</v>
      </c>
      <c r="E7" s="95">
        <v>0.0</v>
      </c>
      <c r="F7" s="95">
        <v>1.0</v>
      </c>
      <c r="G7" s="95">
        <v>1.0</v>
      </c>
      <c r="H7" s="95">
        <v>1.0</v>
      </c>
      <c r="I7" s="95">
        <v>1.0</v>
      </c>
      <c r="J7" s="95">
        <v>0.0</v>
      </c>
      <c r="K7" s="95">
        <v>0.0</v>
      </c>
      <c r="L7" s="95">
        <v>0.0</v>
      </c>
      <c r="M7" s="95">
        <v>0.0</v>
      </c>
      <c r="N7" s="95">
        <v>1.0</v>
      </c>
      <c r="O7" s="95">
        <v>1.0</v>
      </c>
      <c r="P7" s="95">
        <v>0.0</v>
      </c>
      <c r="Q7" s="95">
        <v>0.0</v>
      </c>
      <c r="R7" s="95">
        <v>1.0</v>
      </c>
      <c r="S7" s="94"/>
    </row>
    <row r="8">
      <c r="A8" s="10" t="s">
        <v>17</v>
      </c>
      <c r="B8" s="11">
        <v>44476.0</v>
      </c>
      <c r="C8" s="95">
        <v>1.0</v>
      </c>
      <c r="D8" s="97">
        <v>1.0</v>
      </c>
      <c r="E8" s="95">
        <v>1.0</v>
      </c>
      <c r="F8" s="97">
        <v>1.0</v>
      </c>
      <c r="G8" s="95">
        <v>1.0</v>
      </c>
      <c r="H8" s="97">
        <v>1.0</v>
      </c>
      <c r="I8" s="97">
        <v>1.0</v>
      </c>
      <c r="J8" s="97">
        <v>0.0</v>
      </c>
      <c r="K8" s="97">
        <v>0.0</v>
      </c>
      <c r="L8" s="97">
        <v>0.0</v>
      </c>
      <c r="M8" s="97">
        <v>0.0</v>
      </c>
      <c r="N8" s="97">
        <v>1.0</v>
      </c>
      <c r="O8" s="97">
        <v>1.0</v>
      </c>
      <c r="P8" s="95">
        <v>0.0</v>
      </c>
      <c r="Q8" s="95">
        <v>0.0</v>
      </c>
      <c r="R8" s="97">
        <v>1.0</v>
      </c>
      <c r="S8" s="94"/>
    </row>
    <row r="9">
      <c r="A9" s="91" t="s">
        <v>11</v>
      </c>
      <c r="B9" s="61">
        <v>44477.0</v>
      </c>
      <c r="C9" s="92">
        <v>0.0</v>
      </c>
      <c r="D9" s="92">
        <v>0.0</v>
      </c>
      <c r="E9" s="92">
        <v>0.0</v>
      </c>
      <c r="F9" s="92">
        <v>0.0</v>
      </c>
      <c r="G9" s="92">
        <v>0.0</v>
      </c>
      <c r="H9" s="92">
        <v>0.0</v>
      </c>
      <c r="I9" s="92">
        <v>0.0</v>
      </c>
      <c r="J9" s="92">
        <v>0.0</v>
      </c>
      <c r="K9" s="92">
        <v>0.0</v>
      </c>
      <c r="L9" s="92">
        <v>0.0</v>
      </c>
      <c r="M9" s="92">
        <v>0.0</v>
      </c>
      <c r="N9" s="92">
        <v>0.0</v>
      </c>
      <c r="O9" s="92">
        <v>0.0</v>
      </c>
      <c r="P9" s="92">
        <v>0.0</v>
      </c>
      <c r="Q9" s="92">
        <v>0.0</v>
      </c>
      <c r="R9" s="92">
        <v>0.0</v>
      </c>
      <c r="S9" s="94"/>
    </row>
    <row r="10">
      <c r="A10" s="10" t="s">
        <v>12</v>
      </c>
      <c r="B10" s="11">
        <v>44478.0</v>
      </c>
      <c r="C10" s="95">
        <v>1.0</v>
      </c>
      <c r="D10" s="95">
        <v>0.5</v>
      </c>
      <c r="E10" s="95">
        <v>1.0</v>
      </c>
      <c r="F10" s="95">
        <v>0.0</v>
      </c>
      <c r="G10" s="95">
        <v>0.5</v>
      </c>
      <c r="H10" s="95">
        <v>1.0</v>
      </c>
      <c r="I10" s="95">
        <v>1.0</v>
      </c>
      <c r="J10" s="95">
        <v>0.0</v>
      </c>
      <c r="K10" s="95">
        <v>0.0</v>
      </c>
      <c r="L10" s="95">
        <v>0.0</v>
      </c>
      <c r="M10" s="95">
        <v>0.0</v>
      </c>
      <c r="N10" s="95">
        <v>0.0</v>
      </c>
      <c r="O10" s="95">
        <v>1.0</v>
      </c>
      <c r="P10" s="95">
        <v>0.0</v>
      </c>
      <c r="Q10" s="95">
        <v>0.0</v>
      </c>
      <c r="R10" s="95">
        <v>1.0</v>
      </c>
      <c r="S10" s="94"/>
    </row>
    <row r="11">
      <c r="A11" s="10" t="s">
        <v>13</v>
      </c>
      <c r="B11" s="11">
        <v>44479.0</v>
      </c>
      <c r="C11" s="95">
        <v>1.0</v>
      </c>
      <c r="D11" s="95">
        <v>1.0</v>
      </c>
      <c r="E11" s="95">
        <v>1.0</v>
      </c>
      <c r="F11" s="95">
        <v>0.0</v>
      </c>
      <c r="G11" s="95">
        <v>1.0</v>
      </c>
      <c r="H11" s="95">
        <v>0.0</v>
      </c>
      <c r="I11" s="95">
        <v>1.0</v>
      </c>
      <c r="J11" s="95">
        <v>0.0</v>
      </c>
      <c r="K11" s="95">
        <v>0.0</v>
      </c>
      <c r="L11" s="95">
        <v>0.0</v>
      </c>
      <c r="M11" s="95">
        <v>0.0</v>
      </c>
      <c r="N11" s="95">
        <v>1.0</v>
      </c>
      <c r="O11" s="95">
        <v>1.0</v>
      </c>
      <c r="P11" s="95">
        <v>0.0</v>
      </c>
      <c r="Q11" s="95">
        <v>0.0</v>
      </c>
      <c r="R11" s="95">
        <v>1.0</v>
      </c>
      <c r="S11" s="94"/>
    </row>
    <row r="12">
      <c r="A12" s="10" t="s">
        <v>14</v>
      </c>
      <c r="B12" s="11">
        <v>44480.0</v>
      </c>
      <c r="C12" s="95">
        <v>1.0</v>
      </c>
      <c r="D12" s="95">
        <v>1.0</v>
      </c>
      <c r="E12" s="95">
        <v>1.0</v>
      </c>
      <c r="F12" s="95">
        <v>0.0</v>
      </c>
      <c r="G12" s="95">
        <v>1.0</v>
      </c>
      <c r="H12" s="95">
        <v>1.0</v>
      </c>
      <c r="I12" s="95">
        <v>1.0</v>
      </c>
      <c r="J12" s="95">
        <v>0.0</v>
      </c>
      <c r="K12" s="95">
        <v>0.0</v>
      </c>
      <c r="L12" s="95">
        <v>0.0</v>
      </c>
      <c r="M12" s="95">
        <v>1.0</v>
      </c>
      <c r="N12" s="95">
        <v>1.0</v>
      </c>
      <c r="O12" s="95">
        <v>1.0</v>
      </c>
      <c r="P12" s="95">
        <v>0.0</v>
      </c>
      <c r="Q12" s="95">
        <v>0.0</v>
      </c>
      <c r="R12" s="95">
        <v>1.0</v>
      </c>
      <c r="S12" s="94"/>
      <c r="Y12" s="1"/>
      <c r="Z12" s="88" t="s">
        <v>0</v>
      </c>
      <c r="AA12" s="88" t="s">
        <v>293</v>
      </c>
    </row>
    <row r="13">
      <c r="A13" s="10" t="s">
        <v>15</v>
      </c>
      <c r="B13" s="11">
        <v>44481.0</v>
      </c>
      <c r="C13" s="95">
        <v>1.0</v>
      </c>
      <c r="D13" s="95">
        <v>0.0</v>
      </c>
      <c r="E13" s="95">
        <v>1.0</v>
      </c>
      <c r="F13" s="95">
        <v>0.0</v>
      </c>
      <c r="G13" s="95">
        <v>1.0</v>
      </c>
      <c r="H13" s="95">
        <v>0.0</v>
      </c>
      <c r="I13" s="95">
        <v>0.0</v>
      </c>
      <c r="J13" s="95">
        <v>0.0</v>
      </c>
      <c r="K13" s="95">
        <v>0.0</v>
      </c>
      <c r="L13" s="95">
        <v>0.0</v>
      </c>
      <c r="M13" s="95">
        <v>1.0</v>
      </c>
      <c r="N13" s="95">
        <v>1.0</v>
      </c>
      <c r="O13" s="95">
        <v>1.0</v>
      </c>
      <c r="P13" s="95">
        <v>0.0</v>
      </c>
      <c r="Q13" s="95">
        <v>0.0</v>
      </c>
      <c r="R13" s="95">
        <v>1.0</v>
      </c>
      <c r="S13" s="94"/>
      <c r="Y13" s="91" t="s">
        <v>11</v>
      </c>
      <c r="Z13" s="61">
        <v>44470.0</v>
      </c>
      <c r="AA13" s="93">
        <v>0.0</v>
      </c>
    </row>
    <row r="14">
      <c r="A14" s="10" t="s">
        <v>16</v>
      </c>
      <c r="B14" s="11">
        <v>44482.0</v>
      </c>
      <c r="C14" s="95">
        <v>1.0</v>
      </c>
      <c r="D14" s="95">
        <v>1.0</v>
      </c>
      <c r="E14" s="95">
        <v>0.0</v>
      </c>
      <c r="F14" s="95">
        <v>0.0</v>
      </c>
      <c r="G14" s="95">
        <v>0.0</v>
      </c>
      <c r="H14" s="95">
        <v>1.0</v>
      </c>
      <c r="I14" s="95">
        <v>0.0</v>
      </c>
      <c r="J14" s="95">
        <v>0.0</v>
      </c>
      <c r="K14" s="95">
        <v>0.0</v>
      </c>
      <c r="L14" s="95">
        <v>0.0</v>
      </c>
      <c r="M14" s="95">
        <v>1.0</v>
      </c>
      <c r="N14" s="95">
        <v>1.0</v>
      </c>
      <c r="O14" s="95">
        <v>1.0</v>
      </c>
      <c r="P14" s="95">
        <v>0.0</v>
      </c>
      <c r="Q14" s="95">
        <v>0.0</v>
      </c>
      <c r="R14" s="95">
        <v>1.0</v>
      </c>
      <c r="S14" s="94"/>
      <c r="Y14" s="10" t="s">
        <v>12</v>
      </c>
      <c r="Z14" s="11">
        <v>44471.0</v>
      </c>
      <c r="AA14" s="95">
        <v>0.0</v>
      </c>
    </row>
    <row r="15">
      <c r="A15" s="10" t="s">
        <v>17</v>
      </c>
      <c r="B15" s="11">
        <v>44483.0</v>
      </c>
      <c r="C15" s="95">
        <v>1.0</v>
      </c>
      <c r="D15" s="95">
        <v>1.0</v>
      </c>
      <c r="E15" s="95">
        <v>1.0</v>
      </c>
      <c r="F15" s="95">
        <v>1.0</v>
      </c>
      <c r="G15" s="95">
        <v>1.0</v>
      </c>
      <c r="H15" s="95">
        <v>0.5</v>
      </c>
      <c r="I15" s="95">
        <v>0.0</v>
      </c>
      <c r="J15" s="95">
        <v>0.0</v>
      </c>
      <c r="K15" s="95">
        <v>0.0</v>
      </c>
      <c r="L15" s="95">
        <v>0.0</v>
      </c>
      <c r="M15" s="95">
        <v>1.0</v>
      </c>
      <c r="N15" s="95">
        <v>0.0</v>
      </c>
      <c r="O15" s="95">
        <v>1.0</v>
      </c>
      <c r="P15" s="95">
        <v>0.0</v>
      </c>
      <c r="Q15" s="95">
        <v>0.0</v>
      </c>
      <c r="R15" s="95">
        <v>1.0</v>
      </c>
      <c r="S15" s="94"/>
      <c r="Y15" s="10" t="s">
        <v>13</v>
      </c>
      <c r="Z15" s="11">
        <v>44472.0</v>
      </c>
      <c r="AA15" s="95">
        <v>1.0</v>
      </c>
    </row>
    <row r="16">
      <c r="A16" s="91" t="s">
        <v>11</v>
      </c>
      <c r="B16" s="61">
        <v>44484.0</v>
      </c>
      <c r="C16" s="92">
        <v>1.0</v>
      </c>
      <c r="D16" s="92">
        <v>0.0</v>
      </c>
      <c r="E16" s="92">
        <v>0.0</v>
      </c>
      <c r="F16" s="92">
        <v>0.0</v>
      </c>
      <c r="G16" s="92">
        <v>1.0</v>
      </c>
      <c r="H16" s="92">
        <v>0.0</v>
      </c>
      <c r="I16" s="92">
        <v>0.0</v>
      </c>
      <c r="J16" s="92">
        <v>0.0</v>
      </c>
      <c r="K16" s="92">
        <v>0.0</v>
      </c>
      <c r="L16" s="92">
        <v>0.0</v>
      </c>
      <c r="M16" s="92">
        <v>0.0</v>
      </c>
      <c r="N16" s="92">
        <v>0.0</v>
      </c>
      <c r="O16" s="92">
        <v>2.0</v>
      </c>
      <c r="P16" s="92">
        <v>0.0</v>
      </c>
      <c r="Q16" s="92">
        <v>0.0</v>
      </c>
      <c r="R16" s="92">
        <v>1.0</v>
      </c>
      <c r="S16" s="94"/>
      <c r="Y16" s="10" t="s">
        <v>14</v>
      </c>
      <c r="Z16" s="11">
        <v>44473.0</v>
      </c>
      <c r="AA16" s="95">
        <v>1.0</v>
      </c>
    </row>
    <row r="17">
      <c r="A17" s="10" t="s">
        <v>12</v>
      </c>
      <c r="B17" s="11">
        <v>44485.0</v>
      </c>
      <c r="C17" s="97">
        <v>1.0</v>
      </c>
      <c r="D17" s="95">
        <v>0.5</v>
      </c>
      <c r="E17" s="95">
        <v>1.0</v>
      </c>
      <c r="F17" s="97">
        <v>0.0</v>
      </c>
      <c r="G17" s="95">
        <v>1.0</v>
      </c>
      <c r="H17" s="97">
        <v>1.0</v>
      </c>
      <c r="I17" s="97">
        <v>1.0</v>
      </c>
      <c r="J17" s="97">
        <v>0.0</v>
      </c>
      <c r="K17" s="97">
        <v>0.0</v>
      </c>
      <c r="L17" s="97">
        <v>0.0</v>
      </c>
      <c r="M17" s="97">
        <v>1.0</v>
      </c>
      <c r="N17" s="97">
        <v>1.0</v>
      </c>
      <c r="O17" s="97">
        <v>1.0</v>
      </c>
      <c r="P17" s="95">
        <v>1.0</v>
      </c>
      <c r="Q17" s="95">
        <v>0.0</v>
      </c>
      <c r="R17" s="97">
        <v>1.0</v>
      </c>
      <c r="S17" s="94"/>
      <c r="Y17" s="10" t="s">
        <v>15</v>
      </c>
      <c r="Z17" s="11">
        <v>44474.0</v>
      </c>
      <c r="AA17" s="95">
        <v>1.0</v>
      </c>
    </row>
    <row r="18">
      <c r="A18" s="10" t="s">
        <v>13</v>
      </c>
      <c r="B18" s="11">
        <v>44486.0</v>
      </c>
      <c r="C18" s="95">
        <v>1.0</v>
      </c>
      <c r="D18" s="95">
        <v>1.0</v>
      </c>
      <c r="E18" s="95">
        <v>1.0</v>
      </c>
      <c r="F18" s="95">
        <v>0.0</v>
      </c>
      <c r="G18" s="95">
        <v>1.0</v>
      </c>
      <c r="H18" s="95">
        <v>1.0</v>
      </c>
      <c r="I18" s="95">
        <v>0.0</v>
      </c>
      <c r="J18" s="95">
        <v>0.0</v>
      </c>
      <c r="K18" s="95">
        <v>0.0</v>
      </c>
      <c r="L18" s="95">
        <v>0.0</v>
      </c>
      <c r="M18" s="95">
        <v>1.0</v>
      </c>
      <c r="N18" s="95">
        <v>0.0</v>
      </c>
      <c r="O18" s="95">
        <v>1.0</v>
      </c>
      <c r="P18" s="95">
        <v>1.0</v>
      </c>
      <c r="Q18" s="95">
        <v>1.0</v>
      </c>
      <c r="R18" s="95">
        <v>1.0</v>
      </c>
      <c r="S18" s="94"/>
      <c r="Y18" s="10" t="s">
        <v>16</v>
      </c>
      <c r="Z18" s="11">
        <v>44475.0</v>
      </c>
      <c r="AA18" s="95">
        <v>1.0</v>
      </c>
    </row>
    <row r="19">
      <c r="A19" s="10" t="s">
        <v>14</v>
      </c>
      <c r="B19" s="11">
        <v>44487.0</v>
      </c>
      <c r="C19" s="97">
        <v>0.0</v>
      </c>
      <c r="D19" s="95">
        <v>0.5</v>
      </c>
      <c r="E19" s="95">
        <v>1.0</v>
      </c>
      <c r="F19" s="95">
        <v>1.0</v>
      </c>
      <c r="G19" s="95">
        <v>1.0</v>
      </c>
      <c r="H19" s="95">
        <v>1.0</v>
      </c>
      <c r="I19" s="95">
        <v>0.0</v>
      </c>
      <c r="J19" s="95">
        <v>0.0</v>
      </c>
      <c r="K19" s="95">
        <v>0.5</v>
      </c>
      <c r="L19" s="95">
        <v>0.5</v>
      </c>
      <c r="M19" s="95">
        <v>1.0</v>
      </c>
      <c r="N19" s="95">
        <v>0.0</v>
      </c>
      <c r="O19" s="95">
        <v>1.0</v>
      </c>
      <c r="P19" s="95">
        <v>1.0</v>
      </c>
      <c r="Q19" s="95">
        <v>1.0</v>
      </c>
      <c r="R19" s="97">
        <v>2.0</v>
      </c>
      <c r="S19" s="94"/>
      <c r="Y19" s="10" t="s">
        <v>17</v>
      </c>
      <c r="Z19" s="11">
        <v>44476.0</v>
      </c>
      <c r="AA19" s="95">
        <v>1.0</v>
      </c>
    </row>
    <row r="20">
      <c r="A20" s="10" t="s">
        <v>15</v>
      </c>
      <c r="B20" s="11">
        <v>44488.0</v>
      </c>
      <c r="C20" s="95">
        <v>1.0</v>
      </c>
      <c r="D20" s="95">
        <v>1.0</v>
      </c>
      <c r="E20" s="95">
        <v>1.0</v>
      </c>
      <c r="F20" s="95">
        <v>0.0</v>
      </c>
      <c r="G20" s="95">
        <v>1.0</v>
      </c>
      <c r="H20" s="95">
        <v>1.5</v>
      </c>
      <c r="I20" s="95">
        <v>0.0</v>
      </c>
      <c r="J20" s="95">
        <v>0.0</v>
      </c>
      <c r="K20" s="95">
        <v>0.5</v>
      </c>
      <c r="L20" s="95">
        <v>0.5</v>
      </c>
      <c r="M20" s="95">
        <v>1.0</v>
      </c>
      <c r="N20" s="95">
        <v>0.0</v>
      </c>
      <c r="O20" s="95">
        <v>0.5</v>
      </c>
      <c r="P20" s="95">
        <v>1.0</v>
      </c>
      <c r="Q20" s="95">
        <v>1.0</v>
      </c>
      <c r="R20" s="95">
        <v>1.0</v>
      </c>
      <c r="S20" s="96" t="s">
        <v>307</v>
      </c>
      <c r="Y20" s="91" t="s">
        <v>11</v>
      </c>
      <c r="Z20" s="61">
        <v>44477.0</v>
      </c>
      <c r="AA20" s="92">
        <v>0.0</v>
      </c>
    </row>
    <row r="21">
      <c r="A21" s="10" t="s">
        <v>16</v>
      </c>
      <c r="B21" s="11">
        <v>44489.0</v>
      </c>
      <c r="C21" s="95">
        <v>1.0</v>
      </c>
      <c r="D21" s="95">
        <v>1.0</v>
      </c>
      <c r="E21" s="95">
        <v>1.0</v>
      </c>
      <c r="F21" s="95">
        <v>1.0</v>
      </c>
      <c r="G21" s="95">
        <v>0.0</v>
      </c>
      <c r="H21" s="95">
        <v>0.5</v>
      </c>
      <c r="I21" s="95">
        <v>0.0</v>
      </c>
      <c r="J21" s="95">
        <v>0.0</v>
      </c>
      <c r="K21" s="95">
        <v>1.0</v>
      </c>
      <c r="L21" s="95">
        <v>1.0</v>
      </c>
      <c r="M21" s="95">
        <v>1.0</v>
      </c>
      <c r="N21" s="95">
        <v>0.0</v>
      </c>
      <c r="O21" s="95">
        <v>1.0</v>
      </c>
      <c r="P21" s="95">
        <v>0.0</v>
      </c>
      <c r="Q21" s="95">
        <v>1.0</v>
      </c>
      <c r="R21" s="95">
        <v>1.0</v>
      </c>
      <c r="S21" s="94"/>
      <c r="Y21" s="10" t="s">
        <v>12</v>
      </c>
      <c r="Z21" s="11">
        <v>44478.0</v>
      </c>
      <c r="AA21" s="95">
        <v>0.5</v>
      </c>
    </row>
    <row r="22">
      <c r="A22" s="10" t="s">
        <v>17</v>
      </c>
      <c r="B22" s="11">
        <v>44490.0</v>
      </c>
      <c r="C22" s="95">
        <v>1.0</v>
      </c>
      <c r="D22" s="95">
        <v>1.0</v>
      </c>
      <c r="E22" s="95">
        <v>1.0</v>
      </c>
      <c r="F22" s="95">
        <v>1.0</v>
      </c>
      <c r="G22" s="95">
        <v>1.0</v>
      </c>
      <c r="H22" s="95">
        <v>0.0</v>
      </c>
      <c r="I22" s="95">
        <v>0.0</v>
      </c>
      <c r="J22" s="95">
        <v>0.0</v>
      </c>
      <c r="K22" s="95">
        <v>1.0</v>
      </c>
      <c r="L22" s="95">
        <v>1.0</v>
      </c>
      <c r="M22" s="95">
        <v>0.0</v>
      </c>
      <c r="N22" s="95">
        <v>0.0</v>
      </c>
      <c r="O22" s="95">
        <v>1.0</v>
      </c>
      <c r="P22" s="95">
        <v>1.0</v>
      </c>
      <c r="Q22" s="95">
        <v>0.5</v>
      </c>
      <c r="R22" s="95">
        <v>1.0</v>
      </c>
      <c r="S22" s="96" t="s">
        <v>308</v>
      </c>
      <c r="Y22" s="10" t="s">
        <v>13</v>
      </c>
      <c r="Z22" s="11">
        <v>44479.0</v>
      </c>
      <c r="AA22" s="95">
        <v>1.0</v>
      </c>
    </row>
    <row r="23">
      <c r="A23" s="91" t="s">
        <v>11</v>
      </c>
      <c r="B23" s="61">
        <v>44491.0</v>
      </c>
      <c r="C23" s="92">
        <v>0.0</v>
      </c>
      <c r="D23" s="92">
        <v>0.0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v>0.0</v>
      </c>
      <c r="M23" s="92">
        <v>0.0</v>
      </c>
      <c r="N23" s="92">
        <v>0.0</v>
      </c>
      <c r="O23" s="92">
        <v>0.0</v>
      </c>
      <c r="P23" s="92">
        <v>0.0</v>
      </c>
      <c r="Q23" s="92">
        <v>0.0</v>
      </c>
      <c r="R23" s="92">
        <v>0.5</v>
      </c>
      <c r="S23" s="94"/>
      <c r="Y23" s="10" t="s">
        <v>14</v>
      </c>
      <c r="Z23" s="11">
        <v>44480.0</v>
      </c>
      <c r="AA23" s="95">
        <v>1.0</v>
      </c>
    </row>
    <row r="24">
      <c r="A24" s="10" t="s">
        <v>12</v>
      </c>
      <c r="B24" s="11">
        <v>44492.0</v>
      </c>
      <c r="C24" s="95">
        <v>1.0</v>
      </c>
      <c r="D24" s="95">
        <v>1.0</v>
      </c>
      <c r="E24" s="95">
        <v>1.0</v>
      </c>
      <c r="F24" s="95">
        <v>1.0</v>
      </c>
      <c r="G24" s="95">
        <v>0.0</v>
      </c>
      <c r="H24" s="95">
        <v>0.0</v>
      </c>
      <c r="I24" s="95">
        <v>1.0</v>
      </c>
      <c r="J24" s="95">
        <v>1.0</v>
      </c>
      <c r="K24" s="95">
        <v>1.0</v>
      </c>
      <c r="L24" s="95">
        <v>0.0</v>
      </c>
      <c r="M24" s="95">
        <v>1.0</v>
      </c>
      <c r="N24" s="95">
        <v>0.0</v>
      </c>
      <c r="O24" s="95">
        <v>1.0</v>
      </c>
      <c r="P24" s="95">
        <v>1.0</v>
      </c>
      <c r="Q24" s="95">
        <v>0.0</v>
      </c>
      <c r="R24" s="95">
        <v>0.0</v>
      </c>
      <c r="S24" s="94"/>
      <c r="Y24" s="10" t="s">
        <v>15</v>
      </c>
      <c r="Z24" s="11">
        <v>44481.0</v>
      </c>
      <c r="AA24" s="95">
        <v>1.0</v>
      </c>
    </row>
    <row r="25">
      <c r="A25" s="10" t="s">
        <v>13</v>
      </c>
      <c r="B25" s="11">
        <v>44493.0</v>
      </c>
      <c r="C25" s="95">
        <v>1.0</v>
      </c>
      <c r="D25" s="95">
        <v>0.0</v>
      </c>
      <c r="E25" s="95">
        <v>1.0</v>
      </c>
      <c r="F25" s="95">
        <v>1.0</v>
      </c>
      <c r="G25" s="95">
        <v>1.0</v>
      </c>
      <c r="H25" s="95">
        <v>0.0</v>
      </c>
      <c r="I25" s="95">
        <v>0.0</v>
      </c>
      <c r="J25" s="95">
        <v>1.0</v>
      </c>
      <c r="K25" s="95">
        <v>1.0</v>
      </c>
      <c r="L25" s="95">
        <v>0.0</v>
      </c>
      <c r="M25" s="95">
        <v>1.0</v>
      </c>
      <c r="N25" s="95">
        <v>0.0</v>
      </c>
      <c r="O25" s="95">
        <v>1.0</v>
      </c>
      <c r="P25" s="95">
        <v>1.0</v>
      </c>
      <c r="Q25" s="95">
        <v>0.0</v>
      </c>
      <c r="R25" s="95">
        <v>1.0</v>
      </c>
      <c r="S25" s="96" t="s">
        <v>309</v>
      </c>
      <c r="Y25" s="10" t="s">
        <v>16</v>
      </c>
      <c r="Z25" s="11">
        <v>44482.0</v>
      </c>
      <c r="AA25" s="95">
        <v>0.0</v>
      </c>
    </row>
    <row r="26">
      <c r="A26" s="10" t="s">
        <v>14</v>
      </c>
      <c r="B26" s="11">
        <v>44494.0</v>
      </c>
      <c r="C26" s="95">
        <v>1.0</v>
      </c>
      <c r="D26" s="95">
        <v>0.0</v>
      </c>
      <c r="E26" s="95">
        <v>1.0</v>
      </c>
      <c r="F26" s="95">
        <v>1.0</v>
      </c>
      <c r="G26" s="95">
        <v>1.0</v>
      </c>
      <c r="H26" s="95">
        <v>0.0</v>
      </c>
      <c r="I26" s="95">
        <v>0.0</v>
      </c>
      <c r="J26" s="95">
        <v>1.0</v>
      </c>
      <c r="K26" s="95">
        <v>1.0</v>
      </c>
      <c r="L26" s="95">
        <v>0.0</v>
      </c>
      <c r="M26" s="95">
        <v>0.5</v>
      </c>
      <c r="N26" s="95">
        <v>0.0</v>
      </c>
      <c r="O26" s="95">
        <v>1.0</v>
      </c>
      <c r="P26" s="95">
        <v>1.0</v>
      </c>
      <c r="Q26" s="95">
        <v>1.0</v>
      </c>
      <c r="R26" s="95">
        <v>1.0</v>
      </c>
      <c r="S26" s="94"/>
      <c r="Y26" s="10" t="s">
        <v>17</v>
      </c>
      <c r="Z26" s="11">
        <v>44483.0</v>
      </c>
      <c r="AA26" s="95">
        <v>1.0</v>
      </c>
    </row>
    <row r="27">
      <c r="A27" s="10" t="s">
        <v>310</v>
      </c>
      <c r="B27" s="11">
        <v>44495.0</v>
      </c>
      <c r="C27" s="95">
        <v>1.0</v>
      </c>
      <c r="D27" s="95">
        <v>0.0</v>
      </c>
      <c r="E27" s="95">
        <v>1.0</v>
      </c>
      <c r="F27" s="95">
        <v>1.0</v>
      </c>
      <c r="G27" s="95">
        <v>1.0</v>
      </c>
      <c r="H27" s="95">
        <v>0.0</v>
      </c>
      <c r="I27" s="95">
        <v>0.0</v>
      </c>
      <c r="J27" s="95">
        <v>1.0</v>
      </c>
      <c r="K27" s="95">
        <v>1.0</v>
      </c>
      <c r="L27" s="95">
        <v>0.0</v>
      </c>
      <c r="M27" s="95">
        <v>1.0</v>
      </c>
      <c r="N27" s="95">
        <v>0.0</v>
      </c>
      <c r="O27" s="95">
        <v>1.0</v>
      </c>
      <c r="P27" s="95">
        <v>1.0</v>
      </c>
      <c r="Q27" s="95">
        <v>0.0</v>
      </c>
      <c r="R27" s="95">
        <v>1.0</v>
      </c>
      <c r="S27" s="94"/>
      <c r="Y27" s="91" t="s">
        <v>11</v>
      </c>
      <c r="Z27" s="61">
        <v>44484.0</v>
      </c>
      <c r="AA27" s="92">
        <v>1.0</v>
      </c>
    </row>
    <row r="28">
      <c r="A28" s="10" t="s">
        <v>16</v>
      </c>
      <c r="B28" s="11">
        <v>44496.0</v>
      </c>
      <c r="C28" s="95">
        <v>1.0</v>
      </c>
      <c r="D28" s="95">
        <v>0.0</v>
      </c>
      <c r="E28" s="95">
        <v>1.0</v>
      </c>
      <c r="F28" s="95">
        <v>1.0</v>
      </c>
      <c r="G28" s="95">
        <v>0.5</v>
      </c>
      <c r="H28" s="95">
        <v>0.0</v>
      </c>
      <c r="I28" s="95">
        <v>0.0</v>
      </c>
      <c r="J28" s="95">
        <v>1.0</v>
      </c>
      <c r="K28" s="95">
        <v>1.0</v>
      </c>
      <c r="L28" s="95">
        <v>0.0</v>
      </c>
      <c r="M28" s="95">
        <v>1.0</v>
      </c>
      <c r="N28" s="95">
        <v>0.0</v>
      </c>
      <c r="O28" s="95">
        <v>1.0</v>
      </c>
      <c r="P28" s="95">
        <v>1.0</v>
      </c>
      <c r="Q28" s="95">
        <v>1.0</v>
      </c>
      <c r="R28" s="95">
        <v>1.0</v>
      </c>
      <c r="S28" s="96" t="s">
        <v>311</v>
      </c>
      <c r="Y28" s="10" t="s">
        <v>12</v>
      </c>
      <c r="Z28" s="11">
        <v>44485.0</v>
      </c>
      <c r="AA28" s="95">
        <v>1.0</v>
      </c>
    </row>
    <row r="29">
      <c r="A29" s="10" t="s">
        <v>17</v>
      </c>
      <c r="B29" s="11">
        <v>44497.0</v>
      </c>
      <c r="C29" s="95">
        <v>1.0</v>
      </c>
      <c r="D29" s="95">
        <v>0.0</v>
      </c>
      <c r="E29" s="95">
        <v>1.0</v>
      </c>
      <c r="F29" s="95">
        <v>1.0</v>
      </c>
      <c r="G29" s="95">
        <v>1.0</v>
      </c>
      <c r="H29" s="95">
        <v>0.0</v>
      </c>
      <c r="I29" s="95">
        <v>0.0</v>
      </c>
      <c r="J29" s="95">
        <v>1.0</v>
      </c>
      <c r="K29" s="95">
        <v>1.0</v>
      </c>
      <c r="L29" s="95">
        <v>0.0</v>
      </c>
      <c r="M29" s="95">
        <v>0.5</v>
      </c>
      <c r="N29" s="95">
        <v>0.0</v>
      </c>
      <c r="O29" s="95">
        <v>1.0</v>
      </c>
      <c r="P29" s="95">
        <v>1.0</v>
      </c>
      <c r="Q29" s="95">
        <v>0.0</v>
      </c>
      <c r="R29" s="95">
        <v>1.0</v>
      </c>
      <c r="S29" s="96" t="s">
        <v>312</v>
      </c>
      <c r="Y29" s="10" t="s">
        <v>13</v>
      </c>
      <c r="Z29" s="11">
        <v>44486.0</v>
      </c>
      <c r="AA29" s="95">
        <v>1.0</v>
      </c>
    </row>
    <row r="30">
      <c r="A30" s="91" t="s">
        <v>313</v>
      </c>
      <c r="B30" s="61">
        <v>44498.0</v>
      </c>
      <c r="C30" s="92">
        <v>0.0</v>
      </c>
      <c r="D30" s="92">
        <v>0.0</v>
      </c>
      <c r="E30" s="92">
        <v>0.0</v>
      </c>
      <c r="F30" s="92">
        <v>0.0</v>
      </c>
      <c r="G30" s="92">
        <v>0.0</v>
      </c>
      <c r="H30" s="92">
        <v>0.0</v>
      </c>
      <c r="I30" s="92">
        <v>0.0</v>
      </c>
      <c r="J30" s="92">
        <v>0.0</v>
      </c>
      <c r="K30" s="92">
        <v>0.0</v>
      </c>
      <c r="L30" s="92">
        <v>0.0</v>
      </c>
      <c r="M30" s="92">
        <v>0.0</v>
      </c>
      <c r="N30" s="92">
        <v>0.0</v>
      </c>
      <c r="O30" s="92">
        <v>0.0</v>
      </c>
      <c r="P30" s="92">
        <v>0.0</v>
      </c>
      <c r="Q30" s="92">
        <v>0.0</v>
      </c>
      <c r="R30" s="92">
        <v>0.0</v>
      </c>
      <c r="S30" s="94"/>
      <c r="Y30" s="10" t="s">
        <v>14</v>
      </c>
      <c r="Z30" s="11">
        <v>44487.0</v>
      </c>
      <c r="AA30" s="95">
        <v>1.0</v>
      </c>
    </row>
    <row r="31">
      <c r="A31" s="10" t="s">
        <v>12</v>
      </c>
      <c r="B31" s="11">
        <v>44499.0</v>
      </c>
      <c r="C31" s="95">
        <v>1.0</v>
      </c>
      <c r="D31" s="95">
        <v>0.0</v>
      </c>
      <c r="E31" s="95">
        <v>1.0</v>
      </c>
      <c r="F31" s="95">
        <v>1.0</v>
      </c>
      <c r="G31" s="95">
        <v>0.0</v>
      </c>
      <c r="H31" s="95">
        <v>0.0</v>
      </c>
      <c r="I31" s="95">
        <v>0.0</v>
      </c>
      <c r="J31" s="95">
        <v>1.0</v>
      </c>
      <c r="K31" s="95">
        <v>1.0</v>
      </c>
      <c r="L31" s="95">
        <v>0.0</v>
      </c>
      <c r="M31" s="95">
        <v>1.0</v>
      </c>
      <c r="N31" s="95">
        <v>0.0</v>
      </c>
      <c r="O31" s="95">
        <v>1.0</v>
      </c>
      <c r="P31" s="95">
        <v>1.0</v>
      </c>
      <c r="Q31" s="95">
        <v>0.0</v>
      </c>
      <c r="R31" s="95">
        <v>1.0</v>
      </c>
      <c r="S31" s="96" t="s">
        <v>314</v>
      </c>
      <c r="Y31" s="10" t="s">
        <v>15</v>
      </c>
      <c r="Z31" s="11">
        <v>44488.0</v>
      </c>
      <c r="AA31" s="95">
        <v>1.0</v>
      </c>
    </row>
    <row r="32">
      <c r="A32" s="10" t="s">
        <v>315</v>
      </c>
      <c r="B32" s="11">
        <v>44500.0</v>
      </c>
      <c r="C32" s="95">
        <v>1.0</v>
      </c>
      <c r="D32" s="95">
        <v>0.0</v>
      </c>
      <c r="E32" s="95">
        <v>1.0</v>
      </c>
      <c r="F32" s="95">
        <v>0.5</v>
      </c>
      <c r="G32" s="98">
        <v>0.0</v>
      </c>
      <c r="H32" s="95">
        <v>0.0</v>
      </c>
      <c r="I32" s="95">
        <v>0.0</v>
      </c>
      <c r="J32" s="95">
        <v>0.0</v>
      </c>
      <c r="K32" s="95">
        <v>0.0</v>
      </c>
      <c r="L32" s="95">
        <v>0.0</v>
      </c>
      <c r="M32" s="99"/>
      <c r="N32" s="95">
        <v>0.0</v>
      </c>
      <c r="O32" s="95">
        <v>1.0</v>
      </c>
      <c r="P32" s="95">
        <v>1.0</v>
      </c>
      <c r="Q32" s="95">
        <v>0.0</v>
      </c>
      <c r="R32" s="95">
        <v>1.0</v>
      </c>
      <c r="S32" s="94"/>
      <c r="Y32" s="10" t="s">
        <v>16</v>
      </c>
      <c r="Z32" s="11">
        <v>44489.0</v>
      </c>
      <c r="AA32" s="95">
        <v>0.0</v>
      </c>
    </row>
    <row r="33">
      <c r="C33" s="100">
        <f t="shared" ref="C33:D33" si="1">SUM(C1:C32)</f>
        <v>26</v>
      </c>
      <c r="D33" s="100">
        <f t="shared" si="1"/>
        <v>15</v>
      </c>
      <c r="E33" s="100">
        <f>SUM(E2:E32)</f>
        <v>20</v>
      </c>
      <c r="F33" s="100">
        <f t="shared" ref="F33:I33" si="2">SUM(F1:F32)</f>
        <v>17</v>
      </c>
      <c r="G33" s="100">
        <f t="shared" si="2"/>
        <v>20</v>
      </c>
      <c r="H33" s="100">
        <f t="shared" si="2"/>
        <v>12.5</v>
      </c>
      <c r="I33" s="100">
        <f t="shared" si="2"/>
        <v>11</v>
      </c>
      <c r="J33" s="100">
        <f t="shared" ref="J33:M33" si="3">SUM(J2:J32)</f>
        <v>7</v>
      </c>
      <c r="K33" s="100">
        <f t="shared" si="3"/>
        <v>10</v>
      </c>
      <c r="L33" s="100">
        <f t="shared" si="3"/>
        <v>3</v>
      </c>
      <c r="M33" s="100">
        <f t="shared" si="3"/>
        <v>15</v>
      </c>
      <c r="N33" s="100">
        <f>SUM(N1:N32)</f>
        <v>10</v>
      </c>
      <c r="O33" s="100">
        <f t="shared" ref="O33:Q33" si="4">SUM(O2:O32)</f>
        <v>27.5</v>
      </c>
      <c r="P33" s="100">
        <f t="shared" si="4"/>
        <v>13</v>
      </c>
      <c r="Q33" s="100">
        <f t="shared" si="4"/>
        <v>7.5</v>
      </c>
      <c r="R33" s="100">
        <f>SUM(R1:R32)</f>
        <v>27.5</v>
      </c>
      <c r="S33" s="101"/>
      <c r="Y33" s="10" t="s">
        <v>17</v>
      </c>
      <c r="Z33" s="11">
        <v>44490.0</v>
      </c>
      <c r="AA33" s="95">
        <v>1.0</v>
      </c>
    </row>
    <row r="34">
      <c r="C34" s="102">
        <v>1923.0</v>
      </c>
      <c r="D34" s="103">
        <v>1000.0</v>
      </c>
      <c r="E34" s="102">
        <v>1000.0</v>
      </c>
      <c r="F34" s="103">
        <v>1000.0</v>
      </c>
      <c r="G34" s="102">
        <v>1000.0</v>
      </c>
      <c r="H34" s="103">
        <v>1200.0</v>
      </c>
      <c r="I34" s="103">
        <v>1000.0</v>
      </c>
      <c r="J34" s="102">
        <v>800.0</v>
      </c>
      <c r="K34" s="102">
        <v>800.0</v>
      </c>
      <c r="L34" s="102">
        <v>800.0</v>
      </c>
      <c r="M34" s="102">
        <v>1000.0</v>
      </c>
      <c r="N34" s="102">
        <v>500.0</v>
      </c>
      <c r="O34" s="103">
        <v>1200.0</v>
      </c>
      <c r="P34" s="102">
        <v>1200.0</v>
      </c>
      <c r="Q34" s="102">
        <v>930.0</v>
      </c>
      <c r="R34" s="103">
        <v>1200.0</v>
      </c>
      <c r="S34" s="49">
        <f t="shared" ref="S34:S35" si="6">SUM(C34:R34)</f>
        <v>16553</v>
      </c>
      <c r="Y34" s="91" t="s">
        <v>11</v>
      </c>
      <c r="Z34" s="61">
        <v>44491.0</v>
      </c>
      <c r="AA34" s="92">
        <v>0.0</v>
      </c>
    </row>
    <row r="35">
      <c r="C35" s="104">
        <f>C34*C33</f>
        <v>49998</v>
      </c>
      <c r="D35" s="104">
        <f>D33*D34</f>
        <v>15000</v>
      </c>
      <c r="E35" s="104">
        <f t="shared" ref="E35:Q35" si="5">E34*E33</f>
        <v>20000</v>
      </c>
      <c r="F35" s="104">
        <f t="shared" si="5"/>
        <v>17000</v>
      </c>
      <c r="G35" s="104">
        <f t="shared" si="5"/>
        <v>20000</v>
      </c>
      <c r="H35" s="104">
        <f t="shared" si="5"/>
        <v>15000</v>
      </c>
      <c r="I35" s="104">
        <f t="shared" si="5"/>
        <v>11000</v>
      </c>
      <c r="J35" s="104">
        <f t="shared" si="5"/>
        <v>5600</v>
      </c>
      <c r="K35" s="104">
        <f t="shared" si="5"/>
        <v>8000</v>
      </c>
      <c r="L35" s="104">
        <f t="shared" si="5"/>
        <v>2400</v>
      </c>
      <c r="M35" s="104">
        <f t="shared" si="5"/>
        <v>15000</v>
      </c>
      <c r="N35" s="104">
        <f t="shared" si="5"/>
        <v>5000</v>
      </c>
      <c r="O35" s="104">
        <f t="shared" si="5"/>
        <v>33000</v>
      </c>
      <c r="P35" s="104">
        <f t="shared" si="5"/>
        <v>15600</v>
      </c>
      <c r="Q35" s="104">
        <f t="shared" si="5"/>
        <v>6975</v>
      </c>
      <c r="R35" s="104">
        <f>R33*R34</f>
        <v>33000</v>
      </c>
      <c r="S35" s="43">
        <f t="shared" si="6"/>
        <v>272573</v>
      </c>
      <c r="Y35" s="10" t="s">
        <v>12</v>
      </c>
      <c r="Z35" s="11">
        <v>44492.0</v>
      </c>
      <c r="AA35" s="95">
        <v>0.0</v>
      </c>
    </row>
    <row r="36">
      <c r="Y36" s="10" t="s">
        <v>13</v>
      </c>
      <c r="Z36" s="11">
        <v>44493.0</v>
      </c>
      <c r="AA36" s="95">
        <v>1.0</v>
      </c>
    </row>
    <row r="37">
      <c r="Y37" s="10" t="s">
        <v>14</v>
      </c>
      <c r="Z37" s="11">
        <v>44494.0</v>
      </c>
      <c r="AA37" s="95">
        <v>1.0</v>
      </c>
    </row>
    <row r="38">
      <c r="Y38" s="10" t="s">
        <v>310</v>
      </c>
      <c r="Z38" s="11">
        <v>44495.0</v>
      </c>
      <c r="AA38" s="95">
        <v>1.0</v>
      </c>
    </row>
    <row r="39">
      <c r="Y39" s="10" t="s">
        <v>16</v>
      </c>
      <c r="Z39" s="11">
        <v>44496.0</v>
      </c>
      <c r="AA39" s="95">
        <v>0.5</v>
      </c>
    </row>
    <row r="40">
      <c r="Y40" s="10" t="s">
        <v>17</v>
      </c>
      <c r="Z40" s="11">
        <v>44497.0</v>
      </c>
      <c r="AA40" s="95">
        <v>1.0</v>
      </c>
    </row>
    <row r="41">
      <c r="Y41" s="91" t="s">
        <v>313</v>
      </c>
      <c r="Z41" s="61">
        <v>44498.0</v>
      </c>
      <c r="AA41" s="92">
        <v>0.0</v>
      </c>
    </row>
    <row r="42">
      <c r="Y42" s="10" t="s">
        <v>12</v>
      </c>
      <c r="Z42" s="11">
        <v>44499.0</v>
      </c>
      <c r="AA42" s="95">
        <v>0.0</v>
      </c>
    </row>
    <row r="43">
      <c r="Y43" s="10" t="s">
        <v>315</v>
      </c>
      <c r="Z43" s="11">
        <v>44500.0</v>
      </c>
      <c r="AA43" s="98">
        <v>0.0</v>
      </c>
    </row>
    <row r="44">
      <c r="AA44" s="100">
        <f>SUM(AA12:AA43)</f>
        <v>20</v>
      </c>
    </row>
    <row r="45">
      <c r="AA45" s="102">
        <v>1000.0</v>
      </c>
    </row>
    <row r="46">
      <c r="AA46" s="104">
        <f>AA45*AA44</f>
        <v>20000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0"/>
    <col customWidth="1" min="9" max="11" width="22.25"/>
  </cols>
  <sheetData>
    <row r="12">
      <c r="G12" s="1"/>
      <c r="H12" s="105" t="s">
        <v>316</v>
      </c>
      <c r="I12" s="106" t="s">
        <v>4</v>
      </c>
      <c r="J12" s="106" t="s">
        <v>317</v>
      </c>
      <c r="K12" s="107" t="s">
        <v>318</v>
      </c>
    </row>
    <row r="13">
      <c r="G13" s="50">
        <v>1.0</v>
      </c>
      <c r="H13" s="50" t="s">
        <v>289</v>
      </c>
      <c r="I13" s="108">
        <f>Pointage!C35*1</f>
        <v>49998</v>
      </c>
      <c r="J13" s="108">
        <v>0.0</v>
      </c>
      <c r="K13" s="108">
        <v>50000.0</v>
      </c>
    </row>
    <row r="14">
      <c r="G14" s="50">
        <v>2.0</v>
      </c>
      <c r="H14" s="50" t="s">
        <v>290</v>
      </c>
      <c r="I14" s="108">
        <f>Pointage!D35*1</f>
        <v>15000</v>
      </c>
      <c r="J14" s="108">
        <v>15000.0</v>
      </c>
      <c r="K14" s="108">
        <v>0.0</v>
      </c>
    </row>
    <row r="15">
      <c r="G15" s="50">
        <v>3.0</v>
      </c>
      <c r="H15" s="50" t="s">
        <v>291</v>
      </c>
      <c r="I15" s="108">
        <f>Pointage!E35*1</f>
        <v>20000</v>
      </c>
      <c r="J15" s="108">
        <v>2000.0</v>
      </c>
      <c r="K15" s="108">
        <v>18000.0</v>
      </c>
    </row>
    <row r="16">
      <c r="G16" s="50">
        <v>4.0</v>
      </c>
      <c r="H16" s="50" t="s">
        <v>294</v>
      </c>
      <c r="I16" s="108">
        <f>Pointage!H35*1</f>
        <v>15000</v>
      </c>
      <c r="J16" s="108">
        <v>15000.0</v>
      </c>
      <c r="K16" s="108">
        <v>0.0</v>
      </c>
      <c r="L16" s="109" t="s">
        <v>319</v>
      </c>
    </row>
    <row r="17">
      <c r="G17" s="110">
        <v>5.0</v>
      </c>
      <c r="H17" s="110" t="s">
        <v>296</v>
      </c>
      <c r="I17" s="108">
        <f>Pointage!J35*1</f>
        <v>5600</v>
      </c>
      <c r="J17" s="108">
        <v>0.0</v>
      </c>
      <c r="K17" s="108">
        <v>5600.0</v>
      </c>
    </row>
    <row r="18">
      <c r="G18" s="110">
        <v>6.0</v>
      </c>
      <c r="H18" s="110" t="s">
        <v>320</v>
      </c>
      <c r="I18" s="108">
        <f>Pointage!K35*1</f>
        <v>8000</v>
      </c>
      <c r="J18" s="108">
        <v>0.0</v>
      </c>
      <c r="K18" s="111">
        <v>8000.0</v>
      </c>
    </row>
    <row r="19">
      <c r="G19" s="110">
        <v>7.0</v>
      </c>
      <c r="H19" s="110" t="s">
        <v>298</v>
      </c>
      <c r="I19" s="108">
        <f>Pointage!L35*1</f>
        <v>2400</v>
      </c>
      <c r="J19" s="108">
        <v>0.0</v>
      </c>
      <c r="K19" s="108">
        <v>2400.0</v>
      </c>
    </row>
    <row r="20">
      <c r="G20" s="110">
        <v>8.0</v>
      </c>
      <c r="H20" s="50" t="s">
        <v>321</v>
      </c>
      <c r="I20" s="108">
        <f>Pointage!F35*1</f>
        <v>17000</v>
      </c>
      <c r="J20" s="108">
        <v>1000.0</v>
      </c>
      <c r="K20" s="108">
        <v>16000.0</v>
      </c>
    </row>
    <row r="21">
      <c r="G21" s="110">
        <v>9.0</v>
      </c>
      <c r="H21" s="50" t="s">
        <v>293</v>
      </c>
      <c r="I21" s="108">
        <f>Pointage!G35*1</f>
        <v>20000</v>
      </c>
      <c r="J21" s="108">
        <v>0.0</v>
      </c>
      <c r="K21" s="108">
        <v>20000.0</v>
      </c>
    </row>
    <row r="22">
      <c r="G22" s="110">
        <v>10.0</v>
      </c>
      <c r="H22" s="110" t="s">
        <v>295</v>
      </c>
      <c r="I22" s="108">
        <f>Pointage!I35*1</f>
        <v>11000</v>
      </c>
      <c r="J22" s="108">
        <v>0.0</v>
      </c>
      <c r="K22" s="108">
        <v>11000.0</v>
      </c>
    </row>
    <row r="23">
      <c r="G23" s="50">
        <v>11.0</v>
      </c>
      <c r="H23" s="50" t="s">
        <v>301</v>
      </c>
      <c r="I23" s="108">
        <f>Pointage!O35*1</f>
        <v>33000</v>
      </c>
      <c r="J23" s="108">
        <v>0.0</v>
      </c>
      <c r="K23" s="108">
        <v>33000.0</v>
      </c>
    </row>
    <row r="24">
      <c r="G24" s="50">
        <v>12.0</v>
      </c>
      <c r="H24" s="110" t="s">
        <v>322</v>
      </c>
      <c r="I24" s="108">
        <f>Pointage!N35*1</f>
        <v>5000</v>
      </c>
      <c r="J24" s="108">
        <v>0.0</v>
      </c>
      <c r="K24" s="112">
        <v>5000.0</v>
      </c>
    </row>
    <row r="25">
      <c r="G25" s="110">
        <v>13.0</v>
      </c>
      <c r="H25" s="110" t="s">
        <v>299</v>
      </c>
      <c r="I25" s="108">
        <f>Pointage!M35*1</f>
        <v>15000</v>
      </c>
      <c r="J25" s="108">
        <v>0.0</v>
      </c>
      <c r="K25" s="108">
        <v>15000.0</v>
      </c>
    </row>
    <row r="26">
      <c r="G26" s="110">
        <v>14.0</v>
      </c>
      <c r="H26" s="110" t="s">
        <v>303</v>
      </c>
      <c r="I26" s="108">
        <f>Pointage!Q35*1</f>
        <v>6975</v>
      </c>
      <c r="J26" s="108">
        <v>0.0</v>
      </c>
      <c r="K26" s="108">
        <v>7000.0</v>
      </c>
    </row>
    <row r="27">
      <c r="G27" s="110">
        <v>15.0</v>
      </c>
      <c r="H27" s="110" t="s">
        <v>323</v>
      </c>
      <c r="I27" s="108">
        <f>Pointage!P35*1</f>
        <v>15600</v>
      </c>
      <c r="J27" s="108">
        <v>7000.0</v>
      </c>
      <c r="K27" s="108">
        <v>9000.0</v>
      </c>
      <c r="L27" s="109" t="s">
        <v>324</v>
      </c>
    </row>
    <row r="28">
      <c r="G28" s="110">
        <v>16.0</v>
      </c>
      <c r="H28" s="50" t="s">
        <v>304</v>
      </c>
      <c r="I28" s="108">
        <f>Pointage!R35*1</f>
        <v>33000</v>
      </c>
      <c r="J28" s="108">
        <v>0.0</v>
      </c>
      <c r="K28" s="108">
        <v>33000.0</v>
      </c>
    </row>
    <row r="29">
      <c r="G29" s="1"/>
      <c r="H29" s="113" t="s">
        <v>325</v>
      </c>
      <c r="I29" s="114">
        <f t="shared" ref="I29:J29" si="1">SUM(I13:I28)</f>
        <v>272573</v>
      </c>
      <c r="J29" s="114">
        <f t="shared" si="1"/>
        <v>40000</v>
      </c>
      <c r="K29" s="115"/>
    </row>
    <row r="30">
      <c r="G30" s="1"/>
      <c r="H30" s="78">
        <f>I29-J29</f>
        <v>232573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25.5"/>
    <col customWidth="1" min="5" max="5" width="26.13"/>
    <col customWidth="1" min="7" max="7" width="31.5"/>
    <col customWidth="1" min="8" max="8" width="25.63"/>
    <col customWidth="1" min="9" max="10" width="25.75"/>
    <col customWidth="1" min="12" max="12" width="37.38"/>
    <col customWidth="1" min="13" max="14" width="25.75"/>
    <col customWidth="1" min="15" max="15" width="25.13"/>
  </cols>
  <sheetData>
    <row r="8">
      <c r="D8" s="116" t="s">
        <v>326</v>
      </c>
      <c r="E8" s="116" t="s">
        <v>327</v>
      </c>
      <c r="G8" s="117" t="s">
        <v>28</v>
      </c>
      <c r="H8" s="117" t="s">
        <v>276</v>
      </c>
      <c r="I8" s="117" t="s">
        <v>328</v>
      </c>
      <c r="J8" s="117" t="s">
        <v>278</v>
      </c>
      <c r="L8" s="117" t="s">
        <v>28</v>
      </c>
      <c r="M8" s="117" t="s">
        <v>276</v>
      </c>
      <c r="N8" s="117" t="s">
        <v>328</v>
      </c>
      <c r="O8" s="117" t="s">
        <v>278</v>
      </c>
    </row>
    <row r="9">
      <c r="C9" s="107" t="s">
        <v>2</v>
      </c>
      <c r="D9" s="118">
        <v>1214000.0</v>
      </c>
      <c r="E9" s="118">
        <v>1001000.0</v>
      </c>
      <c r="G9" s="117" t="s">
        <v>329</v>
      </c>
      <c r="H9" s="73">
        <v>293.0</v>
      </c>
      <c r="I9" s="118">
        <v>80.0</v>
      </c>
      <c r="J9" s="119">
        <f t="shared" ref="J9:J28" si="1">I9*H9</f>
        <v>23440</v>
      </c>
      <c r="L9" s="117" t="s">
        <v>330</v>
      </c>
      <c r="M9" s="73">
        <v>271.0</v>
      </c>
      <c r="N9" s="118">
        <v>100.0</v>
      </c>
      <c r="O9" s="119">
        <f t="shared" ref="O9:O20" si="2">N9*M9</f>
        <v>27100</v>
      </c>
    </row>
    <row r="10">
      <c r="C10" s="107" t="s">
        <v>3</v>
      </c>
      <c r="D10" s="118">
        <v>510000.0</v>
      </c>
      <c r="E10" s="118">
        <v>460000.0</v>
      </c>
      <c r="G10" s="117" t="s">
        <v>331</v>
      </c>
      <c r="H10" s="73">
        <v>387.0</v>
      </c>
      <c r="I10" s="118">
        <v>150.0</v>
      </c>
      <c r="J10" s="119">
        <f t="shared" si="1"/>
        <v>58050</v>
      </c>
      <c r="L10" s="117" t="s">
        <v>332</v>
      </c>
      <c r="M10" s="73">
        <v>372.0</v>
      </c>
      <c r="N10" s="118">
        <v>100.0</v>
      </c>
      <c r="O10" s="119">
        <f t="shared" si="2"/>
        <v>37200</v>
      </c>
    </row>
    <row r="11">
      <c r="C11" s="107" t="s">
        <v>333</v>
      </c>
      <c r="D11" s="118">
        <v>272500.0</v>
      </c>
      <c r="E11" s="118">
        <v>225300.0</v>
      </c>
      <c r="G11" s="117" t="s">
        <v>334</v>
      </c>
      <c r="H11" s="73">
        <v>200.0</v>
      </c>
      <c r="I11" s="118">
        <v>60.0</v>
      </c>
      <c r="J11" s="119">
        <f t="shared" si="1"/>
        <v>12000</v>
      </c>
      <c r="L11" s="117" t="s">
        <v>335</v>
      </c>
      <c r="M11" s="73">
        <v>330.0</v>
      </c>
      <c r="N11" s="118">
        <v>70.0</v>
      </c>
      <c r="O11" s="119">
        <f t="shared" si="2"/>
        <v>23100</v>
      </c>
    </row>
    <row r="12">
      <c r="C12" s="107" t="s">
        <v>5</v>
      </c>
      <c r="D12" s="118">
        <v>90000.0</v>
      </c>
      <c r="E12" s="118">
        <v>50000.0</v>
      </c>
      <c r="G12" s="117" t="s">
        <v>336</v>
      </c>
      <c r="H12" s="73">
        <v>89.0</v>
      </c>
      <c r="I12" s="118">
        <v>60.0</v>
      </c>
      <c r="J12" s="119">
        <f t="shared" si="1"/>
        <v>5340</v>
      </c>
      <c r="L12" s="117" t="s">
        <v>337</v>
      </c>
      <c r="M12" s="73">
        <v>417.0</v>
      </c>
      <c r="N12" s="118">
        <v>70.0</v>
      </c>
      <c r="O12" s="119">
        <f t="shared" si="2"/>
        <v>29190</v>
      </c>
    </row>
    <row r="13">
      <c r="C13" s="107" t="s">
        <v>338</v>
      </c>
      <c r="D13" s="118">
        <v>360000.0</v>
      </c>
      <c r="E13" s="118">
        <v>286000.0</v>
      </c>
      <c r="G13" s="117" t="s">
        <v>339</v>
      </c>
      <c r="H13" s="73">
        <v>25.0</v>
      </c>
      <c r="I13" s="118">
        <v>100.0</v>
      </c>
      <c r="J13" s="119">
        <f t="shared" si="1"/>
        <v>2500</v>
      </c>
      <c r="L13" s="117" t="s">
        <v>340</v>
      </c>
      <c r="M13" s="73">
        <v>160.0</v>
      </c>
      <c r="N13" s="118">
        <v>100.0</v>
      </c>
      <c r="O13" s="119">
        <f t="shared" si="2"/>
        <v>16000</v>
      </c>
    </row>
    <row r="14">
      <c r="G14" s="117" t="s">
        <v>341</v>
      </c>
      <c r="H14" s="73">
        <v>32.0</v>
      </c>
      <c r="I14" s="118">
        <v>100.0</v>
      </c>
      <c r="J14" s="119">
        <f t="shared" si="1"/>
        <v>3200</v>
      </c>
      <c r="L14" s="117" t="s">
        <v>342</v>
      </c>
      <c r="M14" s="73">
        <v>128.0</v>
      </c>
      <c r="N14" s="118">
        <v>100.0</v>
      </c>
      <c r="O14" s="119">
        <f t="shared" si="2"/>
        <v>12800</v>
      </c>
    </row>
    <row r="15">
      <c r="G15" s="117" t="s">
        <v>343</v>
      </c>
      <c r="H15" s="73">
        <v>79.0</v>
      </c>
      <c r="I15" s="118">
        <v>100.0</v>
      </c>
      <c r="J15" s="119">
        <f t="shared" si="1"/>
        <v>7900</v>
      </c>
      <c r="L15" s="117" t="s">
        <v>344</v>
      </c>
      <c r="M15" s="73">
        <v>430.0</v>
      </c>
      <c r="N15" s="118">
        <v>50.0</v>
      </c>
      <c r="O15" s="119">
        <f t="shared" si="2"/>
        <v>21500</v>
      </c>
    </row>
    <row r="16">
      <c r="G16" s="117" t="s">
        <v>345</v>
      </c>
      <c r="H16" s="73">
        <v>52.0</v>
      </c>
      <c r="I16" s="118">
        <v>150.0</v>
      </c>
      <c r="J16" s="119">
        <f t="shared" si="1"/>
        <v>7800</v>
      </c>
      <c r="L16" s="117" t="s">
        <v>346</v>
      </c>
      <c r="M16" s="73">
        <v>20.0</v>
      </c>
      <c r="N16" s="118">
        <v>150.0</v>
      </c>
      <c r="O16" s="119">
        <f t="shared" si="2"/>
        <v>3000</v>
      </c>
    </row>
    <row r="17">
      <c r="G17" s="117" t="s">
        <v>347</v>
      </c>
      <c r="H17" s="73">
        <v>83.0</v>
      </c>
      <c r="I17" s="118">
        <v>100.0</v>
      </c>
      <c r="J17" s="119">
        <f t="shared" si="1"/>
        <v>8300</v>
      </c>
      <c r="L17" s="117" t="s">
        <v>348</v>
      </c>
      <c r="M17" s="73">
        <v>4.0</v>
      </c>
      <c r="N17" s="118">
        <v>400.0</v>
      </c>
      <c r="O17" s="119">
        <f t="shared" si="2"/>
        <v>1600</v>
      </c>
    </row>
    <row r="18">
      <c r="C18" s="120"/>
      <c r="D18" s="121"/>
      <c r="G18" s="117" t="s">
        <v>349</v>
      </c>
      <c r="H18" s="73">
        <v>34.0</v>
      </c>
      <c r="I18" s="118">
        <v>100.0</v>
      </c>
      <c r="J18" s="119">
        <f t="shared" si="1"/>
        <v>3400</v>
      </c>
      <c r="L18" s="117" t="s">
        <v>350</v>
      </c>
      <c r="M18" s="73">
        <v>17.0</v>
      </c>
      <c r="N18" s="118">
        <v>600.0</v>
      </c>
      <c r="O18" s="119">
        <f t="shared" si="2"/>
        <v>10200</v>
      </c>
    </row>
    <row r="19">
      <c r="G19" s="117" t="s">
        <v>351</v>
      </c>
      <c r="H19" s="73">
        <v>17.0</v>
      </c>
      <c r="I19" s="118">
        <v>250.0</v>
      </c>
      <c r="J19" s="119">
        <f t="shared" si="1"/>
        <v>4250</v>
      </c>
      <c r="L19" s="117" t="s">
        <v>352</v>
      </c>
      <c r="M19" s="73">
        <v>68.0</v>
      </c>
      <c r="N19" s="118">
        <v>100.0</v>
      </c>
      <c r="O19" s="119">
        <f t="shared" si="2"/>
        <v>6800</v>
      </c>
    </row>
    <row r="20">
      <c r="G20" s="117" t="s">
        <v>353</v>
      </c>
      <c r="H20" s="73">
        <v>71.0</v>
      </c>
      <c r="I20" s="118">
        <v>100.0</v>
      </c>
      <c r="J20" s="119">
        <f t="shared" si="1"/>
        <v>7100</v>
      </c>
      <c r="L20" s="117" t="s">
        <v>354</v>
      </c>
      <c r="M20" s="73">
        <v>30.0</v>
      </c>
      <c r="N20" s="118">
        <v>40.0</v>
      </c>
      <c r="O20" s="119">
        <f t="shared" si="2"/>
        <v>1200</v>
      </c>
    </row>
    <row r="21">
      <c r="G21" s="117" t="s">
        <v>355</v>
      </c>
      <c r="H21" s="73">
        <v>15.0</v>
      </c>
      <c r="I21" s="118">
        <v>500.0</v>
      </c>
      <c r="J21" s="119">
        <f t="shared" si="1"/>
        <v>7500</v>
      </c>
      <c r="L21" s="122"/>
      <c r="M21" s="115"/>
      <c r="N21" s="114"/>
      <c r="O21" s="119"/>
    </row>
    <row r="22">
      <c r="G22" s="117" t="s">
        <v>356</v>
      </c>
      <c r="H22" s="73">
        <v>11.0</v>
      </c>
      <c r="I22" s="118">
        <v>600.0</v>
      </c>
      <c r="J22" s="119">
        <f t="shared" si="1"/>
        <v>6600</v>
      </c>
      <c r="L22" s="122"/>
      <c r="M22" s="115"/>
      <c r="N22" s="114"/>
      <c r="O22" s="119"/>
    </row>
    <row r="23">
      <c r="G23" s="117" t="s">
        <v>357</v>
      </c>
      <c r="H23" s="73">
        <v>30.0</v>
      </c>
      <c r="I23" s="118">
        <v>100.0</v>
      </c>
      <c r="J23" s="119">
        <f t="shared" si="1"/>
        <v>3000</v>
      </c>
      <c r="L23" s="122"/>
      <c r="M23" s="115"/>
      <c r="N23" s="114"/>
      <c r="O23" s="119"/>
    </row>
    <row r="24">
      <c r="G24" s="117" t="s">
        <v>358</v>
      </c>
      <c r="H24" s="73">
        <v>25.0</v>
      </c>
      <c r="I24" s="118">
        <v>70.0</v>
      </c>
      <c r="J24" s="119">
        <f t="shared" si="1"/>
        <v>1750</v>
      </c>
      <c r="L24" s="122"/>
      <c r="M24" s="115"/>
      <c r="N24" s="114"/>
      <c r="O24" s="119"/>
    </row>
    <row r="25">
      <c r="G25" s="117" t="s">
        <v>359</v>
      </c>
      <c r="H25" s="73">
        <v>70.0</v>
      </c>
      <c r="I25" s="118">
        <v>45.0</v>
      </c>
      <c r="J25" s="119">
        <f t="shared" si="1"/>
        <v>3150</v>
      </c>
      <c r="L25" s="122"/>
      <c r="M25" s="115"/>
      <c r="N25" s="114"/>
      <c r="O25" s="119"/>
    </row>
    <row r="26">
      <c r="G26" s="117" t="s">
        <v>360</v>
      </c>
      <c r="H26" s="73">
        <v>26.0</v>
      </c>
      <c r="I26" s="118">
        <v>150.0</v>
      </c>
      <c r="J26" s="119">
        <f t="shared" si="1"/>
        <v>3900</v>
      </c>
      <c r="L26" s="122"/>
      <c r="M26" s="115"/>
      <c r="N26" s="114"/>
      <c r="O26" s="119"/>
    </row>
    <row r="27">
      <c r="G27" s="117" t="s">
        <v>361</v>
      </c>
      <c r="H27" s="73">
        <v>28.0</v>
      </c>
      <c r="I27" s="118">
        <v>40.0</v>
      </c>
      <c r="J27" s="119">
        <f t="shared" si="1"/>
        <v>1120</v>
      </c>
      <c r="L27" s="122"/>
      <c r="M27" s="115"/>
      <c r="N27" s="114"/>
      <c r="O27" s="119"/>
    </row>
    <row r="28">
      <c r="G28" s="117" t="s">
        <v>362</v>
      </c>
      <c r="H28" s="73">
        <v>15.0</v>
      </c>
      <c r="I28" s="118">
        <v>150.0</v>
      </c>
      <c r="J28" s="119">
        <f t="shared" si="1"/>
        <v>2250</v>
      </c>
      <c r="L28" s="122"/>
      <c r="M28" s="115"/>
      <c r="N28" s="114"/>
      <c r="O28" s="119"/>
    </row>
    <row r="29">
      <c r="G29" s="116" t="s">
        <v>363</v>
      </c>
      <c r="H29" s="115"/>
      <c r="I29" s="114"/>
      <c r="J29" s="123">
        <f>SUM(J9:J28)</f>
        <v>172550</v>
      </c>
      <c r="L29" s="116" t="s">
        <v>363</v>
      </c>
      <c r="M29" s="115"/>
      <c r="N29" s="114"/>
      <c r="O29" s="123">
        <f>SUM(O9:O28)</f>
        <v>189690</v>
      </c>
    </row>
    <row r="30">
      <c r="J30" s="124"/>
    </row>
    <row r="31">
      <c r="G31" s="117" t="s">
        <v>364</v>
      </c>
      <c r="H31" s="114">
        <f>Pointage!D35+Pointage!E35+Pointage!M35+Pointage!O35+Pointage!Q35</f>
        <v>89975</v>
      </c>
    </row>
    <row r="32">
      <c r="G32" s="117" t="s">
        <v>365</v>
      </c>
      <c r="H32" s="118">
        <v>40000.0</v>
      </c>
    </row>
  </sheetData>
  <drawing r:id="rId1"/>
</worksheet>
</file>