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 " sheetId="4" r:id="rId7"/>
  </sheets>
  <definedNames/>
  <calcPr/>
</workbook>
</file>

<file path=xl/sharedStrings.xml><?xml version="1.0" encoding="utf-8"?>
<sst xmlns="http://schemas.openxmlformats.org/spreadsheetml/2006/main" count="538" uniqueCount="293">
  <si>
    <t>Date</t>
  </si>
  <si>
    <t>Recette  de Janvier</t>
  </si>
  <si>
    <t xml:space="preserve">Recette </t>
  </si>
  <si>
    <t>Charges</t>
  </si>
  <si>
    <t>Salaire</t>
  </si>
  <si>
    <t>Loyer</t>
  </si>
  <si>
    <t>Net Profit</t>
  </si>
  <si>
    <t>Nb de jours</t>
  </si>
  <si>
    <t>Janvier</t>
  </si>
  <si>
    <t>Lundi</t>
  </si>
  <si>
    <t xml:space="preserve">Moyenne </t>
  </si>
  <si>
    <t>Mardi</t>
  </si>
  <si>
    <t>Mercredi</t>
  </si>
  <si>
    <t>Jeudi</t>
  </si>
  <si>
    <t>Vendredi</t>
  </si>
  <si>
    <t>Samedi</t>
  </si>
  <si>
    <t>Dimanche</t>
  </si>
  <si>
    <t xml:space="preserve">Cash restant </t>
  </si>
  <si>
    <t>Magasin</t>
  </si>
  <si>
    <t>Différence mois de Janvier</t>
  </si>
  <si>
    <t>caisse</t>
  </si>
  <si>
    <t>Sifou</t>
  </si>
  <si>
    <t>cash</t>
  </si>
  <si>
    <t>Storm Sofiane</t>
  </si>
  <si>
    <t>ElAzehar</t>
  </si>
  <si>
    <t>ménage bureau</t>
  </si>
  <si>
    <t>cash chez Sofiane</t>
  </si>
  <si>
    <t>magasin+charges de Mars</t>
  </si>
  <si>
    <t>Total</t>
  </si>
  <si>
    <t>le magasin me doit</t>
  </si>
  <si>
    <t>Objectif</t>
  </si>
  <si>
    <t>Mois de Janvier</t>
  </si>
  <si>
    <t>Produit</t>
  </si>
  <si>
    <t>Quantité</t>
  </si>
  <si>
    <t xml:space="preserve">Prix unitaire </t>
  </si>
  <si>
    <t>Prix</t>
  </si>
  <si>
    <t>Date d'achat</t>
  </si>
  <si>
    <t>Semoule moyenne SIM 10kg</t>
  </si>
  <si>
    <t>semoule moyenne Sim 2kg</t>
  </si>
  <si>
    <t>2fardeaux de 12kg</t>
  </si>
  <si>
    <t>Farine Mama</t>
  </si>
  <si>
    <t>5 fardeaux</t>
  </si>
  <si>
    <t>Sucre</t>
  </si>
  <si>
    <t>1 fardeau</t>
  </si>
  <si>
    <t>sel</t>
  </si>
  <si>
    <t>3 fardeau</t>
  </si>
  <si>
    <t>21.330</t>
  </si>
  <si>
    <t>maa zehar</t>
  </si>
  <si>
    <t>1 carton</t>
  </si>
  <si>
    <t>harrissa</t>
  </si>
  <si>
    <t>1 carton de 12kg</t>
  </si>
  <si>
    <t>maizina</t>
  </si>
  <si>
    <t>5kg</t>
  </si>
  <si>
    <t>sachets</t>
  </si>
  <si>
    <t>livraison</t>
  </si>
  <si>
    <t>pate d'arome citron</t>
  </si>
  <si>
    <t>sucre glace</t>
  </si>
  <si>
    <t>1 fardeau de 16kg</t>
  </si>
  <si>
    <t>sac 25</t>
  </si>
  <si>
    <t>sac à pain</t>
  </si>
  <si>
    <t>éléctricien</t>
  </si>
  <si>
    <t>plateau</t>
  </si>
  <si>
    <t>resort du rideau</t>
  </si>
  <si>
    <t>Ka3ek nakach</t>
  </si>
  <si>
    <t>réparation rideau</t>
  </si>
  <si>
    <t>Baghrir</t>
  </si>
  <si>
    <t>40et 45</t>
  </si>
  <si>
    <t xml:space="preserve">Balance </t>
  </si>
  <si>
    <t xml:space="preserve">huile </t>
  </si>
  <si>
    <t xml:space="preserve">16 bidons de 5 litres </t>
  </si>
  <si>
    <t>Margarine Mani</t>
  </si>
  <si>
    <t>2 cartons de 24 boites 500g</t>
  </si>
  <si>
    <t>Tomate conserve</t>
  </si>
  <si>
    <t>miel</t>
  </si>
  <si>
    <t xml:space="preserve">4 bidons de 5kg </t>
  </si>
  <si>
    <t xml:space="preserve">fromage spécial pizza </t>
  </si>
  <si>
    <t>13kg</t>
  </si>
  <si>
    <t>vinaigre</t>
  </si>
  <si>
    <t xml:space="preserve">1 fardeau de 10 litres </t>
  </si>
  <si>
    <t xml:space="preserve">oeufs </t>
  </si>
  <si>
    <t>3 plateaux</t>
  </si>
  <si>
    <t>Boites 08/07</t>
  </si>
  <si>
    <t>2 cartons</t>
  </si>
  <si>
    <t>Boites 48/10</t>
  </si>
  <si>
    <t>Boites 36/10</t>
  </si>
  <si>
    <t>Boites 36/07</t>
  </si>
  <si>
    <t xml:space="preserve">Tofia </t>
  </si>
  <si>
    <t>1 boite de 3kg</t>
  </si>
  <si>
    <t>Levure Nouara</t>
  </si>
  <si>
    <t>1 boite</t>
  </si>
  <si>
    <t>Sacs 06</t>
  </si>
  <si>
    <t>quissettes N°10</t>
  </si>
  <si>
    <t>un fardeau</t>
  </si>
  <si>
    <t>viande hachée</t>
  </si>
  <si>
    <t>/</t>
  </si>
  <si>
    <t>rechta</t>
  </si>
  <si>
    <t>30kg</t>
  </si>
  <si>
    <t>viande +poulet hachées</t>
  </si>
  <si>
    <t>papier alumium +papier torchan</t>
  </si>
  <si>
    <t>viande</t>
  </si>
  <si>
    <t>na3ena3 yabess</t>
  </si>
  <si>
    <t>500g</t>
  </si>
  <si>
    <t>cuisses+blanc</t>
  </si>
  <si>
    <t>boites 1185/1065/08/07</t>
  </si>
  <si>
    <t>12+10+20</t>
  </si>
  <si>
    <t>40+25+10</t>
  </si>
  <si>
    <t>Légumes</t>
  </si>
  <si>
    <t>Semoule Mama 25kg</t>
  </si>
  <si>
    <t>5sachets</t>
  </si>
  <si>
    <t>Semoule Mama 2kg</t>
  </si>
  <si>
    <t>20 fardeaux</t>
  </si>
  <si>
    <t>Amandes</t>
  </si>
  <si>
    <t>6kg</t>
  </si>
  <si>
    <t>légumes</t>
  </si>
  <si>
    <t>cuisses+poulet hachée</t>
  </si>
  <si>
    <t>5+1kg</t>
  </si>
  <si>
    <t>120+500</t>
  </si>
  <si>
    <t>teliteli</t>
  </si>
  <si>
    <t>les herbes</t>
  </si>
  <si>
    <t>cuisses</t>
  </si>
  <si>
    <t>bessel</t>
  </si>
  <si>
    <t>20kg</t>
  </si>
  <si>
    <t>7alewet turk,chocolat blanc,pistache,cawcaw</t>
  </si>
  <si>
    <t>tomate fraiche</t>
  </si>
  <si>
    <t>10kg</t>
  </si>
  <si>
    <t>transport marchandise</t>
  </si>
  <si>
    <t>plats en argile</t>
  </si>
  <si>
    <t>barquettes1065</t>
  </si>
  <si>
    <t>barquettes 1185</t>
  </si>
  <si>
    <t>boites blanches</t>
  </si>
  <si>
    <t>herbes</t>
  </si>
  <si>
    <t>lentilles</t>
  </si>
  <si>
    <t>2kg</t>
  </si>
  <si>
    <t xml:space="preserve">48 bidons de 5 litres </t>
  </si>
  <si>
    <t>transport zehor+zoubida</t>
  </si>
  <si>
    <t>semoule baraka 5kg</t>
  </si>
  <si>
    <t>yaourt</t>
  </si>
  <si>
    <t>4kg</t>
  </si>
  <si>
    <t>deyoul</t>
  </si>
  <si>
    <t>isis savon liquide</t>
  </si>
  <si>
    <t>semoule</t>
  </si>
  <si>
    <t>23 fardeaux</t>
  </si>
  <si>
    <t>1 plateau</t>
  </si>
  <si>
    <t>amandes</t>
  </si>
  <si>
    <t>1kg</t>
  </si>
  <si>
    <t xml:space="preserve">Tansport </t>
  </si>
  <si>
    <t>tomate</t>
  </si>
  <si>
    <t>11kg</t>
  </si>
  <si>
    <t>18kg</t>
  </si>
  <si>
    <t>Transport</t>
  </si>
  <si>
    <t>Ka3ek nakach 21/31/04/06</t>
  </si>
  <si>
    <t>ka3ek nakach vide</t>
  </si>
  <si>
    <t>beniwen</t>
  </si>
  <si>
    <t>boites 36/07</t>
  </si>
  <si>
    <t>fardeau de 50</t>
  </si>
  <si>
    <t xml:space="preserve">Transport Zehor  </t>
  </si>
  <si>
    <t>légumes et herbes</t>
  </si>
  <si>
    <t>boissons: coca canette, coca, Rouiba,ifruit, hamoud, eau</t>
  </si>
  <si>
    <t>sucre cristalisé</t>
  </si>
  <si>
    <t>1 fardeau de 10kg</t>
  </si>
  <si>
    <t>1 carton de 12</t>
  </si>
  <si>
    <t>semen Madina</t>
  </si>
  <si>
    <t>4 de1.8kg</t>
  </si>
  <si>
    <t>hrissa 1kg cab</t>
  </si>
  <si>
    <t>Farine Sim</t>
  </si>
  <si>
    <t>Nouara</t>
  </si>
  <si>
    <t>3akeri</t>
  </si>
  <si>
    <t>javel</t>
  </si>
  <si>
    <t>Aluminium</t>
  </si>
  <si>
    <t>Maizina</t>
  </si>
  <si>
    <t>Barquette Aluminium 1185</t>
  </si>
  <si>
    <t>sac croissant 18</t>
  </si>
  <si>
    <t>sac croissant 24</t>
  </si>
  <si>
    <t>Boites   de Makrout</t>
  </si>
  <si>
    <t>poulet haché</t>
  </si>
  <si>
    <t>ail, 9erfa, hamissa</t>
  </si>
  <si>
    <t xml:space="preserve">boites 1185 </t>
  </si>
  <si>
    <t>pistache</t>
  </si>
  <si>
    <t>7alwet turk</t>
  </si>
  <si>
    <t>Farine de Mais</t>
  </si>
  <si>
    <t xml:space="preserve">légumes  </t>
  </si>
  <si>
    <t>3kg</t>
  </si>
  <si>
    <t>305kg</t>
  </si>
  <si>
    <t>poivre+tomte fraiche</t>
  </si>
  <si>
    <t xml:space="preserve">yourt nature </t>
  </si>
  <si>
    <t>Décapant+ Dégraissant</t>
  </si>
  <si>
    <t>3+1</t>
  </si>
  <si>
    <t>120+300</t>
  </si>
  <si>
    <t>esprit de sel</t>
  </si>
  <si>
    <t>gant</t>
  </si>
  <si>
    <t>nadhaff</t>
  </si>
  <si>
    <t xml:space="preserve">viande </t>
  </si>
  <si>
    <t>transport</t>
  </si>
  <si>
    <t>transport Bilel</t>
  </si>
  <si>
    <t>7kg</t>
  </si>
  <si>
    <t xml:space="preserve">ka3ek nakach </t>
  </si>
  <si>
    <t>4 plateaux</t>
  </si>
  <si>
    <t>amandes éfilet cawcaw éfilet optella</t>
  </si>
  <si>
    <t>herbes+orange</t>
  </si>
  <si>
    <t xml:space="preserve">mais, thon, crème liquide yaourt nature  </t>
  </si>
  <si>
    <t>poulet haché +cuisses</t>
  </si>
  <si>
    <t>sachets messemen</t>
  </si>
  <si>
    <t>cougette carrotes, navets</t>
  </si>
  <si>
    <t>cuisses de poulet</t>
  </si>
  <si>
    <t>cawcaw efilet</t>
  </si>
  <si>
    <t>115g</t>
  </si>
  <si>
    <t>farine Sim</t>
  </si>
  <si>
    <t>Tiges</t>
  </si>
  <si>
    <t>Choco Dada</t>
  </si>
  <si>
    <t>confiture</t>
  </si>
  <si>
    <t>12 de 500g</t>
  </si>
  <si>
    <t>chocolat à tartiner</t>
  </si>
  <si>
    <t>2 de 9kg</t>
  </si>
  <si>
    <t>poulet hachée</t>
  </si>
  <si>
    <t>olive noir et dénoyautés</t>
  </si>
  <si>
    <t>fromage à tartiner</t>
  </si>
  <si>
    <t>storm magasin</t>
  </si>
  <si>
    <t>ka3ek nakach</t>
  </si>
  <si>
    <t>Transport marchandise</t>
  </si>
  <si>
    <t>gherss</t>
  </si>
  <si>
    <t>sucre</t>
  </si>
  <si>
    <t>5 de 5kg</t>
  </si>
  <si>
    <t>9erefa</t>
  </si>
  <si>
    <t>poivre noir</t>
  </si>
  <si>
    <t>Boites 12/07</t>
  </si>
  <si>
    <t>Boites 08/06</t>
  </si>
  <si>
    <t>Deyoul</t>
  </si>
  <si>
    <t>Semoule moyenne 10kg</t>
  </si>
  <si>
    <t>habet halawa</t>
  </si>
  <si>
    <t>semoule fine Baraka 5kg</t>
  </si>
  <si>
    <t xml:space="preserve">4 sachets </t>
  </si>
  <si>
    <t>lavette</t>
  </si>
  <si>
    <t>15kg</t>
  </si>
  <si>
    <t>coca canette 33ml</t>
  </si>
  <si>
    <t>coca bouteille</t>
  </si>
  <si>
    <t>Ifruit 33ml</t>
  </si>
  <si>
    <t>Pipsi</t>
  </si>
  <si>
    <t>Hamoud</t>
  </si>
  <si>
    <t>Semoule Fine Mama 2kg</t>
  </si>
  <si>
    <t>18 fardeaux</t>
  </si>
  <si>
    <t xml:space="preserve">huile Fridor de 10 litres </t>
  </si>
  <si>
    <t xml:space="preserve">amandes  </t>
  </si>
  <si>
    <t>1.3kg</t>
  </si>
  <si>
    <t xml:space="preserve">boite </t>
  </si>
  <si>
    <t>couscous</t>
  </si>
  <si>
    <t>foul</t>
  </si>
  <si>
    <t>billel transport</t>
  </si>
  <si>
    <t xml:space="preserve">plateau baklawa </t>
  </si>
  <si>
    <t xml:space="preserve">viande de veau </t>
  </si>
  <si>
    <t>viande d'agneau</t>
  </si>
  <si>
    <t>fromage</t>
  </si>
  <si>
    <t xml:space="preserve">storm connexion </t>
  </si>
  <si>
    <t xml:space="preserve">rechta </t>
  </si>
  <si>
    <t>transport+transport  zehor</t>
  </si>
  <si>
    <t xml:space="preserve">Amandes </t>
  </si>
  <si>
    <t>semoule Baraka 10kg</t>
  </si>
  <si>
    <t xml:space="preserve">boite a manger </t>
  </si>
  <si>
    <t xml:space="preserve">maa zehar </t>
  </si>
  <si>
    <t>épices shawarma et poulet roti</t>
  </si>
  <si>
    <t>7alewet torek</t>
  </si>
  <si>
    <t xml:space="preserve">Viande </t>
  </si>
  <si>
    <t>300g</t>
  </si>
  <si>
    <t xml:space="preserve">les quissetes </t>
  </si>
  <si>
    <t>eau de javel</t>
  </si>
  <si>
    <t xml:space="preserve">5litres </t>
  </si>
  <si>
    <t xml:space="preserve"> papaier torchan</t>
  </si>
  <si>
    <t>transport zehor</t>
  </si>
  <si>
    <t xml:space="preserve">herebes </t>
  </si>
  <si>
    <t>poulet</t>
  </si>
  <si>
    <t xml:space="preserve">6 blanc +4 cuisses </t>
  </si>
  <si>
    <t>2kg+2kg+2kg</t>
  </si>
  <si>
    <t>Transport Zehor</t>
  </si>
  <si>
    <t xml:space="preserve">deyoul </t>
  </si>
  <si>
    <t>TOTALE</t>
  </si>
  <si>
    <t xml:space="preserve">Somme initiale </t>
  </si>
  <si>
    <t>Rest</t>
  </si>
  <si>
    <t>Zehor</t>
  </si>
  <si>
    <t>Zoubida</t>
  </si>
  <si>
    <t xml:space="preserve">Nadjet </t>
  </si>
  <si>
    <t>Hadjer</t>
  </si>
  <si>
    <t>Amel</t>
  </si>
  <si>
    <t>Soumia</t>
  </si>
  <si>
    <t>Hafida</t>
  </si>
  <si>
    <t>Karima</t>
  </si>
  <si>
    <t>Zahida</t>
  </si>
  <si>
    <t>Remarque</t>
  </si>
  <si>
    <t>TOTAL</t>
  </si>
  <si>
    <t>TAUX</t>
  </si>
  <si>
    <t xml:space="preserve">Nom </t>
  </si>
  <si>
    <t>Avance</t>
  </si>
  <si>
    <t>Nowara</t>
  </si>
  <si>
    <t>karima</t>
  </si>
  <si>
    <t>Nadjet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</si>
</sst>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mm/yyyy"/>
    <numFmt numFmtId="167" formatCode="d.m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  <scheme val="minor"/>
    </font>
    <font>
      <sz val="12.0"/>
      <color rgb="FF000000"/>
      <name val="Arial"/>
    </font>
    <font>
      <b/>
      <sz val="18.0"/>
      <color theme="1"/>
      <name val="Arial"/>
    </font>
    <font>
      <b/>
      <sz val="14.0"/>
      <color rgb="FFFF0000"/>
      <name val="Arial"/>
    </font>
    <font>
      <b/>
      <sz val="12.0"/>
      <color rgb="FF0000FF"/>
      <name val="Arial"/>
    </font>
    <font/>
    <font>
      <b/>
      <sz val="14.0"/>
      <color rgb="FF1C4587"/>
      <name val="Arial"/>
    </font>
    <font>
      <sz val="18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5" fontId="3" numFmtId="165" xfId="0" applyAlignment="1" applyBorder="1" applyFill="1" applyFont="1" applyNumberFormat="1">
      <alignment horizontal="center" vertical="bottom"/>
    </xf>
    <xf borderId="0" fillId="6" fontId="4" numFmtId="0" xfId="0" applyAlignment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0" fillId="3" fontId="4" numFmtId="165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Font="1"/>
    <xf borderId="0" fillId="7" fontId="4" numFmtId="165" xfId="0" applyAlignment="1" applyFill="1" applyFont="1" applyNumberForma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7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0" fontId="7" numFmtId="165" xfId="0" applyAlignment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 vertical="bottom"/>
    </xf>
    <xf borderId="0" fillId="4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1" numFmtId="165" xfId="0" applyAlignment="1" applyFont="1" applyNumberFormat="1">
      <alignment vertical="bottom"/>
    </xf>
    <xf borderId="0" fillId="0" fontId="9" numFmtId="165" xfId="0" applyAlignment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7" fontId="12" numFmtId="0" xfId="0" applyAlignment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1" fillId="0" fontId="9" numFmtId="166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1" fillId="4" fontId="9" numFmtId="165" xfId="0" applyAlignment="1" applyBorder="1" applyFont="1" applyNumberFormat="1">
      <alignment horizontal="center" vertical="bottom"/>
    </xf>
    <xf borderId="1" fillId="4" fontId="9" numFmtId="164" xfId="0" applyAlignment="1" applyBorder="1" applyFont="1" applyNumberFormat="1">
      <alignment horizontal="center" readingOrder="0" vertical="bottom"/>
    </xf>
    <xf borderId="1" fillId="4" fontId="9" numFmtId="0" xfId="0" applyAlignment="1" applyBorder="1" applyFont="1">
      <alignment horizontal="center" readingOrder="0" vertical="bottom"/>
    </xf>
    <xf borderId="1" fillId="4" fontId="9" numFmtId="165" xfId="0" applyAlignment="1" applyBorder="1" applyFont="1" applyNumberFormat="1">
      <alignment horizontal="center" readingOrder="0" vertical="bottom"/>
    </xf>
    <xf borderId="1" fillId="5" fontId="9" numFmtId="0" xfId="0" applyAlignment="1" applyBorder="1" applyFont="1">
      <alignment horizontal="center" readingOrder="0" vertical="bottom"/>
    </xf>
    <xf borderId="1" fillId="5" fontId="9" numFmtId="165" xfId="0" applyAlignment="1" applyBorder="1" applyFont="1" applyNumberFormat="1">
      <alignment horizontal="center" readingOrder="0" vertical="bottom"/>
    </xf>
    <xf borderId="1" fillId="5" fontId="9" numFmtId="164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4" fontId="9" numFmtId="164" xfId="0" applyAlignment="1" applyBorder="1" applyFont="1" applyNumberFormat="1">
      <alignment horizontal="center" vertical="bottom"/>
    </xf>
    <xf borderId="1" fillId="0" fontId="9" numFmtId="164" xfId="0" applyAlignment="1" applyBorder="1" applyFont="1" applyNumberFormat="1">
      <alignment horizontal="center" vertical="bottom"/>
    </xf>
    <xf borderId="1" fillId="0" fontId="9" numFmtId="165" xfId="0" applyAlignment="1" applyBorder="1" applyFont="1" applyNumberFormat="1">
      <alignment horizontal="right" vertical="bottom"/>
    </xf>
    <xf borderId="0" fillId="0" fontId="9" numFmtId="0" xfId="0" applyAlignment="1" applyFont="1">
      <alignment horizontal="center" vertical="bottom"/>
    </xf>
    <xf borderId="1" fillId="0" fontId="9" numFmtId="165" xfId="0" applyAlignment="1" applyBorder="1" applyFont="1" applyNumberFormat="1">
      <alignment horizontal="center" vertical="bottom"/>
    </xf>
    <xf borderId="1" fillId="0" fontId="9" numFmtId="167" xfId="0" applyAlignment="1" applyBorder="1" applyFont="1" applyNumberFormat="1">
      <alignment horizontal="center" readingOrder="0" vertical="bottom"/>
    </xf>
    <xf borderId="0" fillId="0" fontId="8" numFmtId="164" xfId="0" applyAlignment="1" applyFont="1" applyNumberFormat="1">
      <alignment readingOrder="0"/>
    </xf>
    <xf borderId="1" fillId="5" fontId="13" numFmtId="0" xfId="0" applyAlignment="1" applyBorder="1" applyFon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3" fontId="9" numFmtId="165" xfId="0" applyAlignment="1" applyBorder="1" applyFont="1" applyNumberFormat="1">
      <alignment horizontal="center" vertical="bottom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right" readingOrder="0" vertical="bottom"/>
    </xf>
    <xf borderId="1" fillId="4" fontId="1" numFmtId="0" xfId="0" applyAlignment="1" applyBorder="1" applyFont="1">
      <alignment vertical="bottom"/>
    </xf>
    <xf borderId="1" fillId="7" fontId="3" numFmtId="0" xfId="0" applyAlignment="1" applyBorder="1" applyFont="1">
      <alignment horizontal="right" readingOrder="0" vertical="bottom"/>
    </xf>
    <xf borderId="1" fillId="4" fontId="11" numFmtId="0" xfId="0" applyAlignment="1" applyBorder="1" applyFont="1">
      <alignment horizontal="right" readingOrder="0" vertical="bottom"/>
    </xf>
    <xf borderId="1" fillId="7" fontId="1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15" numFmtId="0" xfId="0" applyBorder="1" applyFont="1"/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7" fontId="16" numFmtId="165" xfId="0" applyAlignment="1" applyBorder="1" applyFont="1" applyNumberFormat="1">
      <alignment horizontal="center" vertical="bottom"/>
    </xf>
    <xf borderId="0" fillId="3" fontId="14" numFmtId="0" xfId="0" applyAlignment="1" applyFont="1">
      <alignment horizontal="center" vertical="bottom"/>
    </xf>
    <xf borderId="0" fillId="4" fontId="3" numFmtId="0" xfId="0" applyAlignment="1" applyFont="1">
      <alignment horizontal="right" readingOrder="0" vertical="bottom"/>
    </xf>
    <xf borderId="0" fillId="7" fontId="3" numFmtId="0" xfId="0" applyAlignment="1" applyFont="1">
      <alignment horizontal="right" readingOrder="0" vertical="bottom"/>
    </xf>
    <xf borderId="0" fillId="4" fontId="11" numFmtId="0" xfId="0" applyAlignment="1" applyFont="1">
      <alignment horizontal="right" readingOrder="0" vertical="bottom"/>
    </xf>
    <xf borderId="0" fillId="7" fontId="11" numFmtId="0" xfId="0" applyAlignment="1" applyFont="1">
      <alignment horizontal="right" readingOrder="0" vertical="bottom"/>
    </xf>
    <xf borderId="0" fillId="7" fontId="6" numFmtId="0" xfId="0" applyAlignment="1" applyFont="1">
      <alignment horizontal="center" vertical="bottom"/>
    </xf>
    <xf borderId="1" fillId="10" fontId="1" numFmtId="0" xfId="0" applyAlignment="1" applyBorder="1" applyFont="1">
      <alignment horizontal="center" vertical="bottom"/>
    </xf>
    <xf borderId="0" fillId="7" fontId="16" numFmtId="165" xfId="0" applyAlignment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3" fillId="2" fontId="2" numFmtId="0" xfId="0" applyAlignment="1" applyBorder="1" applyFont="1">
      <alignment horizontal="center" vertical="bottom"/>
    </xf>
    <xf borderId="3" fillId="3" fontId="14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right" vertical="bottom"/>
    </xf>
    <xf borderId="5" fillId="7" fontId="2" numFmtId="0" xfId="0" applyAlignment="1" applyBorder="1" applyFont="1">
      <alignment horizontal="center" vertical="bottom"/>
    </xf>
    <xf borderId="4" fillId="7" fontId="3" numFmtId="0" xfId="0" applyAlignment="1" applyBorder="1" applyFont="1">
      <alignment horizontal="center" vertical="bottom"/>
    </xf>
    <xf borderId="4" fillId="7" fontId="3" numFmtId="0" xfId="0" applyAlignment="1" applyBorder="1" applyFont="1">
      <alignment horizontal="right" vertical="bottom"/>
    </xf>
    <xf borderId="4" fillId="4" fontId="11" numFmtId="0" xfId="0" applyAlignment="1" applyBorder="1" applyFont="1">
      <alignment horizontal="right" vertical="bottom"/>
    </xf>
    <xf borderId="4" fillId="7" fontId="1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center" vertical="bottom"/>
    </xf>
    <xf borderId="4" fillId="7" fontId="6" numFmtId="0" xfId="0" applyAlignment="1" applyBorder="1" applyFont="1">
      <alignment horizontal="center" vertical="bottom"/>
    </xf>
    <xf borderId="6" fillId="10" fontId="1" numFmtId="0" xfId="0" applyAlignment="1" applyBorder="1" applyFont="1">
      <alignment horizontal="center" vertical="bottom"/>
    </xf>
    <xf borderId="4" fillId="0" fontId="15" numFmtId="0" xfId="0" applyBorder="1" applyFont="1"/>
    <xf borderId="4" fillId="0" fontId="3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7" fontId="17" numFmtId="0" xfId="0" applyAlignment="1" applyBorder="1" applyFont="1">
      <alignment horizontal="center" vertical="bottom"/>
    </xf>
    <xf borderId="1" fillId="7" fontId="17" numFmtId="165" xfId="0" applyAlignment="1" applyBorder="1" applyFont="1" applyNumberFormat="1">
      <alignment horizontal="center" vertical="bottom"/>
    </xf>
    <xf borderId="0" fillId="8" fontId="17" numFmtId="165" xfId="0" applyAlignment="1" applyFont="1" applyNumberFormat="1">
      <alignment horizontal="center" vertical="bottom"/>
    </xf>
    <xf borderId="1" fillId="3" fontId="1" numFmtId="0" xfId="0" applyAlignment="1" applyBorder="1" applyFont="1">
      <alignment vertical="bottom"/>
    </xf>
    <xf borderId="1" fillId="3" fontId="17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4.75"/>
    <col customWidth="1" min="4" max="4" width="14.63"/>
    <col customWidth="1" min="8" max="8" width="16.5"/>
    <col customWidth="1" min="12" max="12" width="24.63"/>
    <col customWidth="1" min="13" max="13" width="16.88"/>
    <col customWidth="1" min="15" max="15" width="34.75"/>
    <col customWidth="1" min="16" max="16" width="20.3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1"/>
      <c r="K1" s="5" t="s">
        <v>8</v>
      </c>
      <c r="L1" s="1"/>
      <c r="M1" s="1"/>
      <c r="N1" s="1"/>
      <c r="O1" s="1"/>
    </row>
    <row r="2">
      <c r="A2" s="6" t="s">
        <v>9</v>
      </c>
      <c r="B2" s="7">
        <v>44228.0</v>
      </c>
      <c r="C2" s="8">
        <v>26000.0</v>
      </c>
      <c r="D2" s="9">
        <v>39000.0</v>
      </c>
      <c r="E2" s="10"/>
      <c r="F2" s="10"/>
      <c r="G2" s="10"/>
      <c r="H2" s="10"/>
      <c r="I2" s="11">
        <v>1.0</v>
      </c>
      <c r="J2" s="1"/>
      <c r="K2" s="12">
        <v>26000.0</v>
      </c>
      <c r="L2" s="13" t="s">
        <v>10</v>
      </c>
      <c r="M2" s="1"/>
      <c r="N2" s="1"/>
      <c r="O2" s="1"/>
    </row>
    <row r="3">
      <c r="A3" s="6" t="s">
        <v>11</v>
      </c>
      <c r="B3" s="7">
        <v>44229.0</v>
      </c>
      <c r="C3" s="9">
        <v>30000.0</v>
      </c>
      <c r="D3" s="9">
        <v>38000.0</v>
      </c>
      <c r="E3" s="10"/>
      <c r="F3" s="10"/>
      <c r="G3" s="10"/>
      <c r="H3" s="10"/>
      <c r="I3" s="11">
        <v>1.0</v>
      </c>
      <c r="J3" s="14"/>
      <c r="K3" s="12">
        <v>30000.0</v>
      </c>
      <c r="L3" s="15">
        <f>D31/I31</f>
        <v>37392.85714</v>
      </c>
      <c r="M3" s="1"/>
      <c r="N3" s="1"/>
      <c r="O3" s="16"/>
      <c r="P3" s="17"/>
    </row>
    <row r="4">
      <c r="A4" s="6" t="s">
        <v>12</v>
      </c>
      <c r="B4" s="7">
        <v>44230.0</v>
      </c>
      <c r="C4" s="9">
        <v>27000.0</v>
      </c>
      <c r="D4" s="9">
        <v>34000.0</v>
      </c>
      <c r="E4" s="10"/>
      <c r="F4" s="10"/>
      <c r="G4" s="10"/>
      <c r="H4" s="10"/>
      <c r="I4" s="11">
        <v>1.0</v>
      </c>
      <c r="J4" s="14"/>
      <c r="K4" s="12">
        <v>27000.0</v>
      </c>
      <c r="L4" s="1"/>
      <c r="M4" s="1"/>
      <c r="N4" s="1"/>
      <c r="O4" s="18"/>
      <c r="P4" s="19"/>
    </row>
    <row r="5">
      <c r="A5" s="6" t="s">
        <v>13</v>
      </c>
      <c r="B5" s="7">
        <v>44231.0</v>
      </c>
      <c r="C5" s="9">
        <v>27000.0</v>
      </c>
      <c r="D5" s="9">
        <v>53000.0</v>
      </c>
      <c r="E5" s="10"/>
      <c r="F5" s="10"/>
      <c r="G5" s="10"/>
      <c r="H5" s="10"/>
      <c r="I5" s="11">
        <v>1.0</v>
      </c>
      <c r="J5" s="14"/>
      <c r="K5" s="12">
        <v>27000.0</v>
      </c>
      <c r="L5" s="20">
        <v>47000.0</v>
      </c>
      <c r="M5" s="1"/>
      <c r="N5" s="1"/>
      <c r="O5" s="1"/>
    </row>
    <row r="6">
      <c r="A6" s="21" t="s">
        <v>14</v>
      </c>
      <c r="B6" s="22">
        <v>44232.0</v>
      </c>
      <c r="C6" s="9">
        <v>48000.0</v>
      </c>
      <c r="D6" s="9">
        <v>45000.0</v>
      </c>
      <c r="E6" s="10"/>
      <c r="F6" s="10"/>
      <c r="G6" s="10"/>
      <c r="H6" s="10"/>
      <c r="I6" s="11">
        <v>1.0</v>
      </c>
      <c r="J6" s="14"/>
      <c r="K6" s="12">
        <v>48000.0</v>
      </c>
      <c r="L6" s="1"/>
      <c r="M6" s="1"/>
      <c r="N6" s="1"/>
      <c r="O6" s="1"/>
    </row>
    <row r="7">
      <c r="A7" s="6" t="s">
        <v>15</v>
      </c>
      <c r="B7" s="7">
        <v>44233.0</v>
      </c>
      <c r="C7" s="9">
        <v>33000.0</v>
      </c>
      <c r="D7" s="9">
        <v>35000.0</v>
      </c>
      <c r="E7" s="10"/>
      <c r="F7" s="10"/>
      <c r="G7" s="10"/>
      <c r="H7" s="10"/>
      <c r="I7" s="11">
        <v>1.0</v>
      </c>
      <c r="J7" s="14"/>
      <c r="K7" s="12">
        <v>33000.0</v>
      </c>
      <c r="L7" s="1"/>
      <c r="M7" s="1"/>
      <c r="N7" s="1"/>
      <c r="O7" s="1"/>
    </row>
    <row r="8">
      <c r="A8" s="6" t="s">
        <v>16</v>
      </c>
      <c r="B8" s="7">
        <v>44234.0</v>
      </c>
      <c r="C8" s="9">
        <v>63000.0</v>
      </c>
      <c r="D8" s="9">
        <v>27000.0</v>
      </c>
      <c r="E8" s="10"/>
      <c r="F8" s="10"/>
      <c r="G8" s="10"/>
      <c r="H8" s="10"/>
      <c r="I8" s="11">
        <v>1.0</v>
      </c>
      <c r="J8" s="14"/>
      <c r="K8" s="23">
        <v>63000.0</v>
      </c>
      <c r="L8" s="1"/>
      <c r="M8" s="1"/>
      <c r="N8" s="1"/>
      <c r="O8" s="1"/>
    </row>
    <row r="9">
      <c r="A9" s="6" t="s">
        <v>9</v>
      </c>
      <c r="B9" s="7">
        <v>44235.0</v>
      </c>
      <c r="C9" s="9">
        <v>54000.0</v>
      </c>
      <c r="D9" s="9">
        <v>32000.0</v>
      </c>
      <c r="E9" s="10"/>
      <c r="F9" s="10"/>
      <c r="G9" s="10"/>
      <c r="H9" s="10"/>
      <c r="I9" s="11">
        <v>1.0</v>
      </c>
      <c r="J9" s="14"/>
      <c r="K9" s="23">
        <v>54000.0</v>
      </c>
      <c r="L9" s="1"/>
      <c r="M9" s="1"/>
      <c r="N9" s="1"/>
      <c r="O9" s="1"/>
    </row>
    <row r="10">
      <c r="A10" s="6" t="s">
        <v>11</v>
      </c>
      <c r="B10" s="7">
        <v>44236.0</v>
      </c>
      <c r="C10" s="9">
        <v>46000.0</v>
      </c>
      <c r="D10" s="9">
        <v>47000.0</v>
      </c>
      <c r="E10" s="10"/>
      <c r="F10" s="10"/>
      <c r="G10" s="10"/>
      <c r="H10" s="10"/>
      <c r="I10" s="11">
        <v>1.0</v>
      </c>
      <c r="J10" s="14"/>
      <c r="K10" s="12">
        <v>46000.0</v>
      </c>
      <c r="L10" s="1"/>
      <c r="M10" s="1"/>
      <c r="N10" s="1"/>
      <c r="O10" s="1"/>
    </row>
    <row r="11">
      <c r="A11" s="6" t="s">
        <v>12</v>
      </c>
      <c r="B11" s="7">
        <v>44237.0</v>
      </c>
      <c r="C11" s="9">
        <v>61000.0</v>
      </c>
      <c r="D11" s="9">
        <v>56000.0</v>
      </c>
      <c r="E11" s="10"/>
      <c r="F11" s="10"/>
      <c r="G11" s="10"/>
      <c r="H11" s="10"/>
      <c r="I11" s="11">
        <v>1.0</v>
      </c>
      <c r="J11" s="14"/>
      <c r="K11" s="23">
        <v>61000.0</v>
      </c>
      <c r="L11" s="1"/>
      <c r="M11" s="1"/>
      <c r="N11" s="1"/>
      <c r="O11" s="1"/>
    </row>
    <row r="12">
      <c r="A12" s="6" t="s">
        <v>13</v>
      </c>
      <c r="B12" s="7">
        <v>44238.0</v>
      </c>
      <c r="C12" s="9">
        <v>92000.0</v>
      </c>
      <c r="D12" s="9">
        <v>46000.0</v>
      </c>
      <c r="E12" s="10"/>
      <c r="F12" s="10"/>
      <c r="G12" s="10"/>
      <c r="H12" s="10"/>
      <c r="I12" s="11">
        <v>1.0</v>
      </c>
      <c r="J12" s="14"/>
      <c r="K12" s="24">
        <v>92000.0</v>
      </c>
      <c r="L12" s="1"/>
      <c r="M12" s="1"/>
      <c r="N12" s="1"/>
      <c r="O12" s="1"/>
    </row>
    <row r="13">
      <c r="A13" s="21" t="s">
        <v>14</v>
      </c>
      <c r="B13" s="22">
        <v>44239.0</v>
      </c>
      <c r="C13" s="9">
        <v>58000.0</v>
      </c>
      <c r="D13" s="9">
        <v>43000.0</v>
      </c>
      <c r="E13" s="10"/>
      <c r="F13" s="10"/>
      <c r="G13" s="10"/>
      <c r="H13" s="10"/>
      <c r="I13" s="11">
        <v>1.0</v>
      </c>
      <c r="J13" s="14"/>
      <c r="K13" s="23">
        <v>58000.0</v>
      </c>
      <c r="L13" s="14"/>
      <c r="M13" s="14"/>
      <c r="N13" s="1"/>
      <c r="O13" s="14"/>
    </row>
    <row r="14">
      <c r="A14" s="6" t="s">
        <v>15</v>
      </c>
      <c r="B14" s="7">
        <v>44240.0</v>
      </c>
      <c r="C14" s="9">
        <v>39000.0</v>
      </c>
      <c r="D14" s="9">
        <v>48000.0</v>
      </c>
      <c r="E14" s="10"/>
      <c r="F14" s="10"/>
      <c r="G14" s="10"/>
      <c r="H14" s="10"/>
      <c r="I14" s="11">
        <v>1.0</v>
      </c>
      <c r="J14" s="14"/>
      <c r="K14" s="12">
        <v>39000.0</v>
      </c>
      <c r="L14" s="25" t="s">
        <v>17</v>
      </c>
      <c r="M14" s="25" t="s">
        <v>18</v>
      </c>
      <c r="N14" s="14"/>
      <c r="O14" s="26" t="s">
        <v>19</v>
      </c>
    </row>
    <row r="15">
      <c r="A15" s="6" t="s">
        <v>16</v>
      </c>
      <c r="B15" s="7">
        <v>44241.0</v>
      </c>
      <c r="C15" s="9">
        <v>41000.0</v>
      </c>
      <c r="D15" s="9">
        <v>28000.0</v>
      </c>
      <c r="E15" s="10"/>
      <c r="F15" s="10"/>
      <c r="G15" s="10"/>
      <c r="H15" s="10"/>
      <c r="I15" s="11">
        <v>1.0</v>
      </c>
      <c r="J15" s="14"/>
      <c r="K15" s="12">
        <v>41000.0</v>
      </c>
      <c r="L15" s="27">
        <f>D31+Charges!G248-M15-E31-'Salaires '!K23</f>
        <v>514628</v>
      </c>
      <c r="M15" s="28">
        <v>25000.0</v>
      </c>
      <c r="N15" s="14"/>
      <c r="O15" s="8">
        <f>D31-C31</f>
        <v>-147000</v>
      </c>
    </row>
    <row r="16">
      <c r="A16" s="6" t="s">
        <v>9</v>
      </c>
      <c r="B16" s="7">
        <v>44242.0</v>
      </c>
      <c r="C16" s="9">
        <v>28000.0</v>
      </c>
      <c r="D16" s="9">
        <v>33000.0</v>
      </c>
      <c r="E16" s="10"/>
      <c r="F16" s="10"/>
      <c r="G16" s="10"/>
      <c r="H16" s="10"/>
      <c r="I16" s="11">
        <v>1.0</v>
      </c>
      <c r="J16" s="14"/>
      <c r="K16" s="12">
        <v>28000.0</v>
      </c>
      <c r="L16" s="1"/>
      <c r="M16" s="29"/>
      <c r="N16" s="1"/>
      <c r="O16" s="30"/>
    </row>
    <row r="17">
      <c r="A17" s="6" t="s">
        <v>11</v>
      </c>
      <c r="B17" s="7">
        <v>44243.0</v>
      </c>
      <c r="C17" s="9">
        <v>28000.0</v>
      </c>
      <c r="D17" s="9">
        <v>27000.0</v>
      </c>
      <c r="E17" s="10"/>
      <c r="F17" s="10"/>
      <c r="G17" s="10"/>
      <c r="H17" s="10"/>
      <c r="I17" s="11">
        <v>1.0</v>
      </c>
      <c r="J17" s="14"/>
      <c r="K17" s="12">
        <v>28000.0</v>
      </c>
      <c r="L17" s="18"/>
      <c r="M17" s="31">
        <v>19450.0</v>
      </c>
      <c r="N17" s="32" t="s">
        <v>20</v>
      </c>
      <c r="O17" s="33">
        <v>497600.0</v>
      </c>
    </row>
    <row r="18">
      <c r="A18" s="6" t="s">
        <v>12</v>
      </c>
      <c r="B18" s="7">
        <v>44244.0</v>
      </c>
      <c r="C18" s="9">
        <v>28000.0</v>
      </c>
      <c r="D18" s="9">
        <v>33000.0</v>
      </c>
      <c r="E18" s="10"/>
      <c r="F18" s="10"/>
      <c r="G18" s="10"/>
      <c r="H18" s="10"/>
      <c r="I18" s="11">
        <v>1.0</v>
      </c>
      <c r="J18" s="14"/>
      <c r="K18" s="12">
        <v>28000.0</v>
      </c>
      <c r="L18" s="16"/>
      <c r="M18" s="31">
        <v>5550.0</v>
      </c>
      <c r="N18" s="32" t="s">
        <v>21</v>
      </c>
      <c r="O18" s="34">
        <v>310000.0</v>
      </c>
      <c r="P18" s="17" t="s">
        <v>22</v>
      </c>
    </row>
    <row r="19">
      <c r="A19" s="6" t="s">
        <v>13</v>
      </c>
      <c r="B19" s="7">
        <v>44245.0</v>
      </c>
      <c r="C19" s="9">
        <v>39000.0</v>
      </c>
      <c r="D19" s="9">
        <v>54000.0</v>
      </c>
      <c r="E19" s="10"/>
      <c r="F19" s="10"/>
      <c r="G19" s="10"/>
      <c r="H19" s="10"/>
      <c r="I19" s="11">
        <v>1.0</v>
      </c>
      <c r="J19" s="14"/>
      <c r="K19" s="12">
        <v>39000.0</v>
      </c>
      <c r="L19" s="16"/>
      <c r="M19" s="31"/>
      <c r="N19" s="1"/>
      <c r="O19" s="34">
        <v>2000.0</v>
      </c>
      <c r="P19" s="17" t="s">
        <v>23</v>
      </c>
    </row>
    <row r="20">
      <c r="A20" s="21" t="s">
        <v>14</v>
      </c>
      <c r="B20" s="22">
        <v>44246.0</v>
      </c>
      <c r="C20" s="9">
        <v>50000.0</v>
      </c>
      <c r="D20" s="9">
        <v>48000.0</v>
      </c>
      <c r="E20" s="10"/>
      <c r="F20" s="10"/>
      <c r="G20" s="10"/>
      <c r="H20" s="10"/>
      <c r="I20" s="11">
        <v>1.0</v>
      </c>
      <c r="J20" s="14"/>
      <c r="K20" s="23">
        <v>50000.0</v>
      </c>
      <c r="L20" s="18"/>
      <c r="M20" s="35"/>
      <c r="N20" s="1"/>
      <c r="O20" s="34">
        <v>15000.0</v>
      </c>
      <c r="P20" s="17" t="s">
        <v>24</v>
      </c>
    </row>
    <row r="21">
      <c r="A21" s="6" t="s">
        <v>15</v>
      </c>
      <c r="B21" s="7">
        <v>44247.0</v>
      </c>
      <c r="C21" s="9">
        <v>36000.0</v>
      </c>
      <c r="D21" s="9">
        <v>20000.0</v>
      </c>
      <c r="E21" s="10"/>
      <c r="F21" s="10"/>
      <c r="G21" s="10"/>
      <c r="H21" s="10"/>
      <c r="I21" s="11">
        <v>1.0</v>
      </c>
      <c r="J21" s="14"/>
      <c r="K21" s="12">
        <v>36000.0</v>
      </c>
      <c r="L21" s="18"/>
      <c r="M21" s="35"/>
      <c r="N21" s="1"/>
      <c r="O21" s="34">
        <v>5000.0</v>
      </c>
      <c r="P21" s="17" t="s">
        <v>25</v>
      </c>
    </row>
    <row r="22">
      <c r="A22" s="6" t="s">
        <v>16</v>
      </c>
      <c r="B22" s="7">
        <v>44248.0</v>
      </c>
      <c r="C22" s="9">
        <v>25000.0</v>
      </c>
      <c r="D22" s="9">
        <v>20000.0</v>
      </c>
      <c r="E22" s="10"/>
      <c r="F22" s="10"/>
      <c r="G22" s="10"/>
      <c r="H22" s="10"/>
      <c r="I22" s="11">
        <v>1.0</v>
      </c>
      <c r="J22" s="14"/>
      <c r="K22" s="12">
        <v>25000.0</v>
      </c>
      <c r="L22" s="18"/>
      <c r="M22" s="35"/>
      <c r="N22" s="1"/>
      <c r="O22" s="34">
        <v>20000.0</v>
      </c>
      <c r="P22" s="17" t="s">
        <v>26</v>
      </c>
    </row>
    <row r="23">
      <c r="A23" s="6" t="s">
        <v>9</v>
      </c>
      <c r="B23" s="7">
        <v>44249.0</v>
      </c>
      <c r="C23" s="9">
        <v>30000.0</v>
      </c>
      <c r="D23" s="9">
        <v>30000.0</v>
      </c>
      <c r="E23" s="10"/>
      <c r="F23" s="10"/>
      <c r="G23" s="10"/>
      <c r="H23" s="10"/>
      <c r="I23" s="11">
        <v>1.0</v>
      </c>
      <c r="J23" s="14"/>
      <c r="K23" s="12">
        <v>30000.0</v>
      </c>
      <c r="L23" s="1"/>
      <c r="M23" s="35"/>
      <c r="N23" s="1"/>
      <c r="O23" s="34">
        <v>91100.0</v>
      </c>
      <c r="P23" s="36" t="s">
        <v>27</v>
      </c>
    </row>
    <row r="24">
      <c r="A24" s="6" t="s">
        <v>11</v>
      </c>
      <c r="B24" s="7">
        <v>44250.0</v>
      </c>
      <c r="C24" s="9">
        <v>32000.0</v>
      </c>
      <c r="D24" s="9">
        <v>21000.0</v>
      </c>
      <c r="E24" s="10"/>
      <c r="F24" s="10"/>
      <c r="G24" s="10"/>
      <c r="H24" s="10"/>
      <c r="I24" s="11">
        <v>1.0</v>
      </c>
      <c r="J24" s="14"/>
      <c r="K24" s="12">
        <v>32000.0</v>
      </c>
      <c r="L24" s="1"/>
      <c r="M24" s="37"/>
      <c r="N24" s="1"/>
      <c r="O24" s="38">
        <f>O17-O18-O19-O20-O21-O22-O23</f>
        <v>54500</v>
      </c>
    </row>
    <row r="25">
      <c r="A25" s="6" t="s">
        <v>12</v>
      </c>
      <c r="B25" s="7">
        <v>44251.0</v>
      </c>
      <c r="C25" s="9">
        <v>40000.0</v>
      </c>
      <c r="D25" s="9">
        <v>35000.0</v>
      </c>
      <c r="E25" s="10"/>
      <c r="F25" s="10"/>
      <c r="G25" s="10"/>
      <c r="H25" s="10"/>
      <c r="I25" s="11">
        <v>1.0</v>
      </c>
      <c r="J25" s="14"/>
      <c r="K25" s="12">
        <v>40000.0</v>
      </c>
      <c r="L25" s="1"/>
      <c r="M25" s="37"/>
      <c r="N25" s="1"/>
      <c r="O25" s="1"/>
    </row>
    <row r="26">
      <c r="A26" s="6" t="s">
        <v>13</v>
      </c>
      <c r="B26" s="7">
        <v>44252.0</v>
      </c>
      <c r="C26" s="9">
        <v>46000.0</v>
      </c>
      <c r="D26" s="9">
        <v>38000.0</v>
      </c>
      <c r="E26" s="10"/>
      <c r="F26" s="10"/>
      <c r="G26" s="10"/>
      <c r="H26" s="10"/>
      <c r="I26" s="11">
        <v>1.0</v>
      </c>
      <c r="J26" s="14"/>
      <c r="K26" s="12">
        <v>46000.0</v>
      </c>
      <c r="L26" s="1"/>
      <c r="M26" s="37"/>
      <c r="N26" s="1"/>
      <c r="O26" s="1"/>
    </row>
    <row r="27">
      <c r="A27" s="21" t="s">
        <v>14</v>
      </c>
      <c r="B27" s="22">
        <v>44253.0</v>
      </c>
      <c r="C27" s="9">
        <v>80000.0</v>
      </c>
      <c r="D27" s="9">
        <v>43000.0</v>
      </c>
      <c r="E27" s="10"/>
      <c r="F27" s="10"/>
      <c r="G27" s="10"/>
      <c r="H27" s="10"/>
      <c r="I27" s="11">
        <v>1.0</v>
      </c>
      <c r="J27" s="14"/>
      <c r="K27" s="24">
        <v>80000.0</v>
      </c>
      <c r="L27" s="1"/>
      <c r="M27" s="37"/>
      <c r="N27" s="1"/>
      <c r="O27" s="1"/>
    </row>
    <row r="28">
      <c r="A28" s="6" t="s">
        <v>15</v>
      </c>
      <c r="B28" s="7">
        <v>44254.0</v>
      </c>
      <c r="C28" s="9">
        <v>34000.0</v>
      </c>
      <c r="D28" s="9">
        <v>34000.0</v>
      </c>
      <c r="E28" s="10"/>
      <c r="F28" s="10"/>
      <c r="G28" s="10"/>
      <c r="H28" s="10"/>
      <c r="I28" s="11">
        <v>1.0</v>
      </c>
      <c r="J28" s="14"/>
      <c r="K28" s="12">
        <v>34000.0</v>
      </c>
      <c r="L28" s="1"/>
      <c r="M28" s="1"/>
      <c r="N28" s="1"/>
      <c r="O28" s="1"/>
    </row>
    <row r="29">
      <c r="A29" s="6" t="s">
        <v>16</v>
      </c>
      <c r="B29" s="7">
        <v>44255.0</v>
      </c>
      <c r="C29" s="9">
        <v>36000.0</v>
      </c>
      <c r="D29" s="9">
        <v>40000.0</v>
      </c>
      <c r="E29" s="10"/>
      <c r="F29" s="10"/>
      <c r="G29" s="10"/>
      <c r="H29" s="10"/>
      <c r="I29" s="11">
        <v>1.0</v>
      </c>
      <c r="J29" s="14"/>
      <c r="K29" s="9">
        <v>36000.0</v>
      </c>
      <c r="L29" s="1"/>
      <c r="M29" s="1"/>
      <c r="N29" s="1"/>
      <c r="O29" s="1"/>
    </row>
    <row r="30">
      <c r="A30" s="6"/>
      <c r="B30" s="7"/>
      <c r="C30" s="9">
        <v>17000.0</v>
      </c>
      <c r="D30" s="8"/>
      <c r="E30" s="10"/>
      <c r="F30" s="10"/>
      <c r="G30" s="10"/>
      <c r="H30" s="10"/>
      <c r="I30" s="39"/>
      <c r="J30" s="14"/>
      <c r="K30" s="9">
        <v>17000.0</v>
      </c>
      <c r="L30" s="1"/>
      <c r="M30" s="1"/>
      <c r="N30" s="1"/>
      <c r="O30" s="1"/>
    </row>
    <row r="31">
      <c r="B31" s="40" t="s">
        <v>28</v>
      </c>
      <c r="C31" s="41">
        <f t="shared" ref="C31:D31" si="1">SUM(C2:C30)</f>
        <v>1194000</v>
      </c>
      <c r="D31" s="24">
        <f t="shared" si="1"/>
        <v>1047000</v>
      </c>
      <c r="E31" s="42">
        <f>Charges!G247*1</f>
        <v>499172</v>
      </c>
      <c r="F31" s="43">
        <f>'Salaires '!J23*1</f>
        <v>197704</v>
      </c>
      <c r="G31" s="12">
        <v>50000.0</v>
      </c>
      <c r="H31" s="44">
        <f>D31+Charges!G248-E31-F31-G31</f>
        <v>320124</v>
      </c>
      <c r="I31" s="45">
        <f>SUM(I2:I30)</f>
        <v>28</v>
      </c>
      <c r="J31" s="14"/>
      <c r="K31" s="24">
        <f>SUM(K2:K30)</f>
        <v>1194000</v>
      </c>
      <c r="L31" s="1"/>
      <c r="M31" s="1"/>
      <c r="N31" s="1"/>
      <c r="O31" s="46">
        <v>40000.0</v>
      </c>
      <c r="P31" s="36" t="s">
        <v>29</v>
      </c>
    </row>
    <row r="33">
      <c r="B33" s="47"/>
      <c r="C33" s="48" t="s">
        <v>30</v>
      </c>
      <c r="D33" s="49">
        <v>1365000.0</v>
      </c>
      <c r="E33" s="49">
        <v>500000.0</v>
      </c>
      <c r="F33" s="49">
        <v>215000.0</v>
      </c>
      <c r="G33" s="49">
        <v>50000.0</v>
      </c>
      <c r="H33" s="49">
        <v>600000.0</v>
      </c>
      <c r="I33" s="50"/>
    </row>
    <row r="34">
      <c r="B34" s="47"/>
      <c r="C34" s="47" t="s">
        <v>31</v>
      </c>
      <c r="D34" s="49">
        <v>1194000.0</v>
      </c>
      <c r="E34" s="49">
        <v>468000.0</v>
      </c>
      <c r="F34" s="49">
        <v>215000.0</v>
      </c>
      <c r="G34" s="49">
        <v>50000.0</v>
      </c>
      <c r="H34" s="49">
        <v>480000.0</v>
      </c>
      <c r="I34" s="50"/>
    </row>
    <row r="36">
      <c r="D36" s="51">
        <f t="shared" ref="D36:H36" si="2">D33-D31</f>
        <v>318000</v>
      </c>
      <c r="E36" s="51">
        <f t="shared" si="2"/>
        <v>828</v>
      </c>
      <c r="F36" s="51">
        <f t="shared" si="2"/>
        <v>17296</v>
      </c>
      <c r="G36" s="51">
        <f t="shared" si="2"/>
        <v>0</v>
      </c>
      <c r="H36" s="51">
        <f t="shared" si="2"/>
        <v>279876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2.88"/>
    <col customWidth="1" min="5" max="5" width="34.88"/>
    <col customWidth="1" min="6" max="7" width="26.5"/>
    <col customWidth="1" min="8" max="8" width="38.0"/>
    <col customWidth="1" min="10" max="10" width="25.25"/>
  </cols>
  <sheetData>
    <row r="3">
      <c r="D3" s="52" t="s">
        <v>32</v>
      </c>
      <c r="E3" s="53" t="s">
        <v>33</v>
      </c>
      <c r="F3" s="54" t="s">
        <v>34</v>
      </c>
      <c r="G3" s="53" t="s">
        <v>35</v>
      </c>
      <c r="H3" s="53" t="s">
        <v>36</v>
      </c>
    </row>
    <row r="4">
      <c r="D4" s="55" t="s">
        <v>37</v>
      </c>
      <c r="E4" s="56">
        <v>10.0</v>
      </c>
      <c r="F4" s="57">
        <v>410.0</v>
      </c>
      <c r="G4" s="57">
        <v>4100.0</v>
      </c>
      <c r="H4" s="58">
        <v>44228.0</v>
      </c>
    </row>
    <row r="5">
      <c r="D5" s="56" t="s">
        <v>38</v>
      </c>
      <c r="E5" s="56" t="s">
        <v>39</v>
      </c>
      <c r="F5" s="57">
        <v>930.0</v>
      </c>
      <c r="G5" s="57">
        <v>1860.0</v>
      </c>
      <c r="H5" s="58">
        <v>44228.0</v>
      </c>
    </row>
    <row r="6">
      <c r="D6" s="56" t="s">
        <v>40</v>
      </c>
      <c r="E6" s="56" t="s">
        <v>41</v>
      </c>
      <c r="F6" s="57">
        <v>680.0</v>
      </c>
      <c r="G6" s="57">
        <v>3400.0</v>
      </c>
      <c r="H6" s="58">
        <v>44228.0</v>
      </c>
    </row>
    <row r="7">
      <c r="D7" s="56" t="s">
        <v>42</v>
      </c>
      <c r="E7" s="56" t="s">
        <v>43</v>
      </c>
      <c r="F7" s="57">
        <v>74.0</v>
      </c>
      <c r="G7" s="57">
        <v>740.0</v>
      </c>
      <c r="H7" s="59">
        <v>44228.0</v>
      </c>
    </row>
    <row r="8">
      <c r="D8" s="56" t="s">
        <v>44</v>
      </c>
      <c r="E8" s="56" t="s">
        <v>45</v>
      </c>
      <c r="F8" s="57" t="s">
        <v>46</v>
      </c>
      <c r="G8" s="57">
        <v>960.0</v>
      </c>
      <c r="H8" s="58">
        <v>44228.0</v>
      </c>
    </row>
    <row r="9">
      <c r="D9" s="56" t="s">
        <v>47</v>
      </c>
      <c r="E9" s="56" t="s">
        <v>48</v>
      </c>
      <c r="F9" s="57">
        <v>50.0</v>
      </c>
      <c r="G9" s="57">
        <v>600.0</v>
      </c>
      <c r="H9" s="58">
        <v>44228.0</v>
      </c>
    </row>
    <row r="10">
      <c r="D10" s="56" t="s">
        <v>49</v>
      </c>
      <c r="E10" s="56" t="s">
        <v>50</v>
      </c>
      <c r="F10" s="57">
        <v>196.0</v>
      </c>
      <c r="G10" s="57">
        <v>2352.0</v>
      </c>
      <c r="H10" s="58">
        <v>44228.0</v>
      </c>
    </row>
    <row r="11">
      <c r="D11" s="56" t="s">
        <v>51</v>
      </c>
      <c r="E11" s="56" t="s">
        <v>52</v>
      </c>
      <c r="F11" s="57">
        <v>170.0</v>
      </c>
      <c r="G11" s="57">
        <v>850.0</v>
      </c>
      <c r="H11" s="58">
        <v>44228.0</v>
      </c>
    </row>
    <row r="12">
      <c r="D12" s="56" t="s">
        <v>53</v>
      </c>
      <c r="E12" s="56">
        <v>2.0</v>
      </c>
      <c r="F12" s="57">
        <v>50.0</v>
      </c>
      <c r="G12" s="57">
        <v>100.0</v>
      </c>
      <c r="H12" s="58">
        <v>44228.0</v>
      </c>
    </row>
    <row r="13">
      <c r="D13" s="56" t="s">
        <v>54</v>
      </c>
      <c r="E13" s="56">
        <v>1.0</v>
      </c>
      <c r="F13" s="57">
        <v>1000.0</v>
      </c>
      <c r="G13" s="57">
        <v>1000.0</v>
      </c>
      <c r="H13" s="58">
        <v>44228.0</v>
      </c>
    </row>
    <row r="14">
      <c r="D14" s="56" t="s">
        <v>55</v>
      </c>
      <c r="E14" s="56">
        <v>1.0</v>
      </c>
      <c r="F14" s="57">
        <v>800.0</v>
      </c>
      <c r="G14" s="57">
        <v>800.0</v>
      </c>
      <c r="H14" s="58">
        <v>44228.0</v>
      </c>
    </row>
    <row r="15">
      <c r="D15" s="56" t="s">
        <v>56</v>
      </c>
      <c r="E15" s="56" t="s">
        <v>57</v>
      </c>
      <c r="F15" s="57">
        <v>77.0</v>
      </c>
      <c r="G15" s="57">
        <v>1232.0</v>
      </c>
      <c r="H15" s="58">
        <v>44248.0</v>
      </c>
    </row>
    <row r="16">
      <c r="D16" s="56" t="s">
        <v>58</v>
      </c>
      <c r="E16" s="56">
        <v>1.0</v>
      </c>
      <c r="F16" s="57">
        <v>1650.0</v>
      </c>
      <c r="G16" s="57">
        <v>1650.0</v>
      </c>
      <c r="H16" s="58">
        <v>44248.0</v>
      </c>
      <c r="J16" s="60" t="s">
        <v>18</v>
      </c>
    </row>
    <row r="17">
      <c r="D17" s="56" t="s">
        <v>59</v>
      </c>
      <c r="E17" s="56">
        <v>12.0</v>
      </c>
      <c r="F17" s="57">
        <v>50.0</v>
      </c>
      <c r="G17" s="57">
        <v>600.0</v>
      </c>
      <c r="H17" s="58">
        <v>44228.0</v>
      </c>
      <c r="J17" s="61" t="s">
        <v>60</v>
      </c>
      <c r="K17" s="61">
        <v>1.0</v>
      </c>
      <c r="L17" s="62">
        <v>1000.0</v>
      </c>
      <c r="M17" s="63">
        <v>44248.0</v>
      </c>
    </row>
    <row r="18">
      <c r="D18" s="56" t="s">
        <v>61</v>
      </c>
      <c r="E18" s="56">
        <v>2.0</v>
      </c>
      <c r="F18" s="57">
        <v>100.0</v>
      </c>
      <c r="G18" s="57">
        <v>200.0</v>
      </c>
      <c r="H18" s="58">
        <v>44228.0</v>
      </c>
      <c r="J18" s="64" t="s">
        <v>62</v>
      </c>
      <c r="K18" s="64">
        <v>2.0</v>
      </c>
      <c r="L18" s="65">
        <v>15000.0</v>
      </c>
      <c r="M18" s="63">
        <v>44234.0</v>
      </c>
    </row>
    <row r="19">
      <c r="D19" s="66" t="s">
        <v>63</v>
      </c>
      <c r="E19" s="66">
        <v>200.0</v>
      </c>
      <c r="F19" s="67">
        <v>50.0</v>
      </c>
      <c r="G19" s="67">
        <v>10000.0</v>
      </c>
      <c r="H19" s="68">
        <v>44228.0</v>
      </c>
      <c r="J19" s="64" t="s">
        <v>64</v>
      </c>
      <c r="K19" s="64">
        <v>1.0</v>
      </c>
      <c r="L19" s="65">
        <v>2000.0</v>
      </c>
      <c r="M19" s="63">
        <v>44233.0</v>
      </c>
    </row>
    <row r="20">
      <c r="D20" s="56" t="s">
        <v>65</v>
      </c>
      <c r="E20" s="69"/>
      <c r="F20" s="57" t="s">
        <v>66</v>
      </c>
      <c r="G20" s="57">
        <v>20000.0</v>
      </c>
      <c r="H20" s="58">
        <v>44228.0</v>
      </c>
      <c r="J20" s="64" t="s">
        <v>67</v>
      </c>
      <c r="K20" s="61">
        <v>1.0</v>
      </c>
      <c r="L20" s="65">
        <v>2000.0</v>
      </c>
      <c r="M20" s="63">
        <v>44245.0</v>
      </c>
    </row>
    <row r="21">
      <c r="D21" s="56" t="s">
        <v>68</v>
      </c>
      <c r="E21" s="56" t="s">
        <v>69</v>
      </c>
      <c r="F21" s="57">
        <v>535.0</v>
      </c>
      <c r="G21" s="57">
        <v>8560.0</v>
      </c>
      <c r="H21" s="58">
        <v>44228.0</v>
      </c>
      <c r="J21" s="61"/>
      <c r="K21" s="61"/>
      <c r="L21" s="62"/>
      <c r="M21" s="70"/>
    </row>
    <row r="22">
      <c r="D22" s="56" t="s">
        <v>70</v>
      </c>
      <c r="E22" s="56" t="s">
        <v>71</v>
      </c>
      <c r="F22" s="57">
        <v>125.0</v>
      </c>
      <c r="G22" s="57">
        <v>6000.0</v>
      </c>
      <c r="H22" s="58">
        <v>44228.0</v>
      </c>
      <c r="J22" s="61"/>
      <c r="K22" s="61"/>
      <c r="L22" s="62"/>
      <c r="M22" s="70"/>
    </row>
    <row r="23">
      <c r="D23" s="56" t="s">
        <v>72</v>
      </c>
      <c r="E23" s="56" t="s">
        <v>50</v>
      </c>
      <c r="F23" s="57">
        <v>160.0</v>
      </c>
      <c r="G23" s="57">
        <v>1920.0</v>
      </c>
      <c r="H23" s="58">
        <v>44228.0</v>
      </c>
      <c r="J23" s="69"/>
      <c r="K23" s="69"/>
      <c r="L23" s="69"/>
      <c r="M23" s="71"/>
    </row>
    <row r="24">
      <c r="D24" s="56" t="s">
        <v>73</v>
      </c>
      <c r="E24" s="56" t="s">
        <v>74</v>
      </c>
      <c r="F24" s="57">
        <v>600.0</v>
      </c>
      <c r="G24" s="57">
        <v>2400.0</v>
      </c>
      <c r="H24" s="58">
        <v>44228.0</v>
      </c>
      <c r="J24" s="69"/>
      <c r="K24" s="69"/>
      <c r="L24" s="69"/>
      <c r="M24" s="71"/>
    </row>
    <row r="25">
      <c r="D25" s="56" t="s">
        <v>75</v>
      </c>
      <c r="E25" s="56" t="s">
        <v>76</v>
      </c>
      <c r="F25" s="57">
        <v>240.0</v>
      </c>
      <c r="G25" s="57">
        <v>3120.0</v>
      </c>
      <c r="H25" s="58">
        <v>44228.0</v>
      </c>
      <c r="J25" s="69" t="s">
        <v>28</v>
      </c>
      <c r="K25" s="14"/>
      <c r="L25" s="72">
        <f>SUM(L17:L24)</f>
        <v>20000</v>
      </c>
      <c r="M25" s="14"/>
    </row>
    <row r="26">
      <c r="D26" s="56" t="s">
        <v>77</v>
      </c>
      <c r="E26" s="56" t="s">
        <v>78</v>
      </c>
      <c r="F26" s="57">
        <v>55.0</v>
      </c>
      <c r="G26" s="57">
        <v>550.0</v>
      </c>
      <c r="H26" s="58">
        <v>44228.0</v>
      </c>
    </row>
    <row r="27">
      <c r="D27" s="56" t="s">
        <v>79</v>
      </c>
      <c r="E27" s="56" t="s">
        <v>80</v>
      </c>
      <c r="F27" s="57">
        <v>330.0</v>
      </c>
      <c r="G27" s="57">
        <v>1000.0</v>
      </c>
      <c r="H27" s="58">
        <v>44228.0</v>
      </c>
    </row>
    <row r="28">
      <c r="D28" s="56" t="s">
        <v>81</v>
      </c>
      <c r="E28" s="56" t="s">
        <v>82</v>
      </c>
      <c r="F28" s="57">
        <v>870.0</v>
      </c>
      <c r="G28" s="57">
        <v>1740.0</v>
      </c>
      <c r="H28" s="58">
        <v>44228.0</v>
      </c>
    </row>
    <row r="29">
      <c r="D29" s="56" t="s">
        <v>83</v>
      </c>
      <c r="E29" s="56" t="s">
        <v>82</v>
      </c>
      <c r="F29" s="57">
        <v>1550.0</v>
      </c>
      <c r="G29" s="57">
        <v>3100.0</v>
      </c>
      <c r="H29" s="58">
        <v>44228.0</v>
      </c>
    </row>
    <row r="30">
      <c r="D30" s="56" t="s">
        <v>84</v>
      </c>
      <c r="E30" s="56" t="s">
        <v>82</v>
      </c>
      <c r="F30" s="57">
        <v>1150.0</v>
      </c>
      <c r="G30" s="57">
        <v>2300.0</v>
      </c>
      <c r="H30" s="58">
        <v>44228.0</v>
      </c>
    </row>
    <row r="31">
      <c r="D31" s="56" t="s">
        <v>85</v>
      </c>
      <c r="E31" s="56" t="s">
        <v>82</v>
      </c>
      <c r="F31" s="57">
        <v>900.0</v>
      </c>
      <c r="G31" s="57">
        <v>1800.0</v>
      </c>
      <c r="H31" s="58">
        <v>44228.0</v>
      </c>
    </row>
    <row r="32">
      <c r="D32" s="56" t="s">
        <v>86</v>
      </c>
      <c r="E32" s="56" t="s">
        <v>87</v>
      </c>
      <c r="F32" s="57">
        <v>850.0</v>
      </c>
      <c r="G32" s="57">
        <v>850.0</v>
      </c>
      <c r="H32" s="58">
        <v>44228.0</v>
      </c>
    </row>
    <row r="33">
      <c r="D33" s="56" t="s">
        <v>88</v>
      </c>
      <c r="E33" s="56" t="s">
        <v>89</v>
      </c>
      <c r="F33" s="57">
        <v>430.0</v>
      </c>
      <c r="G33" s="57">
        <v>430.0</v>
      </c>
      <c r="H33" s="58">
        <v>44228.0</v>
      </c>
    </row>
    <row r="34">
      <c r="D34" s="56" t="s">
        <v>90</v>
      </c>
      <c r="E34" s="56">
        <v>1.0</v>
      </c>
      <c r="F34" s="57">
        <v>350.0</v>
      </c>
      <c r="G34" s="57">
        <v>350.0</v>
      </c>
      <c r="H34" s="58">
        <v>44228.0</v>
      </c>
    </row>
    <row r="35">
      <c r="D35" s="56" t="s">
        <v>91</v>
      </c>
      <c r="E35" s="56" t="s">
        <v>92</v>
      </c>
      <c r="F35" s="57">
        <v>1400.0</v>
      </c>
      <c r="G35" s="57">
        <v>1400.0</v>
      </c>
      <c r="H35" s="58">
        <v>44228.0</v>
      </c>
    </row>
    <row r="36">
      <c r="D36" s="73" t="s">
        <v>93</v>
      </c>
      <c r="E36" s="69" t="s">
        <v>94</v>
      </c>
      <c r="F36" s="74">
        <v>500.0</v>
      </c>
      <c r="G36" s="57">
        <v>500.0</v>
      </c>
      <c r="H36" s="58">
        <v>44228.0</v>
      </c>
    </row>
    <row r="37">
      <c r="D37" s="69" t="s">
        <v>95</v>
      </c>
      <c r="E37" s="56" t="s">
        <v>96</v>
      </c>
      <c r="F37" s="57">
        <v>100.0</v>
      </c>
      <c r="G37" s="57">
        <v>3000.0</v>
      </c>
      <c r="H37" s="58">
        <v>44228.0</v>
      </c>
    </row>
    <row r="38">
      <c r="D38" s="69" t="s">
        <v>97</v>
      </c>
      <c r="E38" s="69">
        <v>3.0</v>
      </c>
      <c r="F38" s="74">
        <v>1500.0</v>
      </c>
      <c r="G38" s="57">
        <v>1500.0</v>
      </c>
      <c r="H38" s="58">
        <v>44228.0</v>
      </c>
    </row>
    <row r="39">
      <c r="D39" s="69" t="s">
        <v>98</v>
      </c>
      <c r="E39" s="69">
        <v>2.0</v>
      </c>
      <c r="F39" s="74">
        <v>1650.0</v>
      </c>
      <c r="G39" s="57">
        <v>1650.0</v>
      </c>
      <c r="H39" s="58">
        <v>44228.0</v>
      </c>
    </row>
    <row r="40">
      <c r="D40" s="56" t="s">
        <v>99</v>
      </c>
      <c r="E40" s="56">
        <v>5.0</v>
      </c>
      <c r="F40" s="57">
        <v>300.0</v>
      </c>
      <c r="G40" s="57">
        <v>1500.0</v>
      </c>
      <c r="H40" s="58">
        <v>44228.0</v>
      </c>
    </row>
    <row r="41">
      <c r="D41" s="56" t="s">
        <v>100</v>
      </c>
      <c r="E41" s="56" t="s">
        <v>101</v>
      </c>
      <c r="F41" s="57">
        <v>1000.0</v>
      </c>
      <c r="G41" s="57">
        <v>500.0</v>
      </c>
      <c r="H41" s="58">
        <v>44228.0</v>
      </c>
    </row>
    <row r="42">
      <c r="D42" s="56" t="s">
        <v>102</v>
      </c>
      <c r="E42" s="56">
        <v>6.0</v>
      </c>
      <c r="F42" s="57" t="s">
        <v>94</v>
      </c>
      <c r="G42" s="57">
        <v>850.0</v>
      </c>
      <c r="H42" s="58">
        <v>44228.0</v>
      </c>
    </row>
    <row r="43">
      <c r="D43" s="56" t="s">
        <v>103</v>
      </c>
      <c r="E43" s="56" t="s">
        <v>104</v>
      </c>
      <c r="F43" s="57" t="s">
        <v>105</v>
      </c>
      <c r="G43" s="57">
        <v>1100.0</v>
      </c>
      <c r="H43" s="58">
        <v>44228.0</v>
      </c>
    </row>
    <row r="44">
      <c r="D44" s="56" t="s">
        <v>106</v>
      </c>
      <c r="E44" s="56">
        <v>5.0</v>
      </c>
      <c r="F44" s="57">
        <v>600.0</v>
      </c>
      <c r="G44" s="57">
        <v>600.0</v>
      </c>
      <c r="H44" s="58">
        <v>44228.0</v>
      </c>
    </row>
    <row r="45">
      <c r="D45" s="56" t="s">
        <v>107</v>
      </c>
      <c r="E45" s="56" t="s">
        <v>108</v>
      </c>
      <c r="F45" s="57">
        <v>1300.0</v>
      </c>
      <c r="G45" s="57">
        <v>6500.0</v>
      </c>
      <c r="H45" s="58">
        <v>44228.0</v>
      </c>
    </row>
    <row r="46">
      <c r="D46" s="56" t="s">
        <v>109</v>
      </c>
      <c r="E46" s="56" t="s">
        <v>110</v>
      </c>
      <c r="F46" s="57">
        <v>1200.0</v>
      </c>
      <c r="G46" s="57">
        <v>24000.0</v>
      </c>
      <c r="H46" s="58">
        <v>44228.0</v>
      </c>
    </row>
    <row r="47">
      <c r="D47" s="56" t="s">
        <v>111</v>
      </c>
      <c r="E47" s="56" t="s">
        <v>112</v>
      </c>
      <c r="F47" s="57">
        <v>1400.0</v>
      </c>
      <c r="G47" s="57">
        <v>8400.0</v>
      </c>
      <c r="H47" s="58">
        <v>44228.0</v>
      </c>
    </row>
    <row r="48">
      <c r="D48" s="56" t="s">
        <v>113</v>
      </c>
      <c r="E48" s="56" t="s">
        <v>112</v>
      </c>
      <c r="F48" s="57" t="s">
        <v>94</v>
      </c>
      <c r="G48" s="57">
        <v>600.0</v>
      </c>
      <c r="H48" s="58">
        <v>44228.0</v>
      </c>
    </row>
    <row r="49">
      <c r="D49" s="56" t="s">
        <v>114</v>
      </c>
      <c r="E49" s="56" t="s">
        <v>115</v>
      </c>
      <c r="F49" s="57" t="s">
        <v>116</v>
      </c>
      <c r="G49" s="57">
        <v>1100.0</v>
      </c>
      <c r="H49" s="58">
        <v>44228.0</v>
      </c>
    </row>
    <row r="50">
      <c r="D50" s="56" t="s">
        <v>93</v>
      </c>
      <c r="E50" s="56">
        <v>300.0</v>
      </c>
      <c r="F50" s="57">
        <v>1500.0</v>
      </c>
      <c r="G50" s="57">
        <v>500.0</v>
      </c>
      <c r="H50" s="58">
        <v>44228.0</v>
      </c>
    </row>
    <row r="51">
      <c r="D51" s="56" t="s">
        <v>117</v>
      </c>
      <c r="E51" s="56">
        <v>2.0</v>
      </c>
      <c r="F51" s="57">
        <v>100.0</v>
      </c>
      <c r="G51" s="57">
        <v>200.0</v>
      </c>
      <c r="H51" s="58">
        <v>44228.0</v>
      </c>
    </row>
    <row r="52">
      <c r="D52" s="56" t="s">
        <v>118</v>
      </c>
      <c r="E52" s="56">
        <v>10.0</v>
      </c>
      <c r="F52" s="57">
        <v>30.0</v>
      </c>
      <c r="G52" s="57">
        <v>300.0</v>
      </c>
      <c r="H52" s="58">
        <v>44228.0</v>
      </c>
    </row>
    <row r="53">
      <c r="D53" s="56" t="s">
        <v>119</v>
      </c>
      <c r="E53" s="56">
        <v>7.0</v>
      </c>
      <c r="F53" s="57">
        <v>70.0</v>
      </c>
      <c r="G53" s="57">
        <v>490.0</v>
      </c>
      <c r="H53" s="58">
        <v>44228.0</v>
      </c>
    </row>
    <row r="54">
      <c r="D54" s="56" t="s">
        <v>120</v>
      </c>
      <c r="E54" s="56" t="s">
        <v>121</v>
      </c>
      <c r="F54" s="57">
        <v>50.0</v>
      </c>
      <c r="G54" s="57">
        <v>1000.0</v>
      </c>
      <c r="H54" s="58">
        <v>44228.0</v>
      </c>
    </row>
    <row r="55">
      <c r="D55" s="56" t="s">
        <v>113</v>
      </c>
      <c r="E55" s="56" t="s">
        <v>112</v>
      </c>
      <c r="F55" s="57">
        <v>100.0</v>
      </c>
      <c r="G55" s="57">
        <v>650.0</v>
      </c>
      <c r="H55" s="58">
        <v>44228.0</v>
      </c>
    </row>
    <row r="56">
      <c r="D56" s="56" t="s">
        <v>122</v>
      </c>
      <c r="E56" s="56">
        <v>5.0</v>
      </c>
      <c r="F56" s="57" t="s">
        <v>94</v>
      </c>
      <c r="G56" s="57">
        <v>1400.0</v>
      </c>
      <c r="H56" s="58">
        <v>44228.0</v>
      </c>
    </row>
    <row r="57">
      <c r="D57" s="56" t="s">
        <v>123</v>
      </c>
      <c r="E57" s="56" t="s">
        <v>124</v>
      </c>
      <c r="F57" s="57">
        <v>40.0</v>
      </c>
      <c r="G57" s="57">
        <v>400.0</v>
      </c>
      <c r="H57" s="58">
        <v>44228.0</v>
      </c>
    </row>
    <row r="58">
      <c r="D58" s="56" t="s">
        <v>125</v>
      </c>
      <c r="E58" s="56">
        <v>1.0</v>
      </c>
      <c r="F58" s="57">
        <v>500.0</v>
      </c>
      <c r="G58" s="57">
        <v>500.0</v>
      </c>
      <c r="H58" s="58">
        <v>44228.0</v>
      </c>
    </row>
    <row r="59">
      <c r="D59" s="56" t="s">
        <v>126</v>
      </c>
      <c r="E59" s="56">
        <v>2.0</v>
      </c>
      <c r="F59" s="57">
        <v>400.0</v>
      </c>
      <c r="G59" s="57">
        <v>800.0</v>
      </c>
      <c r="H59" s="58">
        <v>44228.0</v>
      </c>
    </row>
    <row r="60">
      <c r="D60" s="66" t="s">
        <v>63</v>
      </c>
      <c r="E60" s="66">
        <v>140.0</v>
      </c>
      <c r="F60" s="67">
        <v>50.0</v>
      </c>
      <c r="G60" s="67">
        <v>7000.0</v>
      </c>
      <c r="H60" s="68">
        <v>44228.0</v>
      </c>
    </row>
    <row r="61">
      <c r="D61" s="56" t="s">
        <v>127</v>
      </c>
      <c r="E61" s="56">
        <v>100.0</v>
      </c>
      <c r="F61" s="57">
        <v>23.0</v>
      </c>
      <c r="G61" s="57">
        <v>2300.0</v>
      </c>
      <c r="H61" s="58">
        <v>44228.0</v>
      </c>
    </row>
    <row r="62">
      <c r="D62" s="56" t="s">
        <v>128</v>
      </c>
      <c r="E62" s="56">
        <v>4.0</v>
      </c>
      <c r="F62" s="57">
        <v>40.0</v>
      </c>
      <c r="G62" s="57">
        <v>160.0</v>
      </c>
      <c r="H62" s="58">
        <v>44228.0</v>
      </c>
    </row>
    <row r="63">
      <c r="D63" s="56" t="s">
        <v>129</v>
      </c>
      <c r="E63" s="56">
        <v>50.0</v>
      </c>
      <c r="F63" s="57">
        <v>12.0</v>
      </c>
      <c r="G63" s="57">
        <v>600.0</v>
      </c>
      <c r="H63" s="58">
        <v>44228.0</v>
      </c>
    </row>
    <row r="64">
      <c r="D64" s="56" t="s">
        <v>130</v>
      </c>
      <c r="E64" s="56">
        <v>7.0</v>
      </c>
      <c r="F64" s="57">
        <v>30.0</v>
      </c>
      <c r="G64" s="57">
        <v>200.0</v>
      </c>
      <c r="H64" s="58">
        <v>44228.0</v>
      </c>
    </row>
    <row r="65">
      <c r="D65" s="56" t="s">
        <v>131</v>
      </c>
      <c r="E65" s="56" t="s">
        <v>132</v>
      </c>
      <c r="F65" s="57">
        <v>150.0</v>
      </c>
      <c r="G65" s="57">
        <v>300.0</v>
      </c>
      <c r="H65" s="58">
        <v>44228.0</v>
      </c>
    </row>
    <row r="66">
      <c r="D66" s="56" t="s">
        <v>68</v>
      </c>
      <c r="E66" s="56" t="s">
        <v>133</v>
      </c>
      <c r="F66" s="57">
        <v>535.0</v>
      </c>
      <c r="G66" s="57">
        <v>25700.0</v>
      </c>
      <c r="H66" s="58">
        <v>44228.0</v>
      </c>
    </row>
    <row r="67">
      <c r="D67" s="56" t="s">
        <v>134</v>
      </c>
      <c r="E67" s="56">
        <v>2.0</v>
      </c>
      <c r="F67" s="57">
        <v>1500.0</v>
      </c>
      <c r="G67" s="57">
        <v>1500.0</v>
      </c>
      <c r="H67" s="58">
        <v>44229.0</v>
      </c>
    </row>
    <row r="68">
      <c r="D68" s="56" t="s">
        <v>135</v>
      </c>
      <c r="E68" s="56">
        <v>1.0</v>
      </c>
      <c r="F68" s="57">
        <v>370.0</v>
      </c>
      <c r="G68" s="57">
        <v>370.0</v>
      </c>
      <c r="H68" s="58">
        <v>44230.0</v>
      </c>
    </row>
    <row r="69">
      <c r="D69" s="56" t="s">
        <v>136</v>
      </c>
      <c r="E69" s="56">
        <v>5.0</v>
      </c>
      <c r="F69" s="57">
        <v>20.0</v>
      </c>
      <c r="G69" s="57">
        <v>100.0</v>
      </c>
      <c r="H69" s="58">
        <v>44230.0</v>
      </c>
    </row>
    <row r="70">
      <c r="D70" s="56" t="s">
        <v>136</v>
      </c>
      <c r="E70" s="56">
        <v>6.0</v>
      </c>
      <c r="F70" s="57">
        <v>15.0</v>
      </c>
      <c r="G70" s="57">
        <v>90.0</v>
      </c>
      <c r="H70" s="58">
        <v>44230.0</v>
      </c>
    </row>
    <row r="71">
      <c r="D71" s="56" t="s">
        <v>95</v>
      </c>
      <c r="E71" s="56" t="s">
        <v>137</v>
      </c>
      <c r="F71" s="57">
        <v>100.0</v>
      </c>
      <c r="G71" s="57">
        <v>400.0</v>
      </c>
      <c r="H71" s="58">
        <v>44230.0</v>
      </c>
    </row>
    <row r="72">
      <c r="D72" s="56" t="s">
        <v>138</v>
      </c>
      <c r="E72" s="56">
        <v>2.0</v>
      </c>
      <c r="F72" s="57">
        <v>80.0</v>
      </c>
      <c r="G72" s="57">
        <v>160.0</v>
      </c>
      <c r="H72" s="58">
        <v>44230.0</v>
      </c>
    </row>
    <row r="73">
      <c r="D73" s="56" t="s">
        <v>139</v>
      </c>
      <c r="E73" s="56">
        <v>1.0</v>
      </c>
      <c r="F73" s="57">
        <v>100.0</v>
      </c>
      <c r="G73" s="57">
        <v>100.0</v>
      </c>
      <c r="H73" s="58">
        <v>44230.0</v>
      </c>
    </row>
    <row r="74">
      <c r="D74" s="56" t="s">
        <v>140</v>
      </c>
      <c r="E74" s="56" t="s">
        <v>141</v>
      </c>
      <c r="F74" s="57">
        <v>1200.0</v>
      </c>
      <c r="G74" s="57">
        <v>27600.0</v>
      </c>
      <c r="H74" s="58">
        <v>44231.0</v>
      </c>
    </row>
    <row r="75">
      <c r="D75" s="56" t="s">
        <v>79</v>
      </c>
      <c r="E75" s="56" t="s">
        <v>142</v>
      </c>
      <c r="F75" s="57">
        <v>400.0</v>
      </c>
      <c r="G75" s="57">
        <v>400.0</v>
      </c>
      <c r="H75" s="58">
        <v>44231.0</v>
      </c>
    </row>
    <row r="76">
      <c r="D76" s="56" t="s">
        <v>93</v>
      </c>
      <c r="E76" s="56" t="s">
        <v>94</v>
      </c>
      <c r="F76" s="57">
        <v>1500.0</v>
      </c>
      <c r="G76" s="57">
        <v>600.0</v>
      </c>
      <c r="H76" s="58">
        <v>44231.0</v>
      </c>
    </row>
    <row r="77">
      <c r="D77" s="56" t="s">
        <v>143</v>
      </c>
      <c r="E77" s="56" t="s">
        <v>144</v>
      </c>
      <c r="F77" s="57">
        <v>2000.0</v>
      </c>
      <c r="G77" s="57">
        <v>2000.0</v>
      </c>
      <c r="H77" s="58">
        <v>44231.0</v>
      </c>
    </row>
    <row r="78">
      <c r="D78" s="56" t="s">
        <v>95</v>
      </c>
      <c r="E78" s="56" t="s">
        <v>121</v>
      </c>
      <c r="F78" s="57">
        <v>100.0</v>
      </c>
      <c r="G78" s="57">
        <v>2000.0</v>
      </c>
      <c r="H78" s="58">
        <v>44231.0</v>
      </c>
    </row>
    <row r="79">
      <c r="D79" s="56" t="s">
        <v>145</v>
      </c>
      <c r="E79" s="56">
        <v>1.0</v>
      </c>
      <c r="F79" s="57">
        <v>500.0</v>
      </c>
      <c r="G79" s="57">
        <v>500.0</v>
      </c>
      <c r="H79" s="58">
        <v>44231.0</v>
      </c>
    </row>
    <row r="80">
      <c r="D80" s="56" t="s">
        <v>146</v>
      </c>
      <c r="E80" s="56" t="s">
        <v>147</v>
      </c>
      <c r="F80" s="57">
        <v>45.0</v>
      </c>
      <c r="G80" s="57">
        <v>500.0</v>
      </c>
      <c r="H80" s="58">
        <v>44233.0</v>
      </c>
    </row>
    <row r="81">
      <c r="D81" s="56" t="s">
        <v>120</v>
      </c>
      <c r="E81" s="56" t="s">
        <v>148</v>
      </c>
      <c r="F81" s="57">
        <v>55.0</v>
      </c>
      <c r="G81" s="57">
        <v>1000.0</v>
      </c>
      <c r="H81" s="58">
        <v>44233.0</v>
      </c>
    </row>
    <row r="82">
      <c r="D82" s="56" t="s">
        <v>95</v>
      </c>
      <c r="E82" s="56" t="s">
        <v>121</v>
      </c>
      <c r="F82" s="57">
        <v>100.0</v>
      </c>
      <c r="G82" s="57"/>
      <c r="H82" s="58">
        <v>44233.0</v>
      </c>
    </row>
    <row r="83">
      <c r="D83" s="56" t="s">
        <v>149</v>
      </c>
      <c r="E83" s="56">
        <v>1.0</v>
      </c>
      <c r="F83" s="57">
        <v>500.0</v>
      </c>
      <c r="G83" s="57">
        <v>500.0</v>
      </c>
      <c r="H83" s="58">
        <v>44233.0</v>
      </c>
    </row>
    <row r="84">
      <c r="D84" s="66" t="s">
        <v>150</v>
      </c>
      <c r="E84" s="66">
        <v>368.0</v>
      </c>
      <c r="F84" s="67">
        <v>50.0</v>
      </c>
      <c r="G84" s="67">
        <v>18400.0</v>
      </c>
      <c r="H84" s="68">
        <v>44233.0</v>
      </c>
    </row>
    <row r="85">
      <c r="D85" s="56" t="s">
        <v>151</v>
      </c>
      <c r="E85" s="56">
        <v>12.0</v>
      </c>
      <c r="F85" s="57">
        <v>30.0</v>
      </c>
      <c r="G85" s="57">
        <v>360.0</v>
      </c>
      <c r="H85" s="58">
        <v>44233.0</v>
      </c>
    </row>
    <row r="86">
      <c r="D86" s="56" t="s">
        <v>152</v>
      </c>
      <c r="E86" s="56">
        <v>40.0</v>
      </c>
      <c r="F86" s="74"/>
      <c r="G86" s="74"/>
      <c r="H86" s="58">
        <v>44233.0</v>
      </c>
    </row>
    <row r="87">
      <c r="D87" s="56" t="s">
        <v>153</v>
      </c>
      <c r="E87" s="56" t="s">
        <v>154</v>
      </c>
      <c r="F87" s="57">
        <v>21.0</v>
      </c>
      <c r="G87" s="57">
        <v>1050.0</v>
      </c>
      <c r="H87" s="58">
        <v>44233.0</v>
      </c>
    </row>
    <row r="88">
      <c r="D88" s="56" t="s">
        <v>155</v>
      </c>
      <c r="E88" s="56">
        <v>2.0</v>
      </c>
      <c r="F88" s="57">
        <v>1000.0</v>
      </c>
      <c r="G88" s="57">
        <v>2000.0</v>
      </c>
      <c r="H88" s="58">
        <v>44233.0</v>
      </c>
    </row>
    <row r="89">
      <c r="D89" s="56" t="s">
        <v>156</v>
      </c>
      <c r="E89" s="56">
        <v>6.0</v>
      </c>
      <c r="F89" s="57" t="s">
        <v>94</v>
      </c>
      <c r="G89" s="57">
        <v>300.0</v>
      </c>
      <c r="H89" s="58">
        <v>44234.0</v>
      </c>
    </row>
    <row r="90">
      <c r="D90" s="56" t="s">
        <v>157</v>
      </c>
      <c r="E90" s="56">
        <v>12.0</v>
      </c>
      <c r="F90" s="57" t="s">
        <v>94</v>
      </c>
      <c r="G90" s="57">
        <v>4950.0</v>
      </c>
      <c r="H90" s="58">
        <v>44234.0</v>
      </c>
    </row>
    <row r="91">
      <c r="D91" s="56" t="s">
        <v>158</v>
      </c>
      <c r="E91" s="56" t="s">
        <v>159</v>
      </c>
      <c r="F91" s="57">
        <v>74.0</v>
      </c>
      <c r="G91" s="57">
        <v>740.0</v>
      </c>
      <c r="H91" s="58">
        <v>44234.0</v>
      </c>
    </row>
    <row r="92">
      <c r="D92" s="56" t="s">
        <v>47</v>
      </c>
      <c r="E92" s="56" t="s">
        <v>160</v>
      </c>
      <c r="F92" s="57">
        <v>50.0</v>
      </c>
      <c r="G92" s="57">
        <v>600.0</v>
      </c>
      <c r="H92" s="58">
        <v>44234.0</v>
      </c>
    </row>
    <row r="93">
      <c r="D93" s="56" t="s">
        <v>161</v>
      </c>
      <c r="E93" s="56" t="s">
        <v>162</v>
      </c>
      <c r="F93" s="57">
        <v>460.0</v>
      </c>
      <c r="G93" s="57">
        <v>1840.0</v>
      </c>
      <c r="H93" s="58">
        <v>44234.0</v>
      </c>
    </row>
    <row r="94">
      <c r="D94" s="56" t="s">
        <v>163</v>
      </c>
      <c r="E94" s="56" t="s">
        <v>50</v>
      </c>
      <c r="F94" s="57">
        <v>198.0</v>
      </c>
      <c r="G94" s="57">
        <v>2376.0</v>
      </c>
      <c r="H94" s="58">
        <v>44234.0</v>
      </c>
    </row>
    <row r="95">
      <c r="D95" s="56" t="s">
        <v>70</v>
      </c>
      <c r="E95" s="56">
        <v>1.0</v>
      </c>
      <c r="F95" s="57">
        <v>123.0</v>
      </c>
      <c r="G95" s="57">
        <v>2952.0</v>
      </c>
      <c r="H95" s="58">
        <v>44234.0</v>
      </c>
    </row>
    <row r="96">
      <c r="D96" s="56" t="s">
        <v>164</v>
      </c>
      <c r="E96" s="56" t="s">
        <v>124</v>
      </c>
      <c r="F96" s="57">
        <v>53.0</v>
      </c>
      <c r="G96" s="57">
        <v>530.0</v>
      </c>
      <c r="H96" s="58">
        <v>44234.0</v>
      </c>
    </row>
    <row r="97">
      <c r="D97" s="56" t="s">
        <v>165</v>
      </c>
      <c r="E97" s="56">
        <v>1.0</v>
      </c>
      <c r="F97" s="57">
        <v>450.0</v>
      </c>
      <c r="G97" s="57">
        <v>450.0</v>
      </c>
      <c r="H97" s="58">
        <v>44234.0</v>
      </c>
    </row>
    <row r="98">
      <c r="D98" s="56" t="s">
        <v>166</v>
      </c>
      <c r="E98" s="56" t="s">
        <v>144</v>
      </c>
      <c r="F98" s="57">
        <v>650.0</v>
      </c>
      <c r="G98" s="57">
        <v>650.0</v>
      </c>
      <c r="H98" s="58">
        <v>44234.0</v>
      </c>
    </row>
    <row r="99">
      <c r="D99" s="56" t="s">
        <v>167</v>
      </c>
      <c r="E99" s="56">
        <v>1.0</v>
      </c>
      <c r="F99" s="57">
        <v>170.0</v>
      </c>
      <c r="G99" s="57">
        <v>170.0</v>
      </c>
      <c r="H99" s="58">
        <v>44234.0</v>
      </c>
    </row>
    <row r="100">
      <c r="D100" s="56" t="s">
        <v>139</v>
      </c>
      <c r="E100" s="56">
        <v>1.0</v>
      </c>
      <c r="F100" s="57">
        <v>380.0</v>
      </c>
      <c r="G100" s="57">
        <v>380.0</v>
      </c>
      <c r="H100" s="58">
        <v>44234.0</v>
      </c>
    </row>
    <row r="101">
      <c r="D101" s="56" t="s">
        <v>168</v>
      </c>
      <c r="E101" s="56">
        <v>1.0</v>
      </c>
      <c r="F101" s="57">
        <v>1200.0</v>
      </c>
      <c r="G101" s="57">
        <v>1200.0</v>
      </c>
      <c r="H101" s="58">
        <v>44234.0</v>
      </c>
    </row>
    <row r="102">
      <c r="D102" s="56" t="s">
        <v>143</v>
      </c>
      <c r="E102" s="56" t="s">
        <v>101</v>
      </c>
      <c r="F102" s="57">
        <v>2200.0</v>
      </c>
      <c r="G102" s="57">
        <v>1100.0</v>
      </c>
      <c r="H102" s="58">
        <v>44234.0</v>
      </c>
    </row>
    <row r="103">
      <c r="D103" s="56" t="s">
        <v>169</v>
      </c>
      <c r="E103" s="56" t="s">
        <v>132</v>
      </c>
      <c r="F103" s="57">
        <v>200.0</v>
      </c>
      <c r="G103" s="57">
        <v>400.0</v>
      </c>
      <c r="H103" s="58">
        <v>44234.0</v>
      </c>
    </row>
    <row r="104">
      <c r="D104" s="56" t="s">
        <v>170</v>
      </c>
      <c r="E104" s="56">
        <v>100.0</v>
      </c>
      <c r="F104" s="75">
        <v>44340.0</v>
      </c>
      <c r="G104" s="57">
        <v>2450.0</v>
      </c>
      <c r="H104" s="58">
        <v>44234.0</v>
      </c>
    </row>
    <row r="105">
      <c r="D105" s="56" t="s">
        <v>85</v>
      </c>
      <c r="E105" s="56">
        <v>50.0</v>
      </c>
      <c r="F105" s="57">
        <v>680.0</v>
      </c>
      <c r="G105" s="57">
        <v>680.0</v>
      </c>
      <c r="H105" s="58">
        <v>44234.0</v>
      </c>
    </row>
    <row r="106">
      <c r="D106" s="56" t="s">
        <v>171</v>
      </c>
      <c r="E106" s="56">
        <v>1.0</v>
      </c>
      <c r="F106" s="57">
        <v>500.0</v>
      </c>
      <c r="G106" s="57">
        <v>500.0</v>
      </c>
      <c r="H106" s="58">
        <v>44234.0</v>
      </c>
    </row>
    <row r="107">
      <c r="D107" s="56" t="s">
        <v>172</v>
      </c>
      <c r="E107" s="56">
        <v>1.0</v>
      </c>
      <c r="F107" s="57">
        <v>650.0</v>
      </c>
      <c r="G107" s="57">
        <v>650.0</v>
      </c>
      <c r="H107" s="58">
        <v>44234.0</v>
      </c>
    </row>
    <row r="108">
      <c r="D108" s="56" t="s">
        <v>173</v>
      </c>
      <c r="E108" s="56">
        <v>1.0</v>
      </c>
      <c r="F108" s="57">
        <v>700.0</v>
      </c>
      <c r="G108" s="57">
        <v>700.0</v>
      </c>
      <c r="H108" s="58">
        <v>44234.0</v>
      </c>
    </row>
    <row r="109">
      <c r="D109" s="56" t="s">
        <v>174</v>
      </c>
      <c r="E109" s="75">
        <v>44317.0</v>
      </c>
      <c r="F109" s="57">
        <v>400.0</v>
      </c>
      <c r="G109" s="57">
        <v>600.0</v>
      </c>
      <c r="H109" s="58">
        <v>44234.0</v>
      </c>
    </row>
    <row r="110">
      <c r="D110" s="56" t="s">
        <v>119</v>
      </c>
      <c r="E110" s="56">
        <v>5.0</v>
      </c>
      <c r="F110" s="57">
        <v>120.0</v>
      </c>
      <c r="G110" s="57">
        <v>600.0</v>
      </c>
      <c r="H110" s="58">
        <v>44234.0</v>
      </c>
    </row>
    <row r="111">
      <c r="D111" s="56" t="s">
        <v>175</v>
      </c>
      <c r="E111" s="56">
        <v>3.0</v>
      </c>
      <c r="F111" s="57" t="s">
        <v>94</v>
      </c>
      <c r="G111" s="57">
        <v>1000.0</v>
      </c>
      <c r="H111" s="58">
        <v>44234.0</v>
      </c>
    </row>
    <row r="112">
      <c r="D112" s="56" t="s">
        <v>143</v>
      </c>
      <c r="E112" s="56" t="s">
        <v>52</v>
      </c>
      <c r="F112" s="57">
        <v>2100.0</v>
      </c>
      <c r="G112" s="57">
        <v>10500.0</v>
      </c>
      <c r="H112" s="58">
        <v>44234.0</v>
      </c>
    </row>
    <row r="113">
      <c r="D113" s="56" t="s">
        <v>176</v>
      </c>
      <c r="E113" s="56">
        <v>3.0</v>
      </c>
      <c r="F113" s="57">
        <v>40.0</v>
      </c>
      <c r="G113" s="57">
        <v>120.0</v>
      </c>
      <c r="H113" s="58">
        <v>44234.0</v>
      </c>
    </row>
    <row r="114">
      <c r="D114" s="56" t="s">
        <v>177</v>
      </c>
      <c r="E114" s="56" t="s">
        <v>94</v>
      </c>
      <c r="F114" s="57" t="s">
        <v>94</v>
      </c>
      <c r="G114" s="57">
        <v>100.0</v>
      </c>
      <c r="H114" s="58">
        <v>44235.0</v>
      </c>
    </row>
    <row r="115">
      <c r="D115" s="56" t="s">
        <v>178</v>
      </c>
      <c r="E115" s="56">
        <v>1.0</v>
      </c>
      <c r="F115" s="57" t="s">
        <v>94</v>
      </c>
      <c r="G115" s="57">
        <v>200.0</v>
      </c>
      <c r="H115" s="58">
        <v>44235.0</v>
      </c>
    </row>
    <row r="116">
      <c r="D116" s="56" t="s">
        <v>179</v>
      </c>
      <c r="E116" s="56" t="s">
        <v>132</v>
      </c>
      <c r="F116" s="57">
        <v>400.0</v>
      </c>
      <c r="G116" s="57">
        <v>800.0</v>
      </c>
      <c r="H116" s="58">
        <v>44235.0</v>
      </c>
    </row>
    <row r="117">
      <c r="D117" s="56" t="s">
        <v>130</v>
      </c>
      <c r="E117" s="56">
        <v>6.0</v>
      </c>
      <c r="F117" s="57">
        <v>25.0</v>
      </c>
      <c r="G117" s="57">
        <v>200.0</v>
      </c>
      <c r="H117" s="58">
        <v>44235.0</v>
      </c>
    </row>
    <row r="118">
      <c r="D118" s="56" t="s">
        <v>180</v>
      </c>
      <c r="E118" s="56" t="s">
        <v>137</v>
      </c>
      <c r="F118" s="57" t="s">
        <v>94</v>
      </c>
      <c r="G118" s="57">
        <v>400.0</v>
      </c>
      <c r="H118" s="58">
        <v>44235.0</v>
      </c>
    </row>
    <row r="119">
      <c r="D119" s="56" t="s">
        <v>113</v>
      </c>
      <c r="E119" s="56" t="s">
        <v>181</v>
      </c>
      <c r="F119" s="57" t="s">
        <v>94</v>
      </c>
      <c r="G119" s="57">
        <v>260.0</v>
      </c>
      <c r="H119" s="58">
        <v>44235.0</v>
      </c>
    </row>
    <row r="120">
      <c r="D120" s="56" t="s">
        <v>120</v>
      </c>
      <c r="E120" s="56" t="s">
        <v>182</v>
      </c>
      <c r="F120" s="57">
        <v>50.0</v>
      </c>
      <c r="G120" s="57">
        <v>15250.0</v>
      </c>
      <c r="H120" s="58">
        <v>44235.0</v>
      </c>
    </row>
    <row r="121">
      <c r="D121" s="56" t="s">
        <v>183</v>
      </c>
      <c r="E121" s="56">
        <v>2.0</v>
      </c>
      <c r="F121" s="57" t="s">
        <v>94</v>
      </c>
      <c r="G121" s="57">
        <v>250.0</v>
      </c>
      <c r="H121" s="58">
        <v>44235.0</v>
      </c>
    </row>
    <row r="122">
      <c r="D122" s="56" t="s">
        <v>184</v>
      </c>
      <c r="E122" s="56">
        <v>10.0</v>
      </c>
      <c r="F122" s="57">
        <v>25.0</v>
      </c>
      <c r="G122" s="57">
        <v>250.0</v>
      </c>
      <c r="H122" s="58">
        <v>44235.0</v>
      </c>
    </row>
    <row r="123">
      <c r="D123" s="56" t="s">
        <v>185</v>
      </c>
      <c r="E123" s="56" t="s">
        <v>186</v>
      </c>
      <c r="F123" s="57" t="s">
        <v>187</v>
      </c>
      <c r="G123" s="57">
        <v>6600.0</v>
      </c>
      <c r="H123" s="58">
        <v>44235.0</v>
      </c>
    </row>
    <row r="124">
      <c r="D124" s="56" t="s">
        <v>188</v>
      </c>
      <c r="E124" s="56">
        <v>2.0</v>
      </c>
      <c r="F124" s="57">
        <v>120.0</v>
      </c>
      <c r="G124" s="57">
        <v>240.0</v>
      </c>
      <c r="H124" s="58">
        <v>44235.0</v>
      </c>
    </row>
    <row r="125">
      <c r="D125" s="56" t="s">
        <v>189</v>
      </c>
      <c r="E125" s="56">
        <v>1.0</v>
      </c>
      <c r="F125" s="57">
        <v>160.0</v>
      </c>
      <c r="G125" s="57">
        <v>160.0</v>
      </c>
      <c r="H125" s="58">
        <v>44235.0</v>
      </c>
    </row>
    <row r="126">
      <c r="D126" s="56" t="s">
        <v>190</v>
      </c>
      <c r="E126" s="56">
        <v>3.0</v>
      </c>
      <c r="F126" s="57">
        <v>120.0</v>
      </c>
      <c r="G126" s="57">
        <v>360.0</v>
      </c>
      <c r="H126" s="58">
        <v>44235.0</v>
      </c>
    </row>
    <row r="127">
      <c r="D127" s="56" t="s">
        <v>191</v>
      </c>
      <c r="E127" s="56">
        <v>6.0</v>
      </c>
      <c r="F127" s="57">
        <v>350.0</v>
      </c>
      <c r="G127" s="57">
        <v>2100.0</v>
      </c>
      <c r="H127" s="58">
        <v>44235.0</v>
      </c>
    </row>
    <row r="128">
      <c r="D128" s="56" t="s">
        <v>192</v>
      </c>
      <c r="E128" s="56">
        <v>1.0</v>
      </c>
      <c r="F128" s="57">
        <v>500.0</v>
      </c>
      <c r="G128" s="57">
        <v>500.0</v>
      </c>
      <c r="H128" s="58">
        <v>44235.0</v>
      </c>
    </row>
    <row r="129">
      <c r="D129" s="56" t="s">
        <v>193</v>
      </c>
      <c r="E129" s="56">
        <v>2.0</v>
      </c>
      <c r="F129" s="57" t="s">
        <v>94</v>
      </c>
      <c r="G129" s="57">
        <v>1000.0</v>
      </c>
      <c r="H129" s="58">
        <v>44234.0</v>
      </c>
    </row>
    <row r="130">
      <c r="D130" s="56" t="s">
        <v>40</v>
      </c>
      <c r="E130" s="56" t="s">
        <v>194</v>
      </c>
      <c r="F130" s="57">
        <v>70.0</v>
      </c>
      <c r="G130" s="57">
        <v>490.0</v>
      </c>
      <c r="H130" s="58">
        <v>44235.0</v>
      </c>
    </row>
    <row r="131">
      <c r="D131" s="66" t="s">
        <v>195</v>
      </c>
      <c r="E131" s="66">
        <v>400.0</v>
      </c>
      <c r="F131" s="67">
        <v>50.0</v>
      </c>
      <c r="G131" s="67">
        <v>20000.0</v>
      </c>
      <c r="H131" s="68">
        <v>44236.0</v>
      </c>
    </row>
    <row r="132">
      <c r="D132" s="56" t="s">
        <v>138</v>
      </c>
      <c r="E132" s="56">
        <v>11.0</v>
      </c>
      <c r="F132" s="57">
        <v>80.0</v>
      </c>
      <c r="G132" s="57">
        <v>880.0</v>
      </c>
      <c r="H132" s="58">
        <v>44236.0</v>
      </c>
    </row>
    <row r="133">
      <c r="D133" s="56" t="s">
        <v>79</v>
      </c>
      <c r="E133" s="56" t="s">
        <v>196</v>
      </c>
      <c r="F133" s="57">
        <v>350.0</v>
      </c>
      <c r="G133" s="57">
        <v>1400.0</v>
      </c>
      <c r="H133" s="58">
        <v>44236.0</v>
      </c>
    </row>
    <row r="134">
      <c r="D134" s="56" t="s">
        <v>139</v>
      </c>
      <c r="E134" s="56">
        <v>1.0</v>
      </c>
      <c r="F134" s="57">
        <v>250.0</v>
      </c>
      <c r="G134" s="57">
        <v>250.0</v>
      </c>
      <c r="H134" s="58">
        <v>44236.0</v>
      </c>
    </row>
    <row r="135">
      <c r="D135" s="56" t="s">
        <v>95</v>
      </c>
      <c r="E135" s="56" t="s">
        <v>96</v>
      </c>
      <c r="F135" s="57">
        <v>100.0</v>
      </c>
      <c r="G135" s="57">
        <v>3000.0</v>
      </c>
      <c r="H135" s="58">
        <v>44236.0</v>
      </c>
    </row>
    <row r="136">
      <c r="D136" s="56" t="s">
        <v>197</v>
      </c>
      <c r="E136" s="56">
        <v>3.0</v>
      </c>
      <c r="F136" s="57" t="s">
        <v>94</v>
      </c>
      <c r="G136" s="57">
        <v>1500.0</v>
      </c>
      <c r="H136" s="58">
        <v>44238.0</v>
      </c>
    </row>
    <row r="137">
      <c r="D137" s="56" t="s">
        <v>198</v>
      </c>
      <c r="E137" s="56">
        <v>5.0</v>
      </c>
      <c r="F137" s="57" t="s">
        <v>94</v>
      </c>
      <c r="G137" s="57">
        <v>300.0</v>
      </c>
      <c r="H137" s="58">
        <v>44238.0</v>
      </c>
    </row>
    <row r="138">
      <c r="D138" s="56" t="s">
        <v>199</v>
      </c>
      <c r="E138" s="56" t="s">
        <v>94</v>
      </c>
      <c r="F138" s="57" t="s">
        <v>94</v>
      </c>
      <c r="G138" s="57">
        <v>1800.0</v>
      </c>
      <c r="H138" s="58">
        <v>44238.0</v>
      </c>
    </row>
    <row r="139">
      <c r="D139" s="56" t="s">
        <v>200</v>
      </c>
      <c r="E139" s="56">
        <v>3.0</v>
      </c>
      <c r="F139" s="57" t="s">
        <v>94</v>
      </c>
      <c r="G139" s="57">
        <v>900.0</v>
      </c>
      <c r="H139" s="58">
        <v>44238.0</v>
      </c>
    </row>
    <row r="140">
      <c r="D140" s="56" t="s">
        <v>155</v>
      </c>
      <c r="E140" s="56">
        <v>2.0</v>
      </c>
      <c r="F140" s="57">
        <v>1000.0</v>
      </c>
      <c r="G140" s="57">
        <v>2000.0</v>
      </c>
      <c r="H140" s="58">
        <v>44239.0</v>
      </c>
    </row>
    <row r="141">
      <c r="D141" s="56" t="s">
        <v>95</v>
      </c>
      <c r="E141" s="56" t="s">
        <v>121</v>
      </c>
      <c r="F141" s="57">
        <v>100.0</v>
      </c>
      <c r="G141" s="57">
        <v>2000.0</v>
      </c>
      <c r="H141" s="58">
        <v>44239.0</v>
      </c>
    </row>
    <row r="142">
      <c r="D142" s="56" t="s">
        <v>95</v>
      </c>
      <c r="E142" s="56" t="s">
        <v>124</v>
      </c>
      <c r="F142" s="57">
        <v>120.0</v>
      </c>
      <c r="G142" s="57">
        <v>1200.0</v>
      </c>
      <c r="H142" s="58">
        <v>44239.0</v>
      </c>
    </row>
    <row r="143">
      <c r="D143" s="56" t="s">
        <v>201</v>
      </c>
      <c r="E143" s="56">
        <v>1.0</v>
      </c>
      <c r="F143" s="57">
        <v>100.0</v>
      </c>
      <c r="G143" s="57">
        <v>100.0</v>
      </c>
      <c r="H143" s="58">
        <v>44239.0</v>
      </c>
    </row>
    <row r="144">
      <c r="D144" s="56" t="s">
        <v>202</v>
      </c>
      <c r="E144" s="56" t="s">
        <v>181</v>
      </c>
      <c r="F144" s="57">
        <v>80.0</v>
      </c>
      <c r="G144" s="57">
        <v>240.0</v>
      </c>
      <c r="H144" s="58">
        <v>44239.0</v>
      </c>
    </row>
    <row r="145">
      <c r="D145" s="56" t="s">
        <v>203</v>
      </c>
      <c r="E145" s="56">
        <v>5.0</v>
      </c>
      <c r="F145" s="57">
        <v>100.0</v>
      </c>
      <c r="G145" s="57">
        <v>500.0</v>
      </c>
      <c r="H145" s="58">
        <v>44239.0</v>
      </c>
    </row>
    <row r="146">
      <c r="D146" s="56" t="s">
        <v>204</v>
      </c>
      <c r="E146" s="56" t="s">
        <v>144</v>
      </c>
      <c r="F146" s="57">
        <v>580.0</v>
      </c>
      <c r="G146" s="57">
        <v>580.0</v>
      </c>
      <c r="H146" s="58">
        <v>44239.0</v>
      </c>
    </row>
    <row r="147">
      <c r="D147" s="56" t="s">
        <v>177</v>
      </c>
      <c r="E147" s="56" t="s">
        <v>205</v>
      </c>
      <c r="F147" s="57">
        <v>4500.0</v>
      </c>
      <c r="G147" s="57">
        <v>500.0</v>
      </c>
      <c r="H147" s="58">
        <v>44239.0</v>
      </c>
    </row>
    <row r="148">
      <c r="D148" s="56" t="s">
        <v>206</v>
      </c>
      <c r="E148" s="56" t="s">
        <v>41</v>
      </c>
      <c r="F148" s="57">
        <v>600.0</v>
      </c>
      <c r="G148" s="57">
        <v>3000.0</v>
      </c>
      <c r="H148" s="58">
        <v>44239.0</v>
      </c>
    </row>
    <row r="149">
      <c r="D149" s="56" t="s">
        <v>55</v>
      </c>
      <c r="E149" s="56">
        <v>1.0</v>
      </c>
      <c r="F149" s="57">
        <v>750.0</v>
      </c>
      <c r="G149" s="57">
        <v>750.0</v>
      </c>
      <c r="H149" s="58">
        <v>44239.0</v>
      </c>
    </row>
    <row r="150">
      <c r="D150" s="56" t="s">
        <v>207</v>
      </c>
      <c r="E150" s="56">
        <v>2.0</v>
      </c>
      <c r="F150" s="57">
        <v>440.0</v>
      </c>
      <c r="G150" s="57">
        <v>880.0</v>
      </c>
      <c r="H150" s="58">
        <v>44239.0</v>
      </c>
    </row>
    <row r="151">
      <c r="D151" s="56" t="s">
        <v>208</v>
      </c>
      <c r="E151" s="56" t="s">
        <v>132</v>
      </c>
      <c r="F151" s="57">
        <v>680.0</v>
      </c>
      <c r="G151" s="57">
        <v>1360.0</v>
      </c>
      <c r="H151" s="58">
        <v>44239.0</v>
      </c>
    </row>
    <row r="152">
      <c r="D152" s="56" t="s">
        <v>209</v>
      </c>
      <c r="E152" s="56" t="s">
        <v>210</v>
      </c>
      <c r="F152" s="57">
        <v>90.0</v>
      </c>
      <c r="G152" s="57">
        <v>1080.0</v>
      </c>
      <c r="H152" s="58">
        <v>44239.0</v>
      </c>
    </row>
    <row r="153">
      <c r="D153" s="56" t="s">
        <v>211</v>
      </c>
      <c r="E153" s="56" t="s">
        <v>212</v>
      </c>
      <c r="F153" s="57">
        <v>3000.0</v>
      </c>
      <c r="G153" s="57">
        <v>6000.0</v>
      </c>
      <c r="H153" s="58">
        <v>44239.0</v>
      </c>
    </row>
    <row r="154">
      <c r="D154" s="64" t="s">
        <v>213</v>
      </c>
      <c r="E154" s="64" t="s">
        <v>144</v>
      </c>
      <c r="F154" s="65">
        <v>500.0</v>
      </c>
      <c r="G154" s="65">
        <v>500.0</v>
      </c>
      <c r="H154" s="63">
        <v>44240.0</v>
      </c>
    </row>
    <row r="155">
      <c r="D155" s="64" t="s">
        <v>203</v>
      </c>
      <c r="E155" s="64">
        <v>20.0</v>
      </c>
      <c r="F155" s="65">
        <v>100.0</v>
      </c>
      <c r="G155" s="65">
        <v>2000.0</v>
      </c>
      <c r="H155" s="63">
        <v>44240.0</v>
      </c>
    </row>
    <row r="156">
      <c r="D156" s="64" t="s">
        <v>214</v>
      </c>
      <c r="E156" s="64">
        <v>2.0</v>
      </c>
      <c r="F156" s="65">
        <v>100.0</v>
      </c>
      <c r="G156" s="65">
        <v>200.0</v>
      </c>
      <c r="H156" s="63">
        <v>44240.0</v>
      </c>
    </row>
    <row r="157">
      <c r="D157" s="64" t="s">
        <v>123</v>
      </c>
      <c r="E157" s="64" t="s">
        <v>124</v>
      </c>
      <c r="F157" s="65">
        <v>40.0</v>
      </c>
      <c r="G157" s="65">
        <v>400.0</v>
      </c>
      <c r="H157" s="63">
        <v>44240.0</v>
      </c>
    </row>
    <row r="158">
      <c r="D158" s="64" t="s">
        <v>215</v>
      </c>
      <c r="E158" s="64">
        <v>1.0</v>
      </c>
      <c r="F158" s="65">
        <v>400.0</v>
      </c>
      <c r="G158" s="65">
        <v>400.0</v>
      </c>
      <c r="H158" s="63">
        <v>44240.0</v>
      </c>
    </row>
    <row r="159">
      <c r="D159" s="64" t="s">
        <v>216</v>
      </c>
      <c r="E159" s="64">
        <v>1.0</v>
      </c>
      <c r="F159" s="65">
        <v>1000.0</v>
      </c>
      <c r="G159" s="65">
        <v>1000.0</v>
      </c>
      <c r="H159" s="63">
        <v>44240.0</v>
      </c>
    </row>
    <row r="160">
      <c r="D160" s="66" t="s">
        <v>217</v>
      </c>
      <c r="E160" s="66">
        <v>294.0</v>
      </c>
      <c r="F160" s="67">
        <v>50.0</v>
      </c>
      <c r="G160" s="67">
        <v>14700.0</v>
      </c>
      <c r="H160" s="68">
        <v>44240.0</v>
      </c>
    </row>
    <row r="161">
      <c r="D161" s="64" t="s">
        <v>218</v>
      </c>
      <c r="E161" s="64">
        <v>1.0</v>
      </c>
      <c r="F161" s="65">
        <v>1.0</v>
      </c>
      <c r="G161" s="65">
        <v>500.0</v>
      </c>
      <c r="H161" s="63">
        <v>44240.0</v>
      </c>
    </row>
    <row r="162">
      <c r="D162" s="64" t="s">
        <v>219</v>
      </c>
      <c r="E162" s="64" t="s">
        <v>137</v>
      </c>
      <c r="F162" s="65">
        <v>250.0</v>
      </c>
      <c r="G162" s="62"/>
      <c r="H162" s="61"/>
    </row>
    <row r="163">
      <c r="D163" s="56" t="s">
        <v>220</v>
      </c>
      <c r="E163" s="56" t="s">
        <v>221</v>
      </c>
      <c r="F163" s="57">
        <v>380.0</v>
      </c>
      <c r="G163" s="57">
        <v>1900.0</v>
      </c>
      <c r="H163" s="58">
        <v>44241.0</v>
      </c>
    </row>
    <row r="164">
      <c r="D164" s="56" t="s">
        <v>166</v>
      </c>
      <c r="E164" s="56" t="s">
        <v>132</v>
      </c>
      <c r="F164" s="57">
        <v>650.0</v>
      </c>
      <c r="G164" s="57">
        <v>1300.0</v>
      </c>
      <c r="H164" s="58">
        <v>44241.0</v>
      </c>
    </row>
    <row r="165">
      <c r="D165" s="56" t="s">
        <v>222</v>
      </c>
      <c r="E165" s="56" t="s">
        <v>94</v>
      </c>
      <c r="F165" s="57">
        <v>200.0</v>
      </c>
      <c r="G165" s="57">
        <v>200.0</v>
      </c>
      <c r="H165" s="58">
        <v>44241.0</v>
      </c>
    </row>
    <row r="166">
      <c r="D166" s="56" t="s">
        <v>223</v>
      </c>
      <c r="E166" s="56" t="s">
        <v>94</v>
      </c>
      <c r="F166" s="57">
        <v>200.0</v>
      </c>
      <c r="G166" s="57">
        <v>200.0</v>
      </c>
      <c r="H166" s="58">
        <v>44241.0</v>
      </c>
    </row>
    <row r="167">
      <c r="D167" s="56" t="s">
        <v>88</v>
      </c>
      <c r="E167" s="56">
        <v>1.0</v>
      </c>
      <c r="F167" s="57">
        <v>460.0</v>
      </c>
      <c r="G167" s="57">
        <v>460.0</v>
      </c>
      <c r="H167" s="58">
        <v>44241.0</v>
      </c>
    </row>
    <row r="168">
      <c r="D168" s="56" t="s">
        <v>83</v>
      </c>
      <c r="E168" s="56">
        <v>1.0</v>
      </c>
      <c r="F168" s="57">
        <v>1450.0</v>
      </c>
      <c r="G168" s="57">
        <v>1450.0</v>
      </c>
      <c r="H168" s="58">
        <v>44241.0</v>
      </c>
    </row>
    <row r="169">
      <c r="D169" s="56" t="s">
        <v>84</v>
      </c>
      <c r="E169" s="56">
        <v>1.0</v>
      </c>
      <c r="F169" s="57">
        <v>1150.0</v>
      </c>
      <c r="G169" s="57">
        <v>1150.0</v>
      </c>
      <c r="H169" s="58">
        <v>44241.0</v>
      </c>
    </row>
    <row r="170">
      <c r="D170" s="56" t="s">
        <v>85</v>
      </c>
      <c r="E170" s="56">
        <v>2.0</v>
      </c>
      <c r="F170" s="57">
        <v>850.0</v>
      </c>
      <c r="G170" s="57">
        <v>1700.0</v>
      </c>
      <c r="H170" s="58">
        <v>44241.0</v>
      </c>
    </row>
    <row r="171">
      <c r="D171" s="56" t="s">
        <v>224</v>
      </c>
      <c r="E171" s="56">
        <v>2.0</v>
      </c>
      <c r="F171" s="57">
        <v>1050.0</v>
      </c>
      <c r="G171" s="57">
        <v>2100.0</v>
      </c>
      <c r="H171" s="58">
        <v>44241.0</v>
      </c>
    </row>
    <row r="172">
      <c r="D172" s="56" t="s">
        <v>225</v>
      </c>
      <c r="E172" s="56">
        <v>2.0</v>
      </c>
      <c r="F172" s="57">
        <v>870.0</v>
      </c>
      <c r="G172" s="57">
        <v>1740.0</v>
      </c>
      <c r="H172" s="58">
        <v>44241.0</v>
      </c>
    </row>
    <row r="173">
      <c r="D173" s="56" t="s">
        <v>93</v>
      </c>
      <c r="E173" s="56" t="s">
        <v>94</v>
      </c>
      <c r="F173" s="57">
        <v>1500.0</v>
      </c>
      <c r="G173" s="57">
        <v>500.0</v>
      </c>
      <c r="H173" s="58">
        <v>44242.0</v>
      </c>
    </row>
    <row r="174">
      <c r="D174" s="56" t="s">
        <v>95</v>
      </c>
      <c r="E174" s="56" t="s">
        <v>194</v>
      </c>
      <c r="F174" s="57">
        <v>100.0</v>
      </c>
      <c r="G174" s="57">
        <v>700.0</v>
      </c>
      <c r="H174" s="58">
        <v>44242.0</v>
      </c>
    </row>
    <row r="175">
      <c r="D175" s="56" t="s">
        <v>226</v>
      </c>
      <c r="E175" s="56">
        <v>1.0</v>
      </c>
      <c r="F175" s="57">
        <v>100.0</v>
      </c>
      <c r="G175" s="57">
        <v>100.0</v>
      </c>
      <c r="H175" s="58">
        <v>44242.0</v>
      </c>
    </row>
    <row r="176">
      <c r="D176" s="56" t="s">
        <v>70</v>
      </c>
      <c r="E176" s="56">
        <v>30.0</v>
      </c>
      <c r="F176" s="57">
        <v>125.0</v>
      </c>
      <c r="G176" s="57">
        <v>3750.0</v>
      </c>
      <c r="H176" s="58">
        <v>44243.0</v>
      </c>
    </row>
    <row r="177">
      <c r="D177" s="56" t="s">
        <v>75</v>
      </c>
      <c r="E177" s="56">
        <v>5.0</v>
      </c>
      <c r="F177" s="57">
        <v>230.0</v>
      </c>
      <c r="G177" s="57">
        <v>1150.0</v>
      </c>
      <c r="H177" s="58">
        <v>44243.0</v>
      </c>
    </row>
    <row r="178">
      <c r="D178" s="56" t="s">
        <v>227</v>
      </c>
      <c r="E178" s="56">
        <v>2.0</v>
      </c>
      <c r="F178" s="57">
        <v>430.0</v>
      </c>
      <c r="G178" s="57">
        <v>860.0</v>
      </c>
      <c r="H178" s="58">
        <v>44243.0</v>
      </c>
    </row>
    <row r="179">
      <c r="D179" s="56" t="s">
        <v>164</v>
      </c>
      <c r="E179" s="56" t="s">
        <v>41</v>
      </c>
      <c r="F179" s="57">
        <v>600.0</v>
      </c>
      <c r="G179" s="57">
        <v>3000.0</v>
      </c>
      <c r="H179" s="58">
        <v>44243.0</v>
      </c>
    </row>
    <row r="180">
      <c r="D180" s="56" t="s">
        <v>143</v>
      </c>
      <c r="E180" s="56" t="s">
        <v>144</v>
      </c>
      <c r="F180" s="57">
        <v>1950.0</v>
      </c>
      <c r="G180" s="57">
        <v>1950.0</v>
      </c>
      <c r="H180" s="58">
        <v>44243.0</v>
      </c>
    </row>
    <row r="181">
      <c r="D181" s="56" t="s">
        <v>72</v>
      </c>
      <c r="E181" s="56" t="s">
        <v>112</v>
      </c>
      <c r="F181" s="57">
        <v>155.0</v>
      </c>
      <c r="G181" s="57">
        <v>930.0</v>
      </c>
      <c r="H181" s="58">
        <v>44243.0</v>
      </c>
    </row>
    <row r="182">
      <c r="D182" s="56" t="s">
        <v>228</v>
      </c>
      <c r="E182" s="56" t="s">
        <v>144</v>
      </c>
      <c r="F182" s="57">
        <v>950.0</v>
      </c>
      <c r="G182" s="57">
        <v>950.0</v>
      </c>
      <c r="H182" s="58">
        <v>44243.0</v>
      </c>
    </row>
    <row r="183">
      <c r="D183" s="56" t="s">
        <v>169</v>
      </c>
      <c r="E183" s="56" t="s">
        <v>52</v>
      </c>
      <c r="F183" s="57">
        <v>200.0</v>
      </c>
      <c r="G183" s="57">
        <v>1000.0</v>
      </c>
      <c r="H183" s="58">
        <v>44243.0</v>
      </c>
    </row>
    <row r="184">
      <c r="D184" s="56" t="s">
        <v>229</v>
      </c>
      <c r="E184" s="56" t="s">
        <v>230</v>
      </c>
      <c r="F184" s="57">
        <v>370.0</v>
      </c>
      <c r="G184" s="57">
        <v>1480.0</v>
      </c>
      <c r="H184" s="58">
        <v>44243.0</v>
      </c>
    </row>
    <row r="185">
      <c r="D185" s="56" t="s">
        <v>231</v>
      </c>
      <c r="E185" s="56">
        <v>3.0</v>
      </c>
      <c r="F185" s="57">
        <v>30.0</v>
      </c>
      <c r="G185" s="57">
        <v>90.0</v>
      </c>
      <c r="H185" s="58">
        <v>44243.0</v>
      </c>
    </row>
    <row r="186">
      <c r="D186" s="56" t="s">
        <v>203</v>
      </c>
      <c r="E186" s="56">
        <v>10.0</v>
      </c>
      <c r="F186" s="57">
        <v>120.0</v>
      </c>
      <c r="G186" s="57">
        <v>1200.0</v>
      </c>
      <c r="H186" s="58">
        <v>44243.0</v>
      </c>
    </row>
    <row r="187">
      <c r="D187" s="56" t="s">
        <v>174</v>
      </c>
      <c r="E187" s="56" t="s">
        <v>144</v>
      </c>
      <c r="F187" s="57">
        <v>500.0</v>
      </c>
      <c r="G187" s="57">
        <v>500.0</v>
      </c>
      <c r="H187" s="58">
        <v>44243.0</v>
      </c>
    </row>
    <row r="188">
      <c r="D188" s="56" t="s">
        <v>95</v>
      </c>
      <c r="E188" s="56" t="s">
        <v>232</v>
      </c>
      <c r="F188" s="57">
        <v>100.0</v>
      </c>
      <c r="G188" s="57">
        <v>1500.0</v>
      </c>
      <c r="H188" s="58">
        <v>44245.0</v>
      </c>
    </row>
    <row r="189">
      <c r="D189" s="56" t="s">
        <v>233</v>
      </c>
      <c r="E189" s="56">
        <v>1.0</v>
      </c>
      <c r="F189" s="57">
        <v>1450.0</v>
      </c>
      <c r="G189" s="57">
        <v>1450.0</v>
      </c>
      <c r="H189" s="58">
        <v>44245.0</v>
      </c>
    </row>
    <row r="190">
      <c r="D190" s="56" t="s">
        <v>234</v>
      </c>
      <c r="E190" s="56">
        <v>1.0</v>
      </c>
      <c r="F190" s="57">
        <v>510.0</v>
      </c>
      <c r="G190" s="57">
        <v>510.0</v>
      </c>
      <c r="H190" s="58">
        <v>44245.0</v>
      </c>
    </row>
    <row r="191">
      <c r="D191" s="56" t="s">
        <v>235</v>
      </c>
      <c r="E191" s="56">
        <v>3.0</v>
      </c>
      <c r="F191" s="57">
        <v>480.0</v>
      </c>
      <c r="G191" s="57">
        <v>1440.0</v>
      </c>
      <c r="H191" s="58">
        <v>44245.0</v>
      </c>
    </row>
    <row r="192">
      <c r="D192" s="56" t="s">
        <v>236</v>
      </c>
      <c r="E192" s="56">
        <v>3.0</v>
      </c>
      <c r="F192" s="57">
        <v>380.0</v>
      </c>
      <c r="G192" s="57">
        <v>1140.0</v>
      </c>
      <c r="H192" s="58">
        <v>44245.0</v>
      </c>
    </row>
    <row r="193">
      <c r="D193" s="56" t="s">
        <v>237</v>
      </c>
      <c r="E193" s="56">
        <v>1.0</v>
      </c>
      <c r="F193" s="57">
        <v>380.0</v>
      </c>
      <c r="G193" s="57">
        <v>380.0</v>
      </c>
      <c r="H193" s="58">
        <v>44245.0</v>
      </c>
    </row>
    <row r="194">
      <c r="D194" s="56" t="s">
        <v>238</v>
      </c>
      <c r="E194" s="56" t="s">
        <v>239</v>
      </c>
      <c r="F194" s="57">
        <v>1180.0</v>
      </c>
      <c r="G194" s="57">
        <v>21240.0</v>
      </c>
      <c r="H194" s="58">
        <v>44245.0</v>
      </c>
    </row>
    <row r="195">
      <c r="D195" s="56" t="s">
        <v>240</v>
      </c>
      <c r="E195" s="56">
        <v>15.0</v>
      </c>
      <c r="F195" s="57">
        <v>1100.0</v>
      </c>
      <c r="G195" s="57">
        <v>16500.0</v>
      </c>
      <c r="H195" s="58">
        <v>44245.0</v>
      </c>
    </row>
    <row r="196">
      <c r="D196" s="56" t="s">
        <v>241</v>
      </c>
      <c r="E196" s="56" t="s">
        <v>242</v>
      </c>
      <c r="F196" s="57">
        <v>2100.0</v>
      </c>
      <c r="G196" s="57">
        <v>2600.0</v>
      </c>
      <c r="H196" s="58">
        <v>44245.0</v>
      </c>
    </row>
    <row r="197">
      <c r="D197" s="56" t="s">
        <v>243</v>
      </c>
      <c r="E197" s="56">
        <v>1.0</v>
      </c>
      <c r="F197" s="57">
        <v>550.0</v>
      </c>
      <c r="G197" s="57">
        <v>550.0</v>
      </c>
      <c r="H197" s="58">
        <v>44245.0</v>
      </c>
    </row>
    <row r="198">
      <c r="D198" s="56" t="s">
        <v>99</v>
      </c>
      <c r="E198" s="56">
        <v>2.0</v>
      </c>
      <c r="F198" s="57">
        <v>350.0</v>
      </c>
      <c r="G198" s="57">
        <v>700.0</v>
      </c>
      <c r="H198" s="58">
        <v>44245.0</v>
      </c>
    </row>
    <row r="199">
      <c r="D199" s="56" t="s">
        <v>113</v>
      </c>
      <c r="E199" s="56">
        <v>3.0</v>
      </c>
      <c r="F199" s="57">
        <v>300.0</v>
      </c>
      <c r="G199" s="57">
        <v>300.0</v>
      </c>
      <c r="H199" s="58">
        <v>44245.0</v>
      </c>
    </row>
    <row r="200">
      <c r="D200" s="56" t="s">
        <v>244</v>
      </c>
      <c r="E200" s="56" t="s">
        <v>144</v>
      </c>
      <c r="F200" s="57">
        <v>140.0</v>
      </c>
      <c r="G200" s="57">
        <v>140.0</v>
      </c>
      <c r="H200" s="58">
        <v>44245.0</v>
      </c>
    </row>
    <row r="201">
      <c r="D201" s="56" t="s">
        <v>245</v>
      </c>
      <c r="E201" s="56" t="s">
        <v>144</v>
      </c>
      <c r="F201" s="57">
        <v>100.0</v>
      </c>
      <c r="G201" s="57">
        <v>100.0</v>
      </c>
      <c r="H201" s="58">
        <v>44245.0</v>
      </c>
    </row>
    <row r="202">
      <c r="D202" s="56" t="s">
        <v>192</v>
      </c>
      <c r="E202" s="56">
        <v>1.0</v>
      </c>
      <c r="F202" s="57">
        <v>500.0</v>
      </c>
      <c r="G202" s="57">
        <v>500.0</v>
      </c>
      <c r="H202" s="58">
        <v>44245.0</v>
      </c>
    </row>
    <row r="203">
      <c r="D203" s="56" t="s">
        <v>246</v>
      </c>
      <c r="E203" s="56">
        <v>1.0</v>
      </c>
      <c r="F203" s="57">
        <v>1000.0</v>
      </c>
      <c r="G203" s="57">
        <v>1000.0</v>
      </c>
      <c r="H203" s="58">
        <v>44245.0</v>
      </c>
    </row>
    <row r="204">
      <c r="D204" s="56" t="s">
        <v>247</v>
      </c>
      <c r="E204" s="56">
        <v>1.0</v>
      </c>
      <c r="F204" s="57">
        <v>150.0</v>
      </c>
      <c r="G204" s="57">
        <v>150.0</v>
      </c>
      <c r="H204" s="58">
        <v>44245.0</v>
      </c>
    </row>
    <row r="205">
      <c r="D205" s="56" t="s">
        <v>248</v>
      </c>
      <c r="E205" s="56">
        <v>2.0</v>
      </c>
      <c r="F205" s="57">
        <v>350.0</v>
      </c>
      <c r="G205" s="57">
        <v>700.0</v>
      </c>
      <c r="H205" s="58">
        <v>44245.0</v>
      </c>
    </row>
    <row r="206">
      <c r="D206" s="56" t="s">
        <v>249</v>
      </c>
      <c r="E206" s="56">
        <v>4.0</v>
      </c>
      <c r="F206" s="57">
        <v>300.0</v>
      </c>
      <c r="G206" s="57">
        <v>1200.0</v>
      </c>
      <c r="H206" s="58">
        <v>44245.0</v>
      </c>
    </row>
    <row r="207">
      <c r="D207" s="56" t="s">
        <v>95</v>
      </c>
      <c r="E207" s="56">
        <v>3.0</v>
      </c>
      <c r="F207" s="57">
        <v>100.0</v>
      </c>
      <c r="G207" s="57">
        <v>300.0</v>
      </c>
      <c r="H207" s="58">
        <v>44245.0</v>
      </c>
    </row>
    <row r="208">
      <c r="D208" s="56" t="s">
        <v>250</v>
      </c>
      <c r="E208" s="56">
        <v>1.0</v>
      </c>
      <c r="F208" s="57">
        <v>500.0</v>
      </c>
      <c r="G208" s="57">
        <v>500.0</v>
      </c>
      <c r="H208" s="58">
        <v>44245.0</v>
      </c>
    </row>
    <row r="209">
      <c r="D209" s="56" t="s">
        <v>113</v>
      </c>
      <c r="E209" s="56">
        <v>3.0</v>
      </c>
      <c r="F209" s="57">
        <v>500.0</v>
      </c>
      <c r="G209" s="57">
        <v>500.0</v>
      </c>
      <c r="H209" s="58">
        <v>44245.0</v>
      </c>
    </row>
    <row r="210">
      <c r="D210" s="56" t="s">
        <v>251</v>
      </c>
      <c r="E210" s="56">
        <v>2.0</v>
      </c>
      <c r="F210" s="57">
        <v>3000.0</v>
      </c>
      <c r="G210" s="57">
        <v>3000.0</v>
      </c>
      <c r="H210" s="58">
        <v>44245.0</v>
      </c>
    </row>
    <row r="211">
      <c r="D211" s="56" t="s">
        <v>252</v>
      </c>
      <c r="E211" s="56">
        <v>10.0</v>
      </c>
      <c r="F211" s="57">
        <v>100.0</v>
      </c>
      <c r="G211" s="57">
        <v>1000.0</v>
      </c>
      <c r="H211" s="58">
        <v>44246.0</v>
      </c>
    </row>
    <row r="212">
      <c r="D212" s="56" t="s">
        <v>119</v>
      </c>
      <c r="E212" s="56">
        <v>10.0</v>
      </c>
      <c r="F212" s="57">
        <v>120.0</v>
      </c>
      <c r="G212" s="57">
        <v>1200.0</v>
      </c>
      <c r="H212" s="58">
        <v>44247.0</v>
      </c>
    </row>
    <row r="213">
      <c r="D213" s="56" t="s">
        <v>99</v>
      </c>
      <c r="E213" s="56">
        <v>1.0</v>
      </c>
      <c r="F213" s="57">
        <v>350.0</v>
      </c>
      <c r="G213" s="57">
        <v>350.0</v>
      </c>
      <c r="H213" s="58">
        <v>44247.0</v>
      </c>
    </row>
    <row r="214">
      <c r="D214" s="56" t="s">
        <v>244</v>
      </c>
      <c r="E214" s="56">
        <v>1.0</v>
      </c>
      <c r="F214" s="57">
        <v>150.0</v>
      </c>
      <c r="G214" s="57">
        <v>150.0</v>
      </c>
      <c r="H214" s="58">
        <v>44247.0</v>
      </c>
    </row>
    <row r="215">
      <c r="D215" s="56" t="s">
        <v>146</v>
      </c>
      <c r="E215" s="56">
        <v>4.0</v>
      </c>
      <c r="F215" s="57">
        <v>50.0</v>
      </c>
      <c r="G215" s="57">
        <v>200.0</v>
      </c>
      <c r="H215" s="58">
        <v>44247.0</v>
      </c>
    </row>
    <row r="216">
      <c r="D216" s="56" t="s">
        <v>253</v>
      </c>
      <c r="E216" s="56">
        <v>3.0</v>
      </c>
      <c r="F216" s="57">
        <v>1000.0</v>
      </c>
      <c r="G216" s="57">
        <v>3000.0</v>
      </c>
      <c r="H216" s="58">
        <v>44247.0</v>
      </c>
    </row>
    <row r="217">
      <c r="D217" s="56" t="s">
        <v>254</v>
      </c>
      <c r="E217" s="56" t="s">
        <v>52</v>
      </c>
      <c r="F217" s="57">
        <v>1950.0</v>
      </c>
      <c r="G217" s="57">
        <v>9750.0</v>
      </c>
      <c r="H217" s="58">
        <v>44248.0</v>
      </c>
    </row>
    <row r="218">
      <c r="D218" s="56" t="s">
        <v>255</v>
      </c>
      <c r="E218" s="56">
        <v>1.0</v>
      </c>
      <c r="F218" s="57">
        <v>650.0</v>
      </c>
      <c r="G218" s="57">
        <v>650.0</v>
      </c>
      <c r="H218" s="58">
        <v>44248.0</v>
      </c>
    </row>
    <row r="219">
      <c r="D219" s="56" t="s">
        <v>256</v>
      </c>
      <c r="E219" s="56">
        <v>1.0</v>
      </c>
      <c r="F219" s="57">
        <v>200.0</v>
      </c>
      <c r="G219" s="57">
        <v>200.0</v>
      </c>
      <c r="H219" s="58">
        <v>44248.0</v>
      </c>
    </row>
    <row r="220">
      <c r="D220" s="56" t="s">
        <v>203</v>
      </c>
      <c r="E220" s="56">
        <v>10.0</v>
      </c>
      <c r="F220" s="57">
        <v>120.0</v>
      </c>
      <c r="G220" s="57">
        <v>1200.0</v>
      </c>
      <c r="H220" s="58">
        <v>44248.0</v>
      </c>
    </row>
    <row r="221">
      <c r="D221" s="56" t="s">
        <v>257</v>
      </c>
      <c r="E221" s="56">
        <v>2.0</v>
      </c>
      <c r="F221" s="57">
        <v>60.0</v>
      </c>
      <c r="G221" s="57">
        <v>120.0</v>
      </c>
      <c r="H221" s="58">
        <v>44248.0</v>
      </c>
    </row>
    <row r="222">
      <c r="D222" s="56" t="s">
        <v>139</v>
      </c>
      <c r="E222" s="56">
        <v>1.0</v>
      </c>
      <c r="F222" s="57">
        <v>150.0</v>
      </c>
      <c r="G222" s="57">
        <v>150.0</v>
      </c>
      <c r="H222" s="58">
        <v>44248.0</v>
      </c>
    </row>
    <row r="223">
      <c r="D223" s="56" t="s">
        <v>258</v>
      </c>
      <c r="E223" s="56">
        <v>2.0</v>
      </c>
      <c r="F223" s="57">
        <v>200.0</v>
      </c>
      <c r="G223" s="57">
        <v>400.0</v>
      </c>
      <c r="H223" s="58">
        <v>44248.0</v>
      </c>
    </row>
    <row r="224">
      <c r="D224" s="56" t="s">
        <v>123</v>
      </c>
      <c r="E224" s="56" t="s">
        <v>194</v>
      </c>
      <c r="F224" s="57">
        <v>70.0</v>
      </c>
      <c r="G224" s="57">
        <v>490.0</v>
      </c>
      <c r="H224" s="58">
        <v>44249.0</v>
      </c>
    </row>
    <row r="225">
      <c r="D225" s="56" t="s">
        <v>47</v>
      </c>
      <c r="E225" s="56">
        <v>6.0</v>
      </c>
      <c r="F225" s="57">
        <v>55.0</v>
      </c>
      <c r="G225" s="57">
        <v>330.0</v>
      </c>
      <c r="H225" s="58">
        <v>44249.0</v>
      </c>
    </row>
    <row r="226">
      <c r="D226" s="56" t="s">
        <v>259</v>
      </c>
      <c r="E226" s="56" t="s">
        <v>89</v>
      </c>
      <c r="F226" s="57">
        <v>300.0</v>
      </c>
      <c r="G226" s="57">
        <v>300.0</v>
      </c>
      <c r="H226" s="58">
        <v>44249.0</v>
      </c>
    </row>
    <row r="227">
      <c r="D227" s="56" t="s">
        <v>260</v>
      </c>
      <c r="E227" s="56">
        <v>1.0</v>
      </c>
      <c r="F227" s="57">
        <v>500.0</v>
      </c>
      <c r="G227" s="57">
        <v>500.0</v>
      </c>
      <c r="H227" s="58">
        <v>44250.0</v>
      </c>
    </row>
    <row r="228">
      <c r="D228" s="56" t="s">
        <v>113</v>
      </c>
      <c r="E228" s="56">
        <v>5.0</v>
      </c>
      <c r="F228" s="57">
        <v>100.0</v>
      </c>
      <c r="G228" s="57">
        <v>500.0</v>
      </c>
      <c r="H228" s="58">
        <v>44250.0</v>
      </c>
    </row>
    <row r="229">
      <c r="D229" s="56" t="s">
        <v>93</v>
      </c>
      <c r="E229" s="56" t="s">
        <v>261</v>
      </c>
      <c r="F229" s="57">
        <v>1500.0</v>
      </c>
      <c r="G229" s="57">
        <v>500.0</v>
      </c>
      <c r="H229" s="58">
        <v>44250.0</v>
      </c>
    </row>
    <row r="230">
      <c r="D230" s="56" t="s">
        <v>95</v>
      </c>
      <c r="E230" s="56" t="s">
        <v>124</v>
      </c>
      <c r="F230" s="57">
        <v>100.0</v>
      </c>
      <c r="G230" s="57">
        <v>1000.0</v>
      </c>
      <c r="H230" s="58">
        <v>44250.0</v>
      </c>
    </row>
    <row r="231">
      <c r="D231" s="56" t="s">
        <v>138</v>
      </c>
      <c r="E231" s="56">
        <v>7.0</v>
      </c>
      <c r="F231" s="57">
        <v>100.0</v>
      </c>
      <c r="G231" s="57">
        <v>700.0</v>
      </c>
      <c r="H231" s="58">
        <v>44251.0</v>
      </c>
    </row>
    <row r="232">
      <c r="D232" s="56" t="s">
        <v>93</v>
      </c>
      <c r="E232" s="56" t="s">
        <v>132</v>
      </c>
      <c r="F232" s="57">
        <v>1500.0</v>
      </c>
      <c r="G232" s="57">
        <v>3000.0</v>
      </c>
      <c r="H232" s="58">
        <v>44251.0</v>
      </c>
    </row>
    <row r="233">
      <c r="D233" s="56" t="s">
        <v>174</v>
      </c>
      <c r="E233" s="56" t="s">
        <v>144</v>
      </c>
      <c r="F233" s="57">
        <v>500.0</v>
      </c>
      <c r="G233" s="57">
        <v>500.0</v>
      </c>
      <c r="H233" s="58">
        <v>44251.0</v>
      </c>
    </row>
    <row r="234">
      <c r="D234" s="56" t="s">
        <v>262</v>
      </c>
      <c r="E234" s="56">
        <v>2.0</v>
      </c>
      <c r="F234" s="57">
        <v>150.0</v>
      </c>
      <c r="G234" s="57">
        <v>150.0</v>
      </c>
      <c r="H234" s="58">
        <v>44251.0</v>
      </c>
    </row>
    <row r="235">
      <c r="D235" s="56" t="s">
        <v>263</v>
      </c>
      <c r="E235" s="56" t="s">
        <v>264</v>
      </c>
      <c r="F235" s="57">
        <v>400.0</v>
      </c>
      <c r="G235" s="57">
        <v>400.0</v>
      </c>
      <c r="H235" s="58">
        <v>44251.0</v>
      </c>
    </row>
    <row r="236">
      <c r="D236" s="56" t="s">
        <v>265</v>
      </c>
      <c r="E236" s="56">
        <v>1.0</v>
      </c>
      <c r="F236" s="57">
        <v>100.0</v>
      </c>
      <c r="G236" s="57">
        <v>100.0</v>
      </c>
      <c r="H236" s="58">
        <v>44251.0</v>
      </c>
    </row>
    <row r="237">
      <c r="D237" s="56" t="s">
        <v>266</v>
      </c>
      <c r="E237" s="56">
        <v>1.0</v>
      </c>
      <c r="F237" s="57">
        <v>1110.0</v>
      </c>
      <c r="G237" s="57">
        <v>1110.0</v>
      </c>
      <c r="H237" s="58">
        <v>44250.0</v>
      </c>
    </row>
    <row r="238">
      <c r="D238" s="56" t="s">
        <v>267</v>
      </c>
      <c r="E238" s="56">
        <v>10.0</v>
      </c>
      <c r="F238" s="57">
        <v>25.0</v>
      </c>
      <c r="G238" s="57">
        <v>300.0</v>
      </c>
      <c r="H238" s="58">
        <v>44250.0</v>
      </c>
    </row>
    <row r="239">
      <c r="D239" s="56" t="s">
        <v>191</v>
      </c>
      <c r="E239" s="56">
        <v>3.0</v>
      </c>
      <c r="F239" s="57">
        <v>350.0</v>
      </c>
      <c r="G239" s="57">
        <v>1050.0</v>
      </c>
      <c r="H239" s="58">
        <v>44251.0</v>
      </c>
      <c r="I239" s="76">
        <v>44251.0</v>
      </c>
    </row>
    <row r="240">
      <c r="D240" s="56" t="s">
        <v>191</v>
      </c>
      <c r="E240" s="56">
        <v>5.0</v>
      </c>
      <c r="F240" s="57">
        <v>300.0</v>
      </c>
      <c r="G240" s="57">
        <v>1500.0</v>
      </c>
      <c r="H240" s="58">
        <v>44253.0</v>
      </c>
    </row>
    <row r="241">
      <c r="D241" s="56" t="s">
        <v>252</v>
      </c>
      <c r="E241" s="56" t="s">
        <v>124</v>
      </c>
      <c r="F241" s="57">
        <v>100.0</v>
      </c>
      <c r="G241" s="57">
        <v>1000.0</v>
      </c>
      <c r="H241" s="58">
        <v>44253.0</v>
      </c>
    </row>
    <row r="242">
      <c r="D242" s="56" t="s">
        <v>268</v>
      </c>
      <c r="E242" s="56" t="s">
        <v>269</v>
      </c>
      <c r="F242" s="57">
        <v>150.0</v>
      </c>
      <c r="G242" s="57">
        <v>1500.0</v>
      </c>
      <c r="H242" s="58">
        <v>44253.0</v>
      </c>
    </row>
    <row r="243">
      <c r="D243" s="56" t="s">
        <v>113</v>
      </c>
      <c r="E243" s="56" t="s">
        <v>270</v>
      </c>
      <c r="F243" s="57">
        <v>100.0</v>
      </c>
      <c r="G243" s="57">
        <v>600.0</v>
      </c>
      <c r="H243" s="58">
        <v>44253.0</v>
      </c>
    </row>
    <row r="244">
      <c r="D244" s="56" t="s">
        <v>174</v>
      </c>
      <c r="E244" s="56" t="s">
        <v>144</v>
      </c>
      <c r="F244" s="57">
        <v>500.0</v>
      </c>
      <c r="G244" s="57">
        <v>500.0</v>
      </c>
      <c r="H244" s="58">
        <v>44253.0</v>
      </c>
    </row>
    <row r="245">
      <c r="D245" s="56" t="s">
        <v>271</v>
      </c>
      <c r="E245" s="56">
        <v>2.0</v>
      </c>
      <c r="F245" s="57">
        <v>1000.0</v>
      </c>
      <c r="G245" s="57">
        <v>2000.0</v>
      </c>
      <c r="H245" s="58">
        <v>44253.0</v>
      </c>
    </row>
    <row r="246">
      <c r="D246" s="56" t="s">
        <v>272</v>
      </c>
      <c r="E246" s="56">
        <v>6.0</v>
      </c>
      <c r="F246" s="57">
        <v>600.0</v>
      </c>
      <c r="G246" s="57">
        <v>600.0</v>
      </c>
      <c r="H246" s="58">
        <v>44282.0</v>
      </c>
    </row>
    <row r="247">
      <c r="D247" s="77" t="s">
        <v>273</v>
      </c>
      <c r="E247" s="14"/>
      <c r="F247" s="78"/>
      <c r="G247" s="78">
        <f>SUM(G4:G246)</f>
        <v>499172</v>
      </c>
      <c r="H247" s="14"/>
    </row>
    <row r="248">
      <c r="D248" s="77" t="s">
        <v>274</v>
      </c>
      <c r="E248" s="14"/>
      <c r="F248" s="79"/>
      <c r="G248" s="79">
        <v>20000.0</v>
      </c>
      <c r="H248" s="14"/>
    </row>
    <row r="249">
      <c r="D249" s="77" t="s">
        <v>275</v>
      </c>
      <c r="E249" s="14"/>
      <c r="F249" s="27"/>
      <c r="G249" s="27">
        <f>G248-G247</f>
        <v>-479172</v>
      </c>
      <c r="H249" s="14"/>
    </row>
  </sheetData>
  <mergeCells count="1">
    <mergeCell ref="J16:M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3.75"/>
    <col customWidth="1" min="12" max="12" width="16.38"/>
    <col customWidth="1" min="13" max="13" width="19.13"/>
  </cols>
  <sheetData>
    <row r="1">
      <c r="A1" s="1"/>
      <c r="B1" s="2" t="s">
        <v>0</v>
      </c>
      <c r="C1" s="80" t="s">
        <v>276</v>
      </c>
      <c r="D1" s="80" t="s">
        <v>277</v>
      </c>
      <c r="E1" s="80" t="s">
        <v>278</v>
      </c>
      <c r="F1" s="80" t="s">
        <v>279</v>
      </c>
      <c r="G1" s="80" t="s">
        <v>280</v>
      </c>
      <c r="H1" s="80" t="s">
        <v>281</v>
      </c>
      <c r="I1" s="81" t="s">
        <v>282</v>
      </c>
      <c r="J1" s="80" t="s">
        <v>283</v>
      </c>
      <c r="K1" s="80" t="s">
        <v>165</v>
      </c>
      <c r="L1" s="80" t="s">
        <v>284</v>
      </c>
      <c r="M1" s="82" t="s">
        <v>285</v>
      </c>
    </row>
    <row r="2">
      <c r="A2" s="6" t="s">
        <v>9</v>
      </c>
      <c r="B2" s="7">
        <v>44228.0</v>
      </c>
      <c r="C2" s="83">
        <v>1.0</v>
      </c>
      <c r="D2" s="83">
        <v>1.0</v>
      </c>
      <c r="E2" s="83">
        <v>0.0</v>
      </c>
      <c r="F2" s="83">
        <v>0.0</v>
      </c>
      <c r="G2" s="83">
        <v>1.0</v>
      </c>
      <c r="H2" s="83">
        <v>1.0</v>
      </c>
      <c r="I2" s="83">
        <v>0.5</v>
      </c>
      <c r="J2" s="83">
        <v>1.0</v>
      </c>
      <c r="K2" s="83">
        <v>0.0</v>
      </c>
      <c r="L2" s="83">
        <v>1.0</v>
      </c>
      <c r="M2" s="84"/>
    </row>
    <row r="3">
      <c r="A3" s="6" t="s">
        <v>11</v>
      </c>
      <c r="B3" s="7">
        <v>44229.0</v>
      </c>
      <c r="C3" s="83">
        <v>1.0</v>
      </c>
      <c r="D3" s="83">
        <v>1.0</v>
      </c>
      <c r="E3" s="83">
        <v>1.0</v>
      </c>
      <c r="F3" s="83">
        <v>1.0</v>
      </c>
      <c r="G3" s="83">
        <v>1.0</v>
      </c>
      <c r="H3" s="83">
        <v>1.0</v>
      </c>
      <c r="I3" s="83">
        <v>0.5</v>
      </c>
      <c r="J3" s="83">
        <v>1.0</v>
      </c>
      <c r="K3" s="83">
        <v>0.0</v>
      </c>
      <c r="L3" s="83">
        <v>0.0</v>
      </c>
      <c r="M3" s="84"/>
    </row>
    <row r="4">
      <c r="A4" s="6" t="s">
        <v>12</v>
      </c>
      <c r="B4" s="7">
        <v>44230.0</v>
      </c>
      <c r="C4" s="83">
        <v>1.0</v>
      </c>
      <c r="D4" s="83">
        <v>1.0</v>
      </c>
      <c r="E4" s="83">
        <v>1.0</v>
      </c>
      <c r="F4" s="83">
        <v>0.0</v>
      </c>
      <c r="G4" s="83">
        <v>1.0</v>
      </c>
      <c r="H4" s="83">
        <v>1.0</v>
      </c>
      <c r="I4" s="83">
        <v>0.5</v>
      </c>
      <c r="J4" s="83">
        <v>0.0</v>
      </c>
      <c r="K4" s="83">
        <v>0.0</v>
      </c>
      <c r="L4" s="83">
        <v>0.0</v>
      </c>
      <c r="M4" s="84"/>
    </row>
    <row r="5">
      <c r="A5" s="6" t="s">
        <v>13</v>
      </c>
      <c r="B5" s="7">
        <v>44231.0</v>
      </c>
      <c r="C5" s="83">
        <v>1.0</v>
      </c>
      <c r="D5" s="83">
        <v>1.0</v>
      </c>
      <c r="E5" s="83">
        <v>1.0</v>
      </c>
      <c r="F5" s="83">
        <v>0.0</v>
      </c>
      <c r="G5" s="83">
        <v>1.0</v>
      </c>
      <c r="H5" s="83">
        <v>1.0</v>
      </c>
      <c r="I5" s="83">
        <v>0.5</v>
      </c>
      <c r="J5" s="83">
        <v>0.0</v>
      </c>
      <c r="K5" s="83">
        <v>0.0</v>
      </c>
      <c r="L5" s="83">
        <v>0.0</v>
      </c>
      <c r="M5" s="84"/>
    </row>
    <row r="6">
      <c r="A6" s="21" t="s">
        <v>14</v>
      </c>
      <c r="B6" s="22">
        <v>44232.0</v>
      </c>
      <c r="C6" s="85">
        <v>1.0</v>
      </c>
      <c r="D6" s="85">
        <v>0.0</v>
      </c>
      <c r="E6" s="85">
        <v>0.0</v>
      </c>
      <c r="F6" s="85">
        <v>1.0</v>
      </c>
      <c r="G6" s="85">
        <v>0.0</v>
      </c>
      <c r="H6" s="85">
        <v>0.0</v>
      </c>
      <c r="I6" s="85">
        <v>0.0</v>
      </c>
      <c r="J6" s="85">
        <v>0.0</v>
      </c>
      <c r="K6" s="85">
        <v>1.0</v>
      </c>
      <c r="L6" s="85">
        <v>1.0</v>
      </c>
      <c r="M6" s="84"/>
    </row>
    <row r="7">
      <c r="A7" s="6" t="s">
        <v>15</v>
      </c>
      <c r="B7" s="7">
        <v>44233.0</v>
      </c>
      <c r="C7" s="83">
        <v>1.0</v>
      </c>
      <c r="D7" s="83">
        <v>1.0</v>
      </c>
      <c r="E7" s="83">
        <v>0.0</v>
      </c>
      <c r="F7" s="83">
        <v>0.0</v>
      </c>
      <c r="G7" s="83">
        <v>1.0</v>
      </c>
      <c r="H7" s="83">
        <v>1.0</v>
      </c>
      <c r="I7" s="83">
        <v>0.0</v>
      </c>
      <c r="J7" s="83">
        <v>1.0</v>
      </c>
      <c r="K7" s="83">
        <v>1.0</v>
      </c>
      <c r="L7" s="83">
        <v>0.5</v>
      </c>
      <c r="M7" s="84"/>
    </row>
    <row r="8">
      <c r="A8" s="6" t="s">
        <v>16</v>
      </c>
      <c r="B8" s="7">
        <v>44234.0</v>
      </c>
      <c r="C8" s="83">
        <v>0.0</v>
      </c>
      <c r="D8" s="83">
        <v>1.0</v>
      </c>
      <c r="E8" s="83">
        <v>0.0</v>
      </c>
      <c r="F8" s="83">
        <v>0.0</v>
      </c>
      <c r="G8" s="83">
        <v>0.0</v>
      </c>
      <c r="H8" s="83">
        <v>1.0</v>
      </c>
      <c r="I8" s="83">
        <v>1.0</v>
      </c>
      <c r="J8" s="83">
        <v>1.0</v>
      </c>
      <c r="K8" s="83">
        <v>1.0</v>
      </c>
      <c r="L8" s="83">
        <v>1.0</v>
      </c>
      <c r="M8" s="84"/>
    </row>
    <row r="9">
      <c r="A9" s="6" t="s">
        <v>9</v>
      </c>
      <c r="B9" s="7">
        <v>44235.0</v>
      </c>
      <c r="C9" s="83">
        <v>1.0</v>
      </c>
      <c r="D9" s="83">
        <v>1.0</v>
      </c>
      <c r="E9" s="83">
        <v>0.0</v>
      </c>
      <c r="F9" s="83">
        <v>0.0</v>
      </c>
      <c r="G9" s="83">
        <v>1.0</v>
      </c>
      <c r="H9" s="83">
        <v>1.0</v>
      </c>
      <c r="I9" s="83">
        <v>1.0</v>
      </c>
      <c r="J9" s="83">
        <v>0.0</v>
      </c>
      <c r="K9" s="83">
        <v>1.0</v>
      </c>
      <c r="L9" s="83">
        <v>1.0</v>
      </c>
      <c r="M9" s="84"/>
    </row>
    <row r="10">
      <c r="A10" s="6" t="s">
        <v>11</v>
      </c>
      <c r="B10" s="7">
        <v>44236.0</v>
      </c>
      <c r="C10" s="83">
        <v>1.0</v>
      </c>
      <c r="D10" s="83">
        <v>1.0</v>
      </c>
      <c r="E10" s="83">
        <v>0.0</v>
      </c>
      <c r="F10" s="83">
        <v>0.0</v>
      </c>
      <c r="G10" s="83">
        <v>1.0</v>
      </c>
      <c r="H10" s="83">
        <v>1.0</v>
      </c>
      <c r="I10" s="83">
        <v>0.0</v>
      </c>
      <c r="J10" s="83">
        <v>0.0</v>
      </c>
      <c r="K10" s="83">
        <v>1.0</v>
      </c>
      <c r="L10" s="83">
        <v>1.0</v>
      </c>
      <c r="M10" s="84"/>
    </row>
    <row r="11">
      <c r="A11" s="6" t="s">
        <v>12</v>
      </c>
      <c r="B11" s="7">
        <v>44237.0</v>
      </c>
      <c r="C11" s="83">
        <v>1.0</v>
      </c>
      <c r="D11" s="83">
        <v>1.0</v>
      </c>
      <c r="E11" s="83">
        <v>0.0</v>
      </c>
      <c r="F11" s="83">
        <v>0.0</v>
      </c>
      <c r="G11" s="83">
        <v>1.0</v>
      </c>
      <c r="H11" s="83">
        <v>1.0</v>
      </c>
      <c r="I11" s="83">
        <v>1.0</v>
      </c>
      <c r="J11" s="83">
        <v>0.0</v>
      </c>
      <c r="K11" s="83">
        <v>1.0</v>
      </c>
      <c r="L11" s="83">
        <v>1.0</v>
      </c>
      <c r="M11" s="84"/>
    </row>
    <row r="12">
      <c r="A12" s="6" t="s">
        <v>13</v>
      </c>
      <c r="B12" s="7">
        <v>44238.0</v>
      </c>
      <c r="C12" s="83">
        <v>1.0</v>
      </c>
      <c r="D12" s="83">
        <v>1.0</v>
      </c>
      <c r="E12" s="83">
        <v>0.0</v>
      </c>
      <c r="F12" s="83">
        <v>1.0</v>
      </c>
      <c r="G12" s="83">
        <v>1.0</v>
      </c>
      <c r="H12" s="83">
        <v>1.0</v>
      </c>
      <c r="I12" s="83">
        <v>1.0</v>
      </c>
      <c r="J12" s="83">
        <v>0.0</v>
      </c>
      <c r="K12" s="83">
        <v>1.0</v>
      </c>
      <c r="L12" s="83">
        <v>1.0</v>
      </c>
      <c r="M12" s="84"/>
    </row>
    <row r="13">
      <c r="A13" s="21" t="s">
        <v>14</v>
      </c>
      <c r="B13" s="22">
        <v>44239.0</v>
      </c>
      <c r="C13" s="85">
        <v>1.0</v>
      </c>
      <c r="D13" s="85">
        <v>0.0</v>
      </c>
      <c r="E13" s="85">
        <v>0.0</v>
      </c>
      <c r="F13" s="85">
        <v>1.0</v>
      </c>
      <c r="G13" s="85">
        <v>1.0</v>
      </c>
      <c r="H13" s="85">
        <v>0.0</v>
      </c>
      <c r="I13" s="85">
        <v>1.0</v>
      </c>
      <c r="J13" s="85">
        <v>0.0</v>
      </c>
      <c r="K13" s="85">
        <v>1.0</v>
      </c>
      <c r="L13" s="85">
        <v>1.67</v>
      </c>
      <c r="M13" s="84"/>
    </row>
    <row r="14">
      <c r="A14" s="6" t="s">
        <v>15</v>
      </c>
      <c r="B14" s="7">
        <v>44240.0</v>
      </c>
      <c r="C14" s="83">
        <v>1.0</v>
      </c>
      <c r="D14" s="83">
        <v>1.0</v>
      </c>
      <c r="E14" s="83">
        <v>0.0</v>
      </c>
      <c r="F14" s="83">
        <v>0.0</v>
      </c>
      <c r="G14" s="83">
        <v>1.0</v>
      </c>
      <c r="H14" s="83">
        <v>1.0</v>
      </c>
      <c r="I14" s="83">
        <v>0.0</v>
      </c>
      <c r="J14" s="83">
        <v>0.0</v>
      </c>
      <c r="K14" s="83">
        <v>1.0</v>
      </c>
      <c r="L14" s="83">
        <v>1.0</v>
      </c>
      <c r="M14" s="84"/>
    </row>
    <row r="15">
      <c r="A15" s="6" t="s">
        <v>16</v>
      </c>
      <c r="B15" s="7">
        <v>44241.0</v>
      </c>
      <c r="C15" s="83">
        <v>1.0</v>
      </c>
      <c r="D15" s="83">
        <v>1.0</v>
      </c>
      <c r="E15" s="83">
        <v>0.0</v>
      </c>
      <c r="F15" s="83">
        <v>0.0</v>
      </c>
      <c r="G15" s="83">
        <v>1.0</v>
      </c>
      <c r="H15" s="83">
        <v>0.5</v>
      </c>
      <c r="I15" s="83">
        <v>1.0</v>
      </c>
      <c r="J15" s="83">
        <v>0.0</v>
      </c>
      <c r="K15" s="83">
        <v>1.0</v>
      </c>
      <c r="L15" s="83">
        <v>1.0</v>
      </c>
      <c r="M15" s="84"/>
    </row>
    <row r="16">
      <c r="A16" s="6" t="s">
        <v>9</v>
      </c>
      <c r="B16" s="7">
        <v>44242.0</v>
      </c>
      <c r="C16" s="83">
        <v>1.0</v>
      </c>
      <c r="D16" s="83">
        <v>1.0</v>
      </c>
      <c r="E16" s="83">
        <v>0.0</v>
      </c>
      <c r="F16" s="83">
        <v>0.0</v>
      </c>
      <c r="G16" s="83">
        <v>0.0</v>
      </c>
      <c r="H16" s="83">
        <v>1.0</v>
      </c>
      <c r="I16" s="83">
        <v>1.0</v>
      </c>
      <c r="J16" s="83">
        <v>0.0</v>
      </c>
      <c r="K16" s="83">
        <v>1.0</v>
      </c>
      <c r="L16" s="83">
        <v>1.0</v>
      </c>
      <c r="M16" s="84"/>
    </row>
    <row r="17">
      <c r="A17" s="6" t="s">
        <v>11</v>
      </c>
      <c r="B17" s="7">
        <v>44243.0</v>
      </c>
      <c r="C17" s="83">
        <v>1.0</v>
      </c>
      <c r="D17" s="83">
        <v>1.0</v>
      </c>
      <c r="E17" s="83">
        <v>0.0</v>
      </c>
      <c r="F17" s="83">
        <v>0.0</v>
      </c>
      <c r="G17" s="83">
        <v>1.0</v>
      </c>
      <c r="H17" s="83">
        <v>1.0</v>
      </c>
      <c r="I17" s="83">
        <v>1.0</v>
      </c>
      <c r="J17" s="83">
        <v>0.0</v>
      </c>
      <c r="K17" s="83">
        <v>1.0</v>
      </c>
      <c r="L17" s="83">
        <v>1.0</v>
      </c>
      <c r="M17" s="84"/>
    </row>
    <row r="18">
      <c r="A18" s="6" t="s">
        <v>12</v>
      </c>
      <c r="B18" s="7">
        <v>44244.0</v>
      </c>
      <c r="C18" s="83">
        <v>1.0</v>
      </c>
      <c r="D18" s="83">
        <v>1.0</v>
      </c>
      <c r="E18" s="83">
        <v>0.0</v>
      </c>
      <c r="F18" s="83">
        <v>1.0</v>
      </c>
      <c r="G18" s="83">
        <v>1.0</v>
      </c>
      <c r="H18" s="83">
        <v>1.0</v>
      </c>
      <c r="I18" s="83">
        <v>1.0</v>
      </c>
      <c r="J18" s="83">
        <v>0.0</v>
      </c>
      <c r="K18" s="83">
        <v>0.0</v>
      </c>
      <c r="L18" s="83">
        <v>1.0</v>
      </c>
      <c r="M18" s="84"/>
    </row>
    <row r="19">
      <c r="A19" s="6" t="s">
        <v>13</v>
      </c>
      <c r="B19" s="7">
        <v>44245.0</v>
      </c>
      <c r="C19" s="83">
        <v>1.0</v>
      </c>
      <c r="D19" s="83">
        <v>1.0</v>
      </c>
      <c r="E19" s="83">
        <v>0.0</v>
      </c>
      <c r="F19" s="83">
        <v>1.0</v>
      </c>
      <c r="G19" s="83">
        <v>1.0</v>
      </c>
      <c r="H19" s="83">
        <v>1.0</v>
      </c>
      <c r="I19" s="83">
        <v>1.0</v>
      </c>
      <c r="J19" s="83">
        <v>0.0</v>
      </c>
      <c r="K19" s="83">
        <v>1.0</v>
      </c>
      <c r="L19" s="83">
        <v>1.0</v>
      </c>
      <c r="M19" s="84"/>
    </row>
    <row r="20">
      <c r="A20" s="21" t="s">
        <v>14</v>
      </c>
      <c r="B20" s="22">
        <v>44246.0</v>
      </c>
      <c r="C20" s="85">
        <v>1.0</v>
      </c>
      <c r="D20" s="85">
        <v>0.0</v>
      </c>
      <c r="E20" s="85">
        <v>0.0</v>
      </c>
      <c r="F20" s="85">
        <v>0.0</v>
      </c>
      <c r="G20" s="85">
        <v>0.0</v>
      </c>
      <c r="H20" s="85">
        <v>0.0</v>
      </c>
      <c r="I20" s="85">
        <v>1.0</v>
      </c>
      <c r="J20" s="85">
        <v>0.0</v>
      </c>
      <c r="K20" s="85">
        <v>1.0</v>
      </c>
      <c r="L20" s="85">
        <v>1.5</v>
      </c>
      <c r="M20" s="84"/>
    </row>
    <row r="21">
      <c r="A21" s="6" t="s">
        <v>15</v>
      </c>
      <c r="B21" s="7">
        <v>44247.0</v>
      </c>
      <c r="C21" s="83">
        <v>1.0</v>
      </c>
      <c r="D21" s="83">
        <v>0.0</v>
      </c>
      <c r="E21" s="83">
        <v>0.0</v>
      </c>
      <c r="F21" s="83">
        <v>0.0</v>
      </c>
      <c r="G21" s="83">
        <v>1.0</v>
      </c>
      <c r="H21" s="83">
        <v>1.0</v>
      </c>
      <c r="I21" s="83">
        <v>0.0</v>
      </c>
      <c r="J21" s="83">
        <v>0.0</v>
      </c>
      <c r="K21" s="83">
        <v>1.0</v>
      </c>
      <c r="L21" s="83">
        <v>0.0</v>
      </c>
      <c r="M21" s="84"/>
    </row>
    <row r="22">
      <c r="A22" s="6" t="s">
        <v>16</v>
      </c>
      <c r="B22" s="7">
        <v>44248.0</v>
      </c>
      <c r="C22" s="83">
        <v>1.0</v>
      </c>
      <c r="D22" s="83">
        <v>0.0</v>
      </c>
      <c r="E22" s="83">
        <v>0.0</v>
      </c>
      <c r="F22" s="83">
        <v>0.0</v>
      </c>
      <c r="G22" s="83">
        <v>1.0</v>
      </c>
      <c r="H22" s="83">
        <v>1.0</v>
      </c>
      <c r="I22" s="83">
        <v>1.0</v>
      </c>
      <c r="J22" s="83">
        <v>0.0</v>
      </c>
      <c r="K22" s="83">
        <v>1.0</v>
      </c>
      <c r="L22" s="83">
        <v>1.0</v>
      </c>
      <c r="M22" s="84"/>
    </row>
    <row r="23">
      <c r="A23" s="6" t="s">
        <v>9</v>
      </c>
      <c r="B23" s="7">
        <v>44249.0</v>
      </c>
      <c r="C23" s="83">
        <v>0.0</v>
      </c>
      <c r="D23" s="83">
        <v>0.0</v>
      </c>
      <c r="E23" s="83">
        <v>0.0</v>
      </c>
      <c r="F23" s="83">
        <v>0.0</v>
      </c>
      <c r="G23" s="83">
        <v>1.0</v>
      </c>
      <c r="H23" s="83">
        <v>1.0</v>
      </c>
      <c r="I23" s="83">
        <v>1.0</v>
      </c>
      <c r="J23" s="83">
        <v>0.0</v>
      </c>
      <c r="K23" s="83">
        <v>1.0</v>
      </c>
      <c r="L23" s="83">
        <v>1.0</v>
      </c>
      <c r="M23" s="84"/>
    </row>
    <row r="24">
      <c r="A24" s="6" t="s">
        <v>11</v>
      </c>
      <c r="B24" s="7">
        <v>44250.0</v>
      </c>
      <c r="C24" s="86">
        <v>1.0</v>
      </c>
      <c r="D24" s="86">
        <v>0.0</v>
      </c>
      <c r="E24" s="86">
        <v>0.0</v>
      </c>
      <c r="F24" s="86">
        <v>0.0</v>
      </c>
      <c r="G24" s="86">
        <v>1.0</v>
      </c>
      <c r="H24" s="86">
        <v>0.0</v>
      </c>
      <c r="I24" s="86">
        <v>1.0</v>
      </c>
      <c r="J24" s="86">
        <v>0.0</v>
      </c>
      <c r="K24" s="86">
        <v>0.0</v>
      </c>
      <c r="L24" s="86">
        <v>1.0</v>
      </c>
      <c r="M24" s="84"/>
    </row>
    <row r="25">
      <c r="A25" s="6" t="s">
        <v>12</v>
      </c>
      <c r="B25" s="7">
        <v>44251.0</v>
      </c>
      <c r="C25" s="86">
        <v>1.0</v>
      </c>
      <c r="D25" s="86">
        <v>0.0</v>
      </c>
      <c r="E25" s="86">
        <v>0.0</v>
      </c>
      <c r="F25" s="86">
        <v>0.0</v>
      </c>
      <c r="G25" s="86">
        <v>1.0</v>
      </c>
      <c r="H25" s="86">
        <v>0.0</v>
      </c>
      <c r="I25" s="86">
        <v>1.0</v>
      </c>
      <c r="J25" s="86">
        <v>0.0</v>
      </c>
      <c r="K25" s="86">
        <v>1.0</v>
      </c>
      <c r="L25" s="86">
        <v>1.0</v>
      </c>
      <c r="M25" s="84"/>
    </row>
    <row r="26">
      <c r="A26" s="6" t="s">
        <v>13</v>
      </c>
      <c r="B26" s="7">
        <v>44252.0</v>
      </c>
      <c r="C26" s="86">
        <v>1.0</v>
      </c>
      <c r="D26" s="86">
        <v>0.0</v>
      </c>
      <c r="E26" s="86">
        <v>0.0</v>
      </c>
      <c r="F26" s="86">
        <v>1.0</v>
      </c>
      <c r="G26" s="86">
        <v>1.0</v>
      </c>
      <c r="H26" s="86">
        <v>0.0</v>
      </c>
      <c r="I26" s="86">
        <v>1.0</v>
      </c>
      <c r="J26" s="86">
        <v>0.0</v>
      </c>
      <c r="K26" s="86">
        <v>1.0</v>
      </c>
      <c r="L26" s="86">
        <v>1.0</v>
      </c>
      <c r="M26" s="84"/>
    </row>
    <row r="27">
      <c r="A27" s="21" t="s">
        <v>14</v>
      </c>
      <c r="B27" s="22">
        <v>44253.0</v>
      </c>
      <c r="C27" s="87">
        <v>1.0</v>
      </c>
      <c r="D27" s="87">
        <v>0.0</v>
      </c>
      <c r="E27" s="87">
        <v>0.0</v>
      </c>
      <c r="F27" s="87">
        <v>1.0</v>
      </c>
      <c r="G27" s="87">
        <v>0.0</v>
      </c>
      <c r="H27" s="87">
        <v>0.0</v>
      </c>
      <c r="I27" s="87">
        <v>0.0</v>
      </c>
      <c r="J27" s="87">
        <v>0.0</v>
      </c>
      <c r="K27" s="87">
        <v>1.0</v>
      </c>
      <c r="L27" s="87">
        <v>1.5</v>
      </c>
      <c r="M27" s="84"/>
    </row>
    <row r="28">
      <c r="A28" s="6" t="s">
        <v>15</v>
      </c>
      <c r="B28" s="7">
        <v>44254.0</v>
      </c>
      <c r="C28" s="86">
        <v>1.0</v>
      </c>
      <c r="D28" s="86">
        <v>0.0</v>
      </c>
      <c r="E28" s="86">
        <v>0.0</v>
      </c>
      <c r="F28" s="86">
        <v>0.0</v>
      </c>
      <c r="G28" s="86">
        <v>1.0</v>
      </c>
      <c r="H28" s="86">
        <v>1.0</v>
      </c>
      <c r="I28" s="86">
        <v>0.0</v>
      </c>
      <c r="J28" s="86">
        <v>0.0</v>
      </c>
      <c r="K28" s="86">
        <v>0.5</v>
      </c>
      <c r="L28" s="86">
        <v>0.0</v>
      </c>
      <c r="M28" s="84"/>
    </row>
    <row r="29">
      <c r="A29" s="6" t="s">
        <v>16</v>
      </c>
      <c r="B29" s="7">
        <v>44255.0</v>
      </c>
      <c r="C29" s="86">
        <v>1.0</v>
      </c>
      <c r="D29" s="86">
        <v>0.0</v>
      </c>
      <c r="E29" s="86">
        <v>0.0</v>
      </c>
      <c r="F29" s="86">
        <v>0.0</v>
      </c>
      <c r="G29" s="86">
        <v>1.0</v>
      </c>
      <c r="H29" s="86">
        <v>1.0</v>
      </c>
      <c r="I29" s="86">
        <v>1.0</v>
      </c>
      <c r="J29" s="86">
        <v>0.0</v>
      </c>
      <c r="K29" s="86">
        <v>1.0</v>
      </c>
      <c r="L29" s="86">
        <v>1.0</v>
      </c>
      <c r="M29" s="84"/>
    </row>
    <row r="30">
      <c r="A30" s="88" t="s">
        <v>286</v>
      </c>
      <c r="B30" s="7"/>
      <c r="C30" s="89">
        <f t="shared" ref="C30:L30" si="1">SUM(C2:C29)</f>
        <v>26</v>
      </c>
      <c r="D30" s="89">
        <f t="shared" si="1"/>
        <v>16</v>
      </c>
      <c r="E30" s="89">
        <f t="shared" si="1"/>
        <v>3</v>
      </c>
      <c r="F30" s="89">
        <f t="shared" si="1"/>
        <v>8</v>
      </c>
      <c r="G30" s="89">
        <f t="shared" si="1"/>
        <v>23</v>
      </c>
      <c r="H30" s="89">
        <f t="shared" si="1"/>
        <v>20.5</v>
      </c>
      <c r="I30" s="89">
        <f t="shared" si="1"/>
        <v>19</v>
      </c>
      <c r="J30" s="89">
        <f t="shared" si="1"/>
        <v>4</v>
      </c>
      <c r="K30" s="89">
        <f t="shared" si="1"/>
        <v>21.5</v>
      </c>
      <c r="L30" s="89">
        <f t="shared" si="1"/>
        <v>24.17</v>
      </c>
      <c r="M30" s="14"/>
    </row>
    <row r="31">
      <c r="A31" s="90" t="s">
        <v>287</v>
      </c>
      <c r="B31" s="91"/>
      <c r="C31" s="92">
        <v>2000.0</v>
      </c>
      <c r="D31" s="93">
        <v>1200.0</v>
      </c>
      <c r="E31" s="92">
        <v>1000.0</v>
      </c>
      <c r="F31" s="93">
        <v>1000.0</v>
      </c>
      <c r="G31" s="92">
        <v>1200.0</v>
      </c>
      <c r="H31" s="93">
        <v>800.0</v>
      </c>
      <c r="I31" s="92">
        <v>1000.0</v>
      </c>
      <c r="J31" s="93">
        <v>500.0</v>
      </c>
      <c r="K31" s="92">
        <v>1000.0</v>
      </c>
      <c r="L31" s="92">
        <v>1200.0</v>
      </c>
      <c r="M31" s="94">
        <f t="shared" ref="M31:M32" si="3">SUM(C31:L31)</f>
        <v>10900</v>
      </c>
    </row>
    <row r="32">
      <c r="A32" s="1"/>
      <c r="B32" s="14"/>
      <c r="C32" s="95">
        <f t="shared" ref="C32:K32" si="2">C31*C30</f>
        <v>52000</v>
      </c>
      <c r="D32" s="95">
        <f t="shared" si="2"/>
        <v>19200</v>
      </c>
      <c r="E32" s="95">
        <f t="shared" si="2"/>
        <v>3000</v>
      </c>
      <c r="F32" s="95">
        <f t="shared" si="2"/>
        <v>8000</v>
      </c>
      <c r="G32" s="95">
        <f t="shared" si="2"/>
        <v>27600</v>
      </c>
      <c r="H32" s="95">
        <f t="shared" si="2"/>
        <v>16400</v>
      </c>
      <c r="I32" s="95">
        <f t="shared" si="2"/>
        <v>19000</v>
      </c>
      <c r="J32" s="95">
        <f t="shared" si="2"/>
        <v>2000</v>
      </c>
      <c r="K32" s="95">
        <f t="shared" si="2"/>
        <v>21500</v>
      </c>
      <c r="L32" s="95">
        <f>L30*L31</f>
        <v>29004</v>
      </c>
      <c r="M32" s="78">
        <f t="shared" si="3"/>
        <v>197704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R36" s="2" t="s">
        <v>0</v>
      </c>
      <c r="S36" s="80" t="s">
        <v>276</v>
      </c>
      <c r="T36" s="96"/>
      <c r="U36" s="96"/>
      <c r="V36" s="96"/>
      <c r="W36" s="96"/>
      <c r="X36" s="96"/>
      <c r="Y36" s="96"/>
      <c r="Z36" s="96"/>
    </row>
    <row r="37">
      <c r="R37" s="7">
        <v>44228.0</v>
      </c>
      <c r="S37" s="83">
        <v>1.0</v>
      </c>
      <c r="T37" s="97"/>
      <c r="U37" s="97"/>
      <c r="V37" s="97"/>
      <c r="W37" s="97"/>
      <c r="X37" s="97"/>
      <c r="Y37" s="97"/>
      <c r="Z37" s="97"/>
    </row>
    <row r="38">
      <c r="R38" s="7">
        <v>44229.0</v>
      </c>
      <c r="S38" s="83">
        <v>1.0</v>
      </c>
      <c r="T38" s="97"/>
      <c r="U38" s="97"/>
      <c r="V38" s="97"/>
      <c r="W38" s="97"/>
      <c r="X38" s="97"/>
      <c r="Y38" s="97"/>
      <c r="Z38" s="97"/>
    </row>
    <row r="39">
      <c r="R39" s="7">
        <v>44230.0</v>
      </c>
      <c r="S39" s="83">
        <v>1.0</v>
      </c>
      <c r="T39" s="97"/>
      <c r="U39" s="97"/>
      <c r="V39" s="97"/>
      <c r="W39" s="97"/>
      <c r="X39" s="97"/>
      <c r="Y39" s="97"/>
      <c r="Z39" s="97"/>
    </row>
    <row r="40">
      <c r="R40" s="7">
        <v>44231.0</v>
      </c>
      <c r="S40" s="83">
        <v>1.0</v>
      </c>
      <c r="T40" s="97"/>
      <c r="U40" s="97"/>
      <c r="V40" s="97"/>
      <c r="W40" s="97"/>
      <c r="X40" s="97"/>
      <c r="Y40" s="97"/>
      <c r="Z40" s="97"/>
    </row>
    <row r="41">
      <c r="R41" s="22">
        <v>44232.0</v>
      </c>
      <c r="S41" s="85">
        <v>1.0</v>
      </c>
      <c r="T41" s="98"/>
      <c r="U41" s="98"/>
      <c r="V41" s="98"/>
      <c r="W41" s="98"/>
      <c r="X41" s="98"/>
      <c r="Y41" s="98"/>
      <c r="Z41" s="98"/>
    </row>
    <row r="42">
      <c r="R42" s="7">
        <v>44233.0</v>
      </c>
      <c r="S42" s="83">
        <v>1.0</v>
      </c>
      <c r="T42" s="97"/>
      <c r="U42" s="97"/>
      <c r="V42" s="97"/>
      <c r="W42" s="97"/>
      <c r="X42" s="97"/>
      <c r="Y42" s="97"/>
      <c r="Z42" s="97"/>
    </row>
    <row r="43">
      <c r="R43" s="7">
        <v>44234.0</v>
      </c>
      <c r="S43" s="83">
        <v>0.0</v>
      </c>
      <c r="T43" s="97"/>
      <c r="U43" s="97"/>
      <c r="V43" s="97"/>
      <c r="W43" s="97"/>
      <c r="X43" s="97"/>
      <c r="Y43" s="97"/>
      <c r="Z43" s="97"/>
    </row>
    <row r="44">
      <c r="R44" s="7">
        <v>44235.0</v>
      </c>
      <c r="S44" s="83">
        <v>1.0</v>
      </c>
      <c r="T44" s="97"/>
      <c r="U44" s="97"/>
      <c r="V44" s="97"/>
      <c r="W44" s="97"/>
      <c r="X44" s="97"/>
      <c r="Y44" s="97"/>
      <c r="Z44" s="97"/>
    </row>
    <row r="45">
      <c r="R45" s="7">
        <v>44236.0</v>
      </c>
      <c r="S45" s="83">
        <v>1.0</v>
      </c>
      <c r="T45" s="97"/>
      <c r="U45" s="97"/>
      <c r="V45" s="97"/>
      <c r="W45" s="97"/>
      <c r="X45" s="97"/>
      <c r="Y45" s="97"/>
      <c r="Z45" s="97"/>
    </row>
    <row r="46">
      <c r="R46" s="7">
        <v>44237.0</v>
      </c>
      <c r="S46" s="83">
        <v>1.0</v>
      </c>
      <c r="T46" s="97"/>
      <c r="U46" s="97"/>
      <c r="V46" s="97"/>
      <c r="W46" s="97"/>
      <c r="X46" s="97"/>
      <c r="Y46" s="97"/>
      <c r="Z46" s="97"/>
    </row>
    <row r="47">
      <c r="R47" s="7">
        <v>44238.0</v>
      </c>
      <c r="S47" s="83">
        <v>1.0</v>
      </c>
      <c r="T47" s="97"/>
      <c r="U47" s="97"/>
      <c r="V47" s="97"/>
      <c r="W47" s="97"/>
      <c r="X47" s="97"/>
      <c r="Y47" s="97"/>
      <c r="Z47" s="97"/>
    </row>
    <row r="48">
      <c r="R48" s="22">
        <v>44239.0</v>
      </c>
      <c r="S48" s="85">
        <v>1.0</v>
      </c>
      <c r="T48" s="98"/>
      <c r="U48" s="98"/>
      <c r="V48" s="98"/>
      <c r="W48" s="98"/>
      <c r="X48" s="98"/>
      <c r="Y48" s="98"/>
      <c r="Z48" s="98"/>
    </row>
    <row r="49">
      <c r="R49" s="7">
        <v>44240.0</v>
      </c>
      <c r="S49" s="83">
        <v>1.0</v>
      </c>
      <c r="T49" s="97"/>
      <c r="U49" s="97"/>
      <c r="V49" s="97"/>
      <c r="W49" s="97"/>
      <c r="X49" s="97"/>
      <c r="Y49" s="97"/>
      <c r="Z49" s="97"/>
    </row>
    <row r="50">
      <c r="R50" s="7">
        <v>44241.0</v>
      </c>
      <c r="S50" s="83">
        <v>1.0</v>
      </c>
      <c r="T50" s="97"/>
      <c r="U50" s="97"/>
      <c r="V50" s="97"/>
      <c r="W50" s="97"/>
      <c r="X50" s="97"/>
      <c r="Y50" s="97"/>
      <c r="Z50" s="97"/>
    </row>
    <row r="51">
      <c r="R51" s="7">
        <v>44242.0</v>
      </c>
      <c r="S51" s="83">
        <v>1.0</v>
      </c>
      <c r="T51" s="97"/>
      <c r="U51" s="97"/>
      <c r="V51" s="97"/>
      <c r="W51" s="97"/>
      <c r="X51" s="97"/>
      <c r="Y51" s="97"/>
      <c r="Z51" s="97"/>
    </row>
    <row r="52">
      <c r="R52" s="7">
        <v>44243.0</v>
      </c>
      <c r="S52" s="83">
        <v>1.0</v>
      </c>
      <c r="T52" s="97"/>
      <c r="U52" s="97"/>
      <c r="V52" s="97"/>
      <c r="W52" s="97"/>
      <c r="X52" s="97"/>
      <c r="Y52" s="97"/>
      <c r="Z52" s="97"/>
    </row>
    <row r="53">
      <c r="R53" s="7">
        <v>44244.0</v>
      </c>
      <c r="S53" s="83">
        <v>1.0</v>
      </c>
      <c r="T53" s="97"/>
      <c r="U53" s="97"/>
      <c r="V53" s="97"/>
      <c r="W53" s="97"/>
      <c r="X53" s="97"/>
      <c r="Y53" s="97"/>
      <c r="Z53" s="97"/>
    </row>
    <row r="54">
      <c r="R54" s="7">
        <v>44245.0</v>
      </c>
      <c r="S54" s="83">
        <v>1.0</v>
      </c>
      <c r="T54" s="97"/>
      <c r="U54" s="97"/>
      <c r="V54" s="97"/>
      <c r="W54" s="97"/>
      <c r="X54" s="97"/>
      <c r="Y54" s="97"/>
      <c r="Z54" s="97"/>
    </row>
    <row r="55">
      <c r="R55" s="22">
        <v>44246.0</v>
      </c>
      <c r="S55" s="85">
        <v>1.0</v>
      </c>
      <c r="T55" s="98"/>
      <c r="U55" s="98"/>
      <c r="V55" s="98"/>
      <c r="W55" s="98"/>
      <c r="X55" s="98"/>
      <c r="Y55" s="98"/>
      <c r="Z55" s="98"/>
    </row>
    <row r="56">
      <c r="R56" s="7">
        <v>44247.0</v>
      </c>
      <c r="S56" s="83">
        <v>1.0</v>
      </c>
      <c r="T56" s="97"/>
      <c r="U56" s="97"/>
      <c r="V56" s="97"/>
      <c r="W56" s="97"/>
      <c r="X56" s="97"/>
      <c r="Y56" s="97"/>
      <c r="Z56" s="97"/>
    </row>
    <row r="57">
      <c r="R57" s="7">
        <v>44248.0</v>
      </c>
      <c r="S57" s="83">
        <v>1.0</v>
      </c>
      <c r="T57" s="97"/>
      <c r="U57" s="97"/>
      <c r="V57" s="97"/>
      <c r="W57" s="97"/>
      <c r="X57" s="97"/>
      <c r="Y57" s="97"/>
      <c r="Z57" s="97"/>
    </row>
    <row r="58">
      <c r="R58" s="7">
        <v>44249.0</v>
      </c>
      <c r="S58" s="83">
        <v>0.0</v>
      </c>
      <c r="T58" s="97"/>
      <c r="U58" s="97"/>
      <c r="V58" s="97"/>
      <c r="W58" s="97"/>
      <c r="X58" s="97"/>
      <c r="Y58" s="97"/>
      <c r="Z58" s="97"/>
    </row>
    <row r="59">
      <c r="R59" s="7">
        <v>44250.0</v>
      </c>
      <c r="S59" s="86">
        <v>1.0</v>
      </c>
      <c r="T59" s="99"/>
      <c r="U59" s="99"/>
      <c r="V59" s="99"/>
      <c r="W59" s="99"/>
      <c r="X59" s="99"/>
      <c r="Y59" s="99"/>
      <c r="Z59" s="99"/>
    </row>
    <row r="60">
      <c r="R60" s="7">
        <v>44251.0</v>
      </c>
      <c r="S60" s="86">
        <v>1.0</v>
      </c>
      <c r="T60" s="99"/>
      <c r="U60" s="99"/>
      <c r="V60" s="99"/>
      <c r="W60" s="99"/>
      <c r="X60" s="99"/>
      <c r="Y60" s="99"/>
      <c r="Z60" s="99"/>
    </row>
    <row r="61">
      <c r="R61" s="7">
        <v>44252.0</v>
      </c>
      <c r="S61" s="86">
        <v>1.0</v>
      </c>
      <c r="T61" s="99"/>
      <c r="U61" s="99"/>
      <c r="V61" s="99"/>
      <c r="W61" s="99"/>
      <c r="X61" s="99"/>
      <c r="Y61" s="99"/>
      <c r="Z61" s="99"/>
    </row>
    <row r="62">
      <c r="R62" s="22">
        <v>44253.0</v>
      </c>
      <c r="S62" s="87">
        <v>1.0</v>
      </c>
      <c r="T62" s="100"/>
      <c r="U62" s="100"/>
      <c r="V62" s="100"/>
      <c r="W62" s="100"/>
      <c r="X62" s="100"/>
      <c r="Y62" s="100"/>
      <c r="Z62" s="100"/>
    </row>
    <row r="63">
      <c r="R63" s="7">
        <v>44254.0</v>
      </c>
      <c r="S63" s="86">
        <v>1.0</v>
      </c>
      <c r="T63" s="99"/>
      <c r="U63" s="99"/>
      <c r="V63" s="99"/>
      <c r="W63" s="99"/>
      <c r="X63" s="99"/>
      <c r="Y63" s="99"/>
      <c r="Z63" s="99"/>
    </row>
    <row r="64">
      <c r="R64" s="7">
        <v>44255.0</v>
      </c>
      <c r="S64" s="86">
        <v>1.0</v>
      </c>
      <c r="T64" s="99"/>
      <c r="U64" s="99"/>
      <c r="V64" s="99"/>
      <c r="W64" s="99"/>
      <c r="X64" s="99"/>
      <c r="Y64" s="99"/>
      <c r="Z64" s="99"/>
    </row>
    <row r="65">
      <c r="R65" s="7"/>
      <c r="S65" s="89">
        <f>SUM(S37:S64)</f>
        <v>26</v>
      </c>
      <c r="T65" s="101"/>
      <c r="U65" s="101"/>
      <c r="V65" s="101"/>
      <c r="W65" s="101"/>
      <c r="X65" s="101"/>
      <c r="Y65" s="101"/>
      <c r="Z65" s="101"/>
    </row>
    <row r="66">
      <c r="R66" s="102"/>
      <c r="S66" s="92">
        <v>2000.0</v>
      </c>
      <c r="T66" s="34"/>
      <c r="U66" s="34"/>
      <c r="V66" s="34"/>
      <c r="W66" s="34"/>
      <c r="X66" s="34"/>
      <c r="Y66" s="34"/>
      <c r="Z66" s="34"/>
    </row>
    <row r="67">
      <c r="R67" s="14"/>
      <c r="S67" s="95">
        <f>S66*S65</f>
        <v>52000</v>
      </c>
      <c r="T67" s="103"/>
      <c r="U67" s="103"/>
      <c r="V67" s="103"/>
      <c r="W67" s="103"/>
      <c r="X67" s="103"/>
      <c r="Y67" s="103"/>
      <c r="Z67" s="103"/>
    </row>
    <row r="68">
      <c r="R68" s="1"/>
      <c r="S68" s="1"/>
      <c r="T68" s="1"/>
      <c r="U68" s="1"/>
      <c r="V68" s="1"/>
      <c r="W68" s="1"/>
      <c r="X68" s="1"/>
      <c r="Y68" s="1"/>
      <c r="Z68" s="1"/>
    </row>
    <row r="69">
      <c r="O69" s="104"/>
      <c r="P69" s="105" t="s">
        <v>0</v>
      </c>
      <c r="Q69" s="106" t="s">
        <v>284</v>
      </c>
    </row>
    <row r="70">
      <c r="O70" s="107" t="s">
        <v>9</v>
      </c>
      <c r="P70" s="108">
        <v>44228.0</v>
      </c>
      <c r="Q70" s="109">
        <v>1.0</v>
      </c>
    </row>
    <row r="71">
      <c r="O71" s="107" t="s">
        <v>11</v>
      </c>
      <c r="P71" s="108">
        <v>44229.0</v>
      </c>
      <c r="Q71" s="109">
        <v>0.0</v>
      </c>
    </row>
    <row r="72">
      <c r="O72" s="107" t="s">
        <v>12</v>
      </c>
      <c r="P72" s="108">
        <v>44230.0</v>
      </c>
      <c r="Q72" s="109">
        <v>0.0</v>
      </c>
    </row>
    <row r="73">
      <c r="O73" s="107" t="s">
        <v>13</v>
      </c>
      <c r="P73" s="108">
        <v>44231.0</v>
      </c>
      <c r="Q73" s="109">
        <v>0.0</v>
      </c>
    </row>
    <row r="74">
      <c r="O74" s="110" t="s">
        <v>14</v>
      </c>
      <c r="P74" s="111">
        <v>44232.0</v>
      </c>
      <c r="Q74" s="112">
        <v>1.0</v>
      </c>
    </row>
    <row r="75">
      <c r="O75" s="107" t="s">
        <v>15</v>
      </c>
      <c r="P75" s="108">
        <v>44233.0</v>
      </c>
      <c r="Q75" s="109">
        <v>0.5</v>
      </c>
    </row>
    <row r="76">
      <c r="O76" s="107" t="s">
        <v>16</v>
      </c>
      <c r="P76" s="108">
        <v>44234.0</v>
      </c>
      <c r="Q76" s="109">
        <v>1.0</v>
      </c>
    </row>
    <row r="77">
      <c r="O77" s="107" t="s">
        <v>9</v>
      </c>
      <c r="P77" s="108">
        <v>44235.0</v>
      </c>
      <c r="Q77" s="109">
        <v>1.0</v>
      </c>
    </row>
    <row r="78">
      <c r="O78" s="107" t="s">
        <v>11</v>
      </c>
      <c r="P78" s="108">
        <v>44236.0</v>
      </c>
      <c r="Q78" s="109">
        <v>1.0</v>
      </c>
    </row>
    <row r="79">
      <c r="O79" s="107" t="s">
        <v>12</v>
      </c>
      <c r="P79" s="108">
        <v>44237.0</v>
      </c>
      <c r="Q79" s="109">
        <v>1.0</v>
      </c>
    </row>
    <row r="80">
      <c r="O80" s="107" t="s">
        <v>13</v>
      </c>
      <c r="P80" s="108">
        <v>44238.0</v>
      </c>
      <c r="Q80" s="109">
        <v>1.0</v>
      </c>
    </row>
    <row r="81">
      <c r="O81" s="110" t="s">
        <v>14</v>
      </c>
      <c r="P81" s="111">
        <v>44239.0</v>
      </c>
      <c r="Q81" s="112">
        <v>1.67</v>
      </c>
    </row>
    <row r="82">
      <c r="O82" s="107" t="s">
        <v>15</v>
      </c>
      <c r="P82" s="108">
        <v>44240.0</v>
      </c>
      <c r="Q82" s="109">
        <v>1.0</v>
      </c>
    </row>
    <row r="83">
      <c r="O83" s="107" t="s">
        <v>16</v>
      </c>
      <c r="P83" s="108">
        <v>44241.0</v>
      </c>
      <c r="Q83" s="109">
        <v>1.0</v>
      </c>
    </row>
    <row r="84">
      <c r="O84" s="107" t="s">
        <v>9</v>
      </c>
      <c r="P84" s="108">
        <v>44242.0</v>
      </c>
      <c r="Q84" s="109">
        <v>1.0</v>
      </c>
    </row>
    <row r="85">
      <c r="O85" s="107" t="s">
        <v>11</v>
      </c>
      <c r="P85" s="108">
        <v>44243.0</v>
      </c>
      <c r="Q85" s="109">
        <v>1.0</v>
      </c>
    </row>
    <row r="86">
      <c r="O86" s="107" t="s">
        <v>12</v>
      </c>
      <c r="P86" s="108">
        <v>44244.0</v>
      </c>
      <c r="Q86" s="109">
        <v>1.0</v>
      </c>
    </row>
    <row r="87">
      <c r="O87" s="107" t="s">
        <v>13</v>
      </c>
      <c r="P87" s="108">
        <v>44245.0</v>
      </c>
      <c r="Q87" s="109">
        <v>1.0</v>
      </c>
    </row>
    <row r="88">
      <c r="O88" s="110" t="s">
        <v>14</v>
      </c>
      <c r="P88" s="111">
        <v>44246.0</v>
      </c>
      <c r="Q88" s="112">
        <v>1.5</v>
      </c>
    </row>
    <row r="89">
      <c r="O89" s="107" t="s">
        <v>15</v>
      </c>
      <c r="P89" s="108">
        <v>44247.0</v>
      </c>
      <c r="Q89" s="109">
        <v>0.0</v>
      </c>
    </row>
    <row r="90">
      <c r="O90" s="107" t="s">
        <v>16</v>
      </c>
      <c r="P90" s="108">
        <v>44248.0</v>
      </c>
      <c r="Q90" s="109">
        <v>1.0</v>
      </c>
    </row>
    <row r="91">
      <c r="O91" s="107" t="s">
        <v>9</v>
      </c>
      <c r="P91" s="108">
        <v>44249.0</v>
      </c>
      <c r="Q91" s="109">
        <v>1.0</v>
      </c>
    </row>
    <row r="92">
      <c r="O92" s="107" t="s">
        <v>11</v>
      </c>
      <c r="P92" s="108">
        <v>44250.0</v>
      </c>
      <c r="Q92" s="113">
        <v>1.0</v>
      </c>
    </row>
    <row r="93">
      <c r="O93" s="107" t="s">
        <v>12</v>
      </c>
      <c r="P93" s="108">
        <v>44251.0</v>
      </c>
      <c r="Q93" s="113">
        <v>1.0</v>
      </c>
    </row>
    <row r="94">
      <c r="O94" s="107" t="s">
        <v>13</v>
      </c>
      <c r="P94" s="108">
        <v>44252.0</v>
      </c>
      <c r="Q94" s="113">
        <v>1.0</v>
      </c>
    </row>
    <row r="95">
      <c r="O95" s="110" t="s">
        <v>14</v>
      </c>
      <c r="P95" s="111">
        <v>44253.0</v>
      </c>
      <c r="Q95" s="114">
        <v>1.5</v>
      </c>
    </row>
    <row r="96">
      <c r="O96" s="107" t="s">
        <v>15</v>
      </c>
      <c r="P96" s="108">
        <v>44254.0</v>
      </c>
      <c r="Q96" s="113">
        <v>0.0</v>
      </c>
    </row>
    <row r="97">
      <c r="O97" s="107" t="s">
        <v>16</v>
      </c>
      <c r="P97" s="108">
        <v>44255.0</v>
      </c>
      <c r="Q97" s="113">
        <v>1.0</v>
      </c>
    </row>
    <row r="98">
      <c r="O98" s="115" t="s">
        <v>286</v>
      </c>
      <c r="P98" s="108"/>
      <c r="Q98" s="116">
        <f>SUM(Q70:Q97)</f>
        <v>24.17</v>
      </c>
    </row>
    <row r="99">
      <c r="O99" s="117" t="s">
        <v>287</v>
      </c>
      <c r="P99" s="118"/>
      <c r="Q99" s="119">
        <v>1200.0</v>
      </c>
      <c r="R99" s="119">
        <v>800.0</v>
      </c>
      <c r="S99" s="119">
        <v>1000.0</v>
      </c>
      <c r="T99" s="119">
        <v>500.0</v>
      </c>
      <c r="U99" s="119">
        <v>1000.0</v>
      </c>
      <c r="V99" s="119">
        <v>1200.0</v>
      </c>
      <c r="W99" s="120">
        <f>SUM(Q99:V99)</f>
        <v>5700</v>
      </c>
    </row>
    <row r="100"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31:B31"/>
    <mergeCell ref="O99:P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  <col customWidth="1" min="10" max="10" width="24.0"/>
    <col customWidth="1" min="11" max="11" width="17.13"/>
    <col customWidth="1" min="17" max="17" width="18.25"/>
    <col customWidth="1" min="18" max="18" width="20.0"/>
  </cols>
  <sheetData>
    <row r="12">
      <c r="H12" s="1"/>
      <c r="I12" s="25" t="s">
        <v>288</v>
      </c>
      <c r="J12" s="25" t="s">
        <v>4</v>
      </c>
      <c r="K12" s="25" t="s">
        <v>289</v>
      </c>
    </row>
    <row r="13">
      <c r="H13" s="69">
        <v>1.0</v>
      </c>
      <c r="I13" s="69" t="s">
        <v>276</v>
      </c>
      <c r="J13" s="74">
        <f>Pointage!C32*1</f>
        <v>52000</v>
      </c>
      <c r="K13" s="121">
        <v>2000.0</v>
      </c>
    </row>
    <row r="14">
      <c r="H14" s="69">
        <v>2.0</v>
      </c>
      <c r="I14" s="69" t="s">
        <v>280</v>
      </c>
      <c r="J14" s="74">
        <f>Pointage!G32*1</f>
        <v>27600</v>
      </c>
      <c r="K14" s="121">
        <v>2000.0</v>
      </c>
    </row>
    <row r="15">
      <c r="H15" s="69">
        <v>3.0</v>
      </c>
      <c r="I15" s="69" t="s">
        <v>290</v>
      </c>
      <c r="J15" s="74">
        <f>Pointage!K32*1</f>
        <v>21500</v>
      </c>
      <c r="K15" s="122"/>
    </row>
    <row r="16">
      <c r="H16" s="69">
        <v>4.0</v>
      </c>
      <c r="I16" s="69" t="s">
        <v>291</v>
      </c>
      <c r="J16" s="74">
        <f>Pointage!J32*1</f>
        <v>2000</v>
      </c>
      <c r="K16" s="121">
        <v>2000.0</v>
      </c>
    </row>
    <row r="17">
      <c r="H17" s="69">
        <v>5.0</v>
      </c>
      <c r="I17" s="69" t="s">
        <v>292</v>
      </c>
      <c r="J17" s="74">
        <f>Pointage!E32*1</f>
        <v>3000</v>
      </c>
      <c r="K17" s="121">
        <v>3000.0</v>
      </c>
    </row>
    <row r="18">
      <c r="H18" s="69">
        <v>6.0</v>
      </c>
      <c r="I18" s="69" t="s">
        <v>279</v>
      </c>
      <c r="J18" s="74">
        <f>Pointage!F32*1</f>
        <v>8000</v>
      </c>
      <c r="K18" s="122"/>
    </row>
    <row r="19">
      <c r="H19" s="69">
        <v>7.0</v>
      </c>
      <c r="I19" s="69" t="s">
        <v>277</v>
      </c>
      <c r="J19" s="74">
        <f>Pointage!D32*1</f>
        <v>19200</v>
      </c>
      <c r="K19" s="121">
        <v>19200.0</v>
      </c>
    </row>
    <row r="20">
      <c r="H20" s="56">
        <v>8.0</v>
      </c>
      <c r="I20" s="56" t="s">
        <v>282</v>
      </c>
      <c r="J20" s="74">
        <f>Pointage!I32*1</f>
        <v>19000</v>
      </c>
      <c r="K20" s="122"/>
    </row>
    <row r="21">
      <c r="H21" s="56">
        <v>9.0</v>
      </c>
      <c r="I21" s="69" t="s">
        <v>281</v>
      </c>
      <c r="J21" s="74">
        <f>Pointage!H32*1</f>
        <v>16400</v>
      </c>
      <c r="K21" s="122"/>
    </row>
    <row r="22">
      <c r="H22" s="56">
        <v>10.0</v>
      </c>
      <c r="I22" s="69" t="s">
        <v>284</v>
      </c>
      <c r="J22" s="74">
        <f>Pointage!L32*1</f>
        <v>29004</v>
      </c>
      <c r="K22" s="122"/>
    </row>
    <row r="23">
      <c r="H23" s="14"/>
      <c r="I23" s="123" t="s">
        <v>286</v>
      </c>
      <c r="J23" s="124">
        <f t="shared" ref="J23:K23" si="1">SUM(J13:J22)</f>
        <v>197704</v>
      </c>
      <c r="K23" s="125">
        <f t="shared" si="1"/>
        <v>28200</v>
      </c>
    </row>
    <row r="24">
      <c r="H24" s="14"/>
      <c r="I24" s="126"/>
      <c r="J24" s="127">
        <f>J23-K23</f>
        <v>169504</v>
      </c>
      <c r="K24" s="1"/>
    </row>
    <row r="28">
      <c r="P28" s="1"/>
      <c r="Q28" s="25" t="s">
        <v>288</v>
      </c>
      <c r="R28" s="25" t="s">
        <v>4</v>
      </c>
    </row>
    <row r="29">
      <c r="P29" s="69">
        <v>1.0</v>
      </c>
      <c r="Q29" s="69" t="s">
        <v>276</v>
      </c>
      <c r="R29" s="56">
        <v>50000.0</v>
      </c>
    </row>
    <row r="30">
      <c r="P30" s="69">
        <v>2.0</v>
      </c>
      <c r="Q30" s="69" t="s">
        <v>280</v>
      </c>
      <c r="R30" s="56">
        <v>25600.0</v>
      </c>
    </row>
    <row r="31">
      <c r="P31" s="69">
        <v>3.0</v>
      </c>
      <c r="Q31" s="69" t="s">
        <v>290</v>
      </c>
      <c r="R31" s="56">
        <v>21500.0</v>
      </c>
    </row>
    <row r="32">
      <c r="P32" s="56">
        <v>4.0</v>
      </c>
      <c r="Q32" s="69" t="s">
        <v>279</v>
      </c>
      <c r="R32" s="56">
        <v>8000.0</v>
      </c>
    </row>
    <row r="33">
      <c r="P33" s="56">
        <v>5.0</v>
      </c>
      <c r="Q33" s="56" t="s">
        <v>282</v>
      </c>
      <c r="R33" s="56">
        <v>19000.0</v>
      </c>
    </row>
    <row r="34">
      <c r="P34" s="56">
        <v>6.0</v>
      </c>
      <c r="Q34" s="69" t="s">
        <v>281</v>
      </c>
      <c r="R34" s="56">
        <v>16400.0</v>
      </c>
    </row>
    <row r="35">
      <c r="P35" s="56">
        <v>7.0</v>
      </c>
      <c r="Q35" s="69" t="s">
        <v>284</v>
      </c>
      <c r="R35" s="56">
        <v>29000.0</v>
      </c>
    </row>
    <row r="36">
      <c r="P36" s="14"/>
      <c r="Q36" s="123" t="s">
        <v>286</v>
      </c>
      <c r="R36" s="123">
        <f>SUM(R29:R35)</f>
        <v>169500</v>
      </c>
    </row>
  </sheetData>
  <drawing r:id="rId1"/>
</worksheet>
</file>