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" sheetId="2" r:id="rId5"/>
    <sheet state="visible" name="Pointage" sheetId="3" r:id="rId6"/>
    <sheet state="visible" name="Salaires" sheetId="4" r:id="rId7"/>
  </sheets>
  <definedNames/>
  <calcPr/>
</workbook>
</file>

<file path=xl/sharedStrings.xml><?xml version="1.0" encoding="utf-8"?>
<sst xmlns="http://schemas.openxmlformats.org/spreadsheetml/2006/main" count="259" uniqueCount="159">
  <si>
    <t>Date</t>
  </si>
  <si>
    <t>Recette</t>
  </si>
  <si>
    <t>Charges</t>
  </si>
  <si>
    <t>Salaire</t>
  </si>
  <si>
    <t>Loyer</t>
  </si>
  <si>
    <t>Net Profit</t>
  </si>
  <si>
    <t>Dimanche</t>
  </si>
  <si>
    <t>Lundi</t>
  </si>
  <si>
    <t>Mardi</t>
  </si>
  <si>
    <t>Mercredi</t>
  </si>
  <si>
    <t>Jeudi</t>
  </si>
  <si>
    <t>Vendredi</t>
  </si>
  <si>
    <t>Samedi</t>
  </si>
  <si>
    <t>Reda</t>
  </si>
  <si>
    <t>Sofiane</t>
  </si>
  <si>
    <t>Smid Amel</t>
  </si>
  <si>
    <t>monnaies</t>
  </si>
  <si>
    <t xml:space="preserve">Saida </t>
  </si>
  <si>
    <t>Cash Restant</t>
  </si>
  <si>
    <t>TOTAL</t>
  </si>
  <si>
    <t>TAUX</t>
  </si>
  <si>
    <t>Produit</t>
  </si>
  <si>
    <t>Quantité</t>
  </si>
  <si>
    <t>Prix</t>
  </si>
  <si>
    <t>Date d'achat</t>
  </si>
  <si>
    <t>Boites 36/07</t>
  </si>
  <si>
    <t>2 cartons</t>
  </si>
  <si>
    <t>Boites 48/10</t>
  </si>
  <si>
    <t>1 carton</t>
  </si>
  <si>
    <t>sachets 5kg</t>
  </si>
  <si>
    <t>2 Fardeaux</t>
  </si>
  <si>
    <t>sachets en papier 23</t>
  </si>
  <si>
    <t>sachets en papier 14</t>
  </si>
  <si>
    <t>2 fardeaux</t>
  </si>
  <si>
    <t>sachets en papier 06</t>
  </si>
  <si>
    <t>1 fardeau</t>
  </si>
  <si>
    <t>sachets transparent</t>
  </si>
  <si>
    <t>IFRUIT</t>
  </si>
  <si>
    <t>Coca COLA1/2 litres</t>
  </si>
  <si>
    <t>eau de rose</t>
  </si>
  <si>
    <t xml:space="preserve">5 bouteiles </t>
  </si>
  <si>
    <t>sel</t>
  </si>
  <si>
    <t xml:space="preserve"> 2 fardeaux</t>
  </si>
  <si>
    <t>Tomate conserve</t>
  </si>
  <si>
    <t>Harrissa</t>
  </si>
  <si>
    <t>Ghress</t>
  </si>
  <si>
    <t>8.4kg</t>
  </si>
  <si>
    <t>semoule extra fin Mama</t>
  </si>
  <si>
    <t xml:space="preserve">100kg </t>
  </si>
  <si>
    <t>semoule moyenne Extra Ben Hamadi</t>
  </si>
  <si>
    <t>4 sachets de 10kg</t>
  </si>
  <si>
    <t xml:space="preserve">Semoule extra fin   </t>
  </si>
  <si>
    <t>40 sachets de 25kg</t>
  </si>
  <si>
    <t xml:space="preserve">Huile Fridor 10 litres </t>
  </si>
  <si>
    <t>sucre 25kg</t>
  </si>
  <si>
    <t>1 sachets</t>
  </si>
  <si>
    <t xml:space="preserve">lala khdidja 1 litres </t>
  </si>
  <si>
    <t>3 fardeaux</t>
  </si>
  <si>
    <t>lala khedidja 0.33litrees</t>
  </si>
  <si>
    <t>orange mangue jus</t>
  </si>
  <si>
    <t>orange jus</t>
  </si>
  <si>
    <t xml:space="preserve">margarine </t>
  </si>
  <si>
    <t>semoule Baraka 25kg</t>
  </si>
  <si>
    <t>40 sacs</t>
  </si>
  <si>
    <t>Fromage Gouda</t>
  </si>
  <si>
    <t>700g</t>
  </si>
  <si>
    <t>bessel</t>
  </si>
  <si>
    <t>11kg</t>
  </si>
  <si>
    <t>Recheta</t>
  </si>
  <si>
    <t>5kg</t>
  </si>
  <si>
    <t>herbes</t>
  </si>
  <si>
    <t>7 bouquets</t>
  </si>
  <si>
    <t>75kg</t>
  </si>
  <si>
    <t xml:space="preserve">transport </t>
  </si>
  <si>
    <t>Farine d'Orge</t>
  </si>
  <si>
    <t>25kg</t>
  </si>
  <si>
    <t>2.2kg</t>
  </si>
  <si>
    <t>10kg</t>
  </si>
  <si>
    <t>herebes</t>
  </si>
  <si>
    <t xml:space="preserve">5 pouquets </t>
  </si>
  <si>
    <t>15kg</t>
  </si>
  <si>
    <t xml:space="preserve">52  kg </t>
  </si>
  <si>
    <t xml:space="preserve">levure </t>
  </si>
  <si>
    <t xml:space="preserve">1 boite </t>
  </si>
  <si>
    <t>lavette isis 5 litres , javel 5 litre ,2 briquets , dewa des cafards</t>
  </si>
  <si>
    <t>/</t>
  </si>
  <si>
    <t>fromage spéciale pizza</t>
  </si>
  <si>
    <t>7.7kg</t>
  </si>
  <si>
    <t>eau miniral</t>
  </si>
  <si>
    <t>margarine Mani</t>
  </si>
  <si>
    <t>les gants</t>
  </si>
  <si>
    <t>1 boite</t>
  </si>
  <si>
    <t>rechta</t>
  </si>
  <si>
    <t xml:space="preserve">rxheta </t>
  </si>
  <si>
    <t>tomate fraiche</t>
  </si>
  <si>
    <t>12.5kg</t>
  </si>
  <si>
    <t>7 bouqutes</t>
  </si>
  <si>
    <t>100kg</t>
  </si>
  <si>
    <t>Rechta</t>
  </si>
  <si>
    <t>20kg</t>
  </si>
  <si>
    <t>3akeri</t>
  </si>
  <si>
    <t>500g</t>
  </si>
  <si>
    <t>habet helawa</t>
  </si>
  <si>
    <t>1kg</t>
  </si>
  <si>
    <t>MargarineMani</t>
  </si>
  <si>
    <t>semoule moyenne Amour</t>
  </si>
  <si>
    <t>3 sachets de 25kg</t>
  </si>
  <si>
    <t>Refiss</t>
  </si>
  <si>
    <t>75 pieces</t>
  </si>
  <si>
    <t>Smoule Extra Ben Hamadi 10kg</t>
  </si>
  <si>
    <t>5 sachets</t>
  </si>
  <si>
    <t>Semoule Extra Ben Hamadi 25kg</t>
  </si>
  <si>
    <t xml:space="preserve">3 sachets </t>
  </si>
  <si>
    <t>Chariot+transport</t>
  </si>
  <si>
    <t>papier Alumiuim</t>
  </si>
  <si>
    <t>fromage Gouda</t>
  </si>
  <si>
    <t>1.5kg</t>
  </si>
  <si>
    <t xml:space="preserve">baghrir </t>
  </si>
  <si>
    <t xml:space="preserve">2 semaines </t>
  </si>
  <si>
    <t>gheress</t>
  </si>
  <si>
    <t>11.8kg</t>
  </si>
  <si>
    <t>na3ena3 yabess</t>
  </si>
  <si>
    <t>persil moulu</t>
  </si>
  <si>
    <t>isis</t>
  </si>
  <si>
    <t>Margarine Mani</t>
  </si>
  <si>
    <t xml:space="preserve">105kg </t>
  </si>
  <si>
    <t>eau lala khedidja 1.5 litres</t>
  </si>
  <si>
    <t>4 fardeaux</t>
  </si>
  <si>
    <t>jus</t>
  </si>
  <si>
    <t xml:space="preserve">Semoule fin  25kg Baraka </t>
  </si>
  <si>
    <t xml:space="preserve">39 sachets </t>
  </si>
  <si>
    <t>semoule moyenne Extra Ben Hamadi 25kg</t>
  </si>
  <si>
    <t>10 sachet</t>
  </si>
  <si>
    <t>semoule moyenne 10kg</t>
  </si>
  <si>
    <t xml:space="preserve">5 sachets </t>
  </si>
  <si>
    <t>frigo (Sofiane)</t>
  </si>
  <si>
    <t>electricité</t>
  </si>
  <si>
    <t>3 mois</t>
  </si>
  <si>
    <t>La monnie dans la caisse</t>
  </si>
  <si>
    <t>TOTALE</t>
  </si>
  <si>
    <t xml:space="preserve">Somme initiale </t>
  </si>
  <si>
    <t>Rest</t>
  </si>
  <si>
    <t>Zehor</t>
  </si>
  <si>
    <t>Zoubida</t>
  </si>
  <si>
    <t>Karima</t>
  </si>
  <si>
    <t>Amel</t>
  </si>
  <si>
    <t>Nouara</t>
  </si>
  <si>
    <t>Nawel</t>
  </si>
  <si>
    <t>Zahida</t>
  </si>
  <si>
    <t>Remarque</t>
  </si>
  <si>
    <t xml:space="preserve">Reste à payer  </t>
  </si>
  <si>
    <t>Dimenche</t>
  </si>
  <si>
    <t>Mardfi</t>
  </si>
  <si>
    <t>Salaire/jour</t>
  </si>
  <si>
    <t>SALAIRES</t>
  </si>
  <si>
    <t xml:space="preserve">Nom </t>
  </si>
  <si>
    <t>Avance</t>
  </si>
  <si>
    <t>karima</t>
  </si>
  <si>
    <t>Nowara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</si>
</sst>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20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sz val="18.0"/>
      <color theme="1"/>
      <name val="Arial"/>
      <scheme val="minor"/>
    </font>
    <font/>
    <font>
      <b/>
      <color theme="1"/>
      <name val="Arial"/>
    </font>
    <font>
      <b/>
      <sz val="18.0"/>
      <color theme="1"/>
      <name val="Arial"/>
    </font>
    <font>
      <sz val="14.0"/>
      <color theme="1"/>
      <name val="Arial"/>
    </font>
    <font>
      <b/>
      <sz val="14.0"/>
      <color rgb="FFFF0000"/>
      <name val="Arial"/>
    </font>
    <font>
      <b/>
      <sz val="14.0"/>
      <color theme="1"/>
      <name val="Arial"/>
    </font>
    <font>
      <b/>
      <sz val="12.0"/>
      <color rgb="FF0000FF"/>
      <name val="Arial"/>
    </font>
    <font>
      <sz val="12.0"/>
      <color rgb="FFFF0000"/>
      <name val="Arial"/>
    </font>
    <font>
      <sz val="12.0"/>
      <color rgb="FF000000"/>
      <name val="Arial"/>
    </font>
    <font>
      <b/>
      <sz val="12.0"/>
      <color rgb="FFFF0000"/>
      <name val="Arial"/>
    </font>
    <font>
      <b/>
      <sz val="14.0"/>
      <color rgb="FF1C4587"/>
      <name val="Arial"/>
    </font>
    <font>
      <sz val="18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EA4335"/>
        <bgColor rgb="FFEA4335"/>
      </patternFill>
    </fill>
  </fills>
  <borders count="8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3" fillId="3" fontId="2" numFmtId="0" xfId="0" applyAlignment="1" applyBorder="1" applyFill="1" applyFont="1">
      <alignment horizontal="center" readingOrder="0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3" fillId="4" fontId="2" numFmtId="0" xfId="0" applyAlignment="1" applyBorder="1" applyFill="1" applyFont="1">
      <alignment horizontal="center" readingOrder="0" vertical="bottom"/>
    </xf>
    <xf borderId="1" fillId="4" fontId="3" numFmtId="164" xfId="0" applyAlignment="1" applyBorder="1" applyFont="1" applyNumberFormat="1">
      <alignment horizontal="right" readingOrder="0" vertical="bottom"/>
    </xf>
    <xf borderId="1" fillId="4" fontId="3" numFmtId="165" xfId="0" applyAlignment="1" applyBorder="1" applyFont="1" applyNumberFormat="1">
      <alignment horizontal="center" readingOrder="0" vertical="bottom"/>
    </xf>
    <xf borderId="1" fillId="4" fontId="3" numFmtId="165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1" fillId="4" fontId="3" numFmtId="165" xfId="0" applyAlignment="1" applyBorder="1" applyFont="1" applyNumberFormat="1">
      <alignment horizontal="center" vertical="bottom"/>
    </xf>
    <xf borderId="0" fillId="0" fontId="4" numFmtId="0" xfId="0" applyFont="1"/>
    <xf borderId="4" fillId="4" fontId="5" numFmtId="0" xfId="0" applyAlignment="1" applyBorder="1" applyFont="1">
      <alignment horizontal="center" readingOrder="0"/>
    </xf>
    <xf borderId="4" fillId="0" fontId="6" numFmtId="165" xfId="0" applyAlignment="1" applyBorder="1" applyFont="1" applyNumberFormat="1">
      <alignment horizontal="center"/>
    </xf>
    <xf borderId="4" fillId="0" fontId="6" numFmtId="0" xfId="0" applyAlignment="1" applyBorder="1" applyFont="1">
      <alignment horizontal="center"/>
    </xf>
    <xf borderId="4" fillId="5" fontId="7" numFmtId="165" xfId="0" applyAlignment="1" applyBorder="1" applyFill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5" xfId="0" applyFont="1" applyNumberFormat="1"/>
    <xf borderId="5" fillId="0" fontId="1" numFmtId="0" xfId="0" applyAlignment="1" applyBorder="1" applyFont="1">
      <alignment horizontal="center" vertical="bottom"/>
    </xf>
    <xf borderId="1" fillId="0" fontId="8" numFmtId="0" xfId="0" applyBorder="1" applyFont="1"/>
    <xf borderId="1" fillId="5" fontId="3" numFmtId="165" xfId="0" applyAlignment="1" applyBorder="1" applyFont="1" applyNumberFormat="1">
      <alignment horizontal="center" vertical="bottom"/>
    </xf>
    <xf borderId="1" fillId="6" fontId="3" numFmtId="165" xfId="0" applyAlignment="1" applyBorder="1" applyFill="1" applyFont="1" applyNumberFormat="1">
      <alignment horizontal="center" vertical="bottom"/>
    </xf>
    <xf borderId="1" fillId="7" fontId="3" numFmtId="165" xfId="0" applyAlignment="1" applyBorder="1" applyFill="1" applyFont="1" applyNumberFormat="1">
      <alignment horizontal="center" vertical="bottom"/>
    </xf>
    <xf borderId="1" fillId="8" fontId="3" numFmtId="165" xfId="0" applyAlignment="1" applyBorder="1" applyFill="1" applyFont="1" applyNumberFormat="1">
      <alignment horizontal="center" vertical="bottom"/>
    </xf>
    <xf borderId="5" fillId="9" fontId="1" numFmtId="0" xfId="0" applyAlignment="1" applyBorder="1" applyFill="1" applyFont="1">
      <alignment horizontal="center" vertical="bottom"/>
    </xf>
    <xf borderId="1" fillId="10" fontId="9" numFmtId="9" xfId="0" applyAlignment="1" applyBorder="1" applyFill="1" applyFont="1" applyNumberFormat="1">
      <alignment horizontal="center" vertical="bottom"/>
    </xf>
    <xf borderId="1" fillId="11" fontId="9" numFmtId="10" xfId="0" applyAlignment="1" applyBorder="1" applyFill="1" applyFont="1" applyNumberFormat="1">
      <alignment horizontal="center" vertical="bottom"/>
    </xf>
    <xf borderId="4" fillId="5" fontId="10" numFmtId="0" xfId="0" applyAlignment="1" applyBorder="1" applyFont="1">
      <alignment horizontal="center" vertical="bottom"/>
    </xf>
    <xf borderId="2" fillId="5" fontId="10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horizontal="center" readingOrder="0" vertical="bottom"/>
    </xf>
    <xf borderId="1" fillId="0" fontId="11" numFmtId="165" xfId="0" applyAlignment="1" applyBorder="1" applyFont="1" applyNumberFormat="1">
      <alignment horizontal="center" readingOrder="0" vertical="bottom"/>
    </xf>
    <xf borderId="1" fillId="0" fontId="11" numFmtId="164" xfId="0" applyAlignment="1" applyBorder="1" applyFont="1" applyNumberFormat="1">
      <alignment horizontal="center" readingOrder="0" vertical="bottom"/>
    </xf>
    <xf borderId="1" fillId="0" fontId="11" numFmtId="165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horizontal="center" vertical="bottom"/>
    </xf>
    <xf borderId="3" fillId="0" fontId="11" numFmtId="0" xfId="0" applyAlignment="1" applyBorder="1" applyFont="1">
      <alignment horizontal="center" vertical="bottom"/>
    </xf>
    <xf borderId="3" fillId="4" fontId="12" numFmtId="0" xfId="0" applyAlignment="1" applyBorder="1" applyFont="1">
      <alignment horizontal="center" vertical="bottom"/>
    </xf>
    <xf borderId="1" fillId="6" fontId="13" numFmtId="165" xfId="0" applyAlignment="1" applyBorder="1" applyFont="1" applyNumberFormat="1">
      <alignment horizontal="center" vertical="bottom"/>
    </xf>
    <xf borderId="1" fillId="8" fontId="13" numFmtId="165" xfId="0" applyAlignment="1" applyBorder="1" applyFont="1" applyNumberFormat="1">
      <alignment horizontal="center" readingOrder="0" vertical="bottom"/>
    </xf>
    <xf borderId="1" fillId="5" fontId="13" numFmtId="165" xfId="0" applyAlignment="1" applyBorder="1" applyFont="1" applyNumberFormat="1">
      <alignment horizontal="center" vertical="bottom"/>
    </xf>
    <xf borderId="0" fillId="3" fontId="1" numFmtId="0" xfId="0" applyAlignment="1" applyFont="1">
      <alignment vertical="bottom"/>
    </xf>
    <xf borderId="2" fillId="8" fontId="2" numFmtId="0" xfId="0" applyAlignment="1" applyBorder="1" applyFont="1">
      <alignment horizontal="center" vertical="bottom"/>
    </xf>
    <xf borderId="2" fillId="8" fontId="14" numFmtId="0" xfId="0" applyAlignment="1" applyBorder="1" applyFont="1">
      <alignment horizontal="center" vertical="bottom"/>
    </xf>
    <xf borderId="2" fillId="8" fontId="14" numFmtId="0" xfId="0" applyAlignment="1" applyBorder="1" applyFont="1">
      <alignment horizontal="center" readingOrder="0" vertical="bottom"/>
    </xf>
    <xf borderId="2" fillId="5" fontId="13" numFmtId="0" xfId="0" applyAlignment="1" applyBorder="1" applyFont="1">
      <alignment horizontal="center" vertical="bottom"/>
    </xf>
    <xf borderId="3" fillId="3" fontId="2" numFmtId="0" xfId="0" applyAlignment="1" applyBorder="1" applyFont="1">
      <alignment horizontal="center" vertical="bottom"/>
    </xf>
    <xf borderId="1" fillId="3" fontId="3" numFmtId="0" xfId="0" applyAlignment="1" applyBorder="1" applyFont="1">
      <alignment horizontal="right" vertical="bottom"/>
    </xf>
    <xf borderId="1" fillId="3" fontId="3" numFmtId="0" xfId="0" applyAlignment="1" applyBorder="1" applyFont="1">
      <alignment horizontal="right" readingOrder="0" vertical="bottom"/>
    </xf>
    <xf borderId="0" fillId="0" fontId="1" numFmtId="0" xfId="0" applyAlignment="1" applyFont="1">
      <alignment vertical="bottom"/>
    </xf>
    <xf borderId="1" fillId="3" fontId="15" numFmtId="0" xfId="0" applyAlignment="1" applyBorder="1" applyFont="1">
      <alignment horizontal="right" readingOrder="0" vertical="bottom"/>
    </xf>
    <xf borderId="1" fillId="3" fontId="16" numFmtId="0" xfId="0" applyAlignment="1" applyBorder="1" applyFont="1">
      <alignment horizontal="right" readingOrder="0" vertical="bottom"/>
    </xf>
    <xf borderId="3" fillId="4" fontId="2" numFmtId="0" xfId="0" applyAlignment="1" applyBorder="1" applyFont="1">
      <alignment horizontal="center" vertical="bottom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readingOrder="0" vertical="bottom"/>
    </xf>
    <xf borderId="1" fillId="4" fontId="16" numFmtId="0" xfId="0" applyAlignment="1" applyBorder="1" applyFont="1">
      <alignment horizontal="right" vertical="bottom"/>
    </xf>
    <xf borderId="1" fillId="4" fontId="1" numFmtId="0" xfId="0" applyAlignment="1" applyBorder="1" applyFont="1">
      <alignment readingOrder="0" vertical="bottom"/>
    </xf>
    <xf borderId="1" fillId="4" fontId="16" numFmtId="0" xfId="0" applyAlignment="1" applyBorder="1" applyFont="1">
      <alignment horizontal="right" readingOrder="0" vertical="bottom"/>
    </xf>
    <xf borderId="1" fillId="5" fontId="12" numFmtId="0" xfId="0" applyAlignment="1" applyBorder="1" applyFont="1">
      <alignment horizontal="center" vertical="bottom"/>
    </xf>
    <xf borderId="1" fillId="5" fontId="1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6" fillId="0" fontId="2" numFmtId="165" xfId="0" applyAlignment="1" applyBorder="1" applyFont="1" applyNumberFormat="1">
      <alignment horizontal="center" vertical="bottom"/>
    </xf>
    <xf borderId="1" fillId="5" fontId="18" numFmtId="0" xfId="0" applyAlignment="1" applyBorder="1" applyFont="1">
      <alignment horizontal="center" vertical="bottom"/>
    </xf>
    <xf borderId="1" fillId="5" fontId="18" numFmtId="165" xfId="0" applyAlignment="1" applyBorder="1" applyFont="1" applyNumberFormat="1">
      <alignment horizontal="center" vertical="bottom"/>
    </xf>
    <xf borderId="0" fillId="4" fontId="1" numFmtId="165" xfId="0" applyAlignment="1" applyFont="1" applyNumberFormat="1">
      <alignment vertical="bottom"/>
    </xf>
    <xf borderId="4" fillId="0" fontId="1" numFmtId="0" xfId="0" applyAlignment="1" applyBorder="1" applyFont="1">
      <alignment horizontal="center" vertical="bottom"/>
    </xf>
    <xf borderId="2" fillId="4" fontId="13" numFmtId="0" xfId="0" applyAlignment="1" applyBorder="1" applyFont="1">
      <alignment horizontal="center" vertical="bottom"/>
    </xf>
    <xf borderId="1" fillId="0" fontId="11" numFmtId="165" xfId="0" applyAlignment="1" applyBorder="1" applyFont="1" applyNumberFormat="1">
      <alignment horizontal="right" vertical="bottom"/>
    </xf>
    <xf borderId="1" fillId="0" fontId="11" numFmtId="165" xfId="0" applyAlignment="1" applyBorder="1" applyFont="1" applyNumberFormat="1">
      <alignment horizontal="right" readingOrder="0" vertical="bottom"/>
    </xf>
    <xf borderId="7" fillId="0" fontId="1" numFmtId="0" xfId="0" applyAlignment="1" applyBorder="1" applyFont="1">
      <alignment vertical="bottom"/>
    </xf>
    <xf borderId="1" fillId="5" fontId="19" numFmtId="0" xfId="0" applyAlignment="1" applyBorder="1" applyFont="1">
      <alignment horizontal="center" vertical="bottom"/>
    </xf>
    <xf borderId="1" fillId="5" fontId="19" numFmtId="165" xfId="0" applyAlignment="1" applyBorder="1" applyFont="1" applyNumberFormat="1">
      <alignment horizontal="right" vertical="bottom"/>
    </xf>
    <xf borderId="0" fillId="6" fontId="19" numFmtId="165" xfId="0" applyAlignment="1" applyFont="1" applyNumberFormat="1">
      <alignment horizontal="right" vertical="bottom"/>
    </xf>
    <xf borderId="1" fillId="8" fontId="1" numFmtId="0" xfId="0" applyAlignment="1" applyBorder="1" applyFont="1">
      <alignment vertical="bottom"/>
    </xf>
    <xf borderId="1" fillId="8" fontId="19" numFmtId="165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RECAP!$C$1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RECAP!$A$2:$A$32</c:f>
            </c:strRef>
          </c:cat>
          <c:val>
            <c:numRef>
              <c:f>RECAP!$C$2:$C$32</c:f>
              <c:numCache/>
            </c:numRef>
          </c:val>
        </c:ser>
        <c:axId val="2052215955"/>
        <c:axId val="1134303586"/>
      </c:areaChart>
      <c:catAx>
        <c:axId val="2052215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4303586"/>
      </c:catAx>
      <c:valAx>
        <c:axId val="1134303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215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0</xdr:row>
      <xdr:rowOff>85725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5.25"/>
    <col customWidth="1" min="16" max="16" width="1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3" t="s">
        <v>6</v>
      </c>
      <c r="B2" s="4">
        <v>43891.0</v>
      </c>
      <c r="C2" s="5">
        <v>20000.0</v>
      </c>
      <c r="D2" s="6"/>
      <c r="E2" s="6"/>
      <c r="F2" s="6"/>
      <c r="G2" s="6"/>
    </row>
    <row r="3">
      <c r="A3" s="3" t="s">
        <v>7</v>
      </c>
      <c r="B3" s="4">
        <v>43892.0</v>
      </c>
      <c r="C3" s="5">
        <v>20000.0</v>
      </c>
      <c r="D3" s="6"/>
      <c r="E3" s="6"/>
      <c r="F3" s="6"/>
      <c r="G3" s="6"/>
    </row>
    <row r="4">
      <c r="A4" s="3" t="s">
        <v>8</v>
      </c>
      <c r="B4" s="4">
        <v>43893.0</v>
      </c>
      <c r="C4" s="5">
        <v>15000.0</v>
      </c>
      <c r="D4" s="6"/>
      <c r="E4" s="6"/>
      <c r="F4" s="6"/>
      <c r="G4" s="6"/>
    </row>
    <row r="5">
      <c r="A5" s="3" t="s">
        <v>9</v>
      </c>
      <c r="B5" s="4">
        <v>43894.0</v>
      </c>
      <c r="C5" s="5">
        <v>23000.0</v>
      </c>
      <c r="D5" s="6"/>
      <c r="E5" s="6"/>
      <c r="F5" s="6"/>
      <c r="G5" s="6"/>
    </row>
    <row r="6">
      <c r="A6" s="3" t="s">
        <v>10</v>
      </c>
      <c r="B6" s="4">
        <v>43895.0</v>
      </c>
      <c r="C6" s="5">
        <v>25000.0</v>
      </c>
      <c r="D6" s="6"/>
      <c r="E6" s="6"/>
      <c r="F6" s="6"/>
      <c r="G6" s="6"/>
    </row>
    <row r="7">
      <c r="A7" s="7" t="s">
        <v>11</v>
      </c>
      <c r="B7" s="8">
        <v>43896.0</v>
      </c>
      <c r="C7" s="9">
        <v>0.0</v>
      </c>
      <c r="D7" s="10">
        <v>0.0</v>
      </c>
      <c r="E7" s="10">
        <v>0.0</v>
      </c>
      <c r="F7" s="10">
        <v>0.0</v>
      </c>
      <c r="G7" s="10">
        <v>0.0</v>
      </c>
    </row>
    <row r="8">
      <c r="A8" s="3" t="s">
        <v>12</v>
      </c>
      <c r="B8" s="4">
        <v>43897.0</v>
      </c>
      <c r="C8" s="5">
        <v>20000.0</v>
      </c>
      <c r="D8" s="6"/>
      <c r="E8" s="6"/>
      <c r="F8" s="6"/>
      <c r="G8" s="6"/>
    </row>
    <row r="9">
      <c r="A9" s="3" t="s">
        <v>6</v>
      </c>
      <c r="B9" s="4">
        <v>43898.0</v>
      </c>
      <c r="C9" s="5">
        <v>19000.0</v>
      </c>
      <c r="D9" s="6"/>
      <c r="E9" s="6"/>
      <c r="F9" s="6"/>
      <c r="G9" s="6"/>
      <c r="O9" s="11" t="s">
        <v>13</v>
      </c>
      <c r="P9" s="12">
        <v>50000.0</v>
      </c>
    </row>
    <row r="10">
      <c r="A10" s="3" t="s">
        <v>7</v>
      </c>
      <c r="B10" s="4">
        <v>43899.0</v>
      </c>
      <c r="C10" s="5">
        <v>19000.0</v>
      </c>
      <c r="D10" s="6"/>
      <c r="E10" s="6"/>
      <c r="F10" s="6"/>
      <c r="G10" s="6"/>
      <c r="O10" s="11" t="s">
        <v>14</v>
      </c>
      <c r="P10" s="12">
        <v>19000.0</v>
      </c>
    </row>
    <row r="11">
      <c r="A11" s="3" t="s">
        <v>8</v>
      </c>
      <c r="B11" s="4">
        <v>43900.0</v>
      </c>
      <c r="C11" s="5">
        <v>20000.0</v>
      </c>
      <c r="D11" s="6"/>
      <c r="E11" s="6"/>
      <c r="F11" s="6"/>
      <c r="G11" s="6"/>
      <c r="O11" s="11" t="s">
        <v>15</v>
      </c>
      <c r="P11" s="12">
        <v>6250.0</v>
      </c>
    </row>
    <row r="12">
      <c r="A12" s="3" t="s">
        <v>9</v>
      </c>
      <c r="B12" s="4">
        <v>43901.0</v>
      </c>
      <c r="C12" s="5">
        <v>19000.0</v>
      </c>
      <c r="D12" s="6"/>
      <c r="E12" s="6"/>
      <c r="F12" s="6"/>
      <c r="G12" s="6"/>
      <c r="O12" s="11" t="s">
        <v>16</v>
      </c>
      <c r="P12" s="12">
        <v>4500.0</v>
      </c>
    </row>
    <row r="13">
      <c r="A13" s="3" t="s">
        <v>10</v>
      </c>
      <c r="B13" s="4">
        <v>43902.0</v>
      </c>
      <c r="C13" s="5">
        <v>23000.0</v>
      </c>
      <c r="D13" s="6"/>
      <c r="E13" s="6"/>
      <c r="F13" s="6"/>
      <c r="G13" s="6"/>
      <c r="O13" s="11" t="s">
        <v>17</v>
      </c>
      <c r="P13" s="12">
        <v>2000.0</v>
      </c>
    </row>
    <row r="14">
      <c r="A14" s="7" t="s">
        <v>11</v>
      </c>
      <c r="B14" s="8">
        <v>43903.0</v>
      </c>
      <c r="C14" s="13">
        <v>0.0</v>
      </c>
      <c r="D14" s="10">
        <v>0.0</v>
      </c>
      <c r="E14" s="10">
        <v>0.0</v>
      </c>
      <c r="F14" s="10">
        <v>0.0</v>
      </c>
      <c r="G14" s="10">
        <v>0.0</v>
      </c>
      <c r="O14" s="14"/>
      <c r="P14" s="14"/>
    </row>
    <row r="15">
      <c r="A15" s="3" t="s">
        <v>12</v>
      </c>
      <c r="B15" s="4">
        <v>43904.0</v>
      </c>
      <c r="C15" s="5">
        <v>19000.0</v>
      </c>
      <c r="D15" s="6"/>
      <c r="E15" s="6"/>
      <c r="F15" s="6"/>
      <c r="G15" s="6"/>
    </row>
    <row r="16">
      <c r="A16" s="3" t="s">
        <v>6</v>
      </c>
      <c r="B16" s="4">
        <v>43905.0</v>
      </c>
      <c r="C16" s="5">
        <v>17000.0</v>
      </c>
      <c r="D16" s="6"/>
      <c r="E16" s="6"/>
      <c r="F16" s="6"/>
      <c r="G16" s="6"/>
    </row>
    <row r="17">
      <c r="A17" s="3" t="s">
        <v>7</v>
      </c>
      <c r="B17" s="4">
        <v>43906.0</v>
      </c>
      <c r="C17" s="5">
        <v>17000.0</v>
      </c>
      <c r="D17" s="6"/>
      <c r="E17" s="6"/>
      <c r="F17" s="6"/>
      <c r="G17" s="6"/>
    </row>
    <row r="18">
      <c r="A18" s="3" t="s">
        <v>8</v>
      </c>
      <c r="B18" s="4">
        <v>43907.0</v>
      </c>
      <c r="C18" s="5">
        <v>14000.0</v>
      </c>
      <c r="D18" s="6"/>
      <c r="E18" s="6"/>
      <c r="F18" s="6"/>
      <c r="G18" s="6"/>
    </row>
    <row r="19">
      <c r="A19" s="3" t="s">
        <v>9</v>
      </c>
      <c r="B19" s="4">
        <v>43908.0</v>
      </c>
      <c r="C19" s="5">
        <v>10000.0</v>
      </c>
      <c r="D19" s="6"/>
      <c r="E19" s="6"/>
      <c r="F19" s="6"/>
      <c r="G19" s="6"/>
    </row>
    <row r="20">
      <c r="A20" s="3" t="s">
        <v>10</v>
      </c>
      <c r="B20" s="4">
        <v>43909.0</v>
      </c>
      <c r="C20" s="5">
        <v>13000.0</v>
      </c>
      <c r="D20" s="6"/>
      <c r="E20" s="6"/>
      <c r="F20" s="6"/>
      <c r="G20" s="6"/>
    </row>
    <row r="21">
      <c r="A21" s="7" t="s">
        <v>11</v>
      </c>
      <c r="B21" s="8">
        <v>43910.0</v>
      </c>
      <c r="C21" s="13">
        <v>0.0</v>
      </c>
      <c r="D21" s="10">
        <v>0.0</v>
      </c>
      <c r="E21" s="10">
        <v>0.0</v>
      </c>
      <c r="F21" s="10">
        <v>0.0</v>
      </c>
      <c r="G21" s="10">
        <v>0.0</v>
      </c>
    </row>
    <row r="22">
      <c r="A22" s="3" t="s">
        <v>12</v>
      </c>
      <c r="B22" s="4">
        <v>43911.0</v>
      </c>
      <c r="C22" s="5">
        <v>14000.0</v>
      </c>
      <c r="D22" s="6"/>
      <c r="E22" s="6"/>
      <c r="F22" s="6"/>
      <c r="G22" s="6"/>
    </row>
    <row r="23">
      <c r="A23" s="3" t="s">
        <v>6</v>
      </c>
      <c r="B23" s="4">
        <v>43912.0</v>
      </c>
      <c r="C23" s="5">
        <v>0.0</v>
      </c>
      <c r="D23" s="6"/>
      <c r="E23" s="6"/>
      <c r="F23" s="6"/>
      <c r="G23" s="6"/>
      <c r="K23" s="15" t="s">
        <v>18</v>
      </c>
      <c r="P23" s="16">
        <f>C33*1</f>
        <v>327000</v>
      </c>
      <c r="Q23" s="17">
        <f>Pointage!D33*1</f>
        <v>18</v>
      </c>
      <c r="R23" s="16">
        <f>P23/Q23</f>
        <v>18166.66667</v>
      </c>
    </row>
    <row r="24">
      <c r="A24" s="3" t="s">
        <v>7</v>
      </c>
      <c r="B24" s="4">
        <v>43913.0</v>
      </c>
      <c r="C24" s="5">
        <v>0.0</v>
      </c>
      <c r="D24" s="6"/>
      <c r="E24" s="6"/>
      <c r="F24" s="6"/>
      <c r="G24" s="6"/>
      <c r="K24" s="18">
        <f>C33+Charges!E89+P11-D33-Salaires!I19-P9-P10-P13</f>
        <v>-10045</v>
      </c>
    </row>
    <row r="25">
      <c r="A25" s="3" t="s">
        <v>8</v>
      </c>
      <c r="B25" s="4">
        <v>43914.0</v>
      </c>
      <c r="C25" s="5">
        <v>0.0</v>
      </c>
      <c r="D25" s="6"/>
      <c r="E25" s="6"/>
      <c r="F25" s="6"/>
      <c r="G25" s="6"/>
      <c r="K25" s="19">
        <f>K24+Charges!E87</f>
        <v>-5045</v>
      </c>
    </row>
    <row r="26">
      <c r="A26" s="3" t="s">
        <v>9</v>
      </c>
      <c r="B26" s="4">
        <v>43915.0</v>
      </c>
      <c r="C26" s="5">
        <v>0.0</v>
      </c>
      <c r="D26" s="6"/>
      <c r="E26" s="6"/>
      <c r="F26" s="6"/>
      <c r="G26" s="6"/>
    </row>
    <row r="27">
      <c r="A27" s="3" t="s">
        <v>10</v>
      </c>
      <c r="B27" s="4">
        <v>43916.0</v>
      </c>
      <c r="C27" s="5">
        <v>0.0</v>
      </c>
      <c r="D27" s="6"/>
      <c r="E27" s="6"/>
      <c r="F27" s="6"/>
      <c r="G27" s="6"/>
    </row>
    <row r="28">
      <c r="A28" s="7" t="s">
        <v>11</v>
      </c>
      <c r="B28" s="8">
        <v>43917.0</v>
      </c>
      <c r="C28" s="13">
        <v>0.0</v>
      </c>
      <c r="D28" s="10">
        <v>0.0</v>
      </c>
      <c r="E28" s="10">
        <v>0.0</v>
      </c>
      <c r="F28" s="10">
        <v>0.0</v>
      </c>
      <c r="G28" s="10">
        <v>0.0</v>
      </c>
    </row>
    <row r="29">
      <c r="A29" s="3" t="s">
        <v>12</v>
      </c>
      <c r="B29" s="4">
        <v>43918.0</v>
      </c>
      <c r="C29" s="5">
        <v>0.0</v>
      </c>
      <c r="D29" s="6"/>
      <c r="E29" s="6"/>
      <c r="F29" s="6"/>
      <c r="G29" s="6"/>
    </row>
    <row r="30">
      <c r="A30" s="3" t="s">
        <v>6</v>
      </c>
      <c r="B30" s="4">
        <v>43919.0</v>
      </c>
      <c r="C30" s="5">
        <v>0.0</v>
      </c>
      <c r="D30" s="6"/>
      <c r="E30" s="6"/>
      <c r="F30" s="6"/>
      <c r="G30" s="6"/>
      <c r="K30" s="20">
        <f>C33+Charges!E89-D33-Salaires!I19</f>
        <v>54705</v>
      </c>
    </row>
    <row r="31">
      <c r="A31" s="3" t="s">
        <v>7</v>
      </c>
      <c r="B31" s="4">
        <v>43920.0</v>
      </c>
      <c r="C31" s="5">
        <v>0.0</v>
      </c>
      <c r="D31" s="6"/>
      <c r="E31" s="6"/>
      <c r="F31" s="6"/>
      <c r="G31" s="6"/>
    </row>
    <row r="32">
      <c r="A32" s="3" t="s">
        <v>8</v>
      </c>
      <c r="B32" s="4">
        <v>43921.0</v>
      </c>
      <c r="C32" s="5">
        <v>0.0</v>
      </c>
      <c r="D32" s="6"/>
      <c r="E32" s="6"/>
      <c r="F32" s="6"/>
      <c r="G32" s="6"/>
    </row>
    <row r="33">
      <c r="A33" s="21" t="s">
        <v>19</v>
      </c>
      <c r="B33" s="22"/>
      <c r="C33" s="23">
        <f>SUM(C2:C32)</f>
        <v>327000</v>
      </c>
      <c r="D33" s="24">
        <f>Charges!E88*1</f>
        <v>301295</v>
      </c>
      <c r="E33" s="25">
        <f>Pointage!J35*1</f>
        <v>121520</v>
      </c>
      <c r="F33" s="9">
        <v>0.0</v>
      </c>
      <c r="G33" s="26">
        <f>C33-Charges!E88-Pointage!J35-F33</f>
        <v>-95815</v>
      </c>
    </row>
    <row r="34">
      <c r="A34" s="27" t="s">
        <v>20</v>
      </c>
      <c r="B34" s="22"/>
      <c r="C34" s="28">
        <v>1.0</v>
      </c>
      <c r="D34" s="29">
        <f>D33/C33</f>
        <v>0.9213914373</v>
      </c>
      <c r="E34" s="29">
        <f>E33/C33</f>
        <v>0.3716207951</v>
      </c>
      <c r="F34" s="29">
        <f>F33/C33</f>
        <v>0</v>
      </c>
      <c r="G34" s="29">
        <f>G33/C33</f>
        <v>-0.2930122324</v>
      </c>
    </row>
  </sheetData>
  <mergeCells count="2">
    <mergeCell ref="A33:B33"/>
    <mergeCell ref="A34:B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63"/>
    <col customWidth="1" min="4" max="4" width="25.0"/>
    <col customWidth="1" min="5" max="5" width="25.5"/>
    <col customWidth="1" min="6" max="6" width="25.38"/>
  </cols>
  <sheetData>
    <row r="3">
      <c r="C3" s="30" t="s">
        <v>21</v>
      </c>
      <c r="D3" s="31" t="s">
        <v>22</v>
      </c>
      <c r="E3" s="31" t="s">
        <v>23</v>
      </c>
      <c r="F3" s="31" t="s">
        <v>24</v>
      </c>
    </row>
    <row r="4">
      <c r="C4" s="32" t="s">
        <v>25</v>
      </c>
      <c r="D4" s="33" t="s">
        <v>26</v>
      </c>
      <c r="E4" s="34">
        <v>1700.0</v>
      </c>
      <c r="F4" s="35">
        <v>43891.0</v>
      </c>
    </row>
    <row r="5">
      <c r="C5" s="32" t="s">
        <v>27</v>
      </c>
      <c r="D5" s="33" t="s">
        <v>28</v>
      </c>
      <c r="E5" s="34">
        <v>1360.0</v>
      </c>
      <c r="F5" s="35">
        <v>43891.0</v>
      </c>
    </row>
    <row r="6">
      <c r="C6" s="32" t="s">
        <v>29</v>
      </c>
      <c r="D6" s="33" t="s">
        <v>30</v>
      </c>
      <c r="E6" s="34">
        <v>2400.0</v>
      </c>
      <c r="F6" s="35">
        <v>43891.0</v>
      </c>
    </row>
    <row r="7">
      <c r="C7" s="32" t="s">
        <v>31</v>
      </c>
      <c r="D7" s="33" t="s">
        <v>30</v>
      </c>
      <c r="E7" s="34">
        <v>2200.0</v>
      </c>
      <c r="F7" s="35">
        <v>43891.0</v>
      </c>
    </row>
    <row r="8">
      <c r="C8" s="32" t="s">
        <v>32</v>
      </c>
      <c r="D8" s="33" t="s">
        <v>33</v>
      </c>
      <c r="E8" s="34">
        <v>1500.0</v>
      </c>
      <c r="F8" s="35">
        <v>43891.0</v>
      </c>
    </row>
    <row r="9">
      <c r="C9" s="32" t="s">
        <v>34</v>
      </c>
      <c r="D9" s="33" t="s">
        <v>35</v>
      </c>
      <c r="E9" s="34">
        <v>980.0</v>
      </c>
      <c r="F9" s="35">
        <v>43891.0</v>
      </c>
    </row>
    <row r="10">
      <c r="C10" s="32" t="s">
        <v>36</v>
      </c>
      <c r="D10" s="33" t="s">
        <v>33</v>
      </c>
      <c r="E10" s="34">
        <v>1900.0</v>
      </c>
      <c r="F10" s="35">
        <v>43891.0</v>
      </c>
    </row>
    <row r="11">
      <c r="C11" s="32" t="s">
        <v>37</v>
      </c>
      <c r="D11" s="33" t="s">
        <v>30</v>
      </c>
      <c r="E11" s="34">
        <v>1040.0</v>
      </c>
      <c r="F11" s="35">
        <v>43891.0</v>
      </c>
    </row>
    <row r="12">
      <c r="C12" s="32" t="s">
        <v>38</v>
      </c>
      <c r="D12" s="33" t="s">
        <v>33</v>
      </c>
      <c r="E12" s="34">
        <v>1360.0</v>
      </c>
      <c r="F12" s="35">
        <v>43891.0</v>
      </c>
    </row>
    <row r="13">
      <c r="C13" s="32" t="s">
        <v>39</v>
      </c>
      <c r="D13" s="33" t="s">
        <v>40</v>
      </c>
      <c r="E13" s="34">
        <v>300.0</v>
      </c>
      <c r="F13" s="35">
        <v>43891.0</v>
      </c>
    </row>
    <row r="14">
      <c r="C14" s="32" t="s">
        <v>41</v>
      </c>
      <c r="D14" s="33" t="s">
        <v>42</v>
      </c>
      <c r="E14" s="34">
        <v>660.0</v>
      </c>
      <c r="F14" s="35">
        <v>43891.0</v>
      </c>
    </row>
    <row r="15">
      <c r="C15" s="32" t="s">
        <v>43</v>
      </c>
      <c r="D15" s="33" t="s">
        <v>35</v>
      </c>
      <c r="E15" s="34">
        <v>2640.0</v>
      </c>
      <c r="F15" s="35">
        <v>43891.0</v>
      </c>
    </row>
    <row r="16">
      <c r="C16" s="32" t="s">
        <v>44</v>
      </c>
      <c r="D16" s="33" t="s">
        <v>28</v>
      </c>
      <c r="E16" s="34">
        <v>2040.0</v>
      </c>
      <c r="F16" s="35">
        <v>43891.0</v>
      </c>
    </row>
    <row r="17">
      <c r="C17" s="32" t="s">
        <v>45</v>
      </c>
      <c r="D17" s="33" t="s">
        <v>46</v>
      </c>
      <c r="E17" s="34">
        <v>1680.0</v>
      </c>
      <c r="F17" s="35">
        <v>43891.0</v>
      </c>
    </row>
    <row r="18">
      <c r="C18" s="32" t="s">
        <v>47</v>
      </c>
      <c r="D18" s="33" t="s">
        <v>48</v>
      </c>
      <c r="E18" s="34">
        <v>4500.0</v>
      </c>
      <c r="F18" s="35">
        <v>43891.0</v>
      </c>
    </row>
    <row r="19">
      <c r="C19" s="32" t="s">
        <v>49</v>
      </c>
      <c r="D19" s="33" t="s">
        <v>50</v>
      </c>
      <c r="E19" s="34">
        <v>2400.0</v>
      </c>
      <c r="F19" s="35">
        <v>43891.0</v>
      </c>
    </row>
    <row r="20">
      <c r="C20" s="32" t="s">
        <v>51</v>
      </c>
      <c r="D20" s="33" t="s">
        <v>52</v>
      </c>
      <c r="E20" s="36"/>
      <c r="F20" s="35">
        <v>43891.0</v>
      </c>
    </row>
    <row r="21">
      <c r="C21" s="32" t="s">
        <v>53</v>
      </c>
      <c r="D21" s="33">
        <v>10.0</v>
      </c>
      <c r="E21" s="34">
        <v>10700.0</v>
      </c>
      <c r="F21" s="35">
        <v>43891.0</v>
      </c>
    </row>
    <row r="22">
      <c r="C22" s="32" t="s">
        <v>54</v>
      </c>
      <c r="D22" s="33" t="s">
        <v>55</v>
      </c>
      <c r="E22" s="34">
        <v>1625.0</v>
      </c>
      <c r="F22" s="35">
        <v>43891.0</v>
      </c>
    </row>
    <row r="23">
      <c r="C23" s="32" t="s">
        <v>56</v>
      </c>
      <c r="D23" s="33" t="s">
        <v>57</v>
      </c>
      <c r="E23" s="34">
        <v>450.0</v>
      </c>
      <c r="F23" s="35">
        <v>43891.0</v>
      </c>
    </row>
    <row r="24">
      <c r="C24" s="32" t="s">
        <v>58</v>
      </c>
      <c r="D24" s="33" t="s">
        <v>57</v>
      </c>
      <c r="E24" s="34">
        <v>435.0</v>
      </c>
      <c r="F24" s="35">
        <v>43891.0</v>
      </c>
    </row>
    <row r="25">
      <c r="C25" s="32" t="s">
        <v>59</v>
      </c>
      <c r="D25" s="33">
        <v>1.0</v>
      </c>
      <c r="E25" s="34">
        <v>420.0</v>
      </c>
      <c r="F25" s="35">
        <v>43891.0</v>
      </c>
    </row>
    <row r="26">
      <c r="C26" s="32" t="s">
        <v>60</v>
      </c>
      <c r="D26" s="33">
        <v>1.0</v>
      </c>
      <c r="E26" s="34">
        <v>420.0</v>
      </c>
      <c r="F26" s="35">
        <v>43891.0</v>
      </c>
    </row>
    <row r="27">
      <c r="C27" s="32" t="s">
        <v>61</v>
      </c>
      <c r="D27" s="33" t="s">
        <v>28</v>
      </c>
      <c r="E27" s="34">
        <v>1800.0</v>
      </c>
      <c r="F27" s="35">
        <v>43891.0</v>
      </c>
    </row>
    <row r="28">
      <c r="C28" s="32" t="s">
        <v>62</v>
      </c>
      <c r="D28" s="33" t="s">
        <v>63</v>
      </c>
      <c r="E28" s="34">
        <v>48500.0</v>
      </c>
      <c r="F28" s="35">
        <v>43891.0</v>
      </c>
    </row>
    <row r="29">
      <c r="C29" s="32" t="s">
        <v>64</v>
      </c>
      <c r="D29" s="33" t="s">
        <v>65</v>
      </c>
      <c r="E29" s="34">
        <v>1000.0</v>
      </c>
      <c r="F29" s="35">
        <v>43891.0</v>
      </c>
    </row>
    <row r="30">
      <c r="C30" s="32" t="s">
        <v>66</v>
      </c>
      <c r="D30" s="33" t="s">
        <v>67</v>
      </c>
      <c r="E30" s="34">
        <v>750.0</v>
      </c>
      <c r="F30" s="35">
        <v>43891.0</v>
      </c>
    </row>
    <row r="31">
      <c r="C31" s="32" t="s">
        <v>68</v>
      </c>
      <c r="D31" s="33" t="s">
        <v>69</v>
      </c>
      <c r="E31" s="34">
        <v>500.0</v>
      </c>
      <c r="F31" s="35">
        <v>43891.0</v>
      </c>
    </row>
    <row r="32">
      <c r="C32" s="32" t="s">
        <v>70</v>
      </c>
      <c r="D32" s="33" t="s">
        <v>71</v>
      </c>
      <c r="E32" s="34">
        <v>240.0</v>
      </c>
      <c r="F32" s="35">
        <v>43891.0</v>
      </c>
    </row>
    <row r="33">
      <c r="C33" s="32" t="s">
        <v>66</v>
      </c>
      <c r="D33" s="33" t="s">
        <v>72</v>
      </c>
      <c r="E33" s="34">
        <v>6000.0</v>
      </c>
      <c r="F33" s="35">
        <v>43891.0</v>
      </c>
    </row>
    <row r="34">
      <c r="C34" s="32" t="s">
        <v>73</v>
      </c>
      <c r="D34" s="33">
        <v>1.0</v>
      </c>
      <c r="E34" s="34">
        <v>500.0</v>
      </c>
      <c r="F34" s="35">
        <v>43891.0</v>
      </c>
    </row>
    <row r="35">
      <c r="C35" s="32" t="s">
        <v>74</v>
      </c>
      <c r="D35" s="33" t="s">
        <v>75</v>
      </c>
      <c r="E35" s="34">
        <v>3000.0</v>
      </c>
      <c r="F35" s="35">
        <v>43892.0</v>
      </c>
    </row>
    <row r="36">
      <c r="C36" s="32" t="s">
        <v>64</v>
      </c>
      <c r="D36" s="33" t="s">
        <v>76</v>
      </c>
      <c r="E36" s="34">
        <v>2450.0</v>
      </c>
      <c r="F36" s="35">
        <v>43893.0</v>
      </c>
    </row>
    <row r="37">
      <c r="C37" s="32" t="s">
        <v>68</v>
      </c>
      <c r="D37" s="33" t="s">
        <v>77</v>
      </c>
      <c r="E37" s="34">
        <v>1000.0</v>
      </c>
      <c r="F37" s="35">
        <v>43893.0</v>
      </c>
    </row>
    <row r="38">
      <c r="C38" s="32" t="s">
        <v>78</v>
      </c>
      <c r="D38" s="33" t="s">
        <v>79</v>
      </c>
      <c r="E38" s="34">
        <v>120.0</v>
      </c>
      <c r="F38" s="35">
        <v>43893.0</v>
      </c>
    </row>
    <row r="39">
      <c r="C39" s="32" t="s">
        <v>68</v>
      </c>
      <c r="D39" s="33" t="s">
        <v>80</v>
      </c>
      <c r="E39" s="34">
        <v>1500.0</v>
      </c>
      <c r="F39" s="35">
        <v>43895.0</v>
      </c>
    </row>
    <row r="40">
      <c r="C40" s="32" t="s">
        <v>45</v>
      </c>
      <c r="D40" s="33" t="s">
        <v>77</v>
      </c>
      <c r="E40" s="34">
        <v>1700.0</v>
      </c>
      <c r="F40" s="35">
        <v>43895.0</v>
      </c>
    </row>
    <row r="41">
      <c r="C41" s="32" t="s">
        <v>70</v>
      </c>
      <c r="D41" s="33" t="s">
        <v>71</v>
      </c>
      <c r="E41" s="34">
        <v>200.0</v>
      </c>
      <c r="F41" s="35">
        <v>43895.0</v>
      </c>
    </row>
    <row r="42">
      <c r="C42" s="32" t="s">
        <v>66</v>
      </c>
      <c r="D42" s="33" t="s">
        <v>81</v>
      </c>
      <c r="E42" s="34">
        <v>3600.0</v>
      </c>
      <c r="F42" s="35">
        <v>43895.0</v>
      </c>
    </row>
    <row r="43">
      <c r="C43" s="32" t="s">
        <v>82</v>
      </c>
      <c r="D43" s="33" t="s">
        <v>83</v>
      </c>
      <c r="E43" s="34">
        <v>400.0</v>
      </c>
      <c r="F43" s="35">
        <v>43895.0</v>
      </c>
    </row>
    <row r="44">
      <c r="C44" s="32" t="s">
        <v>84</v>
      </c>
      <c r="D44" s="33" t="s">
        <v>85</v>
      </c>
      <c r="E44" s="34">
        <v>1360.0</v>
      </c>
      <c r="F44" s="35">
        <v>44050.0</v>
      </c>
    </row>
    <row r="45">
      <c r="C45" s="32" t="s">
        <v>86</v>
      </c>
      <c r="D45" s="33" t="s">
        <v>87</v>
      </c>
      <c r="E45" s="34">
        <v>1925.0</v>
      </c>
      <c r="F45" s="35">
        <v>43897.0</v>
      </c>
    </row>
    <row r="46">
      <c r="C46" s="32" t="s">
        <v>88</v>
      </c>
      <c r="D46" s="33" t="s">
        <v>33</v>
      </c>
      <c r="E46" s="34">
        <v>330.0</v>
      </c>
      <c r="F46" s="35">
        <v>43897.0</v>
      </c>
    </row>
    <row r="47">
      <c r="C47" s="32" t="s">
        <v>89</v>
      </c>
      <c r="D47" s="33" t="s">
        <v>28</v>
      </c>
      <c r="E47" s="34">
        <v>2800.0</v>
      </c>
      <c r="F47" s="35">
        <v>43897.0</v>
      </c>
    </row>
    <row r="48">
      <c r="C48" s="32" t="s">
        <v>90</v>
      </c>
      <c r="D48" s="33" t="s">
        <v>91</v>
      </c>
      <c r="E48" s="34">
        <v>780.0</v>
      </c>
      <c r="F48" s="35">
        <v>43898.0</v>
      </c>
    </row>
    <row r="49">
      <c r="C49" s="32" t="s">
        <v>92</v>
      </c>
      <c r="D49" s="33" t="s">
        <v>77</v>
      </c>
      <c r="E49" s="34">
        <v>1000.0</v>
      </c>
      <c r="F49" s="35">
        <v>43899.0</v>
      </c>
    </row>
    <row r="50">
      <c r="C50" s="32" t="s">
        <v>93</v>
      </c>
      <c r="D50" s="33" t="s">
        <v>77</v>
      </c>
      <c r="E50" s="34">
        <v>1000.0</v>
      </c>
      <c r="F50" s="35">
        <v>43900.0</v>
      </c>
    </row>
    <row r="51">
      <c r="C51" s="32" t="s">
        <v>94</v>
      </c>
      <c r="D51" s="33" t="s">
        <v>95</v>
      </c>
      <c r="E51" s="34">
        <v>1000.0</v>
      </c>
      <c r="F51" s="35">
        <v>43900.0</v>
      </c>
    </row>
    <row r="52">
      <c r="C52" s="32" t="s">
        <v>70</v>
      </c>
      <c r="D52" s="33" t="s">
        <v>96</v>
      </c>
      <c r="E52" s="34">
        <v>210.0</v>
      </c>
      <c r="F52" s="35">
        <v>43900.0</v>
      </c>
    </row>
    <row r="53">
      <c r="C53" s="32" t="s">
        <v>66</v>
      </c>
      <c r="D53" s="33" t="s">
        <v>97</v>
      </c>
      <c r="E53" s="34">
        <v>8000.0</v>
      </c>
      <c r="F53" s="35">
        <v>43900.0</v>
      </c>
    </row>
    <row r="54">
      <c r="C54" s="32" t="s">
        <v>98</v>
      </c>
      <c r="D54" s="33" t="s">
        <v>99</v>
      </c>
      <c r="E54" s="34">
        <v>2000.0</v>
      </c>
      <c r="F54" s="35">
        <v>43901.0</v>
      </c>
    </row>
    <row r="55">
      <c r="C55" s="32" t="s">
        <v>100</v>
      </c>
      <c r="D55" s="33" t="s">
        <v>101</v>
      </c>
      <c r="E55" s="34">
        <v>500.0</v>
      </c>
      <c r="F55" s="35">
        <v>43901.0</v>
      </c>
    </row>
    <row r="56">
      <c r="C56" s="32" t="s">
        <v>102</v>
      </c>
      <c r="D56" s="33" t="s">
        <v>103</v>
      </c>
      <c r="E56" s="34">
        <v>1000.0</v>
      </c>
      <c r="F56" s="35">
        <v>43901.0</v>
      </c>
    </row>
    <row r="57">
      <c r="C57" s="32" t="s">
        <v>104</v>
      </c>
      <c r="D57" s="33" t="s">
        <v>28</v>
      </c>
      <c r="E57" s="34">
        <v>2800.0</v>
      </c>
      <c r="F57" s="35">
        <v>43901.0</v>
      </c>
    </row>
    <row r="58">
      <c r="C58" s="32" t="s">
        <v>105</v>
      </c>
      <c r="D58" s="33" t="s">
        <v>106</v>
      </c>
      <c r="E58" s="34">
        <v>3450.0</v>
      </c>
      <c r="F58" s="35">
        <v>43901.0</v>
      </c>
    </row>
    <row r="59">
      <c r="C59" s="32" t="s">
        <v>73</v>
      </c>
      <c r="D59" s="33">
        <v>2.0</v>
      </c>
      <c r="E59" s="34">
        <v>800.0</v>
      </c>
      <c r="F59" s="35">
        <v>43901.0</v>
      </c>
    </row>
    <row r="60">
      <c r="C60" s="32" t="s">
        <v>107</v>
      </c>
      <c r="D60" s="33" t="s">
        <v>108</v>
      </c>
      <c r="E60" s="34">
        <v>3000.0</v>
      </c>
      <c r="F60" s="35">
        <v>43901.0</v>
      </c>
    </row>
    <row r="61">
      <c r="C61" s="32" t="s">
        <v>109</v>
      </c>
      <c r="D61" s="33" t="s">
        <v>110</v>
      </c>
      <c r="E61" s="34">
        <v>3250.0</v>
      </c>
      <c r="F61" s="35">
        <v>43902.0</v>
      </c>
    </row>
    <row r="62">
      <c r="C62" s="32" t="s">
        <v>111</v>
      </c>
      <c r="D62" s="33" t="s">
        <v>112</v>
      </c>
      <c r="E62" s="34">
        <v>4350.0</v>
      </c>
      <c r="F62" s="35">
        <v>43902.0</v>
      </c>
    </row>
    <row r="63">
      <c r="C63" s="32" t="s">
        <v>113</v>
      </c>
      <c r="D63" s="37"/>
      <c r="E63" s="34">
        <v>5200.0</v>
      </c>
      <c r="F63" s="35">
        <v>43902.0</v>
      </c>
    </row>
    <row r="64">
      <c r="C64" s="32" t="s">
        <v>114</v>
      </c>
      <c r="D64" s="33">
        <v>1.0</v>
      </c>
      <c r="E64" s="34">
        <v>1100.0</v>
      </c>
      <c r="F64" s="35">
        <v>43902.0</v>
      </c>
    </row>
    <row r="65">
      <c r="C65" s="32" t="s">
        <v>115</v>
      </c>
      <c r="D65" s="33" t="s">
        <v>116</v>
      </c>
      <c r="E65" s="34">
        <v>1800.0</v>
      </c>
      <c r="F65" s="35">
        <v>43902.0</v>
      </c>
    </row>
    <row r="66">
      <c r="C66" s="32" t="s">
        <v>117</v>
      </c>
      <c r="D66" s="33" t="s">
        <v>118</v>
      </c>
      <c r="E66" s="34">
        <v>7500.0</v>
      </c>
      <c r="F66" s="35">
        <v>43905.0</v>
      </c>
    </row>
    <row r="67">
      <c r="C67" s="32" t="s">
        <v>68</v>
      </c>
      <c r="D67" s="33" t="s">
        <v>99</v>
      </c>
      <c r="E67" s="34">
        <v>2000.0</v>
      </c>
      <c r="F67" s="35">
        <v>43906.0</v>
      </c>
    </row>
    <row r="68">
      <c r="C68" s="32" t="s">
        <v>119</v>
      </c>
      <c r="D68" s="33" t="s">
        <v>120</v>
      </c>
      <c r="E68" s="34">
        <v>2000.0</v>
      </c>
      <c r="F68" s="35">
        <v>43906.0</v>
      </c>
    </row>
    <row r="69">
      <c r="C69" s="32" t="s">
        <v>121</v>
      </c>
      <c r="D69" s="33" t="s">
        <v>103</v>
      </c>
      <c r="E69" s="34">
        <v>900.0</v>
      </c>
      <c r="F69" s="35">
        <v>43907.0</v>
      </c>
    </row>
    <row r="70">
      <c r="C70" s="32" t="s">
        <v>122</v>
      </c>
      <c r="D70" s="33" t="s">
        <v>103</v>
      </c>
      <c r="E70" s="34">
        <v>900.0</v>
      </c>
      <c r="F70" s="35">
        <v>43907.0</v>
      </c>
    </row>
    <row r="71">
      <c r="C71" s="32" t="s">
        <v>68</v>
      </c>
      <c r="D71" s="33" t="s">
        <v>99</v>
      </c>
      <c r="E71" s="34">
        <v>2000.0</v>
      </c>
      <c r="F71" s="35">
        <v>43907.0</v>
      </c>
    </row>
    <row r="72">
      <c r="C72" s="32" t="s">
        <v>70</v>
      </c>
      <c r="D72" s="33" t="s">
        <v>71</v>
      </c>
      <c r="E72" s="34">
        <v>250.0</v>
      </c>
      <c r="F72" s="35">
        <v>43907.0</v>
      </c>
    </row>
    <row r="73">
      <c r="C73" s="32" t="s">
        <v>73</v>
      </c>
      <c r="D73" s="33">
        <v>1.0</v>
      </c>
      <c r="E73" s="34">
        <v>500.0</v>
      </c>
      <c r="F73" s="35">
        <v>43907.0</v>
      </c>
    </row>
    <row r="74">
      <c r="C74" s="32" t="s">
        <v>123</v>
      </c>
      <c r="D74" s="33">
        <v>1.0</v>
      </c>
      <c r="E74" s="34">
        <v>270.0</v>
      </c>
      <c r="F74" s="35">
        <v>43907.0</v>
      </c>
    </row>
    <row r="75">
      <c r="C75" s="32" t="s">
        <v>124</v>
      </c>
      <c r="D75" s="33" t="s">
        <v>26</v>
      </c>
      <c r="E75" s="34">
        <v>2800.0</v>
      </c>
      <c r="F75" s="35">
        <v>43908.0</v>
      </c>
    </row>
    <row r="76">
      <c r="C76" s="32" t="s">
        <v>66</v>
      </c>
      <c r="D76" s="33" t="s">
        <v>125</v>
      </c>
      <c r="E76" s="34">
        <v>9450.0</v>
      </c>
      <c r="F76" s="35">
        <v>43908.0</v>
      </c>
    </row>
    <row r="77">
      <c r="C77" s="32" t="s">
        <v>53</v>
      </c>
      <c r="D77" s="33">
        <v>16.0</v>
      </c>
      <c r="E77" s="34">
        <v>17120.0</v>
      </c>
      <c r="F77" s="35">
        <v>43908.0</v>
      </c>
    </row>
    <row r="78">
      <c r="C78" s="32" t="s">
        <v>126</v>
      </c>
      <c r="D78" s="33" t="s">
        <v>127</v>
      </c>
      <c r="E78" s="34">
        <v>600.0</v>
      </c>
      <c r="F78" s="35">
        <v>43908.0</v>
      </c>
    </row>
    <row r="79">
      <c r="C79" s="32" t="s">
        <v>128</v>
      </c>
      <c r="D79" s="33">
        <v>4.0</v>
      </c>
      <c r="E79" s="34">
        <v>1680.0</v>
      </c>
      <c r="F79" s="35">
        <v>43908.0</v>
      </c>
    </row>
    <row r="80">
      <c r="C80" s="32" t="s">
        <v>129</v>
      </c>
      <c r="D80" s="33" t="s">
        <v>130</v>
      </c>
      <c r="E80" s="34">
        <v>48750.0</v>
      </c>
      <c r="F80" s="35">
        <v>43909.0</v>
      </c>
    </row>
    <row r="81">
      <c r="C81" s="32" t="s">
        <v>131</v>
      </c>
      <c r="D81" s="33" t="s">
        <v>132</v>
      </c>
      <c r="E81" s="34">
        <v>12500.0</v>
      </c>
      <c r="F81" s="35">
        <v>43909.0</v>
      </c>
    </row>
    <row r="82">
      <c r="C82" s="32" t="s">
        <v>133</v>
      </c>
      <c r="D82" s="33" t="s">
        <v>134</v>
      </c>
      <c r="E82" s="34">
        <v>2650.0</v>
      </c>
      <c r="F82" s="35">
        <v>43909.0</v>
      </c>
    </row>
    <row r="83">
      <c r="C83" s="32" t="s">
        <v>135</v>
      </c>
      <c r="D83" s="37"/>
      <c r="E83" s="34">
        <v>11000.0</v>
      </c>
      <c r="F83" s="35">
        <v>43909.0</v>
      </c>
    </row>
    <row r="84">
      <c r="C84" s="32" t="s">
        <v>136</v>
      </c>
      <c r="D84" s="33" t="s">
        <v>137</v>
      </c>
      <c r="E84" s="34">
        <v>9800.0</v>
      </c>
      <c r="F84" s="35">
        <v>43921.0</v>
      </c>
    </row>
    <row r="85">
      <c r="C85" s="38"/>
      <c r="D85" s="37"/>
      <c r="E85" s="36"/>
      <c r="F85" s="37"/>
    </row>
    <row r="86">
      <c r="C86" s="38"/>
      <c r="D86" s="37"/>
      <c r="E86" s="36"/>
      <c r="F86" s="37"/>
    </row>
    <row r="87">
      <c r="C87" s="38" t="s">
        <v>138</v>
      </c>
      <c r="D87" s="37" t="s">
        <v>85</v>
      </c>
      <c r="E87" s="36">
        <v>5000.0</v>
      </c>
      <c r="F87" s="35">
        <v>43891.0</v>
      </c>
    </row>
    <row r="88">
      <c r="C88" s="39" t="s">
        <v>139</v>
      </c>
      <c r="D88" s="1"/>
      <c r="E88" s="40">
        <f>SUM(E4:E87)</f>
        <v>301295</v>
      </c>
      <c r="F88" s="1"/>
    </row>
    <row r="89">
      <c r="C89" s="39" t="s">
        <v>140</v>
      </c>
      <c r="D89" s="1"/>
      <c r="E89" s="41">
        <v>80000.0</v>
      </c>
      <c r="F89" s="1"/>
    </row>
    <row r="90">
      <c r="C90" s="39" t="s">
        <v>141</v>
      </c>
      <c r="D90" s="1"/>
      <c r="E90" s="42">
        <f>E89-E88</f>
        <v>-221295</v>
      </c>
      <c r="F9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6.88"/>
    <col customWidth="1" min="11" max="11" width="25.0"/>
  </cols>
  <sheetData>
    <row r="1">
      <c r="A1" s="43"/>
      <c r="B1" s="44" t="s">
        <v>0</v>
      </c>
      <c r="C1" s="45" t="s">
        <v>142</v>
      </c>
      <c r="D1" s="45" t="s">
        <v>143</v>
      </c>
      <c r="E1" s="46" t="s">
        <v>144</v>
      </c>
      <c r="F1" s="46" t="s">
        <v>145</v>
      </c>
      <c r="G1" s="45" t="s">
        <v>146</v>
      </c>
      <c r="H1" s="45" t="s">
        <v>147</v>
      </c>
      <c r="I1" s="45" t="s">
        <v>148</v>
      </c>
      <c r="J1" s="47" t="s">
        <v>149</v>
      </c>
      <c r="K1" s="47" t="s">
        <v>150</v>
      </c>
    </row>
    <row r="2">
      <c r="A2" s="48" t="s">
        <v>6</v>
      </c>
      <c r="B2" s="4">
        <v>43891.0</v>
      </c>
      <c r="C2" s="49">
        <v>1.0</v>
      </c>
      <c r="D2" s="49">
        <v>1.0</v>
      </c>
      <c r="E2" s="50">
        <v>2.0</v>
      </c>
      <c r="F2" s="50">
        <v>0.0</v>
      </c>
      <c r="G2" s="50">
        <v>1.0</v>
      </c>
      <c r="H2" s="50">
        <v>1.0</v>
      </c>
      <c r="I2" s="49">
        <v>1.0</v>
      </c>
      <c r="J2" s="43"/>
      <c r="K2" s="51"/>
    </row>
    <row r="3">
      <c r="A3" s="48" t="s">
        <v>7</v>
      </c>
      <c r="B3" s="4">
        <v>43892.0</v>
      </c>
      <c r="C3" s="49">
        <v>1.0</v>
      </c>
      <c r="D3" s="49">
        <v>1.0</v>
      </c>
      <c r="E3" s="49">
        <v>1.0</v>
      </c>
      <c r="F3" s="50">
        <v>0.0</v>
      </c>
      <c r="G3" s="50">
        <v>1.0</v>
      </c>
      <c r="H3" s="50">
        <v>1.0</v>
      </c>
      <c r="I3" s="49">
        <v>1.0</v>
      </c>
      <c r="J3" s="43"/>
      <c r="K3" s="51"/>
    </row>
    <row r="4">
      <c r="A4" s="48" t="s">
        <v>8</v>
      </c>
      <c r="B4" s="4">
        <v>43893.0</v>
      </c>
      <c r="C4" s="50">
        <v>0.0</v>
      </c>
      <c r="D4" s="50">
        <v>1.0</v>
      </c>
      <c r="E4" s="50">
        <v>1.0</v>
      </c>
      <c r="F4" s="50">
        <v>0.0</v>
      </c>
      <c r="G4" s="50">
        <v>1.0</v>
      </c>
      <c r="H4" s="50">
        <v>0.0</v>
      </c>
      <c r="I4" s="50">
        <v>1.0</v>
      </c>
      <c r="J4" s="43"/>
      <c r="K4" s="51"/>
    </row>
    <row r="5">
      <c r="A5" s="48" t="s">
        <v>9</v>
      </c>
      <c r="B5" s="4">
        <v>43894.0</v>
      </c>
      <c r="C5" s="52">
        <v>1.0</v>
      </c>
      <c r="D5" s="50">
        <v>1.0</v>
      </c>
      <c r="E5" s="50">
        <v>1.0</v>
      </c>
      <c r="F5" s="50">
        <v>0.0</v>
      </c>
      <c r="G5" s="50">
        <v>1.0</v>
      </c>
      <c r="H5" s="50">
        <v>1.0</v>
      </c>
      <c r="I5" s="50">
        <v>1.0</v>
      </c>
      <c r="J5" s="43"/>
      <c r="K5" s="51"/>
    </row>
    <row r="6">
      <c r="A6" s="48" t="s">
        <v>10</v>
      </c>
      <c r="B6" s="4">
        <v>43895.0</v>
      </c>
      <c r="C6" s="53">
        <v>1.0</v>
      </c>
      <c r="D6" s="53">
        <v>1.0</v>
      </c>
      <c r="E6" s="53">
        <v>1.0</v>
      </c>
      <c r="F6" s="53">
        <v>0.0</v>
      </c>
      <c r="G6" s="53">
        <v>1.0</v>
      </c>
      <c r="H6" s="53">
        <v>1.0</v>
      </c>
      <c r="I6" s="53">
        <v>2.0</v>
      </c>
      <c r="J6" s="43"/>
      <c r="K6" s="51"/>
    </row>
    <row r="7">
      <c r="A7" s="54" t="s">
        <v>11</v>
      </c>
      <c r="B7" s="8">
        <v>43896.0</v>
      </c>
      <c r="C7" s="55">
        <v>0.0</v>
      </c>
      <c r="D7" s="55">
        <v>0.0</v>
      </c>
      <c r="E7" s="55">
        <v>0.0</v>
      </c>
      <c r="F7" s="56">
        <v>0.0</v>
      </c>
      <c r="G7" s="55">
        <v>0.0</v>
      </c>
      <c r="H7" s="55">
        <v>0.0</v>
      </c>
      <c r="I7" s="55">
        <v>0.0</v>
      </c>
      <c r="J7" s="43"/>
      <c r="K7" s="51"/>
    </row>
    <row r="8">
      <c r="A8" s="48" t="s">
        <v>12</v>
      </c>
      <c r="B8" s="4">
        <v>43897.0</v>
      </c>
      <c r="C8" s="50">
        <v>0.0</v>
      </c>
      <c r="D8" s="50">
        <v>1.0</v>
      </c>
      <c r="E8" s="50">
        <v>1.0</v>
      </c>
      <c r="F8" s="50">
        <v>0.0</v>
      </c>
      <c r="G8" s="50">
        <v>1.0</v>
      </c>
      <c r="H8" s="50">
        <v>1.0</v>
      </c>
      <c r="I8" s="50">
        <v>2.0</v>
      </c>
      <c r="J8" s="43"/>
      <c r="K8" s="51"/>
    </row>
    <row r="9">
      <c r="A9" s="48" t="s">
        <v>6</v>
      </c>
      <c r="B9" s="4">
        <v>43898.0</v>
      </c>
      <c r="C9" s="50">
        <v>1.0</v>
      </c>
      <c r="D9" s="50">
        <v>1.0</v>
      </c>
      <c r="E9" s="50">
        <v>1.0</v>
      </c>
      <c r="F9" s="50">
        <v>0.0</v>
      </c>
      <c r="G9" s="50">
        <v>1.0</v>
      </c>
      <c r="H9" s="50">
        <v>1.0</v>
      </c>
      <c r="I9" s="50">
        <v>1.0</v>
      </c>
      <c r="J9" s="43"/>
      <c r="K9" s="51"/>
    </row>
    <row r="10">
      <c r="A10" s="48" t="s">
        <v>7</v>
      </c>
      <c r="B10" s="4">
        <v>43899.0</v>
      </c>
      <c r="C10" s="50">
        <v>1.0</v>
      </c>
      <c r="D10" s="50">
        <v>1.0</v>
      </c>
      <c r="E10" s="50">
        <v>1.0</v>
      </c>
      <c r="F10" s="50">
        <v>0.0</v>
      </c>
      <c r="G10" s="50">
        <v>1.0</v>
      </c>
      <c r="H10" s="50">
        <v>0.0</v>
      </c>
      <c r="I10" s="50">
        <v>1.0</v>
      </c>
      <c r="J10" s="43"/>
      <c r="K10" s="51"/>
    </row>
    <row r="11">
      <c r="A11" s="48" t="s">
        <v>8</v>
      </c>
      <c r="B11" s="4">
        <v>43900.0</v>
      </c>
      <c r="C11" s="50">
        <v>1.0</v>
      </c>
      <c r="D11" s="50">
        <v>1.0</v>
      </c>
      <c r="E11" s="50">
        <v>1.0</v>
      </c>
      <c r="F11" s="50">
        <v>0.0</v>
      </c>
      <c r="G11" s="50">
        <v>1.0</v>
      </c>
      <c r="H11" s="50">
        <v>1.0</v>
      </c>
      <c r="I11" s="50">
        <v>1.0</v>
      </c>
      <c r="J11" s="43"/>
      <c r="K11" s="51"/>
    </row>
    <row r="12">
      <c r="A12" s="48" t="s">
        <v>9</v>
      </c>
      <c r="B12" s="4">
        <v>43901.0</v>
      </c>
      <c r="C12" s="50">
        <v>1.0</v>
      </c>
      <c r="D12" s="50">
        <v>1.0</v>
      </c>
      <c r="E12" s="50">
        <v>1.0</v>
      </c>
      <c r="F12" s="50">
        <v>0.0</v>
      </c>
      <c r="G12" s="50">
        <v>1.0</v>
      </c>
      <c r="H12" s="50">
        <v>1.0</v>
      </c>
      <c r="I12" s="50">
        <v>1.0</v>
      </c>
      <c r="J12" s="43"/>
      <c r="K12" s="51"/>
    </row>
    <row r="13">
      <c r="A13" s="48" t="s">
        <v>10</v>
      </c>
      <c r="B13" s="4">
        <v>43902.0</v>
      </c>
      <c r="C13" s="53">
        <v>1.0</v>
      </c>
      <c r="D13" s="53">
        <v>1.0</v>
      </c>
      <c r="E13" s="53">
        <v>1.0</v>
      </c>
      <c r="F13" s="53">
        <v>1.0</v>
      </c>
      <c r="G13" s="53">
        <v>1.0</v>
      </c>
      <c r="H13" s="53">
        <v>1.0</v>
      </c>
      <c r="I13" s="53">
        <v>1.0</v>
      </c>
      <c r="J13" s="43"/>
      <c r="K13" s="51"/>
    </row>
    <row r="14">
      <c r="A14" s="54" t="s">
        <v>11</v>
      </c>
      <c r="B14" s="8">
        <v>43903.0</v>
      </c>
      <c r="C14" s="55">
        <v>0.0</v>
      </c>
      <c r="D14" s="55">
        <v>0.0</v>
      </c>
      <c r="E14" s="56">
        <v>0.0</v>
      </c>
      <c r="F14" s="56">
        <v>0.0</v>
      </c>
      <c r="G14" s="55">
        <v>0.0</v>
      </c>
      <c r="H14" s="55">
        <v>0.0</v>
      </c>
      <c r="I14" s="55">
        <v>0.0</v>
      </c>
      <c r="J14" s="43"/>
      <c r="K14" s="51"/>
    </row>
    <row r="15">
      <c r="A15" s="48" t="s">
        <v>12</v>
      </c>
      <c r="B15" s="4">
        <v>43904.0</v>
      </c>
      <c r="C15" s="50">
        <v>1.0</v>
      </c>
      <c r="D15" s="50">
        <v>1.0</v>
      </c>
      <c r="E15" s="50">
        <v>1.0</v>
      </c>
      <c r="F15" s="50">
        <v>1.0</v>
      </c>
      <c r="G15" s="50">
        <v>1.0</v>
      </c>
      <c r="H15" s="50">
        <v>1.0</v>
      </c>
      <c r="I15" s="50">
        <v>1.0</v>
      </c>
      <c r="J15" s="43"/>
      <c r="K15" s="51"/>
    </row>
    <row r="16">
      <c r="A16" s="48" t="s">
        <v>6</v>
      </c>
      <c r="B16" s="4">
        <v>43905.0</v>
      </c>
      <c r="C16" s="50">
        <v>1.0</v>
      </c>
      <c r="D16" s="50">
        <v>1.0</v>
      </c>
      <c r="E16" s="50">
        <v>1.0</v>
      </c>
      <c r="F16" s="50">
        <v>1.0</v>
      </c>
      <c r="G16" s="50">
        <v>1.0</v>
      </c>
      <c r="H16" s="50">
        <v>1.0</v>
      </c>
      <c r="I16" s="50">
        <v>1.0</v>
      </c>
      <c r="J16" s="43"/>
      <c r="K16" s="51"/>
    </row>
    <row r="17">
      <c r="A17" s="48" t="s">
        <v>7</v>
      </c>
      <c r="B17" s="4">
        <v>43906.0</v>
      </c>
      <c r="C17" s="50">
        <v>1.0</v>
      </c>
      <c r="D17" s="50">
        <v>1.0</v>
      </c>
      <c r="E17" s="50">
        <v>1.0</v>
      </c>
      <c r="F17" s="50">
        <v>1.0</v>
      </c>
      <c r="G17" s="50">
        <v>1.0</v>
      </c>
      <c r="H17" s="50">
        <v>1.0</v>
      </c>
      <c r="I17" s="50">
        <v>1.0</v>
      </c>
      <c r="J17" s="43"/>
      <c r="K17" s="51"/>
    </row>
    <row r="18">
      <c r="A18" s="48" t="s">
        <v>8</v>
      </c>
      <c r="B18" s="4">
        <v>43907.0</v>
      </c>
      <c r="C18" s="50">
        <v>1.0</v>
      </c>
      <c r="D18" s="50">
        <v>1.0</v>
      </c>
      <c r="E18" s="50">
        <v>1.0</v>
      </c>
      <c r="F18" s="50">
        <v>1.0</v>
      </c>
      <c r="G18" s="50">
        <v>1.0</v>
      </c>
      <c r="H18" s="50">
        <v>1.0</v>
      </c>
      <c r="I18" s="50">
        <v>1.0</v>
      </c>
      <c r="J18" s="43"/>
      <c r="K18" s="51"/>
    </row>
    <row r="19">
      <c r="A19" s="48" t="s">
        <v>9</v>
      </c>
      <c r="B19" s="4">
        <v>43908.0</v>
      </c>
      <c r="C19" s="50">
        <v>1.0</v>
      </c>
      <c r="D19" s="50">
        <v>1.0</v>
      </c>
      <c r="E19" s="50">
        <v>1.0</v>
      </c>
      <c r="F19" s="50">
        <v>1.0</v>
      </c>
      <c r="G19" s="50">
        <v>1.0</v>
      </c>
      <c r="H19" s="50">
        <v>0.0</v>
      </c>
      <c r="I19" s="50">
        <v>1.0</v>
      </c>
      <c r="J19" s="43"/>
      <c r="K19" s="51"/>
    </row>
    <row r="20">
      <c r="A20" s="48" t="s">
        <v>10</v>
      </c>
      <c r="B20" s="4">
        <v>43909.0</v>
      </c>
      <c r="C20" s="53">
        <v>1.0</v>
      </c>
      <c r="D20" s="53">
        <v>1.0</v>
      </c>
      <c r="E20" s="53">
        <v>1.0</v>
      </c>
      <c r="F20" s="53">
        <v>1.0</v>
      </c>
      <c r="G20" s="53">
        <v>1.0</v>
      </c>
      <c r="H20" s="53">
        <v>0.0</v>
      </c>
      <c r="I20" s="53">
        <v>1.0</v>
      </c>
      <c r="J20" s="43"/>
      <c r="K20" s="51"/>
    </row>
    <row r="21">
      <c r="A21" s="54" t="s">
        <v>11</v>
      </c>
      <c r="B21" s="8">
        <v>43910.0</v>
      </c>
      <c r="C21" s="55">
        <v>0.0</v>
      </c>
      <c r="D21" s="55">
        <v>0.0</v>
      </c>
      <c r="E21" s="56">
        <v>0.0</v>
      </c>
      <c r="F21" s="55"/>
      <c r="G21" s="55">
        <v>0.0</v>
      </c>
      <c r="H21" s="55">
        <v>0.0</v>
      </c>
      <c r="I21" s="55">
        <v>0.0</v>
      </c>
      <c r="J21" s="43"/>
      <c r="K21" s="51"/>
    </row>
    <row r="22">
      <c r="A22" s="48" t="s">
        <v>12</v>
      </c>
      <c r="B22" s="4">
        <v>43911.0</v>
      </c>
      <c r="C22" s="53">
        <v>0.0</v>
      </c>
      <c r="D22" s="53">
        <v>1.0</v>
      </c>
      <c r="E22" s="53">
        <v>1.0</v>
      </c>
      <c r="F22" s="53">
        <v>0.0</v>
      </c>
      <c r="G22" s="53">
        <v>1.0</v>
      </c>
      <c r="H22" s="53">
        <v>0.0</v>
      </c>
      <c r="I22" s="53">
        <v>0.0</v>
      </c>
      <c r="J22" s="43"/>
      <c r="K22" s="51"/>
    </row>
    <row r="23">
      <c r="A23" s="48" t="s">
        <v>151</v>
      </c>
      <c r="B23" s="4">
        <v>43912.0</v>
      </c>
      <c r="C23" s="53">
        <v>0.0</v>
      </c>
      <c r="D23" s="53">
        <v>0.0</v>
      </c>
      <c r="E23" s="53">
        <v>0.0</v>
      </c>
      <c r="F23" s="53">
        <v>0.0</v>
      </c>
      <c r="G23" s="53">
        <v>0.0</v>
      </c>
      <c r="H23" s="53">
        <v>0.0</v>
      </c>
      <c r="I23" s="53">
        <v>0.0</v>
      </c>
      <c r="J23" s="43"/>
      <c r="K23" s="51"/>
    </row>
    <row r="24">
      <c r="A24" s="48" t="s">
        <v>7</v>
      </c>
      <c r="B24" s="4">
        <v>43913.0</v>
      </c>
      <c r="C24" s="53">
        <v>0.0</v>
      </c>
      <c r="D24" s="53">
        <v>0.0</v>
      </c>
      <c r="E24" s="53">
        <v>0.0</v>
      </c>
      <c r="F24" s="53">
        <v>0.0</v>
      </c>
      <c r="G24" s="53">
        <v>0.0</v>
      </c>
      <c r="H24" s="53">
        <v>0.0</v>
      </c>
      <c r="I24" s="53">
        <v>0.0</v>
      </c>
      <c r="J24" s="43"/>
      <c r="K24" s="51"/>
    </row>
    <row r="25">
      <c r="A25" s="48" t="s">
        <v>152</v>
      </c>
      <c r="B25" s="4">
        <v>43914.0</v>
      </c>
      <c r="C25" s="53">
        <v>0.0</v>
      </c>
      <c r="D25" s="53">
        <v>0.0</v>
      </c>
      <c r="E25" s="53">
        <v>0.0</v>
      </c>
      <c r="F25" s="53">
        <v>0.0</v>
      </c>
      <c r="G25" s="53">
        <v>0.0</v>
      </c>
      <c r="H25" s="53">
        <v>0.0</v>
      </c>
      <c r="I25" s="53">
        <v>0.0</v>
      </c>
      <c r="J25" s="43"/>
      <c r="K25" s="51"/>
    </row>
    <row r="26">
      <c r="A26" s="48" t="s">
        <v>9</v>
      </c>
      <c r="B26" s="4">
        <v>43915.0</v>
      </c>
      <c r="C26" s="53">
        <v>0.0</v>
      </c>
      <c r="D26" s="53">
        <v>0.0</v>
      </c>
      <c r="E26" s="53">
        <v>0.0</v>
      </c>
      <c r="F26" s="53">
        <v>0.0</v>
      </c>
      <c r="G26" s="53">
        <v>0.0</v>
      </c>
      <c r="H26" s="53">
        <v>0.0</v>
      </c>
      <c r="I26" s="53">
        <v>0.0</v>
      </c>
      <c r="J26" s="43"/>
      <c r="K26" s="51"/>
    </row>
    <row r="27">
      <c r="A27" s="48" t="s">
        <v>10</v>
      </c>
      <c r="B27" s="4">
        <v>43916.0</v>
      </c>
      <c r="C27" s="53">
        <v>0.0</v>
      </c>
      <c r="D27" s="53">
        <v>0.0</v>
      </c>
      <c r="E27" s="53">
        <v>0.0</v>
      </c>
      <c r="F27" s="53">
        <v>0.0</v>
      </c>
      <c r="G27" s="53">
        <v>0.0</v>
      </c>
      <c r="H27" s="53">
        <v>0.0</v>
      </c>
      <c r="I27" s="53">
        <v>0.0</v>
      </c>
      <c r="J27" s="43"/>
      <c r="K27" s="51"/>
    </row>
    <row r="28">
      <c r="A28" s="54" t="s">
        <v>11</v>
      </c>
      <c r="B28" s="8">
        <v>43917.0</v>
      </c>
      <c r="C28" s="57">
        <v>0.0</v>
      </c>
      <c r="D28" s="58">
        <v>0.0</v>
      </c>
      <c r="E28" s="57">
        <v>0.0</v>
      </c>
      <c r="F28" s="59">
        <v>0.0</v>
      </c>
      <c r="G28" s="57">
        <v>0.0</v>
      </c>
      <c r="H28" s="57">
        <v>0.0</v>
      </c>
      <c r="I28" s="57">
        <v>0.0</v>
      </c>
      <c r="J28" s="43"/>
      <c r="K28" s="51"/>
    </row>
    <row r="29">
      <c r="A29" s="3" t="s">
        <v>12</v>
      </c>
      <c r="B29" s="4">
        <v>43918.0</v>
      </c>
      <c r="C29" s="53">
        <v>0.0</v>
      </c>
      <c r="D29" s="53">
        <v>0.0</v>
      </c>
      <c r="E29" s="53">
        <v>0.0</v>
      </c>
      <c r="F29" s="53">
        <v>0.0</v>
      </c>
      <c r="G29" s="53">
        <v>0.0</v>
      </c>
      <c r="H29" s="53">
        <v>0.0</v>
      </c>
      <c r="I29" s="53">
        <v>0.0</v>
      </c>
      <c r="J29" s="43"/>
      <c r="K29" s="51"/>
    </row>
    <row r="30">
      <c r="A30" s="3" t="s">
        <v>6</v>
      </c>
      <c r="B30" s="4">
        <v>43919.0</v>
      </c>
      <c r="C30" s="53">
        <v>0.0</v>
      </c>
      <c r="D30" s="53">
        <v>0.0</v>
      </c>
      <c r="E30" s="53">
        <v>0.0</v>
      </c>
      <c r="F30" s="53">
        <v>0.0</v>
      </c>
      <c r="G30" s="53">
        <v>0.0</v>
      </c>
      <c r="H30" s="53">
        <v>0.0</v>
      </c>
      <c r="I30" s="53">
        <v>0.0</v>
      </c>
      <c r="J30" s="43"/>
      <c r="K30" s="51"/>
    </row>
    <row r="31">
      <c r="A31" s="3" t="s">
        <v>7</v>
      </c>
      <c r="B31" s="4">
        <v>43920.0</v>
      </c>
      <c r="C31" s="53">
        <v>0.0</v>
      </c>
      <c r="D31" s="53">
        <v>0.0</v>
      </c>
      <c r="E31" s="53">
        <v>0.0</v>
      </c>
      <c r="F31" s="53">
        <v>0.0</v>
      </c>
      <c r="G31" s="53">
        <v>0.0</v>
      </c>
      <c r="H31" s="53">
        <v>0.0</v>
      </c>
      <c r="I31" s="53">
        <v>0.0</v>
      </c>
      <c r="J31" s="43"/>
      <c r="K31" s="51"/>
    </row>
    <row r="32">
      <c r="A32" s="3" t="s">
        <v>8</v>
      </c>
      <c r="B32" s="4">
        <v>43921.0</v>
      </c>
      <c r="C32" s="53">
        <v>0.0</v>
      </c>
      <c r="D32" s="53">
        <v>0.0</v>
      </c>
      <c r="E32" s="53">
        <v>0.0</v>
      </c>
      <c r="F32" s="53">
        <v>0.0</v>
      </c>
      <c r="G32" s="53">
        <v>0.0</v>
      </c>
      <c r="H32" s="53">
        <v>0.0</v>
      </c>
      <c r="I32" s="53">
        <v>0.0</v>
      </c>
      <c r="J32" s="43"/>
      <c r="K32" s="51"/>
    </row>
    <row r="33">
      <c r="A33" s="43"/>
      <c r="B33" s="60" t="s">
        <v>19</v>
      </c>
      <c r="C33" s="61">
        <f t="shared" ref="C33:I33" si="1">SUM(C2:C32)</f>
        <v>15</v>
      </c>
      <c r="D33" s="61">
        <f t="shared" si="1"/>
        <v>18</v>
      </c>
      <c r="E33" s="61">
        <f t="shared" si="1"/>
        <v>19</v>
      </c>
      <c r="F33" s="61">
        <f t="shared" si="1"/>
        <v>7</v>
      </c>
      <c r="G33" s="61">
        <f t="shared" si="1"/>
        <v>18</v>
      </c>
      <c r="H33" s="61">
        <f t="shared" si="1"/>
        <v>13</v>
      </c>
      <c r="I33" s="61">
        <f t="shared" si="1"/>
        <v>19</v>
      </c>
      <c r="J33" s="51"/>
      <c r="K33" s="51"/>
    </row>
    <row r="34">
      <c r="A34" s="43"/>
      <c r="B34" s="62" t="s">
        <v>153</v>
      </c>
      <c r="C34" s="63">
        <v>2000.0</v>
      </c>
      <c r="D34" s="63">
        <v>1200.0</v>
      </c>
      <c r="E34" s="64">
        <v>480.0</v>
      </c>
      <c r="F34" s="64">
        <v>1000.0</v>
      </c>
      <c r="G34" s="63">
        <v>1000.0</v>
      </c>
      <c r="H34" s="63">
        <v>1000.0</v>
      </c>
      <c r="I34" s="63">
        <v>1200.0</v>
      </c>
      <c r="J34" s="65">
        <f t="shared" ref="J34:J35" si="3">SUM(C34:I34)</f>
        <v>7880</v>
      </c>
      <c r="K34" s="51"/>
    </row>
    <row r="35">
      <c r="A35" s="43"/>
      <c r="B35" s="66" t="s">
        <v>154</v>
      </c>
      <c r="C35" s="67">
        <f>C33*C34</f>
        <v>30000</v>
      </c>
      <c r="D35" s="67">
        <f t="shared" ref="D35:H35" si="2">D34*D33</f>
        <v>21600</v>
      </c>
      <c r="E35" s="67">
        <f t="shared" si="2"/>
        <v>9120</v>
      </c>
      <c r="F35" s="67">
        <f t="shared" si="2"/>
        <v>7000</v>
      </c>
      <c r="G35" s="67">
        <f t="shared" si="2"/>
        <v>18000</v>
      </c>
      <c r="H35" s="67">
        <f t="shared" si="2"/>
        <v>13000</v>
      </c>
      <c r="I35" s="67">
        <f>I33*I34</f>
        <v>22800</v>
      </c>
      <c r="J35" s="40">
        <f t="shared" si="3"/>
        <v>121520</v>
      </c>
      <c r="K35" s="6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.88"/>
    <col customWidth="1" min="8" max="8" width="29.88"/>
    <col customWidth="1" min="9" max="9" width="22.5"/>
  </cols>
  <sheetData>
    <row r="11">
      <c r="F11" s="69"/>
      <c r="G11" s="70" t="s">
        <v>155</v>
      </c>
      <c r="H11" s="70" t="s">
        <v>3</v>
      </c>
      <c r="I11" s="70" t="s">
        <v>156</v>
      </c>
    </row>
    <row r="12">
      <c r="F12" s="38">
        <v>1.0</v>
      </c>
      <c r="G12" s="37" t="s">
        <v>142</v>
      </c>
      <c r="H12" s="71">
        <f>Pointage!C35*1</f>
        <v>30000</v>
      </c>
      <c r="I12" s="71"/>
    </row>
    <row r="13">
      <c r="F13" s="38">
        <v>2.0</v>
      </c>
      <c r="G13" s="33" t="s">
        <v>157</v>
      </c>
      <c r="H13" s="71">
        <f>Pointage!E35*1</f>
        <v>9120</v>
      </c>
      <c r="I13" s="72">
        <v>10000.0</v>
      </c>
    </row>
    <row r="14">
      <c r="F14" s="38">
        <v>3.0</v>
      </c>
      <c r="G14" s="37" t="s">
        <v>147</v>
      </c>
      <c r="H14" s="71">
        <f>Pointage!H35*1</f>
        <v>13000</v>
      </c>
      <c r="I14" s="72">
        <v>13000.0</v>
      </c>
    </row>
    <row r="15">
      <c r="F15" s="38">
        <v>4.0</v>
      </c>
      <c r="G15" s="37" t="s">
        <v>158</v>
      </c>
      <c r="H15" s="71">
        <f>Pointage!G35*1</f>
        <v>18000</v>
      </c>
      <c r="I15" s="71"/>
    </row>
    <row r="16">
      <c r="F16" s="32">
        <v>5.0</v>
      </c>
      <c r="G16" s="37" t="s">
        <v>143</v>
      </c>
      <c r="H16" s="71">
        <f>Pointage!D35*1</f>
        <v>21600</v>
      </c>
      <c r="I16" s="72">
        <v>21000.0</v>
      </c>
    </row>
    <row r="17">
      <c r="F17" s="32">
        <v>6.0</v>
      </c>
      <c r="G17" s="33" t="s">
        <v>145</v>
      </c>
      <c r="H17" s="71">
        <f>Pointage!F35*1</f>
        <v>7000</v>
      </c>
      <c r="I17" s="72">
        <v>7000.0</v>
      </c>
    </row>
    <row r="18">
      <c r="F18" s="32">
        <v>7.0</v>
      </c>
      <c r="G18" s="37" t="s">
        <v>148</v>
      </c>
      <c r="H18" s="71">
        <f>Pointage!I35*1</f>
        <v>22800</v>
      </c>
      <c r="I18" s="71"/>
    </row>
    <row r="19">
      <c r="F19" s="73"/>
      <c r="G19" s="74" t="s">
        <v>19</v>
      </c>
      <c r="H19" s="75">
        <f t="shared" ref="H19:I19" si="1">SUM(H12:H18)</f>
        <v>121520</v>
      </c>
      <c r="I19" s="76">
        <f t="shared" si="1"/>
        <v>51000</v>
      </c>
    </row>
    <row r="20">
      <c r="F20" s="73"/>
      <c r="G20" s="77"/>
      <c r="H20" s="78">
        <f>H19-I19</f>
        <v>70520</v>
      </c>
      <c r="I20" s="51"/>
    </row>
    <row r="21">
      <c r="F21" s="51"/>
      <c r="G21" s="51"/>
      <c r="H21" s="51"/>
      <c r="I21" s="51"/>
    </row>
    <row r="22">
      <c r="F22" s="51"/>
      <c r="G22" s="51"/>
      <c r="H22" s="51"/>
      <c r="I22" s="51"/>
    </row>
  </sheetData>
  <drawing r:id="rId1"/>
</worksheet>
</file>