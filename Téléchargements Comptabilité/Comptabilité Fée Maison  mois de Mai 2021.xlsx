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 " sheetId="3" r:id="rId6"/>
    <sheet state="visible" name="salaire " sheetId="4" r:id="rId7"/>
  </sheets>
  <definedNames/>
  <calcPr/>
</workbook>
</file>

<file path=xl/sharedStrings.xml><?xml version="1.0" encoding="utf-8"?>
<sst xmlns="http://schemas.openxmlformats.org/spreadsheetml/2006/main" count="505" uniqueCount="259">
  <si>
    <t>Date</t>
  </si>
  <si>
    <t>Recette  de Mars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</si>
  <si>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</si>
  <si>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</si>
  <si>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</si>
  <si>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</si>
  <si>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</si>
  <si>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</si>
  <si>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</si>
  <si>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Avril</t>
  </si>
  <si>
    <t xml:space="preserve">Moyenne </t>
  </si>
  <si>
    <t>Samedi</t>
  </si>
  <si>
    <t>dimanche</t>
  </si>
  <si>
    <t>lundi</t>
  </si>
  <si>
    <t>mardi</t>
  </si>
  <si>
    <t>mercredi</t>
  </si>
  <si>
    <t>jeudi</t>
  </si>
  <si>
    <t>vendredi</t>
  </si>
  <si>
    <t>samedi</t>
  </si>
  <si>
    <t xml:space="preserve">Cash restant </t>
  </si>
  <si>
    <t>Magasin</t>
  </si>
  <si>
    <t>Différence mois de Mars</t>
  </si>
  <si>
    <t xml:space="preserve">Différence objectif </t>
  </si>
  <si>
    <t xml:space="preserve">caisse </t>
  </si>
  <si>
    <t>.</t>
  </si>
  <si>
    <t>Mois d'Avril</t>
  </si>
  <si>
    <t>Produit</t>
  </si>
  <si>
    <t>Quantité</t>
  </si>
  <si>
    <t xml:space="preserve">Prix unitaire </t>
  </si>
  <si>
    <t>Prix</t>
  </si>
  <si>
    <t>Date d'achat</t>
  </si>
  <si>
    <t>Amandes</t>
  </si>
  <si>
    <t>5kg</t>
  </si>
  <si>
    <t>arachides</t>
  </si>
  <si>
    <t>1kg</t>
  </si>
  <si>
    <t>Arachdes éfilet</t>
  </si>
  <si>
    <t>Amandes éfilet</t>
  </si>
  <si>
    <t>500g</t>
  </si>
  <si>
    <t>pistache</t>
  </si>
  <si>
    <t>250g</t>
  </si>
  <si>
    <t>les quissetes num 10</t>
  </si>
  <si>
    <t>margarine fleurial 500g</t>
  </si>
  <si>
    <t>5 cartons</t>
  </si>
  <si>
    <t>ka3ek nakach</t>
  </si>
  <si>
    <t xml:space="preserve">boites de sauce </t>
  </si>
  <si>
    <t xml:space="preserve">1 fardeau </t>
  </si>
  <si>
    <t>les moules</t>
  </si>
  <si>
    <t>torchons</t>
  </si>
  <si>
    <t>3m</t>
  </si>
  <si>
    <t>les gants</t>
  </si>
  <si>
    <t>amandes</t>
  </si>
  <si>
    <t>storm</t>
  </si>
  <si>
    <t>9aleb elouz</t>
  </si>
  <si>
    <t>barquettes</t>
  </si>
  <si>
    <t xml:space="preserve">sachets transparets </t>
  </si>
  <si>
    <t xml:space="preserve">pistache </t>
  </si>
  <si>
    <t>/</t>
  </si>
  <si>
    <t>Farine Sim 1kg</t>
  </si>
  <si>
    <t>11 fardeaux</t>
  </si>
  <si>
    <t xml:space="preserve">pate feuilltée </t>
  </si>
  <si>
    <t>4kg</t>
  </si>
  <si>
    <t xml:space="preserve">yaourt Nature </t>
  </si>
  <si>
    <t>Semoule Baraka 10kg</t>
  </si>
  <si>
    <t>Semoule moyenne Sim 2kg</t>
  </si>
  <si>
    <t>3 fardeaux</t>
  </si>
  <si>
    <t>sac croissant 23</t>
  </si>
  <si>
    <t>semoule Mama fine 2kg</t>
  </si>
  <si>
    <t xml:space="preserve">Fromage blanc bèrbrre </t>
  </si>
  <si>
    <t xml:space="preserve">fromage spéciale pizza </t>
  </si>
  <si>
    <t>10kg</t>
  </si>
  <si>
    <t xml:space="preserve">Sucre glace </t>
  </si>
  <si>
    <t>24kg</t>
  </si>
  <si>
    <t xml:space="preserve">Huile Elio de 5 litres </t>
  </si>
  <si>
    <t>Miel Mordjan 5kg</t>
  </si>
  <si>
    <t xml:space="preserve">06 Bidons </t>
  </si>
  <si>
    <t>Semen Madina 1.8kg</t>
  </si>
  <si>
    <t xml:space="preserve">5 boites </t>
  </si>
  <si>
    <t>boites 12/07</t>
  </si>
  <si>
    <t>5 fardeaux de 50</t>
  </si>
  <si>
    <t xml:space="preserve">Maa Zehar cartons de 12 bouteilles </t>
  </si>
  <si>
    <t>2*12</t>
  </si>
  <si>
    <t xml:space="preserve">sucre </t>
  </si>
  <si>
    <t>2 sachets de 25kg</t>
  </si>
  <si>
    <t>Poulet haché</t>
  </si>
  <si>
    <t>2kg</t>
  </si>
  <si>
    <t>viande hachée</t>
  </si>
  <si>
    <t>deyoul</t>
  </si>
  <si>
    <t>9etayef</t>
  </si>
  <si>
    <t>crème liquide Soummam</t>
  </si>
  <si>
    <t>elgheress</t>
  </si>
  <si>
    <t xml:space="preserve">semoule mama fine   </t>
  </si>
  <si>
    <t xml:space="preserve">mayonaise </t>
  </si>
  <si>
    <t>bessel</t>
  </si>
  <si>
    <t>6kg</t>
  </si>
  <si>
    <t>salade</t>
  </si>
  <si>
    <t>oeufs</t>
  </si>
  <si>
    <t>herbes</t>
  </si>
  <si>
    <t>barquettes 1185</t>
  </si>
  <si>
    <t>sachets 5kg blanc</t>
  </si>
  <si>
    <t xml:space="preserve">moules  en sélécone </t>
  </si>
  <si>
    <t>eau de1.5l</t>
  </si>
  <si>
    <t xml:space="preserve">fromage </t>
  </si>
  <si>
    <t xml:space="preserve">deyoul </t>
  </si>
  <si>
    <t xml:space="preserve">viande hachée </t>
  </si>
  <si>
    <t>poulet haché</t>
  </si>
  <si>
    <t xml:space="preserve">3ina séchée </t>
  </si>
  <si>
    <t>abricot  séché</t>
  </si>
  <si>
    <t xml:space="preserve">beure </t>
  </si>
  <si>
    <t xml:space="preserve">amandes blanc </t>
  </si>
  <si>
    <t>maizina</t>
  </si>
  <si>
    <t xml:space="preserve">lait en poudre </t>
  </si>
  <si>
    <t xml:space="preserve">levure de bièrre </t>
  </si>
  <si>
    <t>10 de 500g</t>
  </si>
  <si>
    <t xml:space="preserve">colorant rouge </t>
  </si>
  <si>
    <t>feuille d'or</t>
  </si>
  <si>
    <t>choco DADA</t>
  </si>
  <si>
    <t>boite s08/07</t>
  </si>
  <si>
    <t xml:space="preserve">1 carton </t>
  </si>
  <si>
    <t>lavsol</t>
  </si>
  <si>
    <t>5 fardeaux</t>
  </si>
  <si>
    <t>cheezy</t>
  </si>
  <si>
    <t xml:space="preserve">1 carton de 30 paquets </t>
  </si>
  <si>
    <t>isis</t>
  </si>
  <si>
    <t xml:space="preserve">4 bidons de 3 litres </t>
  </si>
  <si>
    <t>Tofia</t>
  </si>
  <si>
    <t>04/052021</t>
  </si>
  <si>
    <t xml:space="preserve">viande </t>
  </si>
  <si>
    <t>4 morceaux</t>
  </si>
  <si>
    <t>courgette carrote navet poivre bessel</t>
  </si>
  <si>
    <t>1+1+1+1+3</t>
  </si>
  <si>
    <t>cuisses poulet</t>
  </si>
  <si>
    <t xml:space="preserve">herebes </t>
  </si>
  <si>
    <t>semoule Mama 2kg</t>
  </si>
  <si>
    <t>olive</t>
  </si>
  <si>
    <t>thon</t>
  </si>
  <si>
    <t>cousscouss</t>
  </si>
  <si>
    <t>tomate</t>
  </si>
  <si>
    <t>transport</t>
  </si>
  <si>
    <t xml:space="preserve">poivre </t>
  </si>
  <si>
    <t xml:space="preserve">zitoun </t>
  </si>
  <si>
    <t>viande ha</t>
  </si>
  <si>
    <t xml:space="preserve">recheta </t>
  </si>
  <si>
    <t>20kg</t>
  </si>
  <si>
    <t>3kg</t>
  </si>
  <si>
    <t xml:space="preserve">djelebana </t>
  </si>
  <si>
    <t xml:space="preserve">olive </t>
  </si>
  <si>
    <t>huile d'olive</t>
  </si>
  <si>
    <t xml:space="preserve">lait   </t>
  </si>
  <si>
    <t>semoule mama fine 2kg</t>
  </si>
  <si>
    <t>semoule mama 2kg</t>
  </si>
  <si>
    <t>semoule mama</t>
  </si>
  <si>
    <t>16kg</t>
  </si>
  <si>
    <t>Semoule mama fine 25kg</t>
  </si>
  <si>
    <t xml:space="preserve">3ina </t>
  </si>
  <si>
    <t xml:space="preserve">mechemach </t>
  </si>
  <si>
    <t xml:space="preserve">bessel et herbes </t>
  </si>
  <si>
    <t>058/05/2021</t>
  </si>
  <si>
    <t>viande</t>
  </si>
  <si>
    <t xml:space="preserve">rechta </t>
  </si>
  <si>
    <t>50kg</t>
  </si>
  <si>
    <t>mais</t>
  </si>
  <si>
    <t xml:space="preserve">oeufs </t>
  </si>
  <si>
    <t>3 plateaux</t>
  </si>
  <si>
    <t>épice+3ina et abricot+zebib</t>
  </si>
  <si>
    <t>légumes</t>
  </si>
  <si>
    <t>boites, spatule et quissettes</t>
  </si>
  <si>
    <t xml:space="preserve">chocolat+fromage +mayonaise </t>
  </si>
  <si>
    <t>4+2+1+1</t>
  </si>
  <si>
    <t xml:space="preserve">semoule mama 25kg fine </t>
  </si>
  <si>
    <t>sifou livraison</t>
  </si>
  <si>
    <t>11/*05/2021</t>
  </si>
  <si>
    <t>Billel</t>
  </si>
  <si>
    <t>Saida 9etayef et beniwen</t>
  </si>
  <si>
    <t xml:space="preserve">Rechta Slimane </t>
  </si>
  <si>
    <t>10et11/05/2021</t>
  </si>
  <si>
    <t>20/05/2021 payés</t>
  </si>
  <si>
    <t xml:space="preserve">poulet haché Slimane boucherie </t>
  </si>
  <si>
    <t>10 et 11/05/2021</t>
  </si>
  <si>
    <t>amande</t>
  </si>
  <si>
    <t xml:space="preserve">11/05/2021farine </t>
  </si>
  <si>
    <t>3 fardeaux de 9kg</t>
  </si>
  <si>
    <t>2 gartons de 4 boites</t>
  </si>
  <si>
    <t>choco Dada</t>
  </si>
  <si>
    <t>djeldjelan</t>
  </si>
  <si>
    <t>cerise</t>
  </si>
  <si>
    <t>boites 36/07</t>
  </si>
  <si>
    <t>2 cartons</t>
  </si>
  <si>
    <t xml:space="preserve">sachets de congélation </t>
  </si>
  <si>
    <t>transport rechta et huile papa</t>
  </si>
  <si>
    <t>transport zehor</t>
  </si>
  <si>
    <t xml:space="preserve">huile 2 litres </t>
  </si>
  <si>
    <t xml:space="preserve">farine sans glutaine </t>
  </si>
  <si>
    <t xml:space="preserve">Poulet haché  </t>
  </si>
  <si>
    <t xml:space="preserve">cème fraiche </t>
  </si>
  <si>
    <t xml:space="preserve">supérette </t>
  </si>
  <si>
    <t xml:space="preserve">yaourt nature et fromage </t>
  </si>
  <si>
    <t>200kg</t>
  </si>
  <si>
    <t xml:space="preserve">amandes + livraison </t>
  </si>
  <si>
    <t xml:space="preserve">sucre glace </t>
  </si>
  <si>
    <t xml:space="preserve">amandes </t>
  </si>
  <si>
    <t>5.3kg</t>
  </si>
  <si>
    <t xml:space="preserve">moules dezryates </t>
  </si>
  <si>
    <t xml:space="preserve">dentelle </t>
  </si>
  <si>
    <t xml:space="preserve">chocolat   </t>
  </si>
  <si>
    <t>100kg</t>
  </si>
  <si>
    <t xml:space="preserve">herebes + salade </t>
  </si>
  <si>
    <t>9+2</t>
  </si>
  <si>
    <t>20+100</t>
  </si>
  <si>
    <t>12.5kg</t>
  </si>
  <si>
    <t>3 morceaux</t>
  </si>
  <si>
    <t xml:space="preserve">blanc de poulet </t>
  </si>
  <si>
    <t xml:space="preserve">batonnets </t>
  </si>
  <si>
    <t xml:space="preserve">1 boite </t>
  </si>
  <si>
    <t xml:space="preserve">maa zehar  </t>
  </si>
  <si>
    <t>yaourt danone</t>
  </si>
  <si>
    <t>oeuf</t>
  </si>
  <si>
    <t>1plateau</t>
  </si>
  <si>
    <t xml:space="preserve">Rafik Boissons </t>
  </si>
  <si>
    <t>ketayef</t>
  </si>
  <si>
    <t xml:space="preserve">poivre , tomate , herbes </t>
  </si>
  <si>
    <t>4 plateaux</t>
  </si>
  <si>
    <t>dentelle , boules de décoration , noeux</t>
  </si>
  <si>
    <t xml:space="preserve">thym </t>
  </si>
  <si>
    <t>rechta</t>
  </si>
  <si>
    <t xml:space="preserve">poulet </t>
  </si>
  <si>
    <t xml:space="preserve">ka3ek nakach </t>
  </si>
  <si>
    <t xml:space="preserve">viande et poulet </t>
  </si>
  <si>
    <t xml:space="preserve">10 jours </t>
  </si>
  <si>
    <t xml:space="preserve">salade </t>
  </si>
  <si>
    <t xml:space="preserve">zehor transport </t>
  </si>
  <si>
    <t xml:space="preserve">charges Mohamed </t>
  </si>
  <si>
    <t>TOTALE</t>
  </si>
  <si>
    <t xml:space="preserve">Somme initiale </t>
  </si>
  <si>
    <t>Rest</t>
  </si>
  <si>
    <t>Zehor</t>
  </si>
  <si>
    <t xml:space="preserve">Saida </t>
  </si>
  <si>
    <t xml:space="preserve">Nadjet </t>
  </si>
  <si>
    <t>Hadjer</t>
  </si>
  <si>
    <t>Amel</t>
  </si>
  <si>
    <t>Soumia</t>
  </si>
  <si>
    <t>Hafida</t>
  </si>
  <si>
    <t>Fatiha</t>
  </si>
  <si>
    <t>Wahiba</t>
  </si>
  <si>
    <t>Zahida</t>
  </si>
  <si>
    <t>Remarque</t>
  </si>
  <si>
    <t xml:space="preserve">3awenet hadjer fe chakhechoukha </t>
  </si>
  <si>
    <t>zahida a bossé la nuit</t>
  </si>
  <si>
    <t xml:space="preserve">-1/2 pour zehor a cause de la commande du père de Amine 36 messemen et 3 paquets chakhechoukha </t>
  </si>
  <si>
    <t xml:space="preserve">-1/2 pour Hafida pour les 2 paquets de chakhechoukha perdus </t>
  </si>
  <si>
    <t>Lundi</t>
  </si>
  <si>
    <t>h</t>
  </si>
  <si>
    <t xml:space="preserve">Nom </t>
  </si>
  <si>
    <t>Avance</t>
  </si>
  <si>
    <t>Saida</t>
  </si>
  <si>
    <t>Nadjet</t>
  </si>
  <si>
    <t>5000+2000+1000+5000</t>
  </si>
  <si>
    <t>wahiba</t>
  </si>
  <si>
    <t>10000+2000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</si>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</sst>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1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b/>
      <sz val="14.0"/>
      <color theme="1"/>
      <name val="Arial"/>
    </font>
    <font>
      <b/>
      <sz val="12.0"/>
      <color rgb="FFFF0000"/>
      <name val="Arial"/>
    </font>
    <font>
      <b/>
      <sz val="12.0"/>
      <color rgb="FFFFFF00"/>
      <name val="Arial"/>
    </font>
    <font>
      <sz val="14.0"/>
      <color theme="1"/>
      <name val="Arial"/>
    </font>
    <font>
      <sz val="14.0"/>
      <color rgb="FF000000"/>
      <name val="Arial"/>
    </font>
    <font>
      <b/>
      <sz val="18.0"/>
      <color theme="1"/>
      <name val="Arial"/>
    </font>
    <font>
      <color theme="1"/>
      <name val="Arial"/>
      <scheme val="minor"/>
    </font>
    <font>
      <b/>
      <sz val="14.0"/>
      <color rgb="FFFF0000"/>
      <name val="Arial"/>
    </font>
    <font>
      <b/>
      <sz val="12.0"/>
      <color rgb="FF0000FF"/>
      <name val="Arial"/>
    </font>
    <font>
      <sz val="12.0"/>
      <color rgb="FF000000"/>
      <name val="Arial"/>
    </font>
    <font>
      <sz val="14.0"/>
      <color rgb="FF434343"/>
      <name val="Arial"/>
    </font>
    <font>
      <b/>
      <sz val="14.0"/>
      <color rgb="FF1C4587"/>
      <name val="Arial"/>
    </font>
    <font>
      <sz val="1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3" fillId="3" fontId="4" numFmtId="0" xfId="0" applyAlignment="1" applyBorder="1" applyFont="1">
      <alignment horizontal="center" vertical="bottom"/>
    </xf>
    <xf borderId="1" fillId="5" fontId="1" numFmtId="0" xfId="0" applyAlignment="1" applyBorder="1" applyFill="1" applyFont="1">
      <alignment horizontal="center" readingOrder="0" vertical="bottom"/>
    </xf>
    <xf borderId="1" fillId="5" fontId="2" numFmtId="164" xfId="0" applyAlignment="1" applyBorder="1" applyFont="1" applyNumberFormat="1">
      <alignment horizontal="center" readingOrder="0" vertical="bottom"/>
    </xf>
    <xf borderId="1" fillId="5" fontId="2" numFmtId="165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vertical="bottom"/>
    </xf>
    <xf borderId="1" fillId="5" fontId="2" numFmtId="0" xfId="0" applyAlignment="1" applyBorder="1" applyFont="1">
      <alignment horizontal="center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0" fillId="5" fontId="2" numFmtId="165" xfId="0" applyAlignment="1" applyFont="1" applyNumberFormat="1">
      <alignment horizontal="center" vertical="bottom"/>
    </xf>
    <xf borderId="3" fillId="4" fontId="4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vertical="bottom"/>
    </xf>
    <xf borderId="3" fillId="6" fontId="4" numFmtId="165" xfId="0" applyAlignment="1" applyBorder="1" applyFill="1" applyFont="1" applyNumberFormat="1">
      <alignment horizontal="center" readingOrder="0" vertical="bottom"/>
    </xf>
    <xf borderId="1" fillId="6" fontId="1" numFmtId="0" xfId="0" applyAlignment="1" applyBorder="1" applyFont="1">
      <alignment horizontal="center" readingOrder="0" vertical="bottom"/>
    </xf>
    <xf borderId="1" fillId="6" fontId="2" numFmtId="164" xfId="0" applyAlignment="1" applyBorder="1" applyFont="1" applyNumberFormat="1">
      <alignment horizontal="center" readingOrder="0" vertical="bottom"/>
    </xf>
    <xf borderId="1" fillId="6" fontId="2" numFmtId="165" xfId="0" applyAlignment="1" applyBorder="1" applyFont="1" applyNumberFormat="1">
      <alignment horizontal="center" readingOrder="0" vertical="bottom"/>
    </xf>
    <xf borderId="1" fillId="6" fontId="3" numFmtId="0" xfId="0" applyAlignment="1" applyBorder="1" applyFont="1">
      <alignment vertical="bottom"/>
    </xf>
    <xf borderId="1" fillId="6" fontId="2" numFmtId="0" xfId="0" applyAlignment="1" applyBorder="1" applyFont="1">
      <alignment horizontal="center" readingOrder="0" vertical="bottom"/>
    </xf>
    <xf borderId="1" fillId="4" fontId="2" numFmtId="165" xfId="0" applyAlignment="1" applyBorder="1" applyFont="1" applyNumberFormat="1">
      <alignment horizontal="center" readingOrder="0" vertical="bottom"/>
    </xf>
    <xf borderId="1" fillId="7" fontId="4" numFmtId="0" xfId="0" applyAlignment="1" applyBorder="1" applyFill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1" fillId="6" fontId="4" numFmtId="165" xfId="0" applyAlignment="1" applyBorder="1" applyFont="1" applyNumberFormat="1">
      <alignment horizontal="center" vertical="bottom"/>
    </xf>
    <xf borderId="1" fillId="4" fontId="4" numFmtId="165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vertical="bottom"/>
    </xf>
    <xf borderId="1" fillId="8" fontId="6" numFmtId="0" xfId="0" applyAlignment="1" applyBorder="1" applyFill="1" applyFont="1">
      <alignment horizontal="center" vertical="bottom"/>
    </xf>
    <xf borderId="1" fillId="9" fontId="2" numFmtId="165" xfId="0" applyAlignment="1" applyBorder="1" applyFill="1" applyFont="1" applyNumberForma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readingOrder="0" vertical="bottom"/>
    </xf>
    <xf borderId="5" fillId="5" fontId="2" numFmtId="165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4" fontId="1" numFmtId="165" xfId="0" applyAlignment="1" applyBorder="1" applyFont="1" applyNumberFormat="1">
      <alignment horizontal="center" vertical="bottom"/>
    </xf>
    <xf borderId="1" fillId="6" fontId="1" numFmtId="165" xfId="0" applyAlignment="1" applyBorder="1" applyFont="1" applyNumberFormat="1">
      <alignment horizontal="center" vertical="bottom"/>
    </xf>
    <xf borderId="1" fillId="8" fontId="1" numFmtId="165" xfId="0" applyAlignment="1" applyBorder="1" applyFont="1" applyNumberFormat="1">
      <alignment horizontal="center" vertical="bottom"/>
    </xf>
    <xf borderId="1" fillId="10" fontId="1" numFmtId="165" xfId="0" applyAlignment="1" applyBorder="1" applyFill="1" applyFont="1" applyNumberFormat="1">
      <alignment horizontal="center" vertical="bottom"/>
    </xf>
    <xf borderId="1" fillId="7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4" fontId="2" numFmtId="165" xfId="0" applyAlignment="1" applyBorder="1" applyFont="1" applyNumberFormat="1">
      <alignment horizontal="right" vertical="bottom"/>
    </xf>
    <xf borderId="1" fillId="6" fontId="2" numFmtId="165" xfId="0" applyAlignment="1" applyBorder="1" applyFont="1" applyNumberFormat="1">
      <alignment horizontal="center" vertical="bottom"/>
    </xf>
    <xf borderId="0" fillId="0" fontId="7" numFmtId="0" xfId="0" applyAlignment="1" applyFont="1">
      <alignment horizontal="right" vertical="bottom"/>
    </xf>
    <xf borderId="0" fillId="5" fontId="8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7" numFmtId="0" xfId="0" applyAlignment="1" applyFont="1">
      <alignment horizontal="center" readingOrder="0" vertical="bottom"/>
    </xf>
    <xf borderId="1" fillId="8" fontId="2" numFmtId="165" xfId="0" applyAlignment="1" applyBorder="1" applyFont="1" applyNumberFormat="1">
      <alignment horizontal="center" readingOrder="0" vertical="bottom"/>
    </xf>
    <xf borderId="1" fillId="10" fontId="2" numFmtId="165" xfId="0" applyAlignment="1" applyBorder="1" applyFont="1" applyNumberFormat="1">
      <alignment horizontal="center" readingOrder="0" vertical="bottom"/>
    </xf>
    <xf borderId="1" fillId="7" fontId="2" numFmtId="165" xfId="0" applyAlignment="1" applyBorder="1" applyFont="1" applyNumberFormat="1">
      <alignment horizontal="center" vertical="bottom"/>
    </xf>
    <xf borderId="0" fillId="6" fontId="9" numFmtId="0" xfId="0" applyAlignment="1" applyFont="1">
      <alignment horizontal="center" vertical="bottom"/>
    </xf>
    <xf borderId="1" fillId="6" fontId="9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165" xfId="0" applyAlignment="1" applyBorder="1" applyFont="1" applyNumberFormat="1">
      <alignment horizontal="center" readingOrder="0" vertical="bottom"/>
    </xf>
    <xf borderId="1" fillId="0" fontId="7" numFmtId="164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horizontal="center" vertical="bottom"/>
    </xf>
    <xf borderId="1" fillId="5" fontId="7" numFmtId="0" xfId="0" applyAlignment="1" applyBorder="1" applyFont="1">
      <alignment horizontal="center" vertical="bottom"/>
    </xf>
    <xf borderId="0" fillId="0" fontId="10" numFmtId="0" xfId="0" applyAlignment="1" applyFont="1">
      <alignment readingOrder="0"/>
    </xf>
    <xf borderId="0" fillId="5" fontId="8" numFmtId="164" xfId="0" applyAlignment="1" applyFont="1" applyNumberFormat="1">
      <alignment horizontal="center" readingOrder="0"/>
    </xf>
    <xf borderId="1" fillId="7" fontId="7" numFmtId="0" xfId="0" applyAlignment="1" applyBorder="1" applyFont="1">
      <alignment horizontal="center" readingOrder="0" vertical="bottom"/>
    </xf>
    <xf borderId="1" fillId="7" fontId="7" numFmtId="165" xfId="0" applyAlignment="1" applyBorder="1" applyFont="1" applyNumberFormat="1">
      <alignment horizontal="center" readingOrder="0" vertical="bottom"/>
    </xf>
    <xf borderId="1" fillId="7" fontId="11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8" fontId="7" numFmtId="165" xfId="0" applyAlignment="1" applyBorder="1" applyFont="1" applyNumberFormat="1">
      <alignment vertical="bottom"/>
    </xf>
    <xf borderId="1" fillId="8" fontId="7" numFmtId="165" xfId="0" applyAlignment="1" applyBorder="1" applyFont="1" applyNumberFormat="1">
      <alignment horizontal="right" vertical="bottom"/>
    </xf>
    <xf borderId="1" fillId="4" fontId="7" numFmtId="165" xfId="0" applyAlignment="1" applyBorder="1" applyFont="1" applyNumberFormat="1">
      <alignment vertical="bottom"/>
    </xf>
    <xf borderId="1" fillId="4" fontId="7" numFmtId="165" xfId="0" applyAlignment="1" applyBorder="1" applyFont="1" applyNumberFormat="1">
      <alignment horizontal="right" vertical="bottom"/>
    </xf>
    <xf borderId="1" fillId="6" fontId="7" numFmtId="165" xfId="0" applyAlignment="1" applyBorder="1" applyFont="1" applyNumberFormat="1">
      <alignment vertical="bottom"/>
    </xf>
    <xf borderId="1" fillId="6" fontId="7" numFmtId="165" xfId="0" applyAlignment="1" applyBorder="1" applyFont="1" applyNumberFormat="1">
      <alignment horizontal="right" vertical="bottom"/>
    </xf>
    <xf borderId="0" fillId="4" fontId="12" numFmtId="0" xfId="0" applyAlignment="1" applyFont="1">
      <alignment horizontal="center" vertical="bottom"/>
    </xf>
    <xf borderId="0" fillId="4" fontId="12" numFmtId="0" xfId="0" applyAlignment="1" applyFont="1">
      <alignment horizontal="center" readingOrder="0" vertical="bottom"/>
    </xf>
    <xf borderId="1" fillId="4" fontId="12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right" readingOrder="0" vertical="bottom"/>
    </xf>
    <xf borderId="1" fillId="5" fontId="3" numFmtId="0" xfId="0" applyAlignment="1" applyBorder="1" applyFont="1">
      <alignment readingOrder="0" vertical="bottom"/>
    </xf>
    <xf borderId="1" fillId="5" fontId="13" numFmtId="0" xfId="0" applyAlignment="1" applyBorder="1" applyFont="1">
      <alignment horizontal="right" readingOrder="0" vertical="bottom"/>
    </xf>
    <xf borderId="1" fillId="5" fontId="13" numFmtId="0" xfId="0" applyAlignment="1" applyBorder="1" applyFont="1">
      <alignment horizontal="right" vertical="bottom"/>
    </xf>
    <xf borderId="1" fillId="5" fontId="14" numFmtId="0" xfId="0" applyAlignment="1" applyBorder="1" applyFont="1">
      <alignment horizontal="right" readingOrder="0" vertical="bottom"/>
    </xf>
    <xf borderId="1" fillId="5" fontId="14" numFmtId="0" xfId="0" applyAlignment="1" applyBorder="1" applyFont="1">
      <alignment horizontal="right" vertical="bottom"/>
    </xf>
    <xf borderId="1" fillId="6" fontId="5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6" fontId="15" numFmtId="165" xfId="0" applyAlignment="1" applyBorder="1" applyFont="1" applyNumberForma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vertical="bottom"/>
    </xf>
    <xf borderId="1" fillId="6" fontId="16" numFmtId="0" xfId="0" applyAlignment="1" applyBorder="1" applyFont="1">
      <alignment horizontal="center" vertical="bottom"/>
    </xf>
    <xf borderId="1" fillId="6" fontId="16" numFmtId="165" xfId="0" applyAlignment="1" applyBorder="1" applyFont="1" applyNumberFormat="1">
      <alignment horizontal="center" vertical="bottom"/>
    </xf>
    <xf borderId="0" fillId="8" fontId="16" numFmtId="165" xfId="0" applyAlignment="1" applyFont="1" applyNumberFormat="1">
      <alignment horizontal="center" vertical="bottom"/>
    </xf>
    <xf borderId="1" fillId="4" fontId="3" numFmtId="0" xfId="0" applyAlignment="1" applyBorder="1" applyFont="1">
      <alignment vertical="bottom"/>
    </xf>
    <xf borderId="1" fillId="4" fontId="16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15.63"/>
    <col customWidth="1" min="11" max="11" width="15.75"/>
    <col customWidth="1" min="12" max="12" width="17.5"/>
    <col customWidth="1" min="14" max="14" width="18.5"/>
    <col customWidth="1" min="15" max="15" width="17.63"/>
    <col customWidth="1" min="18" max="18" width="22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/>
      <c r="K1" s="4" t="s">
        <v>8</v>
      </c>
      <c r="L1" s="5" t="s">
        <v>9</v>
      </c>
      <c r="M1" s="6"/>
      <c r="N1" s="7"/>
      <c r="O1" s="8" t="s">
        <v>10</v>
      </c>
      <c r="P1" s="6"/>
      <c r="Q1" s="6"/>
      <c r="R1" s="6"/>
      <c r="S1" s="6"/>
    </row>
    <row r="2">
      <c r="A2" s="9" t="s">
        <v>11</v>
      </c>
      <c r="B2" s="10">
        <v>44317.0</v>
      </c>
      <c r="C2" s="11">
        <v>48000.0</v>
      </c>
      <c r="D2" s="11">
        <v>21000.0</v>
      </c>
      <c r="E2" s="12"/>
      <c r="F2" s="12"/>
      <c r="G2" s="12"/>
      <c r="H2" s="12"/>
      <c r="I2" s="13">
        <v>1.0</v>
      </c>
      <c r="J2" s="3"/>
      <c r="K2" s="14">
        <v>45000.0</v>
      </c>
      <c r="L2" s="15">
        <v>48000.0</v>
      </c>
      <c r="M2" s="6"/>
      <c r="N2" s="7"/>
      <c r="O2" s="16">
        <f>D33/I33</f>
        <v>31322.58065</v>
      </c>
      <c r="P2" s="6"/>
      <c r="Q2" s="6"/>
      <c r="R2" s="6"/>
      <c r="S2" s="6"/>
    </row>
    <row r="3">
      <c r="A3" s="9" t="s">
        <v>12</v>
      </c>
      <c r="B3" s="10">
        <v>44318.0</v>
      </c>
      <c r="C3" s="11">
        <v>0.0</v>
      </c>
      <c r="D3" s="11">
        <v>34000.0</v>
      </c>
      <c r="E3" s="12"/>
      <c r="F3" s="12"/>
      <c r="G3" s="12"/>
      <c r="H3" s="12"/>
      <c r="I3" s="13">
        <v>1.0</v>
      </c>
      <c r="J3" s="3"/>
      <c r="K3" s="14">
        <v>45000.0</v>
      </c>
      <c r="L3" s="17">
        <v>0.0</v>
      </c>
      <c r="M3" s="6"/>
      <c r="N3" s="7"/>
      <c r="O3" s="18"/>
      <c r="P3" s="6"/>
      <c r="Q3" s="6"/>
      <c r="R3" s="6"/>
      <c r="S3" s="6"/>
    </row>
    <row r="4">
      <c r="A4" s="9" t="s">
        <v>13</v>
      </c>
      <c r="B4" s="10">
        <v>44319.0</v>
      </c>
      <c r="C4" s="11">
        <v>38000.0</v>
      </c>
      <c r="D4" s="11">
        <v>35000.0</v>
      </c>
      <c r="E4" s="12"/>
      <c r="F4" s="12"/>
      <c r="G4" s="12"/>
      <c r="H4" s="12"/>
      <c r="I4" s="13">
        <v>1.0</v>
      </c>
      <c r="J4" s="3"/>
      <c r="K4" s="14">
        <v>45000.0</v>
      </c>
      <c r="L4" s="17">
        <v>38000.0</v>
      </c>
      <c r="M4" s="6"/>
      <c r="N4" s="7"/>
      <c r="O4" s="19">
        <f>K33/I33</f>
        <v>45000</v>
      </c>
      <c r="P4" s="6"/>
      <c r="Q4" s="6"/>
      <c r="R4" s="6"/>
      <c r="S4" s="6"/>
    </row>
    <row r="5">
      <c r="A5" s="9" t="s">
        <v>14</v>
      </c>
      <c r="B5" s="10">
        <v>44320.0</v>
      </c>
      <c r="C5" s="11">
        <v>15000.0</v>
      </c>
      <c r="D5" s="11">
        <v>15000.0</v>
      </c>
      <c r="E5" s="12"/>
      <c r="F5" s="12"/>
      <c r="G5" s="12"/>
      <c r="H5" s="12"/>
      <c r="I5" s="13">
        <v>1.0</v>
      </c>
      <c r="J5" s="3"/>
      <c r="K5" s="14">
        <v>45000.0</v>
      </c>
      <c r="L5" s="17">
        <v>15000.0</v>
      </c>
      <c r="M5" s="6"/>
      <c r="N5" s="6"/>
      <c r="O5" s="6"/>
      <c r="P5" s="6"/>
      <c r="Q5" s="6"/>
      <c r="R5" s="6"/>
      <c r="S5" s="6"/>
    </row>
    <row r="6">
      <c r="A6" s="9" t="s">
        <v>15</v>
      </c>
      <c r="B6" s="10">
        <v>44321.0</v>
      </c>
      <c r="C6" s="11">
        <v>27000.0</v>
      </c>
      <c r="D6" s="11">
        <v>33000.0</v>
      </c>
      <c r="E6" s="12"/>
      <c r="F6" s="12"/>
      <c r="G6" s="12"/>
      <c r="H6" s="12"/>
      <c r="I6" s="13">
        <v>1.0</v>
      </c>
      <c r="J6" s="3"/>
      <c r="K6" s="14">
        <v>45000.0</v>
      </c>
      <c r="L6" s="17">
        <v>27000.0</v>
      </c>
      <c r="M6" s="6"/>
      <c r="N6" s="6"/>
      <c r="O6" s="6"/>
      <c r="P6" s="6"/>
      <c r="Q6" s="6"/>
      <c r="R6" s="6"/>
      <c r="S6" s="6"/>
    </row>
    <row r="7">
      <c r="A7" s="9" t="s">
        <v>16</v>
      </c>
      <c r="B7" s="10">
        <v>44322.0</v>
      </c>
      <c r="C7" s="11">
        <v>38000.0</v>
      </c>
      <c r="D7" s="11">
        <v>43000.0</v>
      </c>
      <c r="E7" s="12"/>
      <c r="F7" s="12"/>
      <c r="G7" s="12"/>
      <c r="H7" s="12"/>
      <c r="I7" s="13">
        <v>1.0</v>
      </c>
      <c r="J7" s="3"/>
      <c r="K7" s="14">
        <v>45000.0</v>
      </c>
      <c r="L7" s="17">
        <v>38000.0</v>
      </c>
      <c r="M7" s="6"/>
      <c r="N7" s="6"/>
      <c r="O7" s="6"/>
      <c r="P7" s="6"/>
      <c r="Q7" s="6"/>
      <c r="R7" s="6"/>
      <c r="S7" s="6"/>
    </row>
    <row r="8">
      <c r="A8" s="20" t="s">
        <v>17</v>
      </c>
      <c r="B8" s="21">
        <v>44323.0</v>
      </c>
      <c r="C8" s="22">
        <v>44000.0</v>
      </c>
      <c r="D8" s="22">
        <v>25000.0</v>
      </c>
      <c r="E8" s="23"/>
      <c r="F8" s="23"/>
      <c r="G8" s="23"/>
      <c r="H8" s="23"/>
      <c r="I8" s="24">
        <v>1.0</v>
      </c>
      <c r="J8" s="3"/>
      <c r="K8" s="14">
        <v>45000.0</v>
      </c>
      <c r="L8" s="17">
        <v>44000.0</v>
      </c>
      <c r="M8" s="6"/>
      <c r="N8" s="6"/>
      <c r="O8" s="6"/>
      <c r="P8" s="6"/>
      <c r="Q8" s="6"/>
      <c r="R8" s="6"/>
      <c r="S8" s="6"/>
    </row>
    <row r="9">
      <c r="A9" s="9" t="s">
        <v>18</v>
      </c>
      <c r="B9" s="10">
        <v>44324.0</v>
      </c>
      <c r="C9" s="11">
        <v>46000.0</v>
      </c>
      <c r="D9" s="11">
        <v>45000.0</v>
      </c>
      <c r="E9" s="12"/>
      <c r="F9" s="12"/>
      <c r="G9" s="12"/>
      <c r="H9" s="12"/>
      <c r="I9" s="13">
        <v>1.0</v>
      </c>
      <c r="J9" s="3"/>
      <c r="K9" s="14">
        <v>45000.0</v>
      </c>
      <c r="L9" s="17">
        <v>46000.0</v>
      </c>
      <c r="M9" s="6"/>
      <c r="N9" s="6"/>
      <c r="O9" s="6"/>
      <c r="P9" s="6"/>
      <c r="Q9" s="6"/>
      <c r="R9" s="6"/>
      <c r="S9" s="6"/>
    </row>
    <row r="10">
      <c r="A10" s="9" t="s">
        <v>12</v>
      </c>
      <c r="B10" s="10">
        <v>44325.0</v>
      </c>
      <c r="C10" s="11">
        <v>8000.0</v>
      </c>
      <c r="D10" s="11">
        <v>46000.0</v>
      </c>
      <c r="E10" s="12"/>
      <c r="F10" s="12"/>
      <c r="G10" s="12"/>
      <c r="H10" s="12"/>
      <c r="I10" s="13">
        <v>1.0</v>
      </c>
      <c r="J10" s="3"/>
      <c r="K10" s="14">
        <v>45000.0</v>
      </c>
      <c r="L10" s="17">
        <v>8000.0</v>
      </c>
      <c r="M10" s="6"/>
      <c r="N10" s="3"/>
      <c r="O10" s="3"/>
      <c r="P10" s="6"/>
      <c r="Q10" s="6"/>
      <c r="R10" s="3"/>
      <c r="S10" s="6"/>
    </row>
    <row r="11">
      <c r="A11" s="9" t="s">
        <v>13</v>
      </c>
      <c r="B11" s="10">
        <v>44326.0</v>
      </c>
      <c r="C11" s="11">
        <v>46000.0</v>
      </c>
      <c r="D11" s="25">
        <v>90000.0</v>
      </c>
      <c r="E11" s="12"/>
      <c r="F11" s="12"/>
      <c r="G11" s="12"/>
      <c r="H11" s="12"/>
      <c r="I11" s="13">
        <v>1.0</v>
      </c>
      <c r="J11" s="3"/>
      <c r="K11" s="14">
        <v>45000.0</v>
      </c>
      <c r="L11" s="17">
        <v>46000.0</v>
      </c>
      <c r="M11" s="12"/>
      <c r="N11" s="26" t="s">
        <v>19</v>
      </c>
      <c r="O11" s="26" t="s">
        <v>20</v>
      </c>
      <c r="P11" s="6"/>
      <c r="Q11" s="6"/>
      <c r="R11" s="27" t="s">
        <v>21</v>
      </c>
      <c r="S11" s="6"/>
    </row>
    <row r="12">
      <c r="A12" s="9" t="s">
        <v>14</v>
      </c>
      <c r="B12" s="10">
        <v>44327.0</v>
      </c>
      <c r="C12" s="11">
        <v>30000.0</v>
      </c>
      <c r="D12" s="25">
        <v>190000.0</v>
      </c>
      <c r="E12" s="12"/>
      <c r="F12" s="12"/>
      <c r="G12" s="12"/>
      <c r="H12" s="12"/>
      <c r="I12" s="13">
        <v>1.0</v>
      </c>
      <c r="J12" s="3"/>
      <c r="K12" s="14">
        <v>45000.0</v>
      </c>
      <c r="L12" s="17">
        <v>30000.0</v>
      </c>
      <c r="M12" s="12"/>
      <c r="N12" s="28">
        <f>D33+Charges!G203-O12-E33-'salaire '!L22</f>
        <v>463991</v>
      </c>
      <c r="O12" s="29">
        <v>17000.0</v>
      </c>
      <c r="P12" s="6"/>
      <c r="Q12" s="6"/>
      <c r="R12" s="17">
        <f>D33-C33</f>
        <v>-224000</v>
      </c>
      <c r="S12" s="6"/>
    </row>
    <row r="13">
      <c r="A13" s="9" t="s">
        <v>15</v>
      </c>
      <c r="B13" s="10">
        <v>44328.0</v>
      </c>
      <c r="C13" s="11">
        <v>41000.0</v>
      </c>
      <c r="D13" s="11">
        <v>40000.0</v>
      </c>
      <c r="E13" s="12"/>
      <c r="F13" s="12"/>
      <c r="G13" s="12"/>
      <c r="H13" s="12"/>
      <c r="I13" s="13">
        <v>1.0</v>
      </c>
      <c r="J13" s="3"/>
      <c r="K13" s="14">
        <v>45000.0</v>
      </c>
      <c r="L13" s="17">
        <v>41000.0</v>
      </c>
      <c r="M13" s="6"/>
      <c r="N13" s="6"/>
      <c r="O13" s="6"/>
      <c r="P13" s="6"/>
      <c r="Q13" s="30"/>
      <c r="R13" s="31" t="s">
        <v>22</v>
      </c>
      <c r="S13" s="6"/>
    </row>
    <row r="14">
      <c r="A14" s="9" t="s">
        <v>16</v>
      </c>
      <c r="B14" s="10">
        <v>44329.0</v>
      </c>
      <c r="C14" s="17">
        <v>50000.0</v>
      </c>
      <c r="D14" s="32">
        <v>0.0</v>
      </c>
      <c r="E14" s="12"/>
      <c r="F14" s="12"/>
      <c r="G14" s="12"/>
      <c r="H14" s="12"/>
      <c r="I14" s="13">
        <v>1.0</v>
      </c>
      <c r="J14" s="3"/>
      <c r="K14" s="14">
        <v>45000.0</v>
      </c>
      <c r="L14" s="17">
        <v>50000.0</v>
      </c>
      <c r="M14" s="6"/>
      <c r="N14" s="6"/>
      <c r="O14" s="33"/>
      <c r="P14" s="34"/>
      <c r="Q14" s="35" t="s">
        <v>23</v>
      </c>
      <c r="R14" s="36">
        <f>D33-K33</f>
        <v>-424000</v>
      </c>
      <c r="S14" s="6"/>
    </row>
    <row r="15">
      <c r="A15" s="20" t="s">
        <v>17</v>
      </c>
      <c r="B15" s="21">
        <v>44330.0</v>
      </c>
      <c r="C15" s="17">
        <v>142000.0</v>
      </c>
      <c r="D15" s="32">
        <v>0.0</v>
      </c>
      <c r="E15" s="23"/>
      <c r="F15" s="23"/>
      <c r="G15" s="23"/>
      <c r="H15" s="23"/>
      <c r="I15" s="24">
        <v>1.0</v>
      </c>
      <c r="J15" s="3"/>
      <c r="K15" s="14">
        <v>45000.0</v>
      </c>
      <c r="L15" s="17">
        <v>142000.0</v>
      </c>
      <c r="M15" s="6"/>
      <c r="N15" s="6"/>
      <c r="O15" s="6"/>
      <c r="P15" s="34"/>
      <c r="Q15" s="34"/>
      <c r="R15" s="6"/>
      <c r="S15" s="6"/>
    </row>
    <row r="16">
      <c r="A16" s="9" t="s">
        <v>18</v>
      </c>
      <c r="B16" s="10">
        <v>44331.0</v>
      </c>
      <c r="C16" s="17">
        <v>37000.0</v>
      </c>
      <c r="D16" s="32">
        <v>0.0</v>
      </c>
      <c r="E16" s="12"/>
      <c r="F16" s="12"/>
      <c r="G16" s="12"/>
      <c r="H16" s="12"/>
      <c r="I16" s="13">
        <v>1.0</v>
      </c>
      <c r="J16" s="3"/>
      <c r="K16" s="14">
        <v>45000.0</v>
      </c>
      <c r="L16" s="17">
        <v>37000.0</v>
      </c>
      <c r="M16" s="6"/>
      <c r="N16" s="6"/>
      <c r="O16" s="6"/>
      <c r="P16" s="34"/>
      <c r="Q16" s="34"/>
      <c r="R16" s="6"/>
      <c r="S16" s="6"/>
    </row>
    <row r="17">
      <c r="A17" s="9" t="s">
        <v>12</v>
      </c>
      <c r="B17" s="10">
        <v>44332.0</v>
      </c>
      <c r="C17" s="17">
        <v>36000.0</v>
      </c>
      <c r="D17" s="32">
        <v>0.0</v>
      </c>
      <c r="E17" s="12"/>
      <c r="F17" s="12"/>
      <c r="G17" s="12"/>
      <c r="H17" s="12"/>
      <c r="I17" s="13">
        <v>1.0</v>
      </c>
      <c r="J17" s="3"/>
      <c r="K17" s="14">
        <v>45000.0</v>
      </c>
      <c r="L17" s="17">
        <v>36000.0</v>
      </c>
      <c r="M17" s="6"/>
      <c r="N17" s="6"/>
      <c r="O17" s="6"/>
      <c r="P17" s="6"/>
      <c r="Q17" s="6"/>
      <c r="R17" s="6"/>
      <c r="S17" s="6"/>
    </row>
    <row r="18">
      <c r="A18" s="9" t="s">
        <v>13</v>
      </c>
      <c r="B18" s="10">
        <v>44333.0</v>
      </c>
      <c r="C18" s="11">
        <v>45000.0</v>
      </c>
      <c r="D18" s="11">
        <v>15000.0</v>
      </c>
      <c r="E18" s="12"/>
      <c r="F18" s="12"/>
      <c r="G18" s="12"/>
      <c r="H18" s="12"/>
      <c r="I18" s="13">
        <v>1.0</v>
      </c>
      <c r="J18" s="3"/>
      <c r="K18" s="14">
        <v>45000.0</v>
      </c>
      <c r="L18" s="17">
        <v>45000.0</v>
      </c>
      <c r="M18" s="6"/>
      <c r="N18" s="6"/>
      <c r="O18" s="6"/>
      <c r="P18" s="6"/>
      <c r="Q18" s="6"/>
      <c r="R18" s="6"/>
      <c r="S18" s="6"/>
    </row>
    <row r="19">
      <c r="A19" s="9" t="s">
        <v>14</v>
      </c>
      <c r="B19" s="10">
        <v>44334.0</v>
      </c>
      <c r="C19" s="11">
        <v>40000.0</v>
      </c>
      <c r="D19" s="11">
        <v>32000.0</v>
      </c>
      <c r="E19" s="12"/>
      <c r="F19" s="12"/>
      <c r="G19" s="12"/>
      <c r="H19" s="12"/>
      <c r="I19" s="13">
        <v>1.0</v>
      </c>
      <c r="J19" s="3"/>
      <c r="K19" s="14">
        <v>45000.0</v>
      </c>
      <c r="L19" s="17">
        <v>40000.0</v>
      </c>
      <c r="M19" s="6"/>
      <c r="N19" s="6"/>
      <c r="O19" s="6"/>
      <c r="P19" s="6"/>
      <c r="Q19" s="6"/>
      <c r="R19" s="6"/>
      <c r="S19" s="6"/>
    </row>
    <row r="20">
      <c r="A20" s="9" t="s">
        <v>15</v>
      </c>
      <c r="B20" s="10">
        <v>44335.0</v>
      </c>
      <c r="C20" s="11">
        <v>34000.0</v>
      </c>
      <c r="D20" s="11">
        <v>55000.0</v>
      </c>
      <c r="E20" s="12"/>
      <c r="F20" s="12"/>
      <c r="G20" s="12"/>
      <c r="H20" s="12"/>
      <c r="I20" s="13">
        <v>1.0</v>
      </c>
      <c r="J20" s="3"/>
      <c r="K20" s="14">
        <v>45000.0</v>
      </c>
      <c r="L20" s="17">
        <v>34000.0</v>
      </c>
      <c r="M20" s="6"/>
      <c r="N20" s="6"/>
      <c r="O20" s="6"/>
      <c r="P20" s="6"/>
      <c r="Q20" s="6"/>
      <c r="R20" s="6"/>
      <c r="S20" s="6"/>
    </row>
    <row r="21">
      <c r="A21" s="9" t="s">
        <v>16</v>
      </c>
      <c r="B21" s="10">
        <v>44336.0</v>
      </c>
      <c r="C21" s="11">
        <v>50000.0</v>
      </c>
      <c r="D21" s="11">
        <v>35000.0</v>
      </c>
      <c r="E21" s="12"/>
      <c r="F21" s="12"/>
      <c r="G21" s="12"/>
      <c r="H21" s="12"/>
      <c r="I21" s="13">
        <v>1.0</v>
      </c>
      <c r="J21" s="3"/>
      <c r="K21" s="14">
        <v>45000.0</v>
      </c>
      <c r="L21" s="17">
        <v>50000.0</v>
      </c>
      <c r="M21" s="6"/>
      <c r="N21" s="6"/>
      <c r="O21" s="6"/>
      <c r="P21" s="6"/>
      <c r="Q21" s="6"/>
      <c r="R21" s="6"/>
      <c r="S21" s="6"/>
    </row>
    <row r="22">
      <c r="A22" s="20" t="s">
        <v>17</v>
      </c>
      <c r="B22" s="21">
        <v>44337.0</v>
      </c>
      <c r="C22" s="22">
        <v>33000.0</v>
      </c>
      <c r="D22" s="22">
        <v>12000.0</v>
      </c>
      <c r="E22" s="23"/>
      <c r="F22" s="23"/>
      <c r="G22" s="23"/>
      <c r="H22" s="23"/>
      <c r="I22" s="24">
        <v>1.0</v>
      </c>
      <c r="J22" s="3"/>
      <c r="K22" s="14">
        <v>45000.0</v>
      </c>
      <c r="L22" s="17">
        <v>33000.0</v>
      </c>
      <c r="M22" s="6"/>
      <c r="N22" s="6"/>
      <c r="O22" s="6"/>
      <c r="P22" s="6"/>
      <c r="Q22" s="6"/>
      <c r="R22" s="6"/>
      <c r="S22" s="6"/>
    </row>
    <row r="23">
      <c r="A23" s="9" t="s">
        <v>18</v>
      </c>
      <c r="B23" s="10">
        <v>44338.0</v>
      </c>
      <c r="C23" s="11">
        <v>45000.0</v>
      </c>
      <c r="D23" s="11">
        <v>23000.0</v>
      </c>
      <c r="E23" s="12"/>
      <c r="F23" s="12"/>
      <c r="G23" s="12"/>
      <c r="H23" s="12"/>
      <c r="I23" s="13">
        <v>1.0</v>
      </c>
      <c r="J23" s="3"/>
      <c r="K23" s="14">
        <v>45000.0</v>
      </c>
      <c r="L23" s="17">
        <v>45000.0</v>
      </c>
      <c r="M23" s="6"/>
      <c r="N23" s="6"/>
      <c r="O23" s="6"/>
      <c r="P23" s="34"/>
      <c r="Q23" s="34"/>
      <c r="R23" s="6"/>
      <c r="S23" s="6"/>
    </row>
    <row r="24">
      <c r="A24" s="9" t="s">
        <v>12</v>
      </c>
      <c r="B24" s="10">
        <v>44339.0</v>
      </c>
      <c r="C24" s="11">
        <v>61000.0</v>
      </c>
      <c r="D24" s="11">
        <v>14000.0</v>
      </c>
      <c r="E24" s="12"/>
      <c r="F24" s="12"/>
      <c r="G24" s="12"/>
      <c r="H24" s="12"/>
      <c r="I24" s="13">
        <v>1.0</v>
      </c>
      <c r="J24" s="3"/>
      <c r="K24" s="14">
        <v>45000.0</v>
      </c>
      <c r="L24" s="17">
        <v>61000.0</v>
      </c>
      <c r="M24" s="6"/>
      <c r="N24" s="6"/>
      <c r="O24" s="6"/>
      <c r="P24" s="37"/>
      <c r="Q24" s="37"/>
      <c r="R24" s="6"/>
      <c r="S24" s="6"/>
    </row>
    <row r="25">
      <c r="A25" s="9" t="s">
        <v>13</v>
      </c>
      <c r="B25" s="10">
        <v>44340.0</v>
      </c>
      <c r="C25" s="11">
        <v>45000.0</v>
      </c>
      <c r="D25" s="11">
        <v>19000.0</v>
      </c>
      <c r="E25" s="12"/>
      <c r="F25" s="12"/>
      <c r="G25" s="12"/>
      <c r="H25" s="12"/>
      <c r="I25" s="13">
        <v>1.0</v>
      </c>
      <c r="J25" s="3"/>
      <c r="K25" s="14">
        <v>45000.0</v>
      </c>
      <c r="L25" s="17">
        <v>45000.0</v>
      </c>
      <c r="M25" s="6"/>
      <c r="N25" s="6"/>
      <c r="O25" s="6"/>
      <c r="P25" s="37"/>
      <c r="Q25" s="37"/>
      <c r="R25" s="6"/>
      <c r="S25" s="6"/>
    </row>
    <row r="26">
      <c r="A26" s="9" t="s">
        <v>14</v>
      </c>
      <c r="B26" s="10">
        <v>44341.0</v>
      </c>
      <c r="C26" s="11">
        <v>34000.0</v>
      </c>
      <c r="D26" s="11">
        <v>21000.0</v>
      </c>
      <c r="E26" s="38"/>
      <c r="F26" s="38"/>
      <c r="G26" s="38"/>
      <c r="H26" s="38"/>
      <c r="I26" s="13">
        <v>1.0</v>
      </c>
      <c r="J26" s="3"/>
      <c r="K26" s="14">
        <v>45000.0</v>
      </c>
      <c r="L26" s="17">
        <v>34000.0</v>
      </c>
      <c r="M26" s="6"/>
      <c r="N26" s="6"/>
      <c r="O26" s="6"/>
      <c r="P26" s="37"/>
      <c r="Q26" s="37"/>
      <c r="R26" s="6"/>
      <c r="S26" s="6"/>
    </row>
    <row r="27">
      <c r="A27" s="9" t="s">
        <v>15</v>
      </c>
      <c r="B27" s="10">
        <v>44342.0</v>
      </c>
      <c r="C27" s="11">
        <v>22000.0</v>
      </c>
      <c r="D27" s="11">
        <v>31000.0</v>
      </c>
      <c r="E27" s="38"/>
      <c r="F27" s="38"/>
      <c r="G27" s="38"/>
      <c r="H27" s="38"/>
      <c r="I27" s="13">
        <v>1.0</v>
      </c>
      <c r="J27" s="3"/>
      <c r="K27" s="14">
        <v>45000.0</v>
      </c>
      <c r="L27" s="17">
        <v>22000.0</v>
      </c>
      <c r="M27" s="6"/>
      <c r="N27" s="6"/>
      <c r="O27" s="6"/>
      <c r="P27" s="37"/>
      <c r="Q27" s="37"/>
      <c r="R27" s="6"/>
      <c r="S27" s="6"/>
    </row>
    <row r="28">
      <c r="A28" s="9" t="s">
        <v>16</v>
      </c>
      <c r="B28" s="10">
        <v>44343.0</v>
      </c>
      <c r="C28" s="11">
        <v>37000.0</v>
      </c>
      <c r="D28" s="11">
        <v>28000.0</v>
      </c>
      <c r="E28" s="38"/>
      <c r="F28" s="38"/>
      <c r="G28" s="38"/>
      <c r="H28" s="38"/>
      <c r="I28" s="13">
        <v>1.0</v>
      </c>
      <c r="J28" s="3"/>
      <c r="K28" s="14">
        <v>45000.0</v>
      </c>
      <c r="L28" s="17">
        <v>37000.0</v>
      </c>
      <c r="M28" s="6"/>
      <c r="N28" s="6"/>
      <c r="O28" s="6"/>
      <c r="P28" s="37"/>
      <c r="Q28" s="37"/>
      <c r="R28" s="6"/>
      <c r="S28" s="6"/>
    </row>
    <row r="29">
      <c r="A29" s="20" t="s">
        <v>17</v>
      </c>
      <c r="B29" s="21">
        <v>44344.0</v>
      </c>
      <c r="C29" s="22">
        <v>26000.0</v>
      </c>
      <c r="D29" s="22">
        <v>27000.0</v>
      </c>
      <c r="E29" s="39"/>
      <c r="F29" s="39"/>
      <c r="G29" s="39"/>
      <c r="H29" s="39"/>
      <c r="I29" s="24">
        <v>1.0</v>
      </c>
      <c r="J29" s="3"/>
      <c r="K29" s="40">
        <v>45000.0</v>
      </c>
      <c r="L29" s="41">
        <v>26000.0</v>
      </c>
      <c r="M29" s="42" t="s">
        <v>24</v>
      </c>
      <c r="N29" s="6"/>
      <c r="O29" s="6"/>
      <c r="P29" s="37"/>
      <c r="Q29" s="37"/>
      <c r="R29" s="6"/>
      <c r="S29" s="6"/>
    </row>
    <row r="30">
      <c r="A30" s="9" t="s">
        <v>18</v>
      </c>
      <c r="B30" s="10">
        <v>44345.0</v>
      </c>
      <c r="C30" s="11">
        <v>49000.0</v>
      </c>
      <c r="D30" s="11">
        <v>18000.0</v>
      </c>
      <c r="E30" s="38"/>
      <c r="F30" s="38"/>
      <c r="G30" s="38"/>
      <c r="H30" s="38"/>
      <c r="I30" s="13">
        <v>1.0</v>
      </c>
      <c r="J30" s="3"/>
      <c r="K30" s="40">
        <v>45000.0</v>
      </c>
      <c r="L30" s="17">
        <v>49000.0</v>
      </c>
      <c r="M30" s="6"/>
      <c r="N30" s="6"/>
      <c r="O30" s="6"/>
      <c r="P30" s="37"/>
      <c r="Q30" s="37"/>
      <c r="R30" s="6"/>
      <c r="S30" s="6"/>
    </row>
    <row r="31">
      <c r="A31" s="9" t="s">
        <v>12</v>
      </c>
      <c r="B31" s="10">
        <v>44346.0</v>
      </c>
      <c r="C31" s="11">
        <v>28000.0</v>
      </c>
      <c r="D31" s="11">
        <v>12000.0</v>
      </c>
      <c r="E31" s="12"/>
      <c r="F31" s="12"/>
      <c r="G31" s="12"/>
      <c r="H31" s="12"/>
      <c r="I31" s="13">
        <v>1.0</v>
      </c>
      <c r="J31" s="3"/>
      <c r="K31" s="40">
        <v>45000.0</v>
      </c>
      <c r="L31" s="17">
        <v>28000.0</v>
      </c>
      <c r="M31" s="6"/>
      <c r="N31" s="6"/>
      <c r="O31" s="6"/>
      <c r="P31" s="37"/>
      <c r="Q31" s="37"/>
      <c r="R31" s="6"/>
      <c r="S31" s="6"/>
    </row>
    <row r="32">
      <c r="A32" s="9" t="s">
        <v>13</v>
      </c>
      <c r="B32" s="10">
        <v>44347.0</v>
      </c>
      <c r="C32" s="11">
        <v>0.0</v>
      </c>
      <c r="D32" s="11">
        <v>12000.0</v>
      </c>
      <c r="E32" s="12"/>
      <c r="F32" s="12"/>
      <c r="G32" s="12"/>
      <c r="H32" s="12"/>
      <c r="I32" s="13">
        <v>1.0</v>
      </c>
      <c r="J32" s="3"/>
      <c r="K32" s="40">
        <v>45000.0</v>
      </c>
      <c r="L32" s="11">
        <v>0.0</v>
      </c>
      <c r="M32" s="43"/>
      <c r="N32" s="43"/>
      <c r="O32" s="43"/>
      <c r="P32" s="37"/>
      <c r="Q32" s="37"/>
      <c r="R32" s="43"/>
      <c r="S32" s="6"/>
    </row>
    <row r="33">
      <c r="A33" s="6"/>
      <c r="B33" s="10"/>
      <c r="C33" s="44">
        <f t="shared" ref="C33:D33" si="1">SUM(C2:C32)</f>
        <v>1195000</v>
      </c>
      <c r="D33" s="45">
        <f t="shared" si="1"/>
        <v>971000</v>
      </c>
      <c r="E33" s="46">
        <f>Charges!G202*1</f>
        <v>461009</v>
      </c>
      <c r="F33" s="47">
        <f>'salaire '!K22*1</f>
        <v>199440</v>
      </c>
      <c r="G33" s="48">
        <v>50000.0</v>
      </c>
      <c r="H33" s="44">
        <f>D33+Charges!G203-E33-F33-G33</f>
        <v>280551</v>
      </c>
      <c r="I33" s="49">
        <f>SUM(I2:I32)</f>
        <v>31</v>
      </c>
      <c r="J33" s="3"/>
      <c r="K33" s="50">
        <f t="shared" ref="K33:L33" si="2">SUM(K2:K32)</f>
        <v>1395000</v>
      </c>
      <c r="L33" s="51">
        <f t="shared" si="2"/>
        <v>1195000</v>
      </c>
      <c r="M33" s="52"/>
      <c r="N33" s="52"/>
      <c r="O33" s="52"/>
      <c r="P33" s="37"/>
      <c r="Q33" s="37"/>
      <c r="R33" s="43"/>
      <c r="S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37"/>
      <c r="Q34" s="37"/>
      <c r="R34" s="6"/>
      <c r="S34" s="6"/>
    </row>
    <row r="35">
      <c r="A35" s="6"/>
      <c r="B35" s="6"/>
      <c r="C35" s="53" t="s">
        <v>8</v>
      </c>
      <c r="D35" s="54">
        <v>1365000.0</v>
      </c>
      <c r="E35" s="36">
        <v>500000.0</v>
      </c>
      <c r="F35" s="36">
        <v>215000.0</v>
      </c>
      <c r="G35" s="36">
        <v>50000.0</v>
      </c>
      <c r="H35" s="36">
        <v>600000.0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>
      <c r="A36" s="6"/>
      <c r="B36" s="6"/>
      <c r="C36" s="55" t="s">
        <v>25</v>
      </c>
      <c r="D36" s="22">
        <v>1195000.0</v>
      </c>
      <c r="E36" s="56">
        <v>680000.0</v>
      </c>
      <c r="F36" s="57">
        <v>214700.0</v>
      </c>
      <c r="G36" s="58">
        <v>50000.0</v>
      </c>
      <c r="H36" s="25">
        <v>270000.0</v>
      </c>
      <c r="I36" s="6"/>
      <c r="J36" s="6"/>
      <c r="K36" s="6"/>
      <c r="L36" s="6"/>
      <c r="M36" s="6"/>
      <c r="N36" s="6"/>
      <c r="O36" s="43"/>
      <c r="P36" s="37"/>
      <c r="Q36" s="37"/>
      <c r="R36" s="6"/>
      <c r="S36" s="6"/>
    </row>
    <row r="37">
      <c r="B37" s="6"/>
      <c r="C37" s="6"/>
      <c r="D37" s="6"/>
      <c r="E37" s="6"/>
      <c r="F37" s="6"/>
      <c r="G37" s="6"/>
      <c r="H37" s="6"/>
      <c r="I3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2.88"/>
    <col customWidth="1" min="5" max="5" width="29.5"/>
    <col customWidth="1" min="6" max="6" width="33.75"/>
    <col customWidth="1" min="7" max="7" width="26.75"/>
    <col customWidth="1" min="8" max="8" width="37.25"/>
  </cols>
  <sheetData>
    <row r="2">
      <c r="D2" s="59" t="s">
        <v>26</v>
      </c>
      <c r="E2" s="60" t="s">
        <v>27</v>
      </c>
      <c r="F2" s="60" t="s">
        <v>28</v>
      </c>
      <c r="G2" s="60" t="s">
        <v>29</v>
      </c>
      <c r="H2" s="60" t="s">
        <v>30</v>
      </c>
    </row>
    <row r="3">
      <c r="D3" s="61" t="s">
        <v>31</v>
      </c>
      <c r="E3" s="61" t="s">
        <v>32</v>
      </c>
      <c r="F3" s="62">
        <v>1880.0</v>
      </c>
      <c r="G3" s="62">
        <v>9400.0</v>
      </c>
      <c r="H3" s="63">
        <v>44317.0</v>
      </c>
    </row>
    <row r="4">
      <c r="D4" s="61" t="s">
        <v>33</v>
      </c>
      <c r="E4" s="61" t="s">
        <v>34</v>
      </c>
      <c r="F4" s="62">
        <v>440.0</v>
      </c>
      <c r="G4" s="62">
        <v>440.0</v>
      </c>
      <c r="H4" s="63">
        <v>44317.0</v>
      </c>
    </row>
    <row r="5">
      <c r="D5" s="61" t="s">
        <v>35</v>
      </c>
      <c r="E5" s="61" t="s">
        <v>34</v>
      </c>
      <c r="F5" s="62">
        <v>650.0</v>
      </c>
      <c r="G5" s="62">
        <v>650.0</v>
      </c>
      <c r="H5" s="63">
        <v>44317.0</v>
      </c>
    </row>
    <row r="6">
      <c r="D6" s="61" t="s">
        <v>36</v>
      </c>
      <c r="E6" s="61" t="s">
        <v>37</v>
      </c>
      <c r="F6" s="62">
        <v>2000.0</v>
      </c>
      <c r="G6" s="62">
        <v>1000.0</v>
      </c>
      <c r="H6" s="63">
        <v>44317.0</v>
      </c>
    </row>
    <row r="7">
      <c r="D7" s="61" t="s">
        <v>38</v>
      </c>
      <c r="E7" s="61" t="s">
        <v>39</v>
      </c>
      <c r="F7" s="62">
        <v>4000.0</v>
      </c>
      <c r="G7" s="62">
        <v>1000.0</v>
      </c>
      <c r="H7" s="63">
        <v>44317.0</v>
      </c>
    </row>
    <row r="8">
      <c r="D8" s="61" t="s">
        <v>40</v>
      </c>
      <c r="E8" s="61">
        <v>1.0</v>
      </c>
      <c r="F8" s="62">
        <v>2100.0</v>
      </c>
      <c r="G8" s="62">
        <v>2100.0</v>
      </c>
      <c r="H8" s="63">
        <v>44317.0</v>
      </c>
    </row>
    <row r="9">
      <c r="D9" s="61" t="s">
        <v>41</v>
      </c>
      <c r="E9" s="61" t="s">
        <v>42</v>
      </c>
      <c r="F9" s="62">
        <v>2000.0</v>
      </c>
      <c r="G9" s="62">
        <v>10000.0</v>
      </c>
      <c r="H9" s="63">
        <v>44317.0</v>
      </c>
    </row>
    <row r="10">
      <c r="D10" s="61" t="s">
        <v>43</v>
      </c>
      <c r="E10" s="61">
        <v>1105.0</v>
      </c>
      <c r="F10" s="62">
        <v>50.0</v>
      </c>
      <c r="G10" s="62">
        <v>55250.0</v>
      </c>
      <c r="H10" s="63">
        <v>44317.0</v>
      </c>
    </row>
    <row r="11">
      <c r="D11" s="61" t="s">
        <v>44</v>
      </c>
      <c r="E11" s="61" t="s">
        <v>45</v>
      </c>
      <c r="F11" s="62">
        <v>1500.0</v>
      </c>
      <c r="G11" s="62">
        <v>1500.0</v>
      </c>
      <c r="H11" s="63">
        <v>44317.0</v>
      </c>
    </row>
    <row r="12">
      <c r="D12" s="61" t="s">
        <v>40</v>
      </c>
      <c r="E12" s="61">
        <v>1.0</v>
      </c>
      <c r="F12" s="62">
        <v>60.0</v>
      </c>
      <c r="G12" s="62">
        <v>60.0</v>
      </c>
      <c r="H12" s="63">
        <v>44317.0</v>
      </c>
    </row>
    <row r="13">
      <c r="D13" s="61" t="s">
        <v>46</v>
      </c>
      <c r="E13" s="61">
        <v>3.0</v>
      </c>
      <c r="F13" s="62">
        <v>100.0</v>
      </c>
      <c r="G13" s="62">
        <v>300.0</v>
      </c>
      <c r="H13" s="63">
        <v>44317.0</v>
      </c>
    </row>
    <row r="14">
      <c r="D14" s="61" t="s">
        <v>47</v>
      </c>
      <c r="E14" s="61" t="s">
        <v>48</v>
      </c>
      <c r="F14" s="62">
        <v>300.0</v>
      </c>
      <c r="G14" s="62">
        <v>900.0</v>
      </c>
      <c r="H14" s="63">
        <v>44317.0</v>
      </c>
    </row>
    <row r="15">
      <c r="D15" s="61" t="s">
        <v>49</v>
      </c>
      <c r="E15" s="61">
        <v>20.0</v>
      </c>
      <c r="F15" s="62">
        <v>15.0</v>
      </c>
      <c r="G15" s="62">
        <v>300.0</v>
      </c>
      <c r="H15" s="63">
        <v>44317.0</v>
      </c>
    </row>
    <row r="16">
      <c r="D16" s="61" t="s">
        <v>50</v>
      </c>
      <c r="E16" s="61" t="s">
        <v>34</v>
      </c>
      <c r="F16" s="62">
        <v>2000.0</v>
      </c>
      <c r="G16" s="62">
        <v>2000.0</v>
      </c>
      <c r="H16" s="63">
        <v>44317.0</v>
      </c>
    </row>
    <row r="17">
      <c r="D17" s="61" t="s">
        <v>51</v>
      </c>
      <c r="E17" s="61">
        <v>1.0</v>
      </c>
      <c r="F17" s="62">
        <v>1000.0</v>
      </c>
      <c r="G17" s="62">
        <v>1000.0</v>
      </c>
      <c r="H17" s="63">
        <v>44317.0</v>
      </c>
    </row>
    <row r="18">
      <c r="D18" s="61" t="s">
        <v>52</v>
      </c>
      <c r="E18" s="61">
        <v>2.0</v>
      </c>
      <c r="F18" s="62">
        <v>4500.0</v>
      </c>
      <c r="G18" s="62">
        <v>4500.0</v>
      </c>
      <c r="H18" s="63">
        <v>44317.0</v>
      </c>
    </row>
    <row r="19">
      <c r="D19" s="61" t="s">
        <v>53</v>
      </c>
      <c r="E19" s="61">
        <v>2.0</v>
      </c>
      <c r="F19" s="62">
        <v>100.0</v>
      </c>
      <c r="G19" s="62">
        <v>2200.0</v>
      </c>
      <c r="H19" s="63">
        <v>44317.0</v>
      </c>
    </row>
    <row r="20">
      <c r="D20" s="61" t="s">
        <v>54</v>
      </c>
      <c r="E20" s="61">
        <v>10.0</v>
      </c>
      <c r="F20" s="62">
        <v>50.0</v>
      </c>
      <c r="G20" s="62">
        <v>500.0</v>
      </c>
      <c r="H20" s="63">
        <v>44317.0</v>
      </c>
    </row>
    <row r="21">
      <c r="D21" s="61" t="s">
        <v>55</v>
      </c>
      <c r="E21" s="61" t="s">
        <v>56</v>
      </c>
      <c r="F21" s="62">
        <v>4000.0</v>
      </c>
      <c r="G21" s="62">
        <v>500.0</v>
      </c>
      <c r="H21" s="63">
        <v>44317.0</v>
      </c>
    </row>
    <row r="22">
      <c r="D22" s="64" t="s">
        <v>57</v>
      </c>
      <c r="E22" s="61" t="s">
        <v>58</v>
      </c>
      <c r="F22" s="65">
        <v>660.0</v>
      </c>
      <c r="G22" s="62">
        <v>7260.0</v>
      </c>
      <c r="H22" s="63">
        <v>44317.0</v>
      </c>
    </row>
    <row r="23">
      <c r="D23" s="61" t="s">
        <v>59</v>
      </c>
      <c r="E23" s="61" t="s">
        <v>60</v>
      </c>
      <c r="F23" s="62">
        <v>250.0</v>
      </c>
      <c r="G23" s="62">
        <v>1000.0</v>
      </c>
      <c r="H23" s="63">
        <v>44317.0</v>
      </c>
    </row>
    <row r="24">
      <c r="D24" s="61" t="s">
        <v>61</v>
      </c>
      <c r="E24" s="61">
        <v>48.0</v>
      </c>
      <c r="F24" s="62">
        <v>20.0</v>
      </c>
      <c r="G24" s="62">
        <v>950.0</v>
      </c>
      <c r="H24" s="63">
        <v>44317.0</v>
      </c>
    </row>
    <row r="25">
      <c r="D25" s="64" t="s">
        <v>62</v>
      </c>
      <c r="E25" s="61">
        <v>7.0</v>
      </c>
      <c r="F25" s="65">
        <v>700.0</v>
      </c>
      <c r="G25" s="62">
        <v>4900.0</v>
      </c>
      <c r="H25" s="63">
        <v>44317.0</v>
      </c>
    </row>
    <row r="26">
      <c r="D26" s="64" t="s">
        <v>63</v>
      </c>
      <c r="E26" s="61" t="s">
        <v>64</v>
      </c>
      <c r="F26" s="65">
        <v>1040.0</v>
      </c>
      <c r="G26" s="62">
        <v>3120.0</v>
      </c>
      <c r="H26" s="63">
        <v>44317.0</v>
      </c>
    </row>
    <row r="27">
      <c r="D27" s="64" t="s">
        <v>65</v>
      </c>
      <c r="E27" s="64">
        <v>2.0</v>
      </c>
      <c r="F27" s="65">
        <v>750.0</v>
      </c>
      <c r="G27" s="65">
        <v>1500.0</v>
      </c>
      <c r="H27" s="63">
        <v>44317.0</v>
      </c>
    </row>
    <row r="28">
      <c r="D28" s="64" t="s">
        <v>66</v>
      </c>
      <c r="E28" s="61">
        <v>1.0</v>
      </c>
      <c r="F28" s="65">
        <v>1180.0</v>
      </c>
      <c r="G28" s="62">
        <v>1180.0</v>
      </c>
      <c r="H28" s="63">
        <v>44317.0</v>
      </c>
    </row>
    <row r="29">
      <c r="D29" s="64" t="s">
        <v>67</v>
      </c>
      <c r="E29" s="61">
        <v>3.0</v>
      </c>
      <c r="F29" s="65">
        <v>790.0</v>
      </c>
      <c r="G29" s="62">
        <v>2370.0</v>
      </c>
      <c r="H29" s="63">
        <v>44317.0</v>
      </c>
    </row>
    <row r="30">
      <c r="D30" s="64" t="s">
        <v>68</v>
      </c>
      <c r="E30" s="61" t="s">
        <v>69</v>
      </c>
      <c r="F30" s="65">
        <v>240.0</v>
      </c>
      <c r="G30" s="62">
        <v>2400.0</v>
      </c>
      <c r="H30" s="63">
        <v>44317.0</v>
      </c>
    </row>
    <row r="31">
      <c r="D31" s="64" t="s">
        <v>70</v>
      </c>
      <c r="E31" s="64" t="s">
        <v>71</v>
      </c>
      <c r="F31" s="65">
        <v>86.0</v>
      </c>
      <c r="G31" s="65">
        <v>2064.0</v>
      </c>
      <c r="H31" s="63">
        <v>44317.0</v>
      </c>
    </row>
    <row r="32">
      <c r="D32" s="64" t="s">
        <v>72</v>
      </c>
      <c r="E32" s="61">
        <v>52.0</v>
      </c>
      <c r="F32" s="62">
        <v>590.0</v>
      </c>
      <c r="G32" s="62">
        <v>30680.0</v>
      </c>
      <c r="H32" s="63">
        <v>44317.0</v>
      </c>
    </row>
    <row r="33">
      <c r="D33" s="64" t="s">
        <v>73</v>
      </c>
      <c r="E33" s="61" t="s">
        <v>74</v>
      </c>
      <c r="F33" s="65">
        <v>565.0</v>
      </c>
      <c r="G33" s="62">
        <v>3390.0</v>
      </c>
      <c r="H33" s="63">
        <v>44317.0</v>
      </c>
    </row>
    <row r="34">
      <c r="D34" s="64" t="s">
        <v>75</v>
      </c>
      <c r="E34" s="61" t="s">
        <v>76</v>
      </c>
      <c r="F34" s="65">
        <v>465.0</v>
      </c>
      <c r="G34" s="62">
        <v>2325.0</v>
      </c>
      <c r="H34" s="63">
        <v>44317.0</v>
      </c>
    </row>
    <row r="35">
      <c r="D35" s="64" t="s">
        <v>77</v>
      </c>
      <c r="E35" s="61" t="s">
        <v>78</v>
      </c>
      <c r="F35" s="65">
        <v>730.0</v>
      </c>
      <c r="G35" s="62">
        <v>3650.0</v>
      </c>
      <c r="H35" s="63">
        <v>44317.0</v>
      </c>
    </row>
    <row r="36">
      <c r="D36" s="64" t="s">
        <v>79</v>
      </c>
      <c r="E36" s="61" t="s">
        <v>80</v>
      </c>
      <c r="F36" s="65">
        <v>50.0</v>
      </c>
      <c r="G36" s="62">
        <v>1200.0</v>
      </c>
      <c r="H36" s="63">
        <v>44317.0</v>
      </c>
    </row>
    <row r="37">
      <c r="D37" s="66" t="s">
        <v>81</v>
      </c>
      <c r="E37" s="61" t="s">
        <v>82</v>
      </c>
      <c r="F37" s="65">
        <v>72.0</v>
      </c>
      <c r="G37" s="62">
        <v>8400.0</v>
      </c>
      <c r="H37" s="63">
        <v>44317.0</v>
      </c>
    </row>
    <row r="38">
      <c r="D38" s="61" t="s">
        <v>83</v>
      </c>
      <c r="E38" s="61" t="s">
        <v>84</v>
      </c>
      <c r="F38" s="62">
        <v>750.0</v>
      </c>
      <c r="G38" s="62">
        <v>1500.0</v>
      </c>
      <c r="H38" s="63">
        <v>44317.0</v>
      </c>
    </row>
    <row r="39">
      <c r="D39" s="61" t="s">
        <v>85</v>
      </c>
      <c r="E39" s="61" t="s">
        <v>34</v>
      </c>
      <c r="F39" s="62">
        <v>1500.0</v>
      </c>
      <c r="G39" s="62">
        <v>1500.0</v>
      </c>
      <c r="H39" s="63">
        <v>44317.0</v>
      </c>
    </row>
    <row r="40">
      <c r="D40" s="61" t="s">
        <v>86</v>
      </c>
      <c r="E40" s="61">
        <v>14.0</v>
      </c>
      <c r="F40" s="62">
        <v>100.0</v>
      </c>
      <c r="G40" s="62">
        <v>1400.0</v>
      </c>
      <c r="H40" s="63">
        <v>44317.0</v>
      </c>
    </row>
    <row r="41">
      <c r="D41" s="61" t="s">
        <v>87</v>
      </c>
      <c r="E41" s="61">
        <v>30.0</v>
      </c>
      <c r="F41" s="62">
        <v>50.0</v>
      </c>
      <c r="G41" s="62">
        <v>1500.0</v>
      </c>
      <c r="H41" s="63">
        <v>44317.0</v>
      </c>
    </row>
    <row r="42">
      <c r="D42" s="61" t="s">
        <v>88</v>
      </c>
      <c r="E42" s="61">
        <v>3.0</v>
      </c>
      <c r="F42" s="62">
        <v>180.0</v>
      </c>
      <c r="G42" s="62">
        <v>540.0</v>
      </c>
      <c r="H42" s="63">
        <v>44317.0</v>
      </c>
    </row>
    <row r="43">
      <c r="D43" s="61" t="s">
        <v>89</v>
      </c>
      <c r="E43" s="61">
        <v>3.0</v>
      </c>
      <c r="F43" s="62">
        <v>160.0</v>
      </c>
      <c r="G43" s="62">
        <v>480.0</v>
      </c>
      <c r="H43" s="63">
        <v>44317.0</v>
      </c>
    </row>
    <row r="44">
      <c r="D44" s="61" t="s">
        <v>90</v>
      </c>
      <c r="E44" s="61" t="s">
        <v>69</v>
      </c>
      <c r="F44" s="62">
        <v>65.0</v>
      </c>
      <c r="G44" s="62">
        <v>650.0</v>
      </c>
      <c r="H44" s="63">
        <v>44317.0</v>
      </c>
    </row>
    <row r="45">
      <c r="D45" s="61" t="s">
        <v>91</v>
      </c>
      <c r="E45" s="61">
        <v>2.0</v>
      </c>
      <c r="F45" s="62">
        <v>150.0</v>
      </c>
      <c r="G45" s="62">
        <v>300.0</v>
      </c>
      <c r="H45" s="63">
        <v>44317.0</v>
      </c>
    </row>
    <row r="46">
      <c r="D46" s="61" t="s">
        <v>92</v>
      </c>
      <c r="E46" s="61" t="s">
        <v>93</v>
      </c>
      <c r="F46" s="62">
        <v>50.0</v>
      </c>
      <c r="G46" s="62">
        <v>300.0</v>
      </c>
      <c r="H46" s="63">
        <v>44317.0</v>
      </c>
    </row>
    <row r="47">
      <c r="D47" s="61" t="s">
        <v>94</v>
      </c>
      <c r="E47" s="61">
        <v>1.0</v>
      </c>
      <c r="F47" s="62">
        <v>110.0</v>
      </c>
      <c r="G47" s="62">
        <v>110.0</v>
      </c>
      <c r="H47" s="63">
        <v>44317.0</v>
      </c>
    </row>
    <row r="48">
      <c r="D48" s="61" t="s">
        <v>95</v>
      </c>
      <c r="E48" s="61">
        <v>4.0</v>
      </c>
      <c r="F48" s="62">
        <v>300.0</v>
      </c>
      <c r="G48" s="62">
        <v>1200.0</v>
      </c>
      <c r="H48" s="63">
        <v>44317.0</v>
      </c>
    </row>
    <row r="49">
      <c r="D49" s="61" t="s">
        <v>96</v>
      </c>
      <c r="E49" s="61">
        <v>10.0</v>
      </c>
      <c r="F49" s="62">
        <v>30.0</v>
      </c>
      <c r="G49" s="62">
        <v>300.0</v>
      </c>
      <c r="H49" s="63">
        <v>44317.0</v>
      </c>
    </row>
    <row r="50">
      <c r="D50" s="61" t="s">
        <v>54</v>
      </c>
      <c r="E50" s="61">
        <v>10.0</v>
      </c>
      <c r="F50" s="62">
        <v>45.0</v>
      </c>
      <c r="G50" s="62">
        <v>450.0</v>
      </c>
      <c r="H50" s="63">
        <v>44317.0</v>
      </c>
    </row>
    <row r="51">
      <c r="D51" s="61" t="s">
        <v>97</v>
      </c>
      <c r="E51" s="61">
        <v>10.0</v>
      </c>
      <c r="F51" s="62">
        <v>35.0</v>
      </c>
      <c r="G51" s="62">
        <v>350.0</v>
      </c>
      <c r="H51" s="63">
        <v>44317.0</v>
      </c>
    </row>
    <row r="52">
      <c r="D52" s="61" t="s">
        <v>98</v>
      </c>
      <c r="E52" s="61">
        <v>4.0</v>
      </c>
      <c r="F52" s="62">
        <v>125.0</v>
      </c>
      <c r="G52" s="62">
        <v>500.0</v>
      </c>
      <c r="H52" s="63">
        <v>44317.0</v>
      </c>
    </row>
    <row r="53">
      <c r="D53" s="61" t="s">
        <v>99</v>
      </c>
      <c r="E53" s="61">
        <v>3.0</v>
      </c>
      <c r="F53" s="62">
        <v>300.0</v>
      </c>
      <c r="G53" s="62">
        <v>900.0</v>
      </c>
      <c r="H53" s="63">
        <v>44317.0</v>
      </c>
    </row>
    <row r="54">
      <c r="D54" s="61" t="s">
        <v>100</v>
      </c>
      <c r="E54" s="61">
        <v>8.0</v>
      </c>
      <c r="F54" s="62">
        <v>30.0</v>
      </c>
      <c r="G54" s="62">
        <v>240.0</v>
      </c>
      <c r="H54" s="63">
        <v>44318.0</v>
      </c>
    </row>
    <row r="55">
      <c r="D55" s="61" t="s">
        <v>101</v>
      </c>
      <c r="E55" s="61">
        <v>2.0</v>
      </c>
      <c r="F55" s="62">
        <v>300.0</v>
      </c>
      <c r="G55" s="62">
        <v>300.0</v>
      </c>
      <c r="H55" s="63">
        <v>44318.0</v>
      </c>
    </row>
    <row r="56">
      <c r="D56" s="61" t="s">
        <v>83</v>
      </c>
      <c r="E56" s="61">
        <v>1.0</v>
      </c>
      <c r="F56" s="62">
        <v>500.0</v>
      </c>
      <c r="G56" s="62">
        <v>500.0</v>
      </c>
      <c r="H56" s="63">
        <v>44318.0</v>
      </c>
    </row>
    <row r="57">
      <c r="D57" s="61" t="s">
        <v>102</v>
      </c>
      <c r="E57" s="61">
        <v>20.0</v>
      </c>
      <c r="F57" s="62">
        <v>100.0</v>
      </c>
      <c r="G57" s="62">
        <v>2000.0</v>
      </c>
      <c r="H57" s="63">
        <v>44318.0</v>
      </c>
    </row>
    <row r="58">
      <c r="D58" s="61" t="s">
        <v>103</v>
      </c>
      <c r="E58" s="61" t="s">
        <v>60</v>
      </c>
      <c r="F58" s="62">
        <v>1500.0</v>
      </c>
      <c r="G58" s="62">
        <v>6000.0</v>
      </c>
      <c r="H58" s="63">
        <v>44320.0</v>
      </c>
    </row>
    <row r="59">
      <c r="D59" s="61" t="s">
        <v>104</v>
      </c>
      <c r="E59" s="61" t="s">
        <v>32</v>
      </c>
      <c r="F59" s="62">
        <v>800.0</v>
      </c>
      <c r="G59" s="62">
        <v>4000.0</v>
      </c>
      <c r="H59" s="63">
        <v>44320.0</v>
      </c>
    </row>
    <row r="60">
      <c r="D60" s="61" t="s">
        <v>105</v>
      </c>
      <c r="E60" s="61" t="s">
        <v>39</v>
      </c>
      <c r="F60" s="62">
        <v>1000.0</v>
      </c>
      <c r="G60" s="62">
        <v>250.0</v>
      </c>
      <c r="H60" s="63">
        <v>44320.0</v>
      </c>
    </row>
    <row r="61">
      <c r="D61" s="61" t="s">
        <v>106</v>
      </c>
      <c r="E61" s="61" t="s">
        <v>39</v>
      </c>
      <c r="F61" s="62">
        <v>1000.0</v>
      </c>
      <c r="G61" s="62">
        <v>250.0</v>
      </c>
      <c r="H61" s="63">
        <v>44320.0</v>
      </c>
    </row>
    <row r="62">
      <c r="D62" s="61" t="s">
        <v>107</v>
      </c>
      <c r="E62" s="61" t="s">
        <v>37</v>
      </c>
      <c r="F62" s="62">
        <v>500.0</v>
      </c>
      <c r="G62" s="62">
        <v>500.0</v>
      </c>
      <c r="H62" s="63">
        <v>44320.0</v>
      </c>
    </row>
    <row r="63">
      <c r="D63" s="61" t="s">
        <v>108</v>
      </c>
      <c r="E63" s="61" t="s">
        <v>32</v>
      </c>
      <c r="F63" s="62">
        <v>1800.0</v>
      </c>
      <c r="G63" s="62">
        <v>9000.0</v>
      </c>
      <c r="H63" s="63">
        <v>44320.0</v>
      </c>
    </row>
    <row r="64">
      <c r="D64" s="61" t="s">
        <v>109</v>
      </c>
      <c r="E64" s="61" t="s">
        <v>32</v>
      </c>
      <c r="F64" s="62">
        <v>200.0</v>
      </c>
      <c r="G64" s="62">
        <v>1000.0</v>
      </c>
      <c r="H64" s="63">
        <v>44320.0</v>
      </c>
    </row>
    <row r="65">
      <c r="D65" s="61" t="s">
        <v>110</v>
      </c>
      <c r="E65" s="61" t="s">
        <v>34</v>
      </c>
      <c r="F65" s="62">
        <v>650.0</v>
      </c>
      <c r="G65" s="62">
        <v>650.0</v>
      </c>
      <c r="H65" s="63">
        <v>44320.0</v>
      </c>
    </row>
    <row r="66">
      <c r="D66" s="61" t="s">
        <v>111</v>
      </c>
      <c r="E66" s="61" t="s">
        <v>112</v>
      </c>
      <c r="F66" s="62">
        <v>280.0</v>
      </c>
      <c r="G66" s="62">
        <v>2800.0</v>
      </c>
      <c r="H66" s="63">
        <v>44320.0</v>
      </c>
    </row>
    <row r="67">
      <c r="D67" s="61" t="s">
        <v>113</v>
      </c>
      <c r="E67" s="61">
        <v>1.0</v>
      </c>
      <c r="F67" s="62">
        <v>120.0</v>
      </c>
      <c r="G67" s="62">
        <v>120.0</v>
      </c>
      <c r="H67" s="63">
        <v>44320.0</v>
      </c>
    </row>
    <row r="68">
      <c r="D68" s="61" t="s">
        <v>114</v>
      </c>
      <c r="E68" s="61">
        <v>1.0</v>
      </c>
      <c r="F68" s="62">
        <v>400.0</v>
      </c>
      <c r="G68" s="62">
        <v>400.0</v>
      </c>
      <c r="H68" s="63">
        <v>44320.0</v>
      </c>
    </row>
    <row r="69">
      <c r="D69" s="61" t="s">
        <v>115</v>
      </c>
      <c r="E69" s="61">
        <v>4.0</v>
      </c>
      <c r="F69" s="62">
        <v>200.0</v>
      </c>
      <c r="G69" s="62">
        <v>800.0</v>
      </c>
      <c r="H69" s="63">
        <v>44320.0</v>
      </c>
    </row>
    <row r="70">
      <c r="D70" s="61" t="s">
        <v>116</v>
      </c>
      <c r="E70" s="61" t="s">
        <v>117</v>
      </c>
      <c r="F70" s="62">
        <v>1100.0</v>
      </c>
      <c r="G70" s="62">
        <v>1100.0</v>
      </c>
      <c r="H70" s="63">
        <v>44320.0</v>
      </c>
    </row>
    <row r="71">
      <c r="D71" s="61" t="s">
        <v>88</v>
      </c>
      <c r="E71" s="61">
        <v>2.0</v>
      </c>
      <c r="F71" s="62">
        <v>185.0</v>
      </c>
      <c r="G71" s="62">
        <v>370.0</v>
      </c>
      <c r="H71" s="63">
        <v>44320.0</v>
      </c>
    </row>
    <row r="72">
      <c r="D72" s="61" t="s">
        <v>118</v>
      </c>
      <c r="E72" s="61">
        <v>1.0</v>
      </c>
      <c r="F72" s="62">
        <v>160.0</v>
      </c>
      <c r="G72" s="62">
        <v>160.0</v>
      </c>
      <c r="H72" s="63">
        <v>44320.0</v>
      </c>
    </row>
    <row r="73">
      <c r="D73" s="61" t="s">
        <v>100</v>
      </c>
      <c r="E73" s="61" t="s">
        <v>119</v>
      </c>
      <c r="F73" s="62">
        <v>175.0</v>
      </c>
      <c r="G73" s="62">
        <v>875.0</v>
      </c>
      <c r="H73" s="63">
        <v>44320.0</v>
      </c>
    </row>
    <row r="74">
      <c r="D74" s="61" t="s">
        <v>120</v>
      </c>
      <c r="E74" s="61" t="s">
        <v>121</v>
      </c>
      <c r="F74" s="62">
        <v>120.0</v>
      </c>
      <c r="G74" s="62">
        <v>3600.0</v>
      </c>
      <c r="H74" s="63">
        <v>44320.0</v>
      </c>
    </row>
    <row r="75">
      <c r="D75" s="61" t="s">
        <v>122</v>
      </c>
      <c r="E75" s="61" t="s">
        <v>123</v>
      </c>
      <c r="F75" s="62">
        <v>450.0</v>
      </c>
      <c r="G75" s="62">
        <v>1800.0</v>
      </c>
      <c r="H75" s="63">
        <v>44320.0</v>
      </c>
    </row>
    <row r="76">
      <c r="D76" s="61" t="s">
        <v>124</v>
      </c>
      <c r="E76" s="61">
        <v>5.0</v>
      </c>
      <c r="F76" s="62">
        <v>200.0</v>
      </c>
      <c r="G76" s="62">
        <v>1000.0</v>
      </c>
      <c r="H76" s="61" t="s">
        <v>125</v>
      </c>
    </row>
    <row r="77">
      <c r="D77" s="61" t="s">
        <v>91</v>
      </c>
      <c r="E77" s="61">
        <v>9.0</v>
      </c>
      <c r="F77" s="62">
        <v>170.0</v>
      </c>
      <c r="G77" s="62">
        <v>1530.0</v>
      </c>
      <c r="H77" s="63">
        <v>44320.0</v>
      </c>
    </row>
    <row r="78">
      <c r="D78" s="61" t="s">
        <v>115</v>
      </c>
      <c r="E78" s="61">
        <v>3.0</v>
      </c>
      <c r="F78" s="62">
        <v>200.0</v>
      </c>
      <c r="G78" s="62">
        <v>600.0</v>
      </c>
      <c r="H78" s="63">
        <v>44320.0</v>
      </c>
    </row>
    <row r="79">
      <c r="D79" s="61" t="s">
        <v>92</v>
      </c>
      <c r="E79" s="61">
        <v>4.0</v>
      </c>
      <c r="F79" s="62">
        <v>50.0</v>
      </c>
      <c r="G79" s="62">
        <v>200.0</v>
      </c>
      <c r="H79" s="63">
        <v>44320.0</v>
      </c>
    </row>
    <row r="80">
      <c r="D80" s="61" t="s">
        <v>126</v>
      </c>
      <c r="E80" s="61" t="s">
        <v>127</v>
      </c>
      <c r="F80" s="62">
        <v>350.0</v>
      </c>
      <c r="G80" s="62">
        <v>1400.0</v>
      </c>
      <c r="H80" s="63">
        <v>44321.0</v>
      </c>
    </row>
    <row r="81">
      <c r="D81" s="61" t="s">
        <v>104</v>
      </c>
      <c r="E81" s="61" t="s">
        <v>84</v>
      </c>
      <c r="F81" s="62">
        <v>750.0</v>
      </c>
      <c r="G81" s="62">
        <v>1500.0</v>
      </c>
      <c r="H81" s="63">
        <v>44321.0</v>
      </c>
    </row>
    <row r="82">
      <c r="D82" s="61" t="s">
        <v>85</v>
      </c>
      <c r="E82" s="61" t="s">
        <v>34</v>
      </c>
      <c r="F82" s="62">
        <v>1400.0</v>
      </c>
      <c r="G82" s="62">
        <v>1400.0</v>
      </c>
      <c r="H82" s="63">
        <v>44321.0</v>
      </c>
    </row>
    <row r="83">
      <c r="D83" s="61" t="s">
        <v>128</v>
      </c>
      <c r="E83" s="61" t="s">
        <v>129</v>
      </c>
      <c r="F83" s="62">
        <v>500.0</v>
      </c>
      <c r="G83" s="62">
        <v>500.0</v>
      </c>
      <c r="H83" s="63">
        <v>44321.0</v>
      </c>
    </row>
    <row r="84">
      <c r="D84" s="61" t="s">
        <v>130</v>
      </c>
      <c r="E84" s="61">
        <v>6.0</v>
      </c>
      <c r="F84" s="62">
        <v>130.0</v>
      </c>
      <c r="G84" s="62">
        <v>780.0</v>
      </c>
      <c r="H84" s="63">
        <v>44321.0</v>
      </c>
    </row>
    <row r="85">
      <c r="D85" s="61" t="s">
        <v>131</v>
      </c>
      <c r="E85" s="61">
        <v>11.0</v>
      </c>
      <c r="F85" s="62">
        <v>20.0</v>
      </c>
      <c r="G85" s="62">
        <v>300.0</v>
      </c>
      <c r="H85" s="63">
        <v>44321.0</v>
      </c>
    </row>
    <row r="86">
      <c r="D86" s="61" t="s">
        <v>86</v>
      </c>
      <c r="E86" s="61">
        <v>21.0</v>
      </c>
      <c r="F86" s="62">
        <v>100.0</v>
      </c>
      <c r="G86" s="62">
        <v>2100.0</v>
      </c>
      <c r="H86" s="63">
        <v>44321.0</v>
      </c>
    </row>
    <row r="87">
      <c r="D87" s="61" t="s">
        <v>132</v>
      </c>
      <c r="E87" s="61">
        <v>6.0</v>
      </c>
      <c r="F87" s="62">
        <v>240.0</v>
      </c>
      <c r="G87" s="62">
        <v>1440.0</v>
      </c>
      <c r="H87" s="63">
        <v>44321.0</v>
      </c>
    </row>
    <row r="88">
      <c r="D88" s="61" t="s">
        <v>133</v>
      </c>
      <c r="E88" s="61">
        <v>2.0</v>
      </c>
      <c r="F88" s="62">
        <v>100.0</v>
      </c>
      <c r="G88" s="62">
        <v>200.0</v>
      </c>
      <c r="H88" s="63">
        <v>44321.0</v>
      </c>
    </row>
    <row r="89">
      <c r="D89" s="61" t="s">
        <v>134</v>
      </c>
      <c r="E89" s="61">
        <v>3.0</v>
      </c>
      <c r="F89" s="62">
        <v>100.0</v>
      </c>
      <c r="G89" s="62">
        <v>300.0</v>
      </c>
      <c r="H89" s="63">
        <v>44321.0</v>
      </c>
    </row>
    <row r="90">
      <c r="D90" s="61" t="s">
        <v>135</v>
      </c>
      <c r="E90" s="61">
        <v>1.0</v>
      </c>
      <c r="F90" s="62">
        <v>150.0</v>
      </c>
      <c r="G90" s="62">
        <v>150.0</v>
      </c>
      <c r="H90" s="63">
        <v>44321.0</v>
      </c>
    </row>
    <row r="91">
      <c r="D91" s="61" t="s">
        <v>94</v>
      </c>
      <c r="E91" s="61">
        <v>1.0</v>
      </c>
      <c r="F91" s="62">
        <v>100.0</v>
      </c>
      <c r="G91" s="62">
        <v>100.0</v>
      </c>
      <c r="H91" s="63">
        <v>44321.0</v>
      </c>
    </row>
    <row r="92">
      <c r="D92" s="61" t="s">
        <v>136</v>
      </c>
      <c r="E92" s="61">
        <v>1.0</v>
      </c>
      <c r="F92" s="62">
        <v>100.0</v>
      </c>
      <c r="G92" s="62">
        <v>100.0</v>
      </c>
      <c r="H92" s="63">
        <v>44321.0</v>
      </c>
    </row>
    <row r="93">
      <c r="D93" s="61" t="s">
        <v>137</v>
      </c>
      <c r="E93" s="61">
        <v>1.0</v>
      </c>
      <c r="F93" s="62">
        <v>500.0</v>
      </c>
      <c r="G93" s="62">
        <v>500.0</v>
      </c>
      <c r="H93" s="63">
        <v>44321.0</v>
      </c>
    </row>
    <row r="94">
      <c r="D94" s="61" t="s">
        <v>86</v>
      </c>
      <c r="E94" s="61">
        <v>39.0</v>
      </c>
      <c r="F94" s="62">
        <v>100.0</v>
      </c>
      <c r="G94" s="62">
        <v>3900.0</v>
      </c>
      <c r="H94" s="63">
        <v>44322.0</v>
      </c>
    </row>
    <row r="95">
      <c r="D95" s="61" t="s">
        <v>138</v>
      </c>
      <c r="E95" s="61">
        <v>1.0</v>
      </c>
      <c r="F95" s="62">
        <v>100.0</v>
      </c>
      <c r="G95" s="62">
        <v>100.0</v>
      </c>
      <c r="H95" s="63">
        <v>44322.0</v>
      </c>
    </row>
    <row r="96">
      <c r="D96" s="61" t="s">
        <v>139</v>
      </c>
      <c r="E96" s="61">
        <v>2.0</v>
      </c>
      <c r="F96" s="62">
        <v>100.0</v>
      </c>
      <c r="G96" s="62">
        <v>200.0</v>
      </c>
      <c r="H96" s="63">
        <v>44322.0</v>
      </c>
    </row>
    <row r="97">
      <c r="D97" s="61" t="s">
        <v>140</v>
      </c>
      <c r="E97" s="61" t="s">
        <v>34</v>
      </c>
      <c r="F97" s="62">
        <v>1400.0</v>
      </c>
      <c r="G97" s="62">
        <v>1400.0</v>
      </c>
      <c r="H97" s="63">
        <v>44322.0</v>
      </c>
    </row>
    <row r="98">
      <c r="D98" s="61" t="s">
        <v>103</v>
      </c>
      <c r="E98" s="61" t="s">
        <v>37</v>
      </c>
      <c r="F98" s="62">
        <v>1400.0</v>
      </c>
      <c r="G98" s="62">
        <v>700.0</v>
      </c>
      <c r="H98" s="63">
        <v>44323.0</v>
      </c>
    </row>
    <row r="99">
      <c r="D99" s="61" t="s">
        <v>141</v>
      </c>
      <c r="E99" s="61" t="s">
        <v>142</v>
      </c>
      <c r="F99" s="62">
        <v>105.0</v>
      </c>
      <c r="G99" s="62">
        <v>2200.0</v>
      </c>
      <c r="H99" s="63">
        <v>44323.0</v>
      </c>
    </row>
    <row r="100">
      <c r="D100" s="61" t="s">
        <v>104</v>
      </c>
      <c r="E100" s="61" t="s">
        <v>143</v>
      </c>
      <c r="F100" s="62">
        <v>800.0</v>
      </c>
      <c r="G100" s="62">
        <v>2400.0</v>
      </c>
      <c r="H100" s="63">
        <v>44323.0</v>
      </c>
    </row>
    <row r="101">
      <c r="D101" s="61" t="s">
        <v>59</v>
      </c>
      <c r="E101" s="61" t="s">
        <v>60</v>
      </c>
      <c r="F101" s="62">
        <v>250.0</v>
      </c>
      <c r="G101" s="62">
        <v>1000.0</v>
      </c>
      <c r="H101" s="63">
        <v>44323.0</v>
      </c>
    </row>
    <row r="102">
      <c r="D102" s="61" t="s">
        <v>92</v>
      </c>
      <c r="E102" s="61" t="s">
        <v>32</v>
      </c>
      <c r="F102" s="62">
        <v>100.0</v>
      </c>
      <c r="G102" s="62">
        <v>500.0</v>
      </c>
      <c r="H102" s="63">
        <v>44323.0</v>
      </c>
    </row>
    <row r="103">
      <c r="D103" s="61" t="s">
        <v>135</v>
      </c>
      <c r="E103" s="61" t="s">
        <v>34</v>
      </c>
      <c r="F103" s="62">
        <v>150.0</v>
      </c>
      <c r="G103" s="62">
        <v>150.0</v>
      </c>
      <c r="H103" s="63">
        <v>44323.0</v>
      </c>
    </row>
    <row r="104">
      <c r="D104" s="61" t="s">
        <v>144</v>
      </c>
      <c r="E104" s="61">
        <v>1.0</v>
      </c>
      <c r="F104" s="62">
        <v>250.0</v>
      </c>
      <c r="G104" s="62">
        <v>250.0</v>
      </c>
      <c r="H104" s="63">
        <v>44323.0</v>
      </c>
    </row>
    <row r="105">
      <c r="D105" s="61" t="s">
        <v>138</v>
      </c>
      <c r="E105" s="61">
        <v>1.0</v>
      </c>
      <c r="F105" s="62">
        <v>300.0</v>
      </c>
      <c r="G105" s="62">
        <v>300.0</v>
      </c>
      <c r="H105" s="63">
        <v>44323.0</v>
      </c>
    </row>
    <row r="106">
      <c r="D106" s="61" t="s">
        <v>94</v>
      </c>
      <c r="E106" s="61">
        <v>1.0</v>
      </c>
      <c r="F106" s="62">
        <v>100.0</v>
      </c>
      <c r="G106" s="62">
        <v>100.0</v>
      </c>
      <c r="H106" s="63">
        <v>44323.0</v>
      </c>
    </row>
    <row r="107">
      <c r="D107" s="61" t="s">
        <v>136</v>
      </c>
      <c r="E107" s="61" t="s">
        <v>34</v>
      </c>
      <c r="F107" s="62">
        <v>100.0</v>
      </c>
      <c r="G107" s="62">
        <v>100.0</v>
      </c>
      <c r="H107" s="63">
        <v>44323.0</v>
      </c>
    </row>
    <row r="108">
      <c r="D108" s="61" t="s">
        <v>145</v>
      </c>
      <c r="E108" s="61">
        <v>1.0</v>
      </c>
      <c r="F108" s="62">
        <v>100.0</v>
      </c>
      <c r="G108" s="62">
        <v>200.0</v>
      </c>
      <c r="H108" s="63">
        <v>44323.0</v>
      </c>
    </row>
    <row r="109">
      <c r="D109" s="61" t="s">
        <v>146</v>
      </c>
      <c r="E109" s="61">
        <v>1.0</v>
      </c>
      <c r="F109" s="62">
        <v>400.0</v>
      </c>
      <c r="G109" s="62">
        <v>400.0</v>
      </c>
      <c r="H109" s="63">
        <v>44323.0</v>
      </c>
    </row>
    <row r="110">
      <c r="D110" s="61" t="s">
        <v>130</v>
      </c>
      <c r="E110" s="61">
        <v>4.0</v>
      </c>
      <c r="F110" s="62">
        <v>80.0</v>
      </c>
      <c r="G110" s="62">
        <v>320.0</v>
      </c>
      <c r="H110" s="63">
        <v>44323.0</v>
      </c>
    </row>
    <row r="111">
      <c r="D111" s="61" t="s">
        <v>147</v>
      </c>
      <c r="E111" s="61">
        <v>1.0</v>
      </c>
      <c r="F111" s="62">
        <v>100.0</v>
      </c>
      <c r="G111" s="62">
        <v>100.0</v>
      </c>
      <c r="H111" s="63">
        <v>44323.0</v>
      </c>
    </row>
    <row r="112">
      <c r="D112" s="61" t="s">
        <v>148</v>
      </c>
      <c r="E112" s="61">
        <v>6.0</v>
      </c>
      <c r="F112" s="62">
        <v>240.0</v>
      </c>
      <c r="G112" s="62">
        <v>1440.0</v>
      </c>
      <c r="H112" s="63">
        <v>44323.0</v>
      </c>
    </row>
    <row r="113">
      <c r="D113" s="61" t="s">
        <v>149</v>
      </c>
      <c r="E113" s="61">
        <v>3.0</v>
      </c>
      <c r="F113" s="62">
        <v>240.0</v>
      </c>
      <c r="G113" s="62">
        <v>720.0</v>
      </c>
      <c r="H113" s="63">
        <v>44324.0</v>
      </c>
    </row>
    <row r="114">
      <c r="D114" s="61" t="s">
        <v>150</v>
      </c>
      <c r="E114" s="61" t="s">
        <v>151</v>
      </c>
      <c r="F114" s="62">
        <v>60.0</v>
      </c>
      <c r="G114" s="62">
        <v>1000.0</v>
      </c>
      <c r="H114" s="63">
        <v>44324.0</v>
      </c>
    </row>
    <row r="115">
      <c r="D115" s="61" t="s">
        <v>50</v>
      </c>
      <c r="E115" s="61" t="s">
        <v>60</v>
      </c>
      <c r="F115" s="62">
        <v>1850.0</v>
      </c>
      <c r="G115" s="62">
        <v>7400.0</v>
      </c>
      <c r="H115" s="63">
        <v>44324.0</v>
      </c>
    </row>
    <row r="116">
      <c r="D116" s="61" t="s">
        <v>152</v>
      </c>
      <c r="E116" s="61">
        <v>3.0</v>
      </c>
      <c r="F116" s="62">
        <v>1375.0</v>
      </c>
      <c r="G116" s="62">
        <v>4125.0</v>
      </c>
      <c r="H116" s="63">
        <v>44324.0</v>
      </c>
    </row>
    <row r="117">
      <c r="D117" s="61" t="s">
        <v>153</v>
      </c>
      <c r="E117" s="61" t="s">
        <v>56</v>
      </c>
      <c r="F117" s="62">
        <v>900.0</v>
      </c>
      <c r="G117" s="62">
        <v>250.0</v>
      </c>
      <c r="H117" s="63">
        <v>44324.0</v>
      </c>
    </row>
    <row r="118">
      <c r="D118" s="61" t="s">
        <v>154</v>
      </c>
      <c r="E118" s="61" t="s">
        <v>56</v>
      </c>
      <c r="F118" s="62" t="s">
        <v>56</v>
      </c>
      <c r="G118" s="62">
        <v>300.0</v>
      </c>
      <c r="H118" s="63">
        <v>44324.0</v>
      </c>
    </row>
    <row r="119">
      <c r="D119" s="61" t="s">
        <v>155</v>
      </c>
      <c r="E119" s="61" t="s">
        <v>56</v>
      </c>
      <c r="F119" s="62" t="s">
        <v>56</v>
      </c>
      <c r="G119" s="62">
        <v>300.0</v>
      </c>
      <c r="H119" s="61" t="s">
        <v>156</v>
      </c>
    </row>
    <row r="120">
      <c r="D120" s="61" t="s">
        <v>104</v>
      </c>
      <c r="E120" s="61" t="s">
        <v>143</v>
      </c>
      <c r="F120" s="62">
        <v>750.0</v>
      </c>
      <c r="G120" s="62">
        <v>2250.0</v>
      </c>
      <c r="H120" s="63">
        <v>44325.0</v>
      </c>
    </row>
    <row r="121">
      <c r="D121" s="61" t="s">
        <v>157</v>
      </c>
      <c r="E121" s="61">
        <v>1.0</v>
      </c>
      <c r="F121" s="62">
        <v>500.0</v>
      </c>
      <c r="G121" s="62">
        <v>500.0</v>
      </c>
      <c r="H121" s="63">
        <v>44325.0</v>
      </c>
    </row>
    <row r="122">
      <c r="D122" s="61" t="s">
        <v>158</v>
      </c>
      <c r="E122" s="61" t="s">
        <v>159</v>
      </c>
      <c r="F122" s="62">
        <v>105.0</v>
      </c>
      <c r="G122" s="62">
        <v>5250.0</v>
      </c>
      <c r="H122" s="63">
        <v>44325.0</v>
      </c>
    </row>
    <row r="123">
      <c r="D123" s="61" t="s">
        <v>145</v>
      </c>
      <c r="E123" s="61">
        <v>3.0</v>
      </c>
      <c r="F123" s="62">
        <v>100.0</v>
      </c>
      <c r="G123" s="62">
        <v>300.0</v>
      </c>
      <c r="H123" s="63">
        <v>44325.0</v>
      </c>
    </row>
    <row r="124">
      <c r="D124" s="61" t="s">
        <v>102</v>
      </c>
      <c r="E124" s="61">
        <v>15.0</v>
      </c>
      <c r="F124" s="62">
        <v>100.0</v>
      </c>
      <c r="G124" s="62">
        <v>1500.0</v>
      </c>
      <c r="H124" s="63">
        <v>44325.0</v>
      </c>
    </row>
    <row r="125">
      <c r="D125" s="61" t="s">
        <v>160</v>
      </c>
      <c r="E125" s="61">
        <v>1.0</v>
      </c>
      <c r="F125" s="62">
        <v>100.0</v>
      </c>
      <c r="G125" s="62">
        <v>100.0</v>
      </c>
      <c r="H125" s="63">
        <v>44325.0</v>
      </c>
    </row>
    <row r="126">
      <c r="D126" s="61" t="s">
        <v>161</v>
      </c>
      <c r="E126" s="61" t="s">
        <v>162</v>
      </c>
      <c r="F126" s="62">
        <v>350.0</v>
      </c>
      <c r="G126" s="62">
        <v>1050.0</v>
      </c>
      <c r="H126" s="63">
        <v>44325.0</v>
      </c>
    </row>
    <row r="127">
      <c r="D127" s="61" t="s">
        <v>163</v>
      </c>
      <c r="E127" s="61" t="s">
        <v>56</v>
      </c>
      <c r="F127" s="62" t="s">
        <v>56</v>
      </c>
      <c r="G127" s="62">
        <v>1200.0</v>
      </c>
      <c r="H127" s="63">
        <v>44325.0</v>
      </c>
    </row>
    <row r="128">
      <c r="D128" s="61" t="s">
        <v>164</v>
      </c>
      <c r="E128" s="61">
        <v>3.0</v>
      </c>
      <c r="F128" s="62">
        <v>100.0</v>
      </c>
      <c r="G128" s="62">
        <v>300.0</v>
      </c>
      <c r="H128" s="63">
        <v>44325.0</v>
      </c>
    </row>
    <row r="129">
      <c r="D129" s="61" t="s">
        <v>165</v>
      </c>
      <c r="E129" s="61">
        <v>700.0</v>
      </c>
      <c r="F129" s="62">
        <v>700.0</v>
      </c>
      <c r="G129" s="62">
        <v>700.0</v>
      </c>
      <c r="H129" s="63">
        <v>44325.0</v>
      </c>
    </row>
    <row r="130">
      <c r="D130" s="61" t="s">
        <v>136</v>
      </c>
      <c r="E130" s="61">
        <v>1.0</v>
      </c>
      <c r="F130" s="62">
        <v>100.0</v>
      </c>
      <c r="G130" s="62">
        <v>100.0</v>
      </c>
      <c r="H130" s="63">
        <v>44325.0</v>
      </c>
    </row>
    <row r="131">
      <c r="D131" s="61" t="s">
        <v>166</v>
      </c>
      <c r="E131" s="61" t="s">
        <v>167</v>
      </c>
      <c r="F131" s="62">
        <v>2100.0</v>
      </c>
      <c r="G131" s="62">
        <v>2100.0</v>
      </c>
      <c r="H131" s="63">
        <v>44325.0</v>
      </c>
    </row>
    <row r="132">
      <c r="D132" s="61" t="s">
        <v>168</v>
      </c>
      <c r="E132" s="61">
        <v>10.0</v>
      </c>
      <c r="F132" s="62">
        <v>1400.0</v>
      </c>
      <c r="G132" s="62">
        <v>14000.0</v>
      </c>
      <c r="H132" s="63">
        <v>44325.0</v>
      </c>
    </row>
    <row r="133">
      <c r="D133" s="61" t="s">
        <v>92</v>
      </c>
      <c r="E133" s="61">
        <v>4.0</v>
      </c>
      <c r="F133" s="62">
        <v>50.0</v>
      </c>
      <c r="G133" s="62">
        <v>200.0</v>
      </c>
      <c r="H133" s="63">
        <v>44325.0</v>
      </c>
    </row>
    <row r="134">
      <c r="D134" s="61" t="s">
        <v>104</v>
      </c>
      <c r="E134" s="61" t="s">
        <v>34</v>
      </c>
      <c r="F134" s="62">
        <v>800.0</v>
      </c>
      <c r="G134" s="62">
        <v>800.0</v>
      </c>
      <c r="H134" s="63">
        <v>44325.0</v>
      </c>
    </row>
    <row r="135">
      <c r="D135" s="61" t="s">
        <v>169</v>
      </c>
      <c r="E135" s="61">
        <v>2.0</v>
      </c>
      <c r="F135" s="62">
        <v>500.0</v>
      </c>
      <c r="G135" s="62">
        <v>1000.0</v>
      </c>
      <c r="H135" s="61" t="s">
        <v>170</v>
      </c>
    </row>
    <row r="136">
      <c r="D136" s="61" t="s">
        <v>171</v>
      </c>
      <c r="E136" s="61">
        <v>3.0</v>
      </c>
      <c r="F136" s="62" t="s">
        <v>56</v>
      </c>
      <c r="G136" s="62">
        <v>4000.0</v>
      </c>
      <c r="H136" s="63">
        <v>44327.0</v>
      </c>
    </row>
    <row r="137">
      <c r="D137" s="61" t="s">
        <v>172</v>
      </c>
      <c r="E137" s="61" t="s">
        <v>56</v>
      </c>
      <c r="F137" s="62" t="s">
        <v>56</v>
      </c>
      <c r="G137" s="62">
        <v>5000.0</v>
      </c>
      <c r="H137" s="63">
        <v>44327.0</v>
      </c>
    </row>
    <row r="138">
      <c r="D138" s="61" t="s">
        <v>158</v>
      </c>
      <c r="E138" s="61">
        <v>40.0</v>
      </c>
      <c r="F138" s="62">
        <v>110.0</v>
      </c>
      <c r="G138" s="62">
        <v>4400.0</v>
      </c>
      <c r="H138" s="63">
        <v>44327.0</v>
      </c>
    </row>
    <row r="139">
      <c r="D139" s="61" t="s">
        <v>50</v>
      </c>
      <c r="E139" s="61" t="s">
        <v>34</v>
      </c>
      <c r="F139" s="62">
        <v>2400.0</v>
      </c>
      <c r="G139" s="62">
        <v>2400.0</v>
      </c>
      <c r="H139" s="63">
        <v>44326.0</v>
      </c>
    </row>
    <row r="140">
      <c r="D140" s="61" t="s">
        <v>173</v>
      </c>
      <c r="E140" s="61">
        <v>80.0</v>
      </c>
      <c r="F140" s="62">
        <v>105.0</v>
      </c>
      <c r="G140" s="62">
        <v>8400.0</v>
      </c>
      <c r="H140" s="61" t="s">
        <v>174</v>
      </c>
      <c r="I140" s="67" t="s">
        <v>175</v>
      </c>
    </row>
    <row r="141">
      <c r="D141" s="61" t="s">
        <v>176</v>
      </c>
      <c r="E141" s="61" t="s">
        <v>84</v>
      </c>
      <c r="F141" s="62">
        <v>850.0</v>
      </c>
      <c r="G141" s="62">
        <v>2000.0</v>
      </c>
      <c r="H141" s="61" t="s">
        <v>177</v>
      </c>
    </row>
    <row r="142">
      <c r="D142" s="61" t="s">
        <v>178</v>
      </c>
      <c r="E142" s="61" t="s">
        <v>32</v>
      </c>
      <c r="F142" s="62">
        <v>1800.0</v>
      </c>
      <c r="G142" s="62">
        <v>9000.0</v>
      </c>
      <c r="H142" s="61" t="s">
        <v>179</v>
      </c>
    </row>
    <row r="143">
      <c r="D143" s="61" t="s">
        <v>57</v>
      </c>
      <c r="E143" s="61" t="s">
        <v>180</v>
      </c>
      <c r="F143" s="62">
        <v>650.0</v>
      </c>
      <c r="G143" s="62">
        <v>1950.0</v>
      </c>
      <c r="H143" s="63">
        <v>44326.0</v>
      </c>
    </row>
    <row r="144">
      <c r="D144" s="61" t="s">
        <v>75</v>
      </c>
      <c r="E144" s="61" t="s">
        <v>181</v>
      </c>
      <c r="F144" s="62">
        <v>520.0</v>
      </c>
      <c r="G144" s="62">
        <v>4160.0</v>
      </c>
      <c r="H144" s="63">
        <v>44326.0</v>
      </c>
    </row>
    <row r="145">
      <c r="D145" s="61" t="s">
        <v>182</v>
      </c>
      <c r="E145" s="61">
        <v>8.0</v>
      </c>
      <c r="F145" s="62">
        <v>200.0</v>
      </c>
      <c r="G145" s="62">
        <v>1600.0</v>
      </c>
      <c r="H145" s="63">
        <v>44326.0</v>
      </c>
    </row>
    <row r="146">
      <c r="D146" s="61" t="s">
        <v>183</v>
      </c>
      <c r="E146" s="61" t="s">
        <v>34</v>
      </c>
      <c r="F146" s="62">
        <v>500.0</v>
      </c>
      <c r="G146" s="62">
        <v>500.0</v>
      </c>
      <c r="H146" s="63">
        <v>44326.0</v>
      </c>
    </row>
    <row r="147">
      <c r="D147" s="61" t="s">
        <v>184</v>
      </c>
      <c r="E147" s="61">
        <v>1.0</v>
      </c>
      <c r="F147" s="62">
        <v>230.0</v>
      </c>
      <c r="G147" s="62">
        <v>230.0</v>
      </c>
      <c r="H147" s="63">
        <v>44326.0</v>
      </c>
    </row>
    <row r="148">
      <c r="D148" s="61" t="s">
        <v>185</v>
      </c>
      <c r="E148" s="61" t="s">
        <v>186</v>
      </c>
      <c r="F148" s="62">
        <v>750.0</v>
      </c>
      <c r="G148" s="62">
        <v>1500.0</v>
      </c>
      <c r="H148" s="63">
        <v>44326.0</v>
      </c>
    </row>
    <row r="149">
      <c r="D149" s="61" t="s">
        <v>187</v>
      </c>
      <c r="E149" s="61">
        <v>3.0</v>
      </c>
      <c r="F149" s="62">
        <v>120.0</v>
      </c>
      <c r="G149" s="62">
        <v>120.0</v>
      </c>
      <c r="H149" s="63">
        <v>44326.0</v>
      </c>
    </row>
    <row r="150">
      <c r="D150" s="61" t="s">
        <v>188</v>
      </c>
      <c r="E150" s="61">
        <v>1.0</v>
      </c>
      <c r="F150" s="62">
        <v>500.0</v>
      </c>
      <c r="G150" s="62">
        <v>500.0</v>
      </c>
      <c r="H150" s="63">
        <v>44326.0</v>
      </c>
    </row>
    <row r="151">
      <c r="D151" s="61" t="s">
        <v>189</v>
      </c>
      <c r="E151" s="61">
        <v>2.0</v>
      </c>
      <c r="F151" s="62">
        <v>1000.0</v>
      </c>
      <c r="G151" s="62">
        <v>2000.0</v>
      </c>
      <c r="H151" s="63">
        <v>44327.0</v>
      </c>
    </row>
    <row r="152">
      <c r="D152" s="61" t="s">
        <v>190</v>
      </c>
      <c r="E152" s="61">
        <v>2.0</v>
      </c>
      <c r="F152" s="62">
        <v>250.0</v>
      </c>
      <c r="G152" s="62">
        <v>500.0</v>
      </c>
      <c r="H152" s="63">
        <v>44326.0</v>
      </c>
    </row>
    <row r="153">
      <c r="D153" s="61" t="s">
        <v>191</v>
      </c>
      <c r="E153" s="61" t="s">
        <v>34</v>
      </c>
      <c r="F153" s="62">
        <v>500.0</v>
      </c>
      <c r="G153" s="62">
        <v>500.0</v>
      </c>
      <c r="H153" s="63">
        <v>44326.0</v>
      </c>
    </row>
    <row r="154">
      <c r="D154" s="61" t="s">
        <v>192</v>
      </c>
      <c r="E154" s="61" t="s">
        <v>34</v>
      </c>
      <c r="F154" s="62">
        <v>750.0</v>
      </c>
      <c r="G154" s="62">
        <v>750.0</v>
      </c>
      <c r="H154" s="63">
        <v>44328.0</v>
      </c>
    </row>
    <row r="155">
      <c r="D155" s="61" t="s">
        <v>92</v>
      </c>
      <c r="E155" s="61">
        <v>3.0</v>
      </c>
      <c r="F155" s="62">
        <v>65.0</v>
      </c>
      <c r="G155" s="62">
        <v>200.0</v>
      </c>
      <c r="H155" s="63">
        <v>44328.0</v>
      </c>
    </row>
    <row r="156">
      <c r="D156" s="61" t="s">
        <v>61</v>
      </c>
      <c r="E156" s="61">
        <v>8.0</v>
      </c>
      <c r="F156" s="62">
        <v>20.0</v>
      </c>
      <c r="G156" s="62">
        <v>160.0</v>
      </c>
      <c r="H156" s="63">
        <v>44328.0</v>
      </c>
    </row>
    <row r="157">
      <c r="D157" s="61" t="s">
        <v>193</v>
      </c>
      <c r="E157" s="61">
        <v>1.0</v>
      </c>
      <c r="F157" s="62">
        <v>95.0</v>
      </c>
      <c r="G157" s="62">
        <v>95.0</v>
      </c>
      <c r="H157" s="63">
        <v>44328.0</v>
      </c>
    </row>
    <row r="158">
      <c r="D158" s="61" t="s">
        <v>194</v>
      </c>
      <c r="E158" s="61" t="s">
        <v>56</v>
      </c>
      <c r="F158" s="62" t="s">
        <v>195</v>
      </c>
      <c r="G158" s="62">
        <v>4375.0</v>
      </c>
      <c r="H158" s="63">
        <v>44328.0</v>
      </c>
    </row>
    <row r="159">
      <c r="D159" s="61" t="s">
        <v>92</v>
      </c>
      <c r="E159" s="61" t="s">
        <v>196</v>
      </c>
      <c r="F159" s="62">
        <v>60.0</v>
      </c>
      <c r="G159" s="62">
        <v>12000.0</v>
      </c>
      <c r="H159" s="63">
        <v>44328.0</v>
      </c>
    </row>
    <row r="160">
      <c r="D160" s="61" t="s">
        <v>197</v>
      </c>
      <c r="E160" s="61" t="s">
        <v>84</v>
      </c>
      <c r="F160" s="62">
        <v>1850.0</v>
      </c>
      <c r="G160" s="62">
        <v>4000.0</v>
      </c>
      <c r="H160" s="63">
        <v>44333.0</v>
      </c>
    </row>
    <row r="161">
      <c r="D161" s="61" t="s">
        <v>158</v>
      </c>
      <c r="E161" s="61" t="s">
        <v>69</v>
      </c>
      <c r="F161" s="62">
        <v>105.0</v>
      </c>
      <c r="G161" s="62">
        <v>1050.0</v>
      </c>
      <c r="H161" s="63">
        <v>44333.0</v>
      </c>
    </row>
    <row r="162">
      <c r="D162" s="61" t="s">
        <v>133</v>
      </c>
      <c r="E162" s="61" t="s">
        <v>93</v>
      </c>
      <c r="F162" s="62">
        <v>400.0</v>
      </c>
      <c r="G162" s="62">
        <v>2400.0</v>
      </c>
      <c r="H162" s="63">
        <v>44333.0</v>
      </c>
    </row>
    <row r="163">
      <c r="D163" s="61" t="s">
        <v>198</v>
      </c>
      <c r="E163" s="61">
        <v>5.0</v>
      </c>
      <c r="F163" s="62">
        <v>100.0</v>
      </c>
      <c r="G163" s="62">
        <v>500.0</v>
      </c>
      <c r="H163" s="63">
        <v>44335.0</v>
      </c>
    </row>
    <row r="164">
      <c r="D164" s="61" t="s">
        <v>199</v>
      </c>
      <c r="E164" s="61" t="s">
        <v>200</v>
      </c>
      <c r="F164" s="62">
        <v>1820.0</v>
      </c>
      <c r="G164" s="62">
        <v>9700.0</v>
      </c>
      <c r="H164" s="68">
        <v>44335.0</v>
      </c>
    </row>
    <row r="165">
      <c r="D165" s="61" t="s">
        <v>201</v>
      </c>
      <c r="E165" s="61">
        <v>54.0</v>
      </c>
      <c r="F165" s="62">
        <v>10.0</v>
      </c>
      <c r="G165" s="62">
        <v>540.0</v>
      </c>
      <c r="H165" s="68">
        <v>44335.0</v>
      </c>
    </row>
    <row r="166">
      <c r="D166" s="61" t="s">
        <v>202</v>
      </c>
      <c r="E166" s="61">
        <v>1.0</v>
      </c>
      <c r="F166" s="62">
        <v>90.0</v>
      </c>
      <c r="G166" s="62">
        <v>90.0</v>
      </c>
      <c r="H166" s="68">
        <v>44335.0</v>
      </c>
    </row>
    <row r="167">
      <c r="D167" s="61" t="s">
        <v>203</v>
      </c>
      <c r="E167" s="61" t="s">
        <v>84</v>
      </c>
      <c r="F167" s="62">
        <v>800.0</v>
      </c>
      <c r="G167" s="62">
        <v>1600.0</v>
      </c>
      <c r="H167" s="68">
        <v>44335.0</v>
      </c>
    </row>
    <row r="168">
      <c r="D168" s="61" t="s">
        <v>92</v>
      </c>
      <c r="E168" s="61" t="s">
        <v>204</v>
      </c>
      <c r="F168" s="62">
        <v>50.0</v>
      </c>
      <c r="G168" s="62">
        <v>5000.0</v>
      </c>
      <c r="H168" s="68">
        <v>44335.0</v>
      </c>
    </row>
    <row r="169">
      <c r="D169" s="61" t="s">
        <v>205</v>
      </c>
      <c r="E169" s="61" t="s">
        <v>206</v>
      </c>
      <c r="F169" s="62" t="s">
        <v>207</v>
      </c>
      <c r="G169" s="62">
        <v>400.0</v>
      </c>
      <c r="H169" s="68">
        <v>44335.0</v>
      </c>
    </row>
    <row r="170">
      <c r="D170" s="61" t="s">
        <v>136</v>
      </c>
      <c r="E170" s="61" t="s">
        <v>208</v>
      </c>
      <c r="F170" s="62">
        <v>80.0</v>
      </c>
      <c r="G170" s="62">
        <v>1000.0</v>
      </c>
      <c r="H170" s="68">
        <v>44335.0</v>
      </c>
    </row>
    <row r="171">
      <c r="D171" s="61" t="s">
        <v>126</v>
      </c>
      <c r="E171" s="61" t="s">
        <v>209</v>
      </c>
      <c r="F171" s="62">
        <v>300.0</v>
      </c>
      <c r="G171" s="62">
        <v>900.0</v>
      </c>
      <c r="H171" s="68">
        <v>44335.0</v>
      </c>
    </row>
    <row r="172">
      <c r="D172" s="61" t="s">
        <v>85</v>
      </c>
      <c r="E172" s="61" t="s">
        <v>34</v>
      </c>
      <c r="F172" s="62">
        <v>1600.0</v>
      </c>
      <c r="G172" s="62">
        <v>1600.0</v>
      </c>
      <c r="H172" s="68">
        <v>44335.0</v>
      </c>
    </row>
    <row r="173">
      <c r="D173" s="61" t="s">
        <v>104</v>
      </c>
      <c r="E173" s="61" t="s">
        <v>143</v>
      </c>
      <c r="F173" s="62">
        <v>800.0</v>
      </c>
      <c r="G173" s="62">
        <v>2400.0</v>
      </c>
      <c r="H173" s="68">
        <v>44335.0</v>
      </c>
    </row>
    <row r="174">
      <c r="D174" s="61" t="s">
        <v>210</v>
      </c>
      <c r="E174" s="61">
        <v>1.0</v>
      </c>
      <c r="F174" s="62">
        <v>400.0</v>
      </c>
      <c r="G174" s="62">
        <v>400.0</v>
      </c>
      <c r="H174" s="68">
        <v>44335.0</v>
      </c>
    </row>
    <row r="175">
      <c r="D175" s="61" t="s">
        <v>211</v>
      </c>
      <c r="E175" s="61" t="s">
        <v>212</v>
      </c>
      <c r="F175" s="62">
        <v>300.0</v>
      </c>
      <c r="G175" s="62">
        <v>300.0</v>
      </c>
      <c r="H175" s="68">
        <v>44335.0</v>
      </c>
    </row>
    <row r="176">
      <c r="D176" s="61" t="s">
        <v>198</v>
      </c>
      <c r="E176" s="61">
        <v>5.0</v>
      </c>
      <c r="F176" s="62">
        <v>100.0</v>
      </c>
      <c r="G176" s="62">
        <v>500.0</v>
      </c>
      <c r="H176" s="68">
        <v>44335.0</v>
      </c>
    </row>
    <row r="177">
      <c r="D177" s="61" t="s">
        <v>213</v>
      </c>
      <c r="E177" s="61">
        <v>6.0</v>
      </c>
      <c r="F177" s="62">
        <v>70.0</v>
      </c>
      <c r="G177" s="62">
        <v>420.0</v>
      </c>
      <c r="H177" s="68">
        <v>44335.0</v>
      </c>
    </row>
    <row r="178">
      <c r="D178" s="61" t="s">
        <v>61</v>
      </c>
      <c r="E178" s="61">
        <v>12.0</v>
      </c>
      <c r="F178" s="62">
        <v>20.0</v>
      </c>
      <c r="G178" s="62">
        <v>240.0</v>
      </c>
      <c r="H178" s="68">
        <v>44335.0</v>
      </c>
    </row>
    <row r="179">
      <c r="D179" s="61" t="s">
        <v>214</v>
      </c>
      <c r="E179" s="61">
        <v>6.0</v>
      </c>
      <c r="F179" s="62">
        <v>15.0</v>
      </c>
      <c r="G179" s="62">
        <v>90.0</v>
      </c>
      <c r="H179" s="68">
        <v>44335.0</v>
      </c>
    </row>
    <row r="180">
      <c r="D180" s="61" t="s">
        <v>215</v>
      </c>
      <c r="E180" s="61" t="s">
        <v>216</v>
      </c>
      <c r="F180" s="62">
        <v>350.0</v>
      </c>
      <c r="G180" s="62">
        <v>350.0</v>
      </c>
      <c r="H180" s="68">
        <v>44335.0</v>
      </c>
    </row>
    <row r="181">
      <c r="D181" s="61" t="s">
        <v>217</v>
      </c>
      <c r="E181" s="64"/>
      <c r="F181" s="65"/>
      <c r="G181" s="62">
        <v>8600.0</v>
      </c>
      <c r="H181" s="68">
        <v>44335.0</v>
      </c>
    </row>
    <row r="182">
      <c r="D182" s="61" t="s">
        <v>218</v>
      </c>
      <c r="E182" s="61">
        <v>3.0</v>
      </c>
      <c r="F182" s="62">
        <v>150.0</v>
      </c>
      <c r="G182" s="62">
        <v>450.0</v>
      </c>
      <c r="H182" s="68">
        <v>44335.0</v>
      </c>
    </row>
    <row r="183">
      <c r="D183" s="61" t="s">
        <v>164</v>
      </c>
      <c r="E183" s="61">
        <v>3.0</v>
      </c>
      <c r="F183" s="62">
        <v>100.0</v>
      </c>
      <c r="G183" s="62">
        <v>300.0</v>
      </c>
      <c r="H183" s="68">
        <v>44335.0</v>
      </c>
    </row>
    <row r="184">
      <c r="D184" s="61" t="s">
        <v>219</v>
      </c>
      <c r="E184" s="61">
        <v>3.0</v>
      </c>
      <c r="F184" s="62" t="s">
        <v>56</v>
      </c>
      <c r="G184" s="62">
        <v>500.0</v>
      </c>
      <c r="H184" s="68">
        <v>44335.0</v>
      </c>
    </row>
    <row r="185">
      <c r="D185" s="61" t="s">
        <v>161</v>
      </c>
      <c r="E185" s="61" t="s">
        <v>220</v>
      </c>
      <c r="F185" s="62">
        <v>300.0</v>
      </c>
      <c r="G185" s="62">
        <v>1200.0</v>
      </c>
      <c r="H185" s="63">
        <v>44336.0</v>
      </c>
    </row>
    <row r="186">
      <c r="D186" s="61" t="s">
        <v>221</v>
      </c>
      <c r="E186" s="61">
        <v>4.0</v>
      </c>
      <c r="F186" s="62">
        <v>500.0</v>
      </c>
      <c r="G186" s="62">
        <v>500.0</v>
      </c>
      <c r="H186" s="63">
        <v>44336.0</v>
      </c>
    </row>
    <row r="187">
      <c r="D187" s="61" t="s">
        <v>222</v>
      </c>
      <c r="E187" s="61">
        <v>5.0</v>
      </c>
      <c r="F187" s="62">
        <v>30.0</v>
      </c>
      <c r="G187" s="62">
        <v>150.0</v>
      </c>
      <c r="H187" s="63">
        <v>44336.0</v>
      </c>
    </row>
    <row r="188">
      <c r="D188" s="61" t="s">
        <v>223</v>
      </c>
      <c r="E188" s="61">
        <v>5.0</v>
      </c>
      <c r="F188" s="62">
        <v>110.0</v>
      </c>
      <c r="G188" s="62">
        <v>550.0</v>
      </c>
      <c r="H188" s="63">
        <v>44336.0</v>
      </c>
    </row>
    <row r="189">
      <c r="D189" s="61" t="s">
        <v>224</v>
      </c>
      <c r="E189" s="61">
        <v>1.0</v>
      </c>
      <c r="F189" s="62">
        <v>400.0</v>
      </c>
      <c r="G189" s="62">
        <v>400.0</v>
      </c>
      <c r="H189" s="63">
        <v>44336.0</v>
      </c>
    </row>
    <row r="190">
      <c r="D190" s="69" t="s">
        <v>225</v>
      </c>
      <c r="E190" s="69">
        <v>600.0</v>
      </c>
      <c r="F190" s="70">
        <v>50.0</v>
      </c>
      <c r="G190" s="70">
        <v>30000.0</v>
      </c>
      <c r="H190" s="63">
        <v>44336.0</v>
      </c>
    </row>
    <row r="191">
      <c r="D191" s="61" t="s">
        <v>50</v>
      </c>
      <c r="E191" s="61" t="s">
        <v>84</v>
      </c>
      <c r="F191" s="62">
        <v>1850.0</v>
      </c>
      <c r="G191" s="62">
        <v>3700.0</v>
      </c>
      <c r="H191" s="63">
        <v>44341.0</v>
      </c>
    </row>
    <row r="192">
      <c r="D192" s="61" t="s">
        <v>137</v>
      </c>
      <c r="E192" s="61">
        <v>3.0</v>
      </c>
      <c r="F192" s="62">
        <v>500.0</v>
      </c>
      <c r="G192" s="62">
        <v>1500.0</v>
      </c>
      <c r="H192" s="63">
        <v>44341.0</v>
      </c>
    </row>
    <row r="193">
      <c r="D193" s="61" t="s">
        <v>92</v>
      </c>
      <c r="E193" s="61" t="s">
        <v>204</v>
      </c>
      <c r="F193" s="62">
        <v>30.0</v>
      </c>
      <c r="G193" s="62">
        <v>3000.0</v>
      </c>
      <c r="H193" s="63">
        <v>44342.0</v>
      </c>
    </row>
    <row r="194">
      <c r="D194" s="61" t="s">
        <v>141</v>
      </c>
      <c r="E194" s="61" t="s">
        <v>69</v>
      </c>
      <c r="F194" s="62">
        <v>105.0</v>
      </c>
      <c r="G194" s="62">
        <v>1050.0</v>
      </c>
      <c r="H194" s="63">
        <v>44342.0</v>
      </c>
    </row>
    <row r="195">
      <c r="D195" s="61" t="s">
        <v>137</v>
      </c>
      <c r="E195" s="61">
        <v>1.0</v>
      </c>
      <c r="F195" s="62">
        <v>500.0</v>
      </c>
      <c r="G195" s="62">
        <v>500.0</v>
      </c>
      <c r="H195" s="63">
        <v>44342.0</v>
      </c>
    </row>
    <row r="196">
      <c r="D196" s="61" t="s">
        <v>226</v>
      </c>
      <c r="E196" s="61" t="s">
        <v>227</v>
      </c>
      <c r="F196" s="62" t="s">
        <v>56</v>
      </c>
      <c r="G196" s="62">
        <v>4000.0</v>
      </c>
      <c r="H196" s="63">
        <v>44343.0</v>
      </c>
    </row>
    <row r="197">
      <c r="D197" s="61" t="s">
        <v>228</v>
      </c>
      <c r="E197" s="61">
        <v>1.0</v>
      </c>
      <c r="F197" s="62">
        <v>100.0</v>
      </c>
      <c r="G197" s="62">
        <v>100.0</v>
      </c>
      <c r="H197" s="63">
        <v>44343.0</v>
      </c>
    </row>
    <row r="198">
      <c r="D198" s="61" t="s">
        <v>223</v>
      </c>
      <c r="E198" s="61" t="s">
        <v>69</v>
      </c>
      <c r="F198" s="62">
        <v>100.0</v>
      </c>
      <c r="G198" s="62">
        <v>1000.0</v>
      </c>
      <c r="H198" s="63">
        <v>44344.0</v>
      </c>
    </row>
    <row r="199">
      <c r="D199" s="61" t="s">
        <v>104</v>
      </c>
      <c r="E199" s="61" t="s">
        <v>34</v>
      </c>
      <c r="F199" s="62">
        <v>700.0</v>
      </c>
      <c r="G199" s="62">
        <v>700.0</v>
      </c>
      <c r="H199" s="63">
        <v>44344.0</v>
      </c>
    </row>
    <row r="200">
      <c r="D200" s="61" t="s">
        <v>229</v>
      </c>
      <c r="E200" s="61">
        <v>2.0</v>
      </c>
      <c r="F200" s="62">
        <v>1000.0</v>
      </c>
      <c r="G200" s="62">
        <v>2000.0</v>
      </c>
      <c r="H200" s="63">
        <v>44345.0</v>
      </c>
    </row>
    <row r="201">
      <c r="D201" s="61" t="s">
        <v>230</v>
      </c>
      <c r="E201" s="61" t="s">
        <v>56</v>
      </c>
      <c r="F201" s="62" t="s">
        <v>56</v>
      </c>
      <c r="G201" s="62">
        <v>7000.0</v>
      </c>
      <c r="H201" s="64"/>
    </row>
    <row r="202">
      <c r="D202" s="71" t="s">
        <v>231</v>
      </c>
      <c r="E202" s="72"/>
      <c r="F202" s="73"/>
      <c r="G202" s="74">
        <f>SUM(G3:G201)</f>
        <v>461009</v>
      </c>
      <c r="H202" s="72"/>
    </row>
    <row r="203">
      <c r="D203" s="71" t="s">
        <v>232</v>
      </c>
      <c r="E203" s="72"/>
      <c r="F203" s="75"/>
      <c r="G203" s="76">
        <v>20000.0</v>
      </c>
      <c r="H203" s="72"/>
    </row>
    <row r="204">
      <c r="D204" s="71" t="s">
        <v>233</v>
      </c>
      <c r="E204" s="72"/>
      <c r="F204" s="77"/>
      <c r="G204" s="78">
        <f>G203-G202</f>
        <v>-441009</v>
      </c>
      <c r="H204" s="7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5" max="5" width="15.5"/>
    <col customWidth="1" min="7" max="7" width="17.13"/>
    <col customWidth="1" min="9" max="9" width="14.63"/>
    <col customWidth="1" min="12" max="12" width="17.13"/>
    <col customWidth="1" min="13" max="13" width="26.38"/>
  </cols>
  <sheetData>
    <row r="1">
      <c r="A1" s="3" t="s">
        <v>24</v>
      </c>
      <c r="B1" s="1" t="s">
        <v>0</v>
      </c>
      <c r="C1" s="79" t="s">
        <v>234</v>
      </c>
      <c r="D1" s="80" t="s">
        <v>235</v>
      </c>
      <c r="E1" s="81" t="s">
        <v>236</v>
      </c>
      <c r="F1" s="81" t="s">
        <v>237</v>
      </c>
      <c r="G1" s="81" t="s">
        <v>238</v>
      </c>
      <c r="H1" s="81" t="s">
        <v>239</v>
      </c>
      <c r="I1" s="81" t="s">
        <v>240</v>
      </c>
      <c r="J1" s="81" t="s">
        <v>241</v>
      </c>
      <c r="K1" s="81" t="s">
        <v>242</v>
      </c>
      <c r="L1" s="81" t="s">
        <v>243</v>
      </c>
      <c r="M1" s="82" t="s">
        <v>244</v>
      </c>
    </row>
    <row r="2">
      <c r="A2" s="9" t="s">
        <v>11</v>
      </c>
      <c r="B2" s="10">
        <v>44317.0</v>
      </c>
      <c r="C2" s="83">
        <v>1.0</v>
      </c>
      <c r="D2" s="84">
        <v>1.0</v>
      </c>
      <c r="E2" s="84">
        <v>1.0</v>
      </c>
      <c r="F2" s="83">
        <v>1.0</v>
      </c>
      <c r="G2" s="84">
        <v>1.0</v>
      </c>
      <c r="H2" s="83">
        <v>1.0</v>
      </c>
      <c r="I2" s="84">
        <v>0.0</v>
      </c>
      <c r="J2" s="84">
        <v>1.0</v>
      </c>
      <c r="K2" s="83">
        <v>1.0</v>
      </c>
      <c r="L2" s="83">
        <v>1.0</v>
      </c>
      <c r="M2" s="12"/>
    </row>
    <row r="3">
      <c r="A3" s="9" t="s">
        <v>12</v>
      </c>
      <c r="B3" s="10">
        <v>44318.0</v>
      </c>
      <c r="C3" s="84">
        <v>1.0</v>
      </c>
      <c r="D3" s="84"/>
      <c r="E3" s="84">
        <v>1.0</v>
      </c>
      <c r="F3" s="84">
        <v>0.0</v>
      </c>
      <c r="G3" s="84">
        <v>1.0</v>
      </c>
      <c r="H3" s="84">
        <v>1.0</v>
      </c>
      <c r="I3" s="84">
        <v>1.0</v>
      </c>
      <c r="J3" s="84">
        <v>0.0</v>
      </c>
      <c r="K3" s="84">
        <v>1.0</v>
      </c>
      <c r="L3" s="84">
        <v>1.0</v>
      </c>
      <c r="M3" s="12"/>
    </row>
    <row r="4">
      <c r="A4" s="9" t="s">
        <v>13</v>
      </c>
      <c r="B4" s="10">
        <v>44319.0</v>
      </c>
      <c r="C4" s="84">
        <v>1.0</v>
      </c>
      <c r="D4" s="84"/>
      <c r="E4" s="84">
        <v>1.0</v>
      </c>
      <c r="F4" s="84">
        <v>0.0</v>
      </c>
      <c r="G4" s="84">
        <v>1.0</v>
      </c>
      <c r="H4" s="84">
        <v>1.0</v>
      </c>
      <c r="I4" s="84">
        <v>1.0</v>
      </c>
      <c r="J4" s="84">
        <v>0.0</v>
      </c>
      <c r="K4" s="84">
        <v>0.0</v>
      </c>
      <c r="L4" s="84">
        <v>0.0</v>
      </c>
      <c r="M4" s="12"/>
    </row>
    <row r="5">
      <c r="A5" s="9" t="s">
        <v>14</v>
      </c>
      <c r="B5" s="10">
        <v>44320.0</v>
      </c>
      <c r="C5" s="84">
        <v>1.0</v>
      </c>
      <c r="D5" s="84"/>
      <c r="E5" s="84">
        <v>1.0</v>
      </c>
      <c r="F5" s="84">
        <v>0.0</v>
      </c>
      <c r="G5" s="84">
        <v>1.0</v>
      </c>
      <c r="H5" s="84">
        <v>1.0</v>
      </c>
      <c r="I5" s="84">
        <v>1.0</v>
      </c>
      <c r="J5" s="84">
        <v>0.0</v>
      </c>
      <c r="K5" s="84">
        <v>1.0</v>
      </c>
      <c r="L5" s="84">
        <v>1.0</v>
      </c>
      <c r="M5" s="12"/>
    </row>
    <row r="6">
      <c r="A6" s="9" t="s">
        <v>15</v>
      </c>
      <c r="B6" s="10">
        <v>44321.0</v>
      </c>
      <c r="C6" s="84">
        <v>1.0</v>
      </c>
      <c r="D6" s="84"/>
      <c r="E6" s="84">
        <v>1.0</v>
      </c>
      <c r="F6" s="84">
        <v>1.0</v>
      </c>
      <c r="G6" s="84">
        <v>1.0</v>
      </c>
      <c r="H6" s="84">
        <v>0.0</v>
      </c>
      <c r="I6" s="84">
        <v>1.0</v>
      </c>
      <c r="J6" s="84">
        <v>0.0</v>
      </c>
      <c r="K6" s="84">
        <v>1.0</v>
      </c>
      <c r="L6" s="84">
        <v>1.0</v>
      </c>
      <c r="M6" s="12"/>
    </row>
    <row r="7">
      <c r="A7" s="9" t="s">
        <v>16</v>
      </c>
      <c r="B7" s="10">
        <v>44322.0</v>
      </c>
      <c r="C7" s="84">
        <v>1.0</v>
      </c>
      <c r="D7" s="84"/>
      <c r="E7" s="84">
        <v>1.0</v>
      </c>
      <c r="F7" s="84">
        <v>1.0</v>
      </c>
      <c r="G7" s="84">
        <v>1.0</v>
      </c>
      <c r="H7" s="84">
        <v>1.0</v>
      </c>
      <c r="I7" s="84">
        <v>1.0</v>
      </c>
      <c r="J7" s="84">
        <v>0.0</v>
      </c>
      <c r="K7" s="84">
        <v>0.0</v>
      </c>
      <c r="L7" s="84">
        <v>1.0</v>
      </c>
      <c r="M7" s="12"/>
    </row>
    <row r="8">
      <c r="A8" s="20" t="s">
        <v>17</v>
      </c>
      <c r="B8" s="21">
        <v>44323.0</v>
      </c>
      <c r="C8" s="84">
        <v>1.0</v>
      </c>
      <c r="D8" s="84"/>
      <c r="E8" s="84">
        <v>0.0</v>
      </c>
      <c r="F8" s="84">
        <v>1.0</v>
      </c>
      <c r="G8" s="84">
        <v>2.0</v>
      </c>
      <c r="H8" s="84">
        <v>0.0</v>
      </c>
      <c r="I8" s="84">
        <v>1.0</v>
      </c>
      <c r="J8" s="84">
        <v>0.0</v>
      </c>
      <c r="K8" s="84">
        <v>0.0</v>
      </c>
      <c r="L8" s="84">
        <v>1.0</v>
      </c>
      <c r="M8" s="12"/>
    </row>
    <row r="9">
      <c r="A9" s="9" t="s">
        <v>18</v>
      </c>
      <c r="B9" s="10">
        <v>44324.0</v>
      </c>
      <c r="C9" s="84">
        <v>0.0</v>
      </c>
      <c r="D9" s="84"/>
      <c r="E9" s="84">
        <v>1.0</v>
      </c>
      <c r="F9" s="84">
        <v>1.0</v>
      </c>
      <c r="G9" s="84">
        <v>1.0</v>
      </c>
      <c r="H9" s="84">
        <v>1.0</v>
      </c>
      <c r="I9" s="84">
        <v>0.0</v>
      </c>
      <c r="J9" s="84">
        <v>1.0</v>
      </c>
      <c r="K9" s="84">
        <v>0.0</v>
      </c>
      <c r="L9" s="84">
        <v>1.5</v>
      </c>
      <c r="M9" s="85" t="s">
        <v>245</v>
      </c>
    </row>
    <row r="10">
      <c r="A10" s="9" t="s">
        <v>12</v>
      </c>
      <c r="B10" s="10">
        <v>44325.0</v>
      </c>
      <c r="C10" s="84">
        <v>1.0</v>
      </c>
      <c r="D10" s="84"/>
      <c r="E10" s="84">
        <v>1.0</v>
      </c>
      <c r="F10" s="84">
        <v>1.0</v>
      </c>
      <c r="G10" s="84">
        <v>1.0</v>
      </c>
      <c r="H10" s="84">
        <v>1.0</v>
      </c>
      <c r="I10" s="84">
        <v>1.0</v>
      </c>
      <c r="J10" s="84">
        <v>0.0</v>
      </c>
      <c r="K10" s="84">
        <v>0.0</v>
      </c>
      <c r="L10" s="84">
        <v>2.0</v>
      </c>
      <c r="M10" s="85" t="s">
        <v>246</v>
      </c>
    </row>
    <row r="11">
      <c r="A11" s="9" t="s">
        <v>13</v>
      </c>
      <c r="B11" s="10">
        <v>44326.0</v>
      </c>
      <c r="C11" s="84">
        <v>1.0</v>
      </c>
      <c r="D11" s="84"/>
      <c r="E11" s="84">
        <v>1.0</v>
      </c>
      <c r="F11" s="84">
        <v>1.0</v>
      </c>
      <c r="G11" s="84">
        <v>1.0</v>
      </c>
      <c r="H11" s="84">
        <v>1.0</v>
      </c>
      <c r="I11" s="84">
        <v>0.5</v>
      </c>
      <c r="J11" s="84">
        <v>0.0</v>
      </c>
      <c r="K11" s="84">
        <v>0.0</v>
      </c>
      <c r="L11" s="84">
        <v>2.0</v>
      </c>
      <c r="M11" s="12"/>
    </row>
    <row r="12">
      <c r="A12" s="9" t="s">
        <v>14</v>
      </c>
      <c r="B12" s="10">
        <v>44327.0</v>
      </c>
      <c r="C12" s="84">
        <v>1.0</v>
      </c>
      <c r="D12" s="84"/>
      <c r="E12" s="84">
        <v>1.0</v>
      </c>
      <c r="F12" s="84">
        <v>1.0</v>
      </c>
      <c r="G12" s="84">
        <v>2.0</v>
      </c>
      <c r="H12" s="84">
        <v>1.0</v>
      </c>
      <c r="I12" s="84">
        <v>1.0</v>
      </c>
      <c r="J12" s="84">
        <v>1.0</v>
      </c>
      <c r="K12" s="84">
        <v>0.0</v>
      </c>
      <c r="L12" s="84">
        <v>2.0</v>
      </c>
      <c r="M12" s="12"/>
    </row>
    <row r="13">
      <c r="A13" s="9" t="s">
        <v>15</v>
      </c>
      <c r="B13" s="10">
        <v>44328.0</v>
      </c>
      <c r="C13" s="84">
        <v>1.0</v>
      </c>
      <c r="D13" s="84"/>
      <c r="E13" s="84">
        <v>1.0</v>
      </c>
      <c r="F13" s="84">
        <v>0.0</v>
      </c>
      <c r="G13" s="84">
        <v>2.0</v>
      </c>
      <c r="H13" s="84">
        <v>0.0</v>
      </c>
      <c r="I13" s="84">
        <v>1.0</v>
      </c>
      <c r="J13" s="84">
        <v>1.0</v>
      </c>
      <c r="K13" s="84">
        <v>0.0</v>
      </c>
      <c r="L13" s="84">
        <v>1.0</v>
      </c>
      <c r="M13" s="12"/>
    </row>
    <row r="14">
      <c r="A14" s="9" t="s">
        <v>16</v>
      </c>
      <c r="B14" s="10">
        <v>44329.0</v>
      </c>
      <c r="C14" s="84">
        <v>0.0</v>
      </c>
      <c r="D14" s="84"/>
      <c r="E14" s="84">
        <v>0.0</v>
      </c>
      <c r="F14" s="84">
        <v>0.0</v>
      </c>
      <c r="G14" s="84">
        <v>0.0</v>
      </c>
      <c r="H14" s="84">
        <v>0.0</v>
      </c>
      <c r="I14" s="84">
        <v>0.0</v>
      </c>
      <c r="J14" s="84">
        <v>0.0</v>
      </c>
      <c r="K14" s="84">
        <v>0.0</v>
      </c>
      <c r="L14" s="84">
        <v>0.0</v>
      </c>
      <c r="M14" s="12"/>
    </row>
    <row r="15">
      <c r="A15" s="20" t="s">
        <v>17</v>
      </c>
      <c r="B15" s="21">
        <v>44330.0</v>
      </c>
      <c r="C15" s="84">
        <v>0.0</v>
      </c>
      <c r="D15" s="84"/>
      <c r="E15" s="84">
        <v>0.0</v>
      </c>
      <c r="F15" s="84">
        <v>0.0</v>
      </c>
      <c r="G15" s="84">
        <v>0.0</v>
      </c>
      <c r="H15" s="84">
        <v>0.0</v>
      </c>
      <c r="I15" s="84">
        <v>0.0</v>
      </c>
      <c r="J15" s="84">
        <v>0.0</v>
      </c>
      <c r="K15" s="84">
        <v>0.0</v>
      </c>
      <c r="L15" s="84">
        <v>0.0</v>
      </c>
      <c r="M15" s="12"/>
    </row>
    <row r="16">
      <c r="A16" s="9" t="s">
        <v>18</v>
      </c>
      <c r="B16" s="10">
        <v>44331.0</v>
      </c>
      <c r="C16" s="84">
        <v>0.0</v>
      </c>
      <c r="D16" s="84"/>
      <c r="E16" s="84">
        <v>0.0</v>
      </c>
      <c r="F16" s="84">
        <v>0.0</v>
      </c>
      <c r="G16" s="84">
        <v>0.0</v>
      </c>
      <c r="H16" s="84">
        <v>0.0</v>
      </c>
      <c r="I16" s="84">
        <v>0.0</v>
      </c>
      <c r="J16" s="84">
        <v>0.0</v>
      </c>
      <c r="K16" s="84">
        <v>0.0</v>
      </c>
      <c r="L16" s="84">
        <v>0.0</v>
      </c>
      <c r="M16" s="12"/>
    </row>
    <row r="17">
      <c r="A17" s="9" t="s">
        <v>12</v>
      </c>
      <c r="B17" s="10">
        <v>44332.0</v>
      </c>
      <c r="C17" s="84">
        <v>0.0</v>
      </c>
      <c r="D17" s="84"/>
      <c r="E17" s="84">
        <v>0.0</v>
      </c>
      <c r="F17" s="84">
        <v>0.0</v>
      </c>
      <c r="G17" s="84">
        <v>0.0</v>
      </c>
      <c r="H17" s="84">
        <v>0.0</v>
      </c>
      <c r="I17" s="84">
        <v>0.0</v>
      </c>
      <c r="J17" s="84">
        <v>0.0</v>
      </c>
      <c r="K17" s="84">
        <v>0.0</v>
      </c>
      <c r="L17" s="84">
        <v>0.0</v>
      </c>
      <c r="M17" s="12"/>
    </row>
    <row r="18">
      <c r="A18" s="9" t="s">
        <v>13</v>
      </c>
      <c r="B18" s="10">
        <v>44333.0</v>
      </c>
      <c r="C18" s="84">
        <v>1.0</v>
      </c>
      <c r="D18" s="84"/>
      <c r="E18" s="84">
        <v>0.0</v>
      </c>
      <c r="F18" s="84">
        <v>0.0</v>
      </c>
      <c r="G18" s="84">
        <v>1.0</v>
      </c>
      <c r="H18" s="84">
        <v>0.0</v>
      </c>
      <c r="I18" s="84">
        <v>1.0</v>
      </c>
      <c r="J18" s="84">
        <v>0.0</v>
      </c>
      <c r="K18" s="84">
        <v>0.0</v>
      </c>
      <c r="L18" s="84">
        <v>1.0</v>
      </c>
      <c r="M18" s="12"/>
    </row>
    <row r="19">
      <c r="A19" s="9" t="s">
        <v>14</v>
      </c>
      <c r="B19" s="10">
        <v>44334.0</v>
      </c>
      <c r="C19" s="84">
        <v>1.0</v>
      </c>
      <c r="D19" s="84"/>
      <c r="E19" s="84">
        <v>0.0</v>
      </c>
      <c r="F19" s="84">
        <v>0.0</v>
      </c>
      <c r="G19" s="84">
        <v>1.0</v>
      </c>
      <c r="H19" s="84">
        <v>1.0</v>
      </c>
      <c r="I19" s="84">
        <v>1.5</v>
      </c>
      <c r="J19" s="84">
        <v>0.0</v>
      </c>
      <c r="K19" s="84">
        <v>0.0</v>
      </c>
      <c r="L19" s="84">
        <v>1.0</v>
      </c>
      <c r="M19" s="12"/>
    </row>
    <row r="20">
      <c r="A20" s="9" t="s">
        <v>15</v>
      </c>
      <c r="B20" s="10">
        <v>44335.0</v>
      </c>
      <c r="C20" s="84">
        <v>1.0</v>
      </c>
      <c r="D20" s="84"/>
      <c r="E20" s="84">
        <v>0.0</v>
      </c>
      <c r="F20" s="84">
        <v>1.0</v>
      </c>
      <c r="G20" s="84">
        <v>1.0</v>
      </c>
      <c r="H20" s="84">
        <v>1.0</v>
      </c>
      <c r="I20" s="84">
        <v>1.5</v>
      </c>
      <c r="J20" s="84">
        <v>0.0</v>
      </c>
      <c r="K20" s="84">
        <v>0.0</v>
      </c>
      <c r="L20" s="84">
        <v>1.0</v>
      </c>
      <c r="M20" s="12"/>
    </row>
    <row r="21">
      <c r="A21" s="9" t="s">
        <v>16</v>
      </c>
      <c r="B21" s="10">
        <v>44336.0</v>
      </c>
      <c r="C21" s="86">
        <v>1.0</v>
      </c>
      <c r="D21" s="86">
        <v>0.0</v>
      </c>
      <c r="E21" s="86">
        <v>0.0</v>
      </c>
      <c r="F21" s="86">
        <v>1.0</v>
      </c>
      <c r="G21" s="86">
        <v>1.0</v>
      </c>
      <c r="H21" s="86">
        <v>1.0</v>
      </c>
      <c r="I21" s="86">
        <v>1.5</v>
      </c>
      <c r="J21" s="86">
        <v>0.0</v>
      </c>
      <c r="K21" s="86">
        <v>0.0</v>
      </c>
      <c r="L21" s="86">
        <v>1.0</v>
      </c>
      <c r="M21" s="12"/>
    </row>
    <row r="22">
      <c r="A22" s="20" t="s">
        <v>17</v>
      </c>
      <c r="B22" s="21">
        <v>44337.0</v>
      </c>
      <c r="C22" s="86">
        <v>1.0</v>
      </c>
      <c r="D22" s="87"/>
      <c r="E22" s="86">
        <v>0.0</v>
      </c>
      <c r="F22" s="86">
        <v>1.0</v>
      </c>
      <c r="G22" s="86">
        <v>0.0</v>
      </c>
      <c r="H22" s="86">
        <v>0.0</v>
      </c>
      <c r="I22" s="86">
        <v>1.5</v>
      </c>
      <c r="J22" s="86">
        <v>1.0</v>
      </c>
      <c r="K22" s="86">
        <v>0.0</v>
      </c>
      <c r="L22" s="86">
        <v>1.0</v>
      </c>
      <c r="M22" s="12"/>
    </row>
    <row r="23">
      <c r="A23" s="9" t="s">
        <v>18</v>
      </c>
      <c r="B23" s="10">
        <v>44338.0</v>
      </c>
      <c r="C23" s="86">
        <v>0.0</v>
      </c>
      <c r="D23" s="86">
        <v>0.0</v>
      </c>
      <c r="E23" s="86">
        <v>0.0</v>
      </c>
      <c r="F23" s="86">
        <v>1.0</v>
      </c>
      <c r="G23" s="86">
        <v>1.0</v>
      </c>
      <c r="H23" s="86">
        <v>1.0</v>
      </c>
      <c r="I23" s="86">
        <v>1.5</v>
      </c>
      <c r="J23" s="86">
        <v>1.0</v>
      </c>
      <c r="K23" s="86">
        <v>0.0</v>
      </c>
      <c r="L23" s="86">
        <v>0.0</v>
      </c>
      <c r="M23" s="12"/>
    </row>
    <row r="24">
      <c r="A24" s="9" t="s">
        <v>12</v>
      </c>
      <c r="B24" s="10">
        <v>44339.0</v>
      </c>
      <c r="C24" s="86">
        <v>1.0</v>
      </c>
      <c r="D24" s="86">
        <v>0.0</v>
      </c>
      <c r="E24" s="86">
        <v>0.0</v>
      </c>
      <c r="F24" s="86">
        <v>1.0</v>
      </c>
      <c r="G24" s="86">
        <v>1.0</v>
      </c>
      <c r="H24" s="86">
        <v>1.0</v>
      </c>
      <c r="I24" s="86">
        <v>0.0</v>
      </c>
      <c r="J24" s="86">
        <v>0.0</v>
      </c>
      <c r="K24" s="86">
        <v>0.0</v>
      </c>
      <c r="L24" s="86">
        <v>1.0</v>
      </c>
      <c r="M24" s="12"/>
    </row>
    <row r="25">
      <c r="A25" s="9" t="s">
        <v>13</v>
      </c>
      <c r="B25" s="10">
        <v>44340.0</v>
      </c>
      <c r="C25" s="86">
        <v>1.0</v>
      </c>
      <c r="D25" s="86">
        <v>0.0</v>
      </c>
      <c r="E25" s="86">
        <v>0.0</v>
      </c>
      <c r="F25" s="86">
        <v>1.0</v>
      </c>
      <c r="G25" s="86">
        <v>1.0</v>
      </c>
      <c r="H25" s="86">
        <v>1.0</v>
      </c>
      <c r="I25" s="86">
        <v>1.5</v>
      </c>
      <c r="J25" s="86">
        <v>0.0</v>
      </c>
      <c r="K25" s="86">
        <v>0.0</v>
      </c>
      <c r="L25" s="86">
        <v>1.0</v>
      </c>
      <c r="M25" s="12"/>
    </row>
    <row r="26">
      <c r="A26" s="9" t="s">
        <v>14</v>
      </c>
      <c r="B26" s="10">
        <v>44341.0</v>
      </c>
      <c r="C26" s="86">
        <v>0.5</v>
      </c>
      <c r="D26" s="86">
        <v>0.0</v>
      </c>
      <c r="E26" s="86">
        <v>0.0</v>
      </c>
      <c r="F26" s="86">
        <v>1.0</v>
      </c>
      <c r="G26" s="86">
        <v>1.0</v>
      </c>
      <c r="H26" s="86">
        <v>1.0</v>
      </c>
      <c r="I26" s="86">
        <v>1.5</v>
      </c>
      <c r="J26" s="86">
        <v>0.0</v>
      </c>
      <c r="K26" s="86">
        <v>0.0</v>
      </c>
      <c r="L26" s="86">
        <v>1.0</v>
      </c>
      <c r="M26" s="85" t="s">
        <v>247</v>
      </c>
    </row>
    <row r="27">
      <c r="A27" s="9" t="s">
        <v>15</v>
      </c>
      <c r="B27" s="10">
        <v>44342.0</v>
      </c>
      <c r="C27" s="86">
        <v>1.0</v>
      </c>
      <c r="D27" s="86">
        <v>0.0</v>
      </c>
      <c r="E27" s="86">
        <v>0.0</v>
      </c>
      <c r="F27" s="86">
        <v>1.0</v>
      </c>
      <c r="G27" s="86">
        <v>1.0</v>
      </c>
      <c r="H27" s="86">
        <v>1.0</v>
      </c>
      <c r="I27" s="86">
        <v>1.5</v>
      </c>
      <c r="J27" s="86">
        <v>0.0</v>
      </c>
      <c r="K27" s="86">
        <v>0.0</v>
      </c>
      <c r="L27" s="86">
        <v>1.0</v>
      </c>
      <c r="M27" s="12"/>
    </row>
    <row r="28">
      <c r="A28" s="9" t="s">
        <v>16</v>
      </c>
      <c r="B28" s="10">
        <v>44343.0</v>
      </c>
      <c r="C28" s="86">
        <v>1.0</v>
      </c>
      <c r="D28" s="86">
        <v>0.0</v>
      </c>
      <c r="E28" s="86">
        <v>0.0</v>
      </c>
      <c r="F28" s="86">
        <v>0.0</v>
      </c>
      <c r="G28" s="86">
        <v>1.0</v>
      </c>
      <c r="H28" s="86">
        <v>1.0</v>
      </c>
      <c r="I28" s="86">
        <v>1.5</v>
      </c>
      <c r="J28" s="86">
        <v>1.0</v>
      </c>
      <c r="K28" s="86">
        <v>0.0</v>
      </c>
      <c r="L28" s="86">
        <v>1.0</v>
      </c>
      <c r="M28" s="85" t="s">
        <v>248</v>
      </c>
    </row>
    <row r="29">
      <c r="A29" s="20" t="s">
        <v>17</v>
      </c>
      <c r="B29" s="21">
        <v>44344.0</v>
      </c>
      <c r="C29" s="86">
        <v>1.0</v>
      </c>
      <c r="D29" s="87"/>
      <c r="E29" s="87"/>
      <c r="F29" s="86">
        <v>1.0</v>
      </c>
      <c r="G29" s="86">
        <v>0.0</v>
      </c>
      <c r="H29" s="86">
        <v>0.0</v>
      </c>
      <c r="I29" s="86">
        <v>1.0</v>
      </c>
      <c r="J29" s="86">
        <v>1.0</v>
      </c>
      <c r="K29" s="86">
        <v>0.0</v>
      </c>
      <c r="L29" s="86">
        <v>0.0</v>
      </c>
      <c r="M29" s="12"/>
    </row>
    <row r="30">
      <c r="A30" s="9" t="s">
        <v>18</v>
      </c>
      <c r="B30" s="10">
        <v>44345.0</v>
      </c>
      <c r="C30" s="88">
        <v>1.0</v>
      </c>
      <c r="D30" s="89"/>
      <c r="E30" s="88">
        <v>0.0</v>
      </c>
      <c r="F30" s="88">
        <v>0.0</v>
      </c>
      <c r="G30" s="88">
        <v>1.0</v>
      </c>
      <c r="H30" s="88">
        <v>1.0</v>
      </c>
      <c r="I30" s="88">
        <v>0.0</v>
      </c>
      <c r="J30" s="88">
        <v>1.0</v>
      </c>
      <c r="K30" s="88">
        <v>0.0</v>
      </c>
      <c r="L30" s="88">
        <v>1.0</v>
      </c>
      <c r="M30" s="12"/>
    </row>
    <row r="31">
      <c r="A31" s="9" t="s">
        <v>12</v>
      </c>
      <c r="B31" s="10">
        <v>44346.0</v>
      </c>
      <c r="C31" s="88">
        <v>1.0</v>
      </c>
      <c r="D31" s="89"/>
      <c r="E31" s="88">
        <v>0.0</v>
      </c>
      <c r="F31" s="88">
        <v>0.0</v>
      </c>
      <c r="G31" s="88">
        <v>1.0</v>
      </c>
      <c r="H31" s="88">
        <v>1.0</v>
      </c>
      <c r="I31" s="88">
        <v>1.0</v>
      </c>
      <c r="J31" s="88">
        <v>0.0</v>
      </c>
      <c r="K31" s="88">
        <v>0.0</v>
      </c>
      <c r="L31" s="88">
        <v>1.0</v>
      </c>
      <c r="M31" s="12"/>
    </row>
    <row r="32">
      <c r="A32" s="9" t="s">
        <v>249</v>
      </c>
      <c r="B32" s="10">
        <v>44347.0</v>
      </c>
      <c r="C32" s="88">
        <v>1.0</v>
      </c>
      <c r="D32" s="89"/>
      <c r="E32" s="88">
        <v>0.0</v>
      </c>
      <c r="F32" s="88">
        <v>1.0</v>
      </c>
      <c r="G32" s="88">
        <v>1.0</v>
      </c>
      <c r="H32" s="88">
        <v>0.0</v>
      </c>
      <c r="I32" s="88">
        <v>1.0</v>
      </c>
      <c r="J32" s="88">
        <v>0.0</v>
      </c>
      <c r="K32" s="88">
        <v>0.0</v>
      </c>
      <c r="L32" s="88">
        <v>1.0</v>
      </c>
      <c r="M32" s="12"/>
    </row>
    <row r="33">
      <c r="A33" s="9"/>
      <c r="B33" s="10"/>
      <c r="C33" s="90">
        <f t="shared" ref="C33:L33" si="1">SUM(C2:C32)</f>
        <v>24.5</v>
      </c>
      <c r="D33" s="90">
        <f t="shared" si="1"/>
        <v>1</v>
      </c>
      <c r="E33" s="90">
        <f t="shared" si="1"/>
        <v>11</v>
      </c>
      <c r="F33" s="90">
        <f t="shared" si="1"/>
        <v>18</v>
      </c>
      <c r="G33" s="90">
        <f t="shared" si="1"/>
        <v>28</v>
      </c>
      <c r="H33" s="90">
        <f t="shared" si="1"/>
        <v>20</v>
      </c>
      <c r="I33" s="90">
        <f t="shared" si="1"/>
        <v>27</v>
      </c>
      <c r="J33" s="90">
        <f t="shared" si="1"/>
        <v>9</v>
      </c>
      <c r="K33" s="90">
        <f t="shared" si="1"/>
        <v>4</v>
      </c>
      <c r="L33" s="90">
        <f t="shared" si="1"/>
        <v>27.5</v>
      </c>
      <c r="M33" s="3"/>
    </row>
    <row r="34">
      <c r="C34" s="62">
        <v>1850.0</v>
      </c>
      <c r="D34" s="62">
        <v>7000.0</v>
      </c>
      <c r="E34" s="65">
        <v>1000.0</v>
      </c>
      <c r="F34" s="62">
        <v>1000.0</v>
      </c>
      <c r="G34" s="62">
        <v>1110.0</v>
      </c>
      <c r="H34" s="62">
        <v>930.0</v>
      </c>
      <c r="I34" s="62">
        <v>930.0</v>
      </c>
      <c r="J34" s="62">
        <v>1200.0</v>
      </c>
      <c r="K34" s="65">
        <v>500.0</v>
      </c>
      <c r="L34" s="62">
        <v>1110.0</v>
      </c>
      <c r="M34" s="91">
        <f t="shared" ref="M34:M35" si="3">SUM(C34:L34)</f>
        <v>16630</v>
      </c>
    </row>
    <row r="35">
      <c r="C35" s="92">
        <f>C34*C33</f>
        <v>45325</v>
      </c>
      <c r="D35" s="92">
        <f>D33*D34</f>
        <v>7000</v>
      </c>
      <c r="E35" s="92">
        <f t="shared" ref="E35:K35" si="2">E34*E33</f>
        <v>11000</v>
      </c>
      <c r="F35" s="92">
        <f t="shared" si="2"/>
        <v>18000</v>
      </c>
      <c r="G35" s="92">
        <f t="shared" si="2"/>
        <v>31080</v>
      </c>
      <c r="H35" s="92">
        <f t="shared" si="2"/>
        <v>18600</v>
      </c>
      <c r="I35" s="92">
        <f t="shared" si="2"/>
        <v>25110</v>
      </c>
      <c r="J35" s="92">
        <f t="shared" si="2"/>
        <v>10800</v>
      </c>
      <c r="K35" s="92">
        <f t="shared" si="2"/>
        <v>2000</v>
      </c>
      <c r="L35" s="92">
        <f>L33*L34</f>
        <v>30525</v>
      </c>
      <c r="M35" s="93">
        <f t="shared" si="3"/>
        <v>199440</v>
      </c>
    </row>
    <row r="36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9">
      <c r="R39" s="3" t="s">
        <v>24</v>
      </c>
      <c r="S39" s="1" t="s">
        <v>0</v>
      </c>
      <c r="T39" s="81" t="s">
        <v>241</v>
      </c>
    </row>
    <row r="40">
      <c r="R40" s="9" t="s">
        <v>11</v>
      </c>
      <c r="S40" s="10">
        <v>44317.0</v>
      </c>
      <c r="T40" s="84">
        <v>1.0</v>
      </c>
    </row>
    <row r="41">
      <c r="R41" s="9" t="s">
        <v>12</v>
      </c>
      <c r="S41" s="10">
        <v>44318.0</v>
      </c>
      <c r="T41" s="84">
        <v>0.0</v>
      </c>
    </row>
    <row r="42">
      <c r="D42" s="67" t="s">
        <v>250</v>
      </c>
      <c r="R42" s="9" t="s">
        <v>13</v>
      </c>
      <c r="S42" s="10">
        <v>44319.0</v>
      </c>
      <c r="T42" s="84">
        <v>0.0</v>
      </c>
    </row>
    <row r="43">
      <c r="R43" s="9" t="s">
        <v>14</v>
      </c>
      <c r="S43" s="10">
        <v>44320.0</v>
      </c>
      <c r="T43" s="84">
        <v>0.0</v>
      </c>
    </row>
    <row r="44">
      <c r="R44" s="9" t="s">
        <v>15</v>
      </c>
      <c r="S44" s="10">
        <v>44321.0</v>
      </c>
      <c r="T44" s="84">
        <v>0.0</v>
      </c>
    </row>
    <row r="45">
      <c r="R45" s="9" t="s">
        <v>16</v>
      </c>
      <c r="S45" s="10">
        <v>44322.0</v>
      </c>
      <c r="T45" s="84">
        <v>0.0</v>
      </c>
    </row>
    <row r="46">
      <c r="R46" s="20" t="s">
        <v>17</v>
      </c>
      <c r="S46" s="21">
        <v>44323.0</v>
      </c>
      <c r="T46" s="84">
        <v>0.0</v>
      </c>
    </row>
    <row r="47">
      <c r="R47" s="9" t="s">
        <v>18</v>
      </c>
      <c r="S47" s="10">
        <v>44324.0</v>
      </c>
      <c r="T47" s="84">
        <v>1.0</v>
      </c>
    </row>
    <row r="48">
      <c r="R48" s="9" t="s">
        <v>12</v>
      </c>
      <c r="S48" s="10">
        <v>44325.0</v>
      </c>
      <c r="T48" s="84">
        <v>0.0</v>
      </c>
    </row>
    <row r="49">
      <c r="R49" s="9" t="s">
        <v>13</v>
      </c>
      <c r="S49" s="10">
        <v>44326.0</v>
      </c>
      <c r="T49" s="84">
        <v>0.0</v>
      </c>
    </row>
    <row r="50">
      <c r="R50" s="9" t="s">
        <v>14</v>
      </c>
      <c r="S50" s="10">
        <v>44327.0</v>
      </c>
      <c r="T50" s="84">
        <v>1.0</v>
      </c>
    </row>
    <row r="51">
      <c r="R51" s="9" t="s">
        <v>15</v>
      </c>
      <c r="S51" s="10">
        <v>44328.0</v>
      </c>
      <c r="T51" s="84">
        <v>1.0</v>
      </c>
    </row>
    <row r="52">
      <c r="C52" s="3" t="s">
        <v>24</v>
      </c>
      <c r="D52" s="1" t="s">
        <v>0</v>
      </c>
      <c r="E52" s="81" t="s">
        <v>243</v>
      </c>
      <c r="F52" s="82" t="s">
        <v>244</v>
      </c>
      <c r="R52" s="9" t="s">
        <v>16</v>
      </c>
      <c r="S52" s="10">
        <v>44329.0</v>
      </c>
      <c r="T52" s="84">
        <v>0.0</v>
      </c>
    </row>
    <row r="53">
      <c r="C53" s="9" t="s">
        <v>11</v>
      </c>
      <c r="D53" s="10">
        <v>44317.0</v>
      </c>
      <c r="E53" s="83">
        <v>1.0</v>
      </c>
      <c r="F53" s="12"/>
      <c r="R53" s="20" t="s">
        <v>17</v>
      </c>
      <c r="S53" s="21">
        <v>44330.0</v>
      </c>
      <c r="T53" s="84">
        <v>0.0</v>
      </c>
    </row>
    <row r="54">
      <c r="C54" s="9" t="s">
        <v>12</v>
      </c>
      <c r="D54" s="10">
        <v>44318.0</v>
      </c>
      <c r="E54" s="84">
        <v>1.0</v>
      </c>
      <c r="F54" s="12"/>
      <c r="R54" s="9" t="s">
        <v>18</v>
      </c>
      <c r="S54" s="10">
        <v>44331.0</v>
      </c>
      <c r="T54" s="84">
        <v>0.0</v>
      </c>
    </row>
    <row r="55">
      <c r="C55" s="9" t="s">
        <v>13</v>
      </c>
      <c r="D55" s="10">
        <v>44319.0</v>
      </c>
      <c r="E55" s="84">
        <v>0.0</v>
      </c>
      <c r="F55" s="12"/>
      <c r="R55" s="9" t="s">
        <v>12</v>
      </c>
      <c r="S55" s="10">
        <v>44332.0</v>
      </c>
      <c r="T55" s="84">
        <v>0.0</v>
      </c>
    </row>
    <row r="56">
      <c r="C56" s="9" t="s">
        <v>14</v>
      </c>
      <c r="D56" s="10">
        <v>44320.0</v>
      </c>
      <c r="E56" s="84">
        <v>1.0</v>
      </c>
      <c r="F56" s="12"/>
      <c r="R56" s="9" t="s">
        <v>13</v>
      </c>
      <c r="S56" s="10">
        <v>44333.0</v>
      </c>
      <c r="T56" s="84">
        <v>0.0</v>
      </c>
    </row>
    <row r="57">
      <c r="C57" s="9" t="s">
        <v>15</v>
      </c>
      <c r="D57" s="10">
        <v>44321.0</v>
      </c>
      <c r="E57" s="84">
        <v>1.0</v>
      </c>
      <c r="F57" s="12"/>
      <c r="R57" s="9" t="s">
        <v>14</v>
      </c>
      <c r="S57" s="10">
        <v>44334.0</v>
      </c>
      <c r="T57" s="84">
        <v>0.0</v>
      </c>
    </row>
    <row r="58">
      <c r="C58" s="9" t="s">
        <v>16</v>
      </c>
      <c r="D58" s="10">
        <v>44322.0</v>
      </c>
      <c r="E58" s="84">
        <v>1.0</v>
      </c>
      <c r="F58" s="12"/>
      <c r="R58" s="9" t="s">
        <v>15</v>
      </c>
      <c r="S58" s="10">
        <v>44335.0</v>
      </c>
      <c r="T58" s="84">
        <v>0.0</v>
      </c>
    </row>
    <row r="59">
      <c r="C59" s="20" t="s">
        <v>17</v>
      </c>
      <c r="D59" s="21">
        <v>44323.0</v>
      </c>
      <c r="E59" s="84">
        <v>1.0</v>
      </c>
      <c r="F59" s="12"/>
      <c r="R59" s="9" t="s">
        <v>16</v>
      </c>
      <c r="S59" s="10">
        <v>44336.0</v>
      </c>
      <c r="T59" s="86">
        <v>0.0</v>
      </c>
    </row>
    <row r="60">
      <c r="C60" s="9" t="s">
        <v>18</v>
      </c>
      <c r="D60" s="10">
        <v>44324.0</v>
      </c>
      <c r="E60" s="84">
        <v>1.5</v>
      </c>
      <c r="F60" s="85" t="s">
        <v>245</v>
      </c>
      <c r="R60" s="20" t="s">
        <v>17</v>
      </c>
      <c r="S60" s="21">
        <v>44337.0</v>
      </c>
      <c r="T60" s="86">
        <v>1.0</v>
      </c>
    </row>
    <row r="61">
      <c r="C61" s="9" t="s">
        <v>12</v>
      </c>
      <c r="D61" s="10">
        <v>44325.0</v>
      </c>
      <c r="E61" s="84">
        <v>2.0</v>
      </c>
      <c r="F61" s="85" t="s">
        <v>246</v>
      </c>
      <c r="R61" s="9" t="s">
        <v>18</v>
      </c>
      <c r="S61" s="10">
        <v>44338.0</v>
      </c>
      <c r="T61" s="86">
        <v>1.0</v>
      </c>
    </row>
    <row r="62">
      <c r="C62" s="9" t="s">
        <v>13</v>
      </c>
      <c r="D62" s="10">
        <v>44326.0</v>
      </c>
      <c r="E62" s="84">
        <v>2.0</v>
      </c>
      <c r="F62" s="12"/>
      <c r="R62" s="9" t="s">
        <v>12</v>
      </c>
      <c r="S62" s="10">
        <v>44339.0</v>
      </c>
      <c r="T62" s="86">
        <v>0.0</v>
      </c>
    </row>
    <row r="63">
      <c r="C63" s="9" t="s">
        <v>14</v>
      </c>
      <c r="D63" s="10">
        <v>44327.0</v>
      </c>
      <c r="E63" s="84">
        <v>2.0</v>
      </c>
      <c r="F63" s="12"/>
      <c r="R63" s="9" t="s">
        <v>13</v>
      </c>
      <c r="S63" s="10">
        <v>44340.0</v>
      </c>
      <c r="T63" s="86">
        <v>0.0</v>
      </c>
    </row>
    <row r="64">
      <c r="C64" s="9" t="s">
        <v>15</v>
      </c>
      <c r="D64" s="10">
        <v>44328.0</v>
      </c>
      <c r="E64" s="84">
        <v>1.0</v>
      </c>
      <c r="F64" s="12"/>
      <c r="R64" s="9" t="s">
        <v>14</v>
      </c>
      <c r="S64" s="10">
        <v>44341.0</v>
      </c>
      <c r="T64" s="86">
        <v>0.0</v>
      </c>
    </row>
    <row r="65">
      <c r="C65" s="9" t="s">
        <v>16</v>
      </c>
      <c r="D65" s="10">
        <v>44329.0</v>
      </c>
      <c r="E65" s="84">
        <v>0.0</v>
      </c>
      <c r="F65" s="12"/>
      <c r="R65" s="9" t="s">
        <v>15</v>
      </c>
      <c r="S65" s="10">
        <v>44342.0</v>
      </c>
      <c r="T65" s="86">
        <v>0.0</v>
      </c>
    </row>
    <row r="66">
      <c r="C66" s="20" t="s">
        <v>17</v>
      </c>
      <c r="D66" s="21">
        <v>44330.0</v>
      </c>
      <c r="E66" s="84">
        <v>0.0</v>
      </c>
      <c r="F66" s="12"/>
      <c r="R66" s="9" t="s">
        <v>16</v>
      </c>
      <c r="S66" s="10">
        <v>44343.0</v>
      </c>
      <c r="T66" s="86">
        <v>1.0</v>
      </c>
    </row>
    <row r="67">
      <c r="C67" s="9" t="s">
        <v>18</v>
      </c>
      <c r="D67" s="10">
        <v>44331.0</v>
      </c>
      <c r="E67" s="84">
        <v>0.0</v>
      </c>
      <c r="F67" s="12"/>
      <c r="R67" s="20" t="s">
        <v>17</v>
      </c>
      <c r="S67" s="21">
        <v>44344.0</v>
      </c>
      <c r="T67" s="86">
        <v>1.0</v>
      </c>
    </row>
    <row r="68">
      <c r="C68" s="9" t="s">
        <v>12</v>
      </c>
      <c r="D68" s="10">
        <v>44332.0</v>
      </c>
      <c r="E68" s="84">
        <v>0.0</v>
      </c>
      <c r="F68" s="12"/>
      <c r="R68" s="9" t="s">
        <v>18</v>
      </c>
      <c r="S68" s="10">
        <v>44345.0</v>
      </c>
      <c r="T68" s="88">
        <v>1.0</v>
      </c>
    </row>
    <row r="69">
      <c r="C69" s="9" t="s">
        <v>13</v>
      </c>
      <c r="D69" s="10">
        <v>44333.0</v>
      </c>
      <c r="E69" s="84">
        <v>1.0</v>
      </c>
      <c r="F69" s="12"/>
      <c r="R69" s="9" t="s">
        <v>12</v>
      </c>
      <c r="S69" s="10">
        <v>44346.0</v>
      </c>
      <c r="T69" s="88">
        <v>0.0</v>
      </c>
    </row>
    <row r="70">
      <c r="C70" s="9" t="s">
        <v>14</v>
      </c>
      <c r="D70" s="10">
        <v>44334.0</v>
      </c>
      <c r="E70" s="84">
        <v>1.0</v>
      </c>
      <c r="F70" s="12"/>
      <c r="R70" s="9" t="s">
        <v>249</v>
      </c>
      <c r="S70" s="10">
        <v>44347.0</v>
      </c>
      <c r="T70" s="88">
        <v>0.0</v>
      </c>
    </row>
    <row r="71">
      <c r="C71" s="9" t="s">
        <v>15</v>
      </c>
      <c r="D71" s="10">
        <v>44335.0</v>
      </c>
      <c r="E71" s="84">
        <v>1.0</v>
      </c>
      <c r="F71" s="12"/>
      <c r="R71" s="9"/>
      <c r="S71" s="10"/>
      <c r="T71" s="90">
        <f>SUM(T40:T70)</f>
        <v>9</v>
      </c>
    </row>
    <row r="72">
      <c r="C72" s="9" t="s">
        <v>16</v>
      </c>
      <c r="D72" s="10">
        <v>44336.0</v>
      </c>
      <c r="E72" s="86">
        <v>1.0</v>
      </c>
      <c r="F72" s="12"/>
      <c r="T72" s="62">
        <v>1200.0</v>
      </c>
    </row>
    <row r="73">
      <c r="C73" s="20" t="s">
        <v>17</v>
      </c>
      <c r="D73" s="21">
        <v>44337.0</v>
      </c>
      <c r="E73" s="86">
        <v>1.0</v>
      </c>
      <c r="F73" s="12"/>
      <c r="T73" s="92">
        <f>T72*T71</f>
        <v>10800</v>
      </c>
    </row>
    <row r="74">
      <c r="C74" s="9" t="s">
        <v>18</v>
      </c>
      <c r="D74" s="10">
        <v>44338.0</v>
      </c>
      <c r="E74" s="86">
        <v>0.0</v>
      </c>
      <c r="F74" s="12"/>
    </row>
    <row r="75">
      <c r="C75" s="9" t="s">
        <v>12</v>
      </c>
      <c r="D75" s="10">
        <v>44339.0</v>
      </c>
      <c r="E75" s="86">
        <v>1.0</v>
      </c>
      <c r="F75" s="12"/>
    </row>
    <row r="76">
      <c r="C76" s="9" t="s">
        <v>13</v>
      </c>
      <c r="D76" s="10">
        <v>44340.0</v>
      </c>
      <c r="E76" s="86">
        <v>1.0</v>
      </c>
      <c r="F76" s="12"/>
    </row>
    <row r="77">
      <c r="C77" s="9" t="s">
        <v>14</v>
      </c>
      <c r="D77" s="10">
        <v>44341.0</v>
      </c>
      <c r="E77" s="86">
        <v>1.0</v>
      </c>
      <c r="F77" s="85" t="s">
        <v>247</v>
      </c>
    </row>
    <row r="78">
      <c r="C78" s="9" t="s">
        <v>15</v>
      </c>
      <c r="D78" s="10">
        <v>44342.0</v>
      </c>
      <c r="E78" s="86">
        <v>1.0</v>
      </c>
      <c r="F78" s="12"/>
    </row>
    <row r="79">
      <c r="C79" s="9" t="s">
        <v>16</v>
      </c>
      <c r="D79" s="10">
        <v>44343.0</v>
      </c>
      <c r="E79" s="86">
        <v>1.0</v>
      </c>
      <c r="F79" s="85" t="s">
        <v>248</v>
      </c>
    </row>
    <row r="80">
      <c r="C80" s="20" t="s">
        <v>17</v>
      </c>
      <c r="D80" s="21">
        <v>44344.0</v>
      </c>
      <c r="E80" s="86">
        <v>0.0</v>
      </c>
      <c r="F80" s="12"/>
    </row>
    <row r="81">
      <c r="C81" s="9" t="s">
        <v>18</v>
      </c>
      <c r="D81" s="10">
        <v>44345.0</v>
      </c>
      <c r="E81" s="88">
        <v>1.0</v>
      </c>
      <c r="F81" s="12"/>
    </row>
    <row r="82">
      <c r="C82" s="9" t="s">
        <v>12</v>
      </c>
      <c r="D82" s="10">
        <v>44346.0</v>
      </c>
      <c r="E82" s="88">
        <v>1.0</v>
      </c>
      <c r="F82" s="12"/>
    </row>
    <row r="83">
      <c r="C83" s="9" t="s">
        <v>249</v>
      </c>
      <c r="D83" s="10">
        <v>44347.0</v>
      </c>
      <c r="E83" s="88">
        <v>1.0</v>
      </c>
      <c r="F83" s="12"/>
    </row>
    <row r="84">
      <c r="C84" s="9"/>
      <c r="D84" s="10"/>
      <c r="E84" s="90">
        <f>SUM(E53:E83)</f>
        <v>27.5</v>
      </c>
      <c r="F84" s="3"/>
    </row>
    <row r="85">
      <c r="E85" s="62">
        <v>1110.0</v>
      </c>
      <c r="F85" s="91" t="str">
        <f t="shared" ref="F85:F86" si="4">SUM(#REF!)</f>
        <v>#REF!</v>
      </c>
    </row>
    <row r="86">
      <c r="E86" s="92">
        <f>E84*E85</f>
        <v>30525</v>
      </c>
      <c r="F86" s="93" t="str">
        <f t="shared" si="4"/>
        <v>#REF!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  <col customWidth="1" min="9" max="9" width="16.5"/>
    <col customWidth="1" min="11" max="11" width="19.0"/>
    <col customWidth="1" min="12" max="12" width="19.88"/>
    <col customWidth="1" min="13" max="13" width="39.13"/>
  </cols>
  <sheetData>
    <row r="10">
      <c r="I10" s="6"/>
      <c r="J10" s="3"/>
      <c r="K10" s="3"/>
      <c r="L10" s="3"/>
    </row>
    <row r="11">
      <c r="I11" s="3"/>
      <c r="J11" s="26" t="s">
        <v>251</v>
      </c>
      <c r="K11" s="26" t="s">
        <v>4</v>
      </c>
      <c r="L11" s="26" t="s">
        <v>252</v>
      </c>
    </row>
    <row r="12">
      <c r="I12" s="64">
        <v>1.0</v>
      </c>
      <c r="J12" s="64" t="s">
        <v>234</v>
      </c>
      <c r="K12" s="65">
        <f>'Pointage '!C35*1</f>
        <v>45325</v>
      </c>
      <c r="L12" s="91"/>
    </row>
    <row r="13">
      <c r="I13" s="61">
        <v>2.0</v>
      </c>
      <c r="J13" s="61" t="s">
        <v>253</v>
      </c>
      <c r="K13" s="65">
        <f>'Pointage '!D35*1</f>
        <v>7000</v>
      </c>
      <c r="L13" s="94"/>
    </row>
    <row r="14">
      <c r="I14" s="61">
        <v>3.0</v>
      </c>
      <c r="J14" s="64" t="s">
        <v>238</v>
      </c>
      <c r="K14" s="65">
        <f>'Pointage '!G35*1</f>
        <v>31080</v>
      </c>
      <c r="L14" s="94">
        <v>3000.0</v>
      </c>
    </row>
    <row r="15">
      <c r="I15" s="61">
        <v>4.0</v>
      </c>
      <c r="J15" s="64" t="s">
        <v>254</v>
      </c>
      <c r="K15" s="65">
        <f>'Pointage '!E35*1</f>
        <v>11000</v>
      </c>
      <c r="L15" s="91"/>
    </row>
    <row r="16">
      <c r="I16" s="61">
        <v>5.0</v>
      </c>
      <c r="J16" s="64" t="s">
        <v>237</v>
      </c>
      <c r="K16" s="65">
        <f>'Pointage '!F35*1</f>
        <v>18000</v>
      </c>
      <c r="L16" s="94">
        <v>2000.0</v>
      </c>
    </row>
    <row r="17">
      <c r="I17" s="61">
        <v>6.0</v>
      </c>
      <c r="J17" s="64" t="s">
        <v>240</v>
      </c>
      <c r="K17" s="65">
        <f>'Pointage '!I35*1</f>
        <v>25110</v>
      </c>
      <c r="L17" s="94">
        <v>13000.0</v>
      </c>
      <c r="M17" s="67" t="s">
        <v>255</v>
      </c>
    </row>
    <row r="18">
      <c r="I18" s="61">
        <v>7.0</v>
      </c>
      <c r="J18" s="64" t="s">
        <v>256</v>
      </c>
      <c r="K18" s="65">
        <f>'Pointage '!K35*1</f>
        <v>2000</v>
      </c>
      <c r="L18" s="91"/>
    </row>
    <row r="19">
      <c r="I19" s="61">
        <v>8.0</v>
      </c>
      <c r="J19" s="64" t="s">
        <v>239</v>
      </c>
      <c r="K19" s="65">
        <f>'Pointage '!H35*1</f>
        <v>18600</v>
      </c>
      <c r="L19" s="94">
        <v>19000.0</v>
      </c>
    </row>
    <row r="20">
      <c r="I20" s="61">
        <v>9.0</v>
      </c>
      <c r="J20" s="64" t="s">
        <v>241</v>
      </c>
      <c r="K20" s="65">
        <f>'Pointage '!J35*1</f>
        <v>10800</v>
      </c>
      <c r="L20" s="95"/>
    </row>
    <row r="21">
      <c r="I21" s="61">
        <v>10.0</v>
      </c>
      <c r="J21" s="64" t="s">
        <v>243</v>
      </c>
      <c r="K21" s="65">
        <f>'Pointage '!L35*1</f>
        <v>30525</v>
      </c>
      <c r="L21" s="94">
        <v>12000.0</v>
      </c>
      <c r="M21" s="67" t="s">
        <v>257</v>
      </c>
    </row>
    <row r="22">
      <c r="I22" s="3"/>
      <c r="J22" s="96" t="s">
        <v>258</v>
      </c>
      <c r="K22" s="97">
        <f t="shared" ref="K22:L22" si="1">SUM(K12:K21)</f>
        <v>199440</v>
      </c>
      <c r="L22" s="98">
        <f t="shared" si="1"/>
        <v>49000</v>
      </c>
    </row>
    <row r="23">
      <c r="I23" s="3"/>
      <c r="J23" s="99"/>
      <c r="K23" s="100">
        <f>K22-L22</f>
        <v>150440</v>
      </c>
      <c r="L23" s="101"/>
    </row>
    <row r="24">
      <c r="I24" s="6"/>
      <c r="J24" s="6"/>
      <c r="K24" s="6"/>
      <c r="L24" s="6"/>
    </row>
  </sheetData>
  <drawing r:id="rId1"/>
</worksheet>
</file>