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AP" sheetId="1" r:id="rId4"/>
    <sheet state="visible" name="Les Charges " sheetId="2" r:id="rId5"/>
    <sheet state="visible" name="Pointage " sheetId="3" r:id="rId6"/>
    <sheet state="visible" name="Pointage par heures " sheetId="4" r:id="rId7"/>
    <sheet state="visible" name="Les Salaires " sheetId="5" r:id="rId8"/>
    <sheet state="visible" name="Feuille 5" sheetId="6" r:id="rId9"/>
  </sheets>
  <definedNames/>
  <calcPr/>
</workbook>
</file>

<file path=xl/sharedStrings.xml><?xml version="1.0" encoding="utf-8"?>
<sst xmlns="http://schemas.openxmlformats.org/spreadsheetml/2006/main" count="565" uniqueCount="387">
  <si>
    <t>Date</t>
  </si>
  <si>
    <t>Recette Octobre  2025</t>
  </si>
  <si>
    <t xml:space="preserve">Recette </t>
  </si>
  <si>
    <t>Charges</t>
  </si>
  <si>
    <t>Salaire</t>
  </si>
  <si>
    <t>Che7i7a</t>
  </si>
  <si>
    <t>Loyer</t>
  </si>
  <si>
    <t>Net Profit</t>
  </si>
  <si>
    <t>Nb de jours</t>
  </si>
  <si>
    <t>Objectif</t>
  </si>
  <si>
    <t>Mois Octobre  2025</t>
  </si>
  <si>
    <t>Samedi</t>
  </si>
  <si>
    <t>dimanche</t>
  </si>
  <si>
    <t>Bénéfice Moyen par jour</t>
  </si>
  <si>
    <t xml:space="preserve">Moyenne </t>
  </si>
  <si>
    <t xml:space="preserve">Moyenne salaire </t>
  </si>
  <si>
    <t xml:space="preserve">pourcentage du salaire vis à vis la recettte </t>
  </si>
  <si>
    <t>lundi</t>
  </si>
  <si>
    <t>mardi</t>
  </si>
  <si>
    <t>mercredi</t>
  </si>
  <si>
    <t xml:space="preserve">Moyenne des charges par jour </t>
  </si>
  <si>
    <t xml:space="preserve">Objectif </t>
  </si>
  <si>
    <t>jeudi</t>
  </si>
  <si>
    <t>vendredi</t>
  </si>
  <si>
    <t>samedi</t>
  </si>
  <si>
    <t xml:space="preserve">Cash restant </t>
  </si>
  <si>
    <t>Magasin</t>
  </si>
  <si>
    <t>Cash réel</t>
  </si>
  <si>
    <t>Mes dettes pour le magasin</t>
  </si>
  <si>
    <t xml:space="preserve">Fond de Roulement </t>
  </si>
  <si>
    <t xml:space="preserve">La caisse :      </t>
  </si>
  <si>
    <t xml:space="preserve">CCP: </t>
  </si>
  <si>
    <t>Monnie</t>
  </si>
  <si>
    <t xml:space="preserve">Voiture </t>
  </si>
  <si>
    <t xml:space="preserve">Différence mois de Septembre </t>
  </si>
  <si>
    <t xml:space="preserve">Différence objectif </t>
  </si>
  <si>
    <t xml:space="preserve">Cash PorteFeuille : 60000Da </t>
  </si>
  <si>
    <t xml:space="preserve">Différence du Totale </t>
  </si>
  <si>
    <t xml:space="preserve">Les vendredis </t>
  </si>
  <si>
    <t>rest à payer</t>
  </si>
  <si>
    <t>Loyer Magasin</t>
  </si>
  <si>
    <t xml:space="preserve">Loyer Locale </t>
  </si>
  <si>
    <t xml:space="preserve">Sofiane Maison </t>
  </si>
  <si>
    <t>Papa</t>
  </si>
  <si>
    <t>Dette Papa</t>
  </si>
  <si>
    <t>-</t>
  </si>
  <si>
    <t>Produit</t>
  </si>
  <si>
    <t>Quantité</t>
  </si>
  <si>
    <t xml:space="preserve">Prix unitaire </t>
  </si>
  <si>
    <t>Prix</t>
  </si>
  <si>
    <t>Margarine Goldmine  10kg</t>
  </si>
  <si>
    <t>Semoule Moula Moyenne 10kg</t>
  </si>
  <si>
    <t>Semoule Moula  Grosse  10kg</t>
  </si>
  <si>
    <t xml:space="preserve">Paprika </t>
  </si>
  <si>
    <t>Semoule Fine Moula 10kg</t>
  </si>
  <si>
    <t xml:space="preserve">Semoule Fine 25kg </t>
  </si>
  <si>
    <t xml:space="preserve">Transport Semoule </t>
  </si>
  <si>
    <t>Sel</t>
  </si>
  <si>
    <t>Levure Boulangère 500g</t>
  </si>
  <si>
    <t>Chocolat Wedjedan Noir</t>
  </si>
  <si>
    <t>Chocolat wedjedane au lait</t>
  </si>
  <si>
    <t>Chocolat wedjedane Blanc</t>
  </si>
  <si>
    <t xml:space="preserve">Chocolat wedjedane Noisette </t>
  </si>
  <si>
    <t>Sucre Cristalisé</t>
  </si>
  <si>
    <t>Huile Elio 5 litres</t>
  </si>
  <si>
    <t xml:space="preserve">octobre +01er novembre </t>
  </si>
  <si>
    <t>Lait en poudre</t>
  </si>
  <si>
    <t xml:space="preserve">Semen </t>
  </si>
  <si>
    <t xml:space="preserve">Khel </t>
  </si>
  <si>
    <t>Vanille Baraka 4kg</t>
  </si>
  <si>
    <t>Margarine dE Feuilletage 500g</t>
  </si>
  <si>
    <t>sucre de datte</t>
  </si>
  <si>
    <t>Pate de Fruits Fraise</t>
  </si>
  <si>
    <t xml:space="preserve">Levure chimique </t>
  </si>
  <si>
    <t>Levure chimique</t>
  </si>
  <si>
    <t>Noix</t>
  </si>
  <si>
    <t>Sucre Glace</t>
  </si>
  <si>
    <t>Harrissa</t>
  </si>
  <si>
    <t>Tomate conserve</t>
  </si>
  <si>
    <t>Farine Sim 1kg</t>
  </si>
  <si>
    <t>Fromage Bidon 3,8kg</t>
  </si>
  <si>
    <t>Eau de Fleur d'oranger</t>
  </si>
  <si>
    <t>Amande marron</t>
  </si>
  <si>
    <t>amande éffilé</t>
  </si>
  <si>
    <t xml:space="preserve">plateaux oeufs </t>
  </si>
  <si>
    <t>Boite Num 8</t>
  </si>
  <si>
    <t>Boite Num 18</t>
  </si>
  <si>
    <t>Boite Num 24</t>
  </si>
  <si>
    <t>Boite Num 36</t>
  </si>
  <si>
    <t>Boite Num 48/07</t>
  </si>
  <si>
    <t>Boite Num 48/10</t>
  </si>
  <si>
    <t>concombre</t>
  </si>
  <si>
    <t xml:space="preserve">Selecto Canette </t>
  </si>
  <si>
    <t xml:space="preserve">Hamoud Blanche </t>
  </si>
  <si>
    <t xml:space="preserve">Slim Annanas </t>
  </si>
  <si>
    <t xml:space="preserve">Slim Pomme </t>
  </si>
  <si>
    <t>Slim Citron</t>
  </si>
  <si>
    <t xml:space="preserve">Slim Orange </t>
  </si>
  <si>
    <t xml:space="preserve">Fanta Canette </t>
  </si>
  <si>
    <t>Coca Canette</t>
  </si>
  <si>
    <t>Canette Shweppes</t>
  </si>
  <si>
    <t xml:space="preserve">Sprite Canette </t>
  </si>
  <si>
    <t xml:space="preserve">Izem Canette </t>
  </si>
  <si>
    <t>Arome Fraise</t>
  </si>
  <si>
    <t>Pates d'arome Citron</t>
  </si>
  <si>
    <t>Pate d'arome Fleur d'oranger</t>
  </si>
  <si>
    <t>Pate d'Arome Beurre</t>
  </si>
  <si>
    <t>Fourage Fraise 380g</t>
  </si>
  <si>
    <t xml:space="preserve">Eau mInirale 0,5 litre </t>
  </si>
  <si>
    <t>jus Tchina 33cl</t>
  </si>
  <si>
    <t>Maiizina</t>
  </si>
  <si>
    <t>Farine Sousimie 10kg</t>
  </si>
  <si>
    <t xml:space="preserve">Chocolat à Tartiner 2,5kg </t>
  </si>
  <si>
    <t xml:space="preserve">chocolat à tartiner 3kg </t>
  </si>
  <si>
    <t>Quissettes 12/15</t>
  </si>
  <si>
    <t>quissettes dorés</t>
  </si>
  <si>
    <t>quissettes num 10</t>
  </si>
  <si>
    <t xml:space="preserve">Maiis </t>
  </si>
  <si>
    <t>Maiis</t>
  </si>
  <si>
    <t>Miel 5 kg</t>
  </si>
  <si>
    <t xml:space="preserve">Gherss Betana </t>
  </si>
  <si>
    <t>Thon 1kg</t>
  </si>
  <si>
    <t>7alwet turk</t>
  </si>
  <si>
    <t>Farine blé complet</t>
  </si>
  <si>
    <t>Nakkach</t>
  </si>
  <si>
    <t>nettoyage vitres</t>
  </si>
  <si>
    <t>livraison nakkach</t>
  </si>
  <si>
    <t>l</t>
  </si>
  <si>
    <t>désodorisant</t>
  </si>
  <si>
    <t>Margarine Fleurial 500g</t>
  </si>
  <si>
    <t xml:space="preserve">Eau de Fleur d'Oranger </t>
  </si>
  <si>
    <t>Confiture 1kg</t>
  </si>
  <si>
    <t xml:space="preserve">Crème liquide </t>
  </si>
  <si>
    <t xml:space="preserve">Crème liquide 4 fromages </t>
  </si>
  <si>
    <t>Amandes blanche</t>
  </si>
  <si>
    <t xml:space="preserve">Habet halawa </t>
  </si>
  <si>
    <t>Sanoudj</t>
  </si>
  <si>
    <t>Fromage spéciale pizza</t>
  </si>
  <si>
    <t>boites tranparent 500ccl</t>
  </si>
  <si>
    <t>boites Raib</t>
  </si>
  <si>
    <t>Farine SIM 1kg</t>
  </si>
  <si>
    <t>brahim</t>
  </si>
  <si>
    <t>chiddar</t>
  </si>
  <si>
    <t>Tofia caramel 2kg</t>
  </si>
  <si>
    <t>Pain Tacos</t>
  </si>
  <si>
    <t>Bingo 750g</t>
  </si>
  <si>
    <t xml:space="preserve">Brilex dégraissant </t>
  </si>
  <si>
    <t>9erounefel moulu</t>
  </si>
  <si>
    <t xml:space="preserve">Cannelle </t>
  </si>
  <si>
    <t>Tomate cerise</t>
  </si>
  <si>
    <t xml:space="preserve">Concombre </t>
  </si>
  <si>
    <t xml:space="preserve">rechta </t>
  </si>
  <si>
    <t>Deyoul</t>
  </si>
  <si>
    <t xml:space="preserve">escalope </t>
  </si>
  <si>
    <t xml:space="preserve">Viande morceaux </t>
  </si>
  <si>
    <t>Les charges du Mois d'Octobre je les ai oublié</t>
  </si>
  <si>
    <t>Viande Hachée</t>
  </si>
  <si>
    <t xml:space="preserve">viande d'agneau </t>
  </si>
  <si>
    <t>Blanc de poulet</t>
  </si>
  <si>
    <t xml:space="preserve">épinards + persil+ coriandre </t>
  </si>
  <si>
    <t>carotte</t>
  </si>
  <si>
    <t>deyoul</t>
  </si>
  <si>
    <t>Frik</t>
  </si>
  <si>
    <t>ail</t>
  </si>
  <si>
    <t xml:space="preserve">épice viande </t>
  </si>
  <si>
    <t>Huile Afia</t>
  </si>
  <si>
    <t>Flexy magasin</t>
  </si>
  <si>
    <t>Citron</t>
  </si>
  <si>
    <t xml:space="preserve">Viande d'agneau </t>
  </si>
  <si>
    <t>Cuisses entière</t>
  </si>
  <si>
    <t>poulet haché</t>
  </si>
  <si>
    <t>couscouss</t>
  </si>
  <si>
    <t xml:space="preserve">Navet </t>
  </si>
  <si>
    <t>courgette</t>
  </si>
  <si>
    <t>Tomate Fraiche</t>
  </si>
  <si>
    <t>Cheddar</t>
  </si>
  <si>
    <t xml:space="preserve">canelle </t>
  </si>
  <si>
    <t>Coriandre</t>
  </si>
  <si>
    <t>Beurre Mar3i</t>
  </si>
  <si>
    <t>Poivron</t>
  </si>
  <si>
    <t xml:space="preserve">Salade </t>
  </si>
  <si>
    <t xml:space="preserve">Bessel </t>
  </si>
  <si>
    <t>Non Payée</t>
  </si>
  <si>
    <t>Berkoukess</t>
  </si>
  <si>
    <t xml:space="preserve">Storm Modem Locale </t>
  </si>
  <si>
    <t>Coupes pate</t>
  </si>
  <si>
    <t xml:space="preserve">Concombre + carottes+ courgette+ </t>
  </si>
  <si>
    <t>Tomate</t>
  </si>
  <si>
    <t>Ferik</t>
  </si>
  <si>
    <t xml:space="preserve">Poivre Blanc </t>
  </si>
  <si>
    <t>épice metehwem</t>
  </si>
  <si>
    <t>gingembre</t>
  </si>
  <si>
    <t>Thym</t>
  </si>
  <si>
    <t>Persil</t>
  </si>
  <si>
    <t>Poches à douilles</t>
  </si>
  <si>
    <t>Poulet haché + blanc de poulet + tranches</t>
  </si>
  <si>
    <t>Blanc haché</t>
  </si>
  <si>
    <t>Shawarema</t>
  </si>
  <si>
    <t>Mélange Olive</t>
  </si>
  <si>
    <t>vinigrette</t>
  </si>
  <si>
    <t>Trust clean</t>
  </si>
  <si>
    <t>Terida</t>
  </si>
  <si>
    <t>Chakhechoukhate defer</t>
  </si>
  <si>
    <t>Olive Noir</t>
  </si>
  <si>
    <t xml:space="preserve">Rechta </t>
  </si>
  <si>
    <t>Viande hachée</t>
  </si>
  <si>
    <t>poivre + poivron</t>
  </si>
  <si>
    <t xml:space="preserve">tomate </t>
  </si>
  <si>
    <t>tomate fraiche</t>
  </si>
  <si>
    <t>persil</t>
  </si>
  <si>
    <t>oeuf</t>
  </si>
  <si>
    <t>raisins sec</t>
  </si>
  <si>
    <t>viande morceaux veau</t>
  </si>
  <si>
    <t>poulet haché+ blanc de poulet + tranches</t>
  </si>
  <si>
    <t>viande d'agneau 8 morceaux</t>
  </si>
  <si>
    <t>réparation unité centrale</t>
  </si>
  <si>
    <t>pomme de terre</t>
  </si>
  <si>
    <t>courgette+ carrottes</t>
  </si>
  <si>
    <t>poivron</t>
  </si>
  <si>
    <t>hamissa bocale</t>
  </si>
  <si>
    <t>fruits</t>
  </si>
  <si>
    <t>navet courgette carottes</t>
  </si>
  <si>
    <t>tomate</t>
  </si>
  <si>
    <t xml:space="preserve">poivre </t>
  </si>
  <si>
    <t>poivre rouge</t>
  </si>
  <si>
    <t>dattes</t>
  </si>
  <si>
    <t>heech chiraz+ yasmine</t>
  </si>
  <si>
    <t xml:space="preserve">livraison local Mohammed </t>
  </si>
  <si>
    <t>serviettes en papier</t>
  </si>
  <si>
    <t>Poulet haché</t>
  </si>
  <si>
    <t xml:space="preserve">épinards  </t>
  </si>
  <si>
    <t xml:space="preserve">champignion </t>
  </si>
  <si>
    <t xml:space="preserve">viande tranches </t>
  </si>
  <si>
    <t xml:space="preserve">Huile d'olive </t>
  </si>
  <si>
    <t xml:space="preserve">Blanc de poulet + haché+ tranches </t>
  </si>
  <si>
    <t xml:space="preserve">javel moussant </t>
  </si>
  <si>
    <t>lave sol</t>
  </si>
  <si>
    <t>djeldjelan</t>
  </si>
  <si>
    <t>viande hachée Slimane</t>
  </si>
  <si>
    <t xml:space="preserve">Tomate + Salade </t>
  </si>
  <si>
    <t xml:space="preserve">dettes Slimane </t>
  </si>
  <si>
    <t>Houda Heech</t>
  </si>
  <si>
    <t>plateaux oeufs Brahim</t>
  </si>
  <si>
    <t>lahessen 2 coursses Dimanche passé+ ce Lundi</t>
  </si>
  <si>
    <t>Semoule Fine 25kg</t>
  </si>
  <si>
    <t>Semoule Moyenne 25kg</t>
  </si>
  <si>
    <t xml:space="preserve">Livraison + Manutention  Semoule </t>
  </si>
  <si>
    <t>crème Fraiche 4 Fromages</t>
  </si>
  <si>
    <t xml:space="preserve">Crème Fraiche Simple </t>
  </si>
  <si>
    <t xml:space="preserve">salade </t>
  </si>
  <si>
    <t xml:space="preserve">Citron </t>
  </si>
  <si>
    <t xml:space="preserve">Pain   </t>
  </si>
  <si>
    <t>Pomme de terre</t>
  </si>
  <si>
    <t xml:space="preserve">Tomate </t>
  </si>
  <si>
    <t xml:space="preserve">courgette </t>
  </si>
  <si>
    <t xml:space="preserve">concombre </t>
  </si>
  <si>
    <t>Maiis Brahim</t>
  </si>
  <si>
    <t>cuisses + blanc</t>
  </si>
  <si>
    <t>Pilon</t>
  </si>
  <si>
    <t xml:space="preserve">Cuisses entière </t>
  </si>
  <si>
    <t>Boites Transparents 500cc</t>
  </si>
  <si>
    <t>Barquettes 1065</t>
  </si>
  <si>
    <t>fourchette</t>
  </si>
  <si>
    <t xml:space="preserve">Huile </t>
  </si>
  <si>
    <t>Semoule Fine 2kg + levure boulangère</t>
  </si>
  <si>
    <t>viande Hachée</t>
  </si>
  <si>
    <t>Poulet Haché</t>
  </si>
  <si>
    <t xml:space="preserve">Blanc de poulet    </t>
  </si>
  <si>
    <t>épinards</t>
  </si>
  <si>
    <t>citron</t>
  </si>
  <si>
    <t>Storm Magasin</t>
  </si>
  <si>
    <t>Livraison Deyoul</t>
  </si>
  <si>
    <t>Fruits</t>
  </si>
  <si>
    <t>livraison Sofiane + Thé + Coca</t>
  </si>
  <si>
    <t>camember</t>
  </si>
  <si>
    <t>Motifs Ke3ike3ates</t>
  </si>
  <si>
    <t xml:space="preserve">Heech Chiraz et Akila </t>
  </si>
  <si>
    <t>chantilly</t>
  </si>
  <si>
    <t>Crevette</t>
  </si>
  <si>
    <t>Tomate  Cerise</t>
  </si>
  <si>
    <t>Mandarine</t>
  </si>
  <si>
    <t>Carottes</t>
  </si>
  <si>
    <t>Concombre</t>
  </si>
  <si>
    <t>café</t>
  </si>
  <si>
    <t>Pain</t>
  </si>
  <si>
    <t>Eau petit Brahim</t>
  </si>
  <si>
    <t>Heech Akila Jeudi et Mercredi</t>
  </si>
  <si>
    <t>figue</t>
  </si>
  <si>
    <t>cerise confit</t>
  </si>
  <si>
    <t>Plateaux oeufs</t>
  </si>
  <si>
    <t>Yasmine Baghrir</t>
  </si>
  <si>
    <t>Motifs Yasmina</t>
  </si>
  <si>
    <t xml:space="preserve">Nacré Magique </t>
  </si>
  <si>
    <t>Assiettes rond en plastique</t>
  </si>
  <si>
    <t>Boite Blanche 48/10</t>
  </si>
  <si>
    <t>Barquettes 1185</t>
  </si>
  <si>
    <t>Boites Plateau</t>
  </si>
  <si>
    <t>Boites Demie Plateau</t>
  </si>
  <si>
    <t>demie plateau</t>
  </si>
  <si>
    <t>rechta</t>
  </si>
  <si>
    <t>motif ke3ike3ates</t>
  </si>
  <si>
    <t>Grande Boite de décoration</t>
  </si>
  <si>
    <t>Boites de décoration</t>
  </si>
  <si>
    <t xml:space="preserve">Les gants </t>
  </si>
  <si>
    <t>papier aluminium</t>
  </si>
  <si>
    <t>Sachets blanc 5 kg</t>
  </si>
  <si>
    <t>sachets de congelation 2kg</t>
  </si>
  <si>
    <t>sac croissant Num 23</t>
  </si>
  <si>
    <t>sac croissant Num 18</t>
  </si>
  <si>
    <t xml:space="preserve">serviettes en papier </t>
  </si>
  <si>
    <t>Boites Num 08</t>
  </si>
  <si>
    <t>Boites Num 12</t>
  </si>
  <si>
    <t>Boites Num 18</t>
  </si>
  <si>
    <t>Boites Num 24</t>
  </si>
  <si>
    <t>Boites Num 36</t>
  </si>
  <si>
    <t>Boites 48/07</t>
  </si>
  <si>
    <t>Boites 48/10</t>
  </si>
  <si>
    <t>achoir magasin</t>
  </si>
  <si>
    <t>Bouteille de gaz</t>
  </si>
  <si>
    <t>Shalumeau complet</t>
  </si>
  <si>
    <t>Shalumeau+ boiteille en gaz</t>
  </si>
  <si>
    <t>Cuillière en bois petits</t>
  </si>
  <si>
    <t>Cuillères en inox</t>
  </si>
  <si>
    <t>Grand Bol</t>
  </si>
  <si>
    <t>Petits Bols</t>
  </si>
  <si>
    <t xml:space="preserve">Les Dettes de Mourad Cheraga </t>
  </si>
  <si>
    <t>verser 100k reste 142k</t>
  </si>
  <si>
    <t xml:space="preserve">anti cafards Mehdi </t>
  </si>
  <si>
    <t>sac croissant Num 14</t>
  </si>
  <si>
    <t>Force express</t>
  </si>
  <si>
    <t>isis</t>
  </si>
  <si>
    <t>Sac Poubelle  2*10*20</t>
  </si>
  <si>
    <t>serpillière</t>
  </si>
  <si>
    <t>cuillière en bois</t>
  </si>
  <si>
    <t>ciseaux</t>
  </si>
  <si>
    <t>planche à découper</t>
  </si>
  <si>
    <t>Barquettes 1320</t>
  </si>
  <si>
    <t xml:space="preserve">goblets </t>
  </si>
  <si>
    <t xml:space="preserve">douzettes de sucre </t>
  </si>
  <si>
    <t>Motif Soutenance</t>
  </si>
  <si>
    <t>Motif Bébé Girl</t>
  </si>
  <si>
    <t>Motifs feuilles</t>
  </si>
  <si>
    <t>Motif fleur ke3ike3aes</t>
  </si>
  <si>
    <t>Motif 9ronfela de 10</t>
  </si>
  <si>
    <t>motif 9eronfela</t>
  </si>
  <si>
    <t>Fourchettes + couteaux VIP</t>
  </si>
  <si>
    <t>papier film</t>
  </si>
  <si>
    <t>Papier  aluminium</t>
  </si>
  <si>
    <t>porte mangé</t>
  </si>
  <si>
    <t>Abderrahman Comptable</t>
  </si>
  <si>
    <t xml:space="preserve">Impots 2 Mois </t>
  </si>
  <si>
    <t>Tadjine Fekhar</t>
  </si>
  <si>
    <t>Assiettes fekhar</t>
  </si>
  <si>
    <t>Tadjines Temina</t>
  </si>
  <si>
    <t>Coffins</t>
  </si>
  <si>
    <t>Akila</t>
  </si>
  <si>
    <t>Chiraz</t>
  </si>
  <si>
    <t xml:space="preserve">Samira </t>
  </si>
  <si>
    <t>Fatiha</t>
  </si>
  <si>
    <t>Samira Sidi Abdullah</t>
  </si>
  <si>
    <t>Ahlem</t>
  </si>
  <si>
    <t>Sarah</t>
  </si>
  <si>
    <t>Yasmine</t>
  </si>
  <si>
    <t>Zahia</t>
  </si>
  <si>
    <t>Zohra</t>
  </si>
  <si>
    <t xml:space="preserve">Houda </t>
  </si>
  <si>
    <t>Fouzia</t>
  </si>
  <si>
    <t>Machair</t>
  </si>
  <si>
    <t>Heure Suplémentaires</t>
  </si>
  <si>
    <t xml:space="preserve">Zohra on lui a donner 4000Da du Mois de Septembre + 2 OFF de Fouzia pour Mois d'octobre j'ai oublié de les mentienner </t>
  </si>
  <si>
    <t>/</t>
  </si>
  <si>
    <t xml:space="preserve">Nom </t>
  </si>
  <si>
    <t>Avance</t>
  </si>
  <si>
    <t xml:space="preserve">Salaire à payer </t>
  </si>
  <si>
    <t xml:space="preserve">Sofiane </t>
  </si>
  <si>
    <t>Amel</t>
  </si>
  <si>
    <t xml:space="preserve">Akila </t>
  </si>
  <si>
    <t>Samira</t>
  </si>
  <si>
    <t>10000Da Tv + 4000Da elle les a pris Mois d'Octobre +4000Da+1500Da achats du magasin+200Da mehadjeb+2000</t>
  </si>
  <si>
    <t xml:space="preserve">Samira Sidi AbduAllah </t>
  </si>
  <si>
    <t>5000Da+3000</t>
  </si>
  <si>
    <t xml:space="preserve">Yasmine </t>
  </si>
  <si>
    <t xml:space="preserve">Zahia </t>
  </si>
  <si>
    <t xml:space="preserve">Zohra </t>
  </si>
  <si>
    <t xml:space="preserve">4000Da complément salaire de Septembre </t>
  </si>
  <si>
    <t>Houda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</si>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</sst>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#,##0\ [$€-1]"/>
    <numFmt numFmtId="165" formatCode="dd/mm/yyyy"/>
    <numFmt numFmtId="166" formatCode="#,##0.00\ [$€-1]"/>
    <numFmt numFmtId="167" formatCode="&quot;$&quot;#,##0.00"/>
    <numFmt numFmtId="168" formatCode="d/m/yyyy"/>
    <numFmt numFmtId="169" formatCode="hh:mm"/>
  </numFmts>
  <fonts count="24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sz val="18.0"/>
      <color theme="1"/>
      <name val="Arial"/>
    </font>
    <font>
      <b/>
      <sz val="21.0"/>
      <color theme="1"/>
      <name val="Arial"/>
    </font>
    <font>
      <sz val="21.0"/>
      <color theme="1"/>
      <name val="Arial"/>
    </font>
    <font/>
    <font>
      <sz val="19.0"/>
      <color theme="1"/>
      <name val="Arial"/>
    </font>
    <font>
      <sz val="17.0"/>
      <color theme="1"/>
      <name val="Arial"/>
    </font>
    <font>
      <sz val="20.0"/>
      <color theme="1"/>
      <name val="Arial"/>
    </font>
    <font>
      <sz val="18.0"/>
      <color rgb="FFFF0000"/>
      <name val="Arial"/>
    </font>
    <font>
      <sz val="18.0"/>
      <color rgb="FFFFFF00"/>
      <name val="Arial"/>
    </font>
    <font>
      <b/>
      <sz val="20.0"/>
      <color theme="1"/>
      <name val="Arial"/>
    </font>
    <font>
      <sz val="17.0"/>
      <color theme="1"/>
      <name val="Arial"/>
      <scheme val="minor"/>
    </font>
    <font>
      <sz val="18.0"/>
      <color theme="1"/>
      <name val="Arial"/>
      <scheme val="minor"/>
    </font>
    <font>
      <b/>
      <sz val="24.0"/>
      <color theme="1"/>
      <name val="Arial"/>
    </font>
    <font>
      <sz val="18.0"/>
      <color rgb="FF434343"/>
      <name val="Arial"/>
    </font>
    <font>
      <sz val="17.0"/>
      <color rgb="FF434343"/>
      <name val="Arial"/>
    </font>
    <font>
      <sz val="19.0"/>
      <color rgb="FF434343"/>
      <name val="Arial"/>
    </font>
    <font>
      <b/>
      <sz val="20.0"/>
      <color rgb="FF434343"/>
      <name val="Arial"/>
    </font>
    <font>
      <b/>
      <sz val="20.0"/>
      <color rgb="FF1C4587"/>
      <name val="Arial"/>
    </font>
    <font>
      <sz val="20.0"/>
      <color theme="1"/>
      <name val="Arial"/>
      <scheme val="minor"/>
    </font>
    <font>
      <b/>
      <sz val="17.0"/>
      <color theme="1"/>
      <name val="Arial"/>
    </font>
    <font>
      <b/>
      <sz val="19.0"/>
      <color theme="1"/>
      <name val="Arial"/>
    </font>
  </fonts>
  <fills count="22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C27BA0"/>
        <bgColor rgb="FFC27BA0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F8F9FA"/>
        <bgColor rgb="FFF8F9FA"/>
      </patternFill>
    </fill>
    <fill>
      <patternFill patternType="solid">
        <fgColor rgb="FFD9EAD3"/>
        <bgColor rgb="FFD9EAD3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D0E0E3"/>
        <bgColor rgb="FFD0E0E3"/>
      </patternFill>
    </fill>
    <fill>
      <patternFill patternType="solid">
        <fgColor rgb="FFD5A6BD"/>
        <bgColor rgb="FFD5A6BD"/>
      </patternFill>
    </fill>
  </fills>
  <borders count="10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2" fontId="2" numFmtId="0" xfId="0" applyAlignment="1" applyBorder="1" applyFill="1" applyFont="1">
      <alignment horizontal="center" vertical="bottom"/>
    </xf>
    <xf borderId="2" fillId="2" fontId="3" numFmtId="0" xfId="0" applyAlignment="1" applyBorder="1" applyFont="1">
      <alignment horizontal="center" readingOrder="0" vertical="bottom"/>
    </xf>
    <xf borderId="2" fillId="2" fontId="3" numFmtId="0" xfId="0" applyAlignment="1" applyBorder="1" applyFont="1">
      <alignment horizontal="center" vertical="bottom"/>
    </xf>
    <xf borderId="2" fillId="2" fontId="3" numFmtId="164" xfId="0" applyAlignment="1" applyBorder="1" applyFont="1" applyNumberFormat="1">
      <alignment horizontal="center" vertical="bottom"/>
    </xf>
    <xf borderId="0" fillId="0" fontId="1" numFmtId="0" xfId="0" applyAlignment="1" applyFont="1">
      <alignment vertical="bottom"/>
    </xf>
    <xf borderId="2" fillId="3" fontId="3" numFmtId="0" xfId="0" applyAlignment="1" applyBorder="1" applyFill="1" applyFont="1">
      <alignment horizontal="center" vertical="bottom"/>
    </xf>
    <xf borderId="2" fillId="4" fontId="3" numFmtId="0" xfId="0" applyAlignment="1" applyBorder="1" applyFill="1" applyFont="1">
      <alignment horizontal="center" readingOrder="0" vertical="bottom"/>
    </xf>
    <xf borderId="3" fillId="5" fontId="3" numFmtId="0" xfId="0" applyAlignment="1" applyBorder="1" applyFill="1" applyFont="1">
      <alignment horizontal="center" readingOrder="0" vertical="bottom"/>
    </xf>
    <xf borderId="1" fillId="5" fontId="3" numFmtId="165" xfId="0" applyAlignment="1" applyBorder="1" applyFont="1" applyNumberFormat="1">
      <alignment horizontal="center" readingOrder="0" vertical="bottom"/>
    </xf>
    <xf borderId="1" fillId="5" fontId="3" numFmtId="166" xfId="0" applyAlignment="1" applyBorder="1" applyFont="1" applyNumberFormat="1">
      <alignment horizontal="center" vertical="bottom"/>
    </xf>
    <xf borderId="1" fillId="5" fontId="3" numFmtId="166" xfId="0" applyAlignment="1" applyBorder="1" applyFont="1" applyNumberFormat="1">
      <alignment horizontal="center" readingOrder="0" vertical="bottom"/>
    </xf>
    <xf borderId="1" fillId="5" fontId="1" numFmtId="0" xfId="0" applyAlignment="1" applyBorder="1" applyFont="1">
      <alignment vertical="bottom"/>
    </xf>
    <xf borderId="1" fillId="5" fontId="1" numFmtId="164" xfId="0" applyAlignment="1" applyBorder="1" applyFont="1" applyNumberFormat="1">
      <alignment vertical="bottom"/>
    </xf>
    <xf borderId="1" fillId="5" fontId="3" numFmtId="0" xfId="0" applyAlignment="1" applyBorder="1" applyFont="1">
      <alignment horizontal="center" readingOrder="0" vertical="bottom"/>
    </xf>
    <xf borderId="0" fillId="5" fontId="1" numFmtId="0" xfId="0" applyAlignment="1" applyFont="1">
      <alignment vertical="bottom"/>
    </xf>
    <xf borderId="1" fillId="5" fontId="1" numFmtId="166" xfId="0" applyAlignment="1" applyBorder="1" applyFont="1" applyNumberFormat="1">
      <alignment vertical="bottom"/>
    </xf>
    <xf borderId="4" fillId="6" fontId="3" numFmtId="0" xfId="0" applyAlignment="1" applyBorder="1" applyFill="1" applyFont="1">
      <alignment horizontal="center" vertical="bottom"/>
    </xf>
    <xf borderId="0" fillId="7" fontId="3" numFmtId="0" xfId="0" applyAlignment="1" applyFill="1" applyFont="1">
      <alignment horizontal="center" vertical="bottom"/>
    </xf>
    <xf borderId="0" fillId="0" fontId="4" numFmtId="0" xfId="0" applyAlignment="1" applyFont="1">
      <alignment vertical="bottom"/>
    </xf>
    <xf borderId="1" fillId="4" fontId="3" numFmtId="166" xfId="0" applyAlignment="1" applyBorder="1" applyFont="1" applyNumberFormat="1">
      <alignment horizontal="center" vertical="bottom"/>
    </xf>
    <xf borderId="0" fillId="0" fontId="1" numFmtId="166" xfId="0" applyAlignment="1" applyFont="1" applyNumberFormat="1">
      <alignment vertical="bottom"/>
    </xf>
    <xf borderId="0" fillId="0" fontId="3" numFmtId="10" xfId="0" applyAlignment="1" applyFont="1" applyNumberFormat="1">
      <alignment horizontal="center" vertical="bottom"/>
    </xf>
    <xf borderId="0" fillId="0" fontId="1" numFmtId="10" xfId="0" applyAlignment="1" applyFont="1" applyNumberFormat="1">
      <alignment vertical="bottom"/>
    </xf>
    <xf borderId="1" fillId="7" fontId="3" numFmtId="0" xfId="0" applyAlignment="1" applyBorder="1" applyFont="1">
      <alignment horizontal="center" vertical="bottom"/>
    </xf>
    <xf borderId="5" fillId="7" fontId="3" numFmtId="166" xfId="0" applyAlignment="1" applyBorder="1" applyFont="1" applyNumberFormat="1">
      <alignment horizontal="center" vertical="bottom"/>
    </xf>
    <xf borderId="5" fillId="0" fontId="3" numFmtId="166" xfId="0" applyAlignment="1" applyBorder="1" applyFont="1" applyNumberFormat="1">
      <alignment horizontal="center" vertical="bottom"/>
    </xf>
    <xf borderId="3" fillId="8" fontId="3" numFmtId="0" xfId="0" applyAlignment="1" applyBorder="1" applyFill="1" applyFont="1">
      <alignment horizontal="center" readingOrder="0" vertical="bottom"/>
    </xf>
    <xf borderId="1" fillId="8" fontId="3" numFmtId="165" xfId="0" applyAlignment="1" applyBorder="1" applyFont="1" applyNumberFormat="1">
      <alignment horizontal="center" readingOrder="0" vertical="bottom"/>
    </xf>
    <xf borderId="1" fillId="8" fontId="3" numFmtId="166" xfId="0" applyAlignment="1" applyBorder="1" applyFont="1" applyNumberFormat="1">
      <alignment horizontal="center" readingOrder="0" vertical="bottom"/>
    </xf>
    <xf borderId="1" fillId="8" fontId="1" numFmtId="0" xfId="0" applyAlignment="1" applyBorder="1" applyFont="1">
      <alignment vertical="bottom"/>
    </xf>
    <xf borderId="1" fillId="8" fontId="1" numFmtId="164" xfId="0" applyAlignment="1" applyBorder="1" applyFont="1" applyNumberFormat="1">
      <alignment vertical="bottom"/>
    </xf>
    <xf borderId="1" fillId="8" fontId="3" numFmtId="0" xfId="0" applyAlignment="1" applyBorder="1" applyFont="1">
      <alignment horizontal="center" readingOrder="0" vertical="bottom"/>
    </xf>
    <xf borderId="4" fillId="0" fontId="1" numFmtId="0" xfId="0" applyAlignment="1" applyBorder="1" applyFont="1">
      <alignment vertical="bottom"/>
    </xf>
    <xf borderId="1" fillId="6" fontId="3" numFmtId="0" xfId="0" applyAlignment="1" applyBorder="1" applyFont="1">
      <alignment horizontal="center" vertical="bottom"/>
    </xf>
    <xf borderId="5" fillId="6" fontId="3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center" vertical="bottom"/>
    </xf>
    <xf borderId="6" fillId="5" fontId="5" numFmtId="166" xfId="0" applyAlignment="1" applyBorder="1" applyFont="1" applyNumberFormat="1">
      <alignment horizontal="center" vertical="bottom"/>
    </xf>
    <xf borderId="6" fillId="4" fontId="5" numFmtId="166" xfId="0" applyAlignment="1" applyBorder="1" applyFont="1" applyNumberFormat="1">
      <alignment horizontal="center" vertical="bottom"/>
    </xf>
    <xf borderId="7" fillId="0" fontId="5" numFmtId="166" xfId="0" applyAlignment="1" applyBorder="1" applyFont="1" applyNumberFormat="1">
      <alignment horizontal="center" readingOrder="0" vertical="bottom"/>
    </xf>
    <xf borderId="7" fillId="0" fontId="5" numFmtId="166" xfId="0" applyAlignment="1" applyBorder="1" applyFont="1" applyNumberFormat="1">
      <alignment horizontal="center" vertical="bottom"/>
    </xf>
    <xf borderId="1" fillId="0" fontId="6" numFmtId="0" xfId="0" applyBorder="1" applyFont="1"/>
    <xf borderId="3" fillId="0" fontId="6" numFmtId="0" xfId="0" applyBorder="1" applyFont="1"/>
    <xf borderId="5" fillId="0" fontId="7" numFmtId="166" xfId="0" applyAlignment="1" applyBorder="1" applyFont="1" applyNumberFormat="1">
      <alignment horizontal="center" vertical="bottom"/>
    </xf>
    <xf borderId="0" fillId="0" fontId="3" numFmtId="166" xfId="0" applyAlignment="1" applyFont="1" applyNumberFormat="1">
      <alignment readingOrder="0" vertical="bottom"/>
    </xf>
    <xf borderId="0" fillId="0" fontId="8" numFmtId="166" xfId="0" applyAlignment="1" applyFont="1" applyNumberFormat="1">
      <alignment horizontal="right" readingOrder="0" vertical="bottom"/>
    </xf>
    <xf borderId="0" fillId="0" fontId="3" numFmtId="0" xfId="0" applyAlignment="1" applyFont="1">
      <alignment vertical="bottom"/>
    </xf>
    <xf borderId="0" fillId="0" fontId="3" numFmtId="166" xfId="0" applyAlignment="1" applyFont="1" applyNumberFormat="1">
      <alignment horizontal="right" readingOrder="0" vertical="bottom"/>
    </xf>
    <xf borderId="0" fillId="5" fontId="1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5" fontId="1" numFmtId="166" xfId="0" applyAlignment="1" applyFont="1" applyNumberFormat="1">
      <alignment vertical="bottom"/>
    </xf>
    <xf borderId="0" fillId="0" fontId="9" numFmtId="166" xfId="0" applyAlignment="1" applyFont="1" applyNumberFormat="1">
      <alignment vertical="bottom"/>
    </xf>
    <xf borderId="4" fillId="0" fontId="1" numFmtId="166" xfId="0" applyAlignment="1" applyBorder="1" applyFont="1" applyNumberFormat="1">
      <alignment vertical="bottom"/>
    </xf>
    <xf borderId="0" fillId="0" fontId="9" numFmtId="166" xfId="0" applyAlignment="1" applyFont="1" applyNumberFormat="1">
      <alignment readingOrder="0" vertical="bottom"/>
    </xf>
    <xf borderId="1" fillId="5" fontId="3" numFmtId="0" xfId="0" applyAlignment="1" applyBorder="1" applyFont="1">
      <alignment horizontal="center" vertical="bottom"/>
    </xf>
    <xf borderId="4" fillId="6" fontId="10" numFmtId="166" xfId="0" applyAlignment="1" applyBorder="1" applyFont="1" applyNumberFormat="1">
      <alignment horizontal="center" vertical="bottom"/>
    </xf>
    <xf borderId="0" fillId="0" fontId="3" numFmtId="166" xfId="0" applyAlignment="1" applyFont="1" applyNumberFormat="1">
      <alignment vertical="bottom"/>
    </xf>
    <xf borderId="0" fillId="0" fontId="3" numFmtId="166" xfId="0" applyAlignment="1" applyFont="1" applyNumberFormat="1">
      <alignment horizontal="right" vertical="bottom"/>
    </xf>
    <xf borderId="1" fillId="9" fontId="11" numFmtId="0" xfId="0" applyAlignment="1" applyBorder="1" applyFill="1" applyFont="1">
      <alignment horizontal="center" vertical="bottom"/>
    </xf>
    <xf borderId="0" fillId="5" fontId="7" numFmtId="166" xfId="0" applyAlignment="1" applyFont="1" applyNumberFormat="1">
      <alignment vertical="bottom"/>
    </xf>
    <xf borderId="0" fillId="5" fontId="3" numFmtId="166" xfId="0" applyAlignment="1" applyFont="1" applyNumberFormat="1">
      <alignment horizontal="right" vertical="bottom"/>
    </xf>
    <xf borderId="1" fillId="8" fontId="3" numFmtId="166" xfId="0" applyAlignment="1" applyBorder="1" applyFont="1" applyNumberFormat="1">
      <alignment horizontal="center" vertical="bottom"/>
    </xf>
    <xf borderId="1" fillId="8" fontId="3" numFmtId="0" xfId="0" applyAlignment="1" applyBorder="1" applyFont="1">
      <alignment horizontal="center" vertical="bottom"/>
    </xf>
    <xf borderId="1" fillId="0" fontId="3" numFmtId="166" xfId="0" applyAlignment="1" applyBorder="1" applyFont="1" applyNumberFormat="1">
      <alignment horizontal="center" vertical="bottom"/>
    </xf>
    <xf borderId="1" fillId="4" fontId="3" numFmtId="0" xfId="0" applyAlignment="1" applyBorder="1" applyFont="1">
      <alignment horizontal="center" vertical="bottom"/>
    </xf>
    <xf borderId="1" fillId="0" fontId="7" numFmtId="166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0" fontId="1" numFmtId="166" xfId="0" applyAlignment="1" applyBorder="1" applyFont="1" applyNumberFormat="1">
      <alignment vertical="bottom"/>
    </xf>
    <xf borderId="1" fillId="9" fontId="3" numFmtId="0" xfId="0" applyAlignment="1" applyBorder="1" applyFont="1">
      <alignment horizontal="center" vertical="bottom"/>
    </xf>
    <xf borderId="1" fillId="5" fontId="8" numFmtId="166" xfId="0" applyAlignment="1" applyBorder="1" applyFont="1" applyNumberFormat="1">
      <alignment horizontal="center" vertical="bottom"/>
    </xf>
    <xf borderId="1" fillId="5" fontId="1" numFmtId="165" xfId="0" applyAlignment="1" applyBorder="1" applyFont="1" applyNumberFormat="1">
      <alignment vertical="bottom"/>
    </xf>
    <xf borderId="1" fillId="5" fontId="2" numFmtId="166" xfId="0" applyAlignment="1" applyBorder="1" applyFont="1" applyNumberFormat="1">
      <alignment horizontal="center" vertical="bottom"/>
    </xf>
    <xf borderId="1" fillId="5" fontId="2" numFmtId="164" xfId="0" applyAlignment="1" applyBorder="1" applyFont="1" applyNumberFormat="1">
      <alignment horizontal="center" vertical="bottom"/>
    </xf>
    <xf borderId="1" fillId="5" fontId="2" numFmtId="166" xfId="0" applyAlignment="1" applyBorder="1" applyFont="1" applyNumberFormat="1">
      <alignment horizontal="center" readingOrder="0" vertical="bottom"/>
    </xf>
    <xf borderId="1" fillId="5" fontId="2" numFmtId="0" xfId="0" applyAlignment="1" applyBorder="1" applyFont="1">
      <alignment horizontal="center" vertical="bottom"/>
    </xf>
    <xf borderId="0" fillId="5" fontId="1" numFmtId="165" xfId="0" applyAlignment="1" applyFont="1" applyNumberFormat="1">
      <alignment vertical="bottom"/>
    </xf>
    <xf borderId="0" fillId="5" fontId="1" numFmtId="164" xfId="0" applyAlignment="1" applyFont="1" applyNumberFormat="1">
      <alignment vertical="bottom"/>
    </xf>
    <xf borderId="5" fillId="5" fontId="3" numFmtId="0" xfId="0" applyAlignment="1" applyBorder="1" applyFont="1">
      <alignment horizontal="center" vertical="bottom"/>
    </xf>
    <xf borderId="5" fillId="5" fontId="3" numFmtId="167" xfId="0" applyAlignment="1" applyBorder="1" applyFont="1" applyNumberFormat="1">
      <alignment horizontal="center" vertical="bottom"/>
    </xf>
    <xf borderId="5" fillId="5" fontId="3" numFmtId="166" xfId="0" applyAlignment="1" applyBorder="1" applyFont="1" applyNumberFormat="1">
      <alignment horizontal="center" vertical="bottom"/>
    </xf>
    <xf borderId="5" fillId="5" fontId="3" numFmtId="167" xfId="0" applyAlignment="1" applyBorder="1" applyFont="1" applyNumberFormat="1">
      <alignment horizontal="center" readingOrder="0" vertical="bottom"/>
    </xf>
    <xf borderId="0" fillId="5" fontId="7" numFmtId="0" xfId="0" applyAlignment="1" applyFont="1">
      <alignment horizontal="right" vertical="bottom"/>
    </xf>
    <xf borderId="1" fillId="8" fontId="12" numFmtId="0" xfId="0" applyAlignment="1" applyBorder="1" applyFont="1">
      <alignment horizontal="center" vertical="bottom"/>
    </xf>
    <xf borderId="2" fillId="8" fontId="12" numFmtId="0" xfId="0" applyAlignment="1" applyBorder="1" applyFont="1">
      <alignment horizontal="center" vertical="bottom"/>
    </xf>
    <xf borderId="1" fillId="5" fontId="9" numFmtId="0" xfId="0" applyAlignment="1" applyBorder="1" applyFont="1">
      <alignment horizontal="center" vertical="bottom"/>
    </xf>
    <xf borderId="1" fillId="5" fontId="9" numFmtId="0" xfId="0" applyAlignment="1" applyBorder="1" applyFont="1">
      <alignment horizontal="center" readingOrder="0" vertical="bottom"/>
    </xf>
    <xf borderId="1" fillId="5" fontId="9" numFmtId="166" xfId="0" applyAlignment="1" applyBorder="1" applyFont="1" applyNumberFormat="1">
      <alignment horizontal="center" readingOrder="0" vertical="bottom"/>
    </xf>
    <xf borderId="2" fillId="5" fontId="7" numFmtId="166" xfId="0" applyAlignment="1" applyBorder="1" applyFont="1" applyNumberFormat="1">
      <alignment horizontal="center" vertical="bottom"/>
    </xf>
    <xf borderId="5" fillId="0" fontId="13" numFmtId="0" xfId="0" applyAlignment="1" applyBorder="1" applyFont="1">
      <alignment horizontal="center"/>
    </xf>
    <xf borderId="5" fillId="0" fontId="13" numFmtId="0" xfId="0" applyAlignment="1" applyBorder="1" applyFont="1">
      <alignment horizontal="center" readingOrder="0"/>
    </xf>
    <xf borderId="5" fillId="0" fontId="13" numFmtId="166" xfId="0" applyAlignment="1" applyBorder="1" applyFont="1" applyNumberFormat="1">
      <alignment horizontal="center" readingOrder="0"/>
    </xf>
    <xf borderId="1" fillId="5" fontId="7" numFmtId="0" xfId="0" applyAlignment="1" applyBorder="1" applyFont="1">
      <alignment horizontal="center" vertical="bottom"/>
    </xf>
    <xf borderId="1" fillId="5" fontId="7" numFmtId="0" xfId="0" applyAlignment="1" applyBorder="1" applyFont="1">
      <alignment horizontal="center" readingOrder="0" vertical="bottom"/>
    </xf>
    <xf borderId="1" fillId="5" fontId="7" numFmtId="166" xfId="0" applyAlignment="1" applyBorder="1" applyFont="1" applyNumberFormat="1">
      <alignment horizontal="center" vertical="bottom"/>
    </xf>
    <xf borderId="1" fillId="5" fontId="7" numFmtId="166" xfId="0" applyAlignment="1" applyBorder="1" applyFont="1" applyNumberFormat="1">
      <alignment horizontal="center" readingOrder="0" vertical="bottom"/>
    </xf>
    <xf borderId="5" fillId="5" fontId="8" numFmtId="0" xfId="0" applyAlignment="1" applyBorder="1" applyFont="1">
      <alignment horizontal="center" vertical="bottom"/>
    </xf>
    <xf borderId="5" fillId="5" fontId="8" numFmtId="0" xfId="0" applyAlignment="1" applyBorder="1" applyFont="1">
      <alignment horizontal="center" readingOrder="0" vertical="bottom"/>
    </xf>
    <xf borderId="5" fillId="5" fontId="8" numFmtId="166" xfId="0" applyAlignment="1" applyBorder="1" applyFont="1" applyNumberFormat="1">
      <alignment horizontal="center" vertical="bottom"/>
    </xf>
    <xf borderId="5" fillId="5" fontId="8" numFmtId="166" xfId="0" applyAlignment="1" applyBorder="1" applyFont="1" applyNumberFormat="1">
      <alignment horizontal="center" readingOrder="0" vertical="bottom"/>
    </xf>
    <xf borderId="5" fillId="0" fontId="8" numFmtId="168" xfId="0" applyAlignment="1" applyBorder="1" applyFont="1" applyNumberFormat="1">
      <alignment horizontal="center" vertical="bottom"/>
    </xf>
    <xf borderId="7" fillId="0" fontId="8" numFmtId="168" xfId="0" applyAlignment="1" applyBorder="1" applyFont="1" applyNumberFormat="1">
      <alignment horizontal="center" vertical="bottom"/>
    </xf>
    <xf borderId="8" fillId="0" fontId="6" numFmtId="0" xfId="0" applyBorder="1" applyFont="1"/>
    <xf borderId="5" fillId="0" fontId="8" numFmtId="0" xfId="0" applyAlignment="1" applyBorder="1" applyFont="1">
      <alignment horizontal="center" vertical="bottom"/>
    </xf>
    <xf borderId="1" fillId="0" fontId="13" numFmtId="0" xfId="0" applyAlignment="1" applyBorder="1" applyFont="1">
      <alignment horizontal="center" readingOrder="0"/>
    </xf>
    <xf borderId="1" fillId="0" fontId="13" numFmtId="166" xfId="0" applyAlignment="1" applyBorder="1" applyFont="1" applyNumberFormat="1">
      <alignment horizontal="center" readingOrder="0"/>
    </xf>
    <xf borderId="5" fillId="0" fontId="13" numFmtId="165" xfId="0" applyAlignment="1" applyBorder="1" applyFont="1" applyNumberFormat="1">
      <alignment horizontal="center" readingOrder="0"/>
    </xf>
    <xf borderId="1" fillId="0" fontId="14" numFmtId="0" xfId="0" applyAlignment="1" applyBorder="1" applyFont="1">
      <alignment horizontal="center" readingOrder="0"/>
    </xf>
    <xf borderId="1" fillId="0" fontId="14" numFmtId="166" xfId="0" applyAlignment="1" applyBorder="1" applyFont="1" applyNumberFormat="1">
      <alignment horizontal="center" readingOrder="0"/>
    </xf>
    <xf borderId="2" fillId="5" fontId="3" numFmtId="166" xfId="0" applyAlignment="1" applyBorder="1" applyFont="1" applyNumberFormat="1">
      <alignment horizontal="center" vertical="bottom"/>
    </xf>
    <xf borderId="5" fillId="0" fontId="14" numFmtId="0" xfId="0" applyAlignment="1" applyBorder="1" applyFont="1">
      <alignment horizontal="center"/>
    </xf>
    <xf borderId="1" fillId="10" fontId="14" numFmtId="0" xfId="0" applyAlignment="1" applyBorder="1" applyFill="1" applyFont="1">
      <alignment horizontal="center" readingOrder="0"/>
    </xf>
    <xf borderId="1" fillId="10" fontId="14" numFmtId="166" xfId="0" applyAlignment="1" applyBorder="1" applyFont="1" applyNumberFormat="1">
      <alignment horizontal="center" readingOrder="0"/>
    </xf>
    <xf borderId="2" fillId="10" fontId="3" numFmtId="166" xfId="0" applyAlignment="1" applyBorder="1" applyFont="1" applyNumberFormat="1">
      <alignment horizontal="center" vertical="bottom"/>
    </xf>
    <xf borderId="7" fillId="10" fontId="14" numFmtId="0" xfId="0" applyAlignment="1" applyBorder="1" applyFont="1">
      <alignment horizontal="center" readingOrder="0"/>
    </xf>
    <xf borderId="1" fillId="11" fontId="14" numFmtId="0" xfId="0" applyAlignment="1" applyBorder="1" applyFill="1" applyFont="1">
      <alignment horizontal="center" readingOrder="0"/>
    </xf>
    <xf borderId="1" fillId="11" fontId="14" numFmtId="166" xfId="0" applyAlignment="1" applyBorder="1" applyFont="1" applyNumberFormat="1">
      <alignment horizontal="center"/>
    </xf>
    <xf borderId="2" fillId="11" fontId="3" numFmtId="166" xfId="0" applyAlignment="1" applyBorder="1" applyFont="1" applyNumberFormat="1">
      <alignment horizontal="center" vertical="bottom"/>
    </xf>
    <xf borderId="5" fillId="11" fontId="14" numFmtId="0" xfId="0" applyAlignment="1" applyBorder="1" applyFont="1">
      <alignment horizontal="center" readingOrder="0"/>
    </xf>
    <xf borderId="5" fillId="11" fontId="14" numFmtId="0" xfId="0" applyAlignment="1" applyBorder="1" applyFont="1">
      <alignment horizontal="center"/>
    </xf>
    <xf borderId="5" fillId="0" fontId="14" numFmtId="165" xfId="0" applyAlignment="1" applyBorder="1" applyFont="1" applyNumberFormat="1">
      <alignment horizontal="center" readingOrder="0"/>
    </xf>
    <xf borderId="5" fillId="0" fontId="14" numFmtId="168" xfId="0" applyAlignment="1" applyBorder="1" applyFont="1" applyNumberFormat="1">
      <alignment horizontal="center" readingOrder="0"/>
    </xf>
    <xf borderId="1" fillId="0" fontId="14" numFmtId="166" xfId="0" applyAlignment="1" applyBorder="1" applyFont="1" applyNumberFormat="1">
      <alignment horizontal="center"/>
    </xf>
    <xf borderId="0" fillId="0" fontId="14" numFmtId="0" xfId="0" applyAlignment="1" applyFont="1">
      <alignment readingOrder="0"/>
    </xf>
    <xf borderId="1" fillId="0" fontId="14" numFmtId="0" xfId="0" applyAlignment="1" applyBorder="1" applyFont="1">
      <alignment horizontal="center"/>
    </xf>
    <xf borderId="5" fillId="0" fontId="14" numFmtId="0" xfId="0" applyAlignment="1" applyBorder="1" applyFont="1">
      <alignment horizontal="center" readingOrder="0"/>
    </xf>
    <xf borderId="5" fillId="0" fontId="14" numFmtId="166" xfId="0" applyAlignment="1" applyBorder="1" applyFont="1" applyNumberFormat="1">
      <alignment horizontal="center" readingOrder="0"/>
    </xf>
    <xf borderId="1" fillId="12" fontId="3" numFmtId="0" xfId="0" applyAlignment="1" applyBorder="1" applyFill="1" applyFont="1">
      <alignment horizontal="center" readingOrder="0" vertical="bottom"/>
    </xf>
    <xf borderId="1" fillId="12" fontId="3" numFmtId="166" xfId="0" applyAlignment="1" applyBorder="1" applyFont="1" applyNumberFormat="1">
      <alignment horizontal="center" readingOrder="0" vertical="bottom"/>
    </xf>
    <xf borderId="2" fillId="12" fontId="3" numFmtId="166" xfId="0" applyAlignment="1" applyBorder="1" applyFont="1" applyNumberFormat="1">
      <alignment horizontal="center" vertical="bottom"/>
    </xf>
    <xf borderId="5" fillId="12" fontId="14" numFmtId="0" xfId="0" applyAlignment="1" applyBorder="1" applyFont="1">
      <alignment horizontal="center" readingOrder="0"/>
    </xf>
    <xf borderId="1" fillId="13" fontId="9" numFmtId="0" xfId="0" applyAlignment="1" applyBorder="1" applyFill="1" applyFont="1">
      <alignment horizontal="center" vertical="bottom"/>
    </xf>
    <xf borderId="1" fillId="13" fontId="9" numFmtId="166" xfId="0" applyAlignment="1" applyBorder="1" applyFont="1" applyNumberFormat="1">
      <alignment horizontal="center" readingOrder="0" vertical="bottom"/>
    </xf>
    <xf borderId="1" fillId="5" fontId="9" numFmtId="166" xfId="0" applyAlignment="1" applyBorder="1" applyFont="1" applyNumberFormat="1">
      <alignment horizontal="right" vertical="bottom"/>
    </xf>
    <xf borderId="5" fillId="0" fontId="1" numFmtId="0" xfId="0" applyAlignment="1" applyBorder="1" applyFont="1">
      <alignment vertical="bottom"/>
    </xf>
    <xf borderId="5" fillId="0" fontId="5" numFmtId="0" xfId="0" applyAlignment="1" applyBorder="1" applyFont="1">
      <alignment horizontal="center" readingOrder="0" vertical="bottom"/>
    </xf>
    <xf borderId="1" fillId="14" fontId="3" numFmtId="0" xfId="0" applyAlignment="1" applyBorder="1" applyFill="1" applyFont="1">
      <alignment horizontal="center" vertical="bottom"/>
    </xf>
    <xf borderId="1" fillId="14" fontId="3" numFmtId="166" xfId="0" applyAlignment="1" applyBorder="1" applyFont="1" applyNumberFormat="1">
      <alignment horizontal="center" vertical="bottom"/>
    </xf>
    <xf borderId="5" fillId="5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2" fillId="0" fontId="1" numFmtId="166" xfId="0" applyAlignment="1" applyBorder="1" applyFont="1" applyNumberFormat="1">
      <alignment vertical="bottom"/>
    </xf>
    <xf borderId="2" fillId="0" fontId="15" numFmtId="166" xfId="0" applyAlignment="1" applyBorder="1" applyFont="1" applyNumberFormat="1">
      <alignment horizontal="center" vertical="bottom"/>
    </xf>
    <xf borderId="5" fillId="2" fontId="2" numFmtId="0" xfId="0" applyAlignment="1" applyBorder="1" applyFont="1">
      <alignment horizontal="center" vertical="bottom"/>
    </xf>
    <xf borderId="5" fillId="2" fontId="1" numFmtId="0" xfId="0" applyAlignment="1" applyBorder="1" applyFont="1">
      <alignment vertical="bottom"/>
    </xf>
    <xf borderId="5" fillId="15" fontId="3" numFmtId="0" xfId="0" applyAlignment="1" applyBorder="1" applyFill="1" applyFont="1">
      <alignment horizontal="center" readingOrder="0" vertical="bottom"/>
    </xf>
    <xf borderId="5" fillId="13" fontId="3" numFmtId="0" xfId="0" applyAlignment="1" applyBorder="1" applyFont="1">
      <alignment horizontal="center" readingOrder="0" vertical="bottom"/>
    </xf>
    <xf borderId="5" fillId="15" fontId="8" numFmtId="0" xfId="0" applyAlignment="1" applyBorder="1" applyFont="1">
      <alignment horizontal="center" readingOrder="0" vertical="bottom"/>
    </xf>
    <xf borderId="5" fillId="15" fontId="1" numFmtId="0" xfId="0" applyAlignment="1" applyBorder="1" applyFont="1">
      <alignment vertical="bottom"/>
    </xf>
    <xf borderId="5" fillId="16" fontId="3" numFmtId="0" xfId="0" applyAlignment="1" applyBorder="1" applyFill="1" applyFont="1">
      <alignment horizontal="center" readingOrder="0" vertical="bottom"/>
    </xf>
    <xf borderId="5" fillId="10" fontId="3" numFmtId="0" xfId="0" applyAlignment="1" applyBorder="1" applyFont="1">
      <alignment horizontal="center" readingOrder="0" vertical="bottom"/>
    </xf>
    <xf borderId="5" fillId="16" fontId="8" numFmtId="0" xfId="0" applyAlignment="1" applyBorder="1" applyFont="1">
      <alignment horizontal="center" readingOrder="0" vertical="bottom"/>
    </xf>
    <xf borderId="5" fillId="5" fontId="3" numFmtId="0" xfId="0" applyAlignment="1" applyBorder="1" applyFont="1">
      <alignment horizontal="center" readingOrder="0" vertical="bottom"/>
    </xf>
    <xf borderId="5" fillId="5" fontId="1" numFmtId="0" xfId="0" applyAlignment="1" applyBorder="1" applyFont="1">
      <alignment vertical="bottom"/>
    </xf>
    <xf borderId="5" fillId="17" fontId="3" numFmtId="0" xfId="0" applyAlignment="1" applyBorder="1" applyFill="1" applyFont="1">
      <alignment horizontal="center" readingOrder="0" vertical="bottom"/>
    </xf>
    <xf borderId="5" fillId="5" fontId="8" numFmtId="0" xfId="0" applyAlignment="1" applyBorder="1" applyFont="1">
      <alignment horizontal="center" readingOrder="0" vertical="bottom"/>
    </xf>
    <xf borderId="5" fillId="5" fontId="7" numFmtId="0" xfId="0" applyAlignment="1" applyBorder="1" applyFont="1">
      <alignment horizontal="center" vertical="bottom"/>
    </xf>
    <xf borderId="3" fillId="18" fontId="3" numFmtId="0" xfId="0" applyAlignment="1" applyBorder="1" applyFill="1" applyFont="1">
      <alignment horizontal="center" readingOrder="0" vertical="bottom"/>
    </xf>
    <xf borderId="1" fillId="18" fontId="3" numFmtId="165" xfId="0" applyAlignment="1" applyBorder="1" applyFont="1" applyNumberFormat="1">
      <alignment horizontal="center" readingOrder="0" vertical="bottom"/>
    </xf>
    <xf borderId="5" fillId="18" fontId="3" numFmtId="0" xfId="0" applyAlignment="1" applyBorder="1" applyFont="1">
      <alignment horizontal="center" readingOrder="0" vertical="bottom"/>
    </xf>
    <xf borderId="5" fillId="18" fontId="8" numFmtId="0" xfId="0" applyAlignment="1" applyBorder="1" applyFont="1">
      <alignment horizontal="center" readingOrder="0" vertical="bottom"/>
    </xf>
    <xf borderId="5" fillId="19" fontId="3" numFmtId="0" xfId="0" applyAlignment="1" applyBorder="1" applyFill="1" applyFont="1">
      <alignment horizontal="center" readingOrder="0" vertical="bottom"/>
    </xf>
    <xf borderId="5" fillId="18" fontId="1" numFmtId="0" xfId="0" applyAlignment="1" applyBorder="1" applyFont="1">
      <alignment vertical="bottom"/>
    </xf>
    <xf borderId="5" fillId="5" fontId="7" numFmtId="0" xfId="0" applyAlignment="1" applyBorder="1" applyFont="1">
      <alignment vertical="bottom"/>
    </xf>
    <xf borderId="5" fillId="15" fontId="16" numFmtId="0" xfId="0" applyAlignment="1" applyBorder="1" applyFont="1">
      <alignment horizontal="center" readingOrder="0" vertical="bottom"/>
    </xf>
    <xf borderId="5" fillId="13" fontId="16" numFmtId="0" xfId="0" applyAlignment="1" applyBorder="1" applyFont="1">
      <alignment horizontal="center" readingOrder="0" vertical="bottom"/>
    </xf>
    <xf borderId="5" fillId="15" fontId="3" numFmtId="0" xfId="0" applyAlignment="1" applyBorder="1" applyFont="1">
      <alignment horizontal="center" vertical="bottom"/>
    </xf>
    <xf borderId="5" fillId="5" fontId="3" numFmtId="0" xfId="0" applyAlignment="1" applyBorder="1" applyFont="1">
      <alignment horizontal="center" vertical="bottom"/>
    </xf>
    <xf borderId="5" fillId="13" fontId="3" numFmtId="0" xfId="0" applyAlignment="1" applyBorder="1" applyFont="1">
      <alignment horizontal="center" vertical="bottom"/>
    </xf>
    <xf borderId="5" fillId="10" fontId="3" numFmtId="0" xfId="0" applyAlignment="1" applyBorder="1" applyFont="1">
      <alignment horizontal="center" vertical="bottom"/>
    </xf>
    <xf borderId="5" fillId="5" fontId="8" numFmtId="0" xfId="0" applyAlignment="1" applyBorder="1" applyFont="1">
      <alignment horizontal="center" vertical="bottom"/>
    </xf>
    <xf borderId="5" fillId="15" fontId="8" numFmtId="0" xfId="0" applyAlignment="1" applyBorder="1" applyFont="1">
      <alignment horizontal="center" vertical="bottom"/>
    </xf>
    <xf borderId="5" fillId="18" fontId="3" numFmtId="0" xfId="0" applyAlignment="1" applyBorder="1" applyFont="1">
      <alignment horizontal="center" vertical="bottom"/>
    </xf>
    <xf borderId="5" fillId="18" fontId="8" numFmtId="0" xfId="0" applyAlignment="1" applyBorder="1" applyFont="1">
      <alignment horizontal="center" vertical="bottom"/>
    </xf>
    <xf borderId="5" fillId="16" fontId="3" numFmtId="0" xfId="0" applyAlignment="1" applyBorder="1" applyFont="1">
      <alignment horizontal="center" vertical="bottom"/>
    </xf>
    <xf borderId="5" fillId="16" fontId="8" numFmtId="0" xfId="0" applyAlignment="1" applyBorder="1" applyFont="1">
      <alignment horizontal="center" vertical="bottom"/>
    </xf>
    <xf borderId="5" fillId="5" fontId="16" numFmtId="0" xfId="0" applyAlignment="1" applyBorder="1" applyFont="1">
      <alignment horizontal="center" vertical="bottom"/>
    </xf>
    <xf borderId="5" fillId="5" fontId="17" numFmtId="0" xfId="0" applyAlignment="1" applyBorder="1" applyFont="1">
      <alignment horizontal="center" vertical="bottom"/>
    </xf>
    <xf borderId="5" fillId="13" fontId="7" numFmtId="0" xfId="0" applyAlignment="1" applyBorder="1" applyFont="1">
      <alignment horizontal="center" vertical="bottom"/>
    </xf>
    <xf borderId="5" fillId="10" fontId="7" numFmtId="0" xfId="0" applyAlignment="1" applyBorder="1" applyFont="1">
      <alignment horizontal="center" vertical="bottom"/>
    </xf>
    <xf borderId="5" fillId="15" fontId="7" numFmtId="0" xfId="0" applyAlignment="1" applyBorder="1" applyFont="1">
      <alignment horizontal="center" vertical="bottom"/>
    </xf>
    <xf borderId="3" fillId="18" fontId="7" numFmtId="0" xfId="0" applyAlignment="1" applyBorder="1" applyFont="1">
      <alignment horizontal="center" vertical="bottom"/>
    </xf>
    <xf borderId="1" fillId="18" fontId="7" numFmtId="0" xfId="0" applyAlignment="1" applyBorder="1" applyFont="1">
      <alignment horizontal="center" vertical="bottom"/>
    </xf>
    <xf borderId="1" fillId="18" fontId="3" numFmtId="0" xfId="0" applyAlignment="1" applyBorder="1" applyFont="1">
      <alignment horizontal="center" vertical="bottom"/>
    </xf>
    <xf borderId="1" fillId="18" fontId="1" numFmtId="0" xfId="0" applyAlignment="1" applyBorder="1" applyFont="1">
      <alignment vertical="bottom"/>
    </xf>
    <xf borderId="3" fillId="15" fontId="18" numFmtId="0" xfId="0" applyAlignment="1" applyBorder="1" applyFont="1">
      <alignment horizontal="center" vertical="bottom"/>
    </xf>
    <xf borderId="1" fillId="15" fontId="18" numFmtId="0" xfId="0" applyAlignment="1" applyBorder="1" applyFont="1">
      <alignment horizontal="center" vertical="bottom"/>
    </xf>
    <xf borderId="1" fillId="15" fontId="7" numFmtId="0" xfId="0" applyAlignment="1" applyBorder="1" applyFont="1">
      <alignment horizontal="center" vertical="bottom"/>
    </xf>
    <xf borderId="1" fillId="15" fontId="3" numFmtId="0" xfId="0" applyAlignment="1" applyBorder="1" applyFont="1">
      <alignment horizontal="center" vertical="bottom"/>
    </xf>
    <xf borderId="1" fillId="15" fontId="1" numFmtId="0" xfId="0" applyAlignment="1" applyBorder="1" applyFont="1">
      <alignment vertical="bottom"/>
    </xf>
    <xf borderId="3" fillId="16" fontId="7" numFmtId="0" xfId="0" applyAlignment="1" applyBorder="1" applyFont="1">
      <alignment horizontal="center" vertical="bottom"/>
    </xf>
    <xf borderId="1" fillId="16" fontId="7" numFmtId="0" xfId="0" applyAlignment="1" applyBorder="1" applyFont="1">
      <alignment horizontal="center" vertical="bottom"/>
    </xf>
    <xf borderId="1" fillId="20" fontId="3" numFmtId="0" xfId="0" applyAlignment="1" applyBorder="1" applyFill="1" applyFont="1">
      <alignment horizontal="center" vertical="bottom"/>
    </xf>
    <xf borderId="1" fillId="5" fontId="1" numFmtId="0" xfId="0" applyAlignment="1" applyBorder="1" applyFont="1">
      <alignment vertical="bottom"/>
    </xf>
    <xf borderId="3" fillId="21" fontId="12" numFmtId="0" xfId="0" applyAlignment="1" applyBorder="1" applyFill="1" applyFont="1">
      <alignment horizontal="center" vertical="bottom"/>
    </xf>
    <xf borderId="1" fillId="21" fontId="9" numFmtId="0" xfId="0" applyAlignment="1" applyBorder="1" applyFont="1">
      <alignment horizontal="center" vertical="bottom"/>
    </xf>
    <xf borderId="1" fillId="21" fontId="12" numFmtId="0" xfId="0" applyAlignment="1" applyBorder="1" applyFont="1">
      <alignment horizontal="center" vertical="bottom"/>
    </xf>
    <xf borderId="1" fillId="21" fontId="9" numFmtId="0" xfId="0" applyAlignment="1" applyBorder="1" applyFont="1">
      <alignment horizontal="center" readingOrder="0" vertical="bottom"/>
    </xf>
    <xf borderId="1" fillId="15" fontId="7" numFmtId="0" xfId="0" applyAlignment="1" applyBorder="1" applyFont="1">
      <alignment readingOrder="0" vertical="bottom"/>
    </xf>
    <xf borderId="3" fillId="5" fontId="12" numFmtId="0" xfId="0" applyAlignment="1" applyBorder="1" applyFont="1">
      <alignment horizontal="center" vertical="bottom"/>
    </xf>
    <xf borderId="5" fillId="15" fontId="19" numFmtId="166" xfId="0" applyAlignment="1" applyBorder="1" applyFont="1" applyNumberFormat="1">
      <alignment horizontal="center" readingOrder="0" vertical="bottom"/>
    </xf>
    <xf borderId="1" fillId="15" fontId="19" numFmtId="166" xfId="0" applyAlignment="1" applyBorder="1" applyFont="1" applyNumberFormat="1">
      <alignment horizontal="center" readingOrder="0" vertical="bottom"/>
    </xf>
    <xf borderId="1" fillId="15" fontId="12" numFmtId="166" xfId="0" applyAlignment="1" applyBorder="1" applyFont="1" applyNumberFormat="1">
      <alignment horizontal="center" readingOrder="0" vertical="bottom"/>
    </xf>
    <xf borderId="1" fillId="15" fontId="12" numFmtId="166" xfId="0" applyAlignment="1" applyBorder="1" applyFont="1" applyNumberFormat="1">
      <alignment horizontal="center" vertical="bottom"/>
    </xf>
    <xf borderId="1" fillId="15" fontId="7" numFmtId="166" xfId="0" applyAlignment="1" applyBorder="1" applyFont="1" applyNumberFormat="1">
      <alignment horizontal="right" readingOrder="0" vertical="bottom"/>
    </xf>
    <xf borderId="1" fillId="15" fontId="7" numFmtId="166" xfId="0" applyAlignment="1" applyBorder="1" applyFont="1" applyNumberFormat="1">
      <alignment horizontal="right" vertical="bottom"/>
    </xf>
    <xf borderId="1" fillId="15" fontId="8" numFmtId="166" xfId="0" applyAlignment="1" applyBorder="1" applyFont="1" applyNumberFormat="1">
      <alignment horizontal="center" vertical="bottom"/>
    </xf>
    <xf borderId="1" fillId="15" fontId="8" numFmtId="166" xfId="0" applyAlignment="1" applyBorder="1" applyFont="1" applyNumberFormat="1">
      <alignment horizontal="center" readingOrder="0" vertical="bottom"/>
    </xf>
    <xf borderId="1" fillId="15" fontId="1" numFmtId="166" xfId="0" applyAlignment="1" applyBorder="1" applyFont="1" applyNumberFormat="1">
      <alignment vertical="bottom"/>
    </xf>
    <xf borderId="0" fillId="15" fontId="1" numFmtId="0" xfId="0" applyAlignment="1" applyFont="1">
      <alignment vertical="bottom"/>
    </xf>
    <xf borderId="5" fillId="5" fontId="20" numFmtId="166" xfId="0" applyAlignment="1" applyBorder="1" applyFont="1" applyNumberFormat="1">
      <alignment horizontal="center" vertical="bottom"/>
    </xf>
    <xf borderId="0" fillId="5" fontId="1" numFmtId="166" xfId="0" applyAlignment="1" applyFont="1" applyNumberFormat="1">
      <alignment vertical="bottom"/>
    </xf>
    <xf borderId="4" fillId="15" fontId="3" numFmtId="166" xfId="0" applyAlignment="1" applyBorder="1" applyFont="1" applyNumberFormat="1">
      <alignment horizontal="right" vertical="bottom"/>
    </xf>
    <xf borderId="1" fillId="15" fontId="3" numFmtId="166" xfId="0" applyAlignment="1" applyBorder="1" applyFont="1" applyNumberFormat="1">
      <alignment horizontal="right" vertical="bottom"/>
    </xf>
    <xf borderId="1" fillId="15" fontId="3" numFmtId="166" xfId="0" applyAlignment="1" applyBorder="1" applyFont="1" applyNumberFormat="1">
      <alignment vertical="bottom"/>
    </xf>
    <xf borderId="1" fillId="15" fontId="3" numFmtId="166" xfId="0" applyAlignment="1" applyBorder="1" applyFont="1" applyNumberFormat="1">
      <alignment horizontal="center" readingOrder="0" vertical="bottom"/>
    </xf>
    <xf borderId="9" fillId="2" fontId="2" numFmtId="0" xfId="0" applyAlignment="1" applyBorder="1" applyFont="1">
      <alignment horizontal="center" vertical="bottom"/>
    </xf>
    <xf borderId="2" fillId="0" fontId="6" numFmtId="0" xfId="0" applyBorder="1" applyFont="1"/>
    <xf borderId="9" fillId="2" fontId="2" numFmtId="0" xfId="0" applyAlignment="1" applyBorder="1" applyFont="1">
      <alignment horizontal="center" readingOrder="0" vertical="bottom"/>
    </xf>
    <xf borderId="1" fillId="15" fontId="3" numFmtId="169" xfId="0" applyAlignment="1" applyBorder="1" applyFont="1" applyNumberFormat="1">
      <alignment horizontal="center" readingOrder="0" vertical="bottom"/>
    </xf>
    <xf borderId="5" fillId="15" fontId="3" numFmtId="169" xfId="0" applyAlignment="1" applyBorder="1" applyFont="1" applyNumberFormat="1">
      <alignment horizontal="center" readingOrder="0" vertical="bottom"/>
    </xf>
    <xf borderId="1" fillId="17" fontId="3" numFmtId="0" xfId="0" applyAlignment="1" applyBorder="1" applyFont="1">
      <alignment horizontal="center" readingOrder="0" vertical="bottom"/>
    </xf>
    <xf borderId="5" fillId="16" fontId="3" numFmtId="169" xfId="0" applyAlignment="1" applyBorder="1" applyFont="1" applyNumberFormat="1">
      <alignment horizontal="center" readingOrder="0" vertical="bottom"/>
    </xf>
    <xf borderId="1" fillId="15" fontId="3" numFmtId="0" xfId="0" applyAlignment="1" applyBorder="1" applyFont="1">
      <alignment horizontal="center" readingOrder="0" vertical="bottom"/>
    </xf>
    <xf borderId="1" fillId="5" fontId="3" numFmtId="169" xfId="0" applyAlignment="1" applyBorder="1" applyFont="1" applyNumberFormat="1">
      <alignment horizontal="center" readingOrder="0" vertical="bottom"/>
    </xf>
    <xf borderId="5" fillId="5" fontId="3" numFmtId="169" xfId="0" applyAlignment="1" applyBorder="1" applyFont="1" applyNumberFormat="1">
      <alignment horizontal="center" readingOrder="0" vertical="bottom"/>
    </xf>
    <xf borderId="1" fillId="10" fontId="3" numFmtId="169" xfId="0" applyAlignment="1" applyBorder="1" applyFont="1" applyNumberFormat="1">
      <alignment horizontal="center" readingOrder="0" vertical="bottom"/>
    </xf>
    <xf borderId="5" fillId="10" fontId="3" numFmtId="169" xfId="0" applyAlignment="1" applyBorder="1" applyFont="1" applyNumberFormat="1">
      <alignment horizontal="center" readingOrder="0" vertical="bottom"/>
    </xf>
    <xf borderId="1" fillId="18" fontId="3" numFmtId="169" xfId="0" applyAlignment="1" applyBorder="1" applyFont="1" applyNumberFormat="1">
      <alignment horizontal="center" readingOrder="0" vertical="bottom"/>
    </xf>
    <xf borderId="5" fillId="18" fontId="3" numFmtId="169" xfId="0" applyAlignment="1" applyBorder="1" applyFont="1" applyNumberFormat="1">
      <alignment horizontal="center" readingOrder="0" vertical="bottom"/>
    </xf>
    <xf borderId="1" fillId="16" fontId="3" numFmtId="169" xfId="0" applyAlignment="1" applyBorder="1" applyFont="1" applyNumberFormat="1">
      <alignment horizontal="center" readingOrder="0" vertical="bottom"/>
    </xf>
    <xf borderId="1" fillId="15" fontId="16" numFmtId="169" xfId="0" applyAlignment="1" applyBorder="1" applyFont="1" applyNumberFormat="1">
      <alignment horizontal="center" readingOrder="0" vertical="bottom"/>
    </xf>
    <xf borderId="5" fillId="15" fontId="16" numFmtId="169" xfId="0" applyAlignment="1" applyBorder="1" applyFont="1" applyNumberFormat="1">
      <alignment horizontal="center" readingOrder="0" vertical="bottom"/>
    </xf>
    <xf borderId="5" fillId="15" fontId="16" numFmtId="0" xfId="0" applyAlignment="1" applyBorder="1" applyFont="1">
      <alignment horizontal="center" vertical="bottom"/>
    </xf>
    <xf borderId="1" fillId="5" fontId="3" numFmtId="0" xfId="0" applyAlignment="1" applyBorder="1" applyFont="1">
      <alignment horizontal="center" vertical="bottom"/>
    </xf>
    <xf borderId="1" fillId="16" fontId="3" numFmtId="0" xfId="0" applyAlignment="1" applyBorder="1" applyFont="1">
      <alignment horizontal="center" vertical="bottom"/>
    </xf>
    <xf borderId="1" fillId="5" fontId="16" numFmtId="0" xfId="0" applyAlignment="1" applyBorder="1" applyFont="1">
      <alignment horizontal="center" vertical="bottom"/>
    </xf>
    <xf borderId="1" fillId="13" fontId="7" numFmtId="0" xfId="0" applyAlignment="1" applyBorder="1" applyFont="1">
      <alignment horizontal="center" vertical="bottom"/>
    </xf>
    <xf borderId="1" fillId="21" fontId="1" numFmtId="0" xfId="0" applyAlignment="1" applyBorder="1" applyFont="1">
      <alignment vertical="bottom"/>
    </xf>
    <xf borderId="1" fillId="15" fontId="7" numFmtId="0" xfId="0" applyAlignment="1" applyBorder="1" applyFont="1">
      <alignment vertical="bottom"/>
    </xf>
    <xf borderId="0" fillId="0" fontId="21" numFmtId="0" xfId="0" applyFont="1"/>
    <xf borderId="1" fillId="15" fontId="22" numFmtId="0" xfId="0" applyAlignment="1" applyBorder="1" applyFont="1">
      <alignment horizontal="center" vertical="bottom"/>
    </xf>
    <xf borderId="4" fillId="15" fontId="22" numFmtId="0" xfId="0" applyAlignment="1" applyBorder="1" applyFont="1">
      <alignment horizontal="center" vertical="bottom"/>
    </xf>
    <xf borderId="0" fillId="15" fontId="22" numFmtId="0" xfId="0" applyAlignment="1" applyFont="1">
      <alignment horizontal="center" vertical="bottom"/>
    </xf>
    <xf borderId="0" fillId="15" fontId="12" numFmtId="0" xfId="0" applyAlignment="1" applyFont="1">
      <alignment horizontal="center" vertical="bottom"/>
    </xf>
    <xf borderId="1" fillId="5" fontId="8" numFmtId="0" xfId="0" applyAlignment="1" applyBorder="1" applyFont="1">
      <alignment horizontal="center" vertical="bottom"/>
    </xf>
    <xf borderId="1" fillId="5" fontId="8" numFmtId="166" xfId="0" applyAlignment="1" applyBorder="1" applyFont="1" applyNumberFormat="1">
      <alignment horizontal="center" vertical="bottom"/>
    </xf>
    <xf borderId="1" fillId="5" fontId="23" numFmtId="166" xfId="0" applyAlignment="1" applyBorder="1" applyFont="1" applyNumberFormat="1">
      <alignment horizontal="center" vertical="bottom"/>
    </xf>
    <xf borderId="0" fillId="5" fontId="8" numFmtId="0" xfId="0" applyAlignment="1" applyFont="1">
      <alignment horizontal="center" vertical="bottom"/>
    </xf>
    <xf borderId="0" fillId="5" fontId="9" numFmtId="0" xfId="0" applyAlignment="1" applyFont="1">
      <alignment horizontal="center" vertical="bottom"/>
    </xf>
    <xf borderId="1" fillId="15" fontId="8" numFmtId="0" xfId="0" applyAlignment="1" applyBorder="1" applyFont="1">
      <alignment horizontal="center" vertical="bottom"/>
    </xf>
    <xf borderId="1" fillId="15" fontId="7" numFmtId="166" xfId="0" applyAlignment="1" applyBorder="1" applyFont="1" applyNumberFormat="1">
      <alignment horizontal="center" vertical="bottom"/>
    </xf>
    <xf borderId="0" fillId="15" fontId="8" numFmtId="0" xfId="0" applyAlignment="1" applyFont="1">
      <alignment horizontal="center" vertical="bottom"/>
    </xf>
    <xf borderId="0" fillId="15" fontId="9" numFmtId="0" xfId="0" applyAlignment="1" applyFont="1">
      <alignment horizontal="center" vertical="bottom"/>
    </xf>
    <xf borderId="1" fillId="5" fontId="7" numFmtId="166" xfId="0" applyAlignment="1" applyBorder="1" applyFont="1" applyNumberFormat="1">
      <alignment horizontal="center" vertical="bottom"/>
    </xf>
    <xf borderId="1" fillId="5" fontId="7" numFmtId="166" xfId="0" applyAlignment="1" applyBorder="1" applyFont="1" applyNumberFormat="1">
      <alignment horizontal="center" readingOrder="0" vertical="bottom"/>
    </xf>
    <xf borderId="0" fillId="5" fontId="9" numFmtId="0" xfId="0" applyAlignment="1" applyFont="1">
      <alignment horizontal="center" readingOrder="0" vertical="bottom"/>
    </xf>
    <xf borderId="1" fillId="15" fontId="7" numFmtId="166" xfId="0" applyAlignment="1" applyBorder="1" applyFont="1" applyNumberFormat="1">
      <alignment horizontal="center" readingOrder="0" vertical="bottom"/>
    </xf>
    <xf borderId="0" fillId="15" fontId="9" numFmtId="0" xfId="0" applyAlignment="1" applyFont="1">
      <alignment horizontal="center" readingOrder="0" vertical="bottom"/>
    </xf>
    <xf borderId="0" fillId="5" fontId="8" numFmtId="166" xfId="0" applyAlignment="1" applyFont="1" applyNumberFormat="1">
      <alignment horizontal="center" readingOrder="0" vertical="bottom"/>
    </xf>
    <xf borderId="0" fillId="5" fontId="9" numFmtId="0" xfId="0" applyAlignment="1" applyFont="1">
      <alignment horizontal="center" readingOrder="0" vertical="bottom"/>
    </xf>
    <xf borderId="1" fillId="5" fontId="8" numFmtId="0" xfId="0" applyAlignment="1" applyBorder="1" applyFont="1">
      <alignment horizontal="center" readingOrder="0" vertical="bottom"/>
    </xf>
    <xf borderId="1" fillId="5" fontId="22" numFmtId="166" xfId="0" applyAlignment="1" applyBorder="1" applyFont="1" applyNumberFormat="1">
      <alignment horizontal="center" vertical="bottom"/>
    </xf>
    <xf borderId="0" fillId="5" fontId="22" numFmtId="0" xfId="0" applyAlignment="1" applyFont="1">
      <alignment horizontal="center" vertical="bottom"/>
    </xf>
    <xf borderId="0" fillId="5" fontId="12" numFmtId="0" xfId="0" applyAlignment="1" applyFont="1">
      <alignment horizontal="center" vertical="bottom"/>
    </xf>
    <xf borderId="0" fillId="5" fontId="1" numFmtId="0" xfId="0" applyAlignment="1" applyFont="1">
      <alignment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3">
    <tableStyle count="2" pivot="0" name="Pointage -style">
      <tableStyleElement dxfId="1" type="firstRowStripe"/>
      <tableStyleElement dxfId="2" type="secondRowStripe"/>
    </tableStyle>
    <tableStyle count="2" pivot="0" name="Pointage par heures -style">
      <tableStyleElement dxfId="1" type="firstRowStripe"/>
      <tableStyleElement dxfId="2" type="secondRowStripe"/>
    </tableStyle>
    <tableStyle count="2" pivot="0" name="Les Salaires -style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C2:Q36" displayName="Table_1" name="Table_1" id="1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Pointage -style" showColumnStripes="0" showFirstColumn="1" showLastColumn="1" showRowStripes="1"/>
</table>
</file>

<file path=xl/tables/table2.xml><?xml version="1.0" encoding="utf-8"?>
<table xmlns="http://schemas.openxmlformats.org/spreadsheetml/2006/main" headerRowCount="0" ref="C2:U32" displayName="Table_2" name="Table_2" id="2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Pointage par heures -style" showColumnStripes="0" showFirstColumn="1" showLastColumn="1" showRowStripes="1"/>
</table>
</file>

<file path=xl/tables/table3.xml><?xml version="1.0" encoding="utf-8"?>
<table xmlns="http://schemas.openxmlformats.org/spreadsheetml/2006/main" headerRowCount="0" ref="B16:H35" displayName="Table_3" name="Table_3" id="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es Salaires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25.88"/>
    <col customWidth="1" min="3" max="3" width="43.25"/>
    <col customWidth="1" min="4" max="4" width="25.13"/>
    <col customWidth="1" min="5" max="5" width="25.88"/>
    <col customWidth="1" min="6" max="6" width="24.88"/>
    <col customWidth="1" min="7" max="7" width="23.88"/>
    <col customWidth="1" min="8" max="8" width="23.38"/>
    <col customWidth="1" min="9" max="9" width="21.13"/>
    <col customWidth="1" min="10" max="10" width="21.88"/>
    <col customWidth="1" min="11" max="11" width="6.13"/>
    <col customWidth="1" min="12" max="12" width="26.0"/>
    <col customWidth="1" min="13" max="13" width="35.75"/>
    <col customWidth="1" min="14" max="14" width="39.5"/>
    <col customWidth="1" min="15" max="15" width="47.0"/>
    <col customWidth="1" min="16" max="16" width="38.38"/>
    <col customWidth="1" min="17" max="17" width="77.38"/>
    <col customWidth="1" min="18" max="18" width="49.25"/>
  </cols>
  <sheetData>
    <row r="1">
      <c r="A1" s="1"/>
      <c r="B1" s="2" t="s">
        <v>0</v>
      </c>
      <c r="C1" s="3" t="s">
        <v>1</v>
      </c>
      <c r="D1" s="4" t="s">
        <v>2</v>
      </c>
      <c r="E1" s="4" t="s">
        <v>3</v>
      </c>
      <c r="F1" s="5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6"/>
      <c r="L1" s="7" t="s">
        <v>9</v>
      </c>
      <c r="M1" s="8" t="s">
        <v>10</v>
      </c>
      <c r="N1" s="6"/>
      <c r="O1" s="6"/>
      <c r="P1" s="6"/>
      <c r="Q1" s="6"/>
      <c r="R1" s="6"/>
      <c r="S1" s="6"/>
      <c r="T1" s="6"/>
      <c r="U1" s="6"/>
    </row>
    <row r="2">
      <c r="A2" s="9" t="s">
        <v>11</v>
      </c>
      <c r="B2" s="10">
        <v>45962.0</v>
      </c>
      <c r="C2" s="11">
        <v>30000.0</v>
      </c>
      <c r="D2" s="12">
        <v>117000.0</v>
      </c>
      <c r="E2" s="13"/>
      <c r="F2" s="14"/>
      <c r="G2" s="12">
        <v>2000.0</v>
      </c>
      <c r="H2" s="13"/>
      <c r="I2" s="13"/>
      <c r="J2" s="15">
        <v>1.0</v>
      </c>
      <c r="K2" s="16"/>
      <c r="L2" s="17"/>
      <c r="M2" s="11">
        <v>30000.0</v>
      </c>
      <c r="N2" s="6"/>
      <c r="O2" s="6"/>
      <c r="P2" s="6"/>
      <c r="Q2" s="6"/>
      <c r="R2" s="6"/>
      <c r="S2" s="6"/>
      <c r="T2" s="6"/>
      <c r="U2" s="6"/>
    </row>
    <row r="3">
      <c r="A3" s="9" t="s">
        <v>12</v>
      </c>
      <c r="B3" s="10">
        <v>45963.0</v>
      </c>
      <c r="C3" s="11">
        <v>104000.0</v>
      </c>
      <c r="D3" s="12">
        <v>45000.0</v>
      </c>
      <c r="E3" s="13"/>
      <c r="F3" s="14"/>
      <c r="G3" s="12">
        <v>2000.0</v>
      </c>
      <c r="H3" s="13"/>
      <c r="I3" s="13"/>
      <c r="J3" s="15">
        <v>1.0</v>
      </c>
      <c r="K3" s="16"/>
      <c r="L3" s="17"/>
      <c r="M3" s="11">
        <v>104000.0</v>
      </c>
      <c r="N3" s="18" t="s">
        <v>13</v>
      </c>
      <c r="O3" s="18" t="s">
        <v>14</v>
      </c>
      <c r="P3" s="19" t="s">
        <v>15</v>
      </c>
      <c r="Q3" s="20" t="s">
        <v>16</v>
      </c>
      <c r="R3" s="6"/>
      <c r="S3" s="6"/>
      <c r="T3" s="6"/>
      <c r="U3" s="6"/>
    </row>
    <row r="4">
      <c r="A4" s="9" t="s">
        <v>17</v>
      </c>
      <c r="B4" s="10">
        <v>45964.0</v>
      </c>
      <c r="C4" s="11">
        <v>85000.0</v>
      </c>
      <c r="D4" s="12">
        <v>57000.0</v>
      </c>
      <c r="E4" s="13"/>
      <c r="F4" s="14"/>
      <c r="G4" s="12">
        <v>2000.0</v>
      </c>
      <c r="H4" s="13"/>
      <c r="I4" s="13"/>
      <c r="J4" s="15">
        <v>1.0</v>
      </c>
      <c r="K4" s="16"/>
      <c r="L4" s="17"/>
      <c r="M4" s="11">
        <v>85000.0</v>
      </c>
      <c r="N4" s="21">
        <f>I33/J33</f>
        <v>2648.706471</v>
      </c>
      <c r="O4" s="21">
        <f>D33/J33</f>
        <v>70588.23529</v>
      </c>
      <c r="P4" s="22"/>
      <c r="Q4" s="23">
        <f>P4/O4</f>
        <v>0</v>
      </c>
      <c r="R4" s="6"/>
      <c r="S4" s="6"/>
      <c r="T4" s="6"/>
      <c r="U4" s="6"/>
    </row>
    <row r="5">
      <c r="A5" s="9" t="s">
        <v>18</v>
      </c>
      <c r="B5" s="10">
        <v>45965.0</v>
      </c>
      <c r="C5" s="11">
        <v>55000.0</v>
      </c>
      <c r="D5" s="12">
        <v>35000.0</v>
      </c>
      <c r="E5" s="13"/>
      <c r="F5" s="14"/>
      <c r="G5" s="12">
        <v>2000.0</v>
      </c>
      <c r="H5" s="13"/>
      <c r="I5" s="13"/>
      <c r="J5" s="15">
        <v>1.0</v>
      </c>
      <c r="K5" s="16"/>
      <c r="L5" s="17"/>
      <c r="M5" s="11">
        <v>55000.0</v>
      </c>
      <c r="N5" s="1"/>
      <c r="O5" s="1"/>
      <c r="P5" s="6"/>
      <c r="Q5" s="24"/>
      <c r="R5" s="6"/>
      <c r="S5" s="6"/>
      <c r="T5" s="6"/>
      <c r="U5" s="6"/>
    </row>
    <row r="6">
      <c r="A6" s="9" t="s">
        <v>19</v>
      </c>
      <c r="B6" s="10">
        <v>45966.0</v>
      </c>
      <c r="C6" s="11">
        <v>38000.0</v>
      </c>
      <c r="D6" s="12">
        <v>45000.0</v>
      </c>
      <c r="E6" s="13"/>
      <c r="F6" s="14"/>
      <c r="G6" s="12">
        <v>2000.0</v>
      </c>
      <c r="H6" s="13"/>
      <c r="I6" s="13"/>
      <c r="J6" s="15">
        <v>1.0</v>
      </c>
      <c r="K6" s="16"/>
      <c r="L6" s="17"/>
      <c r="M6" s="11">
        <v>38000.0</v>
      </c>
      <c r="N6" s="25" t="s">
        <v>20</v>
      </c>
      <c r="O6" s="26" t="s">
        <v>21</v>
      </c>
      <c r="P6" s="6"/>
      <c r="Q6" s="6"/>
      <c r="R6" s="6"/>
      <c r="S6" s="6"/>
      <c r="T6" s="6"/>
      <c r="U6" s="6"/>
    </row>
    <row r="7">
      <c r="A7" s="9" t="s">
        <v>22</v>
      </c>
      <c r="B7" s="10">
        <v>45967.0</v>
      </c>
      <c r="C7" s="12">
        <v>40000.0</v>
      </c>
      <c r="D7" s="12">
        <v>78000.0</v>
      </c>
      <c r="E7" s="13"/>
      <c r="F7" s="14"/>
      <c r="G7" s="12">
        <v>2000.0</v>
      </c>
      <c r="H7" s="13"/>
      <c r="I7" s="13"/>
      <c r="J7" s="15">
        <v>1.0</v>
      </c>
      <c r="K7" s="16"/>
      <c r="L7" s="17"/>
      <c r="M7" s="11">
        <v>40000.0</v>
      </c>
      <c r="N7" s="27">
        <f>E33/J33</f>
        <v>38215.95529</v>
      </c>
      <c r="O7" s="27">
        <v>100000.0</v>
      </c>
      <c r="P7" s="6"/>
      <c r="Q7" s="6"/>
      <c r="R7" s="6"/>
      <c r="S7" s="6"/>
      <c r="T7" s="6"/>
      <c r="U7" s="6"/>
    </row>
    <row r="8">
      <c r="A8" s="28" t="s">
        <v>23</v>
      </c>
      <c r="B8" s="29">
        <v>45968.0</v>
      </c>
      <c r="C8" s="30">
        <v>55000.0</v>
      </c>
      <c r="D8" s="30">
        <v>49000.0</v>
      </c>
      <c r="E8" s="31"/>
      <c r="F8" s="32"/>
      <c r="G8" s="30">
        <v>2000.0</v>
      </c>
      <c r="H8" s="31"/>
      <c r="I8" s="31"/>
      <c r="J8" s="33">
        <v>1.0</v>
      </c>
      <c r="K8" s="16"/>
      <c r="L8" s="17"/>
      <c r="M8" s="11">
        <v>55000.0</v>
      </c>
      <c r="N8" s="6"/>
      <c r="O8" s="6"/>
      <c r="P8" s="6"/>
      <c r="Q8" s="6"/>
      <c r="R8" s="6"/>
      <c r="S8" s="6"/>
      <c r="T8" s="6"/>
      <c r="U8" s="6"/>
    </row>
    <row r="9">
      <c r="A9" s="9" t="s">
        <v>24</v>
      </c>
      <c r="B9" s="10">
        <v>45969.0</v>
      </c>
      <c r="C9" s="12">
        <v>75000.0</v>
      </c>
      <c r="D9" s="12">
        <v>65000.0</v>
      </c>
      <c r="E9" s="13"/>
      <c r="F9" s="14"/>
      <c r="G9" s="12">
        <v>2000.0</v>
      </c>
      <c r="H9" s="13"/>
      <c r="I9" s="13"/>
      <c r="J9" s="15">
        <v>1.0</v>
      </c>
      <c r="K9" s="16"/>
      <c r="L9" s="17"/>
      <c r="M9" s="11">
        <v>75000.0</v>
      </c>
      <c r="N9" s="34"/>
      <c r="O9" s="6"/>
      <c r="P9" s="6"/>
      <c r="Q9" s="6"/>
      <c r="R9" s="6"/>
      <c r="S9" s="6"/>
      <c r="T9" s="6"/>
      <c r="U9" s="6"/>
    </row>
    <row r="10">
      <c r="A10" s="9" t="s">
        <v>12</v>
      </c>
      <c r="B10" s="10">
        <v>45970.0</v>
      </c>
      <c r="C10" s="12">
        <v>73000.0</v>
      </c>
      <c r="D10" s="12">
        <v>90000.0</v>
      </c>
      <c r="E10" s="13"/>
      <c r="F10" s="14"/>
      <c r="G10" s="12">
        <v>2000.0</v>
      </c>
      <c r="H10" s="13"/>
      <c r="I10" s="13"/>
      <c r="J10" s="15">
        <v>1.0</v>
      </c>
      <c r="K10" s="16"/>
      <c r="L10" s="17"/>
      <c r="M10" s="11">
        <v>73000.0</v>
      </c>
      <c r="N10" s="35" t="s">
        <v>25</v>
      </c>
      <c r="O10" s="36" t="s">
        <v>26</v>
      </c>
      <c r="P10" s="37" t="s">
        <v>27</v>
      </c>
      <c r="Q10" s="37" t="s">
        <v>28</v>
      </c>
      <c r="R10" s="6"/>
      <c r="S10" s="6"/>
      <c r="T10" s="6"/>
      <c r="U10" s="6"/>
    </row>
    <row r="11">
      <c r="A11" s="9" t="s">
        <v>17</v>
      </c>
      <c r="B11" s="10">
        <v>45971.0</v>
      </c>
      <c r="C11" s="12">
        <v>76000.0</v>
      </c>
      <c r="D11" s="12">
        <v>54000.0</v>
      </c>
      <c r="E11" s="13"/>
      <c r="F11" s="14"/>
      <c r="G11" s="12">
        <v>2000.0</v>
      </c>
      <c r="H11" s="13"/>
      <c r="I11" s="13"/>
      <c r="J11" s="15">
        <v>1.0</v>
      </c>
      <c r="K11" s="16"/>
      <c r="L11" s="17"/>
      <c r="M11" s="11">
        <v>76000.0</v>
      </c>
      <c r="N11" s="38">
        <f>D33+N14-E33-G33-'Les Salaires '!E33-O11</f>
        <v>496628.76</v>
      </c>
      <c r="O11" s="39">
        <f>R14+R15+R16+R17+R18+R19+R20+R21</f>
        <v>314000</v>
      </c>
      <c r="P11" s="40">
        <v>414000.0</v>
      </c>
      <c r="Q11" s="41">
        <f>N11-P11</f>
        <v>82628.76</v>
      </c>
      <c r="R11" s="6"/>
      <c r="S11" s="6"/>
      <c r="T11" s="6"/>
      <c r="U11" s="6"/>
    </row>
    <row r="12">
      <c r="A12" s="9" t="s">
        <v>18</v>
      </c>
      <c r="B12" s="10">
        <v>45972.0</v>
      </c>
      <c r="C12" s="12">
        <v>76000.0</v>
      </c>
      <c r="D12" s="12">
        <v>73000.0</v>
      </c>
      <c r="E12" s="13"/>
      <c r="F12" s="14"/>
      <c r="G12" s="12">
        <v>2000.0</v>
      </c>
      <c r="H12" s="13"/>
      <c r="I12" s="13"/>
      <c r="J12" s="15">
        <v>1.0</v>
      </c>
      <c r="K12" s="16"/>
      <c r="L12" s="17"/>
      <c r="M12" s="11">
        <v>76000.0</v>
      </c>
      <c r="N12" s="42"/>
      <c r="O12" s="42"/>
      <c r="P12" s="43"/>
      <c r="Q12" s="43"/>
      <c r="R12" s="6"/>
      <c r="S12" s="6"/>
      <c r="T12" s="6"/>
      <c r="U12" s="6"/>
    </row>
    <row r="13">
      <c r="A13" s="9" t="s">
        <v>19</v>
      </c>
      <c r="B13" s="10">
        <v>45973.0</v>
      </c>
      <c r="C13" s="12">
        <v>48000.0</v>
      </c>
      <c r="D13" s="12">
        <v>58000.0</v>
      </c>
      <c r="E13" s="13"/>
      <c r="F13" s="14"/>
      <c r="G13" s="12">
        <v>2000.0</v>
      </c>
      <c r="H13" s="13"/>
      <c r="I13" s="13"/>
      <c r="J13" s="15">
        <v>1.0</v>
      </c>
      <c r="K13" s="16"/>
      <c r="L13" s="17"/>
      <c r="M13" s="11">
        <v>48000.0</v>
      </c>
      <c r="N13" s="37" t="s">
        <v>29</v>
      </c>
      <c r="O13" s="22"/>
      <c r="P13" s="6"/>
      <c r="Q13" s="22"/>
      <c r="R13" s="6"/>
      <c r="S13" s="6"/>
      <c r="T13" s="6"/>
      <c r="U13" s="6"/>
    </row>
    <row r="14">
      <c r="A14" s="9" t="s">
        <v>22</v>
      </c>
      <c r="B14" s="10">
        <v>45974.0</v>
      </c>
      <c r="C14" s="12">
        <v>29000.0</v>
      </c>
      <c r="D14" s="12">
        <v>145000.0</v>
      </c>
      <c r="E14" s="13"/>
      <c r="F14" s="14"/>
      <c r="G14" s="12">
        <v>2000.0</v>
      </c>
      <c r="H14" s="13"/>
      <c r="I14" s="13"/>
      <c r="J14" s="15">
        <v>1.0</v>
      </c>
      <c r="K14" s="16"/>
      <c r="L14" s="17"/>
      <c r="M14" s="11">
        <v>29000.0</v>
      </c>
      <c r="N14" s="44">
        <v>330000.0</v>
      </c>
      <c r="O14" s="22"/>
      <c r="P14" s="6"/>
      <c r="Q14" s="45"/>
      <c r="R14" s="46"/>
      <c r="S14" s="6"/>
      <c r="T14" s="6"/>
      <c r="U14" s="6"/>
    </row>
    <row r="15">
      <c r="A15" s="28" t="s">
        <v>23</v>
      </c>
      <c r="B15" s="29">
        <v>45975.0</v>
      </c>
      <c r="C15" s="30">
        <v>33000.0</v>
      </c>
      <c r="D15" s="30">
        <v>99000.0</v>
      </c>
      <c r="E15" s="31"/>
      <c r="F15" s="32"/>
      <c r="G15" s="30">
        <v>2000.0</v>
      </c>
      <c r="H15" s="31"/>
      <c r="I15" s="31"/>
      <c r="J15" s="33">
        <v>1.0</v>
      </c>
      <c r="K15" s="16"/>
      <c r="L15" s="17"/>
      <c r="M15" s="11">
        <v>33000.0</v>
      </c>
      <c r="N15" s="22"/>
      <c r="O15" s="22"/>
      <c r="P15" s="16"/>
      <c r="Q15" s="47" t="s">
        <v>30</v>
      </c>
      <c r="R15" s="48">
        <v>9000.0</v>
      </c>
      <c r="S15" s="6"/>
      <c r="T15" s="6"/>
      <c r="U15" s="6"/>
    </row>
    <row r="16">
      <c r="A16" s="9" t="s">
        <v>24</v>
      </c>
      <c r="B16" s="10">
        <v>45976.0</v>
      </c>
      <c r="C16" s="12">
        <v>42000.0</v>
      </c>
      <c r="D16" s="12">
        <v>95000.0</v>
      </c>
      <c r="E16" s="13"/>
      <c r="F16" s="14"/>
      <c r="G16" s="12">
        <v>2000.0</v>
      </c>
      <c r="H16" s="13"/>
      <c r="I16" s="13"/>
      <c r="J16" s="15">
        <v>1.0</v>
      </c>
      <c r="K16" s="49">
        <v>1.0</v>
      </c>
      <c r="L16" s="17"/>
      <c r="M16" s="11">
        <v>42000.0</v>
      </c>
      <c r="N16" s="22"/>
      <c r="O16" s="22"/>
      <c r="P16" s="22"/>
      <c r="Q16" s="50" t="s">
        <v>31</v>
      </c>
      <c r="R16" s="48">
        <v>150000.0</v>
      </c>
      <c r="S16" s="6"/>
      <c r="T16" s="6"/>
      <c r="U16" s="6"/>
    </row>
    <row r="17">
      <c r="A17" s="9" t="s">
        <v>12</v>
      </c>
      <c r="B17" s="10">
        <v>45977.0</v>
      </c>
      <c r="C17" s="12">
        <v>66000.0</v>
      </c>
      <c r="D17" s="12">
        <v>46000.0</v>
      </c>
      <c r="E17" s="13"/>
      <c r="F17" s="14"/>
      <c r="G17" s="12">
        <v>2000.0</v>
      </c>
      <c r="H17" s="13"/>
      <c r="I17" s="13"/>
      <c r="J17" s="15">
        <v>1.0</v>
      </c>
      <c r="K17" s="49">
        <v>1.0</v>
      </c>
      <c r="L17" s="17"/>
      <c r="M17" s="11">
        <v>66000.0</v>
      </c>
      <c r="N17" s="51"/>
      <c r="O17" s="22"/>
      <c r="P17" s="22"/>
      <c r="Q17" s="52" t="s">
        <v>32</v>
      </c>
      <c r="R17" s="48">
        <v>40000.0</v>
      </c>
      <c r="S17" s="6"/>
      <c r="T17" s="6"/>
      <c r="U17" s="6"/>
    </row>
    <row r="18">
      <c r="A18" s="9" t="s">
        <v>17</v>
      </c>
      <c r="B18" s="10">
        <v>45978.0</v>
      </c>
      <c r="C18" s="12">
        <v>30000.0</v>
      </c>
      <c r="D18" s="12">
        <v>39000.0</v>
      </c>
      <c r="E18" s="13"/>
      <c r="F18" s="14"/>
      <c r="G18" s="12">
        <v>2000.0</v>
      </c>
      <c r="H18" s="13"/>
      <c r="I18" s="13"/>
      <c r="J18" s="15">
        <v>1.0</v>
      </c>
      <c r="K18" s="16"/>
      <c r="L18" s="17"/>
      <c r="M18" s="11">
        <v>30000.0</v>
      </c>
      <c r="N18" s="53"/>
      <c r="O18" s="22"/>
      <c r="P18" s="51"/>
      <c r="Q18" s="54" t="s">
        <v>33</v>
      </c>
      <c r="R18" s="48">
        <v>55000.0</v>
      </c>
      <c r="S18" s="6"/>
      <c r="T18" s="6"/>
      <c r="U18" s="6"/>
    </row>
    <row r="19">
      <c r="A19" s="9" t="s">
        <v>18</v>
      </c>
      <c r="B19" s="10">
        <v>45979.0</v>
      </c>
      <c r="C19" s="11"/>
      <c r="D19" s="11"/>
      <c r="E19" s="13"/>
      <c r="F19" s="14"/>
      <c r="G19" s="12">
        <v>2000.0</v>
      </c>
      <c r="H19" s="13"/>
      <c r="I19" s="13"/>
      <c r="J19" s="55"/>
      <c r="K19" s="16"/>
      <c r="L19" s="17"/>
      <c r="M19" s="11">
        <v>49000.0</v>
      </c>
      <c r="N19" s="56" t="s">
        <v>34</v>
      </c>
      <c r="O19" s="22"/>
      <c r="P19" s="22"/>
      <c r="Q19" s="22"/>
      <c r="R19" s="22"/>
      <c r="S19" s="6"/>
      <c r="T19" s="6"/>
      <c r="U19" s="6"/>
    </row>
    <row r="20">
      <c r="A20" s="9" t="s">
        <v>19</v>
      </c>
      <c r="B20" s="10">
        <v>45980.0</v>
      </c>
      <c r="C20" s="11"/>
      <c r="D20" s="11"/>
      <c r="E20" s="13"/>
      <c r="F20" s="14"/>
      <c r="G20" s="11"/>
      <c r="H20" s="13"/>
      <c r="I20" s="13"/>
      <c r="J20" s="55"/>
      <c r="K20" s="16"/>
      <c r="L20" s="17"/>
      <c r="M20" s="11">
        <v>54000.0</v>
      </c>
      <c r="N20" s="11">
        <f>D33-C33</f>
        <v>205000</v>
      </c>
      <c r="O20" s="22"/>
      <c r="P20" s="6"/>
      <c r="Q20" s="57"/>
      <c r="R20" s="58"/>
      <c r="S20" s="6"/>
      <c r="T20" s="6"/>
      <c r="U20" s="6"/>
    </row>
    <row r="21">
      <c r="A21" s="9" t="s">
        <v>22</v>
      </c>
      <c r="B21" s="10">
        <v>45981.0</v>
      </c>
      <c r="C21" s="11"/>
      <c r="D21" s="11"/>
      <c r="E21" s="13"/>
      <c r="F21" s="14"/>
      <c r="G21" s="11"/>
      <c r="H21" s="13"/>
      <c r="I21" s="13"/>
      <c r="J21" s="55"/>
      <c r="K21" s="16"/>
      <c r="L21" s="17"/>
      <c r="M21" s="11">
        <v>62000.0</v>
      </c>
      <c r="N21" s="59" t="s">
        <v>35</v>
      </c>
      <c r="O21" s="22"/>
      <c r="P21" s="16"/>
      <c r="Q21" s="60" t="s">
        <v>36</v>
      </c>
      <c r="R21" s="61">
        <v>60000.0</v>
      </c>
      <c r="S21" s="6"/>
      <c r="T21" s="6"/>
      <c r="U21" s="6"/>
    </row>
    <row r="22">
      <c r="A22" s="28" t="s">
        <v>23</v>
      </c>
      <c r="B22" s="29">
        <v>45982.0</v>
      </c>
      <c r="C22" s="30">
        <v>40000.0</v>
      </c>
      <c r="D22" s="30">
        <v>10000.0</v>
      </c>
      <c r="E22" s="31"/>
      <c r="F22" s="32"/>
      <c r="G22" s="62"/>
      <c r="H22" s="31"/>
      <c r="I22" s="31"/>
      <c r="J22" s="63"/>
      <c r="K22" s="16"/>
      <c r="L22" s="17"/>
      <c r="M22" s="11">
        <v>40000.0</v>
      </c>
      <c r="N22" s="64">
        <f>L36-E36</f>
        <v>0</v>
      </c>
      <c r="O22" s="22"/>
      <c r="P22" s="16"/>
      <c r="Q22" s="51"/>
      <c r="R22" s="6"/>
      <c r="S22" s="6"/>
      <c r="T22" s="6"/>
      <c r="U22" s="6"/>
    </row>
    <row r="23">
      <c r="A23" s="9" t="s">
        <v>24</v>
      </c>
      <c r="B23" s="10">
        <v>45983.0</v>
      </c>
      <c r="C23" s="11"/>
      <c r="D23" s="11"/>
      <c r="E23" s="13"/>
      <c r="F23" s="14"/>
      <c r="G23" s="11"/>
      <c r="H23" s="13"/>
      <c r="I23" s="13"/>
      <c r="J23" s="55"/>
      <c r="K23" s="16"/>
      <c r="L23" s="17"/>
      <c r="M23" s="11">
        <v>67000.0</v>
      </c>
      <c r="N23" s="65" t="s">
        <v>37</v>
      </c>
      <c r="O23" s="22"/>
      <c r="P23" s="16"/>
      <c r="Q23" s="51"/>
      <c r="R23" s="6"/>
      <c r="S23" s="6"/>
      <c r="T23" s="6"/>
      <c r="U23" s="6"/>
    </row>
    <row r="24">
      <c r="A24" s="9" t="s">
        <v>12</v>
      </c>
      <c r="B24" s="10">
        <v>45984.0</v>
      </c>
      <c r="C24" s="11"/>
      <c r="D24" s="11"/>
      <c r="E24" s="13"/>
      <c r="F24" s="14"/>
      <c r="G24" s="11"/>
      <c r="H24" s="13"/>
      <c r="I24" s="13"/>
      <c r="J24" s="55"/>
      <c r="K24" s="16"/>
      <c r="L24" s="17"/>
      <c r="M24" s="11">
        <v>81000.0</v>
      </c>
      <c r="N24" s="66">
        <f>D33-C33</f>
        <v>205000</v>
      </c>
      <c r="O24" s="22"/>
      <c r="P24" s="16"/>
      <c r="Q24" s="51"/>
      <c r="R24" s="6"/>
      <c r="S24" s="6"/>
      <c r="T24" s="6"/>
      <c r="U24" s="6"/>
    </row>
    <row r="25">
      <c r="A25" s="9" t="s">
        <v>17</v>
      </c>
      <c r="B25" s="10">
        <v>45985.0</v>
      </c>
      <c r="C25" s="11"/>
      <c r="D25" s="11"/>
      <c r="E25" s="13"/>
      <c r="F25" s="14"/>
      <c r="G25" s="11"/>
      <c r="H25" s="13"/>
      <c r="I25" s="13"/>
      <c r="J25" s="55"/>
      <c r="K25" s="16"/>
      <c r="L25" s="17"/>
      <c r="M25" s="11">
        <v>103000.0</v>
      </c>
      <c r="N25" s="67" t="s">
        <v>38</v>
      </c>
      <c r="O25" s="22"/>
      <c r="P25" s="16"/>
      <c r="Q25" s="51"/>
      <c r="R25" s="6"/>
      <c r="S25" s="6"/>
      <c r="T25" s="6"/>
      <c r="U25" s="6"/>
    </row>
    <row r="26">
      <c r="A26" s="9" t="s">
        <v>18</v>
      </c>
      <c r="B26" s="10">
        <v>45986.0</v>
      </c>
      <c r="C26" s="11"/>
      <c r="D26" s="11"/>
      <c r="E26" s="13"/>
      <c r="F26" s="14"/>
      <c r="G26" s="11"/>
      <c r="H26" s="13"/>
      <c r="I26" s="13"/>
      <c r="J26" s="55"/>
      <c r="K26" s="16"/>
      <c r="L26" s="17"/>
      <c r="M26" s="11">
        <v>50000.0</v>
      </c>
      <c r="N26" s="64">
        <f>D9+D16+D23+D30</f>
        <v>160000</v>
      </c>
      <c r="O26" s="6"/>
      <c r="P26" s="16"/>
      <c r="Q26" s="51"/>
      <c r="R26" s="6"/>
      <c r="S26" s="6"/>
      <c r="T26" s="6"/>
      <c r="U26" s="6"/>
    </row>
    <row r="27">
      <c r="A27" s="9" t="s">
        <v>19</v>
      </c>
      <c r="B27" s="10">
        <v>45987.0</v>
      </c>
      <c r="C27" s="11"/>
      <c r="D27" s="11"/>
      <c r="E27" s="13"/>
      <c r="F27" s="14"/>
      <c r="G27" s="11"/>
      <c r="H27" s="13"/>
      <c r="I27" s="13"/>
      <c r="J27" s="55"/>
      <c r="K27" s="16"/>
      <c r="L27" s="17"/>
      <c r="M27" s="11">
        <v>100000.0</v>
      </c>
      <c r="N27" s="68"/>
      <c r="O27" s="6"/>
      <c r="P27" s="16"/>
      <c r="Q27" s="51"/>
      <c r="R27" s="6"/>
      <c r="S27" s="6"/>
      <c r="T27" s="6"/>
      <c r="U27" s="6"/>
    </row>
    <row r="28">
      <c r="A28" s="9" t="s">
        <v>22</v>
      </c>
      <c r="B28" s="10">
        <v>45988.0</v>
      </c>
      <c r="C28" s="11"/>
      <c r="D28" s="11"/>
      <c r="E28" s="13"/>
      <c r="F28" s="14"/>
      <c r="G28" s="11"/>
      <c r="H28" s="13"/>
      <c r="I28" s="13"/>
      <c r="J28" s="55"/>
      <c r="K28" s="16"/>
      <c r="L28" s="17"/>
      <c r="M28" s="11">
        <v>45000.0</v>
      </c>
      <c r="N28" s="25" t="s">
        <v>27</v>
      </c>
      <c r="O28" s="6"/>
      <c r="P28" s="16"/>
      <c r="Q28" s="51"/>
      <c r="R28" s="6"/>
      <c r="S28" s="6"/>
      <c r="T28" s="6"/>
      <c r="U28" s="6"/>
    </row>
    <row r="29">
      <c r="A29" s="9" t="s">
        <v>23</v>
      </c>
      <c r="B29" s="10">
        <v>45989.0</v>
      </c>
      <c r="C29" s="11"/>
      <c r="D29" s="11"/>
      <c r="E29" s="13"/>
      <c r="F29" s="14"/>
      <c r="G29" s="11"/>
      <c r="H29" s="13"/>
      <c r="I29" s="13"/>
      <c r="J29" s="55"/>
      <c r="K29" s="16"/>
      <c r="L29" s="17"/>
      <c r="M29" s="11">
        <v>52000.0</v>
      </c>
      <c r="N29" s="64">
        <v>51000.0</v>
      </c>
      <c r="O29" s="22"/>
      <c r="P29" s="16"/>
      <c r="Q29" s="51"/>
      <c r="R29" s="6"/>
      <c r="S29" s="6"/>
      <c r="T29" s="6"/>
      <c r="U29" s="6"/>
    </row>
    <row r="30">
      <c r="A30" s="9" t="s">
        <v>24</v>
      </c>
      <c r="B30" s="10">
        <v>45990.0</v>
      </c>
      <c r="C30" s="11"/>
      <c r="D30" s="11"/>
      <c r="E30" s="13"/>
      <c r="F30" s="14"/>
      <c r="G30" s="11"/>
      <c r="H30" s="13"/>
      <c r="I30" s="13"/>
      <c r="J30" s="55"/>
      <c r="K30" s="16"/>
      <c r="L30" s="17"/>
      <c r="M30" s="11">
        <v>75000.0</v>
      </c>
      <c r="N30" s="69" t="s">
        <v>39</v>
      </c>
      <c r="O30" s="6"/>
      <c r="P30" s="16"/>
      <c r="Q30" s="51"/>
      <c r="R30" s="6"/>
      <c r="S30" s="6"/>
      <c r="T30" s="6"/>
      <c r="U30" s="6"/>
    </row>
    <row r="31">
      <c r="A31" s="9" t="s">
        <v>12</v>
      </c>
      <c r="B31" s="10">
        <v>45991.0</v>
      </c>
      <c r="C31" s="11"/>
      <c r="D31" s="11"/>
      <c r="E31" s="13"/>
      <c r="F31" s="14"/>
      <c r="G31" s="11"/>
      <c r="H31" s="13"/>
      <c r="I31" s="13"/>
      <c r="J31" s="55"/>
      <c r="K31" s="16"/>
      <c r="L31" s="17"/>
      <c r="M31" s="11">
        <v>101000.0</v>
      </c>
      <c r="N31" s="68"/>
      <c r="O31" s="6"/>
      <c r="P31" s="51"/>
      <c r="Q31" s="16"/>
      <c r="R31" s="6"/>
      <c r="S31" s="6"/>
      <c r="T31" s="6"/>
      <c r="U31" s="6"/>
    </row>
    <row r="32">
      <c r="A32" s="9" t="s">
        <v>17</v>
      </c>
      <c r="B32" s="10">
        <v>45992.0</v>
      </c>
      <c r="C32" s="11"/>
      <c r="D32" s="11"/>
      <c r="E32" s="13"/>
      <c r="F32" s="14"/>
      <c r="G32" s="70"/>
      <c r="H32" s="13"/>
      <c r="I32" s="13"/>
      <c r="J32" s="55"/>
      <c r="K32" s="16"/>
      <c r="L32" s="17"/>
      <c r="M32" s="11">
        <v>64000.0</v>
      </c>
      <c r="N32" s="68"/>
      <c r="O32" s="6"/>
      <c r="P32" s="51"/>
      <c r="Q32" s="51"/>
      <c r="R32" s="6"/>
      <c r="S32" s="6"/>
      <c r="T32" s="6"/>
      <c r="U32" s="6"/>
    </row>
    <row r="33">
      <c r="A33" s="16"/>
      <c r="B33" s="71"/>
      <c r="C33" s="72">
        <f t="shared" ref="C33:D33" si="1">SUM(C2:C32)</f>
        <v>995000</v>
      </c>
      <c r="D33" s="72">
        <f t="shared" si="1"/>
        <v>1200000</v>
      </c>
      <c r="E33" s="72">
        <f>'Les Charges '!J386</f>
        <v>649671.24</v>
      </c>
      <c r="F33" s="73">
        <f>'Les Salaires '!D33</f>
        <v>279300.75</v>
      </c>
      <c r="G33" s="72">
        <f>SUM(G2:G32)</f>
        <v>36000</v>
      </c>
      <c r="H33" s="74">
        <v>190000.0</v>
      </c>
      <c r="I33" s="72">
        <f>D33-E33-F33-G33-H33</f>
        <v>45028.01</v>
      </c>
      <c r="J33" s="75">
        <f>SUM(J2:J32)</f>
        <v>17</v>
      </c>
      <c r="K33" s="16"/>
      <c r="L33" s="17"/>
      <c r="M33" s="11">
        <f>SUM(M2:M32)</f>
        <v>1898000</v>
      </c>
      <c r="N33" s="68"/>
      <c r="O33" s="22"/>
      <c r="P33" s="51"/>
      <c r="Q33" s="51"/>
      <c r="R33" s="6"/>
      <c r="S33" s="6"/>
      <c r="T33" s="6"/>
      <c r="U33" s="6"/>
    </row>
    <row r="34">
      <c r="A34" s="16"/>
      <c r="B34" s="76"/>
      <c r="C34" s="51"/>
      <c r="D34" s="51"/>
      <c r="E34" s="16"/>
      <c r="F34" s="77"/>
      <c r="G34" s="78" t="s">
        <v>40</v>
      </c>
      <c r="H34" s="79">
        <v>55000.0</v>
      </c>
      <c r="I34" s="16"/>
      <c r="J34" s="16"/>
      <c r="K34" s="16"/>
      <c r="L34" s="51"/>
      <c r="M34" s="51"/>
      <c r="N34" s="68"/>
      <c r="O34" s="22"/>
      <c r="P34" s="51"/>
      <c r="Q34" s="16"/>
      <c r="R34" s="6"/>
      <c r="S34" s="6"/>
      <c r="T34" s="6"/>
      <c r="U34" s="6"/>
    </row>
    <row r="35">
      <c r="A35" s="16"/>
      <c r="B35" s="76"/>
      <c r="C35" s="51"/>
      <c r="D35" s="51"/>
      <c r="E35" s="51"/>
      <c r="F35" s="77"/>
      <c r="G35" s="80" t="s">
        <v>41</v>
      </c>
      <c r="H35" s="81">
        <v>50000.0</v>
      </c>
      <c r="I35" s="51"/>
      <c r="J35" s="16"/>
      <c r="K35" s="16"/>
      <c r="L35" s="51"/>
      <c r="M35" s="51"/>
      <c r="N35" s="64">
        <f>N11-N29-N34</f>
        <v>445628.76</v>
      </c>
      <c r="O35" s="6"/>
      <c r="P35" s="51"/>
      <c r="Q35" s="16"/>
      <c r="R35" s="6"/>
      <c r="S35" s="6"/>
      <c r="T35" s="6"/>
      <c r="U35" s="6"/>
    </row>
    <row r="36">
      <c r="A36" s="16"/>
      <c r="B36" s="16"/>
      <c r="C36" s="16"/>
      <c r="D36" s="82">
        <v>200000.0</v>
      </c>
      <c r="E36" s="16"/>
      <c r="F36" s="77"/>
      <c r="G36" s="78" t="s">
        <v>42</v>
      </c>
      <c r="H36" s="79">
        <v>45000.0</v>
      </c>
      <c r="I36" s="16"/>
      <c r="J36" s="16"/>
      <c r="K36" s="16"/>
      <c r="L36" s="16"/>
      <c r="M36" s="16"/>
      <c r="N36" s="6"/>
      <c r="O36" s="6"/>
      <c r="P36" s="78" t="s">
        <v>43</v>
      </c>
      <c r="Q36" s="80">
        <v>40000.0</v>
      </c>
      <c r="R36" s="6"/>
      <c r="S36" s="6"/>
      <c r="T36" s="6"/>
      <c r="U36" s="6"/>
    </row>
    <row r="37">
      <c r="A37" s="16"/>
      <c r="B37" s="16"/>
      <c r="C37" s="16"/>
      <c r="D37" s="16"/>
      <c r="E37" s="16"/>
      <c r="F37" s="77"/>
      <c r="G37" s="78" t="s">
        <v>44</v>
      </c>
      <c r="H37" s="79">
        <v>40000.0</v>
      </c>
      <c r="I37" s="16"/>
      <c r="J37" s="16"/>
      <c r="K37" s="16"/>
      <c r="L37" s="16"/>
      <c r="M37" s="16"/>
      <c r="N37" s="6"/>
      <c r="O37" s="6"/>
      <c r="P37" s="16"/>
      <c r="Q37" s="16"/>
      <c r="R37" s="6"/>
      <c r="S37" s="6"/>
      <c r="T37" s="6"/>
      <c r="U37" s="6"/>
    </row>
    <row r="38">
      <c r="A38" s="16"/>
      <c r="B38" s="16"/>
      <c r="C38" s="16"/>
      <c r="D38" s="16" t="s">
        <v>45</v>
      </c>
      <c r="E38" s="16"/>
      <c r="F38" s="77"/>
      <c r="G38" s="16"/>
      <c r="H38" s="16"/>
      <c r="I38" s="16"/>
      <c r="J38" s="16"/>
      <c r="K38" s="16"/>
      <c r="L38" s="16"/>
      <c r="M38" s="16"/>
      <c r="N38" s="6"/>
      <c r="O38" s="6"/>
      <c r="P38" s="16"/>
      <c r="Q38" s="16"/>
      <c r="R38" s="6"/>
      <c r="S38" s="6"/>
      <c r="T38" s="6"/>
      <c r="U38" s="6"/>
    </row>
  </sheetData>
  <mergeCells count="4">
    <mergeCell ref="N11:N12"/>
    <mergeCell ref="O11:O12"/>
    <mergeCell ref="P11:P12"/>
    <mergeCell ref="Q11:Q1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95.38"/>
    <col customWidth="1" min="8" max="8" width="26.0"/>
    <col customWidth="1" min="9" max="9" width="25.63"/>
    <col customWidth="1" min="10" max="10" width="26.0"/>
    <col customWidth="1" min="11" max="11" width="69.88"/>
  </cols>
  <sheetData>
    <row r="3">
      <c r="G3" s="83" t="s">
        <v>46</v>
      </c>
      <c r="H3" s="84" t="s">
        <v>47</v>
      </c>
      <c r="I3" s="84" t="s">
        <v>48</v>
      </c>
      <c r="J3" s="84" t="s">
        <v>49</v>
      </c>
      <c r="K3" s="6"/>
    </row>
    <row r="4">
      <c r="G4" s="85" t="s">
        <v>50</v>
      </c>
      <c r="H4" s="86">
        <v>80.0</v>
      </c>
      <c r="I4" s="87">
        <v>280.0</v>
      </c>
      <c r="J4" s="88">
        <f t="shared" ref="J4:J385" si="1">H4*I4</f>
        <v>22400</v>
      </c>
      <c r="K4" s="89"/>
    </row>
    <row r="5">
      <c r="G5" s="90" t="s">
        <v>51</v>
      </c>
      <c r="H5" s="90">
        <v>4.0</v>
      </c>
      <c r="I5" s="91">
        <v>520.0</v>
      </c>
      <c r="J5" s="88">
        <f t="shared" si="1"/>
        <v>2080</v>
      </c>
      <c r="K5" s="89"/>
    </row>
    <row r="6">
      <c r="G6" s="90" t="s">
        <v>52</v>
      </c>
      <c r="H6" s="90">
        <v>5.0</v>
      </c>
      <c r="I6" s="91">
        <v>850.0</v>
      </c>
      <c r="J6" s="88">
        <f t="shared" si="1"/>
        <v>4250</v>
      </c>
      <c r="K6" s="89"/>
    </row>
    <row r="7">
      <c r="G7" s="90" t="s">
        <v>53</v>
      </c>
      <c r="H7" s="90">
        <v>10.0</v>
      </c>
      <c r="I7" s="91">
        <v>850.0</v>
      </c>
      <c r="J7" s="88">
        <f t="shared" si="1"/>
        <v>8500</v>
      </c>
      <c r="K7" s="89"/>
    </row>
    <row r="8">
      <c r="G8" s="92" t="s">
        <v>54</v>
      </c>
      <c r="H8" s="92">
        <v>1.0</v>
      </c>
      <c r="I8" s="11">
        <v>550.0</v>
      </c>
      <c r="J8" s="88">
        <f t="shared" si="1"/>
        <v>550</v>
      </c>
      <c r="K8" s="89"/>
    </row>
    <row r="9">
      <c r="G9" s="92" t="s">
        <v>55</v>
      </c>
      <c r="H9" s="93">
        <v>15.0</v>
      </c>
      <c r="I9" s="94">
        <v>1000.0</v>
      </c>
      <c r="J9" s="88">
        <f t="shared" si="1"/>
        <v>15000</v>
      </c>
      <c r="K9" s="89"/>
    </row>
    <row r="10">
      <c r="G10" s="92" t="s">
        <v>56</v>
      </c>
      <c r="H10" s="92">
        <v>1.0</v>
      </c>
      <c r="I10" s="94">
        <v>2000.0</v>
      </c>
      <c r="J10" s="88">
        <f t="shared" si="1"/>
        <v>2000</v>
      </c>
      <c r="K10" s="89"/>
    </row>
    <row r="11">
      <c r="G11" s="92" t="s">
        <v>57</v>
      </c>
      <c r="H11" s="92">
        <v>29.0</v>
      </c>
      <c r="I11" s="94">
        <v>30.0</v>
      </c>
      <c r="J11" s="88">
        <f t="shared" si="1"/>
        <v>870</v>
      </c>
      <c r="K11" s="89"/>
    </row>
    <row r="12">
      <c r="G12" s="92" t="s">
        <v>58</v>
      </c>
      <c r="H12" s="93">
        <v>11.0</v>
      </c>
      <c r="I12" s="94">
        <v>390.0</v>
      </c>
      <c r="J12" s="88">
        <f t="shared" si="1"/>
        <v>4290</v>
      </c>
      <c r="K12" s="89"/>
    </row>
    <row r="13">
      <c r="G13" s="92" t="s">
        <v>59</v>
      </c>
      <c r="H13" s="93">
        <v>8.0</v>
      </c>
      <c r="I13" s="94">
        <v>255.0</v>
      </c>
      <c r="J13" s="88">
        <f t="shared" si="1"/>
        <v>2040</v>
      </c>
      <c r="K13" s="89"/>
    </row>
    <row r="14">
      <c r="G14" s="92" t="s">
        <v>60</v>
      </c>
      <c r="H14" s="93">
        <v>21.0</v>
      </c>
      <c r="I14" s="94">
        <v>245.0</v>
      </c>
      <c r="J14" s="88">
        <f t="shared" si="1"/>
        <v>5145</v>
      </c>
      <c r="K14" s="89"/>
    </row>
    <row r="15">
      <c r="G15" s="92" t="s">
        <v>61</v>
      </c>
      <c r="H15" s="92"/>
      <c r="I15" s="94">
        <v>245.0</v>
      </c>
      <c r="J15" s="88">
        <f t="shared" si="1"/>
        <v>0</v>
      </c>
      <c r="K15" s="89"/>
    </row>
    <row r="16">
      <c r="G16" s="92" t="s">
        <v>62</v>
      </c>
      <c r="H16" s="93">
        <v>34.0</v>
      </c>
      <c r="I16" s="94">
        <v>200.0</v>
      </c>
      <c r="J16" s="88">
        <f t="shared" si="1"/>
        <v>6800</v>
      </c>
      <c r="K16" s="89"/>
    </row>
    <row r="17">
      <c r="G17" s="92" t="s">
        <v>63</v>
      </c>
      <c r="H17" s="93">
        <v>40.0</v>
      </c>
      <c r="I17" s="94">
        <v>99.0</v>
      </c>
      <c r="J17" s="88">
        <f t="shared" si="1"/>
        <v>3960</v>
      </c>
      <c r="K17" s="89"/>
    </row>
    <row r="18">
      <c r="G18" s="90" t="s">
        <v>64</v>
      </c>
      <c r="H18" s="90">
        <v>55.0</v>
      </c>
      <c r="I18" s="91">
        <v>600.0</v>
      </c>
      <c r="J18" s="88">
        <f t="shared" si="1"/>
        <v>33000</v>
      </c>
      <c r="K18" s="90" t="s">
        <v>65</v>
      </c>
    </row>
    <row r="19">
      <c r="G19" s="93" t="s">
        <v>66</v>
      </c>
      <c r="H19" s="93">
        <v>12.0</v>
      </c>
      <c r="I19" s="95">
        <v>450.0</v>
      </c>
      <c r="J19" s="88">
        <f t="shared" si="1"/>
        <v>5400</v>
      </c>
      <c r="K19" s="89"/>
    </row>
    <row r="20">
      <c r="G20" s="92" t="s">
        <v>66</v>
      </c>
      <c r="H20" s="93">
        <v>6.0</v>
      </c>
      <c r="I20" s="94">
        <v>420.0</v>
      </c>
      <c r="J20" s="88">
        <f t="shared" si="1"/>
        <v>2520</v>
      </c>
      <c r="K20" s="89"/>
    </row>
    <row r="21">
      <c r="G21" s="90" t="s">
        <v>67</v>
      </c>
      <c r="H21" s="90">
        <v>21.0</v>
      </c>
      <c r="I21" s="91">
        <v>820.0</v>
      </c>
      <c r="J21" s="88">
        <f t="shared" si="1"/>
        <v>17220</v>
      </c>
      <c r="K21" s="89"/>
    </row>
    <row r="22">
      <c r="G22" s="92" t="s">
        <v>68</v>
      </c>
      <c r="H22" s="93">
        <v>11.0</v>
      </c>
      <c r="I22" s="94">
        <v>30.0</v>
      </c>
      <c r="J22" s="88">
        <f t="shared" si="1"/>
        <v>330</v>
      </c>
      <c r="K22" s="89"/>
    </row>
    <row r="23">
      <c r="G23" s="92" t="s">
        <v>69</v>
      </c>
      <c r="H23" s="92">
        <v>4.0</v>
      </c>
      <c r="I23" s="95">
        <v>800.0</v>
      </c>
      <c r="J23" s="88">
        <f t="shared" si="1"/>
        <v>3200</v>
      </c>
      <c r="K23" s="89"/>
    </row>
    <row r="24">
      <c r="G24" s="92" t="s">
        <v>70</v>
      </c>
      <c r="H24" s="93">
        <v>10.0</v>
      </c>
      <c r="I24" s="94">
        <v>150.0</v>
      </c>
      <c r="J24" s="88">
        <f t="shared" si="1"/>
        <v>1500</v>
      </c>
      <c r="K24" s="89"/>
    </row>
    <row r="25">
      <c r="G25" s="92" t="s">
        <v>71</v>
      </c>
      <c r="H25" s="92">
        <v>1.0</v>
      </c>
      <c r="I25" s="11">
        <v>400.0</v>
      </c>
      <c r="J25" s="88">
        <f t="shared" si="1"/>
        <v>400</v>
      </c>
      <c r="K25" s="89"/>
    </row>
    <row r="26">
      <c r="G26" s="92" t="s">
        <v>72</v>
      </c>
      <c r="H26" s="92">
        <v>1.0</v>
      </c>
      <c r="I26" s="94">
        <v>1900.0</v>
      </c>
      <c r="J26" s="88">
        <f t="shared" si="1"/>
        <v>1900</v>
      </c>
      <c r="K26" s="89"/>
    </row>
    <row r="27">
      <c r="G27" s="93" t="s">
        <v>73</v>
      </c>
      <c r="H27" s="93">
        <v>500.0</v>
      </c>
      <c r="I27" s="95">
        <v>6.8</v>
      </c>
      <c r="J27" s="88">
        <f t="shared" si="1"/>
        <v>3400</v>
      </c>
      <c r="K27" s="89"/>
    </row>
    <row r="28">
      <c r="G28" s="92" t="s">
        <v>74</v>
      </c>
      <c r="H28" s="93">
        <v>100.0</v>
      </c>
      <c r="I28" s="94">
        <v>6.3</v>
      </c>
      <c r="J28" s="88">
        <f t="shared" si="1"/>
        <v>630</v>
      </c>
      <c r="K28" s="89"/>
    </row>
    <row r="29">
      <c r="G29" s="90" t="s">
        <v>75</v>
      </c>
      <c r="H29" s="90">
        <v>6.0</v>
      </c>
      <c r="I29" s="91">
        <v>1250.0</v>
      </c>
      <c r="J29" s="88">
        <f t="shared" si="1"/>
        <v>7500</v>
      </c>
      <c r="K29" s="89"/>
    </row>
    <row r="30">
      <c r="G30" s="96" t="s">
        <v>76</v>
      </c>
      <c r="H30" s="97">
        <v>40.0</v>
      </c>
      <c r="I30" s="98">
        <v>125.0</v>
      </c>
      <c r="J30" s="88">
        <f t="shared" si="1"/>
        <v>5000</v>
      </c>
      <c r="K30" s="89"/>
    </row>
    <row r="31">
      <c r="G31" s="97" t="s">
        <v>77</v>
      </c>
      <c r="H31" s="97">
        <v>24.0</v>
      </c>
      <c r="I31" s="99">
        <v>270.0</v>
      </c>
      <c r="J31" s="88">
        <f t="shared" si="1"/>
        <v>6480</v>
      </c>
      <c r="K31" s="100"/>
    </row>
    <row r="32">
      <c r="G32" s="96" t="s">
        <v>77</v>
      </c>
      <c r="H32" s="96">
        <v>24.0</v>
      </c>
      <c r="I32" s="98">
        <v>265.0</v>
      </c>
      <c r="J32" s="88">
        <f t="shared" si="1"/>
        <v>6360</v>
      </c>
      <c r="K32" s="101">
        <v>45956.0</v>
      </c>
    </row>
    <row r="33">
      <c r="G33" s="97" t="s">
        <v>78</v>
      </c>
      <c r="H33" s="97">
        <v>24.0</v>
      </c>
      <c r="I33" s="99">
        <v>315.0</v>
      </c>
      <c r="J33" s="88">
        <f t="shared" si="1"/>
        <v>7560</v>
      </c>
      <c r="K33" s="102"/>
    </row>
    <row r="34">
      <c r="G34" s="96" t="s">
        <v>78</v>
      </c>
      <c r="H34" s="97">
        <v>22.0</v>
      </c>
      <c r="I34" s="98">
        <v>320.0</v>
      </c>
      <c r="J34" s="88">
        <f t="shared" si="1"/>
        <v>7040</v>
      </c>
      <c r="K34" s="102"/>
    </row>
    <row r="35">
      <c r="G35" s="96" t="s">
        <v>79</v>
      </c>
      <c r="H35" s="96">
        <v>18.0</v>
      </c>
      <c r="I35" s="98">
        <v>73.0</v>
      </c>
      <c r="J35" s="88">
        <f t="shared" si="1"/>
        <v>1314</v>
      </c>
      <c r="K35" s="102"/>
    </row>
    <row r="36">
      <c r="G36" s="96" t="s">
        <v>80</v>
      </c>
      <c r="H36" s="97">
        <v>6.0</v>
      </c>
      <c r="I36" s="98">
        <v>1350.0</v>
      </c>
      <c r="J36" s="88">
        <f t="shared" si="1"/>
        <v>8100</v>
      </c>
      <c r="K36" s="102"/>
    </row>
    <row r="37">
      <c r="G37" s="96" t="s">
        <v>81</v>
      </c>
      <c r="H37" s="96">
        <v>24.0</v>
      </c>
      <c r="I37" s="98">
        <v>65.0</v>
      </c>
      <c r="J37" s="88">
        <f t="shared" si="1"/>
        <v>1560</v>
      </c>
      <c r="K37" s="102"/>
    </row>
    <row r="38">
      <c r="G38" s="96" t="s">
        <v>81</v>
      </c>
      <c r="H38" s="97">
        <v>36.0</v>
      </c>
      <c r="I38" s="99">
        <v>60.0</v>
      </c>
      <c r="J38" s="88">
        <f t="shared" si="1"/>
        <v>2160</v>
      </c>
      <c r="K38" s="102"/>
    </row>
    <row r="39">
      <c r="G39" s="96" t="s">
        <v>82</v>
      </c>
      <c r="H39" s="96">
        <v>1.0</v>
      </c>
      <c r="I39" s="98">
        <v>2250.0</v>
      </c>
      <c r="J39" s="88">
        <f t="shared" si="1"/>
        <v>2250</v>
      </c>
      <c r="K39" s="102"/>
    </row>
    <row r="40">
      <c r="G40" s="96" t="s">
        <v>83</v>
      </c>
      <c r="H40" s="96">
        <v>0.5</v>
      </c>
      <c r="I40" s="98">
        <v>2500.0</v>
      </c>
      <c r="J40" s="88">
        <f t="shared" si="1"/>
        <v>1250</v>
      </c>
      <c r="K40" s="102"/>
    </row>
    <row r="41">
      <c r="G41" s="96" t="s">
        <v>84</v>
      </c>
      <c r="H41" s="96">
        <v>5.0</v>
      </c>
      <c r="I41" s="98">
        <v>560.0</v>
      </c>
      <c r="J41" s="88">
        <f t="shared" si="1"/>
        <v>2800</v>
      </c>
      <c r="K41" s="43"/>
    </row>
    <row r="42">
      <c r="G42" s="96" t="s">
        <v>85</v>
      </c>
      <c r="H42" s="96">
        <v>100.0</v>
      </c>
      <c r="I42" s="98">
        <v>9.5</v>
      </c>
      <c r="J42" s="88">
        <f t="shared" si="1"/>
        <v>950</v>
      </c>
      <c r="K42" s="103"/>
    </row>
    <row r="43">
      <c r="G43" s="96" t="s">
        <v>86</v>
      </c>
      <c r="H43" s="96">
        <v>100.0</v>
      </c>
      <c r="I43" s="98">
        <v>13.7</v>
      </c>
      <c r="J43" s="88">
        <f t="shared" si="1"/>
        <v>1370</v>
      </c>
      <c r="K43" s="103"/>
    </row>
    <row r="44">
      <c r="G44" s="96" t="s">
        <v>87</v>
      </c>
      <c r="H44" s="97">
        <v>95.0</v>
      </c>
      <c r="I44" s="98">
        <v>20.0</v>
      </c>
      <c r="J44" s="88">
        <f t="shared" si="1"/>
        <v>1900</v>
      </c>
      <c r="K44" s="103"/>
    </row>
    <row r="45">
      <c r="G45" s="96" t="s">
        <v>88</v>
      </c>
      <c r="H45" s="96">
        <v>50.0</v>
      </c>
      <c r="I45" s="98">
        <v>21.0</v>
      </c>
      <c r="J45" s="88">
        <f t="shared" si="1"/>
        <v>1050</v>
      </c>
      <c r="K45" s="103"/>
    </row>
    <row r="46">
      <c r="G46" s="96" t="s">
        <v>89</v>
      </c>
      <c r="H46" s="96">
        <v>100.0</v>
      </c>
      <c r="I46" s="98">
        <v>28.0</v>
      </c>
      <c r="J46" s="88">
        <f t="shared" si="1"/>
        <v>2800</v>
      </c>
      <c r="K46" s="103"/>
    </row>
    <row r="47">
      <c r="G47" s="96" t="s">
        <v>90</v>
      </c>
      <c r="H47" s="97">
        <v>150.0</v>
      </c>
      <c r="I47" s="98">
        <v>34.0</v>
      </c>
      <c r="J47" s="88">
        <f t="shared" si="1"/>
        <v>5100</v>
      </c>
      <c r="K47" s="103"/>
    </row>
    <row r="48">
      <c r="G48" s="96" t="s">
        <v>91</v>
      </c>
      <c r="H48" s="96">
        <v>1.0</v>
      </c>
      <c r="I48" s="98">
        <v>100.0</v>
      </c>
      <c r="J48" s="88">
        <f t="shared" si="1"/>
        <v>100</v>
      </c>
      <c r="K48" s="103"/>
    </row>
    <row r="49">
      <c r="G49" s="97" t="s">
        <v>92</v>
      </c>
      <c r="H49" s="97">
        <v>12.0</v>
      </c>
      <c r="I49" s="99">
        <v>44.0</v>
      </c>
      <c r="J49" s="88">
        <f t="shared" si="1"/>
        <v>528</v>
      </c>
      <c r="K49" s="103"/>
    </row>
    <row r="50">
      <c r="G50" s="97" t="s">
        <v>93</v>
      </c>
      <c r="H50" s="97">
        <v>21.0</v>
      </c>
      <c r="I50" s="99">
        <v>44.0</v>
      </c>
      <c r="J50" s="88">
        <f t="shared" si="1"/>
        <v>924</v>
      </c>
      <c r="K50" s="103"/>
    </row>
    <row r="51">
      <c r="G51" s="97" t="s">
        <v>94</v>
      </c>
      <c r="H51" s="97">
        <v>18.0</v>
      </c>
      <c r="I51" s="99">
        <v>44.0</v>
      </c>
      <c r="J51" s="88">
        <f t="shared" si="1"/>
        <v>792</v>
      </c>
      <c r="K51" s="103"/>
    </row>
    <row r="52">
      <c r="G52" s="97" t="s">
        <v>95</v>
      </c>
      <c r="H52" s="97">
        <v>6.0</v>
      </c>
      <c r="I52" s="99">
        <v>44.0</v>
      </c>
      <c r="J52" s="88">
        <f t="shared" si="1"/>
        <v>264</v>
      </c>
      <c r="K52" s="103"/>
    </row>
    <row r="53">
      <c r="G53" s="97" t="s">
        <v>96</v>
      </c>
      <c r="H53" s="97">
        <v>12.0</v>
      </c>
      <c r="I53" s="99">
        <v>44.0</v>
      </c>
      <c r="J53" s="88">
        <f t="shared" si="1"/>
        <v>528</v>
      </c>
      <c r="K53" s="103"/>
    </row>
    <row r="54">
      <c r="G54" s="97" t="s">
        <v>97</v>
      </c>
      <c r="H54" s="97">
        <v>6.0</v>
      </c>
      <c r="I54" s="99">
        <v>44.0</v>
      </c>
      <c r="J54" s="88">
        <f t="shared" si="1"/>
        <v>264</v>
      </c>
      <c r="K54" s="103"/>
    </row>
    <row r="55">
      <c r="G55" s="96" t="s">
        <v>98</v>
      </c>
      <c r="H55" s="96">
        <v>24.0</v>
      </c>
      <c r="I55" s="98">
        <v>56.25</v>
      </c>
      <c r="J55" s="88">
        <f t="shared" si="1"/>
        <v>1350</v>
      </c>
      <c r="K55" s="103"/>
    </row>
    <row r="56">
      <c r="G56" s="96" t="s">
        <v>99</v>
      </c>
      <c r="H56" s="96">
        <v>48.0</v>
      </c>
      <c r="I56" s="98">
        <v>60.42</v>
      </c>
      <c r="J56" s="88">
        <f t="shared" si="1"/>
        <v>2900.16</v>
      </c>
      <c r="K56" s="103"/>
    </row>
    <row r="57">
      <c r="G57" s="96" t="s">
        <v>100</v>
      </c>
      <c r="H57" s="96">
        <v>24.0</v>
      </c>
      <c r="I57" s="98">
        <v>66.67</v>
      </c>
      <c r="J57" s="88">
        <f t="shared" si="1"/>
        <v>1600.08</v>
      </c>
      <c r="K57" s="103"/>
    </row>
    <row r="58">
      <c r="G58" s="97" t="s">
        <v>101</v>
      </c>
      <c r="H58" s="97">
        <v>2.0</v>
      </c>
      <c r="I58" s="99">
        <v>75.0</v>
      </c>
      <c r="J58" s="88">
        <f t="shared" si="1"/>
        <v>150</v>
      </c>
      <c r="K58" s="103"/>
    </row>
    <row r="59">
      <c r="G59" s="96" t="s">
        <v>102</v>
      </c>
      <c r="H59" s="97">
        <v>57.0</v>
      </c>
      <c r="I59" s="99">
        <v>72.0</v>
      </c>
      <c r="J59" s="88">
        <f t="shared" si="1"/>
        <v>4104</v>
      </c>
      <c r="K59" s="103"/>
    </row>
    <row r="60">
      <c r="G60" s="96" t="s">
        <v>103</v>
      </c>
      <c r="H60" s="96">
        <v>1.0</v>
      </c>
      <c r="I60" s="98">
        <v>900.0</v>
      </c>
      <c r="J60" s="88">
        <f t="shared" si="1"/>
        <v>900</v>
      </c>
      <c r="K60" s="89"/>
    </row>
    <row r="61">
      <c r="G61" s="96" t="s">
        <v>104</v>
      </c>
      <c r="H61" s="96">
        <v>1.0</v>
      </c>
      <c r="I61" s="98">
        <v>780.0</v>
      </c>
      <c r="J61" s="88">
        <f t="shared" si="1"/>
        <v>780</v>
      </c>
      <c r="K61" s="89"/>
    </row>
    <row r="62">
      <c r="G62" s="96" t="s">
        <v>105</v>
      </c>
      <c r="H62" s="96">
        <v>1.0</v>
      </c>
      <c r="I62" s="98">
        <v>860.0</v>
      </c>
      <c r="J62" s="88">
        <f t="shared" si="1"/>
        <v>860</v>
      </c>
      <c r="K62" s="89"/>
    </row>
    <row r="63">
      <c r="G63" s="96" t="s">
        <v>106</v>
      </c>
      <c r="H63" s="96">
        <v>1.0</v>
      </c>
      <c r="I63" s="98">
        <v>950.0</v>
      </c>
      <c r="J63" s="88">
        <f t="shared" si="1"/>
        <v>950</v>
      </c>
      <c r="K63" s="89"/>
    </row>
    <row r="64">
      <c r="G64" s="96" t="s">
        <v>107</v>
      </c>
      <c r="H64" s="96">
        <v>1.0</v>
      </c>
      <c r="I64" s="98">
        <v>460.0</v>
      </c>
      <c r="J64" s="88">
        <f t="shared" si="1"/>
        <v>460</v>
      </c>
      <c r="K64" s="89"/>
    </row>
    <row r="65">
      <c r="G65" s="90" t="s">
        <v>108</v>
      </c>
      <c r="H65" s="90">
        <v>240.0</v>
      </c>
      <c r="I65" s="91">
        <v>17.0</v>
      </c>
      <c r="J65" s="88">
        <f t="shared" si="1"/>
        <v>4080</v>
      </c>
      <c r="K65" s="89"/>
    </row>
    <row r="66">
      <c r="G66" s="90" t="s">
        <v>109</v>
      </c>
      <c r="H66" s="90">
        <v>267.0</v>
      </c>
      <c r="I66" s="91">
        <v>43.0</v>
      </c>
      <c r="J66" s="88">
        <f t="shared" si="1"/>
        <v>11481</v>
      </c>
      <c r="K66" s="89"/>
    </row>
    <row r="67">
      <c r="G67" s="90" t="s">
        <v>84</v>
      </c>
      <c r="H67" s="90">
        <v>3.0</v>
      </c>
      <c r="I67" s="91">
        <v>600.0</v>
      </c>
      <c r="J67" s="88">
        <f t="shared" si="1"/>
        <v>1800</v>
      </c>
      <c r="K67" s="89"/>
    </row>
    <row r="68">
      <c r="G68" s="90" t="s">
        <v>110</v>
      </c>
      <c r="H68" s="90">
        <v>20.0</v>
      </c>
      <c r="I68" s="91">
        <v>140.0</v>
      </c>
      <c r="J68" s="88">
        <f t="shared" si="1"/>
        <v>2800</v>
      </c>
      <c r="K68" s="89"/>
    </row>
    <row r="69">
      <c r="G69" s="90" t="s">
        <v>111</v>
      </c>
      <c r="H69" s="90">
        <v>20.0</v>
      </c>
      <c r="I69" s="91">
        <v>600.0</v>
      </c>
      <c r="J69" s="88">
        <f t="shared" si="1"/>
        <v>12000</v>
      </c>
      <c r="K69" s="89"/>
    </row>
    <row r="70">
      <c r="G70" s="92" t="s">
        <v>112</v>
      </c>
      <c r="H70" s="92">
        <v>1.0</v>
      </c>
      <c r="I70" s="94">
        <v>2550.0</v>
      </c>
      <c r="J70" s="88">
        <f t="shared" si="1"/>
        <v>2550</v>
      </c>
      <c r="K70" s="89"/>
    </row>
    <row r="71">
      <c r="G71" s="92" t="s">
        <v>113</v>
      </c>
      <c r="H71" s="92">
        <v>1.0</v>
      </c>
      <c r="I71" s="11">
        <v>2650.0</v>
      </c>
      <c r="J71" s="88">
        <f t="shared" si="1"/>
        <v>2650</v>
      </c>
      <c r="K71" s="89"/>
    </row>
    <row r="72">
      <c r="G72" s="92" t="s">
        <v>114</v>
      </c>
      <c r="H72" s="93">
        <v>76.0</v>
      </c>
      <c r="I72" s="11">
        <v>28.0</v>
      </c>
      <c r="J72" s="88">
        <f t="shared" si="1"/>
        <v>2128</v>
      </c>
      <c r="K72" s="89"/>
    </row>
    <row r="73">
      <c r="G73" s="92" t="s">
        <v>115</v>
      </c>
      <c r="H73" s="92">
        <v>63.0</v>
      </c>
      <c r="I73" s="11">
        <v>40.0</v>
      </c>
      <c r="J73" s="88">
        <f t="shared" si="1"/>
        <v>2520</v>
      </c>
      <c r="K73" s="89"/>
    </row>
    <row r="74">
      <c r="G74" s="92" t="s">
        <v>116</v>
      </c>
      <c r="H74" s="92">
        <v>48.0</v>
      </c>
      <c r="I74" s="11">
        <v>25.0</v>
      </c>
      <c r="J74" s="88">
        <f t="shared" si="1"/>
        <v>1200</v>
      </c>
      <c r="K74" s="89"/>
    </row>
    <row r="75">
      <c r="G75" s="104" t="s">
        <v>117</v>
      </c>
      <c r="H75" s="104">
        <v>18.0</v>
      </c>
      <c r="I75" s="105">
        <v>450.0</v>
      </c>
      <c r="J75" s="88">
        <f t="shared" si="1"/>
        <v>8100</v>
      </c>
      <c r="K75" s="89"/>
    </row>
    <row r="76">
      <c r="G76" s="90" t="s">
        <v>118</v>
      </c>
      <c r="H76" s="90">
        <v>9.0</v>
      </c>
      <c r="I76" s="91">
        <v>450.0</v>
      </c>
      <c r="J76" s="88">
        <f t="shared" si="1"/>
        <v>4050</v>
      </c>
      <c r="K76" s="89"/>
    </row>
    <row r="77">
      <c r="G77" s="90" t="s">
        <v>119</v>
      </c>
      <c r="H77" s="90">
        <v>10.0</v>
      </c>
      <c r="I77" s="91">
        <v>790.0</v>
      </c>
      <c r="J77" s="88">
        <f t="shared" si="1"/>
        <v>7900</v>
      </c>
      <c r="K77" s="89"/>
    </row>
    <row r="78">
      <c r="G78" s="90" t="s">
        <v>119</v>
      </c>
      <c r="H78" s="90">
        <v>6.0</v>
      </c>
      <c r="I78" s="91">
        <v>790.0</v>
      </c>
      <c r="J78" s="88">
        <f t="shared" si="1"/>
        <v>4740</v>
      </c>
      <c r="K78" s="89"/>
    </row>
    <row r="79">
      <c r="G79" s="90" t="s">
        <v>120</v>
      </c>
      <c r="H79" s="90">
        <v>30.0</v>
      </c>
      <c r="I79" s="91">
        <v>140.0</v>
      </c>
      <c r="J79" s="88">
        <f t="shared" si="1"/>
        <v>4200</v>
      </c>
      <c r="K79" s="89"/>
    </row>
    <row r="80">
      <c r="G80" s="90" t="s">
        <v>120</v>
      </c>
      <c r="H80" s="90">
        <v>14.0</v>
      </c>
      <c r="I80" s="91">
        <v>140.0</v>
      </c>
      <c r="J80" s="88">
        <f t="shared" si="1"/>
        <v>1960</v>
      </c>
      <c r="K80" s="89"/>
    </row>
    <row r="81">
      <c r="G81" s="93" t="s">
        <v>121</v>
      </c>
      <c r="H81" s="93">
        <v>12.0</v>
      </c>
      <c r="I81" s="95">
        <v>950.0</v>
      </c>
      <c r="J81" s="88">
        <f t="shared" si="1"/>
        <v>11400</v>
      </c>
      <c r="K81" s="89"/>
    </row>
    <row r="82">
      <c r="G82" s="92" t="s">
        <v>121</v>
      </c>
      <c r="H82" s="93">
        <v>3.0</v>
      </c>
      <c r="I82" s="94">
        <v>900.0</v>
      </c>
      <c r="J82" s="88">
        <f t="shared" si="1"/>
        <v>2700</v>
      </c>
      <c r="K82" s="89"/>
    </row>
    <row r="83">
      <c r="G83" s="92" t="s">
        <v>122</v>
      </c>
      <c r="H83" s="92">
        <v>0.75</v>
      </c>
      <c r="I83" s="11">
        <v>800.0</v>
      </c>
      <c r="J83" s="88">
        <f t="shared" si="1"/>
        <v>600</v>
      </c>
      <c r="K83" s="89"/>
    </row>
    <row r="84">
      <c r="G84" s="90" t="s">
        <v>123</v>
      </c>
      <c r="H84" s="90">
        <v>1.0</v>
      </c>
      <c r="I84" s="91">
        <v>200.0</v>
      </c>
      <c r="J84" s="88">
        <f t="shared" si="1"/>
        <v>200</v>
      </c>
      <c r="K84" s="89"/>
    </row>
    <row r="85">
      <c r="G85" s="90" t="s">
        <v>124</v>
      </c>
      <c r="H85" s="90">
        <v>125.0</v>
      </c>
      <c r="I85" s="91">
        <v>60.0</v>
      </c>
      <c r="J85" s="88">
        <f t="shared" si="1"/>
        <v>7500</v>
      </c>
      <c r="K85" s="89"/>
    </row>
    <row r="86">
      <c r="G86" s="90" t="s">
        <v>125</v>
      </c>
      <c r="H86" s="90">
        <v>1.0</v>
      </c>
      <c r="I86" s="91">
        <v>1000.0</v>
      </c>
      <c r="J86" s="88">
        <f t="shared" si="1"/>
        <v>1000</v>
      </c>
      <c r="K86" s="106">
        <v>45966.0</v>
      </c>
    </row>
    <row r="87">
      <c r="G87" s="90" t="s">
        <v>126</v>
      </c>
      <c r="H87" s="90">
        <v>1.0</v>
      </c>
      <c r="I87" s="91">
        <v>500.0</v>
      </c>
      <c r="J87" s="88">
        <f t="shared" si="1"/>
        <v>500</v>
      </c>
      <c r="K87" s="90" t="s">
        <v>127</v>
      </c>
    </row>
    <row r="88">
      <c r="G88" s="90" t="s">
        <v>128</v>
      </c>
      <c r="H88" s="90">
        <v>1.0</v>
      </c>
      <c r="I88" s="91">
        <v>160.0</v>
      </c>
      <c r="J88" s="88">
        <f t="shared" si="1"/>
        <v>160</v>
      </c>
      <c r="K88" s="89"/>
    </row>
    <row r="89">
      <c r="G89" s="90" t="s">
        <v>129</v>
      </c>
      <c r="H89" s="90">
        <v>42.0</v>
      </c>
      <c r="I89" s="91">
        <v>176.0</v>
      </c>
      <c r="J89" s="88">
        <f t="shared" si="1"/>
        <v>7392</v>
      </c>
      <c r="K89" s="89"/>
    </row>
    <row r="90">
      <c r="G90" s="92" t="s">
        <v>130</v>
      </c>
      <c r="H90" s="92">
        <v>24.0</v>
      </c>
      <c r="I90" s="94">
        <v>65.0</v>
      </c>
      <c r="J90" s="88">
        <f t="shared" si="1"/>
        <v>1560</v>
      </c>
      <c r="K90" s="89"/>
    </row>
    <row r="91">
      <c r="G91" s="92" t="s">
        <v>131</v>
      </c>
      <c r="H91" s="93">
        <v>21.0</v>
      </c>
      <c r="I91" s="94">
        <v>245.0</v>
      </c>
      <c r="J91" s="88">
        <f t="shared" si="1"/>
        <v>5145</v>
      </c>
      <c r="K91" s="89"/>
    </row>
    <row r="92">
      <c r="G92" s="90" t="s">
        <v>132</v>
      </c>
      <c r="H92" s="90">
        <v>10.0</v>
      </c>
      <c r="I92" s="91">
        <v>282.0</v>
      </c>
      <c r="J92" s="88">
        <f t="shared" si="1"/>
        <v>2820</v>
      </c>
      <c r="K92" s="89"/>
    </row>
    <row r="93">
      <c r="G93" s="90" t="s">
        <v>133</v>
      </c>
      <c r="H93" s="90">
        <v>7.0</v>
      </c>
      <c r="I93" s="91">
        <v>351.0</v>
      </c>
      <c r="J93" s="88">
        <f t="shared" si="1"/>
        <v>2457</v>
      </c>
      <c r="K93" s="89"/>
    </row>
    <row r="94">
      <c r="G94" s="90" t="s">
        <v>134</v>
      </c>
      <c r="H94" s="90">
        <v>3.0</v>
      </c>
      <c r="I94" s="91">
        <v>2300.0</v>
      </c>
      <c r="J94" s="88">
        <f t="shared" si="1"/>
        <v>6900</v>
      </c>
      <c r="K94" s="89"/>
    </row>
    <row r="95">
      <c r="G95" s="93" t="s">
        <v>134</v>
      </c>
      <c r="H95" s="93">
        <v>20.0</v>
      </c>
      <c r="I95" s="95">
        <v>2420.0</v>
      </c>
      <c r="J95" s="88">
        <f t="shared" si="1"/>
        <v>48400</v>
      </c>
      <c r="K95" s="89"/>
    </row>
    <row r="96">
      <c r="G96" s="92" t="s">
        <v>135</v>
      </c>
      <c r="H96" s="92">
        <v>1.5</v>
      </c>
      <c r="I96" s="94">
        <v>550.0</v>
      </c>
      <c r="J96" s="88">
        <f t="shared" si="1"/>
        <v>825</v>
      </c>
      <c r="K96" s="89"/>
    </row>
    <row r="97">
      <c r="G97" s="92" t="s">
        <v>136</v>
      </c>
      <c r="H97" s="92">
        <v>1.0</v>
      </c>
      <c r="I97" s="95">
        <v>600.0</v>
      </c>
      <c r="J97" s="88">
        <f t="shared" si="1"/>
        <v>600</v>
      </c>
      <c r="K97" s="89"/>
    </row>
    <row r="98">
      <c r="G98" s="92" t="s">
        <v>137</v>
      </c>
      <c r="H98" s="93">
        <v>1.0</v>
      </c>
      <c r="I98" s="94">
        <v>650.0</v>
      </c>
      <c r="J98" s="88">
        <f t="shared" si="1"/>
        <v>650</v>
      </c>
      <c r="K98" s="89"/>
    </row>
    <row r="99">
      <c r="G99" s="92" t="s">
        <v>138</v>
      </c>
      <c r="H99" s="93">
        <v>50.0</v>
      </c>
      <c r="I99" s="94">
        <v>10.9</v>
      </c>
      <c r="J99" s="88">
        <f t="shared" si="1"/>
        <v>545</v>
      </c>
      <c r="K99" s="89"/>
    </row>
    <row r="100">
      <c r="G100" s="92" t="s">
        <v>139</v>
      </c>
      <c r="H100" s="93">
        <v>100.0</v>
      </c>
      <c r="I100" s="95">
        <v>10.5</v>
      </c>
      <c r="J100" s="88">
        <f t="shared" si="1"/>
        <v>1050</v>
      </c>
      <c r="K100" s="89"/>
    </row>
    <row r="101">
      <c r="G101" s="104" t="s">
        <v>79</v>
      </c>
      <c r="H101" s="104">
        <v>180.0</v>
      </c>
      <c r="I101" s="105">
        <v>73.0</v>
      </c>
      <c r="J101" s="88">
        <f t="shared" si="1"/>
        <v>13140</v>
      </c>
      <c r="K101" s="89"/>
    </row>
    <row r="102">
      <c r="G102" s="104" t="s">
        <v>140</v>
      </c>
      <c r="H102" s="104">
        <v>9.0</v>
      </c>
      <c r="I102" s="105">
        <v>89.0</v>
      </c>
      <c r="J102" s="88">
        <f t="shared" si="1"/>
        <v>801</v>
      </c>
      <c r="K102" s="90" t="s">
        <v>141</v>
      </c>
    </row>
    <row r="103">
      <c r="G103" s="104" t="s">
        <v>142</v>
      </c>
      <c r="H103" s="104">
        <v>8.15</v>
      </c>
      <c r="I103" s="105">
        <v>1750.0</v>
      </c>
      <c r="J103" s="88">
        <f t="shared" si="1"/>
        <v>14262.5</v>
      </c>
      <c r="K103" s="89"/>
    </row>
    <row r="104">
      <c r="G104" s="104" t="s">
        <v>143</v>
      </c>
      <c r="H104" s="104">
        <v>2.0</v>
      </c>
      <c r="I104" s="105">
        <v>1000.0</v>
      </c>
      <c r="J104" s="88">
        <f t="shared" si="1"/>
        <v>2000</v>
      </c>
      <c r="K104" s="89"/>
    </row>
    <row r="105">
      <c r="G105" s="104" t="s">
        <v>144</v>
      </c>
      <c r="H105" s="104">
        <v>10.0</v>
      </c>
      <c r="I105" s="105">
        <v>340.0</v>
      </c>
      <c r="J105" s="88">
        <f t="shared" si="1"/>
        <v>3400</v>
      </c>
      <c r="K105" s="89"/>
    </row>
    <row r="106">
      <c r="G106" s="104" t="s">
        <v>145</v>
      </c>
      <c r="H106" s="104">
        <v>12.0</v>
      </c>
      <c r="I106" s="105">
        <v>235.0</v>
      </c>
      <c r="J106" s="88">
        <f t="shared" si="1"/>
        <v>2820</v>
      </c>
      <c r="K106" s="89"/>
    </row>
    <row r="107">
      <c r="G107" s="104" t="s">
        <v>146</v>
      </c>
      <c r="H107" s="104">
        <v>12.0</v>
      </c>
      <c r="I107" s="105">
        <v>310.0</v>
      </c>
      <c r="J107" s="88">
        <f t="shared" si="1"/>
        <v>3720</v>
      </c>
      <c r="K107" s="89"/>
    </row>
    <row r="108">
      <c r="G108" s="104" t="s">
        <v>84</v>
      </c>
      <c r="H108" s="104">
        <v>5.0</v>
      </c>
      <c r="I108" s="105">
        <v>580.0</v>
      </c>
      <c r="J108" s="88">
        <f t="shared" si="1"/>
        <v>2900</v>
      </c>
      <c r="K108" s="89"/>
    </row>
    <row r="109">
      <c r="G109" s="107" t="s">
        <v>147</v>
      </c>
      <c r="H109" s="107">
        <v>1.0</v>
      </c>
      <c r="I109" s="108">
        <v>100.0</v>
      </c>
      <c r="J109" s="109">
        <f t="shared" si="1"/>
        <v>100</v>
      </c>
      <c r="K109" s="110"/>
    </row>
    <row r="110">
      <c r="G110" s="107" t="s">
        <v>148</v>
      </c>
      <c r="H110" s="107">
        <v>2.0</v>
      </c>
      <c r="I110" s="108">
        <v>100.0</v>
      </c>
      <c r="J110" s="109">
        <f t="shared" si="1"/>
        <v>200</v>
      </c>
      <c r="K110" s="110"/>
    </row>
    <row r="111">
      <c r="G111" s="107" t="s">
        <v>149</v>
      </c>
      <c r="H111" s="107">
        <v>1.0</v>
      </c>
      <c r="I111" s="108">
        <v>250.0</v>
      </c>
      <c r="J111" s="109">
        <f t="shared" si="1"/>
        <v>250</v>
      </c>
      <c r="K111" s="110"/>
    </row>
    <row r="112">
      <c r="G112" s="107" t="s">
        <v>150</v>
      </c>
      <c r="H112" s="107">
        <v>1.0</v>
      </c>
      <c r="I112" s="108">
        <v>100.0</v>
      </c>
      <c r="J112" s="109">
        <f t="shared" si="1"/>
        <v>100</v>
      </c>
      <c r="K112" s="110"/>
    </row>
    <row r="113">
      <c r="G113" s="107" t="s">
        <v>151</v>
      </c>
      <c r="H113" s="107">
        <v>3.0</v>
      </c>
      <c r="I113" s="108">
        <v>100.0</v>
      </c>
      <c r="J113" s="109">
        <f t="shared" si="1"/>
        <v>300</v>
      </c>
      <c r="K113" s="110"/>
    </row>
    <row r="114">
      <c r="G114" s="107" t="s">
        <v>152</v>
      </c>
      <c r="H114" s="107">
        <v>3.0</v>
      </c>
      <c r="I114" s="108">
        <v>100.0</v>
      </c>
      <c r="J114" s="109">
        <f t="shared" si="1"/>
        <v>300</v>
      </c>
      <c r="K114" s="110"/>
    </row>
    <row r="115">
      <c r="G115" s="107" t="s">
        <v>153</v>
      </c>
      <c r="H115" s="107">
        <v>1.0</v>
      </c>
      <c r="I115" s="108">
        <v>730.0</v>
      </c>
      <c r="J115" s="109">
        <f t="shared" si="1"/>
        <v>730</v>
      </c>
      <c r="K115" s="110"/>
    </row>
    <row r="116">
      <c r="G116" s="111" t="s">
        <v>154</v>
      </c>
      <c r="H116" s="111">
        <v>7.4</v>
      </c>
      <c r="I116" s="112">
        <v>1350.0</v>
      </c>
      <c r="J116" s="113">
        <f t="shared" si="1"/>
        <v>9990</v>
      </c>
      <c r="K116" s="114" t="s">
        <v>155</v>
      </c>
    </row>
    <row r="117">
      <c r="G117" s="111" t="s">
        <v>156</v>
      </c>
      <c r="H117" s="111">
        <v>3.0</v>
      </c>
      <c r="I117" s="112">
        <v>1200.0</v>
      </c>
      <c r="J117" s="113">
        <f t="shared" si="1"/>
        <v>3600</v>
      </c>
      <c r="K117" s="102"/>
    </row>
    <row r="118">
      <c r="G118" s="111" t="s">
        <v>157</v>
      </c>
      <c r="H118" s="111">
        <v>0.75</v>
      </c>
      <c r="I118" s="112">
        <v>2450.0</v>
      </c>
      <c r="J118" s="113">
        <f t="shared" si="1"/>
        <v>1837.5</v>
      </c>
      <c r="K118" s="102"/>
    </row>
    <row r="119">
      <c r="G119" s="111" t="s">
        <v>158</v>
      </c>
      <c r="H119" s="111">
        <v>4.0</v>
      </c>
      <c r="I119" s="112">
        <v>750.0</v>
      </c>
      <c r="J119" s="113">
        <f t="shared" si="1"/>
        <v>3000</v>
      </c>
      <c r="K119" s="102"/>
    </row>
    <row r="120">
      <c r="G120" s="111" t="s">
        <v>159</v>
      </c>
      <c r="H120" s="111">
        <v>7.0</v>
      </c>
      <c r="I120" s="112">
        <v>30.0</v>
      </c>
      <c r="J120" s="113">
        <f t="shared" si="1"/>
        <v>210</v>
      </c>
      <c r="K120" s="102"/>
    </row>
    <row r="121">
      <c r="G121" s="111" t="s">
        <v>160</v>
      </c>
      <c r="H121" s="111">
        <v>1.0</v>
      </c>
      <c r="I121" s="112">
        <v>100.0</v>
      </c>
      <c r="J121" s="113">
        <f t="shared" si="1"/>
        <v>100</v>
      </c>
      <c r="K121" s="102"/>
    </row>
    <row r="122">
      <c r="G122" s="111" t="s">
        <v>161</v>
      </c>
      <c r="H122" s="111">
        <v>4.0</v>
      </c>
      <c r="I122" s="112">
        <v>110.0</v>
      </c>
      <c r="J122" s="113">
        <f t="shared" si="1"/>
        <v>440</v>
      </c>
      <c r="K122" s="102"/>
    </row>
    <row r="123">
      <c r="G123" s="111" t="s">
        <v>151</v>
      </c>
      <c r="H123" s="111">
        <v>10.0</v>
      </c>
      <c r="I123" s="112">
        <v>100.0</v>
      </c>
      <c r="J123" s="113">
        <f t="shared" si="1"/>
        <v>1000</v>
      </c>
      <c r="K123" s="102"/>
    </row>
    <row r="124">
      <c r="G124" s="111" t="s">
        <v>162</v>
      </c>
      <c r="H124" s="111">
        <v>1.0</v>
      </c>
      <c r="I124" s="112">
        <v>450.0</v>
      </c>
      <c r="J124" s="113">
        <f t="shared" si="1"/>
        <v>450</v>
      </c>
      <c r="K124" s="43"/>
    </row>
    <row r="125">
      <c r="G125" s="107" t="s">
        <v>163</v>
      </c>
      <c r="H125" s="107">
        <v>1.75</v>
      </c>
      <c r="I125" s="108">
        <v>800.0</v>
      </c>
      <c r="J125" s="109">
        <f t="shared" si="1"/>
        <v>1400</v>
      </c>
      <c r="K125" s="110"/>
    </row>
    <row r="126">
      <c r="G126" s="107" t="s">
        <v>164</v>
      </c>
      <c r="H126" s="107">
        <v>1.0</v>
      </c>
      <c r="I126" s="108">
        <v>100.0</v>
      </c>
      <c r="J126" s="109">
        <f t="shared" si="1"/>
        <v>100</v>
      </c>
      <c r="K126" s="110"/>
    </row>
    <row r="127">
      <c r="G127" s="107" t="s">
        <v>165</v>
      </c>
      <c r="H127" s="107">
        <v>1.0</v>
      </c>
      <c r="I127" s="108">
        <v>250.0</v>
      </c>
      <c r="J127" s="109">
        <f t="shared" si="1"/>
        <v>250</v>
      </c>
      <c r="K127" s="110"/>
    </row>
    <row r="128">
      <c r="G128" s="107" t="s">
        <v>166</v>
      </c>
      <c r="H128" s="107">
        <v>1.0</v>
      </c>
      <c r="I128" s="108">
        <v>1500.0</v>
      </c>
      <c r="J128" s="109">
        <f t="shared" si="1"/>
        <v>1500</v>
      </c>
      <c r="K128" s="110"/>
    </row>
    <row r="129">
      <c r="G129" s="107" t="s">
        <v>167</v>
      </c>
      <c r="H129" s="107">
        <v>0.5</v>
      </c>
      <c r="I129" s="108">
        <v>200.0</v>
      </c>
      <c r="J129" s="109">
        <f t="shared" si="1"/>
        <v>100</v>
      </c>
      <c r="K129" s="110"/>
    </row>
    <row r="130">
      <c r="G130" s="107" t="s">
        <v>168</v>
      </c>
      <c r="H130" s="107">
        <v>0.6</v>
      </c>
      <c r="I130" s="108">
        <v>2450.0</v>
      </c>
      <c r="J130" s="109">
        <f t="shared" si="1"/>
        <v>1470</v>
      </c>
      <c r="K130" s="110"/>
    </row>
    <row r="131">
      <c r="G131" s="107" t="s">
        <v>151</v>
      </c>
      <c r="H131" s="107">
        <v>10.0</v>
      </c>
      <c r="I131" s="108">
        <v>120.0</v>
      </c>
      <c r="J131" s="109">
        <f t="shared" si="1"/>
        <v>1200</v>
      </c>
      <c r="K131" s="110"/>
    </row>
    <row r="132">
      <c r="G132" s="107" t="s">
        <v>169</v>
      </c>
      <c r="H132" s="107">
        <v>4.0</v>
      </c>
      <c r="I132" s="108">
        <v>200.0</v>
      </c>
      <c r="J132" s="109">
        <f t="shared" si="1"/>
        <v>800</v>
      </c>
      <c r="K132" s="110"/>
    </row>
    <row r="133">
      <c r="G133" s="107" t="s">
        <v>170</v>
      </c>
      <c r="H133" s="107">
        <v>1.45</v>
      </c>
      <c r="I133" s="108">
        <v>700.0</v>
      </c>
      <c r="J133" s="109">
        <f t="shared" si="1"/>
        <v>1015</v>
      </c>
      <c r="K133" s="110"/>
    </row>
    <row r="134">
      <c r="G134" s="107" t="s">
        <v>171</v>
      </c>
      <c r="H134" s="107">
        <v>2.0</v>
      </c>
      <c r="I134" s="108">
        <v>200.0</v>
      </c>
      <c r="J134" s="109">
        <f t="shared" si="1"/>
        <v>400</v>
      </c>
      <c r="K134" s="110"/>
    </row>
    <row r="135">
      <c r="G135" s="107" t="s">
        <v>172</v>
      </c>
      <c r="H135" s="107">
        <v>1.0</v>
      </c>
      <c r="I135" s="108">
        <v>150.0</v>
      </c>
      <c r="J135" s="109">
        <f t="shared" si="1"/>
        <v>150</v>
      </c>
      <c r="K135" s="110"/>
    </row>
    <row r="136">
      <c r="G136" s="107" t="s">
        <v>173</v>
      </c>
      <c r="H136" s="107">
        <v>1.0</v>
      </c>
      <c r="I136" s="108">
        <v>150.0</v>
      </c>
      <c r="J136" s="109">
        <f t="shared" si="1"/>
        <v>150</v>
      </c>
      <c r="K136" s="110"/>
    </row>
    <row r="137">
      <c r="G137" s="107" t="s">
        <v>174</v>
      </c>
      <c r="H137" s="107">
        <v>1.5</v>
      </c>
      <c r="I137" s="108">
        <v>140.0</v>
      </c>
      <c r="J137" s="109">
        <f t="shared" si="1"/>
        <v>210</v>
      </c>
      <c r="K137" s="110"/>
    </row>
    <row r="138">
      <c r="G138" s="107" t="s">
        <v>175</v>
      </c>
      <c r="H138" s="107">
        <v>0.75</v>
      </c>
      <c r="I138" s="108">
        <v>2100.0</v>
      </c>
      <c r="J138" s="109">
        <f t="shared" si="1"/>
        <v>1575</v>
      </c>
      <c r="K138" s="110"/>
    </row>
    <row r="139">
      <c r="G139" s="107" t="s">
        <v>176</v>
      </c>
      <c r="H139" s="107">
        <v>1.0</v>
      </c>
      <c r="I139" s="108">
        <v>70.0</v>
      </c>
      <c r="J139" s="109">
        <f t="shared" si="1"/>
        <v>70</v>
      </c>
      <c r="K139" s="110"/>
    </row>
    <row r="140">
      <c r="G140" s="107" t="s">
        <v>177</v>
      </c>
      <c r="H140" s="107">
        <v>1.0</v>
      </c>
      <c r="I140" s="108">
        <v>30.0</v>
      </c>
      <c r="J140" s="109">
        <f t="shared" si="1"/>
        <v>30</v>
      </c>
      <c r="K140" s="110"/>
    </row>
    <row r="141">
      <c r="G141" s="107" t="s">
        <v>144</v>
      </c>
      <c r="H141" s="107">
        <v>4.0</v>
      </c>
      <c r="I141" s="108">
        <v>250.0</v>
      </c>
      <c r="J141" s="109">
        <f t="shared" si="1"/>
        <v>1000</v>
      </c>
      <c r="K141" s="110"/>
    </row>
    <row r="142">
      <c r="G142" s="107" t="s">
        <v>178</v>
      </c>
      <c r="H142" s="107">
        <v>1.0</v>
      </c>
      <c r="I142" s="108">
        <v>550.0</v>
      </c>
      <c r="J142" s="109">
        <f t="shared" si="1"/>
        <v>550</v>
      </c>
      <c r="K142" s="110"/>
    </row>
    <row r="143">
      <c r="G143" s="107" t="s">
        <v>179</v>
      </c>
      <c r="H143" s="107">
        <v>1.0</v>
      </c>
      <c r="I143" s="108">
        <v>100.0</v>
      </c>
      <c r="J143" s="109">
        <f t="shared" si="1"/>
        <v>100</v>
      </c>
      <c r="K143" s="110"/>
    </row>
    <row r="144">
      <c r="G144" s="107" t="s">
        <v>180</v>
      </c>
      <c r="H144" s="107">
        <v>1.0</v>
      </c>
      <c r="I144" s="108">
        <v>150.0</v>
      </c>
      <c r="J144" s="109">
        <f t="shared" si="1"/>
        <v>150</v>
      </c>
      <c r="K144" s="110"/>
    </row>
    <row r="145">
      <c r="G145" s="115" t="s">
        <v>181</v>
      </c>
      <c r="H145" s="115">
        <v>160.0</v>
      </c>
      <c r="I145" s="116"/>
      <c r="J145" s="117">
        <f t="shared" si="1"/>
        <v>0</v>
      </c>
      <c r="K145" s="118" t="s">
        <v>182</v>
      </c>
    </row>
    <row r="146">
      <c r="G146" s="107" t="s">
        <v>171</v>
      </c>
      <c r="H146" s="107">
        <v>4.0</v>
      </c>
      <c r="I146" s="108">
        <v>170.0</v>
      </c>
      <c r="J146" s="109">
        <f t="shared" si="1"/>
        <v>680</v>
      </c>
      <c r="K146" s="110"/>
    </row>
    <row r="147">
      <c r="G147" s="107" t="s">
        <v>183</v>
      </c>
      <c r="H147" s="107">
        <v>2.0</v>
      </c>
      <c r="I147" s="108">
        <v>170.0</v>
      </c>
      <c r="J147" s="109">
        <f t="shared" si="1"/>
        <v>340</v>
      </c>
      <c r="K147" s="110"/>
    </row>
    <row r="148">
      <c r="G148" s="107" t="s">
        <v>184</v>
      </c>
      <c r="H148" s="107">
        <v>1.0</v>
      </c>
      <c r="I148" s="108">
        <v>1500.0</v>
      </c>
      <c r="J148" s="109">
        <f t="shared" si="1"/>
        <v>1500</v>
      </c>
      <c r="K148" s="110"/>
    </row>
    <row r="149">
      <c r="G149" s="107" t="s">
        <v>185</v>
      </c>
      <c r="H149" s="107">
        <v>6.0</v>
      </c>
      <c r="I149" s="108">
        <v>100.0</v>
      </c>
      <c r="J149" s="109">
        <f t="shared" si="1"/>
        <v>600</v>
      </c>
      <c r="K149" s="110"/>
    </row>
    <row r="150">
      <c r="G150" s="107" t="s">
        <v>186</v>
      </c>
      <c r="H150" s="107">
        <v>1.0</v>
      </c>
      <c r="I150" s="108">
        <v>290.0</v>
      </c>
      <c r="J150" s="109">
        <f t="shared" si="1"/>
        <v>290</v>
      </c>
      <c r="K150" s="110"/>
    </row>
    <row r="151">
      <c r="G151" s="107" t="s">
        <v>187</v>
      </c>
      <c r="H151" s="107">
        <v>1.5</v>
      </c>
      <c r="I151" s="108">
        <v>140.0</v>
      </c>
      <c r="J151" s="109">
        <f t="shared" si="1"/>
        <v>210</v>
      </c>
      <c r="K151" s="110"/>
    </row>
    <row r="152">
      <c r="G152" s="107" t="s">
        <v>188</v>
      </c>
      <c r="H152" s="107">
        <v>1.0</v>
      </c>
      <c r="I152" s="108">
        <v>450.0</v>
      </c>
      <c r="J152" s="109">
        <f t="shared" si="1"/>
        <v>450</v>
      </c>
      <c r="K152" s="110"/>
    </row>
    <row r="153">
      <c r="G153" s="107" t="s">
        <v>189</v>
      </c>
      <c r="H153" s="107">
        <v>1.0</v>
      </c>
      <c r="I153" s="108">
        <v>200.0</v>
      </c>
      <c r="J153" s="109">
        <f t="shared" si="1"/>
        <v>200</v>
      </c>
      <c r="K153" s="110"/>
    </row>
    <row r="154">
      <c r="G154" s="107" t="s">
        <v>190</v>
      </c>
      <c r="H154" s="107">
        <v>1.0</v>
      </c>
      <c r="I154" s="108">
        <v>100.0</v>
      </c>
      <c r="J154" s="109">
        <f t="shared" si="1"/>
        <v>100</v>
      </c>
      <c r="K154" s="110"/>
    </row>
    <row r="155">
      <c r="G155" s="107" t="s">
        <v>191</v>
      </c>
      <c r="H155" s="107">
        <v>1.0</v>
      </c>
      <c r="I155" s="108">
        <v>150.0</v>
      </c>
      <c r="J155" s="109">
        <f t="shared" si="1"/>
        <v>150</v>
      </c>
      <c r="K155" s="110"/>
    </row>
    <row r="156">
      <c r="G156" s="107" t="s">
        <v>180</v>
      </c>
      <c r="H156" s="107">
        <v>3.0</v>
      </c>
      <c r="I156" s="108">
        <v>190.0</v>
      </c>
      <c r="J156" s="109">
        <f t="shared" si="1"/>
        <v>570</v>
      </c>
      <c r="K156" s="110"/>
    </row>
    <row r="157">
      <c r="G157" s="107" t="s">
        <v>192</v>
      </c>
      <c r="H157" s="107">
        <v>5.0</v>
      </c>
      <c r="I157" s="108">
        <v>50.0</v>
      </c>
      <c r="J157" s="109">
        <f t="shared" si="1"/>
        <v>250</v>
      </c>
      <c r="K157" s="110"/>
    </row>
    <row r="158">
      <c r="G158" s="107" t="s">
        <v>177</v>
      </c>
      <c r="H158" s="107">
        <v>3.0</v>
      </c>
      <c r="I158" s="108">
        <v>30.0</v>
      </c>
      <c r="J158" s="109">
        <f t="shared" si="1"/>
        <v>90</v>
      </c>
      <c r="K158" s="110"/>
    </row>
    <row r="159">
      <c r="G159" s="107" t="s">
        <v>193</v>
      </c>
      <c r="H159" s="107">
        <v>1.0</v>
      </c>
      <c r="I159" s="108">
        <v>30.0</v>
      </c>
      <c r="J159" s="109">
        <f t="shared" si="1"/>
        <v>30</v>
      </c>
      <c r="K159" s="110"/>
    </row>
    <row r="160">
      <c r="G160" s="115" t="s">
        <v>194</v>
      </c>
      <c r="H160" s="115">
        <v>20.0</v>
      </c>
      <c r="I160" s="116"/>
      <c r="J160" s="117">
        <f t="shared" si="1"/>
        <v>0</v>
      </c>
      <c r="K160" s="119"/>
    </row>
    <row r="161">
      <c r="G161" s="107" t="s">
        <v>195</v>
      </c>
      <c r="H161" s="107">
        <v>4.0</v>
      </c>
      <c r="I161" s="108">
        <v>750.0</v>
      </c>
      <c r="J161" s="109">
        <f t="shared" si="1"/>
        <v>3000</v>
      </c>
      <c r="K161" s="110"/>
    </row>
    <row r="162">
      <c r="G162" s="107" t="s">
        <v>167</v>
      </c>
      <c r="H162" s="107">
        <v>1.0</v>
      </c>
      <c r="I162" s="108">
        <v>100.0</v>
      </c>
      <c r="J162" s="109">
        <f t="shared" si="1"/>
        <v>100</v>
      </c>
      <c r="K162" s="110"/>
    </row>
    <row r="163">
      <c r="G163" s="107" t="s">
        <v>175</v>
      </c>
      <c r="H163" s="107">
        <v>1.5</v>
      </c>
      <c r="I163" s="108">
        <v>2100.0</v>
      </c>
      <c r="J163" s="109">
        <f t="shared" si="1"/>
        <v>3150</v>
      </c>
      <c r="K163" s="110"/>
    </row>
    <row r="164">
      <c r="G164" s="107" t="s">
        <v>196</v>
      </c>
      <c r="H164" s="107">
        <v>2.5</v>
      </c>
      <c r="I164" s="108">
        <v>750.0</v>
      </c>
      <c r="J164" s="109">
        <f t="shared" si="1"/>
        <v>1875</v>
      </c>
      <c r="K164" s="110"/>
    </row>
    <row r="165">
      <c r="G165" s="107" t="s">
        <v>197</v>
      </c>
      <c r="H165" s="107">
        <v>2.0</v>
      </c>
      <c r="I165" s="108">
        <v>500.0</v>
      </c>
      <c r="J165" s="109">
        <f t="shared" si="1"/>
        <v>1000</v>
      </c>
      <c r="K165" s="110"/>
    </row>
    <row r="166">
      <c r="G166" s="107" t="s">
        <v>198</v>
      </c>
      <c r="H166" s="107">
        <v>0.5</v>
      </c>
      <c r="I166" s="108">
        <v>350.0</v>
      </c>
      <c r="J166" s="109">
        <f t="shared" si="1"/>
        <v>175</v>
      </c>
      <c r="K166" s="110"/>
    </row>
    <row r="167">
      <c r="G167" s="107" t="s">
        <v>161</v>
      </c>
      <c r="H167" s="107">
        <v>9.0</v>
      </c>
      <c r="I167" s="108">
        <v>100.0</v>
      </c>
      <c r="J167" s="109">
        <f t="shared" si="1"/>
        <v>900</v>
      </c>
      <c r="K167" s="110"/>
    </row>
    <row r="168">
      <c r="G168" s="107" t="s">
        <v>199</v>
      </c>
      <c r="H168" s="107">
        <v>1.0</v>
      </c>
      <c r="I168" s="108">
        <v>250.0</v>
      </c>
      <c r="J168" s="109">
        <f t="shared" si="1"/>
        <v>250</v>
      </c>
      <c r="K168" s="110"/>
    </row>
    <row r="169">
      <c r="G169" s="107" t="s">
        <v>168</v>
      </c>
      <c r="H169" s="107">
        <v>2.0</v>
      </c>
      <c r="I169" s="108">
        <v>2450.0</v>
      </c>
      <c r="J169" s="109">
        <f t="shared" si="1"/>
        <v>4900</v>
      </c>
      <c r="K169" s="110"/>
    </row>
    <row r="170">
      <c r="G170" s="107" t="s">
        <v>156</v>
      </c>
      <c r="H170" s="107">
        <v>7.0</v>
      </c>
      <c r="I170" s="108">
        <v>1200.0</v>
      </c>
      <c r="J170" s="109">
        <f t="shared" si="1"/>
        <v>8400</v>
      </c>
      <c r="K170" s="110"/>
    </row>
    <row r="171">
      <c r="G171" s="107" t="s">
        <v>154</v>
      </c>
      <c r="H171" s="107">
        <v>9.0</v>
      </c>
      <c r="I171" s="108">
        <v>1350.0</v>
      </c>
      <c r="J171" s="109">
        <f t="shared" si="1"/>
        <v>12150</v>
      </c>
      <c r="K171" s="110"/>
    </row>
    <row r="172">
      <c r="G172" s="107" t="s">
        <v>200</v>
      </c>
      <c r="H172" s="107">
        <v>1.0</v>
      </c>
      <c r="I172" s="108">
        <v>380.0</v>
      </c>
      <c r="J172" s="109">
        <f t="shared" si="1"/>
        <v>380</v>
      </c>
      <c r="K172" s="110"/>
    </row>
    <row r="173">
      <c r="G173" s="107" t="s">
        <v>201</v>
      </c>
      <c r="H173" s="107">
        <v>3.0</v>
      </c>
      <c r="I173" s="108">
        <v>200.0</v>
      </c>
      <c r="J173" s="109">
        <f t="shared" si="1"/>
        <v>600</v>
      </c>
      <c r="K173" s="110"/>
    </row>
    <row r="174">
      <c r="G174" s="107" t="s">
        <v>202</v>
      </c>
      <c r="H174" s="107">
        <v>3.0</v>
      </c>
      <c r="I174" s="108">
        <v>200.0</v>
      </c>
      <c r="J174" s="109">
        <f t="shared" si="1"/>
        <v>600</v>
      </c>
      <c r="K174" s="110"/>
    </row>
    <row r="175">
      <c r="G175" s="107" t="s">
        <v>180</v>
      </c>
      <c r="H175" s="107">
        <v>1.0</v>
      </c>
      <c r="I175" s="108">
        <v>190.0</v>
      </c>
      <c r="J175" s="109">
        <f t="shared" si="1"/>
        <v>190</v>
      </c>
      <c r="K175" s="110"/>
    </row>
    <row r="176">
      <c r="G176" s="107" t="s">
        <v>203</v>
      </c>
      <c r="H176" s="107">
        <v>1.0</v>
      </c>
      <c r="I176" s="108">
        <v>600.0</v>
      </c>
      <c r="J176" s="109">
        <f t="shared" si="1"/>
        <v>600</v>
      </c>
      <c r="K176" s="110"/>
    </row>
    <row r="177">
      <c r="G177" s="107" t="s">
        <v>152</v>
      </c>
      <c r="H177" s="107">
        <v>3.0</v>
      </c>
      <c r="I177" s="108">
        <v>100.0</v>
      </c>
      <c r="J177" s="109">
        <f t="shared" si="1"/>
        <v>300</v>
      </c>
      <c r="K177" s="110"/>
    </row>
    <row r="178">
      <c r="G178" s="107" t="s">
        <v>151</v>
      </c>
      <c r="H178" s="107">
        <v>1.0</v>
      </c>
      <c r="I178" s="108">
        <v>200.0</v>
      </c>
      <c r="J178" s="109">
        <f t="shared" si="1"/>
        <v>200</v>
      </c>
      <c r="K178" s="110"/>
    </row>
    <row r="179">
      <c r="G179" s="107" t="s">
        <v>204</v>
      </c>
      <c r="H179" s="107">
        <v>20.0</v>
      </c>
      <c r="I179" s="108">
        <v>100.0</v>
      </c>
      <c r="J179" s="109">
        <f t="shared" si="1"/>
        <v>2000</v>
      </c>
      <c r="K179" s="110"/>
    </row>
    <row r="180">
      <c r="G180" s="107" t="s">
        <v>205</v>
      </c>
      <c r="H180" s="107">
        <v>1.0</v>
      </c>
      <c r="I180" s="108">
        <v>1200.0</v>
      </c>
      <c r="J180" s="109">
        <f t="shared" si="1"/>
        <v>1200</v>
      </c>
      <c r="K180" s="110"/>
    </row>
    <row r="181">
      <c r="G181" s="107" t="s">
        <v>206</v>
      </c>
      <c r="H181" s="107">
        <v>5.0</v>
      </c>
      <c r="I181" s="108">
        <v>250.0</v>
      </c>
      <c r="J181" s="109">
        <f t="shared" si="1"/>
        <v>1250</v>
      </c>
      <c r="K181" s="110"/>
    </row>
    <row r="182">
      <c r="G182" s="107" t="s">
        <v>207</v>
      </c>
      <c r="H182" s="107">
        <v>1.0</v>
      </c>
      <c r="I182" s="108">
        <v>150.0</v>
      </c>
      <c r="J182" s="109">
        <f t="shared" si="1"/>
        <v>150</v>
      </c>
      <c r="K182" s="110"/>
    </row>
    <row r="183">
      <c r="G183" s="107" t="s">
        <v>208</v>
      </c>
      <c r="H183" s="107">
        <v>6.0</v>
      </c>
      <c r="I183" s="108">
        <v>50.0</v>
      </c>
      <c r="J183" s="109">
        <f t="shared" si="1"/>
        <v>300</v>
      </c>
      <c r="K183" s="110"/>
    </row>
    <row r="184">
      <c r="G184" s="107" t="s">
        <v>208</v>
      </c>
      <c r="H184" s="107">
        <v>2.0</v>
      </c>
      <c r="I184" s="108">
        <v>150.0</v>
      </c>
      <c r="J184" s="109">
        <f t="shared" si="1"/>
        <v>300</v>
      </c>
      <c r="K184" s="120">
        <v>45969.0</v>
      </c>
    </row>
    <row r="185">
      <c r="G185" s="107" t="s">
        <v>209</v>
      </c>
      <c r="H185" s="107">
        <v>1.0</v>
      </c>
      <c r="I185" s="108">
        <v>40.0</v>
      </c>
      <c r="J185" s="109">
        <f t="shared" si="1"/>
        <v>40</v>
      </c>
      <c r="K185" s="110"/>
    </row>
    <row r="186">
      <c r="G186" s="107" t="s">
        <v>210</v>
      </c>
      <c r="H186" s="107">
        <v>6.0</v>
      </c>
      <c r="I186" s="108">
        <v>25.0</v>
      </c>
      <c r="J186" s="109">
        <f t="shared" si="1"/>
        <v>150</v>
      </c>
      <c r="K186" s="110"/>
    </row>
    <row r="187">
      <c r="G187" s="107" t="s">
        <v>211</v>
      </c>
      <c r="H187" s="107">
        <v>0.25</v>
      </c>
      <c r="I187" s="108">
        <v>1400.0</v>
      </c>
      <c r="J187" s="109">
        <f t="shared" si="1"/>
        <v>350</v>
      </c>
      <c r="K187" s="110"/>
    </row>
    <row r="188">
      <c r="G188" s="107" t="s">
        <v>180</v>
      </c>
      <c r="H188" s="107">
        <v>1.0</v>
      </c>
      <c r="I188" s="108">
        <v>50.0</v>
      </c>
      <c r="J188" s="109">
        <f t="shared" si="1"/>
        <v>50</v>
      </c>
      <c r="K188" s="110"/>
    </row>
    <row r="189">
      <c r="G189" s="107" t="s">
        <v>212</v>
      </c>
      <c r="H189" s="107">
        <v>0.4</v>
      </c>
      <c r="I189" s="108">
        <v>1400.0</v>
      </c>
      <c r="J189" s="109">
        <f t="shared" si="1"/>
        <v>560</v>
      </c>
      <c r="K189" s="110"/>
    </row>
    <row r="190">
      <c r="G190" s="107" t="s">
        <v>169</v>
      </c>
      <c r="H190" s="107">
        <v>3.0</v>
      </c>
      <c r="I190" s="108">
        <v>200.0</v>
      </c>
      <c r="J190" s="109">
        <f t="shared" si="1"/>
        <v>600</v>
      </c>
      <c r="K190" s="110"/>
    </row>
    <row r="191">
      <c r="G191" s="107" t="s">
        <v>213</v>
      </c>
      <c r="H191" s="107">
        <v>4.3</v>
      </c>
      <c r="I191" s="108">
        <v>700.0</v>
      </c>
      <c r="J191" s="109">
        <f t="shared" si="1"/>
        <v>3010</v>
      </c>
      <c r="K191" s="110"/>
    </row>
    <row r="192">
      <c r="G192" s="107" t="s">
        <v>214</v>
      </c>
      <c r="H192" s="107">
        <v>2.0</v>
      </c>
      <c r="I192" s="108">
        <v>2450.0</v>
      </c>
      <c r="J192" s="109">
        <f t="shared" si="1"/>
        <v>4900</v>
      </c>
      <c r="K192" s="110"/>
    </row>
    <row r="193">
      <c r="G193" s="107" t="s">
        <v>215</v>
      </c>
      <c r="H193" s="107">
        <v>1.0</v>
      </c>
      <c r="I193" s="108">
        <v>1000.0</v>
      </c>
      <c r="J193" s="109">
        <f t="shared" si="1"/>
        <v>1000</v>
      </c>
      <c r="K193" s="110"/>
    </row>
    <row r="194">
      <c r="G194" s="107" t="s">
        <v>204</v>
      </c>
      <c r="H194" s="107">
        <v>5.0</v>
      </c>
      <c r="I194" s="108">
        <v>100.0</v>
      </c>
      <c r="J194" s="109">
        <f t="shared" si="1"/>
        <v>500</v>
      </c>
      <c r="K194" s="110"/>
    </row>
    <row r="195">
      <c r="G195" s="107" t="s">
        <v>216</v>
      </c>
      <c r="H195" s="107">
        <v>2.0</v>
      </c>
      <c r="I195" s="108">
        <v>50.0</v>
      </c>
      <c r="J195" s="109">
        <f t="shared" si="1"/>
        <v>100</v>
      </c>
      <c r="K195" s="110"/>
    </row>
    <row r="196">
      <c r="G196" s="107" t="s">
        <v>217</v>
      </c>
      <c r="H196" s="107">
        <v>2.0</v>
      </c>
      <c r="I196" s="108">
        <v>100.0</v>
      </c>
      <c r="J196" s="109">
        <f t="shared" si="1"/>
        <v>200</v>
      </c>
      <c r="K196" s="110"/>
    </row>
    <row r="197">
      <c r="G197" s="107" t="s">
        <v>218</v>
      </c>
      <c r="H197" s="107">
        <v>1.0</v>
      </c>
      <c r="I197" s="108">
        <v>250.0</v>
      </c>
      <c r="J197" s="109">
        <f t="shared" si="1"/>
        <v>250</v>
      </c>
      <c r="K197" s="110"/>
    </row>
    <row r="198">
      <c r="G198" s="107" t="s">
        <v>219</v>
      </c>
      <c r="H198" s="107">
        <v>4.0</v>
      </c>
      <c r="I198" s="108">
        <v>220.0</v>
      </c>
      <c r="J198" s="109">
        <f t="shared" si="1"/>
        <v>880</v>
      </c>
      <c r="K198" s="110"/>
    </row>
    <row r="199">
      <c r="G199" s="107" t="s">
        <v>220</v>
      </c>
      <c r="H199" s="107">
        <v>1.0</v>
      </c>
      <c r="I199" s="108">
        <v>1000.0</v>
      </c>
      <c r="J199" s="109">
        <f t="shared" si="1"/>
        <v>1000</v>
      </c>
      <c r="K199" s="110"/>
    </row>
    <row r="200">
      <c r="G200" s="107" t="s">
        <v>204</v>
      </c>
      <c r="H200" s="107">
        <v>5.0</v>
      </c>
      <c r="I200" s="108">
        <v>100.0</v>
      </c>
      <c r="J200" s="109">
        <f t="shared" si="1"/>
        <v>500</v>
      </c>
      <c r="K200" s="110"/>
    </row>
    <row r="201">
      <c r="G201" s="107" t="s">
        <v>205</v>
      </c>
      <c r="H201" s="107">
        <v>2.0</v>
      </c>
      <c r="I201" s="108">
        <v>1200.0</v>
      </c>
      <c r="J201" s="109">
        <f t="shared" si="1"/>
        <v>2400</v>
      </c>
      <c r="K201" s="110"/>
    </row>
    <row r="202">
      <c r="G202" s="107" t="s">
        <v>169</v>
      </c>
      <c r="H202" s="107">
        <v>6.0</v>
      </c>
      <c r="I202" s="108">
        <v>170.0</v>
      </c>
      <c r="J202" s="109">
        <f t="shared" si="1"/>
        <v>1020</v>
      </c>
      <c r="K202" s="110"/>
    </row>
    <row r="203">
      <c r="G203" s="107" t="s">
        <v>171</v>
      </c>
      <c r="H203" s="107">
        <v>1.5</v>
      </c>
      <c r="I203" s="108">
        <v>200.0</v>
      </c>
      <c r="J203" s="109">
        <f t="shared" si="1"/>
        <v>300</v>
      </c>
      <c r="K203" s="110"/>
    </row>
    <row r="204">
      <c r="G204" s="107" t="s">
        <v>221</v>
      </c>
      <c r="H204" s="107">
        <v>2.4</v>
      </c>
      <c r="I204" s="108">
        <v>100.0</v>
      </c>
      <c r="J204" s="109">
        <f t="shared" si="1"/>
        <v>240</v>
      </c>
      <c r="K204" s="110"/>
    </row>
    <row r="205">
      <c r="G205" s="107" t="s">
        <v>216</v>
      </c>
      <c r="H205" s="107">
        <v>1.0</v>
      </c>
      <c r="I205" s="108">
        <v>60.0</v>
      </c>
      <c r="J205" s="109">
        <f t="shared" si="1"/>
        <v>60</v>
      </c>
      <c r="K205" s="110"/>
    </row>
    <row r="206">
      <c r="G206" s="107" t="s">
        <v>222</v>
      </c>
      <c r="H206" s="107">
        <v>1.0</v>
      </c>
      <c r="I206" s="108">
        <v>150.0</v>
      </c>
      <c r="J206" s="109">
        <f t="shared" si="1"/>
        <v>150</v>
      </c>
      <c r="K206" s="110"/>
    </row>
    <row r="207">
      <c r="G207" s="107" t="s">
        <v>223</v>
      </c>
      <c r="H207" s="107">
        <v>3.0</v>
      </c>
      <c r="I207" s="108">
        <v>180.0</v>
      </c>
      <c r="J207" s="109">
        <f t="shared" si="1"/>
        <v>540</v>
      </c>
      <c r="K207" s="110"/>
    </row>
    <row r="208">
      <c r="G208" s="107" t="s">
        <v>224</v>
      </c>
      <c r="H208" s="107">
        <v>1.0</v>
      </c>
      <c r="I208" s="108">
        <v>250.0</v>
      </c>
      <c r="J208" s="109">
        <f t="shared" si="1"/>
        <v>250</v>
      </c>
      <c r="K208" s="110"/>
    </row>
    <row r="209">
      <c r="G209" s="107" t="s">
        <v>218</v>
      </c>
      <c r="H209" s="107">
        <v>1.0</v>
      </c>
      <c r="I209" s="108">
        <v>250.0</v>
      </c>
      <c r="J209" s="109">
        <f t="shared" si="1"/>
        <v>250</v>
      </c>
      <c r="K209" s="110"/>
    </row>
    <row r="210">
      <c r="G210" s="107" t="s">
        <v>225</v>
      </c>
      <c r="H210" s="107">
        <v>0.25</v>
      </c>
      <c r="I210" s="108">
        <v>800.0</v>
      </c>
      <c r="J210" s="109">
        <f t="shared" si="1"/>
        <v>200</v>
      </c>
      <c r="K210" s="110"/>
    </row>
    <row r="211">
      <c r="G211" s="107" t="s">
        <v>226</v>
      </c>
      <c r="H211" s="107">
        <v>1.0</v>
      </c>
      <c r="I211" s="108">
        <v>700.0</v>
      </c>
      <c r="J211" s="109">
        <f t="shared" si="1"/>
        <v>700</v>
      </c>
      <c r="K211" s="110"/>
    </row>
    <row r="212">
      <c r="G212" s="107" t="s">
        <v>227</v>
      </c>
      <c r="H212" s="107">
        <v>1.0</v>
      </c>
      <c r="I212" s="108">
        <v>200.0</v>
      </c>
      <c r="J212" s="109">
        <f t="shared" si="1"/>
        <v>200</v>
      </c>
      <c r="K212" s="110"/>
    </row>
    <row r="213">
      <c r="G213" s="107" t="s">
        <v>124</v>
      </c>
      <c r="H213" s="107">
        <v>275.0</v>
      </c>
      <c r="I213" s="108">
        <v>60.0</v>
      </c>
      <c r="J213" s="109">
        <f t="shared" si="1"/>
        <v>16500</v>
      </c>
      <c r="K213" s="110"/>
    </row>
    <row r="214">
      <c r="G214" s="107" t="s">
        <v>228</v>
      </c>
      <c r="H214" s="107">
        <v>1.0</v>
      </c>
      <c r="I214" s="108">
        <v>100.0</v>
      </c>
      <c r="J214" s="109">
        <f t="shared" si="1"/>
        <v>100</v>
      </c>
      <c r="K214" s="110"/>
    </row>
    <row r="215">
      <c r="G215" s="107" t="s">
        <v>229</v>
      </c>
      <c r="H215" s="107">
        <v>1.5</v>
      </c>
      <c r="I215" s="108">
        <v>760.0</v>
      </c>
      <c r="J215" s="109">
        <f t="shared" si="1"/>
        <v>1140</v>
      </c>
      <c r="K215" s="121">
        <v>45971.0</v>
      </c>
    </row>
    <row r="216">
      <c r="G216" s="107" t="s">
        <v>205</v>
      </c>
      <c r="H216" s="107">
        <v>1.5</v>
      </c>
      <c r="I216" s="108">
        <v>1200.0</v>
      </c>
      <c r="J216" s="109">
        <f t="shared" si="1"/>
        <v>1800</v>
      </c>
      <c r="K216" s="121">
        <v>45972.0</v>
      </c>
    </row>
    <row r="217">
      <c r="G217" s="107" t="s">
        <v>230</v>
      </c>
      <c r="H217" s="107">
        <v>4.0</v>
      </c>
      <c r="I217" s="108">
        <v>30.0</v>
      </c>
      <c r="J217" s="109">
        <f t="shared" si="1"/>
        <v>120</v>
      </c>
      <c r="K217" s="110"/>
    </row>
    <row r="218">
      <c r="G218" s="107" t="s">
        <v>231</v>
      </c>
      <c r="H218" s="107">
        <v>1.0</v>
      </c>
      <c r="I218" s="108">
        <v>300.0</v>
      </c>
      <c r="J218" s="109">
        <f t="shared" si="1"/>
        <v>300</v>
      </c>
      <c r="K218" s="110"/>
    </row>
    <row r="219">
      <c r="G219" s="107" t="s">
        <v>232</v>
      </c>
      <c r="H219" s="107">
        <v>3.0</v>
      </c>
      <c r="I219" s="108">
        <v>200.0</v>
      </c>
      <c r="J219" s="109">
        <f t="shared" si="1"/>
        <v>600</v>
      </c>
      <c r="K219" s="110"/>
    </row>
    <row r="220">
      <c r="G220" s="107" t="s">
        <v>233</v>
      </c>
      <c r="H220" s="107">
        <v>1.0</v>
      </c>
      <c r="I220" s="108">
        <v>1400.0</v>
      </c>
      <c r="J220" s="109">
        <f t="shared" si="1"/>
        <v>1400</v>
      </c>
      <c r="K220" s="110"/>
    </row>
    <row r="221">
      <c r="G221" s="107" t="s">
        <v>203</v>
      </c>
      <c r="H221" s="107">
        <v>1.0</v>
      </c>
      <c r="I221" s="108">
        <v>600.0</v>
      </c>
      <c r="J221" s="109">
        <f t="shared" si="1"/>
        <v>600</v>
      </c>
      <c r="K221" s="110"/>
    </row>
    <row r="222">
      <c r="G222" s="107" t="s">
        <v>208</v>
      </c>
      <c r="H222" s="107">
        <v>6.0</v>
      </c>
      <c r="I222" s="108">
        <v>70.0</v>
      </c>
      <c r="J222" s="109">
        <f t="shared" si="1"/>
        <v>420</v>
      </c>
      <c r="K222" s="110"/>
    </row>
    <row r="223">
      <c r="G223" s="107" t="s">
        <v>174</v>
      </c>
      <c r="H223" s="107">
        <v>2.0</v>
      </c>
      <c r="I223" s="108">
        <v>140.0</v>
      </c>
      <c r="J223" s="109">
        <f t="shared" si="1"/>
        <v>280</v>
      </c>
      <c r="K223" s="110"/>
    </row>
    <row r="224">
      <c r="G224" s="107" t="s">
        <v>234</v>
      </c>
      <c r="H224" s="107">
        <v>4.5</v>
      </c>
      <c r="I224" s="108">
        <v>700.0</v>
      </c>
      <c r="J224" s="109">
        <f t="shared" si="1"/>
        <v>3150</v>
      </c>
      <c r="K224" s="110"/>
    </row>
    <row r="225">
      <c r="G225" s="107" t="s">
        <v>235</v>
      </c>
      <c r="H225" s="107">
        <v>2.0</v>
      </c>
      <c r="I225" s="108">
        <v>150.0</v>
      </c>
      <c r="J225" s="109">
        <f t="shared" si="1"/>
        <v>300</v>
      </c>
      <c r="K225" s="110"/>
    </row>
    <row r="226">
      <c r="G226" s="107" t="s">
        <v>236</v>
      </c>
      <c r="H226" s="107">
        <v>2.0</v>
      </c>
      <c r="I226" s="108">
        <v>150.0</v>
      </c>
      <c r="J226" s="109">
        <f t="shared" si="1"/>
        <v>300</v>
      </c>
      <c r="K226" s="110"/>
    </row>
    <row r="227">
      <c r="G227" s="107" t="s">
        <v>237</v>
      </c>
      <c r="H227" s="107">
        <v>1.0</v>
      </c>
      <c r="I227" s="108">
        <v>700.0</v>
      </c>
      <c r="J227" s="109">
        <f t="shared" si="1"/>
        <v>700</v>
      </c>
      <c r="K227" s="110"/>
    </row>
    <row r="228">
      <c r="G228" s="107" t="s">
        <v>213</v>
      </c>
      <c r="H228" s="107">
        <v>4.0</v>
      </c>
      <c r="I228" s="108">
        <v>650.0</v>
      </c>
      <c r="J228" s="109">
        <f t="shared" si="1"/>
        <v>2600</v>
      </c>
      <c r="K228" s="110"/>
    </row>
    <row r="229">
      <c r="G229" s="107" t="s">
        <v>84</v>
      </c>
      <c r="H229" s="107">
        <v>2.0</v>
      </c>
      <c r="I229" s="108">
        <v>560.0</v>
      </c>
      <c r="J229" s="109">
        <f t="shared" si="1"/>
        <v>1120</v>
      </c>
      <c r="K229" s="110"/>
    </row>
    <row r="230">
      <c r="G230" s="107" t="s">
        <v>238</v>
      </c>
      <c r="H230" s="107">
        <v>0.5</v>
      </c>
      <c r="I230" s="108">
        <v>1800.0</v>
      </c>
      <c r="J230" s="109">
        <f t="shared" si="1"/>
        <v>900</v>
      </c>
      <c r="K230" s="110"/>
    </row>
    <row r="231">
      <c r="G231" s="107" t="s">
        <v>239</v>
      </c>
      <c r="H231" s="107">
        <v>2.0</v>
      </c>
      <c r="I231" s="108">
        <v>150.0</v>
      </c>
      <c r="J231" s="109">
        <f t="shared" si="1"/>
        <v>300</v>
      </c>
      <c r="K231" s="110"/>
    </row>
    <row r="232">
      <c r="G232" s="107" t="s">
        <v>240</v>
      </c>
      <c r="H232" s="107">
        <v>1.0</v>
      </c>
      <c r="I232" s="108">
        <v>300.0</v>
      </c>
      <c r="J232" s="109">
        <f t="shared" si="1"/>
        <v>300</v>
      </c>
      <c r="K232" s="110"/>
    </row>
    <row r="233">
      <c r="G233" s="107" t="s">
        <v>241</v>
      </c>
      <c r="H233" s="107">
        <v>1.0</v>
      </c>
      <c r="I233" s="108">
        <v>1000.0</v>
      </c>
      <c r="J233" s="109">
        <f t="shared" si="1"/>
        <v>1000</v>
      </c>
      <c r="K233" s="110"/>
    </row>
    <row r="234">
      <c r="G234" s="107" t="s">
        <v>242</v>
      </c>
      <c r="H234" s="107">
        <v>2.0</v>
      </c>
      <c r="I234" s="108">
        <v>650.0</v>
      </c>
      <c r="J234" s="109">
        <f t="shared" si="1"/>
        <v>1300</v>
      </c>
      <c r="K234" s="110"/>
    </row>
    <row r="235">
      <c r="G235" s="107" t="s">
        <v>243</v>
      </c>
      <c r="H235" s="107">
        <v>4.0</v>
      </c>
      <c r="I235" s="108">
        <v>300.0</v>
      </c>
      <c r="J235" s="109">
        <f t="shared" si="1"/>
        <v>1200</v>
      </c>
      <c r="K235" s="110"/>
    </row>
    <row r="236">
      <c r="G236" s="107" t="s">
        <v>244</v>
      </c>
      <c r="H236" s="107">
        <v>30.0</v>
      </c>
      <c r="I236" s="122"/>
      <c r="J236" s="109">
        <f t="shared" si="1"/>
        <v>0</v>
      </c>
      <c r="K236" s="110"/>
    </row>
    <row r="237">
      <c r="G237" s="107" t="s">
        <v>245</v>
      </c>
      <c r="H237" s="107">
        <v>10.0</v>
      </c>
      <c r="I237" s="122"/>
      <c r="J237" s="109">
        <f t="shared" si="1"/>
        <v>0</v>
      </c>
      <c r="K237" s="110"/>
    </row>
    <row r="238">
      <c r="G238" s="107" t="s">
        <v>246</v>
      </c>
      <c r="H238" s="107">
        <v>1.0</v>
      </c>
      <c r="I238" s="108">
        <v>2000.0</v>
      </c>
      <c r="J238" s="109">
        <f t="shared" si="1"/>
        <v>2000</v>
      </c>
      <c r="K238" s="110"/>
    </row>
    <row r="239">
      <c r="G239" s="107" t="s">
        <v>247</v>
      </c>
      <c r="H239" s="107">
        <v>6.0</v>
      </c>
      <c r="I239" s="108">
        <v>352.0</v>
      </c>
      <c r="J239" s="109">
        <f t="shared" si="1"/>
        <v>2112</v>
      </c>
      <c r="K239" s="110"/>
    </row>
    <row r="240">
      <c r="G240" s="107" t="s">
        <v>248</v>
      </c>
      <c r="H240" s="107">
        <v>12.0</v>
      </c>
      <c r="I240" s="108">
        <v>282.0</v>
      </c>
      <c r="J240" s="109">
        <f t="shared" si="1"/>
        <v>3384</v>
      </c>
      <c r="K240" s="110"/>
    </row>
    <row r="241">
      <c r="G241" s="107" t="s">
        <v>249</v>
      </c>
      <c r="H241" s="107">
        <v>3.0</v>
      </c>
      <c r="I241" s="108">
        <v>300.0</v>
      </c>
      <c r="J241" s="109">
        <f t="shared" si="1"/>
        <v>900</v>
      </c>
      <c r="K241" s="110"/>
    </row>
    <row r="242">
      <c r="G242" s="107" t="s">
        <v>250</v>
      </c>
      <c r="H242" s="107">
        <v>2.0</v>
      </c>
      <c r="I242" s="108">
        <v>150.0</v>
      </c>
      <c r="J242" s="109">
        <f t="shared" si="1"/>
        <v>300</v>
      </c>
      <c r="K242" s="121">
        <v>45974.0</v>
      </c>
    </row>
    <row r="243">
      <c r="G243" s="107" t="s">
        <v>216</v>
      </c>
      <c r="H243" s="107">
        <v>8.0</v>
      </c>
      <c r="I243" s="108">
        <v>70.0</v>
      </c>
      <c r="J243" s="109">
        <f t="shared" si="1"/>
        <v>560</v>
      </c>
      <c r="K243" s="110"/>
    </row>
    <row r="244">
      <c r="G244" s="107" t="s">
        <v>251</v>
      </c>
      <c r="H244" s="107">
        <v>20.0</v>
      </c>
      <c r="I244" s="108">
        <v>25.0</v>
      </c>
      <c r="J244" s="109">
        <f t="shared" si="1"/>
        <v>500</v>
      </c>
      <c r="K244" s="110"/>
    </row>
    <row r="245">
      <c r="G245" s="107" t="s">
        <v>204</v>
      </c>
      <c r="H245" s="107">
        <v>20.0</v>
      </c>
      <c r="I245" s="108">
        <v>100.0</v>
      </c>
      <c r="J245" s="109">
        <f t="shared" si="1"/>
        <v>2000</v>
      </c>
      <c r="K245" s="110"/>
    </row>
    <row r="246">
      <c r="G246" s="107" t="s">
        <v>252</v>
      </c>
      <c r="H246" s="107">
        <v>7.0</v>
      </c>
      <c r="I246" s="108">
        <v>70.0</v>
      </c>
      <c r="J246" s="109">
        <f t="shared" si="1"/>
        <v>490</v>
      </c>
      <c r="K246" s="110"/>
    </row>
    <row r="247">
      <c r="G247" s="107" t="s">
        <v>253</v>
      </c>
      <c r="H247" s="107">
        <v>1.0</v>
      </c>
      <c r="I247" s="108">
        <v>150.0</v>
      </c>
      <c r="J247" s="109">
        <f t="shared" si="1"/>
        <v>150</v>
      </c>
      <c r="K247" s="110"/>
    </row>
    <row r="248">
      <c r="G248" s="107" t="s">
        <v>172</v>
      </c>
      <c r="H248" s="107">
        <v>1.0</v>
      </c>
      <c r="I248" s="108">
        <v>100.0</v>
      </c>
      <c r="J248" s="109">
        <f t="shared" si="1"/>
        <v>100</v>
      </c>
      <c r="K248" s="110"/>
    </row>
    <row r="249">
      <c r="G249" s="107" t="s">
        <v>254</v>
      </c>
      <c r="H249" s="107">
        <v>1.0</v>
      </c>
      <c r="I249" s="108">
        <v>100.0</v>
      </c>
      <c r="J249" s="109">
        <f t="shared" si="1"/>
        <v>100</v>
      </c>
      <c r="K249" s="110"/>
    </row>
    <row r="250">
      <c r="G250" s="107" t="s">
        <v>255</v>
      </c>
      <c r="H250" s="107">
        <v>1.0</v>
      </c>
      <c r="I250" s="108">
        <v>120.0</v>
      </c>
      <c r="J250" s="109">
        <f t="shared" si="1"/>
        <v>120</v>
      </c>
      <c r="K250" s="110"/>
    </row>
    <row r="251">
      <c r="G251" s="107" t="s">
        <v>256</v>
      </c>
      <c r="H251" s="107">
        <v>1.0</v>
      </c>
      <c r="I251" s="108">
        <v>300.0</v>
      </c>
      <c r="J251" s="109">
        <f t="shared" si="1"/>
        <v>300</v>
      </c>
      <c r="K251" s="110"/>
    </row>
    <row r="252">
      <c r="G252" s="107" t="s">
        <v>199</v>
      </c>
      <c r="H252" s="107">
        <v>1.0</v>
      </c>
      <c r="I252" s="108">
        <v>270.0</v>
      </c>
      <c r="J252" s="109">
        <f t="shared" si="1"/>
        <v>270</v>
      </c>
      <c r="K252" s="110"/>
    </row>
    <row r="253">
      <c r="G253" s="107" t="s">
        <v>257</v>
      </c>
      <c r="H253" s="107">
        <v>2.0</v>
      </c>
      <c r="I253" s="108">
        <v>200.0</v>
      </c>
      <c r="J253" s="109">
        <f t="shared" si="1"/>
        <v>400</v>
      </c>
      <c r="K253" s="110"/>
    </row>
    <row r="254">
      <c r="F254" s="123">
        <v>80.0</v>
      </c>
      <c r="G254" s="107" t="s">
        <v>258</v>
      </c>
      <c r="H254" s="107">
        <v>32.0</v>
      </c>
      <c r="I254" s="108">
        <v>80.0</v>
      </c>
      <c r="J254" s="109">
        <f t="shared" si="1"/>
        <v>2560</v>
      </c>
      <c r="K254" s="110"/>
    </row>
    <row r="255">
      <c r="F255" s="123">
        <v>160.0</v>
      </c>
      <c r="G255" s="107" t="s">
        <v>259</v>
      </c>
      <c r="H255" s="107">
        <v>6.0</v>
      </c>
      <c r="I255" s="108">
        <v>170.0</v>
      </c>
      <c r="J255" s="109">
        <f t="shared" si="1"/>
        <v>1020</v>
      </c>
      <c r="K255" s="110"/>
    </row>
    <row r="256">
      <c r="F256" s="123">
        <v>700.0</v>
      </c>
      <c r="G256" s="107" t="s">
        <v>234</v>
      </c>
      <c r="H256" s="107">
        <v>7.25</v>
      </c>
      <c r="I256" s="108">
        <v>700.0</v>
      </c>
      <c r="J256" s="109">
        <f t="shared" si="1"/>
        <v>5075</v>
      </c>
      <c r="K256" s="110"/>
    </row>
    <row r="257">
      <c r="G257" s="107" t="s">
        <v>260</v>
      </c>
      <c r="H257" s="107">
        <v>100.0</v>
      </c>
      <c r="I257" s="122"/>
      <c r="J257" s="109">
        <f t="shared" si="1"/>
        <v>0</v>
      </c>
      <c r="K257" s="110"/>
    </row>
    <row r="258">
      <c r="G258" s="107" t="s">
        <v>261</v>
      </c>
      <c r="H258" s="107">
        <v>50.0</v>
      </c>
      <c r="I258" s="122"/>
      <c r="J258" s="109">
        <f t="shared" si="1"/>
        <v>0</v>
      </c>
      <c r="K258" s="110"/>
    </row>
    <row r="259">
      <c r="G259" s="107" t="s">
        <v>262</v>
      </c>
      <c r="H259" s="107">
        <v>1.0</v>
      </c>
      <c r="I259" s="122"/>
      <c r="J259" s="109">
        <f t="shared" si="1"/>
        <v>0</v>
      </c>
      <c r="K259" s="110"/>
    </row>
    <row r="260">
      <c r="G260" s="107" t="s">
        <v>263</v>
      </c>
      <c r="H260" s="107">
        <v>1.0</v>
      </c>
      <c r="I260" s="108">
        <v>130.0</v>
      </c>
      <c r="J260" s="109">
        <f t="shared" si="1"/>
        <v>130</v>
      </c>
      <c r="K260" s="110"/>
    </row>
    <row r="261">
      <c r="G261" s="107" t="s">
        <v>264</v>
      </c>
      <c r="H261" s="107">
        <v>1.0</v>
      </c>
      <c r="I261" s="108">
        <v>480.0</v>
      </c>
      <c r="J261" s="109">
        <f t="shared" si="1"/>
        <v>480</v>
      </c>
      <c r="K261" s="110"/>
    </row>
    <row r="262">
      <c r="G262" s="107" t="s">
        <v>204</v>
      </c>
      <c r="H262" s="107">
        <v>5.0</v>
      </c>
      <c r="I262" s="108">
        <v>120.0</v>
      </c>
      <c r="J262" s="109">
        <f t="shared" si="1"/>
        <v>600</v>
      </c>
      <c r="K262" s="110"/>
    </row>
    <row r="263">
      <c r="G263" s="107" t="s">
        <v>152</v>
      </c>
      <c r="H263" s="107">
        <v>5.0</v>
      </c>
      <c r="I263" s="108">
        <v>100.0</v>
      </c>
      <c r="J263" s="109">
        <f t="shared" si="1"/>
        <v>500</v>
      </c>
      <c r="K263" s="121">
        <v>45975.0</v>
      </c>
    </row>
    <row r="264">
      <c r="G264" s="107" t="s">
        <v>265</v>
      </c>
      <c r="H264" s="107">
        <v>1.0</v>
      </c>
      <c r="I264" s="108">
        <v>1200.0</v>
      </c>
      <c r="J264" s="109">
        <f t="shared" si="1"/>
        <v>1200</v>
      </c>
      <c r="K264" s="110"/>
    </row>
    <row r="265">
      <c r="G265" s="107" t="s">
        <v>266</v>
      </c>
      <c r="H265" s="107">
        <v>4.5</v>
      </c>
      <c r="I265" s="108">
        <v>680.0</v>
      </c>
      <c r="J265" s="109">
        <f t="shared" si="1"/>
        <v>3060</v>
      </c>
      <c r="K265" s="110"/>
    </row>
    <row r="266">
      <c r="G266" s="107" t="s">
        <v>266</v>
      </c>
      <c r="H266" s="107">
        <v>1.5</v>
      </c>
      <c r="I266" s="108">
        <v>680.0</v>
      </c>
      <c r="J266" s="109">
        <f t="shared" si="1"/>
        <v>1020</v>
      </c>
      <c r="K266" s="110"/>
    </row>
    <row r="267">
      <c r="G267" s="107" t="s">
        <v>267</v>
      </c>
      <c r="H267" s="107">
        <v>1.5</v>
      </c>
      <c r="I267" s="108">
        <v>680.0</v>
      </c>
      <c r="J267" s="109">
        <f t="shared" si="1"/>
        <v>1020</v>
      </c>
      <c r="K267" s="110"/>
    </row>
    <row r="268">
      <c r="G268" s="107" t="s">
        <v>204</v>
      </c>
      <c r="H268" s="107">
        <v>5.0</v>
      </c>
      <c r="I268" s="108">
        <v>100.0</v>
      </c>
      <c r="J268" s="109">
        <f t="shared" si="1"/>
        <v>500</v>
      </c>
      <c r="K268" s="110"/>
    </row>
    <row r="269">
      <c r="G269" s="107" t="s">
        <v>174</v>
      </c>
      <c r="H269" s="107">
        <v>2.0</v>
      </c>
      <c r="I269" s="108">
        <v>150.0</v>
      </c>
      <c r="J269" s="109">
        <f t="shared" si="1"/>
        <v>300</v>
      </c>
      <c r="K269" s="110"/>
    </row>
    <row r="270">
      <c r="G270" s="107" t="s">
        <v>193</v>
      </c>
      <c r="H270" s="107">
        <v>1.0</v>
      </c>
      <c r="I270" s="108">
        <v>30.0</v>
      </c>
      <c r="J270" s="109">
        <f t="shared" si="1"/>
        <v>30</v>
      </c>
      <c r="K270" s="110"/>
    </row>
    <row r="271">
      <c r="G271" s="107" t="s">
        <v>249</v>
      </c>
      <c r="H271" s="107">
        <v>3.0</v>
      </c>
      <c r="I271" s="108">
        <v>170.0</v>
      </c>
      <c r="J271" s="109">
        <f t="shared" si="1"/>
        <v>510</v>
      </c>
      <c r="K271" s="110"/>
    </row>
    <row r="272">
      <c r="G272" s="107" t="s">
        <v>268</v>
      </c>
      <c r="H272" s="107">
        <v>10.0</v>
      </c>
      <c r="I272" s="108">
        <v>30.0</v>
      </c>
      <c r="J272" s="109">
        <f t="shared" si="1"/>
        <v>300</v>
      </c>
      <c r="K272" s="110"/>
    </row>
    <row r="273">
      <c r="G273" s="107" t="s">
        <v>269</v>
      </c>
      <c r="H273" s="107">
        <v>1.0</v>
      </c>
      <c r="I273" s="108">
        <v>150.0</v>
      </c>
      <c r="J273" s="109">
        <f t="shared" si="1"/>
        <v>150</v>
      </c>
      <c r="K273" s="110"/>
    </row>
    <row r="274">
      <c r="G274" s="107" t="s">
        <v>270</v>
      </c>
      <c r="H274" s="107">
        <v>1.0</v>
      </c>
      <c r="I274" s="108">
        <v>1500.0</v>
      </c>
      <c r="J274" s="109">
        <f t="shared" si="1"/>
        <v>1500</v>
      </c>
      <c r="K274" s="110"/>
    </row>
    <row r="275">
      <c r="G275" s="107" t="s">
        <v>271</v>
      </c>
      <c r="H275" s="107">
        <v>1.0</v>
      </c>
      <c r="I275" s="108">
        <v>500.0</v>
      </c>
      <c r="J275" s="109">
        <f t="shared" si="1"/>
        <v>500</v>
      </c>
      <c r="K275" s="110"/>
    </row>
    <row r="276">
      <c r="G276" s="107" t="s">
        <v>272</v>
      </c>
      <c r="H276" s="107">
        <v>3.0</v>
      </c>
      <c r="I276" s="108">
        <v>100.0</v>
      </c>
      <c r="J276" s="109">
        <f t="shared" si="1"/>
        <v>300</v>
      </c>
      <c r="K276" s="110"/>
    </row>
    <row r="277">
      <c r="G277" s="107" t="s">
        <v>273</v>
      </c>
      <c r="H277" s="107">
        <v>1.0</v>
      </c>
      <c r="I277" s="108">
        <v>520.0</v>
      </c>
      <c r="J277" s="109">
        <f t="shared" si="1"/>
        <v>520</v>
      </c>
      <c r="K277" s="110"/>
    </row>
    <row r="278">
      <c r="G278" s="107" t="s">
        <v>274</v>
      </c>
      <c r="H278" s="107">
        <v>1.0</v>
      </c>
      <c r="I278" s="108">
        <v>420.0</v>
      </c>
      <c r="J278" s="109">
        <f t="shared" si="1"/>
        <v>420</v>
      </c>
      <c r="K278" s="110"/>
    </row>
    <row r="279">
      <c r="G279" s="107" t="s">
        <v>124</v>
      </c>
      <c r="H279" s="107">
        <v>100.0</v>
      </c>
      <c r="I279" s="108">
        <v>60.0</v>
      </c>
      <c r="J279" s="109">
        <f t="shared" si="1"/>
        <v>6000</v>
      </c>
      <c r="K279" s="110"/>
    </row>
    <row r="280">
      <c r="G280" s="107" t="s">
        <v>275</v>
      </c>
      <c r="H280" s="107">
        <v>4.0</v>
      </c>
      <c r="I280" s="108">
        <v>280.0</v>
      </c>
      <c r="J280" s="109">
        <f t="shared" si="1"/>
        <v>1120</v>
      </c>
      <c r="K280" s="110"/>
    </row>
    <row r="281">
      <c r="G281" s="107" t="s">
        <v>276</v>
      </c>
      <c r="H281" s="107">
        <v>2.0</v>
      </c>
      <c r="I281" s="108">
        <v>600.0</v>
      </c>
      <c r="J281" s="109">
        <f t="shared" si="1"/>
        <v>1200</v>
      </c>
      <c r="K281" s="110"/>
    </row>
    <row r="282">
      <c r="G282" s="107" t="s">
        <v>277</v>
      </c>
      <c r="H282" s="107">
        <v>2.0</v>
      </c>
      <c r="I282" s="108">
        <v>250.0</v>
      </c>
      <c r="J282" s="109">
        <f t="shared" si="1"/>
        <v>500</v>
      </c>
      <c r="K282" s="121">
        <v>45976.0</v>
      </c>
    </row>
    <row r="283">
      <c r="G283" s="107" t="s">
        <v>225</v>
      </c>
      <c r="H283" s="107">
        <v>0.5</v>
      </c>
      <c r="I283" s="108">
        <v>700.0</v>
      </c>
      <c r="J283" s="109">
        <f t="shared" si="1"/>
        <v>350</v>
      </c>
      <c r="K283" s="110"/>
    </row>
    <row r="284">
      <c r="G284" s="107" t="s">
        <v>152</v>
      </c>
      <c r="H284" s="107">
        <v>14.0</v>
      </c>
      <c r="I284" s="108">
        <v>100.0</v>
      </c>
      <c r="J284" s="109">
        <f t="shared" si="1"/>
        <v>1400</v>
      </c>
      <c r="K284" s="110"/>
    </row>
    <row r="285">
      <c r="G285" s="107" t="s">
        <v>278</v>
      </c>
      <c r="H285" s="107">
        <v>1.0</v>
      </c>
      <c r="I285" s="108">
        <v>2000.0</v>
      </c>
      <c r="J285" s="109">
        <f t="shared" si="1"/>
        <v>2000</v>
      </c>
      <c r="K285" s="110"/>
    </row>
    <row r="286">
      <c r="G286" s="107" t="s">
        <v>279</v>
      </c>
      <c r="H286" s="107">
        <v>1.0</v>
      </c>
      <c r="I286" s="108">
        <v>300.0</v>
      </c>
      <c r="J286" s="109">
        <f t="shared" si="1"/>
        <v>300</v>
      </c>
      <c r="K286" s="110"/>
    </row>
    <row r="287">
      <c r="G287" s="107" t="s">
        <v>167</v>
      </c>
      <c r="H287" s="107">
        <v>1.0</v>
      </c>
      <c r="I287" s="108">
        <v>150.0</v>
      </c>
      <c r="J287" s="109">
        <f t="shared" si="1"/>
        <v>150</v>
      </c>
      <c r="K287" s="110"/>
    </row>
    <row r="288">
      <c r="G288" s="107" t="s">
        <v>280</v>
      </c>
      <c r="H288" s="107">
        <v>3.5</v>
      </c>
      <c r="I288" s="108">
        <v>250.0</v>
      </c>
      <c r="J288" s="109">
        <f t="shared" si="1"/>
        <v>875</v>
      </c>
      <c r="K288" s="110"/>
    </row>
    <row r="289">
      <c r="G289" s="107" t="s">
        <v>252</v>
      </c>
      <c r="H289" s="107">
        <v>5.0</v>
      </c>
      <c r="I289" s="108">
        <v>70.0</v>
      </c>
      <c r="J289" s="109">
        <f t="shared" si="1"/>
        <v>350</v>
      </c>
      <c r="K289" s="110"/>
    </row>
    <row r="290">
      <c r="G290" s="107" t="s">
        <v>281</v>
      </c>
      <c r="H290" s="107">
        <v>1.0</v>
      </c>
      <c r="I290" s="108">
        <v>100.0</v>
      </c>
      <c r="J290" s="109">
        <f t="shared" si="1"/>
        <v>100</v>
      </c>
      <c r="K290" s="110"/>
    </row>
    <row r="291">
      <c r="G291" s="107" t="s">
        <v>282</v>
      </c>
      <c r="H291" s="107">
        <v>1.0</v>
      </c>
      <c r="I291" s="108">
        <v>150.0</v>
      </c>
      <c r="J291" s="109">
        <f t="shared" si="1"/>
        <v>150</v>
      </c>
      <c r="K291" s="110"/>
    </row>
    <row r="292">
      <c r="G292" s="107" t="s">
        <v>137</v>
      </c>
      <c r="H292" s="107">
        <v>2.0</v>
      </c>
      <c r="I292" s="108">
        <v>220.0</v>
      </c>
      <c r="J292" s="109">
        <f t="shared" si="1"/>
        <v>440</v>
      </c>
      <c r="K292" s="110"/>
    </row>
    <row r="293">
      <c r="G293" s="107" t="s">
        <v>283</v>
      </c>
      <c r="H293" s="107">
        <v>1.0</v>
      </c>
      <c r="I293" s="108">
        <v>250.0</v>
      </c>
      <c r="J293" s="109">
        <f t="shared" si="1"/>
        <v>250</v>
      </c>
      <c r="K293" s="110"/>
    </row>
    <row r="294">
      <c r="G294" s="107" t="s">
        <v>204</v>
      </c>
      <c r="H294" s="107">
        <v>5.0</v>
      </c>
      <c r="I294" s="108">
        <v>100.0</v>
      </c>
      <c r="J294" s="109">
        <f t="shared" si="1"/>
        <v>500</v>
      </c>
      <c r="K294" s="110"/>
    </row>
    <row r="295">
      <c r="G295" s="107" t="s">
        <v>284</v>
      </c>
      <c r="H295" s="107">
        <v>15.0</v>
      </c>
      <c r="I295" s="108">
        <v>25.0</v>
      </c>
      <c r="J295" s="109">
        <f t="shared" si="1"/>
        <v>375</v>
      </c>
      <c r="K295" s="110"/>
    </row>
    <row r="296">
      <c r="G296" s="107" t="s">
        <v>285</v>
      </c>
      <c r="H296" s="107">
        <v>10.0</v>
      </c>
      <c r="I296" s="122"/>
      <c r="J296" s="109">
        <f t="shared" si="1"/>
        <v>0</v>
      </c>
      <c r="K296" s="110"/>
    </row>
    <row r="297">
      <c r="G297" s="107" t="s">
        <v>286</v>
      </c>
      <c r="H297" s="107">
        <v>2.0</v>
      </c>
      <c r="I297" s="108">
        <v>600.0</v>
      </c>
      <c r="J297" s="109">
        <f t="shared" si="1"/>
        <v>1200</v>
      </c>
      <c r="K297" s="110"/>
    </row>
    <row r="298">
      <c r="G298" s="107" t="s">
        <v>287</v>
      </c>
      <c r="H298" s="107">
        <v>1.0</v>
      </c>
      <c r="I298" s="108">
        <v>1500.0</v>
      </c>
      <c r="J298" s="109">
        <f t="shared" si="1"/>
        <v>1500</v>
      </c>
      <c r="K298" s="110"/>
    </row>
    <row r="299">
      <c r="G299" s="107" t="s">
        <v>205</v>
      </c>
      <c r="H299" s="107">
        <v>1.0</v>
      </c>
      <c r="I299" s="108">
        <v>1200.0</v>
      </c>
      <c r="J299" s="109">
        <f t="shared" si="1"/>
        <v>1200</v>
      </c>
      <c r="K299" s="121">
        <v>45978.0</v>
      </c>
    </row>
    <row r="300">
      <c r="G300" s="107" t="s">
        <v>170</v>
      </c>
      <c r="H300" s="107">
        <v>1.5</v>
      </c>
      <c r="I300" s="108">
        <v>700.0</v>
      </c>
      <c r="J300" s="109">
        <f t="shared" si="1"/>
        <v>1050</v>
      </c>
      <c r="K300" s="110"/>
    </row>
    <row r="301">
      <c r="G301" s="107" t="s">
        <v>203</v>
      </c>
      <c r="H301" s="107">
        <v>1.0</v>
      </c>
      <c r="I301" s="108">
        <v>600.0</v>
      </c>
      <c r="J301" s="109">
        <f t="shared" si="1"/>
        <v>600</v>
      </c>
      <c r="K301" s="110"/>
    </row>
    <row r="302">
      <c r="G302" s="107" t="s">
        <v>231</v>
      </c>
      <c r="H302" s="107">
        <v>1.0</v>
      </c>
      <c r="I302" s="108">
        <v>100.0</v>
      </c>
      <c r="J302" s="109">
        <f t="shared" si="1"/>
        <v>100</v>
      </c>
      <c r="K302" s="110"/>
    </row>
    <row r="303">
      <c r="G303" s="107" t="s">
        <v>204</v>
      </c>
      <c r="H303" s="107">
        <v>2.0</v>
      </c>
      <c r="I303" s="108">
        <v>100.0</v>
      </c>
      <c r="J303" s="109">
        <f t="shared" si="1"/>
        <v>200</v>
      </c>
      <c r="K303" s="110"/>
    </row>
    <row r="304">
      <c r="G304" s="107" t="s">
        <v>288</v>
      </c>
      <c r="H304" s="107">
        <v>1.0</v>
      </c>
      <c r="I304" s="108">
        <v>200.0</v>
      </c>
      <c r="J304" s="109">
        <f t="shared" si="1"/>
        <v>200</v>
      </c>
      <c r="K304" s="110"/>
    </row>
    <row r="305">
      <c r="G305" s="107" t="s">
        <v>137</v>
      </c>
      <c r="H305" s="107">
        <v>1.0</v>
      </c>
      <c r="I305" s="108">
        <v>600.0</v>
      </c>
      <c r="J305" s="109">
        <f t="shared" si="1"/>
        <v>600</v>
      </c>
      <c r="K305" s="110"/>
    </row>
    <row r="306">
      <c r="G306" s="107" t="s">
        <v>289</v>
      </c>
      <c r="H306" s="107">
        <v>4.0</v>
      </c>
      <c r="I306" s="108">
        <v>600.0</v>
      </c>
      <c r="J306" s="109">
        <f t="shared" si="1"/>
        <v>2400</v>
      </c>
      <c r="K306" s="110"/>
    </row>
    <row r="307">
      <c r="G307" s="107" t="s">
        <v>125</v>
      </c>
      <c r="H307" s="107">
        <v>1.0</v>
      </c>
      <c r="I307" s="108">
        <v>1000.0</v>
      </c>
      <c r="J307" s="109">
        <f t="shared" si="1"/>
        <v>1000</v>
      </c>
      <c r="K307" s="110"/>
    </row>
    <row r="308">
      <c r="G308" s="107" t="s">
        <v>290</v>
      </c>
      <c r="H308" s="107">
        <v>200.0</v>
      </c>
      <c r="I308" s="108">
        <v>15.0</v>
      </c>
      <c r="J308" s="109">
        <f t="shared" si="1"/>
        <v>3000</v>
      </c>
      <c r="K308" s="110"/>
    </row>
    <row r="309">
      <c r="G309" s="124"/>
      <c r="H309" s="124"/>
      <c r="I309" s="122"/>
      <c r="J309" s="109">
        <f t="shared" si="1"/>
        <v>0</v>
      </c>
      <c r="K309" s="110"/>
    </row>
    <row r="310">
      <c r="G310" s="124"/>
      <c r="H310" s="124"/>
      <c r="I310" s="122"/>
      <c r="J310" s="109">
        <f t="shared" si="1"/>
        <v>0</v>
      </c>
      <c r="K310" s="110"/>
    </row>
    <row r="311">
      <c r="G311" s="124"/>
      <c r="H311" s="124"/>
      <c r="I311" s="122"/>
      <c r="J311" s="109">
        <f t="shared" si="1"/>
        <v>0</v>
      </c>
      <c r="K311" s="110"/>
    </row>
    <row r="312">
      <c r="G312" s="124"/>
      <c r="H312" s="124"/>
      <c r="I312" s="122"/>
      <c r="J312" s="109">
        <f t="shared" si="1"/>
        <v>0</v>
      </c>
      <c r="K312" s="110"/>
    </row>
    <row r="313">
      <c r="G313" s="124"/>
      <c r="H313" s="124"/>
      <c r="I313" s="122"/>
      <c r="J313" s="109">
        <f t="shared" si="1"/>
        <v>0</v>
      </c>
      <c r="K313" s="110"/>
    </row>
    <row r="314">
      <c r="G314" s="124"/>
      <c r="H314" s="124"/>
      <c r="I314" s="122"/>
      <c r="J314" s="109">
        <f t="shared" si="1"/>
        <v>0</v>
      </c>
      <c r="K314" s="110"/>
    </row>
    <row r="315">
      <c r="G315" s="124"/>
      <c r="H315" s="124"/>
      <c r="I315" s="122"/>
      <c r="J315" s="109">
        <f t="shared" si="1"/>
        <v>0</v>
      </c>
      <c r="K315" s="110"/>
    </row>
    <row r="316">
      <c r="G316" s="124"/>
      <c r="H316" s="124"/>
      <c r="I316" s="122"/>
      <c r="J316" s="109">
        <f t="shared" si="1"/>
        <v>0</v>
      </c>
      <c r="K316" s="110"/>
    </row>
    <row r="317">
      <c r="G317" s="124"/>
      <c r="H317" s="124"/>
      <c r="I317" s="122"/>
      <c r="J317" s="109">
        <f t="shared" si="1"/>
        <v>0</v>
      </c>
      <c r="K317" s="110"/>
    </row>
    <row r="318">
      <c r="G318" s="124"/>
      <c r="H318" s="124"/>
      <c r="I318" s="122"/>
      <c r="J318" s="109">
        <f t="shared" si="1"/>
        <v>0</v>
      </c>
      <c r="K318" s="110"/>
    </row>
    <row r="319">
      <c r="G319" s="124"/>
      <c r="H319" s="124"/>
      <c r="I319" s="122"/>
      <c r="J319" s="109">
        <f t="shared" si="1"/>
        <v>0</v>
      </c>
      <c r="K319" s="110"/>
    </row>
    <row r="320">
      <c r="G320" s="124"/>
      <c r="H320" s="124"/>
      <c r="I320" s="122"/>
      <c r="J320" s="109">
        <f t="shared" si="1"/>
        <v>0</v>
      </c>
      <c r="K320" s="110"/>
    </row>
    <row r="321">
      <c r="G321" s="124"/>
      <c r="H321" s="124"/>
      <c r="I321" s="122"/>
      <c r="J321" s="109">
        <f t="shared" si="1"/>
        <v>0</v>
      </c>
      <c r="K321" s="110"/>
    </row>
    <row r="322">
      <c r="G322" s="107" t="s">
        <v>291</v>
      </c>
      <c r="H322" s="107">
        <v>5.0</v>
      </c>
      <c r="I322" s="108">
        <v>130.0</v>
      </c>
      <c r="J322" s="109">
        <f t="shared" si="1"/>
        <v>650</v>
      </c>
      <c r="K322" s="121">
        <v>45975.0</v>
      </c>
    </row>
    <row r="323">
      <c r="G323" s="107" t="s">
        <v>292</v>
      </c>
      <c r="H323" s="107">
        <v>2.0</v>
      </c>
      <c r="I323" s="108">
        <v>350.0</v>
      </c>
      <c r="J323" s="109">
        <f t="shared" si="1"/>
        <v>700</v>
      </c>
      <c r="K323" s="110"/>
    </row>
    <row r="324">
      <c r="G324" s="107" t="s">
        <v>293</v>
      </c>
      <c r="H324" s="107">
        <v>10.0</v>
      </c>
      <c r="I324" s="108">
        <v>15.0</v>
      </c>
      <c r="J324" s="109">
        <f t="shared" si="1"/>
        <v>150</v>
      </c>
      <c r="K324" s="110"/>
    </row>
    <row r="325">
      <c r="G325" s="107" t="s">
        <v>294</v>
      </c>
      <c r="H325" s="107">
        <v>50.0</v>
      </c>
      <c r="I325" s="108">
        <v>26.4</v>
      </c>
      <c r="J325" s="109">
        <f t="shared" si="1"/>
        <v>1320</v>
      </c>
      <c r="K325" s="110"/>
    </row>
    <row r="326">
      <c r="G326" s="107" t="s">
        <v>261</v>
      </c>
      <c r="H326" s="107">
        <v>100.0</v>
      </c>
      <c r="I326" s="108">
        <v>14.0</v>
      </c>
      <c r="J326" s="109">
        <f t="shared" si="1"/>
        <v>1400</v>
      </c>
      <c r="K326" s="110"/>
    </row>
    <row r="327">
      <c r="G327" s="107" t="s">
        <v>295</v>
      </c>
      <c r="H327" s="107">
        <v>100.0</v>
      </c>
      <c r="I327" s="108">
        <v>32.0</v>
      </c>
      <c r="J327" s="109">
        <f t="shared" si="1"/>
        <v>3200</v>
      </c>
      <c r="K327" s="110"/>
    </row>
    <row r="328">
      <c r="G328" s="107" t="s">
        <v>296</v>
      </c>
      <c r="H328" s="107">
        <v>20.0</v>
      </c>
      <c r="I328" s="108">
        <v>140.0</v>
      </c>
      <c r="J328" s="109">
        <f t="shared" si="1"/>
        <v>2800</v>
      </c>
      <c r="K328" s="110"/>
    </row>
    <row r="329">
      <c r="G329" s="107" t="s">
        <v>297</v>
      </c>
      <c r="H329" s="107">
        <v>40.0</v>
      </c>
      <c r="I329" s="108">
        <v>75.0</v>
      </c>
      <c r="J329" s="109">
        <f t="shared" si="1"/>
        <v>3000</v>
      </c>
      <c r="K329" s="110"/>
    </row>
    <row r="330">
      <c r="G330" s="107" t="s">
        <v>298</v>
      </c>
      <c r="H330" s="107">
        <v>10.0</v>
      </c>
      <c r="I330" s="108">
        <v>100.0</v>
      </c>
      <c r="J330" s="109">
        <f t="shared" si="1"/>
        <v>1000</v>
      </c>
      <c r="K330" s="110"/>
    </row>
    <row r="331">
      <c r="G331" s="107" t="s">
        <v>299</v>
      </c>
      <c r="H331" s="107">
        <v>3.0</v>
      </c>
      <c r="I331" s="108">
        <v>150.0</v>
      </c>
      <c r="J331" s="109">
        <f t="shared" si="1"/>
        <v>450</v>
      </c>
      <c r="K331" s="110"/>
    </row>
    <row r="332">
      <c r="G332" s="107" t="s">
        <v>300</v>
      </c>
      <c r="H332" s="107">
        <v>5.0</v>
      </c>
      <c r="I332" s="108">
        <v>180.0</v>
      </c>
      <c r="J332" s="109">
        <f t="shared" si="1"/>
        <v>900</v>
      </c>
      <c r="K332" s="110"/>
    </row>
    <row r="333">
      <c r="G333" s="107" t="s">
        <v>301</v>
      </c>
      <c r="H333" s="107">
        <v>1.0</v>
      </c>
      <c r="I333" s="108">
        <v>850.0</v>
      </c>
      <c r="J333" s="109">
        <f t="shared" si="1"/>
        <v>850</v>
      </c>
      <c r="K333" s="110"/>
    </row>
    <row r="334">
      <c r="G334" s="107" t="s">
        <v>302</v>
      </c>
      <c r="H334" s="107">
        <v>4.0</v>
      </c>
      <c r="I334" s="108">
        <v>550.0</v>
      </c>
      <c r="J334" s="109">
        <f t="shared" si="1"/>
        <v>2200</v>
      </c>
      <c r="K334" s="110"/>
    </row>
    <row r="335">
      <c r="G335" s="107" t="s">
        <v>303</v>
      </c>
      <c r="H335" s="107">
        <v>100.0</v>
      </c>
      <c r="I335" s="108">
        <v>9.0</v>
      </c>
      <c r="J335" s="109">
        <f t="shared" si="1"/>
        <v>900</v>
      </c>
      <c r="K335" s="110"/>
    </row>
    <row r="336">
      <c r="G336" s="107" t="s">
        <v>304</v>
      </c>
      <c r="H336" s="107">
        <v>3.0</v>
      </c>
      <c r="I336" s="108">
        <v>1700.0</v>
      </c>
      <c r="J336" s="109">
        <f t="shared" si="1"/>
        <v>5100</v>
      </c>
      <c r="K336" s="110"/>
    </row>
    <row r="337">
      <c r="G337" s="107" t="s">
        <v>305</v>
      </c>
      <c r="H337" s="107">
        <v>10.0</v>
      </c>
      <c r="I337" s="108">
        <v>100.0</v>
      </c>
      <c r="J337" s="109">
        <f t="shared" si="1"/>
        <v>1000</v>
      </c>
      <c r="K337" s="110"/>
    </row>
    <row r="338">
      <c r="G338" s="107" t="s">
        <v>306</v>
      </c>
      <c r="H338" s="107">
        <v>100.0</v>
      </c>
      <c r="I338" s="108">
        <v>22.0</v>
      </c>
      <c r="J338" s="109">
        <f t="shared" si="1"/>
        <v>2200</v>
      </c>
      <c r="K338" s="110"/>
    </row>
    <row r="339">
      <c r="G339" s="107" t="s">
        <v>307</v>
      </c>
      <c r="H339" s="107">
        <v>1.0</v>
      </c>
      <c r="I339" s="108">
        <v>750.0</v>
      </c>
      <c r="J339" s="109">
        <f t="shared" si="1"/>
        <v>750</v>
      </c>
      <c r="K339" s="110"/>
    </row>
    <row r="340">
      <c r="G340" s="125" t="s">
        <v>308</v>
      </c>
      <c r="H340" s="125">
        <v>1.0</v>
      </c>
      <c r="I340" s="126">
        <v>500.0</v>
      </c>
      <c r="J340" s="109">
        <f t="shared" si="1"/>
        <v>500</v>
      </c>
      <c r="K340" s="110"/>
    </row>
    <row r="341">
      <c r="G341" s="125" t="s">
        <v>309</v>
      </c>
      <c r="H341" s="125">
        <v>30.0</v>
      </c>
      <c r="I341" s="126">
        <v>30.0</v>
      </c>
      <c r="J341" s="109">
        <f t="shared" si="1"/>
        <v>900</v>
      </c>
      <c r="K341" s="110"/>
    </row>
    <row r="342">
      <c r="G342" s="125" t="s">
        <v>310</v>
      </c>
      <c r="H342" s="125">
        <v>100.0</v>
      </c>
      <c r="I342" s="126">
        <v>9.5</v>
      </c>
      <c r="J342" s="109">
        <f t="shared" si="1"/>
        <v>950</v>
      </c>
      <c r="K342" s="110"/>
    </row>
    <row r="343">
      <c r="G343" s="125" t="s">
        <v>311</v>
      </c>
      <c r="H343" s="125">
        <v>100.0</v>
      </c>
      <c r="I343" s="126">
        <v>10.5</v>
      </c>
      <c r="J343" s="109">
        <f t="shared" si="1"/>
        <v>1050</v>
      </c>
      <c r="K343" s="110"/>
    </row>
    <row r="344">
      <c r="G344" s="125" t="s">
        <v>312</v>
      </c>
      <c r="H344" s="125">
        <v>100.0</v>
      </c>
      <c r="I344" s="126">
        <v>13.7</v>
      </c>
      <c r="J344" s="109">
        <f t="shared" si="1"/>
        <v>1370</v>
      </c>
      <c r="K344" s="110"/>
    </row>
    <row r="345">
      <c r="G345" s="125" t="s">
        <v>313</v>
      </c>
      <c r="H345" s="125">
        <v>100.0</v>
      </c>
      <c r="I345" s="126">
        <v>20.0</v>
      </c>
      <c r="J345" s="109">
        <f t="shared" si="1"/>
        <v>2000</v>
      </c>
      <c r="K345" s="110"/>
    </row>
    <row r="346">
      <c r="G346" s="125" t="s">
        <v>314</v>
      </c>
      <c r="H346" s="125">
        <v>100.0</v>
      </c>
      <c r="I346" s="126">
        <v>21.0</v>
      </c>
      <c r="J346" s="109">
        <f t="shared" si="1"/>
        <v>2100</v>
      </c>
      <c r="K346" s="110"/>
    </row>
    <row r="347">
      <c r="G347" s="125" t="s">
        <v>315</v>
      </c>
      <c r="H347" s="125">
        <v>100.0</v>
      </c>
      <c r="I347" s="126">
        <v>29.0</v>
      </c>
      <c r="J347" s="109">
        <f t="shared" si="1"/>
        <v>2900</v>
      </c>
      <c r="K347" s="110"/>
    </row>
    <row r="348">
      <c r="G348" s="125" t="s">
        <v>316</v>
      </c>
      <c r="H348" s="125">
        <v>100.0</v>
      </c>
      <c r="I348" s="126">
        <v>35.0</v>
      </c>
      <c r="J348" s="109">
        <f t="shared" si="1"/>
        <v>3500</v>
      </c>
      <c r="K348" s="110"/>
    </row>
    <row r="349">
      <c r="G349" s="125" t="s">
        <v>317</v>
      </c>
      <c r="H349" s="125">
        <v>1.0</v>
      </c>
      <c r="I349" s="126">
        <v>2000.0</v>
      </c>
      <c r="J349" s="109">
        <f t="shared" si="1"/>
        <v>2000</v>
      </c>
      <c r="K349" s="110"/>
    </row>
    <row r="350">
      <c r="G350" s="125" t="s">
        <v>318</v>
      </c>
      <c r="H350" s="125">
        <v>1.0</v>
      </c>
      <c r="I350" s="126">
        <v>200.0</v>
      </c>
      <c r="J350" s="109">
        <f t="shared" si="1"/>
        <v>200</v>
      </c>
      <c r="K350" s="110"/>
    </row>
    <row r="351">
      <c r="G351" s="125" t="s">
        <v>319</v>
      </c>
      <c r="H351" s="125">
        <v>1.0</v>
      </c>
      <c r="I351" s="126">
        <v>800.0</v>
      </c>
      <c r="J351" s="109">
        <f t="shared" si="1"/>
        <v>800</v>
      </c>
      <c r="K351" s="110"/>
    </row>
    <row r="352">
      <c r="G352" s="125" t="s">
        <v>320</v>
      </c>
      <c r="H352" s="125">
        <v>1.0</v>
      </c>
      <c r="I352" s="126">
        <v>600.0</v>
      </c>
      <c r="J352" s="109">
        <f t="shared" si="1"/>
        <v>600</v>
      </c>
      <c r="K352" s="110"/>
    </row>
    <row r="353">
      <c r="G353" s="125" t="s">
        <v>321</v>
      </c>
      <c r="H353" s="125">
        <v>2.0</v>
      </c>
      <c r="I353" s="126">
        <v>100.0</v>
      </c>
      <c r="J353" s="109">
        <f t="shared" si="1"/>
        <v>200</v>
      </c>
      <c r="K353" s="110"/>
    </row>
    <row r="354">
      <c r="G354" s="125" t="s">
        <v>322</v>
      </c>
      <c r="H354" s="125">
        <v>1.0</v>
      </c>
      <c r="I354" s="126">
        <v>350.0</v>
      </c>
      <c r="J354" s="109">
        <f t="shared" si="1"/>
        <v>350</v>
      </c>
      <c r="K354" s="110"/>
    </row>
    <row r="355">
      <c r="G355" s="125" t="s">
        <v>323</v>
      </c>
      <c r="H355" s="125">
        <v>2.0</v>
      </c>
      <c r="I355" s="126">
        <v>300.0</v>
      </c>
      <c r="J355" s="109">
        <f t="shared" si="1"/>
        <v>600</v>
      </c>
      <c r="K355" s="110"/>
    </row>
    <row r="356">
      <c r="G356" s="125" t="s">
        <v>324</v>
      </c>
      <c r="H356" s="125">
        <v>3.0</v>
      </c>
      <c r="I356" s="126">
        <v>150.0</v>
      </c>
      <c r="J356" s="109">
        <f t="shared" si="1"/>
        <v>450</v>
      </c>
      <c r="K356" s="110"/>
    </row>
    <row r="357">
      <c r="G357" s="127" t="s">
        <v>325</v>
      </c>
      <c r="H357" s="127">
        <v>1.0</v>
      </c>
      <c r="I357" s="128">
        <v>-141609.0</v>
      </c>
      <c r="J357" s="129">
        <f t="shared" si="1"/>
        <v>-141609</v>
      </c>
      <c r="K357" s="130" t="s">
        <v>326</v>
      </c>
    </row>
    <row r="358">
      <c r="G358" s="131" t="s">
        <v>327</v>
      </c>
      <c r="H358" s="131">
        <v>1.0</v>
      </c>
      <c r="I358" s="132">
        <v>13000.0</v>
      </c>
      <c r="J358" s="88">
        <f t="shared" si="1"/>
        <v>13000</v>
      </c>
      <c r="K358" s="89"/>
    </row>
    <row r="359">
      <c r="G359" s="92" t="s">
        <v>328</v>
      </c>
      <c r="H359" s="92">
        <v>2.0</v>
      </c>
      <c r="I359" s="94">
        <v>480.0</v>
      </c>
      <c r="J359" s="88">
        <f t="shared" si="1"/>
        <v>960</v>
      </c>
      <c r="K359" s="89"/>
    </row>
    <row r="360">
      <c r="G360" s="90" t="s">
        <v>329</v>
      </c>
      <c r="H360" s="90">
        <v>3.0</v>
      </c>
      <c r="I360" s="90">
        <v>360.0</v>
      </c>
      <c r="J360" s="88">
        <f t="shared" si="1"/>
        <v>1080</v>
      </c>
      <c r="K360" s="89"/>
    </row>
    <row r="361">
      <c r="G361" s="90" t="s">
        <v>330</v>
      </c>
      <c r="H361" s="90">
        <v>8.0</v>
      </c>
      <c r="I361" s="90">
        <v>280.0</v>
      </c>
      <c r="J361" s="88">
        <f t="shared" si="1"/>
        <v>2240</v>
      </c>
      <c r="K361" s="89"/>
    </row>
    <row r="362">
      <c r="G362" s="92" t="s">
        <v>331</v>
      </c>
      <c r="H362" s="93">
        <v>12.0</v>
      </c>
      <c r="I362" s="94">
        <v>250.0</v>
      </c>
      <c r="J362" s="88">
        <f t="shared" si="1"/>
        <v>3000</v>
      </c>
      <c r="K362" s="89"/>
    </row>
    <row r="363">
      <c r="G363" s="92" t="s">
        <v>332</v>
      </c>
      <c r="H363" s="92">
        <v>2.0</v>
      </c>
      <c r="I363" s="11">
        <v>200.0</v>
      </c>
      <c r="J363" s="88">
        <f t="shared" si="1"/>
        <v>400</v>
      </c>
      <c r="K363" s="89"/>
    </row>
    <row r="364">
      <c r="G364" s="92" t="s">
        <v>333</v>
      </c>
      <c r="H364" s="92">
        <v>1.0</v>
      </c>
      <c r="I364" s="11">
        <v>300.0</v>
      </c>
      <c r="J364" s="88">
        <f t="shared" si="1"/>
        <v>300</v>
      </c>
      <c r="K364" s="89"/>
    </row>
    <row r="365">
      <c r="G365" s="92" t="s">
        <v>334</v>
      </c>
      <c r="H365" s="92">
        <v>1.0</v>
      </c>
      <c r="I365" s="133">
        <v>550.0</v>
      </c>
      <c r="J365" s="88">
        <f t="shared" si="1"/>
        <v>550</v>
      </c>
      <c r="K365" s="89"/>
    </row>
    <row r="366">
      <c r="G366" s="92" t="s">
        <v>335</v>
      </c>
      <c r="H366" s="92">
        <v>1.0</v>
      </c>
      <c r="I366" s="11">
        <v>550.0</v>
      </c>
      <c r="J366" s="88">
        <f t="shared" si="1"/>
        <v>550</v>
      </c>
      <c r="K366" s="89"/>
    </row>
    <row r="367">
      <c r="G367" s="92" t="s">
        <v>336</v>
      </c>
      <c r="H367" s="93">
        <v>23.0</v>
      </c>
      <c r="I367" s="11">
        <v>61.0</v>
      </c>
      <c r="J367" s="88">
        <f t="shared" si="1"/>
        <v>1403</v>
      </c>
      <c r="K367" s="89"/>
    </row>
    <row r="368">
      <c r="G368" s="92" t="s">
        <v>295</v>
      </c>
      <c r="H368" s="93">
        <v>12.0</v>
      </c>
      <c r="I368" s="94">
        <v>32.0</v>
      </c>
      <c r="J368" s="88">
        <f t="shared" si="1"/>
        <v>384</v>
      </c>
      <c r="K368" s="89"/>
    </row>
    <row r="369">
      <c r="G369" s="92" t="s">
        <v>337</v>
      </c>
      <c r="H369" s="92">
        <v>8.0</v>
      </c>
      <c r="I369" s="94">
        <v>80.0</v>
      </c>
      <c r="J369" s="88">
        <f t="shared" si="1"/>
        <v>640</v>
      </c>
      <c r="K369" s="89"/>
    </row>
    <row r="370">
      <c r="G370" s="92" t="s">
        <v>338</v>
      </c>
      <c r="H370" s="92">
        <v>1500.0</v>
      </c>
      <c r="I370" s="94">
        <v>1.25</v>
      </c>
      <c r="J370" s="88">
        <f t="shared" si="1"/>
        <v>1875</v>
      </c>
      <c r="K370" s="89"/>
    </row>
    <row r="371">
      <c r="G371" s="92" t="s">
        <v>339</v>
      </c>
      <c r="H371" s="92">
        <v>8.0</v>
      </c>
      <c r="I371" s="94">
        <v>180.0</v>
      </c>
      <c r="J371" s="88">
        <f t="shared" si="1"/>
        <v>1440</v>
      </c>
      <c r="K371" s="89"/>
    </row>
    <row r="372">
      <c r="G372" s="92" t="s">
        <v>340</v>
      </c>
      <c r="H372" s="92">
        <v>7.0</v>
      </c>
      <c r="I372" s="94">
        <v>180.0</v>
      </c>
      <c r="J372" s="88">
        <f t="shared" si="1"/>
        <v>1260</v>
      </c>
      <c r="K372" s="89"/>
    </row>
    <row r="373">
      <c r="G373" s="92" t="s">
        <v>341</v>
      </c>
      <c r="H373" s="92">
        <v>2.0</v>
      </c>
      <c r="I373" s="94">
        <v>165.0</v>
      </c>
      <c r="J373" s="88">
        <f t="shared" si="1"/>
        <v>330</v>
      </c>
      <c r="K373" s="89"/>
    </row>
    <row r="374">
      <c r="G374" s="92" t="s">
        <v>342</v>
      </c>
      <c r="H374" s="92">
        <v>3.0</v>
      </c>
      <c r="I374" s="94">
        <v>165.0</v>
      </c>
      <c r="J374" s="88">
        <f t="shared" si="1"/>
        <v>495</v>
      </c>
      <c r="K374" s="89"/>
    </row>
    <row r="375">
      <c r="G375" s="92" t="s">
        <v>343</v>
      </c>
      <c r="H375" s="92">
        <v>17.0</v>
      </c>
      <c r="I375" s="94">
        <v>165.0</v>
      </c>
      <c r="J375" s="88">
        <f t="shared" si="1"/>
        <v>2805</v>
      </c>
      <c r="K375" s="89"/>
    </row>
    <row r="376">
      <c r="G376" s="92" t="s">
        <v>344</v>
      </c>
      <c r="H376" s="92">
        <v>60.0</v>
      </c>
      <c r="I376" s="94">
        <v>16.0</v>
      </c>
      <c r="J376" s="88">
        <f t="shared" si="1"/>
        <v>960</v>
      </c>
      <c r="K376" s="89"/>
    </row>
    <row r="377">
      <c r="G377" s="92" t="s">
        <v>345</v>
      </c>
      <c r="H377" s="92">
        <v>80.0</v>
      </c>
      <c r="I377" s="94">
        <v>20.0</v>
      </c>
      <c r="J377" s="88">
        <f t="shared" si="1"/>
        <v>1600</v>
      </c>
      <c r="K377" s="89"/>
    </row>
    <row r="378">
      <c r="G378" s="92" t="s">
        <v>346</v>
      </c>
      <c r="H378" s="93">
        <v>2.0</v>
      </c>
      <c r="I378" s="11">
        <v>1000.0</v>
      </c>
      <c r="J378" s="88">
        <f t="shared" si="1"/>
        <v>2000</v>
      </c>
      <c r="K378" s="89"/>
    </row>
    <row r="379">
      <c r="G379" s="90" t="s">
        <v>347</v>
      </c>
      <c r="H379" s="90">
        <v>2.0</v>
      </c>
      <c r="I379" s="90">
        <v>1450.0</v>
      </c>
      <c r="J379" s="88">
        <f t="shared" si="1"/>
        <v>2900</v>
      </c>
      <c r="K379" s="89"/>
    </row>
    <row r="380">
      <c r="G380" s="92" t="s">
        <v>348</v>
      </c>
      <c r="H380" s="92">
        <v>3.0</v>
      </c>
      <c r="I380" s="94">
        <v>500.0</v>
      </c>
      <c r="J380" s="88">
        <f t="shared" si="1"/>
        <v>1500</v>
      </c>
      <c r="K380" s="134"/>
    </row>
    <row r="381">
      <c r="G381" s="85" t="s">
        <v>349</v>
      </c>
      <c r="H381" s="85">
        <v>1.0</v>
      </c>
      <c r="I381" s="87">
        <v>20000.0</v>
      </c>
      <c r="J381" s="88">
        <f t="shared" si="1"/>
        <v>20000</v>
      </c>
      <c r="K381" s="135" t="s">
        <v>350</v>
      </c>
    </row>
    <row r="382">
      <c r="G382" s="136" t="s">
        <v>351</v>
      </c>
      <c r="H382" s="136">
        <v>1.0</v>
      </c>
      <c r="I382" s="137">
        <v>2000.0</v>
      </c>
      <c r="J382" s="88">
        <f t="shared" si="1"/>
        <v>2000</v>
      </c>
      <c r="K382" s="134"/>
    </row>
    <row r="383">
      <c r="G383" s="136" t="s">
        <v>352</v>
      </c>
      <c r="H383" s="136">
        <v>5.0</v>
      </c>
      <c r="I383" s="137">
        <v>400.0</v>
      </c>
      <c r="J383" s="88">
        <f t="shared" si="1"/>
        <v>2000</v>
      </c>
      <c r="K383" s="134"/>
    </row>
    <row r="384">
      <c r="G384" s="136" t="s">
        <v>353</v>
      </c>
      <c r="H384" s="136">
        <v>1.0</v>
      </c>
      <c r="I384" s="137">
        <v>9000.0</v>
      </c>
      <c r="J384" s="88">
        <f t="shared" si="1"/>
        <v>9000</v>
      </c>
      <c r="K384" s="134"/>
    </row>
    <row r="385">
      <c r="G385" s="136" t="s">
        <v>354</v>
      </c>
      <c r="H385" s="136">
        <v>1.0</v>
      </c>
      <c r="I385" s="137">
        <v>5000.0</v>
      </c>
      <c r="J385" s="88">
        <f t="shared" si="1"/>
        <v>5000</v>
      </c>
      <c r="K385" s="134"/>
    </row>
    <row r="386">
      <c r="G386" s="138"/>
      <c r="H386" s="139"/>
      <c r="I386" s="140"/>
      <c r="J386" s="141">
        <f>SUM(J4:J385)</f>
        <v>649671.24</v>
      </c>
      <c r="K386" s="134"/>
    </row>
  </sheetData>
  <mergeCells count="2">
    <mergeCell ref="K32:K41"/>
    <mergeCell ref="K116:K12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63"/>
    <col customWidth="1" min="2" max="2" width="25.38"/>
    <col customWidth="1" min="3" max="3" width="25.13"/>
    <col customWidth="1" min="4" max="4" width="25.63"/>
    <col customWidth="1" min="5" max="6" width="25.88"/>
    <col customWidth="1" min="7" max="7" width="32.38"/>
    <col customWidth="1" min="8" max="8" width="25.88"/>
    <col customWidth="1" min="9" max="9" width="24.88"/>
    <col customWidth="1" min="10" max="11" width="25.38"/>
    <col customWidth="1" min="12" max="12" width="25.63"/>
    <col customWidth="1" min="13" max="13" width="26.13"/>
    <col customWidth="1" min="14" max="14" width="22.88"/>
    <col customWidth="1" min="15" max="15" width="26.88"/>
    <col customWidth="1" min="16" max="16" width="25.38"/>
    <col customWidth="1" min="17" max="17" width="192.13"/>
  </cols>
  <sheetData>
    <row r="1">
      <c r="A1" s="1"/>
      <c r="B1" s="2" t="s">
        <v>0</v>
      </c>
      <c r="C1" s="142" t="s">
        <v>355</v>
      </c>
      <c r="D1" s="142" t="s">
        <v>356</v>
      </c>
      <c r="E1" s="142" t="s">
        <v>357</v>
      </c>
      <c r="F1" s="142" t="s">
        <v>358</v>
      </c>
      <c r="G1" s="142" t="s">
        <v>359</v>
      </c>
      <c r="H1" s="142" t="s">
        <v>360</v>
      </c>
      <c r="I1" s="142" t="s">
        <v>361</v>
      </c>
      <c r="J1" s="142" t="s">
        <v>362</v>
      </c>
      <c r="K1" s="142" t="s">
        <v>363</v>
      </c>
      <c r="L1" s="142" t="s">
        <v>364</v>
      </c>
      <c r="M1" s="142" t="s">
        <v>365</v>
      </c>
      <c r="N1" s="142" t="s">
        <v>366</v>
      </c>
      <c r="O1" s="142" t="s">
        <v>367</v>
      </c>
      <c r="P1" s="143"/>
      <c r="Q1" s="138"/>
    </row>
    <row r="2">
      <c r="A2" s="9" t="s">
        <v>11</v>
      </c>
      <c r="B2" s="10">
        <v>45962.0</v>
      </c>
      <c r="C2" s="144">
        <v>1.25</v>
      </c>
      <c r="D2" s="144">
        <v>1.25</v>
      </c>
      <c r="E2" s="144">
        <v>1.0</v>
      </c>
      <c r="F2" s="144">
        <v>1.0</v>
      </c>
      <c r="G2" s="144">
        <v>1.0</v>
      </c>
      <c r="H2" s="144">
        <v>0.0</v>
      </c>
      <c r="I2" s="145">
        <v>1.0</v>
      </c>
      <c r="J2" s="144">
        <v>1.0</v>
      </c>
      <c r="K2" s="146">
        <v>0.0</v>
      </c>
      <c r="L2" s="144">
        <v>1.0</v>
      </c>
      <c r="M2" s="144">
        <v>0.0</v>
      </c>
      <c r="N2" s="144">
        <v>0.95</v>
      </c>
      <c r="O2" s="144">
        <v>1.0</v>
      </c>
      <c r="P2" s="147"/>
      <c r="Q2" s="147"/>
    </row>
    <row r="3">
      <c r="A3" s="9" t="s">
        <v>12</v>
      </c>
      <c r="B3" s="10">
        <v>45963.0</v>
      </c>
      <c r="C3" s="145">
        <v>1.0</v>
      </c>
      <c r="D3" s="148">
        <v>1.0</v>
      </c>
      <c r="E3" s="148">
        <v>1.0</v>
      </c>
      <c r="F3" s="145">
        <v>1.0</v>
      </c>
      <c r="G3" s="148">
        <v>0.0</v>
      </c>
      <c r="H3" s="149">
        <v>1.0</v>
      </c>
      <c r="I3" s="148">
        <v>1.0</v>
      </c>
      <c r="J3" s="148">
        <v>1.0</v>
      </c>
      <c r="K3" s="150">
        <v>1.0</v>
      </c>
      <c r="L3" s="148">
        <v>0.0</v>
      </c>
      <c r="M3" s="148">
        <v>0.0</v>
      </c>
      <c r="N3" s="151">
        <v>1.0</v>
      </c>
      <c r="O3" s="151">
        <v>1.0</v>
      </c>
      <c r="P3" s="152"/>
      <c r="Q3" s="152"/>
    </row>
    <row r="4">
      <c r="A4" s="9" t="s">
        <v>17</v>
      </c>
      <c r="B4" s="10">
        <v>45964.0</v>
      </c>
      <c r="C4" s="144">
        <v>0.0</v>
      </c>
      <c r="D4" s="144">
        <v>1.0</v>
      </c>
      <c r="E4" s="144">
        <v>1.0</v>
      </c>
      <c r="F4" s="149">
        <v>1.0</v>
      </c>
      <c r="G4" s="144">
        <v>0.0</v>
      </c>
      <c r="H4" s="144">
        <v>1.0</v>
      </c>
      <c r="I4" s="144">
        <v>1.0</v>
      </c>
      <c r="J4" s="145">
        <v>1.0</v>
      </c>
      <c r="K4" s="146">
        <v>0.0</v>
      </c>
      <c r="L4" s="144">
        <v>1.0</v>
      </c>
      <c r="M4" s="144">
        <v>1.0</v>
      </c>
      <c r="N4" s="144">
        <v>1.03</v>
      </c>
      <c r="O4" s="153">
        <v>1.0</v>
      </c>
      <c r="P4" s="147"/>
      <c r="Q4" s="147"/>
    </row>
    <row r="5">
      <c r="A5" s="9" t="s">
        <v>18</v>
      </c>
      <c r="B5" s="10">
        <v>45965.0</v>
      </c>
      <c r="C5" s="151">
        <v>1.21</v>
      </c>
      <c r="D5" s="145">
        <v>1.0</v>
      </c>
      <c r="E5" s="151">
        <v>1.0</v>
      </c>
      <c r="F5" s="151">
        <v>1.0</v>
      </c>
      <c r="G5" s="149">
        <v>0.0</v>
      </c>
      <c r="H5" s="151">
        <v>1.0</v>
      </c>
      <c r="I5" s="151">
        <v>1.0</v>
      </c>
      <c r="J5" s="151">
        <v>0.0</v>
      </c>
      <c r="K5" s="154">
        <v>1.0</v>
      </c>
      <c r="L5" s="151">
        <v>0.0</v>
      </c>
      <c r="M5" s="151">
        <v>0.0</v>
      </c>
      <c r="N5" s="151">
        <v>0.94</v>
      </c>
      <c r="O5" s="151">
        <v>1.0</v>
      </c>
      <c r="P5" s="152"/>
      <c r="Q5" s="155"/>
    </row>
    <row r="6">
      <c r="A6" s="9" t="s">
        <v>19</v>
      </c>
      <c r="B6" s="10">
        <v>45966.0</v>
      </c>
      <c r="C6" s="149">
        <v>1.19</v>
      </c>
      <c r="D6" s="149">
        <v>1.03</v>
      </c>
      <c r="E6" s="144">
        <v>1.0</v>
      </c>
      <c r="F6" s="144">
        <v>1.3</v>
      </c>
      <c r="G6" s="144">
        <v>0.0</v>
      </c>
      <c r="H6" s="144">
        <v>1.0</v>
      </c>
      <c r="I6" s="144">
        <v>1.0</v>
      </c>
      <c r="J6" s="144">
        <v>1.0</v>
      </c>
      <c r="K6" s="146">
        <v>0.0</v>
      </c>
      <c r="L6" s="144">
        <v>1.0</v>
      </c>
      <c r="M6" s="144">
        <v>0.0</v>
      </c>
      <c r="N6" s="144">
        <v>0.0</v>
      </c>
      <c r="O6" s="144">
        <v>1.0</v>
      </c>
      <c r="P6" s="147"/>
      <c r="Q6" s="147"/>
    </row>
    <row r="7">
      <c r="A7" s="9" t="s">
        <v>22</v>
      </c>
      <c r="B7" s="10">
        <v>45967.0</v>
      </c>
      <c r="C7" s="151">
        <v>1.2</v>
      </c>
      <c r="D7" s="151">
        <v>1.0</v>
      </c>
      <c r="E7" s="151">
        <v>1.0</v>
      </c>
      <c r="F7" s="151">
        <v>1.2</v>
      </c>
      <c r="G7" s="151">
        <v>0.0</v>
      </c>
      <c r="H7" s="151">
        <v>1.0</v>
      </c>
      <c r="I7" s="151">
        <v>0.0</v>
      </c>
      <c r="J7" s="149">
        <v>1.0</v>
      </c>
      <c r="K7" s="154">
        <v>0.0</v>
      </c>
      <c r="L7" s="151">
        <v>1.0</v>
      </c>
      <c r="M7" s="151">
        <v>0.0</v>
      </c>
      <c r="N7" s="151">
        <v>0.75</v>
      </c>
      <c r="O7" s="151">
        <v>1.0</v>
      </c>
      <c r="P7" s="152"/>
      <c r="Q7" s="152"/>
    </row>
    <row r="8">
      <c r="A8" s="156" t="s">
        <v>23</v>
      </c>
      <c r="B8" s="157">
        <v>45968.0</v>
      </c>
      <c r="C8" s="158">
        <v>2.4</v>
      </c>
      <c r="D8" s="158">
        <v>2.0</v>
      </c>
      <c r="E8" s="158">
        <v>2.0</v>
      </c>
      <c r="F8" s="158">
        <v>2.2</v>
      </c>
      <c r="G8" s="158">
        <v>2.0</v>
      </c>
      <c r="H8" s="145">
        <v>1.0</v>
      </c>
      <c r="I8" s="158">
        <v>0.0</v>
      </c>
      <c r="J8" s="158">
        <v>2.0</v>
      </c>
      <c r="K8" s="159">
        <v>2.0</v>
      </c>
      <c r="L8" s="158">
        <v>0.0</v>
      </c>
      <c r="M8" s="158">
        <v>0.0</v>
      </c>
      <c r="N8" s="160">
        <v>1.0</v>
      </c>
      <c r="O8" s="158">
        <v>2.0</v>
      </c>
      <c r="P8" s="161"/>
      <c r="Q8" s="161"/>
    </row>
    <row r="9">
      <c r="A9" s="9" t="s">
        <v>24</v>
      </c>
      <c r="B9" s="10">
        <v>45969.0</v>
      </c>
      <c r="C9" s="151">
        <v>1.5</v>
      </c>
      <c r="D9" s="151">
        <v>1.17</v>
      </c>
      <c r="E9" s="151">
        <v>1.0</v>
      </c>
      <c r="F9" s="151">
        <v>1.0</v>
      </c>
      <c r="G9" s="151">
        <v>1.0</v>
      </c>
      <c r="H9" s="151">
        <v>0.0</v>
      </c>
      <c r="I9" s="151">
        <v>1.0</v>
      </c>
      <c r="J9" s="151">
        <v>1.0</v>
      </c>
      <c r="K9" s="154">
        <v>1.0</v>
      </c>
      <c r="L9" s="151">
        <v>1.0</v>
      </c>
      <c r="M9" s="151">
        <v>0.0</v>
      </c>
      <c r="N9" s="151">
        <v>1.0</v>
      </c>
      <c r="O9" s="151">
        <v>1.0</v>
      </c>
      <c r="P9" s="152"/>
      <c r="Q9" s="152"/>
    </row>
    <row r="10">
      <c r="A10" s="9" t="s">
        <v>12</v>
      </c>
      <c r="B10" s="10">
        <v>45970.0</v>
      </c>
      <c r="C10" s="145">
        <v>2.2</v>
      </c>
      <c r="D10" s="148">
        <v>1.1</v>
      </c>
      <c r="E10" s="148">
        <v>1.0</v>
      </c>
      <c r="F10" s="148">
        <v>1.2</v>
      </c>
      <c r="G10" s="148">
        <v>0.0</v>
      </c>
      <c r="H10" s="149">
        <v>1.2</v>
      </c>
      <c r="I10" s="149">
        <v>1.0</v>
      </c>
      <c r="J10" s="145">
        <v>1.0</v>
      </c>
      <c r="K10" s="150">
        <v>0.0</v>
      </c>
      <c r="L10" s="148">
        <v>0.0</v>
      </c>
      <c r="M10" s="148">
        <v>0.0</v>
      </c>
      <c r="N10" s="144">
        <v>1.1</v>
      </c>
      <c r="O10" s="144">
        <v>1.1</v>
      </c>
      <c r="P10" s="147"/>
      <c r="Q10" s="147"/>
    </row>
    <row r="11">
      <c r="A11" s="9" t="s">
        <v>17</v>
      </c>
      <c r="B11" s="10">
        <v>45971.0</v>
      </c>
      <c r="C11" s="151">
        <v>1.25</v>
      </c>
      <c r="D11" s="151">
        <v>1.12</v>
      </c>
      <c r="E11" s="151">
        <v>1.0</v>
      </c>
      <c r="F11" s="145">
        <v>1.0</v>
      </c>
      <c r="G11" s="151">
        <v>0.0</v>
      </c>
      <c r="H11" s="151">
        <v>1.2</v>
      </c>
      <c r="I11" s="151">
        <v>1.0</v>
      </c>
      <c r="J11" s="151">
        <v>1.0</v>
      </c>
      <c r="K11" s="154">
        <v>0.0</v>
      </c>
      <c r="L11" s="151">
        <v>1.0</v>
      </c>
      <c r="M11" s="151">
        <v>1.2</v>
      </c>
      <c r="N11" s="151">
        <v>1.06</v>
      </c>
      <c r="O11" s="153">
        <v>1.0</v>
      </c>
      <c r="P11" s="152"/>
      <c r="Q11" s="162"/>
    </row>
    <row r="12">
      <c r="A12" s="9" t="s">
        <v>18</v>
      </c>
      <c r="B12" s="10">
        <v>45972.0</v>
      </c>
      <c r="C12" s="144">
        <v>1.17</v>
      </c>
      <c r="D12" s="145">
        <v>1.0</v>
      </c>
      <c r="E12" s="149">
        <v>1.0</v>
      </c>
      <c r="F12" s="144">
        <v>1.0</v>
      </c>
      <c r="G12" s="149">
        <v>1.0</v>
      </c>
      <c r="H12" s="144">
        <v>1.0</v>
      </c>
      <c r="I12" s="144">
        <v>0.0</v>
      </c>
      <c r="J12" s="144">
        <v>0.0</v>
      </c>
      <c r="K12" s="146">
        <v>1.0</v>
      </c>
      <c r="L12" s="144">
        <v>0.0</v>
      </c>
      <c r="M12" s="144">
        <v>0.0</v>
      </c>
      <c r="N12" s="144">
        <v>0.82</v>
      </c>
      <c r="O12" s="144">
        <v>1.0</v>
      </c>
      <c r="P12" s="147"/>
      <c r="Q12" s="147"/>
    </row>
    <row r="13">
      <c r="A13" s="9" t="s">
        <v>19</v>
      </c>
      <c r="B13" s="10">
        <v>45973.0</v>
      </c>
      <c r="C13" s="149">
        <v>1.25</v>
      </c>
      <c r="D13" s="151">
        <v>1.11</v>
      </c>
      <c r="E13" s="151">
        <v>1.0</v>
      </c>
      <c r="F13" s="149">
        <v>1.0</v>
      </c>
      <c r="G13" s="151">
        <v>1.0</v>
      </c>
      <c r="H13" s="151">
        <v>1.0</v>
      </c>
      <c r="I13" s="151">
        <v>0.5</v>
      </c>
      <c r="J13" s="149">
        <v>1.0</v>
      </c>
      <c r="K13" s="154">
        <v>0.0</v>
      </c>
      <c r="L13" s="151">
        <v>1.0</v>
      </c>
      <c r="M13" s="151">
        <v>0.0</v>
      </c>
      <c r="N13" s="151">
        <v>1.11</v>
      </c>
      <c r="O13" s="151">
        <v>1.0</v>
      </c>
      <c r="P13" s="152"/>
      <c r="Q13" s="152"/>
    </row>
    <row r="14">
      <c r="A14" s="9" t="s">
        <v>22</v>
      </c>
      <c r="B14" s="10">
        <v>45974.0</v>
      </c>
      <c r="C14" s="144">
        <v>1.35</v>
      </c>
      <c r="D14" s="149">
        <v>1.16</v>
      </c>
      <c r="E14" s="144">
        <v>1.0</v>
      </c>
      <c r="F14" s="144">
        <v>1.2</v>
      </c>
      <c r="G14" s="144">
        <v>0.0</v>
      </c>
      <c r="H14" s="144">
        <v>1.2</v>
      </c>
      <c r="I14" s="144">
        <v>0.5</v>
      </c>
      <c r="J14" s="144">
        <v>0.0</v>
      </c>
      <c r="K14" s="146">
        <v>1.2</v>
      </c>
      <c r="L14" s="144">
        <v>0.0</v>
      </c>
      <c r="M14" s="144">
        <v>0.0</v>
      </c>
      <c r="N14" s="144">
        <v>1.18</v>
      </c>
      <c r="O14" s="144">
        <v>1.1</v>
      </c>
      <c r="P14" s="147"/>
      <c r="Q14" s="147"/>
    </row>
    <row r="15">
      <c r="A15" s="156" t="s">
        <v>23</v>
      </c>
      <c r="B15" s="157">
        <v>45975.0</v>
      </c>
      <c r="C15" s="158">
        <v>2.0</v>
      </c>
      <c r="D15" s="158">
        <v>2.0</v>
      </c>
      <c r="E15" s="158">
        <v>2.0</v>
      </c>
      <c r="F15" s="158">
        <v>2.0</v>
      </c>
      <c r="G15" s="158">
        <v>2.0</v>
      </c>
      <c r="H15" s="145">
        <v>1.0</v>
      </c>
      <c r="I15" s="158">
        <v>2.0</v>
      </c>
      <c r="J15" s="158">
        <v>0.0</v>
      </c>
      <c r="K15" s="159">
        <v>2.0</v>
      </c>
      <c r="L15" s="158">
        <v>0.0</v>
      </c>
      <c r="M15" s="158">
        <v>0.0</v>
      </c>
      <c r="N15" s="153">
        <v>1.0</v>
      </c>
      <c r="O15" s="158">
        <v>2.0</v>
      </c>
      <c r="P15" s="161"/>
      <c r="Q15" s="161"/>
    </row>
    <row r="16">
      <c r="A16" s="9" t="s">
        <v>24</v>
      </c>
      <c r="B16" s="10">
        <v>45976.0</v>
      </c>
      <c r="C16" s="163">
        <v>1.125</v>
      </c>
      <c r="D16" s="163">
        <v>1.0</v>
      </c>
      <c r="E16" s="164">
        <v>1.0</v>
      </c>
      <c r="F16" s="163">
        <v>1.2</v>
      </c>
      <c r="G16" s="163">
        <v>1.0</v>
      </c>
      <c r="H16" s="144">
        <v>0.0</v>
      </c>
      <c r="I16" s="144">
        <v>1.0</v>
      </c>
      <c r="J16" s="144">
        <v>0.0</v>
      </c>
      <c r="K16" s="146">
        <v>1.2</v>
      </c>
      <c r="L16" s="144">
        <v>0.0</v>
      </c>
      <c r="M16" s="144">
        <v>0.0</v>
      </c>
      <c r="N16" s="144">
        <v>1.06</v>
      </c>
      <c r="O16" s="144">
        <v>1.0</v>
      </c>
      <c r="P16" s="147"/>
      <c r="Q16" s="147"/>
    </row>
    <row r="17">
      <c r="A17" s="9" t="s">
        <v>12</v>
      </c>
      <c r="B17" s="10">
        <v>45977.0</v>
      </c>
      <c r="C17" s="148">
        <v>1.19</v>
      </c>
      <c r="D17" s="148">
        <v>1.06</v>
      </c>
      <c r="E17" s="148">
        <v>1.0</v>
      </c>
      <c r="F17" s="145">
        <v>1.0</v>
      </c>
      <c r="G17" s="148">
        <v>0.0</v>
      </c>
      <c r="H17" s="149">
        <v>1.2</v>
      </c>
      <c r="I17" s="148">
        <v>1.0</v>
      </c>
      <c r="J17" s="148">
        <v>0.0</v>
      </c>
      <c r="K17" s="150">
        <v>0.0</v>
      </c>
      <c r="L17" s="148">
        <v>1.0</v>
      </c>
      <c r="M17" s="148">
        <v>0.0</v>
      </c>
      <c r="N17" s="151">
        <v>1.1</v>
      </c>
      <c r="O17" s="151">
        <v>1.1</v>
      </c>
      <c r="P17" s="152"/>
      <c r="Q17" s="152"/>
    </row>
    <row r="18">
      <c r="A18" s="9" t="s">
        <v>17</v>
      </c>
      <c r="B18" s="10">
        <v>45978.0</v>
      </c>
      <c r="C18" s="144">
        <v>1.08</v>
      </c>
      <c r="D18" s="145">
        <v>1.0</v>
      </c>
      <c r="E18" s="144">
        <v>1.0</v>
      </c>
      <c r="F18" s="144">
        <v>1.1</v>
      </c>
      <c r="G18" s="144">
        <v>0.0</v>
      </c>
      <c r="H18" s="144">
        <v>1.0</v>
      </c>
      <c r="I18" s="145">
        <v>1.0</v>
      </c>
      <c r="J18" s="144">
        <v>0.0</v>
      </c>
      <c r="K18" s="146">
        <v>0.0</v>
      </c>
      <c r="L18" s="144">
        <v>0.0</v>
      </c>
      <c r="M18" s="144">
        <v>1.1</v>
      </c>
      <c r="N18" s="144">
        <v>1.0</v>
      </c>
      <c r="O18" s="165"/>
      <c r="P18" s="147"/>
      <c r="Q18" s="147"/>
    </row>
    <row r="19">
      <c r="A19" s="9" t="s">
        <v>18</v>
      </c>
      <c r="B19" s="10">
        <v>45979.0</v>
      </c>
      <c r="C19" s="166"/>
      <c r="D19" s="167"/>
      <c r="E19" s="166"/>
      <c r="F19" s="166"/>
      <c r="G19" s="166"/>
      <c r="H19" s="166"/>
      <c r="I19" s="168"/>
      <c r="J19" s="166"/>
      <c r="K19" s="169"/>
      <c r="L19" s="166"/>
      <c r="M19" s="166"/>
      <c r="N19" s="166"/>
      <c r="O19" s="166"/>
      <c r="P19" s="152"/>
      <c r="Q19" s="152"/>
    </row>
    <row r="20">
      <c r="A20" s="9" t="s">
        <v>19</v>
      </c>
      <c r="B20" s="10">
        <v>45980.0</v>
      </c>
      <c r="C20" s="165"/>
      <c r="D20" s="165"/>
      <c r="E20" s="165"/>
      <c r="F20" s="165"/>
      <c r="G20" s="165"/>
      <c r="H20" s="165"/>
      <c r="I20" s="165"/>
      <c r="J20" s="168"/>
      <c r="K20" s="170"/>
      <c r="L20" s="165"/>
      <c r="M20" s="165"/>
      <c r="N20" s="165"/>
      <c r="O20" s="165"/>
      <c r="P20" s="147"/>
      <c r="Q20" s="147"/>
    </row>
    <row r="21">
      <c r="A21" s="9" t="s">
        <v>22</v>
      </c>
      <c r="B21" s="10">
        <v>45981.0</v>
      </c>
      <c r="C21" s="166"/>
      <c r="D21" s="166"/>
      <c r="E21" s="166"/>
      <c r="F21" s="166"/>
      <c r="G21" s="166"/>
      <c r="H21" s="166"/>
      <c r="I21" s="166"/>
      <c r="J21" s="166"/>
      <c r="K21" s="169"/>
      <c r="L21" s="166"/>
      <c r="M21" s="166"/>
      <c r="N21" s="166"/>
      <c r="O21" s="166"/>
      <c r="P21" s="152"/>
      <c r="Q21" s="152"/>
    </row>
    <row r="22">
      <c r="A22" s="156" t="s">
        <v>23</v>
      </c>
      <c r="B22" s="157">
        <v>45982.0</v>
      </c>
      <c r="C22" s="171"/>
      <c r="D22" s="171"/>
      <c r="E22" s="171"/>
      <c r="F22" s="171"/>
      <c r="G22" s="171"/>
      <c r="H22" s="171"/>
      <c r="I22" s="171"/>
      <c r="J22" s="171"/>
      <c r="K22" s="172"/>
      <c r="L22" s="171"/>
      <c r="M22" s="171"/>
      <c r="N22" s="171"/>
      <c r="O22" s="171"/>
      <c r="P22" s="161"/>
      <c r="Q22" s="161"/>
    </row>
    <row r="23">
      <c r="A23" s="9" t="s">
        <v>24</v>
      </c>
      <c r="B23" s="10">
        <v>45983.0</v>
      </c>
      <c r="C23" s="166"/>
      <c r="D23" s="166"/>
      <c r="E23" s="166"/>
      <c r="F23" s="166"/>
      <c r="G23" s="166"/>
      <c r="H23" s="166"/>
      <c r="I23" s="166"/>
      <c r="J23" s="166"/>
      <c r="K23" s="169"/>
      <c r="L23" s="166"/>
      <c r="M23" s="166"/>
      <c r="N23" s="166"/>
      <c r="O23" s="166"/>
      <c r="P23" s="152"/>
      <c r="Q23" s="152"/>
    </row>
    <row r="24">
      <c r="A24" s="9" t="s">
        <v>12</v>
      </c>
      <c r="B24" s="10">
        <v>45984.0</v>
      </c>
      <c r="C24" s="173"/>
      <c r="D24" s="173"/>
      <c r="E24" s="173"/>
      <c r="F24" s="173"/>
      <c r="G24" s="173"/>
      <c r="H24" s="168"/>
      <c r="I24" s="168"/>
      <c r="J24" s="173"/>
      <c r="K24" s="174"/>
      <c r="L24" s="173"/>
      <c r="M24" s="173"/>
      <c r="N24" s="165"/>
      <c r="O24" s="165"/>
      <c r="P24" s="147"/>
      <c r="Q24" s="147"/>
    </row>
    <row r="25">
      <c r="A25" s="9" t="s">
        <v>17</v>
      </c>
      <c r="B25" s="10">
        <v>45985.0</v>
      </c>
      <c r="C25" s="175"/>
      <c r="D25" s="175"/>
      <c r="E25" s="175"/>
      <c r="F25" s="175"/>
      <c r="G25" s="175"/>
      <c r="H25" s="175"/>
      <c r="I25" s="166"/>
      <c r="J25" s="175"/>
      <c r="K25" s="176"/>
      <c r="L25" s="175"/>
      <c r="M25" s="166"/>
      <c r="N25" s="175"/>
      <c r="O25" s="175"/>
      <c r="P25" s="152"/>
      <c r="Q25" s="152"/>
    </row>
    <row r="26">
      <c r="A26" s="9" t="s">
        <v>18</v>
      </c>
      <c r="B26" s="10">
        <v>45986.0</v>
      </c>
      <c r="C26" s="165"/>
      <c r="D26" s="165"/>
      <c r="E26" s="165"/>
      <c r="F26" s="165"/>
      <c r="G26" s="165"/>
      <c r="H26" s="165"/>
      <c r="I26" s="165"/>
      <c r="J26" s="165"/>
      <c r="K26" s="170"/>
      <c r="L26" s="165"/>
      <c r="M26" s="165"/>
      <c r="N26" s="165"/>
      <c r="O26" s="165"/>
      <c r="P26" s="147"/>
      <c r="Q26" s="147"/>
    </row>
    <row r="27">
      <c r="A27" s="9" t="s">
        <v>19</v>
      </c>
      <c r="B27" s="10">
        <v>45987.0</v>
      </c>
      <c r="C27" s="177"/>
      <c r="D27" s="155"/>
      <c r="E27" s="155"/>
      <c r="F27" s="155"/>
      <c r="G27" s="155"/>
      <c r="H27" s="155"/>
      <c r="I27" s="155"/>
      <c r="J27" s="178"/>
      <c r="K27" s="155"/>
      <c r="L27" s="155"/>
      <c r="M27" s="166"/>
      <c r="N27" s="166"/>
      <c r="O27" s="168"/>
      <c r="P27" s="152"/>
      <c r="Q27" s="152"/>
    </row>
    <row r="28">
      <c r="A28" s="9" t="s">
        <v>22</v>
      </c>
      <c r="B28" s="10">
        <v>45988.0</v>
      </c>
      <c r="C28" s="179"/>
      <c r="D28" s="177"/>
      <c r="E28" s="179"/>
      <c r="F28" s="179"/>
      <c r="G28" s="179"/>
      <c r="H28" s="179"/>
      <c r="I28" s="179"/>
      <c r="J28" s="179"/>
      <c r="K28" s="179"/>
      <c r="L28" s="179"/>
      <c r="M28" s="165"/>
      <c r="N28" s="165"/>
      <c r="O28" s="165"/>
      <c r="P28" s="147"/>
      <c r="Q28" s="147"/>
    </row>
    <row r="29">
      <c r="A29" s="156" t="s">
        <v>23</v>
      </c>
      <c r="B29" s="157">
        <v>45989.0</v>
      </c>
      <c r="C29" s="180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2"/>
      <c r="P29" s="183"/>
      <c r="Q29" s="183"/>
    </row>
    <row r="30">
      <c r="A30" s="9" t="s">
        <v>24</v>
      </c>
      <c r="B30" s="10">
        <v>45990.0</v>
      </c>
      <c r="C30" s="184"/>
      <c r="D30" s="185"/>
      <c r="E30" s="185"/>
      <c r="F30" s="185"/>
      <c r="G30" s="185"/>
      <c r="H30" s="185"/>
      <c r="I30" s="186"/>
      <c r="J30" s="185"/>
      <c r="K30" s="185"/>
      <c r="L30" s="186"/>
      <c r="M30" s="186"/>
      <c r="N30" s="186"/>
      <c r="O30" s="187"/>
      <c r="P30" s="188"/>
      <c r="Q30" s="188"/>
    </row>
    <row r="31">
      <c r="A31" s="9" t="s">
        <v>12</v>
      </c>
      <c r="B31" s="10">
        <v>45991.0</v>
      </c>
      <c r="C31" s="189"/>
      <c r="D31" s="190"/>
      <c r="E31" s="190"/>
      <c r="F31" s="190"/>
      <c r="G31" s="190"/>
      <c r="H31" s="190"/>
      <c r="I31" s="190"/>
      <c r="J31" s="190"/>
      <c r="K31" s="190"/>
      <c r="L31" s="190"/>
      <c r="M31" s="190"/>
      <c r="N31" s="190"/>
      <c r="O31" s="191"/>
      <c r="P31" s="192"/>
      <c r="Q31" s="192"/>
    </row>
    <row r="32">
      <c r="A32" s="9" t="s">
        <v>368</v>
      </c>
      <c r="B32" s="10"/>
      <c r="C32" s="193"/>
      <c r="D32" s="194"/>
      <c r="E32" s="195"/>
      <c r="F32" s="195"/>
      <c r="G32" s="195"/>
      <c r="H32" s="194"/>
      <c r="I32" s="195"/>
      <c r="J32" s="194"/>
      <c r="K32" s="194"/>
      <c r="L32" s="196">
        <v>3.34</v>
      </c>
      <c r="M32" s="194"/>
      <c r="N32" s="196">
        <v>2.0</v>
      </c>
      <c r="O32" s="195"/>
      <c r="P32" s="194"/>
      <c r="Q32" s="197" t="s">
        <v>369</v>
      </c>
    </row>
    <row r="33">
      <c r="A33" s="16"/>
      <c r="B33" s="71"/>
      <c r="C33" s="198">
        <f t="shared" ref="C33:P33" si="1">SUM(C2:C32)</f>
        <v>22.365</v>
      </c>
      <c r="D33" s="198">
        <f t="shared" si="1"/>
        <v>20</v>
      </c>
      <c r="E33" s="198">
        <f t="shared" si="1"/>
        <v>19</v>
      </c>
      <c r="F33" s="198">
        <f t="shared" si="1"/>
        <v>20.4</v>
      </c>
      <c r="G33" s="198">
        <f t="shared" si="1"/>
        <v>9</v>
      </c>
      <c r="H33" s="198">
        <f t="shared" si="1"/>
        <v>14.8</v>
      </c>
      <c r="I33" s="198">
        <f t="shared" si="1"/>
        <v>14</v>
      </c>
      <c r="J33" s="198">
        <f t="shared" si="1"/>
        <v>11</v>
      </c>
      <c r="K33" s="198">
        <f t="shared" si="1"/>
        <v>10.4</v>
      </c>
      <c r="L33" s="198">
        <f t="shared" si="1"/>
        <v>11.34</v>
      </c>
      <c r="M33" s="198">
        <f t="shared" si="1"/>
        <v>3.3</v>
      </c>
      <c r="N33" s="198">
        <f t="shared" si="1"/>
        <v>18.1</v>
      </c>
      <c r="O33" s="198">
        <f t="shared" si="1"/>
        <v>18.3</v>
      </c>
      <c r="P33" s="198">
        <f t="shared" si="1"/>
        <v>0</v>
      </c>
      <c r="Q33" s="192"/>
    </row>
    <row r="34">
      <c r="A34" s="6"/>
      <c r="B34" s="6"/>
      <c r="C34" s="199">
        <v>1350.0</v>
      </c>
      <c r="D34" s="200">
        <v>1170.0</v>
      </c>
      <c r="E34" s="200">
        <v>1000.0</v>
      </c>
      <c r="F34" s="201">
        <v>1000.0</v>
      </c>
      <c r="G34" s="202">
        <v>1100.0</v>
      </c>
      <c r="H34" s="203">
        <v>1000.0</v>
      </c>
      <c r="I34" s="203">
        <v>1000.0</v>
      </c>
      <c r="J34" s="203">
        <v>1000.0</v>
      </c>
      <c r="K34" s="204">
        <v>1000.0</v>
      </c>
      <c r="L34" s="204">
        <v>1200.0</v>
      </c>
      <c r="M34" s="205">
        <v>1200.0</v>
      </c>
      <c r="N34" s="206">
        <v>1400.0</v>
      </c>
      <c r="O34" s="206">
        <v>1000.0</v>
      </c>
      <c r="P34" s="207"/>
      <c r="Q34" s="208"/>
    </row>
    <row r="35">
      <c r="A35" s="6"/>
      <c r="B35" s="6"/>
      <c r="C35" s="209">
        <f t="shared" ref="C35:P35" si="2">C33*C34</f>
        <v>30192.75</v>
      </c>
      <c r="D35" s="209">
        <f t="shared" si="2"/>
        <v>23400</v>
      </c>
      <c r="E35" s="209">
        <f t="shared" si="2"/>
        <v>19000</v>
      </c>
      <c r="F35" s="209">
        <f t="shared" si="2"/>
        <v>20400</v>
      </c>
      <c r="G35" s="209">
        <f t="shared" si="2"/>
        <v>9900</v>
      </c>
      <c r="H35" s="209">
        <f t="shared" si="2"/>
        <v>14800</v>
      </c>
      <c r="I35" s="209">
        <f t="shared" si="2"/>
        <v>14000</v>
      </c>
      <c r="J35" s="209">
        <f t="shared" si="2"/>
        <v>11000</v>
      </c>
      <c r="K35" s="209">
        <f t="shared" si="2"/>
        <v>10400</v>
      </c>
      <c r="L35" s="209">
        <f t="shared" si="2"/>
        <v>13608</v>
      </c>
      <c r="M35" s="209">
        <f t="shared" si="2"/>
        <v>3960</v>
      </c>
      <c r="N35" s="209">
        <f t="shared" si="2"/>
        <v>25340</v>
      </c>
      <c r="O35" s="209">
        <f t="shared" si="2"/>
        <v>18300</v>
      </c>
      <c r="P35" s="209">
        <f t="shared" si="2"/>
        <v>0</v>
      </c>
      <c r="Q35" s="210"/>
    </row>
    <row r="36">
      <c r="A36" s="6"/>
      <c r="B36" s="6"/>
      <c r="C36" s="211">
        <v>40000.0</v>
      </c>
      <c r="D36" s="211">
        <v>35000.0</v>
      </c>
      <c r="E36" s="211">
        <v>30000.0</v>
      </c>
      <c r="F36" s="211">
        <v>30000.0</v>
      </c>
      <c r="G36" s="211">
        <v>33000.0</v>
      </c>
      <c r="H36" s="212">
        <v>30000.0</v>
      </c>
      <c r="I36" s="212">
        <v>30000.0</v>
      </c>
      <c r="J36" s="212">
        <v>30000.0</v>
      </c>
      <c r="K36" s="212">
        <v>30000.0</v>
      </c>
      <c r="L36" s="213" t="s">
        <v>370</v>
      </c>
      <c r="M36" s="212">
        <v>30000.0</v>
      </c>
      <c r="N36" s="214">
        <v>42000.0</v>
      </c>
      <c r="O36" s="214">
        <v>30000.0</v>
      </c>
      <c r="P36" s="207"/>
      <c r="Q36" s="208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2" max="4" width="26.13"/>
    <col customWidth="1" min="5" max="6" width="25.13"/>
    <col customWidth="1" min="7" max="8" width="26.13"/>
    <col customWidth="1" min="9" max="10" width="25.63"/>
    <col customWidth="1" min="11" max="11" width="38.38"/>
    <col customWidth="1" min="12" max="12" width="26.13"/>
    <col customWidth="1" min="13" max="13" width="25.63"/>
    <col customWidth="1" min="14" max="14" width="26.13"/>
    <col customWidth="1" min="15" max="15" width="25.63"/>
    <col customWidth="1" min="16" max="16" width="26.13"/>
    <col customWidth="1" min="17" max="17" width="28.63"/>
    <col customWidth="1" min="18" max="18" width="27.38"/>
    <col customWidth="1" min="19" max="19" width="25.63"/>
    <col customWidth="1" min="20" max="20" width="26.13"/>
    <col customWidth="1" min="21" max="21" width="100.63"/>
  </cols>
  <sheetData>
    <row r="1">
      <c r="A1" s="1"/>
      <c r="B1" s="2" t="s">
        <v>0</v>
      </c>
      <c r="C1" s="215" t="s">
        <v>355</v>
      </c>
      <c r="D1" s="216"/>
      <c r="E1" s="215" t="s">
        <v>356</v>
      </c>
      <c r="F1" s="216"/>
      <c r="G1" s="217" t="s">
        <v>366</v>
      </c>
      <c r="H1" s="216"/>
      <c r="I1" s="215" t="s">
        <v>358</v>
      </c>
      <c r="J1" s="216"/>
      <c r="K1" s="142" t="s">
        <v>359</v>
      </c>
      <c r="L1" s="142" t="s">
        <v>360</v>
      </c>
      <c r="M1" s="142" t="s">
        <v>361</v>
      </c>
      <c r="N1" s="142" t="s">
        <v>362</v>
      </c>
      <c r="O1" s="142" t="s">
        <v>363</v>
      </c>
      <c r="P1" s="142" t="s">
        <v>364</v>
      </c>
      <c r="Q1" s="142" t="s">
        <v>365</v>
      </c>
      <c r="R1" s="142" t="s">
        <v>366</v>
      </c>
      <c r="S1" s="215" t="s">
        <v>367</v>
      </c>
      <c r="T1" s="216"/>
      <c r="U1" s="138"/>
    </row>
    <row r="2">
      <c r="A2" s="9" t="s">
        <v>11</v>
      </c>
      <c r="B2" s="10">
        <v>45962.0</v>
      </c>
      <c r="C2" s="218">
        <v>0.3472222222222222</v>
      </c>
      <c r="D2" s="219">
        <v>0.7638888888888888</v>
      </c>
      <c r="E2" s="219">
        <v>0.3472222222222222</v>
      </c>
      <c r="F2" s="219">
        <v>0.7638888888888888</v>
      </c>
      <c r="G2" s="219">
        <v>0.3819444444444444</v>
      </c>
      <c r="H2" s="219">
        <v>0.6979166666666666</v>
      </c>
      <c r="I2" s="144"/>
      <c r="J2" s="144"/>
      <c r="K2" s="144"/>
      <c r="L2" s="144"/>
      <c r="M2" s="153"/>
      <c r="N2" s="144"/>
      <c r="O2" s="146"/>
      <c r="P2" s="144"/>
      <c r="Q2" s="144"/>
      <c r="R2" s="144"/>
      <c r="S2" s="144"/>
      <c r="T2" s="147"/>
      <c r="U2" s="147"/>
    </row>
    <row r="3">
      <c r="A3" s="9" t="s">
        <v>12</v>
      </c>
      <c r="B3" s="10">
        <v>45963.0</v>
      </c>
      <c r="C3" s="220">
        <v>0.0</v>
      </c>
      <c r="D3" s="153">
        <v>0.0</v>
      </c>
      <c r="E3" s="221">
        <v>0.375</v>
      </c>
      <c r="F3" s="221">
        <v>0.7083333333333334</v>
      </c>
      <c r="G3" s="221">
        <v>0.375</v>
      </c>
      <c r="H3" s="221">
        <v>0.7083333333333334</v>
      </c>
      <c r="I3" s="153">
        <v>0.0</v>
      </c>
      <c r="J3" s="153">
        <v>0.0</v>
      </c>
      <c r="K3" s="148"/>
      <c r="L3" s="149"/>
      <c r="M3" s="148"/>
      <c r="N3" s="148"/>
      <c r="O3" s="150"/>
      <c r="P3" s="148"/>
      <c r="Q3" s="148"/>
      <c r="R3" s="151"/>
      <c r="S3" s="151"/>
      <c r="T3" s="152"/>
      <c r="U3" s="152"/>
    </row>
    <row r="4">
      <c r="A4" s="9" t="s">
        <v>17</v>
      </c>
      <c r="B4" s="10">
        <v>45964.0</v>
      </c>
      <c r="C4" s="222">
        <v>0.0</v>
      </c>
      <c r="D4" s="144">
        <v>0.0</v>
      </c>
      <c r="E4" s="219">
        <v>0.3645833333333333</v>
      </c>
      <c r="F4" s="219">
        <v>0.6979166666666666</v>
      </c>
      <c r="G4" s="219">
        <v>0.3541666666666667</v>
      </c>
      <c r="H4" s="219">
        <v>0.6979166666666666</v>
      </c>
      <c r="I4" s="149"/>
      <c r="J4" s="149"/>
      <c r="K4" s="144"/>
      <c r="L4" s="144"/>
      <c r="M4" s="144"/>
      <c r="N4" s="153"/>
      <c r="O4" s="146"/>
      <c r="P4" s="144"/>
      <c r="Q4" s="144"/>
      <c r="R4" s="144"/>
      <c r="S4" s="153"/>
      <c r="T4" s="147"/>
      <c r="U4" s="147"/>
    </row>
    <row r="5">
      <c r="A5" s="9" t="s">
        <v>18</v>
      </c>
      <c r="B5" s="10">
        <v>45965.0</v>
      </c>
      <c r="C5" s="223">
        <v>0.3055555555555556</v>
      </c>
      <c r="D5" s="224">
        <v>0.7083333333333334</v>
      </c>
      <c r="E5" s="153">
        <v>0.0</v>
      </c>
      <c r="F5" s="153">
        <v>0.0</v>
      </c>
      <c r="G5" s="224">
        <v>0.3958333333333333</v>
      </c>
      <c r="H5" s="224">
        <v>0.7083333333333334</v>
      </c>
      <c r="I5" s="151"/>
      <c r="J5" s="151"/>
      <c r="K5" s="149"/>
      <c r="L5" s="151"/>
      <c r="M5" s="151"/>
      <c r="N5" s="151"/>
      <c r="O5" s="154"/>
      <c r="P5" s="151"/>
      <c r="Q5" s="151"/>
      <c r="R5" s="151"/>
      <c r="S5" s="151"/>
      <c r="T5" s="152"/>
      <c r="U5" s="155"/>
    </row>
    <row r="6">
      <c r="A6" s="9" t="s">
        <v>19</v>
      </c>
      <c r="B6" s="10">
        <v>45966.0</v>
      </c>
      <c r="C6" s="225">
        <v>0.3020833333333333</v>
      </c>
      <c r="D6" s="226">
        <v>0.6979166666666666</v>
      </c>
      <c r="E6" s="226">
        <v>0.3541666666666667</v>
      </c>
      <c r="F6" s="226">
        <v>0.6972222222222222</v>
      </c>
      <c r="G6" s="144">
        <v>0.0</v>
      </c>
      <c r="H6" s="144">
        <v>0.0</v>
      </c>
      <c r="I6" s="219">
        <v>0.3194444444444444</v>
      </c>
      <c r="J6" s="219">
        <v>0.7361111111111112</v>
      </c>
      <c r="K6" s="144"/>
      <c r="L6" s="144"/>
      <c r="M6" s="144"/>
      <c r="N6" s="144"/>
      <c r="O6" s="146"/>
      <c r="P6" s="144"/>
      <c r="Q6" s="144"/>
      <c r="R6" s="144"/>
      <c r="S6" s="144"/>
      <c r="T6" s="147"/>
      <c r="U6" s="147"/>
    </row>
    <row r="7">
      <c r="A7" s="9" t="s">
        <v>22</v>
      </c>
      <c r="B7" s="10">
        <v>45967.0</v>
      </c>
      <c r="C7" s="223">
        <v>0.3020833333333333</v>
      </c>
      <c r="D7" s="224">
        <v>0.7013888888888888</v>
      </c>
      <c r="E7" s="224">
        <v>0.3680555555555556</v>
      </c>
      <c r="F7" s="224">
        <v>0.7048611111111112</v>
      </c>
      <c r="G7" s="224">
        <v>0.3611111111111111</v>
      </c>
      <c r="H7" s="224">
        <v>0.6388888888888888</v>
      </c>
      <c r="I7" s="224">
        <v>0.3611111111111111</v>
      </c>
      <c r="J7" s="224">
        <v>0.7395833333333334</v>
      </c>
      <c r="K7" s="151"/>
      <c r="L7" s="151"/>
      <c r="M7" s="151"/>
      <c r="N7" s="149"/>
      <c r="O7" s="154"/>
      <c r="P7" s="151"/>
      <c r="Q7" s="151"/>
      <c r="R7" s="151"/>
      <c r="S7" s="151"/>
      <c r="T7" s="152"/>
      <c r="U7" s="152"/>
    </row>
    <row r="8">
      <c r="A8" s="156" t="s">
        <v>23</v>
      </c>
      <c r="B8" s="157">
        <v>45968.0</v>
      </c>
      <c r="C8" s="227">
        <v>0.3055555555555556</v>
      </c>
      <c r="D8" s="228">
        <v>0.6944444444444444</v>
      </c>
      <c r="E8" s="228">
        <v>0.3576388888888889</v>
      </c>
      <c r="F8" s="228">
        <v>0.6944444444444444</v>
      </c>
      <c r="G8" s="158">
        <v>0.0</v>
      </c>
      <c r="H8" s="158">
        <v>0.0</v>
      </c>
      <c r="I8" s="228">
        <v>0.3541666666666667</v>
      </c>
      <c r="J8" s="228">
        <v>0.7291666666666666</v>
      </c>
      <c r="K8" s="171"/>
      <c r="L8" s="171"/>
      <c r="M8" s="171"/>
      <c r="N8" s="171"/>
      <c r="O8" s="172"/>
      <c r="P8" s="171"/>
      <c r="Q8" s="171"/>
      <c r="R8" s="171"/>
      <c r="S8" s="171"/>
      <c r="T8" s="161"/>
      <c r="U8" s="161"/>
    </row>
    <row r="9">
      <c r="A9" s="9" t="s">
        <v>24</v>
      </c>
      <c r="B9" s="10">
        <v>45969.0</v>
      </c>
      <c r="C9" s="223">
        <v>0.3055555555555556</v>
      </c>
      <c r="D9" s="224">
        <v>0.7638888888888888</v>
      </c>
      <c r="E9" s="224">
        <v>0.3645833333333333</v>
      </c>
      <c r="F9" s="224">
        <v>0.7534722222222222</v>
      </c>
      <c r="G9" s="224">
        <v>0.4027777777777778</v>
      </c>
      <c r="H9" s="224">
        <v>0.7291666666666666</v>
      </c>
      <c r="I9" s="166"/>
      <c r="J9" s="166"/>
      <c r="K9" s="166"/>
      <c r="L9" s="166"/>
      <c r="M9" s="166"/>
      <c r="N9" s="166"/>
      <c r="O9" s="169"/>
      <c r="P9" s="166"/>
      <c r="Q9" s="166"/>
      <c r="R9" s="166"/>
      <c r="S9" s="166"/>
      <c r="T9" s="152"/>
      <c r="U9" s="152"/>
    </row>
    <row r="10">
      <c r="A10" s="9" t="s">
        <v>12</v>
      </c>
      <c r="B10" s="10">
        <v>45970.0</v>
      </c>
      <c r="C10" s="229">
        <v>0.3194444444444444</v>
      </c>
      <c r="D10" s="221">
        <v>0.7013888888888888</v>
      </c>
      <c r="E10" s="221">
        <v>0.34375</v>
      </c>
      <c r="F10" s="221">
        <v>0.7013888888888888</v>
      </c>
      <c r="G10" s="221">
        <v>0.34375</v>
      </c>
      <c r="H10" s="221">
        <v>0.6770833333333334</v>
      </c>
      <c r="I10" s="221">
        <v>0.3333333333333333</v>
      </c>
      <c r="J10" s="221">
        <v>0.7083333333333334</v>
      </c>
      <c r="K10" s="173"/>
      <c r="L10" s="168"/>
      <c r="M10" s="168"/>
      <c r="N10" s="173"/>
      <c r="O10" s="174"/>
      <c r="P10" s="173"/>
      <c r="Q10" s="173"/>
      <c r="R10" s="165"/>
      <c r="S10" s="219">
        <v>0.4166666666666667</v>
      </c>
      <c r="T10" s="219">
        <v>0.7777777777777778</v>
      </c>
      <c r="U10" s="147"/>
    </row>
    <row r="11">
      <c r="A11" s="9" t="s">
        <v>17</v>
      </c>
      <c r="B11" s="10">
        <v>45971.0</v>
      </c>
      <c r="C11" s="223">
        <v>0.3125</v>
      </c>
      <c r="D11" s="224">
        <v>0.7291666666666666</v>
      </c>
      <c r="E11" s="224">
        <v>0.3715277777777778</v>
      </c>
      <c r="F11" s="224">
        <v>0.7465277777777778</v>
      </c>
      <c r="G11" s="224">
        <v>0.3611111111111111</v>
      </c>
      <c r="H11" s="224">
        <v>0.7083333333333334</v>
      </c>
      <c r="I11" s="166"/>
      <c r="J11" s="166"/>
      <c r="K11" s="166"/>
      <c r="L11" s="166"/>
      <c r="M11" s="166"/>
      <c r="N11" s="166"/>
      <c r="O11" s="169"/>
      <c r="P11" s="166"/>
      <c r="Q11" s="166"/>
      <c r="R11" s="166"/>
      <c r="S11" s="166"/>
      <c r="T11" s="152"/>
      <c r="U11" s="162"/>
    </row>
    <row r="12">
      <c r="A12" s="9" t="s">
        <v>18</v>
      </c>
      <c r="B12" s="10">
        <v>45972.0</v>
      </c>
      <c r="C12" s="218">
        <v>0.3125</v>
      </c>
      <c r="D12" s="219">
        <v>0.7013888888888888</v>
      </c>
      <c r="E12" s="153">
        <v>0.0</v>
      </c>
      <c r="F12" s="153">
        <v>0.0</v>
      </c>
      <c r="G12" s="226">
        <v>0.3402777777777778</v>
      </c>
      <c r="H12" s="226">
        <v>0.6111111111111112</v>
      </c>
      <c r="I12" s="165"/>
      <c r="J12" s="165"/>
      <c r="K12" s="168"/>
      <c r="L12" s="165"/>
      <c r="M12" s="165"/>
      <c r="N12" s="165"/>
      <c r="O12" s="170"/>
      <c r="P12" s="165"/>
      <c r="Q12" s="165"/>
      <c r="R12" s="165"/>
      <c r="S12" s="165"/>
      <c r="T12" s="147"/>
      <c r="U12" s="147"/>
    </row>
    <row r="13">
      <c r="A13" s="9" t="s">
        <v>19</v>
      </c>
      <c r="B13" s="10">
        <v>45973.0</v>
      </c>
      <c r="C13" s="225">
        <v>0.3125</v>
      </c>
      <c r="D13" s="226">
        <v>0.7291666666666666</v>
      </c>
      <c r="E13" s="224">
        <v>0.3611111111111111</v>
      </c>
      <c r="F13" s="224">
        <v>0.7291666666666666</v>
      </c>
      <c r="G13" s="224">
        <v>0.3611111111111111</v>
      </c>
      <c r="H13" s="151">
        <v>1730.0</v>
      </c>
      <c r="I13" s="168"/>
      <c r="J13" s="168"/>
      <c r="K13" s="166"/>
      <c r="L13" s="166"/>
      <c r="M13" s="166"/>
      <c r="N13" s="168"/>
      <c r="O13" s="169"/>
      <c r="P13" s="166"/>
      <c r="Q13" s="166"/>
      <c r="R13" s="166"/>
      <c r="S13" s="166"/>
      <c r="T13" s="152"/>
      <c r="U13" s="152"/>
    </row>
    <row r="14">
      <c r="A14" s="9" t="s">
        <v>22</v>
      </c>
      <c r="B14" s="10">
        <v>45974.0</v>
      </c>
      <c r="C14" s="218">
        <v>0.3194444444444444</v>
      </c>
      <c r="D14" s="219">
        <v>0.7638888888888888</v>
      </c>
      <c r="E14" s="226">
        <v>0.3645833333333333</v>
      </c>
      <c r="F14" s="226">
        <v>0.75</v>
      </c>
      <c r="G14" s="219">
        <v>0.3402777777777778</v>
      </c>
      <c r="H14" s="219">
        <v>0.7326388888888888</v>
      </c>
      <c r="I14" s="165"/>
      <c r="J14" s="165"/>
      <c r="K14" s="165"/>
      <c r="L14" s="165"/>
      <c r="M14" s="165"/>
      <c r="N14" s="165"/>
      <c r="O14" s="170"/>
      <c r="P14" s="165"/>
      <c r="Q14" s="165"/>
      <c r="R14" s="165"/>
      <c r="S14" s="165"/>
      <c r="T14" s="147"/>
      <c r="U14" s="147"/>
    </row>
    <row r="15">
      <c r="A15" s="156" t="s">
        <v>23</v>
      </c>
      <c r="B15" s="157">
        <v>45975.0</v>
      </c>
      <c r="C15" s="227">
        <v>0.3402777777777778</v>
      </c>
      <c r="D15" s="228">
        <v>0.7013888888888888</v>
      </c>
      <c r="E15" s="228">
        <v>0.3576388888888889</v>
      </c>
      <c r="F15" s="228">
        <v>0.6986111111111111</v>
      </c>
      <c r="G15" s="153">
        <v>0.0</v>
      </c>
      <c r="H15" s="153">
        <v>0.0</v>
      </c>
      <c r="I15" s="171"/>
      <c r="J15" s="171"/>
      <c r="K15" s="171"/>
      <c r="L15" s="171"/>
      <c r="M15" s="171"/>
      <c r="N15" s="171"/>
      <c r="O15" s="172"/>
      <c r="P15" s="171"/>
      <c r="Q15" s="171"/>
      <c r="R15" s="171"/>
      <c r="S15" s="171"/>
      <c r="T15" s="161"/>
      <c r="U15" s="161"/>
    </row>
    <row r="16">
      <c r="A16" s="9" t="s">
        <v>24</v>
      </c>
      <c r="B16" s="10">
        <v>45976.0</v>
      </c>
      <c r="C16" s="230">
        <v>0.3194444444444444</v>
      </c>
      <c r="D16" s="231">
        <v>0.6944444444444444</v>
      </c>
      <c r="E16" s="231">
        <v>0.3506944444444444</v>
      </c>
      <c r="F16" s="231">
        <v>0.6944444444444444</v>
      </c>
      <c r="G16" s="231">
        <v>0.3402777777777778</v>
      </c>
      <c r="H16" s="231">
        <v>0.6944444444444444</v>
      </c>
      <c r="I16" s="232"/>
      <c r="J16" s="232"/>
      <c r="K16" s="232"/>
      <c r="L16" s="165"/>
      <c r="M16" s="165"/>
      <c r="N16" s="165"/>
      <c r="O16" s="170"/>
      <c r="P16" s="165"/>
      <c r="Q16" s="165"/>
      <c r="R16" s="165"/>
      <c r="S16" s="165"/>
      <c r="T16" s="147"/>
      <c r="U16" s="147"/>
    </row>
    <row r="17">
      <c r="A17" s="9" t="s">
        <v>12</v>
      </c>
      <c r="B17" s="10">
        <v>45977.0</v>
      </c>
      <c r="C17" s="229">
        <v>0.3333333333333333</v>
      </c>
      <c r="D17" s="221">
        <v>0.7291666666666666</v>
      </c>
      <c r="E17" s="221">
        <v>0.3645833333333333</v>
      </c>
      <c r="F17" s="221">
        <v>0.7326388888888888</v>
      </c>
      <c r="G17" s="221">
        <v>0.3472222222222222</v>
      </c>
      <c r="H17" s="221">
        <v>0.71875</v>
      </c>
      <c r="I17" s="173"/>
      <c r="J17" s="173"/>
      <c r="K17" s="173"/>
      <c r="L17" s="168"/>
      <c r="M17" s="173"/>
      <c r="N17" s="173"/>
      <c r="O17" s="174"/>
      <c r="P17" s="173"/>
      <c r="Q17" s="173"/>
      <c r="R17" s="166"/>
      <c r="S17" s="166"/>
      <c r="T17" s="152"/>
      <c r="U17" s="152"/>
    </row>
    <row r="18">
      <c r="A18" s="9" t="s">
        <v>17</v>
      </c>
      <c r="B18" s="10">
        <v>45978.0</v>
      </c>
      <c r="C18" s="218">
        <v>0.3333333333333333</v>
      </c>
      <c r="D18" s="219">
        <v>0.6944444444444444</v>
      </c>
      <c r="E18" s="144">
        <v>0.0</v>
      </c>
      <c r="F18" s="144">
        <v>0.0</v>
      </c>
      <c r="G18" s="219">
        <v>0.3402777777777778</v>
      </c>
      <c r="H18" s="219">
        <v>0.6944444444444444</v>
      </c>
      <c r="I18" s="165"/>
      <c r="J18" s="165"/>
      <c r="K18" s="165"/>
      <c r="L18" s="165"/>
      <c r="M18" s="165"/>
      <c r="N18" s="165"/>
      <c r="O18" s="170"/>
      <c r="P18" s="165"/>
      <c r="Q18" s="165"/>
      <c r="R18" s="165"/>
      <c r="S18" s="165"/>
      <c r="T18" s="147"/>
      <c r="U18" s="147"/>
    </row>
    <row r="19">
      <c r="A19" s="9" t="s">
        <v>18</v>
      </c>
      <c r="B19" s="10">
        <v>45979.0</v>
      </c>
      <c r="C19" s="233"/>
      <c r="D19" s="166"/>
      <c r="E19" s="167"/>
      <c r="F19" s="167"/>
      <c r="G19" s="166"/>
      <c r="H19" s="166"/>
      <c r="I19" s="166"/>
      <c r="J19" s="166"/>
      <c r="K19" s="166"/>
      <c r="L19" s="166"/>
      <c r="M19" s="168"/>
      <c r="N19" s="166"/>
      <c r="O19" s="169"/>
      <c r="P19" s="166"/>
      <c r="Q19" s="166"/>
      <c r="R19" s="166"/>
      <c r="S19" s="166"/>
      <c r="T19" s="152"/>
      <c r="U19" s="152"/>
    </row>
    <row r="20">
      <c r="A20" s="9" t="s">
        <v>19</v>
      </c>
      <c r="B20" s="10">
        <v>45980.0</v>
      </c>
      <c r="C20" s="187"/>
      <c r="D20" s="165"/>
      <c r="E20" s="165"/>
      <c r="F20" s="165"/>
      <c r="G20" s="165"/>
      <c r="H20" s="165"/>
      <c r="I20" s="165"/>
      <c r="J20" s="165"/>
      <c r="K20" s="165"/>
      <c r="L20" s="165"/>
      <c r="M20" s="165"/>
      <c r="N20" s="168"/>
      <c r="O20" s="170"/>
      <c r="P20" s="165"/>
      <c r="Q20" s="165"/>
      <c r="R20" s="165"/>
      <c r="S20" s="165"/>
      <c r="T20" s="147"/>
      <c r="U20" s="147"/>
    </row>
    <row r="21">
      <c r="A21" s="9" t="s">
        <v>22</v>
      </c>
      <c r="B21" s="10">
        <v>45981.0</v>
      </c>
      <c r="C21" s="233"/>
      <c r="D21" s="166"/>
      <c r="E21" s="166"/>
      <c r="F21" s="166"/>
      <c r="G21" s="166"/>
      <c r="H21" s="166"/>
      <c r="I21" s="166"/>
      <c r="J21" s="166"/>
      <c r="K21" s="166"/>
      <c r="L21" s="166"/>
      <c r="M21" s="166"/>
      <c r="N21" s="166"/>
      <c r="O21" s="169"/>
      <c r="P21" s="166"/>
      <c r="Q21" s="166"/>
      <c r="R21" s="166"/>
      <c r="S21" s="166"/>
      <c r="T21" s="152"/>
      <c r="U21" s="152"/>
    </row>
    <row r="22">
      <c r="A22" s="156" t="s">
        <v>23</v>
      </c>
      <c r="B22" s="157">
        <v>45982.0</v>
      </c>
      <c r="C22" s="182"/>
      <c r="D22" s="171"/>
      <c r="E22" s="171"/>
      <c r="F22" s="171"/>
      <c r="G22" s="171"/>
      <c r="H22" s="171"/>
      <c r="I22" s="171"/>
      <c r="J22" s="171"/>
      <c r="K22" s="171"/>
      <c r="L22" s="171"/>
      <c r="M22" s="171"/>
      <c r="N22" s="171"/>
      <c r="O22" s="172"/>
      <c r="P22" s="171"/>
      <c r="Q22" s="171"/>
      <c r="R22" s="171"/>
      <c r="S22" s="171"/>
      <c r="T22" s="161"/>
      <c r="U22" s="161"/>
    </row>
    <row r="23">
      <c r="A23" s="9" t="s">
        <v>24</v>
      </c>
      <c r="B23" s="10">
        <v>45983.0</v>
      </c>
      <c r="C23" s="233"/>
      <c r="D23" s="166"/>
      <c r="E23" s="166"/>
      <c r="F23" s="166"/>
      <c r="G23" s="166"/>
      <c r="H23" s="166"/>
      <c r="I23" s="166"/>
      <c r="J23" s="166"/>
      <c r="K23" s="166"/>
      <c r="L23" s="166"/>
      <c r="M23" s="166"/>
      <c r="N23" s="166"/>
      <c r="O23" s="169"/>
      <c r="P23" s="166"/>
      <c r="Q23" s="166"/>
      <c r="R23" s="166"/>
      <c r="S23" s="166"/>
      <c r="T23" s="152"/>
      <c r="U23" s="152"/>
    </row>
    <row r="24">
      <c r="A24" s="9" t="s">
        <v>12</v>
      </c>
      <c r="B24" s="10">
        <v>45984.0</v>
      </c>
      <c r="C24" s="234"/>
      <c r="D24" s="173"/>
      <c r="E24" s="173"/>
      <c r="F24" s="173"/>
      <c r="G24" s="173"/>
      <c r="H24" s="173"/>
      <c r="I24" s="173"/>
      <c r="J24" s="173"/>
      <c r="K24" s="173"/>
      <c r="L24" s="168"/>
      <c r="M24" s="168"/>
      <c r="N24" s="173"/>
      <c r="O24" s="174"/>
      <c r="P24" s="173"/>
      <c r="Q24" s="173"/>
      <c r="R24" s="165"/>
      <c r="S24" s="165"/>
      <c r="T24" s="147"/>
      <c r="U24" s="147"/>
    </row>
    <row r="25">
      <c r="A25" s="9" t="s">
        <v>17</v>
      </c>
      <c r="B25" s="10">
        <v>45985.0</v>
      </c>
      <c r="C25" s="235"/>
      <c r="D25" s="175"/>
      <c r="E25" s="175"/>
      <c r="F25" s="175"/>
      <c r="G25" s="175"/>
      <c r="H25" s="175"/>
      <c r="I25" s="175"/>
      <c r="J25" s="175"/>
      <c r="K25" s="175"/>
      <c r="L25" s="175"/>
      <c r="M25" s="166"/>
      <c r="N25" s="175"/>
      <c r="O25" s="176"/>
      <c r="P25" s="175"/>
      <c r="Q25" s="166"/>
      <c r="R25" s="175"/>
      <c r="S25" s="175"/>
      <c r="T25" s="152"/>
      <c r="U25" s="152"/>
    </row>
    <row r="26">
      <c r="A26" s="9" t="s">
        <v>18</v>
      </c>
      <c r="B26" s="10">
        <v>45986.0</v>
      </c>
      <c r="C26" s="187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70"/>
      <c r="P26" s="165"/>
      <c r="Q26" s="165"/>
      <c r="R26" s="165"/>
      <c r="S26" s="165"/>
      <c r="T26" s="147"/>
      <c r="U26" s="147"/>
    </row>
    <row r="27">
      <c r="A27" s="9" t="s">
        <v>19</v>
      </c>
      <c r="B27" s="10">
        <v>45987.0</v>
      </c>
      <c r="C27" s="236"/>
      <c r="D27" s="177"/>
      <c r="E27" s="155"/>
      <c r="F27" s="155"/>
      <c r="G27" s="155"/>
      <c r="H27" s="155"/>
      <c r="I27" s="155"/>
      <c r="J27" s="155"/>
      <c r="K27" s="155"/>
      <c r="L27" s="155"/>
      <c r="M27" s="155"/>
      <c r="N27" s="178"/>
      <c r="O27" s="155"/>
      <c r="P27" s="155"/>
      <c r="Q27" s="166"/>
      <c r="R27" s="166"/>
      <c r="S27" s="168"/>
      <c r="T27" s="152"/>
      <c r="U27" s="152"/>
    </row>
    <row r="28">
      <c r="A28" s="9" t="s">
        <v>22</v>
      </c>
      <c r="B28" s="10">
        <v>45988.0</v>
      </c>
      <c r="C28" s="186"/>
      <c r="D28" s="179"/>
      <c r="E28" s="177"/>
      <c r="F28" s="177"/>
      <c r="G28" s="179"/>
      <c r="H28" s="179"/>
      <c r="I28" s="179"/>
      <c r="J28" s="179"/>
      <c r="K28" s="179"/>
      <c r="L28" s="179"/>
      <c r="M28" s="179"/>
      <c r="N28" s="179"/>
      <c r="O28" s="179"/>
      <c r="P28" s="179"/>
      <c r="Q28" s="165"/>
      <c r="R28" s="165"/>
      <c r="S28" s="165"/>
      <c r="T28" s="147"/>
      <c r="U28" s="147"/>
    </row>
    <row r="29">
      <c r="A29" s="156" t="s">
        <v>23</v>
      </c>
      <c r="B29" s="157">
        <v>45989.0</v>
      </c>
      <c r="C29" s="181"/>
      <c r="D29" s="180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2"/>
      <c r="T29" s="183"/>
      <c r="U29" s="183"/>
    </row>
    <row r="30">
      <c r="A30" s="9" t="s">
        <v>24</v>
      </c>
      <c r="B30" s="10">
        <v>45990.0</v>
      </c>
      <c r="C30" s="185"/>
      <c r="D30" s="184"/>
      <c r="E30" s="185"/>
      <c r="F30" s="185"/>
      <c r="G30" s="185"/>
      <c r="H30" s="185"/>
      <c r="I30" s="185"/>
      <c r="J30" s="185"/>
      <c r="K30" s="185"/>
      <c r="L30" s="185"/>
      <c r="M30" s="186"/>
      <c r="N30" s="185"/>
      <c r="O30" s="185"/>
      <c r="P30" s="186"/>
      <c r="Q30" s="186"/>
      <c r="R30" s="186"/>
      <c r="S30" s="187"/>
      <c r="T30" s="188"/>
      <c r="U30" s="188"/>
    </row>
    <row r="31">
      <c r="A31" s="9" t="s">
        <v>12</v>
      </c>
      <c r="B31" s="10">
        <v>45991.0</v>
      </c>
      <c r="C31" s="190"/>
      <c r="D31" s="189"/>
      <c r="E31" s="190"/>
      <c r="F31" s="190"/>
      <c r="G31" s="190"/>
      <c r="H31" s="190"/>
      <c r="I31" s="190"/>
      <c r="J31" s="190"/>
      <c r="K31" s="190"/>
      <c r="L31" s="190"/>
      <c r="M31" s="190"/>
      <c r="N31" s="190"/>
      <c r="O31" s="190"/>
      <c r="P31" s="190"/>
      <c r="Q31" s="190"/>
      <c r="R31" s="190"/>
      <c r="S31" s="191"/>
      <c r="T31" s="192"/>
      <c r="U31" s="192"/>
    </row>
    <row r="32">
      <c r="A32" s="9" t="s">
        <v>368</v>
      </c>
      <c r="B32" s="10"/>
      <c r="C32" s="195"/>
      <c r="D32" s="193"/>
      <c r="E32" s="237"/>
      <c r="F32" s="237"/>
      <c r="G32" s="195"/>
      <c r="H32" s="195"/>
      <c r="I32" s="195"/>
      <c r="J32" s="195"/>
      <c r="K32" s="195"/>
      <c r="L32" s="237"/>
      <c r="M32" s="195"/>
      <c r="N32" s="237"/>
      <c r="O32" s="237"/>
      <c r="P32" s="237"/>
      <c r="Q32" s="237"/>
      <c r="R32" s="237"/>
      <c r="S32" s="195"/>
      <c r="T32" s="237"/>
      <c r="U32" s="238"/>
    </row>
  </sheetData>
  <mergeCells count="5">
    <mergeCell ref="C1:D1"/>
    <mergeCell ref="E1:F1"/>
    <mergeCell ref="G1:H1"/>
    <mergeCell ref="I1:J1"/>
    <mergeCell ref="S1:T1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2.75"/>
    <col customWidth="1" min="4" max="4" width="25.38"/>
    <col customWidth="1" min="5" max="5" width="25.63"/>
    <col customWidth="1" min="6" max="6" width="29.38"/>
    <col customWidth="1" min="7" max="7" width="17.13"/>
    <col customWidth="1" min="8" max="8" width="179.63"/>
  </cols>
  <sheetData>
    <row r="1">
      <c r="H1" s="239"/>
    </row>
    <row r="2">
      <c r="H2" s="239"/>
    </row>
    <row r="3">
      <c r="H3" s="239"/>
    </row>
    <row r="4">
      <c r="H4" s="239"/>
    </row>
    <row r="5">
      <c r="H5" s="239"/>
    </row>
    <row r="6">
      <c r="H6" s="239"/>
    </row>
    <row r="7">
      <c r="H7" s="239"/>
    </row>
    <row r="8">
      <c r="H8" s="239"/>
    </row>
    <row r="9">
      <c r="H9" s="239"/>
    </row>
    <row r="10">
      <c r="H10" s="239"/>
    </row>
    <row r="11">
      <c r="H11" s="239"/>
    </row>
    <row r="12">
      <c r="H12" s="239"/>
    </row>
    <row r="13">
      <c r="H13" s="239"/>
    </row>
    <row r="14">
      <c r="A14" s="6"/>
      <c r="B14" s="6"/>
      <c r="C14" s="6"/>
      <c r="D14" s="6"/>
      <c r="E14" s="6"/>
      <c r="F14" s="6"/>
      <c r="H14" s="239"/>
    </row>
    <row r="15">
      <c r="A15" s="6"/>
      <c r="B15" s="6"/>
      <c r="C15" s="6"/>
      <c r="D15" s="6"/>
      <c r="E15" s="6"/>
      <c r="F15" s="6"/>
      <c r="H15" s="239"/>
    </row>
    <row r="16">
      <c r="A16" s="6"/>
      <c r="B16" s="147"/>
      <c r="C16" s="240" t="s">
        <v>371</v>
      </c>
      <c r="D16" s="240" t="s">
        <v>4</v>
      </c>
      <c r="E16" s="240" t="s">
        <v>372</v>
      </c>
      <c r="F16" s="241" t="s">
        <v>373</v>
      </c>
      <c r="G16" s="242"/>
      <c r="H16" s="243"/>
    </row>
    <row r="17">
      <c r="A17" s="6"/>
      <c r="B17" s="152"/>
      <c r="C17" s="244" t="s">
        <v>374</v>
      </c>
      <c r="D17" s="245">
        <v>30000.0</v>
      </c>
      <c r="E17" s="246"/>
      <c r="F17" s="245">
        <f t="shared" ref="F17:F34" si="1">D17-E17</f>
        <v>30000</v>
      </c>
      <c r="G17" s="247"/>
      <c r="H17" s="248"/>
    </row>
    <row r="18">
      <c r="A18" s="6"/>
      <c r="B18" s="147"/>
      <c r="C18" s="249" t="s">
        <v>375</v>
      </c>
      <c r="D18" s="205">
        <v>30000.0</v>
      </c>
      <c r="E18" s="250"/>
      <c r="F18" s="205">
        <f t="shared" si="1"/>
        <v>30000</v>
      </c>
      <c r="G18" s="251"/>
      <c r="H18" s="252"/>
    </row>
    <row r="19">
      <c r="A19" s="6"/>
      <c r="B19" s="169">
        <v>1.0</v>
      </c>
      <c r="C19" s="244" t="s">
        <v>376</v>
      </c>
      <c r="D19" s="245">
        <f>'Pointage '!C35</f>
        <v>30192.75</v>
      </c>
      <c r="E19" s="253"/>
      <c r="F19" s="245">
        <f t="shared" si="1"/>
        <v>30192.75</v>
      </c>
      <c r="G19" s="247"/>
      <c r="H19" s="248"/>
    </row>
    <row r="20">
      <c r="A20" s="6"/>
      <c r="B20" s="170">
        <v>2.0</v>
      </c>
      <c r="C20" s="249" t="s">
        <v>356</v>
      </c>
      <c r="D20" s="205">
        <f>'Pointage '!D35</f>
        <v>23400</v>
      </c>
      <c r="E20" s="250"/>
      <c r="F20" s="205">
        <f t="shared" si="1"/>
        <v>23400</v>
      </c>
      <c r="G20" s="251"/>
      <c r="H20" s="252"/>
    </row>
    <row r="21">
      <c r="A21" s="6"/>
      <c r="B21" s="146">
        <v>3.0</v>
      </c>
      <c r="C21" s="249" t="s">
        <v>377</v>
      </c>
      <c r="D21" s="205">
        <f>'Pointage '!E35</f>
        <v>19000</v>
      </c>
      <c r="E21" s="250"/>
      <c r="F21" s="205">
        <f t="shared" si="1"/>
        <v>19000</v>
      </c>
      <c r="G21" s="251"/>
      <c r="H21" s="252"/>
    </row>
    <row r="22">
      <c r="A22" s="6"/>
      <c r="B22" s="154">
        <v>4.0</v>
      </c>
      <c r="C22" s="244" t="s">
        <v>358</v>
      </c>
      <c r="D22" s="245">
        <f>'Pointage '!F35</f>
        <v>20400</v>
      </c>
      <c r="E22" s="254">
        <v>21700.0</v>
      </c>
      <c r="F22" s="245">
        <f t="shared" si="1"/>
        <v>-1300</v>
      </c>
      <c r="G22" s="247"/>
      <c r="H22" s="255" t="s">
        <v>378</v>
      </c>
    </row>
    <row r="23">
      <c r="A23" s="6"/>
      <c r="B23" s="146">
        <v>5.0</v>
      </c>
      <c r="C23" s="249" t="s">
        <v>379</v>
      </c>
      <c r="D23" s="205">
        <f>'Pointage '!G35</f>
        <v>9900</v>
      </c>
      <c r="E23" s="256">
        <v>8000.0</v>
      </c>
      <c r="F23" s="205">
        <f t="shared" si="1"/>
        <v>1900</v>
      </c>
      <c r="G23" s="251"/>
      <c r="H23" s="257" t="s">
        <v>380</v>
      </c>
    </row>
    <row r="24">
      <c r="A24" s="6"/>
      <c r="B24" s="154">
        <v>6.0</v>
      </c>
      <c r="C24" s="244" t="s">
        <v>360</v>
      </c>
      <c r="D24" s="245">
        <f>'Pointage '!H35</f>
        <v>14800</v>
      </c>
      <c r="E24" s="253"/>
      <c r="F24" s="245">
        <f t="shared" si="1"/>
        <v>14800</v>
      </c>
      <c r="G24" s="247"/>
      <c r="H24" s="255"/>
    </row>
    <row r="25">
      <c r="A25" s="6"/>
      <c r="B25" s="146">
        <v>7.0</v>
      </c>
      <c r="C25" s="249" t="s">
        <v>361</v>
      </c>
      <c r="D25" s="205">
        <f>'Pointage '!I35</f>
        <v>14000</v>
      </c>
      <c r="E25" s="250"/>
      <c r="F25" s="205">
        <f t="shared" si="1"/>
        <v>14000</v>
      </c>
      <c r="G25" s="251"/>
      <c r="H25" s="252"/>
    </row>
    <row r="26">
      <c r="A26" s="6"/>
      <c r="B26" s="154">
        <v>8.0</v>
      </c>
      <c r="C26" s="244" t="s">
        <v>381</v>
      </c>
      <c r="D26" s="245">
        <f>'Pointage '!J35+G26</f>
        <v>16000</v>
      </c>
      <c r="E26" s="253"/>
      <c r="F26" s="245">
        <f t="shared" si="1"/>
        <v>16000</v>
      </c>
      <c r="G26" s="258">
        <v>5000.0</v>
      </c>
      <c r="H26" s="259"/>
    </row>
    <row r="27">
      <c r="A27" s="6"/>
      <c r="B27" s="146">
        <v>9.0</v>
      </c>
      <c r="C27" s="249" t="s">
        <v>382</v>
      </c>
      <c r="D27" s="205">
        <f>'Pointage '!K35</f>
        <v>10400</v>
      </c>
      <c r="E27" s="250"/>
      <c r="F27" s="205">
        <f t="shared" si="1"/>
        <v>10400</v>
      </c>
      <c r="G27" s="251"/>
      <c r="H27" s="252"/>
    </row>
    <row r="28">
      <c r="A28" s="6"/>
      <c r="B28" s="154">
        <v>10.0</v>
      </c>
      <c r="C28" s="244" t="s">
        <v>383</v>
      </c>
      <c r="D28" s="245">
        <f>'Pointage '!L35</f>
        <v>13608</v>
      </c>
      <c r="E28" s="254">
        <v>4000.0</v>
      </c>
      <c r="F28" s="245">
        <f t="shared" si="1"/>
        <v>9608</v>
      </c>
      <c r="G28" s="247"/>
      <c r="H28" s="255" t="s">
        <v>384</v>
      </c>
    </row>
    <row r="29">
      <c r="A29" s="6"/>
      <c r="B29" s="146">
        <v>11.0</v>
      </c>
      <c r="C29" s="249" t="s">
        <v>385</v>
      </c>
      <c r="D29" s="205">
        <f>'Pointage '!M35</f>
        <v>3960</v>
      </c>
      <c r="E29" s="250"/>
      <c r="F29" s="205">
        <f t="shared" si="1"/>
        <v>3960</v>
      </c>
      <c r="G29" s="251"/>
      <c r="H29" s="252"/>
    </row>
    <row r="30">
      <c r="A30" s="6"/>
      <c r="B30" s="146">
        <v>12.0</v>
      </c>
      <c r="C30" s="249" t="s">
        <v>366</v>
      </c>
      <c r="D30" s="205">
        <f>'Pointage '!N35</f>
        <v>25340</v>
      </c>
      <c r="E30" s="250"/>
      <c r="F30" s="205">
        <f t="shared" si="1"/>
        <v>25340</v>
      </c>
      <c r="G30" s="251"/>
      <c r="H30" s="252"/>
    </row>
    <row r="31">
      <c r="A31" s="6"/>
      <c r="B31" s="154">
        <v>13.0</v>
      </c>
      <c r="C31" s="260" t="s">
        <v>367</v>
      </c>
      <c r="D31" s="245">
        <f>'Pointage '!O35</f>
        <v>18300</v>
      </c>
      <c r="E31" s="253"/>
      <c r="F31" s="245">
        <f t="shared" si="1"/>
        <v>18300</v>
      </c>
      <c r="G31" s="247"/>
      <c r="H31" s="248"/>
    </row>
    <row r="32">
      <c r="A32" s="6"/>
      <c r="B32" s="146">
        <v>14.0</v>
      </c>
      <c r="C32" s="249"/>
      <c r="D32" s="205">
        <f>'Pointage '!P35</f>
        <v>0</v>
      </c>
      <c r="E32" s="250"/>
      <c r="F32" s="205">
        <f t="shared" si="1"/>
        <v>0</v>
      </c>
      <c r="G32" s="251"/>
      <c r="H32" s="252"/>
    </row>
    <row r="33">
      <c r="A33" s="6"/>
      <c r="B33" s="152"/>
      <c r="C33" s="244" t="s">
        <v>386</v>
      </c>
      <c r="D33" s="245">
        <f t="shared" ref="D33:E33" si="2">SUM(D17:D32)</f>
        <v>279300.75</v>
      </c>
      <c r="E33" s="245">
        <f t="shared" si="2"/>
        <v>33700</v>
      </c>
      <c r="F33" s="261">
        <f t="shared" si="1"/>
        <v>245600.75</v>
      </c>
      <c r="G33" s="262"/>
      <c r="H33" s="263"/>
    </row>
    <row r="34">
      <c r="A34" s="6"/>
      <c r="B34" s="147"/>
      <c r="C34" s="207"/>
      <c r="D34" s="188"/>
      <c r="E34" s="188"/>
      <c r="F34" s="205">
        <f t="shared" si="1"/>
        <v>0</v>
      </c>
      <c r="G34" s="251"/>
      <c r="H34" s="252"/>
    </row>
    <row r="35">
      <c r="A35" s="6"/>
      <c r="B35" s="210"/>
      <c r="C35" s="210"/>
      <c r="D35" s="264"/>
      <c r="E35" s="210"/>
      <c r="F35" s="210"/>
      <c r="G35" s="264"/>
      <c r="H35" s="264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