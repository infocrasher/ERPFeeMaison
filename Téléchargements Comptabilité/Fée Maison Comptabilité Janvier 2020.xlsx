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Charges" sheetId="3" r:id="rId6"/>
    <sheet state="visible" name="Salaires" sheetId="4" r:id="rId7"/>
    <sheet state="visible" name="Magasin" sheetId="5" r:id="rId8"/>
    <sheet state="visible" name="Objectif" sheetId="6" r:id="rId9"/>
  </sheets>
  <definedNames/>
  <calcPr/>
</workbook>
</file>

<file path=xl/sharedStrings.xml><?xml version="1.0" encoding="utf-8"?>
<sst xmlns="http://schemas.openxmlformats.org/spreadsheetml/2006/main" count="237" uniqueCount="139">
  <si>
    <t>Date</t>
  </si>
  <si>
    <t>Recette</t>
  </si>
  <si>
    <t>Charges</t>
  </si>
  <si>
    <t>Salaire</t>
  </si>
  <si>
    <t>Loyer</t>
  </si>
  <si>
    <t>Net Profit</t>
  </si>
  <si>
    <t>Mercredi</t>
  </si>
  <si>
    <t>Jeudi</t>
  </si>
  <si>
    <t>Vendredi</t>
  </si>
  <si>
    <t>Samedi</t>
  </si>
  <si>
    <t>Dimanche</t>
  </si>
  <si>
    <t>Lundi</t>
  </si>
  <si>
    <t>Mardi</t>
  </si>
  <si>
    <t>Dimenche</t>
  </si>
  <si>
    <t>Zehor</t>
  </si>
  <si>
    <t>Hadjer</t>
  </si>
  <si>
    <t>Sanaa</t>
  </si>
  <si>
    <t>Zoubida</t>
  </si>
  <si>
    <t>Wahiba</t>
  </si>
  <si>
    <t>Zahida</t>
  </si>
  <si>
    <t>Remarque</t>
  </si>
  <si>
    <t xml:space="preserve">Reste à payer  </t>
  </si>
  <si>
    <t>Mardfi</t>
  </si>
  <si>
    <t>TOTAL</t>
  </si>
  <si>
    <t>Salaire/jour</t>
  </si>
  <si>
    <t>SALAIRES</t>
  </si>
  <si>
    <t>Produit</t>
  </si>
  <si>
    <t>Quantité</t>
  </si>
  <si>
    <t>Prix</t>
  </si>
  <si>
    <t>Date d'achat</t>
  </si>
  <si>
    <t xml:space="preserve">Semoule Extra Ben Hamadi </t>
  </si>
  <si>
    <t>200kg</t>
  </si>
  <si>
    <t xml:space="preserve">Huile Fridor </t>
  </si>
  <si>
    <t xml:space="preserve">5 bidons de 10 litres </t>
  </si>
  <si>
    <t>Electricité</t>
  </si>
  <si>
    <t xml:space="preserve">3 mois </t>
  </si>
  <si>
    <t>gherss</t>
  </si>
  <si>
    <t>10kg</t>
  </si>
  <si>
    <t>Fromage gruyère</t>
  </si>
  <si>
    <t>1.9kg</t>
  </si>
  <si>
    <t>Fromage spéciale pizza</t>
  </si>
  <si>
    <t>5.8kg</t>
  </si>
  <si>
    <t>Sachets en papier moyen</t>
  </si>
  <si>
    <t>sachets transparent</t>
  </si>
  <si>
    <t>Semoule Amor Ben Amor</t>
  </si>
  <si>
    <t>5 sachets de 25kg</t>
  </si>
  <si>
    <t>boite 36/7</t>
  </si>
  <si>
    <t>1 carton</t>
  </si>
  <si>
    <t>boite 36/10</t>
  </si>
  <si>
    <t>boite 48/10</t>
  </si>
  <si>
    <t>2 cartons</t>
  </si>
  <si>
    <t>sac 23</t>
  </si>
  <si>
    <t xml:space="preserve">2 fardeaux </t>
  </si>
  <si>
    <t>isis</t>
  </si>
  <si>
    <t xml:space="preserve">2 bouteilles </t>
  </si>
  <si>
    <t>eau de javel</t>
  </si>
  <si>
    <t xml:space="preserve">1 bidon de 5 litres </t>
  </si>
  <si>
    <t xml:space="preserve">levure chimique </t>
  </si>
  <si>
    <t>1 boite</t>
  </si>
  <si>
    <t>sel</t>
  </si>
  <si>
    <t xml:space="preserve">gruyère </t>
  </si>
  <si>
    <t>2.5kg</t>
  </si>
  <si>
    <t xml:space="preserve">coca 1/2 litres </t>
  </si>
  <si>
    <t xml:space="preserve">jus ifruit </t>
  </si>
  <si>
    <t xml:space="preserve">3 fardeaux </t>
  </si>
  <si>
    <t xml:space="preserve">coca canettes </t>
  </si>
  <si>
    <t>Rouiba</t>
  </si>
  <si>
    <t>1 fardeau</t>
  </si>
  <si>
    <t>Cellophane</t>
  </si>
  <si>
    <t>1 rolou de 5m</t>
  </si>
  <si>
    <t xml:space="preserve">bouteilles de charbate +papier aluminium </t>
  </si>
  <si>
    <t>200+1</t>
  </si>
  <si>
    <t>Margarine Mani</t>
  </si>
  <si>
    <t>3 cartons de 24 boites</t>
  </si>
  <si>
    <t>Gherss</t>
  </si>
  <si>
    <t>20kg</t>
  </si>
  <si>
    <t>Bessele</t>
  </si>
  <si>
    <t>50kg</t>
  </si>
  <si>
    <t xml:space="preserve">semoule </t>
  </si>
  <si>
    <t>95 kg</t>
  </si>
  <si>
    <t>Tomate fraiche</t>
  </si>
  <si>
    <t>32 kg</t>
  </si>
  <si>
    <t xml:space="preserve">15 kg </t>
  </si>
  <si>
    <t>15 bidons de 10 litres</t>
  </si>
  <si>
    <t>transport yassir</t>
  </si>
  <si>
    <t>3akeri</t>
  </si>
  <si>
    <t>1kg</t>
  </si>
  <si>
    <t>felfel driss</t>
  </si>
  <si>
    <t>bessele</t>
  </si>
  <si>
    <t>Recheta</t>
  </si>
  <si>
    <t>30kg</t>
  </si>
  <si>
    <t>semoule Habour</t>
  </si>
  <si>
    <t xml:space="preserve">75kg </t>
  </si>
  <si>
    <t xml:space="preserve">Taxi transport personel </t>
  </si>
  <si>
    <t>semoule haboure +livraison</t>
  </si>
  <si>
    <t>15 sachets de 25gk</t>
  </si>
  <si>
    <t>boites 36/7</t>
  </si>
  <si>
    <t>boites36/10</t>
  </si>
  <si>
    <t>felefel guenawa</t>
  </si>
  <si>
    <t>05kg</t>
  </si>
  <si>
    <t>Storm</t>
  </si>
  <si>
    <t>1 mois Maxi</t>
  </si>
  <si>
    <t>Briquets</t>
  </si>
  <si>
    <t>100kg</t>
  </si>
  <si>
    <t xml:space="preserve">5 boites </t>
  </si>
  <si>
    <t>Baghrir</t>
  </si>
  <si>
    <t>2 semaines</t>
  </si>
  <si>
    <t>Boites 08/07</t>
  </si>
  <si>
    <t>40 pièces</t>
  </si>
  <si>
    <t>5 boites</t>
  </si>
  <si>
    <t>Herbes</t>
  </si>
  <si>
    <t>Ghress</t>
  </si>
  <si>
    <t>4.3kg</t>
  </si>
  <si>
    <t>Décapant</t>
  </si>
  <si>
    <t xml:space="preserve">lait en poudre </t>
  </si>
  <si>
    <t>2kg</t>
  </si>
  <si>
    <t>vanille</t>
  </si>
  <si>
    <t>/</t>
  </si>
  <si>
    <t xml:space="preserve">Herebes </t>
  </si>
  <si>
    <t>15kg</t>
  </si>
  <si>
    <t>détergeants pour le ménage de demain</t>
  </si>
  <si>
    <t>gheress</t>
  </si>
  <si>
    <t>6.5kg</t>
  </si>
  <si>
    <t>Refiss</t>
  </si>
  <si>
    <t>98 pièces</t>
  </si>
  <si>
    <t>5kg</t>
  </si>
  <si>
    <t>7 boquts</t>
  </si>
  <si>
    <t>Facebook</t>
  </si>
  <si>
    <t>5 kg</t>
  </si>
  <si>
    <t>TOTALE</t>
  </si>
  <si>
    <t xml:space="preserve">Somme initiale </t>
  </si>
  <si>
    <t>Rest</t>
  </si>
  <si>
    <t xml:space="preserve">Nom </t>
  </si>
  <si>
    <t>Avance</t>
  </si>
  <si>
    <t>Objectif</t>
  </si>
  <si>
    <t>Real</t>
  </si>
  <si>
    <t xml:space="preserve">Manque </t>
  </si>
  <si>
    <t>Bénéfice Prévu</t>
  </si>
  <si>
    <t>Bénéfice réel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</si>
</sst>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rgb="FF0000FF"/>
      <name val="Arial"/>
    </font>
    <font>
      <b/>
      <sz val="14.0"/>
      <color theme="1"/>
      <name val="Arial"/>
    </font>
    <font>
      <sz val="12.0"/>
      <color rgb="FF000000"/>
      <name val="Arial"/>
    </font>
    <font>
      <b/>
      <sz val="14.0"/>
      <color rgb="FFFF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b/>
      <sz val="18.0"/>
      <color theme="1"/>
      <name val="Arial"/>
    </font>
    <font>
      <b/>
      <sz val="14.0"/>
      <color rgb="FFFF0000"/>
      <name val="Arial"/>
      <scheme val="minor"/>
    </font>
    <font>
      <sz val="14.0"/>
      <color theme="1"/>
      <name val="Arial"/>
    </font>
    <font>
      <sz val="1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3" fillId="4" fontId="2" numFmtId="0" xfId="0" applyAlignment="1" applyBorder="1" applyFill="1" applyFont="1">
      <alignment horizontal="center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3" fillId="5" fontId="2" numFmtId="0" xfId="0" applyAlignment="1" applyBorder="1" applyFill="1" applyFont="1">
      <alignment horizontal="center" vertical="bottom"/>
    </xf>
    <xf borderId="1" fillId="5" fontId="3" numFmtId="164" xfId="0" applyAlignment="1" applyBorder="1" applyFont="1" applyNumberFormat="1">
      <alignment horizontal="right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readingOrder="0" vertical="bottom"/>
    </xf>
    <xf borderId="1" fillId="5" fontId="1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bottom"/>
    </xf>
    <xf borderId="1" fillId="4" fontId="1" numFmtId="3" xfId="0" applyAlignment="1" applyBorder="1" applyFont="1" applyNumberFormat="1">
      <alignment vertical="bottom"/>
    </xf>
    <xf borderId="3" fillId="4" fontId="2" numFmtId="0" xfId="0" applyAlignment="1" applyBorder="1" applyFont="1">
      <alignment horizontal="center" readingOrder="0" vertical="bottom"/>
    </xf>
    <xf borderId="3" fillId="5" fontId="2" numFmtId="0" xfId="0" applyAlignment="1" applyBorder="1" applyFont="1">
      <alignment horizontal="center" readingOrder="0" vertical="bottom"/>
    </xf>
    <xf borderId="4" fillId="3" fontId="4" numFmtId="165" xfId="0" applyAlignment="1" applyBorder="1" applyFont="1" applyNumberFormat="1">
      <alignment horizontal="center"/>
    </xf>
    <xf borderId="4" fillId="3" fontId="4" numFmtId="0" xfId="0" applyAlignment="1" applyBorder="1" applyFont="1">
      <alignment horizontal="center"/>
    </xf>
    <xf borderId="3" fillId="0" fontId="1" numFmtId="0" xfId="0" applyAlignment="1" applyBorder="1" applyFont="1">
      <alignment vertical="bottom"/>
    </xf>
    <xf borderId="1" fillId="4" fontId="3" numFmtId="164" xfId="0" applyAlignment="1" applyBorder="1" applyFont="1" applyNumberFormat="1">
      <alignment horizontal="right" vertical="bottom"/>
    </xf>
    <xf borderId="1" fillId="3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ill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4" fillId="4" fontId="4" numFmtId="0" xfId="0" applyAlignment="1" applyBorder="1" applyFont="1">
      <alignment horizontal="center"/>
    </xf>
    <xf borderId="4" fillId="5" fontId="4" numFmtId="165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readingOrder="0"/>
    </xf>
    <xf borderId="4" fillId="0" fontId="5" numFmtId="2" xfId="0" applyBorder="1" applyFont="1" applyNumberFormat="1"/>
    <xf borderId="0" fillId="4" fontId="1" numFmtId="0" xfId="0" applyAlignment="1" applyFont="1">
      <alignment vertical="bottom"/>
    </xf>
    <xf borderId="2" fillId="8" fontId="2" numFmtId="0" xfId="0" applyAlignment="1" applyBorder="1" applyFont="1">
      <alignment horizontal="center" vertical="bottom"/>
    </xf>
    <xf borderId="2" fillId="8" fontId="6" numFmtId="0" xfId="0" applyAlignment="1" applyBorder="1" applyFont="1">
      <alignment horizontal="center" vertical="bottom"/>
    </xf>
    <xf borderId="2" fillId="8" fontId="6" numFmtId="0" xfId="0" applyAlignment="1" applyBorder="1" applyFont="1">
      <alignment horizontal="center" readingOrder="0" vertical="bottom"/>
    </xf>
    <xf borderId="2" fillId="3" fontId="7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1" fillId="4" fontId="8" numFmtId="0" xfId="0" applyAlignment="1" applyBorder="1" applyFont="1">
      <alignment horizontal="right" vertical="bottom"/>
    </xf>
    <xf borderId="1" fillId="4" fontId="8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5" fontId="8" numFmtId="0" xfId="0" applyAlignment="1" applyBorder="1" applyFont="1">
      <alignment horizontal="right" readingOrder="0" vertical="bottom"/>
    </xf>
    <xf borderId="1" fillId="3" fontId="9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1" fillId="3" fontId="11" numFmtId="0" xfId="0" applyAlignment="1" applyBorder="1" applyFont="1">
      <alignment horizontal="center" vertical="bottom"/>
    </xf>
    <xf borderId="1" fillId="3" fontId="11" numFmtId="165" xfId="0" applyAlignment="1" applyBorder="1" applyFont="1" applyNumberFormat="1">
      <alignment horizontal="center" vertical="bottom"/>
    </xf>
    <xf borderId="1" fillId="6" fontId="7" numFmtId="165" xfId="0" applyAlignment="1" applyBorder="1" applyFont="1" applyNumberFormat="1">
      <alignment horizontal="center" vertical="bottom"/>
    </xf>
    <xf borderId="0" fillId="5" fontId="1" numFmtId="165" xfId="0" applyAlignment="1" applyFont="1" applyNumberFormat="1">
      <alignment vertical="bottom"/>
    </xf>
    <xf borderId="4" fillId="3" fontId="12" numFmtId="0" xfId="0" applyAlignment="1" applyBorder="1" applyFont="1">
      <alignment horizontal="center" vertical="bottom"/>
    </xf>
    <xf borderId="2" fillId="3" fontId="12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/>
    </xf>
    <xf borderId="4" fillId="0" fontId="5" numFmtId="165" xfId="0" applyAlignment="1" applyBorder="1" applyFont="1" applyNumberForma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4" fillId="5" fontId="1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6" fontId="4" numFmtId="165" xfId="0" applyAlignment="1" applyBorder="1" applyFont="1" applyNumberFormat="1">
      <alignment horizontal="center"/>
    </xf>
    <xf borderId="4" fillId="5" fontId="9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8" fontId="7" numFmtId="165" xfId="0" applyAlignment="1" applyBorder="1" applyFont="1" applyNumberFormat="1">
      <alignment horizontal="center" vertical="bottom"/>
    </xf>
    <xf borderId="3" fillId="5" fontId="9" numFmtId="0" xfId="0" applyAlignment="1" applyBorder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" fillId="5" fontId="7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center" vertical="bottom"/>
    </xf>
    <xf borderId="1" fillId="0" fontId="14" numFmtId="165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horizontal="right" readingOrder="0" vertical="bottom"/>
    </xf>
    <xf borderId="1" fillId="0" fontId="14" numFmtId="0" xfId="0" applyAlignment="1" applyBorder="1" applyFon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14" numFmtId="165" xfId="0" applyAlignment="1" applyBorder="1" applyFont="1" applyNumberFormat="1">
      <alignment horizontal="right" readingOrder="0" vertical="bottom"/>
    </xf>
    <xf borderId="1" fillId="3" fontId="15" numFmtId="0" xfId="0" applyAlignment="1" applyBorder="1" applyFont="1">
      <alignment horizontal="center" vertical="bottom"/>
    </xf>
    <xf borderId="1" fillId="3" fontId="15" numFmtId="165" xfId="0" applyAlignment="1" applyBorder="1" applyFont="1" applyNumberFormat="1">
      <alignment horizontal="right" vertical="bottom"/>
    </xf>
    <xf borderId="0" fillId="6" fontId="15" numFmtId="165" xfId="0" applyAlignment="1" applyFont="1" applyNumberFormat="1">
      <alignment horizontal="right" vertical="bottom"/>
    </xf>
    <xf borderId="1" fillId="8" fontId="15" numFmtId="0" xfId="0" applyAlignment="1" applyBorder="1" applyFont="1">
      <alignment horizontal="center" vertical="bottom"/>
    </xf>
    <xf borderId="1" fillId="8" fontId="15" numFmtId="165" xfId="0" applyAlignment="1" applyBorder="1" applyFont="1" applyNumberFormat="1">
      <alignment horizontal="right" vertical="bottom"/>
    </xf>
    <xf borderId="4" fillId="0" fontId="15" numFmtId="0" xfId="0" applyAlignment="1" applyBorder="1" applyFont="1">
      <alignment horizontal="center" vertical="bottom"/>
    </xf>
    <xf borderId="2" fillId="0" fontId="15" numFmtId="0" xfId="0" applyAlignment="1" applyBorder="1" applyFont="1">
      <alignment horizontal="center" vertical="bottom"/>
    </xf>
    <xf borderId="3" fillId="9" fontId="15" numFmtId="165" xfId="0" applyAlignment="1" applyBorder="1" applyFill="1" applyFont="1" applyNumberFormat="1">
      <alignment horizontal="center" vertical="bottom"/>
    </xf>
    <xf borderId="1" fillId="3" fontId="15" numFmtId="165" xfId="0" applyAlignment="1" applyBorder="1" applyFont="1" applyNumberFormat="1">
      <alignment horizontal="center" vertical="bottom"/>
    </xf>
    <xf borderId="1" fillId="6" fontId="15" numFmtId="165" xfId="0" applyAlignment="1" applyBorder="1" applyFont="1" applyNumberFormat="1">
      <alignment horizontal="center" vertical="bottom"/>
    </xf>
    <xf borderId="1" fillId="5" fontId="15" numFmtId="165" xfId="0" applyAlignment="1" applyBorder="1" applyFont="1" applyNumberFormat="1">
      <alignment horizontal="center" vertical="bottom"/>
    </xf>
    <xf borderId="1" fillId="8" fontId="15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RECAP!$C$1</c:f>
            </c:strRef>
          </c:tx>
          <c:spPr>
            <a:solidFill>
              <a:srgbClr val="FF00FF">
                <a:alpha val="30000"/>
              </a:srgbClr>
            </a:solidFill>
            <a:ln cmpd="sng">
              <a:solidFill>
                <a:srgbClr val="FF00FF"/>
              </a:solidFill>
            </a:ln>
          </c:spPr>
          <c:cat>
            <c:strRef>
              <c:f>RECAP!$B$2:$B$32</c:f>
            </c:strRef>
          </c:cat>
          <c:val>
            <c:numRef>
              <c:f>RECAP!$C$2:$C$32</c:f>
              <c:numCache/>
            </c:numRef>
          </c:val>
        </c:ser>
        <c:axId val="175765514"/>
        <c:axId val="1976022969"/>
      </c:areaChart>
      <c:catAx>
        <c:axId val="175765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76022969"/>
      </c:catAx>
      <c:valAx>
        <c:axId val="1976022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5765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19050</xdr:rowOff>
    </xdr:from>
    <xdr:ext cx="8591550" cy="52101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9.5"/>
    <col customWidth="1" min="18" max="18" width="6.38"/>
    <col customWidth="1" min="19" max="19" width="1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43831.0</v>
      </c>
      <c r="C2" s="5">
        <v>0.0</v>
      </c>
      <c r="D2" s="6"/>
      <c r="E2" s="6"/>
      <c r="F2" s="6"/>
      <c r="G2" s="6"/>
    </row>
    <row r="3">
      <c r="A3" s="7" t="s">
        <v>7</v>
      </c>
      <c r="B3" s="8">
        <v>43832.0</v>
      </c>
      <c r="C3" s="9">
        <v>25000.0</v>
      </c>
      <c r="D3" s="10"/>
      <c r="E3" s="10"/>
      <c r="F3" s="10"/>
      <c r="G3" s="10"/>
    </row>
    <row r="4">
      <c r="A4" s="11" t="s">
        <v>8</v>
      </c>
      <c r="B4" s="12">
        <v>43833.0</v>
      </c>
      <c r="C4" s="13">
        <v>0.0</v>
      </c>
      <c r="D4" s="14"/>
      <c r="E4" s="15"/>
      <c r="F4" s="15"/>
      <c r="G4" s="15"/>
    </row>
    <row r="5">
      <c r="A5" s="7" t="s">
        <v>9</v>
      </c>
      <c r="B5" s="8">
        <v>43834.0</v>
      </c>
      <c r="C5" s="9">
        <v>15000.0</v>
      </c>
      <c r="D5" s="10"/>
      <c r="E5" s="10"/>
      <c r="F5" s="10"/>
      <c r="G5" s="10"/>
    </row>
    <row r="6">
      <c r="A6" s="7" t="s">
        <v>10</v>
      </c>
      <c r="B6" s="8">
        <v>43835.0</v>
      </c>
      <c r="C6" s="9">
        <v>16000.0</v>
      </c>
      <c r="D6" s="10"/>
      <c r="E6" s="10"/>
      <c r="F6" s="10"/>
      <c r="G6" s="10"/>
    </row>
    <row r="7">
      <c r="A7" s="7" t="s">
        <v>11</v>
      </c>
      <c r="B7" s="8">
        <v>43836.0</v>
      </c>
      <c r="C7" s="9">
        <v>23000.0</v>
      </c>
      <c r="D7" s="10"/>
      <c r="E7" s="10"/>
      <c r="F7" s="10"/>
      <c r="G7" s="10"/>
    </row>
    <row r="8">
      <c r="A8" s="7" t="s">
        <v>12</v>
      </c>
      <c r="B8" s="8">
        <v>43837.0</v>
      </c>
      <c r="C8" s="9">
        <v>19000.0</v>
      </c>
      <c r="D8" s="10"/>
      <c r="E8" s="10"/>
      <c r="F8" s="10"/>
      <c r="G8" s="10"/>
    </row>
    <row r="9">
      <c r="A9" s="7" t="s">
        <v>6</v>
      </c>
      <c r="B9" s="8">
        <v>43838.0</v>
      </c>
      <c r="C9" s="9">
        <v>28000.0</v>
      </c>
      <c r="D9" s="10"/>
      <c r="E9" s="10"/>
      <c r="F9" s="10"/>
      <c r="G9" s="10"/>
    </row>
    <row r="10">
      <c r="A10" s="7" t="s">
        <v>7</v>
      </c>
      <c r="B10" s="8">
        <v>43839.0</v>
      </c>
      <c r="C10" s="9">
        <v>46000.0</v>
      </c>
      <c r="D10" s="10"/>
      <c r="E10" s="10"/>
      <c r="F10" s="10"/>
      <c r="G10" s="10"/>
    </row>
    <row r="11">
      <c r="A11" s="11" t="s">
        <v>8</v>
      </c>
      <c r="B11" s="12">
        <v>43840.0</v>
      </c>
      <c r="C11" s="16">
        <v>0.0</v>
      </c>
      <c r="D11" s="15"/>
      <c r="E11" s="15"/>
      <c r="F11" s="15"/>
      <c r="G11" s="15"/>
    </row>
    <row r="12">
      <c r="A12" s="7" t="s">
        <v>9</v>
      </c>
      <c r="B12" s="8">
        <v>43841.0</v>
      </c>
      <c r="C12" s="9">
        <v>53000.0</v>
      </c>
      <c r="D12" s="10"/>
      <c r="E12" s="10"/>
      <c r="F12" s="10"/>
      <c r="G12" s="10"/>
    </row>
    <row r="13">
      <c r="A13" s="7" t="s">
        <v>10</v>
      </c>
      <c r="B13" s="8">
        <v>43842.0</v>
      </c>
      <c r="C13" s="9">
        <v>25000.0</v>
      </c>
      <c r="D13" s="10"/>
      <c r="E13" s="10"/>
      <c r="F13" s="10"/>
      <c r="G13" s="10"/>
    </row>
    <row r="14">
      <c r="A14" s="7" t="s">
        <v>11</v>
      </c>
      <c r="B14" s="8">
        <v>43843.0</v>
      </c>
      <c r="C14" s="9">
        <v>18000.0</v>
      </c>
      <c r="D14" s="10"/>
      <c r="E14" s="10"/>
      <c r="F14" s="10"/>
      <c r="G14" s="10"/>
    </row>
    <row r="15">
      <c r="A15" s="7" t="s">
        <v>12</v>
      </c>
      <c r="B15" s="8">
        <v>43844.0</v>
      </c>
      <c r="C15" s="9">
        <v>21000.0</v>
      </c>
      <c r="D15" s="10"/>
      <c r="E15" s="10"/>
      <c r="F15" s="10"/>
      <c r="G15" s="10"/>
    </row>
    <row r="16">
      <c r="A16" s="7" t="s">
        <v>6</v>
      </c>
      <c r="B16" s="8">
        <v>43845.0</v>
      </c>
      <c r="C16" s="9">
        <v>14000.0</v>
      </c>
      <c r="D16" s="10"/>
      <c r="E16" s="10"/>
      <c r="F16" s="10"/>
      <c r="G16" s="10"/>
    </row>
    <row r="17">
      <c r="A17" s="7" t="s">
        <v>7</v>
      </c>
      <c r="B17" s="8">
        <v>43846.0</v>
      </c>
      <c r="C17" s="9">
        <v>27000.0</v>
      </c>
      <c r="D17" s="10"/>
      <c r="E17" s="10"/>
      <c r="F17" s="10"/>
      <c r="G17" s="10"/>
    </row>
    <row r="18">
      <c r="A18" s="11" t="s">
        <v>8</v>
      </c>
      <c r="B18" s="12">
        <v>43847.0</v>
      </c>
      <c r="C18" s="16">
        <v>0.0</v>
      </c>
      <c r="D18" s="15"/>
      <c r="E18" s="15"/>
      <c r="F18" s="15"/>
      <c r="G18" s="15"/>
    </row>
    <row r="19">
      <c r="A19" s="7" t="s">
        <v>9</v>
      </c>
      <c r="B19" s="8">
        <v>43848.0</v>
      </c>
      <c r="C19" s="9">
        <v>18000.0</v>
      </c>
      <c r="D19" s="10"/>
      <c r="E19" s="10"/>
      <c r="F19" s="10"/>
      <c r="G19" s="10"/>
    </row>
    <row r="20">
      <c r="A20" s="7" t="s">
        <v>10</v>
      </c>
      <c r="B20" s="8">
        <v>43849.0</v>
      </c>
      <c r="C20" s="9">
        <v>24000.0</v>
      </c>
      <c r="D20" s="10"/>
      <c r="E20" s="10"/>
      <c r="F20" s="10"/>
      <c r="G20" s="10"/>
    </row>
    <row r="21">
      <c r="A21" s="7" t="s">
        <v>11</v>
      </c>
      <c r="B21" s="8">
        <v>43850.0</v>
      </c>
      <c r="C21" s="9">
        <v>26000.0</v>
      </c>
      <c r="D21" s="10"/>
      <c r="E21" s="10"/>
      <c r="F21" s="10"/>
      <c r="G21" s="10"/>
    </row>
    <row r="22">
      <c r="A22" s="7" t="s">
        <v>12</v>
      </c>
      <c r="B22" s="8">
        <v>43851.0</v>
      </c>
      <c r="C22" s="9">
        <v>33000.0</v>
      </c>
      <c r="D22" s="10"/>
      <c r="E22" s="10"/>
      <c r="F22" s="10"/>
      <c r="G22" s="10"/>
    </row>
    <row r="23">
      <c r="A23" s="7" t="s">
        <v>6</v>
      </c>
      <c r="B23" s="8">
        <v>43852.0</v>
      </c>
      <c r="C23" s="9">
        <v>44000.0</v>
      </c>
      <c r="D23" s="10"/>
      <c r="E23" s="10"/>
      <c r="F23" s="10"/>
      <c r="G23" s="10"/>
    </row>
    <row r="24">
      <c r="A24" s="7" t="s">
        <v>7</v>
      </c>
      <c r="B24" s="8">
        <v>43853.0</v>
      </c>
      <c r="C24" s="9">
        <v>23000.0</v>
      </c>
      <c r="D24" s="17"/>
      <c r="E24" s="17"/>
      <c r="F24" s="17"/>
      <c r="G24" s="17"/>
    </row>
    <row r="25">
      <c r="A25" s="11" t="s">
        <v>8</v>
      </c>
      <c r="B25" s="12">
        <v>43854.0</v>
      </c>
      <c r="C25" s="16">
        <v>0.0</v>
      </c>
      <c r="D25" s="18"/>
      <c r="E25" s="18"/>
      <c r="F25" s="18"/>
      <c r="G25" s="18"/>
    </row>
    <row r="26">
      <c r="A26" s="7" t="s">
        <v>9</v>
      </c>
      <c r="B26" s="8">
        <v>43855.0</v>
      </c>
      <c r="C26" s="9">
        <v>17000.0</v>
      </c>
      <c r="D26" s="19"/>
      <c r="E26" s="19"/>
      <c r="F26" s="19"/>
      <c r="G26" s="19"/>
    </row>
    <row r="27">
      <c r="A27" s="7" t="s">
        <v>13</v>
      </c>
      <c r="B27" s="8">
        <v>43856.0</v>
      </c>
      <c r="C27" s="9">
        <v>10000.0</v>
      </c>
      <c r="D27" s="19"/>
      <c r="E27" s="19"/>
      <c r="F27" s="19"/>
      <c r="G27" s="19"/>
    </row>
    <row r="28">
      <c r="A28" s="7" t="s">
        <v>11</v>
      </c>
      <c r="B28" s="8">
        <v>43857.0</v>
      </c>
      <c r="C28" s="9">
        <v>21000.0</v>
      </c>
      <c r="D28" s="19"/>
      <c r="E28" s="19"/>
      <c r="F28" s="19"/>
      <c r="G28" s="19"/>
    </row>
    <row r="29">
      <c r="A29" s="20" t="s">
        <v>12</v>
      </c>
      <c r="B29" s="8">
        <v>43858.0</v>
      </c>
      <c r="C29" s="9">
        <v>17000.0</v>
      </c>
      <c r="D29" s="19"/>
      <c r="E29" s="19"/>
      <c r="F29" s="19"/>
      <c r="G29" s="19"/>
    </row>
    <row r="30">
      <c r="A30" s="20" t="s">
        <v>6</v>
      </c>
      <c r="B30" s="8">
        <v>43859.0</v>
      </c>
      <c r="C30" s="9">
        <v>16000.0</v>
      </c>
      <c r="D30" s="19"/>
      <c r="E30" s="19"/>
      <c r="F30" s="19"/>
      <c r="G30" s="19"/>
    </row>
    <row r="31">
      <c r="A31" s="20" t="s">
        <v>7</v>
      </c>
      <c r="B31" s="8">
        <v>43860.0</v>
      </c>
      <c r="C31" s="9">
        <v>25000.0</v>
      </c>
      <c r="D31" s="19"/>
      <c r="E31" s="19"/>
      <c r="F31" s="19"/>
      <c r="G31" s="19"/>
    </row>
    <row r="32">
      <c r="A32" s="21" t="s">
        <v>8</v>
      </c>
      <c r="B32" s="12">
        <v>43861.0</v>
      </c>
      <c r="C32" s="13">
        <v>0.0</v>
      </c>
      <c r="D32" s="18"/>
      <c r="E32" s="18"/>
      <c r="F32" s="18"/>
      <c r="G32" s="18"/>
      <c r="Q32" s="22">
        <f>C33*1</f>
        <v>604000</v>
      </c>
      <c r="R32" s="23">
        <f>Pointage!C33*1</f>
        <v>25</v>
      </c>
      <c r="S32" s="22">
        <f>Q32/R32</f>
        <v>24160</v>
      </c>
    </row>
    <row r="33">
      <c r="A33" s="24"/>
      <c r="B33" s="25"/>
      <c r="C33" s="26">
        <f>SUM(C2:C32)</f>
        <v>604000</v>
      </c>
      <c r="D33" s="27">
        <f>Charges!E78*1</f>
        <v>212000</v>
      </c>
      <c r="E33" s="28">
        <f>Pointage!I35*1</f>
        <v>155000</v>
      </c>
      <c r="F33" s="13">
        <v>45000.0</v>
      </c>
      <c r="G33" s="29">
        <f>C33-D33-E33-F33</f>
        <v>192000</v>
      </c>
      <c r="Q33" s="30"/>
      <c r="R33" s="30"/>
      <c r="S33" s="31">
        <v>25000.0</v>
      </c>
    </row>
    <row r="37">
      <c r="C37" s="32">
        <v>100.0</v>
      </c>
      <c r="D37" s="33">
        <f>(D33/C33)*100</f>
        <v>35.09933775</v>
      </c>
      <c r="E37" s="33">
        <f>(E33/C33)*100</f>
        <v>25.66225166</v>
      </c>
      <c r="F37" s="33">
        <f>(F33/C33)*100</f>
        <v>7.450331126</v>
      </c>
      <c r="G37" s="33">
        <f>(G33/C33)*100</f>
        <v>31.78807947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88"/>
    <col customWidth="1" min="10" max="10" width="25.63"/>
  </cols>
  <sheetData>
    <row r="1">
      <c r="A1" s="34"/>
      <c r="B1" s="35" t="s">
        <v>0</v>
      </c>
      <c r="C1" s="36" t="s">
        <v>14</v>
      </c>
      <c r="D1" s="37" t="s">
        <v>15</v>
      </c>
      <c r="E1" s="36" t="s">
        <v>16</v>
      </c>
      <c r="F1" s="37" t="s">
        <v>17</v>
      </c>
      <c r="G1" s="36" t="s">
        <v>18</v>
      </c>
      <c r="H1" s="36" t="s">
        <v>19</v>
      </c>
      <c r="I1" s="38" t="s">
        <v>20</v>
      </c>
      <c r="J1" s="38" t="s">
        <v>21</v>
      </c>
    </row>
    <row r="2">
      <c r="A2" s="3" t="s">
        <v>6</v>
      </c>
      <c r="B2" s="4">
        <v>43831.0</v>
      </c>
      <c r="C2" s="39">
        <v>0.0</v>
      </c>
      <c r="D2" s="39">
        <v>0.0</v>
      </c>
      <c r="E2" s="39">
        <v>0.0</v>
      </c>
      <c r="F2" s="39">
        <v>0.0</v>
      </c>
      <c r="G2" s="39">
        <v>0.0</v>
      </c>
      <c r="H2" s="39">
        <v>0.0</v>
      </c>
      <c r="I2" s="34"/>
      <c r="J2" s="40"/>
    </row>
    <row r="3">
      <c r="A3" s="7" t="s">
        <v>7</v>
      </c>
      <c r="B3" s="8">
        <v>43832.0</v>
      </c>
      <c r="C3" s="41">
        <v>1.0</v>
      </c>
      <c r="D3" s="42">
        <v>0.0</v>
      </c>
      <c r="E3" s="41">
        <v>1.0</v>
      </c>
      <c r="F3" s="42">
        <v>0.0</v>
      </c>
      <c r="G3" s="42">
        <v>0.0</v>
      </c>
      <c r="H3" s="42">
        <v>1.0</v>
      </c>
      <c r="I3" s="34"/>
      <c r="J3" s="40"/>
    </row>
    <row r="4">
      <c r="A4" s="11" t="s">
        <v>8</v>
      </c>
      <c r="B4" s="12">
        <v>43833.0</v>
      </c>
      <c r="C4" s="43">
        <v>0.0</v>
      </c>
      <c r="D4" s="44">
        <v>0.0</v>
      </c>
      <c r="E4" s="43">
        <v>0.0</v>
      </c>
      <c r="F4" s="44">
        <v>0.0</v>
      </c>
      <c r="G4" s="43">
        <v>0.0</v>
      </c>
      <c r="H4" s="43">
        <v>0.0</v>
      </c>
      <c r="I4" s="34"/>
      <c r="J4" s="40"/>
    </row>
    <row r="5">
      <c r="A5" s="7" t="s">
        <v>9</v>
      </c>
      <c r="B5" s="8">
        <v>43834.0</v>
      </c>
      <c r="C5" s="45">
        <v>1.0</v>
      </c>
      <c r="D5" s="45">
        <v>0.0</v>
      </c>
      <c r="E5" s="45">
        <v>0.0</v>
      </c>
      <c r="F5" s="45">
        <v>0.0</v>
      </c>
      <c r="G5" s="45">
        <v>1.0</v>
      </c>
      <c r="H5" s="45">
        <v>1.0</v>
      </c>
      <c r="I5" s="34"/>
      <c r="J5" s="40"/>
    </row>
    <row r="6">
      <c r="A6" s="7" t="s">
        <v>10</v>
      </c>
      <c r="B6" s="8">
        <v>43835.0</v>
      </c>
      <c r="C6" s="45">
        <v>1.0</v>
      </c>
      <c r="D6" s="45">
        <v>0.0</v>
      </c>
      <c r="E6" s="45">
        <v>1.0</v>
      </c>
      <c r="F6" s="45">
        <v>0.0</v>
      </c>
      <c r="G6" s="45">
        <v>1.0</v>
      </c>
      <c r="H6" s="45">
        <v>1.0</v>
      </c>
      <c r="I6" s="34"/>
      <c r="J6" s="40"/>
    </row>
    <row r="7">
      <c r="A7" s="7" t="s">
        <v>11</v>
      </c>
      <c r="B7" s="8">
        <v>43836.0</v>
      </c>
      <c r="C7" s="45">
        <v>1.0</v>
      </c>
      <c r="D7" s="45">
        <v>0.0</v>
      </c>
      <c r="E7" s="45">
        <v>1.0</v>
      </c>
      <c r="F7" s="45">
        <v>0.0</v>
      </c>
      <c r="G7" s="45">
        <v>1.0</v>
      </c>
      <c r="H7" s="45">
        <v>1.0</v>
      </c>
      <c r="I7" s="34"/>
      <c r="J7" s="40"/>
    </row>
    <row r="8">
      <c r="A8" s="7" t="s">
        <v>12</v>
      </c>
      <c r="B8" s="8">
        <v>43837.0</v>
      </c>
      <c r="C8" s="45">
        <v>1.0</v>
      </c>
      <c r="D8" s="45">
        <v>0.0</v>
      </c>
      <c r="E8" s="45">
        <v>1.0</v>
      </c>
      <c r="F8" s="45">
        <v>0.0</v>
      </c>
      <c r="G8" s="45">
        <v>1.0</v>
      </c>
      <c r="H8" s="45">
        <v>1.0</v>
      </c>
      <c r="I8" s="34"/>
      <c r="J8" s="40"/>
    </row>
    <row r="9">
      <c r="A9" s="7" t="s">
        <v>6</v>
      </c>
      <c r="B9" s="8">
        <v>43838.0</v>
      </c>
      <c r="C9" s="45">
        <v>1.0</v>
      </c>
      <c r="D9" s="45">
        <v>0.0</v>
      </c>
      <c r="E9" s="45">
        <v>1.0</v>
      </c>
      <c r="F9" s="45">
        <v>0.0</v>
      </c>
      <c r="G9" s="45">
        <v>1.0</v>
      </c>
      <c r="H9" s="45">
        <v>1.0</v>
      </c>
      <c r="I9" s="34"/>
      <c r="J9" s="40"/>
    </row>
    <row r="10">
      <c r="A10" s="7" t="s">
        <v>7</v>
      </c>
      <c r="B10" s="8">
        <v>43839.0</v>
      </c>
      <c r="C10" s="42">
        <v>1.0</v>
      </c>
      <c r="D10" s="42">
        <v>0.0</v>
      </c>
      <c r="E10" s="42">
        <v>1.0</v>
      </c>
      <c r="F10" s="42">
        <v>1.0</v>
      </c>
      <c r="G10" s="42">
        <v>1.0</v>
      </c>
      <c r="H10" s="42">
        <v>2.0</v>
      </c>
      <c r="I10" s="34"/>
      <c r="J10" s="40"/>
    </row>
    <row r="11">
      <c r="A11" s="11" t="s">
        <v>8</v>
      </c>
      <c r="B11" s="12">
        <v>43840.0</v>
      </c>
      <c r="C11" s="43">
        <v>0.0</v>
      </c>
      <c r="D11" s="44">
        <v>0.0</v>
      </c>
      <c r="E11" s="44">
        <v>1.0</v>
      </c>
      <c r="F11" s="44">
        <v>0.0</v>
      </c>
      <c r="G11" s="44">
        <v>1.0</v>
      </c>
      <c r="H11" s="44">
        <v>1.0</v>
      </c>
      <c r="I11" s="34"/>
      <c r="J11" s="40"/>
    </row>
    <row r="12">
      <c r="A12" s="7" t="s">
        <v>9</v>
      </c>
      <c r="B12" s="8">
        <v>43841.0</v>
      </c>
      <c r="C12" s="45">
        <v>1.0</v>
      </c>
      <c r="D12" s="45">
        <v>0.0</v>
      </c>
      <c r="E12" s="45">
        <v>0.0</v>
      </c>
      <c r="F12" s="45">
        <v>1.0</v>
      </c>
      <c r="G12" s="45">
        <v>0.0</v>
      </c>
      <c r="H12" s="45">
        <v>2.0</v>
      </c>
      <c r="I12" s="34"/>
      <c r="J12" s="40"/>
    </row>
    <row r="13">
      <c r="A13" s="7" t="s">
        <v>10</v>
      </c>
      <c r="B13" s="8">
        <v>43842.0</v>
      </c>
      <c r="C13" s="45">
        <v>1.0</v>
      </c>
      <c r="D13" s="45">
        <v>1.0</v>
      </c>
      <c r="E13" s="45">
        <v>1.0</v>
      </c>
      <c r="F13" s="45">
        <v>1.0</v>
      </c>
      <c r="G13" s="45">
        <v>1.0</v>
      </c>
      <c r="H13" s="45">
        <v>2.0</v>
      </c>
      <c r="I13" s="34"/>
      <c r="J13" s="40"/>
    </row>
    <row r="14">
      <c r="A14" s="7" t="s">
        <v>11</v>
      </c>
      <c r="B14" s="8">
        <v>43843.0</v>
      </c>
      <c r="C14" s="45">
        <v>1.0</v>
      </c>
      <c r="D14" s="45">
        <v>1.0</v>
      </c>
      <c r="E14" s="45">
        <v>1.0</v>
      </c>
      <c r="F14" s="45">
        <v>1.0</v>
      </c>
      <c r="G14" s="45">
        <v>1.0</v>
      </c>
      <c r="H14" s="45">
        <v>1.0</v>
      </c>
      <c r="I14" s="34"/>
      <c r="J14" s="40"/>
    </row>
    <row r="15">
      <c r="A15" s="7" t="s">
        <v>12</v>
      </c>
      <c r="B15" s="8">
        <v>43844.0</v>
      </c>
      <c r="C15" s="45">
        <v>1.0</v>
      </c>
      <c r="D15" s="45">
        <v>1.0</v>
      </c>
      <c r="E15" s="45">
        <v>1.0</v>
      </c>
      <c r="F15" s="45">
        <v>1.0</v>
      </c>
      <c r="G15" s="45">
        <v>1.0</v>
      </c>
      <c r="H15" s="45">
        <v>1.0</v>
      </c>
      <c r="I15" s="34"/>
      <c r="J15" s="40"/>
    </row>
    <row r="16">
      <c r="A16" s="7" t="s">
        <v>6</v>
      </c>
      <c r="B16" s="8">
        <v>43845.0</v>
      </c>
      <c r="C16" s="45">
        <v>1.0</v>
      </c>
      <c r="D16" s="45">
        <v>1.0</v>
      </c>
      <c r="E16" s="45">
        <v>1.0</v>
      </c>
      <c r="F16" s="45">
        <v>1.0</v>
      </c>
      <c r="G16" s="45">
        <v>1.0</v>
      </c>
      <c r="H16" s="45">
        <v>1.0</v>
      </c>
      <c r="I16" s="34"/>
      <c r="J16" s="40"/>
    </row>
    <row r="17">
      <c r="A17" s="7" t="s">
        <v>7</v>
      </c>
      <c r="B17" s="8">
        <v>43846.0</v>
      </c>
      <c r="C17" s="42">
        <v>1.0</v>
      </c>
      <c r="D17" s="42">
        <v>1.0</v>
      </c>
      <c r="E17" s="42">
        <v>0.0</v>
      </c>
      <c r="F17" s="42">
        <v>1.0</v>
      </c>
      <c r="G17" s="42">
        <v>1.0</v>
      </c>
      <c r="H17" s="42">
        <v>1.0</v>
      </c>
      <c r="I17" s="34"/>
      <c r="J17" s="40"/>
    </row>
    <row r="18">
      <c r="A18" s="11" t="s">
        <v>8</v>
      </c>
      <c r="B18" s="12">
        <v>43847.0</v>
      </c>
      <c r="C18" s="43">
        <v>0.0</v>
      </c>
      <c r="D18" s="44">
        <v>0.0</v>
      </c>
      <c r="E18" s="43">
        <v>0.0</v>
      </c>
      <c r="F18" s="44">
        <v>0.0</v>
      </c>
      <c r="G18" s="43">
        <v>0.0</v>
      </c>
      <c r="H18" s="43">
        <v>0.0</v>
      </c>
      <c r="I18" s="34"/>
      <c r="J18" s="40"/>
    </row>
    <row r="19">
      <c r="A19" s="7" t="s">
        <v>9</v>
      </c>
      <c r="B19" s="8">
        <v>43848.0</v>
      </c>
      <c r="C19" s="45">
        <v>1.0</v>
      </c>
      <c r="D19" s="45">
        <v>1.0</v>
      </c>
      <c r="E19" s="45">
        <v>0.0</v>
      </c>
      <c r="F19" s="45">
        <v>1.0</v>
      </c>
      <c r="G19" s="45">
        <v>1.0</v>
      </c>
      <c r="H19" s="45">
        <v>1.0</v>
      </c>
      <c r="I19" s="34"/>
      <c r="J19" s="40"/>
    </row>
    <row r="20">
      <c r="A20" s="7" t="s">
        <v>10</v>
      </c>
      <c r="B20" s="8">
        <v>43849.0</v>
      </c>
      <c r="C20" s="45">
        <v>1.0</v>
      </c>
      <c r="D20" s="45">
        <v>1.0</v>
      </c>
      <c r="E20" s="45">
        <v>1.0</v>
      </c>
      <c r="F20" s="45">
        <v>1.0</v>
      </c>
      <c r="G20" s="45">
        <v>1.0</v>
      </c>
      <c r="H20" s="45">
        <v>1.0</v>
      </c>
      <c r="I20" s="34"/>
      <c r="J20" s="40"/>
    </row>
    <row r="21">
      <c r="A21" s="7" t="s">
        <v>11</v>
      </c>
      <c r="B21" s="8">
        <v>43850.0</v>
      </c>
      <c r="C21" s="45">
        <v>1.0</v>
      </c>
      <c r="D21" s="45">
        <v>1.0</v>
      </c>
      <c r="E21" s="45">
        <v>1.0</v>
      </c>
      <c r="F21" s="45">
        <v>1.0</v>
      </c>
      <c r="G21" s="45">
        <v>1.0</v>
      </c>
      <c r="H21" s="45">
        <v>1.0</v>
      </c>
      <c r="I21" s="34"/>
      <c r="J21" s="40"/>
    </row>
    <row r="22">
      <c r="A22" s="7" t="s">
        <v>12</v>
      </c>
      <c r="B22" s="8">
        <v>43851.0</v>
      </c>
      <c r="C22" s="45">
        <v>1.0</v>
      </c>
      <c r="D22" s="45">
        <v>1.0</v>
      </c>
      <c r="E22" s="45">
        <v>1.0</v>
      </c>
      <c r="F22" s="45">
        <v>1.0</v>
      </c>
      <c r="G22" s="45">
        <v>1.0</v>
      </c>
      <c r="H22" s="45">
        <v>1.0</v>
      </c>
      <c r="I22" s="34"/>
      <c r="J22" s="40"/>
    </row>
    <row r="23">
      <c r="A23" s="7" t="s">
        <v>6</v>
      </c>
      <c r="B23" s="8">
        <v>43852.0</v>
      </c>
      <c r="C23" s="45">
        <v>1.0</v>
      </c>
      <c r="D23" s="45">
        <v>1.0</v>
      </c>
      <c r="E23" s="45">
        <v>1.0</v>
      </c>
      <c r="F23" s="45">
        <v>1.0</v>
      </c>
      <c r="G23" s="45">
        <v>1.0</v>
      </c>
      <c r="H23" s="45">
        <v>1.0</v>
      </c>
      <c r="I23" s="34"/>
      <c r="J23" s="40"/>
    </row>
    <row r="24">
      <c r="A24" s="7" t="s">
        <v>7</v>
      </c>
      <c r="B24" s="8">
        <v>43853.0</v>
      </c>
      <c r="C24" s="42">
        <v>1.0</v>
      </c>
      <c r="D24" s="42">
        <v>1.0</v>
      </c>
      <c r="E24" s="42">
        <v>0.0</v>
      </c>
      <c r="F24" s="42">
        <v>1.0</v>
      </c>
      <c r="G24" s="42">
        <v>1.0</v>
      </c>
      <c r="H24" s="42">
        <v>1.0</v>
      </c>
      <c r="I24" s="34"/>
      <c r="J24" s="40"/>
    </row>
    <row r="25">
      <c r="A25" s="11" t="s">
        <v>8</v>
      </c>
      <c r="B25" s="12">
        <v>43854.0</v>
      </c>
      <c r="C25" s="43">
        <v>0.0</v>
      </c>
      <c r="D25" s="44">
        <v>0.0</v>
      </c>
      <c r="E25" s="43">
        <v>0.0</v>
      </c>
      <c r="F25" s="44">
        <v>0.0</v>
      </c>
      <c r="G25" s="44">
        <v>1.0</v>
      </c>
      <c r="H25" s="43">
        <v>0.0</v>
      </c>
      <c r="I25" s="34"/>
      <c r="J25" s="40"/>
    </row>
    <row r="26">
      <c r="A26" s="7" t="s">
        <v>9</v>
      </c>
      <c r="B26" s="8">
        <v>43855.0</v>
      </c>
      <c r="C26" s="42">
        <v>1.0</v>
      </c>
      <c r="D26" s="42">
        <v>1.0</v>
      </c>
      <c r="E26" s="42">
        <v>0.0</v>
      </c>
      <c r="F26" s="42">
        <v>1.0</v>
      </c>
      <c r="G26" s="42">
        <v>1.0</v>
      </c>
      <c r="H26" s="42">
        <v>1.0</v>
      </c>
      <c r="I26" s="34"/>
      <c r="J26" s="40"/>
    </row>
    <row r="27">
      <c r="A27" s="7" t="s">
        <v>13</v>
      </c>
      <c r="B27" s="8">
        <v>43856.0</v>
      </c>
      <c r="C27" s="42">
        <v>1.0</v>
      </c>
      <c r="D27" s="42">
        <v>1.0</v>
      </c>
      <c r="E27" s="42">
        <v>0.0</v>
      </c>
      <c r="F27" s="42">
        <v>1.0</v>
      </c>
      <c r="G27" s="42">
        <v>1.0</v>
      </c>
      <c r="H27" s="42">
        <v>1.0</v>
      </c>
      <c r="I27" s="34"/>
      <c r="J27" s="40"/>
    </row>
    <row r="28">
      <c r="A28" s="7" t="s">
        <v>11</v>
      </c>
      <c r="B28" s="8">
        <v>43857.0</v>
      </c>
      <c r="C28" s="42">
        <v>1.0</v>
      </c>
      <c r="D28" s="42">
        <v>1.0</v>
      </c>
      <c r="E28" s="42">
        <v>1.0</v>
      </c>
      <c r="F28" s="42">
        <v>1.0</v>
      </c>
      <c r="G28" s="42">
        <v>1.0</v>
      </c>
      <c r="H28" s="42">
        <v>1.0</v>
      </c>
      <c r="I28" s="34"/>
      <c r="J28" s="40"/>
    </row>
    <row r="29">
      <c r="A29" s="20" t="s">
        <v>22</v>
      </c>
      <c r="B29" s="8">
        <v>43858.0</v>
      </c>
      <c r="C29" s="42">
        <v>1.0</v>
      </c>
      <c r="D29" s="42">
        <v>1.0</v>
      </c>
      <c r="E29" s="42">
        <v>1.0</v>
      </c>
      <c r="F29" s="42">
        <v>1.0</v>
      </c>
      <c r="G29" s="42">
        <v>1.0</v>
      </c>
      <c r="H29" s="42">
        <v>1.0</v>
      </c>
      <c r="I29" s="34"/>
      <c r="J29" s="40"/>
    </row>
    <row r="30">
      <c r="A30" s="20" t="s">
        <v>6</v>
      </c>
      <c r="B30" s="8">
        <v>43859.0</v>
      </c>
      <c r="C30" s="42">
        <v>1.0</v>
      </c>
      <c r="D30" s="42">
        <v>1.0</v>
      </c>
      <c r="E30" s="42">
        <v>1.0</v>
      </c>
      <c r="F30" s="42">
        <v>1.0</v>
      </c>
      <c r="G30" s="42">
        <v>1.0</v>
      </c>
      <c r="H30" s="42">
        <v>1.0</v>
      </c>
      <c r="I30" s="34"/>
      <c r="J30" s="40"/>
    </row>
    <row r="31">
      <c r="A31" s="20" t="s">
        <v>7</v>
      </c>
      <c r="B31" s="8">
        <v>43860.0</v>
      </c>
      <c r="C31" s="42">
        <v>1.0</v>
      </c>
      <c r="D31" s="42">
        <v>1.0</v>
      </c>
      <c r="E31" s="42">
        <v>1.0</v>
      </c>
      <c r="F31" s="42">
        <v>1.0</v>
      </c>
      <c r="G31" s="42">
        <v>0.0</v>
      </c>
      <c r="H31" s="42">
        <v>1.0</v>
      </c>
      <c r="I31" s="34"/>
      <c r="J31" s="40"/>
    </row>
    <row r="32">
      <c r="A32" s="21" t="s">
        <v>8</v>
      </c>
      <c r="B32" s="12">
        <v>43861.0</v>
      </c>
      <c r="C32" s="46">
        <v>0.0</v>
      </c>
      <c r="D32" s="46">
        <v>0.0</v>
      </c>
      <c r="E32" s="46">
        <v>0.0</v>
      </c>
      <c r="F32" s="46">
        <v>0.0</v>
      </c>
      <c r="G32" s="46">
        <v>0.0</v>
      </c>
      <c r="H32" s="46">
        <v>0.0</v>
      </c>
      <c r="I32" s="34"/>
      <c r="J32" s="40"/>
    </row>
    <row r="33">
      <c r="A33" s="34"/>
      <c r="B33" s="47" t="s">
        <v>23</v>
      </c>
      <c r="C33" s="48">
        <f t="shared" ref="C33:H33" si="1">SUM(C2:C32)</f>
        <v>25</v>
      </c>
      <c r="D33" s="48">
        <f t="shared" si="1"/>
        <v>17</v>
      </c>
      <c r="E33" s="48">
        <f t="shared" si="1"/>
        <v>19</v>
      </c>
      <c r="F33" s="48">
        <f t="shared" si="1"/>
        <v>19</v>
      </c>
      <c r="G33" s="48">
        <f t="shared" si="1"/>
        <v>24</v>
      </c>
      <c r="H33" s="48">
        <f t="shared" si="1"/>
        <v>29</v>
      </c>
      <c r="I33" s="40"/>
      <c r="J33" s="40"/>
    </row>
    <row r="34">
      <c r="A34" s="34"/>
      <c r="B34" s="49" t="s">
        <v>24</v>
      </c>
      <c r="C34" s="50">
        <v>2000.0</v>
      </c>
      <c r="D34" s="50">
        <v>600.0</v>
      </c>
      <c r="E34" s="50">
        <v>1200.0</v>
      </c>
      <c r="F34" s="50">
        <v>1200.0</v>
      </c>
      <c r="G34" s="51">
        <v>600.0</v>
      </c>
      <c r="H34" s="50">
        <v>1200.0</v>
      </c>
      <c r="I34" s="52">
        <f t="shared" ref="I34:I35" si="3">SUM(C34:H34)</f>
        <v>6800</v>
      </c>
      <c r="J34" s="40"/>
    </row>
    <row r="35">
      <c r="A35" s="34"/>
      <c r="B35" s="53" t="s">
        <v>25</v>
      </c>
      <c r="C35" s="54">
        <f>C33*C34</f>
        <v>50000</v>
      </c>
      <c r="D35" s="54">
        <f t="shared" ref="D35:G35" si="2">D34*D33</f>
        <v>10200</v>
      </c>
      <c r="E35" s="54">
        <f t="shared" si="2"/>
        <v>22800</v>
      </c>
      <c r="F35" s="54">
        <f t="shared" si="2"/>
        <v>22800</v>
      </c>
      <c r="G35" s="54">
        <f t="shared" si="2"/>
        <v>14400</v>
      </c>
      <c r="H35" s="54">
        <f>H33*H34</f>
        <v>34800</v>
      </c>
      <c r="I35" s="55">
        <f t="shared" si="3"/>
        <v>155000</v>
      </c>
      <c r="J35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75"/>
    <col customWidth="1" min="4" max="4" width="25.38"/>
    <col customWidth="1" min="5" max="5" width="15.25"/>
    <col customWidth="1" min="6" max="6" width="38.63"/>
  </cols>
  <sheetData>
    <row r="3">
      <c r="C3" s="57" t="s">
        <v>26</v>
      </c>
      <c r="D3" s="58" t="s">
        <v>27</v>
      </c>
      <c r="E3" s="58" t="s">
        <v>28</v>
      </c>
      <c r="F3" s="58" t="s">
        <v>29</v>
      </c>
    </row>
    <row r="4">
      <c r="C4" s="59" t="s">
        <v>30</v>
      </c>
      <c r="D4" s="59" t="s">
        <v>31</v>
      </c>
      <c r="E4" s="60">
        <v>10600.0</v>
      </c>
      <c r="F4" s="61">
        <v>43831.0</v>
      </c>
    </row>
    <row r="5">
      <c r="C5" s="59" t="s">
        <v>32</v>
      </c>
      <c r="D5" s="59" t="s">
        <v>33</v>
      </c>
      <c r="E5" s="60">
        <v>5275.0</v>
      </c>
      <c r="F5" s="61">
        <v>43831.0</v>
      </c>
    </row>
    <row r="6">
      <c r="C6" s="59" t="s">
        <v>34</v>
      </c>
      <c r="D6" s="59" t="s">
        <v>35</v>
      </c>
      <c r="E6" s="60">
        <v>10000.0</v>
      </c>
      <c r="F6" s="61">
        <v>43831.0</v>
      </c>
    </row>
    <row r="7">
      <c r="C7" s="59" t="s">
        <v>36</v>
      </c>
      <c r="D7" s="59" t="s">
        <v>37</v>
      </c>
      <c r="E7" s="60">
        <v>1700.0</v>
      </c>
      <c r="F7" s="61">
        <v>43831.0</v>
      </c>
    </row>
    <row r="8">
      <c r="C8" s="59" t="s">
        <v>38</v>
      </c>
      <c r="D8" s="59" t="s">
        <v>39</v>
      </c>
      <c r="E8" s="60">
        <v>2660.0</v>
      </c>
      <c r="F8" s="61">
        <v>43831.0</v>
      </c>
    </row>
    <row r="9">
      <c r="C9" s="59" t="s">
        <v>40</v>
      </c>
      <c r="D9" s="59" t="s">
        <v>41</v>
      </c>
      <c r="E9" s="60">
        <v>1460.0</v>
      </c>
      <c r="F9" s="61">
        <v>43831.0</v>
      </c>
    </row>
    <row r="10">
      <c r="C10" s="59" t="s">
        <v>42</v>
      </c>
      <c r="D10" s="59">
        <v>1.0</v>
      </c>
      <c r="E10" s="60">
        <v>730.0</v>
      </c>
      <c r="F10" s="61">
        <v>43831.0</v>
      </c>
    </row>
    <row r="11">
      <c r="C11" s="59" t="s">
        <v>43</v>
      </c>
      <c r="D11" s="59">
        <v>2.0</v>
      </c>
      <c r="E11" s="60">
        <v>2200.0</v>
      </c>
      <c r="F11" s="61">
        <v>43831.0</v>
      </c>
    </row>
    <row r="12">
      <c r="C12" s="59" t="s">
        <v>44</v>
      </c>
      <c r="D12" s="59" t="s">
        <v>45</v>
      </c>
      <c r="E12" s="60">
        <v>6500.0</v>
      </c>
      <c r="F12" s="61">
        <v>43831.0</v>
      </c>
    </row>
    <row r="13">
      <c r="C13" s="59" t="s">
        <v>46</v>
      </c>
      <c r="D13" s="59" t="s">
        <v>47</v>
      </c>
      <c r="E13" s="60">
        <v>860.0</v>
      </c>
      <c r="F13" s="61">
        <v>43831.0</v>
      </c>
    </row>
    <row r="14">
      <c r="C14" s="59" t="s">
        <v>48</v>
      </c>
      <c r="D14" s="59" t="s">
        <v>47</v>
      </c>
      <c r="E14" s="60">
        <v>1100.0</v>
      </c>
      <c r="F14" s="61">
        <v>43831.0</v>
      </c>
    </row>
    <row r="15">
      <c r="C15" s="59" t="s">
        <v>49</v>
      </c>
      <c r="D15" s="59" t="s">
        <v>50</v>
      </c>
      <c r="E15" s="60">
        <v>2800.0</v>
      </c>
      <c r="F15" s="61">
        <v>43831.0</v>
      </c>
    </row>
    <row r="16">
      <c r="C16" s="59" t="s">
        <v>51</v>
      </c>
      <c r="D16" s="59" t="s">
        <v>52</v>
      </c>
      <c r="E16" s="60">
        <v>2200.0</v>
      </c>
      <c r="F16" s="61">
        <v>43831.0</v>
      </c>
    </row>
    <row r="17">
      <c r="C17" s="59" t="s">
        <v>53</v>
      </c>
      <c r="D17" s="59" t="s">
        <v>54</v>
      </c>
      <c r="E17" s="60">
        <v>500.0</v>
      </c>
      <c r="F17" s="61">
        <v>43831.0</v>
      </c>
    </row>
    <row r="18">
      <c r="C18" s="59" t="s">
        <v>55</v>
      </c>
      <c r="D18" s="59" t="s">
        <v>56</v>
      </c>
      <c r="E18" s="60">
        <v>250.0</v>
      </c>
      <c r="F18" s="61">
        <v>43831.0</v>
      </c>
    </row>
    <row r="19">
      <c r="C19" s="59" t="s">
        <v>57</v>
      </c>
      <c r="D19" s="59" t="s">
        <v>58</v>
      </c>
      <c r="E19" s="60">
        <v>390.0</v>
      </c>
      <c r="F19" s="61">
        <v>43831.0</v>
      </c>
    </row>
    <row r="20">
      <c r="C20" s="59" t="s">
        <v>59</v>
      </c>
      <c r="D20" s="59" t="s">
        <v>52</v>
      </c>
      <c r="E20" s="60">
        <v>760.0</v>
      </c>
      <c r="F20" s="61">
        <v>43831.0</v>
      </c>
    </row>
    <row r="21">
      <c r="C21" s="59" t="s">
        <v>60</v>
      </c>
      <c r="D21" s="59" t="s">
        <v>61</v>
      </c>
      <c r="E21" s="60">
        <v>3600.0</v>
      </c>
      <c r="F21" s="61">
        <v>43831.0</v>
      </c>
    </row>
    <row r="22">
      <c r="C22" s="59" t="s">
        <v>62</v>
      </c>
      <c r="D22" s="59" t="s">
        <v>52</v>
      </c>
      <c r="E22" s="60">
        <v>1400.0</v>
      </c>
      <c r="F22" s="61">
        <v>43831.0</v>
      </c>
    </row>
    <row r="23">
      <c r="C23" s="59" t="s">
        <v>63</v>
      </c>
      <c r="D23" s="59" t="s">
        <v>64</v>
      </c>
      <c r="E23" s="60">
        <v>1470.0</v>
      </c>
      <c r="F23" s="61">
        <v>43831.0</v>
      </c>
    </row>
    <row r="24">
      <c r="C24" s="59" t="s">
        <v>65</v>
      </c>
      <c r="D24" s="59" t="s">
        <v>47</v>
      </c>
      <c r="E24" s="60">
        <v>1500.0</v>
      </c>
      <c r="F24" s="61">
        <v>43831.0</v>
      </c>
    </row>
    <row r="25">
      <c r="C25" s="59" t="s">
        <v>66</v>
      </c>
      <c r="D25" s="59" t="s">
        <v>67</v>
      </c>
      <c r="E25" s="60">
        <v>580.0</v>
      </c>
      <c r="F25" s="61">
        <v>43831.0</v>
      </c>
    </row>
    <row r="26">
      <c r="C26" s="59" t="s">
        <v>68</v>
      </c>
      <c r="D26" s="59" t="s">
        <v>69</v>
      </c>
      <c r="E26" s="60">
        <v>100.0</v>
      </c>
      <c r="F26" s="61">
        <v>43831.0</v>
      </c>
    </row>
    <row r="27">
      <c r="C27" s="59" t="s">
        <v>70</v>
      </c>
      <c r="D27" s="59" t="s">
        <v>71</v>
      </c>
      <c r="E27" s="60">
        <v>4000.0</v>
      </c>
      <c r="F27" s="61">
        <v>43831.0</v>
      </c>
    </row>
    <row r="28">
      <c r="C28" s="59" t="s">
        <v>72</v>
      </c>
      <c r="D28" s="59" t="s">
        <v>73</v>
      </c>
      <c r="E28" s="60">
        <v>8100.0</v>
      </c>
      <c r="F28" s="61">
        <v>43834.0</v>
      </c>
    </row>
    <row r="29">
      <c r="C29" s="59" t="s">
        <v>74</v>
      </c>
      <c r="D29" s="59" t="s">
        <v>75</v>
      </c>
      <c r="E29" s="60">
        <v>3500.0</v>
      </c>
      <c r="F29" s="61">
        <v>43834.0</v>
      </c>
    </row>
    <row r="30">
      <c r="C30" s="59" t="s">
        <v>76</v>
      </c>
      <c r="D30" s="59" t="s">
        <v>77</v>
      </c>
      <c r="E30" s="60">
        <v>2500.0</v>
      </c>
      <c r="F30" s="61">
        <v>43834.0</v>
      </c>
    </row>
    <row r="31">
      <c r="C31" s="59" t="s">
        <v>78</v>
      </c>
      <c r="D31" s="59" t="s">
        <v>77</v>
      </c>
      <c r="E31" s="60">
        <v>2300.0</v>
      </c>
      <c r="F31" s="61">
        <v>43836.0</v>
      </c>
    </row>
    <row r="32">
      <c r="C32" s="59" t="s">
        <v>44</v>
      </c>
      <c r="D32" s="59" t="s">
        <v>79</v>
      </c>
      <c r="E32" s="60">
        <v>6000.0</v>
      </c>
      <c r="F32" s="61">
        <v>43837.0</v>
      </c>
    </row>
    <row r="33">
      <c r="C33" s="59" t="s">
        <v>80</v>
      </c>
      <c r="D33" s="59" t="s">
        <v>81</v>
      </c>
      <c r="E33" s="60">
        <v>2100.0</v>
      </c>
      <c r="F33" s="61">
        <v>43837.0</v>
      </c>
    </row>
    <row r="34">
      <c r="C34" s="59" t="s">
        <v>76</v>
      </c>
      <c r="D34" s="59" t="s">
        <v>82</v>
      </c>
      <c r="E34" s="60">
        <v>750.0</v>
      </c>
      <c r="F34" s="61">
        <v>43837.0</v>
      </c>
    </row>
    <row r="35">
      <c r="C35" s="59" t="s">
        <v>32</v>
      </c>
      <c r="D35" s="59" t="s">
        <v>83</v>
      </c>
      <c r="E35" s="60">
        <v>15825.0</v>
      </c>
      <c r="F35" s="61">
        <v>43838.0</v>
      </c>
    </row>
    <row r="36">
      <c r="C36" s="59" t="s">
        <v>84</v>
      </c>
      <c r="D36" s="59">
        <v>1.0</v>
      </c>
      <c r="E36" s="60">
        <v>700.0</v>
      </c>
      <c r="F36" s="61">
        <v>43839.0</v>
      </c>
    </row>
    <row r="37">
      <c r="C37" s="59" t="s">
        <v>85</v>
      </c>
      <c r="D37" s="59" t="s">
        <v>86</v>
      </c>
      <c r="E37" s="60">
        <v>900.0</v>
      </c>
      <c r="F37" s="61">
        <v>43840.0</v>
      </c>
    </row>
    <row r="38">
      <c r="C38" s="59" t="s">
        <v>87</v>
      </c>
      <c r="D38" s="59" t="s">
        <v>86</v>
      </c>
      <c r="E38" s="60">
        <v>900.0</v>
      </c>
      <c r="F38" s="61">
        <v>43840.0</v>
      </c>
    </row>
    <row r="39">
      <c r="C39" s="59" t="s">
        <v>88</v>
      </c>
      <c r="D39" s="59" t="s">
        <v>75</v>
      </c>
      <c r="E39" s="60">
        <v>1000.0</v>
      </c>
      <c r="F39" s="61">
        <v>43840.0</v>
      </c>
    </row>
    <row r="40">
      <c r="C40" s="59" t="s">
        <v>89</v>
      </c>
      <c r="D40" s="59" t="s">
        <v>90</v>
      </c>
      <c r="E40" s="60">
        <v>3000.0</v>
      </c>
      <c r="F40" s="61">
        <v>43841.0</v>
      </c>
    </row>
    <row r="41">
      <c r="C41" s="59" t="s">
        <v>91</v>
      </c>
      <c r="D41" s="59" t="s">
        <v>92</v>
      </c>
      <c r="E41" s="60">
        <v>3500.0</v>
      </c>
      <c r="F41" s="61">
        <v>43841.0</v>
      </c>
    </row>
    <row r="42">
      <c r="C42" s="59" t="s">
        <v>93</v>
      </c>
      <c r="D42" s="59">
        <v>1.0</v>
      </c>
      <c r="E42" s="60">
        <v>1000.0</v>
      </c>
      <c r="F42" s="61">
        <v>43841.0</v>
      </c>
    </row>
    <row r="43">
      <c r="C43" s="59" t="s">
        <v>94</v>
      </c>
      <c r="D43" s="59" t="s">
        <v>95</v>
      </c>
      <c r="E43" s="60">
        <v>18250.0</v>
      </c>
      <c r="F43" s="61">
        <v>43842.0</v>
      </c>
    </row>
    <row r="44">
      <c r="C44" s="59" t="s">
        <v>96</v>
      </c>
      <c r="D44" s="59" t="s">
        <v>47</v>
      </c>
      <c r="E44" s="60">
        <v>780.0</v>
      </c>
      <c r="F44" s="61">
        <v>43843.0</v>
      </c>
    </row>
    <row r="45">
      <c r="C45" s="59" t="s">
        <v>97</v>
      </c>
      <c r="D45" s="59" t="s">
        <v>47</v>
      </c>
      <c r="E45" s="60">
        <v>1050.0</v>
      </c>
      <c r="F45" s="61">
        <v>43843.0</v>
      </c>
    </row>
    <row r="46">
      <c r="C46" s="59" t="s">
        <v>88</v>
      </c>
      <c r="D46" s="59" t="s">
        <v>77</v>
      </c>
      <c r="E46" s="60">
        <v>3000.0</v>
      </c>
      <c r="F46" s="61">
        <v>43843.0</v>
      </c>
    </row>
    <row r="47">
      <c r="C47" s="59" t="s">
        <v>98</v>
      </c>
      <c r="D47" s="59" t="s">
        <v>99</v>
      </c>
      <c r="E47" s="60">
        <v>1000.0</v>
      </c>
      <c r="F47" s="61">
        <v>43843.0</v>
      </c>
    </row>
    <row r="48">
      <c r="C48" s="59" t="s">
        <v>100</v>
      </c>
      <c r="D48" s="59" t="s">
        <v>101</v>
      </c>
      <c r="E48" s="60">
        <v>1000.0</v>
      </c>
      <c r="F48" s="61">
        <v>43843.0</v>
      </c>
    </row>
    <row r="49">
      <c r="C49" s="59" t="s">
        <v>102</v>
      </c>
      <c r="D49" s="59">
        <v>2.0</v>
      </c>
      <c r="E49" s="60">
        <v>360.0</v>
      </c>
      <c r="F49" s="61">
        <v>43844.0</v>
      </c>
    </row>
    <row r="50">
      <c r="C50" s="59" t="s">
        <v>88</v>
      </c>
      <c r="D50" s="59" t="s">
        <v>103</v>
      </c>
      <c r="E50" s="60">
        <v>6000.0</v>
      </c>
      <c r="F50" s="61">
        <v>43845.0</v>
      </c>
    </row>
    <row r="51">
      <c r="C51" s="59" t="s">
        <v>72</v>
      </c>
      <c r="D51" s="59" t="s">
        <v>104</v>
      </c>
      <c r="E51" s="60">
        <v>650.0</v>
      </c>
      <c r="F51" s="61">
        <v>43848.0</v>
      </c>
    </row>
    <row r="52">
      <c r="C52" s="59" t="s">
        <v>89</v>
      </c>
      <c r="D52" s="59" t="s">
        <v>37</v>
      </c>
      <c r="E52" s="60">
        <v>1000.0</v>
      </c>
      <c r="F52" s="61">
        <v>43845.0</v>
      </c>
    </row>
    <row r="53">
      <c r="C53" s="59" t="s">
        <v>84</v>
      </c>
      <c r="D53" s="59">
        <v>1.0</v>
      </c>
      <c r="E53" s="60">
        <v>500.0</v>
      </c>
      <c r="F53" s="61">
        <v>43845.0</v>
      </c>
    </row>
    <row r="54">
      <c r="C54" s="59" t="s">
        <v>105</v>
      </c>
      <c r="D54" s="59" t="s">
        <v>106</v>
      </c>
      <c r="E54" s="60">
        <v>11000.0</v>
      </c>
      <c r="F54" s="61">
        <v>43848.0</v>
      </c>
    </row>
    <row r="55">
      <c r="C55" s="59" t="s">
        <v>107</v>
      </c>
      <c r="D55" s="59" t="s">
        <v>108</v>
      </c>
      <c r="E55" s="60">
        <v>600.0</v>
      </c>
      <c r="F55" s="61">
        <v>43849.0</v>
      </c>
    </row>
    <row r="56">
      <c r="C56" s="59" t="s">
        <v>72</v>
      </c>
      <c r="D56" s="59" t="s">
        <v>109</v>
      </c>
      <c r="E56" s="60">
        <v>650.0</v>
      </c>
      <c r="F56" s="61">
        <v>43850.0</v>
      </c>
    </row>
    <row r="57">
      <c r="C57" s="59" t="s">
        <v>110</v>
      </c>
      <c r="D57" s="59">
        <v>8.0</v>
      </c>
      <c r="E57" s="60">
        <v>270.0</v>
      </c>
      <c r="F57" s="61">
        <v>43850.0</v>
      </c>
    </row>
    <row r="58">
      <c r="C58" s="59" t="s">
        <v>111</v>
      </c>
      <c r="D58" s="59" t="s">
        <v>112</v>
      </c>
      <c r="E58" s="60">
        <v>730.0</v>
      </c>
      <c r="F58" s="61">
        <v>43850.0</v>
      </c>
    </row>
    <row r="59">
      <c r="C59" s="59" t="s">
        <v>113</v>
      </c>
      <c r="D59" s="59">
        <v>7.0</v>
      </c>
      <c r="E59" s="60">
        <v>650.0</v>
      </c>
      <c r="F59" s="61">
        <v>43851.0</v>
      </c>
    </row>
    <row r="60">
      <c r="C60" s="59" t="s">
        <v>72</v>
      </c>
      <c r="D60" s="59" t="s">
        <v>47</v>
      </c>
      <c r="E60" s="60">
        <v>2850.0</v>
      </c>
      <c r="F60" s="61">
        <v>43851.0</v>
      </c>
    </row>
    <row r="61">
      <c r="C61" s="59" t="s">
        <v>114</v>
      </c>
      <c r="D61" s="59" t="s">
        <v>115</v>
      </c>
      <c r="E61" s="60">
        <v>1350.0</v>
      </c>
      <c r="F61" s="61">
        <v>43851.0</v>
      </c>
    </row>
    <row r="62">
      <c r="C62" s="59" t="s">
        <v>116</v>
      </c>
      <c r="D62" s="59" t="s">
        <v>117</v>
      </c>
      <c r="E62" s="60">
        <v>200.0</v>
      </c>
      <c r="F62" s="61">
        <v>43851.0</v>
      </c>
    </row>
    <row r="63">
      <c r="C63" s="59" t="s">
        <v>98</v>
      </c>
      <c r="D63" s="59" t="s">
        <v>99</v>
      </c>
      <c r="E63" s="60">
        <v>800.0</v>
      </c>
      <c r="F63" s="61">
        <v>43851.0</v>
      </c>
    </row>
    <row r="64">
      <c r="C64" s="59" t="s">
        <v>89</v>
      </c>
      <c r="D64" s="59" t="s">
        <v>37</v>
      </c>
      <c r="E64" s="60">
        <v>1000.0</v>
      </c>
      <c r="F64" s="61">
        <v>43852.0</v>
      </c>
    </row>
    <row r="65">
      <c r="C65" s="59" t="s">
        <v>118</v>
      </c>
      <c r="D65" s="59">
        <v>8.0</v>
      </c>
      <c r="E65" s="60">
        <v>300.0</v>
      </c>
      <c r="F65" s="61">
        <v>43852.0</v>
      </c>
    </row>
    <row r="66">
      <c r="C66" s="59" t="s">
        <v>84</v>
      </c>
      <c r="D66" s="59">
        <v>1.0</v>
      </c>
      <c r="E66" s="60">
        <v>500.0</v>
      </c>
      <c r="F66" s="61">
        <v>43852.0</v>
      </c>
    </row>
    <row r="67">
      <c r="C67" s="59" t="s">
        <v>89</v>
      </c>
      <c r="D67" s="59" t="s">
        <v>119</v>
      </c>
      <c r="E67" s="60">
        <v>1500.0</v>
      </c>
      <c r="F67" s="61">
        <v>43853.0</v>
      </c>
    </row>
    <row r="68">
      <c r="C68" s="59" t="s">
        <v>120</v>
      </c>
      <c r="D68" s="59">
        <v>7.0</v>
      </c>
      <c r="E68" s="60">
        <v>1350.0</v>
      </c>
      <c r="F68" s="61">
        <v>43853.0</v>
      </c>
    </row>
    <row r="69">
      <c r="C69" s="59" t="s">
        <v>121</v>
      </c>
      <c r="D69" s="59" t="s">
        <v>122</v>
      </c>
      <c r="E69" s="60">
        <v>1100.0</v>
      </c>
      <c r="F69" s="61">
        <v>43853.0</v>
      </c>
    </row>
    <row r="70">
      <c r="C70" s="59" t="s">
        <v>84</v>
      </c>
      <c r="D70" s="59">
        <v>2.0</v>
      </c>
      <c r="E70" s="60">
        <v>850.0</v>
      </c>
      <c r="F70" s="61">
        <v>43853.0</v>
      </c>
    </row>
    <row r="71">
      <c r="C71" s="59" t="s">
        <v>88</v>
      </c>
      <c r="D71" s="59" t="s">
        <v>103</v>
      </c>
      <c r="E71" s="60">
        <v>5500.0</v>
      </c>
      <c r="F71" s="61">
        <v>43855.0</v>
      </c>
    </row>
    <row r="72">
      <c r="C72" s="59" t="s">
        <v>123</v>
      </c>
      <c r="D72" s="59" t="s">
        <v>124</v>
      </c>
      <c r="E72" s="60">
        <v>4000.0</v>
      </c>
      <c r="F72" s="61">
        <v>43857.0</v>
      </c>
    </row>
    <row r="73">
      <c r="C73" s="59" t="s">
        <v>105</v>
      </c>
      <c r="D73" s="59" t="s">
        <v>106</v>
      </c>
      <c r="E73" s="60">
        <v>21200.0</v>
      </c>
      <c r="F73" s="61">
        <v>43857.0</v>
      </c>
    </row>
    <row r="74">
      <c r="C74" s="59" t="s">
        <v>89</v>
      </c>
      <c r="D74" s="59" t="s">
        <v>125</v>
      </c>
      <c r="E74" s="60">
        <v>500.0</v>
      </c>
      <c r="F74" s="61">
        <v>43858.0</v>
      </c>
    </row>
    <row r="75">
      <c r="C75" s="59" t="s">
        <v>110</v>
      </c>
      <c r="D75" s="59" t="s">
        <v>126</v>
      </c>
      <c r="E75" s="60">
        <v>200.0</v>
      </c>
      <c r="F75" s="61">
        <v>43858.0</v>
      </c>
    </row>
    <row r="76">
      <c r="C76" s="59" t="s">
        <v>127</v>
      </c>
      <c r="D76" s="59">
        <v>1.0</v>
      </c>
      <c r="E76" s="60">
        <v>6100.0</v>
      </c>
      <c r="F76" s="61">
        <v>43861.0</v>
      </c>
    </row>
    <row r="77">
      <c r="C77" s="59" t="s">
        <v>89</v>
      </c>
      <c r="D77" s="59" t="s">
        <v>128</v>
      </c>
      <c r="E77" s="60">
        <v>500.0</v>
      </c>
      <c r="F77" s="61">
        <v>43860.0</v>
      </c>
    </row>
    <row r="78">
      <c r="C78" s="62" t="s">
        <v>129</v>
      </c>
      <c r="D78" s="63"/>
      <c r="E78" s="64">
        <f>SUM(E4:E77)</f>
        <v>212000</v>
      </c>
      <c r="F78" s="63"/>
    </row>
    <row r="79">
      <c r="C79" s="65" t="s">
        <v>130</v>
      </c>
      <c r="D79" s="66"/>
      <c r="E79" s="67">
        <v>80000.0</v>
      </c>
      <c r="F79" s="66"/>
    </row>
    <row r="80">
      <c r="C80" s="68" t="s">
        <v>131</v>
      </c>
      <c r="D80" s="1"/>
      <c r="E80" s="69">
        <f>E79-E78</f>
        <v>-132000</v>
      </c>
      <c r="F8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38"/>
    <col customWidth="1" min="10" max="10" width="21.5"/>
  </cols>
  <sheetData>
    <row r="12">
      <c r="F12" s="40"/>
      <c r="G12" s="70"/>
      <c r="H12" s="70"/>
      <c r="I12" s="70"/>
      <c r="J12" s="70"/>
    </row>
    <row r="13">
      <c r="F13" s="71"/>
      <c r="G13" s="1"/>
      <c r="H13" s="72" t="s">
        <v>132</v>
      </c>
      <c r="I13" s="72" t="s">
        <v>3</v>
      </c>
      <c r="J13" s="72" t="s">
        <v>133</v>
      </c>
    </row>
    <row r="14">
      <c r="F14" s="71"/>
      <c r="G14" s="73">
        <v>1.0</v>
      </c>
      <c r="H14" s="74" t="s">
        <v>14</v>
      </c>
      <c r="I14" s="75">
        <f>Pointage!C35*1</f>
        <v>50000</v>
      </c>
      <c r="J14" s="75"/>
    </row>
    <row r="15">
      <c r="F15" s="71"/>
      <c r="G15" s="76">
        <v>2.0</v>
      </c>
      <c r="H15" s="74" t="s">
        <v>16</v>
      </c>
      <c r="I15" s="75">
        <f>Pointage!E35*1</f>
        <v>22800</v>
      </c>
      <c r="J15" s="75"/>
    </row>
    <row r="16">
      <c r="F16" s="71"/>
      <c r="G16" s="76">
        <v>3.0</v>
      </c>
      <c r="H16" s="77" t="s">
        <v>18</v>
      </c>
      <c r="I16" s="75">
        <f>Pointage!G35*1</f>
        <v>14400</v>
      </c>
      <c r="J16" s="78"/>
    </row>
    <row r="17">
      <c r="F17" s="71"/>
      <c r="G17" s="76">
        <v>4.0</v>
      </c>
      <c r="H17" s="77" t="s">
        <v>15</v>
      </c>
      <c r="I17" s="75">
        <f>Pointage!D35*1</f>
        <v>10200</v>
      </c>
      <c r="J17" s="79">
        <v>4000.0</v>
      </c>
    </row>
    <row r="18">
      <c r="F18" s="71"/>
      <c r="G18" s="76">
        <v>5.0</v>
      </c>
      <c r="H18" s="77" t="s">
        <v>17</v>
      </c>
      <c r="I18" s="75">
        <f>Pointage!F35*1</f>
        <v>22800</v>
      </c>
      <c r="J18" s="75"/>
    </row>
    <row r="19">
      <c r="F19" s="71"/>
      <c r="G19" s="76">
        <v>6.0</v>
      </c>
      <c r="H19" s="74" t="s">
        <v>19</v>
      </c>
      <c r="I19" s="75">
        <f>Pointage!H35*1</f>
        <v>34800</v>
      </c>
      <c r="J19" s="75"/>
    </row>
    <row r="20">
      <c r="F20" s="40"/>
      <c r="G20" s="71"/>
      <c r="H20" s="80" t="s">
        <v>23</v>
      </c>
      <c r="I20" s="81">
        <f t="shared" ref="I20:J20" si="1">SUM(I14:I19)</f>
        <v>155000</v>
      </c>
      <c r="J20" s="82">
        <f t="shared" si="1"/>
        <v>4000</v>
      </c>
    </row>
    <row r="21">
      <c r="F21" s="40"/>
      <c r="G21" s="71"/>
      <c r="H21" s="83"/>
      <c r="I21" s="84">
        <f>I20-J20</f>
        <v>151000</v>
      </c>
      <c r="J21" s="40"/>
    </row>
    <row r="22">
      <c r="F22" s="40"/>
      <c r="G22" s="40"/>
      <c r="H22" s="40"/>
      <c r="I22" s="40"/>
      <c r="J22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5"/>
    <col customWidth="1" min="8" max="8" width="25.63"/>
    <col customWidth="1" min="9" max="9" width="25.25"/>
    <col customWidth="1" min="10" max="10" width="25.38"/>
    <col customWidth="1" min="11" max="11" width="25.63"/>
  </cols>
  <sheetData>
    <row r="5" ht="31.5" customHeight="1"/>
    <row r="6" ht="39.0" customHeight="1">
      <c r="G6" s="85" t="s">
        <v>134</v>
      </c>
      <c r="H6" s="86" t="s">
        <v>135</v>
      </c>
      <c r="I6" s="86" t="s">
        <v>136</v>
      </c>
      <c r="J6" s="86" t="s">
        <v>137</v>
      </c>
      <c r="K6" s="86" t="s">
        <v>138</v>
      </c>
    </row>
    <row r="7" ht="44.25" customHeight="1">
      <c r="G7" s="87">
        <f>RECAP!S33*RECAP!R32</f>
        <v>625000</v>
      </c>
      <c r="H7" s="88">
        <f>RECAP!C33*1</f>
        <v>604000</v>
      </c>
      <c r="I7" s="89">
        <f>G7-H7</f>
        <v>21000</v>
      </c>
      <c r="J7" s="90">
        <f>G7-RECAP!D33-RECAP!E33-RECAP!F33</f>
        <v>213000</v>
      </c>
      <c r="K7" s="91">
        <f>RECAP!C33-RECAP!D33-RECAP!E33-RECAP!F33</f>
        <v>192000</v>
      </c>
    </row>
  </sheetData>
  <drawing r:id="rId1"/>
</worksheet>
</file>