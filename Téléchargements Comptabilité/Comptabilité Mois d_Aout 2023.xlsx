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CAP" sheetId="1" r:id="rId4"/>
    <sheet state="visible" name="Pointage " sheetId="2" r:id="rId5"/>
    <sheet state="visible" name="Les charges " sheetId="3" r:id="rId6"/>
    <sheet state="visible" name="Salaire" sheetId="4" r:id="rId7"/>
    <sheet state="visible" name="Feuille 5" sheetId="5" r:id="rId8"/>
  </sheets>
  <definedNames/>
  <calcPr/>
</workbook>
</file>

<file path=xl/sharedStrings.xml><?xml version="1.0" encoding="utf-8"?>
<sst xmlns="http://schemas.openxmlformats.org/spreadsheetml/2006/main" count="348" uniqueCount="214">
  <si>
    <t>Date</t>
  </si>
  <si>
    <t>Recette juillet  2023</t>
  </si>
  <si>
    <t xml:space="preserve">Recette </t>
  </si>
  <si>
    <t>Charges</t>
  </si>
  <si>
    <t>Salaire</t>
  </si>
  <si>
    <t>Loyer</t>
  </si>
  <si>
    <t>Net Profit</t>
  </si>
  <si>
    <t>Nb de jours</t>
  </si>
  <si>
    <t>Objectif</t>
  </si>
  <si>
    <t>juillet</t>
  </si>
  <si>
    <t>Bénéfice Moyen par jour</t>
  </si>
  <si>
    <t xml:space="preserve">Moyenne </t>
  </si>
  <si>
    <t xml:space="preserve">Moyenne salaire </t>
  </si>
  <si>
    <t xml:space="preserve">pourcentage du salaire vis à vis la recettte </t>
  </si>
  <si>
    <t>Mardi</t>
  </si>
  <si>
    <t>Mercredi</t>
  </si>
  <si>
    <t xml:space="preserve">Jeudi </t>
  </si>
  <si>
    <t xml:space="preserve">Moyenne des charges par jour </t>
  </si>
  <si>
    <t xml:space="preserve">Objectif </t>
  </si>
  <si>
    <t>Vendredi</t>
  </si>
  <si>
    <t>Samedi</t>
  </si>
  <si>
    <t>²</t>
  </si>
  <si>
    <t>Dimanche</t>
  </si>
  <si>
    <t>Lundi</t>
  </si>
  <si>
    <t xml:space="preserve">Cash restant </t>
  </si>
  <si>
    <t>Magasin</t>
  </si>
  <si>
    <t xml:space="preserve">Mardi </t>
  </si>
  <si>
    <t xml:space="preserve"> </t>
  </si>
  <si>
    <t>loyer</t>
  </si>
  <si>
    <t xml:space="preserve">La caisse : 35000 Da </t>
  </si>
  <si>
    <t>Che7i7a: 5000Da</t>
  </si>
  <si>
    <t xml:space="preserve">Différence mois de Juin </t>
  </si>
  <si>
    <t xml:space="preserve">Différence objectif </t>
  </si>
  <si>
    <t xml:space="preserve">Différence du Totale </t>
  </si>
  <si>
    <t xml:space="preserve">Les vendredis </t>
  </si>
  <si>
    <t>Cash réel</t>
  </si>
  <si>
    <t>rest à payer</t>
  </si>
  <si>
    <t xml:space="preserve">Lynda </t>
  </si>
  <si>
    <t xml:space="preserve">Hafida </t>
  </si>
  <si>
    <t>Djamila</t>
  </si>
  <si>
    <t>Youssera</t>
  </si>
  <si>
    <t>Thiziri</t>
  </si>
  <si>
    <t>Kenza</t>
  </si>
  <si>
    <t>Yasmine</t>
  </si>
  <si>
    <t>Nadia</t>
  </si>
  <si>
    <t>Farida</t>
  </si>
  <si>
    <t>Islem</t>
  </si>
  <si>
    <t>Samia</t>
  </si>
  <si>
    <t>Nora</t>
  </si>
  <si>
    <t>Nadjet</t>
  </si>
  <si>
    <t>Remarque</t>
  </si>
  <si>
    <t>kenza djate à 13h</t>
  </si>
  <si>
    <t>elyoum kharedjou à 14h puisque on avait des traveaux</t>
  </si>
  <si>
    <t>kenza et yasmine djaw bekeri we khalitehom youkhouredjou à 12h30</t>
  </si>
  <si>
    <t>Produit</t>
  </si>
  <si>
    <t>Quantité</t>
  </si>
  <si>
    <t xml:space="preserve">Prix unitaire </t>
  </si>
  <si>
    <t>Prix</t>
  </si>
  <si>
    <t>Date d'achat</t>
  </si>
  <si>
    <t>les barquettes</t>
  </si>
  <si>
    <t>épice chakhechoukha</t>
  </si>
  <si>
    <t>pate a filo</t>
  </si>
  <si>
    <t>Huile Elio 5 litres</t>
  </si>
  <si>
    <t>eau 1,5litres</t>
  </si>
  <si>
    <t>semen Madina 1,8kg</t>
  </si>
  <si>
    <t xml:space="preserve">djeldjelan </t>
  </si>
  <si>
    <t>cuisses de poulet</t>
  </si>
  <si>
    <t xml:space="preserve">poche jetable </t>
  </si>
  <si>
    <t>sucre glace</t>
  </si>
  <si>
    <t xml:space="preserve">Maa zehar </t>
  </si>
  <si>
    <t>3akeri</t>
  </si>
  <si>
    <t>Boite 48/07</t>
  </si>
  <si>
    <t>boite 48/010</t>
  </si>
  <si>
    <t>boite 24</t>
  </si>
  <si>
    <t>boite 18</t>
  </si>
  <si>
    <t>boite 12</t>
  </si>
  <si>
    <t>boite 8</t>
  </si>
  <si>
    <t>halwet  turk</t>
  </si>
  <si>
    <t>semoule Fine Sahel et Bousmail 25kg</t>
  </si>
  <si>
    <t>Eau mineral 0,5 litre</t>
  </si>
  <si>
    <t>Margarine Fleurial 500</t>
  </si>
  <si>
    <t>chocolat wedjedene noisette</t>
  </si>
  <si>
    <t>21/01/2023</t>
  </si>
  <si>
    <t>chocolat wedjedane blanc ,au lait et noir</t>
  </si>
  <si>
    <t xml:space="preserve">Soda Slim  33cl </t>
  </si>
  <si>
    <t>14/06/2023</t>
  </si>
  <si>
    <t>noix</t>
  </si>
  <si>
    <t>jus tchina 33cl</t>
  </si>
  <si>
    <t>Maiis</t>
  </si>
  <si>
    <t xml:space="preserve">Lait en poudre </t>
  </si>
  <si>
    <t>amandes</t>
  </si>
  <si>
    <t>semoule moula grosse 2kg</t>
  </si>
  <si>
    <t xml:space="preserve">gherss </t>
  </si>
  <si>
    <t>Farine Sim 1kg</t>
  </si>
  <si>
    <t>cheddar</t>
  </si>
  <si>
    <t>Hariissa</t>
  </si>
  <si>
    <t>fromage bidon 3,8</t>
  </si>
  <si>
    <t>fromage special pizza</t>
  </si>
  <si>
    <t>Thon 1,8kg</t>
  </si>
  <si>
    <t>Confiture</t>
  </si>
  <si>
    <t xml:space="preserve">Fromage Slices </t>
  </si>
  <si>
    <t xml:space="preserve">Sac poubelle </t>
  </si>
  <si>
    <t>Papier aluminium</t>
  </si>
  <si>
    <t>Papier cuisson</t>
  </si>
  <si>
    <t xml:space="preserve">Levure chimique </t>
  </si>
  <si>
    <t>leveure boulangère</t>
  </si>
  <si>
    <t>Margarine Fleurial 250g 40 boites</t>
  </si>
  <si>
    <t>semoule gros Moula 10kg</t>
  </si>
  <si>
    <t xml:space="preserve">rechta </t>
  </si>
  <si>
    <t>oeuf</t>
  </si>
  <si>
    <t>sachets</t>
  </si>
  <si>
    <t>bessel</t>
  </si>
  <si>
    <t>détergents</t>
  </si>
  <si>
    <t>poulet haché+ blanc de poulet</t>
  </si>
  <si>
    <t>olive noir vert et dénoyauté</t>
  </si>
  <si>
    <t xml:space="preserve">olive   </t>
  </si>
  <si>
    <t>salade et autres</t>
  </si>
  <si>
    <t>keyar</t>
  </si>
  <si>
    <t>tomate cerise orange</t>
  </si>
  <si>
    <t>cannel+ épice</t>
  </si>
  <si>
    <t>lahssen</t>
  </si>
  <si>
    <t>flexy</t>
  </si>
  <si>
    <t>plateau baklawa</t>
  </si>
  <si>
    <t xml:space="preserve">blanc de poulet </t>
  </si>
  <si>
    <t>tomate fraiche</t>
  </si>
  <si>
    <t>deyoul</t>
  </si>
  <si>
    <t>crevette</t>
  </si>
  <si>
    <t>petits pois</t>
  </si>
  <si>
    <t>boites demie plateaux</t>
  </si>
  <si>
    <t>boites plateaux</t>
  </si>
  <si>
    <t>semoule moyenne Moula 2kg</t>
  </si>
  <si>
    <t>plateaux oeuf</t>
  </si>
  <si>
    <t xml:space="preserve">riz Basmati </t>
  </si>
  <si>
    <t xml:space="preserve">issui tout </t>
  </si>
  <si>
    <t>sachets transparent</t>
  </si>
  <si>
    <t>sachets blanc 5kg</t>
  </si>
  <si>
    <t>Farine Agrodive 5kg</t>
  </si>
  <si>
    <t xml:space="preserve">Fromage slices </t>
  </si>
  <si>
    <t>Maiizina</t>
  </si>
  <si>
    <t>sac poubellle</t>
  </si>
  <si>
    <t>plateaux griwech</t>
  </si>
  <si>
    <t>margarine Fleuriel 500g</t>
  </si>
  <si>
    <t>viande hachée</t>
  </si>
  <si>
    <t>viande morceaux</t>
  </si>
  <si>
    <t>les légumes</t>
  </si>
  <si>
    <t>couscous</t>
  </si>
  <si>
    <t>hamissa</t>
  </si>
  <si>
    <t>citron + salade</t>
  </si>
  <si>
    <t>les affaires gateaux</t>
  </si>
  <si>
    <t>épice poulet</t>
  </si>
  <si>
    <t>épinards</t>
  </si>
  <si>
    <t xml:space="preserve">salade  </t>
  </si>
  <si>
    <t xml:space="preserve">viande </t>
  </si>
  <si>
    <t>grand cuisses de poulet</t>
  </si>
  <si>
    <t>Brahim achat</t>
  </si>
  <si>
    <t>légumes</t>
  </si>
  <si>
    <t>sac poubelle+ omo</t>
  </si>
  <si>
    <t>barquettes</t>
  </si>
  <si>
    <t>poiulet haché + blanc de poulet</t>
  </si>
  <si>
    <t>bon de commande</t>
  </si>
  <si>
    <t>pain tacos</t>
  </si>
  <si>
    <t>fromage</t>
  </si>
  <si>
    <t>fromage portion</t>
  </si>
  <si>
    <t>Gouda</t>
  </si>
  <si>
    <t>Agrodive 5kg</t>
  </si>
  <si>
    <t>Javel 5litres</t>
  </si>
  <si>
    <t>crème fraiche</t>
  </si>
  <si>
    <t xml:space="preserve">chocolat à tartiner </t>
  </si>
  <si>
    <t>fromage gout cheddar</t>
  </si>
  <si>
    <t xml:space="preserve">fromage </t>
  </si>
  <si>
    <t xml:space="preserve">reste des dettes de cheraga </t>
  </si>
  <si>
    <t>Hamissa</t>
  </si>
  <si>
    <t>nechaf</t>
  </si>
  <si>
    <t>isis</t>
  </si>
  <si>
    <t>viande</t>
  </si>
  <si>
    <t>Société anti cafard</t>
  </si>
  <si>
    <t>semoule blé complet</t>
  </si>
  <si>
    <t>Boites 48/07</t>
  </si>
  <si>
    <t>Boites 36</t>
  </si>
  <si>
    <t>réparation achoir</t>
  </si>
  <si>
    <t>poudre crème chantilly</t>
  </si>
  <si>
    <t xml:space="preserve">margarine fleurial 250g      </t>
  </si>
  <si>
    <t xml:space="preserve">citron  </t>
  </si>
  <si>
    <t xml:space="preserve">banane +raisins </t>
  </si>
  <si>
    <t>kiwi</t>
  </si>
  <si>
    <t>épinards+ salade+ thym</t>
  </si>
  <si>
    <t>dettes légumes</t>
  </si>
  <si>
    <t>nakkach</t>
  </si>
  <si>
    <t>Harrissa</t>
  </si>
  <si>
    <t>Tomate</t>
  </si>
  <si>
    <t xml:space="preserve">sucre glace </t>
  </si>
  <si>
    <t>eau 5 litres</t>
  </si>
  <si>
    <t>zebib</t>
  </si>
  <si>
    <t>khalouta</t>
  </si>
  <si>
    <t>Amina Baghrir</t>
  </si>
  <si>
    <t>semoule FineSahel 25kg</t>
  </si>
  <si>
    <t>Totale</t>
  </si>
  <si>
    <t xml:space="preserve">Nom </t>
  </si>
  <si>
    <t>Avance</t>
  </si>
  <si>
    <t xml:space="preserve">Salaire à payer </t>
  </si>
  <si>
    <t xml:space="preserve">Sofiane </t>
  </si>
  <si>
    <t>Amel</t>
  </si>
  <si>
    <t>Lynda</t>
  </si>
  <si>
    <t xml:space="preserve">Yasmine </t>
  </si>
  <si>
    <t>TOTAL</t>
  </si>
  <si>
    <t xml:space="preserve">Mois de Février </t>
  </si>
  <si>
    <t xml:space="preserve">Mois de Mars </t>
  </si>
  <si>
    <t>Mois d'Avril</t>
  </si>
  <si>
    <t>Mois de Mai</t>
  </si>
  <si>
    <t xml:space="preserve">Mois de Jiun </t>
  </si>
  <si>
    <t xml:space="preserve">Mois de Juillet </t>
  </si>
  <si>
    <t>Mois d'Aout</t>
  </si>
  <si>
    <t>Salaires</t>
  </si>
  <si>
    <t xml:space="preserve">Profit Net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</si>
</sst>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#,##0.00\ [$€-1]"/>
    <numFmt numFmtId="166" formatCode="mm/dd/yyyy"/>
  </numFmts>
  <fonts count="23">
    <font>
      <sz val="10.0"/>
      <color rgb="FF000000"/>
      <name val="Arial"/>
      <scheme val="minor"/>
    </font>
    <font>
      <color theme="1"/>
      <name val="Arial"/>
    </font>
    <font>
      <b/>
      <sz val="14.0"/>
      <color theme="1"/>
      <name val="Arial"/>
    </font>
    <font>
      <sz val="18.0"/>
      <color theme="1"/>
      <name val="Arial"/>
    </font>
    <font>
      <sz val="16.0"/>
      <color theme="1"/>
      <name val="Arial"/>
    </font>
    <font>
      <sz val="17.0"/>
      <color theme="1"/>
      <name val="Arial"/>
    </font>
    <font>
      <sz val="18.0"/>
      <color rgb="FFFF0000"/>
      <name val="Arial"/>
    </font>
    <font>
      <sz val="18.0"/>
      <color rgb="FFFFFF00"/>
      <name val="Arial"/>
    </font>
    <font>
      <sz val="19.0"/>
      <color theme="1"/>
      <name val="Arial"/>
    </font>
    <font>
      <sz val="15.0"/>
      <color theme="1"/>
      <name val="Arial"/>
    </font>
    <font>
      <b/>
      <sz val="18.0"/>
      <color theme="1"/>
      <name val="Arial"/>
    </font>
    <font>
      <b/>
      <sz val="18.0"/>
      <color rgb="FFFF0000"/>
      <name val="Arial"/>
    </font>
    <font>
      <sz val="18.0"/>
      <color rgb="FF00FFFF"/>
      <name val="Arial"/>
    </font>
    <font>
      <sz val="18.0"/>
      <color rgb="FF000000"/>
      <name val="Arial"/>
    </font>
    <font>
      <sz val="18.0"/>
      <color rgb="FF00FF00"/>
      <name val="Arial"/>
    </font>
    <font>
      <color rgb="FF000000"/>
      <name val="Arial"/>
    </font>
    <font>
      <sz val="18.0"/>
      <color rgb="FF434343"/>
      <name val="Arial"/>
    </font>
    <font>
      <color rgb="FF434343"/>
      <name val="Arial"/>
    </font>
    <font>
      <b/>
      <sz val="20.0"/>
      <color theme="1"/>
      <name val="Arial"/>
    </font>
    <font>
      <b/>
      <sz val="20.0"/>
      <color rgb="FF434343"/>
      <name val="Arial"/>
    </font>
    <font>
      <b/>
      <sz val="20.0"/>
      <color rgb="FF1C4587"/>
      <name val="Arial"/>
    </font>
    <font>
      <b/>
      <sz val="24.0"/>
      <color theme="1"/>
      <name val="Arial"/>
    </font>
    <font>
      <color theme="1"/>
      <name val="Arial"/>
      <scheme val="minor"/>
    </font>
  </fonts>
  <fills count="12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FF00FF"/>
        <bgColor rgb="FFFF00FF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B6D7A8"/>
        <bgColor rgb="FFB6D7A8"/>
      </patternFill>
    </fill>
    <fill>
      <patternFill patternType="solid">
        <fgColor rgb="FFFFF2CC"/>
        <bgColor rgb="FFFFF2CC"/>
      </patternFill>
    </fill>
    <fill>
      <patternFill patternType="solid">
        <fgColor rgb="FFC9DAF8"/>
        <bgColor rgb="FFC9DAF8"/>
      </patternFill>
    </fill>
  </fills>
  <borders count="7">
    <border/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7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2" fillId="2" fontId="2" numFmtId="0" xfId="0" applyAlignment="1" applyBorder="1" applyFill="1" applyFont="1">
      <alignment horizontal="center" vertical="bottom"/>
    </xf>
    <xf borderId="2" fillId="2" fontId="3" numFmtId="0" xfId="0" applyAlignment="1" applyBorder="1" applyFont="1">
      <alignment horizontal="center" readingOrder="0" vertical="bottom"/>
    </xf>
    <xf borderId="2" fillId="2" fontId="3" numFmtId="0" xfId="0" applyAlignment="1" applyBorder="1" applyFont="1">
      <alignment horizontal="center" vertical="bottom"/>
    </xf>
    <xf borderId="2" fillId="3" fontId="3" numFmtId="0" xfId="0" applyAlignment="1" applyBorder="1" applyFill="1" applyFont="1">
      <alignment horizontal="center" vertical="bottom"/>
    </xf>
    <xf borderId="2" fillId="4" fontId="3" numFmtId="0" xfId="0" applyAlignment="1" applyBorder="1" applyFill="1" applyFont="1">
      <alignment horizontal="center" readingOrder="0" vertical="bottom"/>
    </xf>
    <xf borderId="3" fillId="5" fontId="3" numFmtId="0" xfId="0" applyAlignment="1" applyBorder="1" applyFill="1" applyFont="1">
      <alignment horizontal="center" vertical="bottom"/>
    </xf>
    <xf borderId="0" fillId="6" fontId="3" numFmtId="0" xfId="0" applyAlignment="1" applyFill="1" applyFont="1">
      <alignment horizontal="center" vertical="bottom"/>
    </xf>
    <xf borderId="0" fillId="0" fontId="3" numFmtId="0" xfId="0" applyAlignment="1" applyFont="1">
      <alignment vertical="bottom"/>
    </xf>
    <xf borderId="4" fillId="7" fontId="3" numFmtId="0" xfId="0" applyAlignment="1" applyBorder="1" applyFill="1" applyFont="1">
      <alignment horizontal="center" readingOrder="0" vertical="bottom"/>
    </xf>
    <xf borderId="1" fillId="7" fontId="3" numFmtId="164" xfId="0" applyAlignment="1" applyBorder="1" applyFont="1" applyNumberFormat="1">
      <alignment horizontal="center" readingOrder="0" vertical="bottom"/>
    </xf>
    <xf borderId="1" fillId="7" fontId="3" numFmtId="165" xfId="0" applyAlignment="1" applyBorder="1" applyFont="1" applyNumberFormat="1">
      <alignment horizontal="center" readingOrder="0" vertical="bottom"/>
    </xf>
    <xf borderId="1" fillId="7" fontId="1" numFmtId="0" xfId="0" applyAlignment="1" applyBorder="1" applyFont="1">
      <alignment vertical="bottom"/>
    </xf>
    <xf borderId="1" fillId="7" fontId="3" numFmtId="0" xfId="0" applyAlignment="1" applyBorder="1" applyFont="1">
      <alignment horizontal="center" readingOrder="0" vertical="bottom"/>
    </xf>
    <xf borderId="1" fillId="7" fontId="3" numFmtId="165" xfId="0" applyAlignment="1" applyBorder="1" applyFont="1" applyNumberFormat="1">
      <alignment horizontal="right" vertical="bottom"/>
    </xf>
    <xf borderId="5" fillId="8" fontId="3" numFmtId="165" xfId="0" applyAlignment="1" applyBorder="1" applyFill="1" applyFont="1" applyNumberFormat="1">
      <alignment horizontal="center" vertical="bottom"/>
    </xf>
    <xf borderId="1" fillId="4" fontId="3" numFmtId="165" xfId="0" applyAlignment="1" applyBorder="1" applyFont="1" applyNumberFormat="1">
      <alignment horizontal="center" vertical="bottom"/>
    </xf>
    <xf borderId="0" fillId="0" fontId="1" numFmtId="165" xfId="0" applyAlignment="1" applyFont="1" applyNumberFormat="1">
      <alignment vertical="bottom"/>
    </xf>
    <xf borderId="0" fillId="0" fontId="3" numFmtId="10" xfId="0" applyAlignment="1" applyFont="1" applyNumberFormat="1">
      <alignment horizontal="center" vertical="bottom"/>
    </xf>
    <xf borderId="4" fillId="7" fontId="3" numFmtId="165" xfId="0" applyAlignment="1" applyBorder="1" applyFont="1" applyNumberFormat="1">
      <alignment horizontal="center" vertical="bottom"/>
    </xf>
    <xf borderId="0" fillId="0" fontId="1" numFmtId="0" xfId="0" applyAlignment="1" applyFont="1">
      <alignment vertical="bottom"/>
    </xf>
    <xf borderId="0" fillId="0" fontId="1" numFmtId="10" xfId="0" applyAlignment="1" applyFont="1" applyNumberFormat="1">
      <alignment vertical="bottom"/>
    </xf>
    <xf borderId="1" fillId="6" fontId="3" numFmtId="0" xfId="0" applyAlignment="1" applyBorder="1" applyFont="1">
      <alignment horizontal="center" vertical="bottom"/>
    </xf>
    <xf borderId="1" fillId="6" fontId="3" numFmtId="165" xfId="0" applyAlignment="1" applyBorder="1" applyFont="1" applyNumberFormat="1">
      <alignment horizontal="center" vertical="bottom"/>
    </xf>
    <xf borderId="4" fillId="9" fontId="3" numFmtId="0" xfId="0" applyAlignment="1" applyBorder="1" applyFill="1" applyFont="1">
      <alignment horizontal="center" readingOrder="0" vertical="bottom"/>
    </xf>
    <xf borderId="1" fillId="9" fontId="3" numFmtId="164" xfId="0" applyAlignment="1" applyBorder="1" applyFont="1" applyNumberFormat="1">
      <alignment horizontal="center" readingOrder="0" vertical="bottom"/>
    </xf>
    <xf borderId="1" fillId="9" fontId="3" numFmtId="165" xfId="0" applyAlignment="1" applyBorder="1" applyFont="1" applyNumberFormat="1">
      <alignment horizontal="center" readingOrder="0" vertical="bottom"/>
    </xf>
    <xf borderId="1" fillId="9" fontId="1" numFmtId="0" xfId="0" applyAlignment="1" applyBorder="1" applyFont="1">
      <alignment vertical="bottom"/>
    </xf>
    <xf borderId="1" fillId="9" fontId="3" numFmtId="0" xfId="0" applyAlignment="1" applyBorder="1" applyFont="1">
      <alignment horizontal="center" readingOrder="0" vertical="bottom"/>
    </xf>
    <xf borderId="1" fillId="0" fontId="3" numFmtId="165" xfId="0" applyAlignment="1" applyBorder="1" applyFont="1" applyNumberFormat="1">
      <alignment horizontal="center" vertical="bottom"/>
    </xf>
    <xf borderId="4" fillId="5" fontId="3" numFmtId="165" xfId="0" applyAlignment="1" applyBorder="1" applyFont="1" applyNumberFormat="1">
      <alignment horizontal="center" vertical="bottom"/>
    </xf>
    <xf borderId="1" fillId="5" fontId="3" numFmtId="0" xfId="0" applyAlignment="1" applyBorder="1" applyFont="1">
      <alignment horizontal="center" vertical="bottom"/>
    </xf>
    <xf borderId="3" fillId="0" fontId="1" numFmtId="0" xfId="0" applyAlignment="1" applyBorder="1" applyFont="1">
      <alignment vertical="bottom"/>
    </xf>
    <xf borderId="0" fillId="0" fontId="3" numFmtId="165" xfId="0" applyAlignment="1" applyFont="1" applyNumberFormat="1">
      <alignment horizontal="right" readingOrder="0" vertical="bottom"/>
    </xf>
    <xf borderId="1" fillId="0" fontId="1" numFmtId="165" xfId="0" applyAlignment="1" applyBorder="1" applyFont="1" applyNumberFormat="1">
      <alignment vertical="bottom"/>
    </xf>
    <xf borderId="1" fillId="0" fontId="3" numFmtId="0" xfId="0" applyAlignment="1" applyBorder="1" applyFont="1">
      <alignment horizontal="center" vertical="bottom"/>
    </xf>
    <xf borderId="0" fillId="0" fontId="3" numFmtId="0" xfId="0" applyAlignment="1" applyFont="1">
      <alignment horizontal="right" readingOrder="0" vertical="bottom"/>
    </xf>
    <xf borderId="4" fillId="4" fontId="3" numFmtId="165" xfId="0" applyAlignment="1" applyBorder="1" applyFont="1" applyNumberFormat="1">
      <alignment horizontal="center" vertical="bottom"/>
    </xf>
    <xf borderId="0" fillId="0" fontId="3" numFmtId="165" xfId="0" applyAlignment="1" applyFont="1" applyNumberFormat="1">
      <alignment readingOrder="0" vertical="bottom"/>
    </xf>
    <xf borderId="0" fillId="0" fontId="4" numFmtId="0" xfId="0" applyAlignment="1" applyFont="1">
      <alignment readingOrder="0" vertical="bottom"/>
    </xf>
    <xf borderId="0" fillId="0" fontId="5" numFmtId="165" xfId="0" applyAlignment="1" applyFont="1" applyNumberFormat="1">
      <alignment readingOrder="0" vertical="bottom"/>
    </xf>
    <xf borderId="0" fillId="7" fontId="1" numFmtId="165" xfId="0" applyAlignment="1" applyFont="1" applyNumberFormat="1">
      <alignment vertical="bottom"/>
    </xf>
    <xf borderId="3" fillId="0" fontId="1" numFmtId="165" xfId="0" applyAlignment="1" applyBorder="1" applyFont="1" applyNumberFormat="1">
      <alignment vertical="bottom"/>
    </xf>
    <xf borderId="0" fillId="0" fontId="5" numFmtId="0" xfId="0" applyAlignment="1" applyFont="1">
      <alignment readingOrder="0" vertical="bottom"/>
    </xf>
    <xf borderId="1" fillId="5" fontId="6" numFmtId="165" xfId="0" applyAlignment="1" applyBorder="1" applyFont="1" applyNumberFormat="1">
      <alignment horizontal="center" vertical="bottom"/>
    </xf>
    <xf borderId="1" fillId="7" fontId="3" numFmtId="165" xfId="0" applyAlignment="1" applyBorder="1" applyFont="1" applyNumberFormat="1">
      <alignment horizontal="center" vertical="bottom"/>
    </xf>
    <xf borderId="0" fillId="0" fontId="3" numFmtId="0" xfId="0" applyAlignment="1" applyFont="1">
      <alignment horizontal="center" vertical="bottom"/>
    </xf>
    <xf borderId="0" fillId="0" fontId="3" numFmtId="165" xfId="0" applyAlignment="1" applyFont="1" applyNumberFormat="1">
      <alignment horizontal="center" vertical="bottom"/>
    </xf>
    <xf borderId="4" fillId="2" fontId="3" numFmtId="0" xfId="0" applyAlignment="1" applyBorder="1" applyFont="1">
      <alignment horizontal="center" readingOrder="0" vertical="bottom"/>
    </xf>
    <xf borderId="1" fillId="2" fontId="3" numFmtId="164" xfId="0" applyAlignment="1" applyBorder="1" applyFont="1" applyNumberFormat="1">
      <alignment horizontal="center" readingOrder="0" vertical="bottom"/>
    </xf>
    <xf borderId="1" fillId="2" fontId="3" numFmtId="165" xfId="0" applyAlignment="1" applyBorder="1" applyFont="1" applyNumberFormat="1">
      <alignment horizontal="center" vertical="bottom"/>
    </xf>
    <xf borderId="1" fillId="2" fontId="1" numFmtId="0" xfId="0" applyAlignment="1" applyBorder="1" applyFont="1">
      <alignment vertical="bottom"/>
    </xf>
    <xf borderId="1" fillId="2" fontId="3" numFmtId="0" xfId="0" applyAlignment="1" applyBorder="1" applyFont="1">
      <alignment horizontal="center" vertical="bottom"/>
    </xf>
    <xf borderId="1" fillId="8" fontId="7" numFmtId="0" xfId="0" applyAlignment="1" applyBorder="1" applyFont="1">
      <alignment horizontal="center" vertical="bottom"/>
    </xf>
    <xf borderId="1" fillId="4" fontId="3" numFmtId="0" xfId="0" applyAlignment="1" applyBorder="1" applyFont="1">
      <alignment horizontal="center" vertical="bottom"/>
    </xf>
    <xf borderId="1" fillId="0" fontId="8" numFmtId="165" xfId="0" applyAlignment="1" applyBorder="1" applyFont="1" applyNumberFormat="1">
      <alignment horizontal="center" vertical="bottom"/>
    </xf>
    <xf borderId="1" fillId="0" fontId="3" numFmtId="165" xfId="0" applyAlignment="1" applyBorder="1" applyFont="1" applyNumberFormat="1">
      <alignment horizontal="center" readingOrder="0" vertical="bottom"/>
    </xf>
    <xf borderId="0" fillId="0" fontId="9" numFmtId="165" xfId="0" applyAlignment="1" applyFont="1" applyNumberFormat="1">
      <alignment vertical="bottom"/>
    </xf>
    <xf borderId="1" fillId="8" fontId="3" numFmtId="0" xfId="0" applyAlignment="1" applyBorder="1" applyFont="1">
      <alignment horizontal="center" vertical="bottom"/>
    </xf>
    <xf borderId="0" fillId="0" fontId="9" numFmtId="0" xfId="0" applyAlignment="1" applyFont="1">
      <alignment readingOrder="0" vertical="bottom"/>
    </xf>
    <xf borderId="1" fillId="2" fontId="4" numFmtId="0" xfId="0" applyAlignment="1" applyBorder="1" applyFont="1">
      <alignment horizontal="center" vertical="bottom"/>
    </xf>
    <xf borderId="0" fillId="0" fontId="9" numFmtId="0" xfId="0" applyAlignment="1" applyFont="1">
      <alignment vertical="bottom"/>
    </xf>
    <xf borderId="1" fillId="7" fontId="1" numFmtId="165" xfId="0" applyAlignment="1" applyBorder="1" applyFont="1" applyNumberFormat="1">
      <alignment vertical="bottom"/>
    </xf>
    <xf borderId="0" fillId="0" fontId="9" numFmtId="165" xfId="0" applyAlignment="1" applyFont="1" applyNumberFormat="1">
      <alignment horizontal="right" readingOrder="0" vertical="bottom"/>
    </xf>
    <xf borderId="1" fillId="2" fontId="1" numFmtId="165" xfId="0" applyAlignment="1" applyBorder="1" applyFont="1" applyNumberFormat="1">
      <alignment vertical="bottom"/>
    </xf>
    <xf borderId="4" fillId="7" fontId="1" numFmtId="0" xfId="0" applyAlignment="1" applyBorder="1" applyFont="1">
      <alignment vertical="bottom"/>
    </xf>
    <xf borderId="1" fillId="7" fontId="1" numFmtId="164" xfId="0" applyAlignment="1" applyBorder="1" applyFont="1" applyNumberFormat="1">
      <alignment vertical="bottom"/>
    </xf>
    <xf borderId="1" fillId="7" fontId="10" numFmtId="165" xfId="0" applyAlignment="1" applyBorder="1" applyFont="1" applyNumberFormat="1">
      <alignment horizontal="right" vertical="bottom"/>
    </xf>
    <xf borderId="1" fillId="7" fontId="10" numFmtId="165" xfId="0" applyAlignment="1" applyBorder="1" applyFont="1" applyNumberFormat="1">
      <alignment horizontal="center" vertical="bottom"/>
    </xf>
    <xf borderId="1" fillId="7" fontId="10" numFmtId="0" xfId="0" applyAlignment="1" applyBorder="1" applyFont="1">
      <alignment horizontal="center" vertical="bottom"/>
    </xf>
    <xf borderId="1" fillId="9" fontId="3" numFmtId="165" xfId="0" applyAlignment="1" applyBorder="1" applyFont="1" applyNumberFormat="1">
      <alignment horizontal="center" vertical="bottom"/>
    </xf>
    <xf borderId="4" fillId="2" fontId="3" numFmtId="0" xfId="0" applyAlignment="1" applyBorder="1" applyFont="1">
      <alignment horizontal="center" vertical="bottom"/>
    </xf>
    <xf borderId="1" fillId="7" fontId="3" numFmtId="0" xfId="0" applyAlignment="1" applyBorder="1" applyFont="1">
      <alignment horizontal="right" readingOrder="0" vertical="bottom"/>
    </xf>
    <xf borderId="1" fillId="7" fontId="3" numFmtId="0" xfId="0" applyAlignment="1" applyBorder="1" applyFont="1">
      <alignment readingOrder="0" vertical="bottom"/>
    </xf>
    <xf borderId="0" fillId="7" fontId="1" numFmtId="0" xfId="0" applyAlignment="1" applyFont="1">
      <alignment vertical="bottom"/>
    </xf>
    <xf borderId="1" fillId="7" fontId="3" numFmtId="0" xfId="0" applyAlignment="1" applyBorder="1" applyFont="1">
      <alignment vertical="bottom"/>
    </xf>
    <xf borderId="1" fillId="7" fontId="11" numFmtId="0" xfId="0" applyAlignment="1" applyBorder="1" applyFont="1">
      <alignment horizontal="center" readingOrder="0" vertical="bottom"/>
    </xf>
    <xf borderId="1" fillId="9" fontId="3" numFmtId="0" xfId="0" applyAlignment="1" applyBorder="1" applyFont="1">
      <alignment horizontal="right" readingOrder="0" vertical="bottom"/>
    </xf>
    <xf borderId="1" fillId="9" fontId="3" numFmtId="0" xfId="0" applyAlignment="1" applyBorder="1" applyFont="1">
      <alignment readingOrder="0" vertical="bottom"/>
    </xf>
    <xf borderId="3" fillId="7" fontId="3" numFmtId="0" xfId="0" applyAlignment="1" applyBorder="1" applyFont="1">
      <alignment horizontal="right" readingOrder="0" vertical="bottom"/>
    </xf>
    <xf borderId="3" fillId="7" fontId="3" numFmtId="0" xfId="0" applyAlignment="1" applyBorder="1" applyFont="1">
      <alignment horizontal="right" vertical="bottom"/>
    </xf>
    <xf borderId="1" fillId="7" fontId="12" numFmtId="0" xfId="0" applyAlignment="1" applyBorder="1" applyFont="1">
      <alignment horizontal="center" readingOrder="0" vertical="bottom"/>
    </xf>
    <xf borderId="0" fillId="9" fontId="1" numFmtId="0" xfId="0" applyAlignment="1" applyFont="1">
      <alignment vertical="bottom"/>
    </xf>
    <xf borderId="3" fillId="7" fontId="3" numFmtId="0" xfId="0" applyAlignment="1" applyBorder="1" applyFont="1">
      <alignment readingOrder="0" shrinkToFit="0" vertical="bottom" wrapText="0"/>
    </xf>
    <xf borderId="3" fillId="7" fontId="3" numFmtId="0" xfId="0" applyAlignment="1" applyBorder="1" applyFont="1">
      <alignment shrinkToFit="0" vertical="bottom" wrapText="0"/>
    </xf>
    <xf borderId="4" fillId="9" fontId="13" numFmtId="0" xfId="0" applyAlignment="1" applyBorder="1" applyFont="1">
      <alignment horizontal="center" readingOrder="0" vertical="bottom"/>
    </xf>
    <xf borderId="1" fillId="9" fontId="13" numFmtId="0" xfId="0" applyAlignment="1" applyBorder="1" applyFont="1">
      <alignment horizontal="center" readingOrder="0" vertical="bottom"/>
    </xf>
    <xf borderId="1" fillId="9" fontId="13" numFmtId="0" xfId="0" applyAlignment="1" applyBorder="1" applyFont="1">
      <alignment horizontal="right" readingOrder="0" vertical="bottom"/>
    </xf>
    <xf borderId="1" fillId="9" fontId="14" numFmtId="0" xfId="0" applyAlignment="1" applyBorder="1" applyFont="1">
      <alignment readingOrder="0" vertical="bottom"/>
    </xf>
    <xf borderId="1" fillId="9" fontId="3" numFmtId="0" xfId="0" applyAlignment="1" applyBorder="1" applyFont="1">
      <alignment vertical="bottom"/>
    </xf>
    <xf borderId="4" fillId="7" fontId="13" numFmtId="0" xfId="0" applyAlignment="1" applyBorder="1" applyFont="1">
      <alignment horizontal="center" readingOrder="0" vertical="bottom"/>
    </xf>
    <xf borderId="1" fillId="7" fontId="13" numFmtId="0" xfId="0" applyAlignment="1" applyBorder="1" applyFont="1">
      <alignment horizontal="center" readingOrder="0" vertical="bottom"/>
    </xf>
    <xf borderId="1" fillId="7" fontId="13" numFmtId="0" xfId="0" applyAlignment="1" applyBorder="1" applyFont="1">
      <alignment horizontal="right" readingOrder="0" vertical="bottom"/>
    </xf>
    <xf borderId="1" fillId="7" fontId="14" numFmtId="0" xfId="0" applyAlignment="1" applyBorder="1" applyFont="1">
      <alignment readingOrder="0" vertical="bottom"/>
    </xf>
    <xf borderId="1" fillId="7" fontId="13" numFmtId="0" xfId="0" applyAlignment="1" applyBorder="1" applyFont="1">
      <alignment readingOrder="0" vertical="bottom"/>
    </xf>
    <xf borderId="1" fillId="7" fontId="13" numFmtId="0" xfId="0" applyAlignment="1" applyBorder="1" applyFont="1">
      <alignment vertical="bottom"/>
    </xf>
    <xf borderId="0" fillId="7" fontId="15" numFmtId="0" xfId="0" applyAlignment="1" applyFont="1">
      <alignment vertical="bottom"/>
    </xf>
    <xf borderId="4" fillId="7" fontId="16" numFmtId="0" xfId="0" applyAlignment="1" applyBorder="1" applyFont="1">
      <alignment horizontal="center" readingOrder="0" vertical="bottom"/>
    </xf>
    <xf borderId="1" fillId="7" fontId="16" numFmtId="0" xfId="0" applyAlignment="1" applyBorder="1" applyFont="1">
      <alignment horizontal="center" readingOrder="0" vertical="bottom"/>
    </xf>
    <xf borderId="1" fillId="7" fontId="16" numFmtId="0" xfId="0" applyAlignment="1" applyBorder="1" applyFont="1">
      <alignment horizontal="right" readingOrder="0" vertical="bottom"/>
    </xf>
    <xf borderId="1" fillId="7" fontId="16" numFmtId="0" xfId="0" applyAlignment="1" applyBorder="1" applyFont="1">
      <alignment readingOrder="0" vertical="bottom"/>
    </xf>
    <xf borderId="1" fillId="7" fontId="16" numFmtId="0" xfId="0" applyAlignment="1" applyBorder="1" applyFont="1">
      <alignment vertical="bottom"/>
    </xf>
    <xf borderId="0" fillId="7" fontId="17" numFmtId="0" xfId="0" applyAlignment="1" applyFont="1">
      <alignment vertical="bottom"/>
    </xf>
    <xf borderId="1" fillId="2" fontId="3" numFmtId="0" xfId="0" applyAlignment="1" applyBorder="1" applyFont="1">
      <alignment vertical="bottom"/>
    </xf>
    <xf borderId="1" fillId="2" fontId="3" numFmtId="0" xfId="0" applyAlignment="1" applyBorder="1" applyFont="1">
      <alignment horizontal="right" vertical="bottom"/>
    </xf>
    <xf borderId="4" fillId="2" fontId="3" numFmtId="0" xfId="0" applyAlignment="1" applyBorder="1" applyFont="1">
      <alignment horizontal="right" vertical="bottom"/>
    </xf>
    <xf borderId="6" fillId="7" fontId="18" numFmtId="0" xfId="0" applyAlignment="1" applyBorder="1" applyFont="1">
      <alignment horizontal="center" vertical="bottom"/>
    </xf>
    <xf borderId="1" fillId="7" fontId="18" numFmtId="0" xfId="0" applyAlignment="1" applyBorder="1" applyFont="1">
      <alignment horizontal="right" vertical="bottom"/>
    </xf>
    <xf borderId="6" fillId="7" fontId="19" numFmtId="165" xfId="0" applyAlignment="1" applyBorder="1" applyFont="1" applyNumberFormat="1">
      <alignment horizontal="center" vertical="bottom"/>
    </xf>
    <xf borderId="1" fillId="7" fontId="19" numFmtId="165" xfId="0" applyAlignment="1" applyBorder="1" applyFont="1" applyNumberFormat="1">
      <alignment horizontal="center" readingOrder="0" vertical="bottom"/>
    </xf>
    <xf borderId="1" fillId="7" fontId="19" numFmtId="165" xfId="0" applyAlignment="1" applyBorder="1" applyFont="1" applyNumberFormat="1">
      <alignment horizontal="center" vertical="bottom"/>
    </xf>
    <xf borderId="1" fillId="7" fontId="18" numFmtId="165" xfId="0" applyAlignment="1" applyBorder="1" applyFont="1" applyNumberFormat="1">
      <alignment horizontal="center" vertical="bottom"/>
    </xf>
    <xf borderId="1" fillId="7" fontId="18" numFmtId="165" xfId="0" applyAlignment="1" applyBorder="1" applyFont="1" applyNumberFormat="1">
      <alignment horizontal="center" readingOrder="0" vertical="bottom"/>
    </xf>
    <xf borderId="1" fillId="7" fontId="3" numFmtId="165" xfId="0" applyAlignment="1" applyBorder="1" applyFont="1" applyNumberFormat="1">
      <alignment readingOrder="0" vertical="bottom"/>
    </xf>
    <xf borderId="6" fillId="6" fontId="20" numFmtId="165" xfId="0" applyAlignment="1" applyBorder="1" applyFont="1" applyNumberFormat="1">
      <alignment horizontal="center" vertical="bottom"/>
    </xf>
    <xf borderId="1" fillId="6" fontId="20" numFmtId="165" xfId="0" applyAlignment="1" applyBorder="1" applyFont="1" applyNumberFormat="1">
      <alignment horizontal="center" vertical="bottom"/>
    </xf>
    <xf borderId="1" fillId="6" fontId="18" numFmtId="165" xfId="0" applyAlignment="1" applyBorder="1" applyFont="1" applyNumberFormat="1">
      <alignment horizontal="right" vertical="bottom"/>
    </xf>
    <xf borderId="1" fillId="8" fontId="18" numFmtId="165" xfId="0" applyAlignment="1" applyBorder="1" applyFont="1" applyNumberFormat="1">
      <alignment horizontal="right" vertical="bottom"/>
    </xf>
    <xf borderId="1" fillId="9" fontId="21" numFmtId="0" xfId="0" applyAlignment="1" applyBorder="1" applyFont="1">
      <alignment horizontal="center" vertical="bottom"/>
    </xf>
    <xf borderId="2" fillId="9" fontId="21" numFmtId="0" xfId="0" applyAlignment="1" applyBorder="1" applyFont="1">
      <alignment horizontal="center" vertical="bottom"/>
    </xf>
    <xf borderId="5" fillId="0" fontId="3" numFmtId="0" xfId="0" applyAlignment="1" applyBorder="1" applyFont="1">
      <alignment horizontal="center" vertical="bottom"/>
    </xf>
    <xf borderId="2" fillId="0" fontId="3" numFmtId="0" xfId="0" applyAlignment="1" applyBorder="1" applyFont="1">
      <alignment horizontal="center" vertical="bottom"/>
    </xf>
    <xf borderId="2" fillId="0" fontId="3" numFmtId="165" xfId="0" applyAlignment="1" applyBorder="1" applyFont="1" applyNumberFormat="1">
      <alignment horizontal="center" vertical="bottom"/>
    </xf>
    <xf borderId="2" fillId="0" fontId="3" numFmtId="164" xfId="0" applyAlignment="1" applyBorder="1" applyFont="1" applyNumberFormat="1">
      <alignment horizontal="center" vertical="bottom"/>
    </xf>
    <xf borderId="4" fillId="0" fontId="3" numFmtId="0" xfId="0" applyAlignment="1" applyBorder="1" applyFont="1">
      <alignment horizontal="center" vertical="bottom"/>
    </xf>
    <xf borderId="1" fillId="0" fontId="3" numFmtId="164" xfId="0" applyAlignment="1" applyBorder="1" applyFont="1" applyNumberFormat="1">
      <alignment horizontal="center" vertical="bottom"/>
    </xf>
    <xf borderId="2" fillId="0" fontId="3" numFmtId="0" xfId="0" applyAlignment="1" applyBorder="1" applyFont="1">
      <alignment horizontal="center" readingOrder="0" vertical="bottom"/>
    </xf>
    <xf borderId="1" fillId="0" fontId="3" numFmtId="0" xfId="0" applyAlignment="1" applyBorder="1" applyFont="1">
      <alignment horizontal="center" readingOrder="0" vertical="bottom"/>
    </xf>
    <xf borderId="4" fillId="0" fontId="3" numFmtId="0" xfId="0" applyAlignment="1" applyBorder="1" applyFont="1">
      <alignment horizontal="center" readingOrder="0" vertical="bottom"/>
    </xf>
    <xf borderId="1" fillId="7" fontId="3" numFmtId="164" xfId="0" applyAlignment="1" applyBorder="1" applyFont="1" applyNumberFormat="1">
      <alignment horizontal="center" vertical="bottom"/>
    </xf>
    <xf borderId="2" fillId="0" fontId="4" numFmtId="165" xfId="0" applyAlignment="1" applyBorder="1" applyFont="1" applyNumberFormat="1">
      <alignment horizontal="center" vertical="bottom"/>
    </xf>
    <xf borderId="5" fillId="0" fontId="8" numFmtId="0" xfId="0" applyAlignment="1" applyBorder="1" applyFont="1">
      <alignment horizontal="center" vertical="bottom"/>
    </xf>
    <xf borderId="2" fillId="0" fontId="8" numFmtId="0" xfId="0" applyAlignment="1" applyBorder="1" applyFont="1">
      <alignment horizontal="center" readingOrder="0" vertical="bottom"/>
    </xf>
    <xf borderId="2" fillId="0" fontId="8" numFmtId="165" xfId="0" applyAlignment="1" applyBorder="1" applyFont="1" applyNumberFormat="1">
      <alignment horizontal="center" vertical="bottom"/>
    </xf>
    <xf borderId="2" fillId="0" fontId="8" numFmtId="164" xfId="0" applyAlignment="1" applyBorder="1" applyFont="1" applyNumberFormat="1">
      <alignment horizontal="center" vertical="bottom"/>
    </xf>
    <xf borderId="5" fillId="0" fontId="4" numFmtId="0" xfId="0" applyAlignment="1" applyBorder="1" applyFont="1">
      <alignment horizontal="center" vertical="bottom"/>
    </xf>
    <xf borderId="2" fillId="0" fontId="4" numFmtId="0" xfId="0" applyAlignment="1" applyBorder="1" applyFont="1">
      <alignment horizontal="center" readingOrder="0" vertical="bottom"/>
    </xf>
    <xf borderId="2" fillId="0" fontId="4" numFmtId="164" xfId="0" applyAlignment="1" applyBorder="1" applyFont="1" applyNumberFormat="1">
      <alignment horizontal="center" vertical="bottom"/>
    </xf>
    <xf borderId="5" fillId="4" fontId="3" numFmtId="0" xfId="0" applyAlignment="1" applyBorder="1" applyFont="1">
      <alignment horizontal="center" vertical="bottom"/>
    </xf>
    <xf borderId="2" fillId="4" fontId="3" numFmtId="165" xfId="0" applyAlignment="1" applyBorder="1" applyFont="1" applyNumberFormat="1">
      <alignment horizontal="center" vertical="bottom"/>
    </xf>
    <xf borderId="2" fillId="4" fontId="3" numFmtId="164" xfId="0" applyAlignment="1" applyBorder="1" applyFont="1" applyNumberFormat="1">
      <alignment horizontal="center" vertical="bottom"/>
    </xf>
    <xf borderId="1" fillId="4" fontId="3" numFmtId="0" xfId="0" applyAlignment="1" applyBorder="1" applyFont="1">
      <alignment horizontal="center" readingOrder="0" vertical="bottom"/>
    </xf>
    <xf borderId="1" fillId="4" fontId="3" numFmtId="164" xfId="0" applyAlignment="1" applyBorder="1" applyFont="1" applyNumberFormat="1">
      <alignment horizontal="center" vertical="bottom"/>
    </xf>
    <xf borderId="2" fillId="6" fontId="3" numFmtId="165" xfId="0" applyAlignment="1" applyBorder="1" applyFont="1" applyNumberFormat="1">
      <alignment horizontal="center" vertical="bottom"/>
    </xf>
    <xf borderId="5" fillId="7" fontId="3" numFmtId="0" xfId="0" applyAlignment="1" applyBorder="1" applyFont="1">
      <alignment horizontal="center" vertical="bottom"/>
    </xf>
    <xf borderId="2" fillId="7" fontId="3" numFmtId="0" xfId="0" applyAlignment="1" applyBorder="1" applyFont="1">
      <alignment horizontal="center" readingOrder="0" vertical="bottom"/>
    </xf>
    <xf borderId="2" fillId="7" fontId="3" numFmtId="165" xfId="0" applyAlignment="1" applyBorder="1" applyFont="1" applyNumberFormat="1">
      <alignment horizontal="center" vertical="bottom"/>
    </xf>
    <xf borderId="2" fillId="7" fontId="3" numFmtId="164" xfId="0" applyAlignment="1" applyBorder="1" applyFont="1" applyNumberFormat="1">
      <alignment horizontal="center" vertical="bottom"/>
    </xf>
    <xf borderId="4" fillId="7" fontId="3" numFmtId="0" xfId="0" applyAlignment="1" applyBorder="1" applyFont="1">
      <alignment horizontal="center" vertical="bottom"/>
    </xf>
    <xf borderId="1" fillId="0" fontId="3" numFmtId="164" xfId="0" applyAlignment="1" applyBorder="1" applyFont="1" applyNumberFormat="1">
      <alignment horizontal="center" readingOrder="0" vertical="bottom"/>
    </xf>
    <xf borderId="0" fillId="0" fontId="22" numFmtId="0" xfId="0" applyAlignment="1" applyFont="1">
      <alignment readingOrder="0"/>
    </xf>
    <xf borderId="1" fillId="0" fontId="3" numFmtId="166" xfId="0" applyAlignment="1" applyBorder="1" applyFont="1" applyNumberFormat="1">
      <alignment horizontal="center" readingOrder="0" vertical="bottom"/>
    </xf>
    <xf borderId="4" fillId="0" fontId="4" numFmtId="0" xfId="0" applyAlignment="1" applyBorder="1" applyFont="1">
      <alignment horizontal="center" readingOrder="0" vertical="bottom"/>
    </xf>
    <xf borderId="1" fillId="0" fontId="4" numFmtId="0" xfId="0" applyAlignment="1" applyBorder="1" applyFont="1">
      <alignment horizontal="center" readingOrder="0" vertical="bottom"/>
    </xf>
    <xf borderId="1" fillId="0" fontId="4" numFmtId="165" xfId="0" applyAlignment="1" applyBorder="1" applyFont="1" applyNumberFormat="1">
      <alignment horizontal="center" readingOrder="0" vertical="bottom"/>
    </xf>
    <xf borderId="1" fillId="0" fontId="4" numFmtId="164" xfId="0" applyAlignment="1" applyBorder="1" applyFont="1" applyNumberFormat="1">
      <alignment horizontal="center" readingOrder="0" vertical="bottom"/>
    </xf>
    <xf borderId="4" fillId="3" fontId="3" numFmtId="0" xfId="0" applyAlignment="1" applyBorder="1" applyFont="1">
      <alignment horizontal="center" readingOrder="0" vertical="bottom"/>
    </xf>
    <xf borderId="1" fillId="3" fontId="3" numFmtId="0" xfId="0" applyAlignment="1" applyBorder="1" applyFont="1">
      <alignment horizontal="center" readingOrder="0" vertical="bottom"/>
    </xf>
    <xf borderId="1" fillId="3" fontId="3" numFmtId="165" xfId="0" applyAlignment="1" applyBorder="1" applyFont="1" applyNumberFormat="1">
      <alignment horizontal="center" readingOrder="0" vertical="bottom"/>
    </xf>
    <xf borderId="1" fillId="3" fontId="3" numFmtId="165" xfId="0" applyAlignment="1" applyBorder="1" applyFont="1" applyNumberFormat="1">
      <alignment horizontal="center" vertical="bottom"/>
    </xf>
    <xf borderId="1" fillId="3" fontId="3" numFmtId="164" xfId="0" applyAlignment="1" applyBorder="1" applyFont="1" applyNumberFormat="1">
      <alignment horizontal="center" readingOrder="0" vertical="bottom"/>
    </xf>
    <xf borderId="4" fillId="0" fontId="21" numFmtId="0" xfId="0" applyAlignment="1" applyBorder="1" applyFont="1">
      <alignment horizontal="center" vertical="bottom"/>
    </xf>
    <xf borderId="1" fillId="0" fontId="21" numFmtId="165" xfId="0" applyAlignment="1" applyBorder="1" applyFont="1" applyNumberFormat="1">
      <alignment horizontal="center" vertical="bottom"/>
    </xf>
    <xf borderId="5" fillId="0" fontId="1" numFmtId="0" xfId="0" applyAlignment="1" applyBorder="1" applyFont="1">
      <alignment vertical="bottom"/>
    </xf>
    <xf borderId="2" fillId="4" fontId="10" numFmtId="0" xfId="0" applyAlignment="1" applyBorder="1" applyFont="1">
      <alignment horizontal="center" vertical="bottom"/>
    </xf>
    <xf borderId="2" fillId="5" fontId="10" numFmtId="0" xfId="0" applyAlignment="1" applyBorder="1" applyFont="1">
      <alignment horizontal="center" vertical="bottom"/>
    </xf>
    <xf borderId="4" fillId="0" fontId="1" numFmtId="0" xfId="0" applyAlignment="1" applyBorder="1" applyFont="1">
      <alignment vertical="bottom"/>
    </xf>
    <xf borderId="1" fillId="6" fontId="10" numFmtId="165" xfId="0" applyAlignment="1" applyBorder="1" applyFont="1" applyNumberFormat="1">
      <alignment horizontal="center" vertical="bottom"/>
    </xf>
    <xf borderId="1" fillId="4" fontId="10" numFmtId="165" xfId="0" applyAlignment="1" applyBorder="1" applyFont="1" applyNumberFormat="1">
      <alignment horizontal="center" vertical="bottom"/>
    </xf>
    <xf borderId="1" fillId="10" fontId="10" numFmtId="0" xfId="0" applyAlignment="1" applyBorder="1" applyFill="1" applyFont="1">
      <alignment horizontal="center" vertical="bottom"/>
    </xf>
    <xf borderId="1" fillId="10" fontId="10" numFmtId="0" xfId="0" applyAlignment="1" applyBorder="1" applyFont="1">
      <alignment horizontal="center" readingOrder="0" vertical="bottom"/>
    </xf>
    <xf borderId="4" fillId="11" fontId="10" numFmtId="0" xfId="0" applyAlignment="1" applyBorder="1" applyFill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38"/>
    <col customWidth="1" min="2" max="2" width="24.88"/>
    <col customWidth="1" min="3" max="3" width="32.38"/>
    <col customWidth="1" min="4" max="4" width="23.63"/>
    <col customWidth="1" min="5" max="5" width="21.63"/>
    <col customWidth="1" min="6" max="6" width="21.38"/>
    <col customWidth="1" min="7" max="7" width="20.88"/>
    <col customWidth="1" min="8" max="8" width="23.13"/>
    <col customWidth="1" min="9" max="9" width="22.63"/>
    <col customWidth="1" min="11" max="11" width="24.13"/>
    <col customWidth="1" min="12" max="12" width="30.88"/>
    <col customWidth="1" min="13" max="13" width="36.63"/>
    <col customWidth="1" min="14" max="14" width="51.38"/>
    <col customWidth="1" min="15" max="15" width="64.38"/>
  </cols>
  <sheetData>
    <row r="1">
      <c r="A1" s="1"/>
      <c r="B1" s="2" t="s">
        <v>0</v>
      </c>
      <c r="C1" s="3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K1" s="5" t="s">
        <v>8</v>
      </c>
      <c r="L1" s="6" t="s">
        <v>9</v>
      </c>
      <c r="M1" s="7" t="s">
        <v>10</v>
      </c>
      <c r="N1" s="7" t="s">
        <v>11</v>
      </c>
      <c r="O1" s="8" t="s">
        <v>12</v>
      </c>
      <c r="P1" s="9" t="s">
        <v>13</v>
      </c>
    </row>
    <row r="2">
      <c r="A2" s="10" t="s">
        <v>14</v>
      </c>
      <c r="B2" s="11">
        <v>45139.0</v>
      </c>
      <c r="C2" s="12">
        <v>20000.0</v>
      </c>
      <c r="D2" s="12">
        <v>56000.0</v>
      </c>
      <c r="E2" s="13"/>
      <c r="F2" s="13"/>
      <c r="G2" s="13"/>
      <c r="H2" s="13"/>
      <c r="I2" s="14">
        <v>1.0</v>
      </c>
      <c r="K2" s="15">
        <v>100000.0</v>
      </c>
      <c r="L2" s="16">
        <v>20000.0</v>
      </c>
      <c r="M2" s="17">
        <f>H33/I33</f>
        <v>5935.011765</v>
      </c>
      <c r="N2" s="17">
        <f>D33/I33</f>
        <v>55352.94118</v>
      </c>
      <c r="O2" s="18"/>
      <c r="P2" s="19">
        <f>O2/N2</f>
        <v>0</v>
      </c>
    </row>
    <row r="3">
      <c r="A3" s="10" t="s">
        <v>15</v>
      </c>
      <c r="B3" s="11">
        <v>45140.0</v>
      </c>
      <c r="C3" s="12">
        <v>30000.0</v>
      </c>
      <c r="D3" s="12">
        <v>45000.0</v>
      </c>
      <c r="E3" s="13"/>
      <c r="F3" s="13"/>
      <c r="G3" s="13"/>
      <c r="H3" s="13"/>
      <c r="I3" s="14">
        <v>1.0</v>
      </c>
      <c r="K3" s="15">
        <v>100000.0</v>
      </c>
      <c r="L3" s="20">
        <v>30000.0</v>
      </c>
      <c r="M3" s="1"/>
      <c r="N3" s="1"/>
      <c r="O3" s="21"/>
      <c r="P3" s="22"/>
    </row>
    <row r="4">
      <c r="A4" s="10" t="s">
        <v>16</v>
      </c>
      <c r="B4" s="11">
        <v>45141.0</v>
      </c>
      <c r="C4" s="12">
        <v>45000.0</v>
      </c>
      <c r="D4" s="12">
        <v>82000.0</v>
      </c>
      <c r="E4" s="13"/>
      <c r="F4" s="13"/>
      <c r="G4" s="13"/>
      <c r="H4" s="13"/>
      <c r="I4" s="14">
        <v>1.0</v>
      </c>
      <c r="K4" s="15">
        <v>100000.0</v>
      </c>
      <c r="L4" s="20">
        <v>45000.0</v>
      </c>
      <c r="M4" s="23" t="s">
        <v>17</v>
      </c>
      <c r="N4" s="24" t="s">
        <v>18</v>
      </c>
      <c r="O4" s="21"/>
      <c r="P4" s="1"/>
    </row>
    <row r="5">
      <c r="A5" s="25" t="s">
        <v>19</v>
      </c>
      <c r="B5" s="26">
        <v>45142.0</v>
      </c>
      <c r="C5" s="27">
        <v>48000.0</v>
      </c>
      <c r="D5" s="27">
        <v>50000.0</v>
      </c>
      <c r="E5" s="28"/>
      <c r="F5" s="28"/>
      <c r="G5" s="28"/>
      <c r="H5" s="28"/>
      <c r="I5" s="29">
        <v>1.0</v>
      </c>
      <c r="K5" s="15">
        <v>100000.0</v>
      </c>
      <c r="L5" s="20">
        <v>48000.0</v>
      </c>
      <c r="M5" s="30">
        <f>E33/I33</f>
        <v>28909.37059</v>
      </c>
      <c r="N5" s="30">
        <v>100000.0</v>
      </c>
      <c r="O5" s="1"/>
      <c r="P5" s="1"/>
    </row>
    <row r="6">
      <c r="A6" s="10" t="s">
        <v>20</v>
      </c>
      <c r="B6" s="11">
        <v>45143.0</v>
      </c>
      <c r="C6" s="12">
        <v>44000.0</v>
      </c>
      <c r="D6" s="12">
        <v>35000.0</v>
      </c>
      <c r="E6" s="13"/>
      <c r="F6" s="13"/>
      <c r="G6" s="13"/>
      <c r="H6" s="13"/>
      <c r="I6" s="14">
        <v>1.0</v>
      </c>
      <c r="K6" s="15">
        <v>100000.0</v>
      </c>
      <c r="L6" s="20">
        <v>44000.0</v>
      </c>
      <c r="M6" s="1" t="s">
        <v>21</v>
      </c>
      <c r="N6" s="1"/>
      <c r="O6" s="1"/>
      <c r="P6" s="1"/>
    </row>
    <row r="7">
      <c r="A7" s="10" t="s">
        <v>22</v>
      </c>
      <c r="B7" s="11">
        <v>45144.0</v>
      </c>
      <c r="C7" s="12">
        <v>100000.0</v>
      </c>
      <c r="D7" s="12">
        <v>33000.0</v>
      </c>
      <c r="E7" s="13"/>
      <c r="F7" s="13"/>
      <c r="G7" s="13"/>
      <c r="H7" s="13"/>
      <c r="I7" s="14">
        <v>1.0</v>
      </c>
      <c r="K7" s="15">
        <v>100000.0</v>
      </c>
      <c r="L7" s="31">
        <v>100000.0</v>
      </c>
      <c r="M7" s="1"/>
      <c r="N7" s="1"/>
      <c r="O7" s="1"/>
      <c r="P7" s="1"/>
    </row>
    <row r="8">
      <c r="A8" s="10" t="s">
        <v>23</v>
      </c>
      <c r="B8" s="11">
        <v>45145.0</v>
      </c>
      <c r="C8" s="12">
        <v>40000.0</v>
      </c>
      <c r="D8" s="12">
        <v>50000.0</v>
      </c>
      <c r="E8" s="13"/>
      <c r="F8" s="13"/>
      <c r="G8" s="13"/>
      <c r="H8" s="13"/>
      <c r="I8" s="14">
        <v>1.0</v>
      </c>
      <c r="K8" s="15">
        <v>100000.0</v>
      </c>
      <c r="L8" s="20">
        <v>40000.0</v>
      </c>
      <c r="M8" s="32" t="s">
        <v>24</v>
      </c>
      <c r="N8" s="32" t="s">
        <v>25</v>
      </c>
      <c r="O8" s="1"/>
      <c r="P8" s="33"/>
    </row>
    <row r="9">
      <c r="A9" s="10" t="s">
        <v>26</v>
      </c>
      <c r="B9" s="11">
        <v>45146.0</v>
      </c>
      <c r="C9" s="12">
        <v>42000.0</v>
      </c>
      <c r="D9" s="12">
        <v>55000.0</v>
      </c>
      <c r="E9" s="13"/>
      <c r="F9" s="13"/>
      <c r="G9" s="13"/>
      <c r="H9" s="13"/>
      <c r="I9" s="14">
        <v>1.0</v>
      </c>
      <c r="K9" s="15">
        <v>100000.0</v>
      </c>
      <c r="L9" s="20">
        <v>42000.0</v>
      </c>
      <c r="M9" s="24">
        <f>D33-N9-E33-Salaire!K24</f>
        <v>173540.7</v>
      </c>
      <c r="N9" s="17">
        <f>O9*1</f>
        <v>40000</v>
      </c>
      <c r="O9" s="34">
        <v>40000.0</v>
      </c>
      <c r="P9" s="35"/>
    </row>
    <row r="10">
      <c r="A10" s="10" t="s">
        <v>15</v>
      </c>
      <c r="B10" s="11">
        <v>45147.0</v>
      </c>
      <c r="C10" s="12">
        <v>31000.0</v>
      </c>
      <c r="D10" s="12">
        <v>40000.0</v>
      </c>
      <c r="E10" s="13"/>
      <c r="F10" s="13"/>
      <c r="G10" s="13"/>
      <c r="H10" s="13"/>
      <c r="I10" s="14">
        <v>1.0</v>
      </c>
      <c r="K10" s="15">
        <v>100000.0</v>
      </c>
      <c r="L10" s="20">
        <v>31000.0</v>
      </c>
      <c r="M10" s="1"/>
      <c r="N10" s="1" t="s">
        <v>27</v>
      </c>
      <c r="O10" s="35"/>
      <c r="P10" s="35"/>
    </row>
    <row r="11">
      <c r="A11" s="10" t="s">
        <v>16</v>
      </c>
      <c r="B11" s="11">
        <v>45148.0</v>
      </c>
      <c r="C11" s="12">
        <v>30000.0</v>
      </c>
      <c r="D11" s="12">
        <v>50000.0</v>
      </c>
      <c r="E11" s="13"/>
      <c r="F11" s="13"/>
      <c r="G11" s="13"/>
      <c r="H11" s="13"/>
      <c r="I11" s="14">
        <v>1.0</v>
      </c>
      <c r="K11" s="15">
        <v>100000.0</v>
      </c>
      <c r="L11" s="20">
        <v>30000.0</v>
      </c>
      <c r="M11" s="36" t="s">
        <v>28</v>
      </c>
      <c r="N11" s="30"/>
      <c r="O11" s="21"/>
      <c r="P11" s="35"/>
    </row>
    <row r="12">
      <c r="A12" s="25" t="s">
        <v>19</v>
      </c>
      <c r="B12" s="26">
        <v>45149.0</v>
      </c>
      <c r="C12" s="27">
        <v>48000.0</v>
      </c>
      <c r="D12" s="27">
        <v>30000.0</v>
      </c>
      <c r="E12" s="28"/>
      <c r="F12" s="28"/>
      <c r="G12" s="28"/>
      <c r="H12" s="28"/>
      <c r="I12" s="29">
        <v>1.0</v>
      </c>
      <c r="K12" s="15">
        <v>100000.0</v>
      </c>
      <c r="L12" s="20">
        <v>48000.0</v>
      </c>
      <c r="M12" s="35"/>
      <c r="N12" s="35"/>
      <c r="O12" s="37" t="s">
        <v>29</v>
      </c>
      <c r="P12" s="21"/>
    </row>
    <row r="13">
      <c r="A13" s="10" t="s">
        <v>20</v>
      </c>
      <c r="B13" s="11">
        <v>45150.0</v>
      </c>
      <c r="C13" s="12">
        <v>76000.0</v>
      </c>
      <c r="D13" s="12">
        <v>140000.0</v>
      </c>
      <c r="E13" s="13"/>
      <c r="F13" s="13"/>
      <c r="G13" s="13"/>
      <c r="H13" s="13"/>
      <c r="I13" s="14">
        <v>1.0</v>
      </c>
      <c r="K13" s="15">
        <v>100000.0</v>
      </c>
      <c r="L13" s="38">
        <v>76000.0</v>
      </c>
      <c r="M13" s="18"/>
      <c r="N13" s="39"/>
      <c r="O13" s="40" t="s">
        <v>30</v>
      </c>
      <c r="P13" s="21"/>
    </row>
    <row r="14">
      <c r="A14" s="10" t="s">
        <v>22</v>
      </c>
      <c r="B14" s="11">
        <v>45151.0</v>
      </c>
      <c r="C14" s="12">
        <v>100000.0</v>
      </c>
      <c r="D14" s="12">
        <v>50000.0</v>
      </c>
      <c r="E14" s="13"/>
      <c r="F14" s="13"/>
      <c r="G14" s="13"/>
      <c r="H14" s="13"/>
      <c r="I14" s="14">
        <v>1.0</v>
      </c>
      <c r="K14" s="15">
        <v>100000.0</v>
      </c>
      <c r="L14" s="31">
        <v>100000.0</v>
      </c>
      <c r="M14" s="18"/>
      <c r="N14" s="41"/>
      <c r="O14" s="40"/>
      <c r="P14" s="21"/>
    </row>
    <row r="15">
      <c r="A15" s="10" t="s">
        <v>23</v>
      </c>
      <c r="B15" s="11">
        <v>45152.0</v>
      </c>
      <c r="C15" s="12">
        <v>75000.0</v>
      </c>
      <c r="D15" s="12">
        <v>40000.0</v>
      </c>
      <c r="E15" s="13"/>
      <c r="F15" s="13"/>
      <c r="G15" s="13"/>
      <c r="H15" s="13"/>
      <c r="I15" s="14">
        <v>1.0</v>
      </c>
      <c r="K15" s="15">
        <v>100000.0</v>
      </c>
      <c r="L15" s="38">
        <v>75000.0</v>
      </c>
      <c r="M15" s="42"/>
      <c r="N15" s="18"/>
      <c r="O15" s="39"/>
      <c r="P15" s="21"/>
    </row>
    <row r="16">
      <c r="A16" s="10" t="s">
        <v>14</v>
      </c>
      <c r="B16" s="11">
        <v>45153.0</v>
      </c>
      <c r="C16" s="12">
        <v>93000.0</v>
      </c>
      <c r="D16" s="12">
        <v>70000.0</v>
      </c>
      <c r="E16" s="13"/>
      <c r="F16" s="13"/>
      <c r="G16" s="13"/>
      <c r="H16" s="13"/>
      <c r="I16" s="14">
        <v>1.0</v>
      </c>
      <c r="K16" s="15">
        <v>100000.0</v>
      </c>
      <c r="L16" s="38">
        <v>93000.0</v>
      </c>
      <c r="M16" s="43"/>
      <c r="N16" s="18"/>
      <c r="O16" s="44"/>
      <c r="P16" s="18"/>
    </row>
    <row r="17">
      <c r="A17" s="10" t="s">
        <v>15</v>
      </c>
      <c r="B17" s="11">
        <v>45154.0</v>
      </c>
      <c r="C17" s="12">
        <v>39000.0</v>
      </c>
      <c r="D17" s="12">
        <v>50000.0</v>
      </c>
      <c r="E17" s="13"/>
      <c r="F17" s="13"/>
      <c r="G17" s="13"/>
      <c r="H17" s="13"/>
      <c r="I17" s="14">
        <v>1.0</v>
      </c>
      <c r="K17" s="15">
        <v>100000.0</v>
      </c>
      <c r="L17" s="20">
        <v>39000.0</v>
      </c>
      <c r="M17" s="45" t="s">
        <v>31</v>
      </c>
      <c r="N17" s="18"/>
      <c r="O17" s="18"/>
      <c r="P17" s="18"/>
    </row>
    <row r="18">
      <c r="A18" s="10" t="s">
        <v>16</v>
      </c>
      <c r="B18" s="11">
        <v>45155.0</v>
      </c>
      <c r="C18" s="12">
        <v>50000.0</v>
      </c>
      <c r="D18" s="12">
        <v>65000.0</v>
      </c>
      <c r="E18" s="13"/>
      <c r="F18" s="13"/>
      <c r="G18" s="13"/>
      <c r="H18" s="13"/>
      <c r="I18" s="14">
        <v>1.0</v>
      </c>
      <c r="K18" s="15">
        <v>100000.0</v>
      </c>
      <c r="L18" s="38">
        <v>50000.0</v>
      </c>
      <c r="M18" s="46">
        <f>D33-C33</f>
        <v>30000</v>
      </c>
      <c r="N18" s="18"/>
      <c r="O18" s="47"/>
      <c r="P18" s="48"/>
    </row>
    <row r="19">
      <c r="A19" s="49" t="s">
        <v>19</v>
      </c>
      <c r="B19" s="50">
        <v>45156.0</v>
      </c>
      <c r="C19" s="51"/>
      <c r="D19" s="51"/>
      <c r="E19" s="52"/>
      <c r="F19" s="52"/>
      <c r="G19" s="52"/>
      <c r="H19" s="52"/>
      <c r="I19" s="53"/>
      <c r="K19" s="15">
        <v>100000.0</v>
      </c>
      <c r="L19" s="38">
        <v>71000.0</v>
      </c>
      <c r="M19" s="54" t="s">
        <v>32</v>
      </c>
      <c r="N19" s="18"/>
      <c r="O19" s="47"/>
      <c r="P19" s="48"/>
    </row>
    <row r="20">
      <c r="A20" s="49" t="s">
        <v>20</v>
      </c>
      <c r="B20" s="50">
        <v>45157.0</v>
      </c>
      <c r="C20" s="51"/>
      <c r="D20" s="51"/>
      <c r="E20" s="52"/>
      <c r="F20" s="52"/>
      <c r="G20" s="52"/>
      <c r="H20" s="52"/>
      <c r="I20" s="53"/>
      <c r="K20" s="15">
        <v>100000.0</v>
      </c>
      <c r="L20" s="31">
        <v>120000.0</v>
      </c>
      <c r="M20" s="30">
        <f>K34-E34</f>
        <v>0</v>
      </c>
      <c r="N20" s="18"/>
      <c r="O20" s="47"/>
      <c r="P20" s="48"/>
    </row>
    <row r="21">
      <c r="A21" s="49" t="s">
        <v>22</v>
      </c>
      <c r="B21" s="50">
        <v>45158.0</v>
      </c>
      <c r="C21" s="51"/>
      <c r="D21" s="51"/>
      <c r="E21" s="52"/>
      <c r="F21" s="52"/>
      <c r="G21" s="52"/>
      <c r="H21" s="52"/>
      <c r="I21" s="53"/>
      <c r="K21" s="15">
        <v>100000.0</v>
      </c>
      <c r="L21" s="20">
        <v>49000.0</v>
      </c>
      <c r="M21" s="55" t="s">
        <v>33</v>
      </c>
      <c r="N21" s="18"/>
      <c r="O21" s="47"/>
      <c r="P21" s="48"/>
    </row>
    <row r="22">
      <c r="A22" s="49" t="s">
        <v>23</v>
      </c>
      <c r="B22" s="50">
        <v>45159.0</v>
      </c>
      <c r="C22" s="51"/>
      <c r="D22" s="51"/>
      <c r="E22" s="52"/>
      <c r="F22" s="52"/>
      <c r="G22" s="52"/>
      <c r="H22" s="52"/>
      <c r="I22" s="53"/>
      <c r="K22" s="15">
        <v>100000.0</v>
      </c>
      <c r="L22" s="20">
        <v>42000.0</v>
      </c>
      <c r="M22" s="56">
        <f>D33-L33</f>
        <v>-939000</v>
      </c>
      <c r="N22" s="18"/>
      <c r="O22" s="47"/>
      <c r="P22" s="48"/>
    </row>
    <row r="23">
      <c r="A23" s="49" t="s">
        <v>14</v>
      </c>
      <c r="B23" s="50">
        <v>45160.0</v>
      </c>
      <c r="C23" s="51"/>
      <c r="D23" s="51"/>
      <c r="E23" s="52"/>
      <c r="F23" s="52"/>
      <c r="G23" s="52"/>
      <c r="H23" s="52"/>
      <c r="I23" s="53"/>
      <c r="K23" s="15">
        <v>100000.0</v>
      </c>
      <c r="L23" s="20">
        <v>35000.0</v>
      </c>
      <c r="M23" s="36" t="s">
        <v>34</v>
      </c>
      <c r="N23" s="18"/>
      <c r="O23" s="47"/>
      <c r="P23" s="48"/>
    </row>
    <row r="24">
      <c r="A24" s="49" t="s">
        <v>15</v>
      </c>
      <c r="B24" s="50">
        <v>45161.0</v>
      </c>
      <c r="C24" s="51"/>
      <c r="D24" s="51"/>
      <c r="E24" s="52"/>
      <c r="F24" s="52"/>
      <c r="G24" s="52"/>
      <c r="H24" s="52"/>
      <c r="I24" s="53"/>
      <c r="K24" s="15">
        <v>100000.0</v>
      </c>
      <c r="L24" s="38">
        <v>74000.0</v>
      </c>
      <c r="M24" s="30">
        <f>E4+E11+E18+E25</f>
        <v>0</v>
      </c>
      <c r="N24" s="21"/>
      <c r="O24" s="47"/>
      <c r="P24" s="48"/>
    </row>
    <row r="25">
      <c r="A25" s="49" t="s">
        <v>16</v>
      </c>
      <c r="B25" s="50">
        <v>45162.0</v>
      </c>
      <c r="C25" s="51"/>
      <c r="D25" s="51"/>
      <c r="E25" s="52"/>
      <c r="F25" s="52"/>
      <c r="G25" s="52"/>
      <c r="H25" s="52"/>
      <c r="I25" s="53"/>
      <c r="K25" s="15">
        <v>100000.0</v>
      </c>
      <c r="L25" s="20">
        <v>40000.0</v>
      </c>
      <c r="M25" s="30"/>
      <c r="N25" s="21"/>
      <c r="O25" s="47"/>
      <c r="P25" s="48"/>
    </row>
    <row r="26">
      <c r="A26" s="49" t="s">
        <v>19</v>
      </c>
      <c r="B26" s="50">
        <v>45163.0</v>
      </c>
      <c r="C26" s="51"/>
      <c r="D26" s="51"/>
      <c r="E26" s="52"/>
      <c r="F26" s="52"/>
      <c r="G26" s="52"/>
      <c r="H26" s="52"/>
      <c r="I26" s="53"/>
      <c r="K26" s="15">
        <v>100000.0</v>
      </c>
      <c r="L26" s="20">
        <v>40000.0</v>
      </c>
      <c r="M26" s="23" t="s">
        <v>35</v>
      </c>
      <c r="N26" s="40"/>
      <c r="O26" s="48"/>
      <c r="P26" s="48"/>
    </row>
    <row r="27">
      <c r="A27" s="49" t="s">
        <v>20</v>
      </c>
      <c r="B27" s="50">
        <v>45164.0</v>
      </c>
      <c r="C27" s="51"/>
      <c r="D27" s="51"/>
      <c r="E27" s="52"/>
      <c r="F27" s="52"/>
      <c r="G27" s="52"/>
      <c r="H27" s="52"/>
      <c r="I27" s="53"/>
      <c r="K27" s="15">
        <v>100000.0</v>
      </c>
      <c r="L27" s="38">
        <v>60000.0</v>
      </c>
      <c r="M27" s="57">
        <v>210000.0</v>
      </c>
      <c r="N27" s="58"/>
      <c r="O27" s="18"/>
      <c r="P27" s="21"/>
    </row>
    <row r="28">
      <c r="A28" s="49" t="s">
        <v>22</v>
      </c>
      <c r="B28" s="50">
        <v>45165.0</v>
      </c>
      <c r="C28" s="51"/>
      <c r="D28" s="51"/>
      <c r="E28" s="52"/>
      <c r="F28" s="52"/>
      <c r="G28" s="52"/>
      <c r="H28" s="52"/>
      <c r="I28" s="53"/>
      <c r="K28" s="15">
        <v>100000.0</v>
      </c>
      <c r="L28" s="31">
        <v>123000.0</v>
      </c>
      <c r="M28" s="59" t="s">
        <v>36</v>
      </c>
      <c r="N28" s="60"/>
      <c r="O28" s="18"/>
      <c r="P28" s="21"/>
    </row>
    <row r="29">
      <c r="A29" s="49" t="s">
        <v>23</v>
      </c>
      <c r="B29" s="50">
        <v>45166.0</v>
      </c>
      <c r="C29" s="51"/>
      <c r="D29" s="51"/>
      <c r="E29" s="52"/>
      <c r="F29" s="52"/>
      <c r="G29" s="52"/>
      <c r="H29" s="52"/>
      <c r="I29" s="61"/>
      <c r="K29" s="15">
        <v>100000.0</v>
      </c>
      <c r="L29" s="31">
        <v>115000.0</v>
      </c>
      <c r="M29" s="30"/>
      <c r="N29" s="62"/>
      <c r="O29" s="18"/>
      <c r="P29" s="21"/>
    </row>
    <row r="30">
      <c r="A30" s="49" t="s">
        <v>14</v>
      </c>
      <c r="B30" s="50">
        <v>45167.0</v>
      </c>
      <c r="C30" s="51"/>
      <c r="D30" s="51"/>
      <c r="E30" s="52"/>
      <c r="F30" s="52"/>
      <c r="G30" s="52"/>
      <c r="H30" s="52"/>
      <c r="I30" s="61"/>
      <c r="K30" s="15">
        <v>100000.0</v>
      </c>
      <c r="L30" s="38">
        <v>70000.0</v>
      </c>
      <c r="M30" s="30"/>
      <c r="N30" s="62"/>
      <c r="O30" s="18"/>
      <c r="P30" s="21"/>
    </row>
    <row r="31">
      <c r="A31" s="49" t="s">
        <v>15</v>
      </c>
      <c r="B31" s="50">
        <v>45168.0</v>
      </c>
      <c r="C31" s="51"/>
      <c r="D31" s="51"/>
      <c r="E31" s="52"/>
      <c r="F31" s="52"/>
      <c r="G31" s="52"/>
      <c r="H31" s="52"/>
      <c r="I31" s="61"/>
      <c r="K31" s="63"/>
      <c r="L31" s="38">
        <v>70000.0</v>
      </c>
      <c r="M31" s="30"/>
      <c r="N31" s="64"/>
      <c r="O31" s="18"/>
      <c r="P31" s="21"/>
    </row>
    <row r="32">
      <c r="A32" s="49" t="s">
        <v>16</v>
      </c>
      <c r="B32" s="50">
        <v>45169.0</v>
      </c>
      <c r="C32" s="51"/>
      <c r="D32" s="65"/>
      <c r="E32" s="52"/>
      <c r="F32" s="52"/>
      <c r="G32" s="52"/>
      <c r="H32" s="52"/>
      <c r="I32" s="52"/>
      <c r="K32" s="63"/>
      <c r="L32" s="38">
        <v>60000.0</v>
      </c>
      <c r="M32" s="30"/>
      <c r="N32" s="21"/>
      <c r="O32" s="18"/>
      <c r="P32" s="21"/>
    </row>
    <row r="33">
      <c r="A33" s="66"/>
      <c r="B33" s="67"/>
      <c r="C33" s="68">
        <f t="shared" ref="C33:D33" si="1">SUM(C2:C32)</f>
        <v>911000</v>
      </c>
      <c r="D33" s="69">
        <f t="shared" si="1"/>
        <v>941000</v>
      </c>
      <c r="E33" s="68">
        <f>'Les charges '!F212*1</f>
        <v>491459.3</v>
      </c>
      <c r="F33" s="68">
        <f>Salaire!J24*1</f>
        <v>238645.5</v>
      </c>
      <c r="G33" s="68">
        <v>110000.0</v>
      </c>
      <c r="H33" s="68">
        <f>D33-E33-F33-G33</f>
        <v>100895.2</v>
      </c>
      <c r="I33" s="70">
        <f>SUM(I2:I32)</f>
        <v>17</v>
      </c>
      <c r="K33" s="63"/>
      <c r="L33" s="71">
        <f>SUM(L2:L32)</f>
        <v>1880000</v>
      </c>
      <c r="M33" s="30">
        <f>M9-M27-M31</f>
        <v>-36459.3</v>
      </c>
      <c r="N33" s="21"/>
      <c r="O33" s="18"/>
      <c r="P33" s="21"/>
    </row>
    <row r="34">
      <c r="A34" s="21"/>
      <c r="B34" s="21"/>
      <c r="C34" s="21"/>
      <c r="D34" s="21"/>
      <c r="E34" s="21"/>
      <c r="F34" s="21"/>
      <c r="G34" s="21"/>
      <c r="H34" s="21"/>
      <c r="I34" s="21"/>
      <c r="K34" s="21"/>
      <c r="L34" s="21"/>
      <c r="M34" s="21"/>
      <c r="N34" s="21"/>
      <c r="O34" s="21"/>
      <c r="P34" s="21"/>
    </row>
    <row r="35">
      <c r="A35" s="21"/>
      <c r="B35" s="21"/>
      <c r="C35" s="21"/>
      <c r="D35" s="21"/>
      <c r="E35" s="21"/>
      <c r="F35" s="21"/>
      <c r="G35" s="21"/>
      <c r="H35" s="21"/>
      <c r="I35" s="21"/>
      <c r="K35" s="21"/>
      <c r="L35" s="21"/>
      <c r="M35" s="21"/>
      <c r="N35" s="21"/>
      <c r="O35" s="21"/>
      <c r="P35" s="21"/>
    </row>
    <row r="36">
      <c r="A36" s="21"/>
      <c r="B36" s="21"/>
      <c r="C36" s="21"/>
      <c r="D36" s="21"/>
      <c r="E36" s="21"/>
      <c r="F36" s="21"/>
      <c r="G36" s="21"/>
      <c r="H36" s="21"/>
      <c r="I36" s="21"/>
      <c r="K36" s="21"/>
      <c r="L36" s="21"/>
      <c r="M36" s="21"/>
      <c r="N36" s="21"/>
      <c r="O36" s="21"/>
      <c r="P36" s="21"/>
    </row>
    <row r="37">
      <c r="A37" s="21"/>
      <c r="B37" s="21"/>
      <c r="C37" s="21"/>
      <c r="D37" s="21"/>
      <c r="E37" s="21"/>
      <c r="F37" s="21"/>
      <c r="G37" s="21"/>
      <c r="H37" s="21"/>
      <c r="I37" s="21"/>
      <c r="K37" s="21"/>
      <c r="L37" s="21"/>
      <c r="M37" s="21"/>
      <c r="N37" s="21"/>
      <c r="O37" s="21"/>
      <c r="P37" s="21"/>
    </row>
    <row r="38">
      <c r="A38" s="21"/>
      <c r="B38" s="21"/>
      <c r="C38" s="21"/>
      <c r="D38" s="21"/>
      <c r="E38" s="21"/>
      <c r="F38" s="21"/>
      <c r="G38" s="21"/>
      <c r="H38" s="21"/>
      <c r="I38" s="2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13"/>
    <col customWidth="1" min="2" max="2" width="25.63"/>
    <col customWidth="1" min="3" max="3" width="19.88"/>
    <col customWidth="1" min="4" max="5" width="20.38"/>
    <col customWidth="1" min="6" max="6" width="19.88"/>
    <col customWidth="1" min="7" max="7" width="19.63"/>
    <col customWidth="1" min="8" max="8" width="19.38"/>
    <col customWidth="1" min="9" max="10" width="20.13"/>
    <col customWidth="1" min="11" max="11" width="21.63"/>
    <col customWidth="1" min="12" max="12" width="20.38"/>
    <col customWidth="1" min="13" max="13" width="20.88"/>
    <col customWidth="1" min="14" max="14" width="20.13"/>
    <col customWidth="1" min="15" max="15" width="22.25"/>
    <col customWidth="1" min="16" max="16" width="102.88"/>
  </cols>
  <sheetData>
    <row r="1">
      <c r="A1" s="1"/>
      <c r="B1" s="2" t="s">
        <v>0</v>
      </c>
      <c r="C1" s="72" t="s">
        <v>37</v>
      </c>
      <c r="D1" s="53" t="s">
        <v>38</v>
      </c>
      <c r="E1" s="4" t="s">
        <v>39</v>
      </c>
      <c r="F1" s="4" t="s">
        <v>40</v>
      </c>
      <c r="G1" s="4" t="s">
        <v>41</v>
      </c>
      <c r="H1" s="4" t="s">
        <v>42</v>
      </c>
      <c r="I1" s="4" t="s">
        <v>43</v>
      </c>
      <c r="J1" s="4" t="s">
        <v>44</v>
      </c>
      <c r="K1" s="4" t="s">
        <v>45</v>
      </c>
      <c r="L1" s="4" t="s">
        <v>46</v>
      </c>
      <c r="M1" s="4" t="s">
        <v>47</v>
      </c>
      <c r="N1" s="4" t="s">
        <v>48</v>
      </c>
      <c r="O1" s="3" t="s">
        <v>49</v>
      </c>
      <c r="P1" s="4" t="s">
        <v>50</v>
      </c>
      <c r="Q1" s="21"/>
    </row>
    <row r="2">
      <c r="A2" s="10" t="s">
        <v>14</v>
      </c>
      <c r="B2" s="11">
        <v>45139.0</v>
      </c>
      <c r="C2" s="10">
        <v>1.0</v>
      </c>
      <c r="D2" s="14">
        <v>1.0</v>
      </c>
      <c r="E2" s="14">
        <v>1.0</v>
      </c>
      <c r="F2" s="14">
        <v>0.0</v>
      </c>
      <c r="G2" s="14">
        <v>1.0</v>
      </c>
      <c r="H2" s="14">
        <v>1.0</v>
      </c>
      <c r="I2" s="14">
        <v>0.0</v>
      </c>
      <c r="J2" s="14">
        <v>1.0</v>
      </c>
      <c r="K2" s="14">
        <v>0.0</v>
      </c>
      <c r="L2" s="14">
        <v>0.0</v>
      </c>
      <c r="M2" s="73">
        <v>1.0</v>
      </c>
      <c r="N2" s="73">
        <v>1.0</v>
      </c>
      <c r="O2" s="74">
        <v>0.0</v>
      </c>
      <c r="P2" s="74" t="s">
        <v>51</v>
      </c>
      <c r="Q2" s="75"/>
    </row>
    <row r="3">
      <c r="A3" s="10" t="s">
        <v>15</v>
      </c>
      <c r="B3" s="11">
        <v>45140.0</v>
      </c>
      <c r="C3" s="10">
        <v>1.5</v>
      </c>
      <c r="D3" s="14">
        <v>1.0</v>
      </c>
      <c r="E3" s="14">
        <v>1.0</v>
      </c>
      <c r="F3" s="14">
        <v>0.0</v>
      </c>
      <c r="G3" s="14">
        <v>1.0</v>
      </c>
      <c r="H3" s="14">
        <v>1.0</v>
      </c>
      <c r="I3" s="14">
        <v>1.0</v>
      </c>
      <c r="J3" s="14">
        <v>1.0</v>
      </c>
      <c r="K3" s="14">
        <v>1.0</v>
      </c>
      <c r="L3" s="14">
        <v>0.0</v>
      </c>
      <c r="M3" s="73">
        <v>1.0</v>
      </c>
      <c r="N3" s="73">
        <v>1.0</v>
      </c>
      <c r="O3" s="74">
        <v>0.0</v>
      </c>
      <c r="P3" s="76"/>
      <c r="Q3" s="75"/>
    </row>
    <row r="4">
      <c r="A4" s="10" t="s">
        <v>16</v>
      </c>
      <c r="B4" s="11">
        <v>45141.0</v>
      </c>
      <c r="C4" s="10">
        <v>1.5</v>
      </c>
      <c r="D4" s="14">
        <v>1.0</v>
      </c>
      <c r="E4" s="77">
        <v>1.0</v>
      </c>
      <c r="F4" s="14">
        <v>0.0</v>
      </c>
      <c r="G4" s="14">
        <v>1.0</v>
      </c>
      <c r="H4" s="77">
        <v>1.25</v>
      </c>
      <c r="I4" s="14">
        <v>1.25</v>
      </c>
      <c r="J4" s="14">
        <v>1.0</v>
      </c>
      <c r="K4" s="14">
        <v>1.0</v>
      </c>
      <c r="L4" s="14">
        <v>0.0</v>
      </c>
      <c r="M4" s="73">
        <v>1.0</v>
      </c>
      <c r="N4" s="73">
        <v>1.0</v>
      </c>
      <c r="O4" s="74">
        <v>0.0</v>
      </c>
      <c r="P4" s="74" t="s">
        <v>52</v>
      </c>
      <c r="Q4" s="75"/>
    </row>
    <row r="5">
      <c r="A5" s="25" t="s">
        <v>19</v>
      </c>
      <c r="B5" s="26">
        <v>45142.0</v>
      </c>
      <c r="C5" s="25">
        <v>0.0</v>
      </c>
      <c r="D5" s="29">
        <v>1.0</v>
      </c>
      <c r="E5" s="29">
        <v>1.0</v>
      </c>
      <c r="F5" s="29">
        <v>0.0</v>
      </c>
      <c r="G5" s="29">
        <v>1.0</v>
      </c>
      <c r="H5" s="29">
        <v>1.0</v>
      </c>
      <c r="I5" s="29">
        <v>1.0</v>
      </c>
      <c r="J5" s="29">
        <v>1.0</v>
      </c>
      <c r="K5" s="29">
        <v>1.0</v>
      </c>
      <c r="L5" s="29">
        <v>0.0</v>
      </c>
      <c r="M5" s="78">
        <v>0.0</v>
      </c>
      <c r="N5" s="78">
        <v>1.0</v>
      </c>
      <c r="O5" s="79">
        <v>0.0</v>
      </c>
      <c r="P5" s="79" t="s">
        <v>53</v>
      </c>
      <c r="Q5" s="75"/>
    </row>
    <row r="6">
      <c r="A6" s="10" t="s">
        <v>20</v>
      </c>
      <c r="B6" s="11">
        <v>45143.0</v>
      </c>
      <c r="C6" s="10">
        <v>1.0</v>
      </c>
      <c r="D6" s="14">
        <v>1.0</v>
      </c>
      <c r="E6" s="14">
        <v>1.0</v>
      </c>
      <c r="F6" s="14">
        <v>0.0</v>
      </c>
      <c r="G6" s="14">
        <v>1.0</v>
      </c>
      <c r="H6" s="14">
        <v>1.0</v>
      </c>
      <c r="I6" s="14">
        <v>1.0</v>
      </c>
      <c r="J6" s="14">
        <v>0.0</v>
      </c>
      <c r="K6" s="14">
        <v>1.0</v>
      </c>
      <c r="L6" s="14">
        <v>0.0</v>
      </c>
      <c r="M6" s="73">
        <v>1.0</v>
      </c>
      <c r="N6" s="73">
        <v>1.0</v>
      </c>
      <c r="O6" s="80">
        <v>0.0</v>
      </c>
      <c r="P6" s="81"/>
      <c r="Q6" s="75"/>
    </row>
    <row r="7">
      <c r="A7" s="10" t="s">
        <v>22</v>
      </c>
      <c r="B7" s="11">
        <v>45144.0</v>
      </c>
      <c r="C7" s="10">
        <v>1.0</v>
      </c>
      <c r="D7" s="14">
        <v>1.0</v>
      </c>
      <c r="E7" s="14">
        <v>1.0</v>
      </c>
      <c r="F7" s="14">
        <v>0.0</v>
      </c>
      <c r="G7" s="14">
        <v>1.0</v>
      </c>
      <c r="H7" s="14">
        <v>1.0</v>
      </c>
      <c r="I7" s="82">
        <v>1.0</v>
      </c>
      <c r="J7" s="14">
        <v>1.0</v>
      </c>
      <c r="K7" s="14">
        <v>1.0</v>
      </c>
      <c r="L7" s="14">
        <v>0.0</v>
      </c>
      <c r="M7" s="73">
        <v>1.0</v>
      </c>
      <c r="N7" s="73">
        <v>1.0</v>
      </c>
      <c r="O7" s="74">
        <v>0.0</v>
      </c>
      <c r="P7" s="76"/>
      <c r="Q7" s="75"/>
    </row>
    <row r="8">
      <c r="A8" s="10" t="s">
        <v>23</v>
      </c>
      <c r="B8" s="11">
        <v>45145.0</v>
      </c>
      <c r="C8" s="10">
        <v>1.0</v>
      </c>
      <c r="D8" s="14">
        <v>1.0</v>
      </c>
      <c r="E8" s="14">
        <v>1.0</v>
      </c>
      <c r="F8" s="14">
        <v>0.0</v>
      </c>
      <c r="G8" s="14">
        <v>1.0</v>
      </c>
      <c r="H8" s="14">
        <v>1.0</v>
      </c>
      <c r="I8" s="14">
        <v>1.0</v>
      </c>
      <c r="J8" s="14">
        <v>1.0</v>
      </c>
      <c r="K8" s="14">
        <v>1.0</v>
      </c>
      <c r="L8" s="14">
        <v>0.0</v>
      </c>
      <c r="M8" s="73">
        <v>1.0</v>
      </c>
      <c r="N8" s="73">
        <v>0.0</v>
      </c>
      <c r="O8" s="74">
        <v>0.0</v>
      </c>
      <c r="P8" s="76"/>
      <c r="Q8" s="83"/>
    </row>
    <row r="9">
      <c r="A9" s="10" t="s">
        <v>26</v>
      </c>
      <c r="B9" s="11">
        <v>45146.0</v>
      </c>
      <c r="C9" s="10">
        <v>1.0</v>
      </c>
      <c r="D9" s="14">
        <v>1.0</v>
      </c>
      <c r="E9" s="14">
        <v>0.0</v>
      </c>
      <c r="F9" s="14">
        <v>1.0</v>
      </c>
      <c r="G9" s="14">
        <v>0.0</v>
      </c>
      <c r="H9" s="14">
        <v>1.0</v>
      </c>
      <c r="I9" s="14">
        <v>1.0</v>
      </c>
      <c r="J9" s="14">
        <v>1.0</v>
      </c>
      <c r="K9" s="14">
        <v>1.0</v>
      </c>
      <c r="L9" s="14">
        <v>0.0</v>
      </c>
      <c r="M9" s="73">
        <v>1.0</v>
      </c>
      <c r="N9" s="73">
        <v>0.0</v>
      </c>
      <c r="O9" s="74">
        <v>0.0</v>
      </c>
      <c r="P9" s="76"/>
      <c r="Q9" s="75"/>
    </row>
    <row r="10">
      <c r="A10" s="10" t="s">
        <v>15</v>
      </c>
      <c r="B10" s="11">
        <v>45147.0</v>
      </c>
      <c r="C10" s="10">
        <v>1.0</v>
      </c>
      <c r="D10" s="14">
        <v>1.0</v>
      </c>
      <c r="E10" s="14">
        <v>1.0</v>
      </c>
      <c r="F10" s="14">
        <v>1.0</v>
      </c>
      <c r="G10" s="14">
        <v>1.0</v>
      </c>
      <c r="H10" s="14">
        <v>1.0</v>
      </c>
      <c r="I10" s="14">
        <v>0.0</v>
      </c>
      <c r="J10" s="14">
        <v>1.0</v>
      </c>
      <c r="K10" s="14">
        <v>1.0</v>
      </c>
      <c r="L10" s="14">
        <v>0.0</v>
      </c>
      <c r="M10" s="73">
        <v>1.0</v>
      </c>
      <c r="N10" s="73">
        <v>0.0</v>
      </c>
      <c r="O10" s="84">
        <v>0.0</v>
      </c>
      <c r="P10" s="85"/>
      <c r="Q10" s="75"/>
    </row>
    <row r="11">
      <c r="A11" s="10" t="s">
        <v>16</v>
      </c>
      <c r="B11" s="11">
        <v>45148.0</v>
      </c>
      <c r="C11" s="10">
        <v>1.0</v>
      </c>
      <c r="D11" s="14">
        <v>1.0</v>
      </c>
      <c r="E11" s="14">
        <v>1.0</v>
      </c>
      <c r="F11" s="14">
        <v>0.0</v>
      </c>
      <c r="G11" s="14">
        <v>1.0</v>
      </c>
      <c r="H11" s="14">
        <v>1.0</v>
      </c>
      <c r="I11" s="14">
        <v>0.0</v>
      </c>
      <c r="J11" s="14">
        <v>1.0</v>
      </c>
      <c r="K11" s="14">
        <v>1.0</v>
      </c>
      <c r="L11" s="14">
        <v>0.0</v>
      </c>
      <c r="M11" s="73">
        <v>1.0</v>
      </c>
      <c r="N11" s="73">
        <v>0.0</v>
      </c>
      <c r="O11" s="74">
        <v>0.0</v>
      </c>
      <c r="P11" s="76"/>
      <c r="Q11" s="75"/>
    </row>
    <row r="12">
      <c r="A12" s="25" t="s">
        <v>19</v>
      </c>
      <c r="B12" s="26">
        <v>45149.0</v>
      </c>
      <c r="C12" s="86">
        <v>1.0</v>
      </c>
      <c r="D12" s="87">
        <v>1.0</v>
      </c>
      <c r="E12" s="87">
        <v>0.0</v>
      </c>
      <c r="F12" s="87">
        <v>0.0</v>
      </c>
      <c r="G12" s="87">
        <v>1.0</v>
      </c>
      <c r="H12" s="87">
        <v>1.0</v>
      </c>
      <c r="I12" s="87">
        <v>1.0</v>
      </c>
      <c r="J12" s="87">
        <v>0.0</v>
      </c>
      <c r="K12" s="87">
        <v>1.0</v>
      </c>
      <c r="L12" s="87">
        <v>0.0</v>
      </c>
      <c r="M12" s="88">
        <v>0.0</v>
      </c>
      <c r="N12" s="88">
        <v>0.0</v>
      </c>
      <c r="O12" s="89">
        <v>1.0</v>
      </c>
      <c r="P12" s="90"/>
      <c r="Q12" s="75"/>
    </row>
    <row r="13">
      <c r="A13" s="10" t="s">
        <v>20</v>
      </c>
      <c r="B13" s="11">
        <v>45150.0</v>
      </c>
      <c r="C13" s="91">
        <v>1.0</v>
      </c>
      <c r="D13" s="92">
        <v>1.0</v>
      </c>
      <c r="E13" s="92">
        <v>1.0</v>
      </c>
      <c r="F13" s="92">
        <v>1.0</v>
      </c>
      <c r="G13" s="92">
        <v>1.0</v>
      </c>
      <c r="H13" s="92">
        <v>1.0</v>
      </c>
      <c r="I13" s="92">
        <v>1.0</v>
      </c>
      <c r="J13" s="92">
        <v>1.0</v>
      </c>
      <c r="K13" s="92">
        <v>1.0</v>
      </c>
      <c r="L13" s="92">
        <v>0.0</v>
      </c>
      <c r="M13" s="93">
        <v>1.0</v>
      </c>
      <c r="N13" s="93">
        <v>0.0</v>
      </c>
      <c r="O13" s="94">
        <v>0.0</v>
      </c>
      <c r="P13" s="76"/>
      <c r="Q13" s="75"/>
    </row>
    <row r="14">
      <c r="A14" s="10" t="s">
        <v>22</v>
      </c>
      <c r="B14" s="11">
        <v>45151.0</v>
      </c>
      <c r="C14" s="91">
        <v>1.0</v>
      </c>
      <c r="D14" s="92">
        <v>1.0</v>
      </c>
      <c r="E14" s="92">
        <v>1.0</v>
      </c>
      <c r="F14" s="92">
        <v>1.0</v>
      </c>
      <c r="G14" s="92">
        <v>1.0</v>
      </c>
      <c r="H14" s="92">
        <v>1.0</v>
      </c>
      <c r="I14" s="92">
        <v>0.0</v>
      </c>
      <c r="J14" s="92">
        <v>1.0</v>
      </c>
      <c r="K14" s="92">
        <v>1.0</v>
      </c>
      <c r="L14" s="92">
        <v>0.0</v>
      </c>
      <c r="M14" s="93">
        <v>1.0</v>
      </c>
      <c r="N14" s="93">
        <v>0.0</v>
      </c>
      <c r="O14" s="95">
        <v>0.0</v>
      </c>
      <c r="P14" s="76"/>
      <c r="Q14" s="75"/>
    </row>
    <row r="15">
      <c r="A15" s="10" t="s">
        <v>23</v>
      </c>
      <c r="B15" s="11">
        <v>45152.0</v>
      </c>
      <c r="C15" s="91">
        <v>1.0</v>
      </c>
      <c r="D15" s="92">
        <v>1.0</v>
      </c>
      <c r="E15" s="92">
        <v>1.0</v>
      </c>
      <c r="F15" s="92">
        <v>1.0</v>
      </c>
      <c r="G15" s="92">
        <v>1.0</v>
      </c>
      <c r="H15" s="92">
        <v>0.0</v>
      </c>
      <c r="I15" s="92">
        <v>0.0</v>
      </c>
      <c r="J15" s="92">
        <v>2.0</v>
      </c>
      <c r="K15" s="92">
        <v>1.0</v>
      </c>
      <c r="L15" s="92">
        <v>0.0</v>
      </c>
      <c r="M15" s="93">
        <v>1.0</v>
      </c>
      <c r="N15" s="93">
        <v>0.0</v>
      </c>
      <c r="O15" s="95">
        <v>0.0</v>
      </c>
      <c r="P15" s="96"/>
      <c r="Q15" s="97"/>
    </row>
    <row r="16">
      <c r="A16" s="10" t="s">
        <v>14</v>
      </c>
      <c r="B16" s="11">
        <v>45153.0</v>
      </c>
      <c r="C16" s="98">
        <v>1.5</v>
      </c>
      <c r="D16" s="99">
        <v>1.0</v>
      </c>
      <c r="E16" s="99">
        <v>1.0</v>
      </c>
      <c r="F16" s="99">
        <v>0.0</v>
      </c>
      <c r="G16" s="99">
        <v>1.0</v>
      </c>
      <c r="H16" s="99">
        <v>1.0</v>
      </c>
      <c r="I16" s="99">
        <v>1.0</v>
      </c>
      <c r="J16" s="99">
        <v>1.0</v>
      </c>
      <c r="K16" s="99">
        <v>1.0</v>
      </c>
      <c r="L16" s="99">
        <v>0.0</v>
      </c>
      <c r="M16" s="100">
        <v>1.0</v>
      </c>
      <c r="N16" s="100">
        <v>0.0</v>
      </c>
      <c r="O16" s="101">
        <v>0.0</v>
      </c>
      <c r="P16" s="102"/>
      <c r="Q16" s="103"/>
    </row>
    <row r="17">
      <c r="A17" s="10" t="s">
        <v>15</v>
      </c>
      <c r="B17" s="11">
        <v>45154.0</v>
      </c>
      <c r="C17" s="91">
        <v>1.0</v>
      </c>
      <c r="D17" s="92">
        <v>1.0</v>
      </c>
      <c r="E17" s="92">
        <v>1.0</v>
      </c>
      <c r="F17" s="92">
        <v>1.0</v>
      </c>
      <c r="G17" s="92">
        <v>0.0</v>
      </c>
      <c r="H17" s="92">
        <v>1.0</v>
      </c>
      <c r="I17" s="92">
        <v>1.0</v>
      </c>
      <c r="J17" s="92">
        <v>1.0</v>
      </c>
      <c r="K17" s="92">
        <v>1.0</v>
      </c>
      <c r="L17" s="92">
        <v>0.0</v>
      </c>
      <c r="M17" s="93">
        <v>1.0</v>
      </c>
      <c r="N17" s="93">
        <v>0.0</v>
      </c>
      <c r="O17" s="95">
        <v>0.0</v>
      </c>
      <c r="P17" s="76"/>
      <c r="Q17" s="75"/>
    </row>
    <row r="18">
      <c r="A18" s="10" t="s">
        <v>16</v>
      </c>
      <c r="B18" s="11">
        <v>45155.0</v>
      </c>
      <c r="C18" s="91">
        <v>0.0</v>
      </c>
      <c r="D18" s="92">
        <v>1.0</v>
      </c>
      <c r="E18" s="92">
        <v>0.0</v>
      </c>
      <c r="F18" s="92">
        <v>0.0</v>
      </c>
      <c r="G18" s="92">
        <v>1.0</v>
      </c>
      <c r="H18" s="92">
        <v>1.0</v>
      </c>
      <c r="I18" s="92">
        <v>1.0</v>
      </c>
      <c r="J18" s="92">
        <v>1.0</v>
      </c>
      <c r="K18" s="92">
        <v>1.0</v>
      </c>
      <c r="L18" s="92">
        <v>0.0</v>
      </c>
      <c r="M18" s="93">
        <v>1.0</v>
      </c>
      <c r="N18" s="93">
        <v>0.0</v>
      </c>
      <c r="O18" s="95">
        <v>1.0</v>
      </c>
      <c r="P18" s="76"/>
      <c r="Q18" s="75"/>
    </row>
    <row r="19">
      <c r="A19" s="49" t="s">
        <v>19</v>
      </c>
      <c r="B19" s="50">
        <v>45156.0</v>
      </c>
      <c r="C19" s="72"/>
      <c r="D19" s="53"/>
      <c r="E19" s="53"/>
      <c r="F19" s="53"/>
      <c r="G19" s="53"/>
      <c r="H19" s="53"/>
      <c r="I19" s="53"/>
      <c r="J19" s="14">
        <v>1.0</v>
      </c>
      <c r="K19" s="53"/>
      <c r="L19" s="53"/>
      <c r="M19" s="53"/>
      <c r="N19" s="53"/>
      <c r="O19" s="104"/>
      <c r="P19" s="104"/>
      <c r="Q19" s="75"/>
    </row>
    <row r="20">
      <c r="A20" s="49" t="s">
        <v>20</v>
      </c>
      <c r="B20" s="50">
        <v>45157.0</v>
      </c>
      <c r="C20" s="72"/>
      <c r="D20" s="53"/>
      <c r="E20" s="53"/>
      <c r="F20" s="53"/>
      <c r="G20" s="53"/>
      <c r="H20" s="53"/>
      <c r="I20" s="53"/>
      <c r="J20" s="53"/>
      <c r="K20" s="53"/>
      <c r="L20" s="53"/>
      <c r="M20" s="105"/>
      <c r="N20" s="105"/>
      <c r="O20" s="104"/>
      <c r="P20" s="104"/>
      <c r="Q20" s="75"/>
    </row>
    <row r="21">
      <c r="A21" s="49" t="s">
        <v>22</v>
      </c>
      <c r="B21" s="50">
        <v>45158.0</v>
      </c>
      <c r="C21" s="72"/>
      <c r="D21" s="53"/>
      <c r="E21" s="53"/>
      <c r="F21" s="53"/>
      <c r="G21" s="53"/>
      <c r="H21" s="53"/>
      <c r="I21" s="53"/>
      <c r="J21" s="53"/>
      <c r="K21" s="53"/>
      <c r="L21" s="53"/>
      <c r="M21" s="105"/>
      <c r="N21" s="105"/>
      <c r="O21" s="104"/>
      <c r="P21" s="104"/>
      <c r="Q21" s="75"/>
    </row>
    <row r="22">
      <c r="A22" s="49" t="s">
        <v>23</v>
      </c>
      <c r="B22" s="50">
        <v>45159.0</v>
      </c>
      <c r="C22" s="72"/>
      <c r="D22" s="53"/>
      <c r="E22" s="53"/>
      <c r="F22" s="53"/>
      <c r="G22" s="53"/>
      <c r="H22" s="53"/>
      <c r="I22" s="53"/>
      <c r="J22" s="53"/>
      <c r="K22" s="53"/>
      <c r="L22" s="53"/>
      <c r="M22" s="105"/>
      <c r="N22" s="105"/>
      <c r="O22" s="104"/>
      <c r="P22" s="104"/>
      <c r="Q22" s="75"/>
    </row>
    <row r="23">
      <c r="A23" s="49" t="s">
        <v>14</v>
      </c>
      <c r="B23" s="50">
        <v>45160.0</v>
      </c>
      <c r="C23" s="72"/>
      <c r="D23" s="53"/>
      <c r="E23" s="53"/>
      <c r="F23" s="53"/>
      <c r="G23" s="53"/>
      <c r="H23" s="53"/>
      <c r="I23" s="53"/>
      <c r="J23" s="53"/>
      <c r="K23" s="53"/>
      <c r="L23" s="53"/>
      <c r="M23" s="105"/>
      <c r="N23" s="105"/>
      <c r="O23" s="104"/>
      <c r="P23" s="104"/>
      <c r="Q23" s="75"/>
    </row>
    <row r="24">
      <c r="A24" s="49" t="s">
        <v>15</v>
      </c>
      <c r="B24" s="50">
        <v>45161.0</v>
      </c>
      <c r="C24" s="72"/>
      <c r="D24" s="53"/>
      <c r="E24" s="53"/>
      <c r="F24" s="53"/>
      <c r="G24" s="53"/>
      <c r="H24" s="53"/>
      <c r="I24" s="53"/>
      <c r="J24" s="53"/>
      <c r="K24" s="53"/>
      <c r="L24" s="53"/>
      <c r="M24" s="105"/>
      <c r="N24" s="105"/>
      <c r="O24" s="104"/>
      <c r="P24" s="104"/>
      <c r="Q24" s="75"/>
    </row>
    <row r="25">
      <c r="A25" s="49" t="s">
        <v>16</v>
      </c>
      <c r="B25" s="50">
        <v>45162.0</v>
      </c>
      <c r="C25" s="72"/>
      <c r="D25" s="53"/>
      <c r="E25" s="53"/>
      <c r="F25" s="53"/>
      <c r="G25" s="53"/>
      <c r="H25" s="53"/>
      <c r="I25" s="53"/>
      <c r="J25" s="53"/>
      <c r="K25" s="53"/>
      <c r="L25" s="53"/>
      <c r="M25" s="105"/>
      <c r="N25" s="105"/>
      <c r="O25" s="104"/>
      <c r="P25" s="104"/>
      <c r="Q25" s="75"/>
    </row>
    <row r="26">
      <c r="A26" s="49" t="s">
        <v>19</v>
      </c>
      <c r="B26" s="50">
        <v>45163.0</v>
      </c>
      <c r="C26" s="72"/>
      <c r="D26" s="53"/>
      <c r="E26" s="53"/>
      <c r="F26" s="53"/>
      <c r="G26" s="53"/>
      <c r="H26" s="53"/>
      <c r="I26" s="53"/>
      <c r="J26" s="53"/>
      <c r="K26" s="53"/>
      <c r="L26" s="53"/>
      <c r="M26" s="105"/>
      <c r="N26" s="105"/>
      <c r="O26" s="104"/>
      <c r="P26" s="104"/>
      <c r="Q26" s="75"/>
    </row>
    <row r="27">
      <c r="A27" s="49" t="s">
        <v>20</v>
      </c>
      <c r="B27" s="50">
        <v>45164.0</v>
      </c>
      <c r="C27" s="72"/>
      <c r="D27" s="53"/>
      <c r="E27" s="53"/>
      <c r="F27" s="53"/>
      <c r="G27" s="53"/>
      <c r="H27" s="53"/>
      <c r="I27" s="53"/>
      <c r="J27" s="53"/>
      <c r="K27" s="53"/>
      <c r="L27" s="53"/>
      <c r="M27" s="105"/>
      <c r="N27" s="105"/>
      <c r="O27" s="104"/>
      <c r="P27" s="104"/>
      <c r="Q27" s="75"/>
    </row>
    <row r="28">
      <c r="A28" s="49" t="s">
        <v>22</v>
      </c>
      <c r="B28" s="50">
        <v>45165.0</v>
      </c>
      <c r="C28" s="72"/>
      <c r="D28" s="53"/>
      <c r="E28" s="53"/>
      <c r="F28" s="53"/>
      <c r="G28" s="53"/>
      <c r="H28" s="53"/>
      <c r="I28" s="53"/>
      <c r="J28" s="53"/>
      <c r="K28" s="53"/>
      <c r="L28" s="53"/>
      <c r="M28" s="105"/>
      <c r="N28" s="105"/>
      <c r="O28" s="104"/>
      <c r="P28" s="104"/>
      <c r="Q28" s="75"/>
    </row>
    <row r="29">
      <c r="A29" s="49" t="s">
        <v>23</v>
      </c>
      <c r="B29" s="50">
        <v>45166.0</v>
      </c>
      <c r="C29" s="106"/>
      <c r="D29" s="105"/>
      <c r="E29" s="105"/>
      <c r="F29" s="105"/>
      <c r="G29" s="105"/>
      <c r="H29" s="105"/>
      <c r="I29" s="105"/>
      <c r="J29" s="105"/>
      <c r="K29" s="105"/>
      <c r="L29" s="105"/>
      <c r="M29" s="105"/>
      <c r="N29" s="105"/>
      <c r="O29" s="104"/>
      <c r="P29" s="104"/>
      <c r="Q29" s="75"/>
    </row>
    <row r="30">
      <c r="A30" s="49" t="s">
        <v>14</v>
      </c>
      <c r="B30" s="50">
        <v>45167.0</v>
      </c>
      <c r="C30" s="106"/>
      <c r="D30" s="105"/>
      <c r="E30" s="105"/>
      <c r="F30" s="105"/>
      <c r="G30" s="105"/>
      <c r="H30" s="105"/>
      <c r="I30" s="105"/>
      <c r="J30" s="105"/>
      <c r="K30" s="105"/>
      <c r="L30" s="105"/>
      <c r="M30" s="105"/>
      <c r="N30" s="105"/>
      <c r="O30" s="104"/>
      <c r="P30" s="104"/>
      <c r="Q30" s="75"/>
    </row>
    <row r="31">
      <c r="A31" s="49" t="s">
        <v>15</v>
      </c>
      <c r="B31" s="50">
        <v>45168.0</v>
      </c>
      <c r="C31" s="106"/>
      <c r="D31" s="105"/>
      <c r="E31" s="105"/>
      <c r="F31" s="105"/>
      <c r="G31" s="105"/>
      <c r="H31" s="105"/>
      <c r="I31" s="105"/>
      <c r="J31" s="105"/>
      <c r="K31" s="105"/>
      <c r="L31" s="105"/>
      <c r="M31" s="105"/>
      <c r="N31" s="105"/>
      <c r="O31" s="104"/>
      <c r="P31" s="104"/>
      <c r="Q31" s="75"/>
    </row>
    <row r="32">
      <c r="A32" s="49" t="s">
        <v>16</v>
      </c>
      <c r="B32" s="50">
        <v>45169.0</v>
      </c>
      <c r="C32" s="106"/>
      <c r="D32" s="105"/>
      <c r="E32" s="105"/>
      <c r="F32" s="105"/>
      <c r="G32" s="105"/>
      <c r="H32" s="105"/>
      <c r="I32" s="105"/>
      <c r="J32" s="105"/>
      <c r="K32" s="105"/>
      <c r="L32" s="105"/>
      <c r="M32" s="105"/>
      <c r="N32" s="105"/>
      <c r="O32" s="104"/>
      <c r="P32" s="104"/>
      <c r="Q32" s="75"/>
    </row>
    <row r="33">
      <c r="C33" s="107">
        <f t="shared" ref="C33:K33" si="1">SUM(C2:C32)</f>
        <v>16.5</v>
      </c>
      <c r="D33" s="108">
        <f t="shared" si="1"/>
        <v>17</v>
      </c>
      <c r="E33" s="108">
        <f t="shared" si="1"/>
        <v>14</v>
      </c>
      <c r="F33" s="108">
        <f t="shared" si="1"/>
        <v>6</v>
      </c>
      <c r="G33" s="108">
        <f t="shared" si="1"/>
        <v>15</v>
      </c>
      <c r="H33" s="108">
        <f t="shared" si="1"/>
        <v>16.25</v>
      </c>
      <c r="I33" s="108">
        <f t="shared" si="1"/>
        <v>12.25</v>
      </c>
      <c r="J33" s="108">
        <f t="shared" si="1"/>
        <v>17</v>
      </c>
      <c r="K33" s="108">
        <f t="shared" si="1"/>
        <v>16</v>
      </c>
      <c r="L33" s="108">
        <v>0.0</v>
      </c>
      <c r="M33" s="108">
        <f t="shared" ref="M33:O33" si="2">SUM(M2:M32)</f>
        <v>15</v>
      </c>
      <c r="N33" s="108">
        <f t="shared" si="2"/>
        <v>6</v>
      </c>
      <c r="O33" s="76">
        <f t="shared" si="2"/>
        <v>2</v>
      </c>
      <c r="P33" s="13"/>
      <c r="Q33" s="75"/>
    </row>
    <row r="34">
      <c r="C34" s="109">
        <v>1223.0</v>
      </c>
      <c r="D34" s="110">
        <v>1400.0</v>
      </c>
      <c r="E34" s="111">
        <v>1223.0</v>
      </c>
      <c r="F34" s="111">
        <v>1223.0</v>
      </c>
      <c r="G34" s="111">
        <v>1000.0</v>
      </c>
      <c r="H34" s="110">
        <v>1100.0</v>
      </c>
      <c r="I34" s="110">
        <v>1100.0</v>
      </c>
      <c r="J34" s="112">
        <v>1000.0</v>
      </c>
      <c r="K34" s="113">
        <v>1400.0</v>
      </c>
      <c r="L34" s="112">
        <v>1000.0</v>
      </c>
      <c r="M34" s="112">
        <v>1100.0</v>
      </c>
      <c r="N34" s="112">
        <v>926.0</v>
      </c>
      <c r="O34" s="114">
        <v>1200.0</v>
      </c>
      <c r="P34" s="63"/>
      <c r="Q34" s="75"/>
    </row>
    <row r="35">
      <c r="C35" s="115">
        <f>C33*C34</f>
        <v>20179.5</v>
      </c>
      <c r="D35" s="116">
        <f t="shared" ref="D35:J35" si="3">D34*D33</f>
        <v>23800</v>
      </c>
      <c r="E35" s="116">
        <f t="shared" si="3"/>
        <v>17122</v>
      </c>
      <c r="F35" s="116">
        <f t="shared" si="3"/>
        <v>7338</v>
      </c>
      <c r="G35" s="116">
        <f t="shared" si="3"/>
        <v>15000</v>
      </c>
      <c r="H35" s="116">
        <f t="shared" si="3"/>
        <v>17875</v>
      </c>
      <c r="I35" s="116">
        <f t="shared" si="3"/>
        <v>13475</v>
      </c>
      <c r="J35" s="117">
        <f t="shared" si="3"/>
        <v>17000</v>
      </c>
      <c r="K35" s="117">
        <f t="shared" ref="K35:N35" si="4">K33*K34</f>
        <v>22400</v>
      </c>
      <c r="L35" s="117">
        <f t="shared" si="4"/>
        <v>0</v>
      </c>
      <c r="M35" s="117">
        <f t="shared" si="4"/>
        <v>16500</v>
      </c>
      <c r="N35" s="117">
        <f t="shared" si="4"/>
        <v>5556</v>
      </c>
      <c r="O35" s="118">
        <f>O34*O33</f>
        <v>2400</v>
      </c>
      <c r="P35" s="118">
        <f>SUM(D35:I35)</f>
        <v>94610</v>
      </c>
      <c r="Q35" s="21"/>
    </row>
    <row r="36"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</row>
    <row r="37"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</row>
    <row r="38"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</row>
    <row r="39"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</row>
    <row r="40"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</row>
    <row r="41"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</row>
    <row r="42"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</row>
    <row r="43"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</row>
    <row r="44"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</row>
    <row r="45"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</row>
    <row r="46"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</row>
    <row r="47"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91.13"/>
    <col customWidth="1" min="4" max="4" width="26.38"/>
    <col customWidth="1" min="5" max="5" width="28.38"/>
    <col customWidth="1" min="6" max="6" width="25.63"/>
    <col customWidth="1" min="7" max="7" width="39.13"/>
  </cols>
  <sheetData>
    <row r="2">
      <c r="C2" s="119" t="s">
        <v>54</v>
      </c>
      <c r="D2" s="120" t="s">
        <v>55</v>
      </c>
      <c r="E2" s="120" t="s">
        <v>56</v>
      </c>
      <c r="F2" s="120" t="s">
        <v>57</v>
      </c>
      <c r="G2" s="120" t="s">
        <v>58</v>
      </c>
    </row>
    <row r="3">
      <c r="C3" s="121" t="s">
        <v>59</v>
      </c>
      <c r="D3" s="122">
        <v>5.0</v>
      </c>
      <c r="E3" s="123">
        <v>90.0</v>
      </c>
      <c r="F3" s="123">
        <f t="shared" ref="F3:F21" si="1">D3*E3</f>
        <v>450</v>
      </c>
      <c r="G3" s="124">
        <v>45135.0</v>
      </c>
    </row>
    <row r="4">
      <c r="C4" s="121" t="s">
        <v>60</v>
      </c>
      <c r="D4" s="122">
        <v>1.0</v>
      </c>
      <c r="E4" s="123">
        <v>500.0</v>
      </c>
      <c r="F4" s="123">
        <f t="shared" si="1"/>
        <v>500</v>
      </c>
      <c r="G4" s="124">
        <v>45134.0</v>
      </c>
    </row>
    <row r="5">
      <c r="C5" s="125" t="s">
        <v>61</v>
      </c>
      <c r="D5" s="36">
        <v>1.0</v>
      </c>
      <c r="E5" s="30">
        <v>250.0</v>
      </c>
      <c r="F5" s="30">
        <f t="shared" si="1"/>
        <v>250</v>
      </c>
      <c r="G5" s="126">
        <v>45130.0</v>
      </c>
    </row>
    <row r="6">
      <c r="C6" s="121" t="s">
        <v>62</v>
      </c>
      <c r="D6" s="127">
        <v>10.0</v>
      </c>
      <c r="E6" s="123">
        <v>600.0</v>
      </c>
      <c r="F6" s="123">
        <f t="shared" si="1"/>
        <v>6000</v>
      </c>
      <c r="G6" s="124">
        <v>45127.0</v>
      </c>
    </row>
    <row r="7">
      <c r="C7" s="125" t="s">
        <v>63</v>
      </c>
      <c r="D7" s="128">
        <v>5.0</v>
      </c>
      <c r="E7" s="30">
        <v>200.0</v>
      </c>
      <c r="F7" s="30">
        <f t="shared" si="1"/>
        <v>1000</v>
      </c>
      <c r="G7" s="126">
        <v>45127.0</v>
      </c>
    </row>
    <row r="8">
      <c r="C8" s="125" t="s">
        <v>64</v>
      </c>
      <c r="D8" s="128">
        <v>10.0</v>
      </c>
      <c r="E8" s="30">
        <v>820.0</v>
      </c>
      <c r="F8" s="30">
        <f t="shared" si="1"/>
        <v>8200</v>
      </c>
      <c r="G8" s="126">
        <v>45127.0</v>
      </c>
    </row>
    <row r="9">
      <c r="C9" s="121" t="s">
        <v>65</v>
      </c>
      <c r="D9" s="122">
        <v>1.0</v>
      </c>
      <c r="E9" s="123">
        <v>850.0</v>
      </c>
      <c r="F9" s="123">
        <f t="shared" si="1"/>
        <v>850</v>
      </c>
      <c r="G9" s="124">
        <v>45126.0</v>
      </c>
    </row>
    <row r="10">
      <c r="C10" s="121" t="s">
        <v>66</v>
      </c>
      <c r="D10" s="127">
        <v>4.0</v>
      </c>
      <c r="E10" s="123">
        <v>150.0</v>
      </c>
      <c r="F10" s="123">
        <f t="shared" si="1"/>
        <v>600</v>
      </c>
      <c r="G10" s="124">
        <v>45126.0</v>
      </c>
    </row>
    <row r="11">
      <c r="C11" s="121" t="s">
        <v>67</v>
      </c>
      <c r="D11" s="122">
        <v>10.0</v>
      </c>
      <c r="E11" s="123">
        <v>35.0</v>
      </c>
      <c r="F11" s="123">
        <f t="shared" si="1"/>
        <v>350</v>
      </c>
      <c r="G11" s="124">
        <v>45126.0</v>
      </c>
    </row>
    <row r="12">
      <c r="C12" s="121" t="s">
        <v>68</v>
      </c>
      <c r="D12" s="127">
        <v>7.0</v>
      </c>
      <c r="E12" s="123">
        <v>110.0</v>
      </c>
      <c r="F12" s="123">
        <f t="shared" si="1"/>
        <v>770</v>
      </c>
      <c r="G12" s="124">
        <v>45126.0</v>
      </c>
    </row>
    <row r="13">
      <c r="C13" s="121" t="s">
        <v>69</v>
      </c>
      <c r="D13" s="122">
        <v>12.0</v>
      </c>
      <c r="E13" s="123">
        <v>70.0</v>
      </c>
      <c r="F13" s="123">
        <f t="shared" si="1"/>
        <v>840</v>
      </c>
      <c r="G13" s="124">
        <v>45126.0</v>
      </c>
    </row>
    <row r="14">
      <c r="C14" s="121" t="s">
        <v>70</v>
      </c>
      <c r="D14" s="122">
        <v>1.0</v>
      </c>
      <c r="E14" s="123">
        <v>1500.0</v>
      </c>
      <c r="F14" s="123">
        <f t="shared" si="1"/>
        <v>1500</v>
      </c>
      <c r="G14" s="124">
        <v>45125.0</v>
      </c>
    </row>
    <row r="15">
      <c r="C15" s="129" t="s">
        <v>71</v>
      </c>
      <c r="D15" s="128">
        <v>3.0</v>
      </c>
      <c r="E15" s="57">
        <v>1550.0</v>
      </c>
      <c r="F15" s="30">
        <f t="shared" si="1"/>
        <v>4650</v>
      </c>
      <c r="G15" s="126"/>
    </row>
    <row r="16">
      <c r="C16" s="129" t="s">
        <v>72</v>
      </c>
      <c r="D16" s="128">
        <v>1.0</v>
      </c>
      <c r="E16" s="57">
        <v>2700.0</v>
      </c>
      <c r="F16" s="30">
        <f t="shared" si="1"/>
        <v>2700</v>
      </c>
      <c r="G16" s="126"/>
    </row>
    <row r="17">
      <c r="C17" s="129" t="s">
        <v>73</v>
      </c>
      <c r="D17" s="128">
        <v>1.0</v>
      </c>
      <c r="E17" s="57">
        <v>1100.0</v>
      </c>
      <c r="F17" s="30">
        <f t="shared" si="1"/>
        <v>1100</v>
      </c>
      <c r="G17" s="126"/>
    </row>
    <row r="18">
      <c r="C18" s="129" t="s">
        <v>74</v>
      </c>
      <c r="D18" s="128">
        <v>1.0</v>
      </c>
      <c r="E18" s="57">
        <v>1550.0</v>
      </c>
      <c r="F18" s="30">
        <f t="shared" si="1"/>
        <v>1550</v>
      </c>
      <c r="G18" s="126"/>
    </row>
    <row r="19">
      <c r="C19" s="10" t="s">
        <v>75</v>
      </c>
      <c r="D19" s="14">
        <v>1.0</v>
      </c>
      <c r="E19" s="12">
        <v>1350.0</v>
      </c>
      <c r="F19" s="46">
        <f t="shared" si="1"/>
        <v>1350</v>
      </c>
      <c r="G19" s="130"/>
    </row>
    <row r="20">
      <c r="C20" s="129" t="s">
        <v>76</v>
      </c>
      <c r="D20" s="128">
        <v>0.0</v>
      </c>
      <c r="E20" s="57">
        <v>1150.0</v>
      </c>
      <c r="F20" s="30">
        <f t="shared" si="1"/>
        <v>0</v>
      </c>
      <c r="G20" s="126"/>
    </row>
    <row r="21">
      <c r="C21" s="121" t="s">
        <v>77</v>
      </c>
      <c r="D21" s="122">
        <v>1.0</v>
      </c>
      <c r="E21" s="123">
        <v>1150.0</v>
      </c>
      <c r="F21" s="131">
        <f t="shared" si="1"/>
        <v>1150</v>
      </c>
      <c r="G21" s="124">
        <v>45102.0</v>
      </c>
    </row>
    <row r="22">
      <c r="C22" s="121" t="s">
        <v>78</v>
      </c>
      <c r="D22" s="122">
        <v>15.0</v>
      </c>
      <c r="E22" s="123">
        <v>1000.0</v>
      </c>
      <c r="F22" s="123">
        <f>E22*D22</f>
        <v>15000</v>
      </c>
      <c r="G22" s="124">
        <v>45078.0</v>
      </c>
    </row>
    <row r="23">
      <c r="C23" s="132" t="s">
        <v>79</v>
      </c>
      <c r="D23" s="133">
        <v>7.0</v>
      </c>
      <c r="E23" s="134">
        <v>200.0</v>
      </c>
      <c r="F23" s="134">
        <f t="shared" ref="F23:F24" si="2">D23*E23</f>
        <v>1400</v>
      </c>
      <c r="G23" s="135">
        <v>45041.0</v>
      </c>
    </row>
    <row r="24">
      <c r="C24" s="136" t="s">
        <v>80</v>
      </c>
      <c r="D24" s="137">
        <v>20.0</v>
      </c>
      <c r="E24" s="131">
        <v>202.0</v>
      </c>
      <c r="F24" s="131">
        <f t="shared" si="2"/>
        <v>4040</v>
      </c>
      <c r="G24" s="138">
        <v>45069.0</v>
      </c>
    </row>
    <row r="25">
      <c r="C25" s="139" t="s">
        <v>81</v>
      </c>
      <c r="D25" s="6">
        <v>0.0</v>
      </c>
      <c r="E25" s="140">
        <v>260.0</v>
      </c>
      <c r="F25" s="140">
        <f t="shared" ref="F25:F26" si="3">E25*D25</f>
        <v>0</v>
      </c>
      <c r="G25" s="141" t="s">
        <v>82</v>
      </c>
    </row>
    <row r="26">
      <c r="C26" s="55" t="s">
        <v>83</v>
      </c>
      <c r="D26" s="142">
        <v>9.0</v>
      </c>
      <c r="E26" s="17">
        <v>225.0</v>
      </c>
      <c r="F26" s="17">
        <f t="shared" si="3"/>
        <v>2025</v>
      </c>
      <c r="G26" s="143">
        <v>44947.0</v>
      </c>
    </row>
    <row r="27">
      <c r="C27" s="121" t="s">
        <v>84</v>
      </c>
      <c r="D27" s="127">
        <v>4.0</v>
      </c>
      <c r="E27" s="123">
        <v>420.0</v>
      </c>
      <c r="F27" s="131">
        <f t="shared" ref="F27:F46" si="4">D27*E27</f>
        <v>1680</v>
      </c>
      <c r="G27" s="124" t="s">
        <v>85</v>
      </c>
    </row>
    <row r="28">
      <c r="C28" s="121" t="s">
        <v>86</v>
      </c>
      <c r="D28" s="127">
        <v>0.0</v>
      </c>
      <c r="E28" s="123">
        <v>1500.0</v>
      </c>
      <c r="F28" s="123">
        <f t="shared" si="4"/>
        <v>0</v>
      </c>
      <c r="G28" s="124">
        <v>45116.0</v>
      </c>
    </row>
    <row r="29">
      <c r="C29" s="121" t="s">
        <v>87</v>
      </c>
      <c r="D29" s="127">
        <v>3.0</v>
      </c>
      <c r="E29" s="123">
        <v>500.0</v>
      </c>
      <c r="F29" s="123">
        <f t="shared" si="4"/>
        <v>1500</v>
      </c>
      <c r="G29" s="124">
        <v>45113.0</v>
      </c>
    </row>
    <row r="30">
      <c r="C30" s="121" t="s">
        <v>88</v>
      </c>
      <c r="D30" s="127">
        <v>10.0</v>
      </c>
      <c r="E30" s="123">
        <v>250.0</v>
      </c>
      <c r="F30" s="123">
        <f t="shared" si="4"/>
        <v>2500</v>
      </c>
      <c r="G30" s="124">
        <v>45109.0</v>
      </c>
    </row>
    <row r="31">
      <c r="C31" s="125" t="s">
        <v>89</v>
      </c>
      <c r="D31" s="128">
        <v>10.0</v>
      </c>
      <c r="E31" s="30">
        <v>550.0</v>
      </c>
      <c r="F31" s="30">
        <f t="shared" si="4"/>
        <v>5500</v>
      </c>
      <c r="G31" s="126">
        <v>45109.0</v>
      </c>
    </row>
    <row r="32">
      <c r="C32" s="121" t="s">
        <v>90</v>
      </c>
      <c r="D32" s="127">
        <v>12.0</v>
      </c>
      <c r="E32" s="123">
        <v>1530.0</v>
      </c>
      <c r="F32" s="123">
        <f t="shared" si="4"/>
        <v>18360</v>
      </c>
      <c r="G32" s="124">
        <v>45109.0</v>
      </c>
    </row>
    <row r="33">
      <c r="C33" s="125" t="s">
        <v>91</v>
      </c>
      <c r="D33" s="128">
        <v>9.0</v>
      </c>
      <c r="E33" s="30">
        <v>250.0</v>
      </c>
      <c r="F33" s="30">
        <f t="shared" si="4"/>
        <v>2250</v>
      </c>
      <c r="G33" s="126">
        <v>45109.0</v>
      </c>
    </row>
    <row r="34">
      <c r="C34" s="125" t="s">
        <v>92</v>
      </c>
      <c r="D34" s="128">
        <v>13.0</v>
      </c>
      <c r="E34" s="30">
        <v>240.0</v>
      </c>
      <c r="F34" s="30">
        <f t="shared" si="4"/>
        <v>3120</v>
      </c>
      <c r="G34" s="126">
        <v>45109.0</v>
      </c>
    </row>
    <row r="35">
      <c r="C35" s="125" t="s">
        <v>93</v>
      </c>
      <c r="D35" s="128">
        <v>36.0</v>
      </c>
      <c r="E35" s="30">
        <v>75.0</v>
      </c>
      <c r="F35" s="30">
        <f t="shared" si="4"/>
        <v>2700</v>
      </c>
      <c r="G35" s="126">
        <v>45109.0</v>
      </c>
    </row>
    <row r="36">
      <c r="C36" s="125" t="s">
        <v>94</v>
      </c>
      <c r="D36" s="128">
        <v>2.0</v>
      </c>
      <c r="E36" s="30">
        <v>2120.0</v>
      </c>
      <c r="F36" s="30">
        <f t="shared" si="4"/>
        <v>4240</v>
      </c>
      <c r="G36" s="126">
        <v>45109.0</v>
      </c>
    </row>
    <row r="37">
      <c r="C37" s="121" t="s">
        <v>95</v>
      </c>
      <c r="D37" s="122">
        <v>12.0</v>
      </c>
      <c r="E37" s="123">
        <v>185.0</v>
      </c>
      <c r="F37" s="123">
        <f t="shared" si="4"/>
        <v>2220</v>
      </c>
      <c r="G37" s="124">
        <v>45109.0</v>
      </c>
    </row>
    <row r="38">
      <c r="C38" s="121" t="s">
        <v>96</v>
      </c>
      <c r="D38" s="122">
        <v>1.0</v>
      </c>
      <c r="E38" s="123">
        <v>1400.0</v>
      </c>
      <c r="F38" s="123">
        <f t="shared" si="4"/>
        <v>1400</v>
      </c>
      <c r="G38" s="124">
        <v>45109.0</v>
      </c>
    </row>
    <row r="39">
      <c r="C39" s="121" t="s">
        <v>97</v>
      </c>
      <c r="D39" s="122">
        <v>1.0</v>
      </c>
      <c r="E39" s="123">
        <v>850.0</v>
      </c>
      <c r="F39" s="123">
        <f t="shared" si="4"/>
        <v>850</v>
      </c>
      <c r="G39" s="124">
        <v>45109.0</v>
      </c>
    </row>
    <row r="40">
      <c r="C40" s="121" t="s">
        <v>98</v>
      </c>
      <c r="D40" s="127">
        <v>2.0</v>
      </c>
      <c r="E40" s="123">
        <v>1900.0</v>
      </c>
      <c r="F40" s="123">
        <f t="shared" si="4"/>
        <v>3800</v>
      </c>
      <c r="G40" s="124">
        <v>45108.0</v>
      </c>
    </row>
    <row r="41">
      <c r="C41" s="121" t="s">
        <v>99</v>
      </c>
      <c r="D41" s="127">
        <v>8.0</v>
      </c>
      <c r="E41" s="123">
        <v>235.0</v>
      </c>
      <c r="F41" s="123">
        <f t="shared" si="4"/>
        <v>1880</v>
      </c>
      <c r="G41" s="124">
        <v>45108.0</v>
      </c>
    </row>
    <row r="42">
      <c r="C42" s="125" t="s">
        <v>100</v>
      </c>
      <c r="D42" s="128">
        <v>5.0</v>
      </c>
      <c r="E42" s="30">
        <v>190.0</v>
      </c>
      <c r="F42" s="30">
        <f t="shared" si="4"/>
        <v>950</v>
      </c>
      <c r="G42" s="126">
        <v>45108.0</v>
      </c>
    </row>
    <row r="43">
      <c r="C43" s="125" t="s">
        <v>101</v>
      </c>
      <c r="D43" s="128">
        <v>3.0</v>
      </c>
      <c r="E43" s="30">
        <v>250.0</v>
      </c>
      <c r="F43" s="30">
        <f t="shared" si="4"/>
        <v>750</v>
      </c>
      <c r="G43" s="126">
        <v>45108.0</v>
      </c>
    </row>
    <row r="44">
      <c r="C44" s="125" t="s">
        <v>102</v>
      </c>
      <c r="D44" s="128">
        <v>1.0</v>
      </c>
      <c r="E44" s="30">
        <v>950.0</v>
      </c>
      <c r="F44" s="30">
        <f t="shared" si="4"/>
        <v>950</v>
      </c>
      <c r="G44" s="126">
        <v>45108.0</v>
      </c>
    </row>
    <row r="45">
      <c r="C45" s="125" t="s">
        <v>103</v>
      </c>
      <c r="D45" s="128">
        <v>0.0</v>
      </c>
      <c r="E45" s="30">
        <v>800.0</v>
      </c>
      <c r="F45" s="30">
        <f t="shared" si="4"/>
        <v>0</v>
      </c>
      <c r="G45" s="126">
        <v>45108.0</v>
      </c>
    </row>
    <row r="46">
      <c r="C46" s="121" t="s">
        <v>104</v>
      </c>
      <c r="D46" s="127">
        <v>1.0</v>
      </c>
      <c r="E46" s="123">
        <v>600.0</v>
      </c>
      <c r="F46" s="123">
        <f t="shared" si="4"/>
        <v>600</v>
      </c>
      <c r="G46" s="124">
        <v>45108.0</v>
      </c>
    </row>
    <row r="47">
      <c r="C47" s="121" t="s">
        <v>105</v>
      </c>
      <c r="D47" s="127">
        <v>7.0</v>
      </c>
      <c r="E47" s="123">
        <v>390.0</v>
      </c>
      <c r="F47" s="144">
        <f t="shared" ref="F47:F112" si="5">E47*D47</f>
        <v>2730</v>
      </c>
      <c r="G47" s="124">
        <v>45057.0</v>
      </c>
    </row>
    <row r="48">
      <c r="C48" s="145" t="s">
        <v>106</v>
      </c>
      <c r="D48" s="146">
        <v>30.0</v>
      </c>
      <c r="E48" s="147">
        <v>85.0</v>
      </c>
      <c r="F48" s="147">
        <f t="shared" si="5"/>
        <v>2550</v>
      </c>
      <c r="G48" s="148">
        <v>44999.0</v>
      </c>
    </row>
    <row r="49">
      <c r="C49" s="149" t="s">
        <v>107</v>
      </c>
      <c r="D49" s="14">
        <v>1.0</v>
      </c>
      <c r="E49" s="46">
        <v>1280.0</v>
      </c>
      <c r="F49" s="46">
        <f t="shared" si="5"/>
        <v>1280</v>
      </c>
      <c r="G49" s="130">
        <v>45004.0</v>
      </c>
    </row>
    <row r="50">
      <c r="C50" s="129" t="s">
        <v>108</v>
      </c>
      <c r="D50" s="128">
        <v>3.0</v>
      </c>
      <c r="E50" s="57">
        <v>130.0</v>
      </c>
      <c r="F50" s="46">
        <f t="shared" si="5"/>
        <v>390</v>
      </c>
      <c r="G50" s="126"/>
    </row>
    <row r="51">
      <c r="C51" s="129" t="s">
        <v>109</v>
      </c>
      <c r="D51" s="128">
        <v>1.0</v>
      </c>
      <c r="E51" s="57">
        <v>500.0</v>
      </c>
      <c r="F51" s="46">
        <f t="shared" si="5"/>
        <v>500</v>
      </c>
      <c r="G51" s="150">
        <v>45139.0</v>
      </c>
    </row>
    <row r="52">
      <c r="C52" s="129" t="s">
        <v>110</v>
      </c>
      <c r="D52" s="128">
        <v>1.0</v>
      </c>
      <c r="E52" s="57">
        <v>1400.0</v>
      </c>
      <c r="F52" s="46">
        <f t="shared" si="5"/>
        <v>1400</v>
      </c>
      <c r="G52" s="150">
        <v>45139.0</v>
      </c>
    </row>
    <row r="53">
      <c r="C53" s="129" t="s">
        <v>111</v>
      </c>
      <c r="D53" s="128">
        <v>50.0</v>
      </c>
      <c r="E53" s="57">
        <v>50.0</v>
      </c>
      <c r="F53" s="46">
        <f t="shared" si="5"/>
        <v>2500</v>
      </c>
      <c r="G53" s="150">
        <v>45139.0</v>
      </c>
    </row>
    <row r="54">
      <c r="C54" s="129" t="s">
        <v>109</v>
      </c>
      <c r="D54" s="128">
        <v>3.0</v>
      </c>
      <c r="E54" s="57">
        <v>550.0</v>
      </c>
      <c r="F54" s="46">
        <f t="shared" si="5"/>
        <v>1650</v>
      </c>
      <c r="G54" s="150">
        <v>45139.0</v>
      </c>
    </row>
    <row r="55">
      <c r="C55" s="129" t="s">
        <v>112</v>
      </c>
      <c r="D55" s="128">
        <v>1.0</v>
      </c>
      <c r="E55" s="57">
        <v>1500.0</v>
      </c>
      <c r="F55" s="46">
        <f t="shared" si="5"/>
        <v>1500</v>
      </c>
      <c r="G55" s="150">
        <v>45139.0</v>
      </c>
    </row>
    <row r="56">
      <c r="C56" s="129" t="s">
        <v>113</v>
      </c>
      <c r="D56" s="128">
        <v>2.0</v>
      </c>
      <c r="E56" s="57">
        <v>1000.0</v>
      </c>
      <c r="F56" s="46">
        <f t="shared" si="5"/>
        <v>2000</v>
      </c>
      <c r="G56" s="150">
        <v>45139.0</v>
      </c>
    </row>
    <row r="57">
      <c r="C57" s="129" t="s">
        <v>114</v>
      </c>
      <c r="D57" s="128">
        <v>6.0</v>
      </c>
      <c r="E57" s="57">
        <v>500.0</v>
      </c>
      <c r="F57" s="46">
        <f t="shared" si="5"/>
        <v>3000</v>
      </c>
      <c r="G57" s="150">
        <v>45139.0</v>
      </c>
    </row>
    <row r="58">
      <c r="C58" s="129" t="s">
        <v>115</v>
      </c>
      <c r="D58" s="128">
        <v>1.0</v>
      </c>
      <c r="E58" s="57">
        <v>100.0</v>
      </c>
      <c r="F58" s="46">
        <f t="shared" si="5"/>
        <v>100</v>
      </c>
      <c r="G58" s="150">
        <v>45139.0</v>
      </c>
    </row>
    <row r="59">
      <c r="C59" s="129" t="s">
        <v>116</v>
      </c>
      <c r="D59" s="128">
        <v>1.0</v>
      </c>
      <c r="E59" s="57">
        <v>1650.0</v>
      </c>
      <c r="F59" s="46">
        <f t="shared" si="5"/>
        <v>1650</v>
      </c>
      <c r="G59" s="150">
        <v>45139.0</v>
      </c>
    </row>
    <row r="60">
      <c r="C60" s="129" t="s">
        <v>117</v>
      </c>
      <c r="D60" s="128">
        <v>1.0</v>
      </c>
      <c r="E60" s="57">
        <v>50.0</v>
      </c>
      <c r="F60" s="46">
        <f t="shared" si="5"/>
        <v>50</v>
      </c>
      <c r="G60" s="150">
        <v>45139.0</v>
      </c>
    </row>
    <row r="61">
      <c r="C61" s="129" t="s">
        <v>118</v>
      </c>
      <c r="D61" s="128">
        <v>1.0</v>
      </c>
      <c r="E61" s="57">
        <v>200.0</v>
      </c>
      <c r="F61" s="46">
        <f t="shared" si="5"/>
        <v>200</v>
      </c>
      <c r="G61" s="150">
        <v>45139.0</v>
      </c>
    </row>
    <row r="62">
      <c r="C62" s="129" t="s">
        <v>119</v>
      </c>
      <c r="D62" s="128">
        <v>1.0</v>
      </c>
      <c r="E62" s="57">
        <v>500.0</v>
      </c>
      <c r="F62" s="46">
        <f t="shared" si="5"/>
        <v>500</v>
      </c>
      <c r="G62" s="150">
        <v>45139.0</v>
      </c>
    </row>
    <row r="63">
      <c r="C63" s="129" t="s">
        <v>120</v>
      </c>
      <c r="D63" s="128">
        <v>1.0</v>
      </c>
      <c r="E63" s="57">
        <v>12000.0</v>
      </c>
      <c r="F63" s="46">
        <f t="shared" si="5"/>
        <v>12000</v>
      </c>
      <c r="G63" s="150">
        <v>45139.0</v>
      </c>
    </row>
    <row r="64">
      <c r="C64" s="129" t="s">
        <v>121</v>
      </c>
      <c r="D64" s="128">
        <v>1.0</v>
      </c>
      <c r="E64" s="57">
        <v>14000.0</v>
      </c>
      <c r="F64" s="46">
        <f t="shared" si="5"/>
        <v>14000</v>
      </c>
      <c r="G64" s="150">
        <v>45139.0</v>
      </c>
    </row>
    <row r="65">
      <c r="C65" s="129" t="s">
        <v>122</v>
      </c>
      <c r="D65" s="128">
        <v>1.0</v>
      </c>
      <c r="E65" s="57">
        <v>750.0</v>
      </c>
      <c r="F65" s="46">
        <f t="shared" si="5"/>
        <v>750</v>
      </c>
      <c r="G65" s="150">
        <v>45139.0</v>
      </c>
    </row>
    <row r="66">
      <c r="C66" s="129" t="s">
        <v>111</v>
      </c>
      <c r="D66" s="128">
        <v>30.0</v>
      </c>
      <c r="E66" s="57">
        <v>40.0</v>
      </c>
      <c r="F66" s="46">
        <f t="shared" si="5"/>
        <v>1200</v>
      </c>
      <c r="G66" s="150">
        <v>45139.0</v>
      </c>
    </row>
    <row r="67">
      <c r="C67" s="129" t="s">
        <v>108</v>
      </c>
      <c r="D67" s="128">
        <v>10.0</v>
      </c>
      <c r="E67" s="57">
        <v>100.0</v>
      </c>
      <c r="F67" s="46">
        <f t="shared" si="5"/>
        <v>1000</v>
      </c>
      <c r="G67" s="150">
        <v>45139.0</v>
      </c>
    </row>
    <row r="68">
      <c r="C68" s="129" t="s">
        <v>123</v>
      </c>
      <c r="D68" s="128">
        <v>1.0</v>
      </c>
      <c r="E68" s="57">
        <v>1000.0</v>
      </c>
      <c r="F68" s="46">
        <f t="shared" si="5"/>
        <v>1000</v>
      </c>
      <c r="G68" s="150">
        <v>45139.0</v>
      </c>
    </row>
    <row r="69">
      <c r="C69" s="129" t="s">
        <v>124</v>
      </c>
      <c r="D69" s="128">
        <v>3.0</v>
      </c>
      <c r="E69" s="57">
        <v>65.0</v>
      </c>
      <c r="F69" s="46">
        <f t="shared" si="5"/>
        <v>195</v>
      </c>
      <c r="G69" s="150">
        <v>45139.0</v>
      </c>
    </row>
    <row r="70">
      <c r="C70" s="129" t="s">
        <v>125</v>
      </c>
      <c r="D70" s="128">
        <v>5.0</v>
      </c>
      <c r="E70" s="57">
        <v>110.0</v>
      </c>
      <c r="F70" s="46">
        <f t="shared" si="5"/>
        <v>550</v>
      </c>
      <c r="G70" s="150">
        <v>45139.0</v>
      </c>
    </row>
    <row r="71">
      <c r="C71" s="129" t="s">
        <v>126</v>
      </c>
      <c r="D71" s="128">
        <v>1.0</v>
      </c>
      <c r="E71" s="57">
        <v>1200.0</v>
      </c>
      <c r="F71" s="46">
        <f t="shared" si="5"/>
        <v>1200</v>
      </c>
      <c r="G71" s="150">
        <v>45139.0</v>
      </c>
    </row>
    <row r="72">
      <c r="C72" s="129" t="s">
        <v>127</v>
      </c>
      <c r="D72" s="128">
        <v>1.0</v>
      </c>
      <c r="E72" s="57">
        <v>400.0</v>
      </c>
      <c r="F72" s="46">
        <f t="shared" si="5"/>
        <v>400</v>
      </c>
      <c r="G72" s="150">
        <v>45139.0</v>
      </c>
    </row>
    <row r="73">
      <c r="C73" s="129" t="s">
        <v>128</v>
      </c>
      <c r="D73" s="128">
        <v>10.0</v>
      </c>
      <c r="E73" s="57">
        <v>100.0</v>
      </c>
      <c r="F73" s="46">
        <f t="shared" si="5"/>
        <v>1000</v>
      </c>
      <c r="G73" s="150">
        <v>45139.0</v>
      </c>
    </row>
    <row r="74">
      <c r="C74" s="129" t="s">
        <v>129</v>
      </c>
      <c r="D74" s="128">
        <v>20.0</v>
      </c>
      <c r="E74" s="57">
        <v>150.0</v>
      </c>
      <c r="F74" s="46">
        <f t="shared" si="5"/>
        <v>3000</v>
      </c>
      <c r="G74" s="150">
        <v>45139.0</v>
      </c>
    </row>
    <row r="75">
      <c r="C75" s="129" t="s">
        <v>130</v>
      </c>
      <c r="D75" s="128">
        <v>3.0</v>
      </c>
      <c r="E75" s="57">
        <v>210.0</v>
      </c>
      <c r="F75" s="46">
        <f t="shared" si="5"/>
        <v>630</v>
      </c>
      <c r="G75" s="150">
        <v>45139.0</v>
      </c>
    </row>
    <row r="76">
      <c r="C76" s="129" t="s">
        <v>131</v>
      </c>
      <c r="D76" s="128">
        <v>8.0</v>
      </c>
      <c r="E76" s="57">
        <v>500.0</v>
      </c>
      <c r="F76" s="46">
        <f t="shared" si="5"/>
        <v>4000</v>
      </c>
      <c r="G76" s="150">
        <v>45139.0</v>
      </c>
    </row>
    <row r="77">
      <c r="C77" s="129" t="s">
        <v>132</v>
      </c>
      <c r="D77" s="128">
        <v>1.0</v>
      </c>
      <c r="E77" s="57">
        <v>440.0</v>
      </c>
      <c r="F77" s="46">
        <f t="shared" si="5"/>
        <v>440</v>
      </c>
      <c r="G77" s="150">
        <v>45140.0</v>
      </c>
    </row>
    <row r="78">
      <c r="C78" s="129" t="s">
        <v>133</v>
      </c>
      <c r="D78" s="128">
        <v>1.0</v>
      </c>
      <c r="E78" s="57">
        <v>400.0</v>
      </c>
      <c r="F78" s="46">
        <f t="shared" si="5"/>
        <v>400</v>
      </c>
      <c r="G78" s="150">
        <v>45140.0</v>
      </c>
    </row>
    <row r="79">
      <c r="C79" s="129" t="s">
        <v>134</v>
      </c>
      <c r="D79" s="128">
        <v>1.0</v>
      </c>
      <c r="E79" s="57">
        <v>900.0</v>
      </c>
      <c r="F79" s="46">
        <f t="shared" si="5"/>
        <v>900</v>
      </c>
      <c r="G79" s="150">
        <v>45140.0</v>
      </c>
    </row>
    <row r="80">
      <c r="C80" s="129" t="s">
        <v>135</v>
      </c>
      <c r="D80" s="128">
        <v>1.0</v>
      </c>
      <c r="E80" s="57">
        <v>1200.0</v>
      </c>
      <c r="F80" s="46">
        <f t="shared" si="5"/>
        <v>1200</v>
      </c>
      <c r="G80" s="150">
        <v>45140.0</v>
      </c>
    </row>
    <row r="81">
      <c r="C81" s="129" t="s">
        <v>98</v>
      </c>
      <c r="D81" s="128">
        <v>5.0</v>
      </c>
      <c r="E81" s="57">
        <v>1880.0</v>
      </c>
      <c r="F81" s="46">
        <f t="shared" si="5"/>
        <v>9400</v>
      </c>
      <c r="G81" s="150">
        <v>45140.0</v>
      </c>
    </row>
    <row r="82">
      <c r="C82" s="129" t="s">
        <v>88</v>
      </c>
      <c r="D82" s="128">
        <v>5.0</v>
      </c>
      <c r="E82" s="57">
        <v>245.0</v>
      </c>
      <c r="F82" s="46">
        <f t="shared" si="5"/>
        <v>1225</v>
      </c>
      <c r="G82" s="150">
        <v>45140.0</v>
      </c>
    </row>
    <row r="83">
      <c r="C83" s="129" t="s">
        <v>104</v>
      </c>
      <c r="D83" s="128">
        <v>1.0</v>
      </c>
      <c r="E83" s="57">
        <v>600.0</v>
      </c>
      <c r="F83" s="46">
        <f t="shared" si="5"/>
        <v>600</v>
      </c>
      <c r="G83" s="150">
        <v>45140.0</v>
      </c>
    </row>
    <row r="84">
      <c r="C84" s="129" t="s">
        <v>65</v>
      </c>
      <c r="D84" s="128">
        <v>1.0</v>
      </c>
      <c r="E84" s="57">
        <v>650.0</v>
      </c>
      <c r="F84" s="46">
        <f t="shared" si="5"/>
        <v>650</v>
      </c>
      <c r="G84" s="150">
        <v>45140.0</v>
      </c>
    </row>
    <row r="85">
      <c r="C85" s="129" t="s">
        <v>93</v>
      </c>
      <c r="D85" s="128">
        <v>27.0</v>
      </c>
      <c r="E85" s="57">
        <v>73.0</v>
      </c>
      <c r="F85" s="46">
        <f t="shared" si="5"/>
        <v>1971</v>
      </c>
      <c r="G85" s="150">
        <v>45140.0</v>
      </c>
    </row>
    <row r="86">
      <c r="C86" s="129" t="s">
        <v>136</v>
      </c>
      <c r="D86" s="128">
        <v>3.0</v>
      </c>
      <c r="E86" s="57">
        <v>190.0</v>
      </c>
      <c r="F86" s="46">
        <f t="shared" si="5"/>
        <v>570</v>
      </c>
      <c r="G86" s="150">
        <v>45140.0</v>
      </c>
    </row>
    <row r="87">
      <c r="C87" s="129" t="s">
        <v>90</v>
      </c>
      <c r="D87" s="128">
        <v>10.0</v>
      </c>
      <c r="E87" s="57">
        <v>1560.0</v>
      </c>
      <c r="F87" s="46">
        <f t="shared" si="5"/>
        <v>15600</v>
      </c>
      <c r="G87" s="150">
        <v>45140.0</v>
      </c>
    </row>
    <row r="88">
      <c r="C88" s="129" t="s">
        <v>96</v>
      </c>
      <c r="D88" s="128">
        <v>2.0</v>
      </c>
      <c r="E88" s="57">
        <v>1400.0</v>
      </c>
      <c r="F88" s="46">
        <f t="shared" si="5"/>
        <v>2800</v>
      </c>
      <c r="G88" s="150">
        <v>45140.0</v>
      </c>
    </row>
    <row r="89">
      <c r="C89" s="129" t="s">
        <v>137</v>
      </c>
      <c r="D89" s="128">
        <v>2.0</v>
      </c>
      <c r="E89" s="57">
        <v>1330.0</v>
      </c>
      <c r="F89" s="46">
        <f t="shared" si="5"/>
        <v>2660</v>
      </c>
      <c r="G89" s="150">
        <v>45140.0</v>
      </c>
    </row>
    <row r="90">
      <c r="C90" s="129" t="s">
        <v>138</v>
      </c>
      <c r="D90" s="128">
        <v>5.0</v>
      </c>
      <c r="E90" s="57">
        <v>180.0</v>
      </c>
      <c r="F90" s="46">
        <f t="shared" si="5"/>
        <v>900</v>
      </c>
      <c r="G90" s="150">
        <v>45140.0</v>
      </c>
    </row>
    <row r="91">
      <c r="C91" s="129" t="s">
        <v>70</v>
      </c>
      <c r="D91" s="128">
        <v>1.0</v>
      </c>
      <c r="E91" s="57">
        <v>1200.0</v>
      </c>
      <c r="F91" s="46">
        <f t="shared" si="5"/>
        <v>1200</v>
      </c>
      <c r="G91" s="150">
        <v>45140.0</v>
      </c>
      <c r="H91" s="151">
        <v>0.0</v>
      </c>
    </row>
    <row r="92">
      <c r="C92" s="129" t="s">
        <v>139</v>
      </c>
      <c r="D92" s="128">
        <v>1.0</v>
      </c>
      <c r="E92" s="57">
        <v>250.0</v>
      </c>
      <c r="F92" s="46">
        <f t="shared" si="5"/>
        <v>250</v>
      </c>
      <c r="G92" s="150">
        <v>45140.0</v>
      </c>
    </row>
    <row r="93">
      <c r="C93" s="129" t="s">
        <v>68</v>
      </c>
      <c r="D93" s="128">
        <v>18.0</v>
      </c>
      <c r="E93" s="57">
        <v>100.0</v>
      </c>
      <c r="F93" s="46">
        <f t="shared" si="5"/>
        <v>1800</v>
      </c>
      <c r="G93" s="150">
        <v>45140.0</v>
      </c>
    </row>
    <row r="94">
      <c r="C94" s="129" t="s">
        <v>113</v>
      </c>
      <c r="D94" s="128">
        <v>2.0</v>
      </c>
      <c r="E94" s="57">
        <v>1000.0</v>
      </c>
      <c r="F94" s="46">
        <f t="shared" si="5"/>
        <v>2000</v>
      </c>
      <c r="G94" s="152">
        <v>45140.0</v>
      </c>
    </row>
    <row r="95">
      <c r="C95" s="129" t="s">
        <v>108</v>
      </c>
      <c r="D95" s="128">
        <v>7.0</v>
      </c>
      <c r="E95" s="57">
        <v>100.0</v>
      </c>
      <c r="F95" s="46">
        <f t="shared" si="5"/>
        <v>700</v>
      </c>
      <c r="G95" s="150">
        <v>45140.0</v>
      </c>
    </row>
    <row r="96">
      <c r="C96" s="129" t="s">
        <v>125</v>
      </c>
      <c r="D96" s="128">
        <v>5.0</v>
      </c>
      <c r="E96" s="57">
        <v>110.0</v>
      </c>
      <c r="F96" s="46">
        <f t="shared" si="5"/>
        <v>550</v>
      </c>
      <c r="G96" s="150">
        <v>45140.0</v>
      </c>
    </row>
    <row r="97">
      <c r="C97" s="129" t="s">
        <v>140</v>
      </c>
      <c r="D97" s="128">
        <v>2.0</v>
      </c>
      <c r="E97" s="57">
        <v>400.0</v>
      </c>
      <c r="F97" s="46">
        <f t="shared" si="5"/>
        <v>800</v>
      </c>
      <c r="G97" s="150">
        <v>45140.0</v>
      </c>
    </row>
    <row r="98">
      <c r="C98" s="129" t="s">
        <v>62</v>
      </c>
      <c r="D98" s="128">
        <v>20.0</v>
      </c>
      <c r="E98" s="57">
        <v>600.0</v>
      </c>
      <c r="F98" s="46">
        <f t="shared" si="5"/>
        <v>12000</v>
      </c>
      <c r="G98" s="150">
        <v>45139.0</v>
      </c>
    </row>
    <row r="99">
      <c r="C99" s="129" t="s">
        <v>141</v>
      </c>
      <c r="D99" s="128">
        <v>8.0</v>
      </c>
      <c r="E99" s="57">
        <v>192.0</v>
      </c>
      <c r="F99" s="46">
        <f t="shared" si="5"/>
        <v>1536</v>
      </c>
      <c r="G99" s="150">
        <v>45141.0</v>
      </c>
    </row>
    <row r="100">
      <c r="C100" s="129" t="s">
        <v>142</v>
      </c>
      <c r="D100" s="128">
        <v>1.0</v>
      </c>
      <c r="E100" s="57">
        <v>1800.0</v>
      </c>
      <c r="F100" s="46">
        <f t="shared" si="5"/>
        <v>1800</v>
      </c>
      <c r="G100" s="150">
        <v>45141.0</v>
      </c>
    </row>
    <row r="101">
      <c r="C101" s="129" t="s">
        <v>143</v>
      </c>
      <c r="D101" s="128">
        <v>8.0</v>
      </c>
      <c r="E101" s="57">
        <v>450.0</v>
      </c>
      <c r="F101" s="46">
        <f t="shared" si="5"/>
        <v>3600</v>
      </c>
      <c r="G101" s="150">
        <v>45141.0</v>
      </c>
    </row>
    <row r="102">
      <c r="C102" s="129" t="s">
        <v>144</v>
      </c>
      <c r="D102" s="128">
        <v>3.0</v>
      </c>
      <c r="E102" s="57">
        <v>250.0</v>
      </c>
      <c r="F102" s="46">
        <f t="shared" si="5"/>
        <v>750</v>
      </c>
      <c r="G102" s="150">
        <v>45141.0</v>
      </c>
    </row>
    <row r="103">
      <c r="C103" s="129" t="s">
        <v>145</v>
      </c>
      <c r="D103" s="128">
        <v>3.0</v>
      </c>
      <c r="E103" s="57">
        <v>150.0</v>
      </c>
      <c r="F103" s="46">
        <f t="shared" si="5"/>
        <v>450</v>
      </c>
      <c r="G103" s="150">
        <v>45141.0</v>
      </c>
    </row>
    <row r="104">
      <c r="C104" s="129" t="s">
        <v>108</v>
      </c>
      <c r="D104" s="128">
        <v>15.0</v>
      </c>
      <c r="E104" s="57">
        <v>100.0</v>
      </c>
      <c r="F104" s="46">
        <f t="shared" si="5"/>
        <v>1500</v>
      </c>
      <c r="G104" s="150">
        <v>45141.0</v>
      </c>
    </row>
    <row r="105">
      <c r="C105" s="129" t="s">
        <v>111</v>
      </c>
      <c r="D105" s="128">
        <v>25.0</v>
      </c>
      <c r="E105" s="57">
        <v>40.0</v>
      </c>
      <c r="F105" s="46">
        <f t="shared" si="5"/>
        <v>1000</v>
      </c>
      <c r="G105" s="150">
        <v>45141.0</v>
      </c>
    </row>
    <row r="106">
      <c r="C106" s="129" t="s">
        <v>125</v>
      </c>
      <c r="D106" s="128">
        <v>3.0</v>
      </c>
      <c r="E106" s="57">
        <v>110.0</v>
      </c>
      <c r="F106" s="46">
        <f t="shared" si="5"/>
        <v>330</v>
      </c>
      <c r="G106" s="150">
        <v>45141.0</v>
      </c>
    </row>
    <row r="107">
      <c r="C107" s="129" t="s">
        <v>146</v>
      </c>
      <c r="D107" s="128">
        <v>2.0</v>
      </c>
      <c r="E107" s="57">
        <v>200.0</v>
      </c>
      <c r="F107" s="46">
        <f t="shared" si="5"/>
        <v>400</v>
      </c>
      <c r="G107" s="150">
        <v>45141.0</v>
      </c>
    </row>
    <row r="108">
      <c r="C108" s="129" t="s">
        <v>147</v>
      </c>
      <c r="D108" s="128">
        <v>2.0</v>
      </c>
      <c r="E108" s="57">
        <v>150.0</v>
      </c>
      <c r="F108" s="46">
        <f t="shared" si="5"/>
        <v>300</v>
      </c>
      <c r="G108" s="150">
        <v>45141.0</v>
      </c>
    </row>
    <row r="109">
      <c r="C109" s="129" t="s">
        <v>148</v>
      </c>
      <c r="D109" s="128">
        <v>1.0</v>
      </c>
      <c r="E109" s="57">
        <v>500.0</v>
      </c>
      <c r="F109" s="46">
        <f t="shared" si="5"/>
        <v>500</v>
      </c>
      <c r="G109" s="150">
        <v>45141.0</v>
      </c>
    </row>
    <row r="110">
      <c r="C110" s="129" t="s">
        <v>112</v>
      </c>
      <c r="D110" s="128">
        <v>1.0</v>
      </c>
      <c r="E110" s="57">
        <v>500.0</v>
      </c>
      <c r="F110" s="46">
        <f t="shared" si="5"/>
        <v>500</v>
      </c>
      <c r="G110" s="150">
        <v>45141.0</v>
      </c>
    </row>
    <row r="111">
      <c r="C111" s="129" t="s">
        <v>149</v>
      </c>
      <c r="D111" s="128">
        <v>1.0</v>
      </c>
      <c r="E111" s="57">
        <v>500.0</v>
      </c>
      <c r="F111" s="46">
        <f t="shared" si="5"/>
        <v>500</v>
      </c>
      <c r="G111" s="150">
        <v>45141.0</v>
      </c>
    </row>
    <row r="112">
      <c r="C112" s="129" t="s">
        <v>150</v>
      </c>
      <c r="D112" s="128">
        <v>3.0</v>
      </c>
      <c r="E112" s="57">
        <v>30.0</v>
      </c>
      <c r="F112" s="46">
        <f t="shared" si="5"/>
        <v>90</v>
      </c>
      <c r="G112" s="150">
        <v>45141.0</v>
      </c>
    </row>
    <row r="113">
      <c r="C113" s="129" t="s">
        <v>151</v>
      </c>
      <c r="D113" s="128">
        <v>1.0</v>
      </c>
      <c r="E113" s="57">
        <v>200.0</v>
      </c>
      <c r="F113" s="12">
        <v>200.0</v>
      </c>
      <c r="G113" s="150">
        <v>45142.0</v>
      </c>
    </row>
    <row r="114">
      <c r="C114" s="129" t="s">
        <v>152</v>
      </c>
      <c r="D114" s="128">
        <v>2.0</v>
      </c>
      <c r="E114" s="57">
        <v>500.0</v>
      </c>
      <c r="F114" s="46">
        <f t="shared" ref="F114:F211" si="6">E114*D114</f>
        <v>1000</v>
      </c>
      <c r="G114" s="150">
        <v>45142.0</v>
      </c>
    </row>
    <row r="115">
      <c r="C115" s="129" t="s">
        <v>66</v>
      </c>
      <c r="D115" s="128">
        <v>4.0</v>
      </c>
      <c r="E115" s="57">
        <v>175.0</v>
      </c>
      <c r="F115" s="46">
        <f t="shared" si="6"/>
        <v>700</v>
      </c>
      <c r="G115" s="150">
        <v>45142.0</v>
      </c>
    </row>
    <row r="116">
      <c r="C116" s="129" t="s">
        <v>153</v>
      </c>
      <c r="D116" s="128">
        <v>4.0</v>
      </c>
      <c r="E116" s="57">
        <v>275.0</v>
      </c>
      <c r="F116" s="12">
        <f t="shared" si="6"/>
        <v>1100</v>
      </c>
      <c r="G116" s="150">
        <v>45142.0</v>
      </c>
    </row>
    <row r="117">
      <c r="C117" s="129" t="s">
        <v>154</v>
      </c>
      <c r="D117" s="128">
        <v>1.0</v>
      </c>
      <c r="E117" s="57">
        <v>19000.0</v>
      </c>
      <c r="F117" s="46">
        <f t="shared" si="6"/>
        <v>19000</v>
      </c>
      <c r="G117" s="150">
        <v>45142.0</v>
      </c>
    </row>
    <row r="118">
      <c r="C118" s="129" t="s">
        <v>145</v>
      </c>
      <c r="D118" s="128">
        <v>1.0</v>
      </c>
      <c r="E118" s="57">
        <v>200.0</v>
      </c>
      <c r="F118" s="46">
        <f t="shared" si="6"/>
        <v>200</v>
      </c>
      <c r="G118" s="150">
        <v>45142.0</v>
      </c>
    </row>
    <row r="119">
      <c r="C119" s="129" t="s">
        <v>146</v>
      </c>
      <c r="D119" s="128">
        <v>1.0</v>
      </c>
      <c r="E119" s="57">
        <v>200.0</v>
      </c>
      <c r="F119" s="46">
        <f t="shared" si="6"/>
        <v>200</v>
      </c>
      <c r="G119" s="150">
        <v>45142.0</v>
      </c>
    </row>
    <row r="120">
      <c r="C120" s="129" t="s">
        <v>155</v>
      </c>
      <c r="D120" s="128">
        <v>1.0</v>
      </c>
      <c r="E120" s="57">
        <v>1000.0</v>
      </c>
      <c r="F120" s="46">
        <f t="shared" si="6"/>
        <v>1000</v>
      </c>
      <c r="G120" s="150">
        <v>45142.0</v>
      </c>
    </row>
    <row r="121">
      <c r="C121" s="129" t="s">
        <v>156</v>
      </c>
      <c r="D121" s="128">
        <v>2.0</v>
      </c>
      <c r="E121" s="57">
        <v>250.0</v>
      </c>
      <c r="F121" s="46">
        <f t="shared" si="6"/>
        <v>500</v>
      </c>
      <c r="G121" s="150">
        <v>45142.0</v>
      </c>
    </row>
    <row r="122">
      <c r="C122" s="129" t="s">
        <v>157</v>
      </c>
      <c r="D122" s="128">
        <v>15.0</v>
      </c>
      <c r="E122" s="57">
        <v>60.0</v>
      </c>
      <c r="F122" s="46">
        <f t="shared" si="6"/>
        <v>900</v>
      </c>
      <c r="G122" s="150">
        <v>45142.0</v>
      </c>
    </row>
    <row r="123">
      <c r="C123" s="129" t="s">
        <v>142</v>
      </c>
      <c r="D123" s="128">
        <v>1.0</v>
      </c>
      <c r="E123" s="57">
        <v>1600.0</v>
      </c>
      <c r="F123" s="46">
        <f t="shared" si="6"/>
        <v>1600</v>
      </c>
      <c r="G123" s="150">
        <v>45142.0</v>
      </c>
    </row>
    <row r="124">
      <c r="C124" s="129" t="s">
        <v>158</v>
      </c>
      <c r="D124" s="128">
        <v>2.0</v>
      </c>
      <c r="E124" s="57">
        <v>1000.0</v>
      </c>
      <c r="F124" s="46">
        <f t="shared" si="6"/>
        <v>2000</v>
      </c>
      <c r="G124" s="150">
        <v>45142.0</v>
      </c>
    </row>
    <row r="125">
      <c r="C125" s="129" t="s">
        <v>108</v>
      </c>
      <c r="D125" s="128">
        <v>10.0</v>
      </c>
      <c r="E125" s="57">
        <v>100.0</v>
      </c>
      <c r="F125" s="46">
        <f t="shared" si="6"/>
        <v>1000</v>
      </c>
      <c r="G125" s="150">
        <v>45142.0</v>
      </c>
    </row>
    <row r="126">
      <c r="C126" s="129" t="s">
        <v>155</v>
      </c>
      <c r="D126" s="128">
        <v>1.0</v>
      </c>
      <c r="E126" s="57">
        <v>500.0</v>
      </c>
      <c r="F126" s="46">
        <f t="shared" si="6"/>
        <v>500</v>
      </c>
      <c r="G126" s="150">
        <v>45143.0</v>
      </c>
    </row>
    <row r="127">
      <c r="C127" s="129" t="s">
        <v>113</v>
      </c>
      <c r="D127" s="128">
        <v>2.5</v>
      </c>
      <c r="E127" s="57">
        <v>1000.0</v>
      </c>
      <c r="F127" s="46">
        <f t="shared" si="6"/>
        <v>2500</v>
      </c>
      <c r="G127" s="150">
        <v>45143.0</v>
      </c>
    </row>
    <row r="128">
      <c r="C128" s="129" t="s">
        <v>111</v>
      </c>
      <c r="D128" s="128">
        <v>30.0</v>
      </c>
      <c r="E128" s="57">
        <v>35.0</v>
      </c>
      <c r="F128" s="46">
        <f t="shared" si="6"/>
        <v>1050</v>
      </c>
      <c r="G128" s="150">
        <v>45143.0</v>
      </c>
    </row>
    <row r="129">
      <c r="C129" s="129" t="s">
        <v>159</v>
      </c>
      <c r="D129" s="128">
        <v>2.0</v>
      </c>
      <c r="E129" s="57">
        <v>150.0</v>
      </c>
      <c r="F129" s="46">
        <f t="shared" si="6"/>
        <v>300</v>
      </c>
      <c r="G129" s="150">
        <v>45143.0</v>
      </c>
    </row>
    <row r="130">
      <c r="C130" s="129" t="s">
        <v>146</v>
      </c>
      <c r="D130" s="128">
        <v>1.0</v>
      </c>
      <c r="E130" s="57">
        <v>200.0</v>
      </c>
      <c r="F130" s="46">
        <f t="shared" si="6"/>
        <v>200</v>
      </c>
      <c r="G130" s="150">
        <v>45143.0</v>
      </c>
    </row>
    <row r="131">
      <c r="C131" s="129" t="s">
        <v>111</v>
      </c>
      <c r="D131" s="128">
        <v>45.0</v>
      </c>
      <c r="E131" s="57">
        <v>45.0</v>
      </c>
      <c r="F131" s="46">
        <f t="shared" si="6"/>
        <v>2025</v>
      </c>
      <c r="G131" s="150">
        <v>45144.0</v>
      </c>
    </row>
    <row r="132">
      <c r="C132" s="129" t="s">
        <v>155</v>
      </c>
      <c r="D132" s="128">
        <v>2.0</v>
      </c>
      <c r="E132" s="57">
        <v>75.0</v>
      </c>
      <c r="F132" s="46">
        <f t="shared" si="6"/>
        <v>150</v>
      </c>
      <c r="G132" s="150">
        <v>45144.0</v>
      </c>
    </row>
    <row r="133">
      <c r="C133" s="129" t="s">
        <v>160</v>
      </c>
      <c r="D133" s="128">
        <v>2.0</v>
      </c>
      <c r="E133" s="57">
        <v>160.0</v>
      </c>
      <c r="F133" s="46">
        <f t="shared" si="6"/>
        <v>320</v>
      </c>
      <c r="G133" s="150">
        <v>45144.0</v>
      </c>
    </row>
    <row r="134">
      <c r="C134" s="129" t="s">
        <v>161</v>
      </c>
      <c r="D134" s="128">
        <v>1.0</v>
      </c>
      <c r="E134" s="57">
        <v>480.0</v>
      </c>
      <c r="F134" s="46">
        <f t="shared" si="6"/>
        <v>480</v>
      </c>
      <c r="G134" s="150">
        <v>45144.0</v>
      </c>
    </row>
    <row r="135">
      <c r="C135" s="129" t="s">
        <v>69</v>
      </c>
      <c r="D135" s="128">
        <v>2.0</v>
      </c>
      <c r="E135" s="57">
        <v>80.0</v>
      </c>
      <c r="F135" s="46">
        <f t="shared" si="6"/>
        <v>160</v>
      </c>
      <c r="G135" s="150">
        <v>45144.0</v>
      </c>
    </row>
    <row r="136">
      <c r="C136" s="129" t="s">
        <v>162</v>
      </c>
      <c r="D136" s="128">
        <v>1.0</v>
      </c>
      <c r="E136" s="57">
        <v>270.0</v>
      </c>
      <c r="F136" s="46">
        <f t="shared" si="6"/>
        <v>270</v>
      </c>
      <c r="G136" s="150">
        <v>45144.0</v>
      </c>
    </row>
    <row r="137">
      <c r="C137" s="129" t="s">
        <v>126</v>
      </c>
      <c r="D137" s="128">
        <v>1.0</v>
      </c>
      <c r="E137" s="57">
        <v>1200.0</v>
      </c>
      <c r="F137" s="46">
        <f t="shared" si="6"/>
        <v>1200</v>
      </c>
      <c r="G137" s="150">
        <v>45144.0</v>
      </c>
    </row>
    <row r="138">
      <c r="C138" s="129" t="s">
        <v>163</v>
      </c>
      <c r="D138" s="128">
        <v>2.118</v>
      </c>
      <c r="E138" s="57">
        <v>1850.0</v>
      </c>
      <c r="F138" s="46">
        <f t="shared" si="6"/>
        <v>3918.3</v>
      </c>
      <c r="G138" s="150">
        <v>45145.0</v>
      </c>
    </row>
    <row r="139">
      <c r="C139" s="129" t="s">
        <v>93</v>
      </c>
      <c r="D139" s="128">
        <v>45.0</v>
      </c>
      <c r="E139" s="57">
        <v>80.0</v>
      </c>
      <c r="F139" s="46">
        <f t="shared" si="6"/>
        <v>3600</v>
      </c>
      <c r="G139" s="150">
        <v>45145.0</v>
      </c>
    </row>
    <row r="140">
      <c r="C140" s="129" t="s">
        <v>164</v>
      </c>
      <c r="D140" s="128">
        <v>5.0</v>
      </c>
      <c r="E140" s="57">
        <v>200.0</v>
      </c>
      <c r="F140" s="46">
        <f t="shared" si="6"/>
        <v>1000</v>
      </c>
      <c r="G140" s="150">
        <v>45145.0</v>
      </c>
    </row>
    <row r="141">
      <c r="C141" s="129" t="s">
        <v>69</v>
      </c>
      <c r="D141" s="128">
        <v>12.0</v>
      </c>
      <c r="E141" s="57">
        <v>72.0</v>
      </c>
      <c r="F141" s="46">
        <f t="shared" si="6"/>
        <v>864</v>
      </c>
      <c r="G141" s="150">
        <v>45145.0</v>
      </c>
    </row>
    <row r="142">
      <c r="C142" s="129" t="s">
        <v>165</v>
      </c>
      <c r="D142" s="128">
        <v>1.0</v>
      </c>
      <c r="E142" s="57">
        <v>250.0</v>
      </c>
      <c r="F142" s="46">
        <f t="shared" si="6"/>
        <v>250</v>
      </c>
      <c r="G142" s="150">
        <v>45145.0</v>
      </c>
    </row>
    <row r="143">
      <c r="C143" s="153" t="s">
        <v>166</v>
      </c>
      <c r="D143" s="154">
        <v>2.0</v>
      </c>
      <c r="E143" s="155">
        <v>330.0</v>
      </c>
      <c r="F143" s="46">
        <f t="shared" si="6"/>
        <v>660</v>
      </c>
      <c r="G143" s="156">
        <v>45145.0</v>
      </c>
    </row>
    <row r="144">
      <c r="C144" s="129" t="s">
        <v>167</v>
      </c>
      <c r="D144" s="128">
        <v>1.0</v>
      </c>
      <c r="E144" s="57">
        <v>1850.0</v>
      </c>
      <c r="F144" s="46">
        <f t="shared" si="6"/>
        <v>1850</v>
      </c>
      <c r="G144" s="150">
        <v>45145.0</v>
      </c>
    </row>
    <row r="145">
      <c r="C145" s="129" t="s">
        <v>168</v>
      </c>
      <c r="D145" s="128">
        <v>5.0</v>
      </c>
      <c r="E145" s="57">
        <v>200.0</v>
      </c>
      <c r="F145" s="46">
        <f t="shared" si="6"/>
        <v>1000</v>
      </c>
      <c r="G145" s="150">
        <v>45145.0</v>
      </c>
    </row>
    <row r="146">
      <c r="C146" s="129" t="s">
        <v>160</v>
      </c>
      <c r="D146" s="128">
        <v>7.0</v>
      </c>
      <c r="E146" s="57">
        <v>200.0</v>
      </c>
      <c r="F146" s="46">
        <f t="shared" si="6"/>
        <v>1400</v>
      </c>
      <c r="G146" s="150">
        <v>45145.0</v>
      </c>
    </row>
    <row r="147">
      <c r="C147" s="129" t="s">
        <v>169</v>
      </c>
      <c r="D147" s="128">
        <v>1.0</v>
      </c>
      <c r="E147" s="57">
        <v>200.0</v>
      </c>
      <c r="F147" s="46">
        <f t="shared" si="6"/>
        <v>200</v>
      </c>
      <c r="G147" s="150">
        <v>45145.0</v>
      </c>
    </row>
    <row r="148">
      <c r="C148" s="129" t="s">
        <v>142</v>
      </c>
      <c r="D148" s="128">
        <v>0.6</v>
      </c>
      <c r="E148" s="57">
        <v>1700.0</v>
      </c>
      <c r="F148" s="46">
        <f t="shared" si="6"/>
        <v>1020</v>
      </c>
      <c r="G148" s="150">
        <v>45145.0</v>
      </c>
    </row>
    <row r="149">
      <c r="C149" s="129" t="s">
        <v>108</v>
      </c>
      <c r="D149" s="128">
        <v>6.0</v>
      </c>
      <c r="E149" s="57">
        <v>130.0</v>
      </c>
      <c r="F149" s="46">
        <f t="shared" si="6"/>
        <v>780</v>
      </c>
      <c r="G149" s="150">
        <v>45145.0</v>
      </c>
    </row>
    <row r="150">
      <c r="C150" s="129" t="s">
        <v>124</v>
      </c>
      <c r="D150" s="128">
        <v>1.0</v>
      </c>
      <c r="E150" s="57">
        <v>100.0</v>
      </c>
      <c r="F150" s="46">
        <f t="shared" si="6"/>
        <v>100</v>
      </c>
      <c r="G150" s="150">
        <v>45145.0</v>
      </c>
    </row>
    <row r="151">
      <c r="C151" s="129" t="s">
        <v>170</v>
      </c>
      <c r="D151" s="128">
        <v>1.0</v>
      </c>
      <c r="E151" s="57">
        <v>10000.0</v>
      </c>
      <c r="F151" s="46">
        <f t="shared" si="6"/>
        <v>10000</v>
      </c>
      <c r="G151" s="150">
        <v>45145.0</v>
      </c>
    </row>
    <row r="152">
      <c r="C152" s="129" t="s">
        <v>113</v>
      </c>
      <c r="D152" s="128">
        <v>5.0</v>
      </c>
      <c r="E152" s="57">
        <v>1000.0</v>
      </c>
      <c r="F152" s="46">
        <f t="shared" si="6"/>
        <v>5000</v>
      </c>
      <c r="G152" s="150">
        <v>45145.0</v>
      </c>
    </row>
    <row r="153">
      <c r="C153" s="129" t="s">
        <v>108</v>
      </c>
      <c r="D153" s="128">
        <v>16.0</v>
      </c>
      <c r="E153" s="57">
        <v>120.0</v>
      </c>
      <c r="F153" s="46">
        <f t="shared" si="6"/>
        <v>1920</v>
      </c>
      <c r="G153" s="150">
        <v>45145.0</v>
      </c>
    </row>
    <row r="154">
      <c r="C154" s="129" t="s">
        <v>155</v>
      </c>
      <c r="D154" s="128">
        <v>1.0</v>
      </c>
      <c r="E154" s="57">
        <v>500.0</v>
      </c>
      <c r="F154" s="46">
        <f t="shared" si="6"/>
        <v>500</v>
      </c>
      <c r="G154" s="150">
        <v>45145.0</v>
      </c>
    </row>
    <row r="155">
      <c r="C155" s="129" t="s">
        <v>111</v>
      </c>
      <c r="D155" s="128">
        <v>40.0</v>
      </c>
      <c r="E155" s="57">
        <v>35.0</v>
      </c>
      <c r="F155" s="46">
        <f t="shared" si="6"/>
        <v>1400</v>
      </c>
      <c r="G155" s="150">
        <v>45145.0</v>
      </c>
    </row>
    <row r="156">
      <c r="C156" s="129" t="s">
        <v>171</v>
      </c>
      <c r="D156" s="128">
        <v>1.0</v>
      </c>
      <c r="E156" s="57">
        <v>200.0</v>
      </c>
      <c r="F156" s="46">
        <f t="shared" si="6"/>
        <v>200</v>
      </c>
      <c r="G156" s="150">
        <v>45145.0</v>
      </c>
    </row>
    <row r="157">
      <c r="C157" s="129" t="s">
        <v>172</v>
      </c>
      <c r="D157" s="128">
        <v>1.0</v>
      </c>
      <c r="E157" s="57">
        <v>120.0</v>
      </c>
      <c r="F157" s="46">
        <f t="shared" si="6"/>
        <v>120</v>
      </c>
      <c r="G157" s="150">
        <v>45145.0</v>
      </c>
    </row>
    <row r="158">
      <c r="C158" s="129" t="s">
        <v>173</v>
      </c>
      <c r="D158" s="128">
        <v>1.0</v>
      </c>
      <c r="E158" s="57">
        <v>190.0</v>
      </c>
      <c r="F158" s="46">
        <f t="shared" si="6"/>
        <v>190</v>
      </c>
      <c r="G158" s="150">
        <v>45145.0</v>
      </c>
    </row>
    <row r="159">
      <c r="C159" s="129" t="s">
        <v>70</v>
      </c>
      <c r="D159" s="128">
        <v>3.0</v>
      </c>
      <c r="E159" s="57">
        <v>60.0</v>
      </c>
      <c r="F159" s="46">
        <f t="shared" si="6"/>
        <v>180</v>
      </c>
      <c r="G159" s="150">
        <v>45145.0</v>
      </c>
    </row>
    <row r="160">
      <c r="C160" s="129" t="s">
        <v>174</v>
      </c>
      <c r="D160" s="128">
        <v>6.0</v>
      </c>
      <c r="E160" s="57">
        <v>500.0</v>
      </c>
      <c r="F160" s="46">
        <f t="shared" si="6"/>
        <v>3000</v>
      </c>
      <c r="G160" s="150">
        <v>45145.0</v>
      </c>
    </row>
    <row r="161">
      <c r="C161" s="157" t="s">
        <v>175</v>
      </c>
      <c r="D161" s="158">
        <v>1.0</v>
      </c>
      <c r="E161" s="159">
        <v>15000.0</v>
      </c>
      <c r="F161" s="160">
        <f t="shared" si="6"/>
        <v>15000</v>
      </c>
      <c r="G161" s="161">
        <v>45145.0</v>
      </c>
    </row>
    <row r="162">
      <c r="C162" s="129" t="s">
        <v>62</v>
      </c>
      <c r="D162" s="128">
        <v>10.0</v>
      </c>
      <c r="E162" s="57">
        <v>600.0</v>
      </c>
      <c r="F162" s="46">
        <f t="shared" si="6"/>
        <v>6000</v>
      </c>
      <c r="G162" s="150">
        <v>45145.0</v>
      </c>
    </row>
    <row r="163">
      <c r="C163" s="129" t="s">
        <v>79</v>
      </c>
      <c r="D163" s="128">
        <v>10.0</v>
      </c>
      <c r="E163" s="57">
        <v>200.0</v>
      </c>
      <c r="F163" s="46">
        <f t="shared" si="6"/>
        <v>2000</v>
      </c>
      <c r="G163" s="150">
        <v>45145.0</v>
      </c>
    </row>
    <row r="164">
      <c r="C164" s="129" t="s">
        <v>160</v>
      </c>
      <c r="D164" s="128">
        <v>7.0</v>
      </c>
      <c r="E164" s="57">
        <v>200.0</v>
      </c>
      <c r="F164" s="46">
        <f t="shared" si="6"/>
        <v>1400</v>
      </c>
      <c r="G164" s="150">
        <v>45145.0</v>
      </c>
    </row>
    <row r="165">
      <c r="C165" s="129" t="s">
        <v>176</v>
      </c>
      <c r="D165" s="128">
        <v>2.0</v>
      </c>
      <c r="E165" s="57">
        <v>200.0</v>
      </c>
      <c r="F165" s="46">
        <f t="shared" si="6"/>
        <v>400</v>
      </c>
      <c r="G165" s="150">
        <v>45145.0</v>
      </c>
    </row>
    <row r="166">
      <c r="C166" s="129" t="s">
        <v>177</v>
      </c>
      <c r="D166" s="128">
        <v>2.0</v>
      </c>
      <c r="E166" s="57">
        <v>1550.0</v>
      </c>
      <c r="F166" s="46">
        <f t="shared" si="6"/>
        <v>3100</v>
      </c>
      <c r="G166" s="150">
        <v>45147.0</v>
      </c>
    </row>
    <row r="167">
      <c r="C167" s="129" t="s">
        <v>178</v>
      </c>
      <c r="D167" s="128">
        <v>2.0</v>
      </c>
      <c r="E167" s="57">
        <v>1200.0</v>
      </c>
      <c r="F167" s="46">
        <f t="shared" si="6"/>
        <v>2400</v>
      </c>
      <c r="G167" s="150">
        <v>45147.0</v>
      </c>
    </row>
    <row r="168">
      <c r="C168" s="129" t="s">
        <v>179</v>
      </c>
      <c r="D168" s="128">
        <v>1.0</v>
      </c>
      <c r="E168" s="57">
        <v>12000.0</v>
      </c>
      <c r="F168" s="46">
        <f t="shared" si="6"/>
        <v>12000</v>
      </c>
      <c r="G168" s="150">
        <v>45147.0</v>
      </c>
    </row>
    <row r="169">
      <c r="C169" s="129" t="s">
        <v>111</v>
      </c>
      <c r="D169" s="128">
        <v>30.0</v>
      </c>
      <c r="E169" s="57">
        <v>40.0</v>
      </c>
      <c r="F169" s="46">
        <f t="shared" si="6"/>
        <v>1200</v>
      </c>
      <c r="G169" s="150">
        <v>45147.0</v>
      </c>
    </row>
    <row r="170">
      <c r="C170" s="129" t="s">
        <v>113</v>
      </c>
      <c r="D170" s="128">
        <v>4.0</v>
      </c>
      <c r="E170" s="57">
        <v>1000.0</v>
      </c>
      <c r="F170" s="46">
        <f t="shared" si="6"/>
        <v>4000</v>
      </c>
      <c r="G170" s="150">
        <v>45147.0</v>
      </c>
    </row>
    <row r="171">
      <c r="C171" s="129" t="s">
        <v>180</v>
      </c>
      <c r="D171" s="128">
        <v>0.5</v>
      </c>
      <c r="E171" s="57">
        <v>1000.0</v>
      </c>
      <c r="F171" s="46">
        <f t="shared" si="6"/>
        <v>500</v>
      </c>
      <c r="G171" s="150">
        <v>45147.0</v>
      </c>
    </row>
    <row r="172">
      <c r="C172" s="129" t="s">
        <v>111</v>
      </c>
      <c r="D172" s="128">
        <v>25.0</v>
      </c>
      <c r="E172" s="57">
        <v>40.0</v>
      </c>
      <c r="F172" s="46">
        <f t="shared" si="6"/>
        <v>1000</v>
      </c>
      <c r="G172" s="150">
        <v>45148.0</v>
      </c>
    </row>
    <row r="173">
      <c r="C173" s="129" t="s">
        <v>108</v>
      </c>
      <c r="D173" s="128">
        <v>4.0</v>
      </c>
      <c r="E173" s="57">
        <v>120.0</v>
      </c>
      <c r="F173" s="46">
        <f t="shared" si="6"/>
        <v>480</v>
      </c>
      <c r="G173" s="150">
        <v>45148.0</v>
      </c>
    </row>
    <row r="174">
      <c r="C174" s="129" t="s">
        <v>181</v>
      </c>
      <c r="D174" s="128">
        <v>5.0</v>
      </c>
      <c r="E174" s="57">
        <v>85.0</v>
      </c>
      <c r="F174" s="46">
        <f t="shared" si="6"/>
        <v>425</v>
      </c>
      <c r="G174" s="150">
        <v>45148.0</v>
      </c>
    </row>
    <row r="175">
      <c r="C175" s="129" t="s">
        <v>96</v>
      </c>
      <c r="D175" s="128">
        <v>2.0</v>
      </c>
      <c r="E175" s="57">
        <v>1400.0</v>
      </c>
      <c r="F175" s="46">
        <f t="shared" si="6"/>
        <v>2800</v>
      </c>
      <c r="G175" s="150">
        <v>45148.0</v>
      </c>
    </row>
    <row r="176">
      <c r="C176" s="129" t="s">
        <v>166</v>
      </c>
      <c r="D176" s="128">
        <v>3.0</v>
      </c>
      <c r="E176" s="57">
        <v>330.0</v>
      </c>
      <c r="F176" s="46">
        <f t="shared" si="6"/>
        <v>990</v>
      </c>
      <c r="G176" s="150">
        <v>45148.0</v>
      </c>
    </row>
    <row r="177">
      <c r="C177" s="129" t="s">
        <v>109</v>
      </c>
      <c r="D177" s="128">
        <v>5.0</v>
      </c>
      <c r="E177" s="57">
        <v>550.0</v>
      </c>
      <c r="F177" s="46">
        <f t="shared" si="6"/>
        <v>2750</v>
      </c>
      <c r="G177" s="150">
        <v>45148.0</v>
      </c>
    </row>
    <row r="178">
      <c r="C178" s="129" t="s">
        <v>182</v>
      </c>
      <c r="D178" s="128">
        <v>2.5</v>
      </c>
      <c r="E178" s="57">
        <v>400.0</v>
      </c>
      <c r="F178" s="46">
        <f t="shared" si="6"/>
        <v>1000</v>
      </c>
      <c r="G178" s="150">
        <v>45268.0</v>
      </c>
    </row>
    <row r="179">
      <c r="C179" s="129" t="s">
        <v>124</v>
      </c>
      <c r="D179" s="128">
        <v>6.0</v>
      </c>
      <c r="E179" s="57">
        <v>100.0</v>
      </c>
      <c r="F179" s="46">
        <f t="shared" si="6"/>
        <v>600</v>
      </c>
      <c r="G179" s="150">
        <v>45268.0</v>
      </c>
    </row>
    <row r="180">
      <c r="C180" s="129" t="s">
        <v>183</v>
      </c>
      <c r="D180" s="128">
        <v>1.0</v>
      </c>
      <c r="E180" s="57">
        <v>1500.0</v>
      </c>
      <c r="F180" s="46">
        <f t="shared" si="6"/>
        <v>1500</v>
      </c>
      <c r="G180" s="150">
        <v>45268.0</v>
      </c>
    </row>
    <row r="181">
      <c r="C181" s="129" t="s">
        <v>184</v>
      </c>
      <c r="D181" s="128">
        <v>5.0</v>
      </c>
      <c r="E181" s="57">
        <v>250.0</v>
      </c>
      <c r="F181" s="46">
        <f t="shared" si="6"/>
        <v>1250</v>
      </c>
      <c r="G181" s="150">
        <v>45268.0</v>
      </c>
    </row>
    <row r="182">
      <c r="C182" s="129" t="s">
        <v>111</v>
      </c>
      <c r="D182" s="128">
        <v>45.0</v>
      </c>
      <c r="E182" s="57">
        <v>40.0</v>
      </c>
      <c r="F182" s="46">
        <f t="shared" si="6"/>
        <v>1800</v>
      </c>
      <c r="G182" s="150">
        <v>45238.0</v>
      </c>
    </row>
    <row r="183">
      <c r="C183" s="129" t="s">
        <v>108</v>
      </c>
      <c r="D183" s="128">
        <v>5.0</v>
      </c>
      <c r="E183" s="57">
        <v>120.0</v>
      </c>
      <c r="F183" s="46">
        <f t="shared" si="6"/>
        <v>600</v>
      </c>
      <c r="G183" s="152">
        <v>45149.0</v>
      </c>
    </row>
    <row r="184">
      <c r="C184" s="129" t="s">
        <v>185</v>
      </c>
      <c r="D184" s="128">
        <v>1.0</v>
      </c>
      <c r="E184" s="57">
        <v>1060.0</v>
      </c>
      <c r="F184" s="46">
        <f t="shared" si="6"/>
        <v>1060</v>
      </c>
      <c r="G184" s="150">
        <v>45238.0</v>
      </c>
    </row>
    <row r="185">
      <c r="C185" s="129" t="s">
        <v>123</v>
      </c>
      <c r="D185" s="128">
        <v>6.0</v>
      </c>
      <c r="E185" s="57">
        <v>900.0</v>
      </c>
      <c r="F185" s="46">
        <f t="shared" si="6"/>
        <v>5400</v>
      </c>
      <c r="G185" s="150">
        <v>45234.0</v>
      </c>
    </row>
    <row r="186">
      <c r="C186" s="129" t="s">
        <v>165</v>
      </c>
      <c r="D186" s="128">
        <v>1.0</v>
      </c>
      <c r="E186" s="57">
        <v>280.0</v>
      </c>
      <c r="F186" s="46">
        <f t="shared" si="6"/>
        <v>280</v>
      </c>
      <c r="G186" s="150">
        <v>45238.0</v>
      </c>
    </row>
    <row r="187">
      <c r="C187" s="129" t="s">
        <v>173</v>
      </c>
      <c r="D187" s="128">
        <v>1.0</v>
      </c>
      <c r="E187" s="57">
        <v>250.0</v>
      </c>
      <c r="F187" s="46">
        <f t="shared" si="6"/>
        <v>250</v>
      </c>
      <c r="G187" s="150">
        <v>45238.0</v>
      </c>
    </row>
    <row r="188">
      <c r="C188" s="129" t="s">
        <v>186</v>
      </c>
      <c r="D188" s="36"/>
      <c r="E188" s="57">
        <v>3650.0</v>
      </c>
      <c r="F188" s="46">
        <f t="shared" si="6"/>
        <v>0</v>
      </c>
      <c r="G188" s="150">
        <v>45146.0</v>
      </c>
    </row>
    <row r="189">
      <c r="C189" s="129" t="s">
        <v>187</v>
      </c>
      <c r="D189" s="128">
        <v>700.0</v>
      </c>
      <c r="E189" s="57">
        <v>60.0</v>
      </c>
      <c r="F189" s="46">
        <f t="shared" si="6"/>
        <v>42000</v>
      </c>
      <c r="G189" s="150">
        <v>45268.0</v>
      </c>
    </row>
    <row r="190">
      <c r="C190" s="129" t="s">
        <v>188</v>
      </c>
      <c r="D190" s="128">
        <v>2.0</v>
      </c>
      <c r="E190" s="57">
        <v>200.0</v>
      </c>
      <c r="F190" s="46">
        <f t="shared" si="6"/>
        <v>400</v>
      </c>
      <c r="G190" s="150">
        <v>45268.0</v>
      </c>
    </row>
    <row r="191">
      <c r="C191" s="129" t="s">
        <v>189</v>
      </c>
      <c r="D191" s="128">
        <v>2.0</v>
      </c>
      <c r="E191" s="57">
        <v>240.0</v>
      </c>
      <c r="F191" s="46">
        <f t="shared" si="6"/>
        <v>480</v>
      </c>
      <c r="G191" s="150">
        <v>45268.0</v>
      </c>
    </row>
    <row r="192">
      <c r="C192" s="129" t="s">
        <v>70</v>
      </c>
      <c r="D192" s="128">
        <v>1.0</v>
      </c>
      <c r="E192" s="57">
        <v>1200.0</v>
      </c>
      <c r="F192" s="46">
        <f t="shared" si="6"/>
        <v>1200</v>
      </c>
      <c r="G192" s="150">
        <v>45268.0</v>
      </c>
    </row>
    <row r="193">
      <c r="C193" s="129" t="s">
        <v>190</v>
      </c>
      <c r="D193" s="128">
        <v>5.0</v>
      </c>
      <c r="E193" s="57">
        <v>125.0</v>
      </c>
      <c r="F193" s="46">
        <f t="shared" si="6"/>
        <v>625</v>
      </c>
      <c r="G193" s="150">
        <v>45151.0</v>
      </c>
    </row>
    <row r="194">
      <c r="C194" s="129" t="s">
        <v>92</v>
      </c>
      <c r="D194" s="128">
        <v>4.0</v>
      </c>
      <c r="E194" s="57">
        <v>300.0</v>
      </c>
      <c r="F194" s="46">
        <f t="shared" si="6"/>
        <v>1200</v>
      </c>
      <c r="G194" s="150">
        <v>45151.0</v>
      </c>
    </row>
    <row r="195">
      <c r="C195" s="129" t="s">
        <v>191</v>
      </c>
      <c r="D195" s="128">
        <v>4.0</v>
      </c>
      <c r="E195" s="57">
        <v>110.0</v>
      </c>
      <c r="F195" s="46">
        <f t="shared" si="6"/>
        <v>440</v>
      </c>
      <c r="G195" s="150">
        <v>45151.0</v>
      </c>
    </row>
    <row r="196">
      <c r="C196" s="129" t="s">
        <v>111</v>
      </c>
      <c r="D196" s="128">
        <v>40.0</v>
      </c>
      <c r="E196" s="57">
        <v>50.0</v>
      </c>
      <c r="F196" s="46">
        <f t="shared" si="6"/>
        <v>2000</v>
      </c>
      <c r="G196" s="150">
        <v>45152.0</v>
      </c>
    </row>
    <row r="197">
      <c r="C197" s="129" t="s">
        <v>109</v>
      </c>
      <c r="D197" s="128">
        <v>2.0</v>
      </c>
      <c r="E197" s="57">
        <v>650.0</v>
      </c>
      <c r="F197" s="46">
        <f t="shared" si="6"/>
        <v>1300</v>
      </c>
      <c r="G197" s="150">
        <v>45152.0</v>
      </c>
    </row>
    <row r="198">
      <c r="C198" s="129" t="s">
        <v>171</v>
      </c>
      <c r="D198" s="128">
        <v>1.0</v>
      </c>
      <c r="E198" s="57">
        <v>200.0</v>
      </c>
      <c r="F198" s="46">
        <f t="shared" si="6"/>
        <v>200</v>
      </c>
      <c r="G198" s="150">
        <v>45152.0</v>
      </c>
    </row>
    <row r="199">
      <c r="C199" s="129" t="s">
        <v>192</v>
      </c>
      <c r="D199" s="128">
        <v>1.0</v>
      </c>
      <c r="E199" s="57">
        <v>1400.0</v>
      </c>
      <c r="F199" s="46">
        <f t="shared" si="6"/>
        <v>1400</v>
      </c>
      <c r="G199" s="150">
        <v>45152.0</v>
      </c>
    </row>
    <row r="200">
      <c r="C200" s="129" t="s">
        <v>193</v>
      </c>
      <c r="D200" s="128">
        <v>1.0</v>
      </c>
      <c r="E200" s="57">
        <v>1000.0</v>
      </c>
      <c r="F200" s="46">
        <f t="shared" si="6"/>
        <v>1000</v>
      </c>
      <c r="G200" s="150">
        <v>45152.0</v>
      </c>
    </row>
    <row r="201">
      <c r="C201" s="129" t="s">
        <v>194</v>
      </c>
      <c r="D201" s="128">
        <v>1.0</v>
      </c>
      <c r="E201" s="57">
        <v>30000.0</v>
      </c>
      <c r="F201" s="46">
        <f t="shared" si="6"/>
        <v>30000</v>
      </c>
      <c r="G201" s="150">
        <v>45155.0</v>
      </c>
    </row>
    <row r="202">
      <c r="C202" s="129" t="s">
        <v>195</v>
      </c>
      <c r="D202" s="128">
        <v>15.0</v>
      </c>
      <c r="E202" s="57">
        <v>1000.0</v>
      </c>
      <c r="F202" s="46">
        <f t="shared" si="6"/>
        <v>15000</v>
      </c>
      <c r="G202" s="150">
        <v>45155.0</v>
      </c>
    </row>
    <row r="203">
      <c r="C203" s="125"/>
      <c r="D203" s="36"/>
      <c r="E203" s="30"/>
      <c r="F203" s="46">
        <f t="shared" si="6"/>
        <v>0</v>
      </c>
      <c r="G203" s="126"/>
    </row>
    <row r="204">
      <c r="C204" s="125"/>
      <c r="D204" s="36"/>
      <c r="E204" s="30"/>
      <c r="F204" s="46">
        <f t="shared" si="6"/>
        <v>0</v>
      </c>
      <c r="G204" s="126"/>
    </row>
    <row r="205">
      <c r="C205" s="125"/>
      <c r="D205" s="36"/>
      <c r="E205" s="30"/>
      <c r="F205" s="46">
        <f t="shared" si="6"/>
        <v>0</v>
      </c>
      <c r="G205" s="126"/>
    </row>
    <row r="206">
      <c r="C206" s="125"/>
      <c r="D206" s="36"/>
      <c r="E206" s="30"/>
      <c r="F206" s="46">
        <f t="shared" si="6"/>
        <v>0</v>
      </c>
      <c r="G206" s="126"/>
    </row>
    <row r="207">
      <c r="C207" s="125"/>
      <c r="D207" s="36"/>
      <c r="E207" s="30"/>
      <c r="F207" s="46">
        <f t="shared" si="6"/>
        <v>0</v>
      </c>
      <c r="G207" s="126"/>
    </row>
    <row r="208">
      <c r="C208" s="125"/>
      <c r="D208" s="36"/>
      <c r="E208" s="30"/>
      <c r="F208" s="46">
        <f t="shared" si="6"/>
        <v>0</v>
      </c>
      <c r="G208" s="126"/>
    </row>
    <row r="209">
      <c r="C209" s="125"/>
      <c r="D209" s="36"/>
      <c r="E209" s="30"/>
      <c r="F209" s="46">
        <f t="shared" si="6"/>
        <v>0</v>
      </c>
      <c r="G209" s="126"/>
    </row>
    <row r="210">
      <c r="C210" s="125"/>
      <c r="D210" s="36"/>
      <c r="E210" s="30"/>
      <c r="F210" s="46">
        <f t="shared" si="6"/>
        <v>0</v>
      </c>
      <c r="G210" s="126"/>
    </row>
    <row r="211">
      <c r="C211" s="125"/>
      <c r="D211" s="36"/>
      <c r="E211" s="30"/>
      <c r="F211" s="46">
        <f t="shared" si="6"/>
        <v>0</v>
      </c>
      <c r="G211" s="126"/>
    </row>
    <row r="212">
      <c r="C212" s="162" t="s">
        <v>196</v>
      </c>
      <c r="D212" s="36"/>
      <c r="E212" s="30"/>
      <c r="F212" s="163">
        <f>SUM(F3:F211)</f>
        <v>491459.3</v>
      </c>
      <c r="G212" s="126"/>
    </row>
    <row r="213">
      <c r="C213" s="21"/>
      <c r="D213" s="21"/>
      <c r="E213" s="21"/>
      <c r="F213" s="21"/>
      <c r="G213" s="21"/>
    </row>
    <row r="214">
      <c r="C214" s="21"/>
      <c r="D214" s="21"/>
      <c r="E214" s="21"/>
      <c r="F214" s="21"/>
      <c r="G214" s="21"/>
    </row>
    <row r="215">
      <c r="C215" s="21"/>
      <c r="D215" s="21"/>
      <c r="E215" s="21"/>
      <c r="F215" s="21"/>
      <c r="G215" s="21"/>
    </row>
    <row r="216">
      <c r="C216" s="21"/>
      <c r="D216" s="21"/>
      <c r="E216" s="21"/>
      <c r="F216" s="21"/>
      <c r="G216" s="21"/>
    </row>
    <row r="217">
      <c r="C217" s="21"/>
      <c r="D217" s="21"/>
      <c r="E217" s="21"/>
      <c r="F217" s="21"/>
      <c r="G217" s="21"/>
    </row>
    <row r="218">
      <c r="C218" s="21"/>
      <c r="D218" s="21"/>
      <c r="E218" s="21"/>
      <c r="F218" s="21"/>
      <c r="G218" s="21"/>
    </row>
    <row r="219">
      <c r="C219" s="21"/>
      <c r="D219" s="21"/>
      <c r="E219" s="21"/>
      <c r="F219" s="21"/>
      <c r="G219" s="21"/>
    </row>
    <row r="220">
      <c r="C220" s="21"/>
      <c r="D220" s="21"/>
      <c r="E220" s="21"/>
      <c r="F220" s="21"/>
      <c r="G220" s="21"/>
    </row>
    <row r="221">
      <c r="C221" s="21"/>
      <c r="D221" s="21"/>
      <c r="E221" s="21"/>
      <c r="F221" s="21"/>
      <c r="G221" s="21"/>
    </row>
    <row r="222">
      <c r="C222" s="21"/>
      <c r="D222" s="21"/>
      <c r="E222" s="21"/>
      <c r="F222" s="21"/>
      <c r="G222" s="21"/>
    </row>
    <row r="223">
      <c r="C223" s="21"/>
      <c r="D223" s="21"/>
      <c r="E223" s="21"/>
      <c r="F223" s="21"/>
      <c r="G223" s="21"/>
    </row>
    <row r="224">
      <c r="C224" s="21"/>
      <c r="D224" s="21"/>
      <c r="E224" s="21"/>
      <c r="F224" s="21"/>
      <c r="G224" s="21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19.88"/>
    <col customWidth="1" min="10" max="10" width="20.13"/>
    <col customWidth="1" min="11" max="12" width="19.88"/>
  </cols>
  <sheetData>
    <row r="9">
      <c r="H9" s="164"/>
      <c r="I9" s="165" t="s">
        <v>197</v>
      </c>
      <c r="J9" s="165" t="s">
        <v>4</v>
      </c>
      <c r="K9" s="165" t="s">
        <v>198</v>
      </c>
      <c r="L9" s="166" t="s">
        <v>199</v>
      </c>
      <c r="M9" s="21"/>
    </row>
    <row r="10">
      <c r="H10" s="125">
        <v>1.0</v>
      </c>
      <c r="I10" s="36" t="s">
        <v>200</v>
      </c>
      <c r="J10" s="46">
        <v>30000.0</v>
      </c>
      <c r="K10" s="12">
        <v>30000.0</v>
      </c>
      <c r="L10" s="46">
        <f t="shared" ref="L10:L23" si="1">J10-K10</f>
        <v>0</v>
      </c>
      <c r="M10" s="21"/>
    </row>
    <row r="11">
      <c r="H11" s="125">
        <v>2.0</v>
      </c>
      <c r="I11" s="36" t="s">
        <v>201</v>
      </c>
      <c r="J11" s="46">
        <v>30000.0</v>
      </c>
      <c r="K11" s="12">
        <v>30000.0</v>
      </c>
      <c r="L11" s="46">
        <f t="shared" si="1"/>
        <v>0</v>
      </c>
      <c r="M11" s="21"/>
    </row>
    <row r="12">
      <c r="H12" s="125">
        <v>3.0</v>
      </c>
      <c r="I12" s="36" t="s">
        <v>202</v>
      </c>
      <c r="J12" s="46">
        <f>'Pointage '!C35*1</f>
        <v>20179.5</v>
      </c>
      <c r="K12" s="12">
        <v>20500.0</v>
      </c>
      <c r="L12" s="46">
        <f t="shared" si="1"/>
        <v>-320.5</v>
      </c>
      <c r="M12" s="21"/>
    </row>
    <row r="13">
      <c r="H13" s="125">
        <v>4.0</v>
      </c>
      <c r="I13" s="36" t="s">
        <v>38</v>
      </c>
      <c r="J13" s="46">
        <f>'Pointage '!D35*1</f>
        <v>23800</v>
      </c>
      <c r="K13" s="12">
        <v>24000.0</v>
      </c>
      <c r="L13" s="46">
        <f t="shared" si="1"/>
        <v>-200</v>
      </c>
      <c r="M13" s="21"/>
    </row>
    <row r="14">
      <c r="H14" s="125">
        <v>5.0</v>
      </c>
      <c r="I14" s="36" t="s">
        <v>39</v>
      </c>
      <c r="J14" s="46">
        <f>'Pointage '!E35*1</f>
        <v>17122</v>
      </c>
      <c r="K14" s="12">
        <v>17500.0</v>
      </c>
      <c r="L14" s="46">
        <f t="shared" si="1"/>
        <v>-378</v>
      </c>
      <c r="M14" s="21"/>
    </row>
    <row r="15">
      <c r="H15" s="129">
        <v>6.0</v>
      </c>
      <c r="I15" s="36" t="s">
        <v>40</v>
      </c>
      <c r="J15" s="46">
        <f>'Pointage '!F35*1</f>
        <v>7338</v>
      </c>
      <c r="K15" s="12">
        <v>3000.0</v>
      </c>
      <c r="L15" s="46">
        <f t="shared" si="1"/>
        <v>4338</v>
      </c>
      <c r="M15" s="21"/>
    </row>
    <row r="16">
      <c r="H16" s="129">
        <v>7.0</v>
      </c>
      <c r="I16" s="36" t="s">
        <v>41</v>
      </c>
      <c r="J16" s="46">
        <f>'Pointage '!G35*1</f>
        <v>15000</v>
      </c>
      <c r="K16" s="12">
        <v>15000.0</v>
      </c>
      <c r="L16" s="46">
        <f t="shared" si="1"/>
        <v>0</v>
      </c>
      <c r="M16" s="21"/>
    </row>
    <row r="17">
      <c r="H17" s="129">
        <v>8.0</v>
      </c>
      <c r="I17" s="36" t="s">
        <v>42</v>
      </c>
      <c r="J17" s="46">
        <f>'Pointage '!H35*1</f>
        <v>17875</v>
      </c>
      <c r="K17" s="12">
        <v>18000.0</v>
      </c>
      <c r="L17" s="46">
        <f t="shared" si="1"/>
        <v>-125</v>
      </c>
      <c r="M17" s="21"/>
    </row>
    <row r="18">
      <c r="H18" s="129">
        <v>9.0</v>
      </c>
      <c r="I18" s="36" t="s">
        <v>203</v>
      </c>
      <c r="J18" s="46">
        <f>'Pointage '!I35*1</f>
        <v>13475</v>
      </c>
      <c r="K18" s="12">
        <v>13500.0</v>
      </c>
      <c r="L18" s="46">
        <f t="shared" si="1"/>
        <v>-25</v>
      </c>
      <c r="M18" s="21"/>
    </row>
    <row r="19">
      <c r="H19" s="129">
        <v>10.0</v>
      </c>
      <c r="I19" s="36" t="s">
        <v>44</v>
      </c>
      <c r="J19" s="46">
        <f>'Pointage '!J35*1</f>
        <v>17000</v>
      </c>
      <c r="K19" s="12">
        <v>17000.0</v>
      </c>
      <c r="L19" s="46">
        <f t="shared" si="1"/>
        <v>0</v>
      </c>
      <c r="M19" s="21"/>
    </row>
    <row r="20">
      <c r="H20" s="129">
        <v>11.0</v>
      </c>
      <c r="I20" s="128" t="s">
        <v>49</v>
      </c>
      <c r="J20" s="46">
        <f>'Pointage '!O35*1</f>
        <v>2400</v>
      </c>
      <c r="K20" s="12">
        <v>2500.0</v>
      </c>
      <c r="L20" s="46">
        <f t="shared" si="1"/>
        <v>-100</v>
      </c>
      <c r="M20" s="21"/>
    </row>
    <row r="21">
      <c r="H21" s="129">
        <v>12.0</v>
      </c>
      <c r="I21" s="36" t="s">
        <v>45</v>
      </c>
      <c r="J21" s="46">
        <f>'Pointage '!K35*1</f>
        <v>22400</v>
      </c>
      <c r="K21" s="12">
        <v>22500.0</v>
      </c>
      <c r="L21" s="46">
        <f t="shared" si="1"/>
        <v>-100</v>
      </c>
      <c r="M21" s="21"/>
    </row>
    <row r="22">
      <c r="H22" s="129">
        <v>13.0</v>
      </c>
      <c r="I22" s="36" t="s">
        <v>47</v>
      </c>
      <c r="J22" s="46">
        <f>'Pointage '!M35*1</f>
        <v>16500</v>
      </c>
      <c r="K22" s="12">
        <v>16500.0</v>
      </c>
      <c r="L22" s="46">
        <f t="shared" si="1"/>
        <v>0</v>
      </c>
      <c r="M22" s="21"/>
    </row>
    <row r="23">
      <c r="H23" s="129">
        <v>14.0</v>
      </c>
      <c r="I23" s="36" t="s">
        <v>48</v>
      </c>
      <c r="J23" s="46">
        <f>'Pointage '!N35*1</f>
        <v>5556</v>
      </c>
      <c r="K23" s="12">
        <v>6000.0</v>
      </c>
      <c r="L23" s="46">
        <f t="shared" si="1"/>
        <v>-444</v>
      </c>
      <c r="M23" s="21"/>
    </row>
    <row r="24">
      <c r="H24" s="167"/>
      <c r="I24" s="23" t="s">
        <v>204</v>
      </c>
      <c r="J24" s="30">
        <f t="shared" ref="J24:L24" si="2">SUM(J10:J23)</f>
        <v>238645.5</v>
      </c>
      <c r="K24" s="160">
        <f t="shared" si="2"/>
        <v>236000</v>
      </c>
      <c r="L24" s="168">
        <f t="shared" si="2"/>
        <v>2645.5</v>
      </c>
      <c r="M24" s="21"/>
    </row>
    <row r="25">
      <c r="H25" s="167"/>
      <c r="I25" s="169">
        <f>J24-K24</f>
        <v>2645.5</v>
      </c>
      <c r="J25" s="1"/>
      <c r="K25" s="1"/>
      <c r="L25" s="24">
        <f>J25-K25</f>
        <v>0</v>
      </c>
      <c r="M25" s="21"/>
    </row>
    <row r="26">
      <c r="H26" s="21"/>
      <c r="I26" s="21"/>
      <c r="J26" s="21"/>
      <c r="K26" s="21"/>
      <c r="L26" s="21"/>
      <c r="M26" s="21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24.63"/>
    <col customWidth="1" min="7" max="7" width="22.13"/>
    <col customWidth="1" min="8" max="8" width="21.88"/>
    <col customWidth="1" min="9" max="9" width="22.63"/>
    <col customWidth="1" min="10" max="10" width="21.13"/>
    <col customWidth="1" min="11" max="11" width="22.13"/>
    <col customWidth="1" min="12" max="12" width="24.63"/>
    <col customWidth="1" min="13" max="13" width="23.38"/>
  </cols>
  <sheetData>
    <row r="10">
      <c r="F10" s="33"/>
      <c r="G10" s="33"/>
      <c r="H10" s="33"/>
      <c r="I10" s="33"/>
      <c r="J10" s="33"/>
      <c r="K10" s="33"/>
      <c r="L10" s="33"/>
    </row>
    <row r="11">
      <c r="F11" s="167"/>
      <c r="G11" s="170" t="s">
        <v>205</v>
      </c>
      <c r="H11" s="170" t="s">
        <v>206</v>
      </c>
      <c r="I11" s="170" t="s">
        <v>207</v>
      </c>
      <c r="J11" s="170" t="s">
        <v>208</v>
      </c>
      <c r="K11" s="170" t="s">
        <v>209</v>
      </c>
      <c r="L11" s="170" t="s">
        <v>210</v>
      </c>
      <c r="M11" s="171" t="s">
        <v>211</v>
      </c>
    </row>
    <row r="12">
      <c r="F12" s="172" t="s">
        <v>2</v>
      </c>
      <c r="G12" s="30">
        <v>1400000.0</v>
      </c>
      <c r="H12" s="30">
        <v>1928000.0</v>
      </c>
      <c r="I12" s="30">
        <v>1488000.0</v>
      </c>
      <c r="J12" s="30">
        <v>1540000.0</v>
      </c>
      <c r="K12" s="30">
        <v>1577000.0</v>
      </c>
      <c r="L12" s="57">
        <v>1880000.0</v>
      </c>
      <c r="M12" s="57">
        <v>941000.0</v>
      </c>
    </row>
    <row r="13">
      <c r="F13" s="172" t="s">
        <v>3</v>
      </c>
      <c r="G13" s="30">
        <v>597000.0</v>
      </c>
      <c r="H13" s="30">
        <v>938000.0</v>
      </c>
      <c r="I13" s="30">
        <v>670000.0</v>
      </c>
      <c r="J13" s="30">
        <v>753000.0</v>
      </c>
      <c r="K13" s="30">
        <v>716000.0</v>
      </c>
      <c r="L13" s="30">
        <v>834000.0</v>
      </c>
      <c r="M13" s="57">
        <v>492000.0</v>
      </c>
    </row>
    <row r="14">
      <c r="F14" s="172" t="s">
        <v>212</v>
      </c>
      <c r="G14" s="30">
        <v>413000.0</v>
      </c>
      <c r="H14" s="30">
        <v>360000.0</v>
      </c>
      <c r="I14" s="30">
        <v>335000.0</v>
      </c>
      <c r="J14" s="30">
        <v>347000.0</v>
      </c>
      <c r="K14" s="30">
        <v>331000.0</v>
      </c>
      <c r="L14" s="30">
        <v>416000.0</v>
      </c>
      <c r="M14" s="57">
        <v>239000.0</v>
      </c>
    </row>
    <row r="15">
      <c r="F15" s="172" t="s">
        <v>5</v>
      </c>
      <c r="G15" s="30">
        <v>110000.0</v>
      </c>
      <c r="H15" s="30">
        <v>110000.0</v>
      </c>
      <c r="I15" s="30">
        <v>110000.0</v>
      </c>
      <c r="J15" s="30">
        <v>110000.0</v>
      </c>
      <c r="K15" s="30">
        <v>110000.0</v>
      </c>
      <c r="L15" s="30">
        <v>110000.0</v>
      </c>
      <c r="M15" s="30">
        <v>110000.0</v>
      </c>
    </row>
    <row r="16">
      <c r="F16" s="172" t="s">
        <v>213</v>
      </c>
      <c r="G16" s="30">
        <v>280000.0</v>
      </c>
      <c r="H16" s="30">
        <v>520000.0</v>
      </c>
      <c r="I16" s="30">
        <v>370000.0</v>
      </c>
      <c r="J16" s="30">
        <f t="shared" ref="J16:K16" si="1">J12-J13-J14-J15</f>
        <v>330000</v>
      </c>
      <c r="K16" s="30">
        <f t="shared" si="1"/>
        <v>420000</v>
      </c>
      <c r="L16" s="57">
        <v>520000.0</v>
      </c>
      <c r="M16" s="57">
        <v>100000.0</v>
      </c>
    </row>
  </sheetData>
  <drawing r:id="rId1"/>
</worksheet>
</file>